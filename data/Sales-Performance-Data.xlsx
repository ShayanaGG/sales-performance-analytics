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haya\Downloads\"/>
    </mc:Choice>
  </mc:AlternateContent>
  <xr:revisionPtr revIDLastSave="0" documentId="13_ncr:1_{3DAB8E99-FBC9-42AD-8241-57AC3EC2DEFF}" xr6:coauthVersionLast="47" xr6:coauthVersionMax="47" xr10:uidLastSave="{00000000-0000-0000-0000-000000000000}"/>
  <bookViews>
    <workbookView xWindow="-108" yWindow="-108" windowWidth="23256" windowHeight="12456" tabRatio="786" activeTab="6" xr2:uid="{00000000-000D-0000-FFFF-FFFF00000000}"/>
  </bookViews>
  <sheets>
    <sheet name="Sales_Transactions" sheetId="1" r:id="rId1"/>
    <sheet name="Products" sheetId="2" r:id="rId2"/>
    <sheet name="Sales_Representatives" sheetId="3" r:id="rId3"/>
    <sheet name="Customers" sheetId="4" r:id="rId4"/>
    <sheet name="Targets" sheetId="5" r:id="rId5"/>
    <sheet name="Rep_Targets" sheetId="8" r:id="rId6"/>
    <sheet name="Regional_Targets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L2" i="1"/>
  <c r="M2" i="1" s="1"/>
  <c r="L3" i="1"/>
  <c r="M3" i="1" s="1"/>
  <c r="N3" i="1" s="1"/>
  <c r="L4" i="1"/>
  <c r="M4" i="1" s="1"/>
  <c r="N4" i="1" s="1"/>
  <c r="L5" i="1"/>
  <c r="M5" i="1" s="1"/>
  <c r="N5" i="1" s="1"/>
  <c r="L6" i="1"/>
  <c r="M6" i="1" s="1"/>
  <c r="N6" i="1" s="1"/>
  <c r="L7" i="1"/>
  <c r="M7" i="1" s="1"/>
  <c r="N7" i="1" s="1"/>
  <c r="L8" i="1"/>
  <c r="M8" i="1" s="1"/>
  <c r="N8" i="1" s="1"/>
  <c r="L9" i="1"/>
  <c r="M9" i="1" s="1"/>
  <c r="N9" i="1" s="1"/>
  <c r="L10" i="1"/>
  <c r="M10" i="1" s="1"/>
  <c r="N10" i="1" s="1"/>
  <c r="L11" i="1"/>
  <c r="M11" i="1" s="1"/>
  <c r="N11" i="1" s="1"/>
  <c r="L12" i="1"/>
  <c r="M12" i="1" s="1"/>
  <c r="N12" i="1" s="1"/>
  <c r="L13" i="1"/>
  <c r="M13" i="1" s="1"/>
  <c r="N13" i="1" s="1"/>
  <c r="L14" i="1"/>
  <c r="M14" i="1" s="1"/>
  <c r="N14" i="1" s="1"/>
  <c r="L15" i="1"/>
  <c r="M15" i="1" s="1"/>
  <c r="N15" i="1" s="1"/>
  <c r="L16" i="1"/>
  <c r="M16" i="1" s="1"/>
  <c r="N16" i="1" s="1"/>
  <c r="L17" i="1"/>
  <c r="M17" i="1" s="1"/>
  <c r="N17" i="1" s="1"/>
  <c r="L18" i="1"/>
  <c r="M18" i="1" s="1"/>
  <c r="N18" i="1" s="1"/>
  <c r="L19" i="1"/>
  <c r="M19" i="1" s="1"/>
  <c r="N19" i="1" s="1"/>
  <c r="L20" i="1"/>
  <c r="M20" i="1" s="1"/>
  <c r="N20" i="1" s="1"/>
  <c r="L21" i="1"/>
  <c r="M21" i="1" s="1"/>
  <c r="N21" i="1" s="1"/>
  <c r="L22" i="1"/>
  <c r="M22" i="1" s="1"/>
  <c r="N22" i="1" s="1"/>
  <c r="L23" i="1"/>
  <c r="M23" i="1" s="1"/>
  <c r="N23" i="1" s="1"/>
  <c r="L24" i="1"/>
  <c r="M24" i="1" s="1"/>
  <c r="N24" i="1" s="1"/>
  <c r="L25" i="1"/>
  <c r="M25" i="1" s="1"/>
  <c r="N25" i="1" s="1"/>
  <c r="L26" i="1"/>
  <c r="M26" i="1" s="1"/>
  <c r="N26" i="1" s="1"/>
  <c r="L27" i="1"/>
  <c r="M27" i="1" s="1"/>
  <c r="N27" i="1" s="1"/>
  <c r="L28" i="1"/>
  <c r="M28" i="1" s="1"/>
  <c r="N28" i="1" s="1"/>
  <c r="L29" i="1"/>
  <c r="M29" i="1" s="1"/>
  <c r="N29" i="1" s="1"/>
  <c r="L30" i="1"/>
  <c r="M30" i="1" s="1"/>
  <c r="N30" i="1" s="1"/>
  <c r="L31" i="1"/>
  <c r="M31" i="1" s="1"/>
  <c r="N31" i="1" s="1"/>
  <c r="L32" i="1"/>
  <c r="M32" i="1" s="1"/>
  <c r="N32" i="1" s="1"/>
  <c r="L33" i="1"/>
  <c r="M33" i="1" s="1"/>
  <c r="N33" i="1" s="1"/>
  <c r="L34" i="1"/>
  <c r="M34" i="1" s="1"/>
  <c r="N34" i="1" s="1"/>
  <c r="L35" i="1"/>
  <c r="M35" i="1" s="1"/>
  <c r="N35" i="1" s="1"/>
  <c r="L36" i="1"/>
  <c r="M36" i="1" s="1"/>
  <c r="N36" i="1" s="1"/>
  <c r="L37" i="1"/>
  <c r="M37" i="1" s="1"/>
  <c r="N37" i="1" s="1"/>
  <c r="L38" i="1"/>
  <c r="M38" i="1" s="1"/>
  <c r="N38" i="1" s="1"/>
  <c r="L39" i="1"/>
  <c r="M39" i="1" s="1"/>
  <c r="N39" i="1" s="1"/>
  <c r="L40" i="1"/>
  <c r="M40" i="1" s="1"/>
  <c r="N40" i="1" s="1"/>
  <c r="L41" i="1"/>
  <c r="M41" i="1" s="1"/>
  <c r="N41" i="1" s="1"/>
  <c r="L42" i="1"/>
  <c r="M42" i="1" s="1"/>
  <c r="N42" i="1" s="1"/>
  <c r="L43" i="1"/>
  <c r="M43" i="1" s="1"/>
  <c r="N43" i="1" s="1"/>
  <c r="L44" i="1"/>
  <c r="M44" i="1" s="1"/>
  <c r="N44" i="1" s="1"/>
  <c r="L45" i="1"/>
  <c r="M45" i="1" s="1"/>
  <c r="N45" i="1" s="1"/>
  <c r="L46" i="1"/>
  <c r="M46" i="1" s="1"/>
  <c r="N46" i="1" s="1"/>
  <c r="L47" i="1"/>
  <c r="M47" i="1" s="1"/>
  <c r="N47" i="1" s="1"/>
  <c r="L48" i="1"/>
  <c r="M48" i="1" s="1"/>
  <c r="N48" i="1" s="1"/>
  <c r="L49" i="1"/>
  <c r="M49" i="1" s="1"/>
  <c r="N49" i="1" s="1"/>
  <c r="L50" i="1"/>
  <c r="M50" i="1" s="1"/>
  <c r="N50" i="1" s="1"/>
  <c r="L51" i="1"/>
  <c r="M51" i="1" s="1"/>
  <c r="N51" i="1" s="1"/>
  <c r="L52" i="1"/>
  <c r="M52" i="1" s="1"/>
  <c r="N52" i="1" s="1"/>
  <c r="L53" i="1"/>
  <c r="M53" i="1" s="1"/>
  <c r="N53" i="1" s="1"/>
  <c r="L54" i="1"/>
  <c r="M54" i="1" s="1"/>
  <c r="N54" i="1" s="1"/>
  <c r="L55" i="1"/>
  <c r="M55" i="1" s="1"/>
  <c r="N55" i="1" s="1"/>
  <c r="L56" i="1"/>
  <c r="M56" i="1" s="1"/>
  <c r="N56" i="1" s="1"/>
  <c r="L57" i="1"/>
  <c r="M57" i="1" s="1"/>
  <c r="N57" i="1" s="1"/>
  <c r="L58" i="1"/>
  <c r="M58" i="1" s="1"/>
  <c r="N58" i="1" s="1"/>
  <c r="L59" i="1"/>
  <c r="M59" i="1" s="1"/>
  <c r="N59" i="1" s="1"/>
  <c r="L60" i="1"/>
  <c r="M60" i="1" s="1"/>
  <c r="N60" i="1" s="1"/>
  <c r="L61" i="1"/>
  <c r="M61" i="1" s="1"/>
  <c r="N61" i="1" s="1"/>
  <c r="L62" i="1"/>
  <c r="M62" i="1" s="1"/>
  <c r="N62" i="1" s="1"/>
  <c r="L63" i="1"/>
  <c r="M63" i="1" s="1"/>
  <c r="N63" i="1" s="1"/>
  <c r="L64" i="1"/>
  <c r="M64" i="1" s="1"/>
  <c r="N64" i="1" s="1"/>
  <c r="L65" i="1"/>
  <c r="M65" i="1" s="1"/>
  <c r="N65" i="1" s="1"/>
  <c r="L66" i="1"/>
  <c r="M66" i="1" s="1"/>
  <c r="N66" i="1" s="1"/>
  <c r="L67" i="1"/>
  <c r="M67" i="1" s="1"/>
  <c r="N67" i="1" s="1"/>
  <c r="L68" i="1"/>
  <c r="M68" i="1" s="1"/>
  <c r="N68" i="1" s="1"/>
  <c r="L69" i="1"/>
  <c r="M69" i="1" s="1"/>
  <c r="N69" i="1" s="1"/>
  <c r="L70" i="1"/>
  <c r="M70" i="1" s="1"/>
  <c r="N70" i="1" s="1"/>
  <c r="L71" i="1"/>
  <c r="M71" i="1" s="1"/>
  <c r="N71" i="1" s="1"/>
  <c r="L72" i="1"/>
  <c r="M72" i="1" s="1"/>
  <c r="N72" i="1" s="1"/>
  <c r="L73" i="1"/>
  <c r="M73" i="1" s="1"/>
  <c r="N73" i="1" s="1"/>
  <c r="L74" i="1"/>
  <c r="M74" i="1" s="1"/>
  <c r="N74" i="1" s="1"/>
  <c r="L75" i="1"/>
  <c r="M75" i="1" s="1"/>
  <c r="N75" i="1" s="1"/>
  <c r="L76" i="1"/>
  <c r="M76" i="1" s="1"/>
  <c r="N76" i="1" s="1"/>
  <c r="L77" i="1"/>
  <c r="M77" i="1" s="1"/>
  <c r="N77" i="1" s="1"/>
  <c r="L78" i="1"/>
  <c r="M78" i="1" s="1"/>
  <c r="N78" i="1" s="1"/>
  <c r="L79" i="1"/>
  <c r="M79" i="1" s="1"/>
  <c r="N79" i="1" s="1"/>
  <c r="L80" i="1"/>
  <c r="M80" i="1" s="1"/>
  <c r="N80" i="1" s="1"/>
  <c r="L81" i="1"/>
  <c r="M81" i="1" s="1"/>
  <c r="N81" i="1" s="1"/>
  <c r="L82" i="1"/>
  <c r="M82" i="1" s="1"/>
  <c r="N82" i="1" s="1"/>
  <c r="L83" i="1"/>
  <c r="M83" i="1" s="1"/>
  <c r="N83" i="1" s="1"/>
  <c r="L84" i="1"/>
  <c r="M84" i="1" s="1"/>
  <c r="N84" i="1" s="1"/>
  <c r="L85" i="1"/>
  <c r="M85" i="1" s="1"/>
  <c r="N85" i="1" s="1"/>
  <c r="L86" i="1"/>
  <c r="M86" i="1" s="1"/>
  <c r="N86" i="1" s="1"/>
  <c r="L87" i="1"/>
  <c r="M87" i="1" s="1"/>
  <c r="N87" i="1" s="1"/>
  <c r="L88" i="1"/>
  <c r="M88" i="1" s="1"/>
  <c r="N88" i="1" s="1"/>
  <c r="L89" i="1"/>
  <c r="M89" i="1" s="1"/>
  <c r="N89" i="1" s="1"/>
  <c r="L90" i="1"/>
  <c r="M90" i="1" s="1"/>
  <c r="N90" i="1" s="1"/>
  <c r="L91" i="1"/>
  <c r="M91" i="1" s="1"/>
  <c r="N91" i="1" s="1"/>
  <c r="L92" i="1"/>
  <c r="M92" i="1" s="1"/>
  <c r="N92" i="1" s="1"/>
  <c r="L93" i="1"/>
  <c r="M93" i="1" s="1"/>
  <c r="N93" i="1" s="1"/>
  <c r="L94" i="1"/>
  <c r="M94" i="1" s="1"/>
  <c r="N94" i="1" s="1"/>
  <c r="L95" i="1"/>
  <c r="M95" i="1" s="1"/>
  <c r="N95" i="1" s="1"/>
  <c r="L96" i="1"/>
  <c r="M96" i="1" s="1"/>
  <c r="N96" i="1" s="1"/>
  <c r="L97" i="1"/>
  <c r="M97" i="1" s="1"/>
  <c r="N97" i="1" s="1"/>
  <c r="L98" i="1"/>
  <c r="M98" i="1" s="1"/>
  <c r="N98" i="1" s="1"/>
  <c r="L99" i="1"/>
  <c r="M99" i="1" s="1"/>
  <c r="N99" i="1" s="1"/>
  <c r="L100" i="1"/>
  <c r="M100" i="1" s="1"/>
  <c r="N100" i="1" s="1"/>
  <c r="L101" i="1"/>
  <c r="M101" i="1" s="1"/>
  <c r="N101" i="1" s="1"/>
  <c r="L102" i="1"/>
  <c r="M102" i="1" s="1"/>
  <c r="N102" i="1" s="1"/>
  <c r="L103" i="1"/>
  <c r="M103" i="1" s="1"/>
  <c r="N103" i="1" s="1"/>
  <c r="L104" i="1"/>
  <c r="M104" i="1" s="1"/>
  <c r="N104" i="1" s="1"/>
  <c r="L105" i="1"/>
  <c r="M105" i="1" s="1"/>
  <c r="N105" i="1" s="1"/>
  <c r="L106" i="1"/>
  <c r="M106" i="1" s="1"/>
  <c r="N106" i="1" s="1"/>
  <c r="L107" i="1"/>
  <c r="M107" i="1" s="1"/>
  <c r="N107" i="1" s="1"/>
  <c r="L108" i="1"/>
  <c r="M108" i="1" s="1"/>
  <c r="N108" i="1" s="1"/>
  <c r="L109" i="1"/>
  <c r="M109" i="1" s="1"/>
  <c r="N109" i="1" s="1"/>
  <c r="L110" i="1"/>
  <c r="M110" i="1" s="1"/>
  <c r="N110" i="1" s="1"/>
  <c r="L111" i="1"/>
  <c r="M111" i="1" s="1"/>
  <c r="N111" i="1" s="1"/>
  <c r="L112" i="1"/>
  <c r="M112" i="1" s="1"/>
  <c r="N112" i="1" s="1"/>
  <c r="L113" i="1"/>
  <c r="M113" i="1" s="1"/>
  <c r="N113" i="1" s="1"/>
  <c r="L114" i="1"/>
  <c r="M114" i="1" s="1"/>
  <c r="N114" i="1" s="1"/>
  <c r="L115" i="1"/>
  <c r="M115" i="1" s="1"/>
  <c r="N115" i="1" s="1"/>
  <c r="L116" i="1"/>
  <c r="M116" i="1" s="1"/>
  <c r="N116" i="1" s="1"/>
  <c r="L117" i="1"/>
  <c r="M117" i="1" s="1"/>
  <c r="N117" i="1" s="1"/>
  <c r="L118" i="1"/>
  <c r="M118" i="1" s="1"/>
  <c r="N118" i="1" s="1"/>
  <c r="L119" i="1"/>
  <c r="M119" i="1" s="1"/>
  <c r="N119" i="1" s="1"/>
  <c r="L120" i="1"/>
  <c r="M120" i="1" s="1"/>
  <c r="N120" i="1" s="1"/>
  <c r="L121" i="1"/>
  <c r="M121" i="1" s="1"/>
  <c r="N121" i="1" s="1"/>
  <c r="L122" i="1"/>
  <c r="M122" i="1" s="1"/>
  <c r="N122" i="1" s="1"/>
  <c r="L123" i="1"/>
  <c r="M123" i="1" s="1"/>
  <c r="N123" i="1" s="1"/>
  <c r="L124" i="1"/>
  <c r="M124" i="1" s="1"/>
  <c r="N124" i="1" s="1"/>
  <c r="L125" i="1"/>
  <c r="M125" i="1" s="1"/>
  <c r="N125" i="1" s="1"/>
  <c r="L126" i="1"/>
  <c r="M126" i="1" s="1"/>
  <c r="N126" i="1" s="1"/>
  <c r="L127" i="1"/>
  <c r="M127" i="1" s="1"/>
  <c r="N127" i="1" s="1"/>
  <c r="L128" i="1"/>
  <c r="M128" i="1" s="1"/>
  <c r="N128" i="1" s="1"/>
  <c r="L129" i="1"/>
  <c r="M129" i="1" s="1"/>
  <c r="N129" i="1" s="1"/>
  <c r="L130" i="1"/>
  <c r="M130" i="1" s="1"/>
  <c r="N130" i="1" s="1"/>
  <c r="L131" i="1"/>
  <c r="M131" i="1" s="1"/>
  <c r="N131" i="1" s="1"/>
  <c r="L132" i="1"/>
  <c r="M132" i="1" s="1"/>
  <c r="N132" i="1" s="1"/>
  <c r="L133" i="1"/>
  <c r="M133" i="1" s="1"/>
  <c r="N133" i="1" s="1"/>
  <c r="L134" i="1"/>
  <c r="M134" i="1" s="1"/>
  <c r="N134" i="1" s="1"/>
  <c r="L135" i="1"/>
  <c r="M135" i="1" s="1"/>
  <c r="N135" i="1" s="1"/>
  <c r="L136" i="1"/>
  <c r="M136" i="1" s="1"/>
  <c r="N136" i="1" s="1"/>
  <c r="L137" i="1"/>
  <c r="M137" i="1" s="1"/>
  <c r="N137" i="1" s="1"/>
  <c r="L138" i="1"/>
  <c r="M138" i="1" s="1"/>
  <c r="N138" i="1" s="1"/>
  <c r="L139" i="1"/>
  <c r="M139" i="1" s="1"/>
  <c r="N139" i="1" s="1"/>
  <c r="L140" i="1"/>
  <c r="M140" i="1" s="1"/>
  <c r="N140" i="1" s="1"/>
  <c r="L141" i="1"/>
  <c r="M141" i="1" s="1"/>
  <c r="N141" i="1" s="1"/>
  <c r="L142" i="1"/>
  <c r="M142" i="1" s="1"/>
  <c r="N142" i="1" s="1"/>
  <c r="L143" i="1"/>
  <c r="M143" i="1" s="1"/>
  <c r="N143" i="1" s="1"/>
  <c r="L144" i="1"/>
  <c r="M144" i="1" s="1"/>
  <c r="N144" i="1" s="1"/>
  <c r="L145" i="1"/>
  <c r="M145" i="1" s="1"/>
  <c r="N145" i="1" s="1"/>
  <c r="L146" i="1"/>
  <c r="M146" i="1" s="1"/>
  <c r="N146" i="1" s="1"/>
  <c r="L147" i="1"/>
  <c r="M147" i="1" s="1"/>
  <c r="N147" i="1" s="1"/>
  <c r="L148" i="1"/>
  <c r="M148" i="1" s="1"/>
  <c r="N148" i="1" s="1"/>
  <c r="L149" i="1"/>
  <c r="M149" i="1" s="1"/>
  <c r="N149" i="1" s="1"/>
  <c r="L150" i="1"/>
  <c r="M150" i="1" s="1"/>
  <c r="N150" i="1" s="1"/>
  <c r="L151" i="1"/>
  <c r="M151" i="1" s="1"/>
  <c r="N151" i="1" s="1"/>
  <c r="L152" i="1"/>
  <c r="M152" i="1" s="1"/>
  <c r="N152" i="1" s="1"/>
  <c r="L153" i="1"/>
  <c r="M153" i="1" s="1"/>
  <c r="N153" i="1" s="1"/>
  <c r="L154" i="1"/>
  <c r="M154" i="1" s="1"/>
  <c r="N154" i="1" s="1"/>
  <c r="L155" i="1"/>
  <c r="M155" i="1" s="1"/>
  <c r="N155" i="1" s="1"/>
  <c r="L156" i="1"/>
  <c r="M156" i="1" s="1"/>
  <c r="N156" i="1" s="1"/>
  <c r="L157" i="1"/>
  <c r="M157" i="1" s="1"/>
  <c r="N157" i="1" s="1"/>
  <c r="L158" i="1"/>
  <c r="M158" i="1" s="1"/>
  <c r="N158" i="1" s="1"/>
  <c r="L159" i="1"/>
  <c r="M159" i="1" s="1"/>
  <c r="N159" i="1" s="1"/>
  <c r="L160" i="1"/>
  <c r="M160" i="1" s="1"/>
  <c r="N160" i="1" s="1"/>
  <c r="L161" i="1"/>
  <c r="M161" i="1" s="1"/>
  <c r="N161" i="1" s="1"/>
  <c r="L162" i="1"/>
  <c r="M162" i="1" s="1"/>
  <c r="N162" i="1" s="1"/>
  <c r="L163" i="1"/>
  <c r="M163" i="1" s="1"/>
  <c r="N163" i="1" s="1"/>
  <c r="L164" i="1"/>
  <c r="M164" i="1" s="1"/>
  <c r="N164" i="1" s="1"/>
  <c r="L165" i="1"/>
  <c r="M165" i="1" s="1"/>
  <c r="N165" i="1" s="1"/>
  <c r="L166" i="1"/>
  <c r="M166" i="1" s="1"/>
  <c r="N166" i="1" s="1"/>
  <c r="L167" i="1"/>
  <c r="M167" i="1" s="1"/>
  <c r="N167" i="1" s="1"/>
  <c r="L168" i="1"/>
  <c r="M168" i="1" s="1"/>
  <c r="N168" i="1" s="1"/>
  <c r="L169" i="1"/>
  <c r="M169" i="1" s="1"/>
  <c r="N169" i="1" s="1"/>
  <c r="L170" i="1"/>
  <c r="M170" i="1" s="1"/>
  <c r="N170" i="1" s="1"/>
  <c r="L171" i="1"/>
  <c r="M171" i="1" s="1"/>
  <c r="N171" i="1" s="1"/>
  <c r="L172" i="1"/>
  <c r="M172" i="1" s="1"/>
  <c r="N172" i="1" s="1"/>
  <c r="L173" i="1"/>
  <c r="M173" i="1" s="1"/>
  <c r="N173" i="1" s="1"/>
  <c r="L174" i="1"/>
  <c r="M174" i="1" s="1"/>
  <c r="N174" i="1" s="1"/>
  <c r="L175" i="1"/>
  <c r="M175" i="1" s="1"/>
  <c r="N175" i="1" s="1"/>
  <c r="L176" i="1"/>
  <c r="M176" i="1" s="1"/>
  <c r="N176" i="1" s="1"/>
  <c r="L177" i="1"/>
  <c r="M177" i="1" s="1"/>
  <c r="N177" i="1" s="1"/>
  <c r="L178" i="1"/>
  <c r="M178" i="1" s="1"/>
  <c r="N178" i="1" s="1"/>
  <c r="L179" i="1"/>
  <c r="M179" i="1" s="1"/>
  <c r="N179" i="1" s="1"/>
  <c r="L180" i="1"/>
  <c r="M180" i="1" s="1"/>
  <c r="N180" i="1" s="1"/>
  <c r="L181" i="1"/>
  <c r="M181" i="1" s="1"/>
  <c r="N181" i="1" s="1"/>
  <c r="L182" i="1"/>
  <c r="M182" i="1" s="1"/>
  <c r="N182" i="1" s="1"/>
  <c r="L183" i="1"/>
  <c r="M183" i="1" s="1"/>
  <c r="N183" i="1" s="1"/>
  <c r="L184" i="1"/>
  <c r="M184" i="1" s="1"/>
  <c r="N184" i="1" s="1"/>
  <c r="L185" i="1"/>
  <c r="M185" i="1" s="1"/>
  <c r="N185" i="1" s="1"/>
  <c r="L186" i="1"/>
  <c r="M186" i="1" s="1"/>
  <c r="N186" i="1" s="1"/>
  <c r="L187" i="1"/>
  <c r="M187" i="1" s="1"/>
  <c r="N187" i="1" s="1"/>
  <c r="L188" i="1"/>
  <c r="M188" i="1" s="1"/>
  <c r="N188" i="1" s="1"/>
  <c r="L189" i="1"/>
  <c r="M189" i="1" s="1"/>
  <c r="N189" i="1" s="1"/>
  <c r="L190" i="1"/>
  <c r="M190" i="1" s="1"/>
  <c r="N190" i="1" s="1"/>
  <c r="L191" i="1"/>
  <c r="M191" i="1" s="1"/>
  <c r="N191" i="1" s="1"/>
  <c r="L192" i="1"/>
  <c r="M192" i="1" s="1"/>
  <c r="N192" i="1" s="1"/>
  <c r="L193" i="1"/>
  <c r="M193" i="1" s="1"/>
  <c r="N193" i="1" s="1"/>
  <c r="L194" i="1"/>
  <c r="M194" i="1" s="1"/>
  <c r="N194" i="1" s="1"/>
  <c r="L195" i="1"/>
  <c r="M195" i="1" s="1"/>
  <c r="N195" i="1" s="1"/>
  <c r="L196" i="1"/>
  <c r="M196" i="1" s="1"/>
  <c r="N196" i="1" s="1"/>
  <c r="L197" i="1"/>
  <c r="M197" i="1" s="1"/>
  <c r="N197" i="1" s="1"/>
  <c r="L198" i="1"/>
  <c r="M198" i="1" s="1"/>
  <c r="N198" i="1" s="1"/>
  <c r="L199" i="1"/>
  <c r="M199" i="1" s="1"/>
  <c r="N199" i="1" s="1"/>
  <c r="L200" i="1"/>
  <c r="M200" i="1" s="1"/>
  <c r="N200" i="1" s="1"/>
  <c r="L201" i="1"/>
  <c r="M201" i="1" s="1"/>
  <c r="N201" i="1" s="1"/>
  <c r="L202" i="1"/>
  <c r="M202" i="1" s="1"/>
  <c r="N202" i="1" s="1"/>
  <c r="L203" i="1"/>
  <c r="M203" i="1" s="1"/>
  <c r="N203" i="1" s="1"/>
  <c r="L204" i="1"/>
  <c r="M204" i="1" s="1"/>
  <c r="N204" i="1" s="1"/>
  <c r="L205" i="1"/>
  <c r="M205" i="1" s="1"/>
  <c r="N205" i="1" s="1"/>
  <c r="L206" i="1"/>
  <c r="M206" i="1" s="1"/>
  <c r="N206" i="1" s="1"/>
  <c r="L207" i="1"/>
  <c r="M207" i="1" s="1"/>
  <c r="N207" i="1" s="1"/>
  <c r="L208" i="1"/>
  <c r="M208" i="1" s="1"/>
  <c r="N208" i="1" s="1"/>
  <c r="L209" i="1"/>
  <c r="M209" i="1" s="1"/>
  <c r="N209" i="1" s="1"/>
  <c r="L210" i="1"/>
  <c r="M210" i="1" s="1"/>
  <c r="N210" i="1" s="1"/>
  <c r="L211" i="1"/>
  <c r="M211" i="1" s="1"/>
  <c r="N211" i="1" s="1"/>
  <c r="L212" i="1"/>
  <c r="M212" i="1" s="1"/>
  <c r="N212" i="1" s="1"/>
  <c r="L213" i="1"/>
  <c r="M213" i="1" s="1"/>
  <c r="N213" i="1" s="1"/>
  <c r="L214" i="1"/>
  <c r="M214" i="1" s="1"/>
  <c r="N214" i="1" s="1"/>
  <c r="L215" i="1"/>
  <c r="M215" i="1" s="1"/>
  <c r="N215" i="1" s="1"/>
  <c r="L216" i="1"/>
  <c r="M216" i="1" s="1"/>
  <c r="N216" i="1" s="1"/>
  <c r="L217" i="1"/>
  <c r="M217" i="1" s="1"/>
  <c r="N217" i="1" s="1"/>
  <c r="L218" i="1"/>
  <c r="M218" i="1" s="1"/>
  <c r="N218" i="1" s="1"/>
  <c r="L219" i="1"/>
  <c r="M219" i="1" s="1"/>
  <c r="N219" i="1" s="1"/>
  <c r="L220" i="1"/>
  <c r="M220" i="1" s="1"/>
  <c r="N220" i="1" s="1"/>
  <c r="L221" i="1"/>
  <c r="M221" i="1" s="1"/>
  <c r="N221" i="1" s="1"/>
  <c r="L222" i="1"/>
  <c r="M222" i="1" s="1"/>
  <c r="N222" i="1" s="1"/>
  <c r="L223" i="1"/>
  <c r="M223" i="1" s="1"/>
  <c r="N223" i="1" s="1"/>
  <c r="L224" i="1"/>
  <c r="M224" i="1" s="1"/>
  <c r="N224" i="1" s="1"/>
  <c r="L225" i="1"/>
  <c r="M225" i="1" s="1"/>
  <c r="N225" i="1" s="1"/>
  <c r="L226" i="1"/>
  <c r="M226" i="1" s="1"/>
  <c r="N226" i="1" s="1"/>
  <c r="L227" i="1"/>
  <c r="M227" i="1" s="1"/>
  <c r="N227" i="1" s="1"/>
  <c r="L228" i="1"/>
  <c r="M228" i="1" s="1"/>
  <c r="N228" i="1" s="1"/>
  <c r="L229" i="1"/>
  <c r="M229" i="1" s="1"/>
  <c r="N229" i="1" s="1"/>
  <c r="L230" i="1"/>
  <c r="M230" i="1" s="1"/>
  <c r="N230" i="1" s="1"/>
  <c r="L231" i="1"/>
  <c r="M231" i="1" s="1"/>
  <c r="N231" i="1" s="1"/>
  <c r="L232" i="1"/>
  <c r="M232" i="1" s="1"/>
  <c r="N232" i="1" s="1"/>
  <c r="L233" i="1"/>
  <c r="M233" i="1" s="1"/>
  <c r="N233" i="1" s="1"/>
  <c r="L234" i="1"/>
  <c r="M234" i="1" s="1"/>
  <c r="N234" i="1" s="1"/>
  <c r="L235" i="1"/>
  <c r="M235" i="1" s="1"/>
  <c r="N235" i="1" s="1"/>
  <c r="L236" i="1"/>
  <c r="M236" i="1" s="1"/>
  <c r="N236" i="1" s="1"/>
  <c r="L237" i="1"/>
  <c r="M237" i="1" s="1"/>
  <c r="N237" i="1" s="1"/>
  <c r="L238" i="1"/>
  <c r="M238" i="1" s="1"/>
  <c r="N238" i="1" s="1"/>
  <c r="L239" i="1"/>
  <c r="M239" i="1" s="1"/>
  <c r="N239" i="1" s="1"/>
  <c r="L240" i="1"/>
  <c r="M240" i="1" s="1"/>
  <c r="N240" i="1" s="1"/>
  <c r="L241" i="1"/>
  <c r="M241" i="1" s="1"/>
  <c r="N241" i="1" s="1"/>
  <c r="L242" i="1"/>
  <c r="M242" i="1" s="1"/>
  <c r="N242" i="1" s="1"/>
  <c r="L243" i="1"/>
  <c r="M243" i="1" s="1"/>
  <c r="N243" i="1" s="1"/>
  <c r="L244" i="1"/>
  <c r="M244" i="1" s="1"/>
  <c r="N244" i="1" s="1"/>
  <c r="L245" i="1"/>
  <c r="M245" i="1" s="1"/>
  <c r="N245" i="1" s="1"/>
  <c r="L246" i="1"/>
  <c r="M246" i="1" s="1"/>
  <c r="N246" i="1" s="1"/>
  <c r="L247" i="1"/>
  <c r="M247" i="1" s="1"/>
  <c r="N247" i="1" s="1"/>
  <c r="L248" i="1"/>
  <c r="M248" i="1" s="1"/>
  <c r="N248" i="1" s="1"/>
  <c r="L249" i="1"/>
  <c r="M249" i="1" s="1"/>
  <c r="N249" i="1" s="1"/>
  <c r="L250" i="1"/>
  <c r="M250" i="1" s="1"/>
  <c r="N250" i="1" s="1"/>
  <c r="L251" i="1"/>
  <c r="M251" i="1" s="1"/>
  <c r="N251" i="1" s="1"/>
  <c r="L252" i="1"/>
  <c r="M252" i="1" s="1"/>
  <c r="N252" i="1" s="1"/>
  <c r="L253" i="1"/>
  <c r="M253" i="1" s="1"/>
  <c r="N253" i="1" s="1"/>
  <c r="L254" i="1"/>
  <c r="M254" i="1" s="1"/>
  <c r="N254" i="1" s="1"/>
  <c r="L255" i="1"/>
  <c r="M255" i="1" s="1"/>
  <c r="N255" i="1" s="1"/>
  <c r="L256" i="1"/>
  <c r="M256" i="1" s="1"/>
  <c r="N256" i="1" s="1"/>
  <c r="L257" i="1"/>
  <c r="M257" i="1" s="1"/>
  <c r="N257" i="1" s="1"/>
  <c r="L258" i="1"/>
  <c r="M258" i="1" s="1"/>
  <c r="N258" i="1" s="1"/>
  <c r="L259" i="1"/>
  <c r="M259" i="1" s="1"/>
  <c r="N259" i="1" s="1"/>
  <c r="L260" i="1"/>
  <c r="M260" i="1" s="1"/>
  <c r="N260" i="1" s="1"/>
  <c r="L261" i="1"/>
  <c r="M261" i="1" s="1"/>
  <c r="N261" i="1" s="1"/>
  <c r="L262" i="1"/>
  <c r="M262" i="1" s="1"/>
  <c r="N262" i="1" s="1"/>
  <c r="L263" i="1"/>
  <c r="M263" i="1" s="1"/>
  <c r="N263" i="1" s="1"/>
  <c r="L264" i="1"/>
  <c r="M264" i="1" s="1"/>
  <c r="N264" i="1" s="1"/>
  <c r="L265" i="1"/>
  <c r="M265" i="1" s="1"/>
  <c r="N265" i="1" s="1"/>
  <c r="L266" i="1"/>
  <c r="M266" i="1" s="1"/>
  <c r="N266" i="1" s="1"/>
  <c r="L267" i="1"/>
  <c r="M267" i="1" s="1"/>
  <c r="N267" i="1" s="1"/>
  <c r="L268" i="1"/>
  <c r="M268" i="1" s="1"/>
  <c r="N268" i="1" s="1"/>
  <c r="L269" i="1"/>
  <c r="M269" i="1" s="1"/>
  <c r="N269" i="1" s="1"/>
  <c r="L270" i="1"/>
  <c r="M270" i="1" s="1"/>
  <c r="N270" i="1" s="1"/>
  <c r="L271" i="1"/>
  <c r="M271" i="1" s="1"/>
  <c r="N271" i="1" s="1"/>
  <c r="L272" i="1"/>
  <c r="M272" i="1" s="1"/>
  <c r="N272" i="1" s="1"/>
  <c r="L273" i="1"/>
  <c r="M273" i="1" s="1"/>
  <c r="N273" i="1" s="1"/>
  <c r="L274" i="1"/>
  <c r="M274" i="1" s="1"/>
  <c r="N274" i="1" s="1"/>
  <c r="L275" i="1"/>
  <c r="M275" i="1" s="1"/>
  <c r="N275" i="1" s="1"/>
  <c r="L276" i="1"/>
  <c r="M276" i="1" s="1"/>
  <c r="N276" i="1" s="1"/>
  <c r="L277" i="1"/>
  <c r="M277" i="1" s="1"/>
  <c r="N277" i="1" s="1"/>
  <c r="L278" i="1"/>
  <c r="M278" i="1" s="1"/>
  <c r="N278" i="1" s="1"/>
  <c r="L279" i="1"/>
  <c r="M279" i="1" s="1"/>
  <c r="N279" i="1" s="1"/>
  <c r="L280" i="1"/>
  <c r="M280" i="1" s="1"/>
  <c r="N280" i="1" s="1"/>
  <c r="L281" i="1"/>
  <c r="M281" i="1" s="1"/>
  <c r="N281" i="1" s="1"/>
  <c r="L282" i="1"/>
  <c r="M282" i="1" s="1"/>
  <c r="N282" i="1" s="1"/>
  <c r="L283" i="1"/>
  <c r="M283" i="1" s="1"/>
  <c r="N283" i="1" s="1"/>
  <c r="L284" i="1"/>
  <c r="M284" i="1" s="1"/>
  <c r="N284" i="1" s="1"/>
  <c r="L285" i="1"/>
  <c r="M285" i="1" s="1"/>
  <c r="N285" i="1" s="1"/>
  <c r="L286" i="1"/>
  <c r="M286" i="1" s="1"/>
  <c r="N286" i="1" s="1"/>
  <c r="L287" i="1"/>
  <c r="M287" i="1" s="1"/>
  <c r="N287" i="1" s="1"/>
  <c r="L288" i="1"/>
  <c r="M288" i="1" s="1"/>
  <c r="N288" i="1" s="1"/>
  <c r="L289" i="1"/>
  <c r="M289" i="1" s="1"/>
  <c r="N289" i="1" s="1"/>
  <c r="L290" i="1"/>
  <c r="M290" i="1" s="1"/>
  <c r="N290" i="1" s="1"/>
  <c r="L291" i="1"/>
  <c r="M291" i="1" s="1"/>
  <c r="N291" i="1" s="1"/>
  <c r="L292" i="1"/>
  <c r="M292" i="1" s="1"/>
  <c r="N292" i="1" s="1"/>
  <c r="L293" i="1"/>
  <c r="M293" i="1" s="1"/>
  <c r="N293" i="1" s="1"/>
  <c r="L294" i="1"/>
  <c r="M294" i="1" s="1"/>
  <c r="N294" i="1" s="1"/>
  <c r="L295" i="1"/>
  <c r="M295" i="1" s="1"/>
  <c r="N295" i="1" s="1"/>
  <c r="L296" i="1"/>
  <c r="M296" i="1" s="1"/>
  <c r="N296" i="1" s="1"/>
  <c r="L297" i="1"/>
  <c r="M297" i="1" s="1"/>
  <c r="N297" i="1" s="1"/>
  <c r="L298" i="1"/>
  <c r="M298" i="1" s="1"/>
  <c r="N298" i="1" s="1"/>
  <c r="L299" i="1"/>
  <c r="M299" i="1" s="1"/>
  <c r="N299" i="1" s="1"/>
  <c r="L300" i="1"/>
  <c r="M300" i="1" s="1"/>
  <c r="N300" i="1" s="1"/>
  <c r="L301" i="1"/>
  <c r="M301" i="1" s="1"/>
  <c r="N301" i="1" s="1"/>
  <c r="L302" i="1"/>
  <c r="M302" i="1" s="1"/>
  <c r="N302" i="1" s="1"/>
  <c r="L303" i="1"/>
  <c r="M303" i="1" s="1"/>
  <c r="N303" i="1" s="1"/>
  <c r="L304" i="1"/>
  <c r="M304" i="1" s="1"/>
  <c r="N304" i="1" s="1"/>
  <c r="L305" i="1"/>
  <c r="M305" i="1" s="1"/>
  <c r="N305" i="1" s="1"/>
  <c r="L306" i="1"/>
  <c r="M306" i="1" s="1"/>
  <c r="N306" i="1" s="1"/>
  <c r="L307" i="1"/>
  <c r="M307" i="1" s="1"/>
  <c r="N307" i="1" s="1"/>
  <c r="L308" i="1"/>
  <c r="M308" i="1" s="1"/>
  <c r="N308" i="1" s="1"/>
  <c r="L309" i="1"/>
  <c r="M309" i="1" s="1"/>
  <c r="N309" i="1" s="1"/>
  <c r="L310" i="1"/>
  <c r="M310" i="1" s="1"/>
  <c r="N310" i="1" s="1"/>
  <c r="L311" i="1"/>
  <c r="M311" i="1" s="1"/>
  <c r="N311" i="1" s="1"/>
  <c r="L312" i="1"/>
  <c r="M312" i="1" s="1"/>
  <c r="N312" i="1" s="1"/>
  <c r="L313" i="1"/>
  <c r="M313" i="1" s="1"/>
  <c r="N313" i="1" s="1"/>
  <c r="L314" i="1"/>
  <c r="M314" i="1" s="1"/>
  <c r="N314" i="1" s="1"/>
  <c r="L315" i="1"/>
  <c r="M315" i="1" s="1"/>
  <c r="N315" i="1" s="1"/>
  <c r="L316" i="1"/>
  <c r="M316" i="1" s="1"/>
  <c r="N316" i="1" s="1"/>
  <c r="L317" i="1"/>
  <c r="M317" i="1" s="1"/>
  <c r="N317" i="1" s="1"/>
  <c r="L318" i="1"/>
  <c r="M318" i="1" s="1"/>
  <c r="N318" i="1" s="1"/>
  <c r="L319" i="1"/>
  <c r="M319" i="1" s="1"/>
  <c r="N319" i="1" s="1"/>
  <c r="L320" i="1"/>
  <c r="M320" i="1" s="1"/>
  <c r="N320" i="1" s="1"/>
  <c r="L321" i="1"/>
  <c r="M321" i="1" s="1"/>
  <c r="N321" i="1" s="1"/>
  <c r="L322" i="1"/>
  <c r="M322" i="1" s="1"/>
  <c r="N322" i="1" s="1"/>
  <c r="L323" i="1"/>
  <c r="M323" i="1" s="1"/>
  <c r="N323" i="1" s="1"/>
  <c r="L324" i="1"/>
  <c r="M324" i="1" s="1"/>
  <c r="N324" i="1" s="1"/>
  <c r="L325" i="1"/>
  <c r="M325" i="1" s="1"/>
  <c r="N325" i="1" s="1"/>
  <c r="L326" i="1"/>
  <c r="M326" i="1" s="1"/>
  <c r="N326" i="1" s="1"/>
  <c r="L327" i="1"/>
  <c r="M327" i="1" s="1"/>
  <c r="N327" i="1" s="1"/>
  <c r="L328" i="1"/>
  <c r="M328" i="1" s="1"/>
  <c r="N328" i="1" s="1"/>
  <c r="L329" i="1"/>
  <c r="M329" i="1" s="1"/>
  <c r="N329" i="1" s="1"/>
  <c r="L330" i="1"/>
  <c r="M330" i="1" s="1"/>
  <c r="N330" i="1" s="1"/>
  <c r="L331" i="1"/>
  <c r="M331" i="1" s="1"/>
  <c r="N331" i="1" s="1"/>
  <c r="L332" i="1"/>
  <c r="M332" i="1" s="1"/>
  <c r="N332" i="1" s="1"/>
  <c r="L333" i="1"/>
  <c r="M333" i="1" s="1"/>
  <c r="N333" i="1" s="1"/>
  <c r="L334" i="1"/>
  <c r="M334" i="1" s="1"/>
  <c r="N334" i="1" s="1"/>
  <c r="L335" i="1"/>
  <c r="M335" i="1" s="1"/>
  <c r="N335" i="1" s="1"/>
  <c r="L336" i="1"/>
  <c r="M336" i="1" s="1"/>
  <c r="N336" i="1" s="1"/>
  <c r="L337" i="1"/>
  <c r="M337" i="1" s="1"/>
  <c r="N337" i="1" s="1"/>
  <c r="L338" i="1"/>
  <c r="M338" i="1" s="1"/>
  <c r="N338" i="1" s="1"/>
  <c r="L339" i="1"/>
  <c r="M339" i="1" s="1"/>
  <c r="N339" i="1" s="1"/>
  <c r="L340" i="1"/>
  <c r="M340" i="1" s="1"/>
  <c r="N340" i="1" s="1"/>
  <c r="L341" i="1"/>
  <c r="M341" i="1" s="1"/>
  <c r="N341" i="1" s="1"/>
  <c r="L342" i="1"/>
  <c r="M342" i="1" s="1"/>
  <c r="N342" i="1" s="1"/>
  <c r="L343" i="1"/>
  <c r="M343" i="1" s="1"/>
  <c r="N343" i="1" s="1"/>
  <c r="L344" i="1"/>
  <c r="M344" i="1" s="1"/>
  <c r="N344" i="1" s="1"/>
  <c r="L345" i="1"/>
  <c r="M345" i="1" s="1"/>
  <c r="N345" i="1" s="1"/>
  <c r="L346" i="1"/>
  <c r="M346" i="1" s="1"/>
  <c r="N346" i="1" s="1"/>
  <c r="L347" i="1"/>
  <c r="M347" i="1" s="1"/>
  <c r="N347" i="1" s="1"/>
  <c r="L348" i="1"/>
  <c r="M348" i="1" s="1"/>
  <c r="N348" i="1" s="1"/>
  <c r="L349" i="1"/>
  <c r="M349" i="1" s="1"/>
  <c r="N349" i="1" s="1"/>
  <c r="L350" i="1"/>
  <c r="M350" i="1" s="1"/>
  <c r="N350" i="1" s="1"/>
  <c r="L351" i="1"/>
  <c r="M351" i="1" s="1"/>
  <c r="N351" i="1" s="1"/>
  <c r="L352" i="1"/>
  <c r="M352" i="1" s="1"/>
  <c r="N352" i="1" s="1"/>
  <c r="L353" i="1"/>
  <c r="M353" i="1" s="1"/>
  <c r="N353" i="1" s="1"/>
  <c r="L354" i="1"/>
  <c r="M354" i="1" s="1"/>
  <c r="N354" i="1" s="1"/>
  <c r="L355" i="1"/>
  <c r="M355" i="1" s="1"/>
  <c r="N355" i="1" s="1"/>
  <c r="L356" i="1"/>
  <c r="M356" i="1" s="1"/>
  <c r="N356" i="1" s="1"/>
  <c r="L357" i="1"/>
  <c r="M357" i="1" s="1"/>
  <c r="N357" i="1" s="1"/>
  <c r="L358" i="1"/>
  <c r="M358" i="1" s="1"/>
  <c r="N358" i="1" s="1"/>
  <c r="L359" i="1"/>
  <c r="M359" i="1" s="1"/>
  <c r="N359" i="1" s="1"/>
  <c r="L360" i="1"/>
  <c r="M360" i="1" s="1"/>
  <c r="N360" i="1" s="1"/>
  <c r="L361" i="1"/>
  <c r="M361" i="1" s="1"/>
  <c r="N361" i="1" s="1"/>
  <c r="L362" i="1"/>
  <c r="M362" i="1" s="1"/>
  <c r="N362" i="1" s="1"/>
  <c r="L363" i="1"/>
  <c r="M363" i="1" s="1"/>
  <c r="N363" i="1" s="1"/>
  <c r="L364" i="1"/>
  <c r="M364" i="1" s="1"/>
  <c r="N364" i="1" s="1"/>
  <c r="L365" i="1"/>
  <c r="M365" i="1" s="1"/>
  <c r="N365" i="1" s="1"/>
  <c r="L366" i="1"/>
  <c r="M366" i="1" s="1"/>
  <c r="N366" i="1" s="1"/>
  <c r="L367" i="1"/>
  <c r="M367" i="1" s="1"/>
  <c r="N367" i="1" s="1"/>
  <c r="L368" i="1"/>
  <c r="M368" i="1" s="1"/>
  <c r="N368" i="1" s="1"/>
  <c r="L369" i="1"/>
  <c r="M369" i="1" s="1"/>
  <c r="N369" i="1" s="1"/>
  <c r="L370" i="1"/>
  <c r="M370" i="1" s="1"/>
  <c r="N370" i="1" s="1"/>
  <c r="L371" i="1"/>
  <c r="M371" i="1" s="1"/>
  <c r="N371" i="1" s="1"/>
  <c r="L372" i="1"/>
  <c r="M372" i="1" s="1"/>
  <c r="N372" i="1" s="1"/>
  <c r="L373" i="1"/>
  <c r="M373" i="1" s="1"/>
  <c r="N373" i="1" s="1"/>
  <c r="L374" i="1"/>
  <c r="M374" i="1" s="1"/>
  <c r="N374" i="1" s="1"/>
  <c r="L375" i="1"/>
  <c r="M375" i="1" s="1"/>
  <c r="N375" i="1" s="1"/>
  <c r="L376" i="1"/>
  <c r="M376" i="1" s="1"/>
  <c r="N376" i="1" s="1"/>
  <c r="L377" i="1"/>
  <c r="M377" i="1" s="1"/>
  <c r="N377" i="1" s="1"/>
  <c r="L378" i="1"/>
  <c r="M378" i="1" s="1"/>
  <c r="N378" i="1" s="1"/>
  <c r="L379" i="1"/>
  <c r="M379" i="1" s="1"/>
  <c r="N379" i="1" s="1"/>
  <c r="L380" i="1"/>
  <c r="M380" i="1" s="1"/>
  <c r="N380" i="1" s="1"/>
  <c r="L381" i="1"/>
  <c r="M381" i="1" s="1"/>
  <c r="N381" i="1" s="1"/>
  <c r="L382" i="1"/>
  <c r="M382" i="1" s="1"/>
  <c r="N382" i="1" s="1"/>
  <c r="L383" i="1"/>
  <c r="M383" i="1" s="1"/>
  <c r="N383" i="1" s="1"/>
  <c r="L384" i="1"/>
  <c r="M384" i="1" s="1"/>
  <c r="N384" i="1" s="1"/>
  <c r="L385" i="1"/>
  <c r="M385" i="1" s="1"/>
  <c r="N385" i="1" s="1"/>
  <c r="L386" i="1"/>
  <c r="M386" i="1" s="1"/>
  <c r="N386" i="1" s="1"/>
  <c r="L387" i="1"/>
  <c r="M387" i="1" s="1"/>
  <c r="N387" i="1" s="1"/>
  <c r="L388" i="1"/>
  <c r="M388" i="1" s="1"/>
  <c r="N388" i="1" s="1"/>
  <c r="L389" i="1"/>
  <c r="M389" i="1" s="1"/>
  <c r="N389" i="1" s="1"/>
  <c r="L390" i="1"/>
  <c r="M390" i="1" s="1"/>
  <c r="N390" i="1" s="1"/>
  <c r="L391" i="1"/>
  <c r="M391" i="1" s="1"/>
  <c r="N391" i="1" s="1"/>
  <c r="L392" i="1"/>
  <c r="M392" i="1" s="1"/>
  <c r="N392" i="1" s="1"/>
  <c r="L393" i="1"/>
  <c r="M393" i="1" s="1"/>
  <c r="N393" i="1" s="1"/>
  <c r="L394" i="1"/>
  <c r="M394" i="1" s="1"/>
  <c r="N394" i="1" s="1"/>
  <c r="L395" i="1"/>
  <c r="M395" i="1" s="1"/>
  <c r="N395" i="1" s="1"/>
  <c r="L396" i="1"/>
  <c r="M396" i="1" s="1"/>
  <c r="N396" i="1" s="1"/>
  <c r="L397" i="1"/>
  <c r="M397" i="1" s="1"/>
  <c r="N397" i="1" s="1"/>
  <c r="L398" i="1"/>
  <c r="M398" i="1" s="1"/>
  <c r="N398" i="1" s="1"/>
  <c r="L399" i="1"/>
  <c r="M399" i="1" s="1"/>
  <c r="N399" i="1" s="1"/>
  <c r="L400" i="1"/>
  <c r="M400" i="1" s="1"/>
  <c r="N400" i="1" s="1"/>
  <c r="L401" i="1"/>
  <c r="M401" i="1" s="1"/>
  <c r="N401" i="1" s="1"/>
  <c r="L402" i="1"/>
  <c r="M402" i="1" s="1"/>
  <c r="N402" i="1" s="1"/>
  <c r="L403" i="1"/>
  <c r="M403" i="1" s="1"/>
  <c r="N403" i="1" s="1"/>
  <c r="L404" i="1"/>
  <c r="M404" i="1" s="1"/>
  <c r="N404" i="1" s="1"/>
  <c r="L405" i="1"/>
  <c r="M405" i="1" s="1"/>
  <c r="N405" i="1" s="1"/>
  <c r="L406" i="1"/>
  <c r="M406" i="1" s="1"/>
  <c r="N406" i="1" s="1"/>
  <c r="L407" i="1"/>
  <c r="M407" i="1" s="1"/>
  <c r="N407" i="1" s="1"/>
  <c r="L408" i="1"/>
  <c r="M408" i="1" s="1"/>
  <c r="N408" i="1" s="1"/>
  <c r="L409" i="1"/>
  <c r="M409" i="1" s="1"/>
  <c r="N409" i="1" s="1"/>
  <c r="L410" i="1"/>
  <c r="M410" i="1" s="1"/>
  <c r="N410" i="1" s="1"/>
  <c r="L411" i="1"/>
  <c r="M411" i="1" s="1"/>
  <c r="N411" i="1" s="1"/>
  <c r="L412" i="1"/>
  <c r="M412" i="1" s="1"/>
  <c r="N412" i="1" s="1"/>
  <c r="L413" i="1"/>
  <c r="M413" i="1" s="1"/>
  <c r="N413" i="1" s="1"/>
  <c r="L414" i="1"/>
  <c r="M414" i="1" s="1"/>
  <c r="N414" i="1" s="1"/>
  <c r="L415" i="1"/>
  <c r="M415" i="1" s="1"/>
  <c r="N415" i="1" s="1"/>
  <c r="L416" i="1"/>
  <c r="M416" i="1" s="1"/>
  <c r="N416" i="1" s="1"/>
  <c r="L417" i="1"/>
  <c r="M417" i="1" s="1"/>
  <c r="N417" i="1" s="1"/>
  <c r="L418" i="1"/>
  <c r="M418" i="1" s="1"/>
  <c r="N418" i="1" s="1"/>
  <c r="L419" i="1"/>
  <c r="M419" i="1" s="1"/>
  <c r="N419" i="1" s="1"/>
  <c r="L420" i="1"/>
  <c r="M420" i="1" s="1"/>
  <c r="N420" i="1" s="1"/>
  <c r="L421" i="1"/>
  <c r="M421" i="1" s="1"/>
  <c r="N421" i="1" s="1"/>
  <c r="L422" i="1"/>
  <c r="M422" i="1" s="1"/>
  <c r="N422" i="1" s="1"/>
  <c r="L423" i="1"/>
  <c r="M423" i="1" s="1"/>
  <c r="N423" i="1" s="1"/>
  <c r="L424" i="1"/>
  <c r="M424" i="1" s="1"/>
  <c r="N424" i="1" s="1"/>
  <c r="L425" i="1"/>
  <c r="M425" i="1" s="1"/>
  <c r="N425" i="1" s="1"/>
  <c r="L426" i="1"/>
  <c r="M426" i="1" s="1"/>
  <c r="N426" i="1" s="1"/>
  <c r="L427" i="1"/>
  <c r="M427" i="1" s="1"/>
  <c r="N427" i="1" s="1"/>
  <c r="L428" i="1"/>
  <c r="M428" i="1" s="1"/>
  <c r="N428" i="1" s="1"/>
  <c r="L429" i="1"/>
  <c r="M429" i="1" s="1"/>
  <c r="N429" i="1" s="1"/>
  <c r="L430" i="1"/>
  <c r="M430" i="1" s="1"/>
  <c r="N430" i="1" s="1"/>
  <c r="L431" i="1"/>
  <c r="M431" i="1" s="1"/>
  <c r="N431" i="1" s="1"/>
  <c r="L432" i="1"/>
  <c r="M432" i="1" s="1"/>
  <c r="N432" i="1" s="1"/>
  <c r="L433" i="1"/>
  <c r="M433" i="1" s="1"/>
  <c r="N433" i="1" s="1"/>
  <c r="L434" i="1"/>
  <c r="M434" i="1" s="1"/>
  <c r="N434" i="1" s="1"/>
  <c r="L435" i="1"/>
  <c r="M435" i="1" s="1"/>
  <c r="N435" i="1" s="1"/>
  <c r="L436" i="1"/>
  <c r="M436" i="1" s="1"/>
  <c r="N436" i="1" s="1"/>
  <c r="L437" i="1"/>
  <c r="M437" i="1" s="1"/>
  <c r="N437" i="1" s="1"/>
  <c r="L438" i="1"/>
  <c r="M438" i="1" s="1"/>
  <c r="N438" i="1" s="1"/>
  <c r="L439" i="1"/>
  <c r="M439" i="1" s="1"/>
  <c r="N439" i="1" s="1"/>
  <c r="L440" i="1"/>
  <c r="M440" i="1" s="1"/>
  <c r="N440" i="1" s="1"/>
  <c r="L441" i="1"/>
  <c r="M441" i="1" s="1"/>
  <c r="N441" i="1" s="1"/>
  <c r="L442" i="1"/>
  <c r="M442" i="1" s="1"/>
  <c r="N442" i="1" s="1"/>
  <c r="L443" i="1"/>
  <c r="M443" i="1" s="1"/>
  <c r="N443" i="1" s="1"/>
  <c r="L444" i="1"/>
  <c r="M444" i="1" s="1"/>
  <c r="N444" i="1" s="1"/>
  <c r="L445" i="1"/>
  <c r="M445" i="1" s="1"/>
  <c r="N445" i="1" s="1"/>
  <c r="L446" i="1"/>
  <c r="M446" i="1" s="1"/>
  <c r="N446" i="1" s="1"/>
  <c r="L447" i="1"/>
  <c r="M447" i="1" s="1"/>
  <c r="N447" i="1" s="1"/>
  <c r="L448" i="1"/>
  <c r="M448" i="1" s="1"/>
  <c r="N448" i="1" s="1"/>
  <c r="L449" i="1"/>
  <c r="M449" i="1" s="1"/>
  <c r="N449" i="1" s="1"/>
  <c r="L450" i="1"/>
  <c r="M450" i="1" s="1"/>
  <c r="N450" i="1" s="1"/>
  <c r="L451" i="1"/>
  <c r="M451" i="1" s="1"/>
  <c r="N451" i="1" s="1"/>
  <c r="L452" i="1"/>
  <c r="M452" i="1" s="1"/>
  <c r="N452" i="1" s="1"/>
  <c r="L453" i="1"/>
  <c r="M453" i="1" s="1"/>
  <c r="N453" i="1" s="1"/>
  <c r="L454" i="1"/>
  <c r="M454" i="1" s="1"/>
  <c r="N454" i="1" s="1"/>
  <c r="L455" i="1"/>
  <c r="M455" i="1" s="1"/>
  <c r="N455" i="1" s="1"/>
  <c r="L456" i="1"/>
  <c r="M456" i="1" s="1"/>
  <c r="N456" i="1" s="1"/>
  <c r="L457" i="1"/>
  <c r="M457" i="1" s="1"/>
  <c r="N457" i="1" s="1"/>
  <c r="L458" i="1"/>
  <c r="M458" i="1" s="1"/>
  <c r="N458" i="1" s="1"/>
  <c r="L459" i="1"/>
  <c r="M459" i="1" s="1"/>
  <c r="N459" i="1" s="1"/>
  <c r="L460" i="1"/>
  <c r="M460" i="1" s="1"/>
  <c r="N460" i="1" s="1"/>
  <c r="L461" i="1"/>
  <c r="M461" i="1" s="1"/>
  <c r="N461" i="1" s="1"/>
  <c r="L462" i="1"/>
  <c r="M462" i="1" s="1"/>
  <c r="N462" i="1" s="1"/>
  <c r="L463" i="1"/>
  <c r="M463" i="1" s="1"/>
  <c r="N463" i="1" s="1"/>
  <c r="L464" i="1"/>
  <c r="M464" i="1" s="1"/>
  <c r="N464" i="1" s="1"/>
  <c r="L465" i="1"/>
  <c r="M465" i="1" s="1"/>
  <c r="N465" i="1" s="1"/>
  <c r="L466" i="1"/>
  <c r="M466" i="1" s="1"/>
  <c r="N466" i="1" s="1"/>
  <c r="L467" i="1"/>
  <c r="M467" i="1" s="1"/>
  <c r="N467" i="1" s="1"/>
  <c r="L468" i="1"/>
  <c r="M468" i="1" s="1"/>
  <c r="N468" i="1" s="1"/>
  <c r="L469" i="1"/>
  <c r="M469" i="1" s="1"/>
  <c r="N469" i="1" s="1"/>
  <c r="L470" i="1"/>
  <c r="M470" i="1" s="1"/>
  <c r="N470" i="1" s="1"/>
  <c r="L471" i="1"/>
  <c r="M471" i="1" s="1"/>
  <c r="N471" i="1" s="1"/>
  <c r="L472" i="1"/>
  <c r="M472" i="1" s="1"/>
  <c r="N472" i="1" s="1"/>
  <c r="L473" i="1"/>
  <c r="M473" i="1" s="1"/>
  <c r="N473" i="1" s="1"/>
  <c r="L474" i="1"/>
  <c r="M474" i="1" s="1"/>
  <c r="N474" i="1" s="1"/>
  <c r="L475" i="1"/>
  <c r="M475" i="1" s="1"/>
  <c r="N475" i="1" s="1"/>
  <c r="L476" i="1"/>
  <c r="M476" i="1" s="1"/>
  <c r="N476" i="1" s="1"/>
  <c r="L477" i="1"/>
  <c r="M477" i="1" s="1"/>
  <c r="N477" i="1" s="1"/>
  <c r="L478" i="1"/>
  <c r="M478" i="1" s="1"/>
  <c r="N478" i="1" s="1"/>
  <c r="L479" i="1"/>
  <c r="M479" i="1" s="1"/>
  <c r="N479" i="1" s="1"/>
  <c r="L480" i="1"/>
  <c r="M480" i="1" s="1"/>
  <c r="N480" i="1" s="1"/>
  <c r="L481" i="1"/>
  <c r="M481" i="1" s="1"/>
  <c r="N481" i="1" s="1"/>
  <c r="L482" i="1"/>
  <c r="M482" i="1" s="1"/>
  <c r="N482" i="1" s="1"/>
  <c r="L483" i="1"/>
  <c r="M483" i="1" s="1"/>
  <c r="N483" i="1" s="1"/>
  <c r="L484" i="1"/>
  <c r="M484" i="1" s="1"/>
  <c r="N484" i="1" s="1"/>
  <c r="L485" i="1"/>
  <c r="M485" i="1" s="1"/>
  <c r="N485" i="1" s="1"/>
  <c r="L486" i="1"/>
  <c r="M486" i="1" s="1"/>
  <c r="N486" i="1" s="1"/>
  <c r="L487" i="1"/>
  <c r="M487" i="1" s="1"/>
  <c r="N487" i="1" s="1"/>
  <c r="L488" i="1"/>
  <c r="M488" i="1" s="1"/>
  <c r="N488" i="1" s="1"/>
  <c r="L489" i="1"/>
  <c r="M489" i="1" s="1"/>
  <c r="N489" i="1" s="1"/>
  <c r="L490" i="1"/>
  <c r="M490" i="1" s="1"/>
  <c r="N490" i="1" s="1"/>
  <c r="L491" i="1"/>
  <c r="M491" i="1" s="1"/>
  <c r="N491" i="1" s="1"/>
  <c r="L492" i="1"/>
  <c r="M492" i="1" s="1"/>
  <c r="N492" i="1" s="1"/>
  <c r="L493" i="1"/>
  <c r="M493" i="1" s="1"/>
  <c r="N493" i="1" s="1"/>
  <c r="L494" i="1"/>
  <c r="M494" i="1" s="1"/>
  <c r="N494" i="1" s="1"/>
  <c r="L495" i="1"/>
  <c r="M495" i="1" s="1"/>
  <c r="N495" i="1" s="1"/>
  <c r="L496" i="1"/>
  <c r="M496" i="1" s="1"/>
  <c r="N496" i="1" s="1"/>
  <c r="L497" i="1"/>
  <c r="M497" i="1" s="1"/>
  <c r="N497" i="1" s="1"/>
  <c r="L498" i="1"/>
  <c r="M498" i="1" s="1"/>
  <c r="N498" i="1" s="1"/>
  <c r="L499" i="1"/>
  <c r="M499" i="1" s="1"/>
  <c r="N499" i="1" s="1"/>
  <c r="L500" i="1"/>
  <c r="M500" i="1" s="1"/>
  <c r="N500" i="1" s="1"/>
  <c r="L501" i="1"/>
  <c r="M501" i="1" s="1"/>
  <c r="N501" i="1" s="1"/>
  <c r="L502" i="1"/>
  <c r="M502" i="1" s="1"/>
  <c r="N502" i="1" s="1"/>
  <c r="L503" i="1"/>
  <c r="M503" i="1" s="1"/>
  <c r="N503" i="1" s="1"/>
  <c r="L504" i="1"/>
  <c r="M504" i="1" s="1"/>
  <c r="N504" i="1" s="1"/>
  <c r="L505" i="1"/>
  <c r="M505" i="1" s="1"/>
  <c r="N505" i="1" s="1"/>
  <c r="L506" i="1"/>
  <c r="M506" i="1" s="1"/>
  <c r="N506" i="1" s="1"/>
  <c r="L507" i="1"/>
  <c r="M507" i="1" s="1"/>
  <c r="N507" i="1" s="1"/>
  <c r="L508" i="1"/>
  <c r="M508" i="1" s="1"/>
  <c r="N508" i="1" s="1"/>
  <c r="L509" i="1"/>
  <c r="M509" i="1" s="1"/>
  <c r="N509" i="1" s="1"/>
  <c r="L510" i="1"/>
  <c r="M510" i="1" s="1"/>
  <c r="N510" i="1" s="1"/>
  <c r="L511" i="1"/>
  <c r="M511" i="1" s="1"/>
  <c r="N511" i="1" s="1"/>
  <c r="L512" i="1"/>
  <c r="M512" i="1" s="1"/>
  <c r="N512" i="1" s="1"/>
  <c r="L513" i="1"/>
  <c r="M513" i="1" s="1"/>
  <c r="N513" i="1" s="1"/>
  <c r="L514" i="1"/>
  <c r="M514" i="1" s="1"/>
  <c r="N514" i="1" s="1"/>
  <c r="L515" i="1"/>
  <c r="M515" i="1" s="1"/>
  <c r="N515" i="1" s="1"/>
  <c r="L516" i="1"/>
  <c r="M516" i="1" s="1"/>
  <c r="N516" i="1" s="1"/>
  <c r="L517" i="1"/>
  <c r="M517" i="1" s="1"/>
  <c r="N517" i="1" s="1"/>
  <c r="L518" i="1"/>
  <c r="M518" i="1" s="1"/>
  <c r="N518" i="1" s="1"/>
  <c r="L519" i="1"/>
  <c r="M519" i="1" s="1"/>
  <c r="N519" i="1" s="1"/>
  <c r="L520" i="1"/>
  <c r="M520" i="1" s="1"/>
  <c r="N520" i="1" s="1"/>
  <c r="L521" i="1"/>
  <c r="M521" i="1" s="1"/>
  <c r="N521" i="1" s="1"/>
  <c r="L522" i="1"/>
  <c r="M522" i="1" s="1"/>
  <c r="N522" i="1" s="1"/>
  <c r="L523" i="1"/>
  <c r="M523" i="1" s="1"/>
  <c r="N523" i="1" s="1"/>
  <c r="L524" i="1"/>
  <c r="M524" i="1" s="1"/>
  <c r="N524" i="1" s="1"/>
  <c r="L525" i="1"/>
  <c r="M525" i="1" s="1"/>
  <c r="N525" i="1" s="1"/>
  <c r="L526" i="1"/>
  <c r="M526" i="1" s="1"/>
  <c r="N526" i="1" s="1"/>
  <c r="L527" i="1"/>
  <c r="M527" i="1" s="1"/>
  <c r="N527" i="1" s="1"/>
  <c r="L528" i="1"/>
  <c r="M528" i="1" s="1"/>
  <c r="N528" i="1" s="1"/>
  <c r="L529" i="1"/>
  <c r="M529" i="1" s="1"/>
  <c r="N529" i="1" s="1"/>
  <c r="L530" i="1"/>
  <c r="M530" i="1" s="1"/>
  <c r="N530" i="1" s="1"/>
  <c r="L531" i="1"/>
  <c r="M531" i="1" s="1"/>
  <c r="N531" i="1" s="1"/>
  <c r="L532" i="1"/>
  <c r="M532" i="1" s="1"/>
  <c r="N532" i="1" s="1"/>
  <c r="L533" i="1"/>
  <c r="M533" i="1" s="1"/>
  <c r="N533" i="1" s="1"/>
  <c r="L534" i="1"/>
  <c r="M534" i="1" s="1"/>
  <c r="N534" i="1" s="1"/>
  <c r="L535" i="1"/>
  <c r="M535" i="1" s="1"/>
  <c r="N535" i="1" s="1"/>
  <c r="L536" i="1"/>
  <c r="M536" i="1" s="1"/>
  <c r="N536" i="1" s="1"/>
  <c r="L537" i="1"/>
  <c r="M537" i="1" s="1"/>
  <c r="N537" i="1" s="1"/>
  <c r="L538" i="1"/>
  <c r="M538" i="1" s="1"/>
  <c r="N538" i="1" s="1"/>
  <c r="L539" i="1"/>
  <c r="M539" i="1" s="1"/>
  <c r="N539" i="1" s="1"/>
  <c r="L540" i="1"/>
  <c r="M540" i="1" s="1"/>
  <c r="N540" i="1" s="1"/>
  <c r="L541" i="1"/>
  <c r="M541" i="1" s="1"/>
  <c r="N541" i="1" s="1"/>
  <c r="L542" i="1"/>
  <c r="M542" i="1" s="1"/>
  <c r="N542" i="1" s="1"/>
  <c r="L543" i="1"/>
  <c r="M543" i="1" s="1"/>
  <c r="N543" i="1" s="1"/>
  <c r="L544" i="1"/>
  <c r="M544" i="1" s="1"/>
  <c r="N544" i="1" s="1"/>
  <c r="L545" i="1"/>
  <c r="M545" i="1" s="1"/>
  <c r="N545" i="1" s="1"/>
  <c r="L546" i="1"/>
  <c r="M546" i="1" s="1"/>
  <c r="N546" i="1" s="1"/>
  <c r="L547" i="1"/>
  <c r="M547" i="1" s="1"/>
  <c r="N547" i="1" s="1"/>
  <c r="L548" i="1"/>
  <c r="M548" i="1" s="1"/>
  <c r="N548" i="1" s="1"/>
  <c r="L549" i="1"/>
  <c r="M549" i="1" s="1"/>
  <c r="N549" i="1" s="1"/>
  <c r="L550" i="1"/>
  <c r="M550" i="1" s="1"/>
  <c r="N550" i="1" s="1"/>
  <c r="L551" i="1"/>
  <c r="M551" i="1" s="1"/>
  <c r="N551" i="1" s="1"/>
  <c r="L552" i="1"/>
  <c r="M552" i="1" s="1"/>
  <c r="N552" i="1" s="1"/>
  <c r="L553" i="1"/>
  <c r="M553" i="1" s="1"/>
  <c r="N553" i="1" s="1"/>
  <c r="L554" i="1"/>
  <c r="M554" i="1" s="1"/>
  <c r="N554" i="1" s="1"/>
  <c r="L555" i="1"/>
  <c r="M555" i="1" s="1"/>
  <c r="N555" i="1" s="1"/>
  <c r="L556" i="1"/>
  <c r="M556" i="1" s="1"/>
  <c r="N556" i="1" s="1"/>
  <c r="L557" i="1"/>
  <c r="M557" i="1" s="1"/>
  <c r="N557" i="1" s="1"/>
  <c r="L558" i="1"/>
  <c r="M558" i="1" s="1"/>
  <c r="N558" i="1" s="1"/>
  <c r="L559" i="1"/>
  <c r="M559" i="1" s="1"/>
  <c r="N559" i="1" s="1"/>
  <c r="L560" i="1"/>
  <c r="M560" i="1" s="1"/>
  <c r="N560" i="1" s="1"/>
  <c r="L561" i="1"/>
  <c r="M561" i="1" s="1"/>
  <c r="N561" i="1" s="1"/>
  <c r="L562" i="1"/>
  <c r="M562" i="1" s="1"/>
  <c r="N562" i="1" s="1"/>
  <c r="L563" i="1"/>
  <c r="M563" i="1" s="1"/>
  <c r="N563" i="1" s="1"/>
  <c r="L564" i="1"/>
  <c r="M564" i="1" s="1"/>
  <c r="N564" i="1" s="1"/>
  <c r="L565" i="1"/>
  <c r="M565" i="1" s="1"/>
  <c r="N565" i="1" s="1"/>
  <c r="L566" i="1"/>
  <c r="M566" i="1" s="1"/>
  <c r="N566" i="1" s="1"/>
  <c r="L567" i="1"/>
  <c r="M567" i="1" s="1"/>
  <c r="N567" i="1" s="1"/>
  <c r="L568" i="1"/>
  <c r="M568" i="1" s="1"/>
  <c r="N568" i="1" s="1"/>
  <c r="L569" i="1"/>
  <c r="M569" i="1" s="1"/>
  <c r="N569" i="1" s="1"/>
  <c r="L570" i="1"/>
  <c r="M570" i="1" s="1"/>
  <c r="N570" i="1" s="1"/>
  <c r="L571" i="1"/>
  <c r="M571" i="1" s="1"/>
  <c r="N571" i="1" s="1"/>
  <c r="L572" i="1"/>
  <c r="M572" i="1" s="1"/>
  <c r="N572" i="1" s="1"/>
  <c r="L573" i="1"/>
  <c r="M573" i="1" s="1"/>
  <c r="N573" i="1" s="1"/>
  <c r="L574" i="1"/>
  <c r="M574" i="1" s="1"/>
  <c r="N574" i="1" s="1"/>
  <c r="L575" i="1"/>
  <c r="M575" i="1" s="1"/>
  <c r="N575" i="1" s="1"/>
  <c r="L576" i="1"/>
  <c r="M576" i="1" s="1"/>
  <c r="N576" i="1" s="1"/>
  <c r="L577" i="1"/>
  <c r="M577" i="1" s="1"/>
  <c r="N577" i="1" s="1"/>
  <c r="L578" i="1"/>
  <c r="M578" i="1" s="1"/>
  <c r="N578" i="1" s="1"/>
  <c r="L579" i="1"/>
  <c r="M579" i="1" s="1"/>
  <c r="N579" i="1" s="1"/>
  <c r="L580" i="1"/>
  <c r="M580" i="1" s="1"/>
  <c r="N580" i="1" s="1"/>
  <c r="L581" i="1"/>
  <c r="M581" i="1" s="1"/>
  <c r="N581" i="1" s="1"/>
  <c r="L582" i="1"/>
  <c r="M582" i="1" s="1"/>
  <c r="N582" i="1" s="1"/>
  <c r="L583" i="1"/>
  <c r="M583" i="1" s="1"/>
  <c r="N583" i="1" s="1"/>
  <c r="L584" i="1"/>
  <c r="M584" i="1" s="1"/>
  <c r="N584" i="1" s="1"/>
  <c r="L585" i="1"/>
  <c r="M585" i="1" s="1"/>
  <c r="N585" i="1" s="1"/>
  <c r="L586" i="1"/>
  <c r="M586" i="1" s="1"/>
  <c r="N586" i="1" s="1"/>
  <c r="L587" i="1"/>
  <c r="M587" i="1" s="1"/>
  <c r="N587" i="1" s="1"/>
  <c r="L588" i="1"/>
  <c r="M588" i="1" s="1"/>
  <c r="N588" i="1" s="1"/>
  <c r="L589" i="1"/>
  <c r="M589" i="1" s="1"/>
  <c r="N589" i="1" s="1"/>
  <c r="L590" i="1"/>
  <c r="M590" i="1" s="1"/>
  <c r="N590" i="1" s="1"/>
  <c r="L591" i="1"/>
  <c r="M591" i="1" s="1"/>
  <c r="N591" i="1" s="1"/>
  <c r="L592" i="1"/>
  <c r="M592" i="1" s="1"/>
  <c r="N592" i="1" s="1"/>
  <c r="L593" i="1"/>
  <c r="M593" i="1" s="1"/>
  <c r="N593" i="1" s="1"/>
  <c r="L594" i="1"/>
  <c r="M594" i="1" s="1"/>
  <c r="N594" i="1" s="1"/>
  <c r="L595" i="1"/>
  <c r="M595" i="1" s="1"/>
  <c r="N595" i="1" s="1"/>
  <c r="L596" i="1"/>
  <c r="M596" i="1" s="1"/>
  <c r="N596" i="1" s="1"/>
  <c r="L597" i="1"/>
  <c r="M597" i="1" s="1"/>
  <c r="N597" i="1" s="1"/>
  <c r="L598" i="1"/>
  <c r="M598" i="1" s="1"/>
  <c r="N598" i="1" s="1"/>
  <c r="L599" i="1"/>
  <c r="M599" i="1" s="1"/>
  <c r="N599" i="1" s="1"/>
  <c r="L600" i="1"/>
  <c r="M600" i="1" s="1"/>
  <c r="N600" i="1" s="1"/>
  <c r="L601" i="1"/>
  <c r="M601" i="1" s="1"/>
  <c r="N601" i="1" s="1"/>
  <c r="L602" i="1"/>
  <c r="M602" i="1" s="1"/>
  <c r="N602" i="1" s="1"/>
  <c r="L603" i="1"/>
  <c r="M603" i="1" s="1"/>
  <c r="N603" i="1" s="1"/>
  <c r="L604" i="1"/>
  <c r="M604" i="1" s="1"/>
  <c r="N604" i="1" s="1"/>
  <c r="L605" i="1"/>
  <c r="M605" i="1" s="1"/>
  <c r="N605" i="1" s="1"/>
  <c r="L606" i="1"/>
  <c r="M606" i="1" s="1"/>
  <c r="N606" i="1" s="1"/>
  <c r="L607" i="1"/>
  <c r="M607" i="1" s="1"/>
  <c r="N607" i="1" s="1"/>
  <c r="L608" i="1"/>
  <c r="M608" i="1" s="1"/>
  <c r="N608" i="1" s="1"/>
  <c r="L609" i="1"/>
  <c r="M609" i="1" s="1"/>
  <c r="N609" i="1" s="1"/>
  <c r="L610" i="1"/>
  <c r="M610" i="1" s="1"/>
  <c r="N610" i="1" s="1"/>
  <c r="L611" i="1"/>
  <c r="M611" i="1" s="1"/>
  <c r="N611" i="1" s="1"/>
  <c r="L612" i="1"/>
  <c r="M612" i="1" s="1"/>
  <c r="N612" i="1" s="1"/>
  <c r="L613" i="1"/>
  <c r="M613" i="1" s="1"/>
  <c r="N613" i="1" s="1"/>
  <c r="L614" i="1"/>
  <c r="M614" i="1" s="1"/>
  <c r="N614" i="1" s="1"/>
  <c r="L615" i="1"/>
  <c r="M615" i="1" s="1"/>
  <c r="N615" i="1" s="1"/>
  <c r="L616" i="1"/>
  <c r="M616" i="1" s="1"/>
  <c r="N616" i="1" s="1"/>
  <c r="L617" i="1"/>
  <c r="M617" i="1" s="1"/>
  <c r="N617" i="1" s="1"/>
  <c r="L618" i="1"/>
  <c r="M618" i="1" s="1"/>
  <c r="N618" i="1" s="1"/>
  <c r="L619" i="1"/>
  <c r="M619" i="1" s="1"/>
  <c r="N619" i="1" s="1"/>
  <c r="L620" i="1"/>
  <c r="M620" i="1" s="1"/>
  <c r="N620" i="1" s="1"/>
  <c r="L621" i="1"/>
  <c r="M621" i="1" s="1"/>
  <c r="N621" i="1" s="1"/>
  <c r="L622" i="1"/>
  <c r="M622" i="1" s="1"/>
  <c r="N622" i="1" s="1"/>
  <c r="L623" i="1"/>
  <c r="M623" i="1" s="1"/>
  <c r="N623" i="1" s="1"/>
  <c r="L624" i="1"/>
  <c r="M624" i="1" s="1"/>
  <c r="N624" i="1" s="1"/>
  <c r="L625" i="1"/>
  <c r="M625" i="1" s="1"/>
  <c r="N625" i="1" s="1"/>
  <c r="L626" i="1"/>
  <c r="M626" i="1" s="1"/>
  <c r="N626" i="1" s="1"/>
  <c r="L627" i="1"/>
  <c r="M627" i="1" s="1"/>
  <c r="N627" i="1" s="1"/>
  <c r="L628" i="1"/>
  <c r="M628" i="1" s="1"/>
  <c r="N628" i="1" s="1"/>
  <c r="L629" i="1"/>
  <c r="M629" i="1" s="1"/>
  <c r="N629" i="1" s="1"/>
  <c r="L630" i="1"/>
  <c r="M630" i="1" s="1"/>
  <c r="N630" i="1" s="1"/>
  <c r="L631" i="1"/>
  <c r="M631" i="1" s="1"/>
  <c r="N631" i="1" s="1"/>
  <c r="L632" i="1"/>
  <c r="M632" i="1" s="1"/>
  <c r="N632" i="1" s="1"/>
  <c r="L633" i="1"/>
  <c r="M633" i="1" s="1"/>
  <c r="N633" i="1" s="1"/>
  <c r="L634" i="1"/>
  <c r="M634" i="1" s="1"/>
  <c r="N634" i="1" s="1"/>
  <c r="L635" i="1"/>
  <c r="M635" i="1" s="1"/>
  <c r="N635" i="1" s="1"/>
  <c r="L636" i="1"/>
  <c r="M636" i="1" s="1"/>
  <c r="N636" i="1" s="1"/>
  <c r="L637" i="1"/>
  <c r="M637" i="1" s="1"/>
  <c r="N637" i="1" s="1"/>
  <c r="L638" i="1"/>
  <c r="M638" i="1" s="1"/>
  <c r="N638" i="1" s="1"/>
  <c r="L639" i="1"/>
  <c r="M639" i="1" s="1"/>
  <c r="N639" i="1" s="1"/>
  <c r="L640" i="1"/>
  <c r="M640" i="1" s="1"/>
  <c r="N640" i="1" s="1"/>
  <c r="L641" i="1"/>
  <c r="M641" i="1" s="1"/>
  <c r="N641" i="1" s="1"/>
  <c r="L642" i="1"/>
  <c r="M642" i="1" s="1"/>
  <c r="N642" i="1" s="1"/>
  <c r="L643" i="1"/>
  <c r="M643" i="1" s="1"/>
  <c r="N643" i="1" s="1"/>
  <c r="L644" i="1"/>
  <c r="M644" i="1" s="1"/>
  <c r="N644" i="1" s="1"/>
  <c r="L645" i="1"/>
  <c r="M645" i="1" s="1"/>
  <c r="N645" i="1" s="1"/>
  <c r="L646" i="1"/>
  <c r="M646" i="1" s="1"/>
  <c r="N646" i="1" s="1"/>
  <c r="L647" i="1"/>
  <c r="M647" i="1" s="1"/>
  <c r="N647" i="1" s="1"/>
  <c r="L648" i="1"/>
  <c r="M648" i="1" s="1"/>
  <c r="N648" i="1" s="1"/>
  <c r="L649" i="1"/>
  <c r="M649" i="1" s="1"/>
  <c r="N649" i="1" s="1"/>
  <c r="L650" i="1"/>
  <c r="M650" i="1" s="1"/>
  <c r="N650" i="1" s="1"/>
  <c r="L651" i="1"/>
  <c r="M651" i="1" s="1"/>
  <c r="N651" i="1" s="1"/>
  <c r="L652" i="1"/>
  <c r="M652" i="1" s="1"/>
  <c r="N652" i="1" s="1"/>
  <c r="L653" i="1"/>
  <c r="M653" i="1" s="1"/>
  <c r="N653" i="1" s="1"/>
  <c r="L654" i="1"/>
  <c r="M654" i="1" s="1"/>
  <c r="N654" i="1" s="1"/>
  <c r="L655" i="1"/>
  <c r="M655" i="1" s="1"/>
  <c r="N655" i="1" s="1"/>
  <c r="L656" i="1"/>
  <c r="M656" i="1" s="1"/>
  <c r="N656" i="1" s="1"/>
  <c r="L657" i="1"/>
  <c r="M657" i="1" s="1"/>
  <c r="N657" i="1" s="1"/>
  <c r="L658" i="1"/>
  <c r="M658" i="1" s="1"/>
  <c r="N658" i="1" s="1"/>
  <c r="L659" i="1"/>
  <c r="M659" i="1" s="1"/>
  <c r="N659" i="1" s="1"/>
  <c r="L660" i="1"/>
  <c r="M660" i="1" s="1"/>
  <c r="N660" i="1" s="1"/>
  <c r="L661" i="1"/>
  <c r="M661" i="1" s="1"/>
  <c r="N661" i="1" s="1"/>
  <c r="L662" i="1"/>
  <c r="M662" i="1" s="1"/>
  <c r="N662" i="1" s="1"/>
  <c r="L663" i="1"/>
  <c r="M663" i="1" s="1"/>
  <c r="N663" i="1" s="1"/>
  <c r="L664" i="1"/>
  <c r="M664" i="1" s="1"/>
  <c r="N664" i="1" s="1"/>
  <c r="L665" i="1"/>
  <c r="M665" i="1" s="1"/>
  <c r="N665" i="1" s="1"/>
  <c r="L666" i="1"/>
  <c r="M666" i="1" s="1"/>
  <c r="N666" i="1" s="1"/>
  <c r="L667" i="1"/>
  <c r="M667" i="1" s="1"/>
  <c r="N667" i="1" s="1"/>
  <c r="L668" i="1"/>
  <c r="M668" i="1" s="1"/>
  <c r="N668" i="1" s="1"/>
  <c r="L669" i="1"/>
  <c r="M669" i="1" s="1"/>
  <c r="N669" i="1" s="1"/>
  <c r="L670" i="1"/>
  <c r="M670" i="1" s="1"/>
  <c r="N670" i="1" s="1"/>
  <c r="L671" i="1"/>
  <c r="M671" i="1" s="1"/>
  <c r="N671" i="1" s="1"/>
  <c r="L672" i="1"/>
  <c r="M672" i="1" s="1"/>
  <c r="N672" i="1" s="1"/>
  <c r="L673" i="1"/>
  <c r="M673" i="1" s="1"/>
  <c r="N673" i="1" s="1"/>
  <c r="L674" i="1"/>
  <c r="M674" i="1" s="1"/>
  <c r="N674" i="1" s="1"/>
  <c r="L675" i="1"/>
  <c r="M675" i="1" s="1"/>
  <c r="N675" i="1" s="1"/>
  <c r="L676" i="1"/>
  <c r="M676" i="1" s="1"/>
  <c r="N676" i="1" s="1"/>
  <c r="L677" i="1"/>
  <c r="M677" i="1" s="1"/>
  <c r="N677" i="1" s="1"/>
  <c r="L678" i="1"/>
  <c r="M678" i="1" s="1"/>
  <c r="N678" i="1" s="1"/>
  <c r="L679" i="1"/>
  <c r="M679" i="1" s="1"/>
  <c r="N679" i="1" s="1"/>
  <c r="L680" i="1"/>
  <c r="M680" i="1" s="1"/>
  <c r="N680" i="1" s="1"/>
  <c r="L681" i="1"/>
  <c r="M681" i="1" s="1"/>
  <c r="N681" i="1" s="1"/>
  <c r="L682" i="1"/>
  <c r="M682" i="1" s="1"/>
  <c r="N682" i="1" s="1"/>
  <c r="L683" i="1"/>
  <c r="M683" i="1" s="1"/>
  <c r="N683" i="1" s="1"/>
  <c r="L684" i="1"/>
  <c r="M684" i="1" s="1"/>
  <c r="N684" i="1" s="1"/>
  <c r="L685" i="1"/>
  <c r="M685" i="1" s="1"/>
  <c r="N685" i="1" s="1"/>
  <c r="L686" i="1"/>
  <c r="M686" i="1" s="1"/>
  <c r="N686" i="1" s="1"/>
  <c r="L687" i="1"/>
  <c r="M687" i="1" s="1"/>
  <c r="N687" i="1" s="1"/>
  <c r="L688" i="1"/>
  <c r="M688" i="1" s="1"/>
  <c r="N688" i="1" s="1"/>
  <c r="L689" i="1"/>
  <c r="M689" i="1" s="1"/>
  <c r="N689" i="1" s="1"/>
  <c r="L690" i="1"/>
  <c r="M690" i="1" s="1"/>
  <c r="N690" i="1" s="1"/>
  <c r="L691" i="1"/>
  <c r="M691" i="1" s="1"/>
  <c r="N691" i="1" s="1"/>
  <c r="L692" i="1"/>
  <c r="M692" i="1" s="1"/>
  <c r="N692" i="1" s="1"/>
  <c r="L693" i="1"/>
  <c r="M693" i="1" s="1"/>
  <c r="N693" i="1" s="1"/>
  <c r="L694" i="1"/>
  <c r="M694" i="1" s="1"/>
  <c r="N694" i="1" s="1"/>
  <c r="L695" i="1"/>
  <c r="M695" i="1" s="1"/>
  <c r="N695" i="1" s="1"/>
  <c r="L696" i="1"/>
  <c r="M696" i="1" s="1"/>
  <c r="N696" i="1" s="1"/>
  <c r="L697" i="1"/>
  <c r="M697" i="1" s="1"/>
  <c r="N697" i="1" s="1"/>
  <c r="L698" i="1"/>
  <c r="M698" i="1" s="1"/>
  <c r="N698" i="1" s="1"/>
  <c r="L699" i="1"/>
  <c r="M699" i="1" s="1"/>
  <c r="N699" i="1" s="1"/>
  <c r="L700" i="1"/>
  <c r="M700" i="1" s="1"/>
  <c r="N700" i="1" s="1"/>
  <c r="L701" i="1"/>
  <c r="M701" i="1" s="1"/>
  <c r="N701" i="1" s="1"/>
  <c r="L702" i="1"/>
  <c r="M702" i="1" s="1"/>
  <c r="N702" i="1" s="1"/>
  <c r="L703" i="1"/>
  <c r="M703" i="1" s="1"/>
  <c r="N703" i="1" s="1"/>
  <c r="L704" i="1"/>
  <c r="M704" i="1" s="1"/>
  <c r="N704" i="1" s="1"/>
  <c r="L705" i="1"/>
  <c r="M705" i="1" s="1"/>
  <c r="N705" i="1" s="1"/>
  <c r="L706" i="1"/>
  <c r="M706" i="1" s="1"/>
  <c r="N706" i="1" s="1"/>
  <c r="L707" i="1"/>
  <c r="M707" i="1" s="1"/>
  <c r="N707" i="1" s="1"/>
  <c r="L708" i="1"/>
  <c r="M708" i="1" s="1"/>
  <c r="N708" i="1" s="1"/>
  <c r="L709" i="1"/>
  <c r="M709" i="1" s="1"/>
  <c r="N709" i="1" s="1"/>
  <c r="L710" i="1"/>
  <c r="M710" i="1" s="1"/>
  <c r="N710" i="1" s="1"/>
  <c r="L711" i="1"/>
  <c r="M711" i="1" s="1"/>
  <c r="N711" i="1" s="1"/>
  <c r="L712" i="1"/>
  <c r="M712" i="1" s="1"/>
  <c r="N712" i="1" s="1"/>
  <c r="L713" i="1"/>
  <c r="M713" i="1" s="1"/>
  <c r="N713" i="1" s="1"/>
  <c r="L714" i="1"/>
  <c r="M714" i="1" s="1"/>
  <c r="N714" i="1" s="1"/>
  <c r="L715" i="1"/>
  <c r="M715" i="1" s="1"/>
  <c r="N715" i="1" s="1"/>
  <c r="L716" i="1"/>
  <c r="M716" i="1" s="1"/>
  <c r="N716" i="1" s="1"/>
  <c r="L717" i="1"/>
  <c r="M717" i="1" s="1"/>
  <c r="N717" i="1" s="1"/>
  <c r="L718" i="1"/>
  <c r="M718" i="1" s="1"/>
  <c r="N718" i="1" s="1"/>
  <c r="L719" i="1"/>
  <c r="M719" i="1" s="1"/>
  <c r="N719" i="1" s="1"/>
  <c r="L720" i="1"/>
  <c r="M720" i="1" s="1"/>
  <c r="N720" i="1" s="1"/>
  <c r="L721" i="1"/>
  <c r="M721" i="1" s="1"/>
  <c r="N721" i="1" s="1"/>
  <c r="L722" i="1"/>
  <c r="M722" i="1" s="1"/>
  <c r="N722" i="1" s="1"/>
  <c r="L723" i="1"/>
  <c r="M723" i="1" s="1"/>
  <c r="N723" i="1" s="1"/>
  <c r="L724" i="1"/>
  <c r="M724" i="1" s="1"/>
  <c r="N724" i="1" s="1"/>
  <c r="L725" i="1"/>
  <c r="M725" i="1" s="1"/>
  <c r="N725" i="1" s="1"/>
  <c r="L726" i="1"/>
  <c r="M726" i="1" s="1"/>
  <c r="N726" i="1" s="1"/>
  <c r="L727" i="1"/>
  <c r="M727" i="1" s="1"/>
  <c r="N727" i="1" s="1"/>
  <c r="L728" i="1"/>
  <c r="M728" i="1" s="1"/>
  <c r="N728" i="1" s="1"/>
  <c r="L729" i="1"/>
  <c r="M729" i="1" s="1"/>
  <c r="N729" i="1" s="1"/>
  <c r="L730" i="1"/>
  <c r="M730" i="1" s="1"/>
  <c r="N730" i="1" s="1"/>
  <c r="L731" i="1"/>
  <c r="M731" i="1" s="1"/>
  <c r="N731" i="1" s="1"/>
  <c r="L732" i="1"/>
  <c r="M732" i="1" s="1"/>
  <c r="N732" i="1" s="1"/>
  <c r="L733" i="1"/>
  <c r="M733" i="1" s="1"/>
  <c r="N733" i="1" s="1"/>
  <c r="L734" i="1"/>
  <c r="M734" i="1" s="1"/>
  <c r="N734" i="1" s="1"/>
  <c r="L735" i="1"/>
  <c r="M735" i="1" s="1"/>
  <c r="N735" i="1" s="1"/>
  <c r="L736" i="1"/>
  <c r="M736" i="1" s="1"/>
  <c r="N736" i="1" s="1"/>
  <c r="L737" i="1"/>
  <c r="M737" i="1" s="1"/>
  <c r="N737" i="1" s="1"/>
  <c r="L738" i="1"/>
  <c r="M738" i="1" s="1"/>
  <c r="N738" i="1" s="1"/>
  <c r="L739" i="1"/>
  <c r="M739" i="1" s="1"/>
  <c r="N739" i="1" s="1"/>
  <c r="L740" i="1"/>
  <c r="M740" i="1" s="1"/>
  <c r="N740" i="1" s="1"/>
  <c r="L741" i="1"/>
  <c r="M741" i="1" s="1"/>
  <c r="N741" i="1" s="1"/>
  <c r="L742" i="1"/>
  <c r="M742" i="1" s="1"/>
  <c r="N742" i="1" s="1"/>
  <c r="L743" i="1"/>
  <c r="M743" i="1" s="1"/>
  <c r="N743" i="1" s="1"/>
  <c r="L744" i="1"/>
  <c r="M744" i="1" s="1"/>
  <c r="N744" i="1" s="1"/>
  <c r="L745" i="1"/>
  <c r="M745" i="1" s="1"/>
  <c r="N745" i="1" s="1"/>
  <c r="L746" i="1"/>
  <c r="M746" i="1" s="1"/>
  <c r="N746" i="1" s="1"/>
  <c r="L747" i="1"/>
  <c r="M747" i="1" s="1"/>
  <c r="N747" i="1" s="1"/>
  <c r="L748" i="1"/>
  <c r="M748" i="1" s="1"/>
  <c r="N748" i="1" s="1"/>
  <c r="L749" i="1"/>
  <c r="M749" i="1" s="1"/>
  <c r="N749" i="1" s="1"/>
  <c r="L750" i="1"/>
  <c r="M750" i="1" s="1"/>
  <c r="N750" i="1" s="1"/>
  <c r="L751" i="1"/>
  <c r="M751" i="1" s="1"/>
  <c r="N751" i="1" s="1"/>
  <c r="L752" i="1"/>
  <c r="M752" i="1" s="1"/>
  <c r="N752" i="1" s="1"/>
  <c r="L753" i="1"/>
  <c r="M753" i="1" s="1"/>
  <c r="N753" i="1" s="1"/>
  <c r="L754" i="1"/>
  <c r="M754" i="1" s="1"/>
  <c r="N754" i="1" s="1"/>
  <c r="L755" i="1"/>
  <c r="M755" i="1" s="1"/>
  <c r="N755" i="1" s="1"/>
  <c r="L756" i="1"/>
  <c r="M756" i="1" s="1"/>
  <c r="N756" i="1" s="1"/>
  <c r="L757" i="1"/>
  <c r="M757" i="1" s="1"/>
  <c r="N757" i="1" s="1"/>
  <c r="L758" i="1"/>
  <c r="M758" i="1" s="1"/>
  <c r="N758" i="1" s="1"/>
  <c r="L759" i="1"/>
  <c r="M759" i="1" s="1"/>
  <c r="N759" i="1" s="1"/>
  <c r="L760" i="1"/>
  <c r="M760" i="1" s="1"/>
  <c r="N760" i="1" s="1"/>
  <c r="L761" i="1"/>
  <c r="M761" i="1" s="1"/>
  <c r="N761" i="1" s="1"/>
  <c r="L762" i="1"/>
  <c r="M762" i="1" s="1"/>
  <c r="N762" i="1" s="1"/>
  <c r="L763" i="1"/>
  <c r="M763" i="1" s="1"/>
  <c r="N763" i="1" s="1"/>
  <c r="L764" i="1"/>
  <c r="M764" i="1" s="1"/>
  <c r="N764" i="1" s="1"/>
  <c r="L765" i="1"/>
  <c r="M765" i="1" s="1"/>
  <c r="N765" i="1" s="1"/>
  <c r="L766" i="1"/>
  <c r="M766" i="1" s="1"/>
  <c r="N766" i="1" s="1"/>
  <c r="L767" i="1"/>
  <c r="M767" i="1" s="1"/>
  <c r="N767" i="1" s="1"/>
  <c r="L768" i="1"/>
  <c r="M768" i="1" s="1"/>
  <c r="N768" i="1" s="1"/>
  <c r="L769" i="1"/>
  <c r="M769" i="1" s="1"/>
  <c r="N769" i="1" s="1"/>
  <c r="L770" i="1"/>
  <c r="M770" i="1" s="1"/>
  <c r="N770" i="1" s="1"/>
  <c r="L771" i="1"/>
  <c r="M771" i="1" s="1"/>
  <c r="N771" i="1" s="1"/>
  <c r="L772" i="1"/>
  <c r="M772" i="1" s="1"/>
  <c r="N772" i="1" s="1"/>
  <c r="L773" i="1"/>
  <c r="M773" i="1" s="1"/>
  <c r="N773" i="1" s="1"/>
  <c r="L774" i="1"/>
  <c r="M774" i="1" s="1"/>
  <c r="N774" i="1" s="1"/>
  <c r="L775" i="1"/>
  <c r="M775" i="1" s="1"/>
  <c r="N775" i="1" s="1"/>
  <c r="L776" i="1"/>
  <c r="M776" i="1" s="1"/>
  <c r="N776" i="1" s="1"/>
  <c r="L777" i="1"/>
  <c r="M777" i="1" s="1"/>
  <c r="N777" i="1" s="1"/>
  <c r="L778" i="1"/>
  <c r="M778" i="1" s="1"/>
  <c r="N778" i="1" s="1"/>
  <c r="L779" i="1"/>
  <c r="M779" i="1" s="1"/>
  <c r="N779" i="1" s="1"/>
  <c r="L780" i="1"/>
  <c r="M780" i="1" s="1"/>
  <c r="N780" i="1" s="1"/>
  <c r="L781" i="1"/>
  <c r="M781" i="1" s="1"/>
  <c r="N781" i="1" s="1"/>
  <c r="L782" i="1"/>
  <c r="M782" i="1" s="1"/>
  <c r="N782" i="1" s="1"/>
  <c r="L783" i="1"/>
  <c r="M783" i="1" s="1"/>
  <c r="N783" i="1" s="1"/>
  <c r="L784" i="1"/>
  <c r="M784" i="1" s="1"/>
  <c r="N784" i="1" s="1"/>
  <c r="L785" i="1"/>
  <c r="M785" i="1" s="1"/>
  <c r="N785" i="1" s="1"/>
  <c r="L786" i="1"/>
  <c r="M786" i="1" s="1"/>
  <c r="N786" i="1" s="1"/>
  <c r="L787" i="1"/>
  <c r="M787" i="1" s="1"/>
  <c r="N787" i="1" s="1"/>
  <c r="L788" i="1"/>
  <c r="M788" i="1" s="1"/>
  <c r="N788" i="1" s="1"/>
  <c r="L789" i="1"/>
  <c r="M789" i="1" s="1"/>
  <c r="N789" i="1" s="1"/>
  <c r="L790" i="1"/>
  <c r="M790" i="1" s="1"/>
  <c r="N790" i="1" s="1"/>
  <c r="L791" i="1"/>
  <c r="M791" i="1" s="1"/>
  <c r="N791" i="1" s="1"/>
  <c r="L792" i="1"/>
  <c r="M792" i="1" s="1"/>
  <c r="N792" i="1" s="1"/>
  <c r="L793" i="1"/>
  <c r="M793" i="1" s="1"/>
  <c r="N793" i="1" s="1"/>
  <c r="L794" i="1"/>
  <c r="M794" i="1" s="1"/>
  <c r="N794" i="1" s="1"/>
  <c r="L795" i="1"/>
  <c r="M795" i="1" s="1"/>
  <c r="N795" i="1" s="1"/>
  <c r="L796" i="1"/>
  <c r="M796" i="1" s="1"/>
  <c r="N796" i="1" s="1"/>
  <c r="L797" i="1"/>
  <c r="M797" i="1" s="1"/>
  <c r="N797" i="1" s="1"/>
  <c r="L798" i="1"/>
  <c r="M798" i="1" s="1"/>
  <c r="N798" i="1" s="1"/>
  <c r="L799" i="1"/>
  <c r="M799" i="1" s="1"/>
  <c r="N799" i="1" s="1"/>
  <c r="L800" i="1"/>
  <c r="M800" i="1" s="1"/>
  <c r="N800" i="1" s="1"/>
  <c r="L801" i="1"/>
  <c r="M801" i="1" s="1"/>
  <c r="N801" i="1" s="1"/>
  <c r="L802" i="1"/>
  <c r="M802" i="1" s="1"/>
  <c r="N802" i="1" s="1"/>
  <c r="L803" i="1"/>
  <c r="M803" i="1" s="1"/>
  <c r="N803" i="1" s="1"/>
  <c r="L804" i="1"/>
  <c r="M804" i="1" s="1"/>
  <c r="N804" i="1" s="1"/>
  <c r="L805" i="1"/>
  <c r="M805" i="1" s="1"/>
  <c r="N805" i="1" s="1"/>
  <c r="L806" i="1"/>
  <c r="M806" i="1" s="1"/>
  <c r="N806" i="1" s="1"/>
  <c r="L807" i="1"/>
  <c r="M807" i="1" s="1"/>
  <c r="N807" i="1" s="1"/>
  <c r="L808" i="1"/>
  <c r="M808" i="1" s="1"/>
  <c r="N808" i="1" s="1"/>
  <c r="L809" i="1"/>
  <c r="M809" i="1" s="1"/>
  <c r="N809" i="1" s="1"/>
  <c r="L810" i="1"/>
  <c r="M810" i="1" s="1"/>
  <c r="N810" i="1" s="1"/>
  <c r="L811" i="1"/>
  <c r="M811" i="1" s="1"/>
  <c r="N811" i="1" s="1"/>
  <c r="L812" i="1"/>
  <c r="M812" i="1" s="1"/>
  <c r="N812" i="1" s="1"/>
  <c r="L813" i="1"/>
  <c r="M813" i="1" s="1"/>
  <c r="N813" i="1" s="1"/>
  <c r="L814" i="1"/>
  <c r="M814" i="1" s="1"/>
  <c r="N814" i="1" s="1"/>
  <c r="L815" i="1"/>
  <c r="M815" i="1" s="1"/>
  <c r="N815" i="1" s="1"/>
  <c r="L816" i="1"/>
  <c r="M816" i="1" s="1"/>
  <c r="N816" i="1" s="1"/>
  <c r="L817" i="1"/>
  <c r="M817" i="1" s="1"/>
  <c r="N817" i="1" s="1"/>
  <c r="L818" i="1"/>
  <c r="M818" i="1" s="1"/>
  <c r="N818" i="1" s="1"/>
  <c r="L819" i="1"/>
  <c r="M819" i="1" s="1"/>
  <c r="N819" i="1" s="1"/>
  <c r="L820" i="1"/>
  <c r="M820" i="1" s="1"/>
  <c r="N820" i="1" s="1"/>
  <c r="L821" i="1"/>
  <c r="M821" i="1" s="1"/>
  <c r="N821" i="1" s="1"/>
  <c r="L822" i="1"/>
  <c r="M822" i="1" s="1"/>
  <c r="N822" i="1" s="1"/>
  <c r="L823" i="1"/>
  <c r="M823" i="1" s="1"/>
  <c r="N823" i="1" s="1"/>
  <c r="L824" i="1"/>
  <c r="M824" i="1" s="1"/>
  <c r="N824" i="1" s="1"/>
  <c r="L825" i="1"/>
  <c r="M825" i="1" s="1"/>
  <c r="N825" i="1" s="1"/>
  <c r="L826" i="1"/>
  <c r="M826" i="1" s="1"/>
  <c r="N826" i="1" s="1"/>
  <c r="L827" i="1"/>
  <c r="M827" i="1" s="1"/>
  <c r="N827" i="1" s="1"/>
  <c r="L828" i="1"/>
  <c r="M828" i="1" s="1"/>
  <c r="N828" i="1" s="1"/>
  <c r="L829" i="1"/>
  <c r="M829" i="1" s="1"/>
  <c r="N829" i="1" s="1"/>
  <c r="L830" i="1"/>
  <c r="M830" i="1" s="1"/>
  <c r="N830" i="1" s="1"/>
  <c r="L831" i="1"/>
  <c r="M831" i="1" s="1"/>
  <c r="N831" i="1" s="1"/>
  <c r="L832" i="1"/>
  <c r="M832" i="1" s="1"/>
  <c r="N832" i="1" s="1"/>
  <c r="L833" i="1"/>
  <c r="M833" i="1" s="1"/>
  <c r="N833" i="1" s="1"/>
  <c r="L834" i="1"/>
  <c r="M834" i="1" s="1"/>
  <c r="N834" i="1" s="1"/>
  <c r="L835" i="1"/>
  <c r="M835" i="1" s="1"/>
  <c r="N835" i="1" s="1"/>
  <c r="L836" i="1"/>
  <c r="M836" i="1" s="1"/>
  <c r="N836" i="1" s="1"/>
  <c r="L837" i="1"/>
  <c r="M837" i="1" s="1"/>
  <c r="N837" i="1" s="1"/>
  <c r="L838" i="1"/>
  <c r="M838" i="1" s="1"/>
  <c r="N838" i="1" s="1"/>
  <c r="L839" i="1"/>
  <c r="M839" i="1" s="1"/>
  <c r="N839" i="1" s="1"/>
  <c r="L840" i="1"/>
  <c r="M840" i="1" s="1"/>
  <c r="N840" i="1" s="1"/>
  <c r="L841" i="1"/>
  <c r="M841" i="1" s="1"/>
  <c r="N841" i="1" s="1"/>
  <c r="L842" i="1"/>
  <c r="M842" i="1" s="1"/>
  <c r="N842" i="1" s="1"/>
  <c r="L843" i="1"/>
  <c r="M843" i="1" s="1"/>
  <c r="N843" i="1" s="1"/>
  <c r="L844" i="1"/>
  <c r="M844" i="1" s="1"/>
  <c r="N844" i="1" s="1"/>
  <c r="L845" i="1"/>
  <c r="M845" i="1" s="1"/>
  <c r="N845" i="1" s="1"/>
  <c r="L846" i="1"/>
  <c r="M846" i="1" s="1"/>
  <c r="N846" i="1" s="1"/>
  <c r="L847" i="1"/>
  <c r="M847" i="1" s="1"/>
  <c r="N847" i="1" s="1"/>
  <c r="L848" i="1"/>
  <c r="M848" i="1" s="1"/>
  <c r="N848" i="1" s="1"/>
  <c r="L849" i="1"/>
  <c r="M849" i="1" s="1"/>
  <c r="N849" i="1" s="1"/>
  <c r="L850" i="1"/>
  <c r="M850" i="1" s="1"/>
  <c r="N850" i="1" s="1"/>
  <c r="L851" i="1"/>
  <c r="M851" i="1" s="1"/>
  <c r="N851" i="1" s="1"/>
  <c r="L852" i="1"/>
  <c r="M852" i="1" s="1"/>
  <c r="N852" i="1" s="1"/>
  <c r="L853" i="1"/>
  <c r="M853" i="1" s="1"/>
  <c r="N853" i="1" s="1"/>
  <c r="L854" i="1"/>
  <c r="M854" i="1" s="1"/>
  <c r="N854" i="1" s="1"/>
  <c r="L855" i="1"/>
  <c r="M855" i="1" s="1"/>
  <c r="N855" i="1" s="1"/>
  <c r="L856" i="1"/>
  <c r="M856" i="1" s="1"/>
  <c r="N856" i="1" s="1"/>
  <c r="L857" i="1"/>
  <c r="M857" i="1" s="1"/>
  <c r="N857" i="1" s="1"/>
  <c r="L858" i="1"/>
  <c r="M858" i="1" s="1"/>
  <c r="N858" i="1" s="1"/>
  <c r="L859" i="1"/>
  <c r="M859" i="1" s="1"/>
  <c r="N859" i="1" s="1"/>
  <c r="L860" i="1"/>
  <c r="M860" i="1" s="1"/>
  <c r="N860" i="1" s="1"/>
  <c r="L861" i="1"/>
  <c r="M861" i="1" s="1"/>
  <c r="N861" i="1" s="1"/>
  <c r="L862" i="1"/>
  <c r="M862" i="1" s="1"/>
  <c r="N862" i="1" s="1"/>
  <c r="L863" i="1"/>
  <c r="M863" i="1" s="1"/>
  <c r="N863" i="1" s="1"/>
  <c r="L864" i="1"/>
  <c r="M864" i="1" s="1"/>
  <c r="N864" i="1" s="1"/>
  <c r="L865" i="1"/>
  <c r="M865" i="1" s="1"/>
  <c r="N865" i="1" s="1"/>
  <c r="L866" i="1"/>
  <c r="M866" i="1" s="1"/>
  <c r="N866" i="1" s="1"/>
  <c r="L867" i="1"/>
  <c r="M867" i="1" s="1"/>
  <c r="N867" i="1" s="1"/>
  <c r="L868" i="1"/>
  <c r="M868" i="1" s="1"/>
  <c r="N868" i="1" s="1"/>
  <c r="L869" i="1"/>
  <c r="M869" i="1" s="1"/>
  <c r="N869" i="1" s="1"/>
  <c r="L870" i="1"/>
  <c r="M870" i="1" s="1"/>
  <c r="N870" i="1" s="1"/>
  <c r="L871" i="1"/>
  <c r="M871" i="1" s="1"/>
  <c r="N871" i="1" s="1"/>
  <c r="L872" i="1"/>
  <c r="M872" i="1" s="1"/>
  <c r="N872" i="1" s="1"/>
  <c r="L873" i="1"/>
  <c r="M873" i="1" s="1"/>
  <c r="N873" i="1" s="1"/>
  <c r="L874" i="1"/>
  <c r="M874" i="1" s="1"/>
  <c r="N874" i="1" s="1"/>
  <c r="L875" i="1"/>
  <c r="M875" i="1" s="1"/>
  <c r="N875" i="1" s="1"/>
  <c r="L876" i="1"/>
  <c r="M876" i="1" s="1"/>
  <c r="N876" i="1" s="1"/>
  <c r="L877" i="1"/>
  <c r="M877" i="1" s="1"/>
  <c r="N877" i="1" s="1"/>
  <c r="L878" i="1"/>
  <c r="M878" i="1" s="1"/>
  <c r="N878" i="1" s="1"/>
  <c r="L879" i="1"/>
  <c r="M879" i="1" s="1"/>
  <c r="N879" i="1" s="1"/>
  <c r="L880" i="1"/>
  <c r="M880" i="1" s="1"/>
  <c r="N880" i="1" s="1"/>
  <c r="L881" i="1"/>
  <c r="M881" i="1" s="1"/>
  <c r="N881" i="1" s="1"/>
  <c r="L882" i="1"/>
  <c r="M882" i="1" s="1"/>
  <c r="N882" i="1" s="1"/>
  <c r="L883" i="1"/>
  <c r="M883" i="1" s="1"/>
  <c r="N883" i="1" s="1"/>
  <c r="L884" i="1"/>
  <c r="M884" i="1" s="1"/>
  <c r="N884" i="1" s="1"/>
  <c r="L885" i="1"/>
  <c r="M885" i="1" s="1"/>
  <c r="N885" i="1" s="1"/>
  <c r="L886" i="1"/>
  <c r="M886" i="1" s="1"/>
  <c r="N886" i="1" s="1"/>
  <c r="L887" i="1"/>
  <c r="M887" i="1" s="1"/>
  <c r="N887" i="1" s="1"/>
  <c r="L888" i="1"/>
  <c r="M888" i="1" s="1"/>
  <c r="N888" i="1" s="1"/>
  <c r="L889" i="1"/>
  <c r="M889" i="1" s="1"/>
  <c r="N889" i="1" s="1"/>
  <c r="L890" i="1"/>
  <c r="M890" i="1" s="1"/>
  <c r="N890" i="1" s="1"/>
  <c r="L891" i="1"/>
  <c r="M891" i="1" s="1"/>
  <c r="N891" i="1" s="1"/>
  <c r="L892" i="1"/>
  <c r="M892" i="1" s="1"/>
  <c r="N892" i="1" s="1"/>
  <c r="L893" i="1"/>
  <c r="M893" i="1" s="1"/>
  <c r="N893" i="1" s="1"/>
  <c r="L894" i="1"/>
  <c r="M894" i="1" s="1"/>
  <c r="N894" i="1" s="1"/>
  <c r="L895" i="1"/>
  <c r="M895" i="1" s="1"/>
  <c r="N895" i="1" s="1"/>
  <c r="L896" i="1"/>
  <c r="M896" i="1" s="1"/>
  <c r="N896" i="1" s="1"/>
  <c r="L897" i="1"/>
  <c r="M897" i="1" s="1"/>
  <c r="N897" i="1" s="1"/>
  <c r="L898" i="1"/>
  <c r="M898" i="1" s="1"/>
  <c r="N898" i="1" s="1"/>
  <c r="L899" i="1"/>
  <c r="M899" i="1" s="1"/>
  <c r="N899" i="1" s="1"/>
  <c r="L900" i="1"/>
  <c r="M900" i="1" s="1"/>
  <c r="N900" i="1" s="1"/>
  <c r="L901" i="1"/>
  <c r="M901" i="1" s="1"/>
  <c r="N901" i="1" s="1"/>
  <c r="L902" i="1"/>
  <c r="M902" i="1" s="1"/>
  <c r="N902" i="1" s="1"/>
  <c r="L903" i="1"/>
  <c r="M903" i="1" s="1"/>
  <c r="N903" i="1" s="1"/>
  <c r="L904" i="1"/>
  <c r="M904" i="1" s="1"/>
  <c r="N904" i="1" s="1"/>
  <c r="L905" i="1"/>
  <c r="M905" i="1" s="1"/>
  <c r="N905" i="1" s="1"/>
  <c r="L906" i="1"/>
  <c r="M906" i="1" s="1"/>
  <c r="N906" i="1" s="1"/>
  <c r="L907" i="1"/>
  <c r="M907" i="1" s="1"/>
  <c r="N907" i="1" s="1"/>
  <c r="L908" i="1"/>
  <c r="M908" i="1" s="1"/>
  <c r="N908" i="1" s="1"/>
  <c r="L909" i="1"/>
  <c r="M909" i="1" s="1"/>
  <c r="N909" i="1" s="1"/>
  <c r="L910" i="1"/>
  <c r="M910" i="1" s="1"/>
  <c r="N910" i="1" s="1"/>
  <c r="L911" i="1"/>
  <c r="M911" i="1" s="1"/>
  <c r="N911" i="1" s="1"/>
  <c r="L912" i="1"/>
  <c r="M912" i="1" s="1"/>
  <c r="N912" i="1" s="1"/>
  <c r="L913" i="1"/>
  <c r="M913" i="1" s="1"/>
  <c r="N913" i="1" s="1"/>
  <c r="L914" i="1"/>
  <c r="M914" i="1" s="1"/>
  <c r="N914" i="1" s="1"/>
  <c r="L915" i="1"/>
  <c r="M915" i="1" s="1"/>
  <c r="N915" i="1" s="1"/>
  <c r="L916" i="1"/>
  <c r="M916" i="1" s="1"/>
  <c r="N916" i="1" s="1"/>
  <c r="L917" i="1"/>
  <c r="M917" i="1" s="1"/>
  <c r="N917" i="1" s="1"/>
  <c r="L918" i="1"/>
  <c r="M918" i="1" s="1"/>
  <c r="N918" i="1" s="1"/>
  <c r="L919" i="1"/>
  <c r="M919" i="1" s="1"/>
  <c r="N919" i="1" s="1"/>
  <c r="L920" i="1"/>
  <c r="M920" i="1" s="1"/>
  <c r="N920" i="1" s="1"/>
  <c r="L921" i="1"/>
  <c r="M921" i="1" s="1"/>
  <c r="N921" i="1" s="1"/>
  <c r="L922" i="1"/>
  <c r="M922" i="1" s="1"/>
  <c r="N922" i="1" s="1"/>
  <c r="L923" i="1"/>
  <c r="M923" i="1" s="1"/>
  <c r="N923" i="1" s="1"/>
  <c r="L924" i="1"/>
  <c r="M924" i="1" s="1"/>
  <c r="N924" i="1" s="1"/>
  <c r="L925" i="1"/>
  <c r="M925" i="1" s="1"/>
  <c r="N925" i="1" s="1"/>
  <c r="L926" i="1"/>
  <c r="M926" i="1" s="1"/>
  <c r="N926" i="1" s="1"/>
  <c r="L927" i="1"/>
  <c r="M927" i="1" s="1"/>
  <c r="N927" i="1" s="1"/>
  <c r="L928" i="1"/>
  <c r="M928" i="1" s="1"/>
  <c r="N928" i="1" s="1"/>
  <c r="L929" i="1"/>
  <c r="M929" i="1" s="1"/>
  <c r="N929" i="1" s="1"/>
  <c r="L930" i="1"/>
  <c r="M930" i="1" s="1"/>
  <c r="N930" i="1" s="1"/>
  <c r="L931" i="1"/>
  <c r="M931" i="1" s="1"/>
  <c r="N931" i="1" s="1"/>
  <c r="L932" i="1"/>
  <c r="M932" i="1" s="1"/>
  <c r="N932" i="1" s="1"/>
  <c r="L933" i="1"/>
  <c r="M933" i="1" s="1"/>
  <c r="N933" i="1" s="1"/>
  <c r="L934" i="1"/>
  <c r="M934" i="1" s="1"/>
  <c r="N934" i="1" s="1"/>
  <c r="L935" i="1"/>
  <c r="M935" i="1" s="1"/>
  <c r="N935" i="1" s="1"/>
  <c r="L936" i="1"/>
  <c r="M936" i="1" s="1"/>
  <c r="N936" i="1" s="1"/>
  <c r="L937" i="1"/>
  <c r="M937" i="1" s="1"/>
  <c r="N937" i="1" s="1"/>
  <c r="L938" i="1"/>
  <c r="M938" i="1" s="1"/>
  <c r="N938" i="1" s="1"/>
  <c r="L939" i="1"/>
  <c r="M939" i="1" s="1"/>
  <c r="N939" i="1" s="1"/>
  <c r="L940" i="1"/>
  <c r="M940" i="1" s="1"/>
  <c r="N940" i="1" s="1"/>
  <c r="L941" i="1"/>
  <c r="M941" i="1" s="1"/>
  <c r="N941" i="1" s="1"/>
  <c r="L942" i="1"/>
  <c r="M942" i="1" s="1"/>
  <c r="N942" i="1" s="1"/>
  <c r="L943" i="1"/>
  <c r="M943" i="1" s="1"/>
  <c r="N943" i="1" s="1"/>
  <c r="L944" i="1"/>
  <c r="M944" i="1" s="1"/>
  <c r="N944" i="1" s="1"/>
  <c r="L945" i="1"/>
  <c r="M945" i="1" s="1"/>
  <c r="N945" i="1" s="1"/>
  <c r="L946" i="1"/>
  <c r="M946" i="1" s="1"/>
  <c r="N946" i="1" s="1"/>
  <c r="L947" i="1"/>
  <c r="M947" i="1" s="1"/>
  <c r="N947" i="1" s="1"/>
  <c r="L948" i="1"/>
  <c r="M948" i="1" s="1"/>
  <c r="N948" i="1" s="1"/>
  <c r="L949" i="1"/>
  <c r="M949" i="1" s="1"/>
  <c r="N949" i="1" s="1"/>
  <c r="L950" i="1"/>
  <c r="M950" i="1" s="1"/>
  <c r="N950" i="1" s="1"/>
  <c r="L951" i="1"/>
  <c r="M951" i="1" s="1"/>
  <c r="N951" i="1" s="1"/>
  <c r="L952" i="1"/>
  <c r="M952" i="1" s="1"/>
  <c r="N952" i="1" s="1"/>
  <c r="L953" i="1"/>
  <c r="M953" i="1" s="1"/>
  <c r="N953" i="1" s="1"/>
  <c r="L954" i="1"/>
  <c r="M954" i="1" s="1"/>
  <c r="N954" i="1" s="1"/>
  <c r="L955" i="1"/>
  <c r="M955" i="1" s="1"/>
  <c r="N955" i="1" s="1"/>
  <c r="L956" i="1"/>
  <c r="M956" i="1" s="1"/>
  <c r="N956" i="1" s="1"/>
  <c r="L957" i="1"/>
  <c r="M957" i="1" s="1"/>
  <c r="N957" i="1" s="1"/>
  <c r="L958" i="1"/>
  <c r="M958" i="1" s="1"/>
  <c r="N958" i="1" s="1"/>
  <c r="L959" i="1"/>
  <c r="M959" i="1" s="1"/>
  <c r="N959" i="1" s="1"/>
  <c r="L960" i="1"/>
  <c r="M960" i="1" s="1"/>
  <c r="N960" i="1" s="1"/>
  <c r="L961" i="1"/>
  <c r="M961" i="1" s="1"/>
  <c r="N961" i="1" s="1"/>
  <c r="L962" i="1"/>
  <c r="M962" i="1" s="1"/>
  <c r="N962" i="1" s="1"/>
  <c r="L963" i="1"/>
  <c r="M963" i="1" s="1"/>
  <c r="N963" i="1" s="1"/>
  <c r="L964" i="1"/>
  <c r="M964" i="1" s="1"/>
  <c r="N964" i="1" s="1"/>
  <c r="L965" i="1"/>
  <c r="M965" i="1" s="1"/>
  <c r="N965" i="1" s="1"/>
  <c r="L966" i="1"/>
  <c r="M966" i="1" s="1"/>
  <c r="N966" i="1" s="1"/>
  <c r="L967" i="1"/>
  <c r="M967" i="1" s="1"/>
  <c r="N967" i="1" s="1"/>
  <c r="L968" i="1"/>
  <c r="M968" i="1" s="1"/>
  <c r="N968" i="1" s="1"/>
  <c r="L969" i="1"/>
  <c r="M969" i="1" s="1"/>
  <c r="N969" i="1" s="1"/>
  <c r="L970" i="1"/>
  <c r="M970" i="1" s="1"/>
  <c r="N970" i="1" s="1"/>
  <c r="L971" i="1"/>
  <c r="M971" i="1" s="1"/>
  <c r="N971" i="1" s="1"/>
  <c r="L972" i="1"/>
  <c r="M972" i="1" s="1"/>
  <c r="N972" i="1" s="1"/>
  <c r="L973" i="1"/>
  <c r="M973" i="1" s="1"/>
  <c r="N973" i="1" s="1"/>
  <c r="L974" i="1"/>
  <c r="M974" i="1" s="1"/>
  <c r="N974" i="1" s="1"/>
  <c r="L975" i="1"/>
  <c r="M975" i="1" s="1"/>
  <c r="N975" i="1" s="1"/>
  <c r="L976" i="1"/>
  <c r="M976" i="1" s="1"/>
  <c r="N976" i="1" s="1"/>
  <c r="L977" i="1"/>
  <c r="M977" i="1" s="1"/>
  <c r="N977" i="1" s="1"/>
  <c r="L978" i="1"/>
  <c r="M978" i="1" s="1"/>
  <c r="N978" i="1" s="1"/>
  <c r="L979" i="1"/>
  <c r="M979" i="1" s="1"/>
  <c r="N979" i="1" s="1"/>
  <c r="L980" i="1"/>
  <c r="M980" i="1" s="1"/>
  <c r="N980" i="1" s="1"/>
  <c r="L981" i="1"/>
  <c r="M981" i="1" s="1"/>
  <c r="N981" i="1" s="1"/>
  <c r="L982" i="1"/>
  <c r="M982" i="1" s="1"/>
  <c r="N982" i="1" s="1"/>
  <c r="L983" i="1"/>
  <c r="M983" i="1" s="1"/>
  <c r="N983" i="1" s="1"/>
  <c r="L984" i="1"/>
  <c r="M984" i="1" s="1"/>
  <c r="N984" i="1" s="1"/>
  <c r="L985" i="1"/>
  <c r="M985" i="1" s="1"/>
  <c r="N985" i="1" s="1"/>
  <c r="L986" i="1"/>
  <c r="M986" i="1" s="1"/>
  <c r="N986" i="1" s="1"/>
  <c r="L987" i="1"/>
  <c r="M987" i="1" s="1"/>
  <c r="N987" i="1" s="1"/>
  <c r="L988" i="1"/>
  <c r="M988" i="1" s="1"/>
  <c r="N988" i="1" s="1"/>
  <c r="L989" i="1"/>
  <c r="M989" i="1" s="1"/>
  <c r="N989" i="1" s="1"/>
  <c r="L990" i="1"/>
  <c r="M990" i="1" s="1"/>
  <c r="N990" i="1" s="1"/>
  <c r="L991" i="1"/>
  <c r="M991" i="1" s="1"/>
  <c r="N991" i="1" s="1"/>
  <c r="L992" i="1"/>
  <c r="M992" i="1" s="1"/>
  <c r="N992" i="1" s="1"/>
  <c r="L993" i="1"/>
  <c r="M993" i="1" s="1"/>
  <c r="N993" i="1" s="1"/>
  <c r="L994" i="1"/>
  <c r="M994" i="1" s="1"/>
  <c r="N994" i="1" s="1"/>
  <c r="L995" i="1"/>
  <c r="M995" i="1" s="1"/>
  <c r="N995" i="1" s="1"/>
  <c r="L996" i="1"/>
  <c r="M996" i="1" s="1"/>
  <c r="N996" i="1" s="1"/>
  <c r="L997" i="1"/>
  <c r="M997" i="1" s="1"/>
  <c r="N997" i="1" s="1"/>
  <c r="L998" i="1"/>
  <c r="M998" i="1" s="1"/>
  <c r="N998" i="1" s="1"/>
  <c r="L999" i="1"/>
  <c r="M999" i="1" s="1"/>
  <c r="N999" i="1" s="1"/>
  <c r="L1000" i="1"/>
  <c r="M1000" i="1" s="1"/>
  <c r="N1000" i="1" s="1"/>
  <c r="L1001" i="1"/>
  <c r="M1001" i="1" s="1"/>
  <c r="N1001" i="1" s="1"/>
  <c r="L1002" i="1"/>
  <c r="M1002" i="1" s="1"/>
  <c r="N1002" i="1" s="1"/>
  <c r="L1003" i="1"/>
  <c r="M1003" i="1" s="1"/>
  <c r="N1003" i="1" s="1"/>
  <c r="L1004" i="1"/>
  <c r="M1004" i="1" s="1"/>
  <c r="N1004" i="1" s="1"/>
  <c r="L1005" i="1"/>
  <c r="M1005" i="1" s="1"/>
  <c r="N1005" i="1" s="1"/>
  <c r="L1006" i="1"/>
  <c r="M1006" i="1" s="1"/>
  <c r="N1006" i="1" s="1"/>
  <c r="L1007" i="1"/>
  <c r="M1007" i="1" s="1"/>
  <c r="N1007" i="1" s="1"/>
  <c r="L1008" i="1"/>
  <c r="M1008" i="1" s="1"/>
  <c r="N1008" i="1" s="1"/>
  <c r="L1009" i="1"/>
  <c r="M1009" i="1" s="1"/>
  <c r="N1009" i="1" s="1"/>
  <c r="L1010" i="1"/>
  <c r="M1010" i="1" s="1"/>
  <c r="N1010" i="1" s="1"/>
  <c r="L1011" i="1"/>
  <c r="M1011" i="1" s="1"/>
  <c r="N1011" i="1" s="1"/>
  <c r="L1012" i="1"/>
  <c r="M1012" i="1" s="1"/>
  <c r="N1012" i="1" s="1"/>
  <c r="L1013" i="1"/>
  <c r="M1013" i="1" s="1"/>
  <c r="N1013" i="1" s="1"/>
  <c r="L1014" i="1"/>
  <c r="M1014" i="1" s="1"/>
  <c r="N1014" i="1" s="1"/>
  <c r="L1015" i="1"/>
  <c r="M1015" i="1" s="1"/>
  <c r="N1015" i="1" s="1"/>
  <c r="L1016" i="1"/>
  <c r="M1016" i="1" s="1"/>
  <c r="N1016" i="1" s="1"/>
  <c r="L1017" i="1"/>
  <c r="M1017" i="1" s="1"/>
  <c r="N1017" i="1" s="1"/>
  <c r="L1018" i="1"/>
  <c r="M1018" i="1" s="1"/>
  <c r="N1018" i="1" s="1"/>
  <c r="L1019" i="1"/>
  <c r="M1019" i="1" s="1"/>
  <c r="N1019" i="1" s="1"/>
  <c r="L1020" i="1"/>
  <c r="M1020" i="1" s="1"/>
  <c r="N1020" i="1" s="1"/>
  <c r="L1021" i="1"/>
  <c r="M1021" i="1" s="1"/>
  <c r="N1021" i="1" s="1"/>
  <c r="L1022" i="1"/>
  <c r="M1022" i="1" s="1"/>
  <c r="N1022" i="1" s="1"/>
  <c r="L1023" i="1"/>
  <c r="M1023" i="1" s="1"/>
  <c r="N1023" i="1" s="1"/>
  <c r="L1024" i="1"/>
  <c r="M1024" i="1" s="1"/>
  <c r="N1024" i="1" s="1"/>
  <c r="L1025" i="1"/>
  <c r="M1025" i="1" s="1"/>
  <c r="N1025" i="1" s="1"/>
  <c r="L1026" i="1"/>
  <c r="M1026" i="1" s="1"/>
  <c r="N1026" i="1" s="1"/>
  <c r="L1027" i="1"/>
  <c r="M1027" i="1" s="1"/>
  <c r="N1027" i="1" s="1"/>
  <c r="L1028" i="1"/>
  <c r="M1028" i="1" s="1"/>
  <c r="N1028" i="1" s="1"/>
  <c r="L1029" i="1"/>
  <c r="M1029" i="1" s="1"/>
  <c r="N1029" i="1" s="1"/>
  <c r="L1030" i="1"/>
  <c r="M1030" i="1" s="1"/>
  <c r="N1030" i="1" s="1"/>
  <c r="L1031" i="1"/>
  <c r="M1031" i="1" s="1"/>
  <c r="N1031" i="1" s="1"/>
  <c r="L1032" i="1"/>
  <c r="M1032" i="1" s="1"/>
  <c r="N1032" i="1" s="1"/>
  <c r="L1033" i="1"/>
  <c r="M1033" i="1" s="1"/>
  <c r="N1033" i="1" s="1"/>
  <c r="L1034" i="1"/>
  <c r="M1034" i="1" s="1"/>
  <c r="N1034" i="1" s="1"/>
  <c r="L1035" i="1"/>
  <c r="M1035" i="1" s="1"/>
  <c r="N1035" i="1" s="1"/>
  <c r="L1036" i="1"/>
  <c r="M1036" i="1" s="1"/>
  <c r="N1036" i="1" s="1"/>
  <c r="L1037" i="1"/>
  <c r="M1037" i="1" s="1"/>
  <c r="N1037" i="1" s="1"/>
  <c r="L1038" i="1"/>
  <c r="M1038" i="1" s="1"/>
  <c r="N1038" i="1" s="1"/>
  <c r="L1039" i="1"/>
  <c r="M1039" i="1" s="1"/>
  <c r="N1039" i="1" s="1"/>
  <c r="L1040" i="1"/>
  <c r="M1040" i="1" s="1"/>
  <c r="N1040" i="1" s="1"/>
  <c r="L1041" i="1"/>
  <c r="M1041" i="1" s="1"/>
  <c r="N1041" i="1" s="1"/>
  <c r="L1042" i="1"/>
  <c r="M1042" i="1" s="1"/>
  <c r="N1042" i="1" s="1"/>
  <c r="L1043" i="1"/>
  <c r="M1043" i="1" s="1"/>
  <c r="N1043" i="1" s="1"/>
  <c r="L1044" i="1"/>
  <c r="M1044" i="1" s="1"/>
  <c r="N1044" i="1" s="1"/>
  <c r="L1045" i="1"/>
  <c r="M1045" i="1" s="1"/>
  <c r="N1045" i="1" s="1"/>
  <c r="L1046" i="1"/>
  <c r="M1046" i="1" s="1"/>
  <c r="N1046" i="1" s="1"/>
  <c r="L1047" i="1"/>
  <c r="M1047" i="1" s="1"/>
  <c r="N1047" i="1" s="1"/>
  <c r="L1048" i="1"/>
  <c r="M1048" i="1" s="1"/>
  <c r="N1048" i="1" s="1"/>
  <c r="L1049" i="1"/>
  <c r="M1049" i="1" s="1"/>
  <c r="N1049" i="1" s="1"/>
  <c r="L1050" i="1"/>
  <c r="M1050" i="1" s="1"/>
  <c r="N1050" i="1" s="1"/>
  <c r="L1051" i="1"/>
  <c r="M1051" i="1" s="1"/>
  <c r="N1051" i="1" s="1"/>
  <c r="L1052" i="1"/>
  <c r="M1052" i="1" s="1"/>
  <c r="N1052" i="1" s="1"/>
  <c r="L1053" i="1"/>
  <c r="M1053" i="1" s="1"/>
  <c r="N1053" i="1" s="1"/>
  <c r="L1054" i="1"/>
  <c r="M1054" i="1" s="1"/>
  <c r="N1054" i="1" s="1"/>
  <c r="L1055" i="1"/>
  <c r="M1055" i="1" s="1"/>
  <c r="N1055" i="1" s="1"/>
  <c r="L1056" i="1"/>
  <c r="M1056" i="1" s="1"/>
  <c r="N1056" i="1" s="1"/>
  <c r="L1057" i="1"/>
  <c r="M1057" i="1" s="1"/>
  <c r="N1057" i="1" s="1"/>
  <c r="L1058" i="1"/>
  <c r="M1058" i="1" s="1"/>
  <c r="N1058" i="1" s="1"/>
  <c r="L1059" i="1"/>
  <c r="M1059" i="1" s="1"/>
  <c r="N1059" i="1" s="1"/>
  <c r="L1060" i="1"/>
  <c r="M1060" i="1" s="1"/>
  <c r="N1060" i="1" s="1"/>
  <c r="L1061" i="1"/>
  <c r="M1061" i="1" s="1"/>
  <c r="N1061" i="1" s="1"/>
  <c r="L1062" i="1"/>
  <c r="M1062" i="1" s="1"/>
  <c r="N1062" i="1" s="1"/>
  <c r="L1063" i="1"/>
  <c r="M1063" i="1" s="1"/>
  <c r="N1063" i="1" s="1"/>
  <c r="L1064" i="1"/>
  <c r="M1064" i="1" s="1"/>
  <c r="N1064" i="1" s="1"/>
  <c r="L1065" i="1"/>
  <c r="M1065" i="1" s="1"/>
  <c r="N1065" i="1" s="1"/>
  <c r="L1066" i="1"/>
  <c r="M1066" i="1" s="1"/>
  <c r="N1066" i="1" s="1"/>
  <c r="L1067" i="1"/>
  <c r="M1067" i="1" s="1"/>
  <c r="N1067" i="1" s="1"/>
  <c r="L1068" i="1"/>
  <c r="M1068" i="1" s="1"/>
  <c r="N1068" i="1" s="1"/>
  <c r="L1069" i="1"/>
  <c r="M1069" i="1" s="1"/>
  <c r="N1069" i="1" s="1"/>
  <c r="L1070" i="1"/>
  <c r="M1070" i="1" s="1"/>
  <c r="N1070" i="1" s="1"/>
  <c r="L1071" i="1"/>
  <c r="M1071" i="1" s="1"/>
  <c r="N1071" i="1" s="1"/>
  <c r="L1072" i="1"/>
  <c r="M1072" i="1" s="1"/>
  <c r="N1072" i="1" s="1"/>
  <c r="L1073" i="1"/>
  <c r="M1073" i="1" s="1"/>
  <c r="N1073" i="1" s="1"/>
  <c r="L1074" i="1"/>
  <c r="M1074" i="1" s="1"/>
  <c r="N1074" i="1" s="1"/>
  <c r="L1075" i="1"/>
  <c r="M1075" i="1" s="1"/>
  <c r="N1075" i="1" s="1"/>
  <c r="L1076" i="1"/>
  <c r="M1076" i="1" s="1"/>
  <c r="N1076" i="1" s="1"/>
  <c r="L1077" i="1"/>
  <c r="M1077" i="1" s="1"/>
  <c r="N1077" i="1" s="1"/>
  <c r="L1078" i="1"/>
  <c r="M1078" i="1" s="1"/>
  <c r="N1078" i="1" s="1"/>
  <c r="L1079" i="1"/>
  <c r="M1079" i="1" s="1"/>
  <c r="N1079" i="1" s="1"/>
  <c r="L1080" i="1"/>
  <c r="M1080" i="1" s="1"/>
  <c r="N1080" i="1" s="1"/>
  <c r="L1081" i="1"/>
  <c r="M1081" i="1" s="1"/>
  <c r="N1081" i="1" s="1"/>
  <c r="L1082" i="1"/>
  <c r="M1082" i="1" s="1"/>
  <c r="N1082" i="1" s="1"/>
  <c r="L1083" i="1"/>
  <c r="M1083" i="1" s="1"/>
  <c r="N1083" i="1" s="1"/>
  <c r="L1084" i="1"/>
  <c r="M1084" i="1" s="1"/>
  <c r="N1084" i="1" s="1"/>
  <c r="L1085" i="1"/>
  <c r="M1085" i="1" s="1"/>
  <c r="N1085" i="1" s="1"/>
  <c r="L1086" i="1"/>
  <c r="M1086" i="1" s="1"/>
  <c r="N1086" i="1" s="1"/>
  <c r="L1087" i="1"/>
  <c r="M1087" i="1" s="1"/>
  <c r="N1087" i="1" s="1"/>
  <c r="L1088" i="1"/>
  <c r="M1088" i="1" s="1"/>
  <c r="N1088" i="1" s="1"/>
  <c r="L1089" i="1"/>
  <c r="M1089" i="1" s="1"/>
  <c r="N1089" i="1" s="1"/>
  <c r="L1090" i="1"/>
  <c r="M1090" i="1" s="1"/>
  <c r="N1090" i="1" s="1"/>
  <c r="L1091" i="1"/>
  <c r="M1091" i="1" s="1"/>
  <c r="N1091" i="1" s="1"/>
  <c r="L1092" i="1"/>
  <c r="M1092" i="1" s="1"/>
  <c r="N1092" i="1" s="1"/>
  <c r="L1093" i="1"/>
  <c r="M1093" i="1" s="1"/>
  <c r="N1093" i="1" s="1"/>
  <c r="L1094" i="1"/>
  <c r="M1094" i="1" s="1"/>
  <c r="N1094" i="1" s="1"/>
  <c r="L1095" i="1"/>
  <c r="M1095" i="1" s="1"/>
  <c r="N1095" i="1" s="1"/>
  <c r="L1096" i="1"/>
  <c r="M1096" i="1" s="1"/>
  <c r="N1096" i="1" s="1"/>
  <c r="L1097" i="1"/>
  <c r="M1097" i="1" s="1"/>
  <c r="N1097" i="1" s="1"/>
  <c r="L1098" i="1"/>
  <c r="M1098" i="1" s="1"/>
  <c r="N1098" i="1" s="1"/>
  <c r="L1099" i="1"/>
  <c r="M1099" i="1" s="1"/>
  <c r="N1099" i="1" s="1"/>
  <c r="L1100" i="1"/>
  <c r="M1100" i="1" s="1"/>
  <c r="N1100" i="1" s="1"/>
  <c r="L1101" i="1"/>
  <c r="M1101" i="1" s="1"/>
  <c r="N1101" i="1" s="1"/>
  <c r="L1102" i="1"/>
  <c r="M1102" i="1" s="1"/>
  <c r="N1102" i="1" s="1"/>
  <c r="L1103" i="1"/>
  <c r="M1103" i="1" s="1"/>
  <c r="N1103" i="1" s="1"/>
  <c r="L1104" i="1"/>
  <c r="M1104" i="1" s="1"/>
  <c r="N1104" i="1" s="1"/>
  <c r="L1105" i="1"/>
  <c r="M1105" i="1" s="1"/>
  <c r="N1105" i="1" s="1"/>
  <c r="L1106" i="1"/>
  <c r="M1106" i="1" s="1"/>
  <c r="N1106" i="1" s="1"/>
  <c r="L1107" i="1"/>
  <c r="M1107" i="1" s="1"/>
  <c r="N1107" i="1" s="1"/>
  <c r="L1108" i="1"/>
  <c r="M1108" i="1" s="1"/>
  <c r="N1108" i="1" s="1"/>
  <c r="L1109" i="1"/>
  <c r="M1109" i="1" s="1"/>
  <c r="N1109" i="1" s="1"/>
  <c r="L1110" i="1"/>
  <c r="M1110" i="1" s="1"/>
  <c r="N1110" i="1" s="1"/>
  <c r="L1111" i="1"/>
  <c r="M1111" i="1" s="1"/>
  <c r="N1111" i="1" s="1"/>
  <c r="L1112" i="1"/>
  <c r="M1112" i="1" s="1"/>
  <c r="N1112" i="1" s="1"/>
  <c r="L1113" i="1"/>
  <c r="M1113" i="1" s="1"/>
  <c r="N1113" i="1" s="1"/>
  <c r="L1114" i="1"/>
  <c r="M1114" i="1" s="1"/>
  <c r="N1114" i="1" s="1"/>
  <c r="L1115" i="1"/>
  <c r="M1115" i="1" s="1"/>
  <c r="N1115" i="1" s="1"/>
  <c r="L1116" i="1"/>
  <c r="M1116" i="1" s="1"/>
  <c r="N1116" i="1" s="1"/>
  <c r="L1117" i="1"/>
  <c r="M1117" i="1" s="1"/>
  <c r="N1117" i="1" s="1"/>
  <c r="L1118" i="1"/>
  <c r="M1118" i="1" s="1"/>
  <c r="N1118" i="1" s="1"/>
  <c r="L1119" i="1"/>
  <c r="M1119" i="1" s="1"/>
  <c r="N1119" i="1" s="1"/>
  <c r="L1120" i="1"/>
  <c r="M1120" i="1" s="1"/>
  <c r="N1120" i="1" s="1"/>
  <c r="L1121" i="1"/>
  <c r="M1121" i="1" s="1"/>
  <c r="N1121" i="1" s="1"/>
  <c r="L1122" i="1"/>
  <c r="M1122" i="1" s="1"/>
  <c r="N1122" i="1" s="1"/>
  <c r="L1123" i="1"/>
  <c r="M1123" i="1" s="1"/>
  <c r="N1123" i="1" s="1"/>
  <c r="L1124" i="1"/>
  <c r="M1124" i="1" s="1"/>
  <c r="N1124" i="1" s="1"/>
  <c r="L1125" i="1"/>
  <c r="M1125" i="1" s="1"/>
  <c r="N1125" i="1" s="1"/>
  <c r="L1126" i="1"/>
  <c r="M1126" i="1" s="1"/>
  <c r="N1126" i="1" s="1"/>
  <c r="L1127" i="1"/>
  <c r="M1127" i="1" s="1"/>
  <c r="N1127" i="1" s="1"/>
  <c r="L1128" i="1"/>
  <c r="M1128" i="1" s="1"/>
  <c r="N1128" i="1" s="1"/>
  <c r="L1129" i="1"/>
  <c r="M1129" i="1" s="1"/>
  <c r="N1129" i="1" s="1"/>
  <c r="L1130" i="1"/>
  <c r="M1130" i="1" s="1"/>
  <c r="N1130" i="1" s="1"/>
  <c r="L1131" i="1"/>
  <c r="M1131" i="1" s="1"/>
  <c r="N1131" i="1" s="1"/>
  <c r="L1132" i="1"/>
  <c r="M1132" i="1" s="1"/>
  <c r="N1132" i="1" s="1"/>
  <c r="L1133" i="1"/>
  <c r="M1133" i="1" s="1"/>
  <c r="N1133" i="1" s="1"/>
  <c r="L1134" i="1"/>
  <c r="M1134" i="1" s="1"/>
  <c r="N1134" i="1" s="1"/>
  <c r="L1135" i="1"/>
  <c r="M1135" i="1" s="1"/>
  <c r="N1135" i="1" s="1"/>
  <c r="L1136" i="1"/>
  <c r="M1136" i="1" s="1"/>
  <c r="N1136" i="1" s="1"/>
  <c r="L1137" i="1"/>
  <c r="M1137" i="1" s="1"/>
  <c r="N1137" i="1" s="1"/>
  <c r="L1138" i="1"/>
  <c r="M1138" i="1" s="1"/>
  <c r="N1138" i="1" s="1"/>
  <c r="L1139" i="1"/>
  <c r="M1139" i="1" s="1"/>
  <c r="N1139" i="1" s="1"/>
  <c r="L1140" i="1"/>
  <c r="M1140" i="1" s="1"/>
  <c r="N1140" i="1" s="1"/>
  <c r="L1141" i="1"/>
  <c r="M1141" i="1" s="1"/>
  <c r="N1141" i="1" s="1"/>
  <c r="L1142" i="1"/>
  <c r="M1142" i="1" s="1"/>
  <c r="N1142" i="1" s="1"/>
  <c r="L1143" i="1"/>
  <c r="M1143" i="1" s="1"/>
  <c r="N1143" i="1" s="1"/>
  <c r="L1144" i="1"/>
  <c r="M1144" i="1" s="1"/>
  <c r="N1144" i="1" s="1"/>
  <c r="L1145" i="1"/>
  <c r="M1145" i="1" s="1"/>
  <c r="N1145" i="1" s="1"/>
  <c r="L1146" i="1"/>
  <c r="M1146" i="1" s="1"/>
  <c r="N1146" i="1" s="1"/>
  <c r="L1147" i="1"/>
  <c r="M1147" i="1" s="1"/>
  <c r="N1147" i="1" s="1"/>
  <c r="L1148" i="1"/>
  <c r="M1148" i="1" s="1"/>
  <c r="N1148" i="1" s="1"/>
  <c r="L1149" i="1"/>
  <c r="M1149" i="1" s="1"/>
  <c r="N1149" i="1" s="1"/>
  <c r="L1150" i="1"/>
  <c r="M1150" i="1" s="1"/>
  <c r="N1150" i="1" s="1"/>
  <c r="L1151" i="1"/>
  <c r="M1151" i="1" s="1"/>
  <c r="N1151" i="1" s="1"/>
  <c r="L1152" i="1"/>
  <c r="M1152" i="1" s="1"/>
  <c r="N1152" i="1" s="1"/>
  <c r="L1153" i="1"/>
  <c r="M1153" i="1" s="1"/>
  <c r="N1153" i="1" s="1"/>
  <c r="L1154" i="1"/>
  <c r="M1154" i="1" s="1"/>
  <c r="N1154" i="1" s="1"/>
  <c r="L1155" i="1"/>
  <c r="M1155" i="1" s="1"/>
  <c r="N1155" i="1" s="1"/>
  <c r="L1156" i="1"/>
  <c r="M1156" i="1" s="1"/>
  <c r="N1156" i="1" s="1"/>
  <c r="L1157" i="1"/>
  <c r="M1157" i="1" s="1"/>
  <c r="N1157" i="1" s="1"/>
  <c r="L1158" i="1"/>
  <c r="M1158" i="1" s="1"/>
  <c r="N1158" i="1" s="1"/>
  <c r="L1159" i="1"/>
  <c r="M1159" i="1" s="1"/>
  <c r="N1159" i="1" s="1"/>
  <c r="L1160" i="1"/>
  <c r="M1160" i="1" s="1"/>
  <c r="N1160" i="1" s="1"/>
  <c r="L1161" i="1"/>
  <c r="M1161" i="1" s="1"/>
  <c r="N1161" i="1" s="1"/>
  <c r="L1162" i="1"/>
  <c r="M1162" i="1" s="1"/>
  <c r="N1162" i="1" s="1"/>
  <c r="L1163" i="1"/>
  <c r="M1163" i="1" s="1"/>
  <c r="N1163" i="1" s="1"/>
  <c r="L1164" i="1"/>
  <c r="M1164" i="1" s="1"/>
  <c r="N1164" i="1" s="1"/>
  <c r="L1165" i="1"/>
  <c r="M1165" i="1" s="1"/>
  <c r="N1165" i="1" s="1"/>
  <c r="L1166" i="1"/>
  <c r="M1166" i="1" s="1"/>
  <c r="N1166" i="1" s="1"/>
  <c r="L1167" i="1"/>
  <c r="M1167" i="1" s="1"/>
  <c r="N1167" i="1" s="1"/>
  <c r="L1168" i="1"/>
  <c r="M1168" i="1" s="1"/>
  <c r="N1168" i="1" s="1"/>
  <c r="L1169" i="1"/>
  <c r="M1169" i="1" s="1"/>
  <c r="N1169" i="1" s="1"/>
  <c r="L1170" i="1"/>
  <c r="M1170" i="1" s="1"/>
  <c r="N1170" i="1" s="1"/>
  <c r="L1171" i="1"/>
  <c r="M1171" i="1" s="1"/>
  <c r="N1171" i="1" s="1"/>
  <c r="L1172" i="1"/>
  <c r="M1172" i="1" s="1"/>
  <c r="N1172" i="1" s="1"/>
  <c r="L1173" i="1"/>
  <c r="M1173" i="1" s="1"/>
  <c r="N1173" i="1" s="1"/>
  <c r="L1174" i="1"/>
  <c r="M1174" i="1" s="1"/>
  <c r="N1174" i="1" s="1"/>
  <c r="L1175" i="1"/>
  <c r="M1175" i="1" s="1"/>
  <c r="N1175" i="1" s="1"/>
  <c r="L1176" i="1"/>
  <c r="M1176" i="1" s="1"/>
  <c r="N1176" i="1" s="1"/>
  <c r="L1177" i="1"/>
  <c r="M1177" i="1" s="1"/>
  <c r="N1177" i="1" s="1"/>
  <c r="L1178" i="1"/>
  <c r="M1178" i="1" s="1"/>
  <c r="N1178" i="1" s="1"/>
  <c r="L1179" i="1"/>
  <c r="M1179" i="1" s="1"/>
  <c r="N1179" i="1" s="1"/>
  <c r="L1180" i="1"/>
  <c r="M1180" i="1" s="1"/>
  <c r="N1180" i="1" s="1"/>
  <c r="L1181" i="1"/>
  <c r="M1181" i="1" s="1"/>
  <c r="N1181" i="1" s="1"/>
  <c r="L1182" i="1"/>
  <c r="M1182" i="1" s="1"/>
  <c r="N1182" i="1" s="1"/>
  <c r="L1183" i="1"/>
  <c r="M1183" i="1" s="1"/>
  <c r="N1183" i="1" s="1"/>
  <c r="L1184" i="1"/>
  <c r="M1184" i="1" s="1"/>
  <c r="N1184" i="1" s="1"/>
  <c r="L1185" i="1"/>
  <c r="M1185" i="1" s="1"/>
  <c r="N1185" i="1" s="1"/>
  <c r="L1186" i="1"/>
  <c r="M1186" i="1" s="1"/>
  <c r="N1186" i="1" s="1"/>
  <c r="L1187" i="1"/>
  <c r="M1187" i="1" s="1"/>
  <c r="N1187" i="1" s="1"/>
  <c r="L1188" i="1"/>
  <c r="M1188" i="1" s="1"/>
  <c r="N1188" i="1" s="1"/>
  <c r="L1189" i="1"/>
  <c r="M1189" i="1" s="1"/>
  <c r="N1189" i="1" s="1"/>
  <c r="L1190" i="1"/>
  <c r="M1190" i="1" s="1"/>
  <c r="N1190" i="1" s="1"/>
  <c r="L1191" i="1"/>
  <c r="M1191" i="1" s="1"/>
  <c r="N1191" i="1" s="1"/>
  <c r="L1192" i="1"/>
  <c r="M1192" i="1" s="1"/>
  <c r="N1192" i="1" s="1"/>
  <c r="L1193" i="1"/>
  <c r="M1193" i="1" s="1"/>
  <c r="N1193" i="1" s="1"/>
  <c r="L1194" i="1"/>
  <c r="M1194" i="1" s="1"/>
  <c r="N1194" i="1" s="1"/>
  <c r="L1195" i="1"/>
  <c r="M1195" i="1" s="1"/>
  <c r="N1195" i="1" s="1"/>
  <c r="L1196" i="1"/>
  <c r="M1196" i="1" s="1"/>
  <c r="N1196" i="1" s="1"/>
  <c r="L1197" i="1"/>
  <c r="M1197" i="1" s="1"/>
  <c r="N1197" i="1" s="1"/>
  <c r="L1198" i="1"/>
  <c r="M1198" i="1" s="1"/>
  <c r="N1198" i="1" s="1"/>
  <c r="L1199" i="1"/>
  <c r="M1199" i="1" s="1"/>
  <c r="N1199" i="1" s="1"/>
  <c r="L1200" i="1"/>
  <c r="M1200" i="1" s="1"/>
  <c r="N1200" i="1" s="1"/>
  <c r="L1201" i="1"/>
  <c r="M1201" i="1" s="1"/>
  <c r="N1201" i="1" s="1"/>
  <c r="L1202" i="1"/>
  <c r="M1202" i="1" s="1"/>
  <c r="N1202" i="1" s="1"/>
  <c r="L1203" i="1"/>
  <c r="M1203" i="1" s="1"/>
  <c r="N1203" i="1" s="1"/>
  <c r="L1204" i="1"/>
  <c r="M1204" i="1" s="1"/>
  <c r="N1204" i="1" s="1"/>
  <c r="L1205" i="1"/>
  <c r="M1205" i="1" s="1"/>
  <c r="N1205" i="1" s="1"/>
  <c r="L1206" i="1"/>
  <c r="M1206" i="1" s="1"/>
  <c r="N1206" i="1" s="1"/>
  <c r="L1207" i="1"/>
  <c r="M1207" i="1" s="1"/>
  <c r="N1207" i="1" s="1"/>
  <c r="L1208" i="1"/>
  <c r="M1208" i="1" s="1"/>
  <c r="N1208" i="1" s="1"/>
  <c r="L1209" i="1"/>
  <c r="M1209" i="1" s="1"/>
  <c r="N1209" i="1" s="1"/>
  <c r="L1210" i="1"/>
  <c r="M1210" i="1" s="1"/>
  <c r="N1210" i="1" s="1"/>
  <c r="L1211" i="1"/>
  <c r="M1211" i="1" s="1"/>
  <c r="N1211" i="1" s="1"/>
  <c r="L1212" i="1"/>
  <c r="M1212" i="1" s="1"/>
  <c r="N1212" i="1" s="1"/>
  <c r="L1213" i="1"/>
  <c r="M1213" i="1" s="1"/>
  <c r="N1213" i="1" s="1"/>
  <c r="L1214" i="1"/>
  <c r="M1214" i="1" s="1"/>
  <c r="N1214" i="1" s="1"/>
  <c r="L1215" i="1"/>
  <c r="M1215" i="1" s="1"/>
  <c r="N1215" i="1" s="1"/>
  <c r="L1216" i="1"/>
  <c r="M1216" i="1" s="1"/>
  <c r="N1216" i="1" s="1"/>
  <c r="L1217" i="1"/>
  <c r="M1217" i="1" s="1"/>
  <c r="N1217" i="1" s="1"/>
  <c r="L1218" i="1"/>
  <c r="M1218" i="1" s="1"/>
  <c r="N1218" i="1" s="1"/>
  <c r="L1219" i="1"/>
  <c r="M1219" i="1" s="1"/>
  <c r="N1219" i="1" s="1"/>
  <c r="L1220" i="1"/>
  <c r="M1220" i="1" s="1"/>
  <c r="N1220" i="1" s="1"/>
  <c r="L1221" i="1"/>
  <c r="M1221" i="1" s="1"/>
  <c r="N1221" i="1" s="1"/>
  <c r="L1222" i="1"/>
  <c r="M1222" i="1" s="1"/>
  <c r="N1222" i="1" s="1"/>
  <c r="L1223" i="1"/>
  <c r="M1223" i="1" s="1"/>
  <c r="N1223" i="1" s="1"/>
  <c r="L1224" i="1"/>
  <c r="M1224" i="1" s="1"/>
  <c r="N1224" i="1" s="1"/>
  <c r="L1225" i="1"/>
  <c r="M1225" i="1" s="1"/>
  <c r="N1225" i="1" s="1"/>
  <c r="L1226" i="1"/>
  <c r="M1226" i="1" s="1"/>
  <c r="N1226" i="1" s="1"/>
  <c r="L1227" i="1"/>
  <c r="M1227" i="1" s="1"/>
  <c r="N1227" i="1" s="1"/>
  <c r="L1228" i="1"/>
  <c r="M1228" i="1" s="1"/>
  <c r="N1228" i="1" s="1"/>
  <c r="L1229" i="1"/>
  <c r="M1229" i="1" s="1"/>
  <c r="N1229" i="1" s="1"/>
  <c r="L1230" i="1"/>
  <c r="M1230" i="1" s="1"/>
  <c r="N1230" i="1" s="1"/>
  <c r="L1231" i="1"/>
  <c r="M1231" i="1" s="1"/>
  <c r="N1231" i="1" s="1"/>
  <c r="L1232" i="1"/>
  <c r="M1232" i="1" s="1"/>
  <c r="N1232" i="1" s="1"/>
  <c r="L1233" i="1"/>
  <c r="M1233" i="1" s="1"/>
  <c r="N1233" i="1" s="1"/>
  <c r="L1234" i="1"/>
  <c r="M1234" i="1" s="1"/>
  <c r="N1234" i="1" s="1"/>
  <c r="L1235" i="1"/>
  <c r="M1235" i="1" s="1"/>
  <c r="N1235" i="1" s="1"/>
  <c r="L1236" i="1"/>
  <c r="M1236" i="1" s="1"/>
  <c r="N1236" i="1" s="1"/>
  <c r="L1237" i="1"/>
  <c r="M1237" i="1" s="1"/>
  <c r="N1237" i="1" s="1"/>
  <c r="L1238" i="1"/>
  <c r="M1238" i="1" s="1"/>
  <c r="N1238" i="1" s="1"/>
  <c r="L1239" i="1"/>
  <c r="M1239" i="1" s="1"/>
  <c r="N1239" i="1" s="1"/>
  <c r="L1240" i="1"/>
  <c r="M1240" i="1" s="1"/>
  <c r="N1240" i="1" s="1"/>
  <c r="L1241" i="1"/>
  <c r="M1241" i="1" s="1"/>
  <c r="N1241" i="1" s="1"/>
  <c r="L1242" i="1"/>
  <c r="M1242" i="1" s="1"/>
  <c r="N1242" i="1" s="1"/>
  <c r="L1243" i="1"/>
  <c r="M1243" i="1" s="1"/>
  <c r="N1243" i="1" s="1"/>
  <c r="L1244" i="1"/>
  <c r="M1244" i="1" s="1"/>
  <c r="N1244" i="1" s="1"/>
  <c r="L1245" i="1"/>
  <c r="M1245" i="1" s="1"/>
  <c r="N1245" i="1" s="1"/>
  <c r="L1246" i="1"/>
  <c r="M1246" i="1" s="1"/>
  <c r="N1246" i="1" s="1"/>
  <c r="L1247" i="1"/>
  <c r="M1247" i="1" s="1"/>
  <c r="N1247" i="1" s="1"/>
  <c r="L1248" i="1"/>
  <c r="M1248" i="1" s="1"/>
  <c r="N1248" i="1" s="1"/>
  <c r="L1249" i="1"/>
  <c r="M1249" i="1" s="1"/>
  <c r="N1249" i="1" s="1"/>
  <c r="L1250" i="1"/>
  <c r="M1250" i="1" s="1"/>
  <c r="N1250" i="1" s="1"/>
  <c r="L1251" i="1"/>
  <c r="M1251" i="1" s="1"/>
  <c r="N1251" i="1" s="1"/>
  <c r="L1252" i="1"/>
  <c r="M1252" i="1" s="1"/>
  <c r="N1252" i="1" s="1"/>
  <c r="L1253" i="1"/>
  <c r="M1253" i="1" s="1"/>
  <c r="N1253" i="1" s="1"/>
  <c r="L1254" i="1"/>
  <c r="M1254" i="1" s="1"/>
  <c r="N1254" i="1" s="1"/>
  <c r="L1255" i="1"/>
  <c r="M1255" i="1" s="1"/>
  <c r="N1255" i="1" s="1"/>
  <c r="L1256" i="1"/>
  <c r="M1256" i="1" s="1"/>
  <c r="N1256" i="1" s="1"/>
  <c r="L1257" i="1"/>
  <c r="M1257" i="1" s="1"/>
  <c r="N1257" i="1" s="1"/>
  <c r="L1258" i="1"/>
  <c r="M1258" i="1" s="1"/>
  <c r="N1258" i="1" s="1"/>
  <c r="L1259" i="1"/>
  <c r="M1259" i="1" s="1"/>
  <c r="N1259" i="1" s="1"/>
  <c r="L1260" i="1"/>
  <c r="M1260" i="1" s="1"/>
  <c r="N1260" i="1" s="1"/>
  <c r="L1261" i="1"/>
  <c r="M1261" i="1" s="1"/>
  <c r="N1261" i="1" s="1"/>
  <c r="L1262" i="1"/>
  <c r="M1262" i="1" s="1"/>
  <c r="N1262" i="1" s="1"/>
  <c r="L1263" i="1"/>
  <c r="M1263" i="1" s="1"/>
  <c r="N1263" i="1" s="1"/>
  <c r="L1264" i="1"/>
  <c r="M1264" i="1" s="1"/>
  <c r="N1264" i="1" s="1"/>
  <c r="L1265" i="1"/>
  <c r="M1265" i="1" s="1"/>
  <c r="N1265" i="1" s="1"/>
  <c r="L1266" i="1"/>
  <c r="M1266" i="1" s="1"/>
  <c r="N1266" i="1" s="1"/>
  <c r="L1267" i="1"/>
  <c r="M1267" i="1" s="1"/>
  <c r="N1267" i="1" s="1"/>
  <c r="L1268" i="1"/>
  <c r="M1268" i="1" s="1"/>
  <c r="N1268" i="1" s="1"/>
  <c r="L1269" i="1"/>
  <c r="M1269" i="1" s="1"/>
  <c r="N1269" i="1" s="1"/>
  <c r="L1270" i="1"/>
  <c r="M1270" i="1" s="1"/>
  <c r="N1270" i="1" s="1"/>
  <c r="L1271" i="1"/>
  <c r="M1271" i="1" s="1"/>
  <c r="N1271" i="1" s="1"/>
  <c r="L1272" i="1"/>
  <c r="M1272" i="1" s="1"/>
  <c r="N1272" i="1" s="1"/>
  <c r="L1273" i="1"/>
  <c r="M1273" i="1" s="1"/>
  <c r="N1273" i="1" s="1"/>
  <c r="L1274" i="1"/>
  <c r="M1274" i="1" s="1"/>
  <c r="N1274" i="1" s="1"/>
  <c r="L1275" i="1"/>
  <c r="M1275" i="1" s="1"/>
  <c r="N1275" i="1" s="1"/>
  <c r="L1276" i="1"/>
  <c r="M1276" i="1" s="1"/>
  <c r="N1276" i="1" s="1"/>
  <c r="L1277" i="1"/>
  <c r="M1277" i="1" s="1"/>
  <c r="N1277" i="1" s="1"/>
  <c r="L1278" i="1"/>
  <c r="M1278" i="1" s="1"/>
  <c r="N1278" i="1" s="1"/>
  <c r="L1279" i="1"/>
  <c r="M1279" i="1" s="1"/>
  <c r="N1279" i="1" s="1"/>
  <c r="L1280" i="1"/>
  <c r="M1280" i="1" s="1"/>
  <c r="N1280" i="1" s="1"/>
  <c r="L1281" i="1"/>
  <c r="M1281" i="1" s="1"/>
  <c r="N1281" i="1" s="1"/>
  <c r="L1282" i="1"/>
  <c r="M1282" i="1" s="1"/>
  <c r="N1282" i="1" s="1"/>
  <c r="L1283" i="1"/>
  <c r="M1283" i="1" s="1"/>
  <c r="N1283" i="1" s="1"/>
  <c r="L1284" i="1"/>
  <c r="M1284" i="1" s="1"/>
  <c r="N1284" i="1" s="1"/>
  <c r="L1285" i="1"/>
  <c r="M1285" i="1" s="1"/>
  <c r="N1285" i="1" s="1"/>
  <c r="L1286" i="1"/>
  <c r="M1286" i="1" s="1"/>
  <c r="N1286" i="1" s="1"/>
  <c r="L1287" i="1"/>
  <c r="M1287" i="1" s="1"/>
  <c r="N1287" i="1" s="1"/>
  <c r="L1288" i="1"/>
  <c r="M1288" i="1" s="1"/>
  <c r="N1288" i="1" s="1"/>
  <c r="L1289" i="1"/>
  <c r="M1289" i="1" s="1"/>
  <c r="N1289" i="1" s="1"/>
  <c r="L1290" i="1"/>
  <c r="M1290" i="1" s="1"/>
  <c r="N1290" i="1" s="1"/>
  <c r="L1291" i="1"/>
  <c r="M1291" i="1" s="1"/>
  <c r="N1291" i="1" s="1"/>
  <c r="L1292" i="1"/>
  <c r="M1292" i="1" s="1"/>
  <c r="N1292" i="1" s="1"/>
  <c r="L1293" i="1"/>
  <c r="M1293" i="1" s="1"/>
  <c r="N1293" i="1" s="1"/>
  <c r="L1294" i="1"/>
  <c r="M1294" i="1" s="1"/>
  <c r="N1294" i="1" s="1"/>
  <c r="L1295" i="1"/>
  <c r="M1295" i="1" s="1"/>
  <c r="N1295" i="1" s="1"/>
  <c r="L1296" i="1"/>
  <c r="M1296" i="1" s="1"/>
  <c r="N1296" i="1" s="1"/>
  <c r="L1297" i="1"/>
  <c r="M1297" i="1" s="1"/>
  <c r="N1297" i="1" s="1"/>
  <c r="L1298" i="1"/>
  <c r="M1298" i="1" s="1"/>
  <c r="N1298" i="1" s="1"/>
  <c r="L1299" i="1"/>
  <c r="M1299" i="1" s="1"/>
  <c r="N1299" i="1" s="1"/>
  <c r="L1300" i="1"/>
  <c r="M1300" i="1" s="1"/>
  <c r="N1300" i="1" s="1"/>
  <c r="L1301" i="1"/>
  <c r="M1301" i="1" s="1"/>
  <c r="N1301" i="1" s="1"/>
  <c r="L1302" i="1"/>
  <c r="M1302" i="1" s="1"/>
  <c r="N1302" i="1" s="1"/>
  <c r="L1303" i="1"/>
  <c r="M1303" i="1" s="1"/>
  <c r="N1303" i="1" s="1"/>
  <c r="L1304" i="1"/>
  <c r="M1304" i="1" s="1"/>
  <c r="N1304" i="1" s="1"/>
  <c r="L1305" i="1"/>
  <c r="M1305" i="1" s="1"/>
  <c r="N1305" i="1" s="1"/>
  <c r="L1306" i="1"/>
  <c r="M1306" i="1" s="1"/>
  <c r="N1306" i="1" s="1"/>
  <c r="L1307" i="1"/>
  <c r="M1307" i="1" s="1"/>
  <c r="N1307" i="1" s="1"/>
  <c r="L1308" i="1"/>
  <c r="M1308" i="1" s="1"/>
  <c r="N1308" i="1" s="1"/>
  <c r="L1309" i="1"/>
  <c r="M1309" i="1" s="1"/>
  <c r="N1309" i="1" s="1"/>
  <c r="L1310" i="1"/>
  <c r="M1310" i="1" s="1"/>
  <c r="N1310" i="1" s="1"/>
  <c r="L1311" i="1"/>
  <c r="M1311" i="1" s="1"/>
  <c r="N1311" i="1" s="1"/>
  <c r="L1312" i="1"/>
  <c r="M1312" i="1" s="1"/>
  <c r="N1312" i="1" s="1"/>
  <c r="L1313" i="1"/>
  <c r="M1313" i="1" s="1"/>
  <c r="N1313" i="1" s="1"/>
  <c r="L1314" i="1"/>
  <c r="M1314" i="1" s="1"/>
  <c r="N1314" i="1" s="1"/>
  <c r="L1315" i="1"/>
  <c r="M1315" i="1" s="1"/>
  <c r="N1315" i="1" s="1"/>
  <c r="L1316" i="1"/>
  <c r="M1316" i="1" s="1"/>
  <c r="N1316" i="1" s="1"/>
  <c r="L1317" i="1"/>
  <c r="M1317" i="1" s="1"/>
  <c r="N1317" i="1" s="1"/>
  <c r="L1318" i="1"/>
  <c r="M1318" i="1" s="1"/>
  <c r="N1318" i="1" s="1"/>
  <c r="L1319" i="1"/>
  <c r="M1319" i="1" s="1"/>
  <c r="N1319" i="1" s="1"/>
  <c r="L1320" i="1"/>
  <c r="M1320" i="1" s="1"/>
  <c r="N1320" i="1" s="1"/>
  <c r="L1321" i="1"/>
  <c r="M1321" i="1" s="1"/>
  <c r="N1321" i="1" s="1"/>
  <c r="L1322" i="1"/>
  <c r="M1322" i="1" s="1"/>
  <c r="N1322" i="1" s="1"/>
  <c r="L1323" i="1"/>
  <c r="M1323" i="1" s="1"/>
  <c r="N1323" i="1" s="1"/>
  <c r="L1324" i="1"/>
  <c r="M1324" i="1" s="1"/>
  <c r="N1324" i="1" s="1"/>
  <c r="L1325" i="1"/>
  <c r="M1325" i="1" s="1"/>
  <c r="N1325" i="1" s="1"/>
  <c r="L1326" i="1"/>
  <c r="M1326" i="1" s="1"/>
  <c r="N1326" i="1" s="1"/>
  <c r="L1327" i="1"/>
  <c r="M1327" i="1" s="1"/>
  <c r="N1327" i="1" s="1"/>
  <c r="L1328" i="1"/>
  <c r="M1328" i="1" s="1"/>
  <c r="N1328" i="1" s="1"/>
  <c r="L1329" i="1"/>
  <c r="M1329" i="1" s="1"/>
  <c r="N1329" i="1" s="1"/>
  <c r="L1330" i="1"/>
  <c r="M1330" i="1" s="1"/>
  <c r="N1330" i="1" s="1"/>
  <c r="L1331" i="1"/>
  <c r="M1331" i="1" s="1"/>
  <c r="N1331" i="1" s="1"/>
  <c r="L1332" i="1"/>
  <c r="M1332" i="1" s="1"/>
  <c r="N1332" i="1" s="1"/>
  <c r="L1333" i="1"/>
  <c r="M1333" i="1" s="1"/>
  <c r="N1333" i="1" s="1"/>
  <c r="L1334" i="1"/>
  <c r="M1334" i="1" s="1"/>
  <c r="N1334" i="1" s="1"/>
  <c r="L1335" i="1"/>
  <c r="M1335" i="1" s="1"/>
  <c r="N1335" i="1" s="1"/>
  <c r="L1336" i="1"/>
  <c r="M1336" i="1" s="1"/>
  <c r="N1336" i="1" s="1"/>
  <c r="L1337" i="1"/>
  <c r="M1337" i="1" s="1"/>
  <c r="N1337" i="1" s="1"/>
  <c r="L1338" i="1"/>
  <c r="M1338" i="1" s="1"/>
  <c r="N1338" i="1" s="1"/>
  <c r="L1339" i="1"/>
  <c r="M1339" i="1" s="1"/>
  <c r="N1339" i="1" s="1"/>
  <c r="L1340" i="1"/>
  <c r="M1340" i="1" s="1"/>
  <c r="N1340" i="1" s="1"/>
  <c r="L1341" i="1"/>
  <c r="M1341" i="1" s="1"/>
  <c r="N1341" i="1" s="1"/>
  <c r="L1342" i="1"/>
  <c r="M1342" i="1" s="1"/>
  <c r="N1342" i="1" s="1"/>
  <c r="L1343" i="1"/>
  <c r="M1343" i="1" s="1"/>
  <c r="N1343" i="1" s="1"/>
  <c r="L1344" i="1"/>
  <c r="M1344" i="1" s="1"/>
  <c r="N1344" i="1" s="1"/>
  <c r="L1345" i="1"/>
  <c r="M1345" i="1" s="1"/>
  <c r="N1345" i="1" s="1"/>
  <c r="L1346" i="1"/>
  <c r="M1346" i="1" s="1"/>
  <c r="N1346" i="1" s="1"/>
  <c r="L1347" i="1"/>
  <c r="M1347" i="1" s="1"/>
  <c r="N1347" i="1" s="1"/>
  <c r="L1348" i="1"/>
  <c r="M1348" i="1" s="1"/>
  <c r="N1348" i="1" s="1"/>
  <c r="L1349" i="1"/>
  <c r="M1349" i="1" s="1"/>
  <c r="N1349" i="1" s="1"/>
  <c r="L1350" i="1"/>
  <c r="M1350" i="1" s="1"/>
  <c r="N1350" i="1" s="1"/>
  <c r="L1351" i="1"/>
  <c r="M1351" i="1" s="1"/>
  <c r="N1351" i="1" s="1"/>
  <c r="L1352" i="1"/>
  <c r="M1352" i="1" s="1"/>
  <c r="N1352" i="1" s="1"/>
  <c r="L1353" i="1"/>
  <c r="M1353" i="1" s="1"/>
  <c r="N1353" i="1" s="1"/>
  <c r="L1354" i="1"/>
  <c r="M1354" i="1" s="1"/>
  <c r="N1354" i="1" s="1"/>
  <c r="L1355" i="1"/>
  <c r="M1355" i="1" s="1"/>
  <c r="N1355" i="1" s="1"/>
  <c r="L1356" i="1"/>
  <c r="M1356" i="1" s="1"/>
  <c r="N1356" i="1" s="1"/>
  <c r="L1357" i="1"/>
  <c r="M1357" i="1" s="1"/>
  <c r="N1357" i="1" s="1"/>
  <c r="L1358" i="1"/>
  <c r="M1358" i="1" s="1"/>
  <c r="N1358" i="1" s="1"/>
  <c r="L1359" i="1"/>
  <c r="M1359" i="1" s="1"/>
  <c r="N1359" i="1" s="1"/>
  <c r="L1360" i="1"/>
  <c r="M1360" i="1" s="1"/>
  <c r="N1360" i="1" s="1"/>
  <c r="L1361" i="1"/>
  <c r="M1361" i="1" s="1"/>
  <c r="N1361" i="1" s="1"/>
  <c r="L1362" i="1"/>
  <c r="M1362" i="1" s="1"/>
  <c r="N1362" i="1" s="1"/>
  <c r="L1363" i="1"/>
  <c r="M1363" i="1" s="1"/>
  <c r="N1363" i="1" s="1"/>
  <c r="L1364" i="1"/>
  <c r="M1364" i="1" s="1"/>
  <c r="N1364" i="1" s="1"/>
  <c r="L1365" i="1"/>
  <c r="M1365" i="1" s="1"/>
  <c r="N1365" i="1" s="1"/>
  <c r="L1366" i="1"/>
  <c r="M1366" i="1" s="1"/>
  <c r="N1366" i="1" s="1"/>
  <c r="L1367" i="1"/>
  <c r="M1367" i="1" s="1"/>
  <c r="N1367" i="1" s="1"/>
  <c r="L1368" i="1"/>
  <c r="M1368" i="1" s="1"/>
  <c r="N1368" i="1" s="1"/>
  <c r="L1369" i="1"/>
  <c r="M1369" i="1" s="1"/>
  <c r="N1369" i="1" s="1"/>
  <c r="L1370" i="1"/>
  <c r="M1370" i="1" s="1"/>
  <c r="N1370" i="1" s="1"/>
  <c r="L1371" i="1"/>
  <c r="M1371" i="1" s="1"/>
  <c r="N1371" i="1" s="1"/>
  <c r="L1372" i="1"/>
  <c r="M1372" i="1" s="1"/>
  <c r="N1372" i="1" s="1"/>
  <c r="L1373" i="1"/>
  <c r="M1373" i="1" s="1"/>
  <c r="N1373" i="1" s="1"/>
  <c r="L1374" i="1"/>
  <c r="M1374" i="1" s="1"/>
  <c r="N1374" i="1" s="1"/>
  <c r="L1375" i="1"/>
  <c r="M1375" i="1" s="1"/>
  <c r="N1375" i="1" s="1"/>
  <c r="L1376" i="1"/>
  <c r="M1376" i="1" s="1"/>
  <c r="N1376" i="1" s="1"/>
  <c r="L1377" i="1"/>
  <c r="M1377" i="1" s="1"/>
  <c r="N1377" i="1" s="1"/>
  <c r="L1378" i="1"/>
  <c r="M1378" i="1" s="1"/>
  <c r="N1378" i="1" s="1"/>
  <c r="L1379" i="1"/>
  <c r="M1379" i="1" s="1"/>
  <c r="N1379" i="1" s="1"/>
  <c r="L1380" i="1"/>
  <c r="M1380" i="1" s="1"/>
  <c r="N1380" i="1" s="1"/>
  <c r="L1381" i="1"/>
  <c r="M1381" i="1" s="1"/>
  <c r="N1381" i="1" s="1"/>
  <c r="L1382" i="1"/>
  <c r="M1382" i="1" s="1"/>
  <c r="N1382" i="1" s="1"/>
  <c r="L1383" i="1"/>
  <c r="M1383" i="1" s="1"/>
  <c r="N1383" i="1" s="1"/>
  <c r="L1384" i="1"/>
  <c r="M1384" i="1" s="1"/>
  <c r="N1384" i="1" s="1"/>
  <c r="L1385" i="1"/>
  <c r="M1385" i="1" s="1"/>
  <c r="N1385" i="1" s="1"/>
  <c r="L1386" i="1"/>
  <c r="M1386" i="1" s="1"/>
  <c r="N1386" i="1" s="1"/>
  <c r="L1387" i="1"/>
  <c r="M1387" i="1" s="1"/>
  <c r="N1387" i="1" s="1"/>
  <c r="L1388" i="1"/>
  <c r="M1388" i="1" s="1"/>
  <c r="N1388" i="1" s="1"/>
  <c r="L1389" i="1"/>
  <c r="M1389" i="1" s="1"/>
  <c r="N1389" i="1" s="1"/>
  <c r="L1390" i="1"/>
  <c r="M1390" i="1" s="1"/>
  <c r="N1390" i="1" s="1"/>
  <c r="L1391" i="1"/>
  <c r="M1391" i="1" s="1"/>
  <c r="N1391" i="1" s="1"/>
  <c r="L1392" i="1"/>
  <c r="M1392" i="1" s="1"/>
  <c r="N1392" i="1" s="1"/>
  <c r="L1393" i="1"/>
  <c r="M1393" i="1" s="1"/>
  <c r="N1393" i="1" s="1"/>
  <c r="L1394" i="1"/>
  <c r="M1394" i="1" s="1"/>
  <c r="N1394" i="1" s="1"/>
  <c r="L1395" i="1"/>
  <c r="M1395" i="1" s="1"/>
  <c r="N1395" i="1" s="1"/>
  <c r="L1396" i="1"/>
  <c r="M1396" i="1" s="1"/>
  <c r="N1396" i="1" s="1"/>
  <c r="L1397" i="1"/>
  <c r="M1397" i="1" s="1"/>
  <c r="N1397" i="1" s="1"/>
  <c r="L1398" i="1"/>
  <c r="M1398" i="1" s="1"/>
  <c r="N1398" i="1" s="1"/>
  <c r="L1399" i="1"/>
  <c r="M1399" i="1" s="1"/>
  <c r="N1399" i="1" s="1"/>
  <c r="L1400" i="1"/>
  <c r="M1400" i="1" s="1"/>
  <c r="N1400" i="1" s="1"/>
  <c r="L1401" i="1"/>
  <c r="M1401" i="1" s="1"/>
  <c r="N1401" i="1" s="1"/>
  <c r="L1402" i="1"/>
  <c r="M1402" i="1" s="1"/>
  <c r="N1402" i="1" s="1"/>
  <c r="L1403" i="1"/>
  <c r="M1403" i="1" s="1"/>
  <c r="N1403" i="1" s="1"/>
  <c r="L1404" i="1"/>
  <c r="M1404" i="1" s="1"/>
  <c r="N1404" i="1" s="1"/>
  <c r="L1405" i="1"/>
  <c r="M1405" i="1" s="1"/>
  <c r="N1405" i="1" s="1"/>
  <c r="L1406" i="1"/>
  <c r="M1406" i="1" s="1"/>
  <c r="N1406" i="1" s="1"/>
  <c r="L1407" i="1"/>
  <c r="M1407" i="1" s="1"/>
  <c r="N1407" i="1" s="1"/>
  <c r="L1408" i="1"/>
  <c r="M1408" i="1" s="1"/>
  <c r="N1408" i="1" s="1"/>
  <c r="L1409" i="1"/>
  <c r="M1409" i="1" s="1"/>
  <c r="N1409" i="1" s="1"/>
  <c r="L1410" i="1"/>
  <c r="M1410" i="1" s="1"/>
  <c r="N1410" i="1" s="1"/>
  <c r="L1411" i="1"/>
  <c r="M1411" i="1" s="1"/>
  <c r="N1411" i="1" s="1"/>
  <c r="L1412" i="1"/>
  <c r="M1412" i="1" s="1"/>
  <c r="N1412" i="1" s="1"/>
  <c r="L1413" i="1"/>
  <c r="M1413" i="1" s="1"/>
  <c r="N1413" i="1" s="1"/>
  <c r="L1414" i="1"/>
  <c r="M1414" i="1" s="1"/>
  <c r="N1414" i="1" s="1"/>
  <c r="L1415" i="1"/>
  <c r="M1415" i="1" s="1"/>
  <c r="N1415" i="1" s="1"/>
  <c r="L1416" i="1"/>
  <c r="M1416" i="1" s="1"/>
  <c r="N1416" i="1" s="1"/>
  <c r="L1417" i="1"/>
  <c r="M1417" i="1" s="1"/>
  <c r="N1417" i="1" s="1"/>
  <c r="L1418" i="1"/>
  <c r="M1418" i="1" s="1"/>
  <c r="N1418" i="1" s="1"/>
  <c r="L1419" i="1"/>
  <c r="M1419" i="1" s="1"/>
  <c r="N1419" i="1" s="1"/>
  <c r="L1420" i="1"/>
  <c r="M1420" i="1" s="1"/>
  <c r="N1420" i="1" s="1"/>
  <c r="L1421" i="1"/>
  <c r="M1421" i="1" s="1"/>
  <c r="N1421" i="1" s="1"/>
  <c r="L1422" i="1"/>
  <c r="M1422" i="1" s="1"/>
  <c r="N1422" i="1" s="1"/>
  <c r="L1423" i="1"/>
  <c r="M1423" i="1" s="1"/>
  <c r="N1423" i="1" s="1"/>
  <c r="L1424" i="1"/>
  <c r="M1424" i="1" s="1"/>
  <c r="N1424" i="1" s="1"/>
  <c r="L1425" i="1"/>
  <c r="M1425" i="1" s="1"/>
  <c r="N1425" i="1" s="1"/>
  <c r="L1426" i="1"/>
  <c r="M1426" i="1" s="1"/>
  <c r="N1426" i="1" s="1"/>
  <c r="L1427" i="1"/>
  <c r="M1427" i="1" s="1"/>
  <c r="N1427" i="1" s="1"/>
  <c r="L1428" i="1"/>
  <c r="M1428" i="1" s="1"/>
  <c r="N1428" i="1" s="1"/>
  <c r="L1429" i="1"/>
  <c r="M1429" i="1" s="1"/>
  <c r="N1429" i="1" s="1"/>
  <c r="L1430" i="1"/>
  <c r="M1430" i="1" s="1"/>
  <c r="N1430" i="1" s="1"/>
  <c r="L1431" i="1"/>
  <c r="M1431" i="1" s="1"/>
  <c r="N1431" i="1" s="1"/>
  <c r="L1432" i="1"/>
  <c r="M1432" i="1" s="1"/>
  <c r="N1432" i="1" s="1"/>
  <c r="L1433" i="1"/>
  <c r="M1433" i="1" s="1"/>
  <c r="N1433" i="1" s="1"/>
  <c r="L1434" i="1"/>
  <c r="M1434" i="1" s="1"/>
  <c r="N1434" i="1" s="1"/>
  <c r="L1435" i="1"/>
  <c r="M1435" i="1" s="1"/>
  <c r="N1435" i="1" s="1"/>
  <c r="L1436" i="1"/>
  <c r="M1436" i="1" s="1"/>
  <c r="N1436" i="1" s="1"/>
  <c r="L1437" i="1"/>
  <c r="M1437" i="1" s="1"/>
  <c r="N1437" i="1" s="1"/>
  <c r="L1438" i="1"/>
  <c r="M1438" i="1" s="1"/>
  <c r="N1438" i="1" s="1"/>
  <c r="L1439" i="1"/>
  <c r="M1439" i="1" s="1"/>
  <c r="N1439" i="1" s="1"/>
  <c r="L1440" i="1"/>
  <c r="M1440" i="1" s="1"/>
  <c r="N1440" i="1" s="1"/>
  <c r="L1441" i="1"/>
  <c r="M1441" i="1" s="1"/>
  <c r="N1441" i="1" s="1"/>
  <c r="L1442" i="1"/>
  <c r="M1442" i="1" s="1"/>
  <c r="N1442" i="1" s="1"/>
  <c r="L1443" i="1"/>
  <c r="M1443" i="1" s="1"/>
  <c r="N1443" i="1" s="1"/>
  <c r="L1444" i="1"/>
  <c r="M1444" i="1" s="1"/>
  <c r="N1444" i="1" s="1"/>
  <c r="L1445" i="1"/>
  <c r="M1445" i="1" s="1"/>
  <c r="N1445" i="1" s="1"/>
  <c r="L1446" i="1"/>
  <c r="M1446" i="1" s="1"/>
  <c r="N1446" i="1" s="1"/>
  <c r="L1447" i="1"/>
  <c r="M1447" i="1" s="1"/>
  <c r="N1447" i="1" s="1"/>
  <c r="L1448" i="1"/>
  <c r="M1448" i="1" s="1"/>
  <c r="N1448" i="1" s="1"/>
  <c r="L1449" i="1"/>
  <c r="M1449" i="1" s="1"/>
  <c r="N1449" i="1" s="1"/>
  <c r="L1450" i="1"/>
  <c r="M1450" i="1" s="1"/>
  <c r="N1450" i="1" s="1"/>
  <c r="L1451" i="1"/>
  <c r="M1451" i="1" s="1"/>
  <c r="N1451" i="1" s="1"/>
  <c r="L1452" i="1"/>
  <c r="M1452" i="1" s="1"/>
  <c r="N1452" i="1" s="1"/>
  <c r="L1453" i="1"/>
  <c r="M1453" i="1" s="1"/>
  <c r="N1453" i="1" s="1"/>
  <c r="L1454" i="1"/>
  <c r="M1454" i="1" s="1"/>
  <c r="N1454" i="1" s="1"/>
  <c r="L1455" i="1"/>
  <c r="M1455" i="1" s="1"/>
  <c r="N1455" i="1" s="1"/>
  <c r="L1456" i="1"/>
  <c r="M1456" i="1" s="1"/>
  <c r="N1456" i="1" s="1"/>
  <c r="L1457" i="1"/>
  <c r="M1457" i="1" s="1"/>
  <c r="N1457" i="1" s="1"/>
  <c r="L1458" i="1"/>
  <c r="M1458" i="1" s="1"/>
  <c r="N1458" i="1" s="1"/>
  <c r="L1459" i="1"/>
  <c r="M1459" i="1" s="1"/>
  <c r="N1459" i="1" s="1"/>
  <c r="L1460" i="1"/>
  <c r="M1460" i="1" s="1"/>
  <c r="N1460" i="1" s="1"/>
  <c r="L1461" i="1"/>
  <c r="M1461" i="1" s="1"/>
  <c r="N1461" i="1" s="1"/>
  <c r="L1462" i="1"/>
  <c r="M1462" i="1" s="1"/>
  <c r="N1462" i="1" s="1"/>
  <c r="L1463" i="1"/>
  <c r="M1463" i="1" s="1"/>
  <c r="N1463" i="1" s="1"/>
  <c r="L1464" i="1"/>
  <c r="M1464" i="1" s="1"/>
  <c r="N1464" i="1" s="1"/>
  <c r="L1465" i="1"/>
  <c r="M1465" i="1" s="1"/>
  <c r="N1465" i="1" s="1"/>
  <c r="L1466" i="1"/>
  <c r="M1466" i="1" s="1"/>
  <c r="N1466" i="1" s="1"/>
  <c r="L1467" i="1"/>
  <c r="M1467" i="1" s="1"/>
  <c r="N1467" i="1" s="1"/>
  <c r="L1468" i="1"/>
  <c r="M1468" i="1" s="1"/>
  <c r="N1468" i="1" s="1"/>
  <c r="L1469" i="1"/>
  <c r="M1469" i="1" s="1"/>
  <c r="N1469" i="1" s="1"/>
  <c r="L1470" i="1"/>
  <c r="M1470" i="1" s="1"/>
  <c r="N1470" i="1" s="1"/>
  <c r="L1471" i="1"/>
  <c r="M1471" i="1" s="1"/>
  <c r="N1471" i="1" s="1"/>
  <c r="L1472" i="1"/>
  <c r="M1472" i="1" s="1"/>
  <c r="N1472" i="1" s="1"/>
  <c r="L1473" i="1"/>
  <c r="M1473" i="1" s="1"/>
  <c r="N1473" i="1" s="1"/>
  <c r="L1474" i="1"/>
  <c r="M1474" i="1" s="1"/>
  <c r="N1474" i="1" s="1"/>
  <c r="L1475" i="1"/>
  <c r="M1475" i="1" s="1"/>
  <c r="N1475" i="1" s="1"/>
  <c r="L1476" i="1"/>
  <c r="M1476" i="1" s="1"/>
  <c r="N1476" i="1" s="1"/>
  <c r="L1477" i="1"/>
  <c r="M1477" i="1" s="1"/>
  <c r="N1477" i="1" s="1"/>
  <c r="L1478" i="1"/>
  <c r="M1478" i="1" s="1"/>
  <c r="N1478" i="1" s="1"/>
  <c r="L1479" i="1"/>
  <c r="M1479" i="1" s="1"/>
  <c r="N1479" i="1" s="1"/>
  <c r="L1480" i="1"/>
  <c r="M1480" i="1" s="1"/>
  <c r="N1480" i="1" s="1"/>
  <c r="L1481" i="1"/>
  <c r="M1481" i="1" s="1"/>
  <c r="N1481" i="1" s="1"/>
  <c r="L1482" i="1"/>
  <c r="M1482" i="1" s="1"/>
  <c r="N1482" i="1" s="1"/>
  <c r="L1483" i="1"/>
  <c r="M1483" i="1" s="1"/>
  <c r="N1483" i="1" s="1"/>
  <c r="L1484" i="1"/>
  <c r="M1484" i="1" s="1"/>
  <c r="N1484" i="1" s="1"/>
  <c r="L1485" i="1"/>
  <c r="M1485" i="1" s="1"/>
  <c r="N1485" i="1" s="1"/>
  <c r="L1486" i="1"/>
  <c r="M1486" i="1" s="1"/>
  <c r="N1486" i="1" s="1"/>
  <c r="L1487" i="1"/>
  <c r="M1487" i="1" s="1"/>
  <c r="N1487" i="1" s="1"/>
  <c r="L1488" i="1"/>
  <c r="M1488" i="1" s="1"/>
  <c r="N1488" i="1" s="1"/>
  <c r="L1489" i="1"/>
  <c r="M1489" i="1" s="1"/>
  <c r="N1489" i="1" s="1"/>
  <c r="L1490" i="1"/>
  <c r="M1490" i="1" s="1"/>
  <c r="N1490" i="1" s="1"/>
  <c r="L1491" i="1"/>
  <c r="M1491" i="1" s="1"/>
  <c r="N1491" i="1" s="1"/>
  <c r="L1492" i="1"/>
  <c r="M1492" i="1" s="1"/>
  <c r="N1492" i="1" s="1"/>
  <c r="L1493" i="1"/>
  <c r="M1493" i="1" s="1"/>
  <c r="N1493" i="1" s="1"/>
  <c r="L1494" i="1"/>
  <c r="M1494" i="1" s="1"/>
  <c r="N1494" i="1" s="1"/>
  <c r="L1495" i="1"/>
  <c r="M1495" i="1" s="1"/>
  <c r="N1495" i="1" s="1"/>
  <c r="L1496" i="1"/>
  <c r="M1496" i="1" s="1"/>
  <c r="N1496" i="1" s="1"/>
  <c r="L1497" i="1"/>
  <c r="M1497" i="1" s="1"/>
  <c r="N1497" i="1" s="1"/>
  <c r="L1498" i="1"/>
  <c r="M1498" i="1" s="1"/>
  <c r="N1498" i="1" s="1"/>
  <c r="L1499" i="1"/>
  <c r="M1499" i="1" s="1"/>
  <c r="N1499" i="1" s="1"/>
  <c r="L1500" i="1"/>
  <c r="M1500" i="1" s="1"/>
  <c r="N1500" i="1" s="1"/>
  <c r="L1501" i="1"/>
  <c r="M1501" i="1" s="1"/>
  <c r="N1501" i="1" s="1"/>
  <c r="L1502" i="1"/>
  <c r="M1502" i="1" s="1"/>
  <c r="N1502" i="1" s="1"/>
  <c r="L1503" i="1"/>
  <c r="M1503" i="1" s="1"/>
  <c r="N1503" i="1" s="1"/>
  <c r="L1504" i="1"/>
  <c r="M1504" i="1" s="1"/>
  <c r="N1504" i="1" s="1"/>
  <c r="L1505" i="1"/>
  <c r="M1505" i="1" s="1"/>
  <c r="N1505" i="1" s="1"/>
  <c r="L1506" i="1"/>
  <c r="M1506" i="1" s="1"/>
  <c r="N1506" i="1" s="1"/>
  <c r="L1507" i="1"/>
  <c r="M1507" i="1" s="1"/>
  <c r="N1507" i="1" s="1"/>
  <c r="L1508" i="1"/>
  <c r="M1508" i="1" s="1"/>
  <c r="N1508" i="1" s="1"/>
  <c r="L1509" i="1"/>
  <c r="M1509" i="1" s="1"/>
  <c r="N1509" i="1" s="1"/>
  <c r="L1510" i="1"/>
  <c r="M1510" i="1" s="1"/>
  <c r="N1510" i="1" s="1"/>
  <c r="L1511" i="1"/>
  <c r="M1511" i="1" s="1"/>
  <c r="N1511" i="1" s="1"/>
  <c r="L1512" i="1"/>
  <c r="M1512" i="1" s="1"/>
  <c r="N1512" i="1" s="1"/>
  <c r="L1513" i="1"/>
  <c r="M1513" i="1" s="1"/>
  <c r="N1513" i="1" s="1"/>
  <c r="L1514" i="1"/>
  <c r="M1514" i="1" s="1"/>
  <c r="N1514" i="1" s="1"/>
  <c r="L1515" i="1"/>
  <c r="M1515" i="1" s="1"/>
  <c r="N1515" i="1" s="1"/>
  <c r="L1516" i="1"/>
  <c r="M1516" i="1" s="1"/>
  <c r="N1516" i="1" s="1"/>
  <c r="L1517" i="1"/>
  <c r="M1517" i="1" s="1"/>
  <c r="N1517" i="1" s="1"/>
  <c r="L1518" i="1"/>
  <c r="M1518" i="1" s="1"/>
  <c r="N1518" i="1" s="1"/>
  <c r="L1519" i="1"/>
  <c r="M1519" i="1" s="1"/>
  <c r="N1519" i="1" s="1"/>
  <c r="L1520" i="1"/>
  <c r="M1520" i="1" s="1"/>
  <c r="N1520" i="1" s="1"/>
  <c r="L1521" i="1"/>
  <c r="M1521" i="1" s="1"/>
  <c r="N1521" i="1" s="1"/>
  <c r="L1522" i="1"/>
  <c r="M1522" i="1" s="1"/>
  <c r="N1522" i="1" s="1"/>
  <c r="L1523" i="1"/>
  <c r="M1523" i="1" s="1"/>
  <c r="N1523" i="1" s="1"/>
  <c r="L1524" i="1"/>
  <c r="M1524" i="1" s="1"/>
  <c r="N1524" i="1" s="1"/>
  <c r="L1525" i="1"/>
  <c r="M1525" i="1" s="1"/>
  <c r="N1525" i="1" s="1"/>
  <c r="L1526" i="1"/>
  <c r="M1526" i="1" s="1"/>
  <c r="N1526" i="1" s="1"/>
  <c r="L1527" i="1"/>
  <c r="M1527" i="1" s="1"/>
  <c r="N1527" i="1" s="1"/>
  <c r="L1528" i="1"/>
  <c r="M1528" i="1" s="1"/>
  <c r="N1528" i="1" s="1"/>
  <c r="L1529" i="1"/>
  <c r="M1529" i="1" s="1"/>
  <c r="N1529" i="1" s="1"/>
  <c r="L1530" i="1"/>
  <c r="M1530" i="1" s="1"/>
  <c r="N1530" i="1" s="1"/>
  <c r="L1531" i="1"/>
  <c r="M1531" i="1" s="1"/>
  <c r="N1531" i="1" s="1"/>
  <c r="L1532" i="1"/>
  <c r="M1532" i="1" s="1"/>
  <c r="N1532" i="1" s="1"/>
  <c r="L1533" i="1"/>
  <c r="M1533" i="1" s="1"/>
  <c r="N1533" i="1" s="1"/>
  <c r="L1534" i="1"/>
  <c r="M1534" i="1" s="1"/>
  <c r="N1534" i="1" s="1"/>
  <c r="L1535" i="1"/>
  <c r="M1535" i="1" s="1"/>
  <c r="N1535" i="1" s="1"/>
  <c r="L1536" i="1"/>
  <c r="M1536" i="1" s="1"/>
  <c r="N1536" i="1" s="1"/>
  <c r="L1537" i="1"/>
  <c r="M1537" i="1" s="1"/>
  <c r="N1537" i="1" s="1"/>
  <c r="L1538" i="1"/>
  <c r="M1538" i="1" s="1"/>
  <c r="N1538" i="1" s="1"/>
  <c r="L1539" i="1"/>
  <c r="M1539" i="1" s="1"/>
  <c r="N1539" i="1" s="1"/>
  <c r="L1540" i="1"/>
  <c r="M1540" i="1" s="1"/>
  <c r="N1540" i="1" s="1"/>
  <c r="L1541" i="1"/>
  <c r="M1541" i="1" s="1"/>
  <c r="N1541" i="1" s="1"/>
  <c r="L1542" i="1"/>
  <c r="M1542" i="1" s="1"/>
  <c r="N1542" i="1" s="1"/>
  <c r="L1543" i="1"/>
  <c r="M1543" i="1" s="1"/>
  <c r="N1543" i="1" s="1"/>
  <c r="L1544" i="1"/>
  <c r="M1544" i="1" s="1"/>
  <c r="N1544" i="1" s="1"/>
  <c r="L1545" i="1"/>
  <c r="M1545" i="1" s="1"/>
  <c r="N1545" i="1" s="1"/>
  <c r="L1546" i="1"/>
  <c r="M1546" i="1" s="1"/>
  <c r="N1546" i="1" s="1"/>
  <c r="L1547" i="1"/>
  <c r="M1547" i="1" s="1"/>
  <c r="N1547" i="1" s="1"/>
  <c r="L1548" i="1"/>
  <c r="M1548" i="1" s="1"/>
  <c r="N1548" i="1" s="1"/>
  <c r="L1549" i="1"/>
  <c r="M1549" i="1" s="1"/>
  <c r="N1549" i="1" s="1"/>
  <c r="L1550" i="1"/>
  <c r="M1550" i="1" s="1"/>
  <c r="N1550" i="1" s="1"/>
  <c r="L1551" i="1"/>
  <c r="M1551" i="1" s="1"/>
  <c r="N1551" i="1" s="1"/>
  <c r="L1552" i="1"/>
  <c r="M1552" i="1" s="1"/>
  <c r="N1552" i="1" s="1"/>
  <c r="L1553" i="1"/>
  <c r="M1553" i="1" s="1"/>
  <c r="N1553" i="1" s="1"/>
  <c r="L1554" i="1"/>
  <c r="M1554" i="1" s="1"/>
  <c r="N1554" i="1" s="1"/>
  <c r="L1555" i="1"/>
  <c r="M1555" i="1" s="1"/>
  <c r="N1555" i="1" s="1"/>
  <c r="L1556" i="1"/>
  <c r="M1556" i="1" s="1"/>
  <c r="N1556" i="1" s="1"/>
  <c r="L1557" i="1"/>
  <c r="M1557" i="1" s="1"/>
  <c r="N1557" i="1" s="1"/>
  <c r="L1558" i="1"/>
  <c r="M1558" i="1" s="1"/>
  <c r="N1558" i="1" s="1"/>
  <c r="L1559" i="1"/>
  <c r="M1559" i="1" s="1"/>
  <c r="N1559" i="1" s="1"/>
  <c r="L1560" i="1"/>
  <c r="M1560" i="1" s="1"/>
  <c r="N1560" i="1" s="1"/>
  <c r="L1561" i="1"/>
  <c r="M1561" i="1" s="1"/>
  <c r="N1561" i="1" s="1"/>
  <c r="L1562" i="1"/>
  <c r="M1562" i="1" s="1"/>
  <c r="N1562" i="1" s="1"/>
  <c r="L1563" i="1"/>
  <c r="M1563" i="1" s="1"/>
  <c r="N1563" i="1" s="1"/>
  <c r="L1564" i="1"/>
  <c r="M1564" i="1" s="1"/>
  <c r="N1564" i="1" s="1"/>
  <c r="L1565" i="1"/>
  <c r="M1565" i="1" s="1"/>
  <c r="N1565" i="1" s="1"/>
  <c r="L1566" i="1"/>
  <c r="M1566" i="1" s="1"/>
  <c r="N1566" i="1" s="1"/>
  <c r="L1567" i="1"/>
  <c r="M1567" i="1" s="1"/>
  <c r="N1567" i="1" s="1"/>
  <c r="L1568" i="1"/>
  <c r="M1568" i="1" s="1"/>
  <c r="N1568" i="1" s="1"/>
  <c r="L1569" i="1"/>
  <c r="M1569" i="1" s="1"/>
  <c r="N1569" i="1" s="1"/>
  <c r="L1570" i="1"/>
  <c r="M1570" i="1" s="1"/>
  <c r="N1570" i="1" s="1"/>
  <c r="L1571" i="1"/>
  <c r="M1571" i="1" s="1"/>
  <c r="N1571" i="1" s="1"/>
  <c r="L1572" i="1"/>
  <c r="M1572" i="1" s="1"/>
  <c r="N1572" i="1" s="1"/>
  <c r="L1573" i="1"/>
  <c r="M1573" i="1" s="1"/>
  <c r="N1573" i="1" s="1"/>
  <c r="L1574" i="1"/>
  <c r="M1574" i="1" s="1"/>
  <c r="N1574" i="1" s="1"/>
  <c r="L1575" i="1"/>
  <c r="M1575" i="1" s="1"/>
  <c r="N1575" i="1" s="1"/>
  <c r="L1576" i="1"/>
  <c r="M1576" i="1" s="1"/>
  <c r="N1576" i="1" s="1"/>
  <c r="L1577" i="1"/>
  <c r="M1577" i="1" s="1"/>
  <c r="N1577" i="1" s="1"/>
  <c r="L1578" i="1"/>
  <c r="M1578" i="1" s="1"/>
  <c r="N1578" i="1" s="1"/>
  <c r="L1579" i="1"/>
  <c r="M1579" i="1" s="1"/>
  <c r="N1579" i="1" s="1"/>
  <c r="L1580" i="1"/>
  <c r="M1580" i="1" s="1"/>
  <c r="N1580" i="1" s="1"/>
  <c r="L1581" i="1"/>
  <c r="M1581" i="1" s="1"/>
  <c r="N1581" i="1" s="1"/>
  <c r="L1582" i="1"/>
  <c r="M1582" i="1" s="1"/>
  <c r="N1582" i="1" s="1"/>
  <c r="L1583" i="1"/>
  <c r="M1583" i="1" s="1"/>
  <c r="N1583" i="1" s="1"/>
  <c r="L1584" i="1"/>
  <c r="M1584" i="1" s="1"/>
  <c r="N1584" i="1" s="1"/>
  <c r="L1585" i="1"/>
  <c r="M1585" i="1" s="1"/>
  <c r="N1585" i="1" s="1"/>
  <c r="L1586" i="1"/>
  <c r="M1586" i="1" s="1"/>
  <c r="N1586" i="1" s="1"/>
  <c r="L1587" i="1"/>
  <c r="M1587" i="1" s="1"/>
  <c r="N1587" i="1" s="1"/>
  <c r="L1588" i="1"/>
  <c r="M1588" i="1" s="1"/>
  <c r="N1588" i="1" s="1"/>
  <c r="L1589" i="1"/>
  <c r="M1589" i="1" s="1"/>
  <c r="N1589" i="1" s="1"/>
  <c r="L1590" i="1"/>
  <c r="M1590" i="1" s="1"/>
  <c r="N1590" i="1" s="1"/>
  <c r="L1591" i="1"/>
  <c r="M1591" i="1" s="1"/>
  <c r="N1591" i="1" s="1"/>
  <c r="L1592" i="1"/>
  <c r="M1592" i="1" s="1"/>
  <c r="N1592" i="1" s="1"/>
  <c r="L1593" i="1"/>
  <c r="M1593" i="1" s="1"/>
  <c r="N1593" i="1" s="1"/>
  <c r="L1594" i="1"/>
  <c r="M1594" i="1" s="1"/>
  <c r="N1594" i="1" s="1"/>
  <c r="L1595" i="1"/>
  <c r="M1595" i="1" s="1"/>
  <c r="N1595" i="1" s="1"/>
  <c r="L1596" i="1"/>
  <c r="M1596" i="1" s="1"/>
  <c r="N1596" i="1" s="1"/>
  <c r="L1597" i="1"/>
  <c r="M1597" i="1" s="1"/>
  <c r="N1597" i="1" s="1"/>
  <c r="L1598" i="1"/>
  <c r="M1598" i="1" s="1"/>
  <c r="N1598" i="1" s="1"/>
  <c r="L1599" i="1"/>
  <c r="M1599" i="1" s="1"/>
  <c r="N1599" i="1" s="1"/>
  <c r="L1600" i="1"/>
  <c r="M1600" i="1" s="1"/>
  <c r="N1600" i="1" s="1"/>
  <c r="L1601" i="1"/>
  <c r="M1601" i="1" s="1"/>
  <c r="N1601" i="1" s="1"/>
  <c r="L1602" i="1"/>
  <c r="M1602" i="1" s="1"/>
  <c r="N1602" i="1" s="1"/>
  <c r="L1603" i="1"/>
  <c r="M1603" i="1" s="1"/>
  <c r="N1603" i="1" s="1"/>
  <c r="L1604" i="1"/>
  <c r="M1604" i="1" s="1"/>
  <c r="N1604" i="1" s="1"/>
  <c r="L1605" i="1"/>
  <c r="M1605" i="1" s="1"/>
  <c r="N1605" i="1" s="1"/>
  <c r="L1606" i="1"/>
  <c r="M1606" i="1" s="1"/>
  <c r="N1606" i="1" s="1"/>
  <c r="L1607" i="1"/>
  <c r="M1607" i="1" s="1"/>
  <c r="N1607" i="1" s="1"/>
  <c r="L1608" i="1"/>
  <c r="M1608" i="1" s="1"/>
  <c r="N1608" i="1" s="1"/>
  <c r="L1609" i="1"/>
  <c r="M1609" i="1" s="1"/>
  <c r="N1609" i="1" s="1"/>
  <c r="L1610" i="1"/>
  <c r="M1610" i="1" s="1"/>
  <c r="N1610" i="1" s="1"/>
  <c r="L1611" i="1"/>
  <c r="M1611" i="1" s="1"/>
  <c r="N1611" i="1" s="1"/>
  <c r="L1612" i="1"/>
  <c r="M1612" i="1" s="1"/>
  <c r="N1612" i="1" s="1"/>
  <c r="L1613" i="1"/>
  <c r="M1613" i="1" s="1"/>
  <c r="N1613" i="1" s="1"/>
  <c r="L1614" i="1"/>
  <c r="M1614" i="1" s="1"/>
  <c r="N1614" i="1" s="1"/>
  <c r="L1615" i="1"/>
  <c r="M1615" i="1" s="1"/>
  <c r="N1615" i="1" s="1"/>
  <c r="L1616" i="1"/>
  <c r="M1616" i="1" s="1"/>
  <c r="N1616" i="1" s="1"/>
  <c r="L1617" i="1"/>
  <c r="M1617" i="1" s="1"/>
  <c r="N1617" i="1" s="1"/>
  <c r="L1618" i="1"/>
  <c r="M1618" i="1" s="1"/>
  <c r="N1618" i="1" s="1"/>
  <c r="L1619" i="1"/>
  <c r="M1619" i="1" s="1"/>
  <c r="N1619" i="1" s="1"/>
  <c r="L1620" i="1"/>
  <c r="M1620" i="1" s="1"/>
  <c r="N1620" i="1" s="1"/>
  <c r="L1621" i="1"/>
  <c r="M1621" i="1" s="1"/>
  <c r="N1621" i="1" s="1"/>
  <c r="L1622" i="1"/>
  <c r="M1622" i="1" s="1"/>
  <c r="N1622" i="1" s="1"/>
  <c r="L1623" i="1"/>
  <c r="M1623" i="1" s="1"/>
  <c r="N1623" i="1" s="1"/>
  <c r="L1624" i="1"/>
  <c r="M1624" i="1" s="1"/>
  <c r="N1624" i="1" s="1"/>
  <c r="L1625" i="1"/>
  <c r="M1625" i="1" s="1"/>
  <c r="N1625" i="1" s="1"/>
  <c r="L1626" i="1"/>
  <c r="M1626" i="1" s="1"/>
  <c r="N1626" i="1" s="1"/>
  <c r="L1627" i="1"/>
  <c r="M1627" i="1" s="1"/>
  <c r="N1627" i="1" s="1"/>
  <c r="L1628" i="1"/>
  <c r="M1628" i="1" s="1"/>
  <c r="N1628" i="1" s="1"/>
  <c r="L1629" i="1"/>
  <c r="M1629" i="1" s="1"/>
  <c r="N1629" i="1" s="1"/>
  <c r="L1630" i="1"/>
  <c r="M1630" i="1" s="1"/>
  <c r="N1630" i="1" s="1"/>
  <c r="L1631" i="1"/>
  <c r="M1631" i="1" s="1"/>
  <c r="N1631" i="1" s="1"/>
  <c r="L1632" i="1"/>
  <c r="M1632" i="1" s="1"/>
  <c r="N1632" i="1" s="1"/>
  <c r="L1633" i="1"/>
  <c r="M1633" i="1" s="1"/>
  <c r="N1633" i="1" s="1"/>
  <c r="L1634" i="1"/>
  <c r="M1634" i="1" s="1"/>
  <c r="N1634" i="1" s="1"/>
  <c r="L1635" i="1"/>
  <c r="M1635" i="1" s="1"/>
  <c r="N1635" i="1" s="1"/>
  <c r="L1636" i="1"/>
  <c r="M1636" i="1" s="1"/>
  <c r="N1636" i="1" s="1"/>
  <c r="L1637" i="1"/>
  <c r="M1637" i="1" s="1"/>
  <c r="N1637" i="1" s="1"/>
  <c r="L1638" i="1"/>
  <c r="M1638" i="1" s="1"/>
  <c r="N1638" i="1" s="1"/>
  <c r="L1639" i="1"/>
  <c r="M1639" i="1" s="1"/>
  <c r="N1639" i="1" s="1"/>
  <c r="L1640" i="1"/>
  <c r="M1640" i="1" s="1"/>
  <c r="N1640" i="1" s="1"/>
  <c r="L1641" i="1"/>
  <c r="M1641" i="1" s="1"/>
  <c r="N1641" i="1" s="1"/>
  <c r="L1642" i="1"/>
  <c r="M1642" i="1" s="1"/>
  <c r="N1642" i="1" s="1"/>
  <c r="L1643" i="1"/>
  <c r="M1643" i="1" s="1"/>
  <c r="N1643" i="1" s="1"/>
  <c r="L1644" i="1"/>
  <c r="M1644" i="1" s="1"/>
  <c r="N1644" i="1" s="1"/>
  <c r="L1645" i="1"/>
  <c r="M1645" i="1" s="1"/>
  <c r="N1645" i="1" s="1"/>
  <c r="L1646" i="1"/>
  <c r="M1646" i="1" s="1"/>
  <c r="N1646" i="1" s="1"/>
  <c r="L1647" i="1"/>
  <c r="M1647" i="1" s="1"/>
  <c r="N1647" i="1" s="1"/>
  <c r="L1648" i="1"/>
  <c r="M1648" i="1" s="1"/>
  <c r="N1648" i="1" s="1"/>
  <c r="L1649" i="1"/>
  <c r="M1649" i="1" s="1"/>
  <c r="N1649" i="1" s="1"/>
  <c r="L1650" i="1"/>
  <c r="M1650" i="1" s="1"/>
  <c r="N1650" i="1" s="1"/>
  <c r="L1651" i="1"/>
  <c r="M1651" i="1" s="1"/>
  <c r="N1651" i="1" s="1"/>
  <c r="L1652" i="1"/>
  <c r="M1652" i="1" s="1"/>
  <c r="N1652" i="1" s="1"/>
  <c r="L1653" i="1"/>
  <c r="M1653" i="1" s="1"/>
  <c r="N1653" i="1" s="1"/>
  <c r="L1654" i="1"/>
  <c r="M1654" i="1" s="1"/>
  <c r="N1654" i="1" s="1"/>
  <c r="L1655" i="1"/>
  <c r="M1655" i="1" s="1"/>
  <c r="N1655" i="1" s="1"/>
  <c r="L1656" i="1"/>
  <c r="M1656" i="1" s="1"/>
  <c r="N1656" i="1" s="1"/>
  <c r="L1657" i="1"/>
  <c r="M1657" i="1" s="1"/>
  <c r="N1657" i="1" s="1"/>
  <c r="L1658" i="1"/>
  <c r="M1658" i="1" s="1"/>
  <c r="N1658" i="1" s="1"/>
  <c r="L1659" i="1"/>
  <c r="M1659" i="1" s="1"/>
  <c r="N1659" i="1" s="1"/>
  <c r="L1660" i="1"/>
  <c r="M1660" i="1" s="1"/>
  <c r="N1660" i="1" s="1"/>
  <c r="L1661" i="1"/>
  <c r="M1661" i="1" s="1"/>
  <c r="N1661" i="1" s="1"/>
  <c r="L1662" i="1"/>
  <c r="M1662" i="1" s="1"/>
  <c r="N1662" i="1" s="1"/>
  <c r="L1663" i="1"/>
  <c r="M1663" i="1" s="1"/>
  <c r="N1663" i="1" s="1"/>
  <c r="L1664" i="1"/>
  <c r="M1664" i="1" s="1"/>
  <c r="N1664" i="1" s="1"/>
  <c r="L1665" i="1"/>
  <c r="M1665" i="1" s="1"/>
  <c r="N1665" i="1" s="1"/>
  <c r="L1666" i="1"/>
  <c r="M1666" i="1" s="1"/>
  <c r="N1666" i="1" s="1"/>
  <c r="L1667" i="1"/>
  <c r="M1667" i="1" s="1"/>
  <c r="N1667" i="1" s="1"/>
  <c r="L1668" i="1"/>
  <c r="M1668" i="1" s="1"/>
  <c r="N1668" i="1" s="1"/>
  <c r="L1669" i="1"/>
  <c r="M1669" i="1" s="1"/>
  <c r="N1669" i="1" s="1"/>
  <c r="L1670" i="1"/>
  <c r="M1670" i="1" s="1"/>
  <c r="N1670" i="1" s="1"/>
  <c r="L1671" i="1"/>
  <c r="M1671" i="1" s="1"/>
  <c r="N1671" i="1" s="1"/>
  <c r="L1672" i="1"/>
  <c r="M1672" i="1" s="1"/>
  <c r="N1672" i="1" s="1"/>
  <c r="L1673" i="1"/>
  <c r="M1673" i="1" s="1"/>
  <c r="N1673" i="1" s="1"/>
  <c r="L1674" i="1"/>
  <c r="M1674" i="1" s="1"/>
  <c r="N1674" i="1" s="1"/>
  <c r="L1675" i="1"/>
  <c r="M1675" i="1" s="1"/>
  <c r="N1675" i="1" s="1"/>
  <c r="L1676" i="1"/>
  <c r="M1676" i="1" s="1"/>
  <c r="N1676" i="1" s="1"/>
  <c r="L1677" i="1"/>
  <c r="M1677" i="1" s="1"/>
  <c r="N1677" i="1" s="1"/>
  <c r="L1678" i="1"/>
  <c r="M1678" i="1" s="1"/>
  <c r="N1678" i="1" s="1"/>
  <c r="L1679" i="1"/>
  <c r="M1679" i="1" s="1"/>
  <c r="N1679" i="1" s="1"/>
  <c r="L1680" i="1"/>
  <c r="M1680" i="1" s="1"/>
  <c r="N1680" i="1" s="1"/>
  <c r="L1681" i="1"/>
  <c r="M1681" i="1" s="1"/>
  <c r="N1681" i="1" s="1"/>
  <c r="L1682" i="1"/>
  <c r="M1682" i="1" s="1"/>
  <c r="N1682" i="1" s="1"/>
  <c r="L1683" i="1"/>
  <c r="M1683" i="1" s="1"/>
  <c r="N1683" i="1" s="1"/>
  <c r="L1684" i="1"/>
  <c r="M1684" i="1" s="1"/>
  <c r="N1684" i="1" s="1"/>
  <c r="L1685" i="1"/>
  <c r="M1685" i="1" s="1"/>
  <c r="N1685" i="1" s="1"/>
  <c r="L1686" i="1"/>
  <c r="M1686" i="1" s="1"/>
  <c r="N1686" i="1" s="1"/>
  <c r="L1687" i="1"/>
  <c r="M1687" i="1" s="1"/>
  <c r="N1687" i="1" s="1"/>
  <c r="L1688" i="1"/>
  <c r="M1688" i="1" s="1"/>
  <c r="N1688" i="1" s="1"/>
  <c r="L1689" i="1"/>
  <c r="M1689" i="1" s="1"/>
  <c r="N1689" i="1" s="1"/>
  <c r="L1690" i="1"/>
  <c r="M1690" i="1" s="1"/>
  <c r="N1690" i="1" s="1"/>
  <c r="L1691" i="1"/>
  <c r="M1691" i="1" s="1"/>
  <c r="N1691" i="1" s="1"/>
  <c r="L1692" i="1"/>
  <c r="M1692" i="1" s="1"/>
  <c r="N1692" i="1" s="1"/>
  <c r="L1693" i="1"/>
  <c r="M1693" i="1" s="1"/>
  <c r="N1693" i="1" s="1"/>
  <c r="L1694" i="1"/>
  <c r="M1694" i="1" s="1"/>
  <c r="N1694" i="1" s="1"/>
  <c r="L1695" i="1"/>
  <c r="M1695" i="1" s="1"/>
  <c r="N1695" i="1" s="1"/>
  <c r="L1696" i="1"/>
  <c r="M1696" i="1" s="1"/>
  <c r="N1696" i="1" s="1"/>
  <c r="L1697" i="1"/>
  <c r="M1697" i="1" s="1"/>
  <c r="N1697" i="1" s="1"/>
  <c r="L1698" i="1"/>
  <c r="M1698" i="1" s="1"/>
  <c r="N1698" i="1" s="1"/>
  <c r="L1699" i="1"/>
  <c r="M1699" i="1" s="1"/>
  <c r="N1699" i="1" s="1"/>
  <c r="L1700" i="1"/>
  <c r="M1700" i="1" s="1"/>
  <c r="N1700" i="1" s="1"/>
  <c r="L1701" i="1"/>
  <c r="M1701" i="1" s="1"/>
  <c r="N1701" i="1" s="1"/>
  <c r="L1702" i="1"/>
  <c r="M1702" i="1" s="1"/>
  <c r="N1702" i="1" s="1"/>
  <c r="L1703" i="1"/>
  <c r="M1703" i="1" s="1"/>
  <c r="N1703" i="1" s="1"/>
  <c r="L1704" i="1"/>
  <c r="M1704" i="1" s="1"/>
  <c r="N1704" i="1" s="1"/>
  <c r="L1705" i="1"/>
  <c r="M1705" i="1" s="1"/>
  <c r="N1705" i="1" s="1"/>
  <c r="L1706" i="1"/>
  <c r="M1706" i="1" s="1"/>
  <c r="N1706" i="1" s="1"/>
  <c r="L1707" i="1"/>
  <c r="M1707" i="1" s="1"/>
  <c r="N1707" i="1" s="1"/>
  <c r="L1708" i="1"/>
  <c r="M1708" i="1" s="1"/>
  <c r="N1708" i="1" s="1"/>
  <c r="L1709" i="1"/>
  <c r="M1709" i="1" s="1"/>
  <c r="N1709" i="1" s="1"/>
  <c r="L1710" i="1"/>
  <c r="M1710" i="1" s="1"/>
  <c r="N1710" i="1" s="1"/>
  <c r="L1711" i="1"/>
  <c r="M1711" i="1" s="1"/>
  <c r="N1711" i="1" s="1"/>
  <c r="L1712" i="1"/>
  <c r="M1712" i="1" s="1"/>
  <c r="N1712" i="1" s="1"/>
  <c r="L1713" i="1"/>
  <c r="M1713" i="1" s="1"/>
  <c r="N1713" i="1" s="1"/>
  <c r="L1714" i="1"/>
  <c r="M1714" i="1" s="1"/>
  <c r="N1714" i="1" s="1"/>
  <c r="L1715" i="1"/>
  <c r="M1715" i="1" s="1"/>
  <c r="N1715" i="1" s="1"/>
  <c r="L1716" i="1"/>
  <c r="M1716" i="1" s="1"/>
  <c r="N1716" i="1" s="1"/>
  <c r="L1717" i="1"/>
  <c r="M1717" i="1" s="1"/>
  <c r="N1717" i="1" s="1"/>
  <c r="L1718" i="1"/>
  <c r="M1718" i="1" s="1"/>
  <c r="N1718" i="1" s="1"/>
  <c r="L1719" i="1"/>
  <c r="M1719" i="1" s="1"/>
  <c r="N1719" i="1" s="1"/>
  <c r="L1720" i="1"/>
  <c r="M1720" i="1" s="1"/>
  <c r="N1720" i="1" s="1"/>
  <c r="L1721" i="1"/>
  <c r="M1721" i="1" s="1"/>
  <c r="N1721" i="1" s="1"/>
  <c r="L1722" i="1"/>
  <c r="M1722" i="1" s="1"/>
  <c r="N1722" i="1" s="1"/>
  <c r="L1723" i="1"/>
  <c r="M1723" i="1" s="1"/>
  <c r="N1723" i="1" s="1"/>
  <c r="L1724" i="1"/>
  <c r="M1724" i="1" s="1"/>
  <c r="N1724" i="1" s="1"/>
  <c r="L1725" i="1"/>
  <c r="M1725" i="1" s="1"/>
  <c r="N1725" i="1" s="1"/>
  <c r="L1726" i="1"/>
  <c r="M1726" i="1" s="1"/>
  <c r="N1726" i="1" s="1"/>
  <c r="L1727" i="1"/>
  <c r="M1727" i="1" s="1"/>
  <c r="N1727" i="1" s="1"/>
  <c r="L1728" i="1"/>
  <c r="M1728" i="1" s="1"/>
  <c r="N1728" i="1" s="1"/>
  <c r="L1729" i="1"/>
  <c r="M1729" i="1" s="1"/>
  <c r="N1729" i="1" s="1"/>
  <c r="L1730" i="1"/>
  <c r="M1730" i="1" s="1"/>
  <c r="N1730" i="1" s="1"/>
  <c r="L1731" i="1"/>
  <c r="M1731" i="1" s="1"/>
  <c r="N1731" i="1" s="1"/>
  <c r="L1732" i="1"/>
  <c r="M1732" i="1" s="1"/>
  <c r="N1732" i="1" s="1"/>
  <c r="L1733" i="1"/>
  <c r="M1733" i="1" s="1"/>
  <c r="N1733" i="1" s="1"/>
  <c r="L1734" i="1"/>
  <c r="M1734" i="1" s="1"/>
  <c r="N1734" i="1" s="1"/>
  <c r="L1735" i="1"/>
  <c r="M1735" i="1" s="1"/>
  <c r="N1735" i="1" s="1"/>
  <c r="L1736" i="1"/>
  <c r="M1736" i="1" s="1"/>
  <c r="N1736" i="1" s="1"/>
  <c r="L1737" i="1"/>
  <c r="M1737" i="1" s="1"/>
  <c r="N1737" i="1" s="1"/>
  <c r="L1738" i="1"/>
  <c r="M1738" i="1" s="1"/>
  <c r="N1738" i="1" s="1"/>
  <c r="L1739" i="1"/>
  <c r="M1739" i="1" s="1"/>
  <c r="N1739" i="1" s="1"/>
  <c r="L1740" i="1"/>
  <c r="M1740" i="1" s="1"/>
  <c r="N1740" i="1" s="1"/>
  <c r="L1741" i="1"/>
  <c r="M1741" i="1" s="1"/>
  <c r="N1741" i="1" s="1"/>
  <c r="L1742" i="1"/>
  <c r="M1742" i="1" s="1"/>
  <c r="N1742" i="1" s="1"/>
  <c r="L1743" i="1"/>
  <c r="M1743" i="1" s="1"/>
  <c r="N1743" i="1" s="1"/>
  <c r="L1744" i="1"/>
  <c r="M1744" i="1" s="1"/>
  <c r="N1744" i="1" s="1"/>
  <c r="L1745" i="1"/>
  <c r="M1745" i="1" s="1"/>
  <c r="N1745" i="1" s="1"/>
  <c r="L1746" i="1"/>
  <c r="M1746" i="1" s="1"/>
  <c r="N1746" i="1" s="1"/>
  <c r="L1747" i="1"/>
  <c r="M1747" i="1" s="1"/>
  <c r="N1747" i="1" s="1"/>
  <c r="L1748" i="1"/>
  <c r="M1748" i="1" s="1"/>
  <c r="N1748" i="1" s="1"/>
  <c r="L1749" i="1"/>
  <c r="M1749" i="1" s="1"/>
  <c r="N1749" i="1" s="1"/>
  <c r="L1750" i="1"/>
  <c r="M1750" i="1" s="1"/>
  <c r="N1750" i="1" s="1"/>
  <c r="L1751" i="1"/>
  <c r="M1751" i="1" s="1"/>
  <c r="N1751" i="1" s="1"/>
  <c r="L1752" i="1"/>
  <c r="M1752" i="1" s="1"/>
  <c r="N1752" i="1" s="1"/>
  <c r="L1753" i="1"/>
  <c r="M1753" i="1" s="1"/>
  <c r="N1753" i="1" s="1"/>
  <c r="L1754" i="1"/>
  <c r="M1754" i="1" s="1"/>
  <c r="N1754" i="1" s="1"/>
  <c r="L1755" i="1"/>
  <c r="M1755" i="1" s="1"/>
  <c r="N1755" i="1" s="1"/>
  <c r="L1756" i="1"/>
  <c r="M1756" i="1" s="1"/>
  <c r="N1756" i="1" s="1"/>
  <c r="L1757" i="1"/>
  <c r="M1757" i="1" s="1"/>
  <c r="N1757" i="1" s="1"/>
  <c r="L1758" i="1"/>
  <c r="M1758" i="1" s="1"/>
  <c r="N1758" i="1" s="1"/>
  <c r="L1759" i="1"/>
  <c r="M1759" i="1" s="1"/>
  <c r="N1759" i="1" s="1"/>
  <c r="L1760" i="1"/>
  <c r="M1760" i="1" s="1"/>
  <c r="N1760" i="1" s="1"/>
  <c r="L1761" i="1"/>
  <c r="M1761" i="1" s="1"/>
  <c r="N1761" i="1" s="1"/>
  <c r="L1762" i="1"/>
  <c r="M1762" i="1" s="1"/>
  <c r="N1762" i="1" s="1"/>
  <c r="L1763" i="1"/>
  <c r="M1763" i="1" s="1"/>
  <c r="N1763" i="1" s="1"/>
  <c r="L1764" i="1"/>
  <c r="M1764" i="1" s="1"/>
  <c r="N1764" i="1" s="1"/>
  <c r="L1765" i="1"/>
  <c r="M1765" i="1" s="1"/>
  <c r="N1765" i="1" s="1"/>
  <c r="L1766" i="1"/>
  <c r="M1766" i="1" s="1"/>
  <c r="N1766" i="1" s="1"/>
  <c r="L1767" i="1"/>
  <c r="M1767" i="1" s="1"/>
  <c r="N1767" i="1" s="1"/>
  <c r="L1768" i="1"/>
  <c r="M1768" i="1" s="1"/>
  <c r="N1768" i="1" s="1"/>
  <c r="L1769" i="1"/>
  <c r="M1769" i="1" s="1"/>
  <c r="N1769" i="1" s="1"/>
  <c r="L1770" i="1"/>
  <c r="M1770" i="1" s="1"/>
  <c r="N1770" i="1" s="1"/>
  <c r="L1771" i="1"/>
  <c r="M1771" i="1" s="1"/>
  <c r="N1771" i="1" s="1"/>
  <c r="L1772" i="1"/>
  <c r="M1772" i="1" s="1"/>
  <c r="N1772" i="1" s="1"/>
  <c r="L1773" i="1"/>
  <c r="M1773" i="1" s="1"/>
  <c r="N1773" i="1" s="1"/>
  <c r="L1774" i="1"/>
  <c r="M1774" i="1" s="1"/>
  <c r="N1774" i="1" s="1"/>
  <c r="L1775" i="1"/>
  <c r="M1775" i="1" s="1"/>
  <c r="N1775" i="1" s="1"/>
  <c r="L1776" i="1"/>
  <c r="M1776" i="1" s="1"/>
  <c r="N1776" i="1" s="1"/>
  <c r="L1777" i="1"/>
  <c r="M1777" i="1" s="1"/>
  <c r="N1777" i="1" s="1"/>
  <c r="L1778" i="1"/>
  <c r="M1778" i="1" s="1"/>
  <c r="N1778" i="1" s="1"/>
  <c r="L1779" i="1"/>
  <c r="M1779" i="1" s="1"/>
  <c r="N1779" i="1" s="1"/>
  <c r="L1780" i="1"/>
  <c r="M1780" i="1" s="1"/>
  <c r="N1780" i="1" s="1"/>
  <c r="L1781" i="1"/>
  <c r="M1781" i="1" s="1"/>
  <c r="N1781" i="1" s="1"/>
  <c r="L1782" i="1"/>
  <c r="M1782" i="1" s="1"/>
  <c r="N1782" i="1" s="1"/>
  <c r="L1783" i="1"/>
  <c r="M1783" i="1" s="1"/>
  <c r="N1783" i="1" s="1"/>
  <c r="L1784" i="1"/>
  <c r="M1784" i="1" s="1"/>
  <c r="N1784" i="1" s="1"/>
  <c r="L1785" i="1"/>
  <c r="M1785" i="1" s="1"/>
  <c r="N1785" i="1" s="1"/>
  <c r="L1786" i="1"/>
  <c r="M1786" i="1" s="1"/>
  <c r="N1786" i="1" s="1"/>
  <c r="L1787" i="1"/>
  <c r="M1787" i="1" s="1"/>
  <c r="N1787" i="1" s="1"/>
  <c r="L1788" i="1"/>
  <c r="M1788" i="1" s="1"/>
  <c r="N1788" i="1" s="1"/>
  <c r="L1789" i="1"/>
  <c r="M1789" i="1" s="1"/>
  <c r="N1789" i="1" s="1"/>
  <c r="L1790" i="1"/>
  <c r="M1790" i="1" s="1"/>
  <c r="N1790" i="1" s="1"/>
  <c r="L1791" i="1"/>
  <c r="M1791" i="1" s="1"/>
  <c r="N1791" i="1" s="1"/>
  <c r="L1792" i="1"/>
  <c r="M1792" i="1" s="1"/>
  <c r="N1792" i="1" s="1"/>
  <c r="L1793" i="1"/>
  <c r="M1793" i="1" s="1"/>
  <c r="N1793" i="1" s="1"/>
  <c r="L1794" i="1"/>
  <c r="M1794" i="1" s="1"/>
  <c r="N1794" i="1" s="1"/>
  <c r="L1795" i="1"/>
  <c r="M1795" i="1" s="1"/>
  <c r="N1795" i="1" s="1"/>
  <c r="L1796" i="1"/>
  <c r="M1796" i="1" s="1"/>
  <c r="N1796" i="1" s="1"/>
  <c r="L1797" i="1"/>
  <c r="M1797" i="1" s="1"/>
  <c r="N1797" i="1" s="1"/>
  <c r="L1798" i="1"/>
  <c r="M1798" i="1" s="1"/>
  <c r="N1798" i="1" s="1"/>
  <c r="L1799" i="1"/>
  <c r="M1799" i="1" s="1"/>
  <c r="N1799" i="1" s="1"/>
  <c r="L1800" i="1"/>
  <c r="M1800" i="1" s="1"/>
  <c r="N1800" i="1" s="1"/>
  <c r="L1801" i="1"/>
  <c r="M1801" i="1" s="1"/>
  <c r="N1801" i="1" s="1"/>
  <c r="L1802" i="1"/>
  <c r="M1802" i="1" s="1"/>
  <c r="N1802" i="1" s="1"/>
  <c r="L1803" i="1"/>
  <c r="M1803" i="1" s="1"/>
  <c r="N1803" i="1" s="1"/>
  <c r="L1804" i="1"/>
  <c r="M1804" i="1" s="1"/>
  <c r="N1804" i="1" s="1"/>
  <c r="L1805" i="1"/>
  <c r="M1805" i="1" s="1"/>
  <c r="N1805" i="1" s="1"/>
  <c r="L1806" i="1"/>
  <c r="M1806" i="1" s="1"/>
  <c r="N1806" i="1" s="1"/>
  <c r="L1807" i="1"/>
  <c r="M1807" i="1" s="1"/>
  <c r="N1807" i="1" s="1"/>
  <c r="L1808" i="1"/>
  <c r="M1808" i="1" s="1"/>
  <c r="N1808" i="1" s="1"/>
  <c r="L1809" i="1"/>
  <c r="M1809" i="1" s="1"/>
  <c r="N1809" i="1" s="1"/>
  <c r="L1810" i="1"/>
  <c r="M1810" i="1" s="1"/>
  <c r="N1810" i="1" s="1"/>
  <c r="L1811" i="1"/>
  <c r="M1811" i="1" s="1"/>
  <c r="N1811" i="1" s="1"/>
  <c r="L1812" i="1"/>
  <c r="M1812" i="1" s="1"/>
  <c r="N1812" i="1" s="1"/>
  <c r="L1813" i="1"/>
  <c r="M1813" i="1" s="1"/>
  <c r="N1813" i="1" s="1"/>
  <c r="L1814" i="1"/>
  <c r="M1814" i="1" s="1"/>
  <c r="N1814" i="1" s="1"/>
  <c r="L1815" i="1"/>
  <c r="M1815" i="1" s="1"/>
  <c r="N1815" i="1" s="1"/>
  <c r="L1816" i="1"/>
  <c r="M1816" i="1" s="1"/>
  <c r="N1816" i="1" s="1"/>
  <c r="L1817" i="1"/>
  <c r="M1817" i="1" s="1"/>
  <c r="N1817" i="1" s="1"/>
  <c r="L1818" i="1"/>
  <c r="M1818" i="1" s="1"/>
  <c r="N1818" i="1" s="1"/>
  <c r="L1819" i="1"/>
  <c r="M1819" i="1" s="1"/>
  <c r="N1819" i="1" s="1"/>
  <c r="L1820" i="1"/>
  <c r="M1820" i="1" s="1"/>
  <c r="N1820" i="1" s="1"/>
  <c r="L1821" i="1"/>
  <c r="M1821" i="1" s="1"/>
  <c r="N1821" i="1" s="1"/>
  <c r="L1822" i="1"/>
  <c r="M1822" i="1" s="1"/>
  <c r="N1822" i="1" s="1"/>
  <c r="L1823" i="1"/>
  <c r="M1823" i="1" s="1"/>
  <c r="N1823" i="1" s="1"/>
  <c r="L1824" i="1"/>
  <c r="M1824" i="1" s="1"/>
  <c r="N1824" i="1" s="1"/>
  <c r="L1825" i="1"/>
  <c r="M1825" i="1" s="1"/>
  <c r="N1825" i="1" s="1"/>
  <c r="L1826" i="1"/>
  <c r="M1826" i="1" s="1"/>
  <c r="N1826" i="1" s="1"/>
  <c r="L1827" i="1"/>
  <c r="M1827" i="1" s="1"/>
  <c r="N1827" i="1" s="1"/>
  <c r="L1828" i="1"/>
  <c r="M1828" i="1" s="1"/>
  <c r="N1828" i="1" s="1"/>
  <c r="L1829" i="1"/>
  <c r="M1829" i="1" s="1"/>
  <c r="N1829" i="1" s="1"/>
  <c r="L1830" i="1"/>
  <c r="M1830" i="1" s="1"/>
  <c r="N1830" i="1" s="1"/>
  <c r="L1831" i="1"/>
  <c r="M1831" i="1" s="1"/>
  <c r="N1831" i="1" s="1"/>
  <c r="L1832" i="1"/>
  <c r="M1832" i="1" s="1"/>
  <c r="N1832" i="1" s="1"/>
  <c r="L1833" i="1"/>
  <c r="M1833" i="1" s="1"/>
  <c r="N1833" i="1" s="1"/>
  <c r="L1834" i="1"/>
  <c r="M1834" i="1" s="1"/>
  <c r="N1834" i="1" s="1"/>
  <c r="L1835" i="1"/>
  <c r="M1835" i="1" s="1"/>
  <c r="N1835" i="1" s="1"/>
  <c r="L1836" i="1"/>
  <c r="M1836" i="1" s="1"/>
  <c r="N1836" i="1" s="1"/>
  <c r="L1837" i="1"/>
  <c r="M1837" i="1" s="1"/>
  <c r="N1837" i="1" s="1"/>
  <c r="L1838" i="1"/>
  <c r="M1838" i="1" s="1"/>
  <c r="N1838" i="1" s="1"/>
  <c r="L1839" i="1"/>
  <c r="M1839" i="1" s="1"/>
  <c r="N1839" i="1" s="1"/>
  <c r="L1840" i="1"/>
  <c r="M1840" i="1" s="1"/>
  <c r="N1840" i="1" s="1"/>
  <c r="L1841" i="1"/>
  <c r="M1841" i="1" s="1"/>
  <c r="N1841" i="1" s="1"/>
  <c r="L1842" i="1"/>
  <c r="M1842" i="1" s="1"/>
  <c r="N1842" i="1" s="1"/>
  <c r="L1843" i="1"/>
  <c r="M1843" i="1" s="1"/>
  <c r="N1843" i="1" s="1"/>
  <c r="L1844" i="1"/>
  <c r="M1844" i="1" s="1"/>
  <c r="N1844" i="1" s="1"/>
  <c r="L1845" i="1"/>
  <c r="M1845" i="1" s="1"/>
  <c r="N1845" i="1" s="1"/>
  <c r="L1846" i="1"/>
  <c r="M1846" i="1" s="1"/>
  <c r="N1846" i="1" s="1"/>
  <c r="L1847" i="1"/>
  <c r="M1847" i="1" s="1"/>
  <c r="N1847" i="1" s="1"/>
  <c r="L1848" i="1"/>
  <c r="M1848" i="1" s="1"/>
  <c r="N1848" i="1" s="1"/>
  <c r="L1849" i="1"/>
  <c r="M1849" i="1" s="1"/>
  <c r="N1849" i="1" s="1"/>
  <c r="L1850" i="1"/>
  <c r="M1850" i="1" s="1"/>
  <c r="N1850" i="1" s="1"/>
  <c r="L1851" i="1"/>
  <c r="M1851" i="1" s="1"/>
  <c r="N1851" i="1" s="1"/>
  <c r="L1852" i="1"/>
  <c r="M1852" i="1" s="1"/>
  <c r="N1852" i="1" s="1"/>
  <c r="L1853" i="1"/>
  <c r="M1853" i="1" s="1"/>
  <c r="N1853" i="1" s="1"/>
  <c r="L1854" i="1"/>
  <c r="M1854" i="1" s="1"/>
  <c r="N1854" i="1" s="1"/>
  <c r="L1855" i="1"/>
  <c r="M1855" i="1" s="1"/>
  <c r="N1855" i="1" s="1"/>
  <c r="L1856" i="1"/>
  <c r="M1856" i="1" s="1"/>
  <c r="N1856" i="1" s="1"/>
  <c r="L1857" i="1"/>
  <c r="M1857" i="1" s="1"/>
  <c r="N1857" i="1" s="1"/>
  <c r="L1858" i="1"/>
  <c r="M1858" i="1" s="1"/>
  <c r="N1858" i="1" s="1"/>
  <c r="L1859" i="1"/>
  <c r="M1859" i="1" s="1"/>
  <c r="N1859" i="1" s="1"/>
  <c r="L1860" i="1"/>
  <c r="M1860" i="1" s="1"/>
  <c r="N1860" i="1" s="1"/>
  <c r="L1861" i="1"/>
  <c r="M1861" i="1" s="1"/>
  <c r="N1861" i="1" s="1"/>
  <c r="L1862" i="1"/>
  <c r="M1862" i="1" s="1"/>
  <c r="N1862" i="1" s="1"/>
  <c r="L1863" i="1"/>
  <c r="M1863" i="1" s="1"/>
  <c r="N1863" i="1" s="1"/>
  <c r="L1864" i="1"/>
  <c r="M1864" i="1" s="1"/>
  <c r="N1864" i="1" s="1"/>
  <c r="L1865" i="1"/>
  <c r="M1865" i="1" s="1"/>
  <c r="N1865" i="1" s="1"/>
  <c r="L1866" i="1"/>
  <c r="M1866" i="1" s="1"/>
  <c r="N1866" i="1" s="1"/>
  <c r="L1867" i="1"/>
  <c r="M1867" i="1" s="1"/>
  <c r="N1867" i="1" s="1"/>
  <c r="L1868" i="1"/>
  <c r="M1868" i="1" s="1"/>
  <c r="N1868" i="1" s="1"/>
  <c r="L1869" i="1"/>
  <c r="M1869" i="1" s="1"/>
  <c r="N1869" i="1" s="1"/>
  <c r="L1870" i="1"/>
  <c r="M1870" i="1" s="1"/>
  <c r="N1870" i="1" s="1"/>
  <c r="L1871" i="1"/>
  <c r="M1871" i="1" s="1"/>
  <c r="N1871" i="1" s="1"/>
  <c r="L1872" i="1"/>
  <c r="M1872" i="1" s="1"/>
  <c r="N1872" i="1" s="1"/>
  <c r="L1873" i="1"/>
  <c r="M1873" i="1" s="1"/>
  <c r="N1873" i="1" s="1"/>
  <c r="L1874" i="1"/>
  <c r="M1874" i="1" s="1"/>
  <c r="N1874" i="1" s="1"/>
  <c r="L1875" i="1"/>
  <c r="M1875" i="1" s="1"/>
  <c r="N1875" i="1" s="1"/>
  <c r="L1876" i="1"/>
  <c r="M1876" i="1" s="1"/>
  <c r="N1876" i="1" s="1"/>
  <c r="L1877" i="1"/>
  <c r="M1877" i="1" s="1"/>
  <c r="N1877" i="1" s="1"/>
  <c r="L1878" i="1"/>
  <c r="M1878" i="1" s="1"/>
  <c r="N1878" i="1" s="1"/>
  <c r="L1879" i="1"/>
  <c r="M1879" i="1" s="1"/>
  <c r="N1879" i="1" s="1"/>
  <c r="L1880" i="1"/>
  <c r="M1880" i="1" s="1"/>
  <c r="N1880" i="1" s="1"/>
  <c r="L1881" i="1"/>
  <c r="M1881" i="1" s="1"/>
  <c r="N1881" i="1" s="1"/>
  <c r="L1882" i="1"/>
  <c r="M1882" i="1" s="1"/>
  <c r="N1882" i="1" s="1"/>
  <c r="L1883" i="1"/>
  <c r="M1883" i="1" s="1"/>
  <c r="N1883" i="1" s="1"/>
  <c r="L1884" i="1"/>
  <c r="M1884" i="1" s="1"/>
  <c r="N1884" i="1" s="1"/>
  <c r="L1885" i="1"/>
  <c r="M1885" i="1" s="1"/>
  <c r="N1885" i="1" s="1"/>
  <c r="L1886" i="1"/>
  <c r="M1886" i="1" s="1"/>
  <c r="N1886" i="1" s="1"/>
  <c r="L1887" i="1"/>
  <c r="M1887" i="1" s="1"/>
  <c r="N1887" i="1" s="1"/>
  <c r="L1888" i="1"/>
  <c r="M1888" i="1" s="1"/>
  <c r="N1888" i="1" s="1"/>
  <c r="L1889" i="1"/>
  <c r="M1889" i="1" s="1"/>
  <c r="N1889" i="1" s="1"/>
  <c r="L1890" i="1"/>
  <c r="M1890" i="1" s="1"/>
  <c r="N1890" i="1" s="1"/>
  <c r="L1891" i="1"/>
  <c r="M1891" i="1" s="1"/>
  <c r="N1891" i="1" s="1"/>
  <c r="L1892" i="1"/>
  <c r="M1892" i="1" s="1"/>
  <c r="N1892" i="1" s="1"/>
  <c r="L1893" i="1"/>
  <c r="M1893" i="1" s="1"/>
  <c r="N1893" i="1" s="1"/>
  <c r="L1894" i="1"/>
  <c r="M1894" i="1" s="1"/>
  <c r="N1894" i="1" s="1"/>
  <c r="L1895" i="1"/>
  <c r="M1895" i="1" s="1"/>
  <c r="N1895" i="1" s="1"/>
  <c r="L1896" i="1"/>
  <c r="M1896" i="1" s="1"/>
  <c r="N1896" i="1" s="1"/>
  <c r="L1897" i="1"/>
  <c r="M1897" i="1" s="1"/>
  <c r="N1897" i="1" s="1"/>
  <c r="L1898" i="1"/>
  <c r="M1898" i="1" s="1"/>
  <c r="N1898" i="1" s="1"/>
  <c r="L1899" i="1"/>
  <c r="M1899" i="1" s="1"/>
  <c r="N1899" i="1" s="1"/>
  <c r="L1900" i="1"/>
  <c r="M1900" i="1" s="1"/>
  <c r="N1900" i="1" s="1"/>
  <c r="L1901" i="1"/>
  <c r="M1901" i="1" s="1"/>
  <c r="N1901" i="1" s="1"/>
  <c r="L1902" i="1"/>
  <c r="M1902" i="1" s="1"/>
  <c r="N1902" i="1" s="1"/>
  <c r="L1903" i="1"/>
  <c r="M1903" i="1" s="1"/>
  <c r="N1903" i="1" s="1"/>
  <c r="L1904" i="1"/>
  <c r="M1904" i="1" s="1"/>
  <c r="N1904" i="1" s="1"/>
  <c r="L1905" i="1"/>
  <c r="M1905" i="1" s="1"/>
  <c r="N1905" i="1" s="1"/>
  <c r="L1906" i="1"/>
  <c r="M1906" i="1" s="1"/>
  <c r="N1906" i="1" s="1"/>
  <c r="L1907" i="1"/>
  <c r="M1907" i="1" s="1"/>
  <c r="N1907" i="1" s="1"/>
  <c r="L1908" i="1"/>
  <c r="M1908" i="1" s="1"/>
  <c r="N1908" i="1" s="1"/>
  <c r="L1909" i="1"/>
  <c r="M1909" i="1" s="1"/>
  <c r="N1909" i="1" s="1"/>
  <c r="L1910" i="1"/>
  <c r="M1910" i="1" s="1"/>
  <c r="N1910" i="1" s="1"/>
  <c r="L1911" i="1"/>
  <c r="M1911" i="1" s="1"/>
  <c r="N1911" i="1" s="1"/>
  <c r="L1912" i="1"/>
  <c r="M1912" i="1" s="1"/>
  <c r="N1912" i="1" s="1"/>
  <c r="L1913" i="1"/>
  <c r="M1913" i="1" s="1"/>
  <c r="N1913" i="1" s="1"/>
  <c r="L1914" i="1"/>
  <c r="M1914" i="1" s="1"/>
  <c r="N1914" i="1" s="1"/>
  <c r="L1915" i="1"/>
  <c r="M1915" i="1" s="1"/>
  <c r="N1915" i="1" s="1"/>
  <c r="L1916" i="1"/>
  <c r="M1916" i="1" s="1"/>
  <c r="N1916" i="1" s="1"/>
  <c r="L1917" i="1"/>
  <c r="M1917" i="1" s="1"/>
  <c r="N1917" i="1" s="1"/>
  <c r="L1918" i="1"/>
  <c r="M1918" i="1" s="1"/>
  <c r="N1918" i="1" s="1"/>
  <c r="L1919" i="1"/>
  <c r="M1919" i="1" s="1"/>
  <c r="N1919" i="1" s="1"/>
  <c r="L1920" i="1"/>
  <c r="M1920" i="1" s="1"/>
  <c r="N1920" i="1" s="1"/>
  <c r="L1921" i="1"/>
  <c r="M1921" i="1" s="1"/>
  <c r="N1921" i="1" s="1"/>
  <c r="L1922" i="1"/>
  <c r="M1922" i="1" s="1"/>
  <c r="N1922" i="1" s="1"/>
  <c r="L1923" i="1"/>
  <c r="M1923" i="1" s="1"/>
  <c r="N1923" i="1" s="1"/>
  <c r="L1924" i="1"/>
  <c r="M1924" i="1" s="1"/>
  <c r="N1924" i="1" s="1"/>
  <c r="L1925" i="1"/>
  <c r="M1925" i="1" s="1"/>
  <c r="N1925" i="1" s="1"/>
  <c r="L1926" i="1"/>
  <c r="M1926" i="1" s="1"/>
  <c r="N1926" i="1" s="1"/>
  <c r="L1927" i="1"/>
  <c r="M1927" i="1" s="1"/>
  <c r="N1927" i="1" s="1"/>
  <c r="L1928" i="1"/>
  <c r="M1928" i="1" s="1"/>
  <c r="N1928" i="1" s="1"/>
  <c r="L1929" i="1"/>
  <c r="M1929" i="1" s="1"/>
  <c r="N1929" i="1" s="1"/>
  <c r="L1930" i="1"/>
  <c r="M1930" i="1" s="1"/>
  <c r="N1930" i="1" s="1"/>
  <c r="L1931" i="1"/>
  <c r="M1931" i="1" s="1"/>
  <c r="N1931" i="1" s="1"/>
  <c r="L1932" i="1"/>
  <c r="M1932" i="1" s="1"/>
  <c r="N1932" i="1" s="1"/>
  <c r="L1933" i="1"/>
  <c r="M1933" i="1" s="1"/>
  <c r="N1933" i="1" s="1"/>
  <c r="L1934" i="1"/>
  <c r="M1934" i="1" s="1"/>
  <c r="N1934" i="1" s="1"/>
  <c r="L1935" i="1"/>
  <c r="M1935" i="1" s="1"/>
  <c r="N1935" i="1" s="1"/>
  <c r="L1936" i="1"/>
  <c r="M1936" i="1" s="1"/>
  <c r="N1936" i="1" s="1"/>
  <c r="L1937" i="1"/>
  <c r="M1937" i="1" s="1"/>
  <c r="N1937" i="1" s="1"/>
  <c r="L1938" i="1"/>
  <c r="M1938" i="1" s="1"/>
  <c r="N1938" i="1" s="1"/>
  <c r="L1939" i="1"/>
  <c r="M1939" i="1" s="1"/>
  <c r="N1939" i="1" s="1"/>
  <c r="L1940" i="1"/>
  <c r="M1940" i="1" s="1"/>
  <c r="N1940" i="1" s="1"/>
  <c r="L1941" i="1"/>
  <c r="M1941" i="1" s="1"/>
  <c r="N1941" i="1" s="1"/>
  <c r="L1942" i="1"/>
  <c r="M1942" i="1" s="1"/>
  <c r="N1942" i="1" s="1"/>
  <c r="L1943" i="1"/>
  <c r="M1943" i="1" s="1"/>
  <c r="N1943" i="1" s="1"/>
  <c r="L1944" i="1"/>
  <c r="M1944" i="1" s="1"/>
  <c r="N1944" i="1" s="1"/>
  <c r="L1945" i="1"/>
  <c r="M1945" i="1" s="1"/>
  <c r="N1945" i="1" s="1"/>
  <c r="L1946" i="1"/>
  <c r="M1946" i="1" s="1"/>
  <c r="N1946" i="1" s="1"/>
  <c r="L1947" i="1"/>
  <c r="M1947" i="1" s="1"/>
  <c r="N1947" i="1" s="1"/>
  <c r="L1948" i="1"/>
  <c r="M1948" i="1" s="1"/>
  <c r="N1948" i="1" s="1"/>
  <c r="L1949" i="1"/>
  <c r="M1949" i="1" s="1"/>
  <c r="N1949" i="1" s="1"/>
  <c r="L1950" i="1"/>
  <c r="M1950" i="1" s="1"/>
  <c r="N1950" i="1" s="1"/>
  <c r="L1951" i="1"/>
  <c r="M1951" i="1" s="1"/>
  <c r="N1951" i="1" s="1"/>
  <c r="L1952" i="1"/>
  <c r="M1952" i="1" s="1"/>
  <c r="N1952" i="1" s="1"/>
  <c r="L1953" i="1"/>
  <c r="M1953" i="1" s="1"/>
  <c r="N1953" i="1" s="1"/>
  <c r="L1954" i="1"/>
  <c r="M1954" i="1" s="1"/>
  <c r="N1954" i="1" s="1"/>
  <c r="L1955" i="1"/>
  <c r="M1955" i="1" s="1"/>
  <c r="N1955" i="1" s="1"/>
  <c r="L1956" i="1"/>
  <c r="M1956" i="1" s="1"/>
  <c r="N1956" i="1" s="1"/>
  <c r="L1957" i="1"/>
  <c r="M1957" i="1" s="1"/>
  <c r="N1957" i="1" s="1"/>
  <c r="L1958" i="1"/>
  <c r="M1958" i="1" s="1"/>
  <c r="N1958" i="1" s="1"/>
  <c r="L1959" i="1"/>
  <c r="M1959" i="1" s="1"/>
  <c r="N1959" i="1" s="1"/>
  <c r="L1960" i="1"/>
  <c r="M1960" i="1" s="1"/>
  <c r="N1960" i="1" s="1"/>
  <c r="L1961" i="1"/>
  <c r="M1961" i="1" s="1"/>
  <c r="N1961" i="1" s="1"/>
  <c r="L1962" i="1"/>
  <c r="M1962" i="1" s="1"/>
  <c r="N1962" i="1" s="1"/>
  <c r="L1963" i="1"/>
  <c r="M1963" i="1" s="1"/>
  <c r="N1963" i="1" s="1"/>
  <c r="L1964" i="1"/>
  <c r="M1964" i="1" s="1"/>
  <c r="N1964" i="1" s="1"/>
  <c r="L1965" i="1"/>
  <c r="M1965" i="1" s="1"/>
  <c r="N1965" i="1" s="1"/>
  <c r="L1966" i="1"/>
  <c r="M1966" i="1" s="1"/>
  <c r="N1966" i="1" s="1"/>
  <c r="L1967" i="1"/>
  <c r="M1967" i="1" s="1"/>
  <c r="N1967" i="1" s="1"/>
  <c r="L1968" i="1"/>
  <c r="M1968" i="1" s="1"/>
  <c r="N1968" i="1" s="1"/>
  <c r="L1969" i="1"/>
  <c r="M1969" i="1" s="1"/>
  <c r="N1969" i="1" s="1"/>
  <c r="L1970" i="1"/>
  <c r="M1970" i="1" s="1"/>
  <c r="N1970" i="1" s="1"/>
  <c r="L1971" i="1"/>
  <c r="M1971" i="1" s="1"/>
  <c r="N1971" i="1" s="1"/>
  <c r="L1972" i="1"/>
  <c r="M1972" i="1" s="1"/>
  <c r="N1972" i="1" s="1"/>
  <c r="L1973" i="1"/>
  <c r="M1973" i="1" s="1"/>
  <c r="N1973" i="1" s="1"/>
  <c r="L1974" i="1"/>
  <c r="M1974" i="1" s="1"/>
  <c r="N1974" i="1" s="1"/>
  <c r="L1975" i="1"/>
  <c r="M1975" i="1" s="1"/>
  <c r="N1975" i="1" s="1"/>
  <c r="L1976" i="1"/>
  <c r="M1976" i="1" s="1"/>
  <c r="N1976" i="1" s="1"/>
  <c r="L1977" i="1"/>
  <c r="M1977" i="1" s="1"/>
  <c r="N1977" i="1" s="1"/>
  <c r="L1978" i="1"/>
  <c r="M1978" i="1" s="1"/>
  <c r="N1978" i="1" s="1"/>
  <c r="L1979" i="1"/>
  <c r="M1979" i="1" s="1"/>
  <c r="N1979" i="1" s="1"/>
  <c r="L1980" i="1"/>
  <c r="M1980" i="1" s="1"/>
  <c r="N1980" i="1" s="1"/>
  <c r="L1981" i="1"/>
  <c r="M1981" i="1" s="1"/>
  <c r="N1981" i="1" s="1"/>
  <c r="L1982" i="1"/>
  <c r="M1982" i="1" s="1"/>
  <c r="N1982" i="1" s="1"/>
  <c r="L1983" i="1"/>
  <c r="M1983" i="1" s="1"/>
  <c r="N1983" i="1" s="1"/>
  <c r="L1984" i="1"/>
  <c r="M1984" i="1" s="1"/>
  <c r="N1984" i="1" s="1"/>
  <c r="L1985" i="1"/>
  <c r="M1985" i="1" s="1"/>
  <c r="N1985" i="1" s="1"/>
  <c r="L1986" i="1"/>
  <c r="M1986" i="1" s="1"/>
  <c r="N1986" i="1" s="1"/>
  <c r="L1987" i="1"/>
  <c r="M1987" i="1" s="1"/>
  <c r="N1987" i="1" s="1"/>
  <c r="L1988" i="1"/>
  <c r="M1988" i="1" s="1"/>
  <c r="N1988" i="1" s="1"/>
  <c r="L1989" i="1"/>
  <c r="M1989" i="1" s="1"/>
  <c r="N1989" i="1" s="1"/>
  <c r="L1990" i="1"/>
  <c r="M1990" i="1" s="1"/>
  <c r="N1990" i="1" s="1"/>
  <c r="L1991" i="1"/>
  <c r="M1991" i="1" s="1"/>
  <c r="N1991" i="1" s="1"/>
  <c r="L1992" i="1"/>
  <c r="M1992" i="1" s="1"/>
  <c r="N1992" i="1" s="1"/>
  <c r="L1993" i="1"/>
  <c r="M1993" i="1" s="1"/>
  <c r="N1993" i="1" s="1"/>
  <c r="L1994" i="1"/>
  <c r="M1994" i="1" s="1"/>
  <c r="N1994" i="1" s="1"/>
  <c r="L1995" i="1"/>
  <c r="M1995" i="1" s="1"/>
  <c r="N1995" i="1" s="1"/>
  <c r="L1996" i="1"/>
  <c r="M1996" i="1" s="1"/>
  <c r="N1996" i="1" s="1"/>
  <c r="L1997" i="1"/>
  <c r="M1997" i="1" s="1"/>
  <c r="N1997" i="1" s="1"/>
  <c r="L1998" i="1"/>
  <c r="M1998" i="1" s="1"/>
  <c r="N1998" i="1" s="1"/>
  <c r="L1999" i="1"/>
  <c r="M1999" i="1" s="1"/>
  <c r="N1999" i="1" s="1"/>
  <c r="L2000" i="1"/>
  <c r="M2000" i="1" s="1"/>
  <c r="N2000" i="1" s="1"/>
  <c r="L2001" i="1"/>
  <c r="M2001" i="1" s="1"/>
  <c r="N2001" i="1" s="1"/>
  <c r="L2002" i="1"/>
  <c r="M2002" i="1" s="1"/>
  <c r="N2002" i="1" s="1"/>
  <c r="L2003" i="1"/>
  <c r="M2003" i="1" s="1"/>
  <c r="N2003" i="1" s="1"/>
  <c r="L2004" i="1"/>
  <c r="M2004" i="1" s="1"/>
  <c r="N2004" i="1" s="1"/>
  <c r="L2005" i="1"/>
  <c r="M2005" i="1" s="1"/>
  <c r="N2005" i="1" s="1"/>
  <c r="L2006" i="1"/>
  <c r="M2006" i="1" s="1"/>
  <c r="N2006" i="1" s="1"/>
  <c r="L2007" i="1"/>
  <c r="M2007" i="1" s="1"/>
  <c r="N2007" i="1" s="1"/>
  <c r="L2008" i="1"/>
  <c r="M2008" i="1" s="1"/>
  <c r="N2008" i="1" s="1"/>
  <c r="L2009" i="1"/>
  <c r="M2009" i="1" s="1"/>
  <c r="N2009" i="1" s="1"/>
  <c r="L2010" i="1"/>
  <c r="M2010" i="1" s="1"/>
  <c r="N2010" i="1" s="1"/>
  <c r="L2011" i="1"/>
  <c r="M2011" i="1" s="1"/>
  <c r="N2011" i="1" s="1"/>
  <c r="L2012" i="1"/>
  <c r="M2012" i="1" s="1"/>
  <c r="N2012" i="1" s="1"/>
  <c r="L2013" i="1"/>
  <c r="M2013" i="1" s="1"/>
  <c r="N2013" i="1" s="1"/>
  <c r="L2014" i="1"/>
  <c r="M2014" i="1" s="1"/>
  <c r="N2014" i="1" s="1"/>
  <c r="L2015" i="1"/>
  <c r="M2015" i="1" s="1"/>
  <c r="N2015" i="1" s="1"/>
  <c r="L2016" i="1"/>
  <c r="M2016" i="1" s="1"/>
  <c r="N2016" i="1" s="1"/>
  <c r="L2017" i="1"/>
  <c r="M2017" i="1" s="1"/>
  <c r="N2017" i="1" s="1"/>
  <c r="L2018" i="1"/>
  <c r="M2018" i="1" s="1"/>
  <c r="N2018" i="1" s="1"/>
  <c r="L2019" i="1"/>
  <c r="M2019" i="1" s="1"/>
  <c r="N2019" i="1" s="1"/>
  <c r="L2020" i="1"/>
  <c r="M2020" i="1" s="1"/>
  <c r="N2020" i="1" s="1"/>
  <c r="L2021" i="1"/>
  <c r="M2021" i="1" s="1"/>
  <c r="N2021" i="1" s="1"/>
  <c r="L2022" i="1"/>
  <c r="M2022" i="1" s="1"/>
  <c r="N2022" i="1" s="1"/>
  <c r="L2023" i="1"/>
  <c r="M2023" i="1" s="1"/>
  <c r="N2023" i="1" s="1"/>
  <c r="L2024" i="1"/>
  <c r="M2024" i="1" s="1"/>
  <c r="N2024" i="1" s="1"/>
  <c r="L2025" i="1"/>
  <c r="M2025" i="1" s="1"/>
  <c r="N2025" i="1" s="1"/>
  <c r="L2026" i="1"/>
  <c r="M2026" i="1" s="1"/>
  <c r="N2026" i="1" s="1"/>
  <c r="L2027" i="1"/>
  <c r="M2027" i="1" s="1"/>
  <c r="N2027" i="1" s="1"/>
  <c r="L2028" i="1"/>
  <c r="M2028" i="1" s="1"/>
  <c r="N2028" i="1" s="1"/>
  <c r="L2029" i="1"/>
  <c r="M2029" i="1" s="1"/>
  <c r="N2029" i="1" s="1"/>
  <c r="L2030" i="1"/>
  <c r="M2030" i="1" s="1"/>
  <c r="N2030" i="1" s="1"/>
  <c r="L2031" i="1"/>
  <c r="M2031" i="1" s="1"/>
  <c r="N2031" i="1" s="1"/>
  <c r="L2032" i="1"/>
  <c r="M2032" i="1" s="1"/>
  <c r="N2032" i="1" s="1"/>
  <c r="L2033" i="1"/>
  <c r="M2033" i="1" s="1"/>
  <c r="N2033" i="1" s="1"/>
  <c r="L2034" i="1"/>
  <c r="M2034" i="1" s="1"/>
  <c r="N2034" i="1" s="1"/>
  <c r="L2035" i="1"/>
  <c r="M2035" i="1" s="1"/>
  <c r="N2035" i="1" s="1"/>
  <c r="L2036" i="1"/>
  <c r="M2036" i="1" s="1"/>
  <c r="N2036" i="1" s="1"/>
  <c r="L2037" i="1"/>
  <c r="M2037" i="1" s="1"/>
  <c r="N2037" i="1" s="1"/>
  <c r="L2038" i="1"/>
  <c r="M2038" i="1" s="1"/>
  <c r="N2038" i="1" s="1"/>
  <c r="L2039" i="1"/>
  <c r="M2039" i="1" s="1"/>
  <c r="N2039" i="1" s="1"/>
  <c r="L2040" i="1"/>
  <c r="M2040" i="1" s="1"/>
  <c r="N2040" i="1" s="1"/>
  <c r="L2041" i="1"/>
  <c r="M2041" i="1" s="1"/>
  <c r="N2041" i="1" s="1"/>
  <c r="L2042" i="1"/>
  <c r="M2042" i="1" s="1"/>
  <c r="N2042" i="1" s="1"/>
  <c r="L2043" i="1"/>
  <c r="M2043" i="1" s="1"/>
  <c r="N2043" i="1" s="1"/>
  <c r="L2044" i="1"/>
  <c r="M2044" i="1" s="1"/>
  <c r="N2044" i="1" s="1"/>
  <c r="L2045" i="1"/>
  <c r="M2045" i="1" s="1"/>
  <c r="N2045" i="1" s="1"/>
  <c r="L2046" i="1"/>
  <c r="M2046" i="1" s="1"/>
  <c r="N2046" i="1" s="1"/>
  <c r="L2047" i="1"/>
  <c r="M2047" i="1" s="1"/>
  <c r="N2047" i="1" s="1"/>
  <c r="L2048" i="1"/>
  <c r="M2048" i="1" s="1"/>
  <c r="N2048" i="1" s="1"/>
  <c r="L2049" i="1"/>
  <c r="M2049" i="1" s="1"/>
  <c r="N2049" i="1" s="1"/>
  <c r="L2050" i="1"/>
  <c r="M2050" i="1" s="1"/>
  <c r="N2050" i="1" s="1"/>
  <c r="L2051" i="1"/>
  <c r="M2051" i="1" s="1"/>
  <c r="N2051" i="1" s="1"/>
  <c r="L2052" i="1"/>
  <c r="M2052" i="1" s="1"/>
  <c r="N2052" i="1" s="1"/>
  <c r="L2053" i="1"/>
  <c r="M2053" i="1" s="1"/>
  <c r="N2053" i="1" s="1"/>
  <c r="L2054" i="1"/>
  <c r="M2054" i="1" s="1"/>
  <c r="N2054" i="1" s="1"/>
  <c r="L2055" i="1"/>
  <c r="M2055" i="1" s="1"/>
  <c r="N2055" i="1" s="1"/>
  <c r="L2056" i="1"/>
  <c r="M2056" i="1" s="1"/>
  <c r="N2056" i="1" s="1"/>
  <c r="L2057" i="1"/>
  <c r="M2057" i="1" s="1"/>
  <c r="N2057" i="1" s="1"/>
  <c r="L2058" i="1"/>
  <c r="M2058" i="1" s="1"/>
  <c r="N2058" i="1" s="1"/>
  <c r="L2059" i="1"/>
  <c r="M2059" i="1" s="1"/>
  <c r="N2059" i="1" s="1"/>
  <c r="L2060" i="1"/>
  <c r="M2060" i="1" s="1"/>
  <c r="N2060" i="1" s="1"/>
  <c r="L2061" i="1"/>
  <c r="M2061" i="1" s="1"/>
  <c r="N2061" i="1" s="1"/>
  <c r="L2062" i="1"/>
  <c r="M2062" i="1" s="1"/>
  <c r="N2062" i="1" s="1"/>
  <c r="L2063" i="1"/>
  <c r="M2063" i="1" s="1"/>
  <c r="N2063" i="1" s="1"/>
  <c r="L2064" i="1"/>
  <c r="M2064" i="1" s="1"/>
  <c r="N2064" i="1" s="1"/>
  <c r="L2065" i="1"/>
  <c r="M2065" i="1" s="1"/>
  <c r="N2065" i="1" s="1"/>
  <c r="L2066" i="1"/>
  <c r="M2066" i="1" s="1"/>
  <c r="N2066" i="1" s="1"/>
  <c r="L2067" i="1"/>
  <c r="M2067" i="1" s="1"/>
  <c r="N2067" i="1" s="1"/>
  <c r="L2068" i="1"/>
  <c r="M2068" i="1" s="1"/>
  <c r="N2068" i="1" s="1"/>
  <c r="L2069" i="1"/>
  <c r="M2069" i="1" s="1"/>
  <c r="N2069" i="1" s="1"/>
  <c r="L2070" i="1"/>
  <c r="M2070" i="1" s="1"/>
  <c r="N2070" i="1" s="1"/>
  <c r="L2071" i="1"/>
  <c r="M2071" i="1" s="1"/>
  <c r="N2071" i="1" s="1"/>
  <c r="L2072" i="1"/>
  <c r="M2072" i="1" s="1"/>
  <c r="N2072" i="1" s="1"/>
  <c r="L2073" i="1"/>
  <c r="M2073" i="1" s="1"/>
  <c r="N2073" i="1" s="1"/>
  <c r="L2074" i="1"/>
  <c r="M2074" i="1" s="1"/>
  <c r="N2074" i="1" s="1"/>
  <c r="L2075" i="1"/>
  <c r="M2075" i="1" s="1"/>
  <c r="N2075" i="1" s="1"/>
  <c r="L2076" i="1"/>
  <c r="M2076" i="1" s="1"/>
  <c r="N2076" i="1" s="1"/>
  <c r="L2077" i="1"/>
  <c r="M2077" i="1" s="1"/>
  <c r="N2077" i="1" s="1"/>
  <c r="L2078" i="1"/>
  <c r="M2078" i="1" s="1"/>
  <c r="N2078" i="1" s="1"/>
  <c r="L2079" i="1"/>
  <c r="M2079" i="1" s="1"/>
  <c r="N2079" i="1" s="1"/>
  <c r="L2080" i="1"/>
  <c r="M2080" i="1" s="1"/>
  <c r="N2080" i="1" s="1"/>
  <c r="L2081" i="1"/>
  <c r="M2081" i="1" s="1"/>
  <c r="N2081" i="1" s="1"/>
  <c r="L2082" i="1"/>
  <c r="M2082" i="1" s="1"/>
  <c r="N2082" i="1" s="1"/>
  <c r="L2083" i="1"/>
  <c r="M2083" i="1" s="1"/>
  <c r="N2083" i="1" s="1"/>
  <c r="L2084" i="1"/>
  <c r="M2084" i="1" s="1"/>
  <c r="N2084" i="1" s="1"/>
  <c r="L2085" i="1"/>
  <c r="M2085" i="1" s="1"/>
  <c r="N2085" i="1" s="1"/>
  <c r="L2086" i="1"/>
  <c r="M2086" i="1" s="1"/>
  <c r="N2086" i="1" s="1"/>
  <c r="L2087" i="1"/>
  <c r="M2087" i="1" s="1"/>
  <c r="N2087" i="1" s="1"/>
  <c r="L2088" i="1"/>
  <c r="M2088" i="1" s="1"/>
  <c r="N2088" i="1" s="1"/>
  <c r="L2089" i="1"/>
  <c r="M2089" i="1" s="1"/>
  <c r="N2089" i="1" s="1"/>
  <c r="L2090" i="1"/>
  <c r="M2090" i="1" s="1"/>
  <c r="N2090" i="1" s="1"/>
  <c r="L2091" i="1"/>
  <c r="M2091" i="1" s="1"/>
  <c r="N2091" i="1" s="1"/>
  <c r="L2092" i="1"/>
  <c r="M2092" i="1" s="1"/>
  <c r="N2092" i="1" s="1"/>
  <c r="L2093" i="1"/>
  <c r="M2093" i="1" s="1"/>
  <c r="N2093" i="1" s="1"/>
  <c r="L2094" i="1"/>
  <c r="M2094" i="1" s="1"/>
  <c r="N2094" i="1" s="1"/>
  <c r="L2095" i="1"/>
  <c r="M2095" i="1" s="1"/>
  <c r="N2095" i="1" s="1"/>
  <c r="L2096" i="1"/>
  <c r="M2096" i="1" s="1"/>
  <c r="N2096" i="1" s="1"/>
  <c r="L2097" i="1"/>
  <c r="M2097" i="1" s="1"/>
  <c r="N2097" i="1" s="1"/>
  <c r="L2098" i="1"/>
  <c r="M2098" i="1" s="1"/>
  <c r="N2098" i="1" s="1"/>
  <c r="L2099" i="1"/>
  <c r="M2099" i="1" s="1"/>
  <c r="N2099" i="1" s="1"/>
  <c r="L2100" i="1"/>
  <c r="M2100" i="1" s="1"/>
  <c r="N2100" i="1" s="1"/>
  <c r="L2101" i="1"/>
  <c r="M2101" i="1" s="1"/>
  <c r="N2101" i="1" s="1"/>
  <c r="L2102" i="1"/>
  <c r="M2102" i="1" s="1"/>
  <c r="N2102" i="1" s="1"/>
  <c r="L2103" i="1"/>
  <c r="M2103" i="1" s="1"/>
  <c r="N2103" i="1" s="1"/>
  <c r="L2104" i="1"/>
  <c r="M2104" i="1" s="1"/>
  <c r="N2104" i="1" s="1"/>
  <c r="L2105" i="1"/>
  <c r="M2105" i="1" s="1"/>
  <c r="N2105" i="1" s="1"/>
  <c r="L2106" i="1"/>
  <c r="M2106" i="1" s="1"/>
  <c r="N2106" i="1" s="1"/>
  <c r="L2107" i="1"/>
  <c r="M2107" i="1" s="1"/>
  <c r="N2107" i="1" s="1"/>
  <c r="L2108" i="1"/>
  <c r="M2108" i="1" s="1"/>
  <c r="N2108" i="1" s="1"/>
  <c r="L2109" i="1"/>
  <c r="M2109" i="1" s="1"/>
  <c r="N2109" i="1" s="1"/>
  <c r="L2110" i="1"/>
  <c r="M2110" i="1" s="1"/>
  <c r="N2110" i="1" s="1"/>
  <c r="L2111" i="1"/>
  <c r="M2111" i="1" s="1"/>
  <c r="N2111" i="1" s="1"/>
  <c r="L2112" i="1"/>
  <c r="M2112" i="1" s="1"/>
  <c r="N2112" i="1" s="1"/>
  <c r="L2113" i="1"/>
  <c r="M2113" i="1" s="1"/>
  <c r="N2113" i="1" s="1"/>
  <c r="L2114" i="1"/>
  <c r="M2114" i="1" s="1"/>
  <c r="N2114" i="1" s="1"/>
  <c r="L2115" i="1"/>
  <c r="M2115" i="1" s="1"/>
  <c r="N2115" i="1" s="1"/>
  <c r="L2116" i="1"/>
  <c r="M2116" i="1" s="1"/>
  <c r="N2116" i="1" s="1"/>
  <c r="L2117" i="1"/>
  <c r="M2117" i="1" s="1"/>
  <c r="N2117" i="1" s="1"/>
  <c r="L2118" i="1"/>
  <c r="M2118" i="1" s="1"/>
  <c r="N2118" i="1" s="1"/>
  <c r="L2119" i="1"/>
  <c r="M2119" i="1" s="1"/>
  <c r="N2119" i="1" s="1"/>
  <c r="L2120" i="1"/>
  <c r="M2120" i="1" s="1"/>
  <c r="N2120" i="1" s="1"/>
  <c r="L2121" i="1"/>
  <c r="M2121" i="1" s="1"/>
  <c r="N2121" i="1" s="1"/>
  <c r="L2122" i="1"/>
  <c r="M2122" i="1" s="1"/>
  <c r="N2122" i="1" s="1"/>
  <c r="L2123" i="1"/>
  <c r="M2123" i="1" s="1"/>
  <c r="N2123" i="1" s="1"/>
  <c r="L2124" i="1"/>
  <c r="M2124" i="1" s="1"/>
  <c r="N2124" i="1" s="1"/>
  <c r="L2125" i="1"/>
  <c r="M2125" i="1" s="1"/>
  <c r="N2125" i="1" s="1"/>
  <c r="L2126" i="1"/>
  <c r="M2126" i="1" s="1"/>
  <c r="N2126" i="1" s="1"/>
  <c r="L2127" i="1"/>
  <c r="M2127" i="1" s="1"/>
  <c r="N2127" i="1" s="1"/>
  <c r="L2128" i="1"/>
  <c r="M2128" i="1" s="1"/>
  <c r="N2128" i="1" s="1"/>
  <c r="L2129" i="1"/>
  <c r="M2129" i="1" s="1"/>
  <c r="N2129" i="1" s="1"/>
  <c r="L2130" i="1"/>
  <c r="M2130" i="1" s="1"/>
  <c r="N2130" i="1" s="1"/>
  <c r="L2131" i="1"/>
  <c r="M2131" i="1" s="1"/>
  <c r="N2131" i="1" s="1"/>
  <c r="L2132" i="1"/>
  <c r="M2132" i="1" s="1"/>
  <c r="N2132" i="1" s="1"/>
  <c r="L2133" i="1"/>
  <c r="M2133" i="1" s="1"/>
  <c r="N2133" i="1" s="1"/>
  <c r="L2134" i="1"/>
  <c r="M2134" i="1" s="1"/>
  <c r="N2134" i="1" s="1"/>
  <c r="L2135" i="1"/>
  <c r="M2135" i="1" s="1"/>
  <c r="N2135" i="1" s="1"/>
  <c r="L2136" i="1"/>
  <c r="M2136" i="1" s="1"/>
  <c r="N2136" i="1" s="1"/>
  <c r="L2137" i="1"/>
  <c r="M2137" i="1" s="1"/>
  <c r="N2137" i="1" s="1"/>
  <c r="L2138" i="1"/>
  <c r="M2138" i="1" s="1"/>
  <c r="N2138" i="1" s="1"/>
  <c r="L2139" i="1"/>
  <c r="M2139" i="1" s="1"/>
  <c r="N2139" i="1" s="1"/>
  <c r="L2140" i="1"/>
  <c r="M2140" i="1" s="1"/>
  <c r="N2140" i="1" s="1"/>
  <c r="L2141" i="1"/>
  <c r="M2141" i="1" s="1"/>
  <c r="N2141" i="1" s="1"/>
  <c r="L2142" i="1"/>
  <c r="M2142" i="1" s="1"/>
  <c r="N2142" i="1" s="1"/>
  <c r="L2143" i="1"/>
  <c r="M2143" i="1" s="1"/>
  <c r="N2143" i="1" s="1"/>
  <c r="L2144" i="1"/>
  <c r="M2144" i="1" s="1"/>
  <c r="N2144" i="1" s="1"/>
  <c r="L2145" i="1"/>
  <c r="M2145" i="1" s="1"/>
  <c r="N2145" i="1" s="1"/>
  <c r="L2146" i="1"/>
  <c r="M2146" i="1" s="1"/>
  <c r="N2146" i="1" s="1"/>
  <c r="L2147" i="1"/>
  <c r="M2147" i="1" s="1"/>
  <c r="N2147" i="1" s="1"/>
  <c r="L2148" i="1"/>
  <c r="M2148" i="1" s="1"/>
  <c r="N2148" i="1" s="1"/>
  <c r="L2149" i="1"/>
  <c r="M2149" i="1" s="1"/>
  <c r="N2149" i="1" s="1"/>
  <c r="L2150" i="1"/>
  <c r="M2150" i="1" s="1"/>
  <c r="N2150" i="1" s="1"/>
  <c r="L2151" i="1"/>
  <c r="M2151" i="1" s="1"/>
  <c r="N2151" i="1" s="1"/>
  <c r="L2152" i="1"/>
  <c r="M2152" i="1" s="1"/>
  <c r="N2152" i="1" s="1"/>
  <c r="L2153" i="1"/>
  <c r="M2153" i="1" s="1"/>
  <c r="N2153" i="1" s="1"/>
  <c r="L2154" i="1"/>
  <c r="M2154" i="1" s="1"/>
  <c r="N2154" i="1" s="1"/>
  <c r="L2155" i="1"/>
  <c r="M2155" i="1" s="1"/>
  <c r="N2155" i="1" s="1"/>
  <c r="L2156" i="1"/>
  <c r="M2156" i="1" s="1"/>
  <c r="N2156" i="1" s="1"/>
  <c r="L2157" i="1"/>
  <c r="M2157" i="1" s="1"/>
  <c r="N2157" i="1" s="1"/>
  <c r="L2158" i="1"/>
  <c r="M2158" i="1" s="1"/>
  <c r="N2158" i="1" s="1"/>
  <c r="L2159" i="1"/>
  <c r="M2159" i="1" s="1"/>
  <c r="N2159" i="1" s="1"/>
  <c r="L2160" i="1"/>
  <c r="M2160" i="1" s="1"/>
  <c r="N2160" i="1" s="1"/>
  <c r="L2161" i="1"/>
  <c r="M2161" i="1" s="1"/>
  <c r="N2161" i="1" s="1"/>
  <c r="L2162" i="1"/>
  <c r="M2162" i="1" s="1"/>
  <c r="N2162" i="1" s="1"/>
  <c r="L2163" i="1"/>
  <c r="M2163" i="1" s="1"/>
  <c r="N2163" i="1" s="1"/>
  <c r="L2164" i="1"/>
  <c r="M2164" i="1" s="1"/>
  <c r="N2164" i="1" s="1"/>
  <c r="L2165" i="1"/>
  <c r="M2165" i="1" s="1"/>
  <c r="N2165" i="1" s="1"/>
  <c r="L2166" i="1"/>
  <c r="M2166" i="1" s="1"/>
  <c r="N2166" i="1" s="1"/>
  <c r="L2167" i="1"/>
  <c r="M2167" i="1" s="1"/>
  <c r="N2167" i="1" s="1"/>
  <c r="L2168" i="1"/>
  <c r="M2168" i="1" s="1"/>
  <c r="N2168" i="1" s="1"/>
  <c r="L2169" i="1"/>
  <c r="M2169" i="1" s="1"/>
  <c r="N2169" i="1" s="1"/>
  <c r="L2170" i="1"/>
  <c r="M2170" i="1" s="1"/>
  <c r="N2170" i="1" s="1"/>
  <c r="L2171" i="1"/>
  <c r="M2171" i="1" s="1"/>
  <c r="N2171" i="1" s="1"/>
  <c r="L2172" i="1"/>
  <c r="M2172" i="1" s="1"/>
  <c r="N2172" i="1" s="1"/>
  <c r="L2173" i="1"/>
  <c r="M2173" i="1" s="1"/>
  <c r="N2173" i="1" s="1"/>
  <c r="L2174" i="1"/>
  <c r="M2174" i="1" s="1"/>
  <c r="N2174" i="1" s="1"/>
  <c r="L2175" i="1"/>
  <c r="M2175" i="1" s="1"/>
  <c r="N2175" i="1" s="1"/>
  <c r="L2176" i="1"/>
  <c r="M2176" i="1" s="1"/>
  <c r="N2176" i="1" s="1"/>
  <c r="L2177" i="1"/>
  <c r="M2177" i="1" s="1"/>
  <c r="N2177" i="1" s="1"/>
  <c r="L2178" i="1"/>
  <c r="M2178" i="1" s="1"/>
  <c r="N2178" i="1" s="1"/>
  <c r="L2179" i="1"/>
  <c r="M2179" i="1" s="1"/>
  <c r="N2179" i="1" s="1"/>
  <c r="L2180" i="1"/>
  <c r="M2180" i="1" s="1"/>
  <c r="N2180" i="1" s="1"/>
  <c r="L2181" i="1"/>
  <c r="M2181" i="1" s="1"/>
  <c r="N2181" i="1" s="1"/>
  <c r="L2182" i="1"/>
  <c r="M2182" i="1" s="1"/>
  <c r="N2182" i="1" s="1"/>
  <c r="L2183" i="1"/>
  <c r="M2183" i="1" s="1"/>
  <c r="N2183" i="1" s="1"/>
  <c r="L2184" i="1"/>
  <c r="M2184" i="1" s="1"/>
  <c r="N2184" i="1" s="1"/>
  <c r="L2185" i="1"/>
  <c r="M2185" i="1" s="1"/>
  <c r="N2185" i="1" s="1"/>
  <c r="L2186" i="1"/>
  <c r="M2186" i="1" s="1"/>
  <c r="N2186" i="1" s="1"/>
  <c r="L2187" i="1"/>
  <c r="M2187" i="1" s="1"/>
  <c r="N2187" i="1" s="1"/>
  <c r="L2188" i="1"/>
  <c r="M2188" i="1" s="1"/>
  <c r="N2188" i="1" s="1"/>
  <c r="L2189" i="1"/>
  <c r="M2189" i="1" s="1"/>
  <c r="N2189" i="1" s="1"/>
  <c r="L2190" i="1"/>
  <c r="M2190" i="1" s="1"/>
  <c r="N2190" i="1" s="1"/>
  <c r="L2191" i="1"/>
  <c r="M2191" i="1" s="1"/>
  <c r="N2191" i="1" s="1"/>
  <c r="L2192" i="1"/>
  <c r="M2192" i="1" s="1"/>
  <c r="N2192" i="1" s="1"/>
  <c r="L2193" i="1"/>
  <c r="M2193" i="1" s="1"/>
  <c r="N2193" i="1" s="1"/>
  <c r="L2194" i="1"/>
  <c r="M2194" i="1" s="1"/>
  <c r="N2194" i="1" s="1"/>
  <c r="L2195" i="1"/>
  <c r="M2195" i="1" s="1"/>
  <c r="N2195" i="1" s="1"/>
  <c r="L2196" i="1"/>
  <c r="M2196" i="1" s="1"/>
  <c r="N2196" i="1" s="1"/>
  <c r="L2197" i="1"/>
  <c r="M2197" i="1" s="1"/>
  <c r="N2197" i="1" s="1"/>
  <c r="L2198" i="1"/>
  <c r="M2198" i="1" s="1"/>
  <c r="N2198" i="1" s="1"/>
  <c r="L2199" i="1"/>
  <c r="M2199" i="1" s="1"/>
  <c r="N2199" i="1" s="1"/>
  <c r="L2200" i="1"/>
  <c r="M2200" i="1" s="1"/>
  <c r="N2200" i="1" s="1"/>
  <c r="L2201" i="1"/>
  <c r="M2201" i="1" s="1"/>
  <c r="N2201" i="1" s="1"/>
  <c r="L2202" i="1"/>
  <c r="M2202" i="1" s="1"/>
  <c r="N2202" i="1" s="1"/>
  <c r="L2203" i="1"/>
  <c r="M2203" i="1" s="1"/>
  <c r="N2203" i="1" s="1"/>
  <c r="L2204" i="1"/>
  <c r="M2204" i="1" s="1"/>
  <c r="N2204" i="1" s="1"/>
  <c r="L2205" i="1"/>
  <c r="M2205" i="1" s="1"/>
  <c r="N2205" i="1" s="1"/>
  <c r="L2206" i="1"/>
  <c r="M2206" i="1" s="1"/>
  <c r="N2206" i="1" s="1"/>
  <c r="L2207" i="1"/>
  <c r="M2207" i="1" s="1"/>
  <c r="N2207" i="1" s="1"/>
  <c r="L2208" i="1"/>
  <c r="M2208" i="1" s="1"/>
  <c r="N2208" i="1" s="1"/>
  <c r="L2209" i="1"/>
  <c r="M2209" i="1" s="1"/>
  <c r="N2209" i="1" s="1"/>
  <c r="L2210" i="1"/>
  <c r="M2210" i="1" s="1"/>
  <c r="N2210" i="1" s="1"/>
  <c r="L2211" i="1"/>
  <c r="M2211" i="1" s="1"/>
  <c r="N2211" i="1" s="1"/>
  <c r="L2212" i="1"/>
  <c r="M2212" i="1" s="1"/>
  <c r="N2212" i="1" s="1"/>
  <c r="L2213" i="1"/>
  <c r="M2213" i="1" s="1"/>
  <c r="N2213" i="1" s="1"/>
  <c r="L2214" i="1"/>
  <c r="M2214" i="1" s="1"/>
  <c r="N2214" i="1" s="1"/>
  <c r="L2215" i="1"/>
  <c r="M2215" i="1" s="1"/>
  <c r="N2215" i="1" s="1"/>
  <c r="L2216" i="1"/>
  <c r="M2216" i="1" s="1"/>
  <c r="N2216" i="1" s="1"/>
  <c r="L2217" i="1"/>
  <c r="M2217" i="1" s="1"/>
  <c r="N2217" i="1" s="1"/>
  <c r="L2218" i="1"/>
  <c r="M2218" i="1" s="1"/>
  <c r="N2218" i="1" s="1"/>
  <c r="L2219" i="1"/>
  <c r="M2219" i="1" s="1"/>
  <c r="N2219" i="1" s="1"/>
  <c r="L2220" i="1"/>
  <c r="M2220" i="1" s="1"/>
  <c r="N2220" i="1" s="1"/>
  <c r="L2221" i="1"/>
  <c r="M2221" i="1" s="1"/>
  <c r="N2221" i="1" s="1"/>
  <c r="L2222" i="1"/>
  <c r="M2222" i="1" s="1"/>
  <c r="N2222" i="1" s="1"/>
  <c r="L2223" i="1"/>
  <c r="M2223" i="1" s="1"/>
  <c r="N2223" i="1" s="1"/>
  <c r="L2224" i="1"/>
  <c r="M2224" i="1" s="1"/>
  <c r="N2224" i="1" s="1"/>
  <c r="L2225" i="1"/>
  <c r="M2225" i="1" s="1"/>
  <c r="N2225" i="1" s="1"/>
  <c r="L2226" i="1"/>
  <c r="M2226" i="1" s="1"/>
  <c r="N2226" i="1" s="1"/>
  <c r="L2227" i="1"/>
  <c r="M2227" i="1" s="1"/>
  <c r="N2227" i="1" s="1"/>
  <c r="L2228" i="1"/>
  <c r="M2228" i="1" s="1"/>
  <c r="N2228" i="1" s="1"/>
  <c r="L2229" i="1"/>
  <c r="M2229" i="1" s="1"/>
  <c r="N2229" i="1" s="1"/>
  <c r="L2230" i="1"/>
  <c r="M2230" i="1" s="1"/>
  <c r="N2230" i="1" s="1"/>
  <c r="L2231" i="1"/>
  <c r="M2231" i="1" s="1"/>
  <c r="N2231" i="1" s="1"/>
  <c r="L2232" i="1"/>
  <c r="M2232" i="1" s="1"/>
  <c r="N2232" i="1" s="1"/>
  <c r="L2233" i="1"/>
  <c r="M2233" i="1" s="1"/>
  <c r="N2233" i="1" s="1"/>
  <c r="L2234" i="1"/>
  <c r="M2234" i="1" s="1"/>
  <c r="N2234" i="1" s="1"/>
  <c r="L2235" i="1"/>
  <c r="M2235" i="1" s="1"/>
  <c r="N2235" i="1" s="1"/>
  <c r="L2236" i="1"/>
  <c r="M2236" i="1" s="1"/>
  <c r="N2236" i="1" s="1"/>
  <c r="L2237" i="1"/>
  <c r="M2237" i="1" s="1"/>
  <c r="N2237" i="1" s="1"/>
  <c r="L2238" i="1"/>
  <c r="M2238" i="1" s="1"/>
  <c r="N2238" i="1" s="1"/>
  <c r="L2239" i="1"/>
  <c r="M2239" i="1" s="1"/>
  <c r="N2239" i="1" s="1"/>
  <c r="L2240" i="1"/>
  <c r="M2240" i="1" s="1"/>
  <c r="N2240" i="1" s="1"/>
  <c r="L2241" i="1"/>
  <c r="M2241" i="1" s="1"/>
  <c r="N2241" i="1" s="1"/>
  <c r="L2242" i="1"/>
  <c r="M2242" i="1" s="1"/>
  <c r="N2242" i="1" s="1"/>
  <c r="L2243" i="1"/>
  <c r="M2243" i="1" s="1"/>
  <c r="N2243" i="1" s="1"/>
  <c r="L2244" i="1"/>
  <c r="M2244" i="1" s="1"/>
  <c r="N2244" i="1" s="1"/>
  <c r="L2245" i="1"/>
  <c r="M2245" i="1" s="1"/>
  <c r="N2245" i="1" s="1"/>
  <c r="L2246" i="1"/>
  <c r="M2246" i="1" s="1"/>
  <c r="N2246" i="1" s="1"/>
  <c r="L2247" i="1"/>
  <c r="M2247" i="1" s="1"/>
  <c r="N2247" i="1" s="1"/>
  <c r="L2248" i="1"/>
  <c r="M2248" i="1" s="1"/>
  <c r="N2248" i="1" s="1"/>
  <c r="L2249" i="1"/>
  <c r="M2249" i="1" s="1"/>
  <c r="N2249" i="1" s="1"/>
  <c r="L2250" i="1"/>
  <c r="M2250" i="1" s="1"/>
  <c r="N2250" i="1" s="1"/>
  <c r="L2251" i="1"/>
  <c r="M2251" i="1" s="1"/>
  <c r="N2251" i="1" s="1"/>
  <c r="L2252" i="1"/>
  <c r="M2252" i="1" s="1"/>
  <c r="N2252" i="1" s="1"/>
  <c r="L2253" i="1"/>
  <c r="M2253" i="1" s="1"/>
  <c r="N2253" i="1" s="1"/>
  <c r="L2254" i="1"/>
  <c r="M2254" i="1" s="1"/>
  <c r="N2254" i="1" s="1"/>
  <c r="L2255" i="1"/>
  <c r="M2255" i="1" s="1"/>
  <c r="N2255" i="1" s="1"/>
  <c r="L2256" i="1"/>
  <c r="M2256" i="1" s="1"/>
  <c r="N2256" i="1" s="1"/>
  <c r="L2257" i="1"/>
  <c r="M2257" i="1" s="1"/>
  <c r="N2257" i="1" s="1"/>
  <c r="L2258" i="1"/>
  <c r="M2258" i="1" s="1"/>
  <c r="N2258" i="1" s="1"/>
  <c r="L2259" i="1"/>
  <c r="M2259" i="1" s="1"/>
  <c r="N2259" i="1" s="1"/>
  <c r="L2260" i="1"/>
  <c r="M2260" i="1" s="1"/>
  <c r="N2260" i="1" s="1"/>
  <c r="L2261" i="1"/>
  <c r="M2261" i="1" s="1"/>
  <c r="N2261" i="1" s="1"/>
  <c r="L2262" i="1"/>
  <c r="M2262" i="1" s="1"/>
  <c r="N2262" i="1" s="1"/>
  <c r="L2263" i="1"/>
  <c r="M2263" i="1" s="1"/>
  <c r="N2263" i="1" s="1"/>
  <c r="L2264" i="1"/>
  <c r="M2264" i="1" s="1"/>
  <c r="N2264" i="1" s="1"/>
  <c r="L2265" i="1"/>
  <c r="M2265" i="1" s="1"/>
  <c r="N2265" i="1" s="1"/>
  <c r="L2266" i="1"/>
  <c r="M2266" i="1" s="1"/>
  <c r="N2266" i="1" s="1"/>
  <c r="L2267" i="1"/>
  <c r="M2267" i="1" s="1"/>
  <c r="N2267" i="1" s="1"/>
  <c r="L2268" i="1"/>
  <c r="M2268" i="1" s="1"/>
  <c r="N2268" i="1" s="1"/>
  <c r="L2269" i="1"/>
  <c r="M2269" i="1" s="1"/>
  <c r="N2269" i="1" s="1"/>
  <c r="L2270" i="1"/>
  <c r="M2270" i="1" s="1"/>
  <c r="N2270" i="1" s="1"/>
  <c r="L2271" i="1"/>
  <c r="M2271" i="1" s="1"/>
  <c r="N2271" i="1" s="1"/>
  <c r="L2272" i="1"/>
  <c r="M2272" i="1" s="1"/>
  <c r="N2272" i="1" s="1"/>
  <c r="L2273" i="1"/>
  <c r="M2273" i="1" s="1"/>
  <c r="N2273" i="1" s="1"/>
  <c r="L2274" i="1"/>
  <c r="M2274" i="1" s="1"/>
  <c r="N2274" i="1" s="1"/>
  <c r="L2275" i="1"/>
  <c r="M2275" i="1" s="1"/>
  <c r="N2275" i="1" s="1"/>
  <c r="L2276" i="1"/>
  <c r="M2276" i="1" s="1"/>
  <c r="N2276" i="1" s="1"/>
  <c r="L2277" i="1"/>
  <c r="M2277" i="1" s="1"/>
  <c r="N2277" i="1" s="1"/>
  <c r="L2278" i="1"/>
  <c r="M2278" i="1" s="1"/>
  <c r="N2278" i="1" s="1"/>
  <c r="L2279" i="1"/>
  <c r="M2279" i="1" s="1"/>
  <c r="N2279" i="1" s="1"/>
  <c r="L2280" i="1"/>
  <c r="M2280" i="1" s="1"/>
  <c r="N2280" i="1" s="1"/>
  <c r="L2281" i="1"/>
  <c r="M2281" i="1" s="1"/>
  <c r="N2281" i="1" s="1"/>
  <c r="L2282" i="1"/>
  <c r="M2282" i="1" s="1"/>
  <c r="N2282" i="1" s="1"/>
  <c r="L2283" i="1"/>
  <c r="M2283" i="1" s="1"/>
  <c r="N2283" i="1" s="1"/>
  <c r="L2284" i="1"/>
  <c r="M2284" i="1" s="1"/>
  <c r="N2284" i="1" s="1"/>
  <c r="L2285" i="1"/>
  <c r="M2285" i="1" s="1"/>
  <c r="N2285" i="1" s="1"/>
  <c r="L2286" i="1"/>
  <c r="M2286" i="1" s="1"/>
  <c r="N2286" i="1" s="1"/>
  <c r="L2287" i="1"/>
  <c r="M2287" i="1" s="1"/>
  <c r="N2287" i="1" s="1"/>
  <c r="L2288" i="1"/>
  <c r="M2288" i="1" s="1"/>
  <c r="N2288" i="1" s="1"/>
  <c r="L2289" i="1"/>
  <c r="M2289" i="1" s="1"/>
  <c r="N2289" i="1" s="1"/>
  <c r="L2290" i="1"/>
  <c r="M2290" i="1" s="1"/>
  <c r="N2290" i="1" s="1"/>
  <c r="L2291" i="1"/>
  <c r="M2291" i="1" s="1"/>
  <c r="N2291" i="1" s="1"/>
  <c r="L2292" i="1"/>
  <c r="M2292" i="1" s="1"/>
  <c r="N2292" i="1" s="1"/>
  <c r="L2293" i="1"/>
  <c r="M2293" i="1" s="1"/>
  <c r="N2293" i="1" s="1"/>
  <c r="L2294" i="1"/>
  <c r="M2294" i="1" s="1"/>
  <c r="N2294" i="1" s="1"/>
  <c r="L2295" i="1"/>
  <c r="M2295" i="1" s="1"/>
  <c r="N2295" i="1" s="1"/>
  <c r="L2296" i="1"/>
  <c r="M2296" i="1" s="1"/>
  <c r="N2296" i="1" s="1"/>
  <c r="L2297" i="1"/>
  <c r="M2297" i="1" s="1"/>
  <c r="N2297" i="1" s="1"/>
  <c r="L2298" i="1"/>
  <c r="M2298" i="1" s="1"/>
  <c r="N2298" i="1" s="1"/>
  <c r="L2299" i="1"/>
  <c r="M2299" i="1" s="1"/>
  <c r="N2299" i="1" s="1"/>
  <c r="L2300" i="1"/>
  <c r="M2300" i="1" s="1"/>
  <c r="N2300" i="1" s="1"/>
  <c r="L2301" i="1"/>
  <c r="M2301" i="1" s="1"/>
  <c r="N2301" i="1" s="1"/>
  <c r="L2302" i="1"/>
  <c r="M2302" i="1" s="1"/>
  <c r="N2302" i="1" s="1"/>
  <c r="L2303" i="1"/>
  <c r="M2303" i="1" s="1"/>
  <c r="N2303" i="1" s="1"/>
  <c r="L2304" i="1"/>
  <c r="M2304" i="1" s="1"/>
  <c r="N2304" i="1" s="1"/>
  <c r="L2305" i="1"/>
  <c r="M2305" i="1" s="1"/>
  <c r="N2305" i="1" s="1"/>
  <c r="L2306" i="1"/>
  <c r="M2306" i="1" s="1"/>
  <c r="N2306" i="1" s="1"/>
  <c r="L2307" i="1"/>
  <c r="M2307" i="1" s="1"/>
  <c r="N2307" i="1" s="1"/>
  <c r="L2308" i="1"/>
  <c r="M2308" i="1" s="1"/>
  <c r="N2308" i="1" s="1"/>
  <c r="L2309" i="1"/>
  <c r="M2309" i="1" s="1"/>
  <c r="N2309" i="1" s="1"/>
  <c r="L2310" i="1"/>
  <c r="M2310" i="1" s="1"/>
  <c r="N2310" i="1" s="1"/>
  <c r="L2311" i="1"/>
  <c r="M2311" i="1" s="1"/>
  <c r="N2311" i="1" s="1"/>
  <c r="L2312" i="1"/>
  <c r="M2312" i="1" s="1"/>
  <c r="N2312" i="1" s="1"/>
  <c r="L2313" i="1"/>
  <c r="M2313" i="1" s="1"/>
  <c r="N2313" i="1" s="1"/>
  <c r="L2314" i="1"/>
  <c r="M2314" i="1" s="1"/>
  <c r="N2314" i="1" s="1"/>
  <c r="L2315" i="1"/>
  <c r="M2315" i="1" s="1"/>
  <c r="N2315" i="1" s="1"/>
  <c r="L2316" i="1"/>
  <c r="M2316" i="1" s="1"/>
  <c r="N2316" i="1" s="1"/>
  <c r="L2317" i="1"/>
  <c r="M2317" i="1" s="1"/>
  <c r="N2317" i="1" s="1"/>
  <c r="L2318" i="1"/>
  <c r="M2318" i="1" s="1"/>
  <c r="N2318" i="1" s="1"/>
  <c r="L2319" i="1"/>
  <c r="M2319" i="1" s="1"/>
  <c r="N2319" i="1" s="1"/>
  <c r="L2320" i="1"/>
  <c r="M2320" i="1" s="1"/>
  <c r="N2320" i="1" s="1"/>
  <c r="L2321" i="1"/>
  <c r="M2321" i="1" s="1"/>
  <c r="N2321" i="1" s="1"/>
  <c r="L2322" i="1"/>
  <c r="M2322" i="1" s="1"/>
  <c r="N2322" i="1" s="1"/>
  <c r="L2323" i="1"/>
  <c r="M2323" i="1" s="1"/>
  <c r="N2323" i="1" s="1"/>
  <c r="L2324" i="1"/>
  <c r="M2324" i="1" s="1"/>
  <c r="N2324" i="1" s="1"/>
  <c r="L2325" i="1"/>
  <c r="M2325" i="1" s="1"/>
  <c r="N2325" i="1" s="1"/>
  <c r="L2326" i="1"/>
  <c r="M2326" i="1" s="1"/>
  <c r="N2326" i="1" s="1"/>
  <c r="L2327" i="1"/>
  <c r="M2327" i="1" s="1"/>
  <c r="N2327" i="1" s="1"/>
  <c r="L2328" i="1"/>
  <c r="M2328" i="1" s="1"/>
  <c r="N2328" i="1" s="1"/>
  <c r="L2329" i="1"/>
  <c r="M2329" i="1" s="1"/>
  <c r="N2329" i="1" s="1"/>
  <c r="L2330" i="1"/>
  <c r="M2330" i="1" s="1"/>
  <c r="N2330" i="1" s="1"/>
  <c r="L2331" i="1"/>
  <c r="M2331" i="1" s="1"/>
  <c r="N2331" i="1" s="1"/>
  <c r="L2332" i="1"/>
  <c r="M2332" i="1" s="1"/>
  <c r="N2332" i="1" s="1"/>
  <c r="L2333" i="1"/>
  <c r="M2333" i="1" s="1"/>
  <c r="N2333" i="1" s="1"/>
  <c r="L2334" i="1"/>
  <c r="M2334" i="1" s="1"/>
  <c r="N2334" i="1" s="1"/>
  <c r="L2335" i="1"/>
  <c r="M2335" i="1" s="1"/>
  <c r="N2335" i="1" s="1"/>
  <c r="L2336" i="1"/>
  <c r="M2336" i="1" s="1"/>
  <c r="N2336" i="1" s="1"/>
  <c r="L2337" i="1"/>
  <c r="M2337" i="1" s="1"/>
  <c r="N2337" i="1" s="1"/>
  <c r="L2338" i="1"/>
  <c r="M2338" i="1" s="1"/>
  <c r="N2338" i="1" s="1"/>
  <c r="L2339" i="1"/>
  <c r="M2339" i="1" s="1"/>
  <c r="N2339" i="1" s="1"/>
  <c r="L2340" i="1"/>
  <c r="M2340" i="1" s="1"/>
  <c r="N2340" i="1" s="1"/>
  <c r="L2341" i="1"/>
  <c r="M2341" i="1" s="1"/>
  <c r="N2341" i="1" s="1"/>
  <c r="L2342" i="1"/>
  <c r="M2342" i="1" s="1"/>
  <c r="N2342" i="1" s="1"/>
  <c r="L2343" i="1"/>
  <c r="M2343" i="1" s="1"/>
  <c r="N2343" i="1" s="1"/>
  <c r="L2344" i="1"/>
  <c r="M2344" i="1" s="1"/>
  <c r="N2344" i="1" s="1"/>
  <c r="L2345" i="1"/>
  <c r="M2345" i="1" s="1"/>
  <c r="N2345" i="1" s="1"/>
  <c r="L2346" i="1"/>
  <c r="M2346" i="1" s="1"/>
  <c r="N2346" i="1" s="1"/>
  <c r="L2347" i="1"/>
  <c r="M2347" i="1" s="1"/>
  <c r="N2347" i="1" s="1"/>
  <c r="L2348" i="1"/>
  <c r="M2348" i="1" s="1"/>
  <c r="N2348" i="1" s="1"/>
  <c r="L2349" i="1"/>
  <c r="M2349" i="1" s="1"/>
  <c r="N2349" i="1" s="1"/>
  <c r="L2350" i="1"/>
  <c r="M2350" i="1" s="1"/>
  <c r="N2350" i="1" s="1"/>
  <c r="L2351" i="1"/>
  <c r="M2351" i="1" s="1"/>
  <c r="N2351" i="1" s="1"/>
  <c r="L2352" i="1"/>
  <c r="M2352" i="1" s="1"/>
  <c r="N2352" i="1" s="1"/>
  <c r="L2353" i="1"/>
  <c r="M2353" i="1" s="1"/>
  <c r="N2353" i="1" s="1"/>
  <c r="L2354" i="1"/>
  <c r="M2354" i="1" s="1"/>
  <c r="N2354" i="1" s="1"/>
  <c r="L2355" i="1"/>
  <c r="M2355" i="1" s="1"/>
  <c r="N2355" i="1" s="1"/>
  <c r="L2356" i="1"/>
  <c r="M2356" i="1" s="1"/>
  <c r="N2356" i="1" s="1"/>
  <c r="L2357" i="1"/>
  <c r="M2357" i="1" s="1"/>
  <c r="N2357" i="1" s="1"/>
  <c r="L2358" i="1"/>
  <c r="M2358" i="1" s="1"/>
  <c r="N2358" i="1" s="1"/>
  <c r="L2359" i="1"/>
  <c r="M2359" i="1" s="1"/>
  <c r="N2359" i="1" s="1"/>
  <c r="L2360" i="1"/>
  <c r="M2360" i="1" s="1"/>
  <c r="N2360" i="1" s="1"/>
  <c r="L2361" i="1"/>
  <c r="M2361" i="1" s="1"/>
  <c r="N2361" i="1" s="1"/>
  <c r="L2362" i="1"/>
  <c r="M2362" i="1" s="1"/>
  <c r="N2362" i="1" s="1"/>
  <c r="L2363" i="1"/>
  <c r="M2363" i="1" s="1"/>
  <c r="N2363" i="1" s="1"/>
  <c r="L2364" i="1"/>
  <c r="M2364" i="1" s="1"/>
  <c r="N2364" i="1" s="1"/>
  <c r="L2365" i="1"/>
  <c r="M2365" i="1" s="1"/>
  <c r="N2365" i="1" s="1"/>
  <c r="L2366" i="1"/>
  <c r="M2366" i="1" s="1"/>
  <c r="N2366" i="1" s="1"/>
  <c r="L2367" i="1"/>
  <c r="M2367" i="1" s="1"/>
  <c r="N2367" i="1" s="1"/>
  <c r="L2368" i="1"/>
  <c r="M2368" i="1" s="1"/>
  <c r="N2368" i="1" s="1"/>
  <c r="L2369" i="1"/>
  <c r="M2369" i="1" s="1"/>
  <c r="N2369" i="1" s="1"/>
  <c r="L2370" i="1"/>
  <c r="M2370" i="1" s="1"/>
  <c r="N2370" i="1" s="1"/>
  <c r="L2371" i="1"/>
  <c r="M2371" i="1" s="1"/>
  <c r="N2371" i="1" s="1"/>
  <c r="L2372" i="1"/>
  <c r="M2372" i="1" s="1"/>
  <c r="N2372" i="1" s="1"/>
  <c r="L2373" i="1"/>
  <c r="M2373" i="1" s="1"/>
  <c r="N2373" i="1" s="1"/>
  <c r="L2374" i="1"/>
  <c r="M2374" i="1" s="1"/>
  <c r="N2374" i="1" s="1"/>
  <c r="L2375" i="1"/>
  <c r="M2375" i="1" s="1"/>
  <c r="N2375" i="1" s="1"/>
  <c r="L2376" i="1"/>
  <c r="M2376" i="1" s="1"/>
  <c r="N2376" i="1" s="1"/>
  <c r="L2377" i="1"/>
  <c r="M2377" i="1" s="1"/>
  <c r="N2377" i="1" s="1"/>
  <c r="L2378" i="1"/>
  <c r="M2378" i="1" s="1"/>
  <c r="N2378" i="1" s="1"/>
  <c r="L2379" i="1"/>
  <c r="M2379" i="1" s="1"/>
  <c r="N2379" i="1" s="1"/>
  <c r="L2380" i="1"/>
  <c r="M2380" i="1" s="1"/>
  <c r="N2380" i="1" s="1"/>
  <c r="L2381" i="1"/>
  <c r="M2381" i="1" s="1"/>
  <c r="N2381" i="1" s="1"/>
  <c r="L2382" i="1"/>
  <c r="M2382" i="1" s="1"/>
  <c r="N2382" i="1" s="1"/>
  <c r="L2383" i="1"/>
  <c r="M2383" i="1" s="1"/>
  <c r="N2383" i="1" s="1"/>
  <c r="L2384" i="1"/>
  <c r="M2384" i="1" s="1"/>
  <c r="N2384" i="1" s="1"/>
  <c r="L2385" i="1"/>
  <c r="M2385" i="1" s="1"/>
  <c r="N2385" i="1" s="1"/>
  <c r="L2386" i="1"/>
  <c r="M2386" i="1" s="1"/>
  <c r="N2386" i="1" s="1"/>
  <c r="L2387" i="1"/>
  <c r="M2387" i="1" s="1"/>
  <c r="N2387" i="1" s="1"/>
  <c r="L2388" i="1"/>
  <c r="M2388" i="1" s="1"/>
  <c r="N2388" i="1" s="1"/>
  <c r="L2389" i="1"/>
  <c r="M2389" i="1" s="1"/>
  <c r="N2389" i="1" s="1"/>
  <c r="L2390" i="1"/>
  <c r="M2390" i="1" s="1"/>
  <c r="N2390" i="1" s="1"/>
  <c r="L2391" i="1"/>
  <c r="M2391" i="1" s="1"/>
  <c r="N2391" i="1" s="1"/>
  <c r="L2392" i="1"/>
  <c r="M2392" i="1" s="1"/>
  <c r="N2392" i="1" s="1"/>
  <c r="L2393" i="1"/>
  <c r="M2393" i="1" s="1"/>
  <c r="N2393" i="1" s="1"/>
  <c r="L2394" i="1"/>
  <c r="M2394" i="1" s="1"/>
  <c r="N2394" i="1" s="1"/>
  <c r="L2395" i="1"/>
  <c r="M2395" i="1" s="1"/>
  <c r="N2395" i="1" s="1"/>
  <c r="L2396" i="1"/>
  <c r="M2396" i="1" s="1"/>
  <c r="N2396" i="1" s="1"/>
  <c r="L2397" i="1"/>
  <c r="M2397" i="1" s="1"/>
  <c r="N2397" i="1" s="1"/>
  <c r="L2398" i="1"/>
  <c r="M2398" i="1" s="1"/>
  <c r="N2398" i="1" s="1"/>
  <c r="L2399" i="1"/>
  <c r="M2399" i="1" s="1"/>
  <c r="N2399" i="1" s="1"/>
  <c r="L2400" i="1"/>
  <c r="M2400" i="1" s="1"/>
  <c r="N2400" i="1" s="1"/>
  <c r="L2401" i="1"/>
  <c r="M2401" i="1" s="1"/>
  <c r="N2401" i="1" s="1"/>
  <c r="L2402" i="1"/>
  <c r="M2402" i="1" s="1"/>
  <c r="N2402" i="1" s="1"/>
  <c r="L2403" i="1"/>
  <c r="M2403" i="1" s="1"/>
  <c r="N2403" i="1" s="1"/>
  <c r="L2404" i="1"/>
  <c r="M2404" i="1" s="1"/>
  <c r="N2404" i="1" s="1"/>
  <c r="L2405" i="1"/>
  <c r="M2405" i="1" s="1"/>
  <c r="N2405" i="1" s="1"/>
  <c r="L2406" i="1"/>
  <c r="M2406" i="1" s="1"/>
  <c r="N2406" i="1" s="1"/>
  <c r="L2407" i="1"/>
  <c r="M2407" i="1" s="1"/>
  <c r="N2407" i="1" s="1"/>
  <c r="L2408" i="1"/>
  <c r="M2408" i="1" s="1"/>
  <c r="N2408" i="1" s="1"/>
  <c r="L2409" i="1"/>
  <c r="M2409" i="1" s="1"/>
  <c r="N2409" i="1" s="1"/>
  <c r="L2410" i="1"/>
  <c r="M2410" i="1" s="1"/>
  <c r="N2410" i="1" s="1"/>
  <c r="L2411" i="1"/>
  <c r="M2411" i="1" s="1"/>
  <c r="N2411" i="1" s="1"/>
  <c r="L2412" i="1"/>
  <c r="M2412" i="1" s="1"/>
  <c r="N2412" i="1" s="1"/>
  <c r="L2413" i="1"/>
  <c r="M2413" i="1" s="1"/>
  <c r="N2413" i="1" s="1"/>
  <c r="L2414" i="1"/>
  <c r="M2414" i="1" s="1"/>
  <c r="N2414" i="1" s="1"/>
  <c r="L2415" i="1"/>
  <c r="M2415" i="1" s="1"/>
  <c r="N2415" i="1" s="1"/>
  <c r="L2416" i="1"/>
  <c r="M2416" i="1" s="1"/>
  <c r="N2416" i="1" s="1"/>
  <c r="L2417" i="1"/>
  <c r="M2417" i="1" s="1"/>
  <c r="N2417" i="1" s="1"/>
  <c r="L2418" i="1"/>
  <c r="M2418" i="1" s="1"/>
  <c r="N2418" i="1" s="1"/>
  <c r="L2419" i="1"/>
  <c r="M2419" i="1" s="1"/>
  <c r="N2419" i="1" s="1"/>
  <c r="L2420" i="1"/>
  <c r="M2420" i="1" s="1"/>
  <c r="N2420" i="1" s="1"/>
  <c r="L2421" i="1"/>
  <c r="M2421" i="1" s="1"/>
  <c r="N2421" i="1" s="1"/>
  <c r="L2422" i="1"/>
  <c r="M2422" i="1" s="1"/>
  <c r="N2422" i="1" s="1"/>
  <c r="L2423" i="1"/>
  <c r="M2423" i="1" s="1"/>
  <c r="N2423" i="1" s="1"/>
  <c r="L2424" i="1"/>
  <c r="M2424" i="1" s="1"/>
  <c r="N2424" i="1" s="1"/>
  <c r="L2425" i="1"/>
  <c r="M2425" i="1" s="1"/>
  <c r="N2425" i="1" s="1"/>
  <c r="L2426" i="1"/>
  <c r="M2426" i="1" s="1"/>
  <c r="N2426" i="1" s="1"/>
  <c r="L2427" i="1"/>
  <c r="M2427" i="1" s="1"/>
  <c r="N2427" i="1" s="1"/>
  <c r="L2428" i="1"/>
  <c r="M2428" i="1" s="1"/>
  <c r="N2428" i="1" s="1"/>
  <c r="L2429" i="1"/>
  <c r="M2429" i="1" s="1"/>
  <c r="N2429" i="1" s="1"/>
  <c r="L2430" i="1"/>
  <c r="M2430" i="1" s="1"/>
  <c r="N2430" i="1" s="1"/>
  <c r="L2431" i="1"/>
  <c r="M2431" i="1" s="1"/>
  <c r="N2431" i="1" s="1"/>
  <c r="L2432" i="1"/>
  <c r="M2432" i="1" s="1"/>
  <c r="N2432" i="1" s="1"/>
  <c r="L2433" i="1"/>
  <c r="M2433" i="1" s="1"/>
  <c r="N2433" i="1" s="1"/>
  <c r="L2434" i="1"/>
  <c r="M2434" i="1" s="1"/>
  <c r="N2434" i="1" s="1"/>
  <c r="L2435" i="1"/>
  <c r="M2435" i="1" s="1"/>
  <c r="N2435" i="1" s="1"/>
  <c r="L2436" i="1"/>
  <c r="M2436" i="1" s="1"/>
  <c r="N2436" i="1" s="1"/>
  <c r="L2437" i="1"/>
  <c r="M2437" i="1" s="1"/>
  <c r="N2437" i="1" s="1"/>
  <c r="L2438" i="1"/>
  <c r="M2438" i="1" s="1"/>
  <c r="N2438" i="1" s="1"/>
  <c r="L2439" i="1"/>
  <c r="M2439" i="1" s="1"/>
  <c r="N2439" i="1" s="1"/>
  <c r="L2440" i="1"/>
  <c r="M2440" i="1" s="1"/>
  <c r="N2440" i="1" s="1"/>
  <c r="L2441" i="1"/>
  <c r="M2441" i="1" s="1"/>
  <c r="N2441" i="1" s="1"/>
  <c r="L2442" i="1"/>
  <c r="M2442" i="1" s="1"/>
  <c r="N2442" i="1" s="1"/>
  <c r="L2443" i="1"/>
  <c r="M2443" i="1" s="1"/>
  <c r="N2443" i="1" s="1"/>
  <c r="L2444" i="1"/>
  <c r="M2444" i="1" s="1"/>
  <c r="N2444" i="1" s="1"/>
  <c r="L2445" i="1"/>
  <c r="M2445" i="1" s="1"/>
  <c r="N2445" i="1" s="1"/>
  <c r="L2446" i="1"/>
  <c r="M2446" i="1" s="1"/>
  <c r="N2446" i="1" s="1"/>
  <c r="L2447" i="1"/>
  <c r="M2447" i="1" s="1"/>
  <c r="N2447" i="1" s="1"/>
  <c r="L2448" i="1"/>
  <c r="M2448" i="1" s="1"/>
  <c r="N2448" i="1" s="1"/>
  <c r="L2449" i="1"/>
  <c r="M2449" i="1" s="1"/>
  <c r="N2449" i="1" s="1"/>
  <c r="L2450" i="1"/>
  <c r="M2450" i="1" s="1"/>
  <c r="N2450" i="1" s="1"/>
  <c r="L2451" i="1"/>
  <c r="M2451" i="1" s="1"/>
  <c r="N2451" i="1" s="1"/>
  <c r="L2452" i="1"/>
  <c r="M2452" i="1" s="1"/>
  <c r="N2452" i="1" s="1"/>
  <c r="L2453" i="1"/>
  <c r="M2453" i="1" s="1"/>
  <c r="N2453" i="1" s="1"/>
  <c r="L2454" i="1"/>
  <c r="M2454" i="1" s="1"/>
  <c r="N2454" i="1" s="1"/>
  <c r="L2455" i="1"/>
  <c r="M2455" i="1" s="1"/>
  <c r="N2455" i="1" s="1"/>
  <c r="L2456" i="1"/>
  <c r="M2456" i="1" s="1"/>
  <c r="N2456" i="1" s="1"/>
  <c r="L2457" i="1"/>
  <c r="M2457" i="1" s="1"/>
  <c r="N2457" i="1" s="1"/>
  <c r="L2458" i="1"/>
  <c r="M2458" i="1" s="1"/>
  <c r="N2458" i="1" s="1"/>
  <c r="L2459" i="1"/>
  <c r="M2459" i="1" s="1"/>
  <c r="N2459" i="1" s="1"/>
  <c r="L2460" i="1"/>
  <c r="M2460" i="1" s="1"/>
  <c r="N2460" i="1" s="1"/>
  <c r="L2461" i="1"/>
  <c r="M2461" i="1" s="1"/>
  <c r="N2461" i="1" s="1"/>
  <c r="L2462" i="1"/>
  <c r="M2462" i="1" s="1"/>
  <c r="N2462" i="1" s="1"/>
  <c r="L2463" i="1"/>
  <c r="M2463" i="1" s="1"/>
  <c r="N2463" i="1" s="1"/>
  <c r="L2464" i="1"/>
  <c r="M2464" i="1" s="1"/>
  <c r="N2464" i="1" s="1"/>
  <c r="L2465" i="1"/>
  <c r="M2465" i="1" s="1"/>
  <c r="N2465" i="1" s="1"/>
  <c r="L2466" i="1"/>
  <c r="M2466" i="1" s="1"/>
  <c r="N2466" i="1" s="1"/>
  <c r="L2467" i="1"/>
  <c r="M2467" i="1" s="1"/>
  <c r="N2467" i="1" s="1"/>
  <c r="L2468" i="1"/>
  <c r="M2468" i="1" s="1"/>
  <c r="N2468" i="1" s="1"/>
  <c r="L2469" i="1"/>
  <c r="M2469" i="1" s="1"/>
  <c r="N2469" i="1" s="1"/>
  <c r="L2470" i="1"/>
  <c r="M2470" i="1" s="1"/>
  <c r="N2470" i="1" s="1"/>
  <c r="L2471" i="1"/>
  <c r="M2471" i="1" s="1"/>
  <c r="N2471" i="1" s="1"/>
  <c r="L2472" i="1"/>
  <c r="M2472" i="1" s="1"/>
  <c r="N2472" i="1" s="1"/>
  <c r="L2473" i="1"/>
  <c r="M2473" i="1" s="1"/>
  <c r="N2473" i="1" s="1"/>
  <c r="L2474" i="1"/>
  <c r="M2474" i="1" s="1"/>
  <c r="N2474" i="1" s="1"/>
  <c r="L2475" i="1"/>
  <c r="M2475" i="1" s="1"/>
  <c r="N2475" i="1" s="1"/>
  <c r="L2476" i="1"/>
  <c r="M2476" i="1" s="1"/>
  <c r="N2476" i="1" s="1"/>
  <c r="L2477" i="1"/>
  <c r="M2477" i="1" s="1"/>
  <c r="N2477" i="1" s="1"/>
  <c r="L2478" i="1"/>
  <c r="M2478" i="1" s="1"/>
  <c r="N2478" i="1" s="1"/>
  <c r="L2479" i="1"/>
  <c r="M2479" i="1" s="1"/>
  <c r="N2479" i="1" s="1"/>
  <c r="L2480" i="1"/>
  <c r="M2480" i="1" s="1"/>
  <c r="N2480" i="1" s="1"/>
  <c r="L2481" i="1"/>
  <c r="M2481" i="1" s="1"/>
  <c r="N2481" i="1" s="1"/>
  <c r="L2482" i="1"/>
  <c r="M2482" i="1" s="1"/>
  <c r="N2482" i="1" s="1"/>
  <c r="L2483" i="1"/>
  <c r="M2483" i="1" s="1"/>
  <c r="N2483" i="1" s="1"/>
  <c r="L2484" i="1"/>
  <c r="M2484" i="1" s="1"/>
  <c r="N2484" i="1" s="1"/>
  <c r="L2485" i="1"/>
  <c r="M2485" i="1" s="1"/>
  <c r="N2485" i="1" s="1"/>
  <c r="L2486" i="1"/>
  <c r="M2486" i="1" s="1"/>
  <c r="N2486" i="1" s="1"/>
  <c r="L2487" i="1"/>
  <c r="M2487" i="1" s="1"/>
  <c r="N2487" i="1" s="1"/>
  <c r="L2488" i="1"/>
  <c r="M2488" i="1" s="1"/>
  <c r="N2488" i="1" s="1"/>
  <c r="L2489" i="1"/>
  <c r="M2489" i="1" s="1"/>
  <c r="N2489" i="1" s="1"/>
  <c r="L2490" i="1"/>
  <c r="M2490" i="1" s="1"/>
  <c r="N2490" i="1" s="1"/>
  <c r="L2491" i="1"/>
  <c r="M2491" i="1" s="1"/>
  <c r="N2491" i="1" s="1"/>
  <c r="L2492" i="1"/>
  <c r="M2492" i="1" s="1"/>
  <c r="N2492" i="1" s="1"/>
  <c r="L2493" i="1"/>
  <c r="M2493" i="1" s="1"/>
  <c r="N2493" i="1" s="1"/>
  <c r="L2494" i="1"/>
  <c r="M2494" i="1" s="1"/>
  <c r="N2494" i="1" s="1"/>
  <c r="L2495" i="1"/>
  <c r="M2495" i="1" s="1"/>
  <c r="N2495" i="1" s="1"/>
  <c r="L2496" i="1"/>
  <c r="M2496" i="1" s="1"/>
  <c r="N2496" i="1" s="1"/>
  <c r="L2497" i="1"/>
  <c r="M2497" i="1" s="1"/>
  <c r="N2497" i="1" s="1"/>
  <c r="L2498" i="1"/>
  <c r="M2498" i="1" s="1"/>
  <c r="N2498" i="1" s="1"/>
  <c r="L2499" i="1"/>
  <c r="M2499" i="1" s="1"/>
  <c r="N2499" i="1" s="1"/>
  <c r="L2500" i="1"/>
  <c r="M2500" i="1" s="1"/>
  <c r="N2500" i="1" s="1"/>
  <c r="L2501" i="1"/>
  <c r="M2501" i="1" s="1"/>
  <c r="N2501" i="1" s="1"/>
  <c r="L2502" i="1"/>
  <c r="M2502" i="1" s="1"/>
  <c r="N2502" i="1" s="1"/>
  <c r="L2503" i="1"/>
  <c r="M2503" i="1" s="1"/>
  <c r="N2503" i="1" s="1"/>
  <c r="L2504" i="1"/>
  <c r="M2504" i="1" s="1"/>
  <c r="N2504" i="1" s="1"/>
  <c r="L2505" i="1"/>
  <c r="M2505" i="1" s="1"/>
  <c r="N2505" i="1" s="1"/>
  <c r="L2506" i="1"/>
  <c r="M2506" i="1" s="1"/>
  <c r="N2506" i="1" s="1"/>
  <c r="L2507" i="1"/>
  <c r="M2507" i="1" s="1"/>
  <c r="N2507" i="1" s="1"/>
  <c r="L2508" i="1"/>
  <c r="M2508" i="1" s="1"/>
  <c r="N2508" i="1" s="1"/>
  <c r="L2509" i="1"/>
  <c r="M2509" i="1" s="1"/>
  <c r="N2509" i="1" s="1"/>
  <c r="L2510" i="1"/>
  <c r="M2510" i="1" s="1"/>
  <c r="N2510" i="1" s="1"/>
  <c r="L2511" i="1"/>
  <c r="M2511" i="1" s="1"/>
  <c r="N2511" i="1" s="1"/>
  <c r="L2512" i="1"/>
  <c r="M2512" i="1" s="1"/>
  <c r="N2512" i="1" s="1"/>
  <c r="L2513" i="1"/>
  <c r="M2513" i="1" s="1"/>
  <c r="N2513" i="1" s="1"/>
  <c r="L2514" i="1"/>
  <c r="M2514" i="1" s="1"/>
  <c r="N2514" i="1" s="1"/>
  <c r="L2515" i="1"/>
  <c r="M2515" i="1" s="1"/>
  <c r="N2515" i="1" s="1"/>
  <c r="L2516" i="1"/>
  <c r="M2516" i="1" s="1"/>
  <c r="N2516" i="1" s="1"/>
  <c r="L2517" i="1"/>
  <c r="M2517" i="1" s="1"/>
  <c r="N2517" i="1" s="1"/>
  <c r="L2518" i="1"/>
  <c r="M2518" i="1" s="1"/>
  <c r="N2518" i="1" s="1"/>
  <c r="L2519" i="1"/>
  <c r="M2519" i="1" s="1"/>
  <c r="N2519" i="1" s="1"/>
  <c r="L2520" i="1"/>
  <c r="M2520" i="1" s="1"/>
  <c r="N2520" i="1" s="1"/>
  <c r="L2521" i="1"/>
  <c r="M2521" i="1" s="1"/>
  <c r="N2521" i="1" s="1"/>
  <c r="L2522" i="1"/>
  <c r="M2522" i="1" s="1"/>
  <c r="N2522" i="1" s="1"/>
  <c r="L2523" i="1"/>
  <c r="M2523" i="1" s="1"/>
  <c r="N2523" i="1" s="1"/>
  <c r="L2524" i="1"/>
  <c r="M2524" i="1" s="1"/>
  <c r="N2524" i="1" s="1"/>
  <c r="L2525" i="1"/>
  <c r="M2525" i="1" s="1"/>
  <c r="N2525" i="1" s="1"/>
  <c r="L2526" i="1"/>
  <c r="M2526" i="1" s="1"/>
  <c r="N2526" i="1" s="1"/>
  <c r="L2527" i="1"/>
  <c r="M2527" i="1" s="1"/>
  <c r="N2527" i="1" s="1"/>
  <c r="L2528" i="1"/>
  <c r="M2528" i="1" s="1"/>
  <c r="N2528" i="1" s="1"/>
  <c r="L2529" i="1"/>
  <c r="M2529" i="1" s="1"/>
  <c r="N2529" i="1" s="1"/>
  <c r="L2530" i="1"/>
  <c r="M2530" i="1" s="1"/>
  <c r="N2530" i="1" s="1"/>
  <c r="L2531" i="1"/>
  <c r="M2531" i="1" s="1"/>
  <c r="N2531" i="1" s="1"/>
  <c r="L2532" i="1"/>
  <c r="M2532" i="1" s="1"/>
  <c r="N2532" i="1" s="1"/>
  <c r="L2533" i="1"/>
  <c r="M2533" i="1" s="1"/>
  <c r="N2533" i="1" s="1"/>
  <c r="L2534" i="1"/>
  <c r="M2534" i="1" s="1"/>
  <c r="N2534" i="1" s="1"/>
  <c r="L2535" i="1"/>
  <c r="M2535" i="1" s="1"/>
  <c r="N2535" i="1" s="1"/>
  <c r="L2536" i="1"/>
  <c r="M2536" i="1" s="1"/>
  <c r="N2536" i="1" s="1"/>
  <c r="L2537" i="1"/>
  <c r="M2537" i="1" s="1"/>
  <c r="N2537" i="1" s="1"/>
  <c r="L2538" i="1"/>
  <c r="M2538" i="1" s="1"/>
  <c r="N2538" i="1" s="1"/>
  <c r="L2539" i="1"/>
  <c r="M2539" i="1" s="1"/>
  <c r="N2539" i="1" s="1"/>
  <c r="L2540" i="1"/>
  <c r="M2540" i="1" s="1"/>
  <c r="N2540" i="1" s="1"/>
  <c r="L2541" i="1"/>
  <c r="M2541" i="1" s="1"/>
  <c r="N2541" i="1" s="1"/>
  <c r="L2542" i="1"/>
  <c r="M2542" i="1" s="1"/>
  <c r="N2542" i="1" s="1"/>
  <c r="L2543" i="1"/>
  <c r="M2543" i="1" s="1"/>
  <c r="N2543" i="1" s="1"/>
  <c r="L2544" i="1"/>
  <c r="M2544" i="1" s="1"/>
  <c r="N2544" i="1" s="1"/>
  <c r="L2545" i="1"/>
  <c r="M2545" i="1" s="1"/>
  <c r="N2545" i="1" s="1"/>
  <c r="L2546" i="1"/>
  <c r="M2546" i="1" s="1"/>
  <c r="N2546" i="1" s="1"/>
  <c r="L2547" i="1"/>
  <c r="M2547" i="1" s="1"/>
  <c r="N2547" i="1" s="1"/>
  <c r="L2548" i="1"/>
  <c r="M2548" i="1" s="1"/>
  <c r="N2548" i="1" s="1"/>
  <c r="L2549" i="1"/>
  <c r="M2549" i="1" s="1"/>
  <c r="N2549" i="1" s="1"/>
  <c r="L2550" i="1"/>
  <c r="M2550" i="1" s="1"/>
  <c r="N2550" i="1" s="1"/>
  <c r="L2551" i="1"/>
  <c r="M2551" i="1" s="1"/>
  <c r="N2551" i="1" s="1"/>
  <c r="L2552" i="1"/>
  <c r="M2552" i="1" s="1"/>
  <c r="N2552" i="1" s="1"/>
  <c r="L2553" i="1"/>
  <c r="M2553" i="1" s="1"/>
  <c r="N2553" i="1" s="1"/>
  <c r="L2554" i="1"/>
  <c r="M2554" i="1" s="1"/>
  <c r="N2554" i="1" s="1"/>
  <c r="L2555" i="1"/>
  <c r="M2555" i="1" s="1"/>
  <c r="N2555" i="1" s="1"/>
  <c r="L2556" i="1"/>
  <c r="M2556" i="1" s="1"/>
  <c r="N2556" i="1" s="1"/>
  <c r="L2557" i="1"/>
  <c r="M2557" i="1" s="1"/>
  <c r="N2557" i="1" s="1"/>
  <c r="L2558" i="1"/>
  <c r="M2558" i="1" s="1"/>
  <c r="N2558" i="1" s="1"/>
  <c r="L2559" i="1"/>
  <c r="M2559" i="1" s="1"/>
  <c r="N2559" i="1" s="1"/>
  <c r="L2560" i="1"/>
  <c r="M2560" i="1" s="1"/>
  <c r="N2560" i="1" s="1"/>
  <c r="L2561" i="1"/>
  <c r="M2561" i="1" s="1"/>
  <c r="N2561" i="1" s="1"/>
  <c r="L2562" i="1"/>
  <c r="M2562" i="1" s="1"/>
  <c r="N2562" i="1" s="1"/>
  <c r="L2563" i="1"/>
  <c r="M2563" i="1" s="1"/>
  <c r="N2563" i="1" s="1"/>
  <c r="L2564" i="1"/>
  <c r="M2564" i="1" s="1"/>
  <c r="N2564" i="1" s="1"/>
  <c r="L2565" i="1"/>
  <c r="M2565" i="1" s="1"/>
  <c r="N2565" i="1" s="1"/>
  <c r="L2566" i="1"/>
  <c r="M2566" i="1" s="1"/>
  <c r="N2566" i="1" s="1"/>
  <c r="L2567" i="1"/>
  <c r="M2567" i="1" s="1"/>
  <c r="N2567" i="1" s="1"/>
  <c r="L2568" i="1"/>
  <c r="M2568" i="1" s="1"/>
  <c r="N2568" i="1" s="1"/>
  <c r="L2569" i="1"/>
  <c r="M2569" i="1" s="1"/>
  <c r="N2569" i="1" s="1"/>
  <c r="L2570" i="1"/>
  <c r="M2570" i="1" s="1"/>
  <c r="N2570" i="1" s="1"/>
  <c r="L2571" i="1"/>
  <c r="M2571" i="1" s="1"/>
  <c r="N2571" i="1" s="1"/>
  <c r="L2572" i="1"/>
  <c r="M2572" i="1" s="1"/>
  <c r="N2572" i="1" s="1"/>
  <c r="L2573" i="1"/>
  <c r="M2573" i="1" s="1"/>
  <c r="N2573" i="1" s="1"/>
  <c r="L2574" i="1"/>
  <c r="M2574" i="1" s="1"/>
  <c r="N2574" i="1" s="1"/>
  <c r="L2575" i="1"/>
  <c r="M2575" i="1" s="1"/>
  <c r="N2575" i="1" s="1"/>
  <c r="L2576" i="1"/>
  <c r="M2576" i="1" s="1"/>
  <c r="N2576" i="1" s="1"/>
  <c r="L2577" i="1"/>
  <c r="M2577" i="1" s="1"/>
  <c r="N2577" i="1" s="1"/>
  <c r="L2578" i="1"/>
  <c r="M2578" i="1" s="1"/>
  <c r="N2578" i="1" s="1"/>
  <c r="L2579" i="1"/>
  <c r="M2579" i="1" s="1"/>
  <c r="N2579" i="1" s="1"/>
  <c r="L2580" i="1"/>
  <c r="M2580" i="1" s="1"/>
  <c r="N2580" i="1" s="1"/>
  <c r="L2581" i="1"/>
  <c r="M2581" i="1" s="1"/>
  <c r="N2581" i="1" s="1"/>
  <c r="L2582" i="1"/>
  <c r="M2582" i="1" s="1"/>
  <c r="N2582" i="1" s="1"/>
  <c r="L2583" i="1"/>
  <c r="M2583" i="1" s="1"/>
  <c r="N2583" i="1" s="1"/>
  <c r="L2584" i="1"/>
  <c r="M2584" i="1" s="1"/>
  <c r="N2584" i="1" s="1"/>
  <c r="L2585" i="1"/>
  <c r="M2585" i="1" s="1"/>
  <c r="N2585" i="1" s="1"/>
  <c r="L2586" i="1"/>
  <c r="M2586" i="1" s="1"/>
  <c r="N2586" i="1" s="1"/>
  <c r="L2587" i="1"/>
  <c r="M2587" i="1" s="1"/>
  <c r="N2587" i="1" s="1"/>
  <c r="L2588" i="1"/>
  <c r="M2588" i="1" s="1"/>
  <c r="N2588" i="1" s="1"/>
  <c r="L2589" i="1"/>
  <c r="M2589" i="1" s="1"/>
  <c r="N2589" i="1" s="1"/>
  <c r="L2590" i="1"/>
  <c r="M2590" i="1" s="1"/>
  <c r="N2590" i="1" s="1"/>
  <c r="L2591" i="1"/>
  <c r="M2591" i="1" s="1"/>
  <c r="N2591" i="1" s="1"/>
  <c r="L2592" i="1"/>
  <c r="M2592" i="1" s="1"/>
  <c r="N2592" i="1" s="1"/>
  <c r="L2593" i="1"/>
  <c r="M2593" i="1" s="1"/>
  <c r="N2593" i="1" s="1"/>
  <c r="L2594" i="1"/>
  <c r="M2594" i="1" s="1"/>
  <c r="N2594" i="1" s="1"/>
  <c r="L2595" i="1"/>
  <c r="M2595" i="1" s="1"/>
  <c r="N2595" i="1" s="1"/>
  <c r="L2596" i="1"/>
  <c r="M2596" i="1" s="1"/>
  <c r="N2596" i="1" s="1"/>
  <c r="L2597" i="1"/>
  <c r="M2597" i="1" s="1"/>
  <c r="N2597" i="1" s="1"/>
  <c r="L2598" i="1"/>
  <c r="M2598" i="1" s="1"/>
  <c r="N2598" i="1" s="1"/>
  <c r="L2599" i="1"/>
  <c r="M2599" i="1" s="1"/>
  <c r="N2599" i="1" s="1"/>
  <c r="L2600" i="1"/>
  <c r="M2600" i="1" s="1"/>
  <c r="N2600" i="1" s="1"/>
  <c r="L2601" i="1"/>
  <c r="M2601" i="1" s="1"/>
  <c r="N2601" i="1" s="1"/>
  <c r="L2602" i="1"/>
  <c r="M2602" i="1" s="1"/>
  <c r="N2602" i="1" s="1"/>
  <c r="L2603" i="1"/>
  <c r="M2603" i="1" s="1"/>
  <c r="N2603" i="1" s="1"/>
  <c r="L2604" i="1"/>
  <c r="M2604" i="1" s="1"/>
  <c r="N2604" i="1" s="1"/>
  <c r="L2605" i="1"/>
  <c r="M2605" i="1" s="1"/>
  <c r="N2605" i="1" s="1"/>
  <c r="L2606" i="1"/>
  <c r="M2606" i="1" s="1"/>
  <c r="N2606" i="1" s="1"/>
  <c r="L2607" i="1"/>
  <c r="M2607" i="1" s="1"/>
  <c r="N2607" i="1" s="1"/>
  <c r="L2608" i="1"/>
  <c r="M2608" i="1" s="1"/>
  <c r="N2608" i="1" s="1"/>
  <c r="L2609" i="1"/>
  <c r="M2609" i="1" s="1"/>
  <c r="N2609" i="1" s="1"/>
  <c r="L2610" i="1"/>
  <c r="M2610" i="1" s="1"/>
  <c r="N2610" i="1" s="1"/>
  <c r="L2611" i="1"/>
  <c r="M2611" i="1" s="1"/>
  <c r="N2611" i="1" s="1"/>
  <c r="L2612" i="1"/>
  <c r="M2612" i="1" s="1"/>
  <c r="N2612" i="1" s="1"/>
  <c r="L2613" i="1"/>
  <c r="M2613" i="1" s="1"/>
  <c r="N2613" i="1" s="1"/>
  <c r="L2614" i="1"/>
  <c r="M2614" i="1" s="1"/>
  <c r="N2614" i="1" s="1"/>
  <c r="L2615" i="1"/>
  <c r="M2615" i="1" s="1"/>
  <c r="N2615" i="1" s="1"/>
  <c r="L2616" i="1"/>
  <c r="M2616" i="1" s="1"/>
  <c r="N2616" i="1" s="1"/>
  <c r="L2617" i="1"/>
  <c r="M2617" i="1" s="1"/>
  <c r="N2617" i="1" s="1"/>
  <c r="L2618" i="1"/>
  <c r="M2618" i="1" s="1"/>
  <c r="N2618" i="1" s="1"/>
  <c r="L2619" i="1"/>
  <c r="M2619" i="1" s="1"/>
  <c r="N2619" i="1" s="1"/>
  <c r="L2620" i="1"/>
  <c r="M2620" i="1" s="1"/>
  <c r="N2620" i="1" s="1"/>
  <c r="L2621" i="1"/>
  <c r="M2621" i="1" s="1"/>
  <c r="N2621" i="1" s="1"/>
  <c r="L2622" i="1"/>
  <c r="M2622" i="1" s="1"/>
  <c r="N2622" i="1" s="1"/>
  <c r="L2623" i="1"/>
  <c r="M2623" i="1" s="1"/>
  <c r="N2623" i="1" s="1"/>
  <c r="L2624" i="1"/>
  <c r="M2624" i="1" s="1"/>
  <c r="N2624" i="1" s="1"/>
  <c r="L2625" i="1"/>
  <c r="M2625" i="1" s="1"/>
  <c r="N2625" i="1" s="1"/>
  <c r="L2626" i="1"/>
  <c r="M2626" i="1" s="1"/>
  <c r="N2626" i="1" s="1"/>
  <c r="L2627" i="1"/>
  <c r="M2627" i="1" s="1"/>
  <c r="N2627" i="1" s="1"/>
  <c r="L2628" i="1"/>
  <c r="M2628" i="1" s="1"/>
  <c r="N2628" i="1" s="1"/>
  <c r="L2629" i="1"/>
  <c r="M2629" i="1" s="1"/>
  <c r="N2629" i="1" s="1"/>
  <c r="L2630" i="1"/>
  <c r="M2630" i="1" s="1"/>
  <c r="N2630" i="1" s="1"/>
  <c r="L2631" i="1"/>
  <c r="M2631" i="1" s="1"/>
  <c r="N2631" i="1" s="1"/>
  <c r="L2632" i="1"/>
  <c r="M2632" i="1" s="1"/>
  <c r="N2632" i="1" s="1"/>
  <c r="L2633" i="1"/>
  <c r="M2633" i="1" s="1"/>
  <c r="N2633" i="1" s="1"/>
  <c r="L2634" i="1"/>
  <c r="M2634" i="1" s="1"/>
  <c r="N2634" i="1" s="1"/>
  <c r="L2635" i="1"/>
  <c r="M2635" i="1" s="1"/>
  <c r="N2635" i="1" s="1"/>
  <c r="L2636" i="1"/>
  <c r="M2636" i="1" s="1"/>
  <c r="N2636" i="1" s="1"/>
  <c r="L2637" i="1"/>
  <c r="M2637" i="1" s="1"/>
  <c r="N2637" i="1" s="1"/>
  <c r="L2638" i="1"/>
  <c r="M2638" i="1" s="1"/>
  <c r="N2638" i="1" s="1"/>
  <c r="L2639" i="1"/>
  <c r="M2639" i="1" s="1"/>
  <c r="N2639" i="1" s="1"/>
  <c r="L2640" i="1"/>
  <c r="M2640" i="1" s="1"/>
  <c r="N2640" i="1" s="1"/>
  <c r="L2641" i="1"/>
  <c r="M2641" i="1" s="1"/>
  <c r="N2641" i="1" s="1"/>
  <c r="L2642" i="1"/>
  <c r="M2642" i="1" s="1"/>
  <c r="N2642" i="1" s="1"/>
  <c r="L2643" i="1"/>
  <c r="M2643" i="1" s="1"/>
  <c r="N2643" i="1" s="1"/>
  <c r="L2644" i="1"/>
  <c r="M2644" i="1" s="1"/>
  <c r="N2644" i="1" s="1"/>
  <c r="L2645" i="1"/>
  <c r="M2645" i="1" s="1"/>
  <c r="N2645" i="1" s="1"/>
  <c r="L2646" i="1"/>
  <c r="M2646" i="1" s="1"/>
  <c r="N2646" i="1" s="1"/>
  <c r="L2647" i="1"/>
  <c r="M2647" i="1" s="1"/>
  <c r="N2647" i="1" s="1"/>
  <c r="L2648" i="1"/>
  <c r="M2648" i="1" s="1"/>
  <c r="N2648" i="1" s="1"/>
  <c r="L2649" i="1"/>
  <c r="M2649" i="1" s="1"/>
  <c r="N2649" i="1" s="1"/>
  <c r="L2650" i="1"/>
  <c r="M2650" i="1" s="1"/>
  <c r="N2650" i="1" s="1"/>
  <c r="L2651" i="1"/>
  <c r="M2651" i="1" s="1"/>
  <c r="N2651" i="1" s="1"/>
  <c r="L2652" i="1"/>
  <c r="M2652" i="1" s="1"/>
  <c r="N2652" i="1" s="1"/>
  <c r="L2653" i="1"/>
  <c r="M2653" i="1" s="1"/>
  <c r="N2653" i="1" s="1"/>
  <c r="L2654" i="1"/>
  <c r="M2654" i="1" s="1"/>
  <c r="N2654" i="1" s="1"/>
  <c r="L2655" i="1"/>
  <c r="M2655" i="1" s="1"/>
  <c r="N2655" i="1" s="1"/>
  <c r="L2656" i="1"/>
  <c r="M2656" i="1" s="1"/>
  <c r="N2656" i="1" s="1"/>
  <c r="L2657" i="1"/>
  <c r="M2657" i="1" s="1"/>
  <c r="N2657" i="1" s="1"/>
  <c r="L2658" i="1"/>
  <c r="M2658" i="1" s="1"/>
  <c r="N2658" i="1" s="1"/>
  <c r="L2659" i="1"/>
  <c r="M2659" i="1" s="1"/>
  <c r="N2659" i="1" s="1"/>
  <c r="L2660" i="1"/>
  <c r="M2660" i="1" s="1"/>
  <c r="N2660" i="1" s="1"/>
  <c r="L2661" i="1"/>
  <c r="M2661" i="1" s="1"/>
  <c r="N2661" i="1" s="1"/>
  <c r="L2662" i="1"/>
  <c r="M2662" i="1" s="1"/>
  <c r="N2662" i="1" s="1"/>
  <c r="L2663" i="1"/>
  <c r="M2663" i="1" s="1"/>
  <c r="N2663" i="1" s="1"/>
  <c r="L2664" i="1"/>
  <c r="M2664" i="1" s="1"/>
  <c r="N2664" i="1" s="1"/>
  <c r="L2665" i="1"/>
  <c r="M2665" i="1" s="1"/>
  <c r="N2665" i="1" s="1"/>
  <c r="L2666" i="1"/>
  <c r="M2666" i="1" s="1"/>
  <c r="N2666" i="1" s="1"/>
  <c r="L2667" i="1"/>
  <c r="M2667" i="1" s="1"/>
  <c r="N2667" i="1" s="1"/>
  <c r="L2668" i="1"/>
  <c r="M2668" i="1" s="1"/>
  <c r="N2668" i="1" s="1"/>
  <c r="L2669" i="1"/>
  <c r="M2669" i="1" s="1"/>
  <c r="N2669" i="1" s="1"/>
  <c r="L2670" i="1"/>
  <c r="M2670" i="1" s="1"/>
  <c r="N2670" i="1" s="1"/>
  <c r="L2671" i="1"/>
  <c r="M2671" i="1" s="1"/>
  <c r="N2671" i="1" s="1"/>
  <c r="L2672" i="1"/>
  <c r="M2672" i="1" s="1"/>
  <c r="N2672" i="1" s="1"/>
  <c r="L2673" i="1"/>
  <c r="M2673" i="1" s="1"/>
  <c r="N2673" i="1" s="1"/>
  <c r="L2674" i="1"/>
  <c r="M2674" i="1" s="1"/>
  <c r="N2674" i="1" s="1"/>
  <c r="L2675" i="1"/>
  <c r="M2675" i="1" s="1"/>
  <c r="N2675" i="1" s="1"/>
  <c r="L2676" i="1"/>
  <c r="M2676" i="1" s="1"/>
  <c r="N2676" i="1" s="1"/>
  <c r="L2677" i="1"/>
  <c r="M2677" i="1" s="1"/>
  <c r="N2677" i="1" s="1"/>
  <c r="L2678" i="1"/>
  <c r="M2678" i="1" s="1"/>
  <c r="N2678" i="1" s="1"/>
  <c r="L2679" i="1"/>
  <c r="M2679" i="1" s="1"/>
  <c r="N2679" i="1" s="1"/>
  <c r="L2680" i="1"/>
  <c r="M2680" i="1" s="1"/>
  <c r="N2680" i="1" s="1"/>
  <c r="L2681" i="1"/>
  <c r="M2681" i="1" s="1"/>
  <c r="N2681" i="1" s="1"/>
  <c r="L2682" i="1"/>
  <c r="M2682" i="1" s="1"/>
  <c r="N2682" i="1" s="1"/>
  <c r="L2683" i="1"/>
  <c r="M2683" i="1" s="1"/>
  <c r="N2683" i="1" s="1"/>
  <c r="L2684" i="1"/>
  <c r="M2684" i="1" s="1"/>
  <c r="N2684" i="1" s="1"/>
  <c r="L2685" i="1"/>
  <c r="M2685" i="1" s="1"/>
  <c r="N2685" i="1" s="1"/>
  <c r="L2686" i="1"/>
  <c r="M2686" i="1" s="1"/>
  <c r="N2686" i="1" s="1"/>
  <c r="L2687" i="1"/>
  <c r="M2687" i="1" s="1"/>
  <c r="N2687" i="1" s="1"/>
  <c r="L2688" i="1"/>
  <c r="M2688" i="1" s="1"/>
  <c r="N2688" i="1" s="1"/>
  <c r="L2689" i="1"/>
  <c r="M2689" i="1" s="1"/>
  <c r="N2689" i="1" s="1"/>
  <c r="L2690" i="1"/>
  <c r="M2690" i="1" s="1"/>
  <c r="N2690" i="1" s="1"/>
  <c r="L2691" i="1"/>
  <c r="M2691" i="1" s="1"/>
  <c r="N2691" i="1" s="1"/>
  <c r="L2692" i="1"/>
  <c r="M2692" i="1" s="1"/>
  <c r="N2692" i="1" s="1"/>
  <c r="L2693" i="1"/>
  <c r="M2693" i="1" s="1"/>
  <c r="N2693" i="1" s="1"/>
  <c r="L2694" i="1"/>
  <c r="M2694" i="1" s="1"/>
  <c r="N2694" i="1" s="1"/>
  <c r="L2695" i="1"/>
  <c r="M2695" i="1" s="1"/>
  <c r="N2695" i="1" s="1"/>
  <c r="L2696" i="1"/>
  <c r="M2696" i="1" s="1"/>
  <c r="N2696" i="1" s="1"/>
  <c r="L2697" i="1"/>
  <c r="M2697" i="1" s="1"/>
  <c r="N2697" i="1" s="1"/>
  <c r="L2698" i="1"/>
  <c r="M2698" i="1" s="1"/>
  <c r="N2698" i="1" s="1"/>
  <c r="L2699" i="1"/>
  <c r="M2699" i="1" s="1"/>
  <c r="N2699" i="1" s="1"/>
  <c r="L2700" i="1"/>
  <c r="M2700" i="1" s="1"/>
  <c r="N2700" i="1" s="1"/>
  <c r="L2701" i="1"/>
  <c r="M2701" i="1" s="1"/>
  <c r="N2701" i="1" s="1"/>
  <c r="L2702" i="1"/>
  <c r="M2702" i="1" s="1"/>
  <c r="N2702" i="1" s="1"/>
  <c r="L2703" i="1"/>
  <c r="M2703" i="1" s="1"/>
  <c r="N2703" i="1" s="1"/>
  <c r="L2704" i="1"/>
  <c r="M2704" i="1" s="1"/>
  <c r="N2704" i="1" s="1"/>
  <c r="L2705" i="1"/>
  <c r="M2705" i="1" s="1"/>
  <c r="N2705" i="1" s="1"/>
  <c r="L2706" i="1"/>
  <c r="M2706" i="1" s="1"/>
  <c r="N2706" i="1" s="1"/>
  <c r="L2707" i="1"/>
  <c r="M2707" i="1" s="1"/>
  <c r="N2707" i="1" s="1"/>
  <c r="L2708" i="1"/>
  <c r="M2708" i="1" s="1"/>
  <c r="N2708" i="1" s="1"/>
  <c r="L2709" i="1"/>
  <c r="M2709" i="1" s="1"/>
  <c r="N2709" i="1" s="1"/>
  <c r="L2710" i="1"/>
  <c r="M2710" i="1" s="1"/>
  <c r="N2710" i="1" s="1"/>
  <c r="L2711" i="1"/>
  <c r="M2711" i="1" s="1"/>
  <c r="N2711" i="1" s="1"/>
  <c r="L2712" i="1"/>
  <c r="M2712" i="1" s="1"/>
  <c r="N2712" i="1" s="1"/>
  <c r="L2713" i="1"/>
  <c r="M2713" i="1" s="1"/>
  <c r="N2713" i="1" s="1"/>
  <c r="L2714" i="1"/>
  <c r="M2714" i="1" s="1"/>
  <c r="N2714" i="1" s="1"/>
  <c r="L2715" i="1"/>
  <c r="M2715" i="1" s="1"/>
  <c r="N2715" i="1" s="1"/>
  <c r="L2716" i="1"/>
  <c r="M2716" i="1" s="1"/>
  <c r="N2716" i="1" s="1"/>
  <c r="L2717" i="1"/>
  <c r="M2717" i="1" s="1"/>
  <c r="N2717" i="1" s="1"/>
  <c r="L2718" i="1"/>
  <c r="M2718" i="1" s="1"/>
  <c r="N2718" i="1" s="1"/>
  <c r="L2719" i="1"/>
  <c r="M2719" i="1" s="1"/>
  <c r="N2719" i="1" s="1"/>
  <c r="L2720" i="1"/>
  <c r="M2720" i="1" s="1"/>
  <c r="N2720" i="1" s="1"/>
  <c r="L2721" i="1"/>
  <c r="M2721" i="1" s="1"/>
  <c r="N2721" i="1" s="1"/>
  <c r="L2722" i="1"/>
  <c r="M2722" i="1" s="1"/>
  <c r="N2722" i="1" s="1"/>
  <c r="L2723" i="1"/>
  <c r="M2723" i="1" s="1"/>
  <c r="N2723" i="1" s="1"/>
  <c r="L2724" i="1"/>
  <c r="M2724" i="1" s="1"/>
  <c r="N2724" i="1" s="1"/>
  <c r="L2725" i="1"/>
  <c r="M2725" i="1" s="1"/>
  <c r="N2725" i="1" s="1"/>
  <c r="L2726" i="1"/>
  <c r="M2726" i="1" s="1"/>
  <c r="N2726" i="1" s="1"/>
  <c r="L2727" i="1"/>
  <c r="M2727" i="1" s="1"/>
  <c r="N2727" i="1" s="1"/>
  <c r="L2728" i="1"/>
  <c r="M2728" i="1" s="1"/>
  <c r="N2728" i="1" s="1"/>
  <c r="L2729" i="1"/>
  <c r="M2729" i="1" s="1"/>
  <c r="N2729" i="1" s="1"/>
  <c r="L2730" i="1"/>
  <c r="M2730" i="1" s="1"/>
  <c r="N2730" i="1" s="1"/>
  <c r="L2731" i="1"/>
  <c r="M2731" i="1" s="1"/>
  <c r="N2731" i="1" s="1"/>
  <c r="L2732" i="1"/>
  <c r="M2732" i="1" s="1"/>
  <c r="N2732" i="1" s="1"/>
  <c r="L2733" i="1"/>
  <c r="M2733" i="1" s="1"/>
  <c r="N2733" i="1" s="1"/>
  <c r="L2734" i="1"/>
  <c r="M2734" i="1" s="1"/>
  <c r="N2734" i="1" s="1"/>
  <c r="L2735" i="1"/>
  <c r="M2735" i="1" s="1"/>
  <c r="N2735" i="1" s="1"/>
  <c r="L2736" i="1"/>
  <c r="M2736" i="1" s="1"/>
  <c r="N2736" i="1" s="1"/>
  <c r="L2737" i="1"/>
  <c r="M2737" i="1" s="1"/>
  <c r="N2737" i="1" s="1"/>
  <c r="L2738" i="1"/>
  <c r="M2738" i="1" s="1"/>
  <c r="N2738" i="1" s="1"/>
  <c r="L2739" i="1"/>
  <c r="M2739" i="1" s="1"/>
  <c r="N2739" i="1" s="1"/>
  <c r="L2740" i="1"/>
  <c r="M2740" i="1" s="1"/>
  <c r="N2740" i="1" s="1"/>
  <c r="L2741" i="1"/>
  <c r="M2741" i="1" s="1"/>
  <c r="N2741" i="1" s="1"/>
  <c r="L2742" i="1"/>
  <c r="M2742" i="1" s="1"/>
  <c r="N2742" i="1" s="1"/>
  <c r="L2743" i="1"/>
  <c r="M2743" i="1" s="1"/>
  <c r="N2743" i="1" s="1"/>
  <c r="L2744" i="1"/>
  <c r="M2744" i="1" s="1"/>
  <c r="N2744" i="1" s="1"/>
  <c r="L2745" i="1"/>
  <c r="M2745" i="1" s="1"/>
  <c r="N2745" i="1" s="1"/>
  <c r="L2746" i="1"/>
  <c r="M2746" i="1" s="1"/>
  <c r="N2746" i="1" s="1"/>
  <c r="L2747" i="1"/>
  <c r="M2747" i="1" s="1"/>
  <c r="N2747" i="1" s="1"/>
  <c r="L2748" i="1"/>
  <c r="M2748" i="1" s="1"/>
  <c r="N2748" i="1" s="1"/>
  <c r="L2749" i="1"/>
  <c r="M2749" i="1" s="1"/>
  <c r="N2749" i="1" s="1"/>
  <c r="L2750" i="1"/>
  <c r="M2750" i="1" s="1"/>
  <c r="N2750" i="1" s="1"/>
  <c r="L2751" i="1"/>
  <c r="M2751" i="1" s="1"/>
  <c r="N2751" i="1" s="1"/>
  <c r="L2752" i="1"/>
  <c r="M2752" i="1" s="1"/>
  <c r="N2752" i="1" s="1"/>
  <c r="L2753" i="1"/>
  <c r="M2753" i="1" s="1"/>
  <c r="N2753" i="1" s="1"/>
  <c r="L2754" i="1"/>
  <c r="M2754" i="1" s="1"/>
  <c r="N2754" i="1" s="1"/>
  <c r="L2755" i="1"/>
  <c r="M2755" i="1" s="1"/>
  <c r="N2755" i="1" s="1"/>
  <c r="L2756" i="1"/>
  <c r="M2756" i="1" s="1"/>
  <c r="N2756" i="1" s="1"/>
  <c r="L2757" i="1"/>
  <c r="M2757" i="1" s="1"/>
  <c r="N2757" i="1" s="1"/>
  <c r="L2758" i="1"/>
  <c r="M2758" i="1" s="1"/>
  <c r="N2758" i="1" s="1"/>
  <c r="L2759" i="1"/>
  <c r="M2759" i="1" s="1"/>
  <c r="N2759" i="1" s="1"/>
  <c r="L2760" i="1"/>
  <c r="M2760" i="1" s="1"/>
  <c r="N2760" i="1" s="1"/>
  <c r="L2761" i="1"/>
  <c r="M2761" i="1" s="1"/>
  <c r="N2761" i="1" s="1"/>
  <c r="L2762" i="1"/>
  <c r="M2762" i="1" s="1"/>
  <c r="N2762" i="1" s="1"/>
  <c r="L2763" i="1"/>
  <c r="M2763" i="1" s="1"/>
  <c r="N2763" i="1" s="1"/>
  <c r="L2764" i="1"/>
  <c r="M2764" i="1" s="1"/>
  <c r="N2764" i="1" s="1"/>
  <c r="L2765" i="1"/>
  <c r="M2765" i="1" s="1"/>
  <c r="N2765" i="1" s="1"/>
  <c r="L2766" i="1"/>
  <c r="M2766" i="1" s="1"/>
  <c r="N2766" i="1" s="1"/>
  <c r="L2767" i="1"/>
  <c r="M2767" i="1" s="1"/>
  <c r="N2767" i="1" s="1"/>
  <c r="L2768" i="1"/>
  <c r="M2768" i="1" s="1"/>
  <c r="N2768" i="1" s="1"/>
  <c r="L2769" i="1"/>
  <c r="M2769" i="1" s="1"/>
  <c r="N2769" i="1" s="1"/>
  <c r="L2770" i="1"/>
  <c r="M2770" i="1" s="1"/>
  <c r="N2770" i="1" s="1"/>
  <c r="L2771" i="1"/>
  <c r="M2771" i="1" s="1"/>
  <c r="N2771" i="1" s="1"/>
  <c r="L2772" i="1"/>
  <c r="M2772" i="1" s="1"/>
  <c r="N2772" i="1" s="1"/>
  <c r="L2773" i="1"/>
  <c r="M2773" i="1" s="1"/>
  <c r="N2773" i="1" s="1"/>
  <c r="L2774" i="1"/>
  <c r="M2774" i="1" s="1"/>
  <c r="N2774" i="1" s="1"/>
  <c r="L2775" i="1"/>
  <c r="M2775" i="1" s="1"/>
  <c r="N2775" i="1" s="1"/>
  <c r="L2776" i="1"/>
  <c r="M2776" i="1" s="1"/>
  <c r="N2776" i="1" s="1"/>
  <c r="L2777" i="1"/>
  <c r="M2777" i="1" s="1"/>
  <c r="N2777" i="1" s="1"/>
  <c r="L2778" i="1"/>
  <c r="M2778" i="1" s="1"/>
  <c r="N2778" i="1" s="1"/>
  <c r="L2779" i="1"/>
  <c r="M2779" i="1" s="1"/>
  <c r="N2779" i="1" s="1"/>
  <c r="L2780" i="1"/>
  <c r="M2780" i="1" s="1"/>
  <c r="N2780" i="1" s="1"/>
  <c r="L2781" i="1"/>
  <c r="M2781" i="1" s="1"/>
  <c r="N2781" i="1" s="1"/>
  <c r="L2782" i="1"/>
  <c r="M2782" i="1" s="1"/>
  <c r="N2782" i="1" s="1"/>
  <c r="L2783" i="1"/>
  <c r="M2783" i="1" s="1"/>
  <c r="N2783" i="1" s="1"/>
  <c r="L2784" i="1"/>
  <c r="M2784" i="1" s="1"/>
  <c r="N2784" i="1" s="1"/>
  <c r="L2785" i="1"/>
  <c r="M2785" i="1" s="1"/>
  <c r="N2785" i="1" s="1"/>
  <c r="L2786" i="1"/>
  <c r="M2786" i="1" s="1"/>
  <c r="N2786" i="1" s="1"/>
  <c r="L2787" i="1"/>
  <c r="M2787" i="1" s="1"/>
  <c r="N2787" i="1" s="1"/>
  <c r="L2788" i="1"/>
  <c r="M2788" i="1" s="1"/>
  <c r="N2788" i="1" s="1"/>
  <c r="L2789" i="1"/>
  <c r="M2789" i="1" s="1"/>
  <c r="N2789" i="1" s="1"/>
  <c r="L2790" i="1"/>
  <c r="M2790" i="1" s="1"/>
  <c r="N2790" i="1" s="1"/>
  <c r="L2791" i="1"/>
  <c r="M2791" i="1" s="1"/>
  <c r="N2791" i="1" s="1"/>
  <c r="L2792" i="1"/>
  <c r="M2792" i="1" s="1"/>
  <c r="N2792" i="1" s="1"/>
  <c r="L2793" i="1"/>
  <c r="M2793" i="1" s="1"/>
  <c r="N2793" i="1" s="1"/>
  <c r="L2794" i="1"/>
  <c r="M2794" i="1" s="1"/>
  <c r="N2794" i="1" s="1"/>
  <c r="L2795" i="1"/>
  <c r="M2795" i="1" s="1"/>
  <c r="N2795" i="1" s="1"/>
  <c r="L2796" i="1"/>
  <c r="M2796" i="1" s="1"/>
  <c r="N2796" i="1" s="1"/>
  <c r="L2797" i="1"/>
  <c r="M2797" i="1" s="1"/>
  <c r="N2797" i="1" s="1"/>
  <c r="L2798" i="1"/>
  <c r="M2798" i="1" s="1"/>
  <c r="N2798" i="1" s="1"/>
  <c r="L2799" i="1"/>
  <c r="M2799" i="1" s="1"/>
  <c r="N2799" i="1" s="1"/>
  <c r="L2800" i="1"/>
  <c r="M2800" i="1" s="1"/>
  <c r="N2800" i="1" s="1"/>
  <c r="L2801" i="1"/>
  <c r="M2801" i="1" s="1"/>
  <c r="N2801" i="1" s="1"/>
  <c r="L2802" i="1"/>
  <c r="M2802" i="1" s="1"/>
  <c r="N2802" i="1" s="1"/>
  <c r="L2803" i="1"/>
  <c r="M2803" i="1" s="1"/>
  <c r="N2803" i="1" s="1"/>
  <c r="L2804" i="1"/>
  <c r="M2804" i="1" s="1"/>
  <c r="N2804" i="1" s="1"/>
  <c r="L2805" i="1"/>
  <c r="M2805" i="1" s="1"/>
  <c r="N2805" i="1" s="1"/>
  <c r="L2806" i="1"/>
  <c r="M2806" i="1" s="1"/>
  <c r="N2806" i="1" s="1"/>
  <c r="L2807" i="1"/>
  <c r="M2807" i="1" s="1"/>
  <c r="N2807" i="1" s="1"/>
  <c r="L2808" i="1"/>
  <c r="M2808" i="1" s="1"/>
  <c r="N2808" i="1" s="1"/>
  <c r="L2809" i="1"/>
  <c r="M2809" i="1" s="1"/>
  <c r="N2809" i="1" s="1"/>
  <c r="L2810" i="1"/>
  <c r="M2810" i="1" s="1"/>
  <c r="N2810" i="1" s="1"/>
  <c r="L2811" i="1"/>
  <c r="M2811" i="1" s="1"/>
  <c r="N2811" i="1" s="1"/>
  <c r="L2812" i="1"/>
  <c r="M2812" i="1" s="1"/>
  <c r="N2812" i="1" s="1"/>
  <c r="L2813" i="1"/>
  <c r="M2813" i="1" s="1"/>
  <c r="N2813" i="1" s="1"/>
  <c r="L2814" i="1"/>
  <c r="M2814" i="1" s="1"/>
  <c r="N2814" i="1" s="1"/>
  <c r="L2815" i="1"/>
  <c r="M2815" i="1" s="1"/>
  <c r="N2815" i="1" s="1"/>
  <c r="L2816" i="1"/>
  <c r="M2816" i="1" s="1"/>
  <c r="N2816" i="1" s="1"/>
  <c r="L2817" i="1"/>
  <c r="M2817" i="1" s="1"/>
  <c r="N2817" i="1" s="1"/>
  <c r="L2818" i="1"/>
  <c r="M2818" i="1" s="1"/>
  <c r="N2818" i="1" s="1"/>
  <c r="L2819" i="1"/>
  <c r="M2819" i="1" s="1"/>
  <c r="N2819" i="1" s="1"/>
  <c r="L2820" i="1"/>
  <c r="M2820" i="1" s="1"/>
  <c r="N2820" i="1" s="1"/>
  <c r="L2821" i="1"/>
  <c r="M2821" i="1" s="1"/>
  <c r="N2821" i="1" s="1"/>
  <c r="L2822" i="1"/>
  <c r="M2822" i="1" s="1"/>
  <c r="N2822" i="1" s="1"/>
  <c r="L2823" i="1"/>
  <c r="M2823" i="1" s="1"/>
  <c r="N2823" i="1" s="1"/>
  <c r="L2824" i="1"/>
  <c r="M2824" i="1" s="1"/>
  <c r="N2824" i="1" s="1"/>
  <c r="L2825" i="1"/>
  <c r="M2825" i="1" s="1"/>
  <c r="N2825" i="1" s="1"/>
  <c r="L2826" i="1"/>
  <c r="M2826" i="1" s="1"/>
  <c r="N2826" i="1" s="1"/>
  <c r="L2827" i="1"/>
  <c r="M2827" i="1" s="1"/>
  <c r="N2827" i="1" s="1"/>
  <c r="L2828" i="1"/>
  <c r="M2828" i="1" s="1"/>
  <c r="N2828" i="1" s="1"/>
  <c r="L2829" i="1"/>
  <c r="M2829" i="1" s="1"/>
  <c r="N2829" i="1" s="1"/>
  <c r="L2830" i="1"/>
  <c r="M2830" i="1" s="1"/>
  <c r="N2830" i="1" s="1"/>
  <c r="L2831" i="1"/>
  <c r="M2831" i="1" s="1"/>
  <c r="N2831" i="1" s="1"/>
  <c r="L2832" i="1"/>
  <c r="M2832" i="1" s="1"/>
  <c r="N2832" i="1" s="1"/>
  <c r="L2833" i="1"/>
  <c r="M2833" i="1" s="1"/>
  <c r="N2833" i="1" s="1"/>
  <c r="L2834" i="1"/>
  <c r="M2834" i="1" s="1"/>
  <c r="N2834" i="1" s="1"/>
  <c r="L2835" i="1"/>
  <c r="M2835" i="1" s="1"/>
  <c r="N2835" i="1" s="1"/>
  <c r="L2836" i="1"/>
  <c r="M2836" i="1" s="1"/>
  <c r="N2836" i="1" s="1"/>
  <c r="L2837" i="1"/>
  <c r="M2837" i="1" s="1"/>
  <c r="N2837" i="1" s="1"/>
  <c r="L2838" i="1"/>
  <c r="M2838" i="1" s="1"/>
  <c r="N2838" i="1" s="1"/>
  <c r="L2839" i="1"/>
  <c r="M2839" i="1" s="1"/>
  <c r="N2839" i="1" s="1"/>
  <c r="L2840" i="1"/>
  <c r="M2840" i="1" s="1"/>
  <c r="N2840" i="1" s="1"/>
  <c r="L2841" i="1"/>
  <c r="M2841" i="1" s="1"/>
  <c r="N2841" i="1" s="1"/>
  <c r="L2842" i="1"/>
  <c r="M2842" i="1" s="1"/>
  <c r="N2842" i="1" s="1"/>
  <c r="L2843" i="1"/>
  <c r="M2843" i="1" s="1"/>
  <c r="N2843" i="1" s="1"/>
  <c r="L2844" i="1"/>
  <c r="M2844" i="1" s="1"/>
  <c r="N2844" i="1" s="1"/>
  <c r="L2845" i="1"/>
  <c r="M2845" i="1" s="1"/>
  <c r="N2845" i="1" s="1"/>
  <c r="L2846" i="1"/>
  <c r="M2846" i="1" s="1"/>
  <c r="N2846" i="1" s="1"/>
  <c r="L2847" i="1"/>
  <c r="M2847" i="1" s="1"/>
  <c r="N2847" i="1" s="1"/>
  <c r="L2848" i="1"/>
  <c r="M2848" i="1" s="1"/>
  <c r="N2848" i="1" s="1"/>
  <c r="L2849" i="1"/>
  <c r="M2849" i="1" s="1"/>
  <c r="N2849" i="1" s="1"/>
  <c r="L2850" i="1"/>
  <c r="M2850" i="1" s="1"/>
  <c r="N2850" i="1" s="1"/>
  <c r="L2851" i="1"/>
  <c r="M2851" i="1" s="1"/>
  <c r="N2851" i="1" s="1"/>
  <c r="L2852" i="1"/>
  <c r="M2852" i="1" s="1"/>
  <c r="N2852" i="1" s="1"/>
  <c r="L2853" i="1"/>
  <c r="M2853" i="1" s="1"/>
  <c r="N2853" i="1" s="1"/>
  <c r="L2854" i="1"/>
  <c r="M2854" i="1" s="1"/>
  <c r="N2854" i="1" s="1"/>
  <c r="L2855" i="1"/>
  <c r="M2855" i="1" s="1"/>
  <c r="N2855" i="1" s="1"/>
  <c r="L2856" i="1"/>
  <c r="M2856" i="1" s="1"/>
  <c r="N2856" i="1" s="1"/>
  <c r="L2857" i="1"/>
  <c r="M2857" i="1" s="1"/>
  <c r="N2857" i="1" s="1"/>
  <c r="L2858" i="1"/>
  <c r="M2858" i="1" s="1"/>
  <c r="N2858" i="1" s="1"/>
  <c r="L2859" i="1"/>
  <c r="M2859" i="1" s="1"/>
  <c r="N2859" i="1" s="1"/>
  <c r="L2860" i="1"/>
  <c r="M2860" i="1" s="1"/>
  <c r="N2860" i="1" s="1"/>
  <c r="L2861" i="1"/>
  <c r="M2861" i="1" s="1"/>
  <c r="N2861" i="1" s="1"/>
  <c r="L2862" i="1"/>
  <c r="M2862" i="1" s="1"/>
  <c r="N2862" i="1" s="1"/>
  <c r="L2863" i="1"/>
  <c r="M2863" i="1" s="1"/>
  <c r="N2863" i="1" s="1"/>
  <c r="L2864" i="1"/>
  <c r="M2864" i="1" s="1"/>
  <c r="N2864" i="1" s="1"/>
  <c r="L2865" i="1"/>
  <c r="M2865" i="1" s="1"/>
  <c r="N2865" i="1" s="1"/>
  <c r="L2866" i="1"/>
  <c r="M2866" i="1" s="1"/>
  <c r="N2866" i="1" s="1"/>
  <c r="L2867" i="1"/>
  <c r="M2867" i="1" s="1"/>
  <c r="N2867" i="1" s="1"/>
  <c r="L2868" i="1"/>
  <c r="M2868" i="1" s="1"/>
  <c r="N2868" i="1" s="1"/>
  <c r="L2869" i="1"/>
  <c r="M2869" i="1" s="1"/>
  <c r="N2869" i="1" s="1"/>
  <c r="L2870" i="1"/>
  <c r="M2870" i="1" s="1"/>
  <c r="N2870" i="1" s="1"/>
  <c r="L2871" i="1"/>
  <c r="M2871" i="1" s="1"/>
  <c r="N2871" i="1" s="1"/>
  <c r="L2872" i="1"/>
  <c r="M2872" i="1" s="1"/>
  <c r="N2872" i="1" s="1"/>
  <c r="L2873" i="1"/>
  <c r="M2873" i="1" s="1"/>
  <c r="N2873" i="1" s="1"/>
  <c r="L2874" i="1"/>
  <c r="M2874" i="1" s="1"/>
  <c r="N2874" i="1" s="1"/>
  <c r="L2875" i="1"/>
  <c r="M2875" i="1" s="1"/>
  <c r="N2875" i="1" s="1"/>
  <c r="L2876" i="1"/>
  <c r="M2876" i="1" s="1"/>
  <c r="N2876" i="1" s="1"/>
  <c r="L2877" i="1"/>
  <c r="M2877" i="1" s="1"/>
  <c r="N2877" i="1" s="1"/>
  <c r="L2878" i="1"/>
  <c r="M2878" i="1" s="1"/>
  <c r="N2878" i="1" s="1"/>
  <c r="L2879" i="1"/>
  <c r="M2879" i="1" s="1"/>
  <c r="N2879" i="1" s="1"/>
  <c r="L2880" i="1"/>
  <c r="M2880" i="1" s="1"/>
  <c r="N2880" i="1" s="1"/>
  <c r="L2881" i="1"/>
  <c r="M2881" i="1" s="1"/>
  <c r="N2881" i="1" s="1"/>
  <c r="L2882" i="1"/>
  <c r="M2882" i="1" s="1"/>
  <c r="N2882" i="1" s="1"/>
  <c r="L2883" i="1"/>
  <c r="M2883" i="1" s="1"/>
  <c r="N2883" i="1" s="1"/>
  <c r="L2884" i="1"/>
  <c r="M2884" i="1" s="1"/>
  <c r="N2884" i="1" s="1"/>
  <c r="L2885" i="1"/>
  <c r="M2885" i="1" s="1"/>
  <c r="N2885" i="1" s="1"/>
  <c r="L2886" i="1"/>
  <c r="M2886" i="1" s="1"/>
  <c r="N2886" i="1" s="1"/>
  <c r="L2887" i="1"/>
  <c r="M2887" i="1" s="1"/>
  <c r="N2887" i="1" s="1"/>
  <c r="L2888" i="1"/>
  <c r="M2888" i="1" s="1"/>
  <c r="N2888" i="1" s="1"/>
  <c r="L2889" i="1"/>
  <c r="M2889" i="1" s="1"/>
  <c r="N2889" i="1" s="1"/>
  <c r="L2890" i="1"/>
  <c r="M2890" i="1" s="1"/>
  <c r="N2890" i="1" s="1"/>
  <c r="L2891" i="1"/>
  <c r="M2891" i="1" s="1"/>
  <c r="N2891" i="1" s="1"/>
  <c r="L2892" i="1"/>
  <c r="M2892" i="1" s="1"/>
  <c r="N2892" i="1" s="1"/>
  <c r="L2893" i="1"/>
  <c r="M2893" i="1" s="1"/>
  <c r="N2893" i="1" s="1"/>
  <c r="L2894" i="1"/>
  <c r="M2894" i="1" s="1"/>
  <c r="N2894" i="1" s="1"/>
  <c r="L2895" i="1"/>
  <c r="M2895" i="1" s="1"/>
  <c r="N2895" i="1" s="1"/>
  <c r="L2896" i="1"/>
  <c r="M2896" i="1" s="1"/>
  <c r="N2896" i="1" s="1"/>
  <c r="L2897" i="1"/>
  <c r="M2897" i="1" s="1"/>
  <c r="N2897" i="1" s="1"/>
  <c r="L2898" i="1"/>
  <c r="M2898" i="1" s="1"/>
  <c r="N2898" i="1" s="1"/>
  <c r="L2899" i="1"/>
  <c r="M2899" i="1" s="1"/>
  <c r="N2899" i="1" s="1"/>
  <c r="L2900" i="1"/>
  <c r="M2900" i="1" s="1"/>
  <c r="N2900" i="1" s="1"/>
  <c r="L2901" i="1"/>
  <c r="M2901" i="1" s="1"/>
  <c r="N2901" i="1" s="1"/>
  <c r="L2902" i="1"/>
  <c r="M2902" i="1" s="1"/>
  <c r="N2902" i="1" s="1"/>
  <c r="L2903" i="1"/>
  <c r="M2903" i="1" s="1"/>
  <c r="N2903" i="1" s="1"/>
  <c r="L2904" i="1"/>
  <c r="M2904" i="1" s="1"/>
  <c r="N2904" i="1" s="1"/>
  <c r="L2905" i="1"/>
  <c r="M2905" i="1" s="1"/>
  <c r="N2905" i="1" s="1"/>
  <c r="L2906" i="1"/>
  <c r="M2906" i="1" s="1"/>
  <c r="N2906" i="1" s="1"/>
  <c r="L2907" i="1"/>
  <c r="M2907" i="1" s="1"/>
  <c r="N2907" i="1" s="1"/>
  <c r="L2908" i="1"/>
  <c r="M2908" i="1" s="1"/>
  <c r="N2908" i="1" s="1"/>
  <c r="L2909" i="1"/>
  <c r="M2909" i="1" s="1"/>
  <c r="N2909" i="1" s="1"/>
  <c r="L2910" i="1"/>
  <c r="M2910" i="1" s="1"/>
  <c r="N2910" i="1" s="1"/>
  <c r="L2911" i="1"/>
  <c r="M2911" i="1" s="1"/>
  <c r="N2911" i="1" s="1"/>
  <c r="L2912" i="1"/>
  <c r="M2912" i="1" s="1"/>
  <c r="N2912" i="1" s="1"/>
  <c r="L2913" i="1"/>
  <c r="M2913" i="1" s="1"/>
  <c r="N2913" i="1" s="1"/>
  <c r="L2914" i="1"/>
  <c r="M2914" i="1" s="1"/>
  <c r="N2914" i="1" s="1"/>
  <c r="L2915" i="1"/>
  <c r="M2915" i="1" s="1"/>
  <c r="N2915" i="1" s="1"/>
  <c r="L2916" i="1"/>
  <c r="M2916" i="1" s="1"/>
  <c r="N2916" i="1" s="1"/>
  <c r="L2917" i="1"/>
  <c r="M2917" i="1" s="1"/>
  <c r="N2917" i="1" s="1"/>
  <c r="L2918" i="1"/>
  <c r="M2918" i="1" s="1"/>
  <c r="N2918" i="1" s="1"/>
  <c r="L2919" i="1"/>
  <c r="M2919" i="1" s="1"/>
  <c r="N2919" i="1" s="1"/>
  <c r="L2920" i="1"/>
  <c r="M2920" i="1" s="1"/>
  <c r="N2920" i="1" s="1"/>
  <c r="L2921" i="1"/>
  <c r="M2921" i="1" s="1"/>
  <c r="N2921" i="1" s="1"/>
  <c r="L2922" i="1"/>
  <c r="M2922" i="1" s="1"/>
  <c r="N2922" i="1" s="1"/>
  <c r="L2923" i="1"/>
  <c r="M2923" i="1" s="1"/>
  <c r="N2923" i="1" s="1"/>
  <c r="L2924" i="1"/>
  <c r="M2924" i="1" s="1"/>
  <c r="N2924" i="1" s="1"/>
  <c r="L2925" i="1"/>
  <c r="M2925" i="1" s="1"/>
  <c r="N2925" i="1" s="1"/>
  <c r="L2926" i="1"/>
  <c r="M2926" i="1" s="1"/>
  <c r="N2926" i="1" s="1"/>
  <c r="L2927" i="1"/>
  <c r="M2927" i="1" s="1"/>
  <c r="N2927" i="1" s="1"/>
  <c r="L2928" i="1"/>
  <c r="M2928" i="1" s="1"/>
  <c r="N2928" i="1" s="1"/>
  <c r="L2929" i="1"/>
  <c r="M2929" i="1" s="1"/>
  <c r="N2929" i="1" s="1"/>
  <c r="L2930" i="1"/>
  <c r="M2930" i="1" s="1"/>
  <c r="N2930" i="1" s="1"/>
  <c r="L2931" i="1"/>
  <c r="M2931" i="1" s="1"/>
  <c r="N2931" i="1" s="1"/>
  <c r="L2932" i="1"/>
  <c r="M2932" i="1" s="1"/>
  <c r="N2932" i="1" s="1"/>
  <c r="L2933" i="1"/>
  <c r="M2933" i="1" s="1"/>
  <c r="N2933" i="1" s="1"/>
  <c r="L2934" i="1"/>
  <c r="M2934" i="1" s="1"/>
  <c r="N2934" i="1" s="1"/>
  <c r="L2935" i="1"/>
  <c r="M2935" i="1" s="1"/>
  <c r="N2935" i="1" s="1"/>
  <c r="L2936" i="1"/>
  <c r="M2936" i="1" s="1"/>
  <c r="N2936" i="1" s="1"/>
  <c r="L2937" i="1"/>
  <c r="M2937" i="1" s="1"/>
  <c r="N2937" i="1" s="1"/>
  <c r="L2938" i="1"/>
  <c r="M2938" i="1" s="1"/>
  <c r="N2938" i="1" s="1"/>
  <c r="L2939" i="1"/>
  <c r="M2939" i="1" s="1"/>
  <c r="N2939" i="1" s="1"/>
  <c r="L2940" i="1"/>
  <c r="M2940" i="1" s="1"/>
  <c r="N2940" i="1" s="1"/>
  <c r="L2941" i="1"/>
  <c r="M2941" i="1" s="1"/>
  <c r="N2941" i="1" s="1"/>
  <c r="L2942" i="1"/>
  <c r="M2942" i="1" s="1"/>
  <c r="N2942" i="1" s="1"/>
  <c r="L2943" i="1"/>
  <c r="M2943" i="1" s="1"/>
  <c r="N2943" i="1" s="1"/>
  <c r="L2944" i="1"/>
  <c r="M2944" i="1" s="1"/>
  <c r="N2944" i="1" s="1"/>
  <c r="L2945" i="1"/>
  <c r="M2945" i="1" s="1"/>
  <c r="N2945" i="1" s="1"/>
  <c r="L2946" i="1"/>
  <c r="M2946" i="1" s="1"/>
  <c r="N2946" i="1" s="1"/>
  <c r="L2947" i="1"/>
  <c r="M2947" i="1" s="1"/>
  <c r="N2947" i="1" s="1"/>
  <c r="L2948" i="1"/>
  <c r="M2948" i="1" s="1"/>
  <c r="N2948" i="1" s="1"/>
  <c r="L2949" i="1"/>
  <c r="M2949" i="1" s="1"/>
  <c r="N2949" i="1" s="1"/>
  <c r="L2950" i="1"/>
  <c r="M2950" i="1" s="1"/>
  <c r="N2950" i="1" s="1"/>
  <c r="L2951" i="1"/>
  <c r="M2951" i="1" s="1"/>
  <c r="N2951" i="1" s="1"/>
  <c r="L2952" i="1"/>
  <c r="M2952" i="1" s="1"/>
  <c r="N2952" i="1" s="1"/>
  <c r="L2953" i="1"/>
  <c r="M2953" i="1" s="1"/>
  <c r="N2953" i="1" s="1"/>
  <c r="L2954" i="1"/>
  <c r="M2954" i="1" s="1"/>
  <c r="N2954" i="1" s="1"/>
  <c r="L2955" i="1"/>
  <c r="M2955" i="1" s="1"/>
  <c r="N2955" i="1" s="1"/>
  <c r="L2956" i="1"/>
  <c r="M2956" i="1" s="1"/>
  <c r="N2956" i="1" s="1"/>
  <c r="L2957" i="1"/>
  <c r="M2957" i="1" s="1"/>
  <c r="N2957" i="1" s="1"/>
  <c r="L2958" i="1"/>
  <c r="M2958" i="1" s="1"/>
  <c r="N2958" i="1" s="1"/>
  <c r="L2959" i="1"/>
  <c r="M2959" i="1" s="1"/>
  <c r="N2959" i="1" s="1"/>
  <c r="L2960" i="1"/>
  <c r="M2960" i="1" s="1"/>
  <c r="N2960" i="1" s="1"/>
  <c r="L2961" i="1"/>
  <c r="M2961" i="1" s="1"/>
  <c r="N2961" i="1" s="1"/>
  <c r="L2962" i="1"/>
  <c r="M2962" i="1" s="1"/>
  <c r="N2962" i="1" s="1"/>
  <c r="L2963" i="1"/>
  <c r="M2963" i="1" s="1"/>
  <c r="N2963" i="1" s="1"/>
  <c r="L2964" i="1"/>
  <c r="M2964" i="1" s="1"/>
  <c r="N2964" i="1" s="1"/>
  <c r="L2965" i="1"/>
  <c r="M2965" i="1" s="1"/>
  <c r="N2965" i="1" s="1"/>
  <c r="L2966" i="1"/>
  <c r="M2966" i="1" s="1"/>
  <c r="N2966" i="1" s="1"/>
  <c r="L2967" i="1"/>
  <c r="M2967" i="1" s="1"/>
  <c r="N2967" i="1" s="1"/>
  <c r="L2968" i="1"/>
  <c r="M2968" i="1" s="1"/>
  <c r="N2968" i="1" s="1"/>
  <c r="L2969" i="1"/>
  <c r="M2969" i="1" s="1"/>
  <c r="N2969" i="1" s="1"/>
  <c r="L2970" i="1"/>
  <c r="M2970" i="1" s="1"/>
  <c r="N2970" i="1" s="1"/>
  <c r="L2971" i="1"/>
  <c r="M2971" i="1" s="1"/>
  <c r="N2971" i="1" s="1"/>
  <c r="L2972" i="1"/>
  <c r="M2972" i="1" s="1"/>
  <c r="N2972" i="1" s="1"/>
  <c r="L2973" i="1"/>
  <c r="M2973" i="1" s="1"/>
  <c r="N2973" i="1" s="1"/>
  <c r="L2974" i="1"/>
  <c r="M2974" i="1" s="1"/>
  <c r="N2974" i="1" s="1"/>
  <c r="L2975" i="1"/>
  <c r="M2975" i="1" s="1"/>
  <c r="N2975" i="1" s="1"/>
  <c r="L2976" i="1"/>
  <c r="M2976" i="1" s="1"/>
  <c r="N2976" i="1" s="1"/>
  <c r="L2977" i="1"/>
  <c r="M2977" i="1" s="1"/>
  <c r="N2977" i="1" s="1"/>
  <c r="L2978" i="1"/>
  <c r="M2978" i="1" s="1"/>
  <c r="N2978" i="1" s="1"/>
  <c r="L2979" i="1"/>
  <c r="M2979" i="1" s="1"/>
  <c r="N2979" i="1" s="1"/>
  <c r="L2980" i="1"/>
  <c r="M2980" i="1" s="1"/>
  <c r="N2980" i="1" s="1"/>
  <c r="L2981" i="1"/>
  <c r="M2981" i="1" s="1"/>
  <c r="N2981" i="1" s="1"/>
  <c r="L2982" i="1"/>
  <c r="M2982" i="1" s="1"/>
  <c r="N2982" i="1" s="1"/>
  <c r="L2983" i="1"/>
  <c r="M2983" i="1" s="1"/>
  <c r="N2983" i="1" s="1"/>
  <c r="L2984" i="1"/>
  <c r="M2984" i="1" s="1"/>
  <c r="N2984" i="1" s="1"/>
  <c r="L2985" i="1"/>
  <c r="M2985" i="1" s="1"/>
  <c r="N2985" i="1" s="1"/>
  <c r="L2986" i="1"/>
  <c r="M2986" i="1" s="1"/>
  <c r="N2986" i="1" s="1"/>
  <c r="L2987" i="1"/>
  <c r="M2987" i="1" s="1"/>
  <c r="N2987" i="1" s="1"/>
  <c r="L2988" i="1"/>
  <c r="M2988" i="1" s="1"/>
  <c r="N2988" i="1" s="1"/>
  <c r="L2989" i="1"/>
  <c r="M2989" i="1" s="1"/>
  <c r="N2989" i="1" s="1"/>
  <c r="L2990" i="1"/>
  <c r="M2990" i="1" s="1"/>
  <c r="N2990" i="1" s="1"/>
  <c r="L2991" i="1"/>
  <c r="M2991" i="1" s="1"/>
  <c r="N2991" i="1" s="1"/>
  <c r="L2992" i="1"/>
  <c r="M2992" i="1" s="1"/>
  <c r="N2992" i="1" s="1"/>
  <c r="L2993" i="1"/>
  <c r="M2993" i="1" s="1"/>
  <c r="N2993" i="1" s="1"/>
  <c r="L2994" i="1"/>
  <c r="M2994" i="1" s="1"/>
  <c r="N2994" i="1" s="1"/>
  <c r="L2995" i="1"/>
  <c r="M2995" i="1" s="1"/>
  <c r="N2995" i="1" s="1"/>
  <c r="L2996" i="1"/>
  <c r="M2996" i="1" s="1"/>
  <c r="N2996" i="1" s="1"/>
  <c r="L2997" i="1"/>
  <c r="M2997" i="1" s="1"/>
  <c r="N2997" i="1" s="1"/>
  <c r="L2998" i="1"/>
  <c r="M2998" i="1" s="1"/>
  <c r="N2998" i="1" s="1"/>
  <c r="L2999" i="1"/>
  <c r="M2999" i="1" s="1"/>
  <c r="N2999" i="1" s="1"/>
  <c r="L3000" i="1"/>
  <c r="M3000" i="1" s="1"/>
  <c r="N3000" i="1" s="1"/>
  <c r="L3001" i="1"/>
  <c r="M3001" i="1" s="1"/>
  <c r="N3001" i="1" s="1"/>
  <c r="L3002" i="1"/>
  <c r="M3002" i="1" s="1"/>
  <c r="N3002" i="1" s="1"/>
  <c r="L3003" i="1"/>
  <c r="M3003" i="1" s="1"/>
  <c r="N3003" i="1" s="1"/>
  <c r="L3004" i="1"/>
  <c r="M3004" i="1" s="1"/>
  <c r="N3004" i="1" s="1"/>
  <c r="L3005" i="1"/>
  <c r="M3005" i="1" s="1"/>
  <c r="N3005" i="1" s="1"/>
  <c r="L3006" i="1"/>
  <c r="M3006" i="1" s="1"/>
  <c r="N3006" i="1" s="1"/>
  <c r="L3007" i="1"/>
  <c r="M3007" i="1" s="1"/>
  <c r="N3007" i="1" s="1"/>
  <c r="L3008" i="1"/>
  <c r="M3008" i="1" s="1"/>
  <c r="N3008" i="1" s="1"/>
  <c r="L3009" i="1"/>
  <c r="M3009" i="1" s="1"/>
  <c r="N3009" i="1" s="1"/>
  <c r="L3010" i="1"/>
  <c r="M3010" i="1" s="1"/>
  <c r="N3010" i="1" s="1"/>
  <c r="L3011" i="1"/>
  <c r="M3011" i="1" s="1"/>
  <c r="N3011" i="1" s="1"/>
  <c r="L3012" i="1"/>
  <c r="M3012" i="1" s="1"/>
  <c r="N3012" i="1" s="1"/>
  <c r="L3013" i="1"/>
  <c r="M3013" i="1" s="1"/>
  <c r="N3013" i="1" s="1"/>
  <c r="L3014" i="1"/>
  <c r="M3014" i="1" s="1"/>
  <c r="N3014" i="1" s="1"/>
  <c r="L3015" i="1"/>
  <c r="M3015" i="1" s="1"/>
  <c r="N3015" i="1" s="1"/>
  <c r="L3016" i="1"/>
  <c r="M3016" i="1" s="1"/>
  <c r="N3016" i="1" s="1"/>
  <c r="L3017" i="1"/>
  <c r="M3017" i="1" s="1"/>
  <c r="N3017" i="1" s="1"/>
  <c r="L3018" i="1"/>
  <c r="M3018" i="1" s="1"/>
  <c r="N3018" i="1" s="1"/>
  <c r="L3019" i="1"/>
  <c r="M3019" i="1" s="1"/>
  <c r="N3019" i="1" s="1"/>
  <c r="L3020" i="1"/>
  <c r="M3020" i="1" s="1"/>
  <c r="N3020" i="1" s="1"/>
  <c r="L3021" i="1"/>
  <c r="M3021" i="1" s="1"/>
  <c r="N3021" i="1" s="1"/>
  <c r="L3022" i="1"/>
  <c r="M3022" i="1" s="1"/>
  <c r="N3022" i="1" s="1"/>
  <c r="L3023" i="1"/>
  <c r="M3023" i="1" s="1"/>
  <c r="N3023" i="1" s="1"/>
  <c r="L3024" i="1"/>
  <c r="M3024" i="1" s="1"/>
  <c r="N3024" i="1" s="1"/>
  <c r="L3025" i="1"/>
  <c r="M3025" i="1" s="1"/>
  <c r="N3025" i="1" s="1"/>
  <c r="L3026" i="1"/>
  <c r="M3026" i="1" s="1"/>
  <c r="N3026" i="1" s="1"/>
  <c r="L3027" i="1"/>
  <c r="M3027" i="1" s="1"/>
  <c r="N3027" i="1" s="1"/>
  <c r="L3028" i="1"/>
  <c r="M3028" i="1" s="1"/>
  <c r="N3028" i="1" s="1"/>
  <c r="L3029" i="1"/>
  <c r="M3029" i="1" s="1"/>
  <c r="N3029" i="1" s="1"/>
  <c r="L3030" i="1"/>
  <c r="M3030" i="1" s="1"/>
  <c r="N3030" i="1" s="1"/>
  <c r="L3031" i="1"/>
  <c r="M3031" i="1" s="1"/>
  <c r="N3031" i="1" s="1"/>
  <c r="L3032" i="1"/>
  <c r="M3032" i="1" s="1"/>
  <c r="N3032" i="1" s="1"/>
  <c r="L3033" i="1"/>
  <c r="M3033" i="1" s="1"/>
  <c r="N3033" i="1" s="1"/>
  <c r="L3034" i="1"/>
  <c r="M3034" i="1" s="1"/>
  <c r="N3034" i="1" s="1"/>
  <c r="L3035" i="1"/>
  <c r="M3035" i="1" s="1"/>
  <c r="N3035" i="1" s="1"/>
  <c r="L3036" i="1"/>
  <c r="M3036" i="1" s="1"/>
  <c r="N3036" i="1" s="1"/>
  <c r="L3037" i="1"/>
  <c r="M3037" i="1" s="1"/>
  <c r="N3037" i="1" s="1"/>
  <c r="L3038" i="1"/>
  <c r="M3038" i="1" s="1"/>
  <c r="N3038" i="1" s="1"/>
  <c r="L3039" i="1"/>
  <c r="M3039" i="1" s="1"/>
  <c r="N3039" i="1" s="1"/>
  <c r="L3040" i="1"/>
  <c r="M3040" i="1" s="1"/>
  <c r="N3040" i="1" s="1"/>
  <c r="L3041" i="1"/>
  <c r="M3041" i="1" s="1"/>
  <c r="N3041" i="1" s="1"/>
  <c r="L3042" i="1"/>
  <c r="M3042" i="1" s="1"/>
  <c r="N3042" i="1" s="1"/>
  <c r="L3043" i="1"/>
  <c r="M3043" i="1" s="1"/>
  <c r="N3043" i="1" s="1"/>
  <c r="L3044" i="1"/>
  <c r="M3044" i="1" s="1"/>
  <c r="N3044" i="1" s="1"/>
  <c r="L3045" i="1"/>
  <c r="M3045" i="1" s="1"/>
  <c r="N3045" i="1" s="1"/>
  <c r="L3046" i="1"/>
  <c r="M3046" i="1" s="1"/>
  <c r="N3046" i="1" s="1"/>
  <c r="L3047" i="1"/>
  <c r="M3047" i="1" s="1"/>
  <c r="N3047" i="1" s="1"/>
  <c r="L3048" i="1"/>
  <c r="M3048" i="1" s="1"/>
  <c r="N3048" i="1" s="1"/>
  <c r="L3049" i="1"/>
  <c r="M3049" i="1" s="1"/>
  <c r="N3049" i="1" s="1"/>
  <c r="L3050" i="1"/>
  <c r="M3050" i="1" s="1"/>
  <c r="N3050" i="1" s="1"/>
  <c r="L3051" i="1"/>
  <c r="M3051" i="1" s="1"/>
  <c r="N3051" i="1" s="1"/>
  <c r="L3052" i="1"/>
  <c r="M3052" i="1" s="1"/>
  <c r="N3052" i="1" s="1"/>
  <c r="L3053" i="1"/>
  <c r="M3053" i="1" s="1"/>
  <c r="N3053" i="1" s="1"/>
  <c r="L3054" i="1"/>
  <c r="M3054" i="1" s="1"/>
  <c r="N3054" i="1" s="1"/>
  <c r="L3055" i="1"/>
  <c r="M3055" i="1" s="1"/>
  <c r="N3055" i="1" s="1"/>
  <c r="L3056" i="1"/>
  <c r="M3056" i="1" s="1"/>
  <c r="N3056" i="1" s="1"/>
  <c r="L3057" i="1"/>
  <c r="M3057" i="1" s="1"/>
  <c r="N3057" i="1" s="1"/>
  <c r="L3058" i="1"/>
  <c r="M3058" i="1" s="1"/>
  <c r="N3058" i="1" s="1"/>
  <c r="L3059" i="1"/>
  <c r="M3059" i="1" s="1"/>
  <c r="N3059" i="1" s="1"/>
  <c r="L3060" i="1"/>
  <c r="M3060" i="1" s="1"/>
  <c r="N3060" i="1" s="1"/>
  <c r="L3061" i="1"/>
  <c r="M3061" i="1" s="1"/>
  <c r="N3061" i="1" s="1"/>
  <c r="L3062" i="1"/>
  <c r="M3062" i="1" s="1"/>
  <c r="N3062" i="1" s="1"/>
  <c r="L3063" i="1"/>
  <c r="M3063" i="1" s="1"/>
  <c r="N3063" i="1" s="1"/>
  <c r="L3064" i="1"/>
  <c r="M3064" i="1" s="1"/>
  <c r="N3064" i="1" s="1"/>
  <c r="L3065" i="1"/>
  <c r="M3065" i="1" s="1"/>
  <c r="N3065" i="1" s="1"/>
  <c r="L3066" i="1"/>
  <c r="M3066" i="1" s="1"/>
  <c r="N3066" i="1" s="1"/>
  <c r="L3067" i="1"/>
  <c r="M3067" i="1" s="1"/>
  <c r="N3067" i="1" s="1"/>
  <c r="L3068" i="1"/>
  <c r="M3068" i="1" s="1"/>
  <c r="N3068" i="1" s="1"/>
  <c r="L3069" i="1"/>
  <c r="M3069" i="1" s="1"/>
  <c r="N3069" i="1" s="1"/>
  <c r="L3070" i="1"/>
  <c r="M3070" i="1" s="1"/>
  <c r="N3070" i="1" s="1"/>
  <c r="L3071" i="1"/>
  <c r="M3071" i="1" s="1"/>
  <c r="N3071" i="1" s="1"/>
  <c r="L3072" i="1"/>
  <c r="M3072" i="1" s="1"/>
  <c r="N3072" i="1" s="1"/>
  <c r="L3073" i="1"/>
  <c r="M3073" i="1" s="1"/>
  <c r="N3073" i="1" s="1"/>
  <c r="L3074" i="1"/>
  <c r="M3074" i="1" s="1"/>
  <c r="N3074" i="1" s="1"/>
  <c r="L3075" i="1"/>
  <c r="M3075" i="1" s="1"/>
  <c r="N3075" i="1" s="1"/>
  <c r="L3076" i="1"/>
  <c r="M3076" i="1" s="1"/>
  <c r="N3076" i="1" s="1"/>
  <c r="L3077" i="1"/>
  <c r="M3077" i="1" s="1"/>
  <c r="N3077" i="1" s="1"/>
  <c r="L3078" i="1"/>
  <c r="M3078" i="1" s="1"/>
  <c r="N3078" i="1" s="1"/>
  <c r="L3079" i="1"/>
  <c r="M3079" i="1" s="1"/>
  <c r="N3079" i="1" s="1"/>
  <c r="L3080" i="1"/>
  <c r="M3080" i="1" s="1"/>
  <c r="N3080" i="1" s="1"/>
  <c r="L3081" i="1"/>
  <c r="M3081" i="1" s="1"/>
  <c r="N3081" i="1" s="1"/>
  <c r="L3082" i="1"/>
  <c r="M3082" i="1" s="1"/>
  <c r="N3082" i="1" s="1"/>
  <c r="L3083" i="1"/>
  <c r="M3083" i="1" s="1"/>
  <c r="N3083" i="1" s="1"/>
  <c r="L3084" i="1"/>
  <c r="M3084" i="1" s="1"/>
  <c r="N3084" i="1" s="1"/>
  <c r="L3085" i="1"/>
  <c r="M3085" i="1" s="1"/>
  <c r="N3085" i="1" s="1"/>
  <c r="L3086" i="1"/>
  <c r="M3086" i="1" s="1"/>
  <c r="N3086" i="1" s="1"/>
  <c r="L3087" i="1"/>
  <c r="M3087" i="1" s="1"/>
  <c r="N3087" i="1" s="1"/>
  <c r="L3088" i="1"/>
  <c r="M3088" i="1" s="1"/>
  <c r="N3088" i="1" s="1"/>
  <c r="L3089" i="1"/>
  <c r="M3089" i="1" s="1"/>
  <c r="N3089" i="1" s="1"/>
  <c r="L3090" i="1"/>
  <c r="M3090" i="1" s="1"/>
  <c r="N3090" i="1" s="1"/>
  <c r="L3091" i="1"/>
  <c r="M3091" i="1" s="1"/>
  <c r="N3091" i="1" s="1"/>
  <c r="L3092" i="1"/>
  <c r="M3092" i="1" s="1"/>
  <c r="N3092" i="1" s="1"/>
  <c r="L3093" i="1"/>
  <c r="M3093" i="1" s="1"/>
  <c r="N3093" i="1" s="1"/>
  <c r="L3094" i="1"/>
  <c r="M3094" i="1" s="1"/>
  <c r="N3094" i="1" s="1"/>
  <c r="L3095" i="1"/>
  <c r="M3095" i="1" s="1"/>
  <c r="N3095" i="1" s="1"/>
  <c r="L3096" i="1"/>
  <c r="M3096" i="1" s="1"/>
  <c r="N3096" i="1" s="1"/>
  <c r="L3097" i="1"/>
  <c r="M3097" i="1" s="1"/>
  <c r="N3097" i="1" s="1"/>
  <c r="L3098" i="1"/>
  <c r="M3098" i="1" s="1"/>
  <c r="N3098" i="1" s="1"/>
  <c r="L3099" i="1"/>
  <c r="M3099" i="1" s="1"/>
  <c r="N3099" i="1" s="1"/>
  <c r="L3100" i="1"/>
  <c r="M3100" i="1" s="1"/>
  <c r="N3100" i="1" s="1"/>
  <c r="L3101" i="1"/>
  <c r="M3101" i="1" s="1"/>
  <c r="N3101" i="1" s="1"/>
  <c r="L3102" i="1"/>
  <c r="M3102" i="1" s="1"/>
  <c r="N3102" i="1" s="1"/>
  <c r="L3103" i="1"/>
  <c r="M3103" i="1" s="1"/>
  <c r="N3103" i="1" s="1"/>
  <c r="L3104" i="1"/>
  <c r="M3104" i="1" s="1"/>
  <c r="N3104" i="1" s="1"/>
  <c r="L3105" i="1"/>
  <c r="M3105" i="1" s="1"/>
  <c r="N3105" i="1" s="1"/>
  <c r="L3106" i="1"/>
  <c r="M3106" i="1" s="1"/>
  <c r="N3106" i="1" s="1"/>
  <c r="L3107" i="1"/>
  <c r="M3107" i="1" s="1"/>
  <c r="N3107" i="1" s="1"/>
  <c r="L3108" i="1"/>
  <c r="M3108" i="1" s="1"/>
  <c r="N3108" i="1" s="1"/>
  <c r="L3109" i="1"/>
  <c r="M3109" i="1" s="1"/>
  <c r="N3109" i="1" s="1"/>
  <c r="L3110" i="1"/>
  <c r="M3110" i="1" s="1"/>
  <c r="N3110" i="1" s="1"/>
  <c r="L3111" i="1"/>
  <c r="M3111" i="1" s="1"/>
  <c r="N3111" i="1" s="1"/>
  <c r="L3112" i="1"/>
  <c r="M3112" i="1" s="1"/>
  <c r="N3112" i="1" s="1"/>
  <c r="L3113" i="1"/>
  <c r="M3113" i="1" s="1"/>
  <c r="N3113" i="1" s="1"/>
  <c r="L3114" i="1"/>
  <c r="M3114" i="1" s="1"/>
  <c r="N3114" i="1" s="1"/>
  <c r="L3115" i="1"/>
  <c r="M3115" i="1" s="1"/>
  <c r="N3115" i="1" s="1"/>
  <c r="L3116" i="1"/>
  <c r="M3116" i="1" s="1"/>
  <c r="N3116" i="1" s="1"/>
  <c r="L3117" i="1"/>
  <c r="M3117" i="1" s="1"/>
  <c r="N3117" i="1" s="1"/>
  <c r="L3118" i="1"/>
  <c r="M3118" i="1" s="1"/>
  <c r="N3118" i="1" s="1"/>
  <c r="L3119" i="1"/>
  <c r="M3119" i="1" s="1"/>
  <c r="N3119" i="1" s="1"/>
  <c r="L3120" i="1"/>
  <c r="M3120" i="1" s="1"/>
  <c r="N3120" i="1" s="1"/>
  <c r="L3121" i="1"/>
  <c r="M3121" i="1" s="1"/>
  <c r="N3121" i="1" s="1"/>
  <c r="L3122" i="1"/>
  <c r="M3122" i="1" s="1"/>
  <c r="N3122" i="1" s="1"/>
  <c r="L3123" i="1"/>
  <c r="M3123" i="1" s="1"/>
  <c r="N3123" i="1" s="1"/>
  <c r="L3124" i="1"/>
  <c r="M3124" i="1" s="1"/>
  <c r="N3124" i="1" s="1"/>
  <c r="L3125" i="1"/>
  <c r="M3125" i="1" s="1"/>
  <c r="N3125" i="1" s="1"/>
  <c r="L3126" i="1"/>
  <c r="M3126" i="1" s="1"/>
  <c r="N3126" i="1" s="1"/>
  <c r="L3127" i="1"/>
  <c r="M3127" i="1" s="1"/>
  <c r="N3127" i="1" s="1"/>
  <c r="L3128" i="1"/>
  <c r="M3128" i="1" s="1"/>
  <c r="N3128" i="1" s="1"/>
  <c r="L3129" i="1"/>
  <c r="M3129" i="1" s="1"/>
  <c r="N3129" i="1" s="1"/>
  <c r="L3130" i="1"/>
  <c r="M3130" i="1" s="1"/>
  <c r="N3130" i="1" s="1"/>
  <c r="L3131" i="1"/>
  <c r="M3131" i="1" s="1"/>
  <c r="N3131" i="1" s="1"/>
  <c r="L3132" i="1"/>
  <c r="M3132" i="1" s="1"/>
  <c r="N3132" i="1" s="1"/>
  <c r="L3133" i="1"/>
  <c r="M3133" i="1" s="1"/>
  <c r="N3133" i="1" s="1"/>
  <c r="L3134" i="1"/>
  <c r="M3134" i="1" s="1"/>
  <c r="N3134" i="1" s="1"/>
  <c r="L3135" i="1"/>
  <c r="M3135" i="1" s="1"/>
  <c r="N3135" i="1" s="1"/>
  <c r="L3136" i="1"/>
  <c r="M3136" i="1" s="1"/>
  <c r="N3136" i="1" s="1"/>
  <c r="L3137" i="1"/>
  <c r="M3137" i="1" s="1"/>
  <c r="N3137" i="1" s="1"/>
  <c r="L3138" i="1"/>
  <c r="M3138" i="1" s="1"/>
  <c r="N3138" i="1" s="1"/>
  <c r="L3139" i="1"/>
  <c r="M3139" i="1" s="1"/>
  <c r="N3139" i="1" s="1"/>
  <c r="L3140" i="1"/>
  <c r="M3140" i="1" s="1"/>
  <c r="N3140" i="1" s="1"/>
  <c r="L3141" i="1"/>
  <c r="M3141" i="1" s="1"/>
  <c r="N3141" i="1" s="1"/>
  <c r="L3142" i="1"/>
  <c r="M3142" i="1" s="1"/>
  <c r="N3142" i="1" s="1"/>
  <c r="L3143" i="1"/>
  <c r="M3143" i="1" s="1"/>
  <c r="N3143" i="1" s="1"/>
  <c r="L3144" i="1"/>
  <c r="M3144" i="1" s="1"/>
  <c r="N3144" i="1" s="1"/>
  <c r="L3145" i="1"/>
  <c r="M3145" i="1" s="1"/>
  <c r="N3145" i="1" s="1"/>
  <c r="L3146" i="1"/>
  <c r="M3146" i="1" s="1"/>
  <c r="N3146" i="1" s="1"/>
  <c r="L3147" i="1"/>
  <c r="M3147" i="1" s="1"/>
  <c r="N3147" i="1" s="1"/>
  <c r="L3148" i="1"/>
  <c r="M3148" i="1" s="1"/>
  <c r="N3148" i="1" s="1"/>
  <c r="L3149" i="1"/>
  <c r="M3149" i="1" s="1"/>
  <c r="N3149" i="1" s="1"/>
  <c r="L3150" i="1"/>
  <c r="M3150" i="1" s="1"/>
  <c r="N3150" i="1" s="1"/>
  <c r="L3151" i="1"/>
  <c r="M3151" i="1" s="1"/>
  <c r="N3151" i="1" s="1"/>
  <c r="L3152" i="1"/>
  <c r="M3152" i="1" s="1"/>
  <c r="N3152" i="1" s="1"/>
  <c r="L3153" i="1"/>
  <c r="M3153" i="1" s="1"/>
  <c r="N3153" i="1" s="1"/>
  <c r="L3154" i="1"/>
  <c r="M3154" i="1" s="1"/>
  <c r="N3154" i="1" s="1"/>
  <c r="L3155" i="1"/>
  <c r="M3155" i="1" s="1"/>
  <c r="N3155" i="1" s="1"/>
  <c r="L3156" i="1"/>
  <c r="M3156" i="1" s="1"/>
  <c r="N3156" i="1" s="1"/>
  <c r="L3157" i="1"/>
  <c r="M3157" i="1" s="1"/>
  <c r="N3157" i="1" s="1"/>
  <c r="L3158" i="1"/>
  <c r="M3158" i="1" s="1"/>
  <c r="N3158" i="1" s="1"/>
  <c r="L3159" i="1"/>
  <c r="M3159" i="1" s="1"/>
  <c r="N3159" i="1" s="1"/>
  <c r="L3160" i="1"/>
  <c r="M3160" i="1" s="1"/>
  <c r="N3160" i="1" s="1"/>
  <c r="L3161" i="1"/>
  <c r="M3161" i="1" s="1"/>
  <c r="N3161" i="1" s="1"/>
  <c r="L3162" i="1"/>
  <c r="M3162" i="1" s="1"/>
  <c r="N3162" i="1" s="1"/>
  <c r="L3163" i="1"/>
  <c r="M3163" i="1" s="1"/>
  <c r="N3163" i="1" s="1"/>
  <c r="L3164" i="1"/>
  <c r="M3164" i="1" s="1"/>
  <c r="N3164" i="1" s="1"/>
  <c r="L3165" i="1"/>
  <c r="M3165" i="1" s="1"/>
  <c r="N3165" i="1" s="1"/>
  <c r="L3166" i="1"/>
  <c r="M3166" i="1" s="1"/>
  <c r="N3166" i="1" s="1"/>
  <c r="L3167" i="1"/>
  <c r="M3167" i="1" s="1"/>
  <c r="N3167" i="1" s="1"/>
  <c r="L3168" i="1"/>
  <c r="M3168" i="1" s="1"/>
  <c r="N3168" i="1" s="1"/>
  <c r="L3169" i="1"/>
  <c r="M3169" i="1" s="1"/>
  <c r="N3169" i="1" s="1"/>
  <c r="L3170" i="1"/>
  <c r="M3170" i="1" s="1"/>
  <c r="N3170" i="1" s="1"/>
  <c r="L3171" i="1"/>
  <c r="M3171" i="1" s="1"/>
  <c r="N3171" i="1" s="1"/>
  <c r="L3172" i="1"/>
  <c r="M3172" i="1" s="1"/>
  <c r="N3172" i="1" s="1"/>
  <c r="L3173" i="1"/>
  <c r="M3173" i="1" s="1"/>
  <c r="N3173" i="1" s="1"/>
  <c r="L3174" i="1"/>
  <c r="M3174" i="1" s="1"/>
  <c r="N3174" i="1" s="1"/>
  <c r="L3175" i="1"/>
  <c r="M3175" i="1" s="1"/>
  <c r="N3175" i="1" s="1"/>
  <c r="L3176" i="1"/>
  <c r="M3176" i="1" s="1"/>
  <c r="N3176" i="1" s="1"/>
  <c r="L3177" i="1"/>
  <c r="M3177" i="1" s="1"/>
  <c r="N3177" i="1" s="1"/>
  <c r="L3178" i="1"/>
  <c r="M3178" i="1" s="1"/>
  <c r="N3178" i="1" s="1"/>
  <c r="L3179" i="1"/>
  <c r="M3179" i="1" s="1"/>
  <c r="N3179" i="1" s="1"/>
  <c r="L3180" i="1"/>
  <c r="M3180" i="1" s="1"/>
  <c r="N3180" i="1" s="1"/>
  <c r="L3181" i="1"/>
  <c r="M3181" i="1" s="1"/>
  <c r="N3181" i="1" s="1"/>
  <c r="L3182" i="1"/>
  <c r="M3182" i="1" s="1"/>
  <c r="N3182" i="1" s="1"/>
  <c r="L3183" i="1"/>
  <c r="M3183" i="1" s="1"/>
  <c r="N3183" i="1" s="1"/>
  <c r="L3184" i="1"/>
  <c r="M3184" i="1" s="1"/>
  <c r="N3184" i="1" s="1"/>
  <c r="L3185" i="1"/>
  <c r="M3185" i="1" s="1"/>
  <c r="N3185" i="1" s="1"/>
  <c r="L3186" i="1"/>
  <c r="M3186" i="1" s="1"/>
  <c r="N3186" i="1" s="1"/>
  <c r="L3187" i="1"/>
  <c r="M3187" i="1" s="1"/>
  <c r="N3187" i="1" s="1"/>
  <c r="L3188" i="1"/>
  <c r="M3188" i="1" s="1"/>
  <c r="N3188" i="1" s="1"/>
  <c r="L3189" i="1"/>
  <c r="M3189" i="1" s="1"/>
  <c r="N3189" i="1" s="1"/>
  <c r="L3190" i="1"/>
  <c r="M3190" i="1" s="1"/>
  <c r="N3190" i="1" s="1"/>
  <c r="L3191" i="1"/>
  <c r="M3191" i="1" s="1"/>
  <c r="N3191" i="1" s="1"/>
  <c r="L3192" i="1"/>
  <c r="M3192" i="1" s="1"/>
  <c r="N3192" i="1" s="1"/>
  <c r="L3193" i="1"/>
  <c r="M3193" i="1" s="1"/>
  <c r="N3193" i="1" s="1"/>
  <c r="L3194" i="1"/>
  <c r="M3194" i="1" s="1"/>
  <c r="N3194" i="1" s="1"/>
  <c r="L3195" i="1"/>
  <c r="M3195" i="1" s="1"/>
  <c r="N3195" i="1" s="1"/>
  <c r="L3196" i="1"/>
  <c r="M3196" i="1" s="1"/>
  <c r="N3196" i="1" s="1"/>
  <c r="L3197" i="1"/>
  <c r="M3197" i="1" s="1"/>
  <c r="N3197" i="1" s="1"/>
  <c r="L3198" i="1"/>
  <c r="M3198" i="1" s="1"/>
  <c r="N3198" i="1" s="1"/>
  <c r="L3199" i="1"/>
  <c r="M3199" i="1" s="1"/>
  <c r="N3199" i="1" s="1"/>
  <c r="L3200" i="1"/>
  <c r="M3200" i="1" s="1"/>
  <c r="N3200" i="1" s="1"/>
  <c r="L3201" i="1"/>
  <c r="M3201" i="1" s="1"/>
  <c r="N3201" i="1" s="1"/>
  <c r="L3202" i="1"/>
  <c r="M3202" i="1" s="1"/>
  <c r="N3202" i="1" s="1"/>
  <c r="L3203" i="1"/>
  <c r="M3203" i="1" s="1"/>
  <c r="N3203" i="1" s="1"/>
  <c r="L3204" i="1"/>
  <c r="M3204" i="1" s="1"/>
  <c r="N3204" i="1" s="1"/>
  <c r="L3205" i="1"/>
  <c r="M3205" i="1" s="1"/>
  <c r="N3205" i="1" s="1"/>
  <c r="L3206" i="1"/>
  <c r="M3206" i="1" s="1"/>
  <c r="N3206" i="1" s="1"/>
  <c r="L3207" i="1"/>
  <c r="M3207" i="1" s="1"/>
  <c r="N3207" i="1" s="1"/>
  <c r="L3208" i="1"/>
  <c r="M3208" i="1" s="1"/>
  <c r="N3208" i="1" s="1"/>
  <c r="L3209" i="1"/>
  <c r="M3209" i="1" s="1"/>
  <c r="N3209" i="1" s="1"/>
  <c r="L3210" i="1"/>
  <c r="M3210" i="1" s="1"/>
  <c r="N3210" i="1" s="1"/>
  <c r="L3211" i="1"/>
  <c r="M3211" i="1" s="1"/>
  <c r="N3211" i="1" s="1"/>
  <c r="L3212" i="1"/>
  <c r="M3212" i="1" s="1"/>
  <c r="N3212" i="1" s="1"/>
  <c r="L3213" i="1"/>
  <c r="M3213" i="1" s="1"/>
  <c r="N3213" i="1" s="1"/>
  <c r="L3214" i="1"/>
  <c r="M3214" i="1" s="1"/>
  <c r="N3214" i="1" s="1"/>
  <c r="L3215" i="1"/>
  <c r="M3215" i="1" s="1"/>
  <c r="N3215" i="1" s="1"/>
  <c r="L3216" i="1"/>
  <c r="M3216" i="1" s="1"/>
  <c r="N3216" i="1" s="1"/>
  <c r="L3217" i="1"/>
  <c r="M3217" i="1" s="1"/>
  <c r="N3217" i="1" s="1"/>
  <c r="L3218" i="1"/>
  <c r="M3218" i="1" s="1"/>
  <c r="N3218" i="1" s="1"/>
  <c r="L3219" i="1"/>
  <c r="M3219" i="1" s="1"/>
  <c r="N3219" i="1" s="1"/>
  <c r="L3220" i="1"/>
  <c r="M3220" i="1" s="1"/>
  <c r="N3220" i="1" s="1"/>
  <c r="L3221" i="1"/>
  <c r="M3221" i="1" s="1"/>
  <c r="N3221" i="1" s="1"/>
  <c r="L3222" i="1"/>
  <c r="M3222" i="1" s="1"/>
  <c r="N3222" i="1" s="1"/>
  <c r="L3223" i="1"/>
  <c r="M3223" i="1" s="1"/>
  <c r="N3223" i="1" s="1"/>
  <c r="L3224" i="1"/>
  <c r="M3224" i="1" s="1"/>
  <c r="N3224" i="1" s="1"/>
  <c r="L3225" i="1"/>
  <c r="M3225" i="1" s="1"/>
  <c r="N3225" i="1" s="1"/>
  <c r="L3226" i="1"/>
  <c r="M3226" i="1" s="1"/>
  <c r="N3226" i="1" s="1"/>
  <c r="L3227" i="1"/>
  <c r="M3227" i="1" s="1"/>
  <c r="N3227" i="1" s="1"/>
  <c r="L3228" i="1"/>
  <c r="M3228" i="1" s="1"/>
  <c r="N3228" i="1" s="1"/>
  <c r="L3229" i="1"/>
  <c r="M3229" i="1" s="1"/>
  <c r="N3229" i="1" s="1"/>
  <c r="L3230" i="1"/>
  <c r="M3230" i="1" s="1"/>
  <c r="N3230" i="1" s="1"/>
  <c r="L3231" i="1"/>
  <c r="M3231" i="1" s="1"/>
  <c r="N3231" i="1" s="1"/>
  <c r="L3232" i="1"/>
  <c r="M3232" i="1" s="1"/>
  <c r="N3232" i="1" s="1"/>
  <c r="L3233" i="1"/>
  <c r="M3233" i="1" s="1"/>
  <c r="N3233" i="1" s="1"/>
  <c r="L3234" i="1"/>
  <c r="M3234" i="1" s="1"/>
  <c r="N3234" i="1" s="1"/>
  <c r="L3235" i="1"/>
  <c r="M3235" i="1" s="1"/>
  <c r="N3235" i="1" s="1"/>
  <c r="L3236" i="1"/>
  <c r="M3236" i="1" s="1"/>
  <c r="N3236" i="1" s="1"/>
  <c r="L3237" i="1"/>
  <c r="M3237" i="1" s="1"/>
  <c r="N3237" i="1" s="1"/>
  <c r="L3238" i="1"/>
  <c r="M3238" i="1" s="1"/>
  <c r="N3238" i="1" s="1"/>
  <c r="L3239" i="1"/>
  <c r="M3239" i="1" s="1"/>
  <c r="N3239" i="1" s="1"/>
  <c r="L3240" i="1"/>
  <c r="M3240" i="1" s="1"/>
  <c r="N3240" i="1" s="1"/>
  <c r="L3241" i="1"/>
  <c r="M3241" i="1" s="1"/>
  <c r="N3241" i="1" s="1"/>
  <c r="L3242" i="1"/>
  <c r="M3242" i="1" s="1"/>
  <c r="N3242" i="1" s="1"/>
  <c r="L3243" i="1"/>
  <c r="M3243" i="1" s="1"/>
  <c r="N3243" i="1" s="1"/>
  <c r="L3244" i="1"/>
  <c r="M3244" i="1" s="1"/>
  <c r="N3244" i="1" s="1"/>
  <c r="L3245" i="1"/>
  <c r="M3245" i="1" s="1"/>
  <c r="N3245" i="1" s="1"/>
  <c r="L3246" i="1"/>
  <c r="M3246" i="1" s="1"/>
  <c r="N3246" i="1" s="1"/>
  <c r="L3247" i="1"/>
  <c r="M3247" i="1" s="1"/>
  <c r="N3247" i="1" s="1"/>
  <c r="L3248" i="1"/>
  <c r="M3248" i="1" s="1"/>
  <c r="N3248" i="1" s="1"/>
  <c r="L3249" i="1"/>
  <c r="M3249" i="1" s="1"/>
  <c r="N3249" i="1" s="1"/>
  <c r="L3250" i="1"/>
  <c r="M3250" i="1" s="1"/>
  <c r="N3250" i="1" s="1"/>
  <c r="L3251" i="1"/>
  <c r="M3251" i="1" s="1"/>
  <c r="N3251" i="1" s="1"/>
  <c r="L3252" i="1"/>
  <c r="M3252" i="1" s="1"/>
  <c r="N3252" i="1" s="1"/>
  <c r="L3253" i="1"/>
  <c r="M3253" i="1" s="1"/>
  <c r="N3253" i="1" s="1"/>
  <c r="L3254" i="1"/>
  <c r="M3254" i="1" s="1"/>
  <c r="N3254" i="1" s="1"/>
  <c r="L3255" i="1"/>
  <c r="M3255" i="1" s="1"/>
  <c r="N3255" i="1" s="1"/>
  <c r="L3256" i="1"/>
  <c r="M3256" i="1" s="1"/>
  <c r="N3256" i="1" s="1"/>
  <c r="L3257" i="1"/>
  <c r="M3257" i="1" s="1"/>
  <c r="N3257" i="1" s="1"/>
  <c r="L3258" i="1"/>
  <c r="M3258" i="1" s="1"/>
  <c r="N3258" i="1" s="1"/>
  <c r="L3259" i="1"/>
  <c r="M3259" i="1" s="1"/>
  <c r="N3259" i="1" s="1"/>
  <c r="L3260" i="1"/>
  <c r="M3260" i="1" s="1"/>
  <c r="N3260" i="1" s="1"/>
  <c r="L3261" i="1"/>
  <c r="M3261" i="1" s="1"/>
  <c r="N3261" i="1" s="1"/>
  <c r="L3262" i="1"/>
  <c r="M3262" i="1" s="1"/>
  <c r="N3262" i="1" s="1"/>
  <c r="L3263" i="1"/>
  <c r="M3263" i="1" s="1"/>
  <c r="N3263" i="1" s="1"/>
  <c r="L3264" i="1"/>
  <c r="M3264" i="1" s="1"/>
  <c r="N3264" i="1" s="1"/>
  <c r="L3265" i="1"/>
  <c r="M3265" i="1" s="1"/>
  <c r="N3265" i="1" s="1"/>
  <c r="L3266" i="1"/>
  <c r="M3266" i="1" s="1"/>
  <c r="N3266" i="1" s="1"/>
  <c r="L3267" i="1"/>
  <c r="M3267" i="1" s="1"/>
  <c r="N3267" i="1" s="1"/>
  <c r="L3268" i="1"/>
  <c r="M3268" i="1" s="1"/>
  <c r="N3268" i="1" s="1"/>
  <c r="L3269" i="1"/>
  <c r="M3269" i="1" s="1"/>
  <c r="N3269" i="1" s="1"/>
  <c r="L3270" i="1"/>
  <c r="M3270" i="1" s="1"/>
  <c r="N3270" i="1" s="1"/>
  <c r="L3271" i="1"/>
  <c r="M3271" i="1" s="1"/>
  <c r="N3271" i="1" s="1"/>
  <c r="L3272" i="1"/>
  <c r="M3272" i="1" s="1"/>
  <c r="N3272" i="1" s="1"/>
  <c r="L3273" i="1"/>
  <c r="M3273" i="1" s="1"/>
  <c r="N3273" i="1" s="1"/>
  <c r="L3274" i="1"/>
  <c r="M3274" i="1" s="1"/>
  <c r="N3274" i="1" s="1"/>
  <c r="L3275" i="1"/>
  <c r="M3275" i="1" s="1"/>
  <c r="N3275" i="1" s="1"/>
  <c r="L3276" i="1"/>
  <c r="M3276" i="1" s="1"/>
  <c r="N3276" i="1" s="1"/>
  <c r="L3277" i="1"/>
  <c r="M3277" i="1" s="1"/>
  <c r="N3277" i="1" s="1"/>
  <c r="L3278" i="1"/>
  <c r="M3278" i="1" s="1"/>
  <c r="N3278" i="1" s="1"/>
  <c r="L3279" i="1"/>
  <c r="M3279" i="1" s="1"/>
  <c r="N3279" i="1" s="1"/>
  <c r="L3280" i="1"/>
  <c r="M3280" i="1" s="1"/>
  <c r="N3280" i="1" s="1"/>
  <c r="L3281" i="1"/>
  <c r="M3281" i="1" s="1"/>
  <c r="N3281" i="1" s="1"/>
  <c r="L3282" i="1"/>
  <c r="M3282" i="1" s="1"/>
  <c r="N3282" i="1" s="1"/>
  <c r="L3283" i="1"/>
  <c r="M3283" i="1" s="1"/>
  <c r="N3283" i="1" s="1"/>
  <c r="L3284" i="1"/>
  <c r="M3284" i="1" s="1"/>
  <c r="N3284" i="1" s="1"/>
  <c r="L3285" i="1"/>
  <c r="M3285" i="1" s="1"/>
  <c r="N3285" i="1" s="1"/>
  <c r="L3286" i="1"/>
  <c r="M3286" i="1" s="1"/>
  <c r="N3286" i="1" s="1"/>
  <c r="L3287" i="1"/>
  <c r="M3287" i="1" s="1"/>
  <c r="N3287" i="1" s="1"/>
  <c r="L3288" i="1"/>
  <c r="M3288" i="1" s="1"/>
  <c r="N3288" i="1" s="1"/>
  <c r="L3289" i="1"/>
  <c r="M3289" i="1" s="1"/>
  <c r="N3289" i="1" s="1"/>
  <c r="L3290" i="1"/>
  <c r="M3290" i="1" s="1"/>
  <c r="N3290" i="1" s="1"/>
  <c r="L3291" i="1"/>
  <c r="M3291" i="1" s="1"/>
  <c r="N3291" i="1" s="1"/>
  <c r="L3292" i="1"/>
  <c r="M3292" i="1" s="1"/>
  <c r="N3292" i="1" s="1"/>
  <c r="L3293" i="1"/>
  <c r="M3293" i="1" s="1"/>
  <c r="N3293" i="1" s="1"/>
  <c r="L3294" i="1"/>
  <c r="M3294" i="1" s="1"/>
  <c r="N3294" i="1" s="1"/>
  <c r="L3295" i="1"/>
  <c r="M3295" i="1" s="1"/>
  <c r="N3295" i="1" s="1"/>
  <c r="L3296" i="1"/>
  <c r="M3296" i="1" s="1"/>
  <c r="N3296" i="1" s="1"/>
  <c r="L3297" i="1"/>
  <c r="M3297" i="1" s="1"/>
  <c r="N3297" i="1" s="1"/>
  <c r="L3298" i="1"/>
  <c r="M3298" i="1" s="1"/>
  <c r="N3298" i="1" s="1"/>
  <c r="L3299" i="1"/>
  <c r="M3299" i="1" s="1"/>
  <c r="N3299" i="1" s="1"/>
  <c r="L3300" i="1"/>
  <c r="M3300" i="1" s="1"/>
  <c r="N3300" i="1" s="1"/>
  <c r="L3301" i="1"/>
  <c r="M3301" i="1" s="1"/>
  <c r="N3301" i="1" s="1"/>
  <c r="L3302" i="1"/>
  <c r="M3302" i="1" s="1"/>
  <c r="N3302" i="1" s="1"/>
  <c r="L3303" i="1"/>
  <c r="M3303" i="1" s="1"/>
  <c r="N3303" i="1" s="1"/>
  <c r="L3304" i="1"/>
  <c r="M3304" i="1" s="1"/>
  <c r="N3304" i="1" s="1"/>
  <c r="L3305" i="1"/>
  <c r="M3305" i="1" s="1"/>
  <c r="N3305" i="1" s="1"/>
  <c r="L3306" i="1"/>
  <c r="M3306" i="1" s="1"/>
  <c r="N3306" i="1" s="1"/>
  <c r="L3307" i="1"/>
  <c r="M3307" i="1" s="1"/>
  <c r="N3307" i="1" s="1"/>
  <c r="L3308" i="1"/>
  <c r="M3308" i="1" s="1"/>
  <c r="N3308" i="1" s="1"/>
  <c r="L3309" i="1"/>
  <c r="M3309" i="1" s="1"/>
  <c r="N3309" i="1" s="1"/>
  <c r="L3310" i="1"/>
  <c r="M3310" i="1" s="1"/>
  <c r="N3310" i="1" s="1"/>
  <c r="L3311" i="1"/>
  <c r="M3311" i="1" s="1"/>
  <c r="N3311" i="1" s="1"/>
  <c r="L3312" i="1"/>
  <c r="M3312" i="1" s="1"/>
  <c r="N3312" i="1" s="1"/>
  <c r="L3313" i="1"/>
  <c r="M3313" i="1" s="1"/>
  <c r="N3313" i="1" s="1"/>
  <c r="L3314" i="1"/>
  <c r="M3314" i="1" s="1"/>
  <c r="N3314" i="1" s="1"/>
  <c r="L3315" i="1"/>
  <c r="M3315" i="1" s="1"/>
  <c r="N3315" i="1" s="1"/>
  <c r="L3316" i="1"/>
  <c r="M3316" i="1" s="1"/>
  <c r="N3316" i="1" s="1"/>
  <c r="L3317" i="1"/>
  <c r="M3317" i="1" s="1"/>
  <c r="N3317" i="1" s="1"/>
  <c r="L3318" i="1"/>
  <c r="M3318" i="1" s="1"/>
  <c r="N3318" i="1" s="1"/>
  <c r="L3319" i="1"/>
  <c r="M3319" i="1" s="1"/>
  <c r="N3319" i="1" s="1"/>
  <c r="L3320" i="1"/>
  <c r="M3320" i="1" s="1"/>
  <c r="N3320" i="1" s="1"/>
  <c r="L3321" i="1"/>
  <c r="M3321" i="1" s="1"/>
  <c r="N3321" i="1" s="1"/>
  <c r="L3322" i="1"/>
  <c r="M3322" i="1" s="1"/>
  <c r="N3322" i="1" s="1"/>
  <c r="L3323" i="1"/>
  <c r="M3323" i="1" s="1"/>
  <c r="N3323" i="1" s="1"/>
  <c r="L3324" i="1"/>
  <c r="M3324" i="1" s="1"/>
  <c r="N3324" i="1" s="1"/>
  <c r="L3325" i="1"/>
  <c r="M3325" i="1" s="1"/>
  <c r="N3325" i="1" s="1"/>
  <c r="L3326" i="1"/>
  <c r="M3326" i="1" s="1"/>
  <c r="N3326" i="1" s="1"/>
  <c r="L3327" i="1"/>
  <c r="M3327" i="1" s="1"/>
  <c r="N3327" i="1" s="1"/>
  <c r="L3328" i="1"/>
  <c r="M3328" i="1" s="1"/>
  <c r="N3328" i="1" s="1"/>
  <c r="L3329" i="1"/>
  <c r="M3329" i="1" s="1"/>
  <c r="N3329" i="1" s="1"/>
  <c r="L3330" i="1"/>
  <c r="M3330" i="1" s="1"/>
  <c r="N3330" i="1" s="1"/>
  <c r="L3331" i="1"/>
  <c r="M3331" i="1" s="1"/>
  <c r="N3331" i="1" s="1"/>
  <c r="L3332" i="1"/>
  <c r="M3332" i="1" s="1"/>
  <c r="N3332" i="1" s="1"/>
  <c r="L3333" i="1"/>
  <c r="M3333" i="1" s="1"/>
  <c r="N3333" i="1" s="1"/>
  <c r="L3334" i="1"/>
  <c r="M3334" i="1" s="1"/>
  <c r="N3334" i="1" s="1"/>
  <c r="L3335" i="1"/>
  <c r="M3335" i="1" s="1"/>
  <c r="N3335" i="1" s="1"/>
  <c r="L3336" i="1"/>
  <c r="M3336" i="1" s="1"/>
  <c r="N3336" i="1" s="1"/>
  <c r="L3337" i="1"/>
  <c r="M3337" i="1" s="1"/>
  <c r="N3337" i="1" s="1"/>
  <c r="L3338" i="1"/>
  <c r="M3338" i="1" s="1"/>
  <c r="N3338" i="1" s="1"/>
  <c r="L3339" i="1"/>
  <c r="M3339" i="1" s="1"/>
  <c r="N3339" i="1" s="1"/>
  <c r="L3340" i="1"/>
  <c r="M3340" i="1" s="1"/>
  <c r="N3340" i="1" s="1"/>
  <c r="L3341" i="1"/>
  <c r="M3341" i="1" s="1"/>
  <c r="N3341" i="1" s="1"/>
  <c r="L3342" i="1"/>
  <c r="M3342" i="1" s="1"/>
  <c r="N3342" i="1" s="1"/>
  <c r="L3343" i="1"/>
  <c r="M3343" i="1" s="1"/>
  <c r="N3343" i="1" s="1"/>
  <c r="L3344" i="1"/>
  <c r="M3344" i="1" s="1"/>
  <c r="N3344" i="1" s="1"/>
  <c r="L3345" i="1"/>
  <c r="M3345" i="1" s="1"/>
  <c r="N3345" i="1" s="1"/>
  <c r="L3346" i="1"/>
  <c r="M3346" i="1" s="1"/>
  <c r="N3346" i="1" s="1"/>
  <c r="L3347" i="1"/>
  <c r="M3347" i="1" s="1"/>
  <c r="N3347" i="1" s="1"/>
  <c r="L3348" i="1"/>
  <c r="M3348" i="1" s="1"/>
  <c r="N3348" i="1" s="1"/>
  <c r="L3349" i="1"/>
  <c r="M3349" i="1" s="1"/>
  <c r="N3349" i="1" s="1"/>
  <c r="L3350" i="1"/>
  <c r="M3350" i="1" s="1"/>
  <c r="N3350" i="1" s="1"/>
  <c r="L3351" i="1"/>
  <c r="M3351" i="1" s="1"/>
  <c r="N3351" i="1" s="1"/>
  <c r="L3352" i="1"/>
  <c r="M3352" i="1" s="1"/>
  <c r="N3352" i="1" s="1"/>
  <c r="L3353" i="1"/>
  <c r="M3353" i="1" s="1"/>
  <c r="N3353" i="1" s="1"/>
  <c r="L3354" i="1"/>
  <c r="M3354" i="1" s="1"/>
  <c r="N3354" i="1" s="1"/>
  <c r="L3355" i="1"/>
  <c r="M3355" i="1" s="1"/>
  <c r="N3355" i="1" s="1"/>
  <c r="L3356" i="1"/>
  <c r="M3356" i="1" s="1"/>
  <c r="N3356" i="1" s="1"/>
  <c r="L3357" i="1"/>
  <c r="M3357" i="1" s="1"/>
  <c r="N3357" i="1" s="1"/>
  <c r="L3358" i="1"/>
  <c r="M3358" i="1" s="1"/>
  <c r="N3358" i="1" s="1"/>
  <c r="L3359" i="1"/>
  <c r="M3359" i="1" s="1"/>
  <c r="N3359" i="1" s="1"/>
  <c r="L3360" i="1"/>
  <c r="M3360" i="1" s="1"/>
  <c r="N3360" i="1" s="1"/>
  <c r="L3361" i="1"/>
  <c r="M3361" i="1" s="1"/>
  <c r="N3361" i="1" s="1"/>
  <c r="L3362" i="1"/>
  <c r="M3362" i="1" s="1"/>
  <c r="N3362" i="1" s="1"/>
  <c r="L3363" i="1"/>
  <c r="M3363" i="1" s="1"/>
  <c r="N3363" i="1" s="1"/>
  <c r="L3364" i="1"/>
  <c r="M3364" i="1" s="1"/>
  <c r="N3364" i="1" s="1"/>
  <c r="L3365" i="1"/>
  <c r="M3365" i="1" s="1"/>
  <c r="N3365" i="1" s="1"/>
  <c r="L3366" i="1"/>
  <c r="M3366" i="1" s="1"/>
  <c r="N3366" i="1" s="1"/>
  <c r="L3367" i="1"/>
  <c r="M3367" i="1" s="1"/>
  <c r="N3367" i="1" s="1"/>
  <c r="L3368" i="1"/>
  <c r="M3368" i="1" s="1"/>
  <c r="N3368" i="1" s="1"/>
  <c r="L3369" i="1"/>
  <c r="M3369" i="1" s="1"/>
  <c r="N3369" i="1" s="1"/>
  <c r="L3370" i="1"/>
  <c r="M3370" i="1" s="1"/>
  <c r="N3370" i="1" s="1"/>
  <c r="L3371" i="1"/>
  <c r="M3371" i="1" s="1"/>
  <c r="N3371" i="1" s="1"/>
  <c r="L3372" i="1"/>
  <c r="M3372" i="1" s="1"/>
  <c r="N3372" i="1" s="1"/>
  <c r="L3373" i="1"/>
  <c r="M3373" i="1" s="1"/>
  <c r="N3373" i="1" s="1"/>
  <c r="L3374" i="1"/>
  <c r="M3374" i="1" s="1"/>
  <c r="N3374" i="1" s="1"/>
  <c r="L3375" i="1"/>
  <c r="M3375" i="1" s="1"/>
  <c r="N3375" i="1" s="1"/>
  <c r="L3376" i="1"/>
  <c r="M3376" i="1" s="1"/>
  <c r="N3376" i="1" s="1"/>
  <c r="L3377" i="1"/>
  <c r="M3377" i="1" s="1"/>
  <c r="N3377" i="1" s="1"/>
  <c r="L3378" i="1"/>
  <c r="M3378" i="1" s="1"/>
  <c r="N3378" i="1" s="1"/>
  <c r="L3379" i="1"/>
  <c r="M3379" i="1" s="1"/>
  <c r="N3379" i="1" s="1"/>
  <c r="L3380" i="1"/>
  <c r="M3380" i="1" s="1"/>
  <c r="N3380" i="1" s="1"/>
  <c r="L3381" i="1"/>
  <c r="M3381" i="1" s="1"/>
  <c r="N3381" i="1" s="1"/>
  <c r="L3382" i="1"/>
  <c r="M3382" i="1" s="1"/>
  <c r="N3382" i="1" s="1"/>
  <c r="L3383" i="1"/>
  <c r="M3383" i="1" s="1"/>
  <c r="N3383" i="1" s="1"/>
  <c r="L3384" i="1"/>
  <c r="M3384" i="1" s="1"/>
  <c r="N3384" i="1" s="1"/>
  <c r="L3385" i="1"/>
  <c r="M3385" i="1" s="1"/>
  <c r="N3385" i="1" s="1"/>
  <c r="L3386" i="1"/>
  <c r="M3386" i="1" s="1"/>
  <c r="N3386" i="1" s="1"/>
  <c r="L3387" i="1"/>
  <c r="M3387" i="1" s="1"/>
  <c r="N3387" i="1" s="1"/>
  <c r="L3388" i="1"/>
  <c r="M3388" i="1" s="1"/>
  <c r="N3388" i="1" s="1"/>
  <c r="L3389" i="1"/>
  <c r="M3389" i="1" s="1"/>
  <c r="N3389" i="1" s="1"/>
  <c r="L3390" i="1"/>
  <c r="M3390" i="1" s="1"/>
  <c r="N3390" i="1" s="1"/>
  <c r="L3391" i="1"/>
  <c r="M3391" i="1" s="1"/>
  <c r="N3391" i="1" s="1"/>
  <c r="L3392" i="1"/>
  <c r="M3392" i="1" s="1"/>
  <c r="N3392" i="1" s="1"/>
  <c r="L3393" i="1"/>
  <c r="M3393" i="1" s="1"/>
  <c r="N3393" i="1" s="1"/>
  <c r="L3394" i="1"/>
  <c r="M3394" i="1" s="1"/>
  <c r="N3394" i="1" s="1"/>
  <c r="L3395" i="1"/>
  <c r="M3395" i="1" s="1"/>
  <c r="N3395" i="1" s="1"/>
  <c r="L3396" i="1"/>
  <c r="M3396" i="1" s="1"/>
  <c r="N3396" i="1" s="1"/>
  <c r="L3397" i="1"/>
  <c r="M3397" i="1" s="1"/>
  <c r="N3397" i="1" s="1"/>
  <c r="L3398" i="1"/>
  <c r="M3398" i="1" s="1"/>
  <c r="N3398" i="1" s="1"/>
  <c r="L3399" i="1"/>
  <c r="M3399" i="1" s="1"/>
  <c r="N3399" i="1" s="1"/>
  <c r="L3400" i="1"/>
  <c r="M3400" i="1" s="1"/>
  <c r="N3400" i="1" s="1"/>
  <c r="L3401" i="1"/>
  <c r="M3401" i="1" s="1"/>
  <c r="N3401" i="1" s="1"/>
  <c r="L3402" i="1"/>
  <c r="M3402" i="1" s="1"/>
  <c r="N3402" i="1" s="1"/>
  <c r="L3403" i="1"/>
  <c r="M3403" i="1" s="1"/>
  <c r="N3403" i="1" s="1"/>
  <c r="L3404" i="1"/>
  <c r="M3404" i="1" s="1"/>
  <c r="N3404" i="1" s="1"/>
  <c r="L3405" i="1"/>
  <c r="M3405" i="1" s="1"/>
  <c r="N3405" i="1" s="1"/>
  <c r="L3406" i="1"/>
  <c r="M3406" i="1" s="1"/>
  <c r="N3406" i="1" s="1"/>
  <c r="L3407" i="1"/>
  <c r="M3407" i="1" s="1"/>
  <c r="N3407" i="1" s="1"/>
  <c r="L3408" i="1"/>
  <c r="M3408" i="1" s="1"/>
  <c r="N3408" i="1" s="1"/>
  <c r="L3409" i="1"/>
  <c r="M3409" i="1" s="1"/>
  <c r="N3409" i="1" s="1"/>
  <c r="L3410" i="1"/>
  <c r="M3410" i="1" s="1"/>
  <c r="N3410" i="1" s="1"/>
  <c r="L3411" i="1"/>
  <c r="M3411" i="1" s="1"/>
  <c r="N3411" i="1" s="1"/>
  <c r="L3412" i="1"/>
  <c r="M3412" i="1" s="1"/>
  <c r="N3412" i="1" s="1"/>
  <c r="L3413" i="1"/>
  <c r="M3413" i="1" s="1"/>
  <c r="N3413" i="1" s="1"/>
  <c r="L3414" i="1"/>
  <c r="M3414" i="1" s="1"/>
  <c r="N3414" i="1" s="1"/>
  <c r="L3415" i="1"/>
  <c r="M3415" i="1" s="1"/>
  <c r="N3415" i="1" s="1"/>
  <c r="L3416" i="1"/>
  <c r="M3416" i="1" s="1"/>
  <c r="N3416" i="1" s="1"/>
  <c r="L3417" i="1"/>
  <c r="M3417" i="1" s="1"/>
  <c r="N3417" i="1" s="1"/>
  <c r="L3418" i="1"/>
  <c r="M3418" i="1" s="1"/>
  <c r="N3418" i="1" s="1"/>
  <c r="L3419" i="1"/>
  <c r="M3419" i="1" s="1"/>
  <c r="N3419" i="1" s="1"/>
  <c r="L3420" i="1"/>
  <c r="M3420" i="1" s="1"/>
  <c r="N3420" i="1" s="1"/>
  <c r="L3421" i="1"/>
  <c r="M3421" i="1" s="1"/>
  <c r="N3421" i="1" s="1"/>
  <c r="L3422" i="1"/>
  <c r="M3422" i="1" s="1"/>
  <c r="N3422" i="1" s="1"/>
  <c r="L3423" i="1"/>
  <c r="M3423" i="1" s="1"/>
  <c r="N3423" i="1" s="1"/>
  <c r="L3424" i="1"/>
  <c r="M3424" i="1" s="1"/>
  <c r="N3424" i="1" s="1"/>
  <c r="L3425" i="1"/>
  <c r="M3425" i="1" s="1"/>
  <c r="N3425" i="1" s="1"/>
  <c r="L3426" i="1"/>
  <c r="M3426" i="1" s="1"/>
  <c r="N3426" i="1" s="1"/>
  <c r="L3427" i="1"/>
  <c r="M3427" i="1" s="1"/>
  <c r="N3427" i="1" s="1"/>
  <c r="L3428" i="1"/>
  <c r="M3428" i="1" s="1"/>
  <c r="N3428" i="1" s="1"/>
  <c r="L3429" i="1"/>
  <c r="M3429" i="1" s="1"/>
  <c r="N3429" i="1" s="1"/>
  <c r="L3430" i="1"/>
  <c r="M3430" i="1" s="1"/>
  <c r="N3430" i="1" s="1"/>
  <c r="L3431" i="1"/>
  <c r="M3431" i="1" s="1"/>
  <c r="N3431" i="1" s="1"/>
  <c r="L3432" i="1"/>
  <c r="M3432" i="1" s="1"/>
  <c r="N3432" i="1" s="1"/>
  <c r="L3433" i="1"/>
  <c r="M3433" i="1" s="1"/>
  <c r="N3433" i="1" s="1"/>
  <c r="L3434" i="1"/>
  <c r="M3434" i="1" s="1"/>
  <c r="N3434" i="1" s="1"/>
  <c r="L3435" i="1"/>
  <c r="M3435" i="1" s="1"/>
  <c r="N3435" i="1" s="1"/>
  <c r="L3436" i="1"/>
  <c r="M3436" i="1" s="1"/>
  <c r="N3436" i="1" s="1"/>
  <c r="L3437" i="1"/>
  <c r="M3437" i="1" s="1"/>
  <c r="N3437" i="1" s="1"/>
  <c r="L3438" i="1"/>
  <c r="M3438" i="1" s="1"/>
  <c r="N3438" i="1" s="1"/>
  <c r="L3439" i="1"/>
  <c r="M3439" i="1" s="1"/>
  <c r="N3439" i="1" s="1"/>
  <c r="L3440" i="1"/>
  <c r="M3440" i="1" s="1"/>
  <c r="N3440" i="1" s="1"/>
  <c r="L3441" i="1"/>
  <c r="M3441" i="1" s="1"/>
  <c r="N3441" i="1" s="1"/>
  <c r="L3442" i="1"/>
  <c r="M3442" i="1" s="1"/>
  <c r="N3442" i="1" s="1"/>
  <c r="L3443" i="1"/>
  <c r="M3443" i="1" s="1"/>
  <c r="N3443" i="1" s="1"/>
  <c r="L3444" i="1"/>
  <c r="M3444" i="1" s="1"/>
  <c r="N3444" i="1" s="1"/>
  <c r="L3445" i="1"/>
  <c r="M3445" i="1" s="1"/>
  <c r="N3445" i="1" s="1"/>
  <c r="L3446" i="1"/>
  <c r="M3446" i="1" s="1"/>
  <c r="N3446" i="1" s="1"/>
  <c r="L3447" i="1"/>
  <c r="M3447" i="1" s="1"/>
  <c r="N3447" i="1" s="1"/>
  <c r="L3448" i="1"/>
  <c r="M3448" i="1" s="1"/>
  <c r="N3448" i="1" s="1"/>
  <c r="L3449" i="1"/>
  <c r="M3449" i="1" s="1"/>
  <c r="N3449" i="1" s="1"/>
  <c r="L3450" i="1"/>
  <c r="M3450" i="1" s="1"/>
  <c r="N3450" i="1" s="1"/>
  <c r="L3451" i="1"/>
  <c r="M3451" i="1" s="1"/>
  <c r="N3451" i="1" s="1"/>
  <c r="L3452" i="1"/>
  <c r="M3452" i="1" s="1"/>
  <c r="N3452" i="1" s="1"/>
  <c r="L3453" i="1"/>
  <c r="M3453" i="1" s="1"/>
  <c r="N3453" i="1" s="1"/>
  <c r="L3454" i="1"/>
  <c r="M3454" i="1" s="1"/>
  <c r="N3454" i="1" s="1"/>
  <c r="L3455" i="1"/>
  <c r="M3455" i="1" s="1"/>
  <c r="N3455" i="1" s="1"/>
  <c r="L3456" i="1"/>
  <c r="M3456" i="1" s="1"/>
  <c r="N3456" i="1" s="1"/>
  <c r="L3457" i="1"/>
  <c r="M3457" i="1" s="1"/>
  <c r="N3457" i="1" s="1"/>
  <c r="L3458" i="1"/>
  <c r="M3458" i="1" s="1"/>
  <c r="N3458" i="1" s="1"/>
  <c r="L3459" i="1"/>
  <c r="M3459" i="1" s="1"/>
  <c r="N3459" i="1" s="1"/>
  <c r="L3460" i="1"/>
  <c r="M3460" i="1" s="1"/>
  <c r="N3460" i="1" s="1"/>
  <c r="L3461" i="1"/>
  <c r="M3461" i="1" s="1"/>
  <c r="N3461" i="1" s="1"/>
  <c r="L3462" i="1"/>
  <c r="M3462" i="1" s="1"/>
  <c r="N3462" i="1" s="1"/>
  <c r="L3463" i="1"/>
  <c r="M3463" i="1" s="1"/>
  <c r="N3463" i="1" s="1"/>
  <c r="L3464" i="1"/>
  <c r="M3464" i="1" s="1"/>
  <c r="N3464" i="1" s="1"/>
  <c r="L3465" i="1"/>
  <c r="M3465" i="1" s="1"/>
  <c r="N3465" i="1" s="1"/>
  <c r="L3466" i="1"/>
  <c r="M3466" i="1" s="1"/>
  <c r="N3466" i="1" s="1"/>
  <c r="L3467" i="1"/>
  <c r="M3467" i="1" s="1"/>
  <c r="N3467" i="1" s="1"/>
  <c r="L3468" i="1"/>
  <c r="M3468" i="1" s="1"/>
  <c r="N3468" i="1" s="1"/>
  <c r="L3469" i="1"/>
  <c r="M3469" i="1" s="1"/>
  <c r="N3469" i="1" s="1"/>
  <c r="L3470" i="1"/>
  <c r="M3470" i="1" s="1"/>
  <c r="N3470" i="1" s="1"/>
  <c r="L3471" i="1"/>
  <c r="M3471" i="1" s="1"/>
  <c r="N3471" i="1" s="1"/>
  <c r="L3472" i="1"/>
  <c r="M3472" i="1" s="1"/>
  <c r="N3472" i="1" s="1"/>
  <c r="L3473" i="1"/>
  <c r="M3473" i="1" s="1"/>
  <c r="N3473" i="1" s="1"/>
  <c r="L3474" i="1"/>
  <c r="M3474" i="1" s="1"/>
  <c r="N3474" i="1" s="1"/>
  <c r="L3475" i="1"/>
  <c r="M3475" i="1" s="1"/>
  <c r="N3475" i="1" s="1"/>
  <c r="L3476" i="1"/>
  <c r="M3476" i="1" s="1"/>
  <c r="N3476" i="1" s="1"/>
  <c r="L3477" i="1"/>
  <c r="M3477" i="1" s="1"/>
  <c r="N3477" i="1" s="1"/>
  <c r="L3478" i="1"/>
  <c r="M3478" i="1" s="1"/>
  <c r="N3478" i="1" s="1"/>
  <c r="L3479" i="1"/>
  <c r="M3479" i="1" s="1"/>
  <c r="N3479" i="1" s="1"/>
  <c r="L3480" i="1"/>
  <c r="M3480" i="1" s="1"/>
  <c r="N3480" i="1" s="1"/>
  <c r="L3481" i="1"/>
  <c r="M3481" i="1" s="1"/>
  <c r="N3481" i="1" s="1"/>
  <c r="L3482" i="1"/>
  <c r="M3482" i="1" s="1"/>
  <c r="N3482" i="1" s="1"/>
  <c r="L3483" i="1"/>
  <c r="M3483" i="1" s="1"/>
  <c r="N3483" i="1" s="1"/>
  <c r="L3484" i="1"/>
  <c r="M3484" i="1" s="1"/>
  <c r="N3484" i="1" s="1"/>
  <c r="L3485" i="1"/>
  <c r="M3485" i="1" s="1"/>
  <c r="N3485" i="1" s="1"/>
  <c r="L3486" i="1"/>
  <c r="M3486" i="1" s="1"/>
  <c r="N3486" i="1" s="1"/>
  <c r="L3487" i="1"/>
  <c r="M3487" i="1" s="1"/>
  <c r="N3487" i="1" s="1"/>
  <c r="L3488" i="1"/>
  <c r="M3488" i="1" s="1"/>
  <c r="N3488" i="1" s="1"/>
  <c r="L3489" i="1"/>
  <c r="M3489" i="1" s="1"/>
  <c r="N3489" i="1" s="1"/>
  <c r="L3490" i="1"/>
  <c r="M3490" i="1" s="1"/>
  <c r="N3490" i="1" s="1"/>
  <c r="L3491" i="1"/>
  <c r="M3491" i="1" s="1"/>
  <c r="N3491" i="1" s="1"/>
  <c r="L3492" i="1"/>
  <c r="M3492" i="1" s="1"/>
  <c r="N3492" i="1" s="1"/>
  <c r="L3493" i="1"/>
  <c r="M3493" i="1" s="1"/>
  <c r="N3493" i="1" s="1"/>
  <c r="L3494" i="1"/>
  <c r="M3494" i="1" s="1"/>
  <c r="N3494" i="1" s="1"/>
  <c r="L3495" i="1"/>
  <c r="M3495" i="1" s="1"/>
  <c r="N3495" i="1" s="1"/>
  <c r="L3496" i="1"/>
  <c r="M3496" i="1" s="1"/>
  <c r="N3496" i="1" s="1"/>
  <c r="L3497" i="1"/>
  <c r="M3497" i="1" s="1"/>
  <c r="N3497" i="1" s="1"/>
  <c r="L3498" i="1"/>
  <c r="M3498" i="1" s="1"/>
  <c r="N3498" i="1" s="1"/>
  <c r="L3499" i="1"/>
  <c r="M3499" i="1" s="1"/>
  <c r="N3499" i="1" s="1"/>
  <c r="L3500" i="1"/>
  <c r="M3500" i="1" s="1"/>
  <c r="N3500" i="1" s="1"/>
  <c r="L3501" i="1"/>
  <c r="M3501" i="1" s="1"/>
  <c r="N3501" i="1" s="1"/>
  <c r="N2" i="1" l="1"/>
</calcChain>
</file>

<file path=xl/sharedStrings.xml><?xml version="1.0" encoding="utf-8"?>
<sst xmlns="http://schemas.openxmlformats.org/spreadsheetml/2006/main" count="28687" uniqueCount="5163">
  <si>
    <t>Transaction_ID</t>
  </si>
  <si>
    <t>Date</t>
  </si>
  <si>
    <t>Sales_Rep_ID</t>
  </si>
  <si>
    <t>Customer_ID</t>
  </si>
  <si>
    <t>Product_ID</t>
  </si>
  <si>
    <t>Quantity</t>
  </si>
  <si>
    <t>Unit_Price</t>
  </si>
  <si>
    <t>Discount</t>
  </si>
  <si>
    <t>Total_Amount</t>
  </si>
  <si>
    <t>Region</t>
  </si>
  <si>
    <t>Payment_Method</t>
  </si>
  <si>
    <t>T10001</t>
  </si>
  <si>
    <t>2023-01-01</t>
  </si>
  <si>
    <t>SR1005</t>
  </si>
  <si>
    <t>C2014</t>
  </si>
  <si>
    <t>P1003</t>
  </si>
  <si>
    <t>Central</t>
  </si>
  <si>
    <t>Cash</t>
  </si>
  <si>
    <t>T10002</t>
  </si>
  <si>
    <t>SR1003</t>
  </si>
  <si>
    <t>P1000</t>
  </si>
  <si>
    <t>East</t>
  </si>
  <si>
    <t>Debit Card</t>
  </si>
  <si>
    <t>T10003</t>
  </si>
  <si>
    <t>C2049</t>
  </si>
  <si>
    <t>P1026</t>
  </si>
  <si>
    <t>T10004</t>
  </si>
  <si>
    <t>SR1015</t>
  </si>
  <si>
    <t>C2019</t>
  </si>
  <si>
    <t>P1010</t>
  </si>
  <si>
    <t>T10005</t>
  </si>
  <si>
    <t>SR1014</t>
  </si>
  <si>
    <t>C2008</t>
  </si>
  <si>
    <t>P1056</t>
  </si>
  <si>
    <t>West</t>
  </si>
  <si>
    <t>Credit Card</t>
  </si>
  <si>
    <t>T10006</t>
  </si>
  <si>
    <t>C2032</t>
  </si>
  <si>
    <t>P1030</t>
  </si>
  <si>
    <t>Bank Transfer</t>
  </si>
  <si>
    <t>T10007</t>
  </si>
  <si>
    <t>SR1012</t>
  </si>
  <si>
    <t>C2012</t>
  </si>
  <si>
    <t>P1034</t>
  </si>
  <si>
    <t>South</t>
  </si>
  <si>
    <t>T10008</t>
  </si>
  <si>
    <t>2023-01-02</t>
  </si>
  <si>
    <t>C2025</t>
  </si>
  <si>
    <t>PayPal</t>
  </si>
  <si>
    <t>T10009</t>
  </si>
  <si>
    <t>C2046</t>
  </si>
  <si>
    <t>T10010</t>
  </si>
  <si>
    <t>C2033</t>
  </si>
  <si>
    <t>P1070</t>
  </si>
  <si>
    <t>T10011</t>
  </si>
  <si>
    <t>2023-01-03</t>
  </si>
  <si>
    <t>SR1004</t>
  </si>
  <si>
    <t>C2043</t>
  </si>
  <si>
    <t>T10012</t>
  </si>
  <si>
    <t>SR1013</t>
  </si>
  <si>
    <t>C2005</t>
  </si>
  <si>
    <t>P1039</t>
  </si>
  <si>
    <t>T10013</t>
  </si>
  <si>
    <t>SR1008</t>
  </si>
  <si>
    <t>C2048</t>
  </si>
  <si>
    <t>P1045</t>
  </si>
  <si>
    <t>T10014</t>
  </si>
  <si>
    <t>C2028</t>
  </si>
  <si>
    <t>P1066</t>
  </si>
  <si>
    <t>T10015</t>
  </si>
  <si>
    <t>SR1010</t>
  </si>
  <si>
    <t>C2030</t>
  </si>
  <si>
    <t>P1005</t>
  </si>
  <si>
    <t>T10016</t>
  </si>
  <si>
    <t>2023-01-04</t>
  </si>
  <si>
    <t>SR1007</t>
  </si>
  <si>
    <t>C2021</t>
  </si>
  <si>
    <t>P1043</t>
  </si>
  <si>
    <t>T10017</t>
  </si>
  <si>
    <t>P1025</t>
  </si>
  <si>
    <t>T10018</t>
  </si>
  <si>
    <t>2023-01-05</t>
  </si>
  <si>
    <t>SR1009</t>
  </si>
  <si>
    <t>C2026</t>
  </si>
  <si>
    <t>P1001</t>
  </si>
  <si>
    <t>T10019</t>
  </si>
  <si>
    <t>2023-01-07</t>
  </si>
  <si>
    <t>P1065</t>
  </si>
  <si>
    <t>T10020</t>
  </si>
  <si>
    <t>P1002</t>
  </si>
  <si>
    <t>T10021</t>
  </si>
  <si>
    <t>P1016</t>
  </si>
  <si>
    <t>T10022</t>
  </si>
  <si>
    <t>C2040</t>
  </si>
  <si>
    <t>T10023</t>
  </si>
  <si>
    <t>C2045</t>
  </si>
  <si>
    <t>P1072</t>
  </si>
  <si>
    <t>T10024</t>
  </si>
  <si>
    <t>C2006</t>
  </si>
  <si>
    <t>P1064</t>
  </si>
  <si>
    <t>T10025</t>
  </si>
  <si>
    <t>C2007</t>
  </si>
  <si>
    <t>P1031</t>
  </si>
  <si>
    <t>T10026</t>
  </si>
  <si>
    <t>2023-01-08</t>
  </si>
  <si>
    <t>P1012</t>
  </si>
  <si>
    <t>T10027</t>
  </si>
  <si>
    <t>SR1001</t>
  </si>
  <si>
    <t>P1048</t>
  </si>
  <si>
    <t>North</t>
  </si>
  <si>
    <t>T10028</t>
  </si>
  <si>
    <t>T10029</t>
  </si>
  <si>
    <t>C2020</t>
  </si>
  <si>
    <t>P1008</t>
  </si>
  <si>
    <t>T10030</t>
  </si>
  <si>
    <t>C2015</t>
  </si>
  <si>
    <t>P1047</t>
  </si>
  <si>
    <t>T10031</t>
  </si>
  <si>
    <t>C2050</t>
  </si>
  <si>
    <t>T10032</t>
  </si>
  <si>
    <t>2023-01-09</t>
  </si>
  <si>
    <t>P1038</t>
  </si>
  <si>
    <t>T10033</t>
  </si>
  <si>
    <t>2023-01-10</t>
  </si>
  <si>
    <t>C2041</t>
  </si>
  <si>
    <t>P1069</t>
  </si>
  <si>
    <t>T10034</t>
  </si>
  <si>
    <t>SR1006</t>
  </si>
  <si>
    <t>C2034</t>
  </si>
  <si>
    <t>P1014</t>
  </si>
  <si>
    <t>T10035</t>
  </si>
  <si>
    <t>SR1002</t>
  </si>
  <si>
    <t>C2013</t>
  </si>
  <si>
    <t>T10036</t>
  </si>
  <si>
    <t>C2023</t>
  </si>
  <si>
    <t>T10037</t>
  </si>
  <si>
    <t>C2016</t>
  </si>
  <si>
    <t>P1021</t>
  </si>
  <si>
    <t>T10038</t>
  </si>
  <si>
    <t>C2010</t>
  </si>
  <si>
    <t>T10039</t>
  </si>
  <si>
    <t>SR1011</t>
  </si>
  <si>
    <t>T10040</t>
  </si>
  <si>
    <t>2023-01-11</t>
  </si>
  <si>
    <t>C2039</t>
  </si>
  <si>
    <t>P1032</t>
  </si>
  <si>
    <t>T10041</t>
  </si>
  <si>
    <t>T10042</t>
  </si>
  <si>
    <t>P1050</t>
  </si>
  <si>
    <t>T10043</t>
  </si>
  <si>
    <t>T10044</t>
  </si>
  <si>
    <t>2023-01-12</t>
  </si>
  <si>
    <t>P1011</t>
  </si>
  <si>
    <t>T10045</t>
  </si>
  <si>
    <t>C2029</t>
  </si>
  <si>
    <t>T10046</t>
  </si>
  <si>
    <t>C2042</t>
  </si>
  <si>
    <t>P1071</t>
  </si>
  <si>
    <t>T10047</t>
  </si>
  <si>
    <t>P1055</t>
  </si>
  <si>
    <t>T10048</t>
  </si>
  <si>
    <t>T10049</t>
  </si>
  <si>
    <t>T10050</t>
  </si>
  <si>
    <t>T10051</t>
  </si>
  <si>
    <t>C2018</t>
  </si>
  <si>
    <t>T10052</t>
  </si>
  <si>
    <t>C2004</t>
  </si>
  <si>
    <t>T10053</t>
  </si>
  <si>
    <t>P1051</t>
  </si>
  <si>
    <t>T10054</t>
  </si>
  <si>
    <t>T10055</t>
  </si>
  <si>
    <t>2023-01-13</t>
  </si>
  <si>
    <t>P1015</t>
  </si>
  <si>
    <t>T10056</t>
  </si>
  <si>
    <t>T10057</t>
  </si>
  <si>
    <t>T10058</t>
  </si>
  <si>
    <t>P1017</t>
  </si>
  <si>
    <t>T10059</t>
  </si>
  <si>
    <t>P1004</t>
  </si>
  <si>
    <t>T10060</t>
  </si>
  <si>
    <t>T10061</t>
  </si>
  <si>
    <t>2023-01-14</t>
  </si>
  <si>
    <t>T10062</t>
  </si>
  <si>
    <t>C2036</t>
  </si>
  <si>
    <t>P1040</t>
  </si>
  <si>
    <t>T10063</t>
  </si>
  <si>
    <t>T10064</t>
  </si>
  <si>
    <t>T10065</t>
  </si>
  <si>
    <t>2023-01-15</t>
  </si>
  <si>
    <t>T10066</t>
  </si>
  <si>
    <t>C2031</t>
  </si>
  <si>
    <t>P1027</t>
  </si>
  <si>
    <t>T10067</t>
  </si>
  <si>
    <t>2023-01-16</t>
  </si>
  <si>
    <t>P1041</t>
  </si>
  <si>
    <t>T10068</t>
  </si>
  <si>
    <t>T10069</t>
  </si>
  <si>
    <t>C2022</t>
  </si>
  <si>
    <t>P1006</t>
  </si>
  <si>
    <t>T10070</t>
  </si>
  <si>
    <t>P1023</t>
  </si>
  <si>
    <t>T10071</t>
  </si>
  <si>
    <t>2023-01-17</t>
  </si>
  <si>
    <t>C2003</t>
  </si>
  <si>
    <t>P1013</t>
  </si>
  <si>
    <t>T10072</t>
  </si>
  <si>
    <t>P1060</t>
  </si>
  <si>
    <t>T10073</t>
  </si>
  <si>
    <t>T10074</t>
  </si>
  <si>
    <t>T10075</t>
  </si>
  <si>
    <t>C2011</t>
  </si>
  <si>
    <t>T10076</t>
  </si>
  <si>
    <t>C2024</t>
  </si>
  <si>
    <t>T10077</t>
  </si>
  <si>
    <t>T10078</t>
  </si>
  <si>
    <t>T10079</t>
  </si>
  <si>
    <t>C2044</t>
  </si>
  <si>
    <t>P1053</t>
  </si>
  <si>
    <t>T10080</t>
  </si>
  <si>
    <t>T10081</t>
  </si>
  <si>
    <t>2023-01-18</t>
  </si>
  <si>
    <t>P1029</t>
  </si>
  <si>
    <t>T10082</t>
  </si>
  <si>
    <t>2023-01-19</t>
  </si>
  <si>
    <t>P1022</t>
  </si>
  <si>
    <t>T10083</t>
  </si>
  <si>
    <t>T10084</t>
  </si>
  <si>
    <t>T10085</t>
  </si>
  <si>
    <t>C2047</t>
  </si>
  <si>
    <t>T10086</t>
  </si>
  <si>
    <t>T10087</t>
  </si>
  <si>
    <t>T10088</t>
  </si>
  <si>
    <t>P1054</t>
  </si>
  <si>
    <t>T10089</t>
  </si>
  <si>
    <t>T10090</t>
  </si>
  <si>
    <t>2023-01-20</t>
  </si>
  <si>
    <t>T10091</t>
  </si>
  <si>
    <t>C2009</t>
  </si>
  <si>
    <t>T10092</t>
  </si>
  <si>
    <t>T10093</t>
  </si>
  <si>
    <t>T10094</t>
  </si>
  <si>
    <t>T10095</t>
  </si>
  <si>
    <t>T10096</t>
  </si>
  <si>
    <t>P1074</t>
  </si>
  <si>
    <t>T10097</t>
  </si>
  <si>
    <t>2023-01-21</t>
  </si>
  <si>
    <t>T10098</t>
  </si>
  <si>
    <t>C2002</t>
  </si>
  <si>
    <t>P1061</t>
  </si>
  <si>
    <t>T10099</t>
  </si>
  <si>
    <t>T10100</t>
  </si>
  <si>
    <t>T10101</t>
  </si>
  <si>
    <t>T10102</t>
  </si>
  <si>
    <t>2023-01-22</t>
  </si>
  <si>
    <t>T10103</t>
  </si>
  <si>
    <t>P1068</t>
  </si>
  <si>
    <t>T10104</t>
  </si>
  <si>
    <t>T10105</t>
  </si>
  <si>
    <t>P1062</t>
  </si>
  <si>
    <t>T10106</t>
  </si>
  <si>
    <t>T10107</t>
  </si>
  <si>
    <t>T10108</t>
  </si>
  <si>
    <t>T10109</t>
  </si>
  <si>
    <t>T10110</t>
  </si>
  <si>
    <t>P1007</t>
  </si>
  <si>
    <t>T10111</t>
  </si>
  <si>
    <t>2023-01-23</t>
  </si>
  <si>
    <t>T10112</t>
  </si>
  <si>
    <t>T10113</t>
  </si>
  <si>
    <t>T10114</t>
  </si>
  <si>
    <t>T10115</t>
  </si>
  <si>
    <t>T10116</t>
  </si>
  <si>
    <t>2023-01-24</t>
  </si>
  <si>
    <t>T10117</t>
  </si>
  <si>
    <t>2023-01-25</t>
  </si>
  <si>
    <t>T10118</t>
  </si>
  <si>
    <t>T10119</t>
  </si>
  <si>
    <t>T10120</t>
  </si>
  <si>
    <t>T10121</t>
  </si>
  <si>
    <t>T10122</t>
  </si>
  <si>
    <t>T10123</t>
  </si>
  <si>
    <t>2023-01-26</t>
  </si>
  <si>
    <t>T10124</t>
  </si>
  <si>
    <t>P1018</t>
  </si>
  <si>
    <t>T10125</t>
  </si>
  <si>
    <t>T10126</t>
  </si>
  <si>
    <t>T10127</t>
  </si>
  <si>
    <t>2023-01-27</t>
  </si>
  <si>
    <t>C2027</t>
  </si>
  <si>
    <t>T10128</t>
  </si>
  <si>
    <t>P1024</t>
  </si>
  <si>
    <t>T10129</t>
  </si>
  <si>
    <t>T10130</t>
  </si>
  <si>
    <t>2023-01-28</t>
  </si>
  <si>
    <t>T10131</t>
  </si>
  <si>
    <t>T10132</t>
  </si>
  <si>
    <t>T10133</t>
  </si>
  <si>
    <t>2023-01-29</t>
  </si>
  <si>
    <t>T10134</t>
  </si>
  <si>
    <t>P1019</t>
  </si>
  <si>
    <t>T10135</t>
  </si>
  <si>
    <t>T10136</t>
  </si>
  <si>
    <t>T10137</t>
  </si>
  <si>
    <t>T10138</t>
  </si>
  <si>
    <t>P1036</t>
  </si>
  <si>
    <t>T10139</t>
  </si>
  <si>
    <t>T10140</t>
  </si>
  <si>
    <t>2023-01-30</t>
  </si>
  <si>
    <t>T10141</t>
  </si>
  <si>
    <t>T10142</t>
  </si>
  <si>
    <t>P1059</t>
  </si>
  <si>
    <t>T10143</t>
  </si>
  <si>
    <t>2023-01-31</t>
  </si>
  <si>
    <t>T10144</t>
  </si>
  <si>
    <t>P1058</t>
  </si>
  <si>
    <t>T10145</t>
  </si>
  <si>
    <t>P1042</t>
  </si>
  <si>
    <t>T10146</t>
  </si>
  <si>
    <t>T10147</t>
  </si>
  <si>
    <t>2023-02-01</t>
  </si>
  <si>
    <t>T10148</t>
  </si>
  <si>
    <t>T10149</t>
  </si>
  <si>
    <t>T10150</t>
  </si>
  <si>
    <t>2023-02-02</t>
  </si>
  <si>
    <t>P1028</t>
  </si>
  <si>
    <t>T10151</t>
  </si>
  <si>
    <t>T10152</t>
  </si>
  <si>
    <t>C2001</t>
  </si>
  <si>
    <t>T10153</t>
  </si>
  <si>
    <t>2023-02-03</t>
  </si>
  <si>
    <t>T10154</t>
  </si>
  <si>
    <t>2023-02-04</t>
  </si>
  <si>
    <t>T10155</t>
  </si>
  <si>
    <t>T10156</t>
  </si>
  <si>
    <t>T10157</t>
  </si>
  <si>
    <t>T10158</t>
  </si>
  <si>
    <t>T10159</t>
  </si>
  <si>
    <t>2023-02-05</t>
  </si>
  <si>
    <t>T10160</t>
  </si>
  <si>
    <t>P1009</t>
  </si>
  <si>
    <t>T10161</t>
  </si>
  <si>
    <t>2023-02-06</t>
  </si>
  <si>
    <t>T10162</t>
  </si>
  <si>
    <t>T10163</t>
  </si>
  <si>
    <t>2023-02-07</t>
  </si>
  <si>
    <t>P1049</t>
  </si>
  <si>
    <t>T10164</t>
  </si>
  <si>
    <t>P1073</t>
  </si>
  <si>
    <t>T10165</t>
  </si>
  <si>
    <t>T10166</t>
  </si>
  <si>
    <t>2023-02-08</t>
  </si>
  <si>
    <t>C2037</t>
  </si>
  <si>
    <t>T10167</t>
  </si>
  <si>
    <t>T10168</t>
  </si>
  <si>
    <t>T10169</t>
  </si>
  <si>
    <t>T10170</t>
  </si>
  <si>
    <t>T10171</t>
  </si>
  <si>
    <t>T10172</t>
  </si>
  <si>
    <t>T10173</t>
  </si>
  <si>
    <t>T10174</t>
  </si>
  <si>
    <t>T10175</t>
  </si>
  <si>
    <t>2023-02-09</t>
  </si>
  <si>
    <t>C2035</t>
  </si>
  <si>
    <t>T10176</t>
  </si>
  <si>
    <t>T10177</t>
  </si>
  <si>
    <t>T10178</t>
  </si>
  <si>
    <t>T10179</t>
  </si>
  <si>
    <t>T10180</t>
  </si>
  <si>
    <t>T10181</t>
  </si>
  <si>
    <t>2023-02-10</t>
  </si>
  <si>
    <t>P1052</t>
  </si>
  <si>
    <t>T10182</t>
  </si>
  <si>
    <t>T10183</t>
  </si>
  <si>
    <t>T10184</t>
  </si>
  <si>
    <t>T10185</t>
  </si>
  <si>
    <t>T10186</t>
  </si>
  <si>
    <t>P1057</t>
  </si>
  <si>
    <t>T10187</t>
  </si>
  <si>
    <t>T10188</t>
  </si>
  <si>
    <t>T10189</t>
  </si>
  <si>
    <t>2023-02-11</t>
  </si>
  <si>
    <t>T10190</t>
  </si>
  <si>
    <t>T10191</t>
  </si>
  <si>
    <t>T10192</t>
  </si>
  <si>
    <t>2023-02-12</t>
  </si>
  <si>
    <t>T10193</t>
  </si>
  <si>
    <t>T10194</t>
  </si>
  <si>
    <t>T10195</t>
  </si>
  <si>
    <t>T10196</t>
  </si>
  <si>
    <t>T10197</t>
  </si>
  <si>
    <t>T10198</t>
  </si>
  <si>
    <t>2023-02-13</t>
  </si>
  <si>
    <t>T10199</t>
  </si>
  <si>
    <t>T10200</t>
  </si>
  <si>
    <t>P1020</t>
  </si>
  <si>
    <t>T10201</t>
  </si>
  <si>
    <t>C2017</t>
  </si>
  <si>
    <t>T10202</t>
  </si>
  <si>
    <t>T10203</t>
  </si>
  <si>
    <t>2023-02-14</t>
  </si>
  <si>
    <t>T10204</t>
  </si>
  <si>
    <t>T10205</t>
  </si>
  <si>
    <t>2023-02-15</t>
  </si>
  <si>
    <t>T10206</t>
  </si>
  <si>
    <t>T10207</t>
  </si>
  <si>
    <t>T10208</t>
  </si>
  <si>
    <t>2023-02-16</t>
  </si>
  <si>
    <t>T10209</t>
  </si>
  <si>
    <t>T10210</t>
  </si>
  <si>
    <t>T10211</t>
  </si>
  <si>
    <t>T10212</t>
  </si>
  <si>
    <t>T10213</t>
  </si>
  <si>
    <t>T10214</t>
  </si>
  <si>
    <t>T10215</t>
  </si>
  <si>
    <t>2023-02-17</t>
  </si>
  <si>
    <t>T10216</t>
  </si>
  <si>
    <t>2023-02-18</t>
  </si>
  <si>
    <t>T10217</t>
  </si>
  <si>
    <t>T10218</t>
  </si>
  <si>
    <t>T10219</t>
  </si>
  <si>
    <t>T10220</t>
  </si>
  <si>
    <t>T10221</t>
  </si>
  <si>
    <t>T10222</t>
  </si>
  <si>
    <t>T10223</t>
  </si>
  <si>
    <t>2023-02-19</t>
  </si>
  <si>
    <t>T10224</t>
  </si>
  <si>
    <t>T10225</t>
  </si>
  <si>
    <t>T10226</t>
  </si>
  <si>
    <t>T10227</t>
  </si>
  <si>
    <t>2023-02-20</t>
  </si>
  <si>
    <t>T10228</t>
  </si>
  <si>
    <t>T10229</t>
  </si>
  <si>
    <t>T10230</t>
  </si>
  <si>
    <t>2023-02-22</t>
  </si>
  <si>
    <t>T10231</t>
  </si>
  <si>
    <t>P1035</t>
  </si>
  <si>
    <t>T10232</t>
  </si>
  <si>
    <t>T10233</t>
  </si>
  <si>
    <t>T10234</t>
  </si>
  <si>
    <t>T10235</t>
  </si>
  <si>
    <t>2023-02-23</t>
  </si>
  <si>
    <t>T10236</t>
  </si>
  <si>
    <t>T10237</t>
  </si>
  <si>
    <t>T10238</t>
  </si>
  <si>
    <t>T10239</t>
  </si>
  <si>
    <t>2023-02-24</t>
  </si>
  <si>
    <t>T10240</t>
  </si>
  <si>
    <t>T10241</t>
  </si>
  <si>
    <t>T10242</t>
  </si>
  <si>
    <t>T10243</t>
  </si>
  <si>
    <t>P1067</t>
  </si>
  <si>
    <t>T10244</t>
  </si>
  <si>
    <t>T10245</t>
  </si>
  <si>
    <t>2023-02-25</t>
  </si>
  <si>
    <t>T10246</t>
  </si>
  <si>
    <t>2023-02-26</t>
  </si>
  <si>
    <t>T10247</t>
  </si>
  <si>
    <t>T10248</t>
  </si>
  <si>
    <t>T10249</t>
  </si>
  <si>
    <t>2023-02-27</t>
  </si>
  <si>
    <t>T10250</t>
  </si>
  <si>
    <t>T10251</t>
  </si>
  <si>
    <t>T10252</t>
  </si>
  <si>
    <t>2023-02-28</t>
  </si>
  <si>
    <t>T10253</t>
  </si>
  <si>
    <t>T10254</t>
  </si>
  <si>
    <t>T10255</t>
  </si>
  <si>
    <t>T10256</t>
  </si>
  <si>
    <t>T10257</t>
  </si>
  <si>
    <t>T10258</t>
  </si>
  <si>
    <t>T10259</t>
  </si>
  <si>
    <t>T10260</t>
  </si>
  <si>
    <t>2023-03-01</t>
  </si>
  <si>
    <t>T10261</t>
  </si>
  <si>
    <t>T10262</t>
  </si>
  <si>
    <t>T10263</t>
  </si>
  <si>
    <t>T10264</t>
  </si>
  <si>
    <t>2023-03-02</t>
  </si>
  <si>
    <t>T10265</t>
  </si>
  <si>
    <t>P1037</t>
  </si>
  <si>
    <t>T10266</t>
  </si>
  <si>
    <t>P1044</t>
  </si>
  <si>
    <t>T10267</t>
  </si>
  <si>
    <t>2023-03-03</t>
  </si>
  <si>
    <t>T10268</t>
  </si>
  <si>
    <t>T10269</t>
  </si>
  <si>
    <t>T10270</t>
  </si>
  <si>
    <t>2023-03-04</t>
  </si>
  <si>
    <t>T10271</t>
  </si>
  <si>
    <t>T10272</t>
  </si>
  <si>
    <t>T10273</t>
  </si>
  <si>
    <t>T10274</t>
  </si>
  <si>
    <t>T10275</t>
  </si>
  <si>
    <t>2023-03-05</t>
  </si>
  <si>
    <t>T10276</t>
  </si>
  <si>
    <t>T10277</t>
  </si>
  <si>
    <t>2023-03-06</t>
  </si>
  <si>
    <t>T10278</t>
  </si>
  <si>
    <t>T10279</t>
  </si>
  <si>
    <t>T10280</t>
  </si>
  <si>
    <t>T10281</t>
  </si>
  <si>
    <t>T10282</t>
  </si>
  <si>
    <t>T10283</t>
  </si>
  <si>
    <t>T10284</t>
  </si>
  <si>
    <t>2023-03-07</t>
  </si>
  <si>
    <t>T10285</t>
  </si>
  <si>
    <t>T10286</t>
  </si>
  <si>
    <t>T10287</t>
  </si>
  <si>
    <t>P1046</t>
  </si>
  <si>
    <t>T10288</t>
  </si>
  <si>
    <t>T10289</t>
  </si>
  <si>
    <t>T10290</t>
  </si>
  <si>
    <t>2023-03-08</t>
  </si>
  <si>
    <t>T10291</t>
  </si>
  <si>
    <t>T10292</t>
  </si>
  <si>
    <t>2023-03-09</t>
  </si>
  <si>
    <t>T10293</t>
  </si>
  <si>
    <t>T10294</t>
  </si>
  <si>
    <t>T10295</t>
  </si>
  <si>
    <t>T10296</t>
  </si>
  <si>
    <t>T10297</t>
  </si>
  <si>
    <t>2023-03-10</t>
  </si>
  <si>
    <t>T10298</t>
  </si>
  <si>
    <t>T10299</t>
  </si>
  <si>
    <t>T10300</t>
  </si>
  <si>
    <t>T10301</t>
  </si>
  <si>
    <t>T10302</t>
  </si>
  <si>
    <t>C2038</t>
  </si>
  <si>
    <t>T10303</t>
  </si>
  <si>
    <t>2023-03-11</t>
  </si>
  <si>
    <t>T10304</t>
  </si>
  <si>
    <t>T10305</t>
  </si>
  <si>
    <t>T10306</t>
  </si>
  <si>
    <t>2023-03-13</t>
  </si>
  <si>
    <t>T10307</t>
  </si>
  <si>
    <t>T10308</t>
  </si>
  <si>
    <t>2023-03-14</t>
  </si>
  <si>
    <t>T10309</t>
  </si>
  <si>
    <t>T10310</t>
  </si>
  <si>
    <t>T10311</t>
  </si>
  <si>
    <t>T10312</t>
  </si>
  <si>
    <t>T10313</t>
  </si>
  <si>
    <t>T10314</t>
  </si>
  <si>
    <t>T10315</t>
  </si>
  <si>
    <t>T10316</t>
  </si>
  <si>
    <t>T10317</t>
  </si>
  <si>
    <t>T10318</t>
  </si>
  <si>
    <t>2023-03-15</t>
  </si>
  <si>
    <t>T10319</t>
  </si>
  <si>
    <t>T10320</t>
  </si>
  <si>
    <t>T10321</t>
  </si>
  <si>
    <t>2023-03-16</t>
  </si>
  <si>
    <t>T10322</t>
  </si>
  <si>
    <t>T10323</t>
  </si>
  <si>
    <t>T10324</t>
  </si>
  <si>
    <t>T10325</t>
  </si>
  <si>
    <t>T10326</t>
  </si>
  <si>
    <t>T10327</t>
  </si>
  <si>
    <t>T10328</t>
  </si>
  <si>
    <t>T10329</t>
  </si>
  <si>
    <t>T10330</t>
  </si>
  <si>
    <t>2023-03-17</t>
  </si>
  <si>
    <t>T10331</t>
  </si>
  <si>
    <t>T10332</t>
  </si>
  <si>
    <t>T10333</t>
  </si>
  <si>
    <t>T10334</t>
  </si>
  <si>
    <t>2023-03-18</t>
  </si>
  <si>
    <t>T10335</t>
  </si>
  <si>
    <t>T10336</t>
  </si>
  <si>
    <t>2023-03-19</t>
  </si>
  <si>
    <t>T10337</t>
  </si>
  <si>
    <t>T10338</t>
  </si>
  <si>
    <t>T10339</t>
  </si>
  <si>
    <t>2023-03-20</t>
  </si>
  <si>
    <t>T10340</t>
  </si>
  <si>
    <t>T10341</t>
  </si>
  <si>
    <t>T10342</t>
  </si>
  <si>
    <t>T10343</t>
  </si>
  <si>
    <t>T10344</t>
  </si>
  <si>
    <t>T10345</t>
  </si>
  <si>
    <t>2023-03-21</t>
  </si>
  <si>
    <t>T10346</t>
  </si>
  <si>
    <t>2023-03-22</t>
  </si>
  <si>
    <t>T10347</t>
  </si>
  <si>
    <t>T10348</t>
  </si>
  <si>
    <t>T10349</t>
  </si>
  <si>
    <t>2023-03-23</t>
  </si>
  <si>
    <t>P1033</t>
  </si>
  <si>
    <t>T10350</t>
  </si>
  <si>
    <t>T10351</t>
  </si>
  <si>
    <t>T10352</t>
  </si>
  <si>
    <t>T10353</t>
  </si>
  <si>
    <t>T10354</t>
  </si>
  <si>
    <t>T10355</t>
  </si>
  <si>
    <t>2023-03-24</t>
  </si>
  <si>
    <t>T10356</t>
  </si>
  <si>
    <t>T10357</t>
  </si>
  <si>
    <t>T10358</t>
  </si>
  <si>
    <t>T10359</t>
  </si>
  <si>
    <t>T10360</t>
  </si>
  <si>
    <t>2023-03-25</t>
  </si>
  <si>
    <t>T10361</t>
  </si>
  <si>
    <t>T10362</t>
  </si>
  <si>
    <t>T10363</t>
  </si>
  <si>
    <t>T10364</t>
  </si>
  <si>
    <t>T10365</t>
  </si>
  <si>
    <t>T10366</t>
  </si>
  <si>
    <t>T10367</t>
  </si>
  <si>
    <t>T10368</t>
  </si>
  <si>
    <t>T10369</t>
  </si>
  <si>
    <t>T10370</t>
  </si>
  <si>
    <t>T10371</t>
  </si>
  <si>
    <t>T10372</t>
  </si>
  <si>
    <t>2023-03-26</t>
  </si>
  <si>
    <t>T10373</t>
  </si>
  <si>
    <t>T10374</t>
  </si>
  <si>
    <t>T10375</t>
  </si>
  <si>
    <t>2023-03-27</t>
  </si>
  <si>
    <t>T10376</t>
  </si>
  <si>
    <t>T10377</t>
  </si>
  <si>
    <t>T10378</t>
  </si>
  <si>
    <t>T10379</t>
  </si>
  <si>
    <t>T10380</t>
  </si>
  <si>
    <t>2023-03-28</t>
  </si>
  <si>
    <t>T10381</t>
  </si>
  <si>
    <t>T10382</t>
  </si>
  <si>
    <t>T10383</t>
  </si>
  <si>
    <t>T10384</t>
  </si>
  <si>
    <t>T10385</t>
  </si>
  <si>
    <t>T10386</t>
  </si>
  <si>
    <t>2023-03-29</t>
  </si>
  <si>
    <t>T10387</t>
  </si>
  <si>
    <t>T10388</t>
  </si>
  <si>
    <t>T10389</t>
  </si>
  <si>
    <t>T10390</t>
  </si>
  <si>
    <t>T10391</t>
  </si>
  <si>
    <t>2023-03-30</t>
  </si>
  <si>
    <t>T10392</t>
  </si>
  <si>
    <t>T10393</t>
  </si>
  <si>
    <t>T10394</t>
  </si>
  <si>
    <t>T10395</t>
  </si>
  <si>
    <t>T10396</t>
  </si>
  <si>
    <t>2023-03-31</t>
  </si>
  <si>
    <t>T10397</t>
  </si>
  <si>
    <t>T10398</t>
  </si>
  <si>
    <t>T10399</t>
  </si>
  <si>
    <t>T10400</t>
  </si>
  <si>
    <t>2023-04-01</t>
  </si>
  <si>
    <t>T10401</t>
  </si>
  <si>
    <t>T10402</t>
  </si>
  <si>
    <t>2023-04-02</t>
  </si>
  <si>
    <t>T10403</t>
  </si>
  <si>
    <t>T10404</t>
  </si>
  <si>
    <t>T10405</t>
  </si>
  <si>
    <t>T10406</t>
  </si>
  <si>
    <t>2023-04-03</t>
  </si>
  <si>
    <t>T10407</t>
  </si>
  <si>
    <t>T10408</t>
  </si>
  <si>
    <t>T10409</t>
  </si>
  <si>
    <t>T10410</t>
  </si>
  <si>
    <t>2023-04-05</t>
  </si>
  <si>
    <t>T10411</t>
  </si>
  <si>
    <t>T10412</t>
  </si>
  <si>
    <t>T10413</t>
  </si>
  <si>
    <t>2023-04-06</t>
  </si>
  <si>
    <t>T10414</t>
  </si>
  <si>
    <t>T10415</t>
  </si>
  <si>
    <t>T10416</t>
  </si>
  <si>
    <t>2023-04-07</t>
  </si>
  <si>
    <t>T10417</t>
  </si>
  <si>
    <t>T10418</t>
  </si>
  <si>
    <t>T10419</t>
  </si>
  <si>
    <t>2023-04-08</t>
  </si>
  <si>
    <t>T10420</t>
  </si>
  <si>
    <t>T10421</t>
  </si>
  <si>
    <t>T10422</t>
  </si>
  <si>
    <t>T10423</t>
  </si>
  <si>
    <t>2023-04-09</t>
  </si>
  <si>
    <t>T10424</t>
  </si>
  <si>
    <t>T10425</t>
  </si>
  <si>
    <t>T10426</t>
  </si>
  <si>
    <t>T10427</t>
  </si>
  <si>
    <t>T10428</t>
  </si>
  <si>
    <t>2023-04-10</t>
  </si>
  <si>
    <t>T10429</t>
  </si>
  <si>
    <t>T10430</t>
  </si>
  <si>
    <t>T10431</t>
  </si>
  <si>
    <t>T10432</t>
  </si>
  <si>
    <t>T10433</t>
  </si>
  <si>
    <t>2023-04-11</t>
  </si>
  <si>
    <t>T10434</t>
  </si>
  <si>
    <t>T10435</t>
  </si>
  <si>
    <t>T10436</t>
  </si>
  <si>
    <t>T10437</t>
  </si>
  <si>
    <t>T10438</t>
  </si>
  <si>
    <t>T10439</t>
  </si>
  <si>
    <t>2023-04-12</t>
  </si>
  <si>
    <t>T10440</t>
  </si>
  <si>
    <t>T10441</t>
  </si>
  <si>
    <t>T10442</t>
  </si>
  <si>
    <t>T10443</t>
  </si>
  <si>
    <t>T10444</t>
  </si>
  <si>
    <t>T10445</t>
  </si>
  <si>
    <t>T10446</t>
  </si>
  <si>
    <t>P1063</t>
  </si>
  <si>
    <t>T10447</t>
  </si>
  <si>
    <t>T10448</t>
  </si>
  <si>
    <t>T10449</t>
  </si>
  <si>
    <t>2023-04-13</t>
  </si>
  <si>
    <t>T10450</t>
  </si>
  <si>
    <t>T10451</t>
  </si>
  <si>
    <t>2023-04-14</t>
  </si>
  <si>
    <t>T10452</t>
  </si>
  <si>
    <t>T10453</t>
  </si>
  <si>
    <t>T10454</t>
  </si>
  <si>
    <t>T10455</t>
  </si>
  <si>
    <t>T10456</t>
  </si>
  <si>
    <t>T10457</t>
  </si>
  <si>
    <t>T10458</t>
  </si>
  <si>
    <t>T10459</t>
  </si>
  <si>
    <t>2023-04-15</t>
  </si>
  <si>
    <t>T10460</t>
  </si>
  <si>
    <t>T10461</t>
  </si>
  <si>
    <t>T10462</t>
  </si>
  <si>
    <t>2023-04-16</t>
  </si>
  <si>
    <t>T10463</t>
  </si>
  <si>
    <t>T10464</t>
  </si>
  <si>
    <t>T10465</t>
  </si>
  <si>
    <t>2023-04-17</t>
  </si>
  <si>
    <t>T10466</t>
  </si>
  <si>
    <t>T10467</t>
  </si>
  <si>
    <t>T10468</t>
  </si>
  <si>
    <t>2023-04-18</t>
  </si>
  <si>
    <t>T10469</t>
  </si>
  <si>
    <t>T10470</t>
  </si>
  <si>
    <t>T10471</t>
  </si>
  <si>
    <t>T10472</t>
  </si>
  <si>
    <t>T10473</t>
  </si>
  <si>
    <t>T10474</t>
  </si>
  <si>
    <t>2023-04-19</t>
  </si>
  <si>
    <t>T10475</t>
  </si>
  <si>
    <t>T10476</t>
  </si>
  <si>
    <t>T10477</t>
  </si>
  <si>
    <t>T10478</t>
  </si>
  <si>
    <t>T10479</t>
  </si>
  <si>
    <t>T10480</t>
  </si>
  <si>
    <t>T10481</t>
  </si>
  <si>
    <t>T10482</t>
  </si>
  <si>
    <t>T10483</t>
  </si>
  <si>
    <t>2023-04-20</t>
  </si>
  <si>
    <t>T10484</t>
  </si>
  <si>
    <t>2023-04-21</t>
  </si>
  <si>
    <t>T10485</t>
  </si>
  <si>
    <t>T10486</t>
  </si>
  <si>
    <t>T10487</t>
  </si>
  <si>
    <t>T10488</t>
  </si>
  <si>
    <t>T10489</t>
  </si>
  <si>
    <t>T10490</t>
  </si>
  <si>
    <t>T10491</t>
  </si>
  <si>
    <t>2023-04-22</t>
  </si>
  <si>
    <t>T10492</t>
  </si>
  <si>
    <t>T10493</t>
  </si>
  <si>
    <t>T10494</t>
  </si>
  <si>
    <t>T10495</t>
  </si>
  <si>
    <t>2023-04-23</t>
  </si>
  <si>
    <t>T10496</t>
  </si>
  <si>
    <t>T10497</t>
  </si>
  <si>
    <t>T10498</t>
  </si>
  <si>
    <t>T10499</t>
  </si>
  <si>
    <t>T10500</t>
  </si>
  <si>
    <t>T10501</t>
  </si>
  <si>
    <t>T10502</t>
  </si>
  <si>
    <t>T10503</t>
  </si>
  <si>
    <t>T10504</t>
  </si>
  <si>
    <t>2023-04-24</t>
  </si>
  <si>
    <t>T10505</t>
  </si>
  <si>
    <t>T10506</t>
  </si>
  <si>
    <t>T10507</t>
  </si>
  <si>
    <t>T10508</t>
  </si>
  <si>
    <t>T10509</t>
  </si>
  <si>
    <t>T10510</t>
  </si>
  <si>
    <t>2023-04-25</t>
  </si>
  <si>
    <t>T10511</t>
  </si>
  <si>
    <t>T10512</t>
  </si>
  <si>
    <t>T10513</t>
  </si>
  <si>
    <t>2023-04-26</t>
  </si>
  <si>
    <t>T10514</t>
  </si>
  <si>
    <t>T10515</t>
  </si>
  <si>
    <t>T10516</t>
  </si>
  <si>
    <t>T10517</t>
  </si>
  <si>
    <t>2023-04-27</t>
  </si>
  <si>
    <t>T10518</t>
  </si>
  <si>
    <t>T10519</t>
  </si>
  <si>
    <t>T10520</t>
  </si>
  <si>
    <t>T10521</t>
  </si>
  <si>
    <t>T10522</t>
  </si>
  <si>
    <t>T10523</t>
  </si>
  <si>
    <t>T10524</t>
  </si>
  <si>
    <t>2023-04-28</t>
  </si>
  <si>
    <t>T10525</t>
  </si>
  <si>
    <t>T10526</t>
  </si>
  <si>
    <t>T10527</t>
  </si>
  <si>
    <t>T10528</t>
  </si>
  <si>
    <t>T10529</t>
  </si>
  <si>
    <t>T10530</t>
  </si>
  <si>
    <t>T10531</t>
  </si>
  <si>
    <t>2023-04-29</t>
  </si>
  <si>
    <t>T10532</t>
  </si>
  <si>
    <t>T10533</t>
  </si>
  <si>
    <t>T10534</t>
  </si>
  <si>
    <t>T10535</t>
  </si>
  <si>
    <t>T10536</t>
  </si>
  <si>
    <t>T10537</t>
  </si>
  <si>
    <t>2023-04-30</t>
  </si>
  <si>
    <t>T10538</t>
  </si>
  <si>
    <t>T10539</t>
  </si>
  <si>
    <t>T10540</t>
  </si>
  <si>
    <t>T10541</t>
  </si>
  <si>
    <t>T10542</t>
  </si>
  <si>
    <t>2023-05-01</t>
  </si>
  <si>
    <t>T10543</t>
  </si>
  <si>
    <t>2023-05-02</t>
  </si>
  <si>
    <t>T10544</t>
  </si>
  <si>
    <t>T10545</t>
  </si>
  <si>
    <t>T10546</t>
  </si>
  <si>
    <t>T10547</t>
  </si>
  <si>
    <t>T10548</t>
  </si>
  <si>
    <t>2023-05-03</t>
  </si>
  <si>
    <t>T10549</t>
  </si>
  <si>
    <t>2023-05-04</t>
  </si>
  <si>
    <t>T10550</t>
  </si>
  <si>
    <t>T10551</t>
  </si>
  <si>
    <t>T10552</t>
  </si>
  <si>
    <t>T10553</t>
  </si>
  <si>
    <t>T10554</t>
  </si>
  <si>
    <t>T10555</t>
  </si>
  <si>
    <t>T10556</t>
  </si>
  <si>
    <t>T10557</t>
  </si>
  <si>
    <t>T10558</t>
  </si>
  <si>
    <t>2023-05-05</t>
  </si>
  <si>
    <t>T10559</t>
  </si>
  <si>
    <t>T10560</t>
  </si>
  <si>
    <t>T10561</t>
  </si>
  <si>
    <t>2023-05-06</t>
  </si>
  <si>
    <t>T10562</t>
  </si>
  <si>
    <t>T10563</t>
  </si>
  <si>
    <t>T10564</t>
  </si>
  <si>
    <t>T10565</t>
  </si>
  <si>
    <t>2023-05-07</t>
  </si>
  <si>
    <t>T10566</t>
  </si>
  <si>
    <t>T10567</t>
  </si>
  <si>
    <t>T10568</t>
  </si>
  <si>
    <t>T10569</t>
  </si>
  <si>
    <t>T10570</t>
  </si>
  <si>
    <t>T10571</t>
  </si>
  <si>
    <t>T10572</t>
  </si>
  <si>
    <t>2023-05-08</t>
  </si>
  <si>
    <t>T10573</t>
  </si>
  <si>
    <t>T10574</t>
  </si>
  <si>
    <t>T10575</t>
  </si>
  <si>
    <t>T10576</t>
  </si>
  <si>
    <t>T10577</t>
  </si>
  <si>
    <t>T10578</t>
  </si>
  <si>
    <t>T10579</t>
  </si>
  <si>
    <t>2023-05-09</t>
  </si>
  <si>
    <t>T10580</t>
  </si>
  <si>
    <t>T10581</t>
  </si>
  <si>
    <t>T10582</t>
  </si>
  <si>
    <t>T10583</t>
  </si>
  <si>
    <t>T10584</t>
  </si>
  <si>
    <t>T10585</t>
  </si>
  <si>
    <t>2023-05-10</t>
  </si>
  <si>
    <t>T10586</t>
  </si>
  <si>
    <t>T10587</t>
  </si>
  <si>
    <t>T10588</t>
  </si>
  <si>
    <t>T10589</t>
  </si>
  <si>
    <t>T10590</t>
  </si>
  <si>
    <t>T10591</t>
  </si>
  <si>
    <t>T10592</t>
  </si>
  <si>
    <t>T10593</t>
  </si>
  <si>
    <t>2023-05-11</t>
  </si>
  <si>
    <t>T10594</t>
  </si>
  <si>
    <t>T10595</t>
  </si>
  <si>
    <t>T10596</t>
  </si>
  <si>
    <t>T10597</t>
  </si>
  <si>
    <t>T10598</t>
  </si>
  <si>
    <t>2023-05-12</t>
  </si>
  <si>
    <t>T10599</t>
  </si>
  <si>
    <t>T10600</t>
  </si>
  <si>
    <t>T10601</t>
  </si>
  <si>
    <t>T10602</t>
  </si>
  <si>
    <t>2023-05-13</t>
  </si>
  <si>
    <t>T10603</t>
  </si>
  <si>
    <t>T10604</t>
  </si>
  <si>
    <t>T10605</t>
  </si>
  <si>
    <t>T10606</t>
  </si>
  <si>
    <t>2023-05-14</t>
  </si>
  <si>
    <t>T10607</t>
  </si>
  <si>
    <t>T10608</t>
  </si>
  <si>
    <t>T10609</t>
  </si>
  <si>
    <t>T10610</t>
  </si>
  <si>
    <t>2023-05-16</t>
  </si>
  <si>
    <t>T10611</t>
  </si>
  <si>
    <t>T10612</t>
  </si>
  <si>
    <t>2023-05-17</t>
  </si>
  <si>
    <t>T10613</t>
  </si>
  <si>
    <t>T10614</t>
  </si>
  <si>
    <t>T10615</t>
  </si>
  <si>
    <t>T10616</t>
  </si>
  <si>
    <t>T10617</t>
  </si>
  <si>
    <t>T10618</t>
  </si>
  <si>
    <t>2023-05-18</t>
  </si>
  <si>
    <t>T10619</t>
  </si>
  <si>
    <t>T10620</t>
  </si>
  <si>
    <t>T10621</t>
  </si>
  <si>
    <t>2023-05-19</t>
  </si>
  <si>
    <t>T10622</t>
  </si>
  <si>
    <t>T10623</t>
  </si>
  <si>
    <t>T10624</t>
  </si>
  <si>
    <t>2023-05-20</t>
  </si>
  <si>
    <t>T10625</t>
  </si>
  <si>
    <t>T10626</t>
  </si>
  <si>
    <t>T10627</t>
  </si>
  <si>
    <t>2023-05-21</t>
  </si>
  <si>
    <t>T10628</t>
  </si>
  <si>
    <t>T10629</t>
  </si>
  <si>
    <t>T10630</t>
  </si>
  <si>
    <t>T10631</t>
  </si>
  <si>
    <t>T10632</t>
  </si>
  <si>
    <t>T10633</t>
  </si>
  <si>
    <t>T10634</t>
  </si>
  <si>
    <t>T10635</t>
  </si>
  <si>
    <t>T10636</t>
  </si>
  <si>
    <t>T10637</t>
  </si>
  <si>
    <t>2023-05-22</t>
  </si>
  <si>
    <t>T10638</t>
  </si>
  <si>
    <t>T10639</t>
  </si>
  <si>
    <t>T10640</t>
  </si>
  <si>
    <t>T10641</t>
  </si>
  <si>
    <t>2023-05-23</t>
  </si>
  <si>
    <t>T10642</t>
  </si>
  <si>
    <t>T10643</t>
  </si>
  <si>
    <t>T10644</t>
  </si>
  <si>
    <t>T10645</t>
  </si>
  <si>
    <t>T10646</t>
  </si>
  <si>
    <t>2023-05-24</t>
  </si>
  <si>
    <t>T10647</t>
  </si>
  <si>
    <t>T10648</t>
  </si>
  <si>
    <t>T10649</t>
  </si>
  <si>
    <t>2023-05-25</t>
  </si>
  <si>
    <t>T10650</t>
  </si>
  <si>
    <t>T10651</t>
  </si>
  <si>
    <t>T10652</t>
  </si>
  <si>
    <t>2023-05-26</t>
  </si>
  <si>
    <t>T10653</t>
  </si>
  <si>
    <t>T10654</t>
  </si>
  <si>
    <t>T10655</t>
  </si>
  <si>
    <t>T10656</t>
  </si>
  <si>
    <t>2023-05-27</t>
  </si>
  <si>
    <t>T10657</t>
  </si>
  <si>
    <t>T10658</t>
  </si>
  <si>
    <t>T10659</t>
  </si>
  <si>
    <t>T10660</t>
  </si>
  <si>
    <t>T10661</t>
  </si>
  <si>
    <t>T10662</t>
  </si>
  <si>
    <t>T10663</t>
  </si>
  <si>
    <t>2023-05-28</t>
  </si>
  <si>
    <t>T10664</t>
  </si>
  <si>
    <t>T10665</t>
  </si>
  <si>
    <t>T10666</t>
  </si>
  <si>
    <t>T10667</t>
  </si>
  <si>
    <t>T10668</t>
  </si>
  <si>
    <t>T10669</t>
  </si>
  <si>
    <t>2023-05-29</t>
  </si>
  <si>
    <t>T10670</t>
  </si>
  <si>
    <t>T10671</t>
  </si>
  <si>
    <t>T10672</t>
  </si>
  <si>
    <t>T10673</t>
  </si>
  <si>
    <t>T10674</t>
  </si>
  <si>
    <t>T10675</t>
  </si>
  <si>
    <t>T10676</t>
  </si>
  <si>
    <t>2023-05-31</t>
  </si>
  <si>
    <t>T10677</t>
  </si>
  <si>
    <t>T10678</t>
  </si>
  <si>
    <t>T10679</t>
  </si>
  <si>
    <t>T10680</t>
  </si>
  <si>
    <t>2023-06-01</t>
  </si>
  <si>
    <t>T10681</t>
  </si>
  <si>
    <t>T10682</t>
  </si>
  <si>
    <t>T10683</t>
  </si>
  <si>
    <t>2023-06-02</t>
  </si>
  <si>
    <t>T10684</t>
  </si>
  <si>
    <t>T10685</t>
  </si>
  <si>
    <t>T10686</t>
  </si>
  <si>
    <t>T10687</t>
  </si>
  <si>
    <t>T10688</t>
  </si>
  <si>
    <t>2023-06-03</t>
  </si>
  <si>
    <t>T10689</t>
  </si>
  <si>
    <t>T10690</t>
  </si>
  <si>
    <t>T10691</t>
  </si>
  <si>
    <t>T10692</t>
  </si>
  <si>
    <t>T10693</t>
  </si>
  <si>
    <t>T10694</t>
  </si>
  <si>
    <t>T10695</t>
  </si>
  <si>
    <t>T10696</t>
  </si>
  <si>
    <t>T10697</t>
  </si>
  <si>
    <t>T10698</t>
  </si>
  <si>
    <t>T10699</t>
  </si>
  <si>
    <t>T10700</t>
  </si>
  <si>
    <t>2023-06-04</t>
  </si>
  <si>
    <t>T10701</t>
  </si>
  <si>
    <t>T10702</t>
  </si>
  <si>
    <t>T10703</t>
  </si>
  <si>
    <t>2023-06-05</t>
  </si>
  <si>
    <t>T10704</t>
  </si>
  <si>
    <t>T10705</t>
  </si>
  <si>
    <t>T10706</t>
  </si>
  <si>
    <t>T10707</t>
  </si>
  <si>
    <t>T10708</t>
  </si>
  <si>
    <t>T10709</t>
  </si>
  <si>
    <t>T10710</t>
  </si>
  <si>
    <t>T10711</t>
  </si>
  <si>
    <t>T10712</t>
  </si>
  <si>
    <t>2023-06-06</t>
  </si>
  <si>
    <t>T10713</t>
  </si>
  <si>
    <t>T10714</t>
  </si>
  <si>
    <t>T10715</t>
  </si>
  <si>
    <t>T10716</t>
  </si>
  <si>
    <t>T10717</t>
  </si>
  <si>
    <t>2023-06-07</t>
  </si>
  <si>
    <t>T10718</t>
  </si>
  <si>
    <t>T10719</t>
  </si>
  <si>
    <t>2023-06-08</t>
  </si>
  <si>
    <t>T10720</t>
  </si>
  <si>
    <t>T10721</t>
  </si>
  <si>
    <t>T10722</t>
  </si>
  <si>
    <t>T10723</t>
  </si>
  <si>
    <t>T10724</t>
  </si>
  <si>
    <t>T10725</t>
  </si>
  <si>
    <t>T10726</t>
  </si>
  <si>
    <t>2023-06-09</t>
  </si>
  <si>
    <t>T10727</t>
  </si>
  <si>
    <t>T10728</t>
  </si>
  <si>
    <t>T10729</t>
  </si>
  <si>
    <t>T10730</t>
  </si>
  <si>
    <t>T10731</t>
  </si>
  <si>
    <t>T10732</t>
  </si>
  <si>
    <t>2023-06-10</t>
  </si>
  <si>
    <t>T10733</t>
  </si>
  <si>
    <t>T10734</t>
  </si>
  <si>
    <t>T10735</t>
  </si>
  <si>
    <t>T10736</t>
  </si>
  <si>
    <t>T10737</t>
  </si>
  <si>
    <t>T10738</t>
  </si>
  <si>
    <t>T10739</t>
  </si>
  <si>
    <t>T10740</t>
  </si>
  <si>
    <t>T10741</t>
  </si>
  <si>
    <t>2023-06-11</t>
  </si>
  <si>
    <t>T10742</t>
  </si>
  <si>
    <t>T10743</t>
  </si>
  <si>
    <t>T10744</t>
  </si>
  <si>
    <t>T10745</t>
  </si>
  <si>
    <t>T10746</t>
  </si>
  <si>
    <t>T10747</t>
  </si>
  <si>
    <t>T10748</t>
  </si>
  <si>
    <t>T10749</t>
  </si>
  <si>
    <t>2023-06-12</t>
  </si>
  <si>
    <t>T10750</t>
  </si>
  <si>
    <t>T10751</t>
  </si>
  <si>
    <t>T10752</t>
  </si>
  <si>
    <t>T10753</t>
  </si>
  <si>
    <t>T10754</t>
  </si>
  <si>
    <t>2023-06-13</t>
  </si>
  <si>
    <t>T10755</t>
  </si>
  <si>
    <t>T10756</t>
  </si>
  <si>
    <t>T10757</t>
  </si>
  <si>
    <t>T10758</t>
  </si>
  <si>
    <t>T10759</t>
  </si>
  <si>
    <t>T10760</t>
  </si>
  <si>
    <t>2023-06-14</t>
  </si>
  <si>
    <t>T10761</t>
  </si>
  <si>
    <t>T10762</t>
  </si>
  <si>
    <t>T10763</t>
  </si>
  <si>
    <t>T10764</t>
  </si>
  <si>
    <t>T10765</t>
  </si>
  <si>
    <t>2023-06-15</t>
  </si>
  <si>
    <t>T10766</t>
  </si>
  <si>
    <t>T10767</t>
  </si>
  <si>
    <t>T10768</t>
  </si>
  <si>
    <t>T10769</t>
  </si>
  <si>
    <t>T10770</t>
  </si>
  <si>
    <t>2023-06-16</t>
  </si>
  <si>
    <t>T10771</t>
  </si>
  <si>
    <t>T10772</t>
  </si>
  <si>
    <t>T10773</t>
  </si>
  <si>
    <t>T10774</t>
  </si>
  <si>
    <t>2023-06-17</t>
  </si>
  <si>
    <t>T10775</t>
  </si>
  <si>
    <t>T10776</t>
  </si>
  <si>
    <t>T10777</t>
  </si>
  <si>
    <t>T10778</t>
  </si>
  <si>
    <t>2023-06-18</t>
  </si>
  <si>
    <t>T10779</t>
  </si>
  <si>
    <t>T10780</t>
  </si>
  <si>
    <t>2023-06-19</t>
  </si>
  <si>
    <t>T10781</t>
  </si>
  <si>
    <t>T10782</t>
  </si>
  <si>
    <t>T10783</t>
  </si>
  <si>
    <t>T10784</t>
  </si>
  <si>
    <t>T10785</t>
  </si>
  <si>
    <t>T10786</t>
  </si>
  <si>
    <t>2023-06-20</t>
  </si>
  <si>
    <t>T10787</t>
  </si>
  <si>
    <t>T10788</t>
  </si>
  <si>
    <t>T10789</t>
  </si>
  <si>
    <t>2023-06-21</t>
  </si>
  <si>
    <t>T10790</t>
  </si>
  <si>
    <t>T10791</t>
  </si>
  <si>
    <t>T10792</t>
  </si>
  <si>
    <t>T10793</t>
  </si>
  <si>
    <t>T10794</t>
  </si>
  <si>
    <t>2023-06-22</t>
  </si>
  <si>
    <t>T10795</t>
  </si>
  <si>
    <t>T10796</t>
  </si>
  <si>
    <t>T10797</t>
  </si>
  <si>
    <t>T10798</t>
  </si>
  <si>
    <t>T10799</t>
  </si>
  <si>
    <t>T10800</t>
  </si>
  <si>
    <t>2023-06-23</t>
  </si>
  <si>
    <t>T10801</t>
  </si>
  <si>
    <t>T10802</t>
  </si>
  <si>
    <t>2023-06-24</t>
  </si>
  <si>
    <t>T10803</t>
  </si>
  <si>
    <t>T10804</t>
  </si>
  <si>
    <t>T10805</t>
  </si>
  <si>
    <t>T10806</t>
  </si>
  <si>
    <t>T10807</t>
  </si>
  <si>
    <t>2023-06-25</t>
  </si>
  <si>
    <t>T10808</t>
  </si>
  <si>
    <t>T10809</t>
  </si>
  <si>
    <t>T10810</t>
  </si>
  <si>
    <t>2023-06-26</t>
  </si>
  <si>
    <t>T10811</t>
  </si>
  <si>
    <t>T10812</t>
  </si>
  <si>
    <t>T10813</t>
  </si>
  <si>
    <t>2023-06-27</t>
  </si>
  <si>
    <t>T10814</t>
  </si>
  <si>
    <t>T10815</t>
  </si>
  <si>
    <t>T10816</t>
  </si>
  <si>
    <t>T10817</t>
  </si>
  <si>
    <t>T10818</t>
  </si>
  <si>
    <t>2023-06-28</t>
  </si>
  <si>
    <t>T10819</t>
  </si>
  <si>
    <t>T10820</t>
  </si>
  <si>
    <t>T10821</t>
  </si>
  <si>
    <t>2023-06-29</t>
  </si>
  <si>
    <t>T10822</t>
  </si>
  <si>
    <t>T10823</t>
  </si>
  <si>
    <t>2023-06-30</t>
  </si>
  <si>
    <t>T10824</t>
  </si>
  <si>
    <t>T10825</t>
  </si>
  <si>
    <t>2023-07-01</t>
  </si>
  <si>
    <t>T10826</t>
  </si>
  <si>
    <t>T10827</t>
  </si>
  <si>
    <t>T10828</t>
  </si>
  <si>
    <t>T10829</t>
  </si>
  <si>
    <t>T10830</t>
  </si>
  <si>
    <t>T10831</t>
  </si>
  <si>
    <t>2023-07-02</t>
  </si>
  <si>
    <t>T10832</t>
  </si>
  <si>
    <t>T10833</t>
  </si>
  <si>
    <t>T10834</t>
  </si>
  <si>
    <t>T10835</t>
  </si>
  <si>
    <t>T10836</t>
  </si>
  <si>
    <t>T10837</t>
  </si>
  <si>
    <t>T10838</t>
  </si>
  <si>
    <t>T10839</t>
  </si>
  <si>
    <t>T10840</t>
  </si>
  <si>
    <t>2023-07-03</t>
  </si>
  <si>
    <t>T10841</t>
  </si>
  <si>
    <t>T10842</t>
  </si>
  <si>
    <t>T10843</t>
  </si>
  <si>
    <t>2023-07-04</t>
  </si>
  <si>
    <t>T10844</t>
  </si>
  <si>
    <t>T10845</t>
  </si>
  <si>
    <t>2023-07-05</t>
  </si>
  <si>
    <t>T10846</t>
  </si>
  <si>
    <t>T10847</t>
  </si>
  <si>
    <t>2023-07-06</t>
  </si>
  <si>
    <t>T10848</t>
  </si>
  <si>
    <t>T10849</t>
  </si>
  <si>
    <t>T10850</t>
  </si>
  <si>
    <t>2023-07-07</t>
  </si>
  <si>
    <t>T10851</t>
  </si>
  <si>
    <t>T10852</t>
  </si>
  <si>
    <t>T10853</t>
  </si>
  <si>
    <t>T10854</t>
  </si>
  <si>
    <t>T10855</t>
  </si>
  <si>
    <t>T10856</t>
  </si>
  <si>
    <t>T10857</t>
  </si>
  <si>
    <t>T10858</t>
  </si>
  <si>
    <t>T10859</t>
  </si>
  <si>
    <t>2023-07-08</t>
  </si>
  <si>
    <t>T10860</t>
  </si>
  <si>
    <t>2023-07-09</t>
  </si>
  <si>
    <t>T10861</t>
  </si>
  <si>
    <t>T10862</t>
  </si>
  <si>
    <t>T10863</t>
  </si>
  <si>
    <t>T10864</t>
  </si>
  <si>
    <t>2023-07-10</t>
  </si>
  <si>
    <t>T10865</t>
  </si>
  <si>
    <t>T10866</t>
  </si>
  <si>
    <t>T10867</t>
  </si>
  <si>
    <t>T10868</t>
  </si>
  <si>
    <t>2023-07-11</t>
  </si>
  <si>
    <t>T10869</t>
  </si>
  <si>
    <t>T10870</t>
  </si>
  <si>
    <t>T10871</t>
  </si>
  <si>
    <t>2023-07-12</t>
  </si>
  <si>
    <t>T10872</t>
  </si>
  <si>
    <t>T10873</t>
  </si>
  <si>
    <t>T10874</t>
  </si>
  <si>
    <t>T10875</t>
  </si>
  <si>
    <t>2023-07-13</t>
  </si>
  <si>
    <t>T10876</t>
  </si>
  <si>
    <t>T10877</t>
  </si>
  <si>
    <t>T10878</t>
  </si>
  <si>
    <t>T10879</t>
  </si>
  <si>
    <t>T10880</t>
  </si>
  <si>
    <t>T10881</t>
  </si>
  <si>
    <t>2023-07-14</t>
  </si>
  <si>
    <t>T10882</t>
  </si>
  <si>
    <t>T10883</t>
  </si>
  <si>
    <t>T10884</t>
  </si>
  <si>
    <t>2023-07-15</t>
  </si>
  <si>
    <t>T10885</t>
  </si>
  <si>
    <t>T10886</t>
  </si>
  <si>
    <t>T10887</t>
  </si>
  <si>
    <t>T10888</t>
  </si>
  <si>
    <t>T10889</t>
  </si>
  <si>
    <t>2023-07-16</t>
  </si>
  <si>
    <t>T10890</t>
  </si>
  <si>
    <t>2023-07-17</t>
  </si>
  <si>
    <t>T10891</t>
  </si>
  <si>
    <t>T10892</t>
  </si>
  <si>
    <t>T10893</t>
  </si>
  <si>
    <t>T10894</t>
  </si>
  <si>
    <t>T10895</t>
  </si>
  <si>
    <t>2023-07-18</t>
  </si>
  <si>
    <t>T10896</t>
  </si>
  <si>
    <t>T10897</t>
  </si>
  <si>
    <t>T10898</t>
  </si>
  <si>
    <t>T10899</t>
  </si>
  <si>
    <t>2023-07-19</t>
  </si>
  <si>
    <t>T10900</t>
  </si>
  <si>
    <t>T10901</t>
  </si>
  <si>
    <t>T10902</t>
  </si>
  <si>
    <t>2023-07-20</t>
  </si>
  <si>
    <t>T10903</t>
  </si>
  <si>
    <t>T10904</t>
  </si>
  <si>
    <t>T10905</t>
  </si>
  <si>
    <t>T10906</t>
  </si>
  <si>
    <t>T10907</t>
  </si>
  <si>
    <t>T10908</t>
  </si>
  <si>
    <t>2023-07-21</t>
  </si>
  <si>
    <t>T10909</t>
  </si>
  <si>
    <t>T10910</t>
  </si>
  <si>
    <t>T10911</t>
  </si>
  <si>
    <t>T10912</t>
  </si>
  <si>
    <t>T10913</t>
  </si>
  <si>
    <t>T10914</t>
  </si>
  <si>
    <t>T10915</t>
  </si>
  <si>
    <t>2023-07-22</t>
  </si>
  <si>
    <t>T10916</t>
  </si>
  <si>
    <t>T10917</t>
  </si>
  <si>
    <t>T10918</t>
  </si>
  <si>
    <t>T10919</t>
  </si>
  <si>
    <t>2023-07-23</t>
  </si>
  <si>
    <t>T10920</t>
  </si>
  <si>
    <t>T10921</t>
  </si>
  <si>
    <t>T10922</t>
  </si>
  <si>
    <t>T10923</t>
  </si>
  <si>
    <t>2023-07-24</t>
  </si>
  <si>
    <t>T10924</t>
  </si>
  <si>
    <t>T10925</t>
  </si>
  <si>
    <t>T10926</t>
  </si>
  <si>
    <t>2023-07-25</t>
  </si>
  <si>
    <t>T10927</t>
  </si>
  <si>
    <t>T10928</t>
  </si>
  <si>
    <t>T10929</t>
  </si>
  <si>
    <t>T10930</t>
  </si>
  <si>
    <t>T10931</t>
  </si>
  <si>
    <t>2023-07-26</t>
  </si>
  <si>
    <t>T10932</t>
  </si>
  <si>
    <t>T10933</t>
  </si>
  <si>
    <t>2023-07-27</t>
  </si>
  <si>
    <t>T10934</t>
  </si>
  <si>
    <t>T10935</t>
  </si>
  <si>
    <t>T10936</t>
  </si>
  <si>
    <t>T10937</t>
  </si>
  <si>
    <t>2023-07-28</t>
  </si>
  <si>
    <t>T10938</t>
  </si>
  <si>
    <t>T10939</t>
  </si>
  <si>
    <t>T10940</t>
  </si>
  <si>
    <t>T10941</t>
  </si>
  <si>
    <t>2023-07-29</t>
  </si>
  <si>
    <t>T10942</t>
  </si>
  <si>
    <t>T10943</t>
  </si>
  <si>
    <t>T10944</t>
  </si>
  <si>
    <t>T10945</t>
  </si>
  <si>
    <t>T10946</t>
  </si>
  <si>
    <t>T10947</t>
  </si>
  <si>
    <t>T10948</t>
  </si>
  <si>
    <t>T10949</t>
  </si>
  <si>
    <t>T10950</t>
  </si>
  <si>
    <t>2023-07-30</t>
  </si>
  <si>
    <t>T10951</t>
  </si>
  <si>
    <t>T10952</t>
  </si>
  <si>
    <t>T10953</t>
  </si>
  <si>
    <t>T10954</t>
  </si>
  <si>
    <t>2023-07-31</t>
  </si>
  <si>
    <t>T10955</t>
  </si>
  <si>
    <t>T10956</t>
  </si>
  <si>
    <t>2023-08-01</t>
  </si>
  <si>
    <t>T10957</t>
  </si>
  <si>
    <t>T10958</t>
  </si>
  <si>
    <t>T10959</t>
  </si>
  <si>
    <t>T10960</t>
  </si>
  <si>
    <t>T10961</t>
  </si>
  <si>
    <t>T10962</t>
  </si>
  <si>
    <t>2023-08-02</t>
  </si>
  <si>
    <t>T10963</t>
  </si>
  <si>
    <t>T10964</t>
  </si>
  <si>
    <t>T10965</t>
  </si>
  <si>
    <t>T10966</t>
  </si>
  <si>
    <t>T10967</t>
  </si>
  <si>
    <t>2023-08-03</t>
  </si>
  <si>
    <t>T10968</t>
  </si>
  <si>
    <t>T10969</t>
  </si>
  <si>
    <t>T10970</t>
  </si>
  <si>
    <t>T10971</t>
  </si>
  <si>
    <t>2023-08-04</t>
  </si>
  <si>
    <t>T10972</t>
  </si>
  <si>
    <t>T10973</t>
  </si>
  <si>
    <t>T10974</t>
  </si>
  <si>
    <t>T10975</t>
  </si>
  <si>
    <t>T10976</t>
  </si>
  <si>
    <t>T10977</t>
  </si>
  <si>
    <t>T10978</t>
  </si>
  <si>
    <t>T10979</t>
  </si>
  <si>
    <t>2023-08-05</t>
  </si>
  <si>
    <t>T10980</t>
  </si>
  <si>
    <t>T10981</t>
  </si>
  <si>
    <t>T10982</t>
  </si>
  <si>
    <t>2023-08-06</t>
  </si>
  <si>
    <t>T10983</t>
  </si>
  <si>
    <t>T10984</t>
  </si>
  <si>
    <t>T10985</t>
  </si>
  <si>
    <t>T10986</t>
  </si>
  <si>
    <t>T10987</t>
  </si>
  <si>
    <t>T10988</t>
  </si>
  <si>
    <t>T10989</t>
  </si>
  <si>
    <t>T10990</t>
  </si>
  <si>
    <t>2023-08-07</t>
  </si>
  <si>
    <t>T10991</t>
  </si>
  <si>
    <t>T10992</t>
  </si>
  <si>
    <t>2023-08-08</t>
  </si>
  <si>
    <t>T10993</t>
  </si>
  <si>
    <t>T10994</t>
  </si>
  <si>
    <t>T10995</t>
  </si>
  <si>
    <t>T10996</t>
  </si>
  <si>
    <t>T10997</t>
  </si>
  <si>
    <t>T10998</t>
  </si>
  <si>
    <t>2023-08-09</t>
  </si>
  <si>
    <t>T10999</t>
  </si>
  <si>
    <t>T11000</t>
  </si>
  <si>
    <t>T11001</t>
  </si>
  <si>
    <t>T11002</t>
  </si>
  <si>
    <t>2023-08-10</t>
  </si>
  <si>
    <t>T11003</t>
  </si>
  <si>
    <t>T11004</t>
  </si>
  <si>
    <t>T11005</t>
  </si>
  <si>
    <t>T11006</t>
  </si>
  <si>
    <t>2023-08-11</t>
  </si>
  <si>
    <t>T11007</t>
  </si>
  <si>
    <t>T11008</t>
  </si>
  <si>
    <t>T11009</t>
  </si>
  <si>
    <t>T11010</t>
  </si>
  <si>
    <t>T11011</t>
  </si>
  <si>
    <t>T11012</t>
  </si>
  <si>
    <t>T11013</t>
  </si>
  <si>
    <t>2023-08-12</t>
  </si>
  <si>
    <t>T11014</t>
  </si>
  <si>
    <t>T11015</t>
  </si>
  <si>
    <t>T11016</t>
  </si>
  <si>
    <t>T11017</t>
  </si>
  <si>
    <t>2023-08-13</t>
  </si>
  <si>
    <t>T11018</t>
  </si>
  <si>
    <t>T11019</t>
  </si>
  <si>
    <t>2023-08-14</t>
  </si>
  <si>
    <t>T11020</t>
  </si>
  <si>
    <t>T11021</t>
  </si>
  <si>
    <t>T11022</t>
  </si>
  <si>
    <t>T11023</t>
  </si>
  <si>
    <t>T11024</t>
  </si>
  <si>
    <t>T11025</t>
  </si>
  <si>
    <t>T11026</t>
  </si>
  <si>
    <t>T11027</t>
  </si>
  <si>
    <t>2023-08-15</t>
  </si>
  <si>
    <t>T11028</t>
  </si>
  <si>
    <t>T11029</t>
  </si>
  <si>
    <t>T11030</t>
  </si>
  <si>
    <t>T11031</t>
  </si>
  <si>
    <t>T11032</t>
  </si>
  <si>
    <t>T11033</t>
  </si>
  <si>
    <t>T11034</t>
  </si>
  <si>
    <t>T11035</t>
  </si>
  <si>
    <t>T11036</t>
  </si>
  <si>
    <t>2023-08-16</t>
  </si>
  <si>
    <t>T11037</t>
  </si>
  <si>
    <t>T11038</t>
  </si>
  <si>
    <t>T11039</t>
  </si>
  <si>
    <t>T11040</t>
  </si>
  <si>
    <t>T11041</t>
  </si>
  <si>
    <t>2023-08-17</t>
  </si>
  <si>
    <t>T11042</t>
  </si>
  <si>
    <t>T11043</t>
  </si>
  <si>
    <t>T11044</t>
  </si>
  <si>
    <t>T11045</t>
  </si>
  <si>
    <t>2023-08-18</t>
  </si>
  <si>
    <t>T11046</t>
  </si>
  <si>
    <t>T11047</t>
  </si>
  <si>
    <t>T11048</t>
  </si>
  <si>
    <t>2023-08-19</t>
  </si>
  <si>
    <t>T11049</t>
  </si>
  <si>
    <t>T11050</t>
  </si>
  <si>
    <t>T11051</t>
  </si>
  <si>
    <t>T11052</t>
  </si>
  <si>
    <t>2023-08-20</t>
  </si>
  <si>
    <t>C2060</t>
  </si>
  <si>
    <t>T11053</t>
  </si>
  <si>
    <t>C2314</t>
  </si>
  <si>
    <t>T11054</t>
  </si>
  <si>
    <t>T11055</t>
  </si>
  <si>
    <t>2023-08-21</t>
  </si>
  <si>
    <t>C2342</t>
  </si>
  <si>
    <t>T11056</t>
  </si>
  <si>
    <t>C2062</t>
  </si>
  <si>
    <t>T11057</t>
  </si>
  <si>
    <t>C2071</t>
  </si>
  <si>
    <t>T11058</t>
  </si>
  <si>
    <t>C2084</t>
  </si>
  <si>
    <t>T11059</t>
  </si>
  <si>
    <t>C2178</t>
  </si>
  <si>
    <t>T11060</t>
  </si>
  <si>
    <t>C2265</t>
  </si>
  <si>
    <t>T11061</t>
  </si>
  <si>
    <t>2023-08-22</t>
  </si>
  <si>
    <t>C2086</t>
  </si>
  <si>
    <t>T11062</t>
  </si>
  <si>
    <t>C2065</t>
  </si>
  <si>
    <t>T11063</t>
  </si>
  <si>
    <t>2023-08-23</t>
  </si>
  <si>
    <t>C2061</t>
  </si>
  <si>
    <t>T11064</t>
  </si>
  <si>
    <t>C2172</t>
  </si>
  <si>
    <t>T11065</t>
  </si>
  <si>
    <t>C2140</t>
  </si>
  <si>
    <t>T11066</t>
  </si>
  <si>
    <t>T11067</t>
  </si>
  <si>
    <t>C2296</t>
  </si>
  <si>
    <t>T11068</t>
  </si>
  <si>
    <t>C2255</t>
  </si>
  <si>
    <t>T11069</t>
  </si>
  <si>
    <t>2023-08-24</t>
  </si>
  <si>
    <t>C2262</t>
  </si>
  <si>
    <t>T11070</t>
  </si>
  <si>
    <t>T11071</t>
  </si>
  <si>
    <t>C2291</t>
  </si>
  <si>
    <t>T11072</t>
  </si>
  <si>
    <t>2023-08-25</t>
  </si>
  <si>
    <t>C2189</t>
  </si>
  <si>
    <t>T11073</t>
  </si>
  <si>
    <t>C2131</t>
  </si>
  <si>
    <t>T11074</t>
  </si>
  <si>
    <t>C2294</t>
  </si>
  <si>
    <t>T11075</t>
  </si>
  <si>
    <t>C2117</t>
  </si>
  <si>
    <t>T11076</t>
  </si>
  <si>
    <t>2023-08-26</t>
  </si>
  <si>
    <t>T11077</t>
  </si>
  <si>
    <t>T11078</t>
  </si>
  <si>
    <t>T11079</t>
  </si>
  <si>
    <t>2023-08-27</t>
  </si>
  <si>
    <t>C2187</t>
  </si>
  <si>
    <t>T11080</t>
  </si>
  <si>
    <t>C2077</t>
  </si>
  <si>
    <t>T11081</t>
  </si>
  <si>
    <t>T11082</t>
  </si>
  <si>
    <t>2023-08-28</t>
  </si>
  <si>
    <t>C2336</t>
  </si>
  <si>
    <t>T11083</t>
  </si>
  <si>
    <t>C2115</t>
  </si>
  <si>
    <t>T11084</t>
  </si>
  <si>
    <t>2023-08-29</t>
  </si>
  <si>
    <t>C2128</t>
  </si>
  <si>
    <t>T11085</t>
  </si>
  <si>
    <t>C2164</t>
  </si>
  <si>
    <t>T11086</t>
  </si>
  <si>
    <t>2023-08-30</t>
  </si>
  <si>
    <t>T11087</t>
  </si>
  <si>
    <t>C2191</t>
  </si>
  <si>
    <t>T11088</t>
  </si>
  <si>
    <t>C2258</t>
  </si>
  <si>
    <t>T11089</t>
  </si>
  <si>
    <t>C2092</t>
  </si>
  <si>
    <t>T11090</t>
  </si>
  <si>
    <t>T11091</t>
  </si>
  <si>
    <t>C2206</t>
  </si>
  <si>
    <t>T11092</t>
  </si>
  <si>
    <t>C2239</t>
  </si>
  <si>
    <t>T11093</t>
  </si>
  <si>
    <t>2023-08-31</t>
  </si>
  <si>
    <t>C2160</t>
  </si>
  <si>
    <t>T11094</t>
  </si>
  <si>
    <t>T11095</t>
  </si>
  <si>
    <t>C2234</t>
  </si>
  <si>
    <t>T11096</t>
  </si>
  <si>
    <t>2023-09-01</t>
  </si>
  <si>
    <t>T11097</t>
  </si>
  <si>
    <t>C2150</t>
  </si>
  <si>
    <t>T11098</t>
  </si>
  <si>
    <t>C2156</t>
  </si>
  <si>
    <t>T11099</t>
  </si>
  <si>
    <t>2023-09-02</t>
  </si>
  <si>
    <t>C2125</t>
  </si>
  <si>
    <t>T11100</t>
  </si>
  <si>
    <t>T11101</t>
  </si>
  <si>
    <t>C2253</t>
  </si>
  <si>
    <t>T11102</t>
  </si>
  <si>
    <t>C2280</t>
  </si>
  <si>
    <t>T11103</t>
  </si>
  <si>
    <t>2023-09-03</t>
  </si>
  <si>
    <t>C2078</t>
  </si>
  <si>
    <t>T11104</t>
  </si>
  <si>
    <t>C2210</t>
  </si>
  <si>
    <t>T11105</t>
  </si>
  <si>
    <t>C2120</t>
  </si>
  <si>
    <t>T11106</t>
  </si>
  <si>
    <t>2023-09-04</t>
  </si>
  <si>
    <t>T11107</t>
  </si>
  <si>
    <t>T11108</t>
  </si>
  <si>
    <t>C2337</t>
  </si>
  <si>
    <t>T11109</t>
  </si>
  <si>
    <t>2023-09-05</t>
  </si>
  <si>
    <t>C2158</t>
  </si>
  <si>
    <t>T11110</t>
  </si>
  <si>
    <t>C2106</t>
  </si>
  <si>
    <t>T11111</t>
  </si>
  <si>
    <t>C2122</t>
  </si>
  <si>
    <t>T11112</t>
  </si>
  <si>
    <t>C2252</t>
  </si>
  <si>
    <t>T11113</t>
  </si>
  <si>
    <t>C2073</t>
  </si>
  <si>
    <t>T11114</t>
  </si>
  <si>
    <t>T11115</t>
  </si>
  <si>
    <t>2023-09-07</t>
  </si>
  <si>
    <t>C2119</t>
  </si>
  <si>
    <t>T11116</t>
  </si>
  <si>
    <t>C2212</t>
  </si>
  <si>
    <t>T11117</t>
  </si>
  <si>
    <t>C2235</t>
  </si>
  <si>
    <t>T11118</t>
  </si>
  <si>
    <t>C2298</t>
  </si>
  <si>
    <t>T11119</t>
  </si>
  <si>
    <t>2023-09-08</t>
  </si>
  <si>
    <t>C2259</t>
  </si>
  <si>
    <t>T11120</t>
  </si>
  <si>
    <t>C2327</t>
  </si>
  <si>
    <t>T11121</t>
  </si>
  <si>
    <t>T11122</t>
  </si>
  <si>
    <t>T11123</t>
  </si>
  <si>
    <t>C2223</t>
  </si>
  <si>
    <t>T11124</t>
  </si>
  <si>
    <t>T11125</t>
  </si>
  <si>
    <t>2023-09-09</t>
  </si>
  <si>
    <t>C2134</t>
  </si>
  <si>
    <t>T11126</t>
  </si>
  <si>
    <t>C2202</t>
  </si>
  <si>
    <t>T11127</t>
  </si>
  <si>
    <t>2023-09-10</t>
  </si>
  <si>
    <t>C2163</t>
  </si>
  <si>
    <t>T11128</t>
  </si>
  <si>
    <t>T11129</t>
  </si>
  <si>
    <t>2023-09-11</t>
  </si>
  <si>
    <t>T11130</t>
  </si>
  <si>
    <t>C2070</t>
  </si>
  <si>
    <t>T11131</t>
  </si>
  <si>
    <t>C2056</t>
  </si>
  <si>
    <t>T11132</t>
  </si>
  <si>
    <t>C2055</t>
  </si>
  <si>
    <t>T11133</t>
  </si>
  <si>
    <t>C2231</t>
  </si>
  <si>
    <t>T11134</t>
  </si>
  <si>
    <t>C2161</t>
  </si>
  <si>
    <t>T11135</t>
  </si>
  <si>
    <t>T11136</t>
  </si>
  <si>
    <t>2023-09-12</t>
  </si>
  <si>
    <t>C2184</t>
  </si>
  <si>
    <t>T11137</t>
  </si>
  <si>
    <t>C2232</t>
  </si>
  <si>
    <t>T11138</t>
  </si>
  <si>
    <t>2023-09-13</t>
  </si>
  <si>
    <t>C2238</t>
  </si>
  <si>
    <t>T11139</t>
  </si>
  <si>
    <t>T11140</t>
  </si>
  <si>
    <t>C2081</t>
  </si>
  <si>
    <t>T11141</t>
  </si>
  <si>
    <t>2023-09-14</t>
  </si>
  <si>
    <t>C2309</t>
  </si>
  <si>
    <t>T11142</t>
  </si>
  <si>
    <t>C2111</t>
  </si>
  <si>
    <t>T11143</t>
  </si>
  <si>
    <t>C2076</t>
  </si>
  <si>
    <t>T11144</t>
  </si>
  <si>
    <t>2023-09-15</t>
  </si>
  <si>
    <t>T11145</t>
  </si>
  <si>
    <t>C2203</t>
  </si>
  <si>
    <t>T11146</t>
  </si>
  <si>
    <t>T11147</t>
  </si>
  <si>
    <t>2023-09-16</t>
  </si>
  <si>
    <t>T11148</t>
  </si>
  <si>
    <t>T11149</t>
  </si>
  <si>
    <t>T11150</t>
  </si>
  <si>
    <t>2023-09-17</t>
  </si>
  <si>
    <t>C2282</t>
  </si>
  <si>
    <t>T11151</t>
  </si>
  <si>
    <t>T11152</t>
  </si>
  <si>
    <t>C2053</t>
  </si>
  <si>
    <t>T11153</t>
  </si>
  <si>
    <t>C2063</t>
  </si>
  <si>
    <t>T11154</t>
  </si>
  <si>
    <t>T11155</t>
  </si>
  <si>
    <t>C2067</t>
  </si>
  <si>
    <t>T11156</t>
  </si>
  <si>
    <t>T11157</t>
  </si>
  <si>
    <t>C2323</t>
  </si>
  <si>
    <t>T11158</t>
  </si>
  <si>
    <t>2023-09-18</t>
  </si>
  <si>
    <t>C2299</t>
  </si>
  <si>
    <t>T11159</t>
  </si>
  <si>
    <t>C2133</t>
  </si>
  <si>
    <t>T11160</t>
  </si>
  <si>
    <t>T11161</t>
  </si>
  <si>
    <t>C2102</t>
  </si>
  <si>
    <t>T11162</t>
  </si>
  <si>
    <t>C2066</t>
  </si>
  <si>
    <t>T11163</t>
  </si>
  <si>
    <t>C2170</t>
  </si>
  <si>
    <t>T11164</t>
  </si>
  <si>
    <t>T11165</t>
  </si>
  <si>
    <t>2023-09-19</t>
  </si>
  <si>
    <t>T11166</t>
  </si>
  <si>
    <t>T11167</t>
  </si>
  <si>
    <t>T11168</t>
  </si>
  <si>
    <t>T11169</t>
  </si>
  <si>
    <t>C2350</t>
  </si>
  <si>
    <t>T11170</t>
  </si>
  <si>
    <t>C2089</t>
  </si>
  <si>
    <t>T11171</t>
  </si>
  <si>
    <t>C2110</t>
  </si>
  <si>
    <t>T11172</t>
  </si>
  <si>
    <t>2023-09-20</t>
  </si>
  <si>
    <t>C2141</t>
  </si>
  <si>
    <t>T11173</t>
  </si>
  <si>
    <t>C2229</t>
  </si>
  <si>
    <t>T11174</t>
  </si>
  <si>
    <t>T11175</t>
  </si>
  <si>
    <t>C2318</t>
  </si>
  <si>
    <t>T11176</t>
  </si>
  <si>
    <t>2023-09-21</t>
  </si>
  <si>
    <t>C2126</t>
  </si>
  <si>
    <t>T11177</t>
  </si>
  <si>
    <t>C2256</t>
  </si>
  <si>
    <t>T11178</t>
  </si>
  <si>
    <t>T11179</t>
  </si>
  <si>
    <t>T11180</t>
  </si>
  <si>
    <t>C2144</t>
  </si>
  <si>
    <t>T11181</t>
  </si>
  <si>
    <t>2023-09-22</t>
  </si>
  <si>
    <t>T11182</t>
  </si>
  <si>
    <t>C2103</t>
  </si>
  <si>
    <t>T11183</t>
  </si>
  <si>
    <t>T11184</t>
  </si>
  <si>
    <t>T11185</t>
  </si>
  <si>
    <t>2023-09-23</t>
  </si>
  <si>
    <t>T11186</t>
  </si>
  <si>
    <t>C2279</t>
  </si>
  <si>
    <t>T11187</t>
  </si>
  <si>
    <t>C2177</t>
  </si>
  <si>
    <t>T11188</t>
  </si>
  <si>
    <t>T11189</t>
  </si>
  <si>
    <t>C2199</t>
  </si>
  <si>
    <t>T11190</t>
  </si>
  <si>
    <t>2023-09-24</t>
  </si>
  <si>
    <t>C2093</t>
  </si>
  <si>
    <t>T11191</t>
  </si>
  <si>
    <t>T11192</t>
  </si>
  <si>
    <t>C2113</t>
  </si>
  <si>
    <t>T11193</t>
  </si>
  <si>
    <t>T11194</t>
  </si>
  <si>
    <t>2023-09-25</t>
  </si>
  <si>
    <t>C2242</t>
  </si>
  <si>
    <t>T11195</t>
  </si>
  <si>
    <t>T11196</t>
  </si>
  <si>
    <t>T11197</t>
  </si>
  <si>
    <t>C2052</t>
  </si>
  <si>
    <t>T11198</t>
  </si>
  <si>
    <t>T11199</t>
  </si>
  <si>
    <t>C2137</t>
  </si>
  <si>
    <t>T11200</t>
  </si>
  <si>
    <t>T11201</t>
  </si>
  <si>
    <t>C2295</t>
  </si>
  <si>
    <t>T11202</t>
  </si>
  <si>
    <t>2023-09-26</t>
  </si>
  <si>
    <t>C2182</t>
  </si>
  <si>
    <t>T11203</t>
  </si>
  <si>
    <t>2023-09-27</t>
  </si>
  <si>
    <t>C2091</t>
  </si>
  <si>
    <t>T11204</t>
  </si>
  <si>
    <t>C2304</t>
  </si>
  <si>
    <t>T11205</t>
  </si>
  <si>
    <t>T11206</t>
  </si>
  <si>
    <t>T11207</t>
  </si>
  <si>
    <t>T11208</t>
  </si>
  <si>
    <t>2023-09-28</t>
  </si>
  <si>
    <t>T11209</t>
  </si>
  <si>
    <t>C2097</t>
  </si>
  <si>
    <t>T11210</t>
  </si>
  <si>
    <t>C2278</t>
  </si>
  <si>
    <t>T11211</t>
  </si>
  <si>
    <t>C2090</t>
  </si>
  <si>
    <t>T11212</t>
  </si>
  <si>
    <t>2023-09-29</t>
  </si>
  <si>
    <t>T11213</t>
  </si>
  <si>
    <t>T11214</t>
  </si>
  <si>
    <t>T11215</t>
  </si>
  <si>
    <t>T11216</t>
  </si>
  <si>
    <t>2023-09-30</t>
  </si>
  <si>
    <t>C2245</t>
  </si>
  <si>
    <t>T11217</t>
  </si>
  <si>
    <t>T11218</t>
  </si>
  <si>
    <t>C2104</t>
  </si>
  <si>
    <t>T11219</t>
  </si>
  <si>
    <t>C2175</t>
  </si>
  <si>
    <t>T11220</t>
  </si>
  <si>
    <t>C2166</t>
  </si>
  <si>
    <t>T11221</t>
  </si>
  <si>
    <t>T11222</t>
  </si>
  <si>
    <t>C2301</t>
  </si>
  <si>
    <t>T11223</t>
  </si>
  <si>
    <t>2023-10-01</t>
  </si>
  <si>
    <t>C2057</t>
  </si>
  <si>
    <t>T11224</t>
  </si>
  <si>
    <t>T11225</t>
  </si>
  <si>
    <t>C2192</t>
  </si>
  <si>
    <t>T11226</t>
  </si>
  <si>
    <t>T11227</t>
  </si>
  <si>
    <t>C2173</t>
  </si>
  <si>
    <t>T11228</t>
  </si>
  <si>
    <t>2023-10-02</t>
  </si>
  <si>
    <t>T11229</t>
  </si>
  <si>
    <t>T11230</t>
  </si>
  <si>
    <t>2023-10-03</t>
  </si>
  <si>
    <t>C2328</t>
  </si>
  <si>
    <t>T11231</t>
  </si>
  <si>
    <t>C2333</t>
  </si>
  <si>
    <t>T11232</t>
  </si>
  <si>
    <t>T11233</t>
  </si>
  <si>
    <t>2023-10-04</t>
  </si>
  <si>
    <t>C2315</t>
  </si>
  <si>
    <t>T11234</t>
  </si>
  <si>
    <t>T11235</t>
  </si>
  <si>
    <t>T11236</t>
  </si>
  <si>
    <t>T11237</t>
  </si>
  <si>
    <t>T11238</t>
  </si>
  <si>
    <t>T11239</t>
  </si>
  <si>
    <t>C2201</t>
  </si>
  <si>
    <t>T11240</t>
  </si>
  <si>
    <t>2023-10-05</t>
  </si>
  <si>
    <t>T11241</t>
  </si>
  <si>
    <t>T11242</t>
  </si>
  <si>
    <t>T11243</t>
  </si>
  <si>
    <t>T11244</t>
  </si>
  <si>
    <t>C2054</t>
  </si>
  <si>
    <t>T11245</t>
  </si>
  <si>
    <t>T11246</t>
  </si>
  <si>
    <t>2023-10-06</t>
  </si>
  <si>
    <t>T11247</t>
  </si>
  <si>
    <t>T11248</t>
  </si>
  <si>
    <t>T11249</t>
  </si>
  <si>
    <t>C2344</t>
  </si>
  <si>
    <t>T11250</t>
  </si>
  <si>
    <t>T11251</t>
  </si>
  <si>
    <t>2023-10-07</t>
  </si>
  <si>
    <t>C2136</t>
  </si>
  <si>
    <t>T11252</t>
  </si>
  <si>
    <t>T11253</t>
  </si>
  <si>
    <t>C2180</t>
  </si>
  <si>
    <t>T11254</t>
  </si>
  <si>
    <t>T11255</t>
  </si>
  <si>
    <t>2023-10-08</t>
  </si>
  <si>
    <t>T11256</t>
  </si>
  <si>
    <t>C2225</t>
  </si>
  <si>
    <t>T11257</t>
  </si>
  <si>
    <t>T11258</t>
  </si>
  <si>
    <t>T11259</t>
  </si>
  <si>
    <t>2023-10-09</t>
  </si>
  <si>
    <t>T11260</t>
  </si>
  <si>
    <t>C2193</t>
  </si>
  <si>
    <t>T11261</t>
  </si>
  <si>
    <t>2023-10-10</t>
  </si>
  <si>
    <t>C2246</t>
  </si>
  <si>
    <t>T11262</t>
  </si>
  <si>
    <t>C2334</t>
  </si>
  <si>
    <t>T11263</t>
  </si>
  <si>
    <t>T11264</t>
  </si>
  <si>
    <t>T11265</t>
  </si>
  <si>
    <t>C2151</t>
  </si>
  <si>
    <t>T11266</t>
  </si>
  <si>
    <t>T11267</t>
  </si>
  <si>
    <t>T11268</t>
  </si>
  <si>
    <t>C2176</t>
  </si>
  <si>
    <t>T11269</t>
  </si>
  <si>
    <t>2023-10-11</t>
  </si>
  <si>
    <t>T11270</t>
  </si>
  <si>
    <t>T11271</t>
  </si>
  <si>
    <t>T11272</t>
  </si>
  <si>
    <t>C2305</t>
  </si>
  <si>
    <t>T11273</t>
  </si>
  <si>
    <t>C2248</t>
  </si>
  <si>
    <t>T11274</t>
  </si>
  <si>
    <t>2023-10-12</t>
  </si>
  <si>
    <t>C2221</t>
  </si>
  <si>
    <t>T11275</t>
  </si>
  <si>
    <t>C2311</t>
  </si>
  <si>
    <t>T11276</t>
  </si>
  <si>
    <t>T11277</t>
  </si>
  <si>
    <t>T11278</t>
  </si>
  <si>
    <t>T11279</t>
  </si>
  <si>
    <t>2023-10-13</t>
  </si>
  <si>
    <t>T11280</t>
  </si>
  <si>
    <t>C2277</t>
  </si>
  <si>
    <t>T11281</t>
  </si>
  <si>
    <t>C2339</t>
  </si>
  <si>
    <t>T11282</t>
  </si>
  <si>
    <t>C2153</t>
  </si>
  <si>
    <t>T11283</t>
  </si>
  <si>
    <t>2023-10-14</t>
  </si>
  <si>
    <t>T11284</t>
  </si>
  <si>
    <t>T11285</t>
  </si>
  <si>
    <t>T11286</t>
  </si>
  <si>
    <t>C2079</t>
  </si>
  <si>
    <t>T11287</t>
  </si>
  <si>
    <t>C2185</t>
  </si>
  <si>
    <t>T11288</t>
  </si>
  <si>
    <t>C2219</t>
  </si>
  <si>
    <t>T11289</t>
  </si>
  <si>
    <t>2023-10-15</t>
  </si>
  <si>
    <t>T11290</t>
  </si>
  <si>
    <t>T11291</t>
  </si>
  <si>
    <t>T11292</t>
  </si>
  <si>
    <t>T11293</t>
  </si>
  <si>
    <t>T11294</t>
  </si>
  <si>
    <t>T11295</t>
  </si>
  <si>
    <t>T11296</t>
  </si>
  <si>
    <t>2023-10-16</t>
  </si>
  <si>
    <t>C2204</t>
  </si>
  <si>
    <t>T11297</t>
  </si>
  <si>
    <t>C2251</t>
  </si>
  <si>
    <t>T11298</t>
  </si>
  <si>
    <t>T11299</t>
  </si>
  <si>
    <t>T11300</t>
  </si>
  <si>
    <t>C2190</t>
  </si>
  <si>
    <t>T11301</t>
  </si>
  <si>
    <t>T11302</t>
  </si>
  <si>
    <t>2023-10-17</t>
  </si>
  <si>
    <t>T11303</t>
  </si>
  <si>
    <t>C2135</t>
  </si>
  <si>
    <t>T11304</t>
  </si>
  <si>
    <t>T11305</t>
  </si>
  <si>
    <t>C2116</t>
  </si>
  <si>
    <t>T11306</t>
  </si>
  <si>
    <t>C2289</t>
  </si>
  <si>
    <t>T11307</t>
  </si>
  <si>
    <t>2023-10-18</t>
  </si>
  <si>
    <t>T11308</t>
  </si>
  <si>
    <t>T11309</t>
  </si>
  <si>
    <t>T11310</t>
  </si>
  <si>
    <t>2023-10-19</t>
  </si>
  <si>
    <t>C2302</t>
  </si>
  <si>
    <t>T11311</t>
  </si>
  <si>
    <t>C2284</t>
  </si>
  <si>
    <t>T11312</t>
  </si>
  <si>
    <t>T11313</t>
  </si>
  <si>
    <t>2023-10-20</t>
  </si>
  <si>
    <t>C2215</t>
  </si>
  <si>
    <t>T11314</t>
  </si>
  <si>
    <t>C2244</t>
  </si>
  <si>
    <t>T11315</t>
  </si>
  <si>
    <t>C2121</t>
  </si>
  <si>
    <t>T11316</t>
  </si>
  <si>
    <t>C2154</t>
  </si>
  <si>
    <t>T11317</t>
  </si>
  <si>
    <t>T11318</t>
  </si>
  <si>
    <t>T11319</t>
  </si>
  <si>
    <t>2023-10-21</t>
  </si>
  <si>
    <t>T11320</t>
  </si>
  <si>
    <t>C2347</t>
  </si>
  <si>
    <t>T11321</t>
  </si>
  <si>
    <t>T11322</t>
  </si>
  <si>
    <t>C2230</t>
  </si>
  <si>
    <t>T11323</t>
  </si>
  <si>
    <t>T11324</t>
  </si>
  <si>
    <t>2023-10-22</t>
  </si>
  <si>
    <t>C2099</t>
  </si>
  <si>
    <t>T11325</t>
  </si>
  <si>
    <t>T11326</t>
  </si>
  <si>
    <t>T11327</t>
  </si>
  <si>
    <t>T11328</t>
  </si>
  <si>
    <t>T11329</t>
  </si>
  <si>
    <t>2023-10-23</t>
  </si>
  <si>
    <t>T11330</t>
  </si>
  <si>
    <t>T11331</t>
  </si>
  <si>
    <t>C2285</t>
  </si>
  <si>
    <t>T11332</t>
  </si>
  <si>
    <t>C2283</t>
  </si>
  <si>
    <t>T11333</t>
  </si>
  <si>
    <t>C2142</t>
  </si>
  <si>
    <t>T11334</t>
  </si>
  <si>
    <t>2023-10-24</t>
  </si>
  <si>
    <t>T11335</t>
  </si>
  <si>
    <t>C2320</t>
  </si>
  <si>
    <t>T11336</t>
  </si>
  <si>
    <t>2023-10-25</t>
  </si>
  <si>
    <t>C2268</t>
  </si>
  <si>
    <t>T11337</t>
  </si>
  <si>
    <t>C2058</t>
  </si>
  <si>
    <t>T11338</t>
  </si>
  <si>
    <t>2023-10-26</t>
  </si>
  <si>
    <t>T11339</t>
  </si>
  <si>
    <t>2023-10-27</t>
  </si>
  <si>
    <t>T11340</t>
  </si>
  <si>
    <t>T11341</t>
  </si>
  <si>
    <t>2023-10-28</t>
  </si>
  <si>
    <t>T11342</t>
  </si>
  <si>
    <t>T11343</t>
  </si>
  <si>
    <t>C2275</t>
  </si>
  <si>
    <t>T11344</t>
  </si>
  <si>
    <t>C2211</t>
  </si>
  <si>
    <t>T11345</t>
  </si>
  <si>
    <t>C2197</t>
  </si>
  <si>
    <t>T11346</t>
  </si>
  <si>
    <t>C2293</t>
  </si>
  <si>
    <t>T11347</t>
  </si>
  <si>
    <t>C2243</t>
  </si>
  <si>
    <t>T11348</t>
  </si>
  <si>
    <t>T11349</t>
  </si>
  <si>
    <t>2023-10-29</t>
  </si>
  <si>
    <t>C2207</t>
  </si>
  <si>
    <t>T11350</t>
  </si>
  <si>
    <t>C2317</t>
  </si>
  <si>
    <t>T11351</t>
  </si>
  <si>
    <t>C2349</t>
  </si>
  <si>
    <t>T11352</t>
  </si>
  <si>
    <t>T11353</t>
  </si>
  <si>
    <t>T11354</t>
  </si>
  <si>
    <t>T11355</t>
  </si>
  <si>
    <t>C2138</t>
  </si>
  <si>
    <t>T11356</t>
  </si>
  <si>
    <t>T11357</t>
  </si>
  <si>
    <t>T11358</t>
  </si>
  <si>
    <t>2023-10-30</t>
  </si>
  <si>
    <t>T11359</t>
  </si>
  <si>
    <t>C2051</t>
  </si>
  <si>
    <t>T11360</t>
  </si>
  <si>
    <t>C2069</t>
  </si>
  <si>
    <t>T11361</t>
  </si>
  <si>
    <t>C2227</t>
  </si>
  <si>
    <t>T11362</t>
  </si>
  <si>
    <t>T11363</t>
  </si>
  <si>
    <t>C2310</t>
  </si>
  <si>
    <t>T11364</t>
  </si>
  <si>
    <t>T11365</t>
  </si>
  <si>
    <t>C2109</t>
  </si>
  <si>
    <t>T11366</t>
  </si>
  <si>
    <t>2023-10-31</t>
  </si>
  <si>
    <t>C2249</t>
  </si>
  <si>
    <t>T11367</t>
  </si>
  <si>
    <t>T11368</t>
  </si>
  <si>
    <t>C2264</t>
  </si>
  <si>
    <t>T11369</t>
  </si>
  <si>
    <t>T11370</t>
  </si>
  <si>
    <t>C2260</t>
  </si>
  <si>
    <t>T11371</t>
  </si>
  <si>
    <t>2023-11-01</t>
  </si>
  <si>
    <t>T11372</t>
  </si>
  <si>
    <t>C2292</t>
  </si>
  <si>
    <t>T11373</t>
  </si>
  <si>
    <t>T11374</t>
  </si>
  <si>
    <t>T11375</t>
  </si>
  <si>
    <t>T11376</t>
  </si>
  <si>
    <t>T11377</t>
  </si>
  <si>
    <t>2023-11-02</t>
  </si>
  <si>
    <t>T11378</t>
  </si>
  <si>
    <t>T11379</t>
  </si>
  <si>
    <t>T11380</t>
  </si>
  <si>
    <t>2023-11-03</t>
  </si>
  <si>
    <t>T11381</t>
  </si>
  <si>
    <t>T11382</t>
  </si>
  <si>
    <t>C2124</t>
  </si>
  <si>
    <t>T11383</t>
  </si>
  <si>
    <t>T11384</t>
  </si>
  <si>
    <t>T11385</t>
  </si>
  <si>
    <t>T11386</t>
  </si>
  <si>
    <t>2023-11-04</t>
  </si>
  <si>
    <t>T11387</t>
  </si>
  <si>
    <t>T11388</t>
  </si>
  <si>
    <t>T11389</t>
  </si>
  <si>
    <t>C2146</t>
  </si>
  <si>
    <t>T11390</t>
  </si>
  <si>
    <t>2023-11-05</t>
  </si>
  <si>
    <t>C2198</t>
  </si>
  <si>
    <t>T11391</t>
  </si>
  <si>
    <t>T11392</t>
  </si>
  <si>
    <t>T11393</t>
  </si>
  <si>
    <t>C2332</t>
  </si>
  <si>
    <t>T11394</t>
  </si>
  <si>
    <t>T11395</t>
  </si>
  <si>
    <t>2023-11-06</t>
  </si>
  <si>
    <t>T11396</t>
  </si>
  <si>
    <t>C2263</t>
  </si>
  <si>
    <t>T11397</t>
  </si>
  <si>
    <t>T11398</t>
  </si>
  <si>
    <t>T11399</t>
  </si>
  <si>
    <t>2023-11-07</t>
  </si>
  <si>
    <t>T11400</t>
  </si>
  <si>
    <t>C2308</t>
  </si>
  <si>
    <t>T11401</t>
  </si>
  <si>
    <t>T11402</t>
  </si>
  <si>
    <t>C2312</t>
  </si>
  <si>
    <t>T11403</t>
  </si>
  <si>
    <t>C2330</t>
  </si>
  <si>
    <t>T11404</t>
  </si>
  <si>
    <t>C2217</t>
  </si>
  <si>
    <t>T11405</t>
  </si>
  <si>
    <t>C2179</t>
  </si>
  <si>
    <t>T11406</t>
  </si>
  <si>
    <t>2023-11-08</t>
  </si>
  <si>
    <t>C2130</t>
  </si>
  <si>
    <t>T11407</t>
  </si>
  <si>
    <t>T11408</t>
  </si>
  <si>
    <t>T11409</t>
  </si>
  <si>
    <t>2023-11-09</t>
  </si>
  <si>
    <t>T11410</t>
  </si>
  <si>
    <t>C2300</t>
  </si>
  <si>
    <t>T11411</t>
  </si>
  <si>
    <t>T11412</t>
  </si>
  <si>
    <t>C2340</t>
  </si>
  <si>
    <t>T11413</t>
  </si>
  <si>
    <t>C2288</t>
  </si>
  <si>
    <t>T11414</t>
  </si>
  <si>
    <t>T11415</t>
  </si>
  <si>
    <t>T11416</t>
  </si>
  <si>
    <t>C2247</t>
  </si>
  <si>
    <t>T11417</t>
  </si>
  <si>
    <t>T11418</t>
  </si>
  <si>
    <t>T11419</t>
  </si>
  <si>
    <t>T11420</t>
  </si>
  <si>
    <t>T11421</t>
  </si>
  <si>
    <t>2023-11-10</t>
  </si>
  <si>
    <t>T11422</t>
  </si>
  <si>
    <t>T11423</t>
  </si>
  <si>
    <t>T11424</t>
  </si>
  <si>
    <t>T11425</t>
  </si>
  <si>
    <t>T11426</t>
  </si>
  <si>
    <t>T11427</t>
  </si>
  <si>
    <t>2023-11-11</t>
  </si>
  <si>
    <t>C2152</t>
  </si>
  <si>
    <t>T11428</t>
  </si>
  <si>
    <t>T11429</t>
  </si>
  <si>
    <t>T11430</t>
  </si>
  <si>
    <t>T11431</t>
  </si>
  <si>
    <t>2023-11-12</t>
  </si>
  <si>
    <t>C2098</t>
  </si>
  <si>
    <t>T11432</t>
  </si>
  <si>
    <t>C2114</t>
  </si>
  <si>
    <t>T11433</t>
  </si>
  <si>
    <t>T11434</t>
  </si>
  <si>
    <t>T11435</t>
  </si>
  <si>
    <t>2023-11-13</t>
  </si>
  <si>
    <t>T11436</t>
  </si>
  <si>
    <t>C2088</t>
  </si>
  <si>
    <t>T11437</t>
  </si>
  <si>
    <t>T11438</t>
  </si>
  <si>
    <t>T11439</t>
  </si>
  <si>
    <t>2023-11-14</t>
  </si>
  <si>
    <t>T11440</t>
  </si>
  <si>
    <t>C2287</t>
  </si>
  <si>
    <t>T11441</t>
  </si>
  <si>
    <t>T11442</t>
  </si>
  <si>
    <t>T11443</t>
  </si>
  <si>
    <t>T11444</t>
  </si>
  <si>
    <t>T11445</t>
  </si>
  <si>
    <t>C2216</t>
  </si>
  <si>
    <t>T11446</t>
  </si>
  <si>
    <t>T11447</t>
  </si>
  <si>
    <t>T11448</t>
  </si>
  <si>
    <t>T11449</t>
  </si>
  <si>
    <t>C2241</t>
  </si>
  <si>
    <t>T11450</t>
  </si>
  <si>
    <t>C2325</t>
  </si>
  <si>
    <t>T11451</t>
  </si>
  <si>
    <t>T11452</t>
  </si>
  <si>
    <t>T11453</t>
  </si>
  <si>
    <t>2023-11-15</t>
  </si>
  <si>
    <t>C2100</t>
  </si>
  <si>
    <t>T11454</t>
  </si>
  <si>
    <t>T11455</t>
  </si>
  <si>
    <t>C2272</t>
  </si>
  <si>
    <t>T11456</t>
  </si>
  <si>
    <t>2023-11-16</t>
  </si>
  <si>
    <t>T11457</t>
  </si>
  <si>
    <t>T11458</t>
  </si>
  <si>
    <t>T11459</t>
  </si>
  <si>
    <t>T11460</t>
  </si>
  <si>
    <t>T11461</t>
  </si>
  <si>
    <t>C2162</t>
  </si>
  <si>
    <t>T11462</t>
  </si>
  <si>
    <t>2023-11-17</t>
  </si>
  <si>
    <t>T11463</t>
  </si>
  <si>
    <t>C2171</t>
  </si>
  <si>
    <t>T11464</t>
  </si>
  <si>
    <t>2023-11-18</t>
  </si>
  <si>
    <t>T11465</t>
  </si>
  <si>
    <t>T11466</t>
  </si>
  <si>
    <t>T11467</t>
  </si>
  <si>
    <t>C2087</t>
  </si>
  <si>
    <t>T11468</t>
  </si>
  <si>
    <t>2023-11-19</t>
  </si>
  <si>
    <t>C2082</t>
  </si>
  <si>
    <t>T11469</t>
  </si>
  <si>
    <t>T11470</t>
  </si>
  <si>
    <t>T11471</t>
  </si>
  <si>
    <t>T11472</t>
  </si>
  <si>
    <t>2023-11-20</t>
  </si>
  <si>
    <t>T11473</t>
  </si>
  <si>
    <t>T11474</t>
  </si>
  <si>
    <t>T11475</t>
  </si>
  <si>
    <t>C2274</t>
  </si>
  <si>
    <t>T11476</t>
  </si>
  <si>
    <t>T11477</t>
  </si>
  <si>
    <t>C2165</t>
  </si>
  <si>
    <t>T11478</t>
  </si>
  <si>
    <t>T11479</t>
  </si>
  <si>
    <t>T11480</t>
  </si>
  <si>
    <t>C2321</t>
  </si>
  <si>
    <t>T11481</t>
  </si>
  <si>
    <t>T11482</t>
  </si>
  <si>
    <t>T11483</t>
  </si>
  <si>
    <t>2023-11-21</t>
  </si>
  <si>
    <t>T11484</t>
  </si>
  <si>
    <t>T11485</t>
  </si>
  <si>
    <t>C2157</t>
  </si>
  <si>
    <t>T11486</t>
  </si>
  <si>
    <t>T11487</t>
  </si>
  <si>
    <t>T11488</t>
  </si>
  <si>
    <t>T11489</t>
  </si>
  <si>
    <t>2023-11-22</t>
  </si>
  <si>
    <t>C2306</t>
  </si>
  <si>
    <t>T11490</t>
  </si>
  <si>
    <t>T11491</t>
  </si>
  <si>
    <t>T11492</t>
  </si>
  <si>
    <t>T11493</t>
  </si>
  <si>
    <t>T11494</t>
  </si>
  <si>
    <t>2023-11-23</t>
  </si>
  <si>
    <t>T11495</t>
  </si>
  <si>
    <t>T11496</t>
  </si>
  <si>
    <t>C2068</t>
  </si>
  <si>
    <t>T11497</t>
  </si>
  <si>
    <t>T11498</t>
  </si>
  <si>
    <t>T11499</t>
  </si>
  <si>
    <t>C2064</t>
  </si>
  <si>
    <t>T11500</t>
  </si>
  <si>
    <t>2023-11-24</t>
  </si>
  <si>
    <t>T11501</t>
  </si>
  <si>
    <t>T11502</t>
  </si>
  <si>
    <t>T11503</t>
  </si>
  <si>
    <t>T11504</t>
  </si>
  <si>
    <t>T11505</t>
  </si>
  <si>
    <t>2023-11-25</t>
  </si>
  <si>
    <t>C2335</t>
  </si>
  <si>
    <t>T11506</t>
  </si>
  <si>
    <t>T11507</t>
  </si>
  <si>
    <t>C2214</t>
  </si>
  <si>
    <t>T11508</t>
  </si>
  <si>
    <t>C2195</t>
  </si>
  <si>
    <t>T11509</t>
  </si>
  <si>
    <t>C2281</t>
  </si>
  <si>
    <t>T11510</t>
  </si>
  <si>
    <t>T11511</t>
  </si>
  <si>
    <t>T11512</t>
  </si>
  <si>
    <t>2023-11-26</t>
  </si>
  <si>
    <t>C2155</t>
  </si>
  <si>
    <t>T11513</t>
  </si>
  <si>
    <t>T11514</t>
  </si>
  <si>
    <t>T11515</t>
  </si>
  <si>
    <t>C2139</t>
  </si>
  <si>
    <t>T11516</t>
  </si>
  <si>
    <t>T11517</t>
  </si>
  <si>
    <t>2023-11-27</t>
  </si>
  <si>
    <t>T11518</t>
  </si>
  <si>
    <t>T11519</t>
  </si>
  <si>
    <t>T11520</t>
  </si>
  <si>
    <t>C2059</t>
  </si>
  <si>
    <t>T11521</t>
  </si>
  <si>
    <t>T11522</t>
  </si>
  <si>
    <t>T11523</t>
  </si>
  <si>
    <t>2023-11-28</t>
  </si>
  <si>
    <t>T11524</t>
  </si>
  <si>
    <t>T11525</t>
  </si>
  <si>
    <t>T11526</t>
  </si>
  <si>
    <t>C2083</t>
  </si>
  <si>
    <t>T11527</t>
  </si>
  <si>
    <t>T11528</t>
  </si>
  <si>
    <t>C2107</t>
  </si>
  <si>
    <t>T11529</t>
  </si>
  <si>
    <t>2023-11-29</t>
  </si>
  <si>
    <t>T11530</t>
  </si>
  <si>
    <t>T11531</t>
  </si>
  <si>
    <t>T11532</t>
  </si>
  <si>
    <t>2023-11-30</t>
  </si>
  <si>
    <t>T11533</t>
  </si>
  <si>
    <t>C2343</t>
  </si>
  <si>
    <t>T11534</t>
  </si>
  <si>
    <t>T11535</t>
  </si>
  <si>
    <t>T11536</t>
  </si>
  <si>
    <t>T11537</t>
  </si>
  <si>
    <t>T11538</t>
  </si>
  <si>
    <t>2023-12-01</t>
  </si>
  <si>
    <t>T11539</t>
  </si>
  <si>
    <t>T11540</t>
  </si>
  <si>
    <t>T11541</t>
  </si>
  <si>
    <t>T11542</t>
  </si>
  <si>
    <t>2023-12-02</t>
  </si>
  <si>
    <t>C2149</t>
  </si>
  <si>
    <t>T11543</t>
  </si>
  <si>
    <t>T11544</t>
  </si>
  <si>
    <t>T11545</t>
  </si>
  <si>
    <t>T11546</t>
  </si>
  <si>
    <t>T11547</t>
  </si>
  <si>
    <t>T11548</t>
  </si>
  <si>
    <t>C2169</t>
  </si>
  <si>
    <t>T11549</t>
  </si>
  <si>
    <t>T11550</t>
  </si>
  <si>
    <t>2023-12-03</t>
  </si>
  <si>
    <t>T11551</t>
  </si>
  <si>
    <t>T11552</t>
  </si>
  <si>
    <t>C2094</t>
  </si>
  <si>
    <t>T11553</t>
  </si>
  <si>
    <t>T11554</t>
  </si>
  <si>
    <t>T11555</t>
  </si>
  <si>
    <t>T11556</t>
  </si>
  <si>
    <t>2023-12-04</t>
  </si>
  <si>
    <t>T11557</t>
  </si>
  <si>
    <t>T11558</t>
  </si>
  <si>
    <t>T11559</t>
  </si>
  <si>
    <t>T11560</t>
  </si>
  <si>
    <t>C2303</t>
  </si>
  <si>
    <t>T11561</t>
  </si>
  <si>
    <t>2023-12-05</t>
  </si>
  <si>
    <t>T11562</t>
  </si>
  <si>
    <t>T11563</t>
  </si>
  <si>
    <t>T11564</t>
  </si>
  <si>
    <t>2023-12-06</t>
  </si>
  <si>
    <t>T11565</t>
  </si>
  <si>
    <t>T11566</t>
  </si>
  <si>
    <t>C2250</t>
  </si>
  <si>
    <t>T11567</t>
  </si>
  <si>
    <t>2023-12-07</t>
  </si>
  <si>
    <t>T11568</t>
  </si>
  <si>
    <t>T11569</t>
  </si>
  <si>
    <t>T11570</t>
  </si>
  <si>
    <t>T11571</t>
  </si>
  <si>
    <t>T11572</t>
  </si>
  <si>
    <t>2023-12-08</t>
  </si>
  <si>
    <t>T11573</t>
  </si>
  <si>
    <t>C2266</t>
  </si>
  <si>
    <t>T11574</t>
  </si>
  <si>
    <t>T11575</t>
  </si>
  <si>
    <t>C2222</t>
  </si>
  <si>
    <t>T11576</t>
  </si>
  <si>
    <t>T11577</t>
  </si>
  <si>
    <t>T11578</t>
  </si>
  <si>
    <t>T11579</t>
  </si>
  <si>
    <t>2023-12-09</t>
  </si>
  <si>
    <t>T11580</t>
  </si>
  <si>
    <t>T11581</t>
  </si>
  <si>
    <t>T11582</t>
  </si>
  <si>
    <t>C2254</t>
  </si>
  <si>
    <t>T11583</t>
  </si>
  <si>
    <t>T11584</t>
  </si>
  <si>
    <t>T11585</t>
  </si>
  <si>
    <t>T11586</t>
  </si>
  <si>
    <t>T11587</t>
  </si>
  <si>
    <t>2023-12-10</t>
  </si>
  <si>
    <t>T11588</t>
  </si>
  <si>
    <t>T11589</t>
  </si>
  <si>
    <t>T11590</t>
  </si>
  <si>
    <t>T11591</t>
  </si>
  <si>
    <t>C2228</t>
  </si>
  <si>
    <t>T11592</t>
  </si>
  <si>
    <t>T11593</t>
  </si>
  <si>
    <t>T11594</t>
  </si>
  <si>
    <t>T11595</t>
  </si>
  <si>
    <t>T11596</t>
  </si>
  <si>
    <t>2023-12-11</t>
  </si>
  <si>
    <t>T11597</t>
  </si>
  <si>
    <t>T11598</t>
  </si>
  <si>
    <t>C2286</t>
  </si>
  <si>
    <t>T11599</t>
  </si>
  <si>
    <t>T11600</t>
  </si>
  <si>
    <t>T11601</t>
  </si>
  <si>
    <t>T11602</t>
  </si>
  <si>
    <t>C2261</t>
  </si>
  <si>
    <t>T11603</t>
  </si>
  <si>
    <t>T11604</t>
  </si>
  <si>
    <t>2023-12-12</t>
  </si>
  <si>
    <t>T11605</t>
  </si>
  <si>
    <t>T11606</t>
  </si>
  <si>
    <t>2023-12-13</t>
  </si>
  <si>
    <t>C2233</t>
  </si>
  <si>
    <t>T11607</t>
  </si>
  <si>
    <t>T11608</t>
  </si>
  <si>
    <t>2023-12-14</t>
  </si>
  <si>
    <t>T11609</t>
  </si>
  <si>
    <t>T11610</t>
  </si>
  <si>
    <t>T11611</t>
  </si>
  <si>
    <t>2023-12-15</t>
  </si>
  <si>
    <t>T11612</t>
  </si>
  <si>
    <t>T11613</t>
  </si>
  <si>
    <t>T11614</t>
  </si>
  <si>
    <t>T11615</t>
  </si>
  <si>
    <t>T11616</t>
  </si>
  <si>
    <t>T11617</t>
  </si>
  <si>
    <t>T11618</t>
  </si>
  <si>
    <t>T11619</t>
  </si>
  <si>
    <t>T11620</t>
  </si>
  <si>
    <t>2023-12-16</t>
  </si>
  <si>
    <t>C2101</t>
  </si>
  <si>
    <t>T11621</t>
  </si>
  <si>
    <t>T11622</t>
  </si>
  <si>
    <t>T11623</t>
  </si>
  <si>
    <t>T11624</t>
  </si>
  <si>
    <t>T11625</t>
  </si>
  <si>
    <t>2023-12-17</t>
  </si>
  <si>
    <t>T11626</t>
  </si>
  <si>
    <t>T11627</t>
  </si>
  <si>
    <t>T11628</t>
  </si>
  <si>
    <t>2023-12-18</t>
  </si>
  <si>
    <t>T11629</t>
  </si>
  <si>
    <t>T11630</t>
  </si>
  <si>
    <t>T11631</t>
  </si>
  <si>
    <t>T11632</t>
  </si>
  <si>
    <t>T11633</t>
  </si>
  <si>
    <t>T11634</t>
  </si>
  <si>
    <t>C2297</t>
  </si>
  <si>
    <t>T11635</t>
  </si>
  <si>
    <t>T11636</t>
  </si>
  <si>
    <t>T11637</t>
  </si>
  <si>
    <t>2023-12-19</t>
  </si>
  <si>
    <t>T11638</t>
  </si>
  <si>
    <t>T11639</t>
  </si>
  <si>
    <t>T11640</t>
  </si>
  <si>
    <t>T11641</t>
  </si>
  <si>
    <t>T11642</t>
  </si>
  <si>
    <t>T11643</t>
  </si>
  <si>
    <t>T11644</t>
  </si>
  <si>
    <t>2023-12-20</t>
  </si>
  <si>
    <t>T11645</t>
  </si>
  <si>
    <t>T11646</t>
  </si>
  <si>
    <t>T11647</t>
  </si>
  <si>
    <t>T11648</t>
  </si>
  <si>
    <t>T11649</t>
  </si>
  <si>
    <t>T11650</t>
  </si>
  <si>
    <t>T11651</t>
  </si>
  <si>
    <t>T11652</t>
  </si>
  <si>
    <t>T11653</t>
  </si>
  <si>
    <t>T11654</t>
  </si>
  <si>
    <t>2023-12-21</t>
  </si>
  <si>
    <t>T11655</t>
  </si>
  <si>
    <t>T11656</t>
  </si>
  <si>
    <t>T11657</t>
  </si>
  <si>
    <t>2023-12-22</t>
  </si>
  <si>
    <t>T11658</t>
  </si>
  <si>
    <t>C2346</t>
  </si>
  <si>
    <t>T11659</t>
  </si>
  <si>
    <t>C2147</t>
  </si>
  <si>
    <t>T11660</t>
  </si>
  <si>
    <t>T11661</t>
  </si>
  <si>
    <t>T11662</t>
  </si>
  <si>
    <t>C2196</t>
  </si>
  <si>
    <t>T11663</t>
  </si>
  <si>
    <t>T11664</t>
  </si>
  <si>
    <t>T11665</t>
  </si>
  <si>
    <t>T11666</t>
  </si>
  <si>
    <t>T11667</t>
  </si>
  <si>
    <t>C2075</t>
  </si>
  <si>
    <t>T11668</t>
  </si>
  <si>
    <t>2023-12-23</t>
  </si>
  <si>
    <t>T11669</t>
  </si>
  <si>
    <t>T11670</t>
  </si>
  <si>
    <t>T11671</t>
  </si>
  <si>
    <t>T11672</t>
  </si>
  <si>
    <t>2023-12-24</t>
  </si>
  <si>
    <t>T11673</t>
  </si>
  <si>
    <t>T11674</t>
  </si>
  <si>
    <t>C2200</t>
  </si>
  <si>
    <t>T11675</t>
  </si>
  <si>
    <t>T11676</t>
  </si>
  <si>
    <t>C2341</t>
  </si>
  <si>
    <t>T11677</t>
  </si>
  <si>
    <t>T11678</t>
  </si>
  <si>
    <t>2023-12-25</t>
  </si>
  <si>
    <t>T11679</t>
  </si>
  <si>
    <t>T11680</t>
  </si>
  <si>
    <t>T11681</t>
  </si>
  <si>
    <t>T11682</t>
  </si>
  <si>
    <t>T11683</t>
  </si>
  <si>
    <t>T11684</t>
  </si>
  <si>
    <t>T11685</t>
  </si>
  <si>
    <t>T11686</t>
  </si>
  <si>
    <t>T11687</t>
  </si>
  <si>
    <t>2023-12-26</t>
  </si>
  <si>
    <t>T11688</t>
  </si>
  <si>
    <t>T11689</t>
  </si>
  <si>
    <t>C2096</t>
  </si>
  <si>
    <t>T11690</t>
  </si>
  <si>
    <t>T11691</t>
  </si>
  <si>
    <t>C2194</t>
  </si>
  <si>
    <t>T11692</t>
  </si>
  <si>
    <t>C2220</t>
  </si>
  <si>
    <t>T11693</t>
  </si>
  <si>
    <t>T11694</t>
  </si>
  <si>
    <t>T11695</t>
  </si>
  <si>
    <t>T11696</t>
  </si>
  <si>
    <t>2023-12-27</t>
  </si>
  <si>
    <t>T11697</t>
  </si>
  <si>
    <t>T11698</t>
  </si>
  <si>
    <t>T11699</t>
  </si>
  <si>
    <t>T11700</t>
  </si>
  <si>
    <t>T11701</t>
  </si>
  <si>
    <t>T11702</t>
  </si>
  <si>
    <t>T11703</t>
  </si>
  <si>
    <t>T11704</t>
  </si>
  <si>
    <t>T11705</t>
  </si>
  <si>
    <t>C2270</t>
  </si>
  <si>
    <t>T11706</t>
  </si>
  <si>
    <t>2023-12-28</t>
  </si>
  <si>
    <t>C2095</t>
  </si>
  <si>
    <t>T11707</t>
  </si>
  <si>
    <t>T11708</t>
  </si>
  <si>
    <t>T11709</t>
  </si>
  <si>
    <t>T11710</t>
  </si>
  <si>
    <t>T11711</t>
  </si>
  <si>
    <t>T11712</t>
  </si>
  <si>
    <t>2023-12-29</t>
  </si>
  <si>
    <t>T11713</t>
  </si>
  <si>
    <t>T11714</t>
  </si>
  <si>
    <t>T11715</t>
  </si>
  <si>
    <t>T11716</t>
  </si>
  <si>
    <t>T11717</t>
  </si>
  <si>
    <t>T11718</t>
  </si>
  <si>
    <t>T11719</t>
  </si>
  <si>
    <t>T11720</t>
  </si>
  <si>
    <t>C2329</t>
  </si>
  <si>
    <t>T11721</t>
  </si>
  <si>
    <t>C2319</t>
  </si>
  <si>
    <t>T11722</t>
  </si>
  <si>
    <t>2023-12-30</t>
  </si>
  <si>
    <t>T11723</t>
  </si>
  <si>
    <t>T11724</t>
  </si>
  <si>
    <t>T11725</t>
  </si>
  <si>
    <t>T11726</t>
  </si>
  <si>
    <t>T11727</t>
  </si>
  <si>
    <t>T11728</t>
  </si>
  <si>
    <t>T11729</t>
  </si>
  <si>
    <t>T11730</t>
  </si>
  <si>
    <t>T11731</t>
  </si>
  <si>
    <t>T11732</t>
  </si>
  <si>
    <t>T11733</t>
  </si>
  <si>
    <t>T11734</t>
  </si>
  <si>
    <t>2023-12-31</t>
  </si>
  <si>
    <t>T11735</t>
  </si>
  <si>
    <t>T11736</t>
  </si>
  <si>
    <t>C2108</t>
  </si>
  <si>
    <t>T11737</t>
  </si>
  <si>
    <t>C2218</t>
  </si>
  <si>
    <t>T11738</t>
  </si>
  <si>
    <t>T11739</t>
  </si>
  <si>
    <t>T11740</t>
  </si>
  <si>
    <t>T11741</t>
  </si>
  <si>
    <t>C2236</t>
  </si>
  <si>
    <t>T11742</t>
  </si>
  <si>
    <t>2024-01-01</t>
  </si>
  <si>
    <t>T11743</t>
  </si>
  <si>
    <t>T11744</t>
  </si>
  <si>
    <t>T11745</t>
  </si>
  <si>
    <t>T11746</t>
  </si>
  <si>
    <t>T11747</t>
  </si>
  <si>
    <t>2024-01-02</t>
  </si>
  <si>
    <t>T11748</t>
  </si>
  <si>
    <t>T11749</t>
  </si>
  <si>
    <t>T11750</t>
  </si>
  <si>
    <t>T11751</t>
  </si>
  <si>
    <t>T11752</t>
  </si>
  <si>
    <t>2024-01-03</t>
  </si>
  <si>
    <t>C2345</t>
  </si>
  <si>
    <t>T11753</t>
  </si>
  <si>
    <t>T11754</t>
  </si>
  <si>
    <t>2024-01-04</t>
  </si>
  <si>
    <t>T11755</t>
  </si>
  <si>
    <t>T11756</t>
  </si>
  <si>
    <t>T11757</t>
  </si>
  <si>
    <t>2024-01-05</t>
  </si>
  <si>
    <t>T11758</t>
  </si>
  <si>
    <t>T11759</t>
  </si>
  <si>
    <t>T11760</t>
  </si>
  <si>
    <t>T11761</t>
  </si>
  <si>
    <t>2024-01-06</t>
  </si>
  <si>
    <t>T11762</t>
  </si>
  <si>
    <t>T11763</t>
  </si>
  <si>
    <t>T11764</t>
  </si>
  <si>
    <t>T11765</t>
  </si>
  <si>
    <t>T11766</t>
  </si>
  <si>
    <t>2024-01-07</t>
  </si>
  <si>
    <t>T11767</t>
  </si>
  <si>
    <t>T11768</t>
  </si>
  <si>
    <t>2024-01-08</t>
  </si>
  <si>
    <t>T11769</t>
  </si>
  <si>
    <t>T11770</t>
  </si>
  <si>
    <t>2024-01-09</t>
  </si>
  <si>
    <t>T11771</t>
  </si>
  <si>
    <t>T11772</t>
  </si>
  <si>
    <t>T11773</t>
  </si>
  <si>
    <t>2024-01-10</t>
  </si>
  <si>
    <t>T11774</t>
  </si>
  <si>
    <t>C2276</t>
  </si>
  <si>
    <t>T11775</t>
  </si>
  <si>
    <t>T11776</t>
  </si>
  <si>
    <t>T11777</t>
  </si>
  <si>
    <t>T11778</t>
  </si>
  <si>
    <t>C2331</t>
  </si>
  <si>
    <t>T11779</t>
  </si>
  <si>
    <t>2024-01-11</t>
  </si>
  <si>
    <t>T11780</t>
  </si>
  <si>
    <t>T11781</t>
  </si>
  <si>
    <t>C2316</t>
  </si>
  <si>
    <t>T11782</t>
  </si>
  <si>
    <t>T11783</t>
  </si>
  <si>
    <t>T11784</t>
  </si>
  <si>
    <t>T11785</t>
  </si>
  <si>
    <t>2024-01-12</t>
  </si>
  <si>
    <t>C2237</t>
  </si>
  <si>
    <t>T11786</t>
  </si>
  <si>
    <t>T11787</t>
  </si>
  <si>
    <t>T11788</t>
  </si>
  <si>
    <t>C2129</t>
  </si>
  <si>
    <t>T11789</t>
  </si>
  <si>
    <t>T11790</t>
  </si>
  <si>
    <t>2024-01-13</t>
  </si>
  <si>
    <t>T11791</t>
  </si>
  <si>
    <t>C2183</t>
  </si>
  <si>
    <t>T11792</t>
  </si>
  <si>
    <t>T11793</t>
  </si>
  <si>
    <t>T11794</t>
  </si>
  <si>
    <t>T11795</t>
  </si>
  <si>
    <t>T11796</t>
  </si>
  <si>
    <t>T11797</t>
  </si>
  <si>
    <t>T11798</t>
  </si>
  <si>
    <t>2024-01-14</t>
  </si>
  <si>
    <t>C2338</t>
  </si>
  <si>
    <t>T11799</t>
  </si>
  <si>
    <t>T11800</t>
  </si>
  <si>
    <t>C2290</t>
  </si>
  <si>
    <t>T11801</t>
  </si>
  <si>
    <t>T11802</t>
  </si>
  <si>
    <t>2024-01-15</t>
  </si>
  <si>
    <t>T11803</t>
  </si>
  <si>
    <t>T11804</t>
  </si>
  <si>
    <t>C2127</t>
  </si>
  <si>
    <t>T11805</t>
  </si>
  <si>
    <t>T11806</t>
  </si>
  <si>
    <t>T11807</t>
  </si>
  <si>
    <t>T11808</t>
  </si>
  <si>
    <t>2024-01-16</t>
  </si>
  <si>
    <t>T11809</t>
  </si>
  <si>
    <t>T11810</t>
  </si>
  <si>
    <t>T11811</t>
  </si>
  <si>
    <t>T11812</t>
  </si>
  <si>
    <t>T11813</t>
  </si>
  <si>
    <t>T11814</t>
  </si>
  <si>
    <t>C2072</t>
  </si>
  <si>
    <t>T11815</t>
  </si>
  <si>
    <t>T11816</t>
  </si>
  <si>
    <t>2024-01-17</t>
  </si>
  <si>
    <t>T11817</t>
  </si>
  <si>
    <t>T11818</t>
  </si>
  <si>
    <t>T11819</t>
  </si>
  <si>
    <t>T11820</t>
  </si>
  <si>
    <t>C2208</t>
  </si>
  <si>
    <t>T11821</t>
  </si>
  <si>
    <t>T11822</t>
  </si>
  <si>
    <t>T11823</t>
  </si>
  <si>
    <t>2024-01-18</t>
  </si>
  <si>
    <t>T11824</t>
  </si>
  <si>
    <t>T11825</t>
  </si>
  <si>
    <t>C2188</t>
  </si>
  <si>
    <t>T11826</t>
  </si>
  <si>
    <t>2024-01-19</t>
  </si>
  <si>
    <t>T11827</t>
  </si>
  <si>
    <t>T11828</t>
  </si>
  <si>
    <t>T11829</t>
  </si>
  <si>
    <t>T11830</t>
  </si>
  <si>
    <t>2024-01-20</t>
  </si>
  <si>
    <t>T11831</t>
  </si>
  <si>
    <t>T11832</t>
  </si>
  <si>
    <t>T11833</t>
  </si>
  <si>
    <t>2024-01-21</t>
  </si>
  <si>
    <t>T11834</t>
  </si>
  <si>
    <t>T11835</t>
  </si>
  <si>
    <t>T11836</t>
  </si>
  <si>
    <t>T11837</t>
  </si>
  <si>
    <t>T11838</t>
  </si>
  <si>
    <t>2024-01-22</t>
  </si>
  <si>
    <t>T11839</t>
  </si>
  <si>
    <t>T11840</t>
  </si>
  <si>
    <t>T11841</t>
  </si>
  <si>
    <t>T11842</t>
  </si>
  <si>
    <t>T11843</t>
  </si>
  <si>
    <t>T11844</t>
  </si>
  <si>
    <t>2024-01-23</t>
  </si>
  <si>
    <t>T11845</t>
  </si>
  <si>
    <t>2024-01-24</t>
  </si>
  <si>
    <t>T11846</t>
  </si>
  <si>
    <t>2024-01-25</t>
  </si>
  <si>
    <t>T11847</t>
  </si>
  <si>
    <t>T11848</t>
  </si>
  <si>
    <t>T11849</t>
  </si>
  <si>
    <t>T11850</t>
  </si>
  <si>
    <t>T11851</t>
  </si>
  <si>
    <t>T11852</t>
  </si>
  <si>
    <t>2024-01-26</t>
  </si>
  <si>
    <t>T11853</t>
  </si>
  <si>
    <t>T11854</t>
  </si>
  <si>
    <t>T11855</t>
  </si>
  <si>
    <t>T11856</t>
  </si>
  <si>
    <t>T11857</t>
  </si>
  <si>
    <t>T11858</t>
  </si>
  <si>
    <t>T11859</t>
  </si>
  <si>
    <t>2024-01-27</t>
  </si>
  <si>
    <t>C2181</t>
  </si>
  <si>
    <t>T11860</t>
  </si>
  <si>
    <t>T11861</t>
  </si>
  <si>
    <t>T11862</t>
  </si>
  <si>
    <t>C2257</t>
  </si>
  <si>
    <t>T11863</t>
  </si>
  <si>
    <t>2024-01-28</t>
  </si>
  <si>
    <t>C2226</t>
  </si>
  <si>
    <t>T11864</t>
  </si>
  <si>
    <t>C2118</t>
  </si>
  <si>
    <t>T11865</t>
  </si>
  <si>
    <t>T11866</t>
  </si>
  <si>
    <t>T11867</t>
  </si>
  <si>
    <t>2024-01-29</t>
  </si>
  <si>
    <t>T11868</t>
  </si>
  <si>
    <t>C2186</t>
  </si>
  <si>
    <t>T11869</t>
  </si>
  <si>
    <t>2024-01-30</t>
  </si>
  <si>
    <t>T11870</t>
  </si>
  <si>
    <t>C2213</t>
  </si>
  <si>
    <t>T11871</t>
  </si>
  <si>
    <t>T11872</t>
  </si>
  <si>
    <t>T11873</t>
  </si>
  <si>
    <t>T11874</t>
  </si>
  <si>
    <t>T11875</t>
  </si>
  <si>
    <t>T11876</t>
  </si>
  <si>
    <t>2024-01-31</t>
  </si>
  <si>
    <t>T11877</t>
  </si>
  <si>
    <t>T11878</t>
  </si>
  <si>
    <t>2024-02-01</t>
  </si>
  <si>
    <t>T11879</t>
  </si>
  <si>
    <t>T11880</t>
  </si>
  <si>
    <t>T11881</t>
  </si>
  <si>
    <t>T11882</t>
  </si>
  <si>
    <t>T11883</t>
  </si>
  <si>
    <t>T11884</t>
  </si>
  <si>
    <t>T11885</t>
  </si>
  <si>
    <t>2024-02-02</t>
  </si>
  <si>
    <t>T11886</t>
  </si>
  <si>
    <t>T11887</t>
  </si>
  <si>
    <t>2024-02-03</t>
  </si>
  <si>
    <t>T11888</t>
  </si>
  <si>
    <t>T11889</t>
  </si>
  <si>
    <t>T11890</t>
  </si>
  <si>
    <t>T11891</t>
  </si>
  <si>
    <t>T11892</t>
  </si>
  <si>
    <t>T11893</t>
  </si>
  <si>
    <t>C2074</t>
  </si>
  <si>
    <t>T11894</t>
  </si>
  <si>
    <t>T11895</t>
  </si>
  <si>
    <t>2024-02-04</t>
  </si>
  <si>
    <t>T11896</t>
  </si>
  <si>
    <t>T11897</t>
  </si>
  <si>
    <t>T11898</t>
  </si>
  <si>
    <t>T11899</t>
  </si>
  <si>
    <t>2024-02-05</t>
  </si>
  <si>
    <t>T11900</t>
  </si>
  <si>
    <t>T11901</t>
  </si>
  <si>
    <t>T11902</t>
  </si>
  <si>
    <t>T11903</t>
  </si>
  <si>
    <t>T11904</t>
  </si>
  <si>
    <t>T11905</t>
  </si>
  <si>
    <t>T11906</t>
  </si>
  <si>
    <t>T11907</t>
  </si>
  <si>
    <t>T11908</t>
  </si>
  <si>
    <t>2024-02-06</t>
  </si>
  <si>
    <t>T11909</t>
  </si>
  <si>
    <t>T11910</t>
  </si>
  <si>
    <t>2024-02-07</t>
  </si>
  <si>
    <t>T11911</t>
  </si>
  <si>
    <t>T11912</t>
  </si>
  <si>
    <t>T11913</t>
  </si>
  <si>
    <t>T11914</t>
  </si>
  <si>
    <t>2024-02-08</t>
  </si>
  <si>
    <t>T11915</t>
  </si>
  <si>
    <t>T11916</t>
  </si>
  <si>
    <t>T11917</t>
  </si>
  <si>
    <t>T11918</t>
  </si>
  <si>
    <t>T11919</t>
  </si>
  <si>
    <t>2024-02-09</t>
  </si>
  <si>
    <t>T11920</t>
  </si>
  <si>
    <t>T11921</t>
  </si>
  <si>
    <t>T11922</t>
  </si>
  <si>
    <t>T11923</t>
  </si>
  <si>
    <t>T11924</t>
  </si>
  <si>
    <t>C2307</t>
  </si>
  <si>
    <t>T11925</t>
  </si>
  <si>
    <t>2024-02-10</t>
  </si>
  <si>
    <t>T11926</t>
  </si>
  <si>
    <t>T11927</t>
  </si>
  <si>
    <t>T11928</t>
  </si>
  <si>
    <t>T11929</t>
  </si>
  <si>
    <t>C2267</t>
  </si>
  <si>
    <t>T11930</t>
  </si>
  <si>
    <t>T11931</t>
  </si>
  <si>
    <t>2024-02-11</t>
  </si>
  <si>
    <t>T11932</t>
  </si>
  <si>
    <t>T11933</t>
  </si>
  <si>
    <t>C2080</t>
  </si>
  <si>
    <t>T11934</t>
  </si>
  <si>
    <t>T11935</t>
  </si>
  <si>
    <t>T11936</t>
  </si>
  <si>
    <t>T11937</t>
  </si>
  <si>
    <t>T11938</t>
  </si>
  <si>
    <t>2024-02-12</t>
  </si>
  <si>
    <t>T11939</t>
  </si>
  <si>
    <t>T11940</t>
  </si>
  <si>
    <t>C2105</t>
  </si>
  <si>
    <t>T11941</t>
  </si>
  <si>
    <t>T11942</t>
  </si>
  <si>
    <t>2024-02-13</t>
  </si>
  <si>
    <t>T11943</t>
  </si>
  <si>
    <t>T11944</t>
  </si>
  <si>
    <t>2024-02-14</t>
  </si>
  <si>
    <t>T11945</t>
  </si>
  <si>
    <t>2024-02-15</t>
  </si>
  <si>
    <t>T11946</t>
  </si>
  <si>
    <t>T11947</t>
  </si>
  <si>
    <t>2024-02-16</t>
  </si>
  <si>
    <t>T11948</t>
  </si>
  <si>
    <t>T11949</t>
  </si>
  <si>
    <t>T11950</t>
  </si>
  <si>
    <t>T11951</t>
  </si>
  <si>
    <t>T11952</t>
  </si>
  <si>
    <t>T11953</t>
  </si>
  <si>
    <t>2024-02-17</t>
  </si>
  <si>
    <t>T11954</t>
  </si>
  <si>
    <t>T11955</t>
  </si>
  <si>
    <t>2024-02-18</t>
  </si>
  <si>
    <t>T11956</t>
  </si>
  <si>
    <t>T11957</t>
  </si>
  <si>
    <t>T11958</t>
  </si>
  <si>
    <t>T11959</t>
  </si>
  <si>
    <t>T11960</t>
  </si>
  <si>
    <t>T11961</t>
  </si>
  <si>
    <t>T11962</t>
  </si>
  <si>
    <t>T11963</t>
  </si>
  <si>
    <t>2024-02-20</t>
  </si>
  <si>
    <t>T11964</t>
  </si>
  <si>
    <t>T11965</t>
  </si>
  <si>
    <t>T11966</t>
  </si>
  <si>
    <t>T11967</t>
  </si>
  <si>
    <t>2024-02-21</t>
  </si>
  <si>
    <t>T11968</t>
  </si>
  <si>
    <t>T11969</t>
  </si>
  <si>
    <t>T11970</t>
  </si>
  <si>
    <t>2024-02-22</t>
  </si>
  <si>
    <t>T11971</t>
  </si>
  <si>
    <t>T11972</t>
  </si>
  <si>
    <t>T11973</t>
  </si>
  <si>
    <t>T11974</t>
  </si>
  <si>
    <t>T11975</t>
  </si>
  <si>
    <t>2024-02-23</t>
  </si>
  <si>
    <t>T11976</t>
  </si>
  <si>
    <t>T11977</t>
  </si>
  <si>
    <t>T11978</t>
  </si>
  <si>
    <t>T11979</t>
  </si>
  <si>
    <t>T11980</t>
  </si>
  <si>
    <t>T11981</t>
  </si>
  <si>
    <t>T11982</t>
  </si>
  <si>
    <t>2024-02-24</t>
  </si>
  <si>
    <t>T11983</t>
  </si>
  <si>
    <t>T11984</t>
  </si>
  <si>
    <t>T11985</t>
  </si>
  <si>
    <t>T11986</t>
  </si>
  <si>
    <t>T11987</t>
  </si>
  <si>
    <t>T11988</t>
  </si>
  <si>
    <t>T11989</t>
  </si>
  <si>
    <t>T11990</t>
  </si>
  <si>
    <t>2024-02-25</t>
  </si>
  <si>
    <t>T11991</t>
  </si>
  <si>
    <t>T11992</t>
  </si>
  <si>
    <t>T11993</t>
  </si>
  <si>
    <t>T11994</t>
  </si>
  <si>
    <t>T11995</t>
  </si>
  <si>
    <t>T11996</t>
  </si>
  <si>
    <t>2024-02-26</t>
  </si>
  <si>
    <t>T11997</t>
  </si>
  <si>
    <t>T11998</t>
  </si>
  <si>
    <t>T11999</t>
  </si>
  <si>
    <t>T12000</t>
  </si>
  <si>
    <t>2024-02-27</t>
  </si>
  <si>
    <t>T12001</t>
  </si>
  <si>
    <t>C2174</t>
  </si>
  <si>
    <t>T12002</t>
  </si>
  <si>
    <t>T12003</t>
  </si>
  <si>
    <t>2024-02-28</t>
  </si>
  <si>
    <t>T12004</t>
  </si>
  <si>
    <t>T12005</t>
  </si>
  <si>
    <t>T12006</t>
  </si>
  <si>
    <t>T12007</t>
  </si>
  <si>
    <t>T12008</t>
  </si>
  <si>
    <t>2024-02-29</t>
  </si>
  <si>
    <t>T12009</t>
  </si>
  <si>
    <t>T12010</t>
  </si>
  <si>
    <t>T12011</t>
  </si>
  <si>
    <t>T12012</t>
  </si>
  <si>
    <t>C2148</t>
  </si>
  <si>
    <t>T12013</t>
  </si>
  <si>
    <t>2024-03-01</t>
  </si>
  <si>
    <t>C2205</t>
  </si>
  <si>
    <t>T12014</t>
  </si>
  <si>
    <t>T12015</t>
  </si>
  <si>
    <t>T12016</t>
  </si>
  <si>
    <t>T12017</t>
  </si>
  <si>
    <t>C2112</t>
  </si>
  <si>
    <t>T12018</t>
  </si>
  <si>
    <t>2024-03-02</t>
  </si>
  <si>
    <t>T12019</t>
  </si>
  <si>
    <t>T12020</t>
  </si>
  <si>
    <t>T12021</t>
  </si>
  <si>
    <t>T12022</t>
  </si>
  <si>
    <t>T12023</t>
  </si>
  <si>
    <t>T12024</t>
  </si>
  <si>
    <t>2024-03-03</t>
  </si>
  <si>
    <t>T12025</t>
  </si>
  <si>
    <t>T12026</t>
  </si>
  <si>
    <t>T12027</t>
  </si>
  <si>
    <t>T12028</t>
  </si>
  <si>
    <t>T12029</t>
  </si>
  <si>
    <t>T12030</t>
  </si>
  <si>
    <t>2024-03-04</t>
  </si>
  <si>
    <t>T12031</t>
  </si>
  <si>
    <t>T12032</t>
  </si>
  <si>
    <t>T12033</t>
  </si>
  <si>
    <t>T12034</t>
  </si>
  <si>
    <t>2024-03-05</t>
  </si>
  <si>
    <t>T12035</t>
  </si>
  <si>
    <t>T12036</t>
  </si>
  <si>
    <t>T12037</t>
  </si>
  <si>
    <t>2024-03-06</t>
  </si>
  <si>
    <t>T12038</t>
  </si>
  <si>
    <t>T12039</t>
  </si>
  <si>
    <t>T12040</t>
  </si>
  <si>
    <t>T12041</t>
  </si>
  <si>
    <t>T12042</t>
  </si>
  <si>
    <t>2024-03-07</t>
  </si>
  <si>
    <t>T12043</t>
  </si>
  <si>
    <t>T12044</t>
  </si>
  <si>
    <t>T12045</t>
  </si>
  <si>
    <t>T12046</t>
  </si>
  <si>
    <t>T12047</t>
  </si>
  <si>
    <t>2024-03-08</t>
  </si>
  <si>
    <t>T12048</t>
  </si>
  <si>
    <t>2024-03-09</t>
  </si>
  <si>
    <t>T12049</t>
  </si>
  <si>
    <t>T12050</t>
  </si>
  <si>
    <t>T12051</t>
  </si>
  <si>
    <t>2024-03-10</t>
  </si>
  <si>
    <t>T12052</t>
  </si>
  <si>
    <t>T12053</t>
  </si>
  <si>
    <t>T12054</t>
  </si>
  <si>
    <t>T12055</t>
  </si>
  <si>
    <t>T12056</t>
  </si>
  <si>
    <t>T12057</t>
  </si>
  <si>
    <t>2024-03-11</t>
  </si>
  <si>
    <t>T12058</t>
  </si>
  <si>
    <t>T12059</t>
  </si>
  <si>
    <t>T12060</t>
  </si>
  <si>
    <t>T12061</t>
  </si>
  <si>
    <t>T12062</t>
  </si>
  <si>
    <t>T12063</t>
  </si>
  <si>
    <t>T12064</t>
  </si>
  <si>
    <t>T12065</t>
  </si>
  <si>
    <t>2024-03-12</t>
  </si>
  <si>
    <t>T12066</t>
  </si>
  <si>
    <t>T12067</t>
  </si>
  <si>
    <t>T12068</t>
  </si>
  <si>
    <t>T12069</t>
  </si>
  <si>
    <t>2024-03-13</t>
  </si>
  <si>
    <t>T12070</t>
  </si>
  <si>
    <t>T12071</t>
  </si>
  <si>
    <t>T12072</t>
  </si>
  <si>
    <t>T12073</t>
  </si>
  <si>
    <t>T12074</t>
  </si>
  <si>
    <t>2024-03-14</t>
  </si>
  <si>
    <t>T12075</t>
  </si>
  <si>
    <t>T12076</t>
  </si>
  <si>
    <t>2024-03-15</t>
  </si>
  <si>
    <t>T12077</t>
  </si>
  <si>
    <t>T12078</t>
  </si>
  <si>
    <t>T12079</t>
  </si>
  <si>
    <t>T12080</t>
  </si>
  <si>
    <t>T12081</t>
  </si>
  <si>
    <t>2024-03-16</t>
  </si>
  <si>
    <t>T12082</t>
  </si>
  <si>
    <t>T12083</t>
  </si>
  <si>
    <t>T12084</t>
  </si>
  <si>
    <t>T12085</t>
  </si>
  <si>
    <t>T12086</t>
  </si>
  <si>
    <t>2024-03-17</t>
  </si>
  <si>
    <t>T12087</t>
  </si>
  <si>
    <t>T12088</t>
  </si>
  <si>
    <t>T12089</t>
  </si>
  <si>
    <t>T12090</t>
  </si>
  <si>
    <t>2024-03-18</t>
  </si>
  <si>
    <t>T12091</t>
  </si>
  <si>
    <t>T12092</t>
  </si>
  <si>
    <t>T12093</t>
  </si>
  <si>
    <t>T12094</t>
  </si>
  <si>
    <t>T12095</t>
  </si>
  <si>
    <t>T12096</t>
  </si>
  <si>
    <t>T12097</t>
  </si>
  <si>
    <t>2024-03-19</t>
  </si>
  <si>
    <t>T12098</t>
  </si>
  <si>
    <t>2024-03-20</t>
  </si>
  <si>
    <t>T12099</t>
  </si>
  <si>
    <t>T12100</t>
  </si>
  <si>
    <t>T12101</t>
  </si>
  <si>
    <t>T12102</t>
  </si>
  <si>
    <t>T12103</t>
  </si>
  <si>
    <t>2024-03-21</t>
  </si>
  <si>
    <t>T12104</t>
  </si>
  <si>
    <t>T12105</t>
  </si>
  <si>
    <t>T12106</t>
  </si>
  <si>
    <t>T12107</t>
  </si>
  <si>
    <t>2024-03-22</t>
  </si>
  <si>
    <t>T12108</t>
  </si>
  <si>
    <t>T12109</t>
  </si>
  <si>
    <t>2024-03-23</t>
  </si>
  <si>
    <t>T12110</t>
  </si>
  <si>
    <t>T12111</t>
  </si>
  <si>
    <t>2024-03-24</t>
  </si>
  <si>
    <t>T12112</t>
  </si>
  <si>
    <t>T12113</t>
  </si>
  <si>
    <t>T12114</t>
  </si>
  <si>
    <t>T12115</t>
  </si>
  <si>
    <t>T12116</t>
  </si>
  <si>
    <t>T12117</t>
  </si>
  <si>
    <t>2024-03-25</t>
  </si>
  <si>
    <t>C2269</t>
  </si>
  <si>
    <t>T12118</t>
  </si>
  <si>
    <t>T12119</t>
  </si>
  <si>
    <t>T12120</t>
  </si>
  <si>
    <t>T12121</t>
  </si>
  <si>
    <t>C2159</t>
  </si>
  <si>
    <t>T12122</t>
  </si>
  <si>
    <t>T12123</t>
  </si>
  <si>
    <t>T12124</t>
  </si>
  <si>
    <t>T12125</t>
  </si>
  <si>
    <t>2024-03-26</t>
  </si>
  <si>
    <t>T12126</t>
  </si>
  <si>
    <t>T12127</t>
  </si>
  <si>
    <t>C2167</t>
  </si>
  <si>
    <t>T12128</t>
  </si>
  <si>
    <t>C2240</t>
  </si>
  <si>
    <t>T12129</t>
  </si>
  <si>
    <t>2024-03-27</t>
  </si>
  <si>
    <t>T12130</t>
  </si>
  <si>
    <t>T12131</t>
  </si>
  <si>
    <t>T12132</t>
  </si>
  <si>
    <t>T12133</t>
  </si>
  <si>
    <t>T12134</t>
  </si>
  <si>
    <t>T12135</t>
  </si>
  <si>
    <t>T12136</t>
  </si>
  <si>
    <t>T12137</t>
  </si>
  <si>
    <t>2024-03-28</t>
  </si>
  <si>
    <t>T12138</t>
  </si>
  <si>
    <t>T12139</t>
  </si>
  <si>
    <t>T12140</t>
  </si>
  <si>
    <t>T12141</t>
  </si>
  <si>
    <t>T12142</t>
  </si>
  <si>
    <t>2024-03-29</t>
  </si>
  <si>
    <t>T12143</t>
  </si>
  <si>
    <t>T12144</t>
  </si>
  <si>
    <t>T12145</t>
  </si>
  <si>
    <t>T12146</t>
  </si>
  <si>
    <t>T12147</t>
  </si>
  <si>
    <t>T12148</t>
  </si>
  <si>
    <t>2024-03-30</t>
  </si>
  <si>
    <t>T12149</t>
  </si>
  <si>
    <t>T12150</t>
  </si>
  <si>
    <t>T12151</t>
  </si>
  <si>
    <t>T12152</t>
  </si>
  <si>
    <t>T12153</t>
  </si>
  <si>
    <t>T12154</t>
  </si>
  <si>
    <t>C2224</t>
  </si>
  <si>
    <t>T12155</t>
  </si>
  <si>
    <t>T12156</t>
  </si>
  <si>
    <t>2024-03-31</t>
  </si>
  <si>
    <t>T12157</t>
  </si>
  <si>
    <t>T12158</t>
  </si>
  <si>
    <t>T12159</t>
  </si>
  <si>
    <t>T12160</t>
  </si>
  <si>
    <t>T12161</t>
  </si>
  <si>
    <t>T12162</t>
  </si>
  <si>
    <t>2024-04-01</t>
  </si>
  <si>
    <t>T12163</t>
  </si>
  <si>
    <t>T12164</t>
  </si>
  <si>
    <t>T12165</t>
  </si>
  <si>
    <t>2024-04-02</t>
  </si>
  <si>
    <t>T12166</t>
  </si>
  <si>
    <t>T12167</t>
  </si>
  <si>
    <t>2024-04-03</t>
  </si>
  <si>
    <t>T12168</t>
  </si>
  <si>
    <t>T12169</t>
  </si>
  <si>
    <t>T12170</t>
  </si>
  <si>
    <t>T12171</t>
  </si>
  <si>
    <t>T12172</t>
  </si>
  <si>
    <t>T12173</t>
  </si>
  <si>
    <t>T12174</t>
  </si>
  <si>
    <t>2024-04-04</t>
  </si>
  <si>
    <t>T12175</t>
  </si>
  <si>
    <t>C2145</t>
  </si>
  <si>
    <t>T12176</t>
  </si>
  <si>
    <t>T12177</t>
  </si>
  <si>
    <t>T12178</t>
  </si>
  <si>
    <t>T12179</t>
  </si>
  <si>
    <t>2024-04-05</t>
  </si>
  <si>
    <t>T12180</t>
  </si>
  <si>
    <t>T12181</t>
  </si>
  <si>
    <t>2024-04-06</t>
  </si>
  <si>
    <t>T12182</t>
  </si>
  <si>
    <t>T12183</t>
  </si>
  <si>
    <t>T12184</t>
  </si>
  <si>
    <t>2024-04-07</t>
  </si>
  <si>
    <t>T12185</t>
  </si>
  <si>
    <t>T12186</t>
  </si>
  <si>
    <t>T12187</t>
  </si>
  <si>
    <t>T12188</t>
  </si>
  <si>
    <t>T12189</t>
  </si>
  <si>
    <t>T12190</t>
  </si>
  <si>
    <t>2024-04-08</t>
  </si>
  <si>
    <t>T12191</t>
  </si>
  <si>
    <t>2024-04-09</t>
  </si>
  <si>
    <t>T12192</t>
  </si>
  <si>
    <t>T12193</t>
  </si>
  <si>
    <t>T12194</t>
  </si>
  <si>
    <t>T12195</t>
  </si>
  <si>
    <t>2024-04-10</t>
  </si>
  <si>
    <t>T12196</t>
  </si>
  <si>
    <t>T12197</t>
  </si>
  <si>
    <t>T12198</t>
  </si>
  <si>
    <t>T12199</t>
  </si>
  <si>
    <t>T12200</t>
  </si>
  <si>
    <t>2024-04-11</t>
  </si>
  <si>
    <t>T12201</t>
  </si>
  <si>
    <t>T12202</t>
  </si>
  <si>
    <t>T12203</t>
  </si>
  <si>
    <t>T12204</t>
  </si>
  <si>
    <t>T12205</t>
  </si>
  <si>
    <t>T12206</t>
  </si>
  <si>
    <t>2024-04-12</t>
  </si>
  <si>
    <t>T12207</t>
  </si>
  <si>
    <t>T12208</t>
  </si>
  <si>
    <t>2024-04-13</t>
  </si>
  <si>
    <t>T12209</t>
  </si>
  <si>
    <t>T12210</t>
  </si>
  <si>
    <t>T12211</t>
  </si>
  <si>
    <t>T12212</t>
  </si>
  <si>
    <t>2024-04-14</t>
  </si>
  <si>
    <t>T12213</t>
  </si>
  <si>
    <t>2024-04-15</t>
  </si>
  <si>
    <t>T12214</t>
  </si>
  <si>
    <t>T12215</t>
  </si>
  <si>
    <t>T12216</t>
  </si>
  <si>
    <t>T12217</t>
  </si>
  <si>
    <t>T12218</t>
  </si>
  <si>
    <t>T12219</t>
  </si>
  <si>
    <t>T12220</t>
  </si>
  <si>
    <t>2024-04-16</t>
  </si>
  <si>
    <t>T12221</t>
  </si>
  <si>
    <t>2024-04-17</t>
  </si>
  <si>
    <t>T12222</t>
  </si>
  <si>
    <t>T12223</t>
  </si>
  <si>
    <t>2024-04-18</t>
  </si>
  <si>
    <t>T12224</t>
  </si>
  <si>
    <t>T12225</t>
  </si>
  <si>
    <t>T12226</t>
  </si>
  <si>
    <t>T12227</t>
  </si>
  <si>
    <t>2024-04-19</t>
  </si>
  <si>
    <t>T12228</t>
  </si>
  <si>
    <t>T12229</t>
  </si>
  <si>
    <t>T12230</t>
  </si>
  <si>
    <t>2024-04-20</t>
  </si>
  <si>
    <t>T12231</t>
  </si>
  <si>
    <t>T12232</t>
  </si>
  <si>
    <t>T12233</t>
  </si>
  <si>
    <t>T12234</t>
  </si>
  <si>
    <t>T12235</t>
  </si>
  <si>
    <t>T12236</t>
  </si>
  <si>
    <t>T12237</t>
  </si>
  <si>
    <t>T12238</t>
  </si>
  <si>
    <t>2024-04-21</t>
  </si>
  <si>
    <t>T12239</t>
  </si>
  <si>
    <t>T12240</t>
  </si>
  <si>
    <t>T12241</t>
  </si>
  <si>
    <t>T12242</t>
  </si>
  <si>
    <t>T12243</t>
  </si>
  <si>
    <t>T12244</t>
  </si>
  <si>
    <t>T12245</t>
  </si>
  <si>
    <t>T12246</t>
  </si>
  <si>
    <t>2024-04-22</t>
  </si>
  <si>
    <t>T12247</t>
  </si>
  <si>
    <t>C2123</t>
  </si>
  <si>
    <t>T12248</t>
  </si>
  <si>
    <t>T12249</t>
  </si>
  <si>
    <t>2024-04-23</t>
  </si>
  <si>
    <t>T12250</t>
  </si>
  <si>
    <t>2024-04-24</t>
  </si>
  <si>
    <t>T12251</t>
  </si>
  <si>
    <t>T12252</t>
  </si>
  <si>
    <t>T12253</t>
  </si>
  <si>
    <t>T12254</t>
  </si>
  <si>
    <t>2024-04-25</t>
  </si>
  <si>
    <t>T12255</t>
  </si>
  <si>
    <t>T12256</t>
  </si>
  <si>
    <t>T12257</t>
  </si>
  <si>
    <t>2024-04-26</t>
  </si>
  <si>
    <t>T12258</t>
  </si>
  <si>
    <t>T12259</t>
  </si>
  <si>
    <t>T12260</t>
  </si>
  <si>
    <t>T12261</t>
  </si>
  <si>
    <t>T12262</t>
  </si>
  <si>
    <t>2024-04-27</t>
  </si>
  <si>
    <t>T12263</t>
  </si>
  <si>
    <t>T12264</t>
  </si>
  <si>
    <t>T12265</t>
  </si>
  <si>
    <t>T12266</t>
  </si>
  <si>
    <t>T12267</t>
  </si>
  <si>
    <t>T12268</t>
  </si>
  <si>
    <t>T12269</t>
  </si>
  <si>
    <t>T12270</t>
  </si>
  <si>
    <t>T12271</t>
  </si>
  <si>
    <t>2024-04-28</t>
  </si>
  <si>
    <t>T12272</t>
  </si>
  <si>
    <t>T12273</t>
  </si>
  <si>
    <t>T12274</t>
  </si>
  <si>
    <t>2024-04-29</t>
  </si>
  <si>
    <t>T12275</t>
  </si>
  <si>
    <t>T12276</t>
  </si>
  <si>
    <t>T12277</t>
  </si>
  <si>
    <t>T12278</t>
  </si>
  <si>
    <t>T12279</t>
  </si>
  <si>
    <t>T12280</t>
  </si>
  <si>
    <t>2024-04-30</t>
  </si>
  <si>
    <t>T12281</t>
  </si>
  <si>
    <t>T12282</t>
  </si>
  <si>
    <t>T12283</t>
  </si>
  <si>
    <t>2024-05-01</t>
  </si>
  <si>
    <t>T12284</t>
  </si>
  <si>
    <t>2024-05-02</t>
  </si>
  <si>
    <t>T12285</t>
  </si>
  <si>
    <t>T12286</t>
  </si>
  <si>
    <t>T12287</t>
  </si>
  <si>
    <t>T12288</t>
  </si>
  <si>
    <t>T12289</t>
  </si>
  <si>
    <t>2024-05-03</t>
  </si>
  <si>
    <t>T12290</t>
  </si>
  <si>
    <t>T12291</t>
  </si>
  <si>
    <t>T12292</t>
  </si>
  <si>
    <t>T12293</t>
  </si>
  <si>
    <t>T12294</t>
  </si>
  <si>
    <t>T12295</t>
  </si>
  <si>
    <t>T12296</t>
  </si>
  <si>
    <t>T12297</t>
  </si>
  <si>
    <t>2024-05-04</t>
  </si>
  <si>
    <t>T12298</t>
  </si>
  <si>
    <t>T12299</t>
  </si>
  <si>
    <t>T12300</t>
  </si>
  <si>
    <t>T12301</t>
  </si>
  <si>
    <t>T12302</t>
  </si>
  <si>
    <t>2024-05-05</t>
  </si>
  <si>
    <t>T12303</t>
  </si>
  <si>
    <t>T12304</t>
  </si>
  <si>
    <t>T12305</t>
  </si>
  <si>
    <t>T12306</t>
  </si>
  <si>
    <t>T12307</t>
  </si>
  <si>
    <t>2024-05-06</t>
  </si>
  <si>
    <t>T12308</t>
  </si>
  <si>
    <t>T12309</t>
  </si>
  <si>
    <t>T12310</t>
  </si>
  <si>
    <t>T12311</t>
  </si>
  <si>
    <t>T12312</t>
  </si>
  <si>
    <t>2024-05-07</t>
  </si>
  <si>
    <t>T12313</t>
  </si>
  <si>
    <t>T12314</t>
  </si>
  <si>
    <t>T12315</t>
  </si>
  <si>
    <t>T12316</t>
  </si>
  <si>
    <t>T12317</t>
  </si>
  <si>
    <t>2024-05-08</t>
  </si>
  <si>
    <t>T12318</t>
  </si>
  <si>
    <t>T12319</t>
  </si>
  <si>
    <t>T12320</t>
  </si>
  <si>
    <t>T12321</t>
  </si>
  <si>
    <t>T12322</t>
  </si>
  <si>
    <t>T12323</t>
  </si>
  <si>
    <t>T12324</t>
  </si>
  <si>
    <t>T12325</t>
  </si>
  <si>
    <t>T12326</t>
  </si>
  <si>
    <t>2024-05-09</t>
  </si>
  <si>
    <t>T12327</t>
  </si>
  <si>
    <t>T12328</t>
  </si>
  <si>
    <t>T12329</t>
  </si>
  <si>
    <t>T12330</t>
  </si>
  <si>
    <t>T12331</t>
  </si>
  <si>
    <t>2024-05-10</t>
  </si>
  <si>
    <t>T12332</t>
  </si>
  <si>
    <t>T12333</t>
  </si>
  <si>
    <t>2024-05-11</t>
  </si>
  <si>
    <t>T12334</t>
  </si>
  <si>
    <t>T12335</t>
  </si>
  <si>
    <t>T12336</t>
  </si>
  <si>
    <t>T12337</t>
  </si>
  <si>
    <t>T12338</t>
  </si>
  <si>
    <t>T12339</t>
  </si>
  <si>
    <t>T12340</t>
  </si>
  <si>
    <t>2024-05-12</t>
  </si>
  <si>
    <t>T12341</t>
  </si>
  <si>
    <t>C2168</t>
  </si>
  <si>
    <t>T12342</t>
  </si>
  <si>
    <t>T12343</t>
  </si>
  <si>
    <t>2024-05-13</t>
  </si>
  <si>
    <t>T12344</t>
  </si>
  <si>
    <t>T12345</t>
  </si>
  <si>
    <t>T12346</t>
  </si>
  <si>
    <t>T12347</t>
  </si>
  <si>
    <t>2024-05-14</t>
  </si>
  <si>
    <t>T12348</t>
  </si>
  <si>
    <t>T12349</t>
  </si>
  <si>
    <t>T12350</t>
  </si>
  <si>
    <t>T12351</t>
  </si>
  <si>
    <t>T12352</t>
  </si>
  <si>
    <t>T12353</t>
  </si>
  <si>
    <t>T12354</t>
  </si>
  <si>
    <t>T12355</t>
  </si>
  <si>
    <t>2024-05-15</t>
  </si>
  <si>
    <t>T12356</t>
  </si>
  <si>
    <t>T12357</t>
  </si>
  <si>
    <t>T12358</t>
  </si>
  <si>
    <t>T12359</t>
  </si>
  <si>
    <t>T12360</t>
  </si>
  <si>
    <t>2024-05-16</t>
  </si>
  <si>
    <t>T12361</t>
  </si>
  <si>
    <t>T12362</t>
  </si>
  <si>
    <t>T12363</t>
  </si>
  <si>
    <t>T12364</t>
  </si>
  <si>
    <t>2024-05-18</t>
  </si>
  <si>
    <t>T12365</t>
  </si>
  <si>
    <t>T12366</t>
  </si>
  <si>
    <t>T12367</t>
  </si>
  <si>
    <t>T12368</t>
  </si>
  <si>
    <t>2024-05-19</t>
  </si>
  <si>
    <t>T12369</t>
  </si>
  <si>
    <t>T12370</t>
  </si>
  <si>
    <t>T12371</t>
  </si>
  <si>
    <t>T12372</t>
  </si>
  <si>
    <t>T12373</t>
  </si>
  <si>
    <t>T12374</t>
  </si>
  <si>
    <t>2024-05-20</t>
  </si>
  <si>
    <t>T12375</t>
  </si>
  <si>
    <t>T12376</t>
  </si>
  <si>
    <t>T12377</t>
  </si>
  <si>
    <t>2024-05-21</t>
  </si>
  <si>
    <t>T12378</t>
  </si>
  <si>
    <t>T12379</t>
  </si>
  <si>
    <t>T12380</t>
  </si>
  <si>
    <t>T12381</t>
  </si>
  <si>
    <t>T12382</t>
  </si>
  <si>
    <t>2024-05-22</t>
  </si>
  <si>
    <t>T12383</t>
  </si>
  <si>
    <t>T12384</t>
  </si>
  <si>
    <t>T12385</t>
  </si>
  <si>
    <t>T12386</t>
  </si>
  <si>
    <t>2024-05-23</t>
  </si>
  <si>
    <t>T12387</t>
  </si>
  <si>
    <t>T12388</t>
  </si>
  <si>
    <t>T12389</t>
  </si>
  <si>
    <t>T12390</t>
  </si>
  <si>
    <t>T12391</t>
  </si>
  <si>
    <t>2024-05-24</t>
  </si>
  <si>
    <t>T12392</t>
  </si>
  <si>
    <t>T12393</t>
  </si>
  <si>
    <t>2024-05-25</t>
  </si>
  <si>
    <t>T12394</t>
  </si>
  <si>
    <t>T12395</t>
  </si>
  <si>
    <t>T12396</t>
  </si>
  <si>
    <t>2024-05-26</t>
  </si>
  <si>
    <t>T12397</t>
  </si>
  <si>
    <t>T12398</t>
  </si>
  <si>
    <t>T12399</t>
  </si>
  <si>
    <t>2024-05-27</t>
  </si>
  <si>
    <t>T12400</t>
  </si>
  <si>
    <t>2024-05-28</t>
  </si>
  <si>
    <t>T12401</t>
  </si>
  <si>
    <t>T12402</t>
  </si>
  <si>
    <t>T12403</t>
  </si>
  <si>
    <t>T12404</t>
  </si>
  <si>
    <t>T12405</t>
  </si>
  <si>
    <t>T12406</t>
  </si>
  <si>
    <t>2024-05-29</t>
  </si>
  <si>
    <t>T12407</t>
  </si>
  <si>
    <t>T12408</t>
  </si>
  <si>
    <t>T12409</t>
  </si>
  <si>
    <t>T12410</t>
  </si>
  <si>
    <t>T12411</t>
  </si>
  <si>
    <t>T12412</t>
  </si>
  <si>
    <t>T12413</t>
  </si>
  <si>
    <t>2024-05-30</t>
  </si>
  <si>
    <t>T12414</t>
  </si>
  <si>
    <t>T12415</t>
  </si>
  <si>
    <t>T12416</t>
  </si>
  <si>
    <t>T12417</t>
  </si>
  <si>
    <t>T12418</t>
  </si>
  <si>
    <t>T12419</t>
  </si>
  <si>
    <t>2024-05-31</t>
  </si>
  <si>
    <t>T12420</t>
  </si>
  <si>
    <t>T12421</t>
  </si>
  <si>
    <t>T12422</t>
  </si>
  <si>
    <t>T12423</t>
  </si>
  <si>
    <t>T12424</t>
  </si>
  <si>
    <t>T12425</t>
  </si>
  <si>
    <t>T12426</t>
  </si>
  <si>
    <t>T12427</t>
  </si>
  <si>
    <t>T12428</t>
  </si>
  <si>
    <t>T12429</t>
  </si>
  <si>
    <t>2024-06-01</t>
  </si>
  <si>
    <t>T12430</t>
  </si>
  <si>
    <t>T12431</t>
  </si>
  <si>
    <t>2024-06-02</t>
  </si>
  <si>
    <t>T12432</t>
  </si>
  <si>
    <t>T12433</t>
  </si>
  <si>
    <t>T12434</t>
  </si>
  <si>
    <t>T12435</t>
  </si>
  <si>
    <t>T12436</t>
  </si>
  <si>
    <t>2024-06-03</t>
  </si>
  <si>
    <t>T12437</t>
  </si>
  <si>
    <t>T12438</t>
  </si>
  <si>
    <t>T12439</t>
  </si>
  <si>
    <t>T12440</t>
  </si>
  <si>
    <t>T12441</t>
  </si>
  <si>
    <t>T12442</t>
  </si>
  <si>
    <t>T12443</t>
  </si>
  <si>
    <t>C2273</t>
  </si>
  <si>
    <t>T12444</t>
  </si>
  <si>
    <t>2024-06-04</t>
  </si>
  <si>
    <t>T12445</t>
  </si>
  <si>
    <t>T12446</t>
  </si>
  <si>
    <t>T12447</t>
  </si>
  <si>
    <t>T12448</t>
  </si>
  <si>
    <t>T12449</t>
  </si>
  <si>
    <t>T12450</t>
  </si>
  <si>
    <t>2024-06-05</t>
  </si>
  <si>
    <t>T12451</t>
  </si>
  <si>
    <t>2024-06-06</t>
  </si>
  <si>
    <t>T12452</t>
  </si>
  <si>
    <t>T12453</t>
  </si>
  <si>
    <t>T12454</t>
  </si>
  <si>
    <t>T12455</t>
  </si>
  <si>
    <t>T12456</t>
  </si>
  <si>
    <t>2024-06-07</t>
  </si>
  <si>
    <t>T12457</t>
  </si>
  <si>
    <t>T12458</t>
  </si>
  <si>
    <t>T12459</t>
  </si>
  <si>
    <t>T12460</t>
  </si>
  <si>
    <t>T12461</t>
  </si>
  <si>
    <t>T12462</t>
  </si>
  <si>
    <t>T12463</t>
  </si>
  <si>
    <t>2024-06-08</t>
  </si>
  <si>
    <t>T12464</t>
  </si>
  <si>
    <t>T12465</t>
  </si>
  <si>
    <t>T12466</t>
  </si>
  <si>
    <t>T12467</t>
  </si>
  <si>
    <t>2024-06-09</t>
  </si>
  <si>
    <t>T12468</t>
  </si>
  <si>
    <t>T12469</t>
  </si>
  <si>
    <t>T12470</t>
  </si>
  <si>
    <t>T12471</t>
  </si>
  <si>
    <t>T12472</t>
  </si>
  <si>
    <t>T12473</t>
  </si>
  <si>
    <t>T12474</t>
  </si>
  <si>
    <t>2024-06-10</t>
  </si>
  <si>
    <t>T12475</t>
  </si>
  <si>
    <t>T12476</t>
  </si>
  <si>
    <t>T12477</t>
  </si>
  <si>
    <t>T12478</t>
  </si>
  <si>
    <t>2024-06-11</t>
  </si>
  <si>
    <t>T12479</t>
  </si>
  <si>
    <t>T12480</t>
  </si>
  <si>
    <t>T12481</t>
  </si>
  <si>
    <t>T12482</t>
  </si>
  <si>
    <t>2024-06-12</t>
  </si>
  <si>
    <t>T12483</t>
  </si>
  <si>
    <t>T12484</t>
  </si>
  <si>
    <t>T12485</t>
  </si>
  <si>
    <t>T12486</t>
  </si>
  <si>
    <t>T12487</t>
  </si>
  <si>
    <t>2024-06-13</t>
  </si>
  <si>
    <t>T12488</t>
  </si>
  <si>
    <t>T12489</t>
  </si>
  <si>
    <t>2024-06-14</t>
  </si>
  <si>
    <t>T12490</t>
  </si>
  <si>
    <t>T12491</t>
  </si>
  <si>
    <t>2024-06-15</t>
  </si>
  <si>
    <t>T12492</t>
  </si>
  <si>
    <t>T12493</t>
  </si>
  <si>
    <t>T12494</t>
  </si>
  <si>
    <t>T12495</t>
  </si>
  <si>
    <t>2024-06-16</t>
  </si>
  <si>
    <t>T12496</t>
  </si>
  <si>
    <t>T12497</t>
  </si>
  <si>
    <t>T12498</t>
  </si>
  <si>
    <t>T12499</t>
  </si>
  <si>
    <t>T12500</t>
  </si>
  <si>
    <t>T12501</t>
  </si>
  <si>
    <t>T12502</t>
  </si>
  <si>
    <t>T12503</t>
  </si>
  <si>
    <t>2024-06-17</t>
  </si>
  <si>
    <t>T12504</t>
  </si>
  <si>
    <t>2024-06-18</t>
  </si>
  <si>
    <t>T12505</t>
  </si>
  <si>
    <t>T12506</t>
  </si>
  <si>
    <t>2024-06-19</t>
  </si>
  <si>
    <t>T12507</t>
  </si>
  <si>
    <t>T12508</t>
  </si>
  <si>
    <t>T12509</t>
  </si>
  <si>
    <t>T12510</t>
  </si>
  <si>
    <t>T12511</t>
  </si>
  <si>
    <t>T12512</t>
  </si>
  <si>
    <t>T12513</t>
  </si>
  <si>
    <t>2024-06-20</t>
  </si>
  <si>
    <t>T12514</t>
  </si>
  <si>
    <t>T12515</t>
  </si>
  <si>
    <t>T12516</t>
  </si>
  <si>
    <t>T12517</t>
  </si>
  <si>
    <t>T12518</t>
  </si>
  <si>
    <t>T12519</t>
  </si>
  <si>
    <t>T12520</t>
  </si>
  <si>
    <t>T12521</t>
  </si>
  <si>
    <t>2024-06-21</t>
  </si>
  <si>
    <t>T12522</t>
  </si>
  <si>
    <t>T12523</t>
  </si>
  <si>
    <t>T12524</t>
  </si>
  <si>
    <t>2024-06-22</t>
  </si>
  <si>
    <t>T12525</t>
  </si>
  <si>
    <t>T12526</t>
  </si>
  <si>
    <t>T12527</t>
  </si>
  <si>
    <t>T12528</t>
  </si>
  <si>
    <t>2024-06-23</t>
  </si>
  <si>
    <t>T12529</t>
  </si>
  <si>
    <t>T12530</t>
  </si>
  <si>
    <t>T12531</t>
  </si>
  <si>
    <t>T12532</t>
  </si>
  <si>
    <t>T12533</t>
  </si>
  <si>
    <t>T12534</t>
  </si>
  <si>
    <t>2024-06-24</t>
  </si>
  <si>
    <t>T12535</t>
  </si>
  <si>
    <t>T12536</t>
  </si>
  <si>
    <t>T12537</t>
  </si>
  <si>
    <t>2024-06-25</t>
  </si>
  <si>
    <t>T12538</t>
  </si>
  <si>
    <t>T12539</t>
  </si>
  <si>
    <t>T12540</t>
  </si>
  <si>
    <t>T12541</t>
  </si>
  <si>
    <t>T12542</t>
  </si>
  <si>
    <t>T12543</t>
  </si>
  <si>
    <t>2024-06-26</t>
  </si>
  <si>
    <t>T12544</t>
  </si>
  <si>
    <t>T12545</t>
  </si>
  <si>
    <t>2024-06-27</t>
  </si>
  <si>
    <t>T12546</t>
  </si>
  <si>
    <t>T12547</t>
  </si>
  <si>
    <t>C2313</t>
  </si>
  <si>
    <t>T12548</t>
  </si>
  <si>
    <t>T12549</t>
  </si>
  <si>
    <t>T12550</t>
  </si>
  <si>
    <t>2024-06-29</t>
  </si>
  <si>
    <t>T12551</t>
  </si>
  <si>
    <t>T12552</t>
  </si>
  <si>
    <t>T12553</t>
  </si>
  <si>
    <t>T12554</t>
  </si>
  <si>
    <t>2024-06-30</t>
  </si>
  <si>
    <t>T12555</t>
  </si>
  <si>
    <t>T12556</t>
  </si>
  <si>
    <t>T12557</t>
  </si>
  <si>
    <t>T12558</t>
  </si>
  <si>
    <t>2024-07-01</t>
  </si>
  <si>
    <t>T12559</t>
  </si>
  <si>
    <t>T12560</t>
  </si>
  <si>
    <t>T12561</t>
  </si>
  <si>
    <t>T12562</t>
  </si>
  <si>
    <t>T12563</t>
  </si>
  <si>
    <t>2024-07-02</t>
  </si>
  <si>
    <t>T12564</t>
  </si>
  <si>
    <t>T12565</t>
  </si>
  <si>
    <t>T12566</t>
  </si>
  <si>
    <t>T12567</t>
  </si>
  <si>
    <t>T12568</t>
  </si>
  <si>
    <t>2024-07-03</t>
  </si>
  <si>
    <t>T12569</t>
  </si>
  <si>
    <t>T12570</t>
  </si>
  <si>
    <t>T12571</t>
  </si>
  <si>
    <t>T12572</t>
  </si>
  <si>
    <t>T12573</t>
  </si>
  <si>
    <t>2024-07-04</t>
  </si>
  <si>
    <t>T12574</t>
  </si>
  <si>
    <t>T12575</t>
  </si>
  <si>
    <t>T12576</t>
  </si>
  <si>
    <t>T12577</t>
  </si>
  <si>
    <t>T12578</t>
  </si>
  <si>
    <t>2024-07-05</t>
  </si>
  <si>
    <t>T12579</t>
  </si>
  <si>
    <t>T12580</t>
  </si>
  <si>
    <t>T12581</t>
  </si>
  <si>
    <t>T12582</t>
  </si>
  <si>
    <t>2024-07-06</t>
  </si>
  <si>
    <t>T12583</t>
  </si>
  <si>
    <t>T12584</t>
  </si>
  <si>
    <t>T12585</t>
  </si>
  <si>
    <t>T12586</t>
  </si>
  <si>
    <t>T12587</t>
  </si>
  <si>
    <t>T12588</t>
  </si>
  <si>
    <t>T12589</t>
  </si>
  <si>
    <t>2024-07-07</t>
  </si>
  <si>
    <t>T12590</t>
  </si>
  <si>
    <t>T12591</t>
  </si>
  <si>
    <t>T12592</t>
  </si>
  <si>
    <t>T12593</t>
  </si>
  <si>
    <t>T12594</t>
  </si>
  <si>
    <t>T12595</t>
  </si>
  <si>
    <t>T12596</t>
  </si>
  <si>
    <t>2024-07-08</t>
  </si>
  <si>
    <t>T12597</t>
  </si>
  <si>
    <t>T12598</t>
  </si>
  <si>
    <t>T12599</t>
  </si>
  <si>
    <t>2024-07-09</t>
  </si>
  <si>
    <t>C2322</t>
  </si>
  <si>
    <t>T12600</t>
  </si>
  <si>
    <t>T12601</t>
  </si>
  <si>
    <t>2024-07-10</t>
  </si>
  <si>
    <t>T12602</t>
  </si>
  <si>
    <t>T12603</t>
  </si>
  <si>
    <t>T12604</t>
  </si>
  <si>
    <t>C2348</t>
  </si>
  <si>
    <t>T12605</t>
  </si>
  <si>
    <t>2024-07-11</t>
  </si>
  <si>
    <t>T12606</t>
  </si>
  <si>
    <t>T12607</t>
  </si>
  <si>
    <t>T12608</t>
  </si>
  <si>
    <t>T12609</t>
  </si>
  <si>
    <t>T12610</t>
  </si>
  <si>
    <t>T12611</t>
  </si>
  <si>
    <t>T12612</t>
  </si>
  <si>
    <t>C2085</t>
  </si>
  <si>
    <t>T12613</t>
  </si>
  <si>
    <t>2024-07-12</t>
  </si>
  <si>
    <t>T12614</t>
  </si>
  <si>
    <t>T12615</t>
  </si>
  <si>
    <t>T12616</t>
  </si>
  <si>
    <t>T12617</t>
  </si>
  <si>
    <t>T12618</t>
  </si>
  <si>
    <t>T12619</t>
  </si>
  <si>
    <t>T12620</t>
  </si>
  <si>
    <t>T12621</t>
  </si>
  <si>
    <t>2024-07-13</t>
  </si>
  <si>
    <t>T12622</t>
  </si>
  <si>
    <t>T12623</t>
  </si>
  <si>
    <t>T12624</t>
  </si>
  <si>
    <t>T12625</t>
  </si>
  <si>
    <t>T12626</t>
  </si>
  <si>
    <t>T12627</t>
  </si>
  <si>
    <t>2024-07-14</t>
  </si>
  <si>
    <t>T12628</t>
  </si>
  <si>
    <t>T12629</t>
  </si>
  <si>
    <t>T12630</t>
  </si>
  <si>
    <t>T12631</t>
  </si>
  <si>
    <t>T12632</t>
  </si>
  <si>
    <t>T12633</t>
  </si>
  <si>
    <t>T12634</t>
  </si>
  <si>
    <t>T12635</t>
  </si>
  <si>
    <t>2024-07-15</t>
  </si>
  <si>
    <t>T12636</t>
  </si>
  <si>
    <t>T12637</t>
  </si>
  <si>
    <t>T12638</t>
  </si>
  <si>
    <t>T12639</t>
  </si>
  <si>
    <t>T12640</t>
  </si>
  <si>
    <t>2024-07-16</t>
  </si>
  <si>
    <t>T12641</t>
  </si>
  <si>
    <t>T12642</t>
  </si>
  <si>
    <t>T12643</t>
  </si>
  <si>
    <t>T12644</t>
  </si>
  <si>
    <t>T12645</t>
  </si>
  <si>
    <t>T12646</t>
  </si>
  <si>
    <t>2024-07-17</t>
  </si>
  <si>
    <t>T12647</t>
  </si>
  <si>
    <t>T12648</t>
  </si>
  <si>
    <t>T12649</t>
  </si>
  <si>
    <t>T12650</t>
  </si>
  <si>
    <t>T12651</t>
  </si>
  <si>
    <t>2024-07-18</t>
  </si>
  <si>
    <t>T12652</t>
  </si>
  <si>
    <t>T12653</t>
  </si>
  <si>
    <t>T12654</t>
  </si>
  <si>
    <t>2024-07-19</t>
  </si>
  <si>
    <t>T12655</t>
  </si>
  <si>
    <t>T12656</t>
  </si>
  <si>
    <t>T12657</t>
  </si>
  <si>
    <t>T12658</t>
  </si>
  <si>
    <t>T12659</t>
  </si>
  <si>
    <t>2024-07-20</t>
  </si>
  <si>
    <t>T12660</t>
  </si>
  <si>
    <t>T12661</t>
  </si>
  <si>
    <t>T12662</t>
  </si>
  <si>
    <t>T12663</t>
  </si>
  <si>
    <t>T12664</t>
  </si>
  <si>
    <t>2024-07-21</t>
  </si>
  <si>
    <t>T12665</t>
  </si>
  <si>
    <t>T12666</t>
  </si>
  <si>
    <t>T12667</t>
  </si>
  <si>
    <t>2024-07-22</t>
  </si>
  <si>
    <t>T12668</t>
  </si>
  <si>
    <t>T12669</t>
  </si>
  <si>
    <t>T12670</t>
  </si>
  <si>
    <t>T12671</t>
  </si>
  <si>
    <t>T12672</t>
  </si>
  <si>
    <t>2024-07-23</t>
  </si>
  <si>
    <t>T12673</t>
  </si>
  <si>
    <t>T12674</t>
  </si>
  <si>
    <t>T12675</t>
  </si>
  <si>
    <t>2024-07-24</t>
  </si>
  <si>
    <t>T12676</t>
  </si>
  <si>
    <t>T12677</t>
  </si>
  <si>
    <t>T12678</t>
  </si>
  <si>
    <t>T12679</t>
  </si>
  <si>
    <t>T12680</t>
  </si>
  <si>
    <t>T12681</t>
  </si>
  <si>
    <t>T12682</t>
  </si>
  <si>
    <t>T12683</t>
  </si>
  <si>
    <t>T12684</t>
  </si>
  <si>
    <t>T12685</t>
  </si>
  <si>
    <t>2024-07-25</t>
  </si>
  <si>
    <t>T12686</t>
  </si>
  <si>
    <t>T12687</t>
  </si>
  <si>
    <t>T12688</t>
  </si>
  <si>
    <t>2024-07-26</t>
  </si>
  <si>
    <t>T12689</t>
  </si>
  <si>
    <t>T12690</t>
  </si>
  <si>
    <t>T12691</t>
  </si>
  <si>
    <t>T12692</t>
  </si>
  <si>
    <t>T12693</t>
  </si>
  <si>
    <t>T12694</t>
  </si>
  <si>
    <t>T12695</t>
  </si>
  <si>
    <t>2024-07-27</t>
  </si>
  <si>
    <t>T12696</t>
  </si>
  <si>
    <t>T12697</t>
  </si>
  <si>
    <t>T12698</t>
  </si>
  <si>
    <t>T12699</t>
  </si>
  <si>
    <t>T12700</t>
  </si>
  <si>
    <t>2024-07-28</t>
  </si>
  <si>
    <t>T12701</t>
  </si>
  <si>
    <t>T12702</t>
  </si>
  <si>
    <t>T12703</t>
  </si>
  <si>
    <t>T12704</t>
  </si>
  <si>
    <t>T12705</t>
  </si>
  <si>
    <t>T12706</t>
  </si>
  <si>
    <t>T12707</t>
  </si>
  <si>
    <t>2024-07-29</t>
  </si>
  <si>
    <t>T12708</t>
  </si>
  <si>
    <t>T12709</t>
  </si>
  <si>
    <t>T12710</t>
  </si>
  <si>
    <t>T12711</t>
  </si>
  <si>
    <t>2024-07-30</t>
  </si>
  <si>
    <t>T12712</t>
  </si>
  <si>
    <t>T12713</t>
  </si>
  <si>
    <t>T12714</t>
  </si>
  <si>
    <t>2024-07-31</t>
  </si>
  <si>
    <t>T12715</t>
  </si>
  <si>
    <t>T12716</t>
  </si>
  <si>
    <t>T12717</t>
  </si>
  <si>
    <t>2024-08-01</t>
  </si>
  <si>
    <t>T12718</t>
  </si>
  <si>
    <t>T12719</t>
  </si>
  <si>
    <t>T12720</t>
  </si>
  <si>
    <t>T12721</t>
  </si>
  <si>
    <t>T12722</t>
  </si>
  <si>
    <t>2024-08-02</t>
  </si>
  <si>
    <t>C2326</t>
  </si>
  <si>
    <t>T12723</t>
  </si>
  <si>
    <t>T12724</t>
  </si>
  <si>
    <t>T12725</t>
  </si>
  <si>
    <t>T12726</t>
  </si>
  <si>
    <t>T12727</t>
  </si>
  <si>
    <t>T12728</t>
  </si>
  <si>
    <t>2024-08-03</t>
  </si>
  <si>
    <t>T12729</t>
  </si>
  <si>
    <t>T12730</t>
  </si>
  <si>
    <t>T12731</t>
  </si>
  <si>
    <t>T12732</t>
  </si>
  <si>
    <t>T12733</t>
  </si>
  <si>
    <t>2024-08-04</t>
  </si>
  <si>
    <t>T12734</t>
  </si>
  <si>
    <t>T12735</t>
  </si>
  <si>
    <t>T12736</t>
  </si>
  <si>
    <t>T12737</t>
  </si>
  <si>
    <t>T12738</t>
  </si>
  <si>
    <t>T12739</t>
  </si>
  <si>
    <t>2024-08-05</t>
  </si>
  <si>
    <t>T12740</t>
  </si>
  <si>
    <t>T12741</t>
  </si>
  <si>
    <t>T12742</t>
  </si>
  <si>
    <t>2024-08-06</t>
  </si>
  <si>
    <t>T12743</t>
  </si>
  <si>
    <t>T12744</t>
  </si>
  <si>
    <t>T12745</t>
  </si>
  <si>
    <t>T12746</t>
  </si>
  <si>
    <t>T12747</t>
  </si>
  <si>
    <t>T12748</t>
  </si>
  <si>
    <t>T12749</t>
  </si>
  <si>
    <t>T12750</t>
  </si>
  <si>
    <t>2024-08-07</t>
  </si>
  <si>
    <t>T12751</t>
  </si>
  <si>
    <t>T12752</t>
  </si>
  <si>
    <t>T12753</t>
  </si>
  <si>
    <t>2024-08-08</t>
  </si>
  <si>
    <t>T12754</t>
  </si>
  <si>
    <t>T12755</t>
  </si>
  <si>
    <t>T12756</t>
  </si>
  <si>
    <t>T12757</t>
  </si>
  <si>
    <t>T12758</t>
  </si>
  <si>
    <t>2024-08-09</t>
  </si>
  <si>
    <t>T12759</t>
  </si>
  <si>
    <t>T12760</t>
  </si>
  <si>
    <t>2024-08-10</t>
  </si>
  <si>
    <t>T12761</t>
  </si>
  <si>
    <t>T12762</t>
  </si>
  <si>
    <t>T12763</t>
  </si>
  <si>
    <t>T12764</t>
  </si>
  <si>
    <t>T12765</t>
  </si>
  <si>
    <t>T12766</t>
  </si>
  <si>
    <t>T12767</t>
  </si>
  <si>
    <t>2024-08-11</t>
  </si>
  <si>
    <t>T12768</t>
  </si>
  <si>
    <t>T12769</t>
  </si>
  <si>
    <t>T12770</t>
  </si>
  <si>
    <t>T12771</t>
  </si>
  <si>
    <t>2024-08-12</t>
  </si>
  <si>
    <t>T12772</t>
  </si>
  <si>
    <t>T12773</t>
  </si>
  <si>
    <t>T12774</t>
  </si>
  <si>
    <t>T12775</t>
  </si>
  <si>
    <t>2024-08-13</t>
  </si>
  <si>
    <t>T12776</t>
  </si>
  <si>
    <t>T12777</t>
  </si>
  <si>
    <t>T12778</t>
  </si>
  <si>
    <t>T12779</t>
  </si>
  <si>
    <t>2024-08-14</t>
  </si>
  <si>
    <t>T12780</t>
  </si>
  <si>
    <t>T12781</t>
  </si>
  <si>
    <t>T12782</t>
  </si>
  <si>
    <t>T12783</t>
  </si>
  <si>
    <t>2024-08-15</t>
  </si>
  <si>
    <t>T12784</t>
  </si>
  <si>
    <t>T12785</t>
  </si>
  <si>
    <t>T12786</t>
  </si>
  <si>
    <t>T12787</t>
  </si>
  <si>
    <t>T12788</t>
  </si>
  <si>
    <t>2024-08-16</t>
  </si>
  <si>
    <t>T12789</t>
  </si>
  <si>
    <t>T12790</t>
  </si>
  <si>
    <t>T12791</t>
  </si>
  <si>
    <t>T12792</t>
  </si>
  <si>
    <t>T12793</t>
  </si>
  <si>
    <t>T12794</t>
  </si>
  <si>
    <t>T12795</t>
  </si>
  <si>
    <t>2024-08-17</t>
  </si>
  <si>
    <t>T12796</t>
  </si>
  <si>
    <t>T12797</t>
  </si>
  <si>
    <t>2024-08-18</t>
  </si>
  <si>
    <t>T12798</t>
  </si>
  <si>
    <t>T12799</t>
  </si>
  <si>
    <t>T12800</t>
  </si>
  <si>
    <t>T12801</t>
  </si>
  <si>
    <t>T12802</t>
  </si>
  <si>
    <t>T12803</t>
  </si>
  <si>
    <t>2024-08-19</t>
  </si>
  <si>
    <t>T12804</t>
  </si>
  <si>
    <t>C2143</t>
  </si>
  <si>
    <t>T12805</t>
  </si>
  <si>
    <t>2024-08-20</t>
  </si>
  <si>
    <t>T12806</t>
  </si>
  <si>
    <t>T12807</t>
  </si>
  <si>
    <t>C2132</t>
  </si>
  <si>
    <t>T12808</t>
  </si>
  <si>
    <t>T12809</t>
  </si>
  <si>
    <t>T12810</t>
  </si>
  <si>
    <t>T12811</t>
  </si>
  <si>
    <t>T12812</t>
  </si>
  <si>
    <t>2024-08-21</t>
  </si>
  <si>
    <t>T12813</t>
  </si>
  <si>
    <t>T12814</t>
  </si>
  <si>
    <t>C2271</t>
  </si>
  <si>
    <t>T12815</t>
  </si>
  <si>
    <t>2024-08-22</t>
  </si>
  <si>
    <t>T12816</t>
  </si>
  <si>
    <t>2024-08-23</t>
  </si>
  <si>
    <t>T12817</t>
  </si>
  <si>
    <t>T12818</t>
  </si>
  <si>
    <t>T12819</t>
  </si>
  <si>
    <t>T12820</t>
  </si>
  <si>
    <t>2024-08-24</t>
  </si>
  <si>
    <t>T12821</t>
  </si>
  <si>
    <t>T12822</t>
  </si>
  <si>
    <t>T12823</t>
  </si>
  <si>
    <t>T12824</t>
  </si>
  <si>
    <t>T12825</t>
  </si>
  <si>
    <t>T12826</t>
  </si>
  <si>
    <t>T12827</t>
  </si>
  <si>
    <t>T12828</t>
  </si>
  <si>
    <t>T12829</t>
  </si>
  <si>
    <t>2024-08-25</t>
  </si>
  <si>
    <t>T12830</t>
  </si>
  <si>
    <t>T12831</t>
  </si>
  <si>
    <t>T12832</t>
  </si>
  <si>
    <t>2024-08-26</t>
  </si>
  <si>
    <t>T12833</t>
  </si>
  <si>
    <t>T12834</t>
  </si>
  <si>
    <t>T12835</t>
  </si>
  <si>
    <t>T12836</t>
  </si>
  <si>
    <t>T12837</t>
  </si>
  <si>
    <t>T12838</t>
  </si>
  <si>
    <t>T12839</t>
  </si>
  <si>
    <t>2024-08-27</t>
  </si>
  <si>
    <t>T12840</t>
  </si>
  <si>
    <t>T12841</t>
  </si>
  <si>
    <t>T12842</t>
  </si>
  <si>
    <t>T12843</t>
  </si>
  <si>
    <t>T12844</t>
  </si>
  <si>
    <t>T12845</t>
  </si>
  <si>
    <t>T12846</t>
  </si>
  <si>
    <t>2024-08-28</t>
  </si>
  <si>
    <t>T12847</t>
  </si>
  <si>
    <t>T12848</t>
  </si>
  <si>
    <t>T12849</t>
  </si>
  <si>
    <t>2024-08-29</t>
  </si>
  <si>
    <t>T12850</t>
  </si>
  <si>
    <t>T12851</t>
  </si>
  <si>
    <t>2024-08-30</t>
  </si>
  <si>
    <t>T12852</t>
  </si>
  <si>
    <t>T12853</t>
  </si>
  <si>
    <t>T12854</t>
  </si>
  <si>
    <t>T12855</t>
  </si>
  <si>
    <t>2024-08-31</t>
  </si>
  <si>
    <t>T12856</t>
  </si>
  <si>
    <t>T12857</t>
  </si>
  <si>
    <t>2024-09-01</t>
  </si>
  <si>
    <t>T12858</t>
  </si>
  <si>
    <t>T12859</t>
  </si>
  <si>
    <t>T12860</t>
  </si>
  <si>
    <t>T12861</t>
  </si>
  <si>
    <t>T12862</t>
  </si>
  <si>
    <t>T12863</t>
  </si>
  <si>
    <t>T12864</t>
  </si>
  <si>
    <t>T12865</t>
  </si>
  <si>
    <t>2024-09-02</t>
  </si>
  <si>
    <t>T12866</t>
  </si>
  <si>
    <t>T12867</t>
  </si>
  <si>
    <t>T12868</t>
  </si>
  <si>
    <t>2024-09-03</t>
  </si>
  <si>
    <t>T12869</t>
  </si>
  <si>
    <t>T12870</t>
  </si>
  <si>
    <t>T12871</t>
  </si>
  <si>
    <t>T12872</t>
  </si>
  <si>
    <t>T12873</t>
  </si>
  <si>
    <t>2024-09-04</t>
  </si>
  <si>
    <t>T12874</t>
  </si>
  <si>
    <t>T12875</t>
  </si>
  <si>
    <t>T12876</t>
  </si>
  <si>
    <t>T12877</t>
  </si>
  <si>
    <t>T12878</t>
  </si>
  <si>
    <t>T12879</t>
  </si>
  <si>
    <t>T12880</t>
  </si>
  <si>
    <t>2024-09-05</t>
  </si>
  <si>
    <t>T12881</t>
  </si>
  <si>
    <t>T12882</t>
  </si>
  <si>
    <t>T12883</t>
  </si>
  <si>
    <t>T12884</t>
  </si>
  <si>
    <t>2024-09-06</t>
  </si>
  <si>
    <t>T12885</t>
  </si>
  <si>
    <t>T12886</t>
  </si>
  <si>
    <t>T12887</t>
  </si>
  <si>
    <t>T12888</t>
  </si>
  <si>
    <t>2024-09-07</t>
  </si>
  <si>
    <t>T12889</t>
  </si>
  <si>
    <t>T12890</t>
  </si>
  <si>
    <t>T12891</t>
  </si>
  <si>
    <t>T12892</t>
  </si>
  <si>
    <t>2024-09-08</t>
  </si>
  <si>
    <t>T12893</t>
  </si>
  <si>
    <t>T12894</t>
  </si>
  <si>
    <t>T12895</t>
  </si>
  <si>
    <t>2024-09-09</t>
  </si>
  <si>
    <t>T12896</t>
  </si>
  <si>
    <t>T12897</t>
  </si>
  <si>
    <t>T12898</t>
  </si>
  <si>
    <t>T12899</t>
  </si>
  <si>
    <t>T12900</t>
  </si>
  <si>
    <t>2024-09-10</t>
  </si>
  <si>
    <t>T12901</t>
  </si>
  <si>
    <t>T12902</t>
  </si>
  <si>
    <t>T12903</t>
  </si>
  <si>
    <t>T12904</t>
  </si>
  <si>
    <t>T12905</t>
  </si>
  <si>
    <t>T12906</t>
  </si>
  <si>
    <t>2024-09-11</t>
  </si>
  <si>
    <t>C2324</t>
  </si>
  <si>
    <t>T12907</t>
  </si>
  <si>
    <t>T12908</t>
  </si>
  <si>
    <t>T12909</t>
  </si>
  <si>
    <t>T12910</t>
  </si>
  <si>
    <t>T12911</t>
  </si>
  <si>
    <t>T12912</t>
  </si>
  <si>
    <t>T12913</t>
  </si>
  <si>
    <t>2024-09-12</t>
  </si>
  <si>
    <t>T12914</t>
  </si>
  <si>
    <t>T12915</t>
  </si>
  <si>
    <t>T12916</t>
  </si>
  <si>
    <t>T12917</t>
  </si>
  <si>
    <t>2024-09-13</t>
  </si>
  <si>
    <t>T12918</t>
  </si>
  <si>
    <t>T12919</t>
  </si>
  <si>
    <t>T12920</t>
  </si>
  <si>
    <t>T12921</t>
  </si>
  <si>
    <t>2024-09-14</t>
  </si>
  <si>
    <t>T12922</t>
  </si>
  <si>
    <t>T12923</t>
  </si>
  <si>
    <t>T12924</t>
  </si>
  <si>
    <t>T12925</t>
  </si>
  <si>
    <t>T12926</t>
  </si>
  <si>
    <t>T12927</t>
  </si>
  <si>
    <t>2024-09-15</t>
  </si>
  <si>
    <t>T12928</t>
  </si>
  <si>
    <t>T12929</t>
  </si>
  <si>
    <t>T12930</t>
  </si>
  <si>
    <t>2024-09-16</t>
  </si>
  <si>
    <t>T12931</t>
  </si>
  <si>
    <t>T12932</t>
  </si>
  <si>
    <t>T12933</t>
  </si>
  <si>
    <t>T12934</t>
  </si>
  <si>
    <t>2024-09-17</t>
  </si>
  <si>
    <t>T12935</t>
  </si>
  <si>
    <t>T12936</t>
  </si>
  <si>
    <t>T12937</t>
  </si>
  <si>
    <t>2024-09-18</t>
  </si>
  <si>
    <t>T12938</t>
  </si>
  <si>
    <t>T12939</t>
  </si>
  <si>
    <t>2024-09-19</t>
  </si>
  <si>
    <t>T12940</t>
  </si>
  <si>
    <t>T12941</t>
  </si>
  <si>
    <t>T12942</t>
  </si>
  <si>
    <t>T12943</t>
  </si>
  <si>
    <t>T12944</t>
  </si>
  <si>
    <t>T12945</t>
  </si>
  <si>
    <t>T12946</t>
  </si>
  <si>
    <t>2024-09-20</t>
  </si>
  <si>
    <t>T12947</t>
  </si>
  <si>
    <t>T12948</t>
  </si>
  <si>
    <t>T12949</t>
  </si>
  <si>
    <t>T12950</t>
  </si>
  <si>
    <t>T12951</t>
  </si>
  <si>
    <t>T12952</t>
  </si>
  <si>
    <t>T12953</t>
  </si>
  <si>
    <t>T12954</t>
  </si>
  <si>
    <t>2024-09-21</t>
  </si>
  <si>
    <t>T12955</t>
  </si>
  <si>
    <t>T12956</t>
  </si>
  <si>
    <t>T12957</t>
  </si>
  <si>
    <t>T12958</t>
  </si>
  <si>
    <t>T12959</t>
  </si>
  <si>
    <t>T12960</t>
  </si>
  <si>
    <t>2024-09-22</t>
  </si>
  <si>
    <t>T12961</t>
  </si>
  <si>
    <t>T12962</t>
  </si>
  <si>
    <t>T12963</t>
  </si>
  <si>
    <t>T12964</t>
  </si>
  <si>
    <t>T12965</t>
  </si>
  <si>
    <t>2024-09-23</t>
  </si>
  <si>
    <t>T12966</t>
  </si>
  <si>
    <t>T12967</t>
  </si>
  <si>
    <t>T12968</t>
  </si>
  <si>
    <t>T12969</t>
  </si>
  <si>
    <t>T12970</t>
  </si>
  <si>
    <t>T12971</t>
  </si>
  <si>
    <t>2024-09-24</t>
  </si>
  <si>
    <t>T12972</t>
  </si>
  <si>
    <t>T12973</t>
  </si>
  <si>
    <t>T12974</t>
  </si>
  <si>
    <t>T12975</t>
  </si>
  <si>
    <t>T12976</t>
  </si>
  <si>
    <t>T12977</t>
  </si>
  <si>
    <t>2024-09-25</t>
  </si>
  <si>
    <t>T12978</t>
  </si>
  <si>
    <t>T12979</t>
  </si>
  <si>
    <t>2024-09-26</t>
  </si>
  <si>
    <t>T12980</t>
  </si>
  <si>
    <t>T12981</t>
  </si>
  <si>
    <t>T12982</t>
  </si>
  <si>
    <t>T12983</t>
  </si>
  <si>
    <t>2024-09-27</t>
  </si>
  <si>
    <t>T12984</t>
  </si>
  <si>
    <t>T12985</t>
  </si>
  <si>
    <t>2024-09-28</t>
  </si>
  <si>
    <t>T12986</t>
  </si>
  <si>
    <t>T12987</t>
  </si>
  <si>
    <t>T12988</t>
  </si>
  <si>
    <t>T12989</t>
  </si>
  <si>
    <t>T12990</t>
  </si>
  <si>
    <t>T12991</t>
  </si>
  <si>
    <t>2024-09-29</t>
  </si>
  <si>
    <t>T12992</t>
  </si>
  <si>
    <t>T12993</t>
  </si>
  <si>
    <t>T12994</t>
  </si>
  <si>
    <t>T12995</t>
  </si>
  <si>
    <t>T12996</t>
  </si>
  <si>
    <t>T12997</t>
  </si>
  <si>
    <t>2024-09-30</t>
  </si>
  <si>
    <t>T12998</t>
  </si>
  <si>
    <t>T12999</t>
  </si>
  <si>
    <t>T13000</t>
  </si>
  <si>
    <t>2024-10-01</t>
  </si>
  <si>
    <t>T13001</t>
  </si>
  <si>
    <t>T13002</t>
  </si>
  <si>
    <t>T13003</t>
  </si>
  <si>
    <t>2024-10-02</t>
  </si>
  <si>
    <t>T13004</t>
  </si>
  <si>
    <t>T13005</t>
  </si>
  <si>
    <t>T13006</t>
  </si>
  <si>
    <t>2024-10-03</t>
  </si>
  <si>
    <t>T13007</t>
  </si>
  <si>
    <t>T13008</t>
  </si>
  <si>
    <t>T13009</t>
  </si>
  <si>
    <t>2024-10-04</t>
  </si>
  <si>
    <t>T13010</t>
  </si>
  <si>
    <t>T13011</t>
  </si>
  <si>
    <t>T13012</t>
  </si>
  <si>
    <t>2024-10-05</t>
  </si>
  <si>
    <t>T13013</t>
  </si>
  <si>
    <t>T13014</t>
  </si>
  <si>
    <t>T13015</t>
  </si>
  <si>
    <t>T13016</t>
  </si>
  <si>
    <t>T13017</t>
  </si>
  <si>
    <t>2024-10-06</t>
  </si>
  <si>
    <t>T13018</t>
  </si>
  <si>
    <t>T13019</t>
  </si>
  <si>
    <t>T13020</t>
  </si>
  <si>
    <t>T13021</t>
  </si>
  <si>
    <t>T13022</t>
  </si>
  <si>
    <t>2024-10-07</t>
  </si>
  <si>
    <t>T13023</t>
  </si>
  <si>
    <t>T13024</t>
  </si>
  <si>
    <t>T13025</t>
  </si>
  <si>
    <t>T13026</t>
  </si>
  <si>
    <t>T13027</t>
  </si>
  <si>
    <t>2024-10-08</t>
  </si>
  <si>
    <t>T13028</t>
  </si>
  <si>
    <t>T13029</t>
  </si>
  <si>
    <t>T13030</t>
  </si>
  <si>
    <t>2024-10-09</t>
  </si>
  <si>
    <t>T13031</t>
  </si>
  <si>
    <t>T13032</t>
  </si>
  <si>
    <t>T13033</t>
  </si>
  <si>
    <t>T13034</t>
  </si>
  <si>
    <t>T13035</t>
  </si>
  <si>
    <t>T13036</t>
  </si>
  <si>
    <t>T13037</t>
  </si>
  <si>
    <t>T13038</t>
  </si>
  <si>
    <t>2024-10-10</t>
  </si>
  <si>
    <t>T13039</t>
  </si>
  <si>
    <t>T13040</t>
  </si>
  <si>
    <t>T13041</t>
  </si>
  <si>
    <t>2024-10-11</t>
  </si>
  <si>
    <t>T13042</t>
  </si>
  <si>
    <t>T13043</t>
  </si>
  <si>
    <t>T13044</t>
  </si>
  <si>
    <t>T13045</t>
  </si>
  <si>
    <t>T13046</t>
  </si>
  <si>
    <t>T13047</t>
  </si>
  <si>
    <t>2024-10-12</t>
  </si>
  <si>
    <t>T13048</t>
  </si>
  <si>
    <t>T13049</t>
  </si>
  <si>
    <t>T13050</t>
  </si>
  <si>
    <t>T13051</t>
  </si>
  <si>
    <t>T13052</t>
  </si>
  <si>
    <t>2024-10-13</t>
  </si>
  <si>
    <t>C2209</t>
  </si>
  <si>
    <t>T13053</t>
  </si>
  <si>
    <t>T13054</t>
  </si>
  <si>
    <t>2024-10-14</t>
  </si>
  <si>
    <t>T13055</t>
  </si>
  <si>
    <t>T13056</t>
  </si>
  <si>
    <t>T13057</t>
  </si>
  <si>
    <t>T13058</t>
  </si>
  <si>
    <t>2024-10-15</t>
  </si>
  <si>
    <t>T13059</t>
  </si>
  <si>
    <t>T13060</t>
  </si>
  <si>
    <t>T13061</t>
  </si>
  <si>
    <t>T13062</t>
  </si>
  <si>
    <t>2024-10-16</t>
  </si>
  <si>
    <t>T13063</t>
  </si>
  <si>
    <t>T13064</t>
  </si>
  <si>
    <t>T13065</t>
  </si>
  <si>
    <t>T13066</t>
  </si>
  <si>
    <t>T13067</t>
  </si>
  <si>
    <t>T13068</t>
  </si>
  <si>
    <t>2024-10-17</t>
  </si>
  <si>
    <t>T13069</t>
  </si>
  <si>
    <t>T13070</t>
  </si>
  <si>
    <t>T13071</t>
  </si>
  <si>
    <t>2024-10-18</t>
  </si>
  <si>
    <t>T13072</t>
  </si>
  <si>
    <t>T13073</t>
  </si>
  <si>
    <t>T13074</t>
  </si>
  <si>
    <t>T13075</t>
  </si>
  <si>
    <t>T13076</t>
  </si>
  <si>
    <t>2024-10-19</t>
  </si>
  <si>
    <t>T13077</t>
  </si>
  <si>
    <t>T13078</t>
  </si>
  <si>
    <t>T13079</t>
  </si>
  <si>
    <t>T13080</t>
  </si>
  <si>
    <t>T13081</t>
  </si>
  <si>
    <t>T13082</t>
  </si>
  <si>
    <t>2024-10-20</t>
  </si>
  <si>
    <t>T13083</t>
  </si>
  <si>
    <t>T13084</t>
  </si>
  <si>
    <t>T13085</t>
  </si>
  <si>
    <t>T13086</t>
  </si>
  <si>
    <t>T13087</t>
  </si>
  <si>
    <t>T13088</t>
  </si>
  <si>
    <t>T13089</t>
  </si>
  <si>
    <t>T13090</t>
  </si>
  <si>
    <t>2024-10-21</t>
  </si>
  <si>
    <t>T13091</t>
  </si>
  <si>
    <t>T13092</t>
  </si>
  <si>
    <t>T13093</t>
  </si>
  <si>
    <t>T13094</t>
  </si>
  <si>
    <t>T13095</t>
  </si>
  <si>
    <t>T13096</t>
  </si>
  <si>
    <t>T13097</t>
  </si>
  <si>
    <t>2024-10-22</t>
  </si>
  <si>
    <t>T13098</t>
  </si>
  <si>
    <t>T13099</t>
  </si>
  <si>
    <t>T13100</t>
  </si>
  <si>
    <t>T13101</t>
  </si>
  <si>
    <t>T13102</t>
  </si>
  <si>
    <t>T13103</t>
  </si>
  <si>
    <t>T13104</t>
  </si>
  <si>
    <t>T13105</t>
  </si>
  <si>
    <t>T13106</t>
  </si>
  <si>
    <t>2024-10-23</t>
  </si>
  <si>
    <t>T13107</t>
  </si>
  <si>
    <t>T13108</t>
  </si>
  <si>
    <t>T13109</t>
  </si>
  <si>
    <t>T13110</t>
  </si>
  <si>
    <t>T13111</t>
  </si>
  <si>
    <t>T13112</t>
  </si>
  <si>
    <t>T13113</t>
  </si>
  <si>
    <t>T13114</t>
  </si>
  <si>
    <t>2024-10-24</t>
  </si>
  <si>
    <t>T13115</t>
  </si>
  <si>
    <t>T13116</t>
  </si>
  <si>
    <t>T13117</t>
  </si>
  <si>
    <t>2024-10-25</t>
  </si>
  <si>
    <t>T13118</t>
  </si>
  <si>
    <t>T13119</t>
  </si>
  <si>
    <t>T13120</t>
  </si>
  <si>
    <t>T13121</t>
  </si>
  <si>
    <t>T13122</t>
  </si>
  <si>
    <t>T13123</t>
  </si>
  <si>
    <t>T13124</t>
  </si>
  <si>
    <t>T13125</t>
  </si>
  <si>
    <t>T13126</t>
  </si>
  <si>
    <t>2024-10-26</t>
  </si>
  <si>
    <t>T13127</t>
  </si>
  <si>
    <t>T13128</t>
  </si>
  <si>
    <t>T13129</t>
  </si>
  <si>
    <t>T13130</t>
  </si>
  <si>
    <t>T13131</t>
  </si>
  <si>
    <t>2024-10-27</t>
  </si>
  <si>
    <t>T13132</t>
  </si>
  <si>
    <t>T13133</t>
  </si>
  <si>
    <t>T13134</t>
  </si>
  <si>
    <t>T13135</t>
  </si>
  <si>
    <t>T13136</t>
  </si>
  <si>
    <t>T13137</t>
  </si>
  <si>
    <t>T13138</t>
  </si>
  <si>
    <t>T13139</t>
  </si>
  <si>
    <t>T13140</t>
  </si>
  <si>
    <t>2024-10-28</t>
  </si>
  <si>
    <t>T13141</t>
  </si>
  <si>
    <t>T13142</t>
  </si>
  <si>
    <t>T13143</t>
  </si>
  <si>
    <t>T13144</t>
  </si>
  <si>
    <t>2024-10-29</t>
  </si>
  <si>
    <t>T13145</t>
  </si>
  <si>
    <t>T13146</t>
  </si>
  <si>
    <t>T13147</t>
  </si>
  <si>
    <t>2024-10-30</t>
  </si>
  <si>
    <t>T13148</t>
  </si>
  <si>
    <t>T13149</t>
  </si>
  <si>
    <t>T13150</t>
  </si>
  <si>
    <t>T13151</t>
  </si>
  <si>
    <t>T13152</t>
  </si>
  <si>
    <t>T13153</t>
  </si>
  <si>
    <t>2024-10-31</t>
  </si>
  <si>
    <t>T13154</t>
  </si>
  <si>
    <t>T13155</t>
  </si>
  <si>
    <t>T13156</t>
  </si>
  <si>
    <t>T13157</t>
  </si>
  <si>
    <t>T13158</t>
  </si>
  <si>
    <t>T13159</t>
  </si>
  <si>
    <t>T13160</t>
  </si>
  <si>
    <t>T13161</t>
  </si>
  <si>
    <t>T13162</t>
  </si>
  <si>
    <t>T13163</t>
  </si>
  <si>
    <t>T13164</t>
  </si>
  <si>
    <t>2024-11-02</t>
  </si>
  <si>
    <t>T13165</t>
  </si>
  <si>
    <t>T13166</t>
  </si>
  <si>
    <t>T13167</t>
  </si>
  <si>
    <t>T13168</t>
  </si>
  <si>
    <t>T13169</t>
  </si>
  <si>
    <t>T13170</t>
  </si>
  <si>
    <t>T13171</t>
  </si>
  <si>
    <t>T13172</t>
  </si>
  <si>
    <t>T13173</t>
  </si>
  <si>
    <t>2024-11-03</t>
  </si>
  <si>
    <t>T13174</t>
  </si>
  <si>
    <t>T13175</t>
  </si>
  <si>
    <t>T13176</t>
  </si>
  <si>
    <t>T13177</t>
  </si>
  <si>
    <t>T13178</t>
  </si>
  <si>
    <t>T13179</t>
  </si>
  <si>
    <t>2024-11-04</t>
  </si>
  <si>
    <t>T13180</t>
  </si>
  <si>
    <t>T13181</t>
  </si>
  <si>
    <t>T13182</t>
  </si>
  <si>
    <t>T13183</t>
  </si>
  <si>
    <t>2024-11-05</t>
  </si>
  <si>
    <t>T13184</t>
  </si>
  <si>
    <t>T13185</t>
  </si>
  <si>
    <t>T13186</t>
  </si>
  <si>
    <t>T13187</t>
  </si>
  <si>
    <t>T13188</t>
  </si>
  <si>
    <t>T13189</t>
  </si>
  <si>
    <t>2024-11-06</t>
  </si>
  <si>
    <t>T13190</t>
  </si>
  <si>
    <t>T13191</t>
  </si>
  <si>
    <t>T13192</t>
  </si>
  <si>
    <t>T13193</t>
  </si>
  <si>
    <t>T13194</t>
  </si>
  <si>
    <t>T13195</t>
  </si>
  <si>
    <t>T13196</t>
  </si>
  <si>
    <t>T13197</t>
  </si>
  <si>
    <t>T13198</t>
  </si>
  <si>
    <t>T13199</t>
  </si>
  <si>
    <t>T13200</t>
  </si>
  <si>
    <t>2024-11-07</t>
  </si>
  <si>
    <t>T13201</t>
  </si>
  <si>
    <t>T13202</t>
  </si>
  <si>
    <t>T13203</t>
  </si>
  <si>
    <t>T13204</t>
  </si>
  <si>
    <t>2024-11-08</t>
  </si>
  <si>
    <t>T13205</t>
  </si>
  <si>
    <t>T13206</t>
  </si>
  <si>
    <t>T13207</t>
  </si>
  <si>
    <t>T13208</t>
  </si>
  <si>
    <t>2024-11-09</t>
  </si>
  <si>
    <t>T13209</t>
  </si>
  <si>
    <t>T13210</t>
  </si>
  <si>
    <t>T13211</t>
  </si>
  <si>
    <t>T13212</t>
  </si>
  <si>
    <t>T13213</t>
  </si>
  <si>
    <t>2024-11-10</t>
  </si>
  <si>
    <t>T13214</t>
  </si>
  <si>
    <t>T13215</t>
  </si>
  <si>
    <t>T13216</t>
  </si>
  <si>
    <t>T13217</t>
  </si>
  <si>
    <t>2024-11-11</t>
  </si>
  <si>
    <t>T13218</t>
  </si>
  <si>
    <t>T13219</t>
  </si>
  <si>
    <t>T13220</t>
  </si>
  <si>
    <t>T13221</t>
  </si>
  <si>
    <t>T13222</t>
  </si>
  <si>
    <t>T13223</t>
  </si>
  <si>
    <t>T13224</t>
  </si>
  <si>
    <t>T13225</t>
  </si>
  <si>
    <t>T13226</t>
  </si>
  <si>
    <t>T13227</t>
  </si>
  <si>
    <t>T13228</t>
  </si>
  <si>
    <t>T13229</t>
  </si>
  <si>
    <t>T13230</t>
  </si>
  <si>
    <t>T13231</t>
  </si>
  <si>
    <t>2024-11-12</t>
  </si>
  <si>
    <t>T13232</t>
  </si>
  <si>
    <t>T13233</t>
  </si>
  <si>
    <t>2024-11-13</t>
  </si>
  <si>
    <t>T13234</t>
  </si>
  <si>
    <t>T13235</t>
  </si>
  <si>
    <t>T13236</t>
  </si>
  <si>
    <t>T13237</t>
  </si>
  <si>
    <t>T13238</t>
  </si>
  <si>
    <t>T13239</t>
  </si>
  <si>
    <t>2024-11-14</t>
  </si>
  <si>
    <t>T13240</t>
  </si>
  <si>
    <t>2024-11-15</t>
  </si>
  <si>
    <t>T13241</t>
  </si>
  <si>
    <t>T13242</t>
  </si>
  <si>
    <t>T13243</t>
  </si>
  <si>
    <t>T13244</t>
  </si>
  <si>
    <t>T13245</t>
  </si>
  <si>
    <t>T13246</t>
  </si>
  <si>
    <t>T13247</t>
  </si>
  <si>
    <t>T13248</t>
  </si>
  <si>
    <t>T13249</t>
  </si>
  <si>
    <t>T13250</t>
  </si>
  <si>
    <t>2024-11-16</t>
  </si>
  <si>
    <t>T13251</t>
  </si>
  <si>
    <t>T13252</t>
  </si>
  <si>
    <t>T13253</t>
  </si>
  <si>
    <t>T13254</t>
  </si>
  <si>
    <t>T13255</t>
  </si>
  <si>
    <t>T13256</t>
  </si>
  <si>
    <t>2024-11-17</t>
  </si>
  <si>
    <t>T13257</t>
  </si>
  <si>
    <t>T13258</t>
  </si>
  <si>
    <t>T13259</t>
  </si>
  <si>
    <t>T13260</t>
  </si>
  <si>
    <t>T13261</t>
  </si>
  <si>
    <t>T13262</t>
  </si>
  <si>
    <t>T13263</t>
  </si>
  <si>
    <t>T13264</t>
  </si>
  <si>
    <t>T13265</t>
  </si>
  <si>
    <t>T13266</t>
  </si>
  <si>
    <t>2024-11-18</t>
  </si>
  <si>
    <t>T13267</t>
  </si>
  <si>
    <t>T13268</t>
  </si>
  <si>
    <t>T13269</t>
  </si>
  <si>
    <t>T13270</t>
  </si>
  <si>
    <t>T13271</t>
  </si>
  <si>
    <t>T13272</t>
  </si>
  <si>
    <t>T13273</t>
  </si>
  <si>
    <t>T13274</t>
  </si>
  <si>
    <t>2024-11-19</t>
  </si>
  <si>
    <t>T13275</t>
  </si>
  <si>
    <t>T13276</t>
  </si>
  <si>
    <t>T13277</t>
  </si>
  <si>
    <t>T13278</t>
  </si>
  <si>
    <t>T13279</t>
  </si>
  <si>
    <t>T13280</t>
  </si>
  <si>
    <t>T13281</t>
  </si>
  <si>
    <t>T13282</t>
  </si>
  <si>
    <t>T13283</t>
  </si>
  <si>
    <t>2024-11-20</t>
  </si>
  <si>
    <t>T13284</t>
  </si>
  <si>
    <t>T13285</t>
  </si>
  <si>
    <t>T13286</t>
  </si>
  <si>
    <t>T13287</t>
  </si>
  <si>
    <t>T13288</t>
  </si>
  <si>
    <t>T13289</t>
  </si>
  <si>
    <t>2024-11-21</t>
  </si>
  <si>
    <t>T13290</t>
  </si>
  <si>
    <t>T13291</t>
  </si>
  <si>
    <t>T13292</t>
  </si>
  <si>
    <t>T13293</t>
  </si>
  <si>
    <t>T13294</t>
  </si>
  <si>
    <t>T13295</t>
  </si>
  <si>
    <t>T13296</t>
  </si>
  <si>
    <t>2024-11-22</t>
  </si>
  <si>
    <t>T13297</t>
  </si>
  <si>
    <t>2024-11-23</t>
  </si>
  <si>
    <t>T13298</t>
  </si>
  <si>
    <t>T13299</t>
  </si>
  <si>
    <t>T13300</t>
  </si>
  <si>
    <t>T13301</t>
  </si>
  <si>
    <t>T13302</t>
  </si>
  <si>
    <t>T13303</t>
  </si>
  <si>
    <t>T13304</t>
  </si>
  <si>
    <t>T13305</t>
  </si>
  <si>
    <t>T13306</t>
  </si>
  <si>
    <t>T13307</t>
  </si>
  <si>
    <t>T13308</t>
  </si>
  <si>
    <t>T13309</t>
  </si>
  <si>
    <t>T13310</t>
  </si>
  <si>
    <t>T13311</t>
  </si>
  <si>
    <t>T13312</t>
  </si>
  <si>
    <t>2024-11-24</t>
  </si>
  <si>
    <t>T13313</t>
  </si>
  <si>
    <t>2024-11-25</t>
  </si>
  <si>
    <t>T13314</t>
  </si>
  <si>
    <t>T13315</t>
  </si>
  <si>
    <t>T13316</t>
  </si>
  <si>
    <t>T13317</t>
  </si>
  <si>
    <t>2024-11-26</t>
  </si>
  <si>
    <t>T13318</t>
  </si>
  <si>
    <t>T13319</t>
  </si>
  <si>
    <t>T13320</t>
  </si>
  <si>
    <t>T13321</t>
  </si>
  <si>
    <t>T13322</t>
  </si>
  <si>
    <t>T13323</t>
  </si>
  <si>
    <t>2024-11-27</t>
  </si>
  <si>
    <t>T13324</t>
  </si>
  <si>
    <t>2024-11-28</t>
  </si>
  <si>
    <t>T13325</t>
  </si>
  <si>
    <t>T13326</t>
  </si>
  <si>
    <t>T13327</t>
  </si>
  <si>
    <t>T13328</t>
  </si>
  <si>
    <t>T13329</t>
  </si>
  <si>
    <t>T13330</t>
  </si>
  <si>
    <t>T13331</t>
  </si>
  <si>
    <t>2024-11-29</t>
  </si>
  <si>
    <t>T13332</t>
  </si>
  <si>
    <t>T13333</t>
  </si>
  <si>
    <t>2024-11-30</t>
  </si>
  <si>
    <t>T13334</t>
  </si>
  <si>
    <t>T13335</t>
  </si>
  <si>
    <t>T13336</t>
  </si>
  <si>
    <t>T13337</t>
  </si>
  <si>
    <t>T13338</t>
  </si>
  <si>
    <t>T13339</t>
  </si>
  <si>
    <t>T13340</t>
  </si>
  <si>
    <t>T13341</t>
  </si>
  <si>
    <t>T13342</t>
  </si>
  <si>
    <t>T13343</t>
  </si>
  <si>
    <t>T13344</t>
  </si>
  <si>
    <t>T13345</t>
  </si>
  <si>
    <t>2024-12-01</t>
  </si>
  <si>
    <t>T13346</t>
  </si>
  <si>
    <t>T13347</t>
  </si>
  <si>
    <t>T13348</t>
  </si>
  <si>
    <t>T13349</t>
  </si>
  <si>
    <t>T13350</t>
  </si>
  <si>
    <t>T13351</t>
  </si>
  <si>
    <t>T13352</t>
  </si>
  <si>
    <t>T13353</t>
  </si>
  <si>
    <t>T13354</t>
  </si>
  <si>
    <t>T13355</t>
  </si>
  <si>
    <t>2024-12-02</t>
  </si>
  <si>
    <t>T13356</t>
  </si>
  <si>
    <t>T13357</t>
  </si>
  <si>
    <t>T13358</t>
  </si>
  <si>
    <t>T13359</t>
  </si>
  <si>
    <t>T13360</t>
  </si>
  <si>
    <t>2024-12-03</t>
  </si>
  <si>
    <t>T13361</t>
  </si>
  <si>
    <t>T13362</t>
  </si>
  <si>
    <t>T13363</t>
  </si>
  <si>
    <t>T13364</t>
  </si>
  <si>
    <t>T13365</t>
  </si>
  <si>
    <t>T13366</t>
  </si>
  <si>
    <t>2024-12-04</t>
  </si>
  <si>
    <t>T13367</t>
  </si>
  <si>
    <t>T13368</t>
  </si>
  <si>
    <t>T13369</t>
  </si>
  <si>
    <t>T13370</t>
  </si>
  <si>
    <t>T13371</t>
  </si>
  <si>
    <t>T13372</t>
  </si>
  <si>
    <t>T13373</t>
  </si>
  <si>
    <t>T13374</t>
  </si>
  <si>
    <t>T13375</t>
  </si>
  <si>
    <t>T13376</t>
  </si>
  <si>
    <t>2024-12-05</t>
  </si>
  <si>
    <t>T13377</t>
  </si>
  <si>
    <t>T13378</t>
  </si>
  <si>
    <t>T13379</t>
  </si>
  <si>
    <t>T13380</t>
  </si>
  <si>
    <t>2024-12-07</t>
  </si>
  <si>
    <t>T13381</t>
  </si>
  <si>
    <t>T13382</t>
  </si>
  <si>
    <t>T13383</t>
  </si>
  <si>
    <t>T13384</t>
  </si>
  <si>
    <t>T13385</t>
  </si>
  <si>
    <t>2024-12-08</t>
  </si>
  <si>
    <t>T13386</t>
  </si>
  <si>
    <t>T13387</t>
  </si>
  <si>
    <t>T13388</t>
  </si>
  <si>
    <t>T13389</t>
  </si>
  <si>
    <t>T13390</t>
  </si>
  <si>
    <t>T13391</t>
  </si>
  <si>
    <t>T13392</t>
  </si>
  <si>
    <t>2024-12-09</t>
  </si>
  <si>
    <t>T13393</t>
  </si>
  <si>
    <t>T13394</t>
  </si>
  <si>
    <t>T13395</t>
  </si>
  <si>
    <t>T13396</t>
  </si>
  <si>
    <t>2024-12-10</t>
  </si>
  <si>
    <t>T13397</t>
  </si>
  <si>
    <t>T13398</t>
  </si>
  <si>
    <t>T13399</t>
  </si>
  <si>
    <t>T13400</t>
  </si>
  <si>
    <t>T13401</t>
  </si>
  <si>
    <t>T13402</t>
  </si>
  <si>
    <t>T13403</t>
  </si>
  <si>
    <t>2024-12-11</t>
  </si>
  <si>
    <t>T13404</t>
  </si>
  <si>
    <t>T13405</t>
  </si>
  <si>
    <t>T13406</t>
  </si>
  <si>
    <t>T13407</t>
  </si>
  <si>
    <t>T13408</t>
  </si>
  <si>
    <t>2024-12-12</t>
  </si>
  <si>
    <t>T13409</t>
  </si>
  <si>
    <t>T13410</t>
  </si>
  <si>
    <t>2024-12-13</t>
  </si>
  <si>
    <t>T13411</t>
  </si>
  <si>
    <t>T13412</t>
  </si>
  <si>
    <t>T13413</t>
  </si>
  <si>
    <t>T13414</t>
  </si>
  <si>
    <t>2024-12-14</t>
  </si>
  <si>
    <t>T13415</t>
  </si>
  <si>
    <t>T13416</t>
  </si>
  <si>
    <t>T13417</t>
  </si>
  <si>
    <t>T13418</t>
  </si>
  <si>
    <t>T13419</t>
  </si>
  <si>
    <t>2024-12-15</t>
  </si>
  <si>
    <t>T13420</t>
  </si>
  <si>
    <t>T13421</t>
  </si>
  <si>
    <t>T13422</t>
  </si>
  <si>
    <t>T13423</t>
  </si>
  <si>
    <t>T13424</t>
  </si>
  <si>
    <t>2024-12-16</t>
  </si>
  <si>
    <t>T13425</t>
  </si>
  <si>
    <t>T13426</t>
  </si>
  <si>
    <t>T13427</t>
  </si>
  <si>
    <t>T13428</t>
  </si>
  <si>
    <t>T13429</t>
  </si>
  <si>
    <t>2024-12-17</t>
  </si>
  <si>
    <t>T13430</t>
  </si>
  <si>
    <t>2024-12-18</t>
  </si>
  <si>
    <t>T13431</t>
  </si>
  <si>
    <t>T13432</t>
  </si>
  <si>
    <t>T13433</t>
  </si>
  <si>
    <t>2024-12-19</t>
  </si>
  <si>
    <t>T13434</t>
  </si>
  <si>
    <t>T13435</t>
  </si>
  <si>
    <t>T13436</t>
  </si>
  <si>
    <t>2024-12-20</t>
  </si>
  <si>
    <t>T13437</t>
  </si>
  <si>
    <t>T13438</t>
  </si>
  <si>
    <t>T13439</t>
  </si>
  <si>
    <t>2024-12-21</t>
  </si>
  <si>
    <t>T13440</t>
  </si>
  <si>
    <t>T13441</t>
  </si>
  <si>
    <t>T13442</t>
  </si>
  <si>
    <t>T13443</t>
  </si>
  <si>
    <t>2024-12-22</t>
  </si>
  <si>
    <t>T13444</t>
  </si>
  <si>
    <t>T13445</t>
  </si>
  <si>
    <t>2024-12-23</t>
  </si>
  <si>
    <t>T13446</t>
  </si>
  <si>
    <t>T13447</t>
  </si>
  <si>
    <t>T13448</t>
  </si>
  <si>
    <t>T13449</t>
  </si>
  <si>
    <t>2024-12-24</t>
  </si>
  <si>
    <t>T13450</t>
  </si>
  <si>
    <t>T13451</t>
  </si>
  <si>
    <t>2024-12-25</t>
  </si>
  <si>
    <t>T13452</t>
  </si>
  <si>
    <t>T13453</t>
  </si>
  <si>
    <t>T13454</t>
  </si>
  <si>
    <t>T13455</t>
  </si>
  <si>
    <t>T13456</t>
  </si>
  <si>
    <t>T13457</t>
  </si>
  <si>
    <t>T13458</t>
  </si>
  <si>
    <t>T13459</t>
  </si>
  <si>
    <t>T13460</t>
  </si>
  <si>
    <t>2024-12-26</t>
  </si>
  <si>
    <t>T13461</t>
  </si>
  <si>
    <t>T13462</t>
  </si>
  <si>
    <t>T13463</t>
  </si>
  <si>
    <t>T13464</t>
  </si>
  <si>
    <t>T13465</t>
  </si>
  <si>
    <t>T13466</t>
  </si>
  <si>
    <t>T13467</t>
  </si>
  <si>
    <t>T13468</t>
  </si>
  <si>
    <t>T13469</t>
  </si>
  <si>
    <t>T13470</t>
  </si>
  <si>
    <t>T13471</t>
  </si>
  <si>
    <t>T13472</t>
  </si>
  <si>
    <t>T13473</t>
  </si>
  <si>
    <t>2024-12-27</t>
  </si>
  <si>
    <t>T13474</t>
  </si>
  <si>
    <t>T13475</t>
  </si>
  <si>
    <t>T13476</t>
  </si>
  <si>
    <t>T13477</t>
  </si>
  <si>
    <t>T13478</t>
  </si>
  <si>
    <t>T13479</t>
  </si>
  <si>
    <t>T13480</t>
  </si>
  <si>
    <t>T13481</t>
  </si>
  <si>
    <t>T13482</t>
  </si>
  <si>
    <t>T13483</t>
  </si>
  <si>
    <t>T13484</t>
  </si>
  <si>
    <t>T13485</t>
  </si>
  <si>
    <t>2024-12-28</t>
  </si>
  <si>
    <t>T13486</t>
  </si>
  <si>
    <t>T13487</t>
  </si>
  <si>
    <t>T13488</t>
  </si>
  <si>
    <t>T13489</t>
  </si>
  <si>
    <t>T13490</t>
  </si>
  <si>
    <t>T13491</t>
  </si>
  <si>
    <t>2024-12-29</t>
  </si>
  <si>
    <t>T13492</t>
  </si>
  <si>
    <t>T13493</t>
  </si>
  <si>
    <t>T13494</t>
  </si>
  <si>
    <t>T13495</t>
  </si>
  <si>
    <t>T13496</t>
  </si>
  <si>
    <t>T13497</t>
  </si>
  <si>
    <t>2024-12-30</t>
  </si>
  <si>
    <t>T13498</t>
  </si>
  <si>
    <t>T13499</t>
  </si>
  <si>
    <t>T13500</t>
  </si>
  <si>
    <t>Product_Name</t>
  </si>
  <si>
    <t>Category</t>
  </si>
  <si>
    <t>Subcategory</t>
  </si>
  <si>
    <t>Cost_Price</t>
  </si>
  <si>
    <t>Retail_Price</t>
  </si>
  <si>
    <t>Supplier</t>
  </si>
  <si>
    <t>Laptops Ele-1</t>
  </si>
  <si>
    <t>Electronics</t>
  </si>
  <si>
    <t>Laptops</t>
  </si>
  <si>
    <t>Supplier A</t>
  </si>
  <si>
    <t>Laptops Ele-2</t>
  </si>
  <si>
    <t>Laptops Ele-3</t>
  </si>
  <si>
    <t>Supplier C</t>
  </si>
  <si>
    <t>Laptops Ele-4</t>
  </si>
  <si>
    <t>Supplier B</t>
  </si>
  <si>
    <t>Tablets Ele-1</t>
  </si>
  <si>
    <t>Tablets</t>
  </si>
  <si>
    <t>Tablets Ele-2</t>
  </si>
  <si>
    <t>Tablets Ele-3</t>
  </si>
  <si>
    <t>Tablets Ele-4</t>
  </si>
  <si>
    <t>Supplier E</t>
  </si>
  <si>
    <t>Phones Ele-1</t>
  </si>
  <si>
    <t>Phones</t>
  </si>
  <si>
    <t>Phones Ele-2</t>
  </si>
  <si>
    <t>Phones Ele-3</t>
  </si>
  <si>
    <t>Supplier D</t>
  </si>
  <si>
    <t>Phones Ele-4</t>
  </si>
  <si>
    <t>Cameras Ele-1</t>
  </si>
  <si>
    <t>Cameras</t>
  </si>
  <si>
    <t>Cameras Ele-2</t>
  </si>
  <si>
    <t>Cameras Ele-3</t>
  </si>
  <si>
    <t>Cameras Ele-4</t>
  </si>
  <si>
    <t>Chairs Fur-1</t>
  </si>
  <si>
    <t>Furniture</t>
  </si>
  <si>
    <t>Chairs</t>
  </si>
  <si>
    <t>Chairs Fur-2</t>
  </si>
  <si>
    <t>Chairs Fur-3</t>
  </si>
  <si>
    <t>Chairs Fur-4</t>
  </si>
  <si>
    <t>Desks Fur-1</t>
  </si>
  <si>
    <t>Desks</t>
  </si>
  <si>
    <t>Desks Fur-2</t>
  </si>
  <si>
    <t>Desks Fur-3</t>
  </si>
  <si>
    <t>Desks Fur-4</t>
  </si>
  <si>
    <t>Tables Fur-1</t>
  </si>
  <si>
    <t>Tables</t>
  </si>
  <si>
    <t>Tables Fur-2</t>
  </si>
  <si>
    <t>Tables Fur-3</t>
  </si>
  <si>
    <t>Tables Fur-4</t>
  </si>
  <si>
    <t>Storage Fur-1</t>
  </si>
  <si>
    <t>Storage</t>
  </si>
  <si>
    <t>Storage Fur-2</t>
  </si>
  <si>
    <t>Storage Fur-3</t>
  </si>
  <si>
    <t>Storage Fur-4</t>
  </si>
  <si>
    <t>Paper Off-1</t>
  </si>
  <si>
    <t>Office Supplies</t>
  </si>
  <si>
    <t>Paper</t>
  </si>
  <si>
    <t>Paper Off-2</t>
  </si>
  <si>
    <t>Paper Off-3</t>
  </si>
  <si>
    <t>Paper Off-4</t>
  </si>
  <si>
    <t>Pens Off-1</t>
  </si>
  <si>
    <t>Pens</t>
  </si>
  <si>
    <t>Pens Off-2</t>
  </si>
  <si>
    <t>Pens Off-3</t>
  </si>
  <si>
    <t>Pens Off-4</t>
  </si>
  <si>
    <t>Binders Off-1</t>
  </si>
  <si>
    <t>Binders</t>
  </si>
  <si>
    <t>Binders Off-2</t>
  </si>
  <si>
    <t>Binders Off-3</t>
  </si>
  <si>
    <t>Binders Off-4</t>
  </si>
  <si>
    <t>Folders Off-1</t>
  </si>
  <si>
    <t>Folders</t>
  </si>
  <si>
    <t>Folders Off-2</t>
  </si>
  <si>
    <t>Folders Off-3</t>
  </si>
  <si>
    <t>Folders Off-4</t>
  </si>
  <si>
    <t>Cases Acc-1</t>
  </si>
  <si>
    <t>Accessories</t>
  </si>
  <si>
    <t>Cases</t>
  </si>
  <si>
    <t>Cases Acc-2</t>
  </si>
  <si>
    <t>Cases Acc-3</t>
  </si>
  <si>
    <t>Cases Acc-4</t>
  </si>
  <si>
    <t>Cables Acc-1</t>
  </si>
  <si>
    <t>Cables</t>
  </si>
  <si>
    <t>Cables Acc-2</t>
  </si>
  <si>
    <t>Cables Acc-3</t>
  </si>
  <si>
    <t>Cables Acc-4</t>
  </si>
  <si>
    <t>Adapters Acc-1</t>
  </si>
  <si>
    <t>Adapters</t>
  </si>
  <si>
    <t>Adapters Acc-2</t>
  </si>
  <si>
    <t>Adapters Acc-3</t>
  </si>
  <si>
    <t>Adapters Acc-4</t>
  </si>
  <si>
    <t>Keyboards Acc-1</t>
  </si>
  <si>
    <t>Keyboards</t>
  </si>
  <si>
    <t>Keyboards Acc-2</t>
  </si>
  <si>
    <t>Keyboards Acc-3</t>
  </si>
  <si>
    <t>Keyboards Acc-4</t>
  </si>
  <si>
    <t>Monitors Tec-1</t>
  </si>
  <si>
    <t>Technology</t>
  </si>
  <si>
    <t>Monitors</t>
  </si>
  <si>
    <t>Monitors Tec-2</t>
  </si>
  <si>
    <t>Monitors Tec-3</t>
  </si>
  <si>
    <t>Monitors Tec-4</t>
  </si>
  <si>
    <t>Printers Tec-1</t>
  </si>
  <si>
    <t>Printers</t>
  </si>
  <si>
    <t>Printers Tec-2</t>
  </si>
  <si>
    <t>Printers Tec-3</t>
  </si>
  <si>
    <t>Printers Tec-4</t>
  </si>
  <si>
    <t>Routers Tec-1</t>
  </si>
  <si>
    <t>Routers</t>
  </si>
  <si>
    <t>Routers Tec-2</t>
  </si>
  <si>
    <t>Routers Tec-3</t>
  </si>
  <si>
    <t>Name</t>
  </si>
  <si>
    <t>Join_Date</t>
  </si>
  <si>
    <t>Team</t>
  </si>
  <si>
    <t>Manager</t>
  </si>
  <si>
    <t>Jennifer Brown</t>
  </si>
  <si>
    <t>2018-08-02</t>
  </si>
  <si>
    <t>Team A</t>
  </si>
  <si>
    <t>Manager 1</t>
  </si>
  <si>
    <t>Michael Davis</t>
  </si>
  <si>
    <t>2020-12-13</t>
  </si>
  <si>
    <t>Team B</t>
  </si>
  <si>
    <t>Robert Jones</t>
  </si>
  <si>
    <t>2018-02-05</t>
  </si>
  <si>
    <t>Team C</t>
  </si>
  <si>
    <t>Thomas Hernandez</t>
  </si>
  <si>
    <t>2018-11-05</t>
  </si>
  <si>
    <t>Team D</t>
  </si>
  <si>
    <t>Jennifer Rodriguez</t>
  </si>
  <si>
    <t>2019-01-21</t>
  </si>
  <si>
    <t>Emily Hernandez</t>
  </si>
  <si>
    <t>2020-01-03</t>
  </si>
  <si>
    <t>Manager 2</t>
  </si>
  <si>
    <t>Jessica Anderson</t>
  </si>
  <si>
    <t>2018-01-23</t>
  </si>
  <si>
    <t>Richard Wilson</t>
  </si>
  <si>
    <t>2021-04-30</t>
  </si>
  <si>
    <t>John Brown</t>
  </si>
  <si>
    <t>2019-09-19</t>
  </si>
  <si>
    <t>Linda Smith</t>
  </si>
  <si>
    <t>2021-06-13</t>
  </si>
  <si>
    <t>Richard Garcia</t>
  </si>
  <si>
    <t>2018-09-12</t>
  </si>
  <si>
    <t>Manager 3</t>
  </si>
  <si>
    <t>2021-09-01</t>
  </si>
  <si>
    <t>Sarah Brown</t>
  </si>
  <si>
    <t>2020-11-27</t>
  </si>
  <si>
    <t>Thomas Martinez</t>
  </si>
  <si>
    <t>2019-11-27</t>
  </si>
  <si>
    <t>Thomas Lopez</t>
  </si>
  <si>
    <t>2021-03-14</t>
  </si>
  <si>
    <t>Segment</t>
  </si>
  <si>
    <t>Location</t>
  </si>
  <si>
    <t>First_Purchase_Date</t>
  </si>
  <si>
    <t>Jessica Brown</t>
  </si>
  <si>
    <t>B2C</t>
  </si>
  <si>
    <t>Austin</t>
  </si>
  <si>
    <t>Lisa Miller</t>
  </si>
  <si>
    <t>Boston</t>
  </si>
  <si>
    <t>Elite Enterprises 3</t>
  </si>
  <si>
    <t>Enterprise</t>
  </si>
  <si>
    <t>Chicago</t>
  </si>
  <si>
    <t>David Williams</t>
  </si>
  <si>
    <t>Houston</t>
  </si>
  <si>
    <t>Dallas</t>
  </si>
  <si>
    <t>David Lopez</t>
  </si>
  <si>
    <t>San Jose</t>
  </si>
  <si>
    <t>Robert Taylor</t>
  </si>
  <si>
    <t>Robert Garcia</t>
  </si>
  <si>
    <t>Premier LLC 9</t>
  </si>
  <si>
    <t>B2B</t>
  </si>
  <si>
    <t>Lisa Johnson</t>
  </si>
  <si>
    <t>Seattle</t>
  </si>
  <si>
    <t>Tech Corp 11</t>
  </si>
  <si>
    <t>Denver</t>
  </si>
  <si>
    <t>Sarah Williams</t>
  </si>
  <si>
    <t>Premier LLC 13</t>
  </si>
  <si>
    <t>Strategic Partners 14</t>
  </si>
  <si>
    <t>Sarah Miller</t>
  </si>
  <si>
    <t>San Antonio</t>
  </si>
  <si>
    <t>Elite Enterprises 16</t>
  </si>
  <si>
    <t>David Rodriguez</t>
  </si>
  <si>
    <t>Small Business</t>
  </si>
  <si>
    <t>John Hernandez</t>
  </si>
  <si>
    <t>Jacksonville</t>
  </si>
  <si>
    <t>Global Inc 19</t>
  </si>
  <si>
    <t>Synergy Co 20</t>
  </si>
  <si>
    <t>David Wilson</t>
  </si>
  <si>
    <t>Innovative Group 22</t>
  </si>
  <si>
    <t>Los Angeles</t>
  </si>
  <si>
    <t>Digital Solutions 23</t>
  </si>
  <si>
    <t>New York</t>
  </si>
  <si>
    <t>Jennifer Taylor</t>
  </si>
  <si>
    <t>Michael Rodriguez</t>
  </si>
  <si>
    <t>Sarah Anderson</t>
  </si>
  <si>
    <t>Digital Solutions 29</t>
  </si>
  <si>
    <t>Synergy Co 30</t>
  </si>
  <si>
    <t>Advanced Systems 31</t>
  </si>
  <si>
    <t>Innovative Group 32</t>
  </si>
  <si>
    <t>2023-05-15</t>
  </si>
  <si>
    <t>Synergy Co 34</t>
  </si>
  <si>
    <t>John Martinez</t>
  </si>
  <si>
    <t>Philadelphia</t>
  </si>
  <si>
    <t>Lisa Smith</t>
  </si>
  <si>
    <t>Thomas Garcia</t>
  </si>
  <si>
    <t>Linda Wilson</t>
  </si>
  <si>
    <t>Phoenix</t>
  </si>
  <si>
    <t>Emily Smith</t>
  </si>
  <si>
    <t>Global Inc 41</t>
  </si>
  <si>
    <t>Elite Enterprises 42</t>
  </si>
  <si>
    <t>Sarah Wilson</t>
  </si>
  <si>
    <t>Richard Williams</t>
  </si>
  <si>
    <t>Elite Enterprises 45</t>
  </si>
  <si>
    <t>Michael Jones</t>
  </si>
  <si>
    <t>Linda Martinez</t>
  </si>
  <si>
    <t>Emily Taylor</t>
  </si>
  <si>
    <t>Advanced Systems 49</t>
  </si>
  <si>
    <t>David Miller</t>
  </si>
  <si>
    <t>William Garcia</t>
  </si>
  <si>
    <t>San Diego</t>
  </si>
  <si>
    <t>Synergy Co 52</t>
  </si>
  <si>
    <t>Global Inc 54</t>
  </si>
  <si>
    <t>Emily Martinez</t>
  </si>
  <si>
    <t>Tech Corp 57</t>
  </si>
  <si>
    <t>Tech Corp 58</t>
  </si>
  <si>
    <t>Global Inc 59</t>
  </si>
  <si>
    <t>John Anderson</t>
  </si>
  <si>
    <t>Sarah Rodriguez</t>
  </si>
  <si>
    <t>Digital Solutions 62</t>
  </si>
  <si>
    <t>Lisa Brown</t>
  </si>
  <si>
    <t>Michael Lopez</t>
  </si>
  <si>
    <t>Lisa Wilson</t>
  </si>
  <si>
    <t>Emily Johnson</t>
  </si>
  <si>
    <t>William Miller</t>
  </si>
  <si>
    <t>Strategic Partners 70</t>
  </si>
  <si>
    <t>Elite Enterprises 71</t>
  </si>
  <si>
    <t>Tech Corp 72</t>
  </si>
  <si>
    <t>William Hernandez</t>
  </si>
  <si>
    <t>John Miller</t>
  </si>
  <si>
    <t>Innovative Group 75</t>
  </si>
  <si>
    <t>Linda Johnson</t>
  </si>
  <si>
    <t>Advanced Systems 77</t>
  </si>
  <si>
    <t>James Davis</t>
  </si>
  <si>
    <t>Strategic Partners 79</t>
  </si>
  <si>
    <t>David Davis</t>
  </si>
  <si>
    <t>Global Inc 81</t>
  </si>
  <si>
    <t>Synergy Co 82</t>
  </si>
  <si>
    <t>Tech Corp 84</t>
  </si>
  <si>
    <t>Advanced Systems 85</t>
  </si>
  <si>
    <t>Strategic Partners 86</t>
  </si>
  <si>
    <t>Elite Enterprises 87</t>
  </si>
  <si>
    <t>Linda Miller</t>
  </si>
  <si>
    <t>John Williams</t>
  </si>
  <si>
    <t>Tech Corp 90</t>
  </si>
  <si>
    <t>Digital Solutions 91</t>
  </si>
  <si>
    <t>Synergy Co 94</t>
  </si>
  <si>
    <t>Jennifer Davis</t>
  </si>
  <si>
    <t>Advanced Systems 96</t>
  </si>
  <si>
    <t>Advanced Systems 97</t>
  </si>
  <si>
    <t>Maria Lopez</t>
  </si>
  <si>
    <t>2023-04-04</t>
  </si>
  <si>
    <t>Tech Corp 99</t>
  </si>
  <si>
    <t>Jessica Smith</t>
  </si>
  <si>
    <t>Maria Davis</t>
  </si>
  <si>
    <t>Thomas Anderson</t>
  </si>
  <si>
    <t>Michael Smith</t>
  </si>
  <si>
    <t>Global Inc 104</t>
  </si>
  <si>
    <t>Premier LLC 105</t>
  </si>
  <si>
    <t>Maria Johnson</t>
  </si>
  <si>
    <t>Linda Brown</t>
  </si>
  <si>
    <t>Sarah Taylor</t>
  </si>
  <si>
    <t>Robert Hernandez</t>
  </si>
  <si>
    <t>Maria Rodriguez</t>
  </si>
  <si>
    <t>Digital Solutions 113</t>
  </si>
  <si>
    <t>William Lopez</t>
  </si>
  <si>
    <t>Emily Jones</t>
  </si>
  <si>
    <t>Premier LLC 116</t>
  </si>
  <si>
    <t>Digital Solutions 117</t>
  </si>
  <si>
    <t>Innovative Group 118</t>
  </si>
  <si>
    <t>Richard Taylor</t>
  </si>
  <si>
    <t>John Davis</t>
  </si>
  <si>
    <t>Synergy Co 122</t>
  </si>
  <si>
    <t>James Jones</t>
  </si>
  <si>
    <t>Global Inc 125</t>
  </si>
  <si>
    <t>Emily Garcia</t>
  </si>
  <si>
    <t>2023-09-06</t>
  </si>
  <si>
    <t>Premier LLC 127</t>
  </si>
  <si>
    <t>Linda Rodriguez</t>
  </si>
  <si>
    <t>David Martinez</t>
  </si>
  <si>
    <t>William Rodriguez</t>
  </si>
  <si>
    <t>William Anderson</t>
  </si>
  <si>
    <t>David Taylor</t>
  </si>
  <si>
    <t>Global Inc 133</t>
  </si>
  <si>
    <t>Premier LLC 134</t>
  </si>
  <si>
    <t>Synergy Co 136</t>
  </si>
  <si>
    <t>Digital Solutions 137</t>
  </si>
  <si>
    <t>Maria Brown</t>
  </si>
  <si>
    <t>Innovative Group 139</t>
  </si>
  <si>
    <t>2023-02-21</t>
  </si>
  <si>
    <t>Digital Solutions 145</t>
  </si>
  <si>
    <t>Tech Corp 146</t>
  </si>
  <si>
    <t>Digital Solutions 148</t>
  </si>
  <si>
    <t>Strategic Partners 150</t>
  </si>
  <si>
    <t>Tech Corp 151</t>
  </si>
  <si>
    <t>Global Inc 152</t>
  </si>
  <si>
    <t>Premier LLC 153</t>
  </si>
  <si>
    <t>Tech Corp 154</t>
  </si>
  <si>
    <t>Jessica Martinez</t>
  </si>
  <si>
    <t>Premier LLC 156</t>
  </si>
  <si>
    <t>Jessica Taylor</t>
  </si>
  <si>
    <t>Richard Anderson</t>
  </si>
  <si>
    <t>William Brown</t>
  </si>
  <si>
    <t>Sarah Garcia</t>
  </si>
  <si>
    <t>Synergy Co 163</t>
  </si>
  <si>
    <t>Strategic Partners 164</t>
  </si>
  <si>
    <t>Jennifer Williams</t>
  </si>
  <si>
    <t>Thomas Brown</t>
  </si>
  <si>
    <t>Premier LLC 167</t>
  </si>
  <si>
    <t>Strategic Partners 169</t>
  </si>
  <si>
    <t>Premier LLC 170</t>
  </si>
  <si>
    <t>Thomas Miller</t>
  </si>
  <si>
    <t>Richard Brown</t>
  </si>
  <si>
    <t>Michael Wilson</t>
  </si>
  <si>
    <t>Tech Corp 177</t>
  </si>
  <si>
    <t>Elite Enterprises 178</t>
  </si>
  <si>
    <t>Emily Anderson</t>
  </si>
  <si>
    <t>Elite Enterprises 180</t>
  </si>
  <si>
    <t>David Anderson</t>
  </si>
  <si>
    <t>Tech Corp 183</t>
  </si>
  <si>
    <t>Emily Miller</t>
  </si>
  <si>
    <t>Richard Jones</t>
  </si>
  <si>
    <t>Innovative Group 189</t>
  </si>
  <si>
    <t>Michael Martinez</t>
  </si>
  <si>
    <t>John Johnson</t>
  </si>
  <si>
    <t>Innovative Group 194</t>
  </si>
  <si>
    <t>Strategic Partners 196</t>
  </si>
  <si>
    <t>Advanced Systems 197</t>
  </si>
  <si>
    <t>John Lopez</t>
  </si>
  <si>
    <t>John Rodriguez</t>
  </si>
  <si>
    <t>Richard Rodriguez</t>
  </si>
  <si>
    <t>Jennifer Lopez</t>
  </si>
  <si>
    <t>Advanced Systems 202</t>
  </si>
  <si>
    <t>Strategic Partners 203</t>
  </si>
  <si>
    <t>William Taylor</t>
  </si>
  <si>
    <t>Maria Garcia</t>
  </si>
  <si>
    <t>Digital Solutions 207</t>
  </si>
  <si>
    <t>Digital Solutions 208</t>
  </si>
  <si>
    <t>Strategic Partners 209</t>
  </si>
  <si>
    <t>Robert Lopez</t>
  </si>
  <si>
    <t>James Williams</t>
  </si>
  <si>
    <t>Premier LLC 213</t>
  </si>
  <si>
    <t>Digital Solutions 214</t>
  </si>
  <si>
    <t>Synergy Co 215</t>
  </si>
  <si>
    <t>Tech Corp 216</t>
  </si>
  <si>
    <t>David Brown</t>
  </si>
  <si>
    <t>Innovative Group 218</t>
  </si>
  <si>
    <t>Elite Enterprises 219</t>
  </si>
  <si>
    <t>Advanced Systems 220</t>
  </si>
  <si>
    <t>Premier LLC 222</t>
  </si>
  <si>
    <t>Sarah Jones</t>
  </si>
  <si>
    <t>Innovative Group 225</t>
  </si>
  <si>
    <t>Digital Solutions 227</t>
  </si>
  <si>
    <t>Advanced Systems 228</t>
  </si>
  <si>
    <t>Tech Corp 229</t>
  </si>
  <si>
    <t>Emily Davis</t>
  </si>
  <si>
    <t>William Martinez</t>
  </si>
  <si>
    <t>Michael Hernandez</t>
  </si>
  <si>
    <t>John Taylor</t>
  </si>
  <si>
    <t>Global Inc 238</t>
  </si>
  <si>
    <t>Robert Brown</t>
  </si>
  <si>
    <t>Richard Lopez</t>
  </si>
  <si>
    <t>Elite Enterprises 241</t>
  </si>
  <si>
    <t>Synergy Co 242</t>
  </si>
  <si>
    <t>Global Inc 243</t>
  </si>
  <si>
    <t>Synergy Co 245</t>
  </si>
  <si>
    <t>Thomas Davis</t>
  </si>
  <si>
    <t>Linda Lopez</t>
  </si>
  <si>
    <t>Synergy Co 249</t>
  </si>
  <si>
    <t>Synergy Co 250</t>
  </si>
  <si>
    <t>Thomas Williams</t>
  </si>
  <si>
    <t>Elite Enterprises 252</t>
  </si>
  <si>
    <t>Digital Solutions 254</t>
  </si>
  <si>
    <t>Synergy Co 255</t>
  </si>
  <si>
    <t>Elite Enterprises 257</t>
  </si>
  <si>
    <t>Jennifer Jones</t>
  </si>
  <si>
    <t>David Garcia</t>
  </si>
  <si>
    <t>Thomas Rodriguez</t>
  </si>
  <si>
    <t>Premier LLC 261</t>
  </si>
  <si>
    <t>Advanced Systems 262</t>
  </si>
  <si>
    <t>Advanced Systems 264</t>
  </si>
  <si>
    <t>Robert Miller</t>
  </si>
  <si>
    <t>Strategic Partners 268</t>
  </si>
  <si>
    <t>Tech Corp 269</t>
  </si>
  <si>
    <t>Thomas Wilson</t>
  </si>
  <si>
    <t>Strategic Partners 271</t>
  </si>
  <si>
    <t>John Garcia</t>
  </si>
  <si>
    <t>Richard Miller</t>
  </si>
  <si>
    <t>Strategic Partners 274</t>
  </si>
  <si>
    <t>Synergy Co 275</t>
  </si>
  <si>
    <t>Advanced Systems 276</t>
  </si>
  <si>
    <t>Advanced Systems 277</t>
  </si>
  <si>
    <t>Robert Davis</t>
  </si>
  <si>
    <t>William Wilson</t>
  </si>
  <si>
    <t>Premier LLC 281</t>
  </si>
  <si>
    <t>Elite Enterprises 282</t>
  </si>
  <si>
    <t>Premier LLC 283</t>
  </si>
  <si>
    <t>Synergy Co 284</t>
  </si>
  <si>
    <t>Maria Hernandez</t>
  </si>
  <si>
    <t>Sarah Hernandez</t>
  </si>
  <si>
    <t>Michael Anderson</t>
  </si>
  <si>
    <t>Premier LLC 289</t>
  </si>
  <si>
    <t>2023-05-30</t>
  </si>
  <si>
    <t>Digital Solutions 290</t>
  </si>
  <si>
    <t>Innovative Group 292</t>
  </si>
  <si>
    <t>Digital Solutions 294</t>
  </si>
  <si>
    <t>2023-01-06</t>
  </si>
  <si>
    <t>Global Inc 299</t>
  </si>
  <si>
    <t>Tech Corp 300</t>
  </si>
  <si>
    <t>Premier LLC 303</t>
  </si>
  <si>
    <t>Premier LLC 304</t>
  </si>
  <si>
    <t>Global Inc 305</t>
  </si>
  <si>
    <t>Global Inc 309</t>
  </si>
  <si>
    <t>Linda Williams</t>
  </si>
  <si>
    <t>Sarah Martinez</t>
  </si>
  <si>
    <t>Thomas Jones</t>
  </si>
  <si>
    <t>Advanced Systems 316</t>
  </si>
  <si>
    <t>Digital Solutions 317</t>
  </si>
  <si>
    <t>Tech Corp 320</t>
  </si>
  <si>
    <t>Synergy Co 321</t>
  </si>
  <si>
    <t>Synergy Co 323</t>
  </si>
  <si>
    <t>Robert Anderson</t>
  </si>
  <si>
    <t>Global Inc 326</t>
  </si>
  <si>
    <t>Innovative Group 327</t>
  </si>
  <si>
    <t>Elite Enterprises 328</t>
  </si>
  <si>
    <t>Premier LLC 329</t>
  </si>
  <si>
    <t>Premier LLC 330</t>
  </si>
  <si>
    <t>James Hernandez</t>
  </si>
  <si>
    <t>Maria Wilson</t>
  </si>
  <si>
    <t>James Wilson</t>
  </si>
  <si>
    <t>Jennifer Martinez</t>
  </si>
  <si>
    <t>Global Inc 337</t>
  </si>
  <si>
    <t>Richard Davis</t>
  </si>
  <si>
    <t>Innovative Group 341</t>
  </si>
  <si>
    <t>Lisa Anderson</t>
  </si>
  <si>
    <t>Jessica Wilson</t>
  </si>
  <si>
    <t>Jessica Jones</t>
  </si>
  <si>
    <t>Digital Solutions 347</t>
  </si>
  <si>
    <t>Tech Corp 348</t>
  </si>
  <si>
    <t>Advanced Systems 349</t>
  </si>
  <si>
    <t>Advanced Systems 350</t>
  </si>
  <si>
    <t>Month</t>
  </si>
  <si>
    <t>Target_Amount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</si>
  <si>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</si>
  <si>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</si>
  <si>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</si>
  <si>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</si>
  <si>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</si>
  <si>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</si>
  <si>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</si>
  <si>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</si>
  <si>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</si>
  <si>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</si>
  <si>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</si>
  <si>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</si>
  <si>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</si>
  <si>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</si>
  <si>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</si>
  <si>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</si>
  <si>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</si>
  <si>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</si>
  <si>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</si>
  <si>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</si>
  <si>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</si>
  <si>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</si>
  <si>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</si>
  <si>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</si>
  <si>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Cost_Prices</t>
  </si>
  <si>
    <t>Profit</t>
  </si>
  <si>
    <t>Profit_Margin</t>
  </si>
  <si>
    <t>Quarter</t>
  </si>
  <si>
    <t>Year</t>
  </si>
  <si>
    <t>Day_of_Week</t>
  </si>
  <si>
    <t>Month_Num</t>
  </si>
  <si>
    <t>Customer_Segment</t>
  </si>
  <si>
    <t>Sales_Rep_Name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</si>
</sst>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0" fontId="3" fillId="0" borderId="1" xfId="1" applyNumberFormat="1" applyFont="1" applyBorder="1" applyAlignment="1">
      <alignment horizontal="center" vertical="top"/>
    </xf>
    <xf numFmtId="10" fontId="0" fillId="0" borderId="0" xfId="1" applyNumberFormat="1" applyFont="1"/>
    <xf numFmtId="164" fontId="0" fillId="0" borderId="0" xfId="0" applyNumberFormat="1"/>
    <xf numFmtId="164" fontId="3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34"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DEEBF7"/>
      <color rgb="FFD9E2F3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8007D4-1A29-48CD-8353-AF312E826400}" name="tblTransactions" displayName="tblTransactions" ref="A1:X3501" totalsRowShown="0" headerRowDxfId="33" headerRowBorderDxfId="32" tableBorderDxfId="31">
  <tableColumns count="24">
    <tableColumn id="1" xr3:uid="{F55CA6FA-A45A-43BF-BCA2-99163E380314}" name="Transaction_ID"/>
    <tableColumn id="2" xr3:uid="{2E36EC37-FC3D-4B4D-B76C-0555BC990BB4}" name="Date"/>
    <tableColumn id="3" xr3:uid="{7E5387DC-8A2F-4FC9-81AA-DE556C4199A4}" name="Sales_Rep_ID"/>
    <tableColumn id="4" xr3:uid="{6300ECDC-B0D2-4F2A-9DB5-227703C9EBA8}" name="Customer_ID"/>
    <tableColumn id="5" xr3:uid="{DE62629D-F85F-4A5A-87F4-4E0D1D98CABB}" name="Product_ID"/>
    <tableColumn id="6" xr3:uid="{B4CF5EAF-8910-4B76-94BA-A600657520E9}" name="Quantity"/>
    <tableColumn id="7" xr3:uid="{C141B519-DE2F-4C3B-9409-160715B4963F}" name="Unit_Price"/>
    <tableColumn id="8" xr3:uid="{D238B8E0-21C3-4B09-A057-1F11950F2AEC}" name="Discount"/>
    <tableColumn id="9" xr3:uid="{7E94D052-B0ED-417D-93C0-FBB302338A26}" name="Total_Amount" dataDxfId="30"/>
    <tableColumn id="10" xr3:uid="{F4A85FBB-F11E-4CAF-8C49-BF12BD9F62AF}" name="Region"/>
    <tableColumn id="11" xr3:uid="{677E06DD-D0E0-4B94-8474-6C4A0EFB2E24}" name="Payment_Method"/>
    <tableColumn id="12" xr3:uid="{662037B3-F05E-4138-A886-2D712D5D5D45}" name="Cost_Prices" dataDxfId="29">
      <calculatedColumnFormula>VLOOKUP(tblTransactions[[#This Row],[Product_ID]],tblProducts[],5,FALSE)</calculatedColumnFormula>
    </tableColumn>
    <tableColumn id="13" xr3:uid="{C896F795-6A7C-4960-9C44-8A5E501F5AE7}" name="Profit" dataDxfId="28">
      <calculatedColumnFormula>tblTransactions[[#This Row],[Total_Amount]]-(tblTransactions[[#This Row],[Cost_Prices]]*tblTransactions[[#This Row],[Quantity]]*(1-tblTransactions[[#This Row],[Discount]]))</calculatedColumnFormula>
    </tableColumn>
    <tableColumn id="14" xr3:uid="{4C342AC3-6D8E-4F00-912C-2C5C5929876A}" name="Profit_Margin" dataDxfId="27" dataCellStyle="Percent">
      <calculatedColumnFormula>tblTransactions[[#This Row],[Profit]]/tblTransactions[[#This Row],[Total_Amount]]</calculatedColumnFormula>
    </tableColumn>
    <tableColumn id="15" xr3:uid="{650E0359-D6A2-4989-958D-79CAC18C817D}" name="Month" dataDxfId="26">
      <calculatedColumnFormula>TEXT(tblTransactions[[#This Row],[Date]], "MMM-YYYY")</calculatedColumnFormula>
    </tableColumn>
    <tableColumn id="16" xr3:uid="{4B3D5446-78CF-427B-8C6C-4C730E7699F3}" name="Quarter" dataDxfId="25">
      <calculatedColumnFormula>"Q"&amp;ROUNDUP(MONTH(tblTransactions[[#This Row],[Date]])/3,0)&amp;"-"&amp;YEAR(tblTransactions[[#This Row],[Date]])</calculatedColumnFormula>
    </tableColumn>
    <tableColumn id="17" xr3:uid="{ABCFDCE7-126A-4EFE-8D03-DA7691BB9768}" name="Year" dataDxfId="24">
      <calculatedColumnFormula>YEAR(tblTransactions[[#This Row],[Date]])</calculatedColumnFormula>
    </tableColumn>
    <tableColumn id="18" xr3:uid="{908A9DCF-7846-467B-A52C-05A368161320}" name="Day_of_Week" dataDxfId="23">
      <calculatedColumnFormula>TEXT(tblTransactions[[#This Row],[Date]],"DDDD")</calculatedColumnFormula>
    </tableColumn>
    <tableColumn id="19" xr3:uid="{B5297336-CB0F-468E-8436-1141A7DCF84C}" name="Month_Num" dataDxfId="22">
      <calculatedColumnFormula>MONTH(tblTransactions[[#This Row],[Date]])</calculatedColumnFormula>
    </tableColumn>
    <tableColumn id="20" xr3:uid="{020FB047-E444-49A3-BBB3-99797ED168F6}" name="Product_Name" dataDxfId="21">
      <calculatedColumnFormula>VLOOKUP(E2, Products!$A:$B,2,0)</calculatedColumnFormula>
    </tableColumn>
    <tableColumn id="21" xr3:uid="{6E6A9AA0-CB33-4338-BF64-C17DE02ECFA3}" name="Category" dataDxfId="20">
      <calculatedColumnFormula>VLOOKUP(E2,Products!$A:$C,3,0)</calculatedColumnFormula>
    </tableColumn>
    <tableColumn id="22" xr3:uid="{A7157A9C-B289-489D-960E-749BA2A62B70}" name="Subcategory" dataDxfId="19">
      <calculatedColumnFormula>VLOOKUP(E2,Products!$A:$D,4,0)</calculatedColumnFormula>
    </tableColumn>
    <tableColumn id="23" xr3:uid="{9534D0A2-7831-48F5-ACA2-D9F5F0712D65}" name="Customer_Segment" dataDxfId="18">
      <calculatedColumnFormula>VLOOKUP(D2,Customers!$A:$C,3,0)</calculatedColumnFormula>
    </tableColumn>
    <tableColumn id="24" xr3:uid="{09C6A1F8-E7E9-4162-A1C8-3BFDCF2ACDFC}" name="Sales_Rep_Name" dataDxfId="17">
      <calculatedColumnFormula>VLOOKUP(C2,Sales_Representatives!$A:$B,2,0)</calculatedColumnFormula>
    </tableColumn>
  </tableColumns>
  <tableStyleInfo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CF9A73-50F8-44C5-AF98-EFCCF7383AC6}" name="tblProducts" displayName="tblProducts" ref="A1:G76" totalsRowShown="0" headerRowDxfId="16" headerRowBorderDxfId="15" tableBorderDxfId="14">
  <tableColumns count="7">
    <tableColumn id="1" xr3:uid="{98901DEB-D306-49E8-A68C-0B6B49A2D4CE}" name="Product_ID"/>
    <tableColumn id="2" xr3:uid="{8DA07C3A-6AB1-4D79-BB8D-0BD327565013}" name="Product_Name"/>
    <tableColumn id="3" xr3:uid="{BCA39518-1CD7-4E0F-9AFB-C51C2C45DAAA}" name="Category"/>
    <tableColumn id="4" xr3:uid="{A83E5C0B-14F5-4B9D-9B81-DABD5631E944}" name="Subcategory"/>
    <tableColumn id="5" xr3:uid="{82E5C9F9-020E-4AD4-AF2F-1238122F6696}" name="Cost_Price" dataDxfId="13"/>
    <tableColumn id="6" xr3:uid="{BCDAB124-845C-4C9F-BB52-FA0DE5128B52}" name="Retail_Price" dataDxfId="12"/>
    <tableColumn id="7" xr3:uid="{75AFC05E-FD1A-4273-B14A-3C25CDEBA7BB}" name="Supplier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ABB992-2C9C-4995-BDC1-7DF122843AF7}" name="tblSalesReps" displayName="tblSalesReps" ref="A1:F16" totalsRowShown="0" headerRowDxfId="11" headerRowBorderDxfId="10" tableBorderDxfId="9">
  <tableColumns count="6">
    <tableColumn id="1" xr3:uid="{9A909BBA-2A4D-4218-AE90-1D3F0C5BBE58}" name="Sales_Rep_ID"/>
    <tableColumn id="2" xr3:uid="{F876A650-80AD-4A82-88F5-8C213746B21A}" name="Name"/>
    <tableColumn id="3" xr3:uid="{FDC8A2FF-EB4B-47C3-A028-5D1F5534384D}" name="Region"/>
    <tableColumn id="4" xr3:uid="{7D01F449-FE11-41C5-93F6-CCBEB5FDB9B7}" name="Join_Date"/>
    <tableColumn id="5" xr3:uid="{442983CC-F4D1-488F-8991-3026FF3C27A3}" name="Team"/>
    <tableColumn id="6" xr3:uid="{ACF3CBF0-9741-499B-BE5A-7AC93E302787}" name="Manager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0A982-3BF2-4BA2-95E1-447155FD9C83}" name="tblCustomers" displayName="tblCustomers" ref="A1:E351" totalsRowShown="0" headerRowDxfId="8" headerRowBorderDxfId="7" tableBorderDxfId="6">
  <tableColumns count="5">
    <tableColumn id="1" xr3:uid="{31904C4F-CBA6-4D8F-875D-51F96F3ACC3B}" name="Customer_ID"/>
    <tableColumn id="2" xr3:uid="{0ADB8495-C5CE-4AD8-81C7-D5D7B8BC14FF}" name="Name"/>
    <tableColumn id="3" xr3:uid="{28FA24F7-19E9-4FFE-A80B-685FBB688F26}" name="Segment"/>
    <tableColumn id="4" xr3:uid="{2389BD21-D8D9-4CF0-96E0-39CF85DB66AE}" name="Location"/>
    <tableColumn id="5" xr3:uid="{62DB4518-D582-4906-9ED7-B378AF3AAA58}" name="First_Purchase_Dat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EAD48D-7878-4624-8294-7777C0921F37}" name="tblTargets" displayName="tblTargets" ref="A1:D481" totalsRowShown="0" headerRowDxfId="5" headerRowBorderDxfId="4" tableBorderDxfId="3">
  <tableColumns count="4">
    <tableColumn id="1" xr3:uid="{474CEC9E-8E4C-4051-BBAA-E3C9C45E978E}" name="Month"/>
    <tableColumn id="2" xr3:uid="{BCB31240-D78C-465B-ABD0-A95D2C017004}" name="Sales_Rep_ID"/>
    <tableColumn id="3" xr3:uid="{26849E51-CF56-4949-A926-A372974AE74F}" name="Target_Amount" dataDxfId="2"/>
    <tableColumn id="4" xr3:uid="{5F888F89-C54C-4A7C-9A1F-02A099EEAB79}" name="Region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F0F9D0-95BD-4661-A1E4-81A008E79AEC}" name="tblRepTargets" displayName="tblRepTargets" ref="A1:C361" totalsRowShown="0">
  <tableColumns count="3">
    <tableColumn id="1" xr3:uid="{6573136F-F3EB-42BD-A7EA-4ECC8A669A4C}" name="Month"/>
    <tableColumn id="2" xr3:uid="{9FBA21B4-D1C8-4931-8357-DBAFA44CA771}" name="Sales_Rep_ID"/>
    <tableColumn id="3" xr3:uid="{09AF61A4-CEBE-4F89-B917-B734D267A5C6}" name="Target_Amount" dataDxfId="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47603F-84C7-40FE-8B37-61C79EC8CA00}" name="tblRegional_Targets" displayName="tblRegional_Targets" ref="A1:C121" totalsRowShown="0">
  <tableColumns count="3">
    <tableColumn id="1" xr3:uid="{8B2A3FE3-F87E-4501-9D8B-1CD9D744D94B}" name="Month"/>
    <tableColumn id="2" xr3:uid="{D320302D-4F70-41E5-9DEB-705B982D9F55}" name="Target_Amount" dataDxfId="0"/>
    <tableColumn id="3" xr3:uid="{94B63550-9B66-4ECD-A2C1-6662861752CA}" name="Reg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01"/>
  <sheetViews>
    <sheetView topLeftCell="F1" workbookViewId="0">
      <selection activeCell="N8" sqref="N8"/>
    </sheetView>
  </sheetViews>
  <sheetFormatPr defaultRowHeight="14.4" x14ac:dyDescent="0.3"/>
  <cols>
    <col min="1" max="1" width="15.44140625" customWidth="1"/>
    <col min="2" max="2" width="10.33203125" bestFit="1" customWidth="1"/>
    <col min="3" max="3" width="16.6640625" bestFit="1" customWidth="1"/>
    <col min="4" max="4" width="13.77734375" customWidth="1"/>
    <col min="5" max="5" width="12.33203125" customWidth="1"/>
    <col min="6" max="6" width="10.21875" customWidth="1"/>
    <col min="7" max="7" width="11.5546875" customWidth="1"/>
    <col min="8" max="8" width="10.21875" customWidth="1"/>
    <col min="9" max="9" width="15" style="4" customWidth="1"/>
    <col min="10" max="10" width="8.6640625" customWidth="1"/>
    <col min="11" max="11" width="18.21875" customWidth="1"/>
    <col min="12" max="12" width="10.109375" bestFit="1" customWidth="1"/>
    <col min="13" max="13" width="11.109375" style="4" bestFit="1" customWidth="1"/>
    <col min="14" max="14" width="17.33203125" style="3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5" t="s">
        <v>5154</v>
      </c>
      <c r="M1" s="6" t="s">
        <v>5155</v>
      </c>
      <c r="N1" s="2" t="s">
        <v>5156</v>
      </c>
      <c r="O1" s="1" t="s">
        <v>5128</v>
      </c>
      <c r="P1" s="1" t="s">
        <v>5157</v>
      </c>
      <c r="Q1" s="1" t="s">
        <v>5158</v>
      </c>
      <c r="R1" s="1" t="s">
        <v>5159</v>
      </c>
      <c r="S1" s="1" t="s">
        <v>5160</v>
      </c>
      <c r="T1" s="1" t="s">
        <v>4679</v>
      </c>
      <c r="U1" s="1" t="s">
        <v>4680</v>
      </c>
      <c r="V1" s="7" t="s">
        <v>4681</v>
      </c>
      <c r="W1" s="1" t="s">
        <v>5161</v>
      </c>
      <c r="X1" s="1" t="s">
        <v>5162</v>
      </c>
    </row>
    <row r="2" spans="1:24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17</v>
      </c>
      <c r="G2">
        <v>477.48</v>
      </c>
      <c r="H2">
        <v>0.1</v>
      </c>
      <c r="I2" s="4">
        <v>7305.44</v>
      </c>
      <c r="J2" t="s">
        <v>16</v>
      </c>
      <c r="K2" t="s">
        <v>17</v>
      </c>
      <c r="L2" s="4">
        <f>VLOOKUP(tblTransactions[[#This Row],[Product_ID]],tblProducts[],5,FALSE)</f>
        <v>275.51</v>
      </c>
      <c r="M2" s="4">
        <f>tblTransactions[[#This Row],[Total_Amount]]-(tblTransactions[[#This Row],[Cost_Prices]]*tblTransactions[[#This Row],[Quantity]]*(1-tblTransactions[[#This Row],[Discount]]))</f>
        <v>3090.1369999999997</v>
      </c>
      <c r="N2" s="3">
        <f>tblTransactions[[#This Row],[Profit]]/tblTransactions[[#This Row],[Total_Amount]]</f>
        <v>0.42299122297904024</v>
      </c>
      <c r="O2" t="str">
        <f>TEXT(tblTransactions[[#This Row],[Date]], "MMM-YYYY")</f>
        <v>Jan-2023</v>
      </c>
      <c r="P2" t="str">
        <f>"Q"&amp;ROUNDUP(MONTH(tblTransactions[[#This Row],[Date]])/3,0)&amp;"-"&amp;YEAR(tblTransactions[[#This Row],[Date]])</f>
        <v>Q1-2023</v>
      </c>
      <c r="Q2">
        <f>YEAR(tblTransactions[[#This Row],[Date]])</f>
        <v>2023</v>
      </c>
      <c r="R2" t="str">
        <f>TEXT(tblTransactions[[#This Row],[Date]],"DDDD")</f>
        <v>Sunday</v>
      </c>
      <c r="S2">
        <f>MONTH(tblTransactions[[#This Row],[Date]])</f>
        <v>1</v>
      </c>
      <c r="T2" t="str">
        <f>VLOOKUP(E2, Products!$A:$B,2,0)</f>
        <v>Laptops Ele-4</v>
      </c>
      <c r="U2" t="str">
        <f>VLOOKUP(E2,Products!$A:$C,3,0)</f>
        <v>Electronics</v>
      </c>
      <c r="V2" t="str">
        <f>VLOOKUP(E2,Products!$A:$D,4,0)</f>
        <v>Laptops</v>
      </c>
      <c r="W2" t="str">
        <f>VLOOKUP(D2,Customers!$A:$C,3,0)</f>
        <v>B2B</v>
      </c>
      <c r="X2" t="str">
        <f>VLOOKUP(C2,Sales_Representatives!$A:$B,2,0)</f>
        <v>Jennifer Rodriguez</v>
      </c>
    </row>
    <row r="3" spans="1:24" x14ac:dyDescent="0.3">
      <c r="A3" t="s">
        <v>18</v>
      </c>
      <c r="B3" t="s">
        <v>12</v>
      </c>
      <c r="C3" t="s">
        <v>19</v>
      </c>
      <c r="D3" t="s">
        <v>14</v>
      </c>
      <c r="E3" t="s">
        <v>20</v>
      </c>
      <c r="F3">
        <v>12</v>
      </c>
      <c r="G3">
        <v>1219.49</v>
      </c>
      <c r="H3">
        <v>0.17</v>
      </c>
      <c r="I3" s="4">
        <v>12146.12</v>
      </c>
      <c r="J3" t="s">
        <v>21</v>
      </c>
      <c r="K3" t="s">
        <v>22</v>
      </c>
      <c r="L3" s="4">
        <f>VLOOKUP(tblTransactions[[#This Row],[Product_ID]],tblProducts[],5,FALSE)</f>
        <v>686.9</v>
      </c>
      <c r="M3" s="4">
        <f>tblTransactions[[#This Row],[Total_Amount]]-(tblTransactions[[#This Row],[Cost_Prices]]*tblTransactions[[#This Row],[Quantity]]*(1-tblTransactions[[#This Row],[Discount]]))</f>
        <v>5304.5960000000014</v>
      </c>
      <c r="N3" s="3">
        <f>tblTransactions[[#This Row],[Profit]]/tblTransactions[[#This Row],[Total_Amount]]</f>
        <v>0.43673172996808868</v>
      </c>
      <c r="O3" t="str">
        <f>TEXT(tblTransactions[[#This Row],[Date]], "MMM-YYYY")</f>
        <v>Jan-2023</v>
      </c>
      <c r="P3" t="str">
        <f>"Q"&amp;ROUNDUP(MONTH(tblTransactions[[#This Row],[Date]])/3,0)&amp;"-"&amp;YEAR(tblTransactions[[#This Row],[Date]])</f>
        <v>Q1-2023</v>
      </c>
      <c r="Q3">
        <f>YEAR(tblTransactions[[#This Row],[Date]])</f>
        <v>2023</v>
      </c>
      <c r="R3" t="str">
        <f>TEXT(tblTransactions[[#This Row],[Date]],"DDDD")</f>
        <v>Sunday</v>
      </c>
      <c r="S3">
        <f>MONTH(tblTransactions[[#This Row],[Date]])</f>
        <v>1</v>
      </c>
      <c r="T3" t="str">
        <f>VLOOKUP(E3, Products!$A:$B,2,0)</f>
        <v>Laptops Ele-1</v>
      </c>
      <c r="U3" t="str">
        <f>VLOOKUP(E3,Products!$A:$C,3,0)</f>
        <v>Electronics</v>
      </c>
      <c r="V3" t="str">
        <f>VLOOKUP(E3,Products!$A:$D,4,0)</f>
        <v>Laptops</v>
      </c>
      <c r="W3" t="str">
        <f>VLOOKUP(D3,Customers!$A:$C,3,0)</f>
        <v>B2B</v>
      </c>
      <c r="X3" t="str">
        <f>VLOOKUP(C3,Sales_Representatives!$A:$B,2,0)</f>
        <v>Robert Jones</v>
      </c>
    </row>
    <row r="4" spans="1:24" x14ac:dyDescent="0.3">
      <c r="A4" t="s">
        <v>23</v>
      </c>
      <c r="B4" t="s">
        <v>12</v>
      </c>
      <c r="C4" t="s">
        <v>13</v>
      </c>
      <c r="D4" t="s">
        <v>24</v>
      </c>
      <c r="E4" t="s">
        <v>25</v>
      </c>
      <c r="F4">
        <v>17</v>
      </c>
      <c r="G4">
        <v>1467.49</v>
      </c>
      <c r="H4">
        <v>0.11</v>
      </c>
      <c r="I4" s="4">
        <v>22203.119999999999</v>
      </c>
      <c r="J4" t="s">
        <v>16</v>
      </c>
      <c r="K4" t="s">
        <v>17</v>
      </c>
      <c r="L4" s="4">
        <f>VLOOKUP(tblTransactions[[#This Row],[Product_ID]],tblProducts[],5,FALSE)</f>
        <v>757.65</v>
      </c>
      <c r="M4" s="4">
        <f>tblTransactions[[#This Row],[Total_Amount]]-(tblTransactions[[#This Row],[Cost_Prices]]*tblTransactions[[#This Row],[Quantity]]*(1-tblTransactions[[#This Row],[Discount]]))</f>
        <v>10739.8755</v>
      </c>
      <c r="N4" s="3">
        <f>tblTransactions[[#This Row],[Profit]]/tblTransactions[[#This Row],[Total_Amount]]</f>
        <v>0.48371019478343585</v>
      </c>
      <c r="O4" t="str">
        <f>TEXT(tblTransactions[[#This Row],[Date]], "MMM-YYYY")</f>
        <v>Jan-2023</v>
      </c>
      <c r="P4" t="str">
        <f>"Q"&amp;ROUNDUP(MONTH(tblTransactions[[#This Row],[Date]])/3,0)&amp;"-"&amp;YEAR(tblTransactions[[#This Row],[Date]])</f>
        <v>Q1-2023</v>
      </c>
      <c r="Q4">
        <f>YEAR(tblTransactions[[#This Row],[Date]])</f>
        <v>2023</v>
      </c>
      <c r="R4" t="str">
        <f>TEXT(tblTransactions[[#This Row],[Date]],"DDDD")</f>
        <v>Sunday</v>
      </c>
      <c r="S4">
        <f>MONTH(tblTransactions[[#This Row],[Date]])</f>
        <v>1</v>
      </c>
      <c r="T4" t="str">
        <f>VLOOKUP(E4, Products!$A:$B,2,0)</f>
        <v>Tables Fur-3</v>
      </c>
      <c r="U4" t="str">
        <f>VLOOKUP(E4,Products!$A:$C,3,0)</f>
        <v>Furniture</v>
      </c>
      <c r="V4" t="str">
        <f>VLOOKUP(E4,Products!$A:$D,4,0)</f>
        <v>Tables</v>
      </c>
      <c r="W4" t="str">
        <f>VLOOKUP(D4,Customers!$A:$C,3,0)</f>
        <v>B2B</v>
      </c>
      <c r="X4" t="str">
        <f>VLOOKUP(C4,Sales_Representatives!$A:$B,2,0)</f>
        <v>Jennifer Rodriguez</v>
      </c>
    </row>
    <row r="5" spans="1:24" x14ac:dyDescent="0.3">
      <c r="A5" t="s">
        <v>26</v>
      </c>
      <c r="B5" t="s">
        <v>12</v>
      </c>
      <c r="C5" t="s">
        <v>27</v>
      </c>
      <c r="D5" t="s">
        <v>28</v>
      </c>
      <c r="E5" t="s">
        <v>29</v>
      </c>
      <c r="F5">
        <v>9</v>
      </c>
      <c r="G5">
        <v>1363.46</v>
      </c>
      <c r="H5">
        <v>0.12</v>
      </c>
      <c r="I5" s="4">
        <v>10798.6</v>
      </c>
      <c r="J5" t="s">
        <v>16</v>
      </c>
      <c r="K5" t="s">
        <v>17</v>
      </c>
      <c r="L5" s="4">
        <f>VLOOKUP(tblTransactions[[#This Row],[Product_ID]],tblProducts[],5,FALSE)</f>
        <v>995.41</v>
      </c>
      <c r="M5" s="4">
        <f>tblTransactions[[#This Row],[Total_Amount]]-(tblTransactions[[#This Row],[Cost_Prices]]*tblTransactions[[#This Row],[Quantity]]*(1-tblTransactions[[#This Row],[Discount]]))</f>
        <v>2914.9528</v>
      </c>
      <c r="N5" s="3">
        <f>tblTransactions[[#This Row],[Profit]]/tblTransactions[[#This Row],[Total_Amount]]</f>
        <v>0.26993802900375974</v>
      </c>
      <c r="O5" t="str">
        <f>TEXT(tblTransactions[[#This Row],[Date]], "MMM-YYYY")</f>
        <v>Jan-2023</v>
      </c>
      <c r="P5" t="str">
        <f>"Q"&amp;ROUNDUP(MONTH(tblTransactions[[#This Row],[Date]])/3,0)&amp;"-"&amp;YEAR(tblTransactions[[#This Row],[Date]])</f>
        <v>Q1-2023</v>
      </c>
      <c r="Q5">
        <f>YEAR(tblTransactions[[#This Row],[Date]])</f>
        <v>2023</v>
      </c>
      <c r="R5" t="str">
        <f>TEXT(tblTransactions[[#This Row],[Date]],"DDDD")</f>
        <v>Sunday</v>
      </c>
      <c r="S5">
        <f>MONTH(tblTransactions[[#This Row],[Date]])</f>
        <v>1</v>
      </c>
      <c r="T5" t="str">
        <f>VLOOKUP(E5, Products!$A:$B,2,0)</f>
        <v>Phones Ele-3</v>
      </c>
      <c r="U5" t="str">
        <f>VLOOKUP(E5,Products!$A:$C,3,0)</f>
        <v>Electronics</v>
      </c>
      <c r="V5" t="str">
        <f>VLOOKUP(E5,Products!$A:$D,4,0)</f>
        <v>Phones</v>
      </c>
      <c r="W5" t="str">
        <f>VLOOKUP(D5,Customers!$A:$C,3,0)</f>
        <v>B2B</v>
      </c>
      <c r="X5" t="str">
        <f>VLOOKUP(C5,Sales_Representatives!$A:$B,2,0)</f>
        <v>Thomas Lopez</v>
      </c>
    </row>
    <row r="6" spans="1:24" x14ac:dyDescent="0.3">
      <c r="A6" t="s">
        <v>30</v>
      </c>
      <c r="B6" t="s">
        <v>12</v>
      </c>
      <c r="C6" t="s">
        <v>31</v>
      </c>
      <c r="D6" t="s">
        <v>32</v>
      </c>
      <c r="E6" t="s">
        <v>33</v>
      </c>
      <c r="F6">
        <v>6</v>
      </c>
      <c r="G6">
        <v>322.7</v>
      </c>
      <c r="H6">
        <v>0.09</v>
      </c>
      <c r="I6" s="4">
        <v>1761.94</v>
      </c>
      <c r="J6" t="s">
        <v>34</v>
      </c>
      <c r="K6" t="s">
        <v>35</v>
      </c>
      <c r="L6" s="4">
        <f>VLOOKUP(tblTransactions[[#This Row],[Product_ID]],tblProducts[],5,FALSE)</f>
        <v>139.81</v>
      </c>
      <c r="M6" s="4">
        <f>tblTransactions[[#This Row],[Total_Amount]]-(tblTransactions[[#This Row],[Cost_Prices]]*tblTransactions[[#This Row],[Quantity]]*(1-tblTransactions[[#This Row],[Discount]]))</f>
        <v>998.57740000000001</v>
      </c>
      <c r="N6" s="3">
        <f>tblTransactions[[#This Row],[Profit]]/tblTransactions[[#This Row],[Total_Amount]]</f>
        <v>0.56674881096972651</v>
      </c>
      <c r="O6" t="str">
        <f>TEXT(tblTransactions[[#This Row],[Date]], "MMM-YYYY")</f>
        <v>Jan-2023</v>
      </c>
      <c r="P6" t="str">
        <f>"Q"&amp;ROUNDUP(MONTH(tblTransactions[[#This Row],[Date]])/3,0)&amp;"-"&amp;YEAR(tblTransactions[[#This Row],[Date]])</f>
        <v>Q1-2023</v>
      </c>
      <c r="Q6">
        <f>YEAR(tblTransactions[[#This Row],[Date]])</f>
        <v>2023</v>
      </c>
      <c r="R6" t="str">
        <f>TEXT(tblTransactions[[#This Row],[Date]],"DDDD")</f>
        <v>Sunday</v>
      </c>
      <c r="S6">
        <f>MONTH(tblTransactions[[#This Row],[Date]])</f>
        <v>1</v>
      </c>
      <c r="T6" t="str">
        <f>VLOOKUP(E6, Products!$A:$B,2,0)</f>
        <v>Adapters Acc-1</v>
      </c>
      <c r="U6" t="str">
        <f>VLOOKUP(E6,Products!$A:$C,3,0)</f>
        <v>Accessories</v>
      </c>
      <c r="V6" t="str">
        <f>VLOOKUP(E6,Products!$A:$D,4,0)</f>
        <v>Adapters</v>
      </c>
      <c r="W6" t="str">
        <f>VLOOKUP(D6,Customers!$A:$C,3,0)</f>
        <v>B2C</v>
      </c>
      <c r="X6" t="str">
        <f>VLOOKUP(C6,Sales_Representatives!$A:$B,2,0)</f>
        <v>Thomas Martinez</v>
      </c>
    </row>
    <row r="7" spans="1:24" x14ac:dyDescent="0.3">
      <c r="A7" t="s">
        <v>36</v>
      </c>
      <c r="B7" t="s">
        <v>12</v>
      </c>
      <c r="C7" t="s">
        <v>31</v>
      </c>
      <c r="D7" t="s">
        <v>37</v>
      </c>
      <c r="E7" t="s">
        <v>38</v>
      </c>
      <c r="F7">
        <v>30</v>
      </c>
      <c r="G7">
        <v>581.47</v>
      </c>
      <c r="H7">
        <v>0.16</v>
      </c>
      <c r="I7" s="4">
        <v>14653.04</v>
      </c>
      <c r="J7" t="s">
        <v>34</v>
      </c>
      <c r="K7" t="s">
        <v>39</v>
      </c>
      <c r="L7" s="4">
        <f>VLOOKUP(tblTransactions[[#This Row],[Product_ID]],tblProducts[],5,FALSE)</f>
        <v>372.07</v>
      </c>
      <c r="M7" s="4">
        <f>tblTransactions[[#This Row],[Total_Amount]]-(tblTransactions[[#This Row],[Cost_Prices]]*tblTransactions[[#This Row],[Quantity]]*(1-tblTransactions[[#This Row],[Discount]]))</f>
        <v>5276.8760000000002</v>
      </c>
      <c r="N7" s="3">
        <f>tblTransactions[[#This Row],[Profit]]/tblTransactions[[#This Row],[Total_Amount]]</f>
        <v>0.36012158569143332</v>
      </c>
      <c r="O7" t="str">
        <f>TEXT(tblTransactions[[#This Row],[Date]], "MMM-YYYY")</f>
        <v>Jan-2023</v>
      </c>
      <c r="P7" t="str">
        <f>"Q"&amp;ROUNDUP(MONTH(tblTransactions[[#This Row],[Date]])/3,0)&amp;"-"&amp;YEAR(tblTransactions[[#This Row],[Date]])</f>
        <v>Q1-2023</v>
      </c>
      <c r="Q7">
        <f>YEAR(tblTransactions[[#This Row],[Date]])</f>
        <v>2023</v>
      </c>
      <c r="R7" t="str">
        <f>TEXT(tblTransactions[[#This Row],[Date]],"DDDD")</f>
        <v>Sunday</v>
      </c>
      <c r="S7">
        <f>MONTH(tblTransactions[[#This Row],[Date]])</f>
        <v>1</v>
      </c>
      <c r="T7" t="str">
        <f>VLOOKUP(E7, Products!$A:$B,2,0)</f>
        <v>Storage Fur-3</v>
      </c>
      <c r="U7" t="str">
        <f>VLOOKUP(E7,Products!$A:$C,3,0)</f>
        <v>Furniture</v>
      </c>
      <c r="V7" t="str">
        <f>VLOOKUP(E7,Products!$A:$D,4,0)</f>
        <v>Storage</v>
      </c>
      <c r="W7" t="str">
        <f>VLOOKUP(D7,Customers!$A:$C,3,0)</f>
        <v>Enterprise</v>
      </c>
      <c r="X7" t="str">
        <f>VLOOKUP(C7,Sales_Representatives!$A:$B,2,0)</f>
        <v>Thomas Martinez</v>
      </c>
    </row>
    <row r="8" spans="1:24" x14ac:dyDescent="0.3">
      <c r="A8" t="s">
        <v>40</v>
      </c>
      <c r="B8" t="s">
        <v>12</v>
      </c>
      <c r="C8" t="s">
        <v>41</v>
      </c>
      <c r="D8" t="s">
        <v>42</v>
      </c>
      <c r="E8" t="s">
        <v>43</v>
      </c>
      <c r="F8">
        <v>2</v>
      </c>
      <c r="G8">
        <v>39.32</v>
      </c>
      <c r="H8">
        <v>0.05</v>
      </c>
      <c r="I8" s="4">
        <v>74.709999999999994</v>
      </c>
      <c r="J8" t="s">
        <v>44</v>
      </c>
      <c r="K8" t="s">
        <v>22</v>
      </c>
      <c r="L8" s="4">
        <f>VLOOKUP(tblTransactions[[#This Row],[Product_ID]],tblProducts[],5,FALSE)</f>
        <v>15.81</v>
      </c>
      <c r="M8" s="4">
        <f>tblTransactions[[#This Row],[Total_Amount]]-(tblTransactions[[#This Row],[Cost_Prices]]*tblTransactions[[#This Row],[Quantity]]*(1-tblTransactions[[#This Row],[Discount]]))</f>
        <v>44.670999999999992</v>
      </c>
      <c r="N8" s="3">
        <f>tblTransactions[[#This Row],[Profit]]/tblTransactions[[#This Row],[Total_Amount]]</f>
        <v>0.59792531120331949</v>
      </c>
      <c r="O8" t="str">
        <f>TEXT(tblTransactions[[#This Row],[Date]], "MMM-YYYY")</f>
        <v>Jan-2023</v>
      </c>
      <c r="P8" t="str">
        <f>"Q"&amp;ROUNDUP(MONTH(tblTransactions[[#This Row],[Date]])/3,0)&amp;"-"&amp;YEAR(tblTransactions[[#This Row],[Date]])</f>
        <v>Q1-2023</v>
      </c>
      <c r="Q8">
        <f>YEAR(tblTransactions[[#This Row],[Date]])</f>
        <v>2023</v>
      </c>
      <c r="R8" t="str">
        <f>TEXT(tblTransactions[[#This Row],[Date]],"DDDD")</f>
        <v>Sunday</v>
      </c>
      <c r="S8">
        <f>MONTH(tblTransactions[[#This Row],[Date]])</f>
        <v>1</v>
      </c>
      <c r="T8" t="str">
        <f>VLOOKUP(E8, Products!$A:$B,2,0)</f>
        <v>Paper Off-3</v>
      </c>
      <c r="U8" t="str">
        <f>VLOOKUP(E8,Products!$A:$C,3,0)</f>
        <v>Office Supplies</v>
      </c>
      <c r="V8" t="str">
        <f>VLOOKUP(E8,Products!$A:$D,4,0)</f>
        <v>Paper</v>
      </c>
      <c r="W8" t="str">
        <f>VLOOKUP(D8,Customers!$A:$C,3,0)</f>
        <v>B2C</v>
      </c>
      <c r="X8" t="str">
        <f>VLOOKUP(C8,Sales_Representatives!$A:$B,2,0)</f>
        <v>Robert Jones</v>
      </c>
    </row>
    <row r="9" spans="1:24" x14ac:dyDescent="0.3">
      <c r="A9" t="s">
        <v>45</v>
      </c>
      <c r="B9" t="s">
        <v>46</v>
      </c>
      <c r="C9" t="s">
        <v>41</v>
      </c>
      <c r="D9" t="s">
        <v>47</v>
      </c>
      <c r="E9" t="s">
        <v>29</v>
      </c>
      <c r="F9">
        <v>5</v>
      </c>
      <c r="G9">
        <v>1363.46</v>
      </c>
      <c r="H9">
        <v>0.01</v>
      </c>
      <c r="I9" s="4">
        <v>6749.13</v>
      </c>
      <c r="J9" t="s">
        <v>44</v>
      </c>
      <c r="K9" t="s">
        <v>48</v>
      </c>
      <c r="L9" s="4">
        <f>VLOOKUP(tblTransactions[[#This Row],[Product_ID]],tblProducts[],5,FALSE)</f>
        <v>995.41</v>
      </c>
      <c r="M9" s="4">
        <f>tblTransactions[[#This Row],[Total_Amount]]-(tblTransactions[[#This Row],[Cost_Prices]]*tblTransactions[[#This Row],[Quantity]]*(1-tblTransactions[[#This Row],[Discount]]))</f>
        <v>1821.8504999999996</v>
      </c>
      <c r="N9" s="3">
        <f>tblTransactions[[#This Row],[Profit]]/tblTransactions[[#This Row],[Total_Amount]]</f>
        <v>0.26993856986011522</v>
      </c>
      <c r="O9" t="str">
        <f>TEXT(tblTransactions[[#This Row],[Date]], "MMM-YYYY")</f>
        <v>Jan-2023</v>
      </c>
      <c r="P9" t="str">
        <f>"Q"&amp;ROUNDUP(MONTH(tblTransactions[[#This Row],[Date]])/3,0)&amp;"-"&amp;YEAR(tblTransactions[[#This Row],[Date]])</f>
        <v>Q1-2023</v>
      </c>
      <c r="Q9">
        <f>YEAR(tblTransactions[[#This Row],[Date]])</f>
        <v>2023</v>
      </c>
      <c r="R9" t="str">
        <f>TEXT(tblTransactions[[#This Row],[Date]],"DDDD")</f>
        <v>Monday</v>
      </c>
      <c r="S9">
        <f>MONTH(tblTransactions[[#This Row],[Date]])</f>
        <v>1</v>
      </c>
      <c r="T9" t="str">
        <f>VLOOKUP(E9, Products!$A:$B,2,0)</f>
        <v>Phones Ele-3</v>
      </c>
      <c r="U9" t="str">
        <f>VLOOKUP(E9,Products!$A:$C,3,0)</f>
        <v>Electronics</v>
      </c>
      <c r="V9" t="str">
        <f>VLOOKUP(E9,Products!$A:$D,4,0)</f>
        <v>Phones</v>
      </c>
      <c r="W9" t="str">
        <f>VLOOKUP(D9,Customers!$A:$C,3,0)</f>
        <v>B2C</v>
      </c>
      <c r="X9" t="str">
        <f>VLOOKUP(C9,Sales_Representatives!$A:$B,2,0)</f>
        <v>Robert Jones</v>
      </c>
    </row>
    <row r="10" spans="1:24" x14ac:dyDescent="0.3">
      <c r="A10" t="s">
        <v>49</v>
      </c>
      <c r="B10" t="s">
        <v>46</v>
      </c>
      <c r="C10" t="s">
        <v>31</v>
      </c>
      <c r="D10" t="s">
        <v>50</v>
      </c>
      <c r="E10" t="s">
        <v>15</v>
      </c>
      <c r="F10">
        <v>3</v>
      </c>
      <c r="G10">
        <v>477.48</v>
      </c>
      <c r="H10">
        <v>0.06</v>
      </c>
      <c r="I10" s="4">
        <v>1346.49</v>
      </c>
      <c r="J10" t="s">
        <v>34</v>
      </c>
      <c r="K10" t="s">
        <v>22</v>
      </c>
      <c r="L10" s="4">
        <f>VLOOKUP(tblTransactions[[#This Row],[Product_ID]],tblProducts[],5,FALSE)</f>
        <v>275.51</v>
      </c>
      <c r="M10" s="4">
        <f>tblTransactions[[#This Row],[Total_Amount]]-(tblTransactions[[#This Row],[Cost_Prices]]*tblTransactions[[#This Row],[Quantity]]*(1-tblTransactions[[#This Row],[Discount]]))</f>
        <v>569.55180000000007</v>
      </c>
      <c r="N10" s="3">
        <f>tblTransactions[[#This Row],[Profit]]/tblTransactions[[#This Row],[Total_Amount]]</f>
        <v>0.42298999621237443</v>
      </c>
      <c r="O10" t="str">
        <f>TEXT(tblTransactions[[#This Row],[Date]], "MMM-YYYY")</f>
        <v>Jan-2023</v>
      </c>
      <c r="P10" t="str">
        <f>"Q"&amp;ROUNDUP(MONTH(tblTransactions[[#This Row],[Date]])/3,0)&amp;"-"&amp;YEAR(tblTransactions[[#This Row],[Date]])</f>
        <v>Q1-2023</v>
      </c>
      <c r="Q10">
        <f>YEAR(tblTransactions[[#This Row],[Date]])</f>
        <v>2023</v>
      </c>
      <c r="R10" t="str">
        <f>TEXT(tblTransactions[[#This Row],[Date]],"DDDD")</f>
        <v>Monday</v>
      </c>
      <c r="S10">
        <f>MONTH(tblTransactions[[#This Row],[Date]])</f>
        <v>1</v>
      </c>
      <c r="T10" t="str">
        <f>VLOOKUP(E10, Products!$A:$B,2,0)</f>
        <v>Laptops Ele-4</v>
      </c>
      <c r="U10" t="str">
        <f>VLOOKUP(E10,Products!$A:$C,3,0)</f>
        <v>Electronics</v>
      </c>
      <c r="V10" t="str">
        <f>VLOOKUP(E10,Products!$A:$D,4,0)</f>
        <v>Laptops</v>
      </c>
      <c r="W10" t="str">
        <f>VLOOKUP(D10,Customers!$A:$C,3,0)</f>
        <v>Small Business</v>
      </c>
      <c r="X10" t="str">
        <f>VLOOKUP(C10,Sales_Representatives!$A:$B,2,0)</f>
        <v>Thomas Martinez</v>
      </c>
    </row>
    <row r="11" spans="1:24" x14ac:dyDescent="0.3">
      <c r="A11" t="s">
        <v>51</v>
      </c>
      <c r="B11" t="s">
        <v>46</v>
      </c>
      <c r="C11" t="s">
        <v>19</v>
      </c>
      <c r="D11" t="s">
        <v>52</v>
      </c>
      <c r="E11" t="s">
        <v>53</v>
      </c>
      <c r="F11">
        <v>6</v>
      </c>
      <c r="G11">
        <v>2069.2199999999998</v>
      </c>
      <c r="H11">
        <v>7.0000000000000007E-2</v>
      </c>
      <c r="I11" s="4">
        <v>11546.25</v>
      </c>
      <c r="J11" t="s">
        <v>21</v>
      </c>
      <c r="K11" t="s">
        <v>48</v>
      </c>
      <c r="L11" s="4">
        <f>VLOOKUP(tblTransactions[[#This Row],[Product_ID]],tblProducts[],5,FALSE)</f>
        <v>1451.18</v>
      </c>
      <c r="M11" s="4">
        <f>tblTransactions[[#This Row],[Total_Amount]]-(tblTransactions[[#This Row],[Cost_Prices]]*tblTransactions[[#This Row],[Quantity]]*(1-tblTransactions[[#This Row],[Discount]]))</f>
        <v>3448.6656000000003</v>
      </c>
      <c r="N11" s="3">
        <f>tblTransactions[[#This Row],[Profit]]/tblTransactions[[#This Row],[Total_Amount]]</f>
        <v>0.29868274114972398</v>
      </c>
      <c r="O11" t="str">
        <f>TEXT(tblTransactions[[#This Row],[Date]], "MMM-YYYY")</f>
        <v>Jan-2023</v>
      </c>
      <c r="P11" t="str">
        <f>"Q"&amp;ROUNDUP(MONTH(tblTransactions[[#This Row],[Date]])/3,0)&amp;"-"&amp;YEAR(tblTransactions[[#This Row],[Date]])</f>
        <v>Q1-2023</v>
      </c>
      <c r="Q11">
        <f>YEAR(tblTransactions[[#This Row],[Date]])</f>
        <v>2023</v>
      </c>
      <c r="R11" t="str">
        <f>TEXT(tblTransactions[[#This Row],[Date]],"DDDD")</f>
        <v>Monday</v>
      </c>
      <c r="S11">
        <f>MONTH(tblTransactions[[#This Row],[Date]])</f>
        <v>1</v>
      </c>
      <c r="T11" t="str">
        <f>VLOOKUP(E11, Products!$A:$B,2,0)</f>
        <v>Printers Tec-3</v>
      </c>
      <c r="U11" t="str">
        <f>VLOOKUP(E11,Products!$A:$C,3,0)</f>
        <v>Technology</v>
      </c>
      <c r="V11" t="str">
        <f>VLOOKUP(E11,Products!$A:$D,4,0)</f>
        <v>Printers</v>
      </c>
      <c r="W11" t="str">
        <f>VLOOKUP(D11,Customers!$A:$C,3,0)</f>
        <v>B2C</v>
      </c>
      <c r="X11" t="str">
        <f>VLOOKUP(C11,Sales_Representatives!$A:$B,2,0)</f>
        <v>Robert Jones</v>
      </c>
    </row>
    <row r="12" spans="1:24" x14ac:dyDescent="0.3">
      <c r="A12" t="s">
        <v>54</v>
      </c>
      <c r="B12" t="s">
        <v>55</v>
      </c>
      <c r="C12" t="s">
        <v>56</v>
      </c>
      <c r="D12" t="s">
        <v>57</v>
      </c>
      <c r="E12" t="s">
        <v>15</v>
      </c>
      <c r="F12">
        <v>5</v>
      </c>
      <c r="G12">
        <v>477.48</v>
      </c>
      <c r="H12">
        <v>0.01</v>
      </c>
      <c r="I12" s="4">
        <v>2363.5300000000002</v>
      </c>
      <c r="J12" t="s">
        <v>34</v>
      </c>
      <c r="K12" t="s">
        <v>17</v>
      </c>
      <c r="L12" s="4">
        <f>VLOOKUP(tblTransactions[[#This Row],[Product_ID]],tblProducts[],5,FALSE)</f>
        <v>275.51</v>
      </c>
      <c r="M12" s="4">
        <f>tblTransactions[[#This Row],[Total_Amount]]-(tblTransactions[[#This Row],[Cost_Prices]]*tblTransactions[[#This Row],[Quantity]]*(1-tblTransactions[[#This Row],[Discount]]))</f>
        <v>999.75550000000021</v>
      </c>
      <c r="N12" s="3">
        <f>tblTransactions[[#This Row],[Profit]]/tblTransactions[[#This Row],[Total_Amount]]</f>
        <v>0.42299251543242528</v>
      </c>
      <c r="O12" t="str">
        <f>TEXT(tblTransactions[[#This Row],[Date]], "MMM-YYYY")</f>
        <v>Jan-2023</v>
      </c>
      <c r="P12" t="str">
        <f>"Q"&amp;ROUNDUP(MONTH(tblTransactions[[#This Row],[Date]])/3,0)&amp;"-"&amp;YEAR(tblTransactions[[#This Row],[Date]])</f>
        <v>Q1-2023</v>
      </c>
      <c r="Q12">
        <f>YEAR(tblTransactions[[#This Row],[Date]])</f>
        <v>2023</v>
      </c>
      <c r="R12" t="str">
        <f>TEXT(tblTransactions[[#This Row],[Date]],"DDDD")</f>
        <v>Tuesday</v>
      </c>
      <c r="S12">
        <f>MONTH(tblTransactions[[#This Row],[Date]])</f>
        <v>1</v>
      </c>
      <c r="T12" t="str">
        <f>VLOOKUP(E12, Products!$A:$B,2,0)</f>
        <v>Laptops Ele-4</v>
      </c>
      <c r="U12" t="str">
        <f>VLOOKUP(E12,Products!$A:$C,3,0)</f>
        <v>Electronics</v>
      </c>
      <c r="V12" t="str">
        <f>VLOOKUP(E12,Products!$A:$D,4,0)</f>
        <v>Laptops</v>
      </c>
      <c r="W12" t="str">
        <f>VLOOKUP(D12,Customers!$A:$C,3,0)</f>
        <v>Small Business</v>
      </c>
      <c r="X12" t="str">
        <f>VLOOKUP(C12,Sales_Representatives!$A:$B,2,0)</f>
        <v>Thomas Hernandez</v>
      </c>
    </row>
    <row r="13" spans="1:24" x14ac:dyDescent="0.3">
      <c r="A13" t="s">
        <v>58</v>
      </c>
      <c r="B13" t="s">
        <v>55</v>
      </c>
      <c r="C13" t="s">
        <v>59</v>
      </c>
      <c r="D13" t="s">
        <v>60</v>
      </c>
      <c r="E13" t="s">
        <v>61</v>
      </c>
      <c r="F13">
        <v>1</v>
      </c>
      <c r="G13">
        <v>92.07</v>
      </c>
      <c r="H13">
        <v>0.03</v>
      </c>
      <c r="I13" s="4">
        <v>89.31</v>
      </c>
      <c r="J13" t="s">
        <v>21</v>
      </c>
      <c r="K13" t="s">
        <v>39</v>
      </c>
      <c r="L13" s="4">
        <f>VLOOKUP(tblTransactions[[#This Row],[Product_ID]],tblProducts[],5,FALSE)</f>
        <v>56.98</v>
      </c>
      <c r="M13" s="4">
        <f>tblTransactions[[#This Row],[Total_Amount]]-(tblTransactions[[#This Row],[Cost_Prices]]*tblTransactions[[#This Row],[Quantity]]*(1-tblTransactions[[#This Row],[Discount]]))</f>
        <v>34.039400000000008</v>
      </c>
      <c r="N13" s="3">
        <f>tblTransactions[[#This Row],[Profit]]/tblTransactions[[#This Row],[Total_Amount]]</f>
        <v>0.38113761056992507</v>
      </c>
      <c r="O13" t="str">
        <f>TEXT(tblTransactions[[#This Row],[Date]], "MMM-YYYY")</f>
        <v>Jan-2023</v>
      </c>
      <c r="P13" t="str">
        <f>"Q"&amp;ROUNDUP(MONTH(tblTransactions[[#This Row],[Date]])/3,0)&amp;"-"&amp;YEAR(tblTransactions[[#This Row],[Date]])</f>
        <v>Q1-2023</v>
      </c>
      <c r="Q13">
        <f>YEAR(tblTransactions[[#This Row],[Date]])</f>
        <v>2023</v>
      </c>
      <c r="R13" t="str">
        <f>TEXT(tblTransactions[[#This Row],[Date]],"DDDD")</f>
        <v>Tuesday</v>
      </c>
      <c r="S13">
        <f>MONTH(tblTransactions[[#This Row],[Date]])</f>
        <v>1</v>
      </c>
      <c r="T13" t="str">
        <f>VLOOKUP(E13, Products!$A:$B,2,0)</f>
        <v>Pens Off-4</v>
      </c>
      <c r="U13" t="str">
        <f>VLOOKUP(E13,Products!$A:$C,3,0)</f>
        <v>Office Supplies</v>
      </c>
      <c r="V13" t="str">
        <f>VLOOKUP(E13,Products!$A:$D,4,0)</f>
        <v>Pens</v>
      </c>
      <c r="W13" t="str">
        <f>VLOOKUP(D13,Customers!$A:$C,3,0)</f>
        <v>B2C</v>
      </c>
      <c r="X13" t="str">
        <f>VLOOKUP(C13,Sales_Representatives!$A:$B,2,0)</f>
        <v>Sarah Brown</v>
      </c>
    </row>
    <row r="14" spans="1:24" x14ac:dyDescent="0.3">
      <c r="A14" t="s">
        <v>62</v>
      </c>
      <c r="B14" t="s">
        <v>55</v>
      </c>
      <c r="C14" t="s">
        <v>63</v>
      </c>
      <c r="D14" t="s">
        <v>64</v>
      </c>
      <c r="E14" t="s">
        <v>65</v>
      </c>
      <c r="F14">
        <v>3</v>
      </c>
      <c r="G14">
        <v>49.44</v>
      </c>
      <c r="H14">
        <v>0.02</v>
      </c>
      <c r="I14" s="4">
        <v>145.35</v>
      </c>
      <c r="J14" t="s">
        <v>21</v>
      </c>
      <c r="K14" t="s">
        <v>35</v>
      </c>
      <c r="L14" s="4">
        <f>VLOOKUP(tblTransactions[[#This Row],[Product_ID]],tblProducts[],5,FALSE)</f>
        <v>22.34</v>
      </c>
      <c r="M14" s="4">
        <f>tblTransactions[[#This Row],[Total_Amount]]-(tblTransactions[[#This Row],[Cost_Prices]]*tblTransactions[[#This Row],[Quantity]]*(1-tblTransactions[[#This Row],[Discount]]))</f>
        <v>79.670400000000001</v>
      </c>
      <c r="N14" s="3">
        <f>tblTransactions[[#This Row],[Profit]]/tblTransactions[[#This Row],[Total_Amount]]</f>
        <v>0.5481279669762642</v>
      </c>
      <c r="O14" t="str">
        <f>TEXT(tblTransactions[[#This Row],[Date]], "MMM-YYYY")</f>
        <v>Jan-2023</v>
      </c>
      <c r="P14" t="str">
        <f>"Q"&amp;ROUNDUP(MONTH(tblTransactions[[#This Row],[Date]])/3,0)&amp;"-"&amp;YEAR(tblTransactions[[#This Row],[Date]])</f>
        <v>Q1-2023</v>
      </c>
      <c r="Q14">
        <f>YEAR(tblTransactions[[#This Row],[Date]])</f>
        <v>2023</v>
      </c>
      <c r="R14" t="str">
        <f>TEXT(tblTransactions[[#This Row],[Date]],"DDDD")</f>
        <v>Tuesday</v>
      </c>
      <c r="S14">
        <f>MONTH(tblTransactions[[#This Row],[Date]])</f>
        <v>1</v>
      </c>
      <c r="T14" t="str">
        <f>VLOOKUP(E14, Products!$A:$B,2,0)</f>
        <v>Folders Off-2</v>
      </c>
      <c r="U14" t="str">
        <f>VLOOKUP(E14,Products!$A:$C,3,0)</f>
        <v>Office Supplies</v>
      </c>
      <c r="V14" t="str">
        <f>VLOOKUP(E14,Products!$A:$D,4,0)</f>
        <v>Folders</v>
      </c>
      <c r="W14" t="str">
        <f>VLOOKUP(D14,Customers!$A:$C,3,0)</f>
        <v>Small Business</v>
      </c>
      <c r="X14" t="str">
        <f>VLOOKUP(C14,Sales_Representatives!$A:$B,2,0)</f>
        <v>Richard Wilson</v>
      </c>
    </row>
    <row r="15" spans="1:24" x14ac:dyDescent="0.3">
      <c r="A15" t="s">
        <v>66</v>
      </c>
      <c r="B15" t="s">
        <v>55</v>
      </c>
      <c r="C15" t="s">
        <v>31</v>
      </c>
      <c r="D15" t="s">
        <v>67</v>
      </c>
      <c r="E15" t="s">
        <v>68</v>
      </c>
      <c r="F15">
        <v>3</v>
      </c>
      <c r="G15">
        <v>522.63</v>
      </c>
      <c r="H15">
        <v>7.0000000000000007E-2</v>
      </c>
      <c r="I15" s="4">
        <v>1458.14</v>
      </c>
      <c r="J15" t="s">
        <v>34</v>
      </c>
      <c r="K15" t="s">
        <v>35</v>
      </c>
      <c r="L15" s="4">
        <f>VLOOKUP(tblTransactions[[#This Row],[Product_ID]],tblProducts[],5,FALSE)</f>
        <v>355.82</v>
      </c>
      <c r="M15" s="4">
        <f>tblTransactions[[#This Row],[Total_Amount]]-(tblTransactions[[#This Row],[Cost_Prices]]*tblTransactions[[#This Row],[Quantity]]*(1-tblTransactions[[#This Row],[Discount]]))</f>
        <v>465.40220000000011</v>
      </c>
      <c r="N15" s="3">
        <f>tblTransactions[[#This Row],[Profit]]/tblTransactions[[#This Row],[Total_Amount]]</f>
        <v>0.31917525066180208</v>
      </c>
      <c r="O15" t="str">
        <f>TEXT(tblTransactions[[#This Row],[Date]], "MMM-YYYY")</f>
        <v>Jan-2023</v>
      </c>
      <c r="P15" t="str">
        <f>"Q"&amp;ROUNDUP(MONTH(tblTransactions[[#This Row],[Date]])/3,0)&amp;"-"&amp;YEAR(tblTransactions[[#This Row],[Date]])</f>
        <v>Q1-2023</v>
      </c>
      <c r="Q15">
        <f>YEAR(tblTransactions[[#This Row],[Date]])</f>
        <v>2023</v>
      </c>
      <c r="R15" t="str">
        <f>TEXT(tblTransactions[[#This Row],[Date]],"DDDD")</f>
        <v>Tuesday</v>
      </c>
      <c r="S15">
        <f>MONTH(tblTransactions[[#This Row],[Date]])</f>
        <v>1</v>
      </c>
      <c r="T15" t="str">
        <f>VLOOKUP(E15, Products!$A:$B,2,0)</f>
        <v>Monitors Tec-3</v>
      </c>
      <c r="U15" t="str">
        <f>VLOOKUP(E15,Products!$A:$C,3,0)</f>
        <v>Technology</v>
      </c>
      <c r="V15" t="str">
        <f>VLOOKUP(E15,Products!$A:$D,4,0)</f>
        <v>Monitors</v>
      </c>
      <c r="W15" t="str">
        <f>VLOOKUP(D15,Customers!$A:$C,3,0)</f>
        <v>B2C</v>
      </c>
      <c r="X15" t="str">
        <f>VLOOKUP(C15,Sales_Representatives!$A:$B,2,0)</f>
        <v>Thomas Martinez</v>
      </c>
    </row>
    <row r="16" spans="1:24" x14ac:dyDescent="0.3">
      <c r="A16" t="s">
        <v>69</v>
      </c>
      <c r="B16" t="s">
        <v>55</v>
      </c>
      <c r="C16" t="s">
        <v>70</v>
      </c>
      <c r="D16" t="s">
        <v>71</v>
      </c>
      <c r="E16" t="s">
        <v>72</v>
      </c>
      <c r="F16">
        <v>19</v>
      </c>
      <c r="G16">
        <v>404.76</v>
      </c>
      <c r="H16">
        <v>0.13</v>
      </c>
      <c r="I16" s="4">
        <v>6690.68</v>
      </c>
      <c r="J16" t="s">
        <v>16</v>
      </c>
      <c r="K16" t="s">
        <v>35</v>
      </c>
      <c r="L16" s="4">
        <f>VLOOKUP(tblTransactions[[#This Row],[Product_ID]],tblProducts[],5,FALSE)</f>
        <v>226.76</v>
      </c>
      <c r="M16" s="4">
        <f>tblTransactions[[#This Row],[Total_Amount]]-(tblTransactions[[#This Row],[Cost_Prices]]*tblTransactions[[#This Row],[Quantity]]*(1-tblTransactions[[#This Row],[Discount]]))</f>
        <v>2942.3372000000008</v>
      </c>
      <c r="N16" s="3">
        <f>tblTransactions[[#This Row],[Profit]]/tblTransactions[[#This Row],[Total_Amount]]</f>
        <v>0.43976654091960771</v>
      </c>
      <c r="O16" t="str">
        <f>TEXT(tblTransactions[[#This Row],[Date]], "MMM-YYYY")</f>
        <v>Jan-2023</v>
      </c>
      <c r="P16" t="str">
        <f>"Q"&amp;ROUNDUP(MONTH(tblTransactions[[#This Row],[Date]])/3,0)&amp;"-"&amp;YEAR(tblTransactions[[#This Row],[Date]])</f>
        <v>Q1-2023</v>
      </c>
      <c r="Q16">
        <f>YEAR(tblTransactions[[#This Row],[Date]])</f>
        <v>2023</v>
      </c>
      <c r="R16" t="str">
        <f>TEXT(tblTransactions[[#This Row],[Date]],"DDDD")</f>
        <v>Tuesday</v>
      </c>
      <c r="S16">
        <f>MONTH(tblTransactions[[#This Row],[Date]])</f>
        <v>1</v>
      </c>
      <c r="T16" t="str">
        <f>VLOOKUP(E16, Products!$A:$B,2,0)</f>
        <v>Tablets Ele-2</v>
      </c>
      <c r="U16" t="str">
        <f>VLOOKUP(E16,Products!$A:$C,3,0)</f>
        <v>Electronics</v>
      </c>
      <c r="V16" t="str">
        <f>VLOOKUP(E16,Products!$A:$D,4,0)</f>
        <v>Tablets</v>
      </c>
      <c r="W16" t="str">
        <f>VLOOKUP(D16,Customers!$A:$C,3,0)</f>
        <v>B2B</v>
      </c>
      <c r="X16" t="str">
        <f>VLOOKUP(C16,Sales_Representatives!$A:$B,2,0)</f>
        <v>Linda Smith</v>
      </c>
    </row>
    <row r="17" spans="1:24" x14ac:dyDescent="0.3">
      <c r="A17" t="s">
        <v>73</v>
      </c>
      <c r="B17" t="s">
        <v>74</v>
      </c>
      <c r="C17" t="s">
        <v>75</v>
      </c>
      <c r="D17" t="s">
        <v>76</v>
      </c>
      <c r="E17" t="s">
        <v>77</v>
      </c>
      <c r="F17">
        <v>2</v>
      </c>
      <c r="G17">
        <v>236.82</v>
      </c>
      <c r="H17">
        <v>0.04</v>
      </c>
      <c r="I17" s="4">
        <v>454.69</v>
      </c>
      <c r="J17" t="s">
        <v>44</v>
      </c>
      <c r="K17" t="s">
        <v>48</v>
      </c>
      <c r="L17" s="4">
        <f>VLOOKUP(tblTransactions[[#This Row],[Product_ID]],tblProducts[],5,FALSE)</f>
        <v>110.79</v>
      </c>
      <c r="M17" s="4">
        <f>tblTransactions[[#This Row],[Total_Amount]]-(tblTransactions[[#This Row],[Cost_Prices]]*tblTransactions[[#This Row],[Quantity]]*(1-tblTransactions[[#This Row],[Discount]]))</f>
        <v>241.97319999999999</v>
      </c>
      <c r="N17" s="3">
        <f>tblTransactions[[#This Row],[Profit]]/tblTransactions[[#This Row],[Total_Amount]]</f>
        <v>0.53217180936462205</v>
      </c>
      <c r="O17" t="str">
        <f>TEXT(tblTransactions[[#This Row],[Date]], "MMM-YYYY")</f>
        <v>Jan-2023</v>
      </c>
      <c r="P17" t="str">
        <f>"Q"&amp;ROUNDUP(MONTH(tblTransactions[[#This Row],[Date]])/3,0)&amp;"-"&amp;YEAR(tblTransactions[[#This Row],[Date]])</f>
        <v>Q1-2023</v>
      </c>
      <c r="Q17">
        <f>YEAR(tblTransactions[[#This Row],[Date]])</f>
        <v>2023</v>
      </c>
      <c r="R17" t="str">
        <f>TEXT(tblTransactions[[#This Row],[Date]],"DDDD")</f>
        <v>Wednesday</v>
      </c>
      <c r="S17">
        <f>MONTH(tblTransactions[[#This Row],[Date]])</f>
        <v>1</v>
      </c>
      <c r="T17" t="str">
        <f>VLOOKUP(E17, Products!$A:$B,2,0)</f>
        <v>Binders Off-4</v>
      </c>
      <c r="U17" t="str">
        <f>VLOOKUP(E17,Products!$A:$C,3,0)</f>
        <v>Office Supplies</v>
      </c>
      <c r="V17" t="str">
        <f>VLOOKUP(E17,Products!$A:$D,4,0)</f>
        <v>Binders</v>
      </c>
      <c r="W17" t="str">
        <f>VLOOKUP(D17,Customers!$A:$C,3,0)</f>
        <v>Small Business</v>
      </c>
      <c r="X17" t="str">
        <f>VLOOKUP(C17,Sales_Representatives!$A:$B,2,0)</f>
        <v>Jessica Anderson</v>
      </c>
    </row>
    <row r="18" spans="1:24" x14ac:dyDescent="0.3">
      <c r="A18" t="s">
        <v>78</v>
      </c>
      <c r="B18" t="s">
        <v>74</v>
      </c>
      <c r="C18" t="s">
        <v>75</v>
      </c>
      <c r="D18" t="s">
        <v>67</v>
      </c>
      <c r="E18" t="s">
        <v>79</v>
      </c>
      <c r="F18">
        <v>1</v>
      </c>
      <c r="G18">
        <v>1452.36</v>
      </c>
      <c r="H18">
        <v>0.05</v>
      </c>
      <c r="I18" s="4">
        <v>1379.74</v>
      </c>
      <c r="J18" t="s">
        <v>44</v>
      </c>
      <c r="K18" t="s">
        <v>48</v>
      </c>
      <c r="L18" s="4">
        <f>VLOOKUP(tblTransactions[[#This Row],[Product_ID]],tblProducts[],5,FALSE)</f>
        <v>778.71</v>
      </c>
      <c r="M18" s="4">
        <f>tblTransactions[[#This Row],[Total_Amount]]-(tblTransactions[[#This Row],[Cost_Prices]]*tblTransactions[[#This Row],[Quantity]]*(1-tblTransactions[[#This Row],[Discount]]))</f>
        <v>639.96550000000002</v>
      </c>
      <c r="N18" s="3">
        <f>tblTransactions[[#This Row],[Profit]]/tblTransactions[[#This Row],[Total_Amount]]</f>
        <v>0.46383050429791123</v>
      </c>
      <c r="O18" t="str">
        <f>TEXT(tblTransactions[[#This Row],[Date]], "MMM-YYYY")</f>
        <v>Jan-2023</v>
      </c>
      <c r="P18" t="str">
        <f>"Q"&amp;ROUNDUP(MONTH(tblTransactions[[#This Row],[Date]])/3,0)&amp;"-"&amp;YEAR(tblTransactions[[#This Row],[Date]])</f>
        <v>Q1-2023</v>
      </c>
      <c r="Q18">
        <f>YEAR(tblTransactions[[#This Row],[Date]])</f>
        <v>2023</v>
      </c>
      <c r="R18" t="str">
        <f>TEXT(tblTransactions[[#This Row],[Date]],"DDDD")</f>
        <v>Wednesday</v>
      </c>
      <c r="S18">
        <f>MONTH(tblTransactions[[#This Row],[Date]])</f>
        <v>1</v>
      </c>
      <c r="T18" t="str">
        <f>VLOOKUP(E18, Products!$A:$B,2,0)</f>
        <v>Tables Fur-2</v>
      </c>
      <c r="U18" t="str">
        <f>VLOOKUP(E18,Products!$A:$C,3,0)</f>
        <v>Furniture</v>
      </c>
      <c r="V18" t="str">
        <f>VLOOKUP(E18,Products!$A:$D,4,0)</f>
        <v>Tables</v>
      </c>
      <c r="W18" t="str">
        <f>VLOOKUP(D18,Customers!$A:$C,3,0)</f>
        <v>B2C</v>
      </c>
      <c r="X18" t="str">
        <f>VLOOKUP(C18,Sales_Representatives!$A:$B,2,0)</f>
        <v>Jessica Anderson</v>
      </c>
    </row>
    <row r="19" spans="1:24" x14ac:dyDescent="0.3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>
        <v>6</v>
      </c>
      <c r="G19">
        <v>1841.77</v>
      </c>
      <c r="H19">
        <v>0.08</v>
      </c>
      <c r="I19" s="4">
        <v>10166.57</v>
      </c>
      <c r="J19" t="s">
        <v>34</v>
      </c>
      <c r="K19" t="s">
        <v>39</v>
      </c>
      <c r="L19" s="4">
        <f>VLOOKUP(tblTransactions[[#This Row],[Product_ID]],tblProducts[],5,FALSE)</f>
        <v>1151.5899999999999</v>
      </c>
      <c r="M19" s="4">
        <f>tblTransactions[[#This Row],[Total_Amount]]-(tblTransactions[[#This Row],[Cost_Prices]]*tblTransactions[[#This Row],[Quantity]]*(1-tblTransactions[[#This Row],[Discount]]))</f>
        <v>3809.7932000000001</v>
      </c>
      <c r="N19" s="3">
        <f>tblTransactions[[#This Row],[Profit]]/tblTransactions[[#This Row],[Total_Amount]]</f>
        <v>0.3747373204532109</v>
      </c>
      <c r="O19" t="str">
        <f>TEXT(tblTransactions[[#This Row],[Date]], "MMM-YYYY")</f>
        <v>Jan-2023</v>
      </c>
      <c r="P19" t="str">
        <f>"Q"&amp;ROUNDUP(MONTH(tblTransactions[[#This Row],[Date]])/3,0)&amp;"-"&amp;YEAR(tblTransactions[[#This Row],[Date]])</f>
        <v>Q1-2023</v>
      </c>
      <c r="Q19">
        <f>YEAR(tblTransactions[[#This Row],[Date]])</f>
        <v>2023</v>
      </c>
      <c r="R19" t="str">
        <f>TEXT(tblTransactions[[#This Row],[Date]],"DDDD")</f>
        <v>Thursday</v>
      </c>
      <c r="S19">
        <f>MONTH(tblTransactions[[#This Row],[Date]])</f>
        <v>1</v>
      </c>
      <c r="T19" t="str">
        <f>VLOOKUP(E19, Products!$A:$B,2,0)</f>
        <v>Laptops Ele-2</v>
      </c>
      <c r="U19" t="str">
        <f>VLOOKUP(E19,Products!$A:$C,3,0)</f>
        <v>Electronics</v>
      </c>
      <c r="V19" t="str">
        <f>VLOOKUP(E19,Products!$A:$D,4,0)</f>
        <v>Laptops</v>
      </c>
      <c r="W19" t="str">
        <f>VLOOKUP(D19,Customers!$A:$C,3,0)</f>
        <v>Small Business</v>
      </c>
      <c r="X19" t="str">
        <f>VLOOKUP(C19,Sales_Representatives!$A:$B,2,0)</f>
        <v>John Brown</v>
      </c>
    </row>
    <row r="20" spans="1:24" x14ac:dyDescent="0.3">
      <c r="A20" t="s">
        <v>85</v>
      </c>
      <c r="B20" t="s">
        <v>86</v>
      </c>
      <c r="C20" t="s">
        <v>13</v>
      </c>
      <c r="D20" t="s">
        <v>28</v>
      </c>
      <c r="E20" t="s">
        <v>87</v>
      </c>
      <c r="F20">
        <v>13</v>
      </c>
      <c r="G20">
        <v>1047.8900000000001</v>
      </c>
      <c r="H20">
        <v>0.14000000000000001</v>
      </c>
      <c r="I20" s="4">
        <v>11715.41</v>
      </c>
      <c r="J20" t="s">
        <v>16</v>
      </c>
      <c r="K20" t="s">
        <v>35</v>
      </c>
      <c r="L20" s="4">
        <f>VLOOKUP(tblTransactions[[#This Row],[Product_ID]],tblProducts[],5,FALSE)</f>
        <v>742.63</v>
      </c>
      <c r="M20" s="4">
        <f>tblTransactions[[#This Row],[Total_Amount]]-(tblTransactions[[#This Row],[Cost_Prices]]*tblTransactions[[#This Row],[Quantity]]*(1-tblTransactions[[#This Row],[Discount]]))</f>
        <v>3412.8065999999999</v>
      </c>
      <c r="N20" s="3">
        <f>tblTransactions[[#This Row],[Profit]]/tblTransactions[[#This Row],[Total_Amount]]</f>
        <v>0.29130919020333046</v>
      </c>
      <c r="O20" t="str">
        <f>TEXT(tblTransactions[[#This Row],[Date]], "MMM-YYYY")</f>
        <v>Jan-2023</v>
      </c>
      <c r="P20" t="str">
        <f>"Q"&amp;ROUNDUP(MONTH(tblTransactions[[#This Row],[Date]])/3,0)&amp;"-"&amp;YEAR(tblTransactions[[#This Row],[Date]])</f>
        <v>Q1-2023</v>
      </c>
      <c r="Q20">
        <f>YEAR(tblTransactions[[#This Row],[Date]])</f>
        <v>2023</v>
      </c>
      <c r="R20" t="str">
        <f>TEXT(tblTransactions[[#This Row],[Date]],"DDDD")</f>
        <v>Saturday</v>
      </c>
      <c r="S20">
        <f>MONTH(tblTransactions[[#This Row],[Date]])</f>
        <v>1</v>
      </c>
      <c r="T20" t="str">
        <f>VLOOKUP(E20, Products!$A:$B,2,0)</f>
        <v>Monitors Tec-2</v>
      </c>
      <c r="U20" t="str">
        <f>VLOOKUP(E20,Products!$A:$C,3,0)</f>
        <v>Technology</v>
      </c>
      <c r="V20" t="str">
        <f>VLOOKUP(E20,Products!$A:$D,4,0)</f>
        <v>Monitors</v>
      </c>
      <c r="W20" t="str">
        <f>VLOOKUP(D20,Customers!$A:$C,3,0)</f>
        <v>B2B</v>
      </c>
      <c r="X20" t="str">
        <f>VLOOKUP(C20,Sales_Representatives!$A:$B,2,0)</f>
        <v>Jennifer Rodriguez</v>
      </c>
    </row>
    <row r="21" spans="1:24" x14ac:dyDescent="0.3">
      <c r="A21" t="s">
        <v>88</v>
      </c>
      <c r="B21" t="s">
        <v>86</v>
      </c>
      <c r="C21" t="s">
        <v>63</v>
      </c>
      <c r="D21" t="s">
        <v>83</v>
      </c>
      <c r="E21" t="s">
        <v>89</v>
      </c>
      <c r="F21">
        <v>7</v>
      </c>
      <c r="G21">
        <v>555.08000000000004</v>
      </c>
      <c r="H21">
        <v>0.14000000000000001</v>
      </c>
      <c r="I21" s="4">
        <v>3341.58</v>
      </c>
      <c r="J21" t="s">
        <v>21</v>
      </c>
      <c r="K21" t="s">
        <v>35</v>
      </c>
      <c r="L21" s="4">
        <f>VLOOKUP(tblTransactions[[#This Row],[Product_ID]],tblProducts[],5,FALSE)</f>
        <v>402.82</v>
      </c>
      <c r="M21" s="4">
        <f>tblTransactions[[#This Row],[Total_Amount]]-(tblTransactions[[#This Row],[Cost_Prices]]*tblTransactions[[#This Row],[Quantity]]*(1-tblTransactions[[#This Row],[Discount]]))</f>
        <v>916.60360000000037</v>
      </c>
      <c r="N21" s="3">
        <f>tblTransactions[[#This Row],[Profit]]/tblTransactions[[#This Row],[Total_Amount]]</f>
        <v>0.2743024557245376</v>
      </c>
      <c r="O21" t="str">
        <f>TEXT(tblTransactions[[#This Row],[Date]], "MMM-YYYY")</f>
        <v>Jan-2023</v>
      </c>
      <c r="P21" t="str">
        <f>"Q"&amp;ROUNDUP(MONTH(tblTransactions[[#This Row],[Date]])/3,0)&amp;"-"&amp;YEAR(tblTransactions[[#This Row],[Date]])</f>
        <v>Q1-2023</v>
      </c>
      <c r="Q21">
        <f>YEAR(tblTransactions[[#This Row],[Date]])</f>
        <v>2023</v>
      </c>
      <c r="R21" t="str">
        <f>TEXT(tblTransactions[[#This Row],[Date]],"DDDD")</f>
        <v>Saturday</v>
      </c>
      <c r="S21">
        <f>MONTH(tblTransactions[[#This Row],[Date]])</f>
        <v>1</v>
      </c>
      <c r="T21" t="str">
        <f>VLOOKUP(E21, Products!$A:$B,2,0)</f>
        <v>Laptops Ele-3</v>
      </c>
      <c r="U21" t="str">
        <f>VLOOKUP(E21,Products!$A:$C,3,0)</f>
        <v>Electronics</v>
      </c>
      <c r="V21" t="str">
        <f>VLOOKUP(E21,Products!$A:$D,4,0)</f>
        <v>Laptops</v>
      </c>
      <c r="W21" t="str">
        <f>VLOOKUP(D21,Customers!$A:$C,3,0)</f>
        <v>Small Business</v>
      </c>
      <c r="X21" t="str">
        <f>VLOOKUP(C21,Sales_Representatives!$A:$B,2,0)</f>
        <v>Richard Wilson</v>
      </c>
    </row>
    <row r="22" spans="1:24" x14ac:dyDescent="0.3">
      <c r="A22" t="s">
        <v>90</v>
      </c>
      <c r="B22" t="s">
        <v>86</v>
      </c>
      <c r="C22" t="s">
        <v>75</v>
      </c>
      <c r="D22" t="s">
        <v>76</v>
      </c>
      <c r="E22" t="s">
        <v>91</v>
      </c>
      <c r="F22">
        <v>3</v>
      </c>
      <c r="G22">
        <v>286.62</v>
      </c>
      <c r="H22">
        <v>0.06</v>
      </c>
      <c r="I22" s="4">
        <v>808.27</v>
      </c>
      <c r="J22" t="s">
        <v>44</v>
      </c>
      <c r="K22" t="s">
        <v>22</v>
      </c>
      <c r="L22" s="4">
        <f>VLOOKUP(tblTransactions[[#This Row],[Product_ID]],tblProducts[],5,FALSE)</f>
        <v>145.54</v>
      </c>
      <c r="M22" s="4">
        <f>tblTransactions[[#This Row],[Total_Amount]]-(tblTransactions[[#This Row],[Cost_Prices]]*tblTransactions[[#This Row],[Quantity]]*(1-tblTransactions[[#This Row],[Discount]]))</f>
        <v>397.84719999999999</v>
      </c>
      <c r="N22" s="3">
        <f>tblTransactions[[#This Row],[Profit]]/tblTransactions[[#This Row],[Total_Amount]]</f>
        <v>0.49222066883590881</v>
      </c>
      <c r="O22" t="str">
        <f>TEXT(tblTransactions[[#This Row],[Date]], "MMM-YYYY")</f>
        <v>Jan-2023</v>
      </c>
      <c r="P22" t="str">
        <f>"Q"&amp;ROUNDUP(MONTH(tblTransactions[[#This Row],[Date]])/3,0)&amp;"-"&amp;YEAR(tblTransactions[[#This Row],[Date]])</f>
        <v>Q1-2023</v>
      </c>
      <c r="Q22">
        <f>YEAR(tblTransactions[[#This Row],[Date]])</f>
        <v>2023</v>
      </c>
      <c r="R22" t="str">
        <f>TEXT(tblTransactions[[#This Row],[Date]],"DDDD")</f>
        <v>Saturday</v>
      </c>
      <c r="S22">
        <f>MONTH(tblTransactions[[#This Row],[Date]])</f>
        <v>1</v>
      </c>
      <c r="T22" t="str">
        <f>VLOOKUP(E22, Products!$A:$B,2,0)</f>
        <v>Chairs Fur-1</v>
      </c>
      <c r="U22" t="str">
        <f>VLOOKUP(E22,Products!$A:$C,3,0)</f>
        <v>Furniture</v>
      </c>
      <c r="V22" t="str">
        <f>VLOOKUP(E22,Products!$A:$D,4,0)</f>
        <v>Chairs</v>
      </c>
      <c r="W22" t="str">
        <f>VLOOKUP(D22,Customers!$A:$C,3,0)</f>
        <v>Small Business</v>
      </c>
      <c r="X22" t="str">
        <f>VLOOKUP(C22,Sales_Representatives!$A:$B,2,0)</f>
        <v>Jessica Anderson</v>
      </c>
    </row>
    <row r="23" spans="1:24" x14ac:dyDescent="0.3">
      <c r="A23" t="s">
        <v>92</v>
      </c>
      <c r="B23" t="s">
        <v>86</v>
      </c>
      <c r="C23" t="s">
        <v>82</v>
      </c>
      <c r="D23" t="s">
        <v>93</v>
      </c>
      <c r="E23" t="s">
        <v>38</v>
      </c>
      <c r="F23">
        <v>4</v>
      </c>
      <c r="G23">
        <v>581.47</v>
      </c>
      <c r="H23">
        <v>7.0000000000000007E-2</v>
      </c>
      <c r="I23" s="4">
        <v>2163.0700000000002</v>
      </c>
      <c r="J23" t="s">
        <v>34</v>
      </c>
      <c r="K23" t="s">
        <v>39</v>
      </c>
      <c r="L23" s="4">
        <f>VLOOKUP(tblTransactions[[#This Row],[Product_ID]],tblProducts[],5,FALSE)</f>
        <v>372.07</v>
      </c>
      <c r="M23" s="4">
        <f>tblTransactions[[#This Row],[Total_Amount]]-(tblTransactions[[#This Row],[Cost_Prices]]*tblTransactions[[#This Row],[Quantity]]*(1-tblTransactions[[#This Row],[Discount]]))</f>
        <v>778.96960000000036</v>
      </c>
      <c r="N23" s="3">
        <f>tblTransactions[[#This Row],[Profit]]/tblTransactions[[#This Row],[Total_Amount]]</f>
        <v>0.36012223367713497</v>
      </c>
      <c r="O23" t="str">
        <f>TEXT(tblTransactions[[#This Row],[Date]], "MMM-YYYY")</f>
        <v>Jan-2023</v>
      </c>
      <c r="P23" t="str">
        <f>"Q"&amp;ROUNDUP(MONTH(tblTransactions[[#This Row],[Date]])/3,0)&amp;"-"&amp;YEAR(tblTransactions[[#This Row],[Date]])</f>
        <v>Q1-2023</v>
      </c>
      <c r="Q23">
        <f>YEAR(tblTransactions[[#This Row],[Date]])</f>
        <v>2023</v>
      </c>
      <c r="R23" t="str">
        <f>TEXT(tblTransactions[[#This Row],[Date]],"DDDD")</f>
        <v>Saturday</v>
      </c>
      <c r="S23">
        <f>MONTH(tblTransactions[[#This Row],[Date]])</f>
        <v>1</v>
      </c>
      <c r="T23" t="str">
        <f>VLOOKUP(E23, Products!$A:$B,2,0)</f>
        <v>Storage Fur-3</v>
      </c>
      <c r="U23" t="str">
        <f>VLOOKUP(E23,Products!$A:$C,3,0)</f>
        <v>Furniture</v>
      </c>
      <c r="V23" t="str">
        <f>VLOOKUP(E23,Products!$A:$D,4,0)</f>
        <v>Storage</v>
      </c>
      <c r="W23" t="str">
        <f>VLOOKUP(D23,Customers!$A:$C,3,0)</f>
        <v>B2C</v>
      </c>
      <c r="X23" t="str">
        <f>VLOOKUP(C23,Sales_Representatives!$A:$B,2,0)</f>
        <v>John Brown</v>
      </c>
    </row>
    <row r="24" spans="1:24" x14ac:dyDescent="0.3">
      <c r="A24" t="s">
        <v>94</v>
      </c>
      <c r="B24" t="s">
        <v>86</v>
      </c>
      <c r="C24" t="s">
        <v>19</v>
      </c>
      <c r="D24" t="s">
        <v>95</v>
      </c>
      <c r="E24" t="s">
        <v>96</v>
      </c>
      <c r="F24">
        <v>35</v>
      </c>
      <c r="G24">
        <v>751.9</v>
      </c>
      <c r="H24">
        <v>0.17</v>
      </c>
      <c r="I24" s="4">
        <v>21842.7</v>
      </c>
      <c r="J24" t="s">
        <v>21</v>
      </c>
      <c r="K24" t="s">
        <v>17</v>
      </c>
      <c r="L24" s="4">
        <f>VLOOKUP(tblTransactions[[#This Row],[Product_ID]],tblProducts[],5,FALSE)</f>
        <v>570.29</v>
      </c>
      <c r="M24" s="4">
        <f>tblTransactions[[#This Row],[Total_Amount]]-(tblTransactions[[#This Row],[Cost_Prices]]*tblTransactions[[#This Row],[Quantity]]*(1-tblTransactions[[#This Row],[Discount]]))</f>
        <v>5275.7755000000034</v>
      </c>
      <c r="N24" s="3">
        <f>tblTransactions[[#This Row],[Profit]]/tblTransactions[[#This Row],[Total_Amount]]</f>
        <v>0.24153495218082027</v>
      </c>
      <c r="O24" t="str">
        <f>TEXT(tblTransactions[[#This Row],[Date]], "MMM-YYYY")</f>
        <v>Jan-2023</v>
      </c>
      <c r="P24" t="str">
        <f>"Q"&amp;ROUNDUP(MONTH(tblTransactions[[#This Row],[Date]])/3,0)&amp;"-"&amp;YEAR(tblTransactions[[#This Row],[Date]])</f>
        <v>Q1-2023</v>
      </c>
      <c r="Q24">
        <f>YEAR(tblTransactions[[#This Row],[Date]])</f>
        <v>2023</v>
      </c>
      <c r="R24" t="str">
        <f>TEXT(tblTransactions[[#This Row],[Date]],"DDDD")</f>
        <v>Saturday</v>
      </c>
      <c r="S24">
        <f>MONTH(tblTransactions[[#This Row],[Date]])</f>
        <v>1</v>
      </c>
      <c r="T24" t="str">
        <f>VLOOKUP(E24, Products!$A:$B,2,0)</f>
        <v>Routers Tec-1</v>
      </c>
      <c r="U24" t="str">
        <f>VLOOKUP(E24,Products!$A:$C,3,0)</f>
        <v>Technology</v>
      </c>
      <c r="V24" t="str">
        <f>VLOOKUP(E24,Products!$A:$D,4,0)</f>
        <v>Routers</v>
      </c>
      <c r="W24" t="str">
        <f>VLOOKUP(D24,Customers!$A:$C,3,0)</f>
        <v>Enterprise</v>
      </c>
      <c r="X24" t="str">
        <f>VLOOKUP(C24,Sales_Representatives!$A:$B,2,0)</f>
        <v>Robert Jones</v>
      </c>
    </row>
    <row r="25" spans="1:24" x14ac:dyDescent="0.3">
      <c r="A25" t="s">
        <v>97</v>
      </c>
      <c r="B25" t="s">
        <v>86</v>
      </c>
      <c r="C25" t="s">
        <v>31</v>
      </c>
      <c r="D25" t="s">
        <v>98</v>
      </c>
      <c r="E25" t="s">
        <v>99</v>
      </c>
      <c r="F25">
        <v>4</v>
      </c>
      <c r="G25">
        <v>325.14</v>
      </c>
      <c r="H25">
        <v>0.03</v>
      </c>
      <c r="I25" s="4">
        <v>1261.54</v>
      </c>
      <c r="J25" t="s">
        <v>34</v>
      </c>
      <c r="K25" t="s">
        <v>39</v>
      </c>
      <c r="L25" s="4">
        <f>VLOOKUP(tblTransactions[[#This Row],[Product_ID]],tblProducts[],5,FALSE)</f>
        <v>209.04</v>
      </c>
      <c r="M25" s="4">
        <f>tblTransactions[[#This Row],[Total_Amount]]-(tblTransactions[[#This Row],[Cost_Prices]]*tblTransactions[[#This Row],[Quantity]]*(1-tblTransactions[[#This Row],[Discount]]))</f>
        <v>450.46479999999997</v>
      </c>
      <c r="N25" s="3">
        <f>tblTransactions[[#This Row],[Profit]]/tblTransactions[[#This Row],[Total_Amount]]</f>
        <v>0.35707532063985287</v>
      </c>
      <c r="O25" t="str">
        <f>TEXT(tblTransactions[[#This Row],[Date]], "MMM-YYYY")</f>
        <v>Jan-2023</v>
      </c>
      <c r="P25" t="str">
        <f>"Q"&amp;ROUNDUP(MONTH(tblTransactions[[#This Row],[Date]])/3,0)&amp;"-"&amp;YEAR(tblTransactions[[#This Row],[Date]])</f>
        <v>Q1-2023</v>
      </c>
      <c r="Q25">
        <f>YEAR(tblTransactions[[#This Row],[Date]])</f>
        <v>2023</v>
      </c>
      <c r="R25" t="str">
        <f>TEXT(tblTransactions[[#This Row],[Date]],"DDDD")</f>
        <v>Saturday</v>
      </c>
      <c r="S25">
        <f>MONTH(tblTransactions[[#This Row],[Date]])</f>
        <v>1</v>
      </c>
      <c r="T25" t="str">
        <f>VLOOKUP(E25, Products!$A:$B,2,0)</f>
        <v>Monitors Tec-1</v>
      </c>
      <c r="U25" t="str">
        <f>VLOOKUP(E25,Products!$A:$C,3,0)</f>
        <v>Technology</v>
      </c>
      <c r="V25" t="str">
        <f>VLOOKUP(E25,Products!$A:$D,4,0)</f>
        <v>Monitors</v>
      </c>
      <c r="W25" t="str">
        <f>VLOOKUP(D25,Customers!$A:$C,3,0)</f>
        <v>B2C</v>
      </c>
      <c r="X25" t="str">
        <f>VLOOKUP(C25,Sales_Representatives!$A:$B,2,0)</f>
        <v>Thomas Martinez</v>
      </c>
    </row>
    <row r="26" spans="1:24" x14ac:dyDescent="0.3">
      <c r="A26" t="s">
        <v>100</v>
      </c>
      <c r="B26" t="s">
        <v>86</v>
      </c>
      <c r="C26" t="s">
        <v>63</v>
      </c>
      <c r="D26" t="s">
        <v>101</v>
      </c>
      <c r="E26" t="s">
        <v>102</v>
      </c>
      <c r="F26">
        <v>3</v>
      </c>
      <c r="G26">
        <v>1097.75</v>
      </c>
      <c r="H26">
        <v>0.02</v>
      </c>
      <c r="I26" s="4">
        <v>3227.38</v>
      </c>
      <c r="J26" t="s">
        <v>21</v>
      </c>
      <c r="K26" t="s">
        <v>22</v>
      </c>
      <c r="L26" s="4">
        <f>VLOOKUP(tblTransactions[[#This Row],[Product_ID]],tblProducts[],5,FALSE)</f>
        <v>680.12</v>
      </c>
      <c r="M26" s="4">
        <f>tblTransactions[[#This Row],[Total_Amount]]-(tblTransactions[[#This Row],[Cost_Prices]]*tblTransactions[[#This Row],[Quantity]]*(1-tblTransactions[[#This Row],[Discount]]))</f>
        <v>1227.8271999999999</v>
      </c>
      <c r="N26" s="3">
        <f>tblTransactions[[#This Row],[Profit]]/tblTransactions[[#This Row],[Total_Amount]]</f>
        <v>0.38044085295193003</v>
      </c>
      <c r="O26" t="str">
        <f>TEXT(tblTransactions[[#This Row],[Date]], "MMM-YYYY")</f>
        <v>Jan-2023</v>
      </c>
      <c r="P26" t="str">
        <f>"Q"&amp;ROUNDUP(MONTH(tblTransactions[[#This Row],[Date]])/3,0)&amp;"-"&amp;YEAR(tblTransactions[[#This Row],[Date]])</f>
        <v>Q1-2023</v>
      </c>
      <c r="Q26">
        <f>YEAR(tblTransactions[[#This Row],[Date]])</f>
        <v>2023</v>
      </c>
      <c r="R26" t="str">
        <f>TEXT(tblTransactions[[#This Row],[Date]],"DDDD")</f>
        <v>Saturday</v>
      </c>
      <c r="S26">
        <f>MONTH(tblTransactions[[#This Row],[Date]])</f>
        <v>1</v>
      </c>
      <c r="T26" t="str">
        <f>VLOOKUP(E26, Products!$A:$B,2,0)</f>
        <v>Storage Fur-4</v>
      </c>
      <c r="U26" t="str">
        <f>VLOOKUP(E26,Products!$A:$C,3,0)</f>
        <v>Furniture</v>
      </c>
      <c r="V26" t="str">
        <f>VLOOKUP(E26,Products!$A:$D,4,0)</f>
        <v>Storage</v>
      </c>
      <c r="W26" t="str">
        <f>VLOOKUP(D26,Customers!$A:$C,3,0)</f>
        <v>B2C</v>
      </c>
      <c r="X26" t="str">
        <f>VLOOKUP(C26,Sales_Representatives!$A:$B,2,0)</f>
        <v>Richard Wilson</v>
      </c>
    </row>
    <row r="27" spans="1:24" x14ac:dyDescent="0.3">
      <c r="A27" t="s">
        <v>103</v>
      </c>
      <c r="B27" t="s">
        <v>104</v>
      </c>
      <c r="C27" t="s">
        <v>27</v>
      </c>
      <c r="D27" t="s">
        <v>67</v>
      </c>
      <c r="E27" t="s">
        <v>105</v>
      </c>
      <c r="F27">
        <v>5</v>
      </c>
      <c r="G27">
        <v>1342.04</v>
      </c>
      <c r="H27">
        <v>0.01</v>
      </c>
      <c r="I27" s="4">
        <v>6643.1</v>
      </c>
      <c r="J27" t="s">
        <v>16</v>
      </c>
      <c r="K27" t="s">
        <v>48</v>
      </c>
      <c r="L27" s="4">
        <f>VLOOKUP(tblTransactions[[#This Row],[Product_ID]],tblProducts[],5,FALSE)</f>
        <v>792.89</v>
      </c>
      <c r="M27" s="4">
        <f>tblTransactions[[#This Row],[Total_Amount]]-(tblTransactions[[#This Row],[Cost_Prices]]*tblTransactions[[#This Row],[Quantity]]*(1-tblTransactions[[#This Row],[Discount]]))</f>
        <v>2718.2945000000004</v>
      </c>
      <c r="N27" s="3">
        <f>tblTransactions[[#This Row],[Profit]]/tblTransactions[[#This Row],[Total_Amount]]</f>
        <v>0.40919066399723025</v>
      </c>
      <c r="O27" t="str">
        <f>TEXT(tblTransactions[[#This Row],[Date]], "MMM-YYYY")</f>
        <v>Jan-2023</v>
      </c>
      <c r="P27" t="str">
        <f>"Q"&amp;ROUNDUP(MONTH(tblTransactions[[#This Row],[Date]])/3,0)&amp;"-"&amp;YEAR(tblTransactions[[#This Row],[Date]])</f>
        <v>Q1-2023</v>
      </c>
      <c r="Q27">
        <f>YEAR(tblTransactions[[#This Row],[Date]])</f>
        <v>2023</v>
      </c>
      <c r="R27" t="str">
        <f>TEXT(tblTransactions[[#This Row],[Date]],"DDDD")</f>
        <v>Sunday</v>
      </c>
      <c r="S27">
        <f>MONTH(tblTransactions[[#This Row],[Date]])</f>
        <v>1</v>
      </c>
      <c r="T27" t="str">
        <f>VLOOKUP(E27, Products!$A:$B,2,0)</f>
        <v>Cameras Ele-1</v>
      </c>
      <c r="U27" t="str">
        <f>VLOOKUP(E27,Products!$A:$C,3,0)</f>
        <v>Electronics</v>
      </c>
      <c r="V27" t="str">
        <f>VLOOKUP(E27,Products!$A:$D,4,0)</f>
        <v>Cameras</v>
      </c>
      <c r="W27" t="str">
        <f>VLOOKUP(D27,Customers!$A:$C,3,0)</f>
        <v>B2C</v>
      </c>
      <c r="X27" t="str">
        <f>VLOOKUP(C27,Sales_Representatives!$A:$B,2,0)</f>
        <v>Thomas Lopez</v>
      </c>
    </row>
    <row r="28" spans="1:24" x14ac:dyDescent="0.3">
      <c r="A28" t="s">
        <v>106</v>
      </c>
      <c r="B28" t="s">
        <v>104</v>
      </c>
      <c r="C28" t="s">
        <v>107</v>
      </c>
      <c r="D28" t="s">
        <v>83</v>
      </c>
      <c r="E28" t="s">
        <v>108</v>
      </c>
      <c r="F28">
        <v>5</v>
      </c>
      <c r="G28">
        <v>155.75</v>
      </c>
      <c r="H28">
        <v>0.05</v>
      </c>
      <c r="I28" s="4">
        <v>739.81</v>
      </c>
      <c r="J28" t="s">
        <v>109</v>
      </c>
      <c r="K28" t="s">
        <v>48</v>
      </c>
      <c r="L28" s="4">
        <f>VLOOKUP(tblTransactions[[#This Row],[Product_ID]],tblProducts[],5,FALSE)</f>
        <v>80.8</v>
      </c>
      <c r="M28" s="4">
        <f>tblTransactions[[#This Row],[Total_Amount]]-(tblTransactions[[#This Row],[Cost_Prices]]*tblTransactions[[#This Row],[Quantity]]*(1-tblTransactions[[#This Row],[Discount]]))</f>
        <v>356.01</v>
      </c>
      <c r="N28" s="3">
        <f>tblTransactions[[#This Row],[Profit]]/tblTransactions[[#This Row],[Total_Amount]]</f>
        <v>0.48121815060623674</v>
      </c>
      <c r="O28" t="str">
        <f>TEXT(tblTransactions[[#This Row],[Date]], "MMM-YYYY")</f>
        <v>Jan-2023</v>
      </c>
      <c r="P28" t="str">
        <f>"Q"&amp;ROUNDUP(MONTH(tblTransactions[[#This Row],[Date]])/3,0)&amp;"-"&amp;YEAR(tblTransactions[[#This Row],[Date]])</f>
        <v>Q1-2023</v>
      </c>
      <c r="Q28">
        <f>YEAR(tblTransactions[[#This Row],[Date]])</f>
        <v>2023</v>
      </c>
      <c r="R28" t="str">
        <f>TEXT(tblTransactions[[#This Row],[Date]],"DDDD")</f>
        <v>Sunday</v>
      </c>
      <c r="S28">
        <f>MONTH(tblTransactions[[#This Row],[Date]])</f>
        <v>1</v>
      </c>
      <c r="T28" t="str">
        <f>VLOOKUP(E28, Products!$A:$B,2,0)</f>
        <v>Cases Acc-1</v>
      </c>
      <c r="U28" t="str">
        <f>VLOOKUP(E28,Products!$A:$C,3,0)</f>
        <v>Accessories</v>
      </c>
      <c r="V28" t="str">
        <f>VLOOKUP(E28,Products!$A:$D,4,0)</f>
        <v>Cases</v>
      </c>
      <c r="W28" t="str">
        <f>VLOOKUP(D28,Customers!$A:$C,3,0)</f>
        <v>Small Business</v>
      </c>
      <c r="X28" t="str">
        <f>VLOOKUP(C28,Sales_Representatives!$A:$B,2,0)</f>
        <v>Jennifer Brown</v>
      </c>
    </row>
    <row r="29" spans="1:24" x14ac:dyDescent="0.3">
      <c r="A29" t="s">
        <v>110</v>
      </c>
      <c r="B29" t="s">
        <v>104</v>
      </c>
      <c r="C29" t="s">
        <v>70</v>
      </c>
      <c r="D29" t="s">
        <v>98</v>
      </c>
      <c r="E29" t="s">
        <v>105</v>
      </c>
      <c r="F29">
        <v>1</v>
      </c>
      <c r="G29">
        <v>1342.04</v>
      </c>
      <c r="H29">
        <v>0.08</v>
      </c>
      <c r="I29" s="4">
        <v>1234.68</v>
      </c>
      <c r="J29" t="s">
        <v>16</v>
      </c>
      <c r="K29" t="s">
        <v>39</v>
      </c>
      <c r="L29" s="4">
        <f>VLOOKUP(tblTransactions[[#This Row],[Product_ID]],tblProducts[],5,FALSE)</f>
        <v>792.89</v>
      </c>
      <c r="M29" s="4">
        <f>tblTransactions[[#This Row],[Total_Amount]]-(tblTransactions[[#This Row],[Cost_Prices]]*tblTransactions[[#This Row],[Quantity]]*(1-tblTransactions[[#This Row],[Discount]]))</f>
        <v>505.22120000000007</v>
      </c>
      <c r="N29" s="3">
        <f>tblTransactions[[#This Row],[Profit]]/tblTransactions[[#This Row],[Total_Amount]]</f>
        <v>0.4091920173648233</v>
      </c>
      <c r="O29" t="str">
        <f>TEXT(tblTransactions[[#This Row],[Date]], "MMM-YYYY")</f>
        <v>Jan-2023</v>
      </c>
      <c r="P29" t="str">
        <f>"Q"&amp;ROUNDUP(MONTH(tblTransactions[[#This Row],[Date]])/3,0)&amp;"-"&amp;YEAR(tblTransactions[[#This Row],[Date]])</f>
        <v>Q1-2023</v>
      </c>
      <c r="Q29">
        <f>YEAR(tblTransactions[[#This Row],[Date]])</f>
        <v>2023</v>
      </c>
      <c r="R29" t="str">
        <f>TEXT(tblTransactions[[#This Row],[Date]],"DDDD")</f>
        <v>Sunday</v>
      </c>
      <c r="S29">
        <f>MONTH(tblTransactions[[#This Row],[Date]])</f>
        <v>1</v>
      </c>
      <c r="T29" t="str">
        <f>VLOOKUP(E29, Products!$A:$B,2,0)</f>
        <v>Cameras Ele-1</v>
      </c>
      <c r="U29" t="str">
        <f>VLOOKUP(E29,Products!$A:$C,3,0)</f>
        <v>Electronics</v>
      </c>
      <c r="V29" t="str">
        <f>VLOOKUP(E29,Products!$A:$D,4,0)</f>
        <v>Cameras</v>
      </c>
      <c r="W29" t="str">
        <f>VLOOKUP(D29,Customers!$A:$C,3,0)</f>
        <v>B2C</v>
      </c>
      <c r="X29" t="str">
        <f>VLOOKUP(C29,Sales_Representatives!$A:$B,2,0)</f>
        <v>Linda Smith</v>
      </c>
    </row>
    <row r="30" spans="1:24" x14ac:dyDescent="0.3">
      <c r="A30" t="s">
        <v>111</v>
      </c>
      <c r="B30" t="s">
        <v>104</v>
      </c>
      <c r="C30" t="s">
        <v>70</v>
      </c>
      <c r="D30" t="s">
        <v>112</v>
      </c>
      <c r="E30" t="s">
        <v>113</v>
      </c>
      <c r="F30">
        <v>7</v>
      </c>
      <c r="G30">
        <v>930.41</v>
      </c>
      <c r="H30">
        <v>0.13</v>
      </c>
      <c r="I30" s="4">
        <v>5666.2</v>
      </c>
      <c r="J30" t="s">
        <v>16</v>
      </c>
      <c r="K30" t="s">
        <v>17</v>
      </c>
      <c r="L30" s="4">
        <f>VLOOKUP(tblTransactions[[#This Row],[Product_ID]],tblProducts[],5,FALSE)</f>
        <v>595.51</v>
      </c>
      <c r="M30" s="4">
        <f>tblTransactions[[#This Row],[Total_Amount]]-(tblTransactions[[#This Row],[Cost_Prices]]*tblTransactions[[#This Row],[Quantity]]*(1-tblTransactions[[#This Row],[Discount]]))</f>
        <v>2039.5441000000001</v>
      </c>
      <c r="N30" s="3">
        <f>tblTransactions[[#This Row],[Profit]]/tblTransactions[[#This Row],[Total_Amount]]</f>
        <v>0.35994918993328867</v>
      </c>
      <c r="O30" t="str">
        <f>TEXT(tblTransactions[[#This Row],[Date]], "MMM-YYYY")</f>
        <v>Jan-2023</v>
      </c>
      <c r="P30" t="str">
        <f>"Q"&amp;ROUNDUP(MONTH(tblTransactions[[#This Row],[Date]])/3,0)&amp;"-"&amp;YEAR(tblTransactions[[#This Row],[Date]])</f>
        <v>Q1-2023</v>
      </c>
      <c r="Q30">
        <f>YEAR(tblTransactions[[#This Row],[Date]])</f>
        <v>2023</v>
      </c>
      <c r="R30" t="str">
        <f>TEXT(tblTransactions[[#This Row],[Date]],"DDDD")</f>
        <v>Sunday</v>
      </c>
      <c r="S30">
        <f>MONTH(tblTransactions[[#This Row],[Date]])</f>
        <v>1</v>
      </c>
      <c r="T30" t="str">
        <f>VLOOKUP(E30, Products!$A:$B,2,0)</f>
        <v>Phones Ele-1</v>
      </c>
      <c r="U30" t="str">
        <f>VLOOKUP(E30,Products!$A:$C,3,0)</f>
        <v>Electronics</v>
      </c>
      <c r="V30" t="str">
        <f>VLOOKUP(E30,Products!$A:$D,4,0)</f>
        <v>Phones</v>
      </c>
      <c r="W30" t="str">
        <f>VLOOKUP(D30,Customers!$A:$C,3,0)</f>
        <v>Enterprise</v>
      </c>
      <c r="X30" t="str">
        <f>VLOOKUP(C30,Sales_Representatives!$A:$B,2,0)</f>
        <v>Linda Smith</v>
      </c>
    </row>
    <row r="31" spans="1:24" x14ac:dyDescent="0.3">
      <c r="A31" t="s">
        <v>114</v>
      </c>
      <c r="B31" t="s">
        <v>104</v>
      </c>
      <c r="C31" t="s">
        <v>70</v>
      </c>
      <c r="D31" t="s">
        <v>115</v>
      </c>
      <c r="E31" t="s">
        <v>116</v>
      </c>
      <c r="F31">
        <v>4</v>
      </c>
      <c r="G31">
        <v>232.86</v>
      </c>
      <c r="H31">
        <v>0</v>
      </c>
      <c r="I31" s="4">
        <v>931.44</v>
      </c>
      <c r="J31" t="s">
        <v>16</v>
      </c>
      <c r="K31" t="s">
        <v>17</v>
      </c>
      <c r="L31" s="4">
        <f>VLOOKUP(tblTransactions[[#This Row],[Product_ID]],tblProducts[],5,FALSE)</f>
        <v>116.79</v>
      </c>
      <c r="M31" s="4">
        <f>tblTransactions[[#This Row],[Total_Amount]]-(tblTransactions[[#This Row],[Cost_Prices]]*tblTransactions[[#This Row],[Quantity]]*(1-tblTransactions[[#This Row],[Discount]]))</f>
        <v>464.28000000000003</v>
      </c>
      <c r="N31" s="3">
        <f>tblTransactions[[#This Row],[Profit]]/tblTransactions[[#This Row],[Total_Amount]]</f>
        <v>0.49845400669930429</v>
      </c>
      <c r="O31" t="str">
        <f>TEXT(tblTransactions[[#This Row],[Date]], "MMM-YYYY")</f>
        <v>Jan-2023</v>
      </c>
      <c r="P31" t="str">
        <f>"Q"&amp;ROUNDUP(MONTH(tblTransactions[[#This Row],[Date]])/3,0)&amp;"-"&amp;YEAR(tblTransactions[[#This Row],[Date]])</f>
        <v>Q1-2023</v>
      </c>
      <c r="Q31">
        <f>YEAR(tblTransactions[[#This Row],[Date]])</f>
        <v>2023</v>
      </c>
      <c r="R31" t="str">
        <f>TEXT(tblTransactions[[#This Row],[Date]],"DDDD")</f>
        <v>Sunday</v>
      </c>
      <c r="S31">
        <f>MONTH(tblTransactions[[#This Row],[Date]])</f>
        <v>1</v>
      </c>
      <c r="T31" t="str">
        <f>VLOOKUP(E31, Products!$A:$B,2,0)</f>
        <v>Folders Off-4</v>
      </c>
      <c r="U31" t="str">
        <f>VLOOKUP(E31,Products!$A:$C,3,0)</f>
        <v>Office Supplies</v>
      </c>
      <c r="V31" t="str">
        <f>VLOOKUP(E31,Products!$A:$D,4,0)</f>
        <v>Folders</v>
      </c>
      <c r="W31" t="str">
        <f>VLOOKUP(D31,Customers!$A:$C,3,0)</f>
        <v>B2C</v>
      </c>
      <c r="X31" t="str">
        <f>VLOOKUP(C31,Sales_Representatives!$A:$B,2,0)</f>
        <v>Linda Smith</v>
      </c>
    </row>
    <row r="32" spans="1:24" x14ac:dyDescent="0.3">
      <c r="A32" t="s">
        <v>117</v>
      </c>
      <c r="B32" t="s">
        <v>104</v>
      </c>
      <c r="C32" t="s">
        <v>13</v>
      </c>
      <c r="D32" t="s">
        <v>118</v>
      </c>
      <c r="E32" t="s">
        <v>113</v>
      </c>
      <c r="F32">
        <v>5</v>
      </c>
      <c r="G32">
        <v>930.41</v>
      </c>
      <c r="H32">
        <v>7.0000000000000007E-2</v>
      </c>
      <c r="I32" s="4">
        <v>4326.41</v>
      </c>
      <c r="J32" t="s">
        <v>16</v>
      </c>
      <c r="K32" t="s">
        <v>22</v>
      </c>
      <c r="L32" s="4">
        <f>VLOOKUP(tblTransactions[[#This Row],[Product_ID]],tblProducts[],5,FALSE)</f>
        <v>595.51</v>
      </c>
      <c r="M32" s="4">
        <f>tblTransactions[[#This Row],[Total_Amount]]-(tblTransactions[[#This Row],[Cost_Prices]]*tblTransactions[[#This Row],[Quantity]]*(1-tblTransactions[[#This Row],[Discount]]))</f>
        <v>1557.2884999999997</v>
      </c>
      <c r="N32" s="3">
        <f>tblTransactions[[#This Row],[Profit]]/tblTransactions[[#This Row],[Total_Amount]]</f>
        <v>0.35994935755048635</v>
      </c>
      <c r="O32" t="str">
        <f>TEXT(tblTransactions[[#This Row],[Date]], "MMM-YYYY")</f>
        <v>Jan-2023</v>
      </c>
      <c r="P32" t="str">
        <f>"Q"&amp;ROUNDUP(MONTH(tblTransactions[[#This Row],[Date]])/3,0)&amp;"-"&amp;YEAR(tblTransactions[[#This Row],[Date]])</f>
        <v>Q1-2023</v>
      </c>
      <c r="Q32">
        <f>YEAR(tblTransactions[[#This Row],[Date]])</f>
        <v>2023</v>
      </c>
      <c r="R32" t="str">
        <f>TEXT(tblTransactions[[#This Row],[Date]],"DDDD")</f>
        <v>Sunday</v>
      </c>
      <c r="S32">
        <f>MONTH(tblTransactions[[#This Row],[Date]])</f>
        <v>1</v>
      </c>
      <c r="T32" t="str">
        <f>VLOOKUP(E32, Products!$A:$B,2,0)</f>
        <v>Phones Ele-1</v>
      </c>
      <c r="U32" t="str">
        <f>VLOOKUP(E32,Products!$A:$C,3,0)</f>
        <v>Electronics</v>
      </c>
      <c r="V32" t="str">
        <f>VLOOKUP(E32,Products!$A:$D,4,0)</f>
        <v>Phones</v>
      </c>
      <c r="W32" t="str">
        <f>VLOOKUP(D32,Customers!$A:$C,3,0)</f>
        <v>B2C</v>
      </c>
      <c r="X32" t="str">
        <f>VLOOKUP(C32,Sales_Representatives!$A:$B,2,0)</f>
        <v>Jennifer Rodriguez</v>
      </c>
    </row>
    <row r="33" spans="1:24" x14ac:dyDescent="0.3">
      <c r="A33" t="s">
        <v>119</v>
      </c>
      <c r="B33" t="s">
        <v>120</v>
      </c>
      <c r="C33" t="s">
        <v>75</v>
      </c>
      <c r="D33" t="s">
        <v>60</v>
      </c>
      <c r="E33" t="s">
        <v>121</v>
      </c>
      <c r="F33">
        <v>6</v>
      </c>
      <c r="G33">
        <v>183.9</v>
      </c>
      <c r="H33">
        <v>7.0000000000000007E-2</v>
      </c>
      <c r="I33" s="4">
        <v>1026.1600000000001</v>
      </c>
      <c r="J33" t="s">
        <v>44</v>
      </c>
      <c r="K33" t="s">
        <v>48</v>
      </c>
      <c r="L33" s="4">
        <f>VLOOKUP(tblTransactions[[#This Row],[Product_ID]],tblProducts[],5,FALSE)</f>
        <v>116.83</v>
      </c>
      <c r="M33" s="4">
        <f>tblTransactions[[#This Row],[Total_Amount]]-(tblTransactions[[#This Row],[Cost_Prices]]*tblTransactions[[#This Row],[Quantity]]*(1-tblTransactions[[#This Row],[Discount]]))</f>
        <v>374.24860000000012</v>
      </c>
      <c r="N33" s="3">
        <f>tblTransactions[[#This Row],[Profit]]/tblTransactions[[#This Row],[Total_Amount]]</f>
        <v>0.36470784283152735</v>
      </c>
      <c r="O33" t="str">
        <f>TEXT(tblTransactions[[#This Row],[Date]], "MMM-YYYY")</f>
        <v>Jan-2023</v>
      </c>
      <c r="P33" t="str">
        <f>"Q"&amp;ROUNDUP(MONTH(tblTransactions[[#This Row],[Date]])/3,0)&amp;"-"&amp;YEAR(tblTransactions[[#This Row],[Date]])</f>
        <v>Q1-2023</v>
      </c>
      <c r="Q33">
        <f>YEAR(tblTransactions[[#This Row],[Date]])</f>
        <v>2023</v>
      </c>
      <c r="R33" t="str">
        <f>TEXT(tblTransactions[[#This Row],[Date]],"DDDD")</f>
        <v>Monday</v>
      </c>
      <c r="S33">
        <f>MONTH(tblTransactions[[#This Row],[Date]])</f>
        <v>1</v>
      </c>
      <c r="T33" t="str">
        <f>VLOOKUP(E33, Products!$A:$B,2,0)</f>
        <v>Pens Off-3</v>
      </c>
      <c r="U33" t="str">
        <f>VLOOKUP(E33,Products!$A:$C,3,0)</f>
        <v>Office Supplies</v>
      </c>
      <c r="V33" t="str">
        <f>VLOOKUP(E33,Products!$A:$D,4,0)</f>
        <v>Pens</v>
      </c>
      <c r="W33" t="str">
        <f>VLOOKUP(D33,Customers!$A:$C,3,0)</f>
        <v>B2C</v>
      </c>
      <c r="X33" t="str">
        <f>VLOOKUP(C33,Sales_Representatives!$A:$B,2,0)</f>
        <v>Jessica Anderson</v>
      </c>
    </row>
    <row r="34" spans="1:24" x14ac:dyDescent="0.3">
      <c r="A34" t="s">
        <v>122</v>
      </c>
      <c r="B34" t="s">
        <v>123</v>
      </c>
      <c r="C34" t="s">
        <v>63</v>
      </c>
      <c r="D34" t="s">
        <v>124</v>
      </c>
      <c r="E34" t="s">
        <v>125</v>
      </c>
      <c r="F34">
        <v>13</v>
      </c>
      <c r="G34">
        <v>1201.4000000000001</v>
      </c>
      <c r="H34">
        <v>0.12</v>
      </c>
      <c r="I34" s="4">
        <v>13744.02</v>
      </c>
      <c r="J34" t="s">
        <v>21</v>
      </c>
      <c r="K34" t="s">
        <v>35</v>
      </c>
      <c r="L34" s="4">
        <f>VLOOKUP(tblTransactions[[#This Row],[Product_ID]],tblProducts[],5,FALSE)</f>
        <v>672.72</v>
      </c>
      <c r="M34" s="4">
        <f>tblTransactions[[#This Row],[Total_Amount]]-(tblTransactions[[#This Row],[Cost_Prices]]*tblTransactions[[#This Row],[Quantity]]*(1-tblTransactions[[#This Row],[Discount]]))</f>
        <v>6048.1031999999996</v>
      </c>
      <c r="N34" s="3">
        <f>tblTransactions[[#This Row],[Profit]]/tblTransactions[[#This Row],[Total_Amount]]</f>
        <v>0.44005343414808762</v>
      </c>
      <c r="O34" t="str">
        <f>TEXT(tblTransactions[[#This Row],[Date]], "MMM-YYYY")</f>
        <v>Jan-2023</v>
      </c>
      <c r="P34" t="str">
        <f>"Q"&amp;ROUNDUP(MONTH(tblTransactions[[#This Row],[Date]])/3,0)&amp;"-"&amp;YEAR(tblTransactions[[#This Row],[Date]])</f>
        <v>Q1-2023</v>
      </c>
      <c r="Q34">
        <f>YEAR(tblTransactions[[#This Row],[Date]])</f>
        <v>2023</v>
      </c>
      <c r="R34" t="str">
        <f>TEXT(tblTransactions[[#This Row],[Date]],"DDDD")</f>
        <v>Tuesday</v>
      </c>
      <c r="S34">
        <f>MONTH(tblTransactions[[#This Row],[Date]])</f>
        <v>1</v>
      </c>
      <c r="T34" t="str">
        <f>VLOOKUP(E34, Products!$A:$B,2,0)</f>
        <v>Printers Tec-2</v>
      </c>
      <c r="U34" t="str">
        <f>VLOOKUP(E34,Products!$A:$C,3,0)</f>
        <v>Technology</v>
      </c>
      <c r="V34" t="str">
        <f>VLOOKUP(E34,Products!$A:$D,4,0)</f>
        <v>Printers</v>
      </c>
      <c r="W34" t="str">
        <f>VLOOKUP(D34,Customers!$A:$C,3,0)</f>
        <v>B2B</v>
      </c>
      <c r="X34" t="str">
        <f>VLOOKUP(C34,Sales_Representatives!$A:$B,2,0)</f>
        <v>Richard Wilson</v>
      </c>
    </row>
    <row r="35" spans="1:24" x14ac:dyDescent="0.3">
      <c r="A35" t="s">
        <v>126</v>
      </c>
      <c r="B35" t="s">
        <v>123</v>
      </c>
      <c r="C35" t="s">
        <v>127</v>
      </c>
      <c r="D35" t="s">
        <v>128</v>
      </c>
      <c r="E35" t="s">
        <v>129</v>
      </c>
      <c r="F35">
        <v>17</v>
      </c>
      <c r="G35">
        <v>1283.71</v>
      </c>
      <c r="H35">
        <v>0.13</v>
      </c>
      <c r="I35" s="4">
        <v>18986.07</v>
      </c>
      <c r="J35" t="s">
        <v>109</v>
      </c>
      <c r="K35" t="s">
        <v>48</v>
      </c>
      <c r="L35" s="4">
        <f>VLOOKUP(tblTransactions[[#This Row],[Product_ID]],tblProducts[],5,FALSE)</f>
        <v>970.14</v>
      </c>
      <c r="M35" s="4">
        <f>tblTransactions[[#This Row],[Total_Amount]]-(tblTransactions[[#This Row],[Cost_Prices]]*tblTransactions[[#This Row],[Quantity]]*(1-tblTransactions[[#This Row],[Discount]]))</f>
        <v>4637.6993999999995</v>
      </c>
      <c r="N35" s="3">
        <f>tblTransactions[[#This Row],[Profit]]/tblTransactions[[#This Row],[Total_Amount]]</f>
        <v>0.24426852950610631</v>
      </c>
      <c r="O35" t="str">
        <f>TEXT(tblTransactions[[#This Row],[Date]], "MMM-YYYY")</f>
        <v>Jan-2023</v>
      </c>
      <c r="P35" t="str">
        <f>"Q"&amp;ROUNDUP(MONTH(tblTransactions[[#This Row],[Date]])/3,0)&amp;"-"&amp;YEAR(tblTransactions[[#This Row],[Date]])</f>
        <v>Q1-2023</v>
      </c>
      <c r="Q35">
        <f>YEAR(tblTransactions[[#This Row],[Date]])</f>
        <v>2023</v>
      </c>
      <c r="R35" t="str">
        <f>TEXT(tblTransactions[[#This Row],[Date]],"DDDD")</f>
        <v>Tuesday</v>
      </c>
      <c r="S35">
        <f>MONTH(tblTransactions[[#This Row],[Date]])</f>
        <v>1</v>
      </c>
      <c r="T35" t="str">
        <f>VLOOKUP(E35, Products!$A:$B,2,0)</f>
        <v>Cameras Ele-3</v>
      </c>
      <c r="U35" t="str">
        <f>VLOOKUP(E35,Products!$A:$C,3,0)</f>
        <v>Electronics</v>
      </c>
      <c r="V35" t="str">
        <f>VLOOKUP(E35,Products!$A:$D,4,0)</f>
        <v>Cameras</v>
      </c>
      <c r="W35" t="str">
        <f>VLOOKUP(D35,Customers!$A:$C,3,0)</f>
        <v>B2B</v>
      </c>
      <c r="X35" t="str">
        <f>VLOOKUP(C35,Sales_Representatives!$A:$B,2,0)</f>
        <v>Emily Hernandez</v>
      </c>
    </row>
    <row r="36" spans="1:24" x14ac:dyDescent="0.3">
      <c r="A36" t="s">
        <v>130</v>
      </c>
      <c r="B36" t="s">
        <v>123</v>
      </c>
      <c r="C36" t="s">
        <v>131</v>
      </c>
      <c r="D36" t="s">
        <v>132</v>
      </c>
      <c r="E36" t="s">
        <v>20</v>
      </c>
      <c r="F36">
        <v>5</v>
      </c>
      <c r="G36">
        <v>1219.49</v>
      </c>
      <c r="H36">
        <v>0.08</v>
      </c>
      <c r="I36" s="4">
        <v>5609.65</v>
      </c>
      <c r="J36" t="s">
        <v>44</v>
      </c>
      <c r="K36" t="s">
        <v>17</v>
      </c>
      <c r="L36" s="4">
        <f>VLOOKUP(tblTransactions[[#This Row],[Product_ID]],tblProducts[],5,FALSE)</f>
        <v>686.9</v>
      </c>
      <c r="M36" s="4">
        <f>tblTransactions[[#This Row],[Total_Amount]]-(tblTransactions[[#This Row],[Cost_Prices]]*tblTransactions[[#This Row],[Quantity]]*(1-tblTransactions[[#This Row],[Discount]]))</f>
        <v>2449.9099999999994</v>
      </c>
      <c r="N36" s="3">
        <f>tblTransactions[[#This Row],[Profit]]/tblTransactions[[#This Row],[Total_Amount]]</f>
        <v>0.43673134687547344</v>
      </c>
      <c r="O36" t="str">
        <f>TEXT(tblTransactions[[#This Row],[Date]], "MMM-YYYY")</f>
        <v>Jan-2023</v>
      </c>
      <c r="P36" t="str">
        <f>"Q"&amp;ROUNDUP(MONTH(tblTransactions[[#This Row],[Date]])/3,0)&amp;"-"&amp;YEAR(tblTransactions[[#This Row],[Date]])</f>
        <v>Q1-2023</v>
      </c>
      <c r="Q36">
        <f>YEAR(tblTransactions[[#This Row],[Date]])</f>
        <v>2023</v>
      </c>
      <c r="R36" t="str">
        <f>TEXT(tblTransactions[[#This Row],[Date]],"DDDD")</f>
        <v>Tuesday</v>
      </c>
      <c r="S36">
        <f>MONTH(tblTransactions[[#This Row],[Date]])</f>
        <v>1</v>
      </c>
      <c r="T36" t="str">
        <f>VLOOKUP(E36, Products!$A:$B,2,0)</f>
        <v>Laptops Ele-1</v>
      </c>
      <c r="U36" t="str">
        <f>VLOOKUP(E36,Products!$A:$C,3,0)</f>
        <v>Electronics</v>
      </c>
      <c r="V36" t="str">
        <f>VLOOKUP(E36,Products!$A:$D,4,0)</f>
        <v>Laptops</v>
      </c>
      <c r="W36" t="str">
        <f>VLOOKUP(D36,Customers!$A:$C,3,0)</f>
        <v>B2B</v>
      </c>
      <c r="X36" t="str">
        <f>VLOOKUP(C36,Sales_Representatives!$A:$B,2,0)</f>
        <v>Michael Davis</v>
      </c>
    </row>
    <row r="37" spans="1:24" x14ac:dyDescent="0.3">
      <c r="A37" t="s">
        <v>133</v>
      </c>
      <c r="B37" t="s">
        <v>123</v>
      </c>
      <c r="C37" t="s">
        <v>31</v>
      </c>
      <c r="D37" t="s">
        <v>134</v>
      </c>
      <c r="E37" t="s">
        <v>25</v>
      </c>
      <c r="F37">
        <v>12</v>
      </c>
      <c r="G37">
        <v>1467.49</v>
      </c>
      <c r="H37">
        <v>0.18</v>
      </c>
      <c r="I37" s="4">
        <v>14440.1</v>
      </c>
      <c r="J37" t="s">
        <v>34</v>
      </c>
      <c r="K37" t="s">
        <v>22</v>
      </c>
      <c r="L37" s="4">
        <f>VLOOKUP(tblTransactions[[#This Row],[Product_ID]],tblProducts[],5,FALSE)</f>
        <v>757.65</v>
      </c>
      <c r="M37" s="4">
        <f>tblTransactions[[#This Row],[Total_Amount]]-(tblTransactions[[#This Row],[Cost_Prices]]*tblTransactions[[#This Row],[Quantity]]*(1-tblTransactions[[#This Row],[Discount]]))</f>
        <v>6984.8240000000005</v>
      </c>
      <c r="N37" s="3">
        <f>tblTransactions[[#This Row],[Profit]]/tblTransactions[[#This Row],[Total_Amount]]</f>
        <v>0.48371022361340993</v>
      </c>
      <c r="O37" t="str">
        <f>TEXT(tblTransactions[[#This Row],[Date]], "MMM-YYYY")</f>
        <v>Jan-2023</v>
      </c>
      <c r="P37" t="str">
        <f>"Q"&amp;ROUNDUP(MONTH(tblTransactions[[#This Row],[Date]])/3,0)&amp;"-"&amp;YEAR(tblTransactions[[#This Row],[Date]])</f>
        <v>Q1-2023</v>
      </c>
      <c r="Q37">
        <f>YEAR(tblTransactions[[#This Row],[Date]])</f>
        <v>2023</v>
      </c>
      <c r="R37" t="str">
        <f>TEXT(tblTransactions[[#This Row],[Date]],"DDDD")</f>
        <v>Tuesday</v>
      </c>
      <c r="S37">
        <f>MONTH(tblTransactions[[#This Row],[Date]])</f>
        <v>1</v>
      </c>
      <c r="T37" t="str">
        <f>VLOOKUP(E37, Products!$A:$B,2,0)</f>
        <v>Tables Fur-3</v>
      </c>
      <c r="U37" t="str">
        <f>VLOOKUP(E37,Products!$A:$C,3,0)</f>
        <v>Furniture</v>
      </c>
      <c r="V37" t="str">
        <f>VLOOKUP(E37,Products!$A:$D,4,0)</f>
        <v>Tables</v>
      </c>
      <c r="W37" t="str">
        <f>VLOOKUP(D37,Customers!$A:$C,3,0)</f>
        <v>B2B</v>
      </c>
      <c r="X37" t="str">
        <f>VLOOKUP(C37,Sales_Representatives!$A:$B,2,0)</f>
        <v>Thomas Martinez</v>
      </c>
    </row>
    <row r="38" spans="1:24" x14ac:dyDescent="0.3">
      <c r="A38" t="s">
        <v>135</v>
      </c>
      <c r="B38" t="s">
        <v>123</v>
      </c>
      <c r="C38" t="s">
        <v>13</v>
      </c>
      <c r="D38" t="s">
        <v>136</v>
      </c>
      <c r="E38" t="s">
        <v>137</v>
      </c>
      <c r="F38">
        <v>5</v>
      </c>
      <c r="G38">
        <v>241.39</v>
      </c>
      <c r="H38">
        <v>0.05</v>
      </c>
      <c r="I38" s="4">
        <v>1146.5999999999999</v>
      </c>
      <c r="J38" t="s">
        <v>16</v>
      </c>
      <c r="K38" t="s">
        <v>35</v>
      </c>
      <c r="L38" s="4">
        <f>VLOOKUP(tblTransactions[[#This Row],[Product_ID]],tblProducts[],5,FALSE)</f>
        <v>124.07</v>
      </c>
      <c r="M38" s="4">
        <f>tblTransactions[[#This Row],[Total_Amount]]-(tblTransactions[[#This Row],[Cost_Prices]]*tblTransactions[[#This Row],[Quantity]]*(1-tblTransactions[[#This Row],[Discount]]))</f>
        <v>557.26750000000004</v>
      </c>
      <c r="N38" s="3">
        <f>tblTransactions[[#This Row],[Profit]]/tblTransactions[[#This Row],[Total_Amount]]</f>
        <v>0.48601735566021287</v>
      </c>
      <c r="O38" t="str">
        <f>TEXT(tblTransactions[[#This Row],[Date]], "MMM-YYYY")</f>
        <v>Jan-2023</v>
      </c>
      <c r="P38" t="str">
        <f>"Q"&amp;ROUNDUP(MONTH(tblTransactions[[#This Row],[Date]])/3,0)&amp;"-"&amp;YEAR(tblTransactions[[#This Row],[Date]])</f>
        <v>Q1-2023</v>
      </c>
      <c r="Q38">
        <f>YEAR(tblTransactions[[#This Row],[Date]])</f>
        <v>2023</v>
      </c>
      <c r="R38" t="str">
        <f>TEXT(tblTransactions[[#This Row],[Date]],"DDDD")</f>
        <v>Tuesday</v>
      </c>
      <c r="S38">
        <f>MONTH(tblTransactions[[#This Row],[Date]])</f>
        <v>1</v>
      </c>
      <c r="T38" t="str">
        <f>VLOOKUP(E38, Products!$A:$B,2,0)</f>
        <v>Desks Fur-2</v>
      </c>
      <c r="U38" t="str">
        <f>VLOOKUP(E38,Products!$A:$C,3,0)</f>
        <v>Furniture</v>
      </c>
      <c r="V38" t="str">
        <f>VLOOKUP(E38,Products!$A:$D,4,0)</f>
        <v>Desks</v>
      </c>
      <c r="W38" t="str">
        <f>VLOOKUP(D38,Customers!$A:$C,3,0)</f>
        <v>B2B</v>
      </c>
      <c r="X38" t="str">
        <f>VLOOKUP(C38,Sales_Representatives!$A:$B,2,0)</f>
        <v>Jennifer Rodriguez</v>
      </c>
    </row>
    <row r="39" spans="1:24" x14ac:dyDescent="0.3">
      <c r="A39" t="s">
        <v>138</v>
      </c>
      <c r="B39" t="s">
        <v>123</v>
      </c>
      <c r="C39" t="s">
        <v>75</v>
      </c>
      <c r="D39" t="s">
        <v>139</v>
      </c>
      <c r="E39" t="s">
        <v>89</v>
      </c>
      <c r="F39">
        <v>7</v>
      </c>
      <c r="G39">
        <v>555.08000000000004</v>
      </c>
      <c r="H39">
        <v>0.08</v>
      </c>
      <c r="I39" s="4">
        <v>3574.72</v>
      </c>
      <c r="J39" t="s">
        <v>44</v>
      </c>
      <c r="K39" t="s">
        <v>17</v>
      </c>
      <c r="L39" s="4">
        <f>VLOOKUP(tblTransactions[[#This Row],[Product_ID]],tblProducts[],5,FALSE)</f>
        <v>402.82</v>
      </c>
      <c r="M39" s="4">
        <f>tblTransactions[[#This Row],[Total_Amount]]-(tblTransactions[[#This Row],[Cost_Prices]]*tblTransactions[[#This Row],[Quantity]]*(1-tblTransactions[[#This Row],[Discount]]))</f>
        <v>980.55919999999969</v>
      </c>
      <c r="N39" s="3">
        <f>tblTransactions[[#This Row],[Profit]]/tblTransactions[[#This Row],[Total_Amount]]</f>
        <v>0.27430377763852826</v>
      </c>
      <c r="O39" t="str">
        <f>TEXT(tblTransactions[[#This Row],[Date]], "MMM-YYYY")</f>
        <v>Jan-2023</v>
      </c>
      <c r="P39" t="str">
        <f>"Q"&amp;ROUNDUP(MONTH(tblTransactions[[#This Row],[Date]])/3,0)&amp;"-"&amp;YEAR(tblTransactions[[#This Row],[Date]])</f>
        <v>Q1-2023</v>
      </c>
      <c r="Q39">
        <f>YEAR(tblTransactions[[#This Row],[Date]])</f>
        <v>2023</v>
      </c>
      <c r="R39" t="str">
        <f>TEXT(tblTransactions[[#This Row],[Date]],"DDDD")</f>
        <v>Tuesday</v>
      </c>
      <c r="S39">
        <f>MONTH(tblTransactions[[#This Row],[Date]])</f>
        <v>1</v>
      </c>
      <c r="T39" t="str">
        <f>VLOOKUP(E39, Products!$A:$B,2,0)</f>
        <v>Laptops Ele-3</v>
      </c>
      <c r="U39" t="str">
        <f>VLOOKUP(E39,Products!$A:$C,3,0)</f>
        <v>Electronics</v>
      </c>
      <c r="V39" t="str">
        <f>VLOOKUP(E39,Products!$A:$D,4,0)</f>
        <v>Laptops</v>
      </c>
      <c r="W39" t="str">
        <f>VLOOKUP(D39,Customers!$A:$C,3,0)</f>
        <v>B2C</v>
      </c>
      <c r="X39" t="str">
        <f>VLOOKUP(C39,Sales_Representatives!$A:$B,2,0)</f>
        <v>Jessica Anderson</v>
      </c>
    </row>
    <row r="40" spans="1:24" x14ac:dyDescent="0.3">
      <c r="A40" t="s">
        <v>140</v>
      </c>
      <c r="B40" t="s">
        <v>123</v>
      </c>
      <c r="C40" t="s">
        <v>141</v>
      </c>
      <c r="D40" t="s">
        <v>132</v>
      </c>
      <c r="E40" t="s">
        <v>29</v>
      </c>
      <c r="F40">
        <v>10</v>
      </c>
      <c r="G40">
        <v>1363.46</v>
      </c>
      <c r="H40">
        <v>0.05</v>
      </c>
      <c r="I40" s="4">
        <v>12952.87</v>
      </c>
      <c r="J40" t="s">
        <v>109</v>
      </c>
      <c r="K40" t="s">
        <v>22</v>
      </c>
      <c r="L40" s="4">
        <f>VLOOKUP(tblTransactions[[#This Row],[Product_ID]],tblProducts[],5,FALSE)</f>
        <v>995.41</v>
      </c>
      <c r="M40" s="4">
        <f>tblTransactions[[#This Row],[Total_Amount]]-(tblTransactions[[#This Row],[Cost_Prices]]*tblTransactions[[#This Row],[Quantity]]*(1-tblTransactions[[#This Row],[Discount]]))</f>
        <v>3496.4750000000004</v>
      </c>
      <c r="N40" s="3">
        <f>tblTransactions[[#This Row],[Profit]]/tblTransactions[[#This Row],[Total_Amount]]</f>
        <v>0.26993824534639815</v>
      </c>
      <c r="O40" t="str">
        <f>TEXT(tblTransactions[[#This Row],[Date]], "MMM-YYYY")</f>
        <v>Jan-2023</v>
      </c>
      <c r="P40" t="str">
        <f>"Q"&amp;ROUNDUP(MONTH(tblTransactions[[#This Row],[Date]])/3,0)&amp;"-"&amp;YEAR(tblTransactions[[#This Row],[Date]])</f>
        <v>Q1-2023</v>
      </c>
      <c r="Q40">
        <f>YEAR(tblTransactions[[#This Row],[Date]])</f>
        <v>2023</v>
      </c>
      <c r="R40" t="str">
        <f>TEXT(tblTransactions[[#This Row],[Date]],"DDDD")</f>
        <v>Tuesday</v>
      </c>
      <c r="S40">
        <f>MONTH(tblTransactions[[#This Row],[Date]])</f>
        <v>1</v>
      </c>
      <c r="T40" t="str">
        <f>VLOOKUP(E40, Products!$A:$B,2,0)</f>
        <v>Phones Ele-3</v>
      </c>
      <c r="U40" t="str">
        <f>VLOOKUP(E40,Products!$A:$C,3,0)</f>
        <v>Electronics</v>
      </c>
      <c r="V40" t="str">
        <f>VLOOKUP(E40,Products!$A:$D,4,0)</f>
        <v>Phones</v>
      </c>
      <c r="W40" t="str">
        <f>VLOOKUP(D40,Customers!$A:$C,3,0)</f>
        <v>B2B</v>
      </c>
      <c r="X40" t="str">
        <f>VLOOKUP(C40,Sales_Representatives!$A:$B,2,0)</f>
        <v>Richard Garcia</v>
      </c>
    </row>
    <row r="41" spans="1:24" x14ac:dyDescent="0.3">
      <c r="A41" t="s">
        <v>142</v>
      </c>
      <c r="B41" t="s">
        <v>143</v>
      </c>
      <c r="C41" t="s">
        <v>41</v>
      </c>
      <c r="D41" t="s">
        <v>144</v>
      </c>
      <c r="E41" t="s">
        <v>145</v>
      </c>
      <c r="F41">
        <v>6</v>
      </c>
      <c r="G41">
        <v>93.43</v>
      </c>
      <c r="H41">
        <v>0.08</v>
      </c>
      <c r="I41" s="4">
        <v>515.73</v>
      </c>
      <c r="J41" t="s">
        <v>44</v>
      </c>
      <c r="K41" t="s">
        <v>22</v>
      </c>
      <c r="L41" s="4">
        <f>VLOOKUP(tblTransactions[[#This Row],[Product_ID]],tblProducts[],5,FALSE)</f>
        <v>45.74</v>
      </c>
      <c r="M41" s="4">
        <f>tblTransactions[[#This Row],[Total_Amount]]-(tblTransactions[[#This Row],[Cost_Prices]]*tblTransactions[[#This Row],[Quantity]]*(1-tblTransactions[[#This Row],[Discount]]))</f>
        <v>263.24520000000001</v>
      </c>
      <c r="N41" s="3">
        <f>tblTransactions[[#This Row],[Profit]]/tblTransactions[[#This Row],[Total_Amount]]</f>
        <v>0.51043220289686464</v>
      </c>
      <c r="O41" t="str">
        <f>TEXT(tblTransactions[[#This Row],[Date]], "MMM-YYYY")</f>
        <v>Jan-2023</v>
      </c>
      <c r="P41" t="str">
        <f>"Q"&amp;ROUNDUP(MONTH(tblTransactions[[#This Row],[Date]])/3,0)&amp;"-"&amp;YEAR(tblTransactions[[#This Row],[Date]])</f>
        <v>Q1-2023</v>
      </c>
      <c r="Q41">
        <f>YEAR(tblTransactions[[#This Row],[Date]])</f>
        <v>2023</v>
      </c>
      <c r="R41" t="str">
        <f>TEXT(tblTransactions[[#This Row],[Date]],"DDDD")</f>
        <v>Wednesday</v>
      </c>
      <c r="S41">
        <f>MONTH(tblTransactions[[#This Row],[Date]])</f>
        <v>1</v>
      </c>
      <c r="T41" t="str">
        <f>VLOOKUP(E41, Products!$A:$B,2,0)</f>
        <v>Paper Off-1</v>
      </c>
      <c r="U41" t="str">
        <f>VLOOKUP(E41,Products!$A:$C,3,0)</f>
        <v>Office Supplies</v>
      </c>
      <c r="V41" t="str">
        <f>VLOOKUP(E41,Products!$A:$D,4,0)</f>
        <v>Paper</v>
      </c>
      <c r="W41" t="str">
        <f>VLOOKUP(D41,Customers!$A:$C,3,0)</f>
        <v>B2C</v>
      </c>
      <c r="X41" t="str">
        <f>VLOOKUP(C41,Sales_Representatives!$A:$B,2,0)</f>
        <v>Robert Jones</v>
      </c>
    </row>
    <row r="42" spans="1:24" x14ac:dyDescent="0.3">
      <c r="A42" t="s">
        <v>146</v>
      </c>
      <c r="B42" t="s">
        <v>143</v>
      </c>
      <c r="C42" t="s">
        <v>56</v>
      </c>
      <c r="D42" t="s">
        <v>24</v>
      </c>
      <c r="E42" t="s">
        <v>29</v>
      </c>
      <c r="F42">
        <v>3</v>
      </c>
      <c r="G42">
        <v>1363.46</v>
      </c>
      <c r="H42">
        <v>0.08</v>
      </c>
      <c r="I42" s="4">
        <v>3763.15</v>
      </c>
      <c r="J42" t="s">
        <v>34</v>
      </c>
      <c r="K42" t="s">
        <v>35</v>
      </c>
      <c r="L42" s="4">
        <f>VLOOKUP(tblTransactions[[#This Row],[Product_ID]],tblProducts[],5,FALSE)</f>
        <v>995.41</v>
      </c>
      <c r="M42" s="4">
        <f>tblTransactions[[#This Row],[Total_Amount]]-(tblTransactions[[#This Row],[Cost_Prices]]*tblTransactions[[#This Row],[Quantity]]*(1-tblTransactions[[#This Row],[Discount]]))</f>
        <v>1015.8184000000001</v>
      </c>
      <c r="N42" s="3">
        <f>tblTransactions[[#This Row],[Profit]]/tblTransactions[[#This Row],[Total_Amount]]</f>
        <v>0.26993832294753067</v>
      </c>
      <c r="O42" t="str">
        <f>TEXT(tblTransactions[[#This Row],[Date]], "MMM-YYYY")</f>
        <v>Jan-2023</v>
      </c>
      <c r="P42" t="str">
        <f>"Q"&amp;ROUNDUP(MONTH(tblTransactions[[#This Row],[Date]])/3,0)&amp;"-"&amp;YEAR(tblTransactions[[#This Row],[Date]])</f>
        <v>Q1-2023</v>
      </c>
      <c r="Q42">
        <f>YEAR(tblTransactions[[#This Row],[Date]])</f>
        <v>2023</v>
      </c>
      <c r="R42" t="str">
        <f>TEXT(tblTransactions[[#This Row],[Date]],"DDDD")</f>
        <v>Wednesday</v>
      </c>
      <c r="S42">
        <f>MONTH(tblTransactions[[#This Row],[Date]])</f>
        <v>1</v>
      </c>
      <c r="T42" t="str">
        <f>VLOOKUP(E42, Products!$A:$B,2,0)</f>
        <v>Phones Ele-3</v>
      </c>
      <c r="U42" t="str">
        <f>VLOOKUP(E42,Products!$A:$C,3,0)</f>
        <v>Electronics</v>
      </c>
      <c r="V42" t="str">
        <f>VLOOKUP(E42,Products!$A:$D,4,0)</f>
        <v>Phones</v>
      </c>
      <c r="W42" t="str">
        <f>VLOOKUP(D42,Customers!$A:$C,3,0)</f>
        <v>B2B</v>
      </c>
      <c r="X42" t="str">
        <f>VLOOKUP(C42,Sales_Representatives!$A:$B,2,0)</f>
        <v>Thomas Hernandez</v>
      </c>
    </row>
    <row r="43" spans="1:24" x14ac:dyDescent="0.3">
      <c r="A43" t="s">
        <v>147</v>
      </c>
      <c r="B43" t="s">
        <v>143</v>
      </c>
      <c r="C43" t="s">
        <v>141</v>
      </c>
      <c r="D43" t="s">
        <v>42</v>
      </c>
      <c r="E43" t="s">
        <v>148</v>
      </c>
      <c r="F43">
        <v>3</v>
      </c>
      <c r="G43">
        <v>20.420000000000002</v>
      </c>
      <c r="H43">
        <v>7.0000000000000007E-2</v>
      </c>
      <c r="I43" s="4">
        <v>56.97</v>
      </c>
      <c r="J43" t="s">
        <v>109</v>
      </c>
      <c r="K43" t="s">
        <v>39</v>
      </c>
      <c r="L43" s="4">
        <f>VLOOKUP(tblTransactions[[#This Row],[Product_ID]],tblProducts[],5,FALSE)</f>
        <v>9.56</v>
      </c>
      <c r="M43" s="4">
        <f>tblTransactions[[#This Row],[Total_Amount]]-(tblTransactions[[#This Row],[Cost_Prices]]*tblTransactions[[#This Row],[Quantity]]*(1-tblTransactions[[#This Row],[Discount]]))</f>
        <v>30.297599999999999</v>
      </c>
      <c r="N43" s="3">
        <f>tblTransactions[[#This Row],[Profit]]/tblTransactions[[#This Row],[Total_Amount]]</f>
        <v>0.53181674565560821</v>
      </c>
      <c r="O43" t="str">
        <f>TEXT(tblTransactions[[#This Row],[Date]], "MMM-YYYY")</f>
        <v>Jan-2023</v>
      </c>
      <c r="P43" t="str">
        <f>"Q"&amp;ROUNDUP(MONTH(tblTransactions[[#This Row],[Date]])/3,0)&amp;"-"&amp;YEAR(tblTransactions[[#This Row],[Date]])</f>
        <v>Q1-2023</v>
      </c>
      <c r="Q43">
        <f>YEAR(tblTransactions[[#This Row],[Date]])</f>
        <v>2023</v>
      </c>
      <c r="R43" t="str">
        <f>TEXT(tblTransactions[[#This Row],[Date]],"DDDD")</f>
        <v>Wednesday</v>
      </c>
      <c r="S43">
        <f>MONTH(tblTransactions[[#This Row],[Date]])</f>
        <v>1</v>
      </c>
      <c r="T43" t="str">
        <f>VLOOKUP(E43, Products!$A:$B,2,0)</f>
        <v>Cases Acc-3</v>
      </c>
      <c r="U43" t="str">
        <f>VLOOKUP(E43,Products!$A:$C,3,0)</f>
        <v>Accessories</v>
      </c>
      <c r="V43" t="str">
        <f>VLOOKUP(E43,Products!$A:$D,4,0)</f>
        <v>Cases</v>
      </c>
      <c r="W43" t="str">
        <f>VLOOKUP(D43,Customers!$A:$C,3,0)</f>
        <v>B2C</v>
      </c>
      <c r="X43" t="str">
        <f>VLOOKUP(C43,Sales_Representatives!$A:$B,2,0)</f>
        <v>Richard Garcia</v>
      </c>
    </row>
    <row r="44" spans="1:24" x14ac:dyDescent="0.3">
      <c r="A44" t="s">
        <v>149</v>
      </c>
      <c r="B44" t="s">
        <v>143</v>
      </c>
      <c r="C44" t="s">
        <v>56</v>
      </c>
      <c r="D44" t="s">
        <v>71</v>
      </c>
      <c r="E44" t="s">
        <v>15</v>
      </c>
      <c r="F44">
        <v>17</v>
      </c>
      <c r="G44">
        <v>477.48</v>
      </c>
      <c r="H44">
        <v>0.2</v>
      </c>
      <c r="I44" s="4">
        <v>6493.73</v>
      </c>
      <c r="J44" t="s">
        <v>34</v>
      </c>
      <c r="K44" t="s">
        <v>48</v>
      </c>
      <c r="L44" s="4">
        <f>VLOOKUP(tblTransactions[[#This Row],[Product_ID]],tblProducts[],5,FALSE)</f>
        <v>275.51</v>
      </c>
      <c r="M44" s="4">
        <f>tblTransactions[[#This Row],[Total_Amount]]-(tblTransactions[[#This Row],[Cost_Prices]]*tblTransactions[[#This Row],[Quantity]]*(1-tblTransactions[[#This Row],[Discount]]))</f>
        <v>2746.7939999999994</v>
      </c>
      <c r="N44" s="3">
        <f>tblTransactions[[#This Row],[Profit]]/tblTransactions[[#This Row],[Total_Amount]]</f>
        <v>0.4229917166251137</v>
      </c>
      <c r="O44" t="str">
        <f>TEXT(tblTransactions[[#This Row],[Date]], "MMM-YYYY")</f>
        <v>Jan-2023</v>
      </c>
      <c r="P44" t="str">
        <f>"Q"&amp;ROUNDUP(MONTH(tblTransactions[[#This Row],[Date]])/3,0)&amp;"-"&amp;YEAR(tblTransactions[[#This Row],[Date]])</f>
        <v>Q1-2023</v>
      </c>
      <c r="Q44">
        <f>YEAR(tblTransactions[[#This Row],[Date]])</f>
        <v>2023</v>
      </c>
      <c r="R44" t="str">
        <f>TEXT(tblTransactions[[#This Row],[Date]],"DDDD")</f>
        <v>Wednesday</v>
      </c>
      <c r="S44">
        <f>MONTH(tblTransactions[[#This Row],[Date]])</f>
        <v>1</v>
      </c>
      <c r="T44" t="str">
        <f>VLOOKUP(E44, Products!$A:$B,2,0)</f>
        <v>Laptops Ele-4</v>
      </c>
      <c r="U44" t="str">
        <f>VLOOKUP(E44,Products!$A:$C,3,0)</f>
        <v>Electronics</v>
      </c>
      <c r="V44" t="str">
        <f>VLOOKUP(E44,Products!$A:$D,4,0)</f>
        <v>Laptops</v>
      </c>
      <c r="W44" t="str">
        <f>VLOOKUP(D44,Customers!$A:$C,3,0)</f>
        <v>B2B</v>
      </c>
      <c r="X44" t="str">
        <f>VLOOKUP(C44,Sales_Representatives!$A:$B,2,0)</f>
        <v>Thomas Hernandez</v>
      </c>
    </row>
    <row r="45" spans="1:24" x14ac:dyDescent="0.3">
      <c r="A45" t="s">
        <v>150</v>
      </c>
      <c r="B45" t="s">
        <v>151</v>
      </c>
      <c r="C45" t="s">
        <v>59</v>
      </c>
      <c r="D45" t="s">
        <v>24</v>
      </c>
      <c r="E45" t="s">
        <v>152</v>
      </c>
      <c r="F45">
        <v>4</v>
      </c>
      <c r="G45">
        <v>859.93</v>
      </c>
      <c r="H45">
        <v>0.05</v>
      </c>
      <c r="I45" s="4">
        <v>3267.73</v>
      </c>
      <c r="J45" t="s">
        <v>21</v>
      </c>
      <c r="K45" t="s">
        <v>48</v>
      </c>
      <c r="L45" s="4">
        <f>VLOOKUP(tblTransactions[[#This Row],[Product_ID]],tblProducts[],5,FALSE)</f>
        <v>579.79</v>
      </c>
      <c r="M45" s="4">
        <f>tblTransactions[[#This Row],[Total_Amount]]-(tblTransactions[[#This Row],[Cost_Prices]]*tblTransactions[[#This Row],[Quantity]]*(1-tblTransactions[[#This Row],[Discount]]))</f>
        <v>1064.5280000000002</v>
      </c>
      <c r="N45" s="3">
        <f>tblTransactions[[#This Row],[Profit]]/tblTransactions[[#This Row],[Total_Amount]]</f>
        <v>0.32576987694821796</v>
      </c>
      <c r="O45" t="str">
        <f>TEXT(tblTransactions[[#This Row],[Date]], "MMM-YYYY")</f>
        <v>Jan-2023</v>
      </c>
      <c r="P45" t="str">
        <f>"Q"&amp;ROUNDUP(MONTH(tblTransactions[[#This Row],[Date]])/3,0)&amp;"-"&amp;YEAR(tblTransactions[[#This Row],[Date]])</f>
        <v>Q1-2023</v>
      </c>
      <c r="Q45">
        <f>YEAR(tblTransactions[[#This Row],[Date]])</f>
        <v>2023</v>
      </c>
      <c r="R45" t="str">
        <f>TEXT(tblTransactions[[#This Row],[Date]],"DDDD")</f>
        <v>Thursday</v>
      </c>
      <c r="S45">
        <f>MONTH(tblTransactions[[#This Row],[Date]])</f>
        <v>1</v>
      </c>
      <c r="T45" t="str">
        <f>VLOOKUP(E45, Products!$A:$B,2,0)</f>
        <v>Phones Ele-4</v>
      </c>
      <c r="U45" t="str">
        <f>VLOOKUP(E45,Products!$A:$C,3,0)</f>
        <v>Electronics</v>
      </c>
      <c r="V45" t="str">
        <f>VLOOKUP(E45,Products!$A:$D,4,0)</f>
        <v>Phones</v>
      </c>
      <c r="W45" t="str">
        <f>VLOOKUP(D45,Customers!$A:$C,3,0)</f>
        <v>B2B</v>
      </c>
      <c r="X45" t="str">
        <f>VLOOKUP(C45,Sales_Representatives!$A:$B,2,0)</f>
        <v>Sarah Brown</v>
      </c>
    </row>
    <row r="46" spans="1:24" x14ac:dyDescent="0.3">
      <c r="A46" t="s">
        <v>153</v>
      </c>
      <c r="B46" t="s">
        <v>151</v>
      </c>
      <c r="C46" t="s">
        <v>41</v>
      </c>
      <c r="D46" t="s">
        <v>154</v>
      </c>
      <c r="E46" t="s">
        <v>29</v>
      </c>
      <c r="F46">
        <v>7</v>
      </c>
      <c r="G46">
        <v>1363.46</v>
      </c>
      <c r="H46">
        <v>0.13</v>
      </c>
      <c r="I46" s="4">
        <v>8303.4699999999993</v>
      </c>
      <c r="J46" t="s">
        <v>44</v>
      </c>
      <c r="K46" t="s">
        <v>48</v>
      </c>
      <c r="L46" s="4">
        <f>VLOOKUP(tblTransactions[[#This Row],[Product_ID]],tblProducts[],5,FALSE)</f>
        <v>995.41</v>
      </c>
      <c r="M46" s="4">
        <f>tblTransactions[[#This Row],[Total_Amount]]-(tblTransactions[[#This Row],[Cost_Prices]]*tblTransactions[[#This Row],[Quantity]]*(1-tblTransactions[[#This Row],[Discount]]))</f>
        <v>2241.4230999999991</v>
      </c>
      <c r="N46" s="3">
        <f>tblTransactions[[#This Row],[Profit]]/tblTransactions[[#This Row],[Total_Amount]]</f>
        <v>0.26993812225491259</v>
      </c>
      <c r="O46" t="str">
        <f>TEXT(tblTransactions[[#This Row],[Date]], "MMM-YYYY")</f>
        <v>Jan-2023</v>
      </c>
      <c r="P46" t="str">
        <f>"Q"&amp;ROUNDUP(MONTH(tblTransactions[[#This Row],[Date]])/3,0)&amp;"-"&amp;YEAR(tblTransactions[[#This Row],[Date]])</f>
        <v>Q1-2023</v>
      </c>
      <c r="Q46">
        <f>YEAR(tblTransactions[[#This Row],[Date]])</f>
        <v>2023</v>
      </c>
      <c r="R46" t="str">
        <f>TEXT(tblTransactions[[#This Row],[Date]],"DDDD")</f>
        <v>Thursday</v>
      </c>
      <c r="S46">
        <f>MONTH(tblTransactions[[#This Row],[Date]])</f>
        <v>1</v>
      </c>
      <c r="T46" t="str">
        <f>VLOOKUP(E46, Products!$A:$B,2,0)</f>
        <v>Phones Ele-3</v>
      </c>
      <c r="U46" t="str">
        <f>VLOOKUP(E46,Products!$A:$C,3,0)</f>
        <v>Electronics</v>
      </c>
      <c r="V46" t="str">
        <f>VLOOKUP(E46,Products!$A:$D,4,0)</f>
        <v>Phones</v>
      </c>
      <c r="W46" t="str">
        <f>VLOOKUP(D46,Customers!$A:$C,3,0)</f>
        <v>B2B</v>
      </c>
      <c r="X46" t="str">
        <f>VLOOKUP(C46,Sales_Representatives!$A:$B,2,0)</f>
        <v>Robert Jones</v>
      </c>
    </row>
    <row r="47" spans="1:24" x14ac:dyDescent="0.3">
      <c r="A47" t="s">
        <v>155</v>
      </c>
      <c r="B47" t="s">
        <v>151</v>
      </c>
      <c r="C47" t="s">
        <v>107</v>
      </c>
      <c r="D47" t="s">
        <v>156</v>
      </c>
      <c r="E47" t="s">
        <v>157</v>
      </c>
      <c r="F47">
        <v>2</v>
      </c>
      <c r="G47">
        <v>1227.68</v>
      </c>
      <c r="H47">
        <v>0.01</v>
      </c>
      <c r="I47" s="4">
        <v>2430.81</v>
      </c>
      <c r="J47" t="s">
        <v>109</v>
      </c>
      <c r="K47" t="s">
        <v>48</v>
      </c>
      <c r="L47" s="4">
        <f>VLOOKUP(tblTransactions[[#This Row],[Product_ID]],tblProducts[],5,FALSE)</f>
        <v>846.42</v>
      </c>
      <c r="M47" s="4">
        <f>tblTransactions[[#This Row],[Total_Amount]]-(tblTransactions[[#This Row],[Cost_Prices]]*tblTransactions[[#This Row],[Quantity]]*(1-tblTransactions[[#This Row],[Discount]]))</f>
        <v>754.89840000000004</v>
      </c>
      <c r="N47" s="3">
        <f>tblTransactions[[#This Row],[Profit]]/tblTransactions[[#This Row],[Total_Amount]]</f>
        <v>0.31055425969121409</v>
      </c>
      <c r="O47" t="str">
        <f>TEXT(tblTransactions[[#This Row],[Date]], "MMM-YYYY")</f>
        <v>Jan-2023</v>
      </c>
      <c r="P47" t="str">
        <f>"Q"&amp;ROUNDUP(MONTH(tblTransactions[[#This Row],[Date]])/3,0)&amp;"-"&amp;YEAR(tblTransactions[[#This Row],[Date]])</f>
        <v>Q1-2023</v>
      </c>
      <c r="Q47">
        <f>YEAR(tblTransactions[[#This Row],[Date]])</f>
        <v>2023</v>
      </c>
      <c r="R47" t="str">
        <f>TEXT(tblTransactions[[#This Row],[Date]],"DDDD")</f>
        <v>Thursday</v>
      </c>
      <c r="S47">
        <f>MONTH(tblTransactions[[#This Row],[Date]])</f>
        <v>1</v>
      </c>
      <c r="T47" t="str">
        <f>VLOOKUP(E47, Products!$A:$B,2,0)</f>
        <v>Printers Tec-4</v>
      </c>
      <c r="U47" t="str">
        <f>VLOOKUP(E47,Products!$A:$C,3,0)</f>
        <v>Technology</v>
      </c>
      <c r="V47" t="str">
        <f>VLOOKUP(E47,Products!$A:$D,4,0)</f>
        <v>Printers</v>
      </c>
      <c r="W47" t="str">
        <f>VLOOKUP(D47,Customers!$A:$C,3,0)</f>
        <v>B2B</v>
      </c>
      <c r="X47" t="str">
        <f>VLOOKUP(C47,Sales_Representatives!$A:$B,2,0)</f>
        <v>Jennifer Brown</v>
      </c>
    </row>
    <row r="48" spans="1:24" x14ac:dyDescent="0.3">
      <c r="A48" t="s">
        <v>158</v>
      </c>
      <c r="B48" t="s">
        <v>151</v>
      </c>
      <c r="C48" t="s">
        <v>107</v>
      </c>
      <c r="D48" t="s">
        <v>76</v>
      </c>
      <c r="E48" t="s">
        <v>159</v>
      </c>
      <c r="F48">
        <v>3</v>
      </c>
      <c r="G48">
        <v>78.09</v>
      </c>
      <c r="H48">
        <v>0.01</v>
      </c>
      <c r="I48" s="4">
        <v>231.93</v>
      </c>
      <c r="J48" t="s">
        <v>109</v>
      </c>
      <c r="K48" t="s">
        <v>17</v>
      </c>
      <c r="L48" s="4">
        <f>VLOOKUP(tblTransactions[[#This Row],[Product_ID]],tblProducts[],5,FALSE)</f>
        <v>47.01</v>
      </c>
      <c r="M48" s="4">
        <f>tblTransactions[[#This Row],[Total_Amount]]-(tblTransactions[[#This Row],[Cost_Prices]]*tblTransactions[[#This Row],[Quantity]]*(1-tblTransactions[[#This Row],[Discount]]))</f>
        <v>92.310300000000012</v>
      </c>
      <c r="N48" s="3">
        <f>tblTransactions[[#This Row],[Profit]]/tblTransactions[[#This Row],[Total_Amount]]</f>
        <v>0.39800931315483123</v>
      </c>
      <c r="O48" t="str">
        <f>TEXT(tblTransactions[[#This Row],[Date]], "MMM-YYYY")</f>
        <v>Jan-2023</v>
      </c>
      <c r="P48" t="str">
        <f>"Q"&amp;ROUNDUP(MONTH(tblTransactions[[#This Row],[Date]])/3,0)&amp;"-"&amp;YEAR(tblTransactions[[#This Row],[Date]])</f>
        <v>Q1-2023</v>
      </c>
      <c r="Q48">
        <f>YEAR(tblTransactions[[#This Row],[Date]])</f>
        <v>2023</v>
      </c>
      <c r="R48" t="str">
        <f>TEXT(tblTransactions[[#This Row],[Date]],"DDDD")</f>
        <v>Thursday</v>
      </c>
      <c r="S48">
        <f>MONTH(tblTransactions[[#This Row],[Date]])</f>
        <v>1</v>
      </c>
      <c r="T48" t="str">
        <f>VLOOKUP(E48, Products!$A:$B,2,0)</f>
        <v>Cables Acc-4</v>
      </c>
      <c r="U48" t="str">
        <f>VLOOKUP(E48,Products!$A:$C,3,0)</f>
        <v>Accessories</v>
      </c>
      <c r="V48" t="str">
        <f>VLOOKUP(E48,Products!$A:$D,4,0)</f>
        <v>Cables</v>
      </c>
      <c r="W48" t="str">
        <f>VLOOKUP(D48,Customers!$A:$C,3,0)</f>
        <v>Small Business</v>
      </c>
      <c r="X48" t="str">
        <f>VLOOKUP(C48,Sales_Representatives!$A:$B,2,0)</f>
        <v>Jennifer Brown</v>
      </c>
    </row>
    <row r="49" spans="1:24" x14ac:dyDescent="0.3">
      <c r="A49" t="s">
        <v>160</v>
      </c>
      <c r="B49" t="s">
        <v>151</v>
      </c>
      <c r="C49" t="s">
        <v>107</v>
      </c>
      <c r="D49" t="s">
        <v>139</v>
      </c>
      <c r="E49" t="s">
        <v>89</v>
      </c>
      <c r="F49">
        <v>1</v>
      </c>
      <c r="G49">
        <v>555.08000000000004</v>
      </c>
      <c r="H49">
        <v>0.08</v>
      </c>
      <c r="I49" s="4">
        <v>510.67</v>
      </c>
      <c r="J49" t="s">
        <v>109</v>
      </c>
      <c r="K49" t="s">
        <v>39</v>
      </c>
      <c r="L49" s="4">
        <f>VLOOKUP(tblTransactions[[#This Row],[Product_ID]],tblProducts[],5,FALSE)</f>
        <v>402.82</v>
      </c>
      <c r="M49" s="4">
        <f>tblTransactions[[#This Row],[Total_Amount]]-(tblTransactions[[#This Row],[Cost_Prices]]*tblTransactions[[#This Row],[Quantity]]*(1-tblTransactions[[#This Row],[Discount]]))</f>
        <v>140.07560000000001</v>
      </c>
      <c r="N49" s="3">
        <f>tblTransactions[[#This Row],[Profit]]/tblTransactions[[#This Row],[Total_Amount]]</f>
        <v>0.27429768735191024</v>
      </c>
      <c r="O49" t="str">
        <f>TEXT(tblTransactions[[#This Row],[Date]], "MMM-YYYY")</f>
        <v>Jan-2023</v>
      </c>
      <c r="P49" t="str">
        <f>"Q"&amp;ROUNDUP(MONTH(tblTransactions[[#This Row],[Date]])/3,0)&amp;"-"&amp;YEAR(tblTransactions[[#This Row],[Date]])</f>
        <v>Q1-2023</v>
      </c>
      <c r="Q49">
        <f>YEAR(tblTransactions[[#This Row],[Date]])</f>
        <v>2023</v>
      </c>
      <c r="R49" t="str">
        <f>TEXT(tblTransactions[[#This Row],[Date]],"DDDD")</f>
        <v>Thursday</v>
      </c>
      <c r="S49">
        <f>MONTH(tblTransactions[[#This Row],[Date]])</f>
        <v>1</v>
      </c>
      <c r="T49" t="str">
        <f>VLOOKUP(E49, Products!$A:$B,2,0)</f>
        <v>Laptops Ele-3</v>
      </c>
      <c r="U49" t="str">
        <f>VLOOKUP(E49,Products!$A:$C,3,0)</f>
        <v>Electronics</v>
      </c>
      <c r="V49" t="str">
        <f>VLOOKUP(E49,Products!$A:$D,4,0)</f>
        <v>Laptops</v>
      </c>
      <c r="W49" t="str">
        <f>VLOOKUP(D49,Customers!$A:$C,3,0)</f>
        <v>B2C</v>
      </c>
      <c r="X49" t="str">
        <f>VLOOKUP(C49,Sales_Representatives!$A:$B,2,0)</f>
        <v>Jennifer Brown</v>
      </c>
    </row>
    <row r="50" spans="1:24" x14ac:dyDescent="0.3">
      <c r="A50" t="s">
        <v>161</v>
      </c>
      <c r="B50" t="s">
        <v>151</v>
      </c>
      <c r="C50" t="s">
        <v>141</v>
      </c>
      <c r="D50" t="s">
        <v>60</v>
      </c>
      <c r="E50" t="s">
        <v>53</v>
      </c>
      <c r="F50">
        <v>6</v>
      </c>
      <c r="G50">
        <v>2069.2199999999998</v>
      </c>
      <c r="H50">
        <v>7.0000000000000007E-2</v>
      </c>
      <c r="I50" s="4">
        <v>11546.25</v>
      </c>
      <c r="J50" t="s">
        <v>109</v>
      </c>
      <c r="K50" t="s">
        <v>39</v>
      </c>
      <c r="L50" s="4">
        <f>VLOOKUP(tblTransactions[[#This Row],[Product_ID]],tblProducts[],5,FALSE)</f>
        <v>1451.18</v>
      </c>
      <c r="M50" s="4">
        <f>tblTransactions[[#This Row],[Total_Amount]]-(tblTransactions[[#This Row],[Cost_Prices]]*tblTransactions[[#This Row],[Quantity]]*(1-tblTransactions[[#This Row],[Discount]]))</f>
        <v>3448.6656000000003</v>
      </c>
      <c r="N50" s="3">
        <f>tblTransactions[[#This Row],[Profit]]/tblTransactions[[#This Row],[Total_Amount]]</f>
        <v>0.29868274114972398</v>
      </c>
      <c r="O50" t="str">
        <f>TEXT(tblTransactions[[#This Row],[Date]], "MMM-YYYY")</f>
        <v>Jan-2023</v>
      </c>
      <c r="P50" t="str">
        <f>"Q"&amp;ROUNDUP(MONTH(tblTransactions[[#This Row],[Date]])/3,0)&amp;"-"&amp;YEAR(tblTransactions[[#This Row],[Date]])</f>
        <v>Q1-2023</v>
      </c>
      <c r="Q50">
        <f>YEAR(tblTransactions[[#This Row],[Date]])</f>
        <v>2023</v>
      </c>
      <c r="R50" t="str">
        <f>TEXT(tblTransactions[[#This Row],[Date]],"DDDD")</f>
        <v>Thursday</v>
      </c>
      <c r="S50">
        <f>MONTH(tblTransactions[[#This Row],[Date]])</f>
        <v>1</v>
      </c>
      <c r="T50" t="str">
        <f>VLOOKUP(E50, Products!$A:$B,2,0)</f>
        <v>Printers Tec-3</v>
      </c>
      <c r="U50" t="str">
        <f>VLOOKUP(E50,Products!$A:$C,3,0)</f>
        <v>Technology</v>
      </c>
      <c r="V50" t="str">
        <f>VLOOKUP(E50,Products!$A:$D,4,0)</f>
        <v>Printers</v>
      </c>
      <c r="W50" t="str">
        <f>VLOOKUP(D50,Customers!$A:$C,3,0)</f>
        <v>B2C</v>
      </c>
      <c r="X50" t="str">
        <f>VLOOKUP(C50,Sales_Representatives!$A:$B,2,0)</f>
        <v>Richard Garcia</v>
      </c>
    </row>
    <row r="51" spans="1:24" x14ac:dyDescent="0.3">
      <c r="A51" t="s">
        <v>162</v>
      </c>
      <c r="B51" t="s">
        <v>151</v>
      </c>
      <c r="C51" t="s">
        <v>13</v>
      </c>
      <c r="D51" t="s">
        <v>154</v>
      </c>
      <c r="E51" t="s">
        <v>15</v>
      </c>
      <c r="F51">
        <v>17</v>
      </c>
      <c r="G51">
        <v>477.48</v>
      </c>
      <c r="H51">
        <v>0.15</v>
      </c>
      <c r="I51" s="4">
        <v>6899.59</v>
      </c>
      <c r="J51" t="s">
        <v>16</v>
      </c>
      <c r="K51" t="s">
        <v>17</v>
      </c>
      <c r="L51" s="4">
        <f>VLOOKUP(tblTransactions[[#This Row],[Product_ID]],tblProducts[],5,FALSE)</f>
        <v>275.51</v>
      </c>
      <c r="M51" s="4">
        <f>tblTransactions[[#This Row],[Total_Amount]]-(tblTransactions[[#This Row],[Cost_Prices]]*tblTransactions[[#This Row],[Quantity]]*(1-tblTransactions[[#This Row],[Discount]]))</f>
        <v>2918.4705000000004</v>
      </c>
      <c r="N51" s="3">
        <f>tblTransactions[[#This Row],[Profit]]/tblTransactions[[#This Row],[Total_Amount]]</f>
        <v>0.42299187343016037</v>
      </c>
      <c r="O51" t="str">
        <f>TEXT(tblTransactions[[#This Row],[Date]], "MMM-YYYY")</f>
        <v>Jan-2023</v>
      </c>
      <c r="P51" t="str">
        <f>"Q"&amp;ROUNDUP(MONTH(tblTransactions[[#This Row],[Date]])/3,0)&amp;"-"&amp;YEAR(tblTransactions[[#This Row],[Date]])</f>
        <v>Q1-2023</v>
      </c>
      <c r="Q51">
        <f>YEAR(tblTransactions[[#This Row],[Date]])</f>
        <v>2023</v>
      </c>
      <c r="R51" t="str">
        <f>TEXT(tblTransactions[[#This Row],[Date]],"DDDD")</f>
        <v>Thursday</v>
      </c>
      <c r="S51">
        <f>MONTH(tblTransactions[[#This Row],[Date]])</f>
        <v>1</v>
      </c>
      <c r="T51" t="str">
        <f>VLOOKUP(E51, Products!$A:$B,2,0)</f>
        <v>Laptops Ele-4</v>
      </c>
      <c r="U51" t="str">
        <f>VLOOKUP(E51,Products!$A:$C,3,0)</f>
        <v>Electronics</v>
      </c>
      <c r="V51" t="str">
        <f>VLOOKUP(E51,Products!$A:$D,4,0)</f>
        <v>Laptops</v>
      </c>
      <c r="W51" t="str">
        <f>VLOOKUP(D51,Customers!$A:$C,3,0)</f>
        <v>B2B</v>
      </c>
      <c r="X51" t="str">
        <f>VLOOKUP(C51,Sales_Representatives!$A:$B,2,0)</f>
        <v>Jennifer Rodriguez</v>
      </c>
    </row>
    <row r="52" spans="1:24" x14ac:dyDescent="0.3">
      <c r="A52" t="s">
        <v>163</v>
      </c>
      <c r="B52" t="s">
        <v>151</v>
      </c>
      <c r="C52" t="s">
        <v>75</v>
      </c>
      <c r="D52" t="s">
        <v>164</v>
      </c>
      <c r="E52" t="s">
        <v>102</v>
      </c>
      <c r="F52">
        <v>6</v>
      </c>
      <c r="G52">
        <v>1097.75</v>
      </c>
      <c r="H52">
        <v>0.14000000000000001</v>
      </c>
      <c r="I52" s="4">
        <v>5664.39</v>
      </c>
      <c r="J52" t="s">
        <v>44</v>
      </c>
      <c r="K52" t="s">
        <v>48</v>
      </c>
      <c r="L52" s="4">
        <f>VLOOKUP(tblTransactions[[#This Row],[Product_ID]],tblProducts[],5,FALSE)</f>
        <v>680.12</v>
      </c>
      <c r="M52" s="4">
        <f>tblTransactions[[#This Row],[Total_Amount]]-(tblTransactions[[#This Row],[Cost_Prices]]*tblTransactions[[#This Row],[Quantity]]*(1-tblTransactions[[#This Row],[Discount]]))</f>
        <v>2154.9708000000001</v>
      </c>
      <c r="N52" s="3">
        <f>tblTransactions[[#This Row],[Profit]]/tblTransactions[[#This Row],[Total_Amount]]</f>
        <v>0.38044181279890682</v>
      </c>
      <c r="O52" t="str">
        <f>TEXT(tblTransactions[[#This Row],[Date]], "MMM-YYYY")</f>
        <v>Jan-2023</v>
      </c>
      <c r="P52" t="str">
        <f>"Q"&amp;ROUNDUP(MONTH(tblTransactions[[#This Row],[Date]])/3,0)&amp;"-"&amp;YEAR(tblTransactions[[#This Row],[Date]])</f>
        <v>Q1-2023</v>
      </c>
      <c r="Q52">
        <f>YEAR(tblTransactions[[#This Row],[Date]])</f>
        <v>2023</v>
      </c>
      <c r="R52" t="str">
        <f>TEXT(tblTransactions[[#This Row],[Date]],"DDDD")</f>
        <v>Thursday</v>
      </c>
      <c r="S52">
        <f>MONTH(tblTransactions[[#This Row],[Date]])</f>
        <v>1</v>
      </c>
      <c r="T52" t="str">
        <f>VLOOKUP(E52, Products!$A:$B,2,0)</f>
        <v>Storage Fur-4</v>
      </c>
      <c r="U52" t="str">
        <f>VLOOKUP(E52,Products!$A:$C,3,0)</f>
        <v>Furniture</v>
      </c>
      <c r="V52" t="str">
        <f>VLOOKUP(E52,Products!$A:$D,4,0)</f>
        <v>Storage</v>
      </c>
      <c r="W52" t="str">
        <f>VLOOKUP(D52,Customers!$A:$C,3,0)</f>
        <v>Small Business</v>
      </c>
      <c r="X52" t="str">
        <f>VLOOKUP(C52,Sales_Representatives!$A:$B,2,0)</f>
        <v>Jessica Anderson</v>
      </c>
    </row>
    <row r="53" spans="1:24" x14ac:dyDescent="0.3">
      <c r="A53" t="s">
        <v>165</v>
      </c>
      <c r="B53" t="s">
        <v>151</v>
      </c>
      <c r="C53" t="s">
        <v>70</v>
      </c>
      <c r="D53" t="s">
        <v>166</v>
      </c>
      <c r="E53" t="s">
        <v>15</v>
      </c>
      <c r="F53">
        <v>4</v>
      </c>
      <c r="G53">
        <v>477.48</v>
      </c>
      <c r="H53">
        <v>0.1</v>
      </c>
      <c r="I53" s="4">
        <v>1718.93</v>
      </c>
      <c r="J53" t="s">
        <v>16</v>
      </c>
      <c r="K53" t="s">
        <v>17</v>
      </c>
      <c r="L53" s="4">
        <f>VLOOKUP(tblTransactions[[#This Row],[Product_ID]],tblProducts[],5,FALSE)</f>
        <v>275.51</v>
      </c>
      <c r="M53" s="4">
        <f>tblTransactions[[#This Row],[Total_Amount]]-(tblTransactions[[#This Row],[Cost_Prices]]*tblTransactions[[#This Row],[Quantity]]*(1-tblTransactions[[#This Row],[Discount]]))</f>
        <v>727.09400000000005</v>
      </c>
      <c r="N53" s="3">
        <f>tblTransactions[[#This Row],[Profit]]/tblTransactions[[#This Row],[Total_Amount]]</f>
        <v>0.42299221027034262</v>
      </c>
      <c r="O53" t="str">
        <f>TEXT(tblTransactions[[#This Row],[Date]], "MMM-YYYY")</f>
        <v>Jan-2023</v>
      </c>
      <c r="P53" t="str">
        <f>"Q"&amp;ROUNDUP(MONTH(tblTransactions[[#This Row],[Date]])/3,0)&amp;"-"&amp;YEAR(tblTransactions[[#This Row],[Date]])</f>
        <v>Q1-2023</v>
      </c>
      <c r="Q53">
        <f>YEAR(tblTransactions[[#This Row],[Date]])</f>
        <v>2023</v>
      </c>
      <c r="R53" t="str">
        <f>TEXT(tblTransactions[[#This Row],[Date]],"DDDD")</f>
        <v>Thursday</v>
      </c>
      <c r="S53">
        <f>MONTH(tblTransactions[[#This Row],[Date]])</f>
        <v>1</v>
      </c>
      <c r="T53" t="str">
        <f>VLOOKUP(E53, Products!$A:$B,2,0)</f>
        <v>Laptops Ele-4</v>
      </c>
      <c r="U53" t="str">
        <f>VLOOKUP(E53,Products!$A:$C,3,0)</f>
        <v>Electronics</v>
      </c>
      <c r="V53" t="str">
        <f>VLOOKUP(E53,Products!$A:$D,4,0)</f>
        <v>Laptops</v>
      </c>
      <c r="W53" t="str">
        <f>VLOOKUP(D53,Customers!$A:$C,3,0)</f>
        <v>B2C</v>
      </c>
      <c r="X53" t="str">
        <f>VLOOKUP(C53,Sales_Representatives!$A:$B,2,0)</f>
        <v>Linda Smith</v>
      </c>
    </row>
    <row r="54" spans="1:24" x14ac:dyDescent="0.3">
      <c r="A54" t="s">
        <v>167</v>
      </c>
      <c r="B54" t="s">
        <v>151</v>
      </c>
      <c r="C54" t="s">
        <v>13</v>
      </c>
      <c r="D54" t="s">
        <v>52</v>
      </c>
      <c r="E54" t="s">
        <v>168</v>
      </c>
      <c r="F54">
        <v>3</v>
      </c>
      <c r="G54">
        <v>101.59</v>
      </c>
      <c r="H54">
        <v>0.04</v>
      </c>
      <c r="I54" s="4">
        <v>292.58</v>
      </c>
      <c r="J54" t="s">
        <v>16</v>
      </c>
      <c r="K54" t="s">
        <v>35</v>
      </c>
      <c r="L54" s="4">
        <f>VLOOKUP(tblTransactions[[#This Row],[Product_ID]],tblProducts[],5,FALSE)</f>
        <v>50.58</v>
      </c>
      <c r="M54" s="4">
        <f>tblTransactions[[#This Row],[Total_Amount]]-(tblTransactions[[#This Row],[Cost_Prices]]*tblTransactions[[#This Row],[Quantity]]*(1-tblTransactions[[#This Row],[Discount]]))</f>
        <v>146.90959999999998</v>
      </c>
      <c r="N54" s="3">
        <f>tblTransactions[[#This Row],[Profit]]/tblTransactions[[#This Row],[Total_Amount]]</f>
        <v>0.50211771139517392</v>
      </c>
      <c r="O54" t="str">
        <f>TEXT(tblTransactions[[#This Row],[Date]], "MMM-YYYY")</f>
        <v>Jan-2023</v>
      </c>
      <c r="P54" t="str">
        <f>"Q"&amp;ROUNDUP(MONTH(tblTransactions[[#This Row],[Date]])/3,0)&amp;"-"&amp;YEAR(tblTransactions[[#This Row],[Date]])</f>
        <v>Q1-2023</v>
      </c>
      <c r="Q54">
        <f>YEAR(tblTransactions[[#This Row],[Date]])</f>
        <v>2023</v>
      </c>
      <c r="R54" t="str">
        <f>TEXT(tblTransactions[[#This Row],[Date]],"DDDD")</f>
        <v>Thursday</v>
      </c>
      <c r="S54">
        <f>MONTH(tblTransactions[[#This Row],[Date]])</f>
        <v>1</v>
      </c>
      <c r="T54" t="str">
        <f>VLOOKUP(E54, Products!$A:$B,2,0)</f>
        <v>Cases Acc-4</v>
      </c>
      <c r="U54" t="str">
        <f>VLOOKUP(E54,Products!$A:$C,3,0)</f>
        <v>Accessories</v>
      </c>
      <c r="V54" t="str">
        <f>VLOOKUP(E54,Products!$A:$D,4,0)</f>
        <v>Cases</v>
      </c>
      <c r="W54" t="str">
        <f>VLOOKUP(D54,Customers!$A:$C,3,0)</f>
        <v>B2C</v>
      </c>
      <c r="X54" t="str">
        <f>VLOOKUP(C54,Sales_Representatives!$A:$B,2,0)</f>
        <v>Jennifer Rodriguez</v>
      </c>
    </row>
    <row r="55" spans="1:24" x14ac:dyDescent="0.3">
      <c r="A55" t="s">
        <v>169</v>
      </c>
      <c r="B55" t="s">
        <v>151</v>
      </c>
      <c r="C55" t="s">
        <v>31</v>
      </c>
      <c r="D55" t="s">
        <v>112</v>
      </c>
      <c r="E55" t="s">
        <v>68</v>
      </c>
      <c r="F55">
        <v>39</v>
      </c>
      <c r="G55">
        <v>522.63</v>
      </c>
      <c r="H55">
        <v>0.19</v>
      </c>
      <c r="I55" s="4">
        <v>16509.88</v>
      </c>
      <c r="J55" t="s">
        <v>34</v>
      </c>
      <c r="K55" t="s">
        <v>39</v>
      </c>
      <c r="L55" s="4">
        <f>VLOOKUP(tblTransactions[[#This Row],[Product_ID]],tblProducts[],5,FALSE)</f>
        <v>355.82</v>
      </c>
      <c r="M55" s="4">
        <f>tblTransactions[[#This Row],[Total_Amount]]-(tblTransactions[[#This Row],[Cost_Prices]]*tblTransactions[[#This Row],[Quantity]]*(1-tblTransactions[[#This Row],[Discount]]))</f>
        <v>5269.5262000000002</v>
      </c>
      <c r="N55" s="3">
        <f>tblTransactions[[#This Row],[Profit]]/tblTransactions[[#This Row],[Total_Amount]]</f>
        <v>0.3191741066561356</v>
      </c>
      <c r="O55" t="str">
        <f>TEXT(tblTransactions[[#This Row],[Date]], "MMM-YYYY")</f>
        <v>Jan-2023</v>
      </c>
      <c r="P55" t="str">
        <f>"Q"&amp;ROUNDUP(MONTH(tblTransactions[[#This Row],[Date]])/3,0)&amp;"-"&amp;YEAR(tblTransactions[[#This Row],[Date]])</f>
        <v>Q1-2023</v>
      </c>
      <c r="Q55">
        <f>YEAR(tblTransactions[[#This Row],[Date]])</f>
        <v>2023</v>
      </c>
      <c r="R55" t="str">
        <f>TEXT(tblTransactions[[#This Row],[Date]],"DDDD")</f>
        <v>Thursday</v>
      </c>
      <c r="S55">
        <f>MONTH(tblTransactions[[#This Row],[Date]])</f>
        <v>1</v>
      </c>
      <c r="T55" t="str">
        <f>VLOOKUP(E55, Products!$A:$B,2,0)</f>
        <v>Monitors Tec-3</v>
      </c>
      <c r="U55" t="str">
        <f>VLOOKUP(E55,Products!$A:$C,3,0)</f>
        <v>Technology</v>
      </c>
      <c r="V55" t="str">
        <f>VLOOKUP(E55,Products!$A:$D,4,0)</f>
        <v>Monitors</v>
      </c>
      <c r="W55" t="str">
        <f>VLOOKUP(D55,Customers!$A:$C,3,0)</f>
        <v>Enterprise</v>
      </c>
      <c r="X55" t="str">
        <f>VLOOKUP(C55,Sales_Representatives!$A:$B,2,0)</f>
        <v>Thomas Martinez</v>
      </c>
    </row>
    <row r="56" spans="1:24" x14ac:dyDescent="0.3">
      <c r="A56" t="s">
        <v>170</v>
      </c>
      <c r="B56" t="s">
        <v>171</v>
      </c>
      <c r="C56" t="s">
        <v>27</v>
      </c>
      <c r="D56" t="s">
        <v>154</v>
      </c>
      <c r="E56" t="s">
        <v>172</v>
      </c>
      <c r="F56">
        <v>13</v>
      </c>
      <c r="G56">
        <v>1371.15</v>
      </c>
      <c r="H56">
        <v>0.1</v>
      </c>
      <c r="I56" s="4">
        <v>16042.46</v>
      </c>
      <c r="J56" t="s">
        <v>16</v>
      </c>
      <c r="K56" t="s">
        <v>35</v>
      </c>
      <c r="L56" s="4">
        <f>VLOOKUP(tblTransactions[[#This Row],[Product_ID]],tblProducts[],5,FALSE)</f>
        <v>989.81</v>
      </c>
      <c r="M56" s="4">
        <f>tblTransactions[[#This Row],[Total_Amount]]-(tblTransactions[[#This Row],[Cost_Prices]]*tblTransactions[[#This Row],[Quantity]]*(1-tblTransactions[[#This Row],[Discount]]))</f>
        <v>4461.6829999999991</v>
      </c>
      <c r="N56" s="3">
        <f>tblTransactions[[#This Row],[Profit]]/tblTransactions[[#This Row],[Total_Amount]]</f>
        <v>0.27811713415523548</v>
      </c>
      <c r="O56" t="str">
        <f>TEXT(tblTransactions[[#This Row],[Date]], "MMM-YYYY")</f>
        <v>Jan-2023</v>
      </c>
      <c r="P56" t="str">
        <f>"Q"&amp;ROUNDUP(MONTH(tblTransactions[[#This Row],[Date]])/3,0)&amp;"-"&amp;YEAR(tblTransactions[[#This Row],[Date]])</f>
        <v>Q1-2023</v>
      </c>
      <c r="Q56">
        <f>YEAR(tblTransactions[[#This Row],[Date]])</f>
        <v>2023</v>
      </c>
      <c r="R56" t="str">
        <f>TEXT(tblTransactions[[#This Row],[Date]],"DDDD")</f>
        <v>Friday</v>
      </c>
      <c r="S56">
        <f>MONTH(tblTransactions[[#This Row],[Date]])</f>
        <v>1</v>
      </c>
      <c r="T56" t="str">
        <f>VLOOKUP(E56, Products!$A:$B,2,0)</f>
        <v>Cameras Ele-4</v>
      </c>
      <c r="U56" t="str">
        <f>VLOOKUP(E56,Products!$A:$C,3,0)</f>
        <v>Electronics</v>
      </c>
      <c r="V56" t="str">
        <f>VLOOKUP(E56,Products!$A:$D,4,0)</f>
        <v>Cameras</v>
      </c>
      <c r="W56" t="str">
        <f>VLOOKUP(D56,Customers!$A:$C,3,0)</f>
        <v>B2B</v>
      </c>
      <c r="X56" t="str">
        <f>VLOOKUP(C56,Sales_Representatives!$A:$B,2,0)</f>
        <v>Thomas Lopez</v>
      </c>
    </row>
    <row r="57" spans="1:24" x14ac:dyDescent="0.3">
      <c r="A57" t="s">
        <v>173</v>
      </c>
      <c r="B57" t="s">
        <v>171</v>
      </c>
      <c r="C57" t="s">
        <v>82</v>
      </c>
      <c r="D57" t="s">
        <v>166</v>
      </c>
      <c r="E57" t="s">
        <v>79</v>
      </c>
      <c r="F57">
        <v>7</v>
      </c>
      <c r="G57">
        <v>1452.36</v>
      </c>
      <c r="H57">
        <v>0.09</v>
      </c>
      <c r="I57" s="4">
        <v>9251.5300000000007</v>
      </c>
      <c r="J57" t="s">
        <v>34</v>
      </c>
      <c r="K57" t="s">
        <v>17</v>
      </c>
      <c r="L57" s="4">
        <f>VLOOKUP(tblTransactions[[#This Row],[Product_ID]],tblProducts[],5,FALSE)</f>
        <v>778.71</v>
      </c>
      <c r="M57" s="4">
        <f>tblTransactions[[#This Row],[Total_Amount]]-(tblTransactions[[#This Row],[Cost_Prices]]*tblTransactions[[#This Row],[Quantity]]*(1-tblTransactions[[#This Row],[Discount]]))</f>
        <v>4291.1473000000005</v>
      </c>
      <c r="N57" s="3">
        <f>tblTransactions[[#This Row],[Profit]]/tblTransactions[[#This Row],[Total_Amount]]</f>
        <v>0.46383109604573514</v>
      </c>
      <c r="O57" t="str">
        <f>TEXT(tblTransactions[[#This Row],[Date]], "MMM-YYYY")</f>
        <v>Jan-2023</v>
      </c>
      <c r="P57" t="str">
        <f>"Q"&amp;ROUNDUP(MONTH(tblTransactions[[#This Row],[Date]])/3,0)&amp;"-"&amp;YEAR(tblTransactions[[#This Row],[Date]])</f>
        <v>Q1-2023</v>
      </c>
      <c r="Q57">
        <f>YEAR(tblTransactions[[#This Row],[Date]])</f>
        <v>2023</v>
      </c>
      <c r="R57" t="str">
        <f>TEXT(tblTransactions[[#This Row],[Date]],"DDDD")</f>
        <v>Friday</v>
      </c>
      <c r="S57">
        <f>MONTH(tblTransactions[[#This Row],[Date]])</f>
        <v>1</v>
      </c>
      <c r="T57" t="str">
        <f>VLOOKUP(E57, Products!$A:$B,2,0)</f>
        <v>Tables Fur-2</v>
      </c>
      <c r="U57" t="str">
        <f>VLOOKUP(E57,Products!$A:$C,3,0)</f>
        <v>Furniture</v>
      </c>
      <c r="V57" t="str">
        <f>VLOOKUP(E57,Products!$A:$D,4,0)</f>
        <v>Tables</v>
      </c>
      <c r="W57" t="str">
        <f>VLOOKUP(D57,Customers!$A:$C,3,0)</f>
        <v>B2C</v>
      </c>
      <c r="X57" t="str">
        <f>VLOOKUP(C57,Sales_Representatives!$A:$B,2,0)</f>
        <v>John Brown</v>
      </c>
    </row>
    <row r="58" spans="1:24" x14ac:dyDescent="0.3">
      <c r="A58" t="s">
        <v>174</v>
      </c>
      <c r="B58" t="s">
        <v>171</v>
      </c>
      <c r="C58" t="s">
        <v>75</v>
      </c>
      <c r="D58" t="s">
        <v>28</v>
      </c>
      <c r="E58" t="s">
        <v>20</v>
      </c>
      <c r="F58">
        <v>2</v>
      </c>
      <c r="G58">
        <v>1219.49</v>
      </c>
      <c r="H58">
        <v>0.09</v>
      </c>
      <c r="I58" s="4">
        <v>2219.4699999999998</v>
      </c>
      <c r="J58" t="s">
        <v>44</v>
      </c>
      <c r="K58" t="s">
        <v>35</v>
      </c>
      <c r="L58" s="4">
        <f>VLOOKUP(tblTransactions[[#This Row],[Product_ID]],tblProducts[],5,FALSE)</f>
        <v>686.9</v>
      </c>
      <c r="M58" s="4">
        <f>tblTransactions[[#This Row],[Total_Amount]]-(tblTransactions[[#This Row],[Cost_Prices]]*tblTransactions[[#This Row],[Quantity]]*(1-tblTransactions[[#This Row],[Discount]]))</f>
        <v>969.3119999999999</v>
      </c>
      <c r="N58" s="3">
        <f>tblTransactions[[#This Row],[Profit]]/tblTransactions[[#This Row],[Total_Amount]]</f>
        <v>0.43673129170477637</v>
      </c>
      <c r="O58" t="str">
        <f>TEXT(tblTransactions[[#This Row],[Date]], "MMM-YYYY")</f>
        <v>Jan-2023</v>
      </c>
      <c r="P58" t="str">
        <f>"Q"&amp;ROUNDUP(MONTH(tblTransactions[[#This Row],[Date]])/3,0)&amp;"-"&amp;YEAR(tblTransactions[[#This Row],[Date]])</f>
        <v>Q1-2023</v>
      </c>
      <c r="Q58">
        <f>YEAR(tblTransactions[[#This Row],[Date]])</f>
        <v>2023</v>
      </c>
      <c r="R58" t="str">
        <f>TEXT(tblTransactions[[#This Row],[Date]],"DDDD")</f>
        <v>Friday</v>
      </c>
      <c r="S58">
        <f>MONTH(tblTransactions[[#This Row],[Date]])</f>
        <v>1</v>
      </c>
      <c r="T58" t="str">
        <f>VLOOKUP(E58, Products!$A:$B,2,0)</f>
        <v>Laptops Ele-1</v>
      </c>
      <c r="U58" t="str">
        <f>VLOOKUP(E58,Products!$A:$C,3,0)</f>
        <v>Electronics</v>
      </c>
      <c r="V58" t="str">
        <f>VLOOKUP(E58,Products!$A:$D,4,0)</f>
        <v>Laptops</v>
      </c>
      <c r="W58" t="str">
        <f>VLOOKUP(D58,Customers!$A:$C,3,0)</f>
        <v>B2B</v>
      </c>
      <c r="X58" t="str">
        <f>VLOOKUP(C58,Sales_Representatives!$A:$B,2,0)</f>
        <v>Jessica Anderson</v>
      </c>
    </row>
    <row r="59" spans="1:24" x14ac:dyDescent="0.3">
      <c r="A59" t="s">
        <v>175</v>
      </c>
      <c r="B59" t="s">
        <v>171</v>
      </c>
      <c r="C59" t="s">
        <v>82</v>
      </c>
      <c r="D59" t="s">
        <v>156</v>
      </c>
      <c r="E59" t="s">
        <v>176</v>
      </c>
      <c r="F59">
        <v>15</v>
      </c>
      <c r="G59">
        <v>1462.68</v>
      </c>
      <c r="H59">
        <v>0.17</v>
      </c>
      <c r="I59" s="4">
        <v>18210.37</v>
      </c>
      <c r="J59" t="s">
        <v>34</v>
      </c>
      <c r="K59" t="s">
        <v>35</v>
      </c>
      <c r="L59" s="4">
        <f>VLOOKUP(tblTransactions[[#This Row],[Product_ID]],tblProducts[],5,FALSE)</f>
        <v>775.94</v>
      </c>
      <c r="M59" s="4">
        <f>tblTransactions[[#This Row],[Total_Amount]]-(tblTransactions[[#This Row],[Cost_Prices]]*tblTransactions[[#This Row],[Quantity]]*(1-tblTransactions[[#This Row],[Discount]]))</f>
        <v>8549.9169999999995</v>
      </c>
      <c r="N59" s="3">
        <f>tblTransactions[[#This Row],[Profit]]/tblTransactions[[#This Row],[Total_Amount]]</f>
        <v>0.46950814288781612</v>
      </c>
      <c r="O59" t="str">
        <f>TEXT(tblTransactions[[#This Row],[Date]], "MMM-YYYY")</f>
        <v>Jan-2023</v>
      </c>
      <c r="P59" t="str">
        <f>"Q"&amp;ROUNDUP(MONTH(tblTransactions[[#This Row],[Date]])/3,0)&amp;"-"&amp;YEAR(tblTransactions[[#This Row],[Date]])</f>
        <v>Q1-2023</v>
      </c>
      <c r="Q59">
        <f>YEAR(tblTransactions[[#This Row],[Date]])</f>
        <v>2023</v>
      </c>
      <c r="R59" t="str">
        <f>TEXT(tblTransactions[[#This Row],[Date]],"DDDD")</f>
        <v>Friday</v>
      </c>
      <c r="S59">
        <f>MONTH(tblTransactions[[#This Row],[Date]])</f>
        <v>1</v>
      </c>
      <c r="T59" t="str">
        <f>VLOOKUP(E59, Products!$A:$B,2,0)</f>
        <v>Chairs Fur-2</v>
      </c>
      <c r="U59" t="str">
        <f>VLOOKUP(E59,Products!$A:$C,3,0)</f>
        <v>Furniture</v>
      </c>
      <c r="V59" t="str">
        <f>VLOOKUP(E59,Products!$A:$D,4,0)</f>
        <v>Chairs</v>
      </c>
      <c r="W59" t="str">
        <f>VLOOKUP(D59,Customers!$A:$C,3,0)</f>
        <v>B2B</v>
      </c>
      <c r="X59" t="str">
        <f>VLOOKUP(C59,Sales_Representatives!$A:$B,2,0)</f>
        <v>John Brown</v>
      </c>
    </row>
    <row r="60" spans="1:24" x14ac:dyDescent="0.3">
      <c r="A60" t="s">
        <v>177</v>
      </c>
      <c r="B60" t="s">
        <v>171</v>
      </c>
      <c r="C60" t="s">
        <v>131</v>
      </c>
      <c r="D60" t="s">
        <v>93</v>
      </c>
      <c r="E60" t="s">
        <v>178</v>
      </c>
      <c r="F60">
        <v>2</v>
      </c>
      <c r="G60">
        <v>1623.35</v>
      </c>
      <c r="H60">
        <v>0.06</v>
      </c>
      <c r="I60" s="4">
        <v>3051.9</v>
      </c>
      <c r="J60" t="s">
        <v>44</v>
      </c>
      <c r="K60" t="s">
        <v>48</v>
      </c>
      <c r="L60" s="4">
        <f>VLOOKUP(tblTransactions[[#This Row],[Product_ID]],tblProducts[],5,FALSE)</f>
        <v>981.45</v>
      </c>
      <c r="M60" s="4">
        <f>tblTransactions[[#This Row],[Total_Amount]]-(tblTransactions[[#This Row],[Cost_Prices]]*tblTransactions[[#This Row],[Quantity]]*(1-tblTransactions[[#This Row],[Discount]]))</f>
        <v>1206.7740000000001</v>
      </c>
      <c r="N60" s="3">
        <f>tblTransactions[[#This Row],[Profit]]/tblTransactions[[#This Row],[Total_Amount]]</f>
        <v>0.39541728103804191</v>
      </c>
      <c r="O60" t="str">
        <f>TEXT(tblTransactions[[#This Row],[Date]], "MMM-YYYY")</f>
        <v>Jan-2023</v>
      </c>
      <c r="P60" t="str">
        <f>"Q"&amp;ROUNDUP(MONTH(tblTransactions[[#This Row],[Date]])/3,0)&amp;"-"&amp;YEAR(tblTransactions[[#This Row],[Date]])</f>
        <v>Q1-2023</v>
      </c>
      <c r="Q60">
        <f>YEAR(tblTransactions[[#This Row],[Date]])</f>
        <v>2023</v>
      </c>
      <c r="R60" t="str">
        <f>TEXT(tblTransactions[[#This Row],[Date]],"DDDD")</f>
        <v>Friday</v>
      </c>
      <c r="S60">
        <f>MONTH(tblTransactions[[#This Row],[Date]])</f>
        <v>1</v>
      </c>
      <c r="T60" t="str">
        <f>VLOOKUP(E60, Products!$A:$B,2,0)</f>
        <v>Tablets Ele-1</v>
      </c>
      <c r="U60" t="str">
        <f>VLOOKUP(E60,Products!$A:$C,3,0)</f>
        <v>Electronics</v>
      </c>
      <c r="V60" t="str">
        <f>VLOOKUP(E60,Products!$A:$D,4,0)</f>
        <v>Tablets</v>
      </c>
      <c r="W60" t="str">
        <f>VLOOKUP(D60,Customers!$A:$C,3,0)</f>
        <v>B2C</v>
      </c>
      <c r="X60" t="str">
        <f>VLOOKUP(C60,Sales_Representatives!$A:$B,2,0)</f>
        <v>Michael Davis</v>
      </c>
    </row>
    <row r="61" spans="1:24" x14ac:dyDescent="0.3">
      <c r="A61" t="s">
        <v>179</v>
      </c>
      <c r="B61" t="s">
        <v>171</v>
      </c>
      <c r="C61" t="s">
        <v>70</v>
      </c>
      <c r="D61" t="s">
        <v>52</v>
      </c>
      <c r="E61" t="s">
        <v>125</v>
      </c>
      <c r="F61">
        <v>2</v>
      </c>
      <c r="G61">
        <v>1201.4000000000001</v>
      </c>
      <c r="H61">
        <v>0.09</v>
      </c>
      <c r="I61" s="4">
        <v>2186.5500000000002</v>
      </c>
      <c r="J61" t="s">
        <v>16</v>
      </c>
      <c r="K61" t="s">
        <v>39</v>
      </c>
      <c r="L61" s="4">
        <f>VLOOKUP(tblTransactions[[#This Row],[Product_ID]],tblProducts[],5,FALSE)</f>
        <v>672.72</v>
      </c>
      <c r="M61" s="4">
        <f>tblTransactions[[#This Row],[Total_Amount]]-(tblTransactions[[#This Row],[Cost_Prices]]*tblTransactions[[#This Row],[Quantity]]*(1-tblTransactions[[#This Row],[Discount]]))</f>
        <v>962.19960000000015</v>
      </c>
      <c r="N61" s="3">
        <f>tblTransactions[[#This Row],[Profit]]/tblTransactions[[#This Row],[Total_Amount]]</f>
        <v>0.4400537833573438</v>
      </c>
      <c r="O61" t="str">
        <f>TEXT(tblTransactions[[#This Row],[Date]], "MMM-YYYY")</f>
        <v>Jan-2023</v>
      </c>
      <c r="P61" t="str">
        <f>"Q"&amp;ROUNDUP(MONTH(tblTransactions[[#This Row],[Date]])/3,0)&amp;"-"&amp;YEAR(tblTransactions[[#This Row],[Date]])</f>
        <v>Q1-2023</v>
      </c>
      <c r="Q61">
        <f>YEAR(tblTransactions[[#This Row],[Date]])</f>
        <v>2023</v>
      </c>
      <c r="R61" t="str">
        <f>TEXT(tblTransactions[[#This Row],[Date]],"DDDD")</f>
        <v>Friday</v>
      </c>
      <c r="S61">
        <f>MONTH(tblTransactions[[#This Row],[Date]])</f>
        <v>1</v>
      </c>
      <c r="T61" t="str">
        <f>VLOOKUP(E61, Products!$A:$B,2,0)</f>
        <v>Printers Tec-2</v>
      </c>
      <c r="U61" t="str">
        <f>VLOOKUP(E61,Products!$A:$C,3,0)</f>
        <v>Technology</v>
      </c>
      <c r="V61" t="str">
        <f>VLOOKUP(E61,Products!$A:$D,4,0)</f>
        <v>Printers</v>
      </c>
      <c r="W61" t="str">
        <f>VLOOKUP(D61,Customers!$A:$C,3,0)</f>
        <v>B2C</v>
      </c>
      <c r="X61" t="str">
        <f>VLOOKUP(C61,Sales_Representatives!$A:$B,2,0)</f>
        <v>Linda Smith</v>
      </c>
    </row>
    <row r="62" spans="1:24" x14ac:dyDescent="0.3">
      <c r="A62" t="s">
        <v>180</v>
      </c>
      <c r="B62" t="s">
        <v>181</v>
      </c>
      <c r="C62" t="s">
        <v>70</v>
      </c>
      <c r="D62" t="s">
        <v>71</v>
      </c>
      <c r="E62" t="s">
        <v>178</v>
      </c>
      <c r="F62">
        <v>10</v>
      </c>
      <c r="G62">
        <v>1623.35</v>
      </c>
      <c r="H62">
        <v>0.12</v>
      </c>
      <c r="I62" s="4">
        <v>14285.48</v>
      </c>
      <c r="J62" t="s">
        <v>16</v>
      </c>
      <c r="K62" t="s">
        <v>48</v>
      </c>
      <c r="L62" s="4">
        <f>VLOOKUP(tblTransactions[[#This Row],[Product_ID]],tblProducts[],5,FALSE)</f>
        <v>981.45</v>
      </c>
      <c r="M62" s="4">
        <f>tblTransactions[[#This Row],[Total_Amount]]-(tblTransactions[[#This Row],[Cost_Prices]]*tblTransactions[[#This Row],[Quantity]]*(1-tblTransactions[[#This Row],[Discount]]))</f>
        <v>5648.7199999999993</v>
      </c>
      <c r="N62" s="3">
        <f>tblTransactions[[#This Row],[Profit]]/tblTransactions[[#This Row],[Total_Amount]]</f>
        <v>0.39541688483691129</v>
      </c>
      <c r="O62" t="str">
        <f>TEXT(tblTransactions[[#This Row],[Date]], "MMM-YYYY")</f>
        <v>Jan-2023</v>
      </c>
      <c r="P62" t="str">
        <f>"Q"&amp;ROUNDUP(MONTH(tblTransactions[[#This Row],[Date]])/3,0)&amp;"-"&amp;YEAR(tblTransactions[[#This Row],[Date]])</f>
        <v>Q1-2023</v>
      </c>
      <c r="Q62">
        <f>YEAR(tblTransactions[[#This Row],[Date]])</f>
        <v>2023</v>
      </c>
      <c r="R62" t="str">
        <f>TEXT(tblTransactions[[#This Row],[Date]],"DDDD")</f>
        <v>Saturday</v>
      </c>
      <c r="S62">
        <f>MONTH(tblTransactions[[#This Row],[Date]])</f>
        <v>1</v>
      </c>
      <c r="T62" t="str">
        <f>VLOOKUP(E62, Products!$A:$B,2,0)</f>
        <v>Tablets Ele-1</v>
      </c>
      <c r="U62" t="str">
        <f>VLOOKUP(E62,Products!$A:$C,3,0)</f>
        <v>Electronics</v>
      </c>
      <c r="V62" t="str">
        <f>VLOOKUP(E62,Products!$A:$D,4,0)</f>
        <v>Tablets</v>
      </c>
      <c r="W62" t="str">
        <f>VLOOKUP(D62,Customers!$A:$C,3,0)</f>
        <v>B2B</v>
      </c>
      <c r="X62" t="str">
        <f>VLOOKUP(C62,Sales_Representatives!$A:$B,2,0)</f>
        <v>Linda Smith</v>
      </c>
    </row>
    <row r="63" spans="1:24" x14ac:dyDescent="0.3">
      <c r="A63" t="s">
        <v>182</v>
      </c>
      <c r="B63" t="s">
        <v>181</v>
      </c>
      <c r="C63" t="s">
        <v>131</v>
      </c>
      <c r="D63" t="s">
        <v>183</v>
      </c>
      <c r="E63" t="s">
        <v>184</v>
      </c>
      <c r="F63">
        <v>5</v>
      </c>
      <c r="G63">
        <v>276.35000000000002</v>
      </c>
      <c r="H63">
        <v>0.09</v>
      </c>
      <c r="I63" s="4">
        <v>1257.3900000000001</v>
      </c>
      <c r="J63" t="s">
        <v>44</v>
      </c>
      <c r="K63" t="s">
        <v>35</v>
      </c>
      <c r="L63" s="4">
        <f>VLOOKUP(tblTransactions[[#This Row],[Product_ID]],tblProducts[],5,FALSE)</f>
        <v>130.15</v>
      </c>
      <c r="M63" s="4">
        <f>tblTransactions[[#This Row],[Total_Amount]]-(tblTransactions[[#This Row],[Cost_Prices]]*tblTransactions[[#This Row],[Quantity]]*(1-tblTransactions[[#This Row],[Discount]]))</f>
        <v>665.2075000000001</v>
      </c>
      <c r="N63" s="3">
        <f>tblTransactions[[#This Row],[Profit]]/tblTransactions[[#This Row],[Total_Amount]]</f>
        <v>0.52903832542011631</v>
      </c>
      <c r="O63" t="str">
        <f>TEXT(tblTransactions[[#This Row],[Date]], "MMM-YYYY")</f>
        <v>Jan-2023</v>
      </c>
      <c r="P63" t="str">
        <f>"Q"&amp;ROUNDUP(MONTH(tblTransactions[[#This Row],[Date]])/3,0)&amp;"-"&amp;YEAR(tblTransactions[[#This Row],[Date]])</f>
        <v>Q1-2023</v>
      </c>
      <c r="Q63">
        <f>YEAR(tblTransactions[[#This Row],[Date]])</f>
        <v>2023</v>
      </c>
      <c r="R63" t="str">
        <f>TEXT(tblTransactions[[#This Row],[Date]],"DDDD")</f>
        <v>Saturday</v>
      </c>
      <c r="S63">
        <f>MONTH(tblTransactions[[#This Row],[Date]])</f>
        <v>1</v>
      </c>
      <c r="T63" t="str">
        <f>VLOOKUP(E63, Products!$A:$B,2,0)</f>
        <v>Binders Off-1</v>
      </c>
      <c r="U63" t="str">
        <f>VLOOKUP(E63,Products!$A:$C,3,0)</f>
        <v>Office Supplies</v>
      </c>
      <c r="V63" t="str">
        <f>VLOOKUP(E63,Products!$A:$D,4,0)</f>
        <v>Binders</v>
      </c>
      <c r="W63" t="str">
        <f>VLOOKUP(D63,Customers!$A:$C,3,0)</f>
        <v>Small Business</v>
      </c>
      <c r="X63" t="str">
        <f>VLOOKUP(C63,Sales_Representatives!$A:$B,2,0)</f>
        <v>Michael Davis</v>
      </c>
    </row>
    <row r="64" spans="1:24" x14ac:dyDescent="0.3">
      <c r="A64" t="s">
        <v>185</v>
      </c>
      <c r="B64" t="s">
        <v>181</v>
      </c>
      <c r="C64" t="s">
        <v>41</v>
      </c>
      <c r="D64" t="s">
        <v>154</v>
      </c>
      <c r="E64" t="s">
        <v>152</v>
      </c>
      <c r="F64">
        <v>6</v>
      </c>
      <c r="G64">
        <v>859.93</v>
      </c>
      <c r="H64">
        <v>7.0000000000000007E-2</v>
      </c>
      <c r="I64" s="4">
        <v>4798.41</v>
      </c>
      <c r="J64" t="s">
        <v>44</v>
      </c>
      <c r="K64" t="s">
        <v>48</v>
      </c>
      <c r="L64" s="4">
        <f>VLOOKUP(tblTransactions[[#This Row],[Product_ID]],tblProducts[],5,FALSE)</f>
        <v>579.79</v>
      </c>
      <c r="M64" s="4">
        <f>tblTransactions[[#This Row],[Total_Amount]]-(tblTransactions[[#This Row],[Cost_Prices]]*tblTransactions[[#This Row],[Quantity]]*(1-tblTransactions[[#This Row],[Discount]]))</f>
        <v>1563.1818000000003</v>
      </c>
      <c r="N64" s="3">
        <f>tblTransactions[[#This Row],[Profit]]/tblTransactions[[#This Row],[Total_Amount]]</f>
        <v>0.32577078657305242</v>
      </c>
      <c r="O64" t="str">
        <f>TEXT(tblTransactions[[#This Row],[Date]], "MMM-YYYY")</f>
        <v>Jan-2023</v>
      </c>
      <c r="P64" t="str">
        <f>"Q"&amp;ROUNDUP(MONTH(tblTransactions[[#This Row],[Date]])/3,0)&amp;"-"&amp;YEAR(tblTransactions[[#This Row],[Date]])</f>
        <v>Q1-2023</v>
      </c>
      <c r="Q64">
        <f>YEAR(tblTransactions[[#This Row],[Date]])</f>
        <v>2023</v>
      </c>
      <c r="R64" t="str">
        <f>TEXT(tblTransactions[[#This Row],[Date]],"DDDD")</f>
        <v>Saturday</v>
      </c>
      <c r="S64">
        <f>MONTH(tblTransactions[[#This Row],[Date]])</f>
        <v>1</v>
      </c>
      <c r="T64" t="str">
        <f>VLOOKUP(E64, Products!$A:$B,2,0)</f>
        <v>Phones Ele-4</v>
      </c>
      <c r="U64" t="str">
        <f>VLOOKUP(E64,Products!$A:$C,3,0)</f>
        <v>Electronics</v>
      </c>
      <c r="V64" t="str">
        <f>VLOOKUP(E64,Products!$A:$D,4,0)</f>
        <v>Phones</v>
      </c>
      <c r="W64" t="str">
        <f>VLOOKUP(D64,Customers!$A:$C,3,0)</f>
        <v>B2B</v>
      </c>
      <c r="X64" t="str">
        <f>VLOOKUP(C64,Sales_Representatives!$A:$B,2,0)</f>
        <v>Robert Jones</v>
      </c>
    </row>
    <row r="65" spans="1:24" x14ac:dyDescent="0.3">
      <c r="A65" t="s">
        <v>186</v>
      </c>
      <c r="B65" t="s">
        <v>181</v>
      </c>
      <c r="C65" t="s">
        <v>27</v>
      </c>
      <c r="D65" t="s">
        <v>156</v>
      </c>
      <c r="E65" t="s">
        <v>102</v>
      </c>
      <c r="F65">
        <v>3</v>
      </c>
      <c r="G65">
        <v>1097.75</v>
      </c>
      <c r="H65">
        <v>0.01</v>
      </c>
      <c r="I65" s="4">
        <v>3260.32</v>
      </c>
      <c r="J65" t="s">
        <v>16</v>
      </c>
      <c r="K65" t="s">
        <v>22</v>
      </c>
      <c r="L65" s="4">
        <f>VLOOKUP(tblTransactions[[#This Row],[Product_ID]],tblProducts[],5,FALSE)</f>
        <v>680.12</v>
      </c>
      <c r="M65" s="4">
        <f>tblTransactions[[#This Row],[Total_Amount]]-(tblTransactions[[#This Row],[Cost_Prices]]*tblTransactions[[#This Row],[Quantity]]*(1-tblTransactions[[#This Row],[Discount]]))</f>
        <v>1240.3636000000001</v>
      </c>
      <c r="N65" s="3">
        <f>tblTransactions[[#This Row],[Profit]]/tblTransactions[[#This Row],[Total_Amount]]</f>
        <v>0.38044228787358297</v>
      </c>
      <c r="O65" t="str">
        <f>TEXT(tblTransactions[[#This Row],[Date]], "MMM-YYYY")</f>
        <v>Jan-2023</v>
      </c>
      <c r="P65" t="str">
        <f>"Q"&amp;ROUNDUP(MONTH(tblTransactions[[#This Row],[Date]])/3,0)&amp;"-"&amp;YEAR(tblTransactions[[#This Row],[Date]])</f>
        <v>Q1-2023</v>
      </c>
      <c r="Q65">
        <f>YEAR(tblTransactions[[#This Row],[Date]])</f>
        <v>2023</v>
      </c>
      <c r="R65" t="str">
        <f>TEXT(tblTransactions[[#This Row],[Date]],"DDDD")</f>
        <v>Saturday</v>
      </c>
      <c r="S65">
        <f>MONTH(tblTransactions[[#This Row],[Date]])</f>
        <v>1</v>
      </c>
      <c r="T65" t="str">
        <f>VLOOKUP(E65, Products!$A:$B,2,0)</f>
        <v>Storage Fur-4</v>
      </c>
      <c r="U65" t="str">
        <f>VLOOKUP(E65,Products!$A:$C,3,0)</f>
        <v>Furniture</v>
      </c>
      <c r="V65" t="str">
        <f>VLOOKUP(E65,Products!$A:$D,4,0)</f>
        <v>Storage</v>
      </c>
      <c r="W65" t="str">
        <f>VLOOKUP(D65,Customers!$A:$C,3,0)</f>
        <v>B2B</v>
      </c>
      <c r="X65" t="str">
        <f>VLOOKUP(C65,Sales_Representatives!$A:$B,2,0)</f>
        <v>Thomas Lopez</v>
      </c>
    </row>
    <row r="66" spans="1:24" x14ac:dyDescent="0.3">
      <c r="A66" t="s">
        <v>187</v>
      </c>
      <c r="B66" t="s">
        <v>188</v>
      </c>
      <c r="C66" t="s">
        <v>141</v>
      </c>
      <c r="D66" t="s">
        <v>76</v>
      </c>
      <c r="E66" t="s">
        <v>172</v>
      </c>
      <c r="F66">
        <v>5</v>
      </c>
      <c r="G66">
        <v>1371.15</v>
      </c>
      <c r="H66">
        <v>0.08</v>
      </c>
      <c r="I66" s="4">
        <v>6307.29</v>
      </c>
      <c r="J66" t="s">
        <v>109</v>
      </c>
      <c r="K66" t="s">
        <v>48</v>
      </c>
      <c r="L66" s="4">
        <f>VLOOKUP(tblTransactions[[#This Row],[Product_ID]],tblProducts[],5,FALSE)</f>
        <v>989.81</v>
      </c>
      <c r="M66" s="4">
        <f>tblTransactions[[#This Row],[Total_Amount]]-(tblTransactions[[#This Row],[Cost_Prices]]*tblTransactions[[#This Row],[Quantity]]*(1-tblTransactions[[#This Row],[Discount]]))</f>
        <v>1754.1640000000007</v>
      </c>
      <c r="N66" s="3">
        <f>tblTransactions[[#This Row],[Profit]]/tblTransactions[[#This Row],[Total_Amount]]</f>
        <v>0.27811690916384069</v>
      </c>
      <c r="O66" t="str">
        <f>TEXT(tblTransactions[[#This Row],[Date]], "MMM-YYYY")</f>
        <v>Jan-2023</v>
      </c>
      <c r="P66" t="str">
        <f>"Q"&amp;ROUNDUP(MONTH(tblTransactions[[#This Row],[Date]])/3,0)&amp;"-"&amp;YEAR(tblTransactions[[#This Row],[Date]])</f>
        <v>Q1-2023</v>
      </c>
      <c r="Q66">
        <f>YEAR(tblTransactions[[#This Row],[Date]])</f>
        <v>2023</v>
      </c>
      <c r="R66" t="str">
        <f>TEXT(tblTransactions[[#This Row],[Date]],"DDDD")</f>
        <v>Sunday</v>
      </c>
      <c r="S66">
        <f>MONTH(tblTransactions[[#This Row],[Date]])</f>
        <v>1</v>
      </c>
      <c r="T66" t="str">
        <f>VLOOKUP(E66, Products!$A:$B,2,0)</f>
        <v>Cameras Ele-4</v>
      </c>
      <c r="U66" t="str">
        <f>VLOOKUP(E66,Products!$A:$C,3,0)</f>
        <v>Electronics</v>
      </c>
      <c r="V66" t="str">
        <f>VLOOKUP(E66,Products!$A:$D,4,0)</f>
        <v>Cameras</v>
      </c>
      <c r="W66" t="str">
        <f>VLOOKUP(D66,Customers!$A:$C,3,0)</f>
        <v>Small Business</v>
      </c>
      <c r="X66" t="str">
        <f>VLOOKUP(C66,Sales_Representatives!$A:$B,2,0)</f>
        <v>Richard Garcia</v>
      </c>
    </row>
    <row r="67" spans="1:24" x14ac:dyDescent="0.3">
      <c r="A67" t="s">
        <v>189</v>
      </c>
      <c r="B67" t="s">
        <v>188</v>
      </c>
      <c r="C67" t="s">
        <v>41</v>
      </c>
      <c r="D67" t="s">
        <v>190</v>
      </c>
      <c r="E67" t="s">
        <v>191</v>
      </c>
      <c r="F67">
        <v>15</v>
      </c>
      <c r="G67">
        <v>1012.75</v>
      </c>
      <c r="H67">
        <v>0.18</v>
      </c>
      <c r="I67" s="4">
        <v>12456.82</v>
      </c>
      <c r="J67" t="s">
        <v>44</v>
      </c>
      <c r="K67" t="s">
        <v>48</v>
      </c>
      <c r="L67" s="4">
        <f>VLOOKUP(tblTransactions[[#This Row],[Product_ID]],tblProducts[],5,FALSE)</f>
        <v>518.53</v>
      </c>
      <c r="M67" s="4">
        <f>tblTransactions[[#This Row],[Total_Amount]]-(tblTransactions[[#This Row],[Cost_Prices]]*tblTransactions[[#This Row],[Quantity]]*(1-tblTransactions[[#This Row],[Discount]]))</f>
        <v>6078.9009999999989</v>
      </c>
      <c r="N67" s="3">
        <f>tblTransactions[[#This Row],[Profit]]/tblTransactions[[#This Row],[Total_Amount]]</f>
        <v>0.48799781966826195</v>
      </c>
      <c r="O67" t="str">
        <f>TEXT(tblTransactions[[#This Row],[Date]], "MMM-YYYY")</f>
        <v>Jan-2023</v>
      </c>
      <c r="P67" t="str">
        <f>"Q"&amp;ROUNDUP(MONTH(tblTransactions[[#This Row],[Date]])/3,0)&amp;"-"&amp;YEAR(tblTransactions[[#This Row],[Date]])</f>
        <v>Q1-2023</v>
      </c>
      <c r="Q67">
        <f>YEAR(tblTransactions[[#This Row],[Date]])</f>
        <v>2023</v>
      </c>
      <c r="R67" t="str">
        <f>TEXT(tblTransactions[[#This Row],[Date]],"DDDD")</f>
        <v>Sunday</v>
      </c>
      <c r="S67">
        <f>MONTH(tblTransactions[[#This Row],[Date]])</f>
        <v>1</v>
      </c>
      <c r="T67" t="str">
        <f>VLOOKUP(E67, Products!$A:$B,2,0)</f>
        <v>Tables Fur-4</v>
      </c>
      <c r="U67" t="str">
        <f>VLOOKUP(E67,Products!$A:$C,3,0)</f>
        <v>Furniture</v>
      </c>
      <c r="V67" t="str">
        <f>VLOOKUP(E67,Products!$A:$D,4,0)</f>
        <v>Tables</v>
      </c>
      <c r="W67" t="str">
        <f>VLOOKUP(D67,Customers!$A:$C,3,0)</f>
        <v>B2B</v>
      </c>
      <c r="X67" t="str">
        <f>VLOOKUP(C67,Sales_Representatives!$A:$B,2,0)</f>
        <v>Robert Jones</v>
      </c>
    </row>
    <row r="68" spans="1:24" x14ac:dyDescent="0.3">
      <c r="A68" t="s">
        <v>192</v>
      </c>
      <c r="B68" t="s">
        <v>193</v>
      </c>
      <c r="C68" t="s">
        <v>107</v>
      </c>
      <c r="D68" t="s">
        <v>139</v>
      </c>
      <c r="E68" t="s">
        <v>194</v>
      </c>
      <c r="F68">
        <v>4</v>
      </c>
      <c r="G68">
        <v>82.84</v>
      </c>
      <c r="H68">
        <v>0.06</v>
      </c>
      <c r="I68" s="4">
        <v>311.48</v>
      </c>
      <c r="J68" t="s">
        <v>109</v>
      </c>
      <c r="K68" t="s">
        <v>35</v>
      </c>
      <c r="L68" s="4">
        <f>VLOOKUP(tblTransactions[[#This Row],[Product_ID]],tblProducts[],5,FALSE)</f>
        <v>52.98</v>
      </c>
      <c r="M68" s="4">
        <f>tblTransactions[[#This Row],[Total_Amount]]-(tblTransactions[[#This Row],[Cost_Prices]]*tblTransactions[[#This Row],[Quantity]]*(1-tblTransactions[[#This Row],[Discount]]))</f>
        <v>112.27520000000004</v>
      </c>
      <c r="N68" s="3">
        <f>tblTransactions[[#This Row],[Profit]]/tblTransactions[[#This Row],[Total_Amount]]</f>
        <v>0.36045717221009388</v>
      </c>
      <c r="O68" t="str">
        <f>TEXT(tblTransactions[[#This Row],[Date]], "MMM-YYYY")</f>
        <v>Jan-2023</v>
      </c>
      <c r="P68" t="str">
        <f>"Q"&amp;ROUNDUP(MONTH(tblTransactions[[#This Row],[Date]])/3,0)&amp;"-"&amp;YEAR(tblTransactions[[#This Row],[Date]])</f>
        <v>Q1-2023</v>
      </c>
      <c r="Q68">
        <f>YEAR(tblTransactions[[#This Row],[Date]])</f>
        <v>2023</v>
      </c>
      <c r="R68" t="str">
        <f>TEXT(tblTransactions[[#This Row],[Date]],"DDDD")</f>
        <v>Monday</v>
      </c>
      <c r="S68">
        <f>MONTH(tblTransactions[[#This Row],[Date]])</f>
        <v>1</v>
      </c>
      <c r="T68" t="str">
        <f>VLOOKUP(E68, Products!$A:$B,2,0)</f>
        <v>Binders Off-2</v>
      </c>
      <c r="U68" t="str">
        <f>VLOOKUP(E68,Products!$A:$C,3,0)</f>
        <v>Office Supplies</v>
      </c>
      <c r="V68" t="str">
        <f>VLOOKUP(E68,Products!$A:$D,4,0)</f>
        <v>Binders</v>
      </c>
      <c r="W68" t="str">
        <f>VLOOKUP(D68,Customers!$A:$C,3,0)</f>
        <v>B2C</v>
      </c>
      <c r="X68" t="str">
        <f>VLOOKUP(C68,Sales_Representatives!$A:$B,2,0)</f>
        <v>Jennifer Brown</v>
      </c>
    </row>
    <row r="69" spans="1:24" x14ac:dyDescent="0.3">
      <c r="A69" t="s">
        <v>195</v>
      </c>
      <c r="B69" t="s">
        <v>193</v>
      </c>
      <c r="C69" t="s">
        <v>59</v>
      </c>
      <c r="D69" t="s">
        <v>154</v>
      </c>
      <c r="E69" t="s">
        <v>125</v>
      </c>
      <c r="F69">
        <v>6</v>
      </c>
      <c r="G69">
        <v>1201.4000000000001</v>
      </c>
      <c r="H69">
        <v>0.06</v>
      </c>
      <c r="I69" s="4">
        <v>6775.9</v>
      </c>
      <c r="J69" t="s">
        <v>21</v>
      </c>
      <c r="K69" t="s">
        <v>35</v>
      </c>
      <c r="L69" s="4">
        <f>VLOOKUP(tblTransactions[[#This Row],[Product_ID]],tblProducts[],5,FALSE)</f>
        <v>672.72</v>
      </c>
      <c r="M69" s="4">
        <f>tblTransactions[[#This Row],[Total_Amount]]-(tblTransactions[[#This Row],[Cost_Prices]]*tblTransactions[[#This Row],[Quantity]]*(1-tblTransactions[[#This Row],[Discount]]))</f>
        <v>2981.7591999999995</v>
      </c>
      <c r="N69" s="3">
        <f>tblTransactions[[#This Row],[Profit]]/tblTransactions[[#This Row],[Total_Amount]]</f>
        <v>0.44005360173556274</v>
      </c>
      <c r="O69" t="str">
        <f>TEXT(tblTransactions[[#This Row],[Date]], "MMM-YYYY")</f>
        <v>Jan-2023</v>
      </c>
      <c r="P69" t="str">
        <f>"Q"&amp;ROUNDUP(MONTH(tblTransactions[[#This Row],[Date]])/3,0)&amp;"-"&amp;YEAR(tblTransactions[[#This Row],[Date]])</f>
        <v>Q1-2023</v>
      </c>
      <c r="Q69">
        <f>YEAR(tblTransactions[[#This Row],[Date]])</f>
        <v>2023</v>
      </c>
      <c r="R69" t="str">
        <f>TEXT(tblTransactions[[#This Row],[Date]],"DDDD")</f>
        <v>Monday</v>
      </c>
      <c r="S69">
        <f>MONTH(tblTransactions[[#This Row],[Date]])</f>
        <v>1</v>
      </c>
      <c r="T69" t="str">
        <f>VLOOKUP(E69, Products!$A:$B,2,0)</f>
        <v>Printers Tec-2</v>
      </c>
      <c r="U69" t="str">
        <f>VLOOKUP(E69,Products!$A:$C,3,0)</f>
        <v>Technology</v>
      </c>
      <c r="V69" t="str">
        <f>VLOOKUP(E69,Products!$A:$D,4,0)</f>
        <v>Printers</v>
      </c>
      <c r="W69" t="str">
        <f>VLOOKUP(D69,Customers!$A:$C,3,0)</f>
        <v>B2B</v>
      </c>
      <c r="X69" t="str">
        <f>VLOOKUP(C69,Sales_Representatives!$A:$B,2,0)</f>
        <v>Sarah Brown</v>
      </c>
    </row>
    <row r="70" spans="1:24" x14ac:dyDescent="0.3">
      <c r="A70" t="s">
        <v>196</v>
      </c>
      <c r="B70" t="s">
        <v>193</v>
      </c>
      <c r="C70" t="s">
        <v>63</v>
      </c>
      <c r="D70" t="s">
        <v>197</v>
      </c>
      <c r="E70" t="s">
        <v>198</v>
      </c>
      <c r="F70">
        <v>30</v>
      </c>
      <c r="G70">
        <v>1802.96</v>
      </c>
      <c r="H70">
        <v>0.2</v>
      </c>
      <c r="I70" s="4">
        <v>43271.040000000001</v>
      </c>
      <c r="J70" t="s">
        <v>21</v>
      </c>
      <c r="K70" t="s">
        <v>35</v>
      </c>
      <c r="L70" s="4">
        <f>VLOOKUP(tblTransactions[[#This Row],[Product_ID]],tblProducts[],5,FALSE)</f>
        <v>1282.18</v>
      </c>
      <c r="M70" s="4">
        <f>tblTransactions[[#This Row],[Total_Amount]]-(tblTransactions[[#This Row],[Cost_Prices]]*tblTransactions[[#This Row],[Quantity]]*(1-tblTransactions[[#This Row],[Discount]]))</f>
        <v>12498.719999999998</v>
      </c>
      <c r="N70" s="3">
        <f>tblTransactions[[#This Row],[Profit]]/tblTransactions[[#This Row],[Total_Amount]]</f>
        <v>0.28884722900119797</v>
      </c>
      <c r="O70" t="str">
        <f>TEXT(tblTransactions[[#This Row],[Date]], "MMM-YYYY")</f>
        <v>Jan-2023</v>
      </c>
      <c r="P70" t="str">
        <f>"Q"&amp;ROUNDUP(MONTH(tblTransactions[[#This Row],[Date]])/3,0)&amp;"-"&amp;YEAR(tblTransactions[[#This Row],[Date]])</f>
        <v>Q1-2023</v>
      </c>
      <c r="Q70">
        <f>YEAR(tblTransactions[[#This Row],[Date]])</f>
        <v>2023</v>
      </c>
      <c r="R70" t="str">
        <f>TEXT(tblTransactions[[#This Row],[Date]],"DDDD")</f>
        <v>Monday</v>
      </c>
      <c r="S70">
        <f>MONTH(tblTransactions[[#This Row],[Date]])</f>
        <v>1</v>
      </c>
      <c r="T70" t="str">
        <f>VLOOKUP(E70, Products!$A:$B,2,0)</f>
        <v>Tablets Ele-3</v>
      </c>
      <c r="U70" t="str">
        <f>VLOOKUP(E70,Products!$A:$C,3,0)</f>
        <v>Electronics</v>
      </c>
      <c r="V70" t="str">
        <f>VLOOKUP(E70,Products!$A:$D,4,0)</f>
        <v>Tablets</v>
      </c>
      <c r="W70" t="str">
        <f>VLOOKUP(D70,Customers!$A:$C,3,0)</f>
        <v>Enterprise</v>
      </c>
      <c r="X70" t="str">
        <f>VLOOKUP(C70,Sales_Representatives!$A:$B,2,0)</f>
        <v>Richard Wilson</v>
      </c>
    </row>
    <row r="71" spans="1:24" x14ac:dyDescent="0.3">
      <c r="A71" t="s">
        <v>199</v>
      </c>
      <c r="B71" t="s">
        <v>193</v>
      </c>
      <c r="C71" t="s">
        <v>131</v>
      </c>
      <c r="D71" t="s">
        <v>52</v>
      </c>
      <c r="E71" t="s">
        <v>200</v>
      </c>
      <c r="F71">
        <v>3</v>
      </c>
      <c r="G71">
        <v>544.77</v>
      </c>
      <c r="H71">
        <v>0.08</v>
      </c>
      <c r="I71" s="4">
        <v>1503.57</v>
      </c>
      <c r="J71" t="s">
        <v>44</v>
      </c>
      <c r="K71" t="s">
        <v>22</v>
      </c>
      <c r="L71" s="4">
        <f>VLOOKUP(tblTransactions[[#This Row],[Product_ID]],tblProducts[],5,FALSE)</f>
        <v>318.2</v>
      </c>
      <c r="M71" s="4">
        <f>tblTransactions[[#This Row],[Total_Amount]]-(tblTransactions[[#This Row],[Cost_Prices]]*tblTransactions[[#This Row],[Quantity]]*(1-tblTransactions[[#This Row],[Discount]]))</f>
        <v>625.33799999999997</v>
      </c>
      <c r="N71" s="3">
        <f>tblTransactions[[#This Row],[Profit]]/tblTransactions[[#This Row],[Total_Amount]]</f>
        <v>0.41590215287615473</v>
      </c>
      <c r="O71" t="str">
        <f>TEXT(tblTransactions[[#This Row],[Date]], "MMM-YYYY")</f>
        <v>Jan-2023</v>
      </c>
      <c r="P71" t="str">
        <f>"Q"&amp;ROUNDUP(MONTH(tblTransactions[[#This Row],[Date]])/3,0)&amp;"-"&amp;YEAR(tblTransactions[[#This Row],[Date]])</f>
        <v>Q1-2023</v>
      </c>
      <c r="Q71">
        <f>YEAR(tblTransactions[[#This Row],[Date]])</f>
        <v>2023</v>
      </c>
      <c r="R71" t="str">
        <f>TEXT(tblTransactions[[#This Row],[Date]],"DDDD")</f>
        <v>Monday</v>
      </c>
      <c r="S71">
        <f>MONTH(tblTransactions[[#This Row],[Date]])</f>
        <v>1</v>
      </c>
      <c r="T71" t="str">
        <f>VLOOKUP(E71, Products!$A:$B,2,0)</f>
        <v>Desks Fur-4</v>
      </c>
      <c r="U71" t="str">
        <f>VLOOKUP(E71,Products!$A:$C,3,0)</f>
        <v>Furniture</v>
      </c>
      <c r="V71" t="str">
        <f>VLOOKUP(E71,Products!$A:$D,4,0)</f>
        <v>Desks</v>
      </c>
      <c r="W71" t="str">
        <f>VLOOKUP(D71,Customers!$A:$C,3,0)</f>
        <v>B2C</v>
      </c>
      <c r="X71" t="str">
        <f>VLOOKUP(C71,Sales_Representatives!$A:$B,2,0)</f>
        <v>Michael Davis</v>
      </c>
    </row>
    <row r="72" spans="1:24" x14ac:dyDescent="0.3">
      <c r="A72" t="s">
        <v>201</v>
      </c>
      <c r="B72" t="s">
        <v>202</v>
      </c>
      <c r="C72" t="s">
        <v>27</v>
      </c>
      <c r="D72" t="s">
        <v>203</v>
      </c>
      <c r="E72" t="s">
        <v>204</v>
      </c>
      <c r="F72">
        <v>28</v>
      </c>
      <c r="G72">
        <v>715.62</v>
      </c>
      <c r="H72">
        <v>0.16</v>
      </c>
      <c r="I72" s="4">
        <v>16831.38</v>
      </c>
      <c r="J72" t="s">
        <v>16</v>
      </c>
      <c r="K72" t="s">
        <v>22</v>
      </c>
      <c r="L72" s="4">
        <f>VLOOKUP(tblTransactions[[#This Row],[Product_ID]],tblProducts[],5,FALSE)</f>
        <v>459.58</v>
      </c>
      <c r="M72" s="4">
        <f>tblTransactions[[#This Row],[Total_Amount]]-(tblTransactions[[#This Row],[Cost_Prices]]*tblTransactions[[#This Row],[Quantity]]*(1-tblTransactions[[#This Row],[Discount]]))</f>
        <v>6022.0584000000017</v>
      </c>
      <c r="N72" s="3">
        <f>tblTransactions[[#This Row],[Profit]]/tblTransactions[[#This Row],[Total_Amount]]</f>
        <v>0.35778756109124749</v>
      </c>
      <c r="O72" t="str">
        <f>TEXT(tblTransactions[[#This Row],[Date]], "MMM-YYYY")</f>
        <v>Jan-2023</v>
      </c>
      <c r="P72" t="str">
        <f>"Q"&amp;ROUNDUP(MONTH(tblTransactions[[#This Row],[Date]])/3,0)&amp;"-"&amp;YEAR(tblTransactions[[#This Row],[Date]])</f>
        <v>Q1-2023</v>
      </c>
      <c r="Q72">
        <f>YEAR(tblTransactions[[#This Row],[Date]])</f>
        <v>2023</v>
      </c>
      <c r="R72" t="str">
        <f>TEXT(tblTransactions[[#This Row],[Date]],"DDDD")</f>
        <v>Tuesday</v>
      </c>
      <c r="S72">
        <f>MONTH(tblTransactions[[#This Row],[Date]])</f>
        <v>1</v>
      </c>
      <c r="T72" t="str">
        <f>VLOOKUP(E72, Products!$A:$B,2,0)</f>
        <v>Cameras Ele-2</v>
      </c>
      <c r="U72" t="str">
        <f>VLOOKUP(E72,Products!$A:$C,3,0)</f>
        <v>Electronics</v>
      </c>
      <c r="V72" t="str">
        <f>VLOOKUP(E72,Products!$A:$D,4,0)</f>
        <v>Cameras</v>
      </c>
      <c r="W72" t="str">
        <f>VLOOKUP(D72,Customers!$A:$C,3,0)</f>
        <v>Enterprise</v>
      </c>
      <c r="X72" t="str">
        <f>VLOOKUP(C72,Sales_Representatives!$A:$B,2,0)</f>
        <v>Thomas Lopez</v>
      </c>
    </row>
    <row r="73" spans="1:24" x14ac:dyDescent="0.3">
      <c r="A73" t="s">
        <v>205</v>
      </c>
      <c r="B73" t="s">
        <v>202</v>
      </c>
      <c r="C73" t="s">
        <v>127</v>
      </c>
      <c r="D73" t="s">
        <v>50</v>
      </c>
      <c r="E73" t="s">
        <v>206</v>
      </c>
      <c r="F73">
        <v>5</v>
      </c>
      <c r="G73">
        <v>292.51</v>
      </c>
      <c r="H73">
        <v>0.01</v>
      </c>
      <c r="I73" s="4">
        <v>1447.92</v>
      </c>
      <c r="J73" t="s">
        <v>109</v>
      </c>
      <c r="K73" t="s">
        <v>39</v>
      </c>
      <c r="L73" s="4">
        <f>VLOOKUP(tblTransactions[[#This Row],[Product_ID]],tblProducts[],5,FALSE)</f>
        <v>122.08</v>
      </c>
      <c r="M73" s="4">
        <f>tblTransactions[[#This Row],[Total_Amount]]-(tblTransactions[[#This Row],[Cost_Prices]]*tblTransactions[[#This Row],[Quantity]]*(1-tblTransactions[[#This Row],[Discount]]))</f>
        <v>843.62400000000014</v>
      </c>
      <c r="N73" s="3">
        <f>tblTransactions[[#This Row],[Profit]]/tblTransactions[[#This Row],[Total_Amount]]</f>
        <v>0.58264545002486334</v>
      </c>
      <c r="O73" t="str">
        <f>TEXT(tblTransactions[[#This Row],[Date]], "MMM-YYYY")</f>
        <v>Jan-2023</v>
      </c>
      <c r="P73" t="str">
        <f>"Q"&amp;ROUNDUP(MONTH(tblTransactions[[#This Row],[Date]])/3,0)&amp;"-"&amp;YEAR(tblTransactions[[#This Row],[Date]])</f>
        <v>Q1-2023</v>
      </c>
      <c r="Q73">
        <f>YEAR(tblTransactions[[#This Row],[Date]])</f>
        <v>2023</v>
      </c>
      <c r="R73" t="str">
        <f>TEXT(tblTransactions[[#This Row],[Date]],"DDDD")</f>
        <v>Tuesday</v>
      </c>
      <c r="S73">
        <f>MONTH(tblTransactions[[#This Row],[Date]])</f>
        <v>1</v>
      </c>
      <c r="T73" t="str">
        <f>VLOOKUP(E73, Products!$A:$B,2,0)</f>
        <v>Keyboards Acc-1</v>
      </c>
      <c r="U73" t="str">
        <f>VLOOKUP(E73,Products!$A:$C,3,0)</f>
        <v>Accessories</v>
      </c>
      <c r="V73" t="str">
        <f>VLOOKUP(E73,Products!$A:$D,4,0)</f>
        <v>Keyboards</v>
      </c>
      <c r="W73" t="str">
        <f>VLOOKUP(D73,Customers!$A:$C,3,0)</f>
        <v>Small Business</v>
      </c>
      <c r="X73" t="str">
        <f>VLOOKUP(C73,Sales_Representatives!$A:$B,2,0)</f>
        <v>Emily Hernandez</v>
      </c>
    </row>
    <row r="74" spans="1:24" x14ac:dyDescent="0.3">
      <c r="A74" t="s">
        <v>207</v>
      </c>
      <c r="B74" t="s">
        <v>202</v>
      </c>
      <c r="C74" t="s">
        <v>27</v>
      </c>
      <c r="D74" t="s">
        <v>154</v>
      </c>
      <c r="E74" t="s">
        <v>204</v>
      </c>
      <c r="F74">
        <v>2</v>
      </c>
      <c r="G74">
        <v>715.62</v>
      </c>
      <c r="H74">
        <v>0.01</v>
      </c>
      <c r="I74" s="4">
        <v>1416.93</v>
      </c>
      <c r="J74" t="s">
        <v>16</v>
      </c>
      <c r="K74" t="s">
        <v>48</v>
      </c>
      <c r="L74" s="4">
        <f>VLOOKUP(tblTransactions[[#This Row],[Product_ID]],tblProducts[],5,FALSE)</f>
        <v>459.58</v>
      </c>
      <c r="M74" s="4">
        <f>tblTransactions[[#This Row],[Total_Amount]]-(tblTransactions[[#This Row],[Cost_Prices]]*tblTransactions[[#This Row],[Quantity]]*(1-tblTransactions[[#This Row],[Discount]]))</f>
        <v>506.96160000000009</v>
      </c>
      <c r="N74" s="3">
        <f>tblTransactions[[#This Row],[Profit]]/tblTransactions[[#This Row],[Total_Amount]]</f>
        <v>0.35778874044589365</v>
      </c>
      <c r="O74" t="str">
        <f>TEXT(tblTransactions[[#This Row],[Date]], "MMM-YYYY")</f>
        <v>Jan-2023</v>
      </c>
      <c r="P74" t="str">
        <f>"Q"&amp;ROUNDUP(MONTH(tblTransactions[[#This Row],[Date]])/3,0)&amp;"-"&amp;YEAR(tblTransactions[[#This Row],[Date]])</f>
        <v>Q1-2023</v>
      </c>
      <c r="Q74">
        <f>YEAR(tblTransactions[[#This Row],[Date]])</f>
        <v>2023</v>
      </c>
      <c r="R74" t="str">
        <f>TEXT(tblTransactions[[#This Row],[Date]],"DDDD")</f>
        <v>Tuesday</v>
      </c>
      <c r="S74">
        <f>MONTH(tblTransactions[[#This Row],[Date]])</f>
        <v>1</v>
      </c>
      <c r="T74" t="str">
        <f>VLOOKUP(E74, Products!$A:$B,2,0)</f>
        <v>Cameras Ele-2</v>
      </c>
      <c r="U74" t="str">
        <f>VLOOKUP(E74,Products!$A:$C,3,0)</f>
        <v>Electronics</v>
      </c>
      <c r="V74" t="str">
        <f>VLOOKUP(E74,Products!$A:$D,4,0)</f>
        <v>Cameras</v>
      </c>
      <c r="W74" t="str">
        <f>VLOOKUP(D74,Customers!$A:$C,3,0)</f>
        <v>B2B</v>
      </c>
      <c r="X74" t="str">
        <f>VLOOKUP(C74,Sales_Representatives!$A:$B,2,0)</f>
        <v>Thomas Lopez</v>
      </c>
    </row>
    <row r="75" spans="1:24" x14ac:dyDescent="0.3">
      <c r="A75" t="s">
        <v>208</v>
      </c>
      <c r="B75" t="s">
        <v>202</v>
      </c>
      <c r="C75" t="s">
        <v>75</v>
      </c>
      <c r="D75" t="s">
        <v>128</v>
      </c>
      <c r="E75" t="s">
        <v>29</v>
      </c>
      <c r="F75">
        <v>14</v>
      </c>
      <c r="G75">
        <v>1363.46</v>
      </c>
      <c r="H75">
        <v>0.17</v>
      </c>
      <c r="I75" s="4">
        <v>15843.41</v>
      </c>
      <c r="J75" t="s">
        <v>44</v>
      </c>
      <c r="K75" t="s">
        <v>48</v>
      </c>
      <c r="L75" s="4">
        <f>VLOOKUP(tblTransactions[[#This Row],[Product_ID]],tblProducts[],5,FALSE)</f>
        <v>995.41</v>
      </c>
      <c r="M75" s="4">
        <f>tblTransactions[[#This Row],[Total_Amount]]-(tblTransactions[[#This Row],[Cost_Prices]]*tblTransactions[[#This Row],[Quantity]]*(1-tblTransactions[[#This Row],[Discount]]))</f>
        <v>4276.7458000000006</v>
      </c>
      <c r="N75" s="3">
        <f>tblTransactions[[#This Row],[Profit]]/tblTransactions[[#This Row],[Total_Amount]]</f>
        <v>0.26993846652961706</v>
      </c>
      <c r="O75" t="str">
        <f>TEXT(tblTransactions[[#This Row],[Date]], "MMM-YYYY")</f>
        <v>Jan-2023</v>
      </c>
      <c r="P75" t="str">
        <f>"Q"&amp;ROUNDUP(MONTH(tblTransactions[[#This Row],[Date]])/3,0)&amp;"-"&amp;YEAR(tblTransactions[[#This Row],[Date]])</f>
        <v>Q1-2023</v>
      </c>
      <c r="Q75">
        <f>YEAR(tblTransactions[[#This Row],[Date]])</f>
        <v>2023</v>
      </c>
      <c r="R75" t="str">
        <f>TEXT(tblTransactions[[#This Row],[Date]],"DDDD")</f>
        <v>Tuesday</v>
      </c>
      <c r="S75">
        <f>MONTH(tblTransactions[[#This Row],[Date]])</f>
        <v>1</v>
      </c>
      <c r="T75" t="str">
        <f>VLOOKUP(E75, Products!$A:$B,2,0)</f>
        <v>Phones Ele-3</v>
      </c>
      <c r="U75" t="str">
        <f>VLOOKUP(E75,Products!$A:$C,3,0)</f>
        <v>Electronics</v>
      </c>
      <c r="V75" t="str">
        <f>VLOOKUP(E75,Products!$A:$D,4,0)</f>
        <v>Phones</v>
      </c>
      <c r="W75" t="str">
        <f>VLOOKUP(D75,Customers!$A:$C,3,0)</f>
        <v>B2B</v>
      </c>
      <c r="X75" t="str">
        <f>VLOOKUP(C75,Sales_Representatives!$A:$B,2,0)</f>
        <v>Jessica Anderson</v>
      </c>
    </row>
    <row r="76" spans="1:24" x14ac:dyDescent="0.3">
      <c r="A76" t="s">
        <v>209</v>
      </c>
      <c r="B76" t="s">
        <v>202</v>
      </c>
      <c r="C76" t="s">
        <v>13</v>
      </c>
      <c r="D76" t="s">
        <v>210</v>
      </c>
      <c r="E76" t="s">
        <v>87</v>
      </c>
      <c r="F76">
        <v>18</v>
      </c>
      <c r="G76">
        <v>1047.8900000000001</v>
      </c>
      <c r="H76">
        <v>0.15</v>
      </c>
      <c r="I76" s="4">
        <v>16032.72</v>
      </c>
      <c r="J76" t="s">
        <v>16</v>
      </c>
      <c r="K76" t="s">
        <v>17</v>
      </c>
      <c r="L76" s="4">
        <f>VLOOKUP(tblTransactions[[#This Row],[Product_ID]],tblProducts[],5,FALSE)</f>
        <v>742.63</v>
      </c>
      <c r="M76" s="4">
        <f>tblTransactions[[#This Row],[Total_Amount]]-(tblTransactions[[#This Row],[Cost_Prices]]*tblTransactions[[#This Row],[Quantity]]*(1-tblTransactions[[#This Row],[Discount]]))</f>
        <v>4670.4809999999998</v>
      </c>
      <c r="N76" s="3">
        <f>tblTransactions[[#This Row],[Profit]]/tblTransactions[[#This Row],[Total_Amount]]</f>
        <v>0.29130933491010885</v>
      </c>
      <c r="O76" t="str">
        <f>TEXT(tblTransactions[[#This Row],[Date]], "MMM-YYYY")</f>
        <v>Jan-2023</v>
      </c>
      <c r="P76" t="str">
        <f>"Q"&amp;ROUNDUP(MONTH(tblTransactions[[#This Row],[Date]])/3,0)&amp;"-"&amp;YEAR(tblTransactions[[#This Row],[Date]])</f>
        <v>Q1-2023</v>
      </c>
      <c r="Q76">
        <f>YEAR(tblTransactions[[#This Row],[Date]])</f>
        <v>2023</v>
      </c>
      <c r="R76" t="str">
        <f>TEXT(tblTransactions[[#This Row],[Date]],"DDDD")</f>
        <v>Tuesday</v>
      </c>
      <c r="S76">
        <f>MONTH(tblTransactions[[#This Row],[Date]])</f>
        <v>1</v>
      </c>
      <c r="T76" t="str">
        <f>VLOOKUP(E76, Products!$A:$B,2,0)</f>
        <v>Monitors Tec-2</v>
      </c>
      <c r="U76" t="str">
        <f>VLOOKUP(E76,Products!$A:$C,3,0)</f>
        <v>Technology</v>
      </c>
      <c r="V76" t="str">
        <f>VLOOKUP(E76,Products!$A:$D,4,0)</f>
        <v>Monitors</v>
      </c>
      <c r="W76" t="str">
        <f>VLOOKUP(D76,Customers!$A:$C,3,0)</f>
        <v>B2B</v>
      </c>
      <c r="X76" t="str">
        <f>VLOOKUP(C76,Sales_Representatives!$A:$B,2,0)</f>
        <v>Jennifer Rodriguez</v>
      </c>
    </row>
    <row r="77" spans="1:24" x14ac:dyDescent="0.3">
      <c r="A77" t="s">
        <v>211</v>
      </c>
      <c r="B77" t="s">
        <v>202</v>
      </c>
      <c r="C77" t="s">
        <v>41</v>
      </c>
      <c r="D77" t="s">
        <v>212</v>
      </c>
      <c r="E77" t="s">
        <v>178</v>
      </c>
      <c r="F77">
        <v>6</v>
      </c>
      <c r="G77">
        <v>1623.35</v>
      </c>
      <c r="H77">
        <v>0.11</v>
      </c>
      <c r="I77" s="4">
        <v>8668.69</v>
      </c>
      <c r="J77" t="s">
        <v>44</v>
      </c>
      <c r="K77" t="s">
        <v>17</v>
      </c>
      <c r="L77" s="4">
        <f>VLOOKUP(tblTransactions[[#This Row],[Product_ID]],tblProducts[],5,FALSE)</f>
        <v>981.45</v>
      </c>
      <c r="M77" s="4">
        <f>tblTransactions[[#This Row],[Total_Amount]]-(tblTransactions[[#This Row],[Cost_Prices]]*tblTransactions[[#This Row],[Quantity]]*(1-tblTransactions[[#This Row],[Discount]]))</f>
        <v>3427.7469999999994</v>
      </c>
      <c r="N77" s="3">
        <f>tblTransactions[[#This Row],[Profit]]/tblTransactions[[#This Row],[Total_Amount]]</f>
        <v>0.39541695458021908</v>
      </c>
      <c r="O77" t="str">
        <f>TEXT(tblTransactions[[#This Row],[Date]], "MMM-YYYY")</f>
        <v>Jan-2023</v>
      </c>
      <c r="P77" t="str">
        <f>"Q"&amp;ROUNDUP(MONTH(tblTransactions[[#This Row],[Date]])/3,0)&amp;"-"&amp;YEAR(tblTransactions[[#This Row],[Date]])</f>
        <v>Q1-2023</v>
      </c>
      <c r="Q77">
        <f>YEAR(tblTransactions[[#This Row],[Date]])</f>
        <v>2023</v>
      </c>
      <c r="R77" t="str">
        <f>TEXT(tblTransactions[[#This Row],[Date]],"DDDD")</f>
        <v>Tuesday</v>
      </c>
      <c r="S77">
        <f>MONTH(tblTransactions[[#This Row],[Date]])</f>
        <v>1</v>
      </c>
      <c r="T77" t="str">
        <f>VLOOKUP(E77, Products!$A:$B,2,0)</f>
        <v>Tablets Ele-1</v>
      </c>
      <c r="U77" t="str">
        <f>VLOOKUP(E77,Products!$A:$C,3,0)</f>
        <v>Electronics</v>
      </c>
      <c r="V77" t="str">
        <f>VLOOKUP(E77,Products!$A:$D,4,0)</f>
        <v>Tablets</v>
      </c>
      <c r="W77" t="str">
        <f>VLOOKUP(D77,Customers!$A:$C,3,0)</f>
        <v>B2C</v>
      </c>
      <c r="X77" t="str">
        <f>VLOOKUP(C77,Sales_Representatives!$A:$B,2,0)</f>
        <v>Robert Jones</v>
      </c>
    </row>
    <row r="78" spans="1:24" x14ac:dyDescent="0.3">
      <c r="A78" t="s">
        <v>213</v>
      </c>
      <c r="B78" t="s">
        <v>202</v>
      </c>
      <c r="C78" t="s">
        <v>31</v>
      </c>
      <c r="D78" t="s">
        <v>47</v>
      </c>
      <c r="E78" t="s">
        <v>102</v>
      </c>
      <c r="F78">
        <v>6</v>
      </c>
      <c r="G78">
        <v>1097.75</v>
      </c>
      <c r="H78">
        <v>0.14000000000000001</v>
      </c>
      <c r="I78" s="4">
        <v>5664.39</v>
      </c>
      <c r="J78" t="s">
        <v>34</v>
      </c>
      <c r="K78" t="s">
        <v>39</v>
      </c>
      <c r="L78" s="4">
        <f>VLOOKUP(tblTransactions[[#This Row],[Product_ID]],tblProducts[],5,FALSE)</f>
        <v>680.12</v>
      </c>
      <c r="M78" s="4">
        <f>tblTransactions[[#This Row],[Total_Amount]]-(tblTransactions[[#This Row],[Cost_Prices]]*tblTransactions[[#This Row],[Quantity]]*(1-tblTransactions[[#This Row],[Discount]]))</f>
        <v>2154.9708000000001</v>
      </c>
      <c r="N78" s="3">
        <f>tblTransactions[[#This Row],[Profit]]/tblTransactions[[#This Row],[Total_Amount]]</f>
        <v>0.38044181279890682</v>
      </c>
      <c r="O78" t="str">
        <f>TEXT(tblTransactions[[#This Row],[Date]], "MMM-YYYY")</f>
        <v>Jan-2023</v>
      </c>
      <c r="P78" t="str">
        <f>"Q"&amp;ROUNDUP(MONTH(tblTransactions[[#This Row],[Date]])/3,0)&amp;"-"&amp;YEAR(tblTransactions[[#This Row],[Date]])</f>
        <v>Q1-2023</v>
      </c>
      <c r="Q78">
        <f>YEAR(tblTransactions[[#This Row],[Date]])</f>
        <v>2023</v>
      </c>
      <c r="R78" t="str">
        <f>TEXT(tblTransactions[[#This Row],[Date]],"DDDD")</f>
        <v>Tuesday</v>
      </c>
      <c r="S78">
        <f>MONTH(tblTransactions[[#This Row],[Date]])</f>
        <v>1</v>
      </c>
      <c r="T78" t="str">
        <f>VLOOKUP(E78, Products!$A:$B,2,0)</f>
        <v>Storage Fur-4</v>
      </c>
      <c r="U78" t="str">
        <f>VLOOKUP(E78,Products!$A:$C,3,0)</f>
        <v>Furniture</v>
      </c>
      <c r="V78" t="str">
        <f>VLOOKUP(E78,Products!$A:$D,4,0)</f>
        <v>Storage</v>
      </c>
      <c r="W78" t="str">
        <f>VLOOKUP(D78,Customers!$A:$C,3,0)</f>
        <v>B2C</v>
      </c>
      <c r="X78" t="str">
        <f>VLOOKUP(C78,Sales_Representatives!$A:$B,2,0)</f>
        <v>Thomas Martinez</v>
      </c>
    </row>
    <row r="79" spans="1:24" x14ac:dyDescent="0.3">
      <c r="A79" t="s">
        <v>214</v>
      </c>
      <c r="B79" t="s">
        <v>202</v>
      </c>
      <c r="C79" t="s">
        <v>19</v>
      </c>
      <c r="D79" t="s">
        <v>118</v>
      </c>
      <c r="E79" t="s">
        <v>172</v>
      </c>
      <c r="F79">
        <v>3</v>
      </c>
      <c r="G79">
        <v>1371.15</v>
      </c>
      <c r="H79">
        <v>0.04</v>
      </c>
      <c r="I79" s="4">
        <v>3948.91</v>
      </c>
      <c r="J79" t="s">
        <v>21</v>
      </c>
      <c r="K79" t="s">
        <v>17</v>
      </c>
      <c r="L79" s="4">
        <f>VLOOKUP(tblTransactions[[#This Row],[Product_ID]],tblProducts[],5,FALSE)</f>
        <v>989.81</v>
      </c>
      <c r="M79" s="4">
        <f>tblTransactions[[#This Row],[Total_Amount]]-(tblTransactions[[#This Row],[Cost_Prices]]*tblTransactions[[#This Row],[Quantity]]*(1-tblTransactions[[#This Row],[Discount]]))</f>
        <v>1098.2572</v>
      </c>
      <c r="N79" s="3">
        <f>tblTransactions[[#This Row],[Profit]]/tblTransactions[[#This Row],[Total_Amount]]</f>
        <v>0.27811654355252463</v>
      </c>
      <c r="O79" t="str">
        <f>TEXT(tblTransactions[[#This Row],[Date]], "MMM-YYYY")</f>
        <v>Jan-2023</v>
      </c>
      <c r="P79" t="str">
        <f>"Q"&amp;ROUNDUP(MONTH(tblTransactions[[#This Row],[Date]])/3,0)&amp;"-"&amp;YEAR(tblTransactions[[#This Row],[Date]])</f>
        <v>Q1-2023</v>
      </c>
      <c r="Q79">
        <f>YEAR(tblTransactions[[#This Row],[Date]])</f>
        <v>2023</v>
      </c>
      <c r="R79" t="str">
        <f>TEXT(tblTransactions[[#This Row],[Date]],"DDDD")</f>
        <v>Tuesday</v>
      </c>
      <c r="S79">
        <f>MONTH(tblTransactions[[#This Row],[Date]])</f>
        <v>1</v>
      </c>
      <c r="T79" t="str">
        <f>VLOOKUP(E79, Products!$A:$B,2,0)</f>
        <v>Cameras Ele-4</v>
      </c>
      <c r="U79" t="str">
        <f>VLOOKUP(E79,Products!$A:$C,3,0)</f>
        <v>Electronics</v>
      </c>
      <c r="V79" t="str">
        <f>VLOOKUP(E79,Products!$A:$D,4,0)</f>
        <v>Cameras</v>
      </c>
      <c r="W79" t="str">
        <f>VLOOKUP(D79,Customers!$A:$C,3,0)</f>
        <v>B2C</v>
      </c>
      <c r="X79" t="str">
        <f>VLOOKUP(C79,Sales_Representatives!$A:$B,2,0)</f>
        <v>Robert Jones</v>
      </c>
    </row>
    <row r="80" spans="1:24" x14ac:dyDescent="0.3">
      <c r="A80" t="s">
        <v>215</v>
      </c>
      <c r="B80" t="s">
        <v>202</v>
      </c>
      <c r="C80" t="s">
        <v>141</v>
      </c>
      <c r="D80" t="s">
        <v>216</v>
      </c>
      <c r="E80" t="s">
        <v>217</v>
      </c>
      <c r="F80">
        <v>3</v>
      </c>
      <c r="G80">
        <v>145.51</v>
      </c>
      <c r="H80">
        <v>0.04</v>
      </c>
      <c r="I80" s="4">
        <v>419.07</v>
      </c>
      <c r="J80" t="s">
        <v>109</v>
      </c>
      <c r="K80" t="s">
        <v>48</v>
      </c>
      <c r="L80" s="4">
        <f>VLOOKUP(tblTransactions[[#This Row],[Product_ID]],tblProducts[],5,FALSE)</f>
        <v>64.510000000000005</v>
      </c>
      <c r="M80" s="4">
        <f>tblTransactions[[#This Row],[Total_Amount]]-(tblTransactions[[#This Row],[Cost_Prices]]*tblTransactions[[#This Row],[Quantity]]*(1-tblTransactions[[#This Row],[Discount]]))</f>
        <v>233.28119999999998</v>
      </c>
      <c r="N80" s="3">
        <f>tblTransactions[[#This Row],[Profit]]/tblTransactions[[#This Row],[Total_Amount]]</f>
        <v>0.55666404180685802</v>
      </c>
      <c r="O80" t="str">
        <f>TEXT(tblTransactions[[#This Row],[Date]], "MMM-YYYY")</f>
        <v>Jan-2023</v>
      </c>
      <c r="P80" t="str">
        <f>"Q"&amp;ROUNDUP(MONTH(tblTransactions[[#This Row],[Date]])/3,0)&amp;"-"&amp;YEAR(tblTransactions[[#This Row],[Date]])</f>
        <v>Q1-2023</v>
      </c>
      <c r="Q80">
        <f>YEAR(tblTransactions[[#This Row],[Date]])</f>
        <v>2023</v>
      </c>
      <c r="R80" t="str">
        <f>TEXT(tblTransactions[[#This Row],[Date]],"DDDD")</f>
        <v>Tuesday</v>
      </c>
      <c r="S80">
        <f>MONTH(tblTransactions[[#This Row],[Date]])</f>
        <v>1</v>
      </c>
      <c r="T80" t="str">
        <f>VLOOKUP(E80, Products!$A:$B,2,0)</f>
        <v>Cables Acc-2</v>
      </c>
      <c r="U80" t="str">
        <f>VLOOKUP(E80,Products!$A:$C,3,0)</f>
        <v>Accessories</v>
      </c>
      <c r="V80" t="str">
        <f>VLOOKUP(E80,Products!$A:$D,4,0)</f>
        <v>Cables</v>
      </c>
      <c r="W80" t="str">
        <f>VLOOKUP(D80,Customers!$A:$C,3,0)</f>
        <v>Small Business</v>
      </c>
      <c r="X80" t="str">
        <f>VLOOKUP(C80,Sales_Representatives!$A:$B,2,0)</f>
        <v>Richard Garcia</v>
      </c>
    </row>
    <row r="81" spans="1:24" x14ac:dyDescent="0.3">
      <c r="A81" t="s">
        <v>218</v>
      </c>
      <c r="B81" t="s">
        <v>202</v>
      </c>
      <c r="C81" t="s">
        <v>59</v>
      </c>
      <c r="D81" t="s">
        <v>166</v>
      </c>
      <c r="E81" t="s">
        <v>84</v>
      </c>
      <c r="F81">
        <v>2</v>
      </c>
      <c r="G81">
        <v>1841.77</v>
      </c>
      <c r="H81">
        <v>0.08</v>
      </c>
      <c r="I81" s="4">
        <v>3388.86</v>
      </c>
      <c r="J81" t="s">
        <v>21</v>
      </c>
      <c r="K81" t="s">
        <v>17</v>
      </c>
      <c r="L81" s="4">
        <f>VLOOKUP(tblTransactions[[#This Row],[Product_ID]],tblProducts[],5,FALSE)</f>
        <v>1151.5899999999999</v>
      </c>
      <c r="M81" s="4">
        <f>tblTransactions[[#This Row],[Total_Amount]]-(tblTransactions[[#This Row],[Cost_Prices]]*tblTransactions[[#This Row],[Quantity]]*(1-tblTransactions[[#This Row],[Discount]]))</f>
        <v>1269.9344000000001</v>
      </c>
      <c r="N81" s="3">
        <f>tblTransactions[[#This Row],[Profit]]/tblTransactions[[#This Row],[Total_Amount]]</f>
        <v>0.37473793547092532</v>
      </c>
      <c r="O81" t="str">
        <f>TEXT(tblTransactions[[#This Row],[Date]], "MMM-YYYY")</f>
        <v>Jan-2023</v>
      </c>
      <c r="P81" t="str">
        <f>"Q"&amp;ROUNDUP(MONTH(tblTransactions[[#This Row],[Date]])/3,0)&amp;"-"&amp;YEAR(tblTransactions[[#This Row],[Date]])</f>
        <v>Q1-2023</v>
      </c>
      <c r="Q81">
        <f>YEAR(tblTransactions[[#This Row],[Date]])</f>
        <v>2023</v>
      </c>
      <c r="R81" t="str">
        <f>TEXT(tblTransactions[[#This Row],[Date]],"DDDD")</f>
        <v>Tuesday</v>
      </c>
      <c r="S81">
        <f>MONTH(tblTransactions[[#This Row],[Date]])</f>
        <v>1</v>
      </c>
      <c r="T81" t="str">
        <f>VLOOKUP(E81, Products!$A:$B,2,0)</f>
        <v>Laptops Ele-2</v>
      </c>
      <c r="U81" t="str">
        <f>VLOOKUP(E81,Products!$A:$C,3,0)</f>
        <v>Electronics</v>
      </c>
      <c r="V81" t="str">
        <f>VLOOKUP(E81,Products!$A:$D,4,0)</f>
        <v>Laptops</v>
      </c>
      <c r="W81" t="str">
        <f>VLOOKUP(D81,Customers!$A:$C,3,0)</f>
        <v>B2C</v>
      </c>
      <c r="X81" t="str">
        <f>VLOOKUP(C81,Sales_Representatives!$A:$B,2,0)</f>
        <v>Sarah Brown</v>
      </c>
    </row>
    <row r="82" spans="1:24" x14ac:dyDescent="0.3">
      <c r="A82" t="s">
        <v>219</v>
      </c>
      <c r="B82" t="s">
        <v>220</v>
      </c>
      <c r="C82" t="s">
        <v>70</v>
      </c>
      <c r="D82" t="s">
        <v>60</v>
      </c>
      <c r="E82" t="s">
        <v>221</v>
      </c>
      <c r="F82">
        <v>7</v>
      </c>
      <c r="G82">
        <v>210.02</v>
      </c>
      <c r="H82">
        <v>0.1</v>
      </c>
      <c r="I82" s="4">
        <v>1323.13</v>
      </c>
      <c r="J82" t="s">
        <v>16</v>
      </c>
      <c r="K82" t="s">
        <v>17</v>
      </c>
      <c r="L82" s="4">
        <f>VLOOKUP(tblTransactions[[#This Row],[Product_ID]],tblProducts[],5,FALSE)</f>
        <v>131.66</v>
      </c>
      <c r="M82" s="4">
        <f>tblTransactions[[#This Row],[Total_Amount]]-(tblTransactions[[#This Row],[Cost_Prices]]*tblTransactions[[#This Row],[Quantity]]*(1-tblTransactions[[#This Row],[Discount]]))</f>
        <v>493.67200000000014</v>
      </c>
      <c r="N82" s="3">
        <f>tblTransactions[[#This Row],[Profit]]/tblTransactions[[#This Row],[Total_Amount]]</f>
        <v>0.37310921829298715</v>
      </c>
      <c r="O82" t="str">
        <f>TEXT(tblTransactions[[#This Row],[Date]], "MMM-YYYY")</f>
        <v>Jan-2023</v>
      </c>
      <c r="P82" t="str">
        <f>"Q"&amp;ROUNDUP(MONTH(tblTransactions[[#This Row],[Date]])/3,0)&amp;"-"&amp;YEAR(tblTransactions[[#This Row],[Date]])</f>
        <v>Q1-2023</v>
      </c>
      <c r="Q82">
        <f>YEAR(tblTransactions[[#This Row],[Date]])</f>
        <v>2023</v>
      </c>
      <c r="R82" t="str">
        <f>TEXT(tblTransactions[[#This Row],[Date]],"DDDD")</f>
        <v>Wednesday</v>
      </c>
      <c r="S82">
        <f>MONTH(tblTransactions[[#This Row],[Date]])</f>
        <v>1</v>
      </c>
      <c r="T82" t="str">
        <f>VLOOKUP(E82, Products!$A:$B,2,0)</f>
        <v>Storage Fur-2</v>
      </c>
      <c r="U82" t="str">
        <f>VLOOKUP(E82,Products!$A:$C,3,0)</f>
        <v>Furniture</v>
      </c>
      <c r="V82" t="str">
        <f>VLOOKUP(E82,Products!$A:$D,4,0)</f>
        <v>Storage</v>
      </c>
      <c r="W82" t="str">
        <f>VLOOKUP(D82,Customers!$A:$C,3,0)</f>
        <v>B2C</v>
      </c>
      <c r="X82" t="str">
        <f>VLOOKUP(C82,Sales_Representatives!$A:$B,2,0)</f>
        <v>Linda Smith</v>
      </c>
    </row>
    <row r="83" spans="1:24" x14ac:dyDescent="0.3">
      <c r="A83" t="s">
        <v>222</v>
      </c>
      <c r="B83" t="s">
        <v>223</v>
      </c>
      <c r="C83" t="s">
        <v>31</v>
      </c>
      <c r="D83" t="s">
        <v>101</v>
      </c>
      <c r="E83" t="s">
        <v>224</v>
      </c>
      <c r="F83">
        <v>5</v>
      </c>
      <c r="G83">
        <v>505.37</v>
      </c>
      <c r="H83">
        <v>0.02</v>
      </c>
      <c r="I83" s="4">
        <v>2476.31</v>
      </c>
      <c r="J83" t="s">
        <v>34</v>
      </c>
      <c r="K83" t="s">
        <v>48</v>
      </c>
      <c r="L83" s="4">
        <f>VLOOKUP(tblTransactions[[#This Row],[Product_ID]],tblProducts[],5,FALSE)</f>
        <v>281.14999999999998</v>
      </c>
      <c r="M83" s="4">
        <f>tblTransactions[[#This Row],[Total_Amount]]-(tblTransactions[[#This Row],[Cost_Prices]]*tblTransactions[[#This Row],[Quantity]]*(1-tblTransactions[[#This Row],[Discount]]))</f>
        <v>1098.675</v>
      </c>
      <c r="N83" s="3">
        <f>tblTransactions[[#This Row],[Profit]]/tblTransactions[[#This Row],[Total_Amount]]</f>
        <v>0.44367425726181292</v>
      </c>
      <c r="O83" t="str">
        <f>TEXT(tblTransactions[[#This Row],[Date]], "MMM-YYYY")</f>
        <v>Jan-2023</v>
      </c>
      <c r="P83" t="str">
        <f>"Q"&amp;ROUNDUP(MONTH(tblTransactions[[#This Row],[Date]])/3,0)&amp;"-"&amp;YEAR(tblTransactions[[#This Row],[Date]])</f>
        <v>Q1-2023</v>
      </c>
      <c r="Q83">
        <f>YEAR(tblTransactions[[#This Row],[Date]])</f>
        <v>2023</v>
      </c>
      <c r="R83" t="str">
        <f>TEXT(tblTransactions[[#This Row],[Date]],"DDDD")</f>
        <v>Thursday</v>
      </c>
      <c r="S83">
        <f>MONTH(tblTransactions[[#This Row],[Date]])</f>
        <v>1</v>
      </c>
      <c r="T83" t="str">
        <f>VLOOKUP(E83, Products!$A:$B,2,0)</f>
        <v>Desks Fur-3</v>
      </c>
      <c r="U83" t="str">
        <f>VLOOKUP(E83,Products!$A:$C,3,0)</f>
        <v>Furniture</v>
      </c>
      <c r="V83" t="str">
        <f>VLOOKUP(E83,Products!$A:$D,4,0)</f>
        <v>Desks</v>
      </c>
      <c r="W83" t="str">
        <f>VLOOKUP(D83,Customers!$A:$C,3,0)</f>
        <v>B2C</v>
      </c>
      <c r="X83" t="str">
        <f>VLOOKUP(C83,Sales_Representatives!$A:$B,2,0)</f>
        <v>Thomas Martinez</v>
      </c>
    </row>
    <row r="84" spans="1:24" x14ac:dyDescent="0.3">
      <c r="A84" t="s">
        <v>225</v>
      </c>
      <c r="B84" t="s">
        <v>223</v>
      </c>
      <c r="C84" t="s">
        <v>127</v>
      </c>
      <c r="D84" t="s">
        <v>216</v>
      </c>
      <c r="E84" t="s">
        <v>84</v>
      </c>
      <c r="F84">
        <v>1</v>
      </c>
      <c r="G84">
        <v>1841.77</v>
      </c>
      <c r="H84">
        <v>7.0000000000000007E-2</v>
      </c>
      <c r="I84" s="4">
        <v>1712.85</v>
      </c>
      <c r="J84" t="s">
        <v>109</v>
      </c>
      <c r="K84" t="s">
        <v>39</v>
      </c>
      <c r="L84" s="4">
        <f>VLOOKUP(tblTransactions[[#This Row],[Product_ID]],tblProducts[],5,FALSE)</f>
        <v>1151.5899999999999</v>
      </c>
      <c r="M84" s="4">
        <f>tblTransactions[[#This Row],[Total_Amount]]-(tblTransactions[[#This Row],[Cost_Prices]]*tblTransactions[[#This Row],[Quantity]]*(1-tblTransactions[[#This Row],[Discount]]))</f>
        <v>641.87130000000002</v>
      </c>
      <c r="N84" s="3">
        <f>tblTransactions[[#This Row],[Profit]]/tblTransactions[[#This Row],[Total_Amount]]</f>
        <v>0.37473876871880202</v>
      </c>
      <c r="O84" t="str">
        <f>TEXT(tblTransactions[[#This Row],[Date]], "MMM-YYYY")</f>
        <v>Jan-2023</v>
      </c>
      <c r="P84" t="str">
        <f>"Q"&amp;ROUNDUP(MONTH(tblTransactions[[#This Row],[Date]])/3,0)&amp;"-"&amp;YEAR(tblTransactions[[#This Row],[Date]])</f>
        <v>Q1-2023</v>
      </c>
      <c r="Q84">
        <f>YEAR(tblTransactions[[#This Row],[Date]])</f>
        <v>2023</v>
      </c>
      <c r="R84" t="str">
        <f>TEXT(tblTransactions[[#This Row],[Date]],"DDDD")</f>
        <v>Thursday</v>
      </c>
      <c r="S84">
        <f>MONTH(tblTransactions[[#This Row],[Date]])</f>
        <v>1</v>
      </c>
      <c r="T84" t="str">
        <f>VLOOKUP(E84, Products!$A:$B,2,0)</f>
        <v>Laptops Ele-2</v>
      </c>
      <c r="U84" t="str">
        <f>VLOOKUP(E84,Products!$A:$C,3,0)</f>
        <v>Electronics</v>
      </c>
      <c r="V84" t="str">
        <f>VLOOKUP(E84,Products!$A:$D,4,0)</f>
        <v>Laptops</v>
      </c>
      <c r="W84" t="str">
        <f>VLOOKUP(D84,Customers!$A:$C,3,0)</f>
        <v>Small Business</v>
      </c>
      <c r="X84" t="str">
        <f>VLOOKUP(C84,Sales_Representatives!$A:$B,2,0)</f>
        <v>Emily Hernandez</v>
      </c>
    </row>
    <row r="85" spans="1:24" x14ac:dyDescent="0.3">
      <c r="A85" t="s">
        <v>226</v>
      </c>
      <c r="B85" t="s">
        <v>223</v>
      </c>
      <c r="C85" t="s">
        <v>127</v>
      </c>
      <c r="D85" t="s">
        <v>28</v>
      </c>
      <c r="E85" t="s">
        <v>129</v>
      </c>
      <c r="F85">
        <v>7</v>
      </c>
      <c r="G85">
        <v>1283.71</v>
      </c>
      <c r="H85">
        <v>0.08</v>
      </c>
      <c r="I85" s="4">
        <v>8267.09</v>
      </c>
      <c r="J85" t="s">
        <v>109</v>
      </c>
      <c r="K85" t="s">
        <v>17</v>
      </c>
      <c r="L85" s="4">
        <f>VLOOKUP(tblTransactions[[#This Row],[Product_ID]],tblProducts[],5,FALSE)</f>
        <v>970.14</v>
      </c>
      <c r="M85" s="4">
        <f>tblTransactions[[#This Row],[Total_Amount]]-(tblTransactions[[#This Row],[Cost_Prices]]*tblTransactions[[#This Row],[Quantity]]*(1-tblTransactions[[#This Row],[Discount]]))</f>
        <v>2019.3884000000007</v>
      </c>
      <c r="N85" s="3">
        <f>tblTransactions[[#This Row],[Profit]]/tblTransactions[[#This Row],[Total_Amount]]</f>
        <v>0.24426834593551064</v>
      </c>
      <c r="O85" t="str">
        <f>TEXT(tblTransactions[[#This Row],[Date]], "MMM-YYYY")</f>
        <v>Jan-2023</v>
      </c>
      <c r="P85" t="str">
        <f>"Q"&amp;ROUNDUP(MONTH(tblTransactions[[#This Row],[Date]])/3,0)&amp;"-"&amp;YEAR(tblTransactions[[#This Row],[Date]])</f>
        <v>Q1-2023</v>
      </c>
      <c r="Q85">
        <f>YEAR(tblTransactions[[#This Row],[Date]])</f>
        <v>2023</v>
      </c>
      <c r="R85" t="str">
        <f>TEXT(tblTransactions[[#This Row],[Date]],"DDDD")</f>
        <v>Thursday</v>
      </c>
      <c r="S85">
        <f>MONTH(tblTransactions[[#This Row],[Date]])</f>
        <v>1</v>
      </c>
      <c r="T85" t="str">
        <f>VLOOKUP(E85, Products!$A:$B,2,0)</f>
        <v>Cameras Ele-3</v>
      </c>
      <c r="U85" t="str">
        <f>VLOOKUP(E85,Products!$A:$C,3,0)</f>
        <v>Electronics</v>
      </c>
      <c r="V85" t="str">
        <f>VLOOKUP(E85,Products!$A:$D,4,0)</f>
        <v>Cameras</v>
      </c>
      <c r="W85" t="str">
        <f>VLOOKUP(D85,Customers!$A:$C,3,0)</f>
        <v>B2B</v>
      </c>
      <c r="X85" t="str">
        <f>VLOOKUP(C85,Sales_Representatives!$A:$B,2,0)</f>
        <v>Emily Hernandez</v>
      </c>
    </row>
    <row r="86" spans="1:24" x14ac:dyDescent="0.3">
      <c r="A86" t="s">
        <v>227</v>
      </c>
      <c r="B86" t="s">
        <v>223</v>
      </c>
      <c r="C86" t="s">
        <v>107</v>
      </c>
      <c r="D86" t="s">
        <v>228</v>
      </c>
      <c r="E86" t="s">
        <v>148</v>
      </c>
      <c r="F86">
        <v>4</v>
      </c>
      <c r="G86">
        <v>20.420000000000002</v>
      </c>
      <c r="H86">
        <v>0.05</v>
      </c>
      <c r="I86" s="4">
        <v>77.599999999999994</v>
      </c>
      <c r="J86" t="s">
        <v>109</v>
      </c>
      <c r="K86" t="s">
        <v>48</v>
      </c>
      <c r="L86" s="4">
        <f>VLOOKUP(tblTransactions[[#This Row],[Product_ID]],tblProducts[],5,FALSE)</f>
        <v>9.56</v>
      </c>
      <c r="M86" s="4">
        <f>tblTransactions[[#This Row],[Total_Amount]]-(tblTransactions[[#This Row],[Cost_Prices]]*tblTransactions[[#This Row],[Quantity]]*(1-tblTransactions[[#This Row],[Discount]]))</f>
        <v>41.271999999999991</v>
      </c>
      <c r="N86" s="3">
        <f>tblTransactions[[#This Row],[Profit]]/tblTransactions[[#This Row],[Total_Amount]]</f>
        <v>0.53185567010309276</v>
      </c>
      <c r="O86" t="str">
        <f>TEXT(tblTransactions[[#This Row],[Date]], "MMM-YYYY")</f>
        <v>Jan-2023</v>
      </c>
      <c r="P86" t="str">
        <f>"Q"&amp;ROUNDUP(MONTH(tblTransactions[[#This Row],[Date]])/3,0)&amp;"-"&amp;YEAR(tblTransactions[[#This Row],[Date]])</f>
        <v>Q1-2023</v>
      </c>
      <c r="Q86">
        <f>YEAR(tblTransactions[[#This Row],[Date]])</f>
        <v>2023</v>
      </c>
      <c r="R86" t="str">
        <f>TEXT(tblTransactions[[#This Row],[Date]],"DDDD")</f>
        <v>Thursday</v>
      </c>
      <c r="S86">
        <f>MONTH(tblTransactions[[#This Row],[Date]])</f>
        <v>1</v>
      </c>
      <c r="T86" t="str">
        <f>VLOOKUP(E86, Products!$A:$B,2,0)</f>
        <v>Cases Acc-3</v>
      </c>
      <c r="U86" t="str">
        <f>VLOOKUP(E86,Products!$A:$C,3,0)</f>
        <v>Accessories</v>
      </c>
      <c r="V86" t="str">
        <f>VLOOKUP(E86,Products!$A:$D,4,0)</f>
        <v>Cases</v>
      </c>
      <c r="W86" t="str">
        <f>VLOOKUP(D86,Customers!$A:$C,3,0)</f>
        <v>Small Business</v>
      </c>
      <c r="X86" t="str">
        <f>VLOOKUP(C86,Sales_Representatives!$A:$B,2,0)</f>
        <v>Jennifer Brown</v>
      </c>
    </row>
    <row r="87" spans="1:24" x14ac:dyDescent="0.3">
      <c r="A87" t="s">
        <v>229</v>
      </c>
      <c r="B87" t="s">
        <v>223</v>
      </c>
      <c r="C87" t="s">
        <v>13</v>
      </c>
      <c r="D87" t="s">
        <v>139</v>
      </c>
      <c r="E87" t="s">
        <v>116</v>
      </c>
      <c r="F87">
        <v>3</v>
      </c>
      <c r="G87">
        <v>232.86</v>
      </c>
      <c r="H87">
        <v>0.05</v>
      </c>
      <c r="I87" s="4">
        <v>663.65</v>
      </c>
      <c r="J87" t="s">
        <v>16</v>
      </c>
      <c r="K87" t="s">
        <v>17</v>
      </c>
      <c r="L87" s="4">
        <f>VLOOKUP(tblTransactions[[#This Row],[Product_ID]],tblProducts[],5,FALSE)</f>
        <v>116.79</v>
      </c>
      <c r="M87" s="4">
        <f>tblTransactions[[#This Row],[Total_Amount]]-(tblTransactions[[#This Row],[Cost_Prices]]*tblTransactions[[#This Row],[Quantity]]*(1-tblTransactions[[#This Row],[Discount]]))</f>
        <v>330.79849999999999</v>
      </c>
      <c r="N87" s="3">
        <f>tblTransactions[[#This Row],[Profit]]/tblTransactions[[#This Row],[Total_Amount]]</f>
        <v>0.49845325096059673</v>
      </c>
      <c r="O87" t="str">
        <f>TEXT(tblTransactions[[#This Row],[Date]], "MMM-YYYY")</f>
        <v>Jan-2023</v>
      </c>
      <c r="P87" t="str">
        <f>"Q"&amp;ROUNDUP(MONTH(tblTransactions[[#This Row],[Date]])/3,0)&amp;"-"&amp;YEAR(tblTransactions[[#This Row],[Date]])</f>
        <v>Q1-2023</v>
      </c>
      <c r="Q87">
        <f>YEAR(tblTransactions[[#This Row],[Date]])</f>
        <v>2023</v>
      </c>
      <c r="R87" t="str">
        <f>TEXT(tblTransactions[[#This Row],[Date]],"DDDD")</f>
        <v>Thursday</v>
      </c>
      <c r="S87">
        <f>MONTH(tblTransactions[[#This Row],[Date]])</f>
        <v>1</v>
      </c>
      <c r="T87" t="str">
        <f>VLOOKUP(E87, Products!$A:$B,2,0)</f>
        <v>Folders Off-4</v>
      </c>
      <c r="U87" t="str">
        <f>VLOOKUP(E87,Products!$A:$C,3,0)</f>
        <v>Office Supplies</v>
      </c>
      <c r="V87" t="str">
        <f>VLOOKUP(E87,Products!$A:$D,4,0)</f>
        <v>Folders</v>
      </c>
      <c r="W87" t="str">
        <f>VLOOKUP(D87,Customers!$A:$C,3,0)</f>
        <v>B2C</v>
      </c>
      <c r="X87" t="str">
        <f>VLOOKUP(C87,Sales_Representatives!$A:$B,2,0)</f>
        <v>Jennifer Rodriguez</v>
      </c>
    </row>
    <row r="88" spans="1:24" x14ac:dyDescent="0.3">
      <c r="A88" t="s">
        <v>230</v>
      </c>
      <c r="B88" t="s">
        <v>223</v>
      </c>
      <c r="C88" t="s">
        <v>27</v>
      </c>
      <c r="D88" t="s">
        <v>98</v>
      </c>
      <c r="E88" t="s">
        <v>99</v>
      </c>
      <c r="F88">
        <v>4</v>
      </c>
      <c r="G88">
        <v>325.14</v>
      </c>
      <c r="H88">
        <v>0.03</v>
      </c>
      <c r="I88" s="4">
        <v>1261.54</v>
      </c>
      <c r="J88" t="s">
        <v>16</v>
      </c>
      <c r="K88" t="s">
        <v>48</v>
      </c>
      <c r="L88" s="4">
        <f>VLOOKUP(tblTransactions[[#This Row],[Product_ID]],tblProducts[],5,FALSE)</f>
        <v>209.04</v>
      </c>
      <c r="M88" s="4">
        <f>tblTransactions[[#This Row],[Total_Amount]]-(tblTransactions[[#This Row],[Cost_Prices]]*tblTransactions[[#This Row],[Quantity]]*(1-tblTransactions[[#This Row],[Discount]]))</f>
        <v>450.46479999999997</v>
      </c>
      <c r="N88" s="3">
        <f>tblTransactions[[#This Row],[Profit]]/tblTransactions[[#This Row],[Total_Amount]]</f>
        <v>0.35707532063985287</v>
      </c>
      <c r="O88" t="str">
        <f>TEXT(tblTransactions[[#This Row],[Date]], "MMM-YYYY")</f>
        <v>Jan-2023</v>
      </c>
      <c r="P88" t="str">
        <f>"Q"&amp;ROUNDUP(MONTH(tblTransactions[[#This Row],[Date]])/3,0)&amp;"-"&amp;YEAR(tblTransactions[[#This Row],[Date]])</f>
        <v>Q1-2023</v>
      </c>
      <c r="Q88">
        <f>YEAR(tblTransactions[[#This Row],[Date]])</f>
        <v>2023</v>
      </c>
      <c r="R88" t="str">
        <f>TEXT(tblTransactions[[#This Row],[Date]],"DDDD")</f>
        <v>Thursday</v>
      </c>
      <c r="S88">
        <f>MONTH(tblTransactions[[#This Row],[Date]])</f>
        <v>1</v>
      </c>
      <c r="T88" t="str">
        <f>VLOOKUP(E88, Products!$A:$B,2,0)</f>
        <v>Monitors Tec-1</v>
      </c>
      <c r="U88" t="str">
        <f>VLOOKUP(E88,Products!$A:$C,3,0)</f>
        <v>Technology</v>
      </c>
      <c r="V88" t="str">
        <f>VLOOKUP(E88,Products!$A:$D,4,0)</f>
        <v>Monitors</v>
      </c>
      <c r="W88" t="str">
        <f>VLOOKUP(D88,Customers!$A:$C,3,0)</f>
        <v>B2C</v>
      </c>
      <c r="X88" t="str">
        <f>VLOOKUP(C88,Sales_Representatives!$A:$B,2,0)</f>
        <v>Thomas Lopez</v>
      </c>
    </row>
    <row r="89" spans="1:24" x14ac:dyDescent="0.3">
      <c r="A89" t="s">
        <v>231</v>
      </c>
      <c r="B89" t="s">
        <v>223</v>
      </c>
      <c r="C89" t="s">
        <v>13</v>
      </c>
      <c r="D89" t="s">
        <v>57</v>
      </c>
      <c r="E89" t="s">
        <v>232</v>
      </c>
      <c r="F89">
        <v>3</v>
      </c>
      <c r="G89">
        <v>60.21</v>
      </c>
      <c r="H89">
        <v>0.06</v>
      </c>
      <c r="I89" s="4">
        <v>169.79</v>
      </c>
      <c r="J89" t="s">
        <v>16</v>
      </c>
      <c r="K89" t="s">
        <v>22</v>
      </c>
      <c r="L89" s="4">
        <f>VLOOKUP(tblTransactions[[#This Row],[Product_ID]],tblProducts[],5,FALSE)</f>
        <v>38.18</v>
      </c>
      <c r="M89" s="4">
        <f>tblTransactions[[#This Row],[Total_Amount]]-(tblTransactions[[#This Row],[Cost_Prices]]*tblTransactions[[#This Row],[Quantity]]*(1-tblTransactions[[#This Row],[Discount]]))</f>
        <v>62.122399999999999</v>
      </c>
      <c r="N89" s="3">
        <f>tblTransactions[[#This Row],[Profit]]/tblTransactions[[#This Row],[Total_Amount]]</f>
        <v>0.36587784910772131</v>
      </c>
      <c r="O89" t="str">
        <f>TEXT(tblTransactions[[#This Row],[Date]], "MMM-YYYY")</f>
        <v>Jan-2023</v>
      </c>
      <c r="P89" t="str">
        <f>"Q"&amp;ROUNDUP(MONTH(tblTransactions[[#This Row],[Date]])/3,0)&amp;"-"&amp;YEAR(tblTransactions[[#This Row],[Date]])</f>
        <v>Q1-2023</v>
      </c>
      <c r="Q89">
        <f>YEAR(tblTransactions[[#This Row],[Date]])</f>
        <v>2023</v>
      </c>
      <c r="R89" t="str">
        <f>TEXT(tblTransactions[[#This Row],[Date]],"DDDD")</f>
        <v>Thursday</v>
      </c>
      <c r="S89">
        <f>MONTH(tblTransactions[[#This Row],[Date]])</f>
        <v>1</v>
      </c>
      <c r="T89" t="str">
        <f>VLOOKUP(E89, Products!$A:$B,2,0)</f>
        <v>Cables Acc-3</v>
      </c>
      <c r="U89" t="str">
        <f>VLOOKUP(E89,Products!$A:$C,3,0)</f>
        <v>Accessories</v>
      </c>
      <c r="V89" t="str">
        <f>VLOOKUP(E89,Products!$A:$D,4,0)</f>
        <v>Cables</v>
      </c>
      <c r="W89" t="str">
        <f>VLOOKUP(D89,Customers!$A:$C,3,0)</f>
        <v>Small Business</v>
      </c>
      <c r="X89" t="str">
        <f>VLOOKUP(C89,Sales_Representatives!$A:$B,2,0)</f>
        <v>Jennifer Rodriguez</v>
      </c>
    </row>
    <row r="90" spans="1:24" x14ac:dyDescent="0.3">
      <c r="A90" t="s">
        <v>233</v>
      </c>
      <c r="B90" t="s">
        <v>223</v>
      </c>
      <c r="C90" t="s">
        <v>131</v>
      </c>
      <c r="D90" t="s">
        <v>134</v>
      </c>
      <c r="E90" t="s">
        <v>20</v>
      </c>
      <c r="F90">
        <v>3</v>
      </c>
      <c r="G90">
        <v>1219.49</v>
      </c>
      <c r="H90">
        <v>0.09</v>
      </c>
      <c r="I90" s="4">
        <v>3329.21</v>
      </c>
      <c r="J90" t="s">
        <v>44</v>
      </c>
      <c r="K90" t="s">
        <v>17</v>
      </c>
      <c r="L90" s="4">
        <f>VLOOKUP(tblTransactions[[#This Row],[Product_ID]],tblProducts[],5,FALSE)</f>
        <v>686.9</v>
      </c>
      <c r="M90" s="4">
        <f>tblTransactions[[#This Row],[Total_Amount]]-(tblTransactions[[#This Row],[Cost_Prices]]*tblTransactions[[#This Row],[Quantity]]*(1-tblTransactions[[#This Row],[Discount]]))</f>
        <v>1453.9730000000002</v>
      </c>
      <c r="N90" s="3">
        <f>tblTransactions[[#This Row],[Profit]]/tblTransactions[[#This Row],[Total_Amount]]</f>
        <v>0.43673213765427837</v>
      </c>
      <c r="O90" t="str">
        <f>TEXT(tblTransactions[[#This Row],[Date]], "MMM-YYYY")</f>
        <v>Jan-2023</v>
      </c>
      <c r="P90" t="str">
        <f>"Q"&amp;ROUNDUP(MONTH(tblTransactions[[#This Row],[Date]])/3,0)&amp;"-"&amp;YEAR(tblTransactions[[#This Row],[Date]])</f>
        <v>Q1-2023</v>
      </c>
      <c r="Q90">
        <f>YEAR(tblTransactions[[#This Row],[Date]])</f>
        <v>2023</v>
      </c>
      <c r="R90" t="str">
        <f>TEXT(tblTransactions[[#This Row],[Date]],"DDDD")</f>
        <v>Thursday</v>
      </c>
      <c r="S90">
        <f>MONTH(tblTransactions[[#This Row],[Date]])</f>
        <v>1</v>
      </c>
      <c r="T90" t="str">
        <f>VLOOKUP(E90, Products!$A:$B,2,0)</f>
        <v>Laptops Ele-1</v>
      </c>
      <c r="U90" t="str">
        <f>VLOOKUP(E90,Products!$A:$C,3,0)</f>
        <v>Electronics</v>
      </c>
      <c r="V90" t="str">
        <f>VLOOKUP(E90,Products!$A:$D,4,0)</f>
        <v>Laptops</v>
      </c>
      <c r="W90" t="str">
        <f>VLOOKUP(D90,Customers!$A:$C,3,0)</f>
        <v>B2B</v>
      </c>
      <c r="X90" t="str">
        <f>VLOOKUP(C90,Sales_Representatives!$A:$B,2,0)</f>
        <v>Michael Davis</v>
      </c>
    </row>
    <row r="91" spans="1:24" x14ac:dyDescent="0.3">
      <c r="A91" t="s">
        <v>234</v>
      </c>
      <c r="B91" t="s">
        <v>235</v>
      </c>
      <c r="C91" t="s">
        <v>13</v>
      </c>
      <c r="D91" t="s">
        <v>156</v>
      </c>
      <c r="E91" t="s">
        <v>191</v>
      </c>
      <c r="F91">
        <v>3</v>
      </c>
      <c r="G91">
        <v>1012.75</v>
      </c>
      <c r="H91">
        <v>0.06</v>
      </c>
      <c r="I91" s="4">
        <v>2855.96</v>
      </c>
      <c r="J91" t="s">
        <v>16</v>
      </c>
      <c r="K91" t="s">
        <v>39</v>
      </c>
      <c r="L91" s="4">
        <f>VLOOKUP(tblTransactions[[#This Row],[Product_ID]],tblProducts[],5,FALSE)</f>
        <v>518.53</v>
      </c>
      <c r="M91" s="4">
        <f>tblTransactions[[#This Row],[Total_Amount]]-(tblTransactions[[#This Row],[Cost_Prices]]*tblTransactions[[#This Row],[Quantity]]*(1-tblTransactions[[#This Row],[Discount]]))</f>
        <v>1393.7054000000003</v>
      </c>
      <c r="N91" s="3">
        <f>tblTransactions[[#This Row],[Profit]]/tblTransactions[[#This Row],[Total_Amount]]</f>
        <v>0.48799892155352326</v>
      </c>
      <c r="O91" t="str">
        <f>TEXT(tblTransactions[[#This Row],[Date]], "MMM-YYYY")</f>
        <v>Jan-2023</v>
      </c>
      <c r="P91" t="str">
        <f>"Q"&amp;ROUNDUP(MONTH(tblTransactions[[#This Row],[Date]])/3,0)&amp;"-"&amp;YEAR(tblTransactions[[#This Row],[Date]])</f>
        <v>Q1-2023</v>
      </c>
      <c r="Q91">
        <f>YEAR(tblTransactions[[#This Row],[Date]])</f>
        <v>2023</v>
      </c>
      <c r="R91" t="str">
        <f>TEXT(tblTransactions[[#This Row],[Date]],"DDDD")</f>
        <v>Friday</v>
      </c>
      <c r="S91">
        <f>MONTH(tblTransactions[[#This Row],[Date]])</f>
        <v>1</v>
      </c>
      <c r="T91" t="str">
        <f>VLOOKUP(E91, Products!$A:$B,2,0)</f>
        <v>Tables Fur-4</v>
      </c>
      <c r="U91" t="str">
        <f>VLOOKUP(E91,Products!$A:$C,3,0)</f>
        <v>Furniture</v>
      </c>
      <c r="V91" t="str">
        <f>VLOOKUP(E91,Products!$A:$D,4,0)</f>
        <v>Tables</v>
      </c>
      <c r="W91" t="str">
        <f>VLOOKUP(D91,Customers!$A:$C,3,0)</f>
        <v>B2B</v>
      </c>
      <c r="X91" t="str">
        <f>VLOOKUP(C91,Sales_Representatives!$A:$B,2,0)</f>
        <v>Jennifer Rodriguez</v>
      </c>
    </row>
    <row r="92" spans="1:24" x14ac:dyDescent="0.3">
      <c r="A92" t="s">
        <v>236</v>
      </c>
      <c r="B92" t="s">
        <v>235</v>
      </c>
      <c r="C92" t="s">
        <v>82</v>
      </c>
      <c r="D92" t="s">
        <v>237</v>
      </c>
      <c r="E92" t="s">
        <v>29</v>
      </c>
      <c r="F92">
        <v>15</v>
      </c>
      <c r="G92">
        <v>1363.46</v>
      </c>
      <c r="H92">
        <v>0.18</v>
      </c>
      <c r="I92" s="4">
        <v>16770.560000000001</v>
      </c>
      <c r="J92" t="s">
        <v>34</v>
      </c>
      <c r="K92" t="s">
        <v>48</v>
      </c>
      <c r="L92" s="4">
        <f>VLOOKUP(tblTransactions[[#This Row],[Product_ID]],tblProducts[],5,FALSE)</f>
        <v>995.41</v>
      </c>
      <c r="M92" s="4">
        <f>tblTransactions[[#This Row],[Total_Amount]]-(tblTransactions[[#This Row],[Cost_Prices]]*tblTransactions[[#This Row],[Quantity]]*(1-tblTransactions[[#This Row],[Discount]]))</f>
        <v>4527.0169999999998</v>
      </c>
      <c r="N92" s="3">
        <f>tblTransactions[[#This Row],[Profit]]/tblTransactions[[#This Row],[Total_Amount]]</f>
        <v>0.26993833241108223</v>
      </c>
      <c r="O92" t="str">
        <f>TEXT(tblTransactions[[#This Row],[Date]], "MMM-YYYY")</f>
        <v>Jan-2023</v>
      </c>
      <c r="P92" t="str">
        <f>"Q"&amp;ROUNDUP(MONTH(tblTransactions[[#This Row],[Date]])/3,0)&amp;"-"&amp;YEAR(tblTransactions[[#This Row],[Date]])</f>
        <v>Q1-2023</v>
      </c>
      <c r="Q92">
        <f>YEAR(tblTransactions[[#This Row],[Date]])</f>
        <v>2023</v>
      </c>
      <c r="R92" t="str">
        <f>TEXT(tblTransactions[[#This Row],[Date]],"DDDD")</f>
        <v>Friday</v>
      </c>
      <c r="S92">
        <f>MONTH(tblTransactions[[#This Row],[Date]])</f>
        <v>1</v>
      </c>
      <c r="T92" t="str">
        <f>VLOOKUP(E92, Products!$A:$B,2,0)</f>
        <v>Phones Ele-3</v>
      </c>
      <c r="U92" t="str">
        <f>VLOOKUP(E92,Products!$A:$C,3,0)</f>
        <v>Electronics</v>
      </c>
      <c r="V92" t="str">
        <f>VLOOKUP(E92,Products!$A:$D,4,0)</f>
        <v>Phones</v>
      </c>
      <c r="W92" t="str">
        <f>VLOOKUP(D92,Customers!$A:$C,3,0)</f>
        <v>B2B</v>
      </c>
      <c r="X92" t="str">
        <f>VLOOKUP(C92,Sales_Representatives!$A:$B,2,0)</f>
        <v>John Brown</v>
      </c>
    </row>
    <row r="93" spans="1:24" x14ac:dyDescent="0.3">
      <c r="A93" t="s">
        <v>238</v>
      </c>
      <c r="B93" t="s">
        <v>235</v>
      </c>
      <c r="C93" t="s">
        <v>13</v>
      </c>
      <c r="D93" t="s">
        <v>50</v>
      </c>
      <c r="E93" t="s">
        <v>159</v>
      </c>
      <c r="F93">
        <v>5</v>
      </c>
      <c r="G93">
        <v>78.09</v>
      </c>
      <c r="H93">
        <v>0.09</v>
      </c>
      <c r="I93" s="4">
        <v>355.31</v>
      </c>
      <c r="J93" t="s">
        <v>16</v>
      </c>
      <c r="K93" t="s">
        <v>35</v>
      </c>
      <c r="L93" s="4">
        <f>VLOOKUP(tblTransactions[[#This Row],[Product_ID]],tblProducts[],5,FALSE)</f>
        <v>47.01</v>
      </c>
      <c r="M93" s="4">
        <f>tblTransactions[[#This Row],[Total_Amount]]-(tblTransactions[[#This Row],[Cost_Prices]]*tblTransactions[[#This Row],[Quantity]]*(1-tblTransactions[[#This Row],[Discount]]))</f>
        <v>141.4145</v>
      </c>
      <c r="N93" s="3">
        <f>tblTransactions[[#This Row],[Profit]]/tblTransactions[[#This Row],[Total_Amount]]</f>
        <v>0.39800315217697224</v>
      </c>
      <c r="O93" t="str">
        <f>TEXT(tblTransactions[[#This Row],[Date]], "MMM-YYYY")</f>
        <v>Jan-2023</v>
      </c>
      <c r="P93" t="str">
        <f>"Q"&amp;ROUNDUP(MONTH(tblTransactions[[#This Row],[Date]])/3,0)&amp;"-"&amp;YEAR(tblTransactions[[#This Row],[Date]])</f>
        <v>Q1-2023</v>
      </c>
      <c r="Q93">
        <f>YEAR(tblTransactions[[#This Row],[Date]])</f>
        <v>2023</v>
      </c>
      <c r="R93" t="str">
        <f>TEXT(tblTransactions[[#This Row],[Date]],"DDDD")</f>
        <v>Friday</v>
      </c>
      <c r="S93">
        <f>MONTH(tblTransactions[[#This Row],[Date]])</f>
        <v>1</v>
      </c>
      <c r="T93" t="str">
        <f>VLOOKUP(E93, Products!$A:$B,2,0)</f>
        <v>Cables Acc-4</v>
      </c>
      <c r="U93" t="str">
        <f>VLOOKUP(E93,Products!$A:$C,3,0)</f>
        <v>Accessories</v>
      </c>
      <c r="V93" t="str">
        <f>VLOOKUP(E93,Products!$A:$D,4,0)</f>
        <v>Cables</v>
      </c>
      <c r="W93" t="str">
        <f>VLOOKUP(D93,Customers!$A:$C,3,0)</f>
        <v>Small Business</v>
      </c>
      <c r="X93" t="str">
        <f>VLOOKUP(C93,Sales_Representatives!$A:$B,2,0)</f>
        <v>Jennifer Rodriguez</v>
      </c>
    </row>
    <row r="94" spans="1:24" x14ac:dyDescent="0.3">
      <c r="A94" t="s">
        <v>239</v>
      </c>
      <c r="B94" t="s">
        <v>235</v>
      </c>
      <c r="C94" t="s">
        <v>56</v>
      </c>
      <c r="D94" t="s">
        <v>112</v>
      </c>
      <c r="E94" t="s">
        <v>96</v>
      </c>
      <c r="F94">
        <v>33</v>
      </c>
      <c r="G94">
        <v>751.9</v>
      </c>
      <c r="H94">
        <v>0.2</v>
      </c>
      <c r="I94" s="4">
        <v>19850.16</v>
      </c>
      <c r="J94" t="s">
        <v>34</v>
      </c>
      <c r="K94" t="s">
        <v>48</v>
      </c>
      <c r="L94" s="4">
        <f>VLOOKUP(tblTransactions[[#This Row],[Product_ID]],tblProducts[],5,FALSE)</f>
        <v>570.29</v>
      </c>
      <c r="M94" s="4">
        <f>tblTransactions[[#This Row],[Total_Amount]]-(tblTransactions[[#This Row],[Cost_Prices]]*tblTransactions[[#This Row],[Quantity]]*(1-tblTransactions[[#This Row],[Discount]]))</f>
        <v>4794.503999999999</v>
      </c>
      <c r="N94" s="3">
        <f>tblTransactions[[#This Row],[Profit]]/tblTransactions[[#This Row],[Total_Amount]]</f>
        <v>0.2415347785609788</v>
      </c>
      <c r="O94" t="str">
        <f>TEXT(tblTransactions[[#This Row],[Date]], "MMM-YYYY")</f>
        <v>Jan-2023</v>
      </c>
      <c r="P94" t="str">
        <f>"Q"&amp;ROUNDUP(MONTH(tblTransactions[[#This Row],[Date]])/3,0)&amp;"-"&amp;YEAR(tblTransactions[[#This Row],[Date]])</f>
        <v>Q1-2023</v>
      </c>
      <c r="Q94">
        <f>YEAR(tblTransactions[[#This Row],[Date]])</f>
        <v>2023</v>
      </c>
      <c r="R94" t="str">
        <f>TEXT(tblTransactions[[#This Row],[Date]],"DDDD")</f>
        <v>Friday</v>
      </c>
      <c r="S94">
        <f>MONTH(tblTransactions[[#This Row],[Date]])</f>
        <v>1</v>
      </c>
      <c r="T94" t="str">
        <f>VLOOKUP(E94, Products!$A:$B,2,0)</f>
        <v>Routers Tec-1</v>
      </c>
      <c r="U94" t="str">
        <f>VLOOKUP(E94,Products!$A:$C,3,0)</f>
        <v>Technology</v>
      </c>
      <c r="V94" t="str">
        <f>VLOOKUP(E94,Products!$A:$D,4,0)</f>
        <v>Routers</v>
      </c>
      <c r="W94" t="str">
        <f>VLOOKUP(D94,Customers!$A:$C,3,0)</f>
        <v>Enterprise</v>
      </c>
      <c r="X94" t="str">
        <f>VLOOKUP(C94,Sales_Representatives!$A:$B,2,0)</f>
        <v>Thomas Hernandez</v>
      </c>
    </row>
    <row r="95" spans="1:24" x14ac:dyDescent="0.3">
      <c r="A95" t="s">
        <v>240</v>
      </c>
      <c r="B95" t="s">
        <v>235</v>
      </c>
      <c r="C95" t="s">
        <v>41</v>
      </c>
      <c r="D95" t="s">
        <v>47</v>
      </c>
      <c r="E95" t="s">
        <v>61</v>
      </c>
      <c r="F95">
        <v>5</v>
      </c>
      <c r="G95">
        <v>92.07</v>
      </c>
      <c r="H95">
        <v>0.03</v>
      </c>
      <c r="I95" s="4">
        <v>446.54</v>
      </c>
      <c r="J95" t="s">
        <v>44</v>
      </c>
      <c r="K95" t="s">
        <v>17</v>
      </c>
      <c r="L95" s="4">
        <f>VLOOKUP(tblTransactions[[#This Row],[Product_ID]],tblProducts[],5,FALSE)</f>
        <v>56.98</v>
      </c>
      <c r="M95" s="4">
        <f>tblTransactions[[#This Row],[Total_Amount]]-(tblTransactions[[#This Row],[Cost_Prices]]*tblTransactions[[#This Row],[Quantity]]*(1-tblTransactions[[#This Row],[Discount]]))</f>
        <v>170.18700000000007</v>
      </c>
      <c r="N95" s="3">
        <f>tblTransactions[[#This Row],[Profit]]/tblTransactions[[#This Row],[Total_Amount]]</f>
        <v>0.38112375151162281</v>
      </c>
      <c r="O95" t="str">
        <f>TEXT(tblTransactions[[#This Row],[Date]], "MMM-YYYY")</f>
        <v>Jan-2023</v>
      </c>
      <c r="P95" t="str">
        <f>"Q"&amp;ROUNDUP(MONTH(tblTransactions[[#This Row],[Date]])/3,0)&amp;"-"&amp;YEAR(tblTransactions[[#This Row],[Date]])</f>
        <v>Q1-2023</v>
      </c>
      <c r="Q95">
        <f>YEAR(tblTransactions[[#This Row],[Date]])</f>
        <v>2023</v>
      </c>
      <c r="R95" t="str">
        <f>TEXT(tblTransactions[[#This Row],[Date]],"DDDD")</f>
        <v>Friday</v>
      </c>
      <c r="S95">
        <f>MONTH(tblTransactions[[#This Row],[Date]])</f>
        <v>1</v>
      </c>
      <c r="T95" t="str">
        <f>VLOOKUP(E95, Products!$A:$B,2,0)</f>
        <v>Pens Off-4</v>
      </c>
      <c r="U95" t="str">
        <f>VLOOKUP(E95,Products!$A:$C,3,0)</f>
        <v>Office Supplies</v>
      </c>
      <c r="V95" t="str">
        <f>VLOOKUP(E95,Products!$A:$D,4,0)</f>
        <v>Pens</v>
      </c>
      <c r="W95" t="str">
        <f>VLOOKUP(D95,Customers!$A:$C,3,0)</f>
        <v>B2C</v>
      </c>
      <c r="X95" t="str">
        <f>VLOOKUP(C95,Sales_Representatives!$A:$B,2,0)</f>
        <v>Robert Jones</v>
      </c>
    </row>
    <row r="96" spans="1:24" x14ac:dyDescent="0.3">
      <c r="A96" t="s">
        <v>241</v>
      </c>
      <c r="B96" t="s">
        <v>235</v>
      </c>
      <c r="C96" t="s">
        <v>75</v>
      </c>
      <c r="D96" t="s">
        <v>237</v>
      </c>
      <c r="E96" t="s">
        <v>204</v>
      </c>
      <c r="F96">
        <v>6</v>
      </c>
      <c r="G96">
        <v>715.62</v>
      </c>
      <c r="H96">
        <v>0.06</v>
      </c>
      <c r="I96" s="4">
        <v>4036.1</v>
      </c>
      <c r="J96" t="s">
        <v>44</v>
      </c>
      <c r="K96" t="s">
        <v>48</v>
      </c>
      <c r="L96" s="4">
        <f>VLOOKUP(tblTransactions[[#This Row],[Product_ID]],tblProducts[],5,FALSE)</f>
        <v>459.58</v>
      </c>
      <c r="M96" s="4">
        <f>tblTransactions[[#This Row],[Total_Amount]]-(tblTransactions[[#This Row],[Cost_Prices]]*tblTransactions[[#This Row],[Quantity]]*(1-tblTransactions[[#This Row],[Discount]]))</f>
        <v>1444.0688</v>
      </c>
      <c r="N96" s="3">
        <f>tblTransactions[[#This Row],[Profit]]/tblTransactions[[#This Row],[Total_Amount]]</f>
        <v>0.35778816183939943</v>
      </c>
      <c r="O96" t="str">
        <f>TEXT(tblTransactions[[#This Row],[Date]], "MMM-YYYY")</f>
        <v>Jan-2023</v>
      </c>
      <c r="P96" t="str">
        <f>"Q"&amp;ROUNDUP(MONTH(tblTransactions[[#This Row],[Date]])/3,0)&amp;"-"&amp;YEAR(tblTransactions[[#This Row],[Date]])</f>
        <v>Q1-2023</v>
      </c>
      <c r="Q96">
        <f>YEAR(tblTransactions[[#This Row],[Date]])</f>
        <v>2023</v>
      </c>
      <c r="R96" t="str">
        <f>TEXT(tblTransactions[[#This Row],[Date]],"DDDD")</f>
        <v>Friday</v>
      </c>
      <c r="S96">
        <f>MONTH(tblTransactions[[#This Row],[Date]])</f>
        <v>1</v>
      </c>
      <c r="T96" t="str">
        <f>VLOOKUP(E96, Products!$A:$B,2,0)</f>
        <v>Cameras Ele-2</v>
      </c>
      <c r="U96" t="str">
        <f>VLOOKUP(E96,Products!$A:$C,3,0)</f>
        <v>Electronics</v>
      </c>
      <c r="V96" t="str">
        <f>VLOOKUP(E96,Products!$A:$D,4,0)</f>
        <v>Cameras</v>
      </c>
      <c r="W96" t="str">
        <f>VLOOKUP(D96,Customers!$A:$C,3,0)</f>
        <v>B2B</v>
      </c>
      <c r="X96" t="str">
        <f>VLOOKUP(C96,Sales_Representatives!$A:$B,2,0)</f>
        <v>Jessica Anderson</v>
      </c>
    </row>
    <row r="97" spans="1:24" x14ac:dyDescent="0.3">
      <c r="A97" t="s">
        <v>242</v>
      </c>
      <c r="B97" t="s">
        <v>235</v>
      </c>
      <c r="C97" t="s">
        <v>19</v>
      </c>
      <c r="D97" t="s">
        <v>98</v>
      </c>
      <c r="E97" t="s">
        <v>243</v>
      </c>
      <c r="F97">
        <v>4</v>
      </c>
      <c r="G97">
        <v>384.18</v>
      </c>
      <c r="H97">
        <v>0.08</v>
      </c>
      <c r="I97" s="4">
        <v>1413.78</v>
      </c>
      <c r="J97" t="s">
        <v>21</v>
      </c>
      <c r="K97" t="s">
        <v>39</v>
      </c>
      <c r="L97" s="4">
        <f>VLOOKUP(tblTransactions[[#This Row],[Product_ID]],tblProducts[],5,FALSE)</f>
        <v>266.92</v>
      </c>
      <c r="M97" s="4">
        <f>tblTransactions[[#This Row],[Total_Amount]]-(tblTransactions[[#This Row],[Cost_Prices]]*tblTransactions[[#This Row],[Quantity]]*(1-tblTransactions[[#This Row],[Discount]]))</f>
        <v>431.51439999999991</v>
      </c>
      <c r="N97" s="3">
        <f>tblTransactions[[#This Row],[Profit]]/tblTransactions[[#This Row],[Total_Amount]]</f>
        <v>0.30522033131038767</v>
      </c>
      <c r="O97" t="str">
        <f>TEXT(tblTransactions[[#This Row],[Date]], "MMM-YYYY")</f>
        <v>Jan-2023</v>
      </c>
      <c r="P97" t="str">
        <f>"Q"&amp;ROUNDUP(MONTH(tblTransactions[[#This Row],[Date]])/3,0)&amp;"-"&amp;YEAR(tblTransactions[[#This Row],[Date]])</f>
        <v>Q1-2023</v>
      </c>
      <c r="Q97">
        <f>YEAR(tblTransactions[[#This Row],[Date]])</f>
        <v>2023</v>
      </c>
      <c r="R97" t="str">
        <f>TEXT(tblTransactions[[#This Row],[Date]],"DDDD")</f>
        <v>Friday</v>
      </c>
      <c r="S97">
        <f>MONTH(tblTransactions[[#This Row],[Date]])</f>
        <v>1</v>
      </c>
      <c r="T97" t="str">
        <f>VLOOKUP(E97, Products!$A:$B,2,0)</f>
        <v>Routers Tec-3</v>
      </c>
      <c r="U97" t="str">
        <f>VLOOKUP(E97,Products!$A:$C,3,0)</f>
        <v>Technology</v>
      </c>
      <c r="V97" t="str">
        <f>VLOOKUP(E97,Products!$A:$D,4,0)</f>
        <v>Routers</v>
      </c>
      <c r="W97" t="str">
        <f>VLOOKUP(D97,Customers!$A:$C,3,0)</f>
        <v>B2C</v>
      </c>
      <c r="X97" t="str">
        <f>VLOOKUP(C97,Sales_Representatives!$A:$B,2,0)</f>
        <v>Robert Jones</v>
      </c>
    </row>
    <row r="98" spans="1:24" x14ac:dyDescent="0.3">
      <c r="A98" t="s">
        <v>244</v>
      </c>
      <c r="B98" t="s">
        <v>245</v>
      </c>
      <c r="C98" t="s">
        <v>19</v>
      </c>
      <c r="D98" t="s">
        <v>52</v>
      </c>
      <c r="E98" t="s">
        <v>243</v>
      </c>
      <c r="F98">
        <v>6</v>
      </c>
      <c r="G98">
        <v>384.18</v>
      </c>
      <c r="H98">
        <v>0.1</v>
      </c>
      <c r="I98" s="4">
        <v>2074.5700000000002</v>
      </c>
      <c r="J98" t="s">
        <v>21</v>
      </c>
      <c r="K98" t="s">
        <v>17</v>
      </c>
      <c r="L98" s="4">
        <f>VLOOKUP(tblTransactions[[#This Row],[Product_ID]],tblProducts[],5,FALSE)</f>
        <v>266.92</v>
      </c>
      <c r="M98" s="4">
        <f>tblTransactions[[#This Row],[Total_Amount]]-(tblTransactions[[#This Row],[Cost_Prices]]*tblTransactions[[#This Row],[Quantity]]*(1-tblTransactions[[#This Row],[Discount]]))</f>
        <v>633.20200000000023</v>
      </c>
      <c r="N98" s="3">
        <f>tblTransactions[[#This Row],[Profit]]/tblTransactions[[#This Row],[Total_Amount]]</f>
        <v>0.30522084094535262</v>
      </c>
      <c r="O98" t="str">
        <f>TEXT(tblTransactions[[#This Row],[Date]], "MMM-YYYY")</f>
        <v>Jan-2023</v>
      </c>
      <c r="P98" t="str">
        <f>"Q"&amp;ROUNDUP(MONTH(tblTransactions[[#This Row],[Date]])/3,0)&amp;"-"&amp;YEAR(tblTransactions[[#This Row],[Date]])</f>
        <v>Q1-2023</v>
      </c>
      <c r="Q98">
        <f>YEAR(tblTransactions[[#This Row],[Date]])</f>
        <v>2023</v>
      </c>
      <c r="R98" t="str">
        <f>TEXT(tblTransactions[[#This Row],[Date]],"DDDD")</f>
        <v>Saturday</v>
      </c>
      <c r="S98">
        <f>MONTH(tblTransactions[[#This Row],[Date]])</f>
        <v>1</v>
      </c>
      <c r="T98" t="str">
        <f>VLOOKUP(E98, Products!$A:$B,2,0)</f>
        <v>Routers Tec-3</v>
      </c>
      <c r="U98" t="str">
        <f>VLOOKUP(E98,Products!$A:$C,3,0)</f>
        <v>Technology</v>
      </c>
      <c r="V98" t="str">
        <f>VLOOKUP(E98,Products!$A:$D,4,0)</f>
        <v>Routers</v>
      </c>
      <c r="W98" t="str">
        <f>VLOOKUP(D98,Customers!$A:$C,3,0)</f>
        <v>B2C</v>
      </c>
      <c r="X98" t="str">
        <f>VLOOKUP(C98,Sales_Representatives!$A:$B,2,0)</f>
        <v>Robert Jones</v>
      </c>
    </row>
    <row r="99" spans="1:24" x14ac:dyDescent="0.3">
      <c r="A99" t="s">
        <v>246</v>
      </c>
      <c r="B99" t="s">
        <v>245</v>
      </c>
      <c r="C99" t="s">
        <v>59</v>
      </c>
      <c r="D99" t="s">
        <v>247</v>
      </c>
      <c r="E99" t="s">
        <v>248</v>
      </c>
      <c r="F99">
        <v>6</v>
      </c>
      <c r="G99">
        <v>82.29</v>
      </c>
      <c r="H99">
        <v>0.11</v>
      </c>
      <c r="I99" s="4">
        <v>439.43</v>
      </c>
      <c r="J99" t="s">
        <v>21</v>
      </c>
      <c r="K99" t="s">
        <v>17</v>
      </c>
      <c r="L99" s="4">
        <f>VLOOKUP(tblTransactions[[#This Row],[Product_ID]],tblProducts[],5,FALSE)</f>
        <v>51.11</v>
      </c>
      <c r="M99" s="4">
        <f>tblTransactions[[#This Row],[Total_Amount]]-(tblTransactions[[#This Row],[Cost_Prices]]*tblTransactions[[#This Row],[Quantity]]*(1-tblTransactions[[#This Row],[Discount]]))</f>
        <v>166.50260000000003</v>
      </c>
      <c r="N99" s="3">
        <f>tblTransactions[[#This Row],[Profit]]/tblTransactions[[#This Row],[Total_Amount]]</f>
        <v>0.37890585531256404</v>
      </c>
      <c r="O99" t="str">
        <f>TEXT(tblTransactions[[#This Row],[Date]], "MMM-YYYY")</f>
        <v>Jan-2023</v>
      </c>
      <c r="P99" t="str">
        <f>"Q"&amp;ROUNDUP(MONTH(tblTransactions[[#This Row],[Date]])/3,0)&amp;"-"&amp;YEAR(tblTransactions[[#This Row],[Date]])</f>
        <v>Q1-2023</v>
      </c>
      <c r="Q99">
        <f>YEAR(tblTransactions[[#This Row],[Date]])</f>
        <v>2023</v>
      </c>
      <c r="R99" t="str">
        <f>TEXT(tblTransactions[[#This Row],[Date]],"DDDD")</f>
        <v>Saturday</v>
      </c>
      <c r="S99">
        <f>MONTH(tblTransactions[[#This Row],[Date]])</f>
        <v>1</v>
      </c>
      <c r="T99" t="str">
        <f>VLOOKUP(E99, Products!$A:$B,2,0)</f>
        <v>Keyboards Acc-2</v>
      </c>
      <c r="U99" t="str">
        <f>VLOOKUP(E99,Products!$A:$C,3,0)</f>
        <v>Accessories</v>
      </c>
      <c r="V99" t="str">
        <f>VLOOKUP(E99,Products!$A:$D,4,0)</f>
        <v>Keyboards</v>
      </c>
      <c r="W99" t="str">
        <f>VLOOKUP(D99,Customers!$A:$C,3,0)</f>
        <v>B2C</v>
      </c>
      <c r="X99" t="str">
        <f>VLOOKUP(C99,Sales_Representatives!$A:$B,2,0)</f>
        <v>Sarah Brown</v>
      </c>
    </row>
    <row r="100" spans="1:24" x14ac:dyDescent="0.3">
      <c r="A100" t="s">
        <v>249</v>
      </c>
      <c r="B100" t="s">
        <v>245</v>
      </c>
      <c r="C100" t="s">
        <v>56</v>
      </c>
      <c r="D100" t="s">
        <v>112</v>
      </c>
      <c r="E100" t="s">
        <v>15</v>
      </c>
      <c r="F100">
        <v>12</v>
      </c>
      <c r="G100">
        <v>477.48</v>
      </c>
      <c r="H100">
        <v>0.17</v>
      </c>
      <c r="I100" s="4">
        <v>4755.7</v>
      </c>
      <c r="J100" t="s">
        <v>34</v>
      </c>
      <c r="K100" t="s">
        <v>22</v>
      </c>
      <c r="L100" s="4">
        <f>VLOOKUP(tblTransactions[[#This Row],[Product_ID]],tblProducts[],5,FALSE)</f>
        <v>275.51</v>
      </c>
      <c r="M100" s="4">
        <f>tblTransactions[[#This Row],[Total_Amount]]-(tblTransactions[[#This Row],[Cost_Prices]]*tblTransactions[[#This Row],[Quantity]]*(1-tblTransactions[[#This Row],[Discount]]))</f>
        <v>2011.6204000000002</v>
      </c>
      <c r="N100" s="3">
        <f>tblTransactions[[#This Row],[Profit]]/tblTransactions[[#This Row],[Total_Amount]]</f>
        <v>0.42299144184872894</v>
      </c>
      <c r="O100" t="str">
        <f>TEXT(tblTransactions[[#This Row],[Date]], "MMM-YYYY")</f>
        <v>Jan-2023</v>
      </c>
      <c r="P100" t="str">
        <f>"Q"&amp;ROUNDUP(MONTH(tblTransactions[[#This Row],[Date]])/3,0)&amp;"-"&amp;YEAR(tblTransactions[[#This Row],[Date]])</f>
        <v>Q1-2023</v>
      </c>
      <c r="Q100">
        <f>YEAR(tblTransactions[[#This Row],[Date]])</f>
        <v>2023</v>
      </c>
      <c r="R100" t="str">
        <f>TEXT(tblTransactions[[#This Row],[Date]],"DDDD")</f>
        <v>Saturday</v>
      </c>
      <c r="S100">
        <f>MONTH(tblTransactions[[#This Row],[Date]])</f>
        <v>1</v>
      </c>
      <c r="T100" t="str">
        <f>VLOOKUP(E100, Products!$A:$B,2,0)</f>
        <v>Laptops Ele-4</v>
      </c>
      <c r="U100" t="str">
        <f>VLOOKUP(E100,Products!$A:$C,3,0)</f>
        <v>Electronics</v>
      </c>
      <c r="V100" t="str">
        <f>VLOOKUP(E100,Products!$A:$D,4,0)</f>
        <v>Laptops</v>
      </c>
      <c r="W100" t="str">
        <f>VLOOKUP(D100,Customers!$A:$C,3,0)</f>
        <v>Enterprise</v>
      </c>
      <c r="X100" t="str">
        <f>VLOOKUP(C100,Sales_Representatives!$A:$B,2,0)</f>
        <v>Thomas Hernandez</v>
      </c>
    </row>
    <row r="101" spans="1:24" x14ac:dyDescent="0.3">
      <c r="A101" t="s">
        <v>250</v>
      </c>
      <c r="B101" t="s">
        <v>245</v>
      </c>
      <c r="C101" t="s">
        <v>131</v>
      </c>
      <c r="D101" t="s">
        <v>14</v>
      </c>
      <c r="E101" t="s">
        <v>68</v>
      </c>
      <c r="F101">
        <v>10</v>
      </c>
      <c r="G101">
        <v>522.63</v>
      </c>
      <c r="H101">
        <v>0.14000000000000001</v>
      </c>
      <c r="I101" s="4">
        <v>4494.62</v>
      </c>
      <c r="J101" t="s">
        <v>44</v>
      </c>
      <c r="K101" t="s">
        <v>17</v>
      </c>
      <c r="L101" s="4">
        <f>VLOOKUP(tblTransactions[[#This Row],[Product_ID]],tblProducts[],5,FALSE)</f>
        <v>355.82</v>
      </c>
      <c r="M101" s="4">
        <f>tblTransactions[[#This Row],[Total_Amount]]-(tblTransactions[[#This Row],[Cost_Prices]]*tblTransactions[[#This Row],[Quantity]]*(1-tblTransactions[[#This Row],[Discount]]))</f>
        <v>1434.5680000000002</v>
      </c>
      <c r="N101" s="3">
        <f>tblTransactions[[#This Row],[Profit]]/tblTransactions[[#This Row],[Total_Amount]]</f>
        <v>0.31917447971129936</v>
      </c>
      <c r="O101" t="str">
        <f>TEXT(tblTransactions[[#This Row],[Date]], "MMM-YYYY")</f>
        <v>Jan-2023</v>
      </c>
      <c r="P101" t="str">
        <f>"Q"&amp;ROUNDUP(MONTH(tblTransactions[[#This Row],[Date]])/3,0)&amp;"-"&amp;YEAR(tblTransactions[[#This Row],[Date]])</f>
        <v>Q1-2023</v>
      </c>
      <c r="Q101">
        <f>YEAR(tblTransactions[[#This Row],[Date]])</f>
        <v>2023</v>
      </c>
      <c r="R101" t="str">
        <f>TEXT(tblTransactions[[#This Row],[Date]],"DDDD")</f>
        <v>Saturday</v>
      </c>
      <c r="S101">
        <f>MONTH(tblTransactions[[#This Row],[Date]])</f>
        <v>1</v>
      </c>
      <c r="T101" t="str">
        <f>VLOOKUP(E101, Products!$A:$B,2,0)</f>
        <v>Monitors Tec-3</v>
      </c>
      <c r="U101" t="str">
        <f>VLOOKUP(E101,Products!$A:$C,3,0)</f>
        <v>Technology</v>
      </c>
      <c r="V101" t="str">
        <f>VLOOKUP(E101,Products!$A:$D,4,0)</f>
        <v>Monitors</v>
      </c>
      <c r="W101" t="str">
        <f>VLOOKUP(D101,Customers!$A:$C,3,0)</f>
        <v>B2B</v>
      </c>
      <c r="X101" t="str">
        <f>VLOOKUP(C101,Sales_Representatives!$A:$B,2,0)</f>
        <v>Michael Davis</v>
      </c>
    </row>
    <row r="102" spans="1:24" x14ac:dyDescent="0.3">
      <c r="A102" t="s">
        <v>251</v>
      </c>
      <c r="B102" t="s">
        <v>245</v>
      </c>
      <c r="C102" t="s">
        <v>127</v>
      </c>
      <c r="D102" t="s">
        <v>118</v>
      </c>
      <c r="E102" t="s">
        <v>84</v>
      </c>
      <c r="F102">
        <v>5</v>
      </c>
      <c r="G102">
        <v>1841.77</v>
      </c>
      <c r="H102">
        <v>7.0000000000000007E-2</v>
      </c>
      <c r="I102" s="4">
        <v>8564.23</v>
      </c>
      <c r="J102" t="s">
        <v>109</v>
      </c>
      <c r="K102" t="s">
        <v>39</v>
      </c>
      <c r="L102" s="4">
        <f>VLOOKUP(tblTransactions[[#This Row],[Product_ID]],tblProducts[],5,FALSE)</f>
        <v>1151.5899999999999</v>
      </c>
      <c r="M102" s="4">
        <f>tblTransactions[[#This Row],[Total_Amount]]-(tblTransactions[[#This Row],[Cost_Prices]]*tblTransactions[[#This Row],[Quantity]]*(1-tblTransactions[[#This Row],[Discount]]))</f>
        <v>3209.3365000000003</v>
      </c>
      <c r="N102" s="3">
        <f>tblTransactions[[#This Row],[Profit]]/tblTransactions[[#This Row],[Total_Amount]]</f>
        <v>0.37473730854963033</v>
      </c>
      <c r="O102" t="str">
        <f>TEXT(tblTransactions[[#This Row],[Date]], "MMM-YYYY")</f>
        <v>Jan-2023</v>
      </c>
      <c r="P102" t="str">
        <f>"Q"&amp;ROUNDUP(MONTH(tblTransactions[[#This Row],[Date]])/3,0)&amp;"-"&amp;YEAR(tblTransactions[[#This Row],[Date]])</f>
        <v>Q1-2023</v>
      </c>
      <c r="Q102">
        <f>YEAR(tblTransactions[[#This Row],[Date]])</f>
        <v>2023</v>
      </c>
      <c r="R102" t="str">
        <f>TEXT(tblTransactions[[#This Row],[Date]],"DDDD")</f>
        <v>Saturday</v>
      </c>
      <c r="S102">
        <f>MONTH(tblTransactions[[#This Row],[Date]])</f>
        <v>1</v>
      </c>
      <c r="T102" t="str">
        <f>VLOOKUP(E102, Products!$A:$B,2,0)</f>
        <v>Laptops Ele-2</v>
      </c>
      <c r="U102" t="str">
        <f>VLOOKUP(E102,Products!$A:$C,3,0)</f>
        <v>Electronics</v>
      </c>
      <c r="V102" t="str">
        <f>VLOOKUP(E102,Products!$A:$D,4,0)</f>
        <v>Laptops</v>
      </c>
      <c r="W102" t="str">
        <f>VLOOKUP(D102,Customers!$A:$C,3,0)</f>
        <v>B2C</v>
      </c>
      <c r="X102" t="str">
        <f>VLOOKUP(C102,Sales_Representatives!$A:$B,2,0)</f>
        <v>Emily Hernandez</v>
      </c>
    </row>
    <row r="103" spans="1:24" x14ac:dyDescent="0.3">
      <c r="A103" t="s">
        <v>252</v>
      </c>
      <c r="B103" t="s">
        <v>253</v>
      </c>
      <c r="C103" t="s">
        <v>70</v>
      </c>
      <c r="D103" t="s">
        <v>132</v>
      </c>
      <c r="E103" t="s">
        <v>87</v>
      </c>
      <c r="F103">
        <v>11</v>
      </c>
      <c r="G103">
        <v>1047.8900000000001</v>
      </c>
      <c r="H103">
        <v>0.19</v>
      </c>
      <c r="I103" s="4">
        <v>9336.7000000000007</v>
      </c>
      <c r="J103" t="s">
        <v>16</v>
      </c>
      <c r="K103" t="s">
        <v>22</v>
      </c>
      <c r="L103" s="4">
        <f>VLOOKUP(tblTransactions[[#This Row],[Product_ID]],tblProducts[],5,FALSE)</f>
        <v>742.63</v>
      </c>
      <c r="M103" s="4">
        <f>tblTransactions[[#This Row],[Total_Amount]]-(tblTransactions[[#This Row],[Cost_Prices]]*tblTransactions[[#This Row],[Quantity]]*(1-tblTransactions[[#This Row],[Discount]]))</f>
        <v>2719.8667000000005</v>
      </c>
      <c r="N103" s="3">
        <f>tblTransactions[[#This Row],[Profit]]/tblTransactions[[#This Row],[Total_Amount]]</f>
        <v>0.29130920989214609</v>
      </c>
      <c r="O103" t="str">
        <f>TEXT(tblTransactions[[#This Row],[Date]], "MMM-YYYY")</f>
        <v>Jan-2023</v>
      </c>
      <c r="P103" t="str">
        <f>"Q"&amp;ROUNDUP(MONTH(tblTransactions[[#This Row],[Date]])/3,0)&amp;"-"&amp;YEAR(tblTransactions[[#This Row],[Date]])</f>
        <v>Q1-2023</v>
      </c>
      <c r="Q103">
        <f>YEAR(tblTransactions[[#This Row],[Date]])</f>
        <v>2023</v>
      </c>
      <c r="R103" t="str">
        <f>TEXT(tblTransactions[[#This Row],[Date]],"DDDD")</f>
        <v>Sunday</v>
      </c>
      <c r="S103">
        <f>MONTH(tblTransactions[[#This Row],[Date]])</f>
        <v>1</v>
      </c>
      <c r="T103" t="str">
        <f>VLOOKUP(E103, Products!$A:$B,2,0)</f>
        <v>Monitors Tec-2</v>
      </c>
      <c r="U103" t="str">
        <f>VLOOKUP(E103,Products!$A:$C,3,0)</f>
        <v>Technology</v>
      </c>
      <c r="V103" t="str">
        <f>VLOOKUP(E103,Products!$A:$D,4,0)</f>
        <v>Monitors</v>
      </c>
      <c r="W103" t="str">
        <f>VLOOKUP(D103,Customers!$A:$C,3,0)</f>
        <v>B2B</v>
      </c>
      <c r="X103" t="str">
        <f>VLOOKUP(C103,Sales_Representatives!$A:$B,2,0)</f>
        <v>Linda Smith</v>
      </c>
    </row>
    <row r="104" spans="1:24" x14ac:dyDescent="0.3">
      <c r="A104" t="s">
        <v>254</v>
      </c>
      <c r="B104" t="s">
        <v>253</v>
      </c>
      <c r="C104" t="s">
        <v>27</v>
      </c>
      <c r="D104" t="s">
        <v>237</v>
      </c>
      <c r="E104" t="s">
        <v>255</v>
      </c>
      <c r="F104">
        <v>3</v>
      </c>
      <c r="G104">
        <v>1444.13</v>
      </c>
      <c r="H104">
        <v>0.03</v>
      </c>
      <c r="I104" s="4">
        <v>4202.42</v>
      </c>
      <c r="J104" t="s">
        <v>16</v>
      </c>
      <c r="K104" t="s">
        <v>22</v>
      </c>
      <c r="L104" s="4">
        <f>VLOOKUP(tblTransactions[[#This Row],[Product_ID]],tblProducts[],5,FALSE)</f>
        <v>874.43</v>
      </c>
      <c r="M104" s="4">
        <f>tblTransactions[[#This Row],[Total_Amount]]-(tblTransactions[[#This Row],[Cost_Prices]]*tblTransactions[[#This Row],[Quantity]]*(1-tblTransactions[[#This Row],[Discount]]))</f>
        <v>1657.8287</v>
      </c>
      <c r="N104" s="3">
        <f>tblTransactions[[#This Row],[Profit]]/tblTransactions[[#This Row],[Total_Amount]]</f>
        <v>0.3944938154682302</v>
      </c>
      <c r="O104" t="str">
        <f>TEXT(tblTransactions[[#This Row],[Date]], "MMM-YYYY")</f>
        <v>Jan-2023</v>
      </c>
      <c r="P104" t="str">
        <f>"Q"&amp;ROUNDUP(MONTH(tblTransactions[[#This Row],[Date]])/3,0)&amp;"-"&amp;YEAR(tblTransactions[[#This Row],[Date]])</f>
        <v>Q1-2023</v>
      </c>
      <c r="Q104">
        <f>YEAR(tblTransactions[[#This Row],[Date]])</f>
        <v>2023</v>
      </c>
      <c r="R104" t="str">
        <f>TEXT(tblTransactions[[#This Row],[Date]],"DDDD")</f>
        <v>Sunday</v>
      </c>
      <c r="S104">
        <f>MONTH(tblTransactions[[#This Row],[Date]])</f>
        <v>1</v>
      </c>
      <c r="T104" t="str">
        <f>VLOOKUP(E104, Products!$A:$B,2,0)</f>
        <v>Printers Tec-1</v>
      </c>
      <c r="U104" t="str">
        <f>VLOOKUP(E104,Products!$A:$C,3,0)</f>
        <v>Technology</v>
      </c>
      <c r="V104" t="str">
        <f>VLOOKUP(E104,Products!$A:$D,4,0)</f>
        <v>Printers</v>
      </c>
      <c r="W104" t="str">
        <f>VLOOKUP(D104,Customers!$A:$C,3,0)</f>
        <v>B2B</v>
      </c>
      <c r="X104" t="str">
        <f>VLOOKUP(C104,Sales_Representatives!$A:$B,2,0)</f>
        <v>Thomas Lopez</v>
      </c>
    </row>
    <row r="105" spans="1:24" x14ac:dyDescent="0.3">
      <c r="A105" t="s">
        <v>256</v>
      </c>
      <c r="B105" t="s">
        <v>253</v>
      </c>
      <c r="C105" t="s">
        <v>41</v>
      </c>
      <c r="D105" t="s">
        <v>60</v>
      </c>
      <c r="E105" t="s">
        <v>113</v>
      </c>
      <c r="F105">
        <v>1</v>
      </c>
      <c r="G105">
        <v>930.41</v>
      </c>
      <c r="H105">
        <v>0.03</v>
      </c>
      <c r="I105" s="4">
        <v>902.5</v>
      </c>
      <c r="J105" t="s">
        <v>44</v>
      </c>
      <c r="K105" t="s">
        <v>17</v>
      </c>
      <c r="L105" s="4">
        <f>VLOOKUP(tblTransactions[[#This Row],[Product_ID]],tblProducts[],5,FALSE)</f>
        <v>595.51</v>
      </c>
      <c r="M105" s="4">
        <f>tblTransactions[[#This Row],[Total_Amount]]-(tblTransactions[[#This Row],[Cost_Prices]]*tblTransactions[[#This Row],[Quantity]]*(1-tblTransactions[[#This Row],[Discount]]))</f>
        <v>324.85530000000006</v>
      </c>
      <c r="N105" s="3">
        <f>tblTransactions[[#This Row],[Profit]]/tblTransactions[[#This Row],[Total_Amount]]</f>
        <v>0.35995047091412746</v>
      </c>
      <c r="O105" t="str">
        <f>TEXT(tblTransactions[[#This Row],[Date]], "MMM-YYYY")</f>
        <v>Jan-2023</v>
      </c>
      <c r="P105" t="str">
        <f>"Q"&amp;ROUNDUP(MONTH(tblTransactions[[#This Row],[Date]])/3,0)&amp;"-"&amp;YEAR(tblTransactions[[#This Row],[Date]])</f>
        <v>Q1-2023</v>
      </c>
      <c r="Q105">
        <f>YEAR(tblTransactions[[#This Row],[Date]])</f>
        <v>2023</v>
      </c>
      <c r="R105" t="str">
        <f>TEXT(tblTransactions[[#This Row],[Date]],"DDDD")</f>
        <v>Sunday</v>
      </c>
      <c r="S105">
        <f>MONTH(tblTransactions[[#This Row],[Date]])</f>
        <v>1</v>
      </c>
      <c r="T105" t="str">
        <f>VLOOKUP(E105, Products!$A:$B,2,0)</f>
        <v>Phones Ele-1</v>
      </c>
      <c r="U105" t="str">
        <f>VLOOKUP(E105,Products!$A:$C,3,0)</f>
        <v>Electronics</v>
      </c>
      <c r="V105" t="str">
        <f>VLOOKUP(E105,Products!$A:$D,4,0)</f>
        <v>Phones</v>
      </c>
      <c r="W105" t="str">
        <f>VLOOKUP(D105,Customers!$A:$C,3,0)</f>
        <v>B2C</v>
      </c>
      <c r="X105" t="str">
        <f>VLOOKUP(C105,Sales_Representatives!$A:$B,2,0)</f>
        <v>Robert Jones</v>
      </c>
    </row>
    <row r="106" spans="1:24" x14ac:dyDescent="0.3">
      <c r="A106" t="s">
        <v>257</v>
      </c>
      <c r="B106" t="s">
        <v>253</v>
      </c>
      <c r="C106" t="s">
        <v>82</v>
      </c>
      <c r="D106" t="s">
        <v>101</v>
      </c>
      <c r="E106" t="s">
        <v>258</v>
      </c>
      <c r="F106">
        <v>1</v>
      </c>
      <c r="G106">
        <v>73.33</v>
      </c>
      <c r="H106">
        <v>0.09</v>
      </c>
      <c r="I106" s="4">
        <v>66.73</v>
      </c>
      <c r="J106" t="s">
        <v>34</v>
      </c>
      <c r="K106" t="s">
        <v>48</v>
      </c>
      <c r="L106" s="4">
        <f>VLOOKUP(tblTransactions[[#This Row],[Product_ID]],tblProducts[],5,FALSE)</f>
        <v>38.049999999999997</v>
      </c>
      <c r="M106" s="4">
        <f>tblTransactions[[#This Row],[Total_Amount]]-(tblTransactions[[#This Row],[Cost_Prices]]*tblTransactions[[#This Row],[Quantity]]*(1-tblTransactions[[#This Row],[Discount]]))</f>
        <v>32.104500000000009</v>
      </c>
      <c r="N106" s="3">
        <f>tblTransactions[[#This Row],[Profit]]/tblTransactions[[#This Row],[Total_Amount]]</f>
        <v>0.48111044507717676</v>
      </c>
      <c r="O106" t="str">
        <f>TEXT(tblTransactions[[#This Row],[Date]], "MMM-YYYY")</f>
        <v>Jan-2023</v>
      </c>
      <c r="P106" t="str">
        <f>"Q"&amp;ROUNDUP(MONTH(tblTransactions[[#This Row],[Date]])/3,0)&amp;"-"&amp;YEAR(tblTransactions[[#This Row],[Date]])</f>
        <v>Q1-2023</v>
      </c>
      <c r="Q106">
        <f>YEAR(tblTransactions[[#This Row],[Date]])</f>
        <v>2023</v>
      </c>
      <c r="R106" t="str">
        <f>TEXT(tblTransactions[[#This Row],[Date]],"DDDD")</f>
        <v>Sunday</v>
      </c>
      <c r="S106">
        <f>MONTH(tblTransactions[[#This Row],[Date]])</f>
        <v>1</v>
      </c>
      <c r="T106" t="str">
        <f>VLOOKUP(E106, Products!$A:$B,2,0)</f>
        <v>Keyboards Acc-3</v>
      </c>
      <c r="U106" t="str">
        <f>VLOOKUP(E106,Products!$A:$C,3,0)</f>
        <v>Accessories</v>
      </c>
      <c r="V106" t="str">
        <f>VLOOKUP(E106,Products!$A:$D,4,0)</f>
        <v>Keyboards</v>
      </c>
      <c r="W106" t="str">
        <f>VLOOKUP(D106,Customers!$A:$C,3,0)</f>
        <v>B2C</v>
      </c>
      <c r="X106" t="str">
        <f>VLOOKUP(C106,Sales_Representatives!$A:$B,2,0)</f>
        <v>John Brown</v>
      </c>
    </row>
    <row r="107" spans="1:24" x14ac:dyDescent="0.3">
      <c r="A107" t="s">
        <v>259</v>
      </c>
      <c r="B107" t="s">
        <v>253</v>
      </c>
      <c r="C107" t="s">
        <v>31</v>
      </c>
      <c r="D107" t="s">
        <v>118</v>
      </c>
      <c r="E107" t="s">
        <v>113</v>
      </c>
      <c r="F107">
        <v>6</v>
      </c>
      <c r="G107">
        <v>930.41</v>
      </c>
      <c r="H107">
        <v>0.13</v>
      </c>
      <c r="I107" s="4">
        <v>4856.74</v>
      </c>
      <c r="J107" t="s">
        <v>34</v>
      </c>
      <c r="K107" t="s">
        <v>48</v>
      </c>
      <c r="L107" s="4">
        <f>VLOOKUP(tblTransactions[[#This Row],[Product_ID]],tblProducts[],5,FALSE)</f>
        <v>595.51</v>
      </c>
      <c r="M107" s="4">
        <f>tblTransactions[[#This Row],[Total_Amount]]-(tblTransactions[[#This Row],[Cost_Prices]]*tblTransactions[[#This Row],[Quantity]]*(1-tblTransactions[[#This Row],[Discount]]))</f>
        <v>1748.1777999999999</v>
      </c>
      <c r="N107" s="3">
        <f>tblTransactions[[#This Row],[Profit]]/tblTransactions[[#This Row],[Total_Amount]]</f>
        <v>0.35994881340158214</v>
      </c>
      <c r="O107" t="str">
        <f>TEXT(tblTransactions[[#This Row],[Date]], "MMM-YYYY")</f>
        <v>Jan-2023</v>
      </c>
      <c r="P107" t="str">
        <f>"Q"&amp;ROUNDUP(MONTH(tblTransactions[[#This Row],[Date]])/3,0)&amp;"-"&amp;YEAR(tblTransactions[[#This Row],[Date]])</f>
        <v>Q1-2023</v>
      </c>
      <c r="Q107">
        <f>YEAR(tblTransactions[[#This Row],[Date]])</f>
        <v>2023</v>
      </c>
      <c r="R107" t="str">
        <f>TEXT(tblTransactions[[#This Row],[Date]],"DDDD")</f>
        <v>Sunday</v>
      </c>
      <c r="S107">
        <f>MONTH(tblTransactions[[#This Row],[Date]])</f>
        <v>1</v>
      </c>
      <c r="T107" t="str">
        <f>VLOOKUP(E107, Products!$A:$B,2,0)</f>
        <v>Phones Ele-1</v>
      </c>
      <c r="U107" t="str">
        <f>VLOOKUP(E107,Products!$A:$C,3,0)</f>
        <v>Electronics</v>
      </c>
      <c r="V107" t="str">
        <f>VLOOKUP(E107,Products!$A:$D,4,0)</f>
        <v>Phones</v>
      </c>
      <c r="W107" t="str">
        <f>VLOOKUP(D107,Customers!$A:$C,3,0)</f>
        <v>B2C</v>
      </c>
      <c r="X107" t="str">
        <f>VLOOKUP(C107,Sales_Representatives!$A:$B,2,0)</f>
        <v>Thomas Martinez</v>
      </c>
    </row>
    <row r="108" spans="1:24" x14ac:dyDescent="0.3">
      <c r="A108" t="s">
        <v>260</v>
      </c>
      <c r="B108" t="s">
        <v>253</v>
      </c>
      <c r="C108" t="s">
        <v>19</v>
      </c>
      <c r="D108" t="s">
        <v>64</v>
      </c>
      <c r="E108" t="s">
        <v>53</v>
      </c>
      <c r="F108">
        <v>3</v>
      </c>
      <c r="G108">
        <v>2069.2199999999998</v>
      </c>
      <c r="H108">
        <v>0.1</v>
      </c>
      <c r="I108" s="4">
        <v>5586.89</v>
      </c>
      <c r="J108" t="s">
        <v>21</v>
      </c>
      <c r="K108" t="s">
        <v>48</v>
      </c>
      <c r="L108" s="4">
        <f>VLOOKUP(tblTransactions[[#This Row],[Product_ID]],tblProducts[],5,FALSE)</f>
        <v>1451.18</v>
      </c>
      <c r="M108" s="4">
        <f>tblTransactions[[#This Row],[Total_Amount]]-(tblTransactions[[#This Row],[Cost_Prices]]*tblTransactions[[#This Row],[Quantity]]*(1-tblTransactions[[#This Row],[Discount]]))</f>
        <v>1668.7040000000002</v>
      </c>
      <c r="N108" s="3">
        <f>tblTransactions[[#This Row],[Profit]]/tblTransactions[[#This Row],[Total_Amount]]</f>
        <v>0.29868209325760847</v>
      </c>
      <c r="O108" t="str">
        <f>TEXT(tblTransactions[[#This Row],[Date]], "MMM-YYYY")</f>
        <v>Jan-2023</v>
      </c>
      <c r="P108" t="str">
        <f>"Q"&amp;ROUNDUP(MONTH(tblTransactions[[#This Row],[Date]])/3,0)&amp;"-"&amp;YEAR(tblTransactions[[#This Row],[Date]])</f>
        <v>Q1-2023</v>
      </c>
      <c r="Q108">
        <f>YEAR(tblTransactions[[#This Row],[Date]])</f>
        <v>2023</v>
      </c>
      <c r="R108" t="str">
        <f>TEXT(tblTransactions[[#This Row],[Date]],"DDDD")</f>
        <v>Sunday</v>
      </c>
      <c r="S108">
        <f>MONTH(tblTransactions[[#This Row],[Date]])</f>
        <v>1</v>
      </c>
      <c r="T108" t="str">
        <f>VLOOKUP(E108, Products!$A:$B,2,0)</f>
        <v>Printers Tec-3</v>
      </c>
      <c r="U108" t="str">
        <f>VLOOKUP(E108,Products!$A:$C,3,0)</f>
        <v>Technology</v>
      </c>
      <c r="V108" t="str">
        <f>VLOOKUP(E108,Products!$A:$D,4,0)</f>
        <v>Printers</v>
      </c>
      <c r="W108" t="str">
        <f>VLOOKUP(D108,Customers!$A:$C,3,0)</f>
        <v>Small Business</v>
      </c>
      <c r="X108" t="str">
        <f>VLOOKUP(C108,Sales_Representatives!$A:$B,2,0)</f>
        <v>Robert Jones</v>
      </c>
    </row>
    <row r="109" spans="1:24" x14ac:dyDescent="0.3">
      <c r="A109" t="s">
        <v>261</v>
      </c>
      <c r="B109" t="s">
        <v>253</v>
      </c>
      <c r="C109" t="s">
        <v>31</v>
      </c>
      <c r="D109" t="s">
        <v>203</v>
      </c>
      <c r="E109" t="s">
        <v>89</v>
      </c>
      <c r="F109">
        <v>44</v>
      </c>
      <c r="G109">
        <v>555.08000000000004</v>
      </c>
      <c r="H109">
        <v>0.19</v>
      </c>
      <c r="I109" s="4">
        <v>19783.05</v>
      </c>
      <c r="J109" t="s">
        <v>34</v>
      </c>
      <c r="K109" t="s">
        <v>17</v>
      </c>
      <c r="L109" s="4">
        <f>VLOOKUP(tblTransactions[[#This Row],[Product_ID]],tblProducts[],5,FALSE)</f>
        <v>402.82</v>
      </c>
      <c r="M109" s="4">
        <f>tblTransactions[[#This Row],[Total_Amount]]-(tblTransactions[[#This Row],[Cost_Prices]]*tblTransactions[[#This Row],[Quantity]]*(1-tblTransactions[[#This Row],[Discount]]))</f>
        <v>5426.5452000000005</v>
      </c>
      <c r="N109" s="3">
        <f>tblTransactions[[#This Row],[Profit]]/tblTransactions[[#This Row],[Total_Amount]]</f>
        <v>0.27430275918020736</v>
      </c>
      <c r="O109" t="str">
        <f>TEXT(tblTransactions[[#This Row],[Date]], "MMM-YYYY")</f>
        <v>Jan-2023</v>
      </c>
      <c r="P109" t="str">
        <f>"Q"&amp;ROUNDUP(MONTH(tblTransactions[[#This Row],[Date]])/3,0)&amp;"-"&amp;YEAR(tblTransactions[[#This Row],[Date]])</f>
        <v>Q1-2023</v>
      </c>
      <c r="Q109">
        <f>YEAR(tblTransactions[[#This Row],[Date]])</f>
        <v>2023</v>
      </c>
      <c r="R109" t="str">
        <f>TEXT(tblTransactions[[#This Row],[Date]],"DDDD")</f>
        <v>Sunday</v>
      </c>
      <c r="S109">
        <f>MONTH(tblTransactions[[#This Row],[Date]])</f>
        <v>1</v>
      </c>
      <c r="T109" t="str">
        <f>VLOOKUP(E109, Products!$A:$B,2,0)</f>
        <v>Laptops Ele-3</v>
      </c>
      <c r="U109" t="str">
        <f>VLOOKUP(E109,Products!$A:$C,3,0)</f>
        <v>Electronics</v>
      </c>
      <c r="V109" t="str">
        <f>VLOOKUP(E109,Products!$A:$D,4,0)</f>
        <v>Laptops</v>
      </c>
      <c r="W109" t="str">
        <f>VLOOKUP(D109,Customers!$A:$C,3,0)</f>
        <v>Enterprise</v>
      </c>
      <c r="X109" t="str">
        <f>VLOOKUP(C109,Sales_Representatives!$A:$B,2,0)</f>
        <v>Thomas Martinez</v>
      </c>
    </row>
    <row r="110" spans="1:24" x14ac:dyDescent="0.3">
      <c r="A110" t="s">
        <v>262</v>
      </c>
      <c r="B110" t="s">
        <v>253</v>
      </c>
      <c r="C110" t="s">
        <v>131</v>
      </c>
      <c r="D110" t="s">
        <v>118</v>
      </c>
      <c r="E110" t="s">
        <v>87</v>
      </c>
      <c r="F110">
        <v>2</v>
      </c>
      <c r="G110">
        <v>1047.8900000000001</v>
      </c>
      <c r="H110">
        <v>0.06</v>
      </c>
      <c r="I110" s="4">
        <v>1970.03</v>
      </c>
      <c r="J110" t="s">
        <v>44</v>
      </c>
      <c r="K110" t="s">
        <v>48</v>
      </c>
      <c r="L110" s="4">
        <f>VLOOKUP(tblTransactions[[#This Row],[Product_ID]],tblProducts[],5,FALSE)</f>
        <v>742.63</v>
      </c>
      <c r="M110" s="4">
        <f>tblTransactions[[#This Row],[Total_Amount]]-(tblTransactions[[#This Row],[Cost_Prices]]*tblTransactions[[#This Row],[Quantity]]*(1-tblTransactions[[#This Row],[Discount]]))</f>
        <v>573.88560000000007</v>
      </c>
      <c r="N110" s="3">
        <f>tblTransactions[[#This Row],[Profit]]/tblTransactions[[#This Row],[Total_Amount]]</f>
        <v>0.29130805114642927</v>
      </c>
      <c r="O110" t="str">
        <f>TEXT(tblTransactions[[#This Row],[Date]], "MMM-YYYY")</f>
        <v>Jan-2023</v>
      </c>
      <c r="P110" t="str">
        <f>"Q"&amp;ROUNDUP(MONTH(tblTransactions[[#This Row],[Date]])/3,0)&amp;"-"&amp;YEAR(tblTransactions[[#This Row],[Date]])</f>
        <v>Q1-2023</v>
      </c>
      <c r="Q110">
        <f>YEAR(tblTransactions[[#This Row],[Date]])</f>
        <v>2023</v>
      </c>
      <c r="R110" t="str">
        <f>TEXT(tblTransactions[[#This Row],[Date]],"DDDD")</f>
        <v>Sunday</v>
      </c>
      <c r="S110">
        <f>MONTH(tblTransactions[[#This Row],[Date]])</f>
        <v>1</v>
      </c>
      <c r="T110" t="str">
        <f>VLOOKUP(E110, Products!$A:$B,2,0)</f>
        <v>Monitors Tec-2</v>
      </c>
      <c r="U110" t="str">
        <f>VLOOKUP(E110,Products!$A:$C,3,0)</f>
        <v>Technology</v>
      </c>
      <c r="V110" t="str">
        <f>VLOOKUP(E110,Products!$A:$D,4,0)</f>
        <v>Monitors</v>
      </c>
      <c r="W110" t="str">
        <f>VLOOKUP(D110,Customers!$A:$C,3,0)</f>
        <v>B2C</v>
      </c>
      <c r="X110" t="str">
        <f>VLOOKUP(C110,Sales_Representatives!$A:$B,2,0)</f>
        <v>Michael Davis</v>
      </c>
    </row>
    <row r="111" spans="1:24" x14ac:dyDescent="0.3">
      <c r="A111" t="s">
        <v>263</v>
      </c>
      <c r="B111" t="s">
        <v>253</v>
      </c>
      <c r="C111" t="s">
        <v>107</v>
      </c>
      <c r="D111" t="s">
        <v>237</v>
      </c>
      <c r="E111" t="s">
        <v>264</v>
      </c>
      <c r="F111">
        <v>19</v>
      </c>
      <c r="G111">
        <v>607.29999999999995</v>
      </c>
      <c r="H111">
        <v>0.13</v>
      </c>
      <c r="I111" s="4">
        <v>10038.67</v>
      </c>
      <c r="J111" t="s">
        <v>109</v>
      </c>
      <c r="K111" t="s">
        <v>48</v>
      </c>
      <c r="L111" s="4">
        <f>VLOOKUP(tblTransactions[[#This Row],[Product_ID]],tblProducts[],5,FALSE)</f>
        <v>436.37</v>
      </c>
      <c r="M111" s="4">
        <f>tblTransactions[[#This Row],[Total_Amount]]-(tblTransactions[[#This Row],[Cost_Prices]]*tblTransactions[[#This Row],[Quantity]]*(1-tblTransactions[[#This Row],[Discount]]))</f>
        <v>2825.4739</v>
      </c>
      <c r="N111" s="3">
        <f>tblTransactions[[#This Row],[Profit]]/tblTransactions[[#This Row],[Total_Amount]]</f>
        <v>0.2814589880930442</v>
      </c>
      <c r="O111" t="str">
        <f>TEXT(tblTransactions[[#This Row],[Date]], "MMM-YYYY")</f>
        <v>Jan-2023</v>
      </c>
      <c r="P111" t="str">
        <f>"Q"&amp;ROUNDUP(MONTH(tblTransactions[[#This Row],[Date]])/3,0)&amp;"-"&amp;YEAR(tblTransactions[[#This Row],[Date]])</f>
        <v>Q1-2023</v>
      </c>
      <c r="Q111">
        <f>YEAR(tblTransactions[[#This Row],[Date]])</f>
        <v>2023</v>
      </c>
      <c r="R111" t="str">
        <f>TEXT(tblTransactions[[#This Row],[Date]],"DDDD")</f>
        <v>Sunday</v>
      </c>
      <c r="S111">
        <f>MONTH(tblTransactions[[#This Row],[Date]])</f>
        <v>1</v>
      </c>
      <c r="T111" t="str">
        <f>VLOOKUP(E111, Products!$A:$B,2,0)</f>
        <v>Tablets Ele-4</v>
      </c>
      <c r="U111" t="str">
        <f>VLOOKUP(E111,Products!$A:$C,3,0)</f>
        <v>Electronics</v>
      </c>
      <c r="V111" t="str">
        <f>VLOOKUP(E111,Products!$A:$D,4,0)</f>
        <v>Tablets</v>
      </c>
      <c r="W111" t="str">
        <f>VLOOKUP(D111,Customers!$A:$C,3,0)</f>
        <v>B2B</v>
      </c>
      <c r="X111" t="str">
        <f>VLOOKUP(C111,Sales_Representatives!$A:$B,2,0)</f>
        <v>Jennifer Brown</v>
      </c>
    </row>
    <row r="112" spans="1:24" x14ac:dyDescent="0.3">
      <c r="A112" t="s">
        <v>265</v>
      </c>
      <c r="B112" t="s">
        <v>266</v>
      </c>
      <c r="C112" t="s">
        <v>82</v>
      </c>
      <c r="D112" t="s">
        <v>47</v>
      </c>
      <c r="E112" t="s">
        <v>38</v>
      </c>
      <c r="F112">
        <v>1</v>
      </c>
      <c r="G112">
        <v>581.47</v>
      </c>
      <c r="H112">
        <v>7.0000000000000007E-2</v>
      </c>
      <c r="I112" s="4">
        <v>540.77</v>
      </c>
      <c r="J112" t="s">
        <v>34</v>
      </c>
      <c r="K112" t="s">
        <v>22</v>
      </c>
      <c r="L112" s="4">
        <f>VLOOKUP(tblTransactions[[#This Row],[Product_ID]],tblProducts[],5,FALSE)</f>
        <v>372.07</v>
      </c>
      <c r="M112" s="4">
        <f>tblTransactions[[#This Row],[Total_Amount]]-(tblTransactions[[#This Row],[Cost_Prices]]*tblTransactions[[#This Row],[Quantity]]*(1-tblTransactions[[#This Row],[Discount]]))</f>
        <v>194.74490000000003</v>
      </c>
      <c r="N112" s="3">
        <f>tblTransactions[[#This Row],[Profit]]/tblTransactions[[#This Row],[Total_Amount]]</f>
        <v>0.36012519185605718</v>
      </c>
      <c r="O112" t="str">
        <f>TEXT(tblTransactions[[#This Row],[Date]], "MMM-YYYY")</f>
        <v>Jan-2023</v>
      </c>
      <c r="P112" t="str">
        <f>"Q"&amp;ROUNDUP(MONTH(tblTransactions[[#This Row],[Date]])/3,0)&amp;"-"&amp;YEAR(tblTransactions[[#This Row],[Date]])</f>
        <v>Q1-2023</v>
      </c>
      <c r="Q112">
        <f>YEAR(tblTransactions[[#This Row],[Date]])</f>
        <v>2023</v>
      </c>
      <c r="R112" t="str">
        <f>TEXT(tblTransactions[[#This Row],[Date]],"DDDD")</f>
        <v>Monday</v>
      </c>
      <c r="S112">
        <f>MONTH(tblTransactions[[#This Row],[Date]])</f>
        <v>1</v>
      </c>
      <c r="T112" t="str">
        <f>VLOOKUP(E112, Products!$A:$B,2,0)</f>
        <v>Storage Fur-3</v>
      </c>
      <c r="U112" t="str">
        <f>VLOOKUP(E112,Products!$A:$C,3,0)</f>
        <v>Furniture</v>
      </c>
      <c r="V112" t="str">
        <f>VLOOKUP(E112,Products!$A:$D,4,0)</f>
        <v>Storage</v>
      </c>
      <c r="W112" t="str">
        <f>VLOOKUP(D112,Customers!$A:$C,3,0)</f>
        <v>B2C</v>
      </c>
      <c r="X112" t="str">
        <f>VLOOKUP(C112,Sales_Representatives!$A:$B,2,0)</f>
        <v>John Brown</v>
      </c>
    </row>
    <row r="113" spans="1:24" x14ac:dyDescent="0.3">
      <c r="A113" t="s">
        <v>267</v>
      </c>
      <c r="B113" t="s">
        <v>266</v>
      </c>
      <c r="C113" t="s">
        <v>75</v>
      </c>
      <c r="D113" t="s">
        <v>210</v>
      </c>
      <c r="E113" t="s">
        <v>198</v>
      </c>
      <c r="F113">
        <v>3</v>
      </c>
      <c r="G113">
        <v>1802.96</v>
      </c>
      <c r="H113">
        <v>0.08</v>
      </c>
      <c r="I113" s="4">
        <v>4976.17</v>
      </c>
      <c r="J113" t="s">
        <v>44</v>
      </c>
      <c r="K113" t="s">
        <v>22</v>
      </c>
      <c r="L113" s="4">
        <f>VLOOKUP(tblTransactions[[#This Row],[Product_ID]],tblProducts[],5,FALSE)</f>
        <v>1282.18</v>
      </c>
      <c r="M113" s="4">
        <f>tblTransactions[[#This Row],[Total_Amount]]-(tblTransactions[[#This Row],[Cost_Prices]]*tblTransactions[[#This Row],[Quantity]]*(1-tblTransactions[[#This Row],[Discount]]))</f>
        <v>1437.3532</v>
      </c>
      <c r="N113" s="3">
        <f>tblTransactions[[#This Row],[Profit]]/tblTransactions[[#This Row],[Total_Amount]]</f>
        <v>0.28884728616586652</v>
      </c>
      <c r="O113" t="str">
        <f>TEXT(tblTransactions[[#This Row],[Date]], "MMM-YYYY")</f>
        <v>Jan-2023</v>
      </c>
      <c r="P113" t="str">
        <f>"Q"&amp;ROUNDUP(MONTH(tblTransactions[[#This Row],[Date]])/3,0)&amp;"-"&amp;YEAR(tblTransactions[[#This Row],[Date]])</f>
        <v>Q1-2023</v>
      </c>
      <c r="Q113">
        <f>YEAR(tblTransactions[[#This Row],[Date]])</f>
        <v>2023</v>
      </c>
      <c r="R113" t="str">
        <f>TEXT(tblTransactions[[#This Row],[Date]],"DDDD")</f>
        <v>Monday</v>
      </c>
      <c r="S113">
        <f>MONTH(tblTransactions[[#This Row],[Date]])</f>
        <v>1</v>
      </c>
      <c r="T113" t="str">
        <f>VLOOKUP(E113, Products!$A:$B,2,0)</f>
        <v>Tablets Ele-3</v>
      </c>
      <c r="U113" t="str">
        <f>VLOOKUP(E113,Products!$A:$C,3,0)</f>
        <v>Electronics</v>
      </c>
      <c r="V113" t="str">
        <f>VLOOKUP(E113,Products!$A:$D,4,0)</f>
        <v>Tablets</v>
      </c>
      <c r="W113" t="str">
        <f>VLOOKUP(D113,Customers!$A:$C,3,0)</f>
        <v>B2B</v>
      </c>
      <c r="X113" t="str">
        <f>VLOOKUP(C113,Sales_Representatives!$A:$B,2,0)</f>
        <v>Jessica Anderson</v>
      </c>
    </row>
    <row r="114" spans="1:24" x14ac:dyDescent="0.3">
      <c r="A114" t="s">
        <v>268</v>
      </c>
      <c r="B114" t="s">
        <v>266</v>
      </c>
      <c r="C114" t="s">
        <v>31</v>
      </c>
      <c r="D114" t="s">
        <v>95</v>
      </c>
      <c r="E114" t="s">
        <v>200</v>
      </c>
      <c r="F114">
        <v>17</v>
      </c>
      <c r="G114">
        <v>544.77</v>
      </c>
      <c r="H114">
        <v>0.1</v>
      </c>
      <c r="I114" s="4">
        <v>8334.98</v>
      </c>
      <c r="J114" t="s">
        <v>34</v>
      </c>
      <c r="K114" t="s">
        <v>48</v>
      </c>
      <c r="L114" s="4">
        <f>VLOOKUP(tblTransactions[[#This Row],[Product_ID]],tblProducts[],5,FALSE)</f>
        <v>318.2</v>
      </c>
      <c r="M114" s="4">
        <f>tblTransactions[[#This Row],[Total_Amount]]-(tblTransactions[[#This Row],[Cost_Prices]]*tblTransactions[[#This Row],[Quantity]]*(1-tblTransactions[[#This Row],[Discount]]))</f>
        <v>3466.5199999999995</v>
      </c>
      <c r="N114" s="3">
        <f>tblTransactions[[#This Row],[Profit]]/tblTransactions[[#This Row],[Total_Amount]]</f>
        <v>0.41590021811690009</v>
      </c>
      <c r="O114" t="str">
        <f>TEXT(tblTransactions[[#This Row],[Date]], "MMM-YYYY")</f>
        <v>Jan-2023</v>
      </c>
      <c r="P114" t="str">
        <f>"Q"&amp;ROUNDUP(MONTH(tblTransactions[[#This Row],[Date]])/3,0)&amp;"-"&amp;YEAR(tblTransactions[[#This Row],[Date]])</f>
        <v>Q1-2023</v>
      </c>
      <c r="Q114">
        <f>YEAR(tblTransactions[[#This Row],[Date]])</f>
        <v>2023</v>
      </c>
      <c r="R114" t="str">
        <f>TEXT(tblTransactions[[#This Row],[Date]],"DDDD")</f>
        <v>Monday</v>
      </c>
      <c r="S114">
        <f>MONTH(tblTransactions[[#This Row],[Date]])</f>
        <v>1</v>
      </c>
      <c r="T114" t="str">
        <f>VLOOKUP(E114, Products!$A:$B,2,0)</f>
        <v>Desks Fur-4</v>
      </c>
      <c r="U114" t="str">
        <f>VLOOKUP(E114,Products!$A:$C,3,0)</f>
        <v>Furniture</v>
      </c>
      <c r="V114" t="str">
        <f>VLOOKUP(E114,Products!$A:$D,4,0)</f>
        <v>Desks</v>
      </c>
      <c r="W114" t="str">
        <f>VLOOKUP(D114,Customers!$A:$C,3,0)</f>
        <v>Enterprise</v>
      </c>
      <c r="X114" t="str">
        <f>VLOOKUP(C114,Sales_Representatives!$A:$B,2,0)</f>
        <v>Thomas Martinez</v>
      </c>
    </row>
    <row r="115" spans="1:24" x14ac:dyDescent="0.3">
      <c r="A115" t="s">
        <v>269</v>
      </c>
      <c r="B115" t="s">
        <v>266</v>
      </c>
      <c r="C115" t="s">
        <v>107</v>
      </c>
      <c r="D115" t="s">
        <v>210</v>
      </c>
      <c r="E115" t="s">
        <v>79</v>
      </c>
      <c r="F115">
        <v>12</v>
      </c>
      <c r="G115">
        <v>1452.36</v>
      </c>
      <c r="H115">
        <v>0.19</v>
      </c>
      <c r="I115" s="4">
        <v>14116.94</v>
      </c>
      <c r="J115" t="s">
        <v>109</v>
      </c>
      <c r="K115" t="s">
        <v>39</v>
      </c>
      <c r="L115" s="4">
        <f>VLOOKUP(tblTransactions[[#This Row],[Product_ID]],tblProducts[],5,FALSE)</f>
        <v>778.71</v>
      </c>
      <c r="M115" s="4">
        <f>tblTransactions[[#This Row],[Total_Amount]]-(tblTransactions[[#This Row],[Cost_Prices]]*tblTransactions[[#This Row],[Quantity]]*(1-tblTransactions[[#This Row],[Discount]]))</f>
        <v>6547.8787999999995</v>
      </c>
      <c r="N115" s="3">
        <f>tblTransactions[[#This Row],[Profit]]/tblTransactions[[#This Row],[Total_Amount]]</f>
        <v>0.4638313118848702</v>
      </c>
      <c r="O115" t="str">
        <f>TEXT(tblTransactions[[#This Row],[Date]], "MMM-YYYY")</f>
        <v>Jan-2023</v>
      </c>
      <c r="P115" t="str">
        <f>"Q"&amp;ROUNDUP(MONTH(tblTransactions[[#This Row],[Date]])/3,0)&amp;"-"&amp;YEAR(tblTransactions[[#This Row],[Date]])</f>
        <v>Q1-2023</v>
      </c>
      <c r="Q115">
        <f>YEAR(tblTransactions[[#This Row],[Date]])</f>
        <v>2023</v>
      </c>
      <c r="R115" t="str">
        <f>TEXT(tblTransactions[[#This Row],[Date]],"DDDD")</f>
        <v>Monday</v>
      </c>
      <c r="S115">
        <f>MONTH(tblTransactions[[#This Row],[Date]])</f>
        <v>1</v>
      </c>
      <c r="T115" t="str">
        <f>VLOOKUP(E115, Products!$A:$B,2,0)</f>
        <v>Tables Fur-2</v>
      </c>
      <c r="U115" t="str">
        <f>VLOOKUP(E115,Products!$A:$C,3,0)</f>
        <v>Furniture</v>
      </c>
      <c r="V115" t="str">
        <f>VLOOKUP(E115,Products!$A:$D,4,0)</f>
        <v>Tables</v>
      </c>
      <c r="W115" t="str">
        <f>VLOOKUP(D115,Customers!$A:$C,3,0)</f>
        <v>B2B</v>
      </c>
      <c r="X115" t="str">
        <f>VLOOKUP(C115,Sales_Representatives!$A:$B,2,0)</f>
        <v>Jennifer Brown</v>
      </c>
    </row>
    <row r="116" spans="1:24" x14ac:dyDescent="0.3">
      <c r="A116" t="s">
        <v>270</v>
      </c>
      <c r="B116" t="s">
        <v>266</v>
      </c>
      <c r="C116" t="s">
        <v>19</v>
      </c>
      <c r="D116" t="s">
        <v>203</v>
      </c>
      <c r="E116" t="s">
        <v>172</v>
      </c>
      <c r="F116">
        <v>30</v>
      </c>
      <c r="G116">
        <v>1371.15</v>
      </c>
      <c r="H116">
        <v>0.22</v>
      </c>
      <c r="I116" s="4">
        <v>32084.91</v>
      </c>
      <c r="J116" t="s">
        <v>21</v>
      </c>
      <c r="K116" t="s">
        <v>39</v>
      </c>
      <c r="L116" s="4">
        <f>VLOOKUP(tblTransactions[[#This Row],[Product_ID]],tblProducts[],5,FALSE)</f>
        <v>989.81</v>
      </c>
      <c r="M116" s="4">
        <f>tblTransactions[[#This Row],[Total_Amount]]-(tblTransactions[[#This Row],[Cost_Prices]]*tblTransactions[[#This Row],[Quantity]]*(1-tblTransactions[[#This Row],[Discount]]))</f>
        <v>8923.3559999999998</v>
      </c>
      <c r="N116" s="3">
        <f>tblTransactions[[#This Row],[Profit]]/tblTransactions[[#This Row],[Total_Amount]]</f>
        <v>0.27811690916384058</v>
      </c>
      <c r="O116" t="str">
        <f>TEXT(tblTransactions[[#This Row],[Date]], "MMM-YYYY")</f>
        <v>Jan-2023</v>
      </c>
      <c r="P116" t="str">
        <f>"Q"&amp;ROUNDUP(MONTH(tblTransactions[[#This Row],[Date]])/3,0)&amp;"-"&amp;YEAR(tblTransactions[[#This Row],[Date]])</f>
        <v>Q1-2023</v>
      </c>
      <c r="Q116">
        <f>YEAR(tblTransactions[[#This Row],[Date]])</f>
        <v>2023</v>
      </c>
      <c r="R116" t="str">
        <f>TEXT(tblTransactions[[#This Row],[Date]],"DDDD")</f>
        <v>Monday</v>
      </c>
      <c r="S116">
        <f>MONTH(tblTransactions[[#This Row],[Date]])</f>
        <v>1</v>
      </c>
      <c r="T116" t="str">
        <f>VLOOKUP(E116, Products!$A:$B,2,0)</f>
        <v>Cameras Ele-4</v>
      </c>
      <c r="U116" t="str">
        <f>VLOOKUP(E116,Products!$A:$C,3,0)</f>
        <v>Electronics</v>
      </c>
      <c r="V116" t="str">
        <f>VLOOKUP(E116,Products!$A:$D,4,0)</f>
        <v>Cameras</v>
      </c>
      <c r="W116" t="str">
        <f>VLOOKUP(D116,Customers!$A:$C,3,0)</f>
        <v>Enterprise</v>
      </c>
      <c r="X116" t="str">
        <f>VLOOKUP(C116,Sales_Representatives!$A:$B,2,0)</f>
        <v>Robert Jones</v>
      </c>
    </row>
    <row r="117" spans="1:24" x14ac:dyDescent="0.3">
      <c r="A117" t="s">
        <v>271</v>
      </c>
      <c r="B117" t="s">
        <v>272</v>
      </c>
      <c r="C117" t="s">
        <v>82</v>
      </c>
      <c r="D117" t="s">
        <v>212</v>
      </c>
      <c r="E117" t="s">
        <v>113</v>
      </c>
      <c r="F117">
        <v>1</v>
      </c>
      <c r="G117">
        <v>930.41</v>
      </c>
      <c r="H117">
        <v>0.04</v>
      </c>
      <c r="I117" s="4">
        <v>893.19</v>
      </c>
      <c r="J117" t="s">
        <v>34</v>
      </c>
      <c r="K117" t="s">
        <v>22</v>
      </c>
      <c r="L117" s="4">
        <f>VLOOKUP(tblTransactions[[#This Row],[Product_ID]],tblProducts[],5,FALSE)</f>
        <v>595.51</v>
      </c>
      <c r="M117" s="4">
        <f>tblTransactions[[#This Row],[Total_Amount]]-(tblTransactions[[#This Row],[Cost_Prices]]*tblTransactions[[#This Row],[Quantity]]*(1-tblTransactions[[#This Row],[Discount]]))</f>
        <v>321.50040000000013</v>
      </c>
      <c r="N117" s="3">
        <f>tblTransactions[[#This Row],[Profit]]/tblTransactions[[#This Row],[Total_Amount]]</f>
        <v>0.35994626003425934</v>
      </c>
      <c r="O117" t="str">
        <f>TEXT(tblTransactions[[#This Row],[Date]], "MMM-YYYY")</f>
        <v>Jan-2023</v>
      </c>
      <c r="P117" t="str">
        <f>"Q"&amp;ROUNDUP(MONTH(tblTransactions[[#This Row],[Date]])/3,0)&amp;"-"&amp;YEAR(tblTransactions[[#This Row],[Date]])</f>
        <v>Q1-2023</v>
      </c>
      <c r="Q117">
        <f>YEAR(tblTransactions[[#This Row],[Date]])</f>
        <v>2023</v>
      </c>
      <c r="R117" t="str">
        <f>TEXT(tblTransactions[[#This Row],[Date]],"DDDD")</f>
        <v>Tuesday</v>
      </c>
      <c r="S117">
        <f>MONTH(tblTransactions[[#This Row],[Date]])</f>
        <v>1</v>
      </c>
      <c r="T117" t="str">
        <f>VLOOKUP(E117, Products!$A:$B,2,0)</f>
        <v>Phones Ele-1</v>
      </c>
      <c r="U117" t="str">
        <f>VLOOKUP(E117,Products!$A:$C,3,0)</f>
        <v>Electronics</v>
      </c>
      <c r="V117" t="str">
        <f>VLOOKUP(E117,Products!$A:$D,4,0)</f>
        <v>Phones</v>
      </c>
      <c r="W117" t="str">
        <f>VLOOKUP(D117,Customers!$A:$C,3,0)</f>
        <v>B2C</v>
      </c>
      <c r="X117" t="str">
        <f>VLOOKUP(C117,Sales_Representatives!$A:$B,2,0)</f>
        <v>John Brown</v>
      </c>
    </row>
    <row r="118" spans="1:24" x14ac:dyDescent="0.3">
      <c r="A118" t="s">
        <v>273</v>
      </c>
      <c r="B118" t="s">
        <v>274</v>
      </c>
      <c r="C118" t="s">
        <v>127</v>
      </c>
      <c r="D118" t="s">
        <v>154</v>
      </c>
      <c r="E118" t="s">
        <v>68</v>
      </c>
      <c r="F118">
        <v>19</v>
      </c>
      <c r="G118">
        <v>522.63</v>
      </c>
      <c r="H118">
        <v>0.11</v>
      </c>
      <c r="I118" s="4">
        <v>8837.67</v>
      </c>
      <c r="J118" t="s">
        <v>109</v>
      </c>
      <c r="K118" t="s">
        <v>48</v>
      </c>
      <c r="L118" s="4">
        <f>VLOOKUP(tblTransactions[[#This Row],[Product_ID]],tblProducts[],5,FALSE)</f>
        <v>355.82</v>
      </c>
      <c r="M118" s="4">
        <f>tblTransactions[[#This Row],[Total_Amount]]-(tblTransactions[[#This Row],[Cost_Prices]]*tblTransactions[[#This Row],[Quantity]]*(1-tblTransactions[[#This Row],[Discount]]))</f>
        <v>2820.7538000000004</v>
      </c>
      <c r="N118" s="3">
        <f>tblTransactions[[#This Row],[Profit]]/tblTransactions[[#This Row],[Total_Amount]]</f>
        <v>0.31917392253840665</v>
      </c>
      <c r="O118" t="str">
        <f>TEXT(tblTransactions[[#This Row],[Date]], "MMM-YYYY")</f>
        <v>Jan-2023</v>
      </c>
      <c r="P118" t="str">
        <f>"Q"&amp;ROUNDUP(MONTH(tblTransactions[[#This Row],[Date]])/3,0)&amp;"-"&amp;YEAR(tblTransactions[[#This Row],[Date]])</f>
        <v>Q1-2023</v>
      </c>
      <c r="Q118">
        <f>YEAR(tblTransactions[[#This Row],[Date]])</f>
        <v>2023</v>
      </c>
      <c r="R118" t="str">
        <f>TEXT(tblTransactions[[#This Row],[Date]],"DDDD")</f>
        <v>Wednesday</v>
      </c>
      <c r="S118">
        <f>MONTH(tblTransactions[[#This Row],[Date]])</f>
        <v>1</v>
      </c>
      <c r="T118" t="str">
        <f>VLOOKUP(E118, Products!$A:$B,2,0)</f>
        <v>Monitors Tec-3</v>
      </c>
      <c r="U118" t="str">
        <f>VLOOKUP(E118,Products!$A:$C,3,0)</f>
        <v>Technology</v>
      </c>
      <c r="V118" t="str">
        <f>VLOOKUP(E118,Products!$A:$D,4,0)</f>
        <v>Monitors</v>
      </c>
      <c r="W118" t="str">
        <f>VLOOKUP(D118,Customers!$A:$C,3,0)</f>
        <v>B2B</v>
      </c>
      <c r="X118" t="str">
        <f>VLOOKUP(C118,Sales_Representatives!$A:$B,2,0)</f>
        <v>Emily Hernandez</v>
      </c>
    </row>
    <row r="119" spans="1:24" x14ac:dyDescent="0.3">
      <c r="A119" t="s">
        <v>275</v>
      </c>
      <c r="B119" t="s">
        <v>274</v>
      </c>
      <c r="C119" t="s">
        <v>63</v>
      </c>
      <c r="D119" t="s">
        <v>28</v>
      </c>
      <c r="E119" t="s">
        <v>113</v>
      </c>
      <c r="F119">
        <v>17</v>
      </c>
      <c r="G119">
        <v>930.41</v>
      </c>
      <c r="H119">
        <v>0.14000000000000001</v>
      </c>
      <c r="I119" s="4">
        <v>13602.59</v>
      </c>
      <c r="J119" t="s">
        <v>21</v>
      </c>
      <c r="K119" t="s">
        <v>39</v>
      </c>
      <c r="L119" s="4">
        <f>VLOOKUP(tblTransactions[[#This Row],[Product_ID]],tblProducts[],5,FALSE)</f>
        <v>595.51</v>
      </c>
      <c r="M119" s="4">
        <f>tblTransactions[[#This Row],[Total_Amount]]-(tblTransactions[[#This Row],[Cost_Prices]]*tblTransactions[[#This Row],[Quantity]]*(1-tblTransactions[[#This Row],[Discount]]))</f>
        <v>4896.2338</v>
      </c>
      <c r="N119" s="3">
        <f>tblTransactions[[#This Row],[Profit]]/tblTransactions[[#This Row],[Total_Amount]]</f>
        <v>0.35994864213359368</v>
      </c>
      <c r="O119" t="str">
        <f>TEXT(tblTransactions[[#This Row],[Date]], "MMM-YYYY")</f>
        <v>Jan-2023</v>
      </c>
      <c r="P119" t="str">
        <f>"Q"&amp;ROUNDUP(MONTH(tblTransactions[[#This Row],[Date]])/3,0)&amp;"-"&amp;YEAR(tblTransactions[[#This Row],[Date]])</f>
        <v>Q1-2023</v>
      </c>
      <c r="Q119">
        <f>YEAR(tblTransactions[[#This Row],[Date]])</f>
        <v>2023</v>
      </c>
      <c r="R119" t="str">
        <f>TEXT(tblTransactions[[#This Row],[Date]],"DDDD")</f>
        <v>Wednesday</v>
      </c>
      <c r="S119">
        <f>MONTH(tblTransactions[[#This Row],[Date]])</f>
        <v>1</v>
      </c>
      <c r="T119" t="str">
        <f>VLOOKUP(E119, Products!$A:$B,2,0)</f>
        <v>Phones Ele-1</v>
      </c>
      <c r="U119" t="str">
        <f>VLOOKUP(E119,Products!$A:$C,3,0)</f>
        <v>Electronics</v>
      </c>
      <c r="V119" t="str">
        <f>VLOOKUP(E119,Products!$A:$D,4,0)</f>
        <v>Phones</v>
      </c>
      <c r="W119" t="str">
        <f>VLOOKUP(D119,Customers!$A:$C,3,0)</f>
        <v>B2B</v>
      </c>
      <c r="X119" t="str">
        <f>VLOOKUP(C119,Sales_Representatives!$A:$B,2,0)</f>
        <v>Richard Wilson</v>
      </c>
    </row>
    <row r="120" spans="1:24" x14ac:dyDescent="0.3">
      <c r="A120" t="s">
        <v>276</v>
      </c>
      <c r="B120" t="s">
        <v>274</v>
      </c>
      <c r="C120" t="s">
        <v>107</v>
      </c>
      <c r="D120" t="s">
        <v>115</v>
      </c>
      <c r="E120" t="s">
        <v>129</v>
      </c>
      <c r="F120">
        <v>7</v>
      </c>
      <c r="G120">
        <v>1283.71</v>
      </c>
      <c r="H120">
        <v>0.06</v>
      </c>
      <c r="I120" s="4">
        <v>8446.81</v>
      </c>
      <c r="J120" t="s">
        <v>109</v>
      </c>
      <c r="K120" t="s">
        <v>48</v>
      </c>
      <c r="L120" s="4">
        <f>VLOOKUP(tblTransactions[[#This Row],[Product_ID]],tblProducts[],5,FALSE)</f>
        <v>970.14</v>
      </c>
      <c r="M120" s="4">
        <f>tblTransactions[[#This Row],[Total_Amount]]-(tblTransactions[[#This Row],[Cost_Prices]]*tblTransactions[[#This Row],[Quantity]]*(1-tblTransactions[[#This Row],[Discount]]))</f>
        <v>2063.2888000000003</v>
      </c>
      <c r="N120" s="3">
        <f>tblTransactions[[#This Row],[Profit]]/tblTransactions[[#This Row],[Total_Amount]]</f>
        <v>0.24426840428516805</v>
      </c>
      <c r="O120" t="str">
        <f>TEXT(tblTransactions[[#This Row],[Date]], "MMM-YYYY")</f>
        <v>Jan-2023</v>
      </c>
      <c r="P120" t="str">
        <f>"Q"&amp;ROUNDUP(MONTH(tblTransactions[[#This Row],[Date]])/3,0)&amp;"-"&amp;YEAR(tblTransactions[[#This Row],[Date]])</f>
        <v>Q1-2023</v>
      </c>
      <c r="Q120">
        <f>YEAR(tblTransactions[[#This Row],[Date]])</f>
        <v>2023</v>
      </c>
      <c r="R120" t="str">
        <f>TEXT(tblTransactions[[#This Row],[Date]],"DDDD")</f>
        <v>Wednesday</v>
      </c>
      <c r="S120">
        <f>MONTH(tblTransactions[[#This Row],[Date]])</f>
        <v>1</v>
      </c>
      <c r="T120" t="str">
        <f>VLOOKUP(E120, Products!$A:$B,2,0)</f>
        <v>Cameras Ele-3</v>
      </c>
      <c r="U120" t="str">
        <f>VLOOKUP(E120,Products!$A:$C,3,0)</f>
        <v>Electronics</v>
      </c>
      <c r="V120" t="str">
        <f>VLOOKUP(E120,Products!$A:$D,4,0)</f>
        <v>Cameras</v>
      </c>
      <c r="W120" t="str">
        <f>VLOOKUP(D120,Customers!$A:$C,3,0)</f>
        <v>B2C</v>
      </c>
      <c r="X120" t="str">
        <f>VLOOKUP(C120,Sales_Representatives!$A:$B,2,0)</f>
        <v>Jennifer Brown</v>
      </c>
    </row>
    <row r="121" spans="1:24" x14ac:dyDescent="0.3">
      <c r="A121" t="s">
        <v>277</v>
      </c>
      <c r="B121" t="s">
        <v>274</v>
      </c>
      <c r="C121" t="s">
        <v>131</v>
      </c>
      <c r="D121" t="s">
        <v>136</v>
      </c>
      <c r="E121" t="s">
        <v>25</v>
      </c>
      <c r="F121">
        <v>3</v>
      </c>
      <c r="G121">
        <v>1467.49</v>
      </c>
      <c r="H121">
        <v>0.01</v>
      </c>
      <c r="I121" s="4">
        <v>4358.45</v>
      </c>
      <c r="J121" t="s">
        <v>44</v>
      </c>
      <c r="K121" t="s">
        <v>17</v>
      </c>
      <c r="L121" s="4">
        <f>VLOOKUP(tblTransactions[[#This Row],[Product_ID]],tblProducts[],5,FALSE)</f>
        <v>757.65</v>
      </c>
      <c r="M121" s="4">
        <f>tblTransactions[[#This Row],[Total_Amount]]-(tblTransactions[[#This Row],[Cost_Prices]]*tblTransactions[[#This Row],[Quantity]]*(1-tblTransactions[[#This Row],[Discount]]))</f>
        <v>2108.2294999999999</v>
      </c>
      <c r="N121" s="3">
        <f>tblTransactions[[#This Row],[Profit]]/tblTransactions[[#This Row],[Total_Amount]]</f>
        <v>0.48371083756840161</v>
      </c>
      <c r="O121" t="str">
        <f>TEXT(tblTransactions[[#This Row],[Date]], "MMM-YYYY")</f>
        <v>Jan-2023</v>
      </c>
      <c r="P121" t="str">
        <f>"Q"&amp;ROUNDUP(MONTH(tblTransactions[[#This Row],[Date]])/3,0)&amp;"-"&amp;YEAR(tblTransactions[[#This Row],[Date]])</f>
        <v>Q1-2023</v>
      </c>
      <c r="Q121">
        <f>YEAR(tblTransactions[[#This Row],[Date]])</f>
        <v>2023</v>
      </c>
      <c r="R121" t="str">
        <f>TEXT(tblTransactions[[#This Row],[Date]],"DDDD")</f>
        <v>Wednesday</v>
      </c>
      <c r="S121">
        <f>MONTH(tblTransactions[[#This Row],[Date]])</f>
        <v>1</v>
      </c>
      <c r="T121" t="str">
        <f>VLOOKUP(E121, Products!$A:$B,2,0)</f>
        <v>Tables Fur-3</v>
      </c>
      <c r="U121" t="str">
        <f>VLOOKUP(E121,Products!$A:$C,3,0)</f>
        <v>Furniture</v>
      </c>
      <c r="V121" t="str">
        <f>VLOOKUP(E121,Products!$A:$D,4,0)</f>
        <v>Tables</v>
      </c>
      <c r="W121" t="str">
        <f>VLOOKUP(D121,Customers!$A:$C,3,0)</f>
        <v>B2B</v>
      </c>
      <c r="X121" t="str">
        <f>VLOOKUP(C121,Sales_Representatives!$A:$B,2,0)</f>
        <v>Michael Davis</v>
      </c>
    </row>
    <row r="122" spans="1:24" x14ac:dyDescent="0.3">
      <c r="A122" t="s">
        <v>278</v>
      </c>
      <c r="B122" t="s">
        <v>274</v>
      </c>
      <c r="C122" t="s">
        <v>63</v>
      </c>
      <c r="D122" t="s">
        <v>190</v>
      </c>
      <c r="E122" t="s">
        <v>105</v>
      </c>
      <c r="F122">
        <v>2</v>
      </c>
      <c r="G122">
        <v>1342.04</v>
      </c>
      <c r="H122">
        <v>0.01</v>
      </c>
      <c r="I122" s="4">
        <v>2657.24</v>
      </c>
      <c r="J122" t="s">
        <v>21</v>
      </c>
      <c r="K122" t="s">
        <v>22</v>
      </c>
      <c r="L122" s="4">
        <f>VLOOKUP(tblTransactions[[#This Row],[Product_ID]],tblProducts[],5,FALSE)</f>
        <v>792.89</v>
      </c>
      <c r="M122" s="4">
        <f>tblTransactions[[#This Row],[Total_Amount]]-(tblTransactions[[#This Row],[Cost_Prices]]*tblTransactions[[#This Row],[Quantity]]*(1-tblTransactions[[#This Row],[Discount]]))</f>
        <v>1087.3177999999998</v>
      </c>
      <c r="N122" s="3">
        <f>tblTransactions[[#This Row],[Profit]]/tblTransactions[[#This Row],[Total_Amount]]</f>
        <v>0.40919066399723014</v>
      </c>
      <c r="O122" t="str">
        <f>TEXT(tblTransactions[[#This Row],[Date]], "MMM-YYYY")</f>
        <v>Jan-2023</v>
      </c>
      <c r="P122" t="str">
        <f>"Q"&amp;ROUNDUP(MONTH(tblTransactions[[#This Row],[Date]])/3,0)&amp;"-"&amp;YEAR(tblTransactions[[#This Row],[Date]])</f>
        <v>Q1-2023</v>
      </c>
      <c r="Q122">
        <f>YEAR(tblTransactions[[#This Row],[Date]])</f>
        <v>2023</v>
      </c>
      <c r="R122" t="str">
        <f>TEXT(tblTransactions[[#This Row],[Date]],"DDDD")</f>
        <v>Wednesday</v>
      </c>
      <c r="S122">
        <f>MONTH(tblTransactions[[#This Row],[Date]])</f>
        <v>1</v>
      </c>
      <c r="T122" t="str">
        <f>VLOOKUP(E122, Products!$A:$B,2,0)</f>
        <v>Cameras Ele-1</v>
      </c>
      <c r="U122" t="str">
        <f>VLOOKUP(E122,Products!$A:$C,3,0)</f>
        <v>Electronics</v>
      </c>
      <c r="V122" t="str">
        <f>VLOOKUP(E122,Products!$A:$D,4,0)</f>
        <v>Cameras</v>
      </c>
      <c r="W122" t="str">
        <f>VLOOKUP(D122,Customers!$A:$C,3,0)</f>
        <v>B2B</v>
      </c>
      <c r="X122" t="str">
        <f>VLOOKUP(C122,Sales_Representatives!$A:$B,2,0)</f>
        <v>Richard Wilson</v>
      </c>
    </row>
    <row r="123" spans="1:24" x14ac:dyDescent="0.3">
      <c r="A123" t="s">
        <v>279</v>
      </c>
      <c r="B123" t="s">
        <v>274</v>
      </c>
      <c r="C123" t="s">
        <v>75</v>
      </c>
      <c r="D123" t="s">
        <v>212</v>
      </c>
      <c r="E123" t="s">
        <v>194</v>
      </c>
      <c r="F123">
        <v>2</v>
      </c>
      <c r="G123">
        <v>82.84</v>
      </c>
      <c r="H123">
        <v>0.02</v>
      </c>
      <c r="I123" s="4">
        <v>162.37</v>
      </c>
      <c r="J123" t="s">
        <v>44</v>
      </c>
      <c r="K123" t="s">
        <v>48</v>
      </c>
      <c r="L123" s="4">
        <f>VLOOKUP(tblTransactions[[#This Row],[Product_ID]],tblProducts[],5,FALSE)</f>
        <v>52.98</v>
      </c>
      <c r="M123" s="4">
        <f>tblTransactions[[#This Row],[Total_Amount]]-(tblTransactions[[#This Row],[Cost_Prices]]*tblTransactions[[#This Row],[Quantity]]*(1-tblTransactions[[#This Row],[Discount]]))</f>
        <v>58.529200000000017</v>
      </c>
      <c r="N123" s="3">
        <f>tblTransactions[[#This Row],[Profit]]/tblTransactions[[#This Row],[Total_Amount]]</f>
        <v>0.36046806676110127</v>
      </c>
      <c r="O123" t="str">
        <f>TEXT(tblTransactions[[#This Row],[Date]], "MMM-YYYY")</f>
        <v>Jan-2023</v>
      </c>
      <c r="P123" t="str">
        <f>"Q"&amp;ROUNDUP(MONTH(tblTransactions[[#This Row],[Date]])/3,0)&amp;"-"&amp;YEAR(tblTransactions[[#This Row],[Date]])</f>
        <v>Q1-2023</v>
      </c>
      <c r="Q123">
        <f>YEAR(tblTransactions[[#This Row],[Date]])</f>
        <v>2023</v>
      </c>
      <c r="R123" t="str">
        <f>TEXT(tblTransactions[[#This Row],[Date]],"DDDD")</f>
        <v>Wednesday</v>
      </c>
      <c r="S123">
        <f>MONTH(tblTransactions[[#This Row],[Date]])</f>
        <v>1</v>
      </c>
      <c r="T123" t="str">
        <f>VLOOKUP(E123, Products!$A:$B,2,0)</f>
        <v>Binders Off-2</v>
      </c>
      <c r="U123" t="str">
        <f>VLOOKUP(E123,Products!$A:$C,3,0)</f>
        <v>Office Supplies</v>
      </c>
      <c r="V123" t="str">
        <f>VLOOKUP(E123,Products!$A:$D,4,0)</f>
        <v>Binders</v>
      </c>
      <c r="W123" t="str">
        <f>VLOOKUP(D123,Customers!$A:$C,3,0)</f>
        <v>B2C</v>
      </c>
      <c r="X123" t="str">
        <f>VLOOKUP(C123,Sales_Representatives!$A:$B,2,0)</f>
        <v>Jessica Anderson</v>
      </c>
    </row>
    <row r="124" spans="1:24" x14ac:dyDescent="0.3">
      <c r="A124" t="s">
        <v>280</v>
      </c>
      <c r="B124" t="s">
        <v>281</v>
      </c>
      <c r="C124" t="s">
        <v>19</v>
      </c>
      <c r="D124" t="s">
        <v>154</v>
      </c>
      <c r="E124" t="s">
        <v>96</v>
      </c>
      <c r="F124">
        <v>14</v>
      </c>
      <c r="G124">
        <v>751.9</v>
      </c>
      <c r="H124">
        <v>0.16</v>
      </c>
      <c r="I124" s="4">
        <v>8842.34</v>
      </c>
      <c r="J124" t="s">
        <v>21</v>
      </c>
      <c r="K124" t="s">
        <v>39</v>
      </c>
      <c r="L124" s="4">
        <f>VLOOKUP(tblTransactions[[#This Row],[Product_ID]],tblProducts[],5,FALSE)</f>
        <v>570.29</v>
      </c>
      <c r="M124" s="4">
        <f>tblTransactions[[#This Row],[Total_Amount]]-(tblTransactions[[#This Row],[Cost_Prices]]*tblTransactions[[#This Row],[Quantity]]*(1-tblTransactions[[#This Row],[Discount]]))</f>
        <v>2135.7296000000006</v>
      </c>
      <c r="N124" s="3">
        <f>tblTransactions[[#This Row],[Profit]]/tblTransactions[[#This Row],[Total_Amount]]</f>
        <v>0.24153443545486833</v>
      </c>
      <c r="O124" t="str">
        <f>TEXT(tblTransactions[[#This Row],[Date]], "MMM-YYYY")</f>
        <v>Jan-2023</v>
      </c>
      <c r="P124" t="str">
        <f>"Q"&amp;ROUNDUP(MONTH(tblTransactions[[#This Row],[Date]])/3,0)&amp;"-"&amp;YEAR(tblTransactions[[#This Row],[Date]])</f>
        <v>Q1-2023</v>
      </c>
      <c r="Q124">
        <f>YEAR(tblTransactions[[#This Row],[Date]])</f>
        <v>2023</v>
      </c>
      <c r="R124" t="str">
        <f>TEXT(tblTransactions[[#This Row],[Date]],"DDDD")</f>
        <v>Thursday</v>
      </c>
      <c r="S124">
        <f>MONTH(tblTransactions[[#This Row],[Date]])</f>
        <v>1</v>
      </c>
      <c r="T124" t="str">
        <f>VLOOKUP(E124, Products!$A:$B,2,0)</f>
        <v>Routers Tec-1</v>
      </c>
      <c r="U124" t="str">
        <f>VLOOKUP(E124,Products!$A:$C,3,0)</f>
        <v>Technology</v>
      </c>
      <c r="V124" t="str">
        <f>VLOOKUP(E124,Products!$A:$D,4,0)</f>
        <v>Routers</v>
      </c>
      <c r="W124" t="str">
        <f>VLOOKUP(D124,Customers!$A:$C,3,0)</f>
        <v>B2B</v>
      </c>
      <c r="X124" t="str">
        <f>VLOOKUP(C124,Sales_Representatives!$A:$B,2,0)</f>
        <v>Robert Jones</v>
      </c>
    </row>
    <row r="125" spans="1:24" x14ac:dyDescent="0.3">
      <c r="A125" t="s">
        <v>282</v>
      </c>
      <c r="B125" t="s">
        <v>281</v>
      </c>
      <c r="C125" t="s">
        <v>31</v>
      </c>
      <c r="D125" t="s">
        <v>118</v>
      </c>
      <c r="E125" t="s">
        <v>283</v>
      </c>
      <c r="F125">
        <v>6</v>
      </c>
      <c r="G125">
        <v>456.88</v>
      </c>
      <c r="H125">
        <v>0.13</v>
      </c>
      <c r="I125" s="4">
        <v>2384.91</v>
      </c>
      <c r="J125" t="s">
        <v>34</v>
      </c>
      <c r="K125" t="s">
        <v>17</v>
      </c>
      <c r="L125" s="4">
        <f>VLOOKUP(tblTransactions[[#This Row],[Product_ID]],tblProducts[],5,FALSE)</f>
        <v>313.23</v>
      </c>
      <c r="M125" s="4">
        <f>tblTransactions[[#This Row],[Total_Amount]]-(tblTransactions[[#This Row],[Cost_Prices]]*tblTransactions[[#This Row],[Quantity]]*(1-tblTransactions[[#This Row],[Discount]]))</f>
        <v>749.84939999999983</v>
      </c>
      <c r="N125" s="3">
        <f>tblTransactions[[#This Row],[Profit]]/tblTransactions[[#This Row],[Total_Amount]]</f>
        <v>0.31441412883505032</v>
      </c>
      <c r="O125" t="str">
        <f>TEXT(tblTransactions[[#This Row],[Date]], "MMM-YYYY")</f>
        <v>Jan-2023</v>
      </c>
      <c r="P125" t="str">
        <f>"Q"&amp;ROUNDUP(MONTH(tblTransactions[[#This Row],[Date]])/3,0)&amp;"-"&amp;YEAR(tblTransactions[[#This Row],[Date]])</f>
        <v>Q1-2023</v>
      </c>
      <c r="Q125">
        <f>YEAR(tblTransactions[[#This Row],[Date]])</f>
        <v>2023</v>
      </c>
      <c r="R125" t="str">
        <f>TEXT(tblTransactions[[#This Row],[Date]],"DDDD")</f>
        <v>Thursday</v>
      </c>
      <c r="S125">
        <f>MONTH(tblTransactions[[#This Row],[Date]])</f>
        <v>1</v>
      </c>
      <c r="T125" t="str">
        <f>VLOOKUP(E125, Products!$A:$B,2,0)</f>
        <v>Chairs Fur-3</v>
      </c>
      <c r="U125" t="str">
        <f>VLOOKUP(E125,Products!$A:$C,3,0)</f>
        <v>Furniture</v>
      </c>
      <c r="V125" t="str">
        <f>VLOOKUP(E125,Products!$A:$D,4,0)</f>
        <v>Chairs</v>
      </c>
      <c r="W125" t="str">
        <f>VLOOKUP(D125,Customers!$A:$C,3,0)</f>
        <v>B2C</v>
      </c>
      <c r="X125" t="str">
        <f>VLOOKUP(C125,Sales_Representatives!$A:$B,2,0)</f>
        <v>Thomas Martinez</v>
      </c>
    </row>
    <row r="126" spans="1:24" x14ac:dyDescent="0.3">
      <c r="A126" t="s">
        <v>284</v>
      </c>
      <c r="B126" t="s">
        <v>281</v>
      </c>
      <c r="C126" t="s">
        <v>13</v>
      </c>
      <c r="D126" t="s">
        <v>118</v>
      </c>
      <c r="E126" t="s">
        <v>224</v>
      </c>
      <c r="F126">
        <v>3</v>
      </c>
      <c r="G126">
        <v>505.37</v>
      </c>
      <c r="H126">
        <v>7.0000000000000007E-2</v>
      </c>
      <c r="I126" s="4">
        <v>1409.98</v>
      </c>
      <c r="J126" t="s">
        <v>16</v>
      </c>
      <c r="K126" t="s">
        <v>39</v>
      </c>
      <c r="L126" s="4">
        <f>VLOOKUP(tblTransactions[[#This Row],[Product_ID]],tblProducts[],5,FALSE)</f>
        <v>281.14999999999998</v>
      </c>
      <c r="M126" s="4">
        <f>tblTransactions[[#This Row],[Total_Amount]]-(tblTransactions[[#This Row],[Cost_Prices]]*tblTransactions[[#This Row],[Quantity]]*(1-tblTransactions[[#This Row],[Discount]]))</f>
        <v>625.57150000000013</v>
      </c>
      <c r="N126" s="3">
        <f>tblTransactions[[#This Row],[Profit]]/tblTransactions[[#This Row],[Total_Amount]]</f>
        <v>0.44367402374501774</v>
      </c>
      <c r="O126" t="str">
        <f>TEXT(tblTransactions[[#This Row],[Date]], "MMM-YYYY")</f>
        <v>Jan-2023</v>
      </c>
      <c r="P126" t="str">
        <f>"Q"&amp;ROUNDUP(MONTH(tblTransactions[[#This Row],[Date]])/3,0)&amp;"-"&amp;YEAR(tblTransactions[[#This Row],[Date]])</f>
        <v>Q1-2023</v>
      </c>
      <c r="Q126">
        <f>YEAR(tblTransactions[[#This Row],[Date]])</f>
        <v>2023</v>
      </c>
      <c r="R126" t="str">
        <f>TEXT(tblTransactions[[#This Row],[Date]],"DDDD")</f>
        <v>Thursday</v>
      </c>
      <c r="S126">
        <f>MONTH(tblTransactions[[#This Row],[Date]])</f>
        <v>1</v>
      </c>
      <c r="T126" t="str">
        <f>VLOOKUP(E126, Products!$A:$B,2,0)</f>
        <v>Desks Fur-3</v>
      </c>
      <c r="U126" t="str">
        <f>VLOOKUP(E126,Products!$A:$C,3,0)</f>
        <v>Furniture</v>
      </c>
      <c r="V126" t="str">
        <f>VLOOKUP(E126,Products!$A:$D,4,0)</f>
        <v>Desks</v>
      </c>
      <c r="W126" t="str">
        <f>VLOOKUP(D126,Customers!$A:$C,3,0)</f>
        <v>B2C</v>
      </c>
      <c r="X126" t="str">
        <f>VLOOKUP(C126,Sales_Representatives!$A:$B,2,0)</f>
        <v>Jennifer Rodriguez</v>
      </c>
    </row>
    <row r="127" spans="1:24" x14ac:dyDescent="0.3">
      <c r="A127" t="s">
        <v>285</v>
      </c>
      <c r="B127" t="s">
        <v>281</v>
      </c>
      <c r="C127" t="s">
        <v>13</v>
      </c>
      <c r="D127" t="s">
        <v>52</v>
      </c>
      <c r="E127" t="s">
        <v>125</v>
      </c>
      <c r="F127">
        <v>1</v>
      </c>
      <c r="G127">
        <v>1201.4000000000001</v>
      </c>
      <c r="H127">
        <v>0.03</v>
      </c>
      <c r="I127" s="4">
        <v>1165.3599999999999</v>
      </c>
      <c r="J127" t="s">
        <v>16</v>
      </c>
      <c r="K127" t="s">
        <v>48</v>
      </c>
      <c r="L127" s="4">
        <f>VLOOKUP(tblTransactions[[#This Row],[Product_ID]],tblProducts[],5,FALSE)</f>
        <v>672.72</v>
      </c>
      <c r="M127" s="4">
        <f>tblTransactions[[#This Row],[Total_Amount]]-(tblTransactions[[#This Row],[Cost_Prices]]*tblTransactions[[#This Row],[Quantity]]*(1-tblTransactions[[#This Row],[Discount]]))</f>
        <v>512.82159999999988</v>
      </c>
      <c r="N127" s="3">
        <f>tblTransactions[[#This Row],[Profit]]/tblTransactions[[#This Row],[Total_Amount]]</f>
        <v>0.44005423216860018</v>
      </c>
      <c r="O127" t="str">
        <f>TEXT(tblTransactions[[#This Row],[Date]], "MMM-YYYY")</f>
        <v>Jan-2023</v>
      </c>
      <c r="P127" t="str">
        <f>"Q"&amp;ROUNDUP(MONTH(tblTransactions[[#This Row],[Date]])/3,0)&amp;"-"&amp;YEAR(tblTransactions[[#This Row],[Date]])</f>
        <v>Q1-2023</v>
      </c>
      <c r="Q127">
        <f>YEAR(tblTransactions[[#This Row],[Date]])</f>
        <v>2023</v>
      </c>
      <c r="R127" t="str">
        <f>TEXT(tblTransactions[[#This Row],[Date]],"DDDD")</f>
        <v>Thursday</v>
      </c>
      <c r="S127">
        <f>MONTH(tblTransactions[[#This Row],[Date]])</f>
        <v>1</v>
      </c>
      <c r="T127" t="str">
        <f>VLOOKUP(E127, Products!$A:$B,2,0)</f>
        <v>Printers Tec-2</v>
      </c>
      <c r="U127" t="str">
        <f>VLOOKUP(E127,Products!$A:$C,3,0)</f>
        <v>Technology</v>
      </c>
      <c r="V127" t="str">
        <f>VLOOKUP(E127,Products!$A:$D,4,0)</f>
        <v>Printers</v>
      </c>
      <c r="W127" t="str">
        <f>VLOOKUP(D127,Customers!$A:$C,3,0)</f>
        <v>B2C</v>
      </c>
      <c r="X127" t="str">
        <f>VLOOKUP(C127,Sales_Representatives!$A:$B,2,0)</f>
        <v>Jennifer Rodriguez</v>
      </c>
    </row>
    <row r="128" spans="1:24" x14ac:dyDescent="0.3">
      <c r="A128" t="s">
        <v>286</v>
      </c>
      <c r="B128" t="s">
        <v>287</v>
      </c>
      <c r="C128" t="s">
        <v>27</v>
      </c>
      <c r="D128" t="s">
        <v>288</v>
      </c>
      <c r="E128" t="s">
        <v>72</v>
      </c>
      <c r="F128">
        <v>7</v>
      </c>
      <c r="G128">
        <v>404.76</v>
      </c>
      <c r="H128">
        <v>0.13</v>
      </c>
      <c r="I128" s="4">
        <v>2464.9899999999998</v>
      </c>
      <c r="J128" t="s">
        <v>16</v>
      </c>
      <c r="K128" t="s">
        <v>22</v>
      </c>
      <c r="L128" s="4">
        <f>VLOOKUP(tblTransactions[[#This Row],[Product_ID]],tblProducts[],5,FALSE)</f>
        <v>226.76</v>
      </c>
      <c r="M128" s="4">
        <f>tblTransactions[[#This Row],[Total_Amount]]-(tblTransactions[[#This Row],[Cost_Prices]]*tblTransactions[[#This Row],[Quantity]]*(1-tblTransactions[[#This Row],[Discount]]))</f>
        <v>1084.0215999999998</v>
      </c>
      <c r="N128" s="3">
        <f>tblTransactions[[#This Row],[Profit]]/tblTransactions[[#This Row],[Total_Amount]]</f>
        <v>0.43976713901476272</v>
      </c>
      <c r="O128" t="str">
        <f>TEXT(tblTransactions[[#This Row],[Date]], "MMM-YYYY")</f>
        <v>Jan-2023</v>
      </c>
      <c r="P128" t="str">
        <f>"Q"&amp;ROUNDUP(MONTH(tblTransactions[[#This Row],[Date]])/3,0)&amp;"-"&amp;YEAR(tblTransactions[[#This Row],[Date]])</f>
        <v>Q1-2023</v>
      </c>
      <c r="Q128">
        <f>YEAR(tblTransactions[[#This Row],[Date]])</f>
        <v>2023</v>
      </c>
      <c r="R128" t="str">
        <f>TEXT(tblTransactions[[#This Row],[Date]],"DDDD")</f>
        <v>Friday</v>
      </c>
      <c r="S128">
        <f>MONTH(tblTransactions[[#This Row],[Date]])</f>
        <v>1</v>
      </c>
      <c r="T128" t="str">
        <f>VLOOKUP(E128, Products!$A:$B,2,0)</f>
        <v>Tablets Ele-2</v>
      </c>
      <c r="U128" t="str">
        <f>VLOOKUP(E128,Products!$A:$C,3,0)</f>
        <v>Electronics</v>
      </c>
      <c r="V128" t="str">
        <f>VLOOKUP(E128,Products!$A:$D,4,0)</f>
        <v>Tablets</v>
      </c>
      <c r="W128" t="str">
        <f>VLOOKUP(D128,Customers!$A:$C,3,0)</f>
        <v>B2C</v>
      </c>
      <c r="X128" t="str">
        <f>VLOOKUP(C128,Sales_Representatives!$A:$B,2,0)</f>
        <v>Thomas Lopez</v>
      </c>
    </row>
    <row r="129" spans="1:24" x14ac:dyDescent="0.3">
      <c r="A129" t="s">
        <v>289</v>
      </c>
      <c r="B129" t="s">
        <v>287</v>
      </c>
      <c r="C129" t="s">
        <v>56</v>
      </c>
      <c r="D129" t="s">
        <v>132</v>
      </c>
      <c r="E129" t="s">
        <v>290</v>
      </c>
      <c r="F129">
        <v>5</v>
      </c>
      <c r="G129">
        <v>729.32</v>
      </c>
      <c r="H129">
        <v>0.06</v>
      </c>
      <c r="I129" s="4">
        <v>3427.8</v>
      </c>
      <c r="J129" t="s">
        <v>34</v>
      </c>
      <c r="K129" t="s">
        <v>48</v>
      </c>
      <c r="L129" s="4">
        <f>VLOOKUP(tblTransactions[[#This Row],[Product_ID]],tblProducts[],5,FALSE)</f>
        <v>482.7</v>
      </c>
      <c r="M129" s="4">
        <f>tblTransactions[[#This Row],[Total_Amount]]-(tblTransactions[[#This Row],[Cost_Prices]]*tblTransactions[[#This Row],[Quantity]]*(1-tblTransactions[[#This Row],[Discount]]))</f>
        <v>1159.1100000000001</v>
      </c>
      <c r="N129" s="3">
        <f>tblTransactions[[#This Row],[Profit]]/tblTransactions[[#This Row],[Total_Amount]]</f>
        <v>0.33814983371258533</v>
      </c>
      <c r="O129" t="str">
        <f>TEXT(tblTransactions[[#This Row],[Date]], "MMM-YYYY")</f>
        <v>Jan-2023</v>
      </c>
      <c r="P129" t="str">
        <f>"Q"&amp;ROUNDUP(MONTH(tblTransactions[[#This Row],[Date]])/3,0)&amp;"-"&amp;YEAR(tblTransactions[[#This Row],[Date]])</f>
        <v>Q1-2023</v>
      </c>
      <c r="Q129">
        <f>YEAR(tblTransactions[[#This Row],[Date]])</f>
        <v>2023</v>
      </c>
      <c r="R129" t="str">
        <f>TEXT(tblTransactions[[#This Row],[Date]],"DDDD")</f>
        <v>Friday</v>
      </c>
      <c r="S129">
        <f>MONTH(tblTransactions[[#This Row],[Date]])</f>
        <v>1</v>
      </c>
      <c r="T129" t="str">
        <f>VLOOKUP(E129, Products!$A:$B,2,0)</f>
        <v>Tables Fur-1</v>
      </c>
      <c r="U129" t="str">
        <f>VLOOKUP(E129,Products!$A:$C,3,0)</f>
        <v>Furniture</v>
      </c>
      <c r="V129" t="str">
        <f>VLOOKUP(E129,Products!$A:$D,4,0)</f>
        <v>Tables</v>
      </c>
      <c r="W129" t="str">
        <f>VLOOKUP(D129,Customers!$A:$C,3,0)</f>
        <v>B2B</v>
      </c>
      <c r="X129" t="str">
        <f>VLOOKUP(C129,Sales_Representatives!$A:$B,2,0)</f>
        <v>Thomas Hernandez</v>
      </c>
    </row>
    <row r="130" spans="1:24" x14ac:dyDescent="0.3">
      <c r="A130" t="s">
        <v>291</v>
      </c>
      <c r="B130" t="s">
        <v>287</v>
      </c>
      <c r="C130" t="s">
        <v>56</v>
      </c>
      <c r="D130" t="s">
        <v>237</v>
      </c>
      <c r="E130" t="s">
        <v>20</v>
      </c>
      <c r="F130">
        <v>8</v>
      </c>
      <c r="G130">
        <v>1219.49</v>
      </c>
      <c r="H130">
        <v>0.14000000000000001</v>
      </c>
      <c r="I130" s="4">
        <v>8390.09</v>
      </c>
      <c r="J130" t="s">
        <v>34</v>
      </c>
      <c r="K130" t="s">
        <v>17</v>
      </c>
      <c r="L130" s="4">
        <f>VLOOKUP(tblTransactions[[#This Row],[Product_ID]],tblProducts[],5,FALSE)</f>
        <v>686.9</v>
      </c>
      <c r="M130" s="4">
        <f>tblTransactions[[#This Row],[Total_Amount]]-(tblTransactions[[#This Row],[Cost_Prices]]*tblTransactions[[#This Row],[Quantity]]*(1-tblTransactions[[#This Row],[Discount]]))</f>
        <v>3664.2180000000008</v>
      </c>
      <c r="N130" s="3">
        <f>tblTransactions[[#This Row],[Profit]]/tblTransactions[[#This Row],[Total_Amount]]</f>
        <v>0.43673166795588614</v>
      </c>
      <c r="O130" t="str">
        <f>TEXT(tblTransactions[[#This Row],[Date]], "MMM-YYYY")</f>
        <v>Jan-2023</v>
      </c>
      <c r="P130" t="str">
        <f>"Q"&amp;ROUNDUP(MONTH(tblTransactions[[#This Row],[Date]])/3,0)&amp;"-"&amp;YEAR(tblTransactions[[#This Row],[Date]])</f>
        <v>Q1-2023</v>
      </c>
      <c r="Q130">
        <f>YEAR(tblTransactions[[#This Row],[Date]])</f>
        <v>2023</v>
      </c>
      <c r="R130" t="str">
        <f>TEXT(tblTransactions[[#This Row],[Date]],"DDDD")</f>
        <v>Friday</v>
      </c>
      <c r="S130">
        <f>MONTH(tblTransactions[[#This Row],[Date]])</f>
        <v>1</v>
      </c>
      <c r="T130" t="str">
        <f>VLOOKUP(E130, Products!$A:$B,2,0)</f>
        <v>Laptops Ele-1</v>
      </c>
      <c r="U130" t="str">
        <f>VLOOKUP(E130,Products!$A:$C,3,0)</f>
        <v>Electronics</v>
      </c>
      <c r="V130" t="str">
        <f>VLOOKUP(E130,Products!$A:$D,4,0)</f>
        <v>Laptops</v>
      </c>
      <c r="W130" t="str">
        <f>VLOOKUP(D130,Customers!$A:$C,3,0)</f>
        <v>B2B</v>
      </c>
      <c r="X130" t="str">
        <f>VLOOKUP(C130,Sales_Representatives!$A:$B,2,0)</f>
        <v>Thomas Hernandez</v>
      </c>
    </row>
    <row r="131" spans="1:24" x14ac:dyDescent="0.3">
      <c r="A131" t="s">
        <v>292</v>
      </c>
      <c r="B131" t="s">
        <v>293</v>
      </c>
      <c r="C131" t="s">
        <v>19</v>
      </c>
      <c r="D131" t="s">
        <v>166</v>
      </c>
      <c r="E131" t="s">
        <v>108</v>
      </c>
      <c r="F131">
        <v>1</v>
      </c>
      <c r="G131">
        <v>155.75</v>
      </c>
      <c r="H131">
        <v>7.0000000000000007E-2</v>
      </c>
      <c r="I131" s="4">
        <v>144.85</v>
      </c>
      <c r="J131" t="s">
        <v>21</v>
      </c>
      <c r="K131" t="s">
        <v>39</v>
      </c>
      <c r="L131" s="4">
        <f>VLOOKUP(tblTransactions[[#This Row],[Product_ID]],tblProducts[],5,FALSE)</f>
        <v>80.8</v>
      </c>
      <c r="M131" s="4">
        <f>tblTransactions[[#This Row],[Total_Amount]]-(tblTransactions[[#This Row],[Cost_Prices]]*tblTransactions[[#This Row],[Quantity]]*(1-tblTransactions[[#This Row],[Discount]]))</f>
        <v>69.706000000000003</v>
      </c>
      <c r="N131" s="3">
        <f>tblTransactions[[#This Row],[Profit]]/tblTransactions[[#This Row],[Total_Amount]]</f>
        <v>0.48122885743872978</v>
      </c>
      <c r="O131" t="str">
        <f>TEXT(tblTransactions[[#This Row],[Date]], "MMM-YYYY")</f>
        <v>Jan-2023</v>
      </c>
      <c r="P131" t="str">
        <f>"Q"&amp;ROUNDUP(MONTH(tblTransactions[[#This Row],[Date]])/3,0)&amp;"-"&amp;YEAR(tblTransactions[[#This Row],[Date]])</f>
        <v>Q1-2023</v>
      </c>
      <c r="Q131">
        <f>YEAR(tblTransactions[[#This Row],[Date]])</f>
        <v>2023</v>
      </c>
      <c r="R131" t="str">
        <f>TEXT(tblTransactions[[#This Row],[Date]],"DDDD")</f>
        <v>Saturday</v>
      </c>
      <c r="S131">
        <f>MONTH(tblTransactions[[#This Row],[Date]])</f>
        <v>1</v>
      </c>
      <c r="T131" t="str">
        <f>VLOOKUP(E131, Products!$A:$B,2,0)</f>
        <v>Cases Acc-1</v>
      </c>
      <c r="U131" t="str">
        <f>VLOOKUP(E131,Products!$A:$C,3,0)</f>
        <v>Accessories</v>
      </c>
      <c r="V131" t="str">
        <f>VLOOKUP(E131,Products!$A:$D,4,0)</f>
        <v>Cases</v>
      </c>
      <c r="W131" t="str">
        <f>VLOOKUP(D131,Customers!$A:$C,3,0)</f>
        <v>B2C</v>
      </c>
      <c r="X131" t="str">
        <f>VLOOKUP(C131,Sales_Representatives!$A:$B,2,0)</f>
        <v>Robert Jones</v>
      </c>
    </row>
    <row r="132" spans="1:24" x14ac:dyDescent="0.3">
      <c r="A132" t="s">
        <v>294</v>
      </c>
      <c r="B132" t="s">
        <v>293</v>
      </c>
      <c r="C132" t="s">
        <v>59</v>
      </c>
      <c r="D132" t="s">
        <v>212</v>
      </c>
      <c r="E132" t="s">
        <v>148</v>
      </c>
      <c r="F132">
        <v>6</v>
      </c>
      <c r="G132">
        <v>20.420000000000002</v>
      </c>
      <c r="H132">
        <v>0.1</v>
      </c>
      <c r="I132" s="4">
        <v>110.27</v>
      </c>
      <c r="J132" t="s">
        <v>21</v>
      </c>
      <c r="K132" t="s">
        <v>48</v>
      </c>
      <c r="L132" s="4">
        <f>VLOOKUP(tblTransactions[[#This Row],[Product_ID]],tblProducts[],5,FALSE)</f>
        <v>9.56</v>
      </c>
      <c r="M132" s="4">
        <f>tblTransactions[[#This Row],[Total_Amount]]-(tblTransactions[[#This Row],[Cost_Prices]]*tblTransactions[[#This Row],[Quantity]]*(1-tblTransactions[[#This Row],[Discount]]))</f>
        <v>58.645999999999994</v>
      </c>
      <c r="N132" s="3">
        <f>tblTransactions[[#This Row],[Profit]]/tblTransactions[[#This Row],[Total_Amount]]</f>
        <v>0.53184002901967897</v>
      </c>
      <c r="O132" t="str">
        <f>TEXT(tblTransactions[[#This Row],[Date]], "MMM-YYYY")</f>
        <v>Jan-2023</v>
      </c>
      <c r="P132" t="str">
        <f>"Q"&amp;ROUNDUP(MONTH(tblTransactions[[#This Row],[Date]])/3,0)&amp;"-"&amp;YEAR(tblTransactions[[#This Row],[Date]])</f>
        <v>Q1-2023</v>
      </c>
      <c r="Q132">
        <f>YEAR(tblTransactions[[#This Row],[Date]])</f>
        <v>2023</v>
      </c>
      <c r="R132" t="str">
        <f>TEXT(tblTransactions[[#This Row],[Date]],"DDDD")</f>
        <v>Saturday</v>
      </c>
      <c r="S132">
        <f>MONTH(tblTransactions[[#This Row],[Date]])</f>
        <v>1</v>
      </c>
      <c r="T132" t="str">
        <f>VLOOKUP(E132, Products!$A:$B,2,0)</f>
        <v>Cases Acc-3</v>
      </c>
      <c r="U132" t="str">
        <f>VLOOKUP(E132,Products!$A:$C,3,0)</f>
        <v>Accessories</v>
      </c>
      <c r="V132" t="str">
        <f>VLOOKUP(E132,Products!$A:$D,4,0)</f>
        <v>Cases</v>
      </c>
      <c r="W132" t="str">
        <f>VLOOKUP(D132,Customers!$A:$C,3,0)</f>
        <v>B2C</v>
      </c>
      <c r="X132" t="str">
        <f>VLOOKUP(C132,Sales_Representatives!$A:$B,2,0)</f>
        <v>Sarah Brown</v>
      </c>
    </row>
    <row r="133" spans="1:24" x14ac:dyDescent="0.3">
      <c r="A133" t="s">
        <v>295</v>
      </c>
      <c r="B133" t="s">
        <v>293</v>
      </c>
      <c r="C133" t="s">
        <v>82</v>
      </c>
      <c r="D133" t="s">
        <v>101</v>
      </c>
      <c r="E133" t="s">
        <v>221</v>
      </c>
      <c r="F133">
        <v>6</v>
      </c>
      <c r="G133">
        <v>210.02</v>
      </c>
      <c r="H133">
        <v>0.1</v>
      </c>
      <c r="I133" s="4">
        <v>1134.1099999999999</v>
      </c>
      <c r="J133" t="s">
        <v>34</v>
      </c>
      <c r="K133" t="s">
        <v>48</v>
      </c>
      <c r="L133" s="4">
        <f>VLOOKUP(tblTransactions[[#This Row],[Product_ID]],tblProducts[],5,FALSE)</f>
        <v>131.66</v>
      </c>
      <c r="M133" s="4">
        <f>tblTransactions[[#This Row],[Total_Amount]]-(tblTransactions[[#This Row],[Cost_Prices]]*tblTransactions[[#This Row],[Quantity]]*(1-tblTransactions[[#This Row],[Discount]]))</f>
        <v>423.14599999999984</v>
      </c>
      <c r="N133" s="3">
        <f>tblTransactions[[#This Row],[Profit]]/tblTransactions[[#This Row],[Total_Amount]]</f>
        <v>0.37310842863567018</v>
      </c>
      <c r="O133" t="str">
        <f>TEXT(tblTransactions[[#This Row],[Date]], "MMM-YYYY")</f>
        <v>Jan-2023</v>
      </c>
      <c r="P133" t="str">
        <f>"Q"&amp;ROUNDUP(MONTH(tblTransactions[[#This Row],[Date]])/3,0)&amp;"-"&amp;YEAR(tblTransactions[[#This Row],[Date]])</f>
        <v>Q1-2023</v>
      </c>
      <c r="Q133">
        <f>YEAR(tblTransactions[[#This Row],[Date]])</f>
        <v>2023</v>
      </c>
      <c r="R133" t="str">
        <f>TEXT(tblTransactions[[#This Row],[Date]],"DDDD")</f>
        <v>Saturday</v>
      </c>
      <c r="S133">
        <f>MONTH(tblTransactions[[#This Row],[Date]])</f>
        <v>1</v>
      </c>
      <c r="T133" t="str">
        <f>VLOOKUP(E133, Products!$A:$B,2,0)</f>
        <v>Storage Fur-2</v>
      </c>
      <c r="U133" t="str">
        <f>VLOOKUP(E133,Products!$A:$C,3,0)</f>
        <v>Furniture</v>
      </c>
      <c r="V133" t="str">
        <f>VLOOKUP(E133,Products!$A:$D,4,0)</f>
        <v>Storage</v>
      </c>
      <c r="W133" t="str">
        <f>VLOOKUP(D133,Customers!$A:$C,3,0)</f>
        <v>B2C</v>
      </c>
      <c r="X133" t="str">
        <f>VLOOKUP(C133,Sales_Representatives!$A:$B,2,0)</f>
        <v>John Brown</v>
      </c>
    </row>
    <row r="134" spans="1:24" x14ac:dyDescent="0.3">
      <c r="A134" t="s">
        <v>296</v>
      </c>
      <c r="B134" t="s">
        <v>297</v>
      </c>
      <c r="C134" t="s">
        <v>82</v>
      </c>
      <c r="D134" t="s">
        <v>32</v>
      </c>
      <c r="E134" t="s">
        <v>191</v>
      </c>
      <c r="F134">
        <v>4</v>
      </c>
      <c r="G134">
        <v>1012.75</v>
      </c>
      <c r="H134">
        <v>0</v>
      </c>
      <c r="I134" s="4">
        <v>4051</v>
      </c>
      <c r="J134" t="s">
        <v>34</v>
      </c>
      <c r="K134" t="s">
        <v>17</v>
      </c>
      <c r="L134" s="4">
        <f>VLOOKUP(tblTransactions[[#This Row],[Product_ID]],tblProducts[],5,FALSE)</f>
        <v>518.53</v>
      </c>
      <c r="M134" s="4">
        <f>tblTransactions[[#This Row],[Total_Amount]]-(tblTransactions[[#This Row],[Cost_Prices]]*tblTransactions[[#This Row],[Quantity]]*(1-tblTransactions[[#This Row],[Discount]]))</f>
        <v>1976.88</v>
      </c>
      <c r="N134" s="3">
        <f>tblTransactions[[#This Row],[Profit]]/tblTransactions[[#This Row],[Total_Amount]]</f>
        <v>0.48799802517896818</v>
      </c>
      <c r="O134" t="str">
        <f>TEXT(tblTransactions[[#This Row],[Date]], "MMM-YYYY")</f>
        <v>Jan-2023</v>
      </c>
      <c r="P134" t="str">
        <f>"Q"&amp;ROUNDUP(MONTH(tblTransactions[[#This Row],[Date]])/3,0)&amp;"-"&amp;YEAR(tblTransactions[[#This Row],[Date]])</f>
        <v>Q1-2023</v>
      </c>
      <c r="Q134">
        <f>YEAR(tblTransactions[[#This Row],[Date]])</f>
        <v>2023</v>
      </c>
      <c r="R134" t="str">
        <f>TEXT(tblTransactions[[#This Row],[Date]],"DDDD")</f>
        <v>Sunday</v>
      </c>
      <c r="S134">
        <f>MONTH(tblTransactions[[#This Row],[Date]])</f>
        <v>1</v>
      </c>
      <c r="T134" t="str">
        <f>VLOOKUP(E134, Products!$A:$B,2,0)</f>
        <v>Tables Fur-4</v>
      </c>
      <c r="U134" t="str">
        <f>VLOOKUP(E134,Products!$A:$C,3,0)</f>
        <v>Furniture</v>
      </c>
      <c r="V134" t="str">
        <f>VLOOKUP(E134,Products!$A:$D,4,0)</f>
        <v>Tables</v>
      </c>
      <c r="W134" t="str">
        <f>VLOOKUP(D134,Customers!$A:$C,3,0)</f>
        <v>B2C</v>
      </c>
      <c r="X134" t="str">
        <f>VLOOKUP(C134,Sales_Representatives!$A:$B,2,0)</f>
        <v>John Brown</v>
      </c>
    </row>
    <row r="135" spans="1:24" x14ac:dyDescent="0.3">
      <c r="A135" t="s">
        <v>298</v>
      </c>
      <c r="B135" t="s">
        <v>297</v>
      </c>
      <c r="C135" t="s">
        <v>19</v>
      </c>
      <c r="D135" t="s">
        <v>98</v>
      </c>
      <c r="E135" t="s">
        <v>299</v>
      </c>
      <c r="F135">
        <v>4</v>
      </c>
      <c r="G135">
        <v>963.44</v>
      </c>
      <c r="H135">
        <v>0.03</v>
      </c>
      <c r="I135" s="4">
        <v>3738.15</v>
      </c>
      <c r="J135" t="s">
        <v>21</v>
      </c>
      <c r="K135" t="s">
        <v>22</v>
      </c>
      <c r="L135" s="4">
        <f>VLOOKUP(tblTransactions[[#This Row],[Product_ID]],tblProducts[],5,FALSE)</f>
        <v>578.96</v>
      </c>
      <c r="M135" s="4">
        <f>tblTransactions[[#This Row],[Total_Amount]]-(tblTransactions[[#This Row],[Cost_Prices]]*tblTransactions[[#This Row],[Quantity]]*(1-tblTransactions[[#This Row],[Discount]]))</f>
        <v>1491.7851999999998</v>
      </c>
      <c r="N135" s="3">
        <f>tblTransactions[[#This Row],[Profit]]/tblTransactions[[#This Row],[Total_Amount]]</f>
        <v>0.39907044928641167</v>
      </c>
      <c r="O135" t="str">
        <f>TEXT(tblTransactions[[#This Row],[Date]], "MMM-YYYY")</f>
        <v>Jan-2023</v>
      </c>
      <c r="P135" t="str">
        <f>"Q"&amp;ROUNDUP(MONTH(tblTransactions[[#This Row],[Date]])/3,0)&amp;"-"&amp;YEAR(tblTransactions[[#This Row],[Date]])</f>
        <v>Q1-2023</v>
      </c>
      <c r="Q135">
        <f>YEAR(tblTransactions[[#This Row],[Date]])</f>
        <v>2023</v>
      </c>
      <c r="R135" t="str">
        <f>TEXT(tblTransactions[[#This Row],[Date]],"DDDD")</f>
        <v>Sunday</v>
      </c>
      <c r="S135">
        <f>MONTH(tblTransactions[[#This Row],[Date]])</f>
        <v>1</v>
      </c>
      <c r="T135" t="str">
        <f>VLOOKUP(E135, Products!$A:$B,2,0)</f>
        <v>Chairs Fur-4</v>
      </c>
      <c r="U135" t="str">
        <f>VLOOKUP(E135,Products!$A:$C,3,0)</f>
        <v>Furniture</v>
      </c>
      <c r="V135" t="str">
        <f>VLOOKUP(E135,Products!$A:$D,4,0)</f>
        <v>Chairs</v>
      </c>
      <c r="W135" t="str">
        <f>VLOOKUP(D135,Customers!$A:$C,3,0)</f>
        <v>B2C</v>
      </c>
      <c r="X135" t="str">
        <f>VLOOKUP(C135,Sales_Representatives!$A:$B,2,0)</f>
        <v>Robert Jones</v>
      </c>
    </row>
    <row r="136" spans="1:24" x14ac:dyDescent="0.3">
      <c r="A136" t="s">
        <v>300</v>
      </c>
      <c r="B136" t="s">
        <v>297</v>
      </c>
      <c r="C136" t="s">
        <v>13</v>
      </c>
      <c r="D136" t="s">
        <v>164</v>
      </c>
      <c r="E136" t="s">
        <v>102</v>
      </c>
      <c r="F136">
        <v>4</v>
      </c>
      <c r="G136">
        <v>1097.75</v>
      </c>
      <c r="H136">
        <v>0.06</v>
      </c>
      <c r="I136" s="4">
        <v>4127.54</v>
      </c>
      <c r="J136" t="s">
        <v>16</v>
      </c>
      <c r="K136" t="s">
        <v>39</v>
      </c>
      <c r="L136" s="4">
        <f>VLOOKUP(tblTransactions[[#This Row],[Product_ID]],tblProducts[],5,FALSE)</f>
        <v>680.12</v>
      </c>
      <c r="M136" s="4">
        <f>tblTransactions[[#This Row],[Total_Amount]]-(tblTransactions[[#This Row],[Cost_Prices]]*tblTransactions[[#This Row],[Quantity]]*(1-tblTransactions[[#This Row],[Discount]]))</f>
        <v>1570.2888000000003</v>
      </c>
      <c r="N136" s="3">
        <f>tblTransactions[[#This Row],[Profit]]/tblTransactions[[#This Row],[Total_Amount]]</f>
        <v>0.38044181279890693</v>
      </c>
      <c r="O136" t="str">
        <f>TEXT(tblTransactions[[#This Row],[Date]], "MMM-YYYY")</f>
        <v>Jan-2023</v>
      </c>
      <c r="P136" t="str">
        <f>"Q"&amp;ROUNDUP(MONTH(tblTransactions[[#This Row],[Date]])/3,0)&amp;"-"&amp;YEAR(tblTransactions[[#This Row],[Date]])</f>
        <v>Q1-2023</v>
      </c>
      <c r="Q136">
        <f>YEAR(tblTransactions[[#This Row],[Date]])</f>
        <v>2023</v>
      </c>
      <c r="R136" t="str">
        <f>TEXT(tblTransactions[[#This Row],[Date]],"DDDD")</f>
        <v>Sunday</v>
      </c>
      <c r="S136">
        <f>MONTH(tblTransactions[[#This Row],[Date]])</f>
        <v>1</v>
      </c>
      <c r="T136" t="str">
        <f>VLOOKUP(E136, Products!$A:$B,2,0)</f>
        <v>Storage Fur-4</v>
      </c>
      <c r="U136" t="str">
        <f>VLOOKUP(E136,Products!$A:$C,3,0)</f>
        <v>Furniture</v>
      </c>
      <c r="V136" t="str">
        <f>VLOOKUP(E136,Products!$A:$D,4,0)</f>
        <v>Storage</v>
      </c>
      <c r="W136" t="str">
        <f>VLOOKUP(D136,Customers!$A:$C,3,0)</f>
        <v>Small Business</v>
      </c>
      <c r="X136" t="str">
        <f>VLOOKUP(C136,Sales_Representatives!$A:$B,2,0)</f>
        <v>Jennifer Rodriguez</v>
      </c>
    </row>
    <row r="137" spans="1:24" x14ac:dyDescent="0.3">
      <c r="A137" t="s">
        <v>301</v>
      </c>
      <c r="B137" t="s">
        <v>297</v>
      </c>
      <c r="C137" t="s">
        <v>56</v>
      </c>
      <c r="D137" t="s">
        <v>52</v>
      </c>
      <c r="E137" t="s">
        <v>255</v>
      </c>
      <c r="F137">
        <v>7</v>
      </c>
      <c r="G137">
        <v>1444.13</v>
      </c>
      <c r="H137">
        <v>0.1</v>
      </c>
      <c r="I137" s="4">
        <v>9098.02</v>
      </c>
      <c r="J137" t="s">
        <v>34</v>
      </c>
      <c r="K137" t="s">
        <v>22</v>
      </c>
      <c r="L137" s="4">
        <f>VLOOKUP(tblTransactions[[#This Row],[Product_ID]],tblProducts[],5,FALSE)</f>
        <v>874.43</v>
      </c>
      <c r="M137" s="4">
        <f>tblTransactions[[#This Row],[Total_Amount]]-(tblTransactions[[#This Row],[Cost_Prices]]*tblTransactions[[#This Row],[Quantity]]*(1-tblTransactions[[#This Row],[Discount]]))</f>
        <v>3589.1110000000008</v>
      </c>
      <c r="N137" s="3">
        <f>tblTransactions[[#This Row],[Profit]]/tblTransactions[[#This Row],[Total_Amount]]</f>
        <v>0.39449363707707835</v>
      </c>
      <c r="O137" t="str">
        <f>TEXT(tblTransactions[[#This Row],[Date]], "MMM-YYYY")</f>
        <v>Jan-2023</v>
      </c>
      <c r="P137" t="str">
        <f>"Q"&amp;ROUNDUP(MONTH(tblTransactions[[#This Row],[Date]])/3,0)&amp;"-"&amp;YEAR(tblTransactions[[#This Row],[Date]])</f>
        <v>Q1-2023</v>
      </c>
      <c r="Q137">
        <f>YEAR(tblTransactions[[#This Row],[Date]])</f>
        <v>2023</v>
      </c>
      <c r="R137" t="str">
        <f>TEXT(tblTransactions[[#This Row],[Date]],"DDDD")</f>
        <v>Sunday</v>
      </c>
      <c r="S137">
        <f>MONTH(tblTransactions[[#This Row],[Date]])</f>
        <v>1</v>
      </c>
      <c r="T137" t="str">
        <f>VLOOKUP(E137, Products!$A:$B,2,0)</f>
        <v>Printers Tec-1</v>
      </c>
      <c r="U137" t="str">
        <f>VLOOKUP(E137,Products!$A:$C,3,0)</f>
        <v>Technology</v>
      </c>
      <c r="V137" t="str">
        <f>VLOOKUP(E137,Products!$A:$D,4,0)</f>
        <v>Printers</v>
      </c>
      <c r="W137" t="str">
        <f>VLOOKUP(D137,Customers!$A:$C,3,0)</f>
        <v>B2C</v>
      </c>
      <c r="X137" t="str">
        <f>VLOOKUP(C137,Sales_Representatives!$A:$B,2,0)</f>
        <v>Thomas Hernandez</v>
      </c>
    </row>
    <row r="138" spans="1:24" x14ac:dyDescent="0.3">
      <c r="A138" t="s">
        <v>302</v>
      </c>
      <c r="B138" t="s">
        <v>297</v>
      </c>
      <c r="C138" t="s">
        <v>141</v>
      </c>
      <c r="D138" t="s">
        <v>67</v>
      </c>
      <c r="E138" t="s">
        <v>43</v>
      </c>
      <c r="F138">
        <v>6</v>
      </c>
      <c r="G138">
        <v>39.32</v>
      </c>
      <c r="H138">
        <v>0.09</v>
      </c>
      <c r="I138" s="4">
        <v>214.69</v>
      </c>
      <c r="J138" t="s">
        <v>109</v>
      </c>
      <c r="K138" t="s">
        <v>35</v>
      </c>
      <c r="L138" s="4">
        <f>VLOOKUP(tblTransactions[[#This Row],[Product_ID]],tblProducts[],5,FALSE)</f>
        <v>15.81</v>
      </c>
      <c r="M138" s="4">
        <f>tblTransactions[[#This Row],[Total_Amount]]-(tblTransactions[[#This Row],[Cost_Prices]]*tblTransactions[[#This Row],[Quantity]]*(1-tblTransactions[[#This Row],[Discount]]))</f>
        <v>128.36739999999998</v>
      </c>
      <c r="N138" s="3">
        <f>tblTransactions[[#This Row],[Profit]]/tblTransactions[[#This Row],[Total_Amount]]</f>
        <v>0.59791979132702955</v>
      </c>
      <c r="O138" t="str">
        <f>TEXT(tblTransactions[[#This Row],[Date]], "MMM-YYYY")</f>
        <v>Jan-2023</v>
      </c>
      <c r="P138" t="str">
        <f>"Q"&amp;ROUNDUP(MONTH(tblTransactions[[#This Row],[Date]])/3,0)&amp;"-"&amp;YEAR(tblTransactions[[#This Row],[Date]])</f>
        <v>Q1-2023</v>
      </c>
      <c r="Q138">
        <f>YEAR(tblTransactions[[#This Row],[Date]])</f>
        <v>2023</v>
      </c>
      <c r="R138" t="str">
        <f>TEXT(tblTransactions[[#This Row],[Date]],"DDDD")</f>
        <v>Sunday</v>
      </c>
      <c r="S138">
        <f>MONTH(tblTransactions[[#This Row],[Date]])</f>
        <v>1</v>
      </c>
      <c r="T138" t="str">
        <f>VLOOKUP(E138, Products!$A:$B,2,0)</f>
        <v>Paper Off-3</v>
      </c>
      <c r="U138" t="str">
        <f>VLOOKUP(E138,Products!$A:$C,3,0)</f>
        <v>Office Supplies</v>
      </c>
      <c r="V138" t="str">
        <f>VLOOKUP(E138,Products!$A:$D,4,0)</f>
        <v>Paper</v>
      </c>
      <c r="W138" t="str">
        <f>VLOOKUP(D138,Customers!$A:$C,3,0)</f>
        <v>B2C</v>
      </c>
      <c r="X138" t="str">
        <f>VLOOKUP(C138,Sales_Representatives!$A:$B,2,0)</f>
        <v>Richard Garcia</v>
      </c>
    </row>
    <row r="139" spans="1:24" x14ac:dyDescent="0.3">
      <c r="A139" t="s">
        <v>303</v>
      </c>
      <c r="B139" t="s">
        <v>297</v>
      </c>
      <c r="C139" t="s">
        <v>107</v>
      </c>
      <c r="D139" t="s">
        <v>115</v>
      </c>
      <c r="E139" t="s">
        <v>304</v>
      </c>
      <c r="F139">
        <v>6</v>
      </c>
      <c r="G139">
        <v>13.43</v>
      </c>
      <c r="H139">
        <v>0.11</v>
      </c>
      <c r="I139" s="4">
        <v>71.72</v>
      </c>
      <c r="J139" t="s">
        <v>109</v>
      </c>
      <c r="K139" t="s">
        <v>39</v>
      </c>
      <c r="L139" s="4">
        <f>VLOOKUP(tblTransactions[[#This Row],[Product_ID]],tblProducts[],5,FALSE)</f>
        <v>5.8</v>
      </c>
      <c r="M139" s="4">
        <f>tblTransactions[[#This Row],[Total_Amount]]-(tblTransactions[[#This Row],[Cost_Prices]]*tblTransactions[[#This Row],[Quantity]]*(1-tblTransactions[[#This Row],[Discount]]))</f>
        <v>40.748000000000005</v>
      </c>
      <c r="N139" s="3">
        <f>tblTransactions[[#This Row],[Profit]]/tblTransactions[[#This Row],[Total_Amount]]</f>
        <v>0.56815393195761299</v>
      </c>
      <c r="O139" t="str">
        <f>TEXT(tblTransactions[[#This Row],[Date]], "MMM-YYYY")</f>
        <v>Jan-2023</v>
      </c>
      <c r="P139" t="str">
        <f>"Q"&amp;ROUNDUP(MONTH(tblTransactions[[#This Row],[Date]])/3,0)&amp;"-"&amp;YEAR(tblTransactions[[#This Row],[Date]])</f>
        <v>Q1-2023</v>
      </c>
      <c r="Q139">
        <f>YEAR(tblTransactions[[#This Row],[Date]])</f>
        <v>2023</v>
      </c>
      <c r="R139" t="str">
        <f>TEXT(tblTransactions[[#This Row],[Date]],"DDDD")</f>
        <v>Sunday</v>
      </c>
      <c r="S139">
        <f>MONTH(tblTransactions[[#This Row],[Date]])</f>
        <v>1</v>
      </c>
      <c r="T139" t="str">
        <f>VLOOKUP(E139, Products!$A:$B,2,0)</f>
        <v>Pens Off-1</v>
      </c>
      <c r="U139" t="str">
        <f>VLOOKUP(E139,Products!$A:$C,3,0)</f>
        <v>Office Supplies</v>
      </c>
      <c r="V139" t="str">
        <f>VLOOKUP(E139,Products!$A:$D,4,0)</f>
        <v>Pens</v>
      </c>
      <c r="W139" t="str">
        <f>VLOOKUP(D139,Customers!$A:$C,3,0)</f>
        <v>B2C</v>
      </c>
      <c r="X139" t="str">
        <f>VLOOKUP(C139,Sales_Representatives!$A:$B,2,0)</f>
        <v>Jennifer Brown</v>
      </c>
    </row>
    <row r="140" spans="1:24" x14ac:dyDescent="0.3">
      <c r="A140" t="s">
        <v>305</v>
      </c>
      <c r="B140" t="s">
        <v>297</v>
      </c>
      <c r="C140" t="s">
        <v>31</v>
      </c>
      <c r="D140" t="s">
        <v>134</v>
      </c>
      <c r="E140" t="s">
        <v>191</v>
      </c>
      <c r="F140">
        <v>16</v>
      </c>
      <c r="G140">
        <v>1012.75</v>
      </c>
      <c r="H140">
        <v>0.12</v>
      </c>
      <c r="I140" s="4">
        <v>14259.52</v>
      </c>
      <c r="J140" t="s">
        <v>34</v>
      </c>
      <c r="K140" t="s">
        <v>35</v>
      </c>
      <c r="L140" s="4">
        <f>VLOOKUP(tblTransactions[[#This Row],[Product_ID]],tblProducts[],5,FALSE)</f>
        <v>518.53</v>
      </c>
      <c r="M140" s="4">
        <f>tblTransactions[[#This Row],[Total_Amount]]-(tblTransactions[[#This Row],[Cost_Prices]]*tblTransactions[[#This Row],[Quantity]]*(1-tblTransactions[[#This Row],[Discount]]))</f>
        <v>6958.6176000000005</v>
      </c>
      <c r="N140" s="3">
        <f>tblTransactions[[#This Row],[Profit]]/tblTransactions[[#This Row],[Total_Amount]]</f>
        <v>0.48799802517896818</v>
      </c>
      <c r="O140" t="str">
        <f>TEXT(tblTransactions[[#This Row],[Date]], "MMM-YYYY")</f>
        <v>Jan-2023</v>
      </c>
      <c r="P140" t="str">
        <f>"Q"&amp;ROUNDUP(MONTH(tblTransactions[[#This Row],[Date]])/3,0)&amp;"-"&amp;YEAR(tblTransactions[[#This Row],[Date]])</f>
        <v>Q1-2023</v>
      </c>
      <c r="Q140">
        <f>YEAR(tblTransactions[[#This Row],[Date]])</f>
        <v>2023</v>
      </c>
      <c r="R140" t="str">
        <f>TEXT(tblTransactions[[#This Row],[Date]],"DDDD")</f>
        <v>Sunday</v>
      </c>
      <c r="S140">
        <f>MONTH(tblTransactions[[#This Row],[Date]])</f>
        <v>1</v>
      </c>
      <c r="T140" t="str">
        <f>VLOOKUP(E140, Products!$A:$B,2,0)</f>
        <v>Tables Fur-4</v>
      </c>
      <c r="U140" t="str">
        <f>VLOOKUP(E140,Products!$A:$C,3,0)</f>
        <v>Furniture</v>
      </c>
      <c r="V140" t="str">
        <f>VLOOKUP(E140,Products!$A:$D,4,0)</f>
        <v>Tables</v>
      </c>
      <c r="W140" t="str">
        <f>VLOOKUP(D140,Customers!$A:$C,3,0)</f>
        <v>B2B</v>
      </c>
      <c r="X140" t="str">
        <f>VLOOKUP(C140,Sales_Representatives!$A:$B,2,0)</f>
        <v>Thomas Martinez</v>
      </c>
    </row>
    <row r="141" spans="1:24" x14ac:dyDescent="0.3">
      <c r="A141" t="s">
        <v>306</v>
      </c>
      <c r="B141" t="s">
        <v>307</v>
      </c>
      <c r="C141" t="s">
        <v>82</v>
      </c>
      <c r="D141" t="s">
        <v>288</v>
      </c>
      <c r="E141" t="s">
        <v>15</v>
      </c>
      <c r="F141">
        <v>2</v>
      </c>
      <c r="G141">
        <v>477.48</v>
      </c>
      <c r="H141">
        <v>0.03</v>
      </c>
      <c r="I141" s="4">
        <v>926.31</v>
      </c>
      <c r="J141" t="s">
        <v>34</v>
      </c>
      <c r="K141" t="s">
        <v>35</v>
      </c>
      <c r="L141" s="4">
        <f>VLOOKUP(tblTransactions[[#This Row],[Product_ID]],tblProducts[],5,FALSE)</f>
        <v>275.51</v>
      </c>
      <c r="M141" s="4">
        <f>tblTransactions[[#This Row],[Total_Amount]]-(tblTransactions[[#This Row],[Cost_Prices]]*tblTransactions[[#This Row],[Quantity]]*(1-tblTransactions[[#This Row],[Discount]]))</f>
        <v>391.82060000000001</v>
      </c>
      <c r="N141" s="3">
        <f>tblTransactions[[#This Row],[Profit]]/tblTransactions[[#This Row],[Total_Amount]]</f>
        <v>0.42299079141971913</v>
      </c>
      <c r="O141" t="str">
        <f>TEXT(tblTransactions[[#This Row],[Date]], "MMM-YYYY")</f>
        <v>Jan-2023</v>
      </c>
      <c r="P141" t="str">
        <f>"Q"&amp;ROUNDUP(MONTH(tblTransactions[[#This Row],[Date]])/3,0)&amp;"-"&amp;YEAR(tblTransactions[[#This Row],[Date]])</f>
        <v>Q1-2023</v>
      </c>
      <c r="Q141">
        <f>YEAR(tblTransactions[[#This Row],[Date]])</f>
        <v>2023</v>
      </c>
      <c r="R141" t="str">
        <f>TEXT(tblTransactions[[#This Row],[Date]],"DDDD")</f>
        <v>Monday</v>
      </c>
      <c r="S141">
        <f>MONTH(tblTransactions[[#This Row],[Date]])</f>
        <v>1</v>
      </c>
      <c r="T141" t="str">
        <f>VLOOKUP(E141, Products!$A:$B,2,0)</f>
        <v>Laptops Ele-4</v>
      </c>
      <c r="U141" t="str">
        <f>VLOOKUP(E141,Products!$A:$C,3,0)</f>
        <v>Electronics</v>
      </c>
      <c r="V141" t="str">
        <f>VLOOKUP(E141,Products!$A:$D,4,0)</f>
        <v>Laptops</v>
      </c>
      <c r="W141" t="str">
        <f>VLOOKUP(D141,Customers!$A:$C,3,0)</f>
        <v>B2C</v>
      </c>
      <c r="X141" t="str">
        <f>VLOOKUP(C141,Sales_Representatives!$A:$B,2,0)</f>
        <v>John Brown</v>
      </c>
    </row>
    <row r="142" spans="1:24" x14ac:dyDescent="0.3">
      <c r="A142" t="s">
        <v>308</v>
      </c>
      <c r="B142" t="s">
        <v>307</v>
      </c>
      <c r="C142" t="s">
        <v>141</v>
      </c>
      <c r="D142" t="s">
        <v>83</v>
      </c>
      <c r="E142" t="s">
        <v>77</v>
      </c>
      <c r="F142">
        <v>1</v>
      </c>
      <c r="G142">
        <v>236.82</v>
      </c>
      <c r="H142">
        <v>0.05</v>
      </c>
      <c r="I142" s="4">
        <v>224.98</v>
      </c>
      <c r="J142" t="s">
        <v>109</v>
      </c>
      <c r="K142" t="s">
        <v>48</v>
      </c>
      <c r="L142" s="4">
        <f>VLOOKUP(tblTransactions[[#This Row],[Product_ID]],tblProducts[],5,FALSE)</f>
        <v>110.79</v>
      </c>
      <c r="M142" s="4">
        <f>tblTransactions[[#This Row],[Total_Amount]]-(tblTransactions[[#This Row],[Cost_Prices]]*tblTransactions[[#This Row],[Quantity]]*(1-tblTransactions[[#This Row],[Discount]]))</f>
        <v>119.72949999999999</v>
      </c>
      <c r="N142" s="3">
        <f>tblTransactions[[#This Row],[Profit]]/tblTransactions[[#This Row],[Total_Amount]]</f>
        <v>0.53217841585918746</v>
      </c>
      <c r="O142" t="str">
        <f>TEXT(tblTransactions[[#This Row],[Date]], "MMM-YYYY")</f>
        <v>Jan-2023</v>
      </c>
      <c r="P142" t="str">
        <f>"Q"&amp;ROUNDUP(MONTH(tblTransactions[[#This Row],[Date]])/3,0)&amp;"-"&amp;YEAR(tblTransactions[[#This Row],[Date]])</f>
        <v>Q1-2023</v>
      </c>
      <c r="Q142">
        <f>YEAR(tblTransactions[[#This Row],[Date]])</f>
        <v>2023</v>
      </c>
      <c r="R142" t="str">
        <f>TEXT(tblTransactions[[#This Row],[Date]],"DDDD")</f>
        <v>Monday</v>
      </c>
      <c r="S142">
        <f>MONTH(tblTransactions[[#This Row],[Date]])</f>
        <v>1</v>
      </c>
      <c r="T142" t="str">
        <f>VLOOKUP(E142, Products!$A:$B,2,0)</f>
        <v>Binders Off-4</v>
      </c>
      <c r="U142" t="str">
        <f>VLOOKUP(E142,Products!$A:$C,3,0)</f>
        <v>Office Supplies</v>
      </c>
      <c r="V142" t="str">
        <f>VLOOKUP(E142,Products!$A:$D,4,0)</f>
        <v>Binders</v>
      </c>
      <c r="W142" t="str">
        <f>VLOOKUP(D142,Customers!$A:$C,3,0)</f>
        <v>Small Business</v>
      </c>
      <c r="X142" t="str">
        <f>VLOOKUP(C142,Sales_Representatives!$A:$B,2,0)</f>
        <v>Richard Garcia</v>
      </c>
    </row>
    <row r="143" spans="1:24" x14ac:dyDescent="0.3">
      <c r="A143" t="s">
        <v>309</v>
      </c>
      <c r="B143" t="s">
        <v>307</v>
      </c>
      <c r="C143" t="s">
        <v>41</v>
      </c>
      <c r="D143" t="s">
        <v>212</v>
      </c>
      <c r="E143" t="s">
        <v>310</v>
      </c>
      <c r="F143">
        <v>3</v>
      </c>
      <c r="G143">
        <v>274.13</v>
      </c>
      <c r="H143">
        <v>0.03</v>
      </c>
      <c r="I143" s="4">
        <v>797.72</v>
      </c>
      <c r="J143" t="s">
        <v>44</v>
      </c>
      <c r="K143" t="s">
        <v>22</v>
      </c>
      <c r="L143" s="4">
        <f>VLOOKUP(tblTransactions[[#This Row],[Product_ID]],tblProducts[],5,FALSE)</f>
        <v>134.41999999999999</v>
      </c>
      <c r="M143" s="4">
        <f>tblTransactions[[#This Row],[Total_Amount]]-(tblTransactions[[#This Row],[Cost_Prices]]*tblTransactions[[#This Row],[Quantity]]*(1-tblTransactions[[#This Row],[Discount]]))</f>
        <v>406.55780000000004</v>
      </c>
      <c r="N143" s="3">
        <f>tblTransactions[[#This Row],[Profit]]/tblTransactions[[#This Row],[Total_Amount]]</f>
        <v>0.50964975179260896</v>
      </c>
      <c r="O143" t="str">
        <f>TEXT(tblTransactions[[#This Row],[Date]], "MMM-YYYY")</f>
        <v>Jan-2023</v>
      </c>
      <c r="P143" t="str">
        <f>"Q"&amp;ROUNDUP(MONTH(tblTransactions[[#This Row],[Date]])/3,0)&amp;"-"&amp;YEAR(tblTransactions[[#This Row],[Date]])</f>
        <v>Q1-2023</v>
      </c>
      <c r="Q143">
        <f>YEAR(tblTransactions[[#This Row],[Date]])</f>
        <v>2023</v>
      </c>
      <c r="R143" t="str">
        <f>TEXT(tblTransactions[[#This Row],[Date]],"DDDD")</f>
        <v>Monday</v>
      </c>
      <c r="S143">
        <f>MONTH(tblTransactions[[#This Row],[Date]])</f>
        <v>1</v>
      </c>
      <c r="T143" t="str">
        <f>VLOOKUP(E143, Products!$A:$B,2,0)</f>
        <v>Adapters Acc-4</v>
      </c>
      <c r="U143" t="str">
        <f>VLOOKUP(E143,Products!$A:$C,3,0)</f>
        <v>Accessories</v>
      </c>
      <c r="V143" t="str">
        <f>VLOOKUP(E143,Products!$A:$D,4,0)</f>
        <v>Adapters</v>
      </c>
      <c r="W143" t="str">
        <f>VLOOKUP(D143,Customers!$A:$C,3,0)</f>
        <v>B2C</v>
      </c>
      <c r="X143" t="str">
        <f>VLOOKUP(C143,Sales_Representatives!$A:$B,2,0)</f>
        <v>Robert Jones</v>
      </c>
    </row>
    <row r="144" spans="1:24" x14ac:dyDescent="0.3">
      <c r="A144" t="s">
        <v>311</v>
      </c>
      <c r="B144" t="s">
        <v>312</v>
      </c>
      <c r="C144" t="s">
        <v>31</v>
      </c>
      <c r="D144" t="s">
        <v>47</v>
      </c>
      <c r="E144" t="s">
        <v>99</v>
      </c>
      <c r="F144">
        <v>2</v>
      </c>
      <c r="G144">
        <v>325.14</v>
      </c>
      <c r="H144">
        <v>0.01</v>
      </c>
      <c r="I144" s="4">
        <v>643.78</v>
      </c>
      <c r="J144" t="s">
        <v>34</v>
      </c>
      <c r="K144" t="s">
        <v>35</v>
      </c>
      <c r="L144" s="4">
        <f>VLOOKUP(tblTransactions[[#This Row],[Product_ID]],tblProducts[],5,FALSE)</f>
        <v>209.04</v>
      </c>
      <c r="M144" s="4">
        <f>tblTransactions[[#This Row],[Total_Amount]]-(tblTransactions[[#This Row],[Cost_Prices]]*tblTransactions[[#This Row],[Quantity]]*(1-tblTransactions[[#This Row],[Discount]]))</f>
        <v>229.88079999999997</v>
      </c>
      <c r="N144" s="3">
        <f>tblTransactions[[#This Row],[Profit]]/tblTransactions[[#This Row],[Total_Amount]]</f>
        <v>0.35707974773991114</v>
      </c>
      <c r="O144" t="str">
        <f>TEXT(tblTransactions[[#This Row],[Date]], "MMM-YYYY")</f>
        <v>Jan-2023</v>
      </c>
      <c r="P144" t="str">
        <f>"Q"&amp;ROUNDUP(MONTH(tblTransactions[[#This Row],[Date]])/3,0)&amp;"-"&amp;YEAR(tblTransactions[[#This Row],[Date]])</f>
        <v>Q1-2023</v>
      </c>
      <c r="Q144">
        <f>YEAR(tblTransactions[[#This Row],[Date]])</f>
        <v>2023</v>
      </c>
      <c r="R144" t="str">
        <f>TEXT(tblTransactions[[#This Row],[Date]],"DDDD")</f>
        <v>Tuesday</v>
      </c>
      <c r="S144">
        <f>MONTH(tblTransactions[[#This Row],[Date]])</f>
        <v>1</v>
      </c>
      <c r="T144" t="str">
        <f>VLOOKUP(E144, Products!$A:$B,2,0)</f>
        <v>Monitors Tec-1</v>
      </c>
      <c r="U144" t="str">
        <f>VLOOKUP(E144,Products!$A:$C,3,0)</f>
        <v>Technology</v>
      </c>
      <c r="V144" t="str">
        <f>VLOOKUP(E144,Products!$A:$D,4,0)</f>
        <v>Monitors</v>
      </c>
      <c r="W144" t="str">
        <f>VLOOKUP(D144,Customers!$A:$C,3,0)</f>
        <v>B2C</v>
      </c>
      <c r="X144" t="str">
        <f>VLOOKUP(C144,Sales_Representatives!$A:$B,2,0)</f>
        <v>Thomas Martinez</v>
      </c>
    </row>
    <row r="145" spans="1:24" x14ac:dyDescent="0.3">
      <c r="A145" t="s">
        <v>313</v>
      </c>
      <c r="B145" t="s">
        <v>312</v>
      </c>
      <c r="C145" t="s">
        <v>31</v>
      </c>
      <c r="D145" t="s">
        <v>212</v>
      </c>
      <c r="E145" t="s">
        <v>314</v>
      </c>
      <c r="F145">
        <v>4</v>
      </c>
      <c r="G145">
        <v>204.97</v>
      </c>
      <c r="H145">
        <v>0.09</v>
      </c>
      <c r="I145" s="4">
        <v>746.09</v>
      </c>
      <c r="J145" t="s">
        <v>34</v>
      </c>
      <c r="K145" t="s">
        <v>22</v>
      </c>
      <c r="L145" s="4">
        <f>VLOOKUP(tblTransactions[[#This Row],[Product_ID]],tblProducts[],5,FALSE)</f>
        <v>121.53</v>
      </c>
      <c r="M145" s="4">
        <f>tblTransactions[[#This Row],[Total_Amount]]-(tblTransactions[[#This Row],[Cost_Prices]]*tblTransactions[[#This Row],[Quantity]]*(1-tblTransactions[[#This Row],[Discount]]))</f>
        <v>303.7208</v>
      </c>
      <c r="N145" s="3">
        <f>tblTransactions[[#This Row],[Profit]]/tblTransactions[[#This Row],[Total_Amount]]</f>
        <v>0.40708332774866302</v>
      </c>
      <c r="O145" t="str">
        <f>TEXT(tblTransactions[[#This Row],[Date]], "MMM-YYYY")</f>
        <v>Jan-2023</v>
      </c>
      <c r="P145" t="str">
        <f>"Q"&amp;ROUNDUP(MONTH(tblTransactions[[#This Row],[Date]])/3,0)&amp;"-"&amp;YEAR(tblTransactions[[#This Row],[Date]])</f>
        <v>Q1-2023</v>
      </c>
      <c r="Q145">
        <f>YEAR(tblTransactions[[#This Row],[Date]])</f>
        <v>2023</v>
      </c>
      <c r="R145" t="str">
        <f>TEXT(tblTransactions[[#This Row],[Date]],"DDDD")</f>
        <v>Tuesday</v>
      </c>
      <c r="S145">
        <f>MONTH(tblTransactions[[#This Row],[Date]])</f>
        <v>1</v>
      </c>
      <c r="T145" t="str">
        <f>VLOOKUP(E145, Products!$A:$B,2,0)</f>
        <v>Adapters Acc-3</v>
      </c>
      <c r="U145" t="str">
        <f>VLOOKUP(E145,Products!$A:$C,3,0)</f>
        <v>Accessories</v>
      </c>
      <c r="V145" t="str">
        <f>VLOOKUP(E145,Products!$A:$D,4,0)</f>
        <v>Adapters</v>
      </c>
      <c r="W145" t="str">
        <f>VLOOKUP(D145,Customers!$A:$C,3,0)</f>
        <v>B2C</v>
      </c>
      <c r="X145" t="str">
        <f>VLOOKUP(C145,Sales_Representatives!$A:$B,2,0)</f>
        <v>Thomas Martinez</v>
      </c>
    </row>
    <row r="146" spans="1:24" x14ac:dyDescent="0.3">
      <c r="A146" t="s">
        <v>315</v>
      </c>
      <c r="B146" t="s">
        <v>312</v>
      </c>
      <c r="C146" t="s">
        <v>59</v>
      </c>
      <c r="D146" t="s">
        <v>247</v>
      </c>
      <c r="E146" t="s">
        <v>316</v>
      </c>
      <c r="F146">
        <v>7</v>
      </c>
      <c r="G146">
        <v>91.42</v>
      </c>
      <c r="H146">
        <v>0.09</v>
      </c>
      <c r="I146" s="4">
        <v>582.35</v>
      </c>
      <c r="J146" t="s">
        <v>21</v>
      </c>
      <c r="K146" t="s">
        <v>17</v>
      </c>
      <c r="L146" s="4">
        <f>VLOOKUP(tblTransactions[[#This Row],[Product_ID]],tblProducts[],5,FALSE)</f>
        <v>50.09</v>
      </c>
      <c r="M146" s="4">
        <f>tblTransactions[[#This Row],[Total_Amount]]-(tblTransactions[[#This Row],[Cost_Prices]]*tblTransactions[[#This Row],[Quantity]]*(1-tblTransactions[[#This Row],[Discount]]))</f>
        <v>263.27670000000001</v>
      </c>
      <c r="N146" s="3">
        <f>tblTransactions[[#This Row],[Profit]]/tblTransactions[[#This Row],[Total_Amount]]</f>
        <v>0.45209358633124408</v>
      </c>
      <c r="O146" t="str">
        <f>TEXT(tblTransactions[[#This Row],[Date]], "MMM-YYYY")</f>
        <v>Jan-2023</v>
      </c>
      <c r="P146" t="str">
        <f>"Q"&amp;ROUNDUP(MONTH(tblTransactions[[#This Row],[Date]])/3,0)&amp;"-"&amp;YEAR(tblTransactions[[#This Row],[Date]])</f>
        <v>Q1-2023</v>
      </c>
      <c r="Q146">
        <f>YEAR(tblTransactions[[#This Row],[Date]])</f>
        <v>2023</v>
      </c>
      <c r="R146" t="str">
        <f>TEXT(tblTransactions[[#This Row],[Date]],"DDDD")</f>
        <v>Tuesday</v>
      </c>
      <c r="S146">
        <f>MONTH(tblTransactions[[#This Row],[Date]])</f>
        <v>1</v>
      </c>
      <c r="T146" t="str">
        <f>VLOOKUP(E146, Products!$A:$B,2,0)</f>
        <v>Binders Off-3</v>
      </c>
      <c r="U146" t="str">
        <f>VLOOKUP(E146,Products!$A:$C,3,0)</f>
        <v>Office Supplies</v>
      </c>
      <c r="V146" t="str">
        <f>VLOOKUP(E146,Products!$A:$D,4,0)</f>
        <v>Binders</v>
      </c>
      <c r="W146" t="str">
        <f>VLOOKUP(D146,Customers!$A:$C,3,0)</f>
        <v>B2C</v>
      </c>
      <c r="X146" t="str">
        <f>VLOOKUP(C146,Sales_Representatives!$A:$B,2,0)</f>
        <v>Sarah Brown</v>
      </c>
    </row>
    <row r="147" spans="1:24" x14ac:dyDescent="0.3">
      <c r="A147" t="s">
        <v>317</v>
      </c>
      <c r="B147" t="s">
        <v>312</v>
      </c>
      <c r="C147" t="s">
        <v>70</v>
      </c>
      <c r="D147" t="s">
        <v>101</v>
      </c>
      <c r="E147" t="s">
        <v>65</v>
      </c>
      <c r="F147">
        <v>5</v>
      </c>
      <c r="G147">
        <v>49.44</v>
      </c>
      <c r="H147">
        <v>0.04</v>
      </c>
      <c r="I147" s="4">
        <v>237.31</v>
      </c>
      <c r="J147" t="s">
        <v>16</v>
      </c>
      <c r="K147" t="s">
        <v>17</v>
      </c>
      <c r="L147" s="4">
        <f>VLOOKUP(tblTransactions[[#This Row],[Product_ID]],tblProducts[],5,FALSE)</f>
        <v>22.34</v>
      </c>
      <c r="M147" s="4">
        <f>tblTransactions[[#This Row],[Total_Amount]]-(tblTransactions[[#This Row],[Cost_Prices]]*tblTransactions[[#This Row],[Quantity]]*(1-tblTransactions[[#This Row],[Discount]]))</f>
        <v>130.078</v>
      </c>
      <c r="N147" s="3">
        <f>tblTransactions[[#This Row],[Profit]]/tblTransactions[[#This Row],[Total_Amount]]</f>
        <v>0.5481353503855716</v>
      </c>
      <c r="O147" t="str">
        <f>TEXT(tblTransactions[[#This Row],[Date]], "MMM-YYYY")</f>
        <v>Jan-2023</v>
      </c>
      <c r="P147" t="str">
        <f>"Q"&amp;ROUNDUP(MONTH(tblTransactions[[#This Row],[Date]])/3,0)&amp;"-"&amp;YEAR(tblTransactions[[#This Row],[Date]])</f>
        <v>Q1-2023</v>
      </c>
      <c r="Q147">
        <f>YEAR(tblTransactions[[#This Row],[Date]])</f>
        <v>2023</v>
      </c>
      <c r="R147" t="str">
        <f>TEXT(tblTransactions[[#This Row],[Date]],"DDDD")</f>
        <v>Tuesday</v>
      </c>
      <c r="S147">
        <f>MONTH(tblTransactions[[#This Row],[Date]])</f>
        <v>1</v>
      </c>
      <c r="T147" t="str">
        <f>VLOOKUP(E147, Products!$A:$B,2,0)</f>
        <v>Folders Off-2</v>
      </c>
      <c r="U147" t="str">
        <f>VLOOKUP(E147,Products!$A:$C,3,0)</f>
        <v>Office Supplies</v>
      </c>
      <c r="V147" t="str">
        <f>VLOOKUP(E147,Products!$A:$D,4,0)</f>
        <v>Folders</v>
      </c>
      <c r="W147" t="str">
        <f>VLOOKUP(D147,Customers!$A:$C,3,0)</f>
        <v>B2C</v>
      </c>
      <c r="X147" t="str">
        <f>VLOOKUP(C147,Sales_Representatives!$A:$B,2,0)</f>
        <v>Linda Smith</v>
      </c>
    </row>
    <row r="148" spans="1:24" x14ac:dyDescent="0.3">
      <c r="A148" t="s">
        <v>318</v>
      </c>
      <c r="B148" t="s">
        <v>319</v>
      </c>
      <c r="C148" t="s">
        <v>27</v>
      </c>
      <c r="D148" t="s">
        <v>139</v>
      </c>
      <c r="E148" t="s">
        <v>159</v>
      </c>
      <c r="F148">
        <v>5</v>
      </c>
      <c r="G148">
        <v>78.09</v>
      </c>
      <c r="H148">
        <v>0.04</v>
      </c>
      <c r="I148" s="4">
        <v>374.83</v>
      </c>
      <c r="J148" t="s">
        <v>16</v>
      </c>
      <c r="K148" t="s">
        <v>22</v>
      </c>
      <c r="L148" s="4">
        <f>VLOOKUP(tblTransactions[[#This Row],[Product_ID]],tblProducts[],5,FALSE)</f>
        <v>47.01</v>
      </c>
      <c r="M148" s="4">
        <f>tblTransactions[[#This Row],[Total_Amount]]-(tblTransactions[[#This Row],[Cost_Prices]]*tblTransactions[[#This Row],[Quantity]]*(1-tblTransactions[[#This Row],[Discount]]))</f>
        <v>149.18200000000002</v>
      </c>
      <c r="N148" s="3">
        <f>tblTransactions[[#This Row],[Profit]]/tblTransactions[[#This Row],[Total_Amount]]</f>
        <v>0.39799909292212476</v>
      </c>
      <c r="O148" t="str">
        <f>TEXT(tblTransactions[[#This Row],[Date]], "MMM-YYYY")</f>
        <v>Feb-2023</v>
      </c>
      <c r="P148" t="str">
        <f>"Q"&amp;ROUNDUP(MONTH(tblTransactions[[#This Row],[Date]])/3,0)&amp;"-"&amp;YEAR(tblTransactions[[#This Row],[Date]])</f>
        <v>Q1-2023</v>
      </c>
      <c r="Q148">
        <f>YEAR(tblTransactions[[#This Row],[Date]])</f>
        <v>2023</v>
      </c>
      <c r="R148" t="str">
        <f>TEXT(tblTransactions[[#This Row],[Date]],"DDDD")</f>
        <v>Wednesday</v>
      </c>
      <c r="S148">
        <f>MONTH(tblTransactions[[#This Row],[Date]])</f>
        <v>2</v>
      </c>
      <c r="T148" t="str">
        <f>VLOOKUP(E148, Products!$A:$B,2,0)</f>
        <v>Cables Acc-4</v>
      </c>
      <c r="U148" t="str">
        <f>VLOOKUP(E148,Products!$A:$C,3,0)</f>
        <v>Accessories</v>
      </c>
      <c r="V148" t="str">
        <f>VLOOKUP(E148,Products!$A:$D,4,0)</f>
        <v>Cables</v>
      </c>
      <c r="W148" t="str">
        <f>VLOOKUP(D148,Customers!$A:$C,3,0)</f>
        <v>B2C</v>
      </c>
      <c r="X148" t="str">
        <f>VLOOKUP(C148,Sales_Representatives!$A:$B,2,0)</f>
        <v>Thomas Lopez</v>
      </c>
    </row>
    <row r="149" spans="1:24" x14ac:dyDescent="0.3">
      <c r="A149" t="s">
        <v>320</v>
      </c>
      <c r="B149" t="s">
        <v>319</v>
      </c>
      <c r="C149" t="s">
        <v>31</v>
      </c>
      <c r="D149" t="s">
        <v>203</v>
      </c>
      <c r="E149" t="s">
        <v>53</v>
      </c>
      <c r="F149">
        <v>49</v>
      </c>
      <c r="G149">
        <v>2069.2199999999998</v>
      </c>
      <c r="H149">
        <v>0.25</v>
      </c>
      <c r="I149" s="4">
        <v>76043.83</v>
      </c>
      <c r="J149" t="s">
        <v>34</v>
      </c>
      <c r="K149" t="s">
        <v>17</v>
      </c>
      <c r="L149" s="4">
        <f>VLOOKUP(tblTransactions[[#This Row],[Product_ID]],tblProducts[],5,FALSE)</f>
        <v>1451.18</v>
      </c>
      <c r="M149" s="4">
        <f>tblTransactions[[#This Row],[Total_Amount]]-(tblTransactions[[#This Row],[Cost_Prices]]*tblTransactions[[#This Row],[Quantity]]*(1-tblTransactions[[#This Row],[Discount]]))</f>
        <v>22712.964999999997</v>
      </c>
      <c r="N149" s="3">
        <f>tblTransactions[[#This Row],[Profit]]/tblTransactions[[#This Row],[Total_Amount]]</f>
        <v>0.29868254926139304</v>
      </c>
      <c r="O149" t="str">
        <f>TEXT(tblTransactions[[#This Row],[Date]], "MMM-YYYY")</f>
        <v>Feb-2023</v>
      </c>
      <c r="P149" t="str">
        <f>"Q"&amp;ROUNDUP(MONTH(tblTransactions[[#This Row],[Date]])/3,0)&amp;"-"&amp;YEAR(tblTransactions[[#This Row],[Date]])</f>
        <v>Q1-2023</v>
      </c>
      <c r="Q149">
        <f>YEAR(tblTransactions[[#This Row],[Date]])</f>
        <v>2023</v>
      </c>
      <c r="R149" t="str">
        <f>TEXT(tblTransactions[[#This Row],[Date]],"DDDD")</f>
        <v>Wednesday</v>
      </c>
      <c r="S149">
        <f>MONTH(tblTransactions[[#This Row],[Date]])</f>
        <v>2</v>
      </c>
      <c r="T149" t="str">
        <f>VLOOKUP(E149, Products!$A:$B,2,0)</f>
        <v>Printers Tec-3</v>
      </c>
      <c r="U149" t="str">
        <f>VLOOKUP(E149,Products!$A:$C,3,0)</f>
        <v>Technology</v>
      </c>
      <c r="V149" t="str">
        <f>VLOOKUP(E149,Products!$A:$D,4,0)</f>
        <v>Printers</v>
      </c>
      <c r="W149" t="str">
        <f>VLOOKUP(D149,Customers!$A:$C,3,0)</f>
        <v>Enterprise</v>
      </c>
      <c r="X149" t="str">
        <f>VLOOKUP(C149,Sales_Representatives!$A:$B,2,0)</f>
        <v>Thomas Martinez</v>
      </c>
    </row>
    <row r="150" spans="1:24" x14ac:dyDescent="0.3">
      <c r="A150" t="s">
        <v>321</v>
      </c>
      <c r="B150" t="s">
        <v>319</v>
      </c>
      <c r="C150" t="s">
        <v>70</v>
      </c>
      <c r="D150" t="s">
        <v>190</v>
      </c>
      <c r="E150" t="s">
        <v>191</v>
      </c>
      <c r="F150">
        <v>2</v>
      </c>
      <c r="G150">
        <v>1012.75</v>
      </c>
      <c r="H150">
        <v>0.08</v>
      </c>
      <c r="I150" s="4">
        <v>1863.46</v>
      </c>
      <c r="J150" t="s">
        <v>16</v>
      </c>
      <c r="K150" t="s">
        <v>22</v>
      </c>
      <c r="L150" s="4">
        <f>VLOOKUP(tblTransactions[[#This Row],[Product_ID]],tblProducts[],5,FALSE)</f>
        <v>518.53</v>
      </c>
      <c r="M150" s="4">
        <f>tblTransactions[[#This Row],[Total_Amount]]-(tblTransactions[[#This Row],[Cost_Prices]]*tblTransactions[[#This Row],[Quantity]]*(1-tblTransactions[[#This Row],[Discount]]))</f>
        <v>909.36480000000006</v>
      </c>
      <c r="N150" s="3">
        <f>tblTransactions[[#This Row],[Profit]]/tblTransactions[[#This Row],[Total_Amount]]</f>
        <v>0.48799802517896818</v>
      </c>
      <c r="O150" t="str">
        <f>TEXT(tblTransactions[[#This Row],[Date]], "MMM-YYYY")</f>
        <v>Feb-2023</v>
      </c>
      <c r="P150" t="str">
        <f>"Q"&amp;ROUNDUP(MONTH(tblTransactions[[#This Row],[Date]])/3,0)&amp;"-"&amp;YEAR(tblTransactions[[#This Row],[Date]])</f>
        <v>Q1-2023</v>
      </c>
      <c r="Q150">
        <f>YEAR(tblTransactions[[#This Row],[Date]])</f>
        <v>2023</v>
      </c>
      <c r="R150" t="str">
        <f>TEXT(tblTransactions[[#This Row],[Date]],"DDDD")</f>
        <v>Wednesday</v>
      </c>
      <c r="S150">
        <f>MONTH(tblTransactions[[#This Row],[Date]])</f>
        <v>2</v>
      </c>
      <c r="T150" t="str">
        <f>VLOOKUP(E150, Products!$A:$B,2,0)</f>
        <v>Tables Fur-4</v>
      </c>
      <c r="U150" t="str">
        <f>VLOOKUP(E150,Products!$A:$C,3,0)</f>
        <v>Furniture</v>
      </c>
      <c r="V150" t="str">
        <f>VLOOKUP(E150,Products!$A:$D,4,0)</f>
        <v>Tables</v>
      </c>
      <c r="W150" t="str">
        <f>VLOOKUP(D150,Customers!$A:$C,3,0)</f>
        <v>B2B</v>
      </c>
      <c r="X150" t="str">
        <f>VLOOKUP(C150,Sales_Representatives!$A:$B,2,0)</f>
        <v>Linda Smith</v>
      </c>
    </row>
    <row r="151" spans="1:24" x14ac:dyDescent="0.3">
      <c r="A151" t="s">
        <v>322</v>
      </c>
      <c r="B151" t="s">
        <v>323</v>
      </c>
      <c r="C151" t="s">
        <v>131</v>
      </c>
      <c r="D151" t="s">
        <v>24</v>
      </c>
      <c r="E151" t="s">
        <v>324</v>
      </c>
      <c r="F151">
        <v>14</v>
      </c>
      <c r="G151">
        <v>245.76</v>
      </c>
      <c r="H151">
        <v>0.18</v>
      </c>
      <c r="I151" s="4">
        <v>2821.32</v>
      </c>
      <c r="J151" t="s">
        <v>44</v>
      </c>
      <c r="K151" t="s">
        <v>39</v>
      </c>
      <c r="L151" s="4">
        <f>VLOOKUP(tblTransactions[[#This Row],[Product_ID]],tblProducts[],5,FALSE)</f>
        <v>161.94</v>
      </c>
      <c r="M151" s="4">
        <f>tblTransactions[[#This Row],[Total_Amount]]-(tblTransactions[[#This Row],[Cost_Prices]]*tblTransactions[[#This Row],[Quantity]]*(1-tblTransactions[[#This Row],[Discount]]))</f>
        <v>962.24880000000007</v>
      </c>
      <c r="N151" s="3">
        <f>tblTransactions[[#This Row],[Profit]]/tblTransactions[[#This Row],[Total_Amount]]</f>
        <v>0.34106333205733486</v>
      </c>
      <c r="O151" t="str">
        <f>TEXT(tblTransactions[[#This Row],[Date]], "MMM-YYYY")</f>
        <v>Feb-2023</v>
      </c>
      <c r="P151" t="str">
        <f>"Q"&amp;ROUNDUP(MONTH(tblTransactions[[#This Row],[Date]])/3,0)&amp;"-"&amp;YEAR(tblTransactions[[#This Row],[Date]])</f>
        <v>Q1-2023</v>
      </c>
      <c r="Q151">
        <f>YEAR(tblTransactions[[#This Row],[Date]])</f>
        <v>2023</v>
      </c>
      <c r="R151" t="str">
        <f>TEXT(tblTransactions[[#This Row],[Date]],"DDDD")</f>
        <v>Thursday</v>
      </c>
      <c r="S151">
        <f>MONTH(tblTransactions[[#This Row],[Date]])</f>
        <v>2</v>
      </c>
      <c r="T151" t="str">
        <f>VLOOKUP(E151, Products!$A:$B,2,0)</f>
        <v>Storage Fur-1</v>
      </c>
      <c r="U151" t="str">
        <f>VLOOKUP(E151,Products!$A:$C,3,0)</f>
        <v>Furniture</v>
      </c>
      <c r="V151" t="str">
        <f>VLOOKUP(E151,Products!$A:$D,4,0)</f>
        <v>Storage</v>
      </c>
      <c r="W151" t="str">
        <f>VLOOKUP(D151,Customers!$A:$C,3,0)</f>
        <v>B2B</v>
      </c>
      <c r="X151" t="str">
        <f>VLOOKUP(C151,Sales_Representatives!$A:$B,2,0)</f>
        <v>Michael Davis</v>
      </c>
    </row>
    <row r="152" spans="1:24" x14ac:dyDescent="0.3">
      <c r="A152" t="s">
        <v>325</v>
      </c>
      <c r="B152" t="s">
        <v>323</v>
      </c>
      <c r="C152" t="s">
        <v>82</v>
      </c>
      <c r="D152" t="s">
        <v>154</v>
      </c>
      <c r="E152" t="s">
        <v>96</v>
      </c>
      <c r="F152">
        <v>7</v>
      </c>
      <c r="G152">
        <v>751.9</v>
      </c>
      <c r="H152">
        <v>0.11</v>
      </c>
      <c r="I152" s="4">
        <v>4684.34</v>
      </c>
      <c r="J152" t="s">
        <v>34</v>
      </c>
      <c r="K152" t="s">
        <v>48</v>
      </c>
      <c r="L152" s="4">
        <f>VLOOKUP(tblTransactions[[#This Row],[Product_ID]],tblProducts[],5,FALSE)</f>
        <v>570.29</v>
      </c>
      <c r="M152" s="4">
        <f>tblTransactions[[#This Row],[Total_Amount]]-(tblTransactions[[#This Row],[Cost_Prices]]*tblTransactions[[#This Row],[Quantity]]*(1-tblTransactions[[#This Row],[Discount]]))</f>
        <v>1131.4333000000001</v>
      </c>
      <c r="N152" s="3">
        <f>tblTransactions[[#This Row],[Profit]]/tblTransactions[[#This Row],[Total_Amount]]</f>
        <v>0.24153526430617764</v>
      </c>
      <c r="O152" t="str">
        <f>TEXT(tblTransactions[[#This Row],[Date]], "MMM-YYYY")</f>
        <v>Feb-2023</v>
      </c>
      <c r="P152" t="str">
        <f>"Q"&amp;ROUNDUP(MONTH(tblTransactions[[#This Row],[Date]])/3,0)&amp;"-"&amp;YEAR(tblTransactions[[#This Row],[Date]])</f>
        <v>Q1-2023</v>
      </c>
      <c r="Q152">
        <f>YEAR(tblTransactions[[#This Row],[Date]])</f>
        <v>2023</v>
      </c>
      <c r="R152" t="str">
        <f>TEXT(tblTransactions[[#This Row],[Date]],"DDDD")</f>
        <v>Thursday</v>
      </c>
      <c r="S152">
        <f>MONTH(tblTransactions[[#This Row],[Date]])</f>
        <v>2</v>
      </c>
      <c r="T152" t="str">
        <f>VLOOKUP(E152, Products!$A:$B,2,0)</f>
        <v>Routers Tec-1</v>
      </c>
      <c r="U152" t="str">
        <f>VLOOKUP(E152,Products!$A:$C,3,0)</f>
        <v>Technology</v>
      </c>
      <c r="V152" t="str">
        <f>VLOOKUP(E152,Products!$A:$D,4,0)</f>
        <v>Routers</v>
      </c>
      <c r="W152" t="str">
        <f>VLOOKUP(D152,Customers!$A:$C,3,0)</f>
        <v>B2B</v>
      </c>
      <c r="X152" t="str">
        <f>VLOOKUP(C152,Sales_Representatives!$A:$B,2,0)</f>
        <v>John Brown</v>
      </c>
    </row>
    <row r="153" spans="1:24" x14ac:dyDescent="0.3">
      <c r="A153" t="s">
        <v>326</v>
      </c>
      <c r="B153" t="s">
        <v>323</v>
      </c>
      <c r="C153" t="s">
        <v>59</v>
      </c>
      <c r="D153" t="s">
        <v>327</v>
      </c>
      <c r="E153" t="s">
        <v>178</v>
      </c>
      <c r="F153">
        <v>5</v>
      </c>
      <c r="G153">
        <v>1623.35</v>
      </c>
      <c r="H153">
        <v>0.09</v>
      </c>
      <c r="I153" s="4">
        <v>7386.24</v>
      </c>
      <c r="J153" t="s">
        <v>21</v>
      </c>
      <c r="K153" t="s">
        <v>35</v>
      </c>
      <c r="L153" s="4">
        <f>VLOOKUP(tblTransactions[[#This Row],[Product_ID]],tblProducts[],5,FALSE)</f>
        <v>981.45</v>
      </c>
      <c r="M153" s="4">
        <f>tblTransactions[[#This Row],[Total_Amount]]-(tblTransactions[[#This Row],[Cost_Prices]]*tblTransactions[[#This Row],[Quantity]]*(1-tblTransactions[[#This Row],[Discount]]))</f>
        <v>2920.6424999999999</v>
      </c>
      <c r="N153" s="3">
        <f>tblTransactions[[#This Row],[Profit]]/tblTransactions[[#This Row],[Total_Amount]]</f>
        <v>0.39541668020535481</v>
      </c>
      <c r="O153" t="str">
        <f>TEXT(tblTransactions[[#This Row],[Date]], "MMM-YYYY")</f>
        <v>Feb-2023</v>
      </c>
      <c r="P153" t="str">
        <f>"Q"&amp;ROUNDUP(MONTH(tblTransactions[[#This Row],[Date]])/3,0)&amp;"-"&amp;YEAR(tblTransactions[[#This Row],[Date]])</f>
        <v>Q1-2023</v>
      </c>
      <c r="Q153">
        <f>YEAR(tblTransactions[[#This Row],[Date]])</f>
        <v>2023</v>
      </c>
      <c r="R153" t="str">
        <f>TEXT(tblTransactions[[#This Row],[Date]],"DDDD")</f>
        <v>Thursday</v>
      </c>
      <c r="S153">
        <f>MONTH(tblTransactions[[#This Row],[Date]])</f>
        <v>2</v>
      </c>
      <c r="T153" t="str">
        <f>VLOOKUP(E153, Products!$A:$B,2,0)</f>
        <v>Tablets Ele-1</v>
      </c>
      <c r="U153" t="str">
        <f>VLOOKUP(E153,Products!$A:$C,3,0)</f>
        <v>Electronics</v>
      </c>
      <c r="V153" t="str">
        <f>VLOOKUP(E153,Products!$A:$D,4,0)</f>
        <v>Tablets</v>
      </c>
      <c r="W153" t="str">
        <f>VLOOKUP(D153,Customers!$A:$C,3,0)</f>
        <v>B2C</v>
      </c>
      <c r="X153" t="str">
        <f>VLOOKUP(C153,Sales_Representatives!$A:$B,2,0)</f>
        <v>Sarah Brown</v>
      </c>
    </row>
    <row r="154" spans="1:24" x14ac:dyDescent="0.3">
      <c r="A154" t="s">
        <v>328</v>
      </c>
      <c r="B154" t="s">
        <v>329</v>
      </c>
      <c r="C154" t="s">
        <v>13</v>
      </c>
      <c r="D154" t="s">
        <v>247</v>
      </c>
      <c r="E154" t="s">
        <v>121</v>
      </c>
      <c r="F154">
        <v>2</v>
      </c>
      <c r="G154">
        <v>183.9</v>
      </c>
      <c r="H154">
        <v>0.04</v>
      </c>
      <c r="I154" s="4">
        <v>353.09</v>
      </c>
      <c r="J154" t="s">
        <v>16</v>
      </c>
      <c r="K154" t="s">
        <v>17</v>
      </c>
      <c r="L154" s="4">
        <f>VLOOKUP(tblTransactions[[#This Row],[Product_ID]],tblProducts[],5,FALSE)</f>
        <v>116.83</v>
      </c>
      <c r="M154" s="4">
        <f>tblTransactions[[#This Row],[Total_Amount]]-(tblTransactions[[#This Row],[Cost_Prices]]*tblTransactions[[#This Row],[Quantity]]*(1-tblTransactions[[#This Row],[Discount]]))</f>
        <v>128.7764</v>
      </c>
      <c r="N154" s="3">
        <f>tblTransactions[[#This Row],[Profit]]/tblTransactions[[#This Row],[Total_Amount]]</f>
        <v>0.3647126794868164</v>
      </c>
      <c r="O154" t="str">
        <f>TEXT(tblTransactions[[#This Row],[Date]], "MMM-YYYY")</f>
        <v>Feb-2023</v>
      </c>
      <c r="P154" t="str">
        <f>"Q"&amp;ROUNDUP(MONTH(tblTransactions[[#This Row],[Date]])/3,0)&amp;"-"&amp;YEAR(tblTransactions[[#This Row],[Date]])</f>
        <v>Q1-2023</v>
      </c>
      <c r="Q154">
        <f>YEAR(tblTransactions[[#This Row],[Date]])</f>
        <v>2023</v>
      </c>
      <c r="R154" t="str">
        <f>TEXT(tblTransactions[[#This Row],[Date]],"DDDD")</f>
        <v>Friday</v>
      </c>
      <c r="S154">
        <f>MONTH(tblTransactions[[#This Row],[Date]])</f>
        <v>2</v>
      </c>
      <c r="T154" t="str">
        <f>VLOOKUP(E154, Products!$A:$B,2,0)</f>
        <v>Pens Off-3</v>
      </c>
      <c r="U154" t="str">
        <f>VLOOKUP(E154,Products!$A:$C,3,0)</f>
        <v>Office Supplies</v>
      </c>
      <c r="V154" t="str">
        <f>VLOOKUP(E154,Products!$A:$D,4,0)</f>
        <v>Pens</v>
      </c>
      <c r="W154" t="str">
        <f>VLOOKUP(D154,Customers!$A:$C,3,0)</f>
        <v>B2C</v>
      </c>
      <c r="X154" t="str">
        <f>VLOOKUP(C154,Sales_Representatives!$A:$B,2,0)</f>
        <v>Jennifer Rodriguez</v>
      </c>
    </row>
    <row r="155" spans="1:24" x14ac:dyDescent="0.3">
      <c r="A155" t="s">
        <v>330</v>
      </c>
      <c r="B155" t="s">
        <v>331</v>
      </c>
      <c r="C155" t="s">
        <v>19</v>
      </c>
      <c r="D155" t="s">
        <v>14</v>
      </c>
      <c r="E155" t="s">
        <v>87</v>
      </c>
      <c r="F155">
        <v>8</v>
      </c>
      <c r="G155">
        <v>1047.8900000000001</v>
      </c>
      <c r="H155">
        <v>0.1</v>
      </c>
      <c r="I155" s="4">
        <v>7544.81</v>
      </c>
      <c r="J155" t="s">
        <v>21</v>
      </c>
      <c r="K155" t="s">
        <v>22</v>
      </c>
      <c r="L155" s="4">
        <f>VLOOKUP(tblTransactions[[#This Row],[Product_ID]],tblProducts[],5,FALSE)</f>
        <v>742.63</v>
      </c>
      <c r="M155" s="4">
        <f>tblTransactions[[#This Row],[Total_Amount]]-(tblTransactions[[#This Row],[Cost_Prices]]*tblTransactions[[#This Row],[Quantity]]*(1-tblTransactions[[#This Row],[Discount]]))</f>
        <v>2197.8740000000007</v>
      </c>
      <c r="N155" s="3">
        <f>tblTransactions[[#This Row],[Profit]]/tblTransactions[[#This Row],[Total_Amount]]</f>
        <v>0.29130939016356949</v>
      </c>
      <c r="O155" t="str">
        <f>TEXT(tblTransactions[[#This Row],[Date]], "MMM-YYYY")</f>
        <v>Feb-2023</v>
      </c>
      <c r="P155" t="str">
        <f>"Q"&amp;ROUNDUP(MONTH(tblTransactions[[#This Row],[Date]])/3,0)&amp;"-"&amp;YEAR(tblTransactions[[#This Row],[Date]])</f>
        <v>Q1-2023</v>
      </c>
      <c r="Q155">
        <f>YEAR(tblTransactions[[#This Row],[Date]])</f>
        <v>2023</v>
      </c>
      <c r="R155" t="str">
        <f>TEXT(tblTransactions[[#This Row],[Date]],"DDDD")</f>
        <v>Saturday</v>
      </c>
      <c r="S155">
        <f>MONTH(tblTransactions[[#This Row],[Date]])</f>
        <v>2</v>
      </c>
      <c r="T155" t="str">
        <f>VLOOKUP(E155, Products!$A:$B,2,0)</f>
        <v>Monitors Tec-2</v>
      </c>
      <c r="U155" t="str">
        <f>VLOOKUP(E155,Products!$A:$C,3,0)</f>
        <v>Technology</v>
      </c>
      <c r="V155" t="str">
        <f>VLOOKUP(E155,Products!$A:$D,4,0)</f>
        <v>Monitors</v>
      </c>
      <c r="W155" t="str">
        <f>VLOOKUP(D155,Customers!$A:$C,3,0)</f>
        <v>B2B</v>
      </c>
      <c r="X155" t="str">
        <f>VLOOKUP(C155,Sales_Representatives!$A:$B,2,0)</f>
        <v>Robert Jones</v>
      </c>
    </row>
    <row r="156" spans="1:24" x14ac:dyDescent="0.3">
      <c r="A156" t="s">
        <v>332</v>
      </c>
      <c r="B156" t="s">
        <v>331</v>
      </c>
      <c r="C156" t="s">
        <v>127</v>
      </c>
      <c r="D156" t="s">
        <v>183</v>
      </c>
      <c r="E156" t="s">
        <v>264</v>
      </c>
      <c r="F156">
        <v>7</v>
      </c>
      <c r="G156">
        <v>607.29999999999995</v>
      </c>
      <c r="H156">
        <v>0.06</v>
      </c>
      <c r="I156" s="4">
        <v>3996.03</v>
      </c>
      <c r="J156" t="s">
        <v>109</v>
      </c>
      <c r="K156" t="s">
        <v>48</v>
      </c>
      <c r="L156" s="4">
        <f>VLOOKUP(tblTransactions[[#This Row],[Product_ID]],tblProducts[],5,FALSE)</f>
        <v>436.37</v>
      </c>
      <c r="M156" s="4">
        <f>tblTransactions[[#This Row],[Total_Amount]]-(tblTransactions[[#This Row],[Cost_Prices]]*tblTransactions[[#This Row],[Quantity]]*(1-tblTransactions[[#This Row],[Discount]]))</f>
        <v>1124.7154</v>
      </c>
      <c r="N156" s="3">
        <f>tblTransactions[[#This Row],[Profit]]/tblTransactions[[#This Row],[Total_Amount]]</f>
        <v>0.28145819726078131</v>
      </c>
      <c r="O156" t="str">
        <f>TEXT(tblTransactions[[#This Row],[Date]], "MMM-YYYY")</f>
        <v>Feb-2023</v>
      </c>
      <c r="P156" t="str">
        <f>"Q"&amp;ROUNDUP(MONTH(tblTransactions[[#This Row],[Date]])/3,0)&amp;"-"&amp;YEAR(tblTransactions[[#This Row],[Date]])</f>
        <v>Q1-2023</v>
      </c>
      <c r="Q156">
        <f>YEAR(tblTransactions[[#This Row],[Date]])</f>
        <v>2023</v>
      </c>
      <c r="R156" t="str">
        <f>TEXT(tblTransactions[[#This Row],[Date]],"DDDD")</f>
        <v>Saturday</v>
      </c>
      <c r="S156">
        <f>MONTH(tblTransactions[[#This Row],[Date]])</f>
        <v>2</v>
      </c>
      <c r="T156" t="str">
        <f>VLOOKUP(E156, Products!$A:$B,2,0)</f>
        <v>Tablets Ele-4</v>
      </c>
      <c r="U156" t="str">
        <f>VLOOKUP(E156,Products!$A:$C,3,0)</f>
        <v>Electronics</v>
      </c>
      <c r="V156" t="str">
        <f>VLOOKUP(E156,Products!$A:$D,4,0)</f>
        <v>Tablets</v>
      </c>
      <c r="W156" t="str">
        <f>VLOOKUP(D156,Customers!$A:$C,3,0)</f>
        <v>Small Business</v>
      </c>
      <c r="X156" t="str">
        <f>VLOOKUP(C156,Sales_Representatives!$A:$B,2,0)</f>
        <v>Emily Hernandez</v>
      </c>
    </row>
    <row r="157" spans="1:24" x14ac:dyDescent="0.3">
      <c r="A157" t="s">
        <v>333</v>
      </c>
      <c r="B157" t="s">
        <v>331</v>
      </c>
      <c r="C157" t="s">
        <v>63</v>
      </c>
      <c r="D157" t="s">
        <v>128</v>
      </c>
      <c r="E157" t="s">
        <v>99</v>
      </c>
      <c r="F157">
        <v>7</v>
      </c>
      <c r="G157">
        <v>325.14</v>
      </c>
      <c r="H157">
        <v>0.13</v>
      </c>
      <c r="I157" s="4">
        <v>1980.1</v>
      </c>
      <c r="J157" t="s">
        <v>21</v>
      </c>
      <c r="K157" t="s">
        <v>39</v>
      </c>
      <c r="L157" s="4">
        <f>VLOOKUP(tblTransactions[[#This Row],[Product_ID]],tblProducts[],5,FALSE)</f>
        <v>209.04</v>
      </c>
      <c r="M157" s="4">
        <f>tblTransactions[[#This Row],[Total_Amount]]-(tblTransactions[[#This Row],[Cost_Prices]]*tblTransactions[[#This Row],[Quantity]]*(1-tblTransactions[[#This Row],[Discount]]))</f>
        <v>707.04639999999995</v>
      </c>
      <c r="N157" s="3">
        <f>tblTransactions[[#This Row],[Profit]]/tblTransactions[[#This Row],[Total_Amount]]</f>
        <v>0.35707610726730971</v>
      </c>
      <c r="O157" t="str">
        <f>TEXT(tblTransactions[[#This Row],[Date]], "MMM-YYYY")</f>
        <v>Feb-2023</v>
      </c>
      <c r="P157" t="str">
        <f>"Q"&amp;ROUNDUP(MONTH(tblTransactions[[#This Row],[Date]])/3,0)&amp;"-"&amp;YEAR(tblTransactions[[#This Row],[Date]])</f>
        <v>Q1-2023</v>
      </c>
      <c r="Q157">
        <f>YEAR(tblTransactions[[#This Row],[Date]])</f>
        <v>2023</v>
      </c>
      <c r="R157" t="str">
        <f>TEXT(tblTransactions[[#This Row],[Date]],"DDDD")</f>
        <v>Saturday</v>
      </c>
      <c r="S157">
        <f>MONTH(tblTransactions[[#This Row],[Date]])</f>
        <v>2</v>
      </c>
      <c r="T157" t="str">
        <f>VLOOKUP(E157, Products!$A:$B,2,0)</f>
        <v>Monitors Tec-1</v>
      </c>
      <c r="U157" t="str">
        <f>VLOOKUP(E157,Products!$A:$C,3,0)</f>
        <v>Technology</v>
      </c>
      <c r="V157" t="str">
        <f>VLOOKUP(E157,Products!$A:$D,4,0)</f>
        <v>Monitors</v>
      </c>
      <c r="W157" t="str">
        <f>VLOOKUP(D157,Customers!$A:$C,3,0)</f>
        <v>B2B</v>
      </c>
      <c r="X157" t="str">
        <f>VLOOKUP(C157,Sales_Representatives!$A:$B,2,0)</f>
        <v>Richard Wilson</v>
      </c>
    </row>
    <row r="158" spans="1:24" x14ac:dyDescent="0.3">
      <c r="A158" t="s">
        <v>334</v>
      </c>
      <c r="B158" t="s">
        <v>331</v>
      </c>
      <c r="C158" t="s">
        <v>13</v>
      </c>
      <c r="D158" t="s">
        <v>32</v>
      </c>
      <c r="E158" t="s">
        <v>145</v>
      </c>
      <c r="F158">
        <v>3</v>
      </c>
      <c r="G158">
        <v>93.43</v>
      </c>
      <c r="H158">
        <v>7.0000000000000007E-2</v>
      </c>
      <c r="I158" s="4">
        <v>260.67</v>
      </c>
      <c r="J158" t="s">
        <v>16</v>
      </c>
      <c r="K158" t="s">
        <v>17</v>
      </c>
      <c r="L158" s="4">
        <f>VLOOKUP(tblTransactions[[#This Row],[Product_ID]],tblProducts[],5,FALSE)</f>
        <v>45.74</v>
      </c>
      <c r="M158" s="4">
        <f>tblTransactions[[#This Row],[Total_Amount]]-(tblTransactions[[#This Row],[Cost_Prices]]*tblTransactions[[#This Row],[Quantity]]*(1-tblTransactions[[#This Row],[Discount]]))</f>
        <v>133.05540000000002</v>
      </c>
      <c r="N158" s="3">
        <f>tblTransactions[[#This Row],[Profit]]/tblTransactions[[#This Row],[Total_Amount]]</f>
        <v>0.51043618368051569</v>
      </c>
      <c r="O158" t="str">
        <f>TEXT(tblTransactions[[#This Row],[Date]], "MMM-YYYY")</f>
        <v>Feb-2023</v>
      </c>
      <c r="P158" t="str">
        <f>"Q"&amp;ROUNDUP(MONTH(tblTransactions[[#This Row],[Date]])/3,0)&amp;"-"&amp;YEAR(tblTransactions[[#This Row],[Date]])</f>
        <v>Q1-2023</v>
      </c>
      <c r="Q158">
        <f>YEAR(tblTransactions[[#This Row],[Date]])</f>
        <v>2023</v>
      </c>
      <c r="R158" t="str">
        <f>TEXT(tblTransactions[[#This Row],[Date]],"DDDD")</f>
        <v>Saturday</v>
      </c>
      <c r="S158">
        <f>MONTH(tblTransactions[[#This Row],[Date]])</f>
        <v>2</v>
      </c>
      <c r="T158" t="str">
        <f>VLOOKUP(E158, Products!$A:$B,2,0)</f>
        <v>Paper Off-1</v>
      </c>
      <c r="U158" t="str">
        <f>VLOOKUP(E158,Products!$A:$C,3,0)</f>
        <v>Office Supplies</v>
      </c>
      <c r="V158" t="str">
        <f>VLOOKUP(E158,Products!$A:$D,4,0)</f>
        <v>Paper</v>
      </c>
      <c r="W158" t="str">
        <f>VLOOKUP(D158,Customers!$A:$C,3,0)</f>
        <v>B2C</v>
      </c>
      <c r="X158" t="str">
        <f>VLOOKUP(C158,Sales_Representatives!$A:$B,2,0)</f>
        <v>Jennifer Rodriguez</v>
      </c>
    </row>
    <row r="159" spans="1:24" x14ac:dyDescent="0.3">
      <c r="A159" t="s">
        <v>335</v>
      </c>
      <c r="B159" t="s">
        <v>331</v>
      </c>
      <c r="C159" t="s">
        <v>63</v>
      </c>
      <c r="D159" t="s">
        <v>136</v>
      </c>
      <c r="E159" t="s">
        <v>176</v>
      </c>
      <c r="F159">
        <v>9</v>
      </c>
      <c r="G159">
        <v>1462.68</v>
      </c>
      <c r="H159">
        <v>7.0000000000000007E-2</v>
      </c>
      <c r="I159" s="4">
        <v>12242.63</v>
      </c>
      <c r="J159" t="s">
        <v>21</v>
      </c>
      <c r="K159" t="s">
        <v>17</v>
      </c>
      <c r="L159" s="4">
        <f>VLOOKUP(tblTransactions[[#This Row],[Product_ID]],tblProducts[],5,FALSE)</f>
        <v>775.94</v>
      </c>
      <c r="M159" s="4">
        <f>tblTransactions[[#This Row],[Total_Amount]]-(tblTransactions[[#This Row],[Cost_Prices]]*tblTransactions[[#This Row],[Quantity]]*(1-tblTransactions[[#This Row],[Discount]]))</f>
        <v>5748.0121999999983</v>
      </c>
      <c r="N159" s="3">
        <f>tblTransactions[[#This Row],[Profit]]/tblTransactions[[#This Row],[Total_Amount]]</f>
        <v>0.46950795703210818</v>
      </c>
      <c r="O159" t="str">
        <f>TEXT(tblTransactions[[#This Row],[Date]], "MMM-YYYY")</f>
        <v>Feb-2023</v>
      </c>
      <c r="P159" t="str">
        <f>"Q"&amp;ROUNDUP(MONTH(tblTransactions[[#This Row],[Date]])/3,0)&amp;"-"&amp;YEAR(tblTransactions[[#This Row],[Date]])</f>
        <v>Q1-2023</v>
      </c>
      <c r="Q159">
        <f>YEAR(tblTransactions[[#This Row],[Date]])</f>
        <v>2023</v>
      </c>
      <c r="R159" t="str">
        <f>TEXT(tblTransactions[[#This Row],[Date]],"DDDD")</f>
        <v>Saturday</v>
      </c>
      <c r="S159">
        <f>MONTH(tblTransactions[[#This Row],[Date]])</f>
        <v>2</v>
      </c>
      <c r="T159" t="str">
        <f>VLOOKUP(E159, Products!$A:$B,2,0)</f>
        <v>Chairs Fur-2</v>
      </c>
      <c r="U159" t="str">
        <f>VLOOKUP(E159,Products!$A:$C,3,0)</f>
        <v>Furniture</v>
      </c>
      <c r="V159" t="str">
        <f>VLOOKUP(E159,Products!$A:$D,4,0)</f>
        <v>Chairs</v>
      </c>
      <c r="W159" t="str">
        <f>VLOOKUP(D159,Customers!$A:$C,3,0)</f>
        <v>B2B</v>
      </c>
      <c r="X159" t="str">
        <f>VLOOKUP(C159,Sales_Representatives!$A:$B,2,0)</f>
        <v>Richard Wilson</v>
      </c>
    </row>
    <row r="160" spans="1:24" x14ac:dyDescent="0.3">
      <c r="A160" t="s">
        <v>336</v>
      </c>
      <c r="B160" t="s">
        <v>337</v>
      </c>
      <c r="C160" t="s">
        <v>131</v>
      </c>
      <c r="D160" t="s">
        <v>32</v>
      </c>
      <c r="E160" t="s">
        <v>206</v>
      </c>
      <c r="F160">
        <v>5</v>
      </c>
      <c r="G160">
        <v>292.51</v>
      </c>
      <c r="H160">
        <v>0.08</v>
      </c>
      <c r="I160" s="4">
        <v>1345.55</v>
      </c>
      <c r="J160" t="s">
        <v>44</v>
      </c>
      <c r="K160" t="s">
        <v>35</v>
      </c>
      <c r="L160" s="4">
        <f>VLOOKUP(tblTransactions[[#This Row],[Product_ID]],tblProducts[],5,FALSE)</f>
        <v>122.08</v>
      </c>
      <c r="M160" s="4">
        <f>tblTransactions[[#This Row],[Total_Amount]]-(tblTransactions[[#This Row],[Cost_Prices]]*tblTransactions[[#This Row],[Quantity]]*(1-tblTransactions[[#This Row],[Discount]]))</f>
        <v>783.98199999999997</v>
      </c>
      <c r="N160" s="3">
        <f>tblTransactions[[#This Row],[Profit]]/tblTransactions[[#This Row],[Total_Amount]]</f>
        <v>0.58264798781167548</v>
      </c>
      <c r="O160" t="str">
        <f>TEXT(tblTransactions[[#This Row],[Date]], "MMM-YYYY")</f>
        <v>Feb-2023</v>
      </c>
      <c r="P160" t="str">
        <f>"Q"&amp;ROUNDUP(MONTH(tblTransactions[[#This Row],[Date]])/3,0)&amp;"-"&amp;YEAR(tblTransactions[[#This Row],[Date]])</f>
        <v>Q1-2023</v>
      </c>
      <c r="Q160">
        <f>YEAR(tblTransactions[[#This Row],[Date]])</f>
        <v>2023</v>
      </c>
      <c r="R160" t="str">
        <f>TEXT(tblTransactions[[#This Row],[Date]],"DDDD")</f>
        <v>Sunday</v>
      </c>
      <c r="S160">
        <f>MONTH(tblTransactions[[#This Row],[Date]])</f>
        <v>2</v>
      </c>
      <c r="T160" t="str">
        <f>VLOOKUP(E160, Products!$A:$B,2,0)</f>
        <v>Keyboards Acc-1</v>
      </c>
      <c r="U160" t="str">
        <f>VLOOKUP(E160,Products!$A:$C,3,0)</f>
        <v>Accessories</v>
      </c>
      <c r="V160" t="str">
        <f>VLOOKUP(E160,Products!$A:$D,4,0)</f>
        <v>Keyboards</v>
      </c>
      <c r="W160" t="str">
        <f>VLOOKUP(D160,Customers!$A:$C,3,0)</f>
        <v>B2C</v>
      </c>
      <c r="X160" t="str">
        <f>VLOOKUP(C160,Sales_Representatives!$A:$B,2,0)</f>
        <v>Michael Davis</v>
      </c>
    </row>
    <row r="161" spans="1:24" x14ac:dyDescent="0.3">
      <c r="A161" t="s">
        <v>338</v>
      </c>
      <c r="B161" t="s">
        <v>337</v>
      </c>
      <c r="C161" t="s">
        <v>19</v>
      </c>
      <c r="D161" t="s">
        <v>136</v>
      </c>
      <c r="E161" t="s">
        <v>339</v>
      </c>
      <c r="F161">
        <v>16</v>
      </c>
      <c r="G161">
        <v>1100.8800000000001</v>
      </c>
      <c r="H161">
        <v>0.13</v>
      </c>
      <c r="I161" s="4">
        <v>15324.25</v>
      </c>
      <c r="J161" t="s">
        <v>21</v>
      </c>
      <c r="K161" t="s">
        <v>39</v>
      </c>
      <c r="L161" s="4">
        <f>VLOOKUP(tblTransactions[[#This Row],[Product_ID]],tblProducts[],5,FALSE)</f>
        <v>761.53</v>
      </c>
      <c r="M161" s="4">
        <f>tblTransactions[[#This Row],[Total_Amount]]-(tblTransactions[[#This Row],[Cost_Prices]]*tblTransactions[[#This Row],[Quantity]]*(1-tblTransactions[[#This Row],[Discount]]))</f>
        <v>4723.7524000000012</v>
      </c>
      <c r="N161" s="3">
        <f>tblTransactions[[#This Row],[Profit]]/tblTransactions[[#This Row],[Total_Amount]]</f>
        <v>0.30825341533843426</v>
      </c>
      <c r="O161" t="str">
        <f>TEXT(tblTransactions[[#This Row],[Date]], "MMM-YYYY")</f>
        <v>Feb-2023</v>
      </c>
      <c r="P161" t="str">
        <f>"Q"&amp;ROUNDUP(MONTH(tblTransactions[[#This Row],[Date]])/3,0)&amp;"-"&amp;YEAR(tblTransactions[[#This Row],[Date]])</f>
        <v>Q1-2023</v>
      </c>
      <c r="Q161">
        <f>YEAR(tblTransactions[[#This Row],[Date]])</f>
        <v>2023</v>
      </c>
      <c r="R161" t="str">
        <f>TEXT(tblTransactions[[#This Row],[Date]],"DDDD")</f>
        <v>Sunday</v>
      </c>
      <c r="S161">
        <f>MONTH(tblTransactions[[#This Row],[Date]])</f>
        <v>2</v>
      </c>
      <c r="T161" t="str">
        <f>VLOOKUP(E161, Products!$A:$B,2,0)</f>
        <v>Phones Ele-2</v>
      </c>
      <c r="U161" t="str">
        <f>VLOOKUP(E161,Products!$A:$C,3,0)</f>
        <v>Electronics</v>
      </c>
      <c r="V161" t="str">
        <f>VLOOKUP(E161,Products!$A:$D,4,0)</f>
        <v>Phones</v>
      </c>
      <c r="W161" t="str">
        <f>VLOOKUP(D161,Customers!$A:$C,3,0)</f>
        <v>B2B</v>
      </c>
      <c r="X161" t="str">
        <f>VLOOKUP(C161,Sales_Representatives!$A:$B,2,0)</f>
        <v>Robert Jones</v>
      </c>
    </row>
    <row r="162" spans="1:24" x14ac:dyDescent="0.3">
      <c r="A162" t="s">
        <v>340</v>
      </c>
      <c r="B162" t="s">
        <v>341</v>
      </c>
      <c r="C162" t="s">
        <v>107</v>
      </c>
      <c r="D162" t="s">
        <v>124</v>
      </c>
      <c r="E162" t="s">
        <v>137</v>
      </c>
      <c r="F162">
        <v>7</v>
      </c>
      <c r="G162">
        <v>241.39</v>
      </c>
      <c r="H162">
        <v>0.11</v>
      </c>
      <c r="I162" s="4">
        <v>1503.86</v>
      </c>
      <c r="J162" t="s">
        <v>109</v>
      </c>
      <c r="K162" t="s">
        <v>48</v>
      </c>
      <c r="L162" s="4">
        <f>VLOOKUP(tblTransactions[[#This Row],[Product_ID]],tblProducts[],5,FALSE)</f>
        <v>124.07</v>
      </c>
      <c r="M162" s="4">
        <f>tblTransactions[[#This Row],[Total_Amount]]-(tblTransactions[[#This Row],[Cost_Prices]]*tblTransactions[[#This Row],[Quantity]]*(1-tblTransactions[[#This Row],[Discount]]))</f>
        <v>730.90389999999991</v>
      </c>
      <c r="N162" s="3">
        <f>tblTransactions[[#This Row],[Profit]]/tblTransactions[[#This Row],[Total_Amount]]</f>
        <v>0.48601857885707445</v>
      </c>
      <c r="O162" t="str">
        <f>TEXT(tblTransactions[[#This Row],[Date]], "MMM-YYYY")</f>
        <v>Feb-2023</v>
      </c>
      <c r="P162" t="str">
        <f>"Q"&amp;ROUNDUP(MONTH(tblTransactions[[#This Row],[Date]])/3,0)&amp;"-"&amp;YEAR(tblTransactions[[#This Row],[Date]])</f>
        <v>Q1-2023</v>
      </c>
      <c r="Q162">
        <f>YEAR(tblTransactions[[#This Row],[Date]])</f>
        <v>2023</v>
      </c>
      <c r="R162" t="str">
        <f>TEXT(tblTransactions[[#This Row],[Date]],"DDDD")</f>
        <v>Monday</v>
      </c>
      <c r="S162">
        <f>MONTH(tblTransactions[[#This Row],[Date]])</f>
        <v>2</v>
      </c>
      <c r="T162" t="str">
        <f>VLOOKUP(E162, Products!$A:$B,2,0)</f>
        <v>Desks Fur-2</v>
      </c>
      <c r="U162" t="str">
        <f>VLOOKUP(E162,Products!$A:$C,3,0)</f>
        <v>Furniture</v>
      </c>
      <c r="V162" t="str">
        <f>VLOOKUP(E162,Products!$A:$D,4,0)</f>
        <v>Desks</v>
      </c>
      <c r="W162" t="str">
        <f>VLOOKUP(D162,Customers!$A:$C,3,0)</f>
        <v>B2B</v>
      </c>
      <c r="X162" t="str">
        <f>VLOOKUP(C162,Sales_Representatives!$A:$B,2,0)</f>
        <v>Jennifer Brown</v>
      </c>
    </row>
    <row r="163" spans="1:24" x14ac:dyDescent="0.3">
      <c r="A163" t="s">
        <v>342</v>
      </c>
      <c r="B163" t="s">
        <v>341</v>
      </c>
      <c r="C163" t="s">
        <v>27</v>
      </c>
      <c r="D163" t="s">
        <v>71</v>
      </c>
      <c r="E163" t="s">
        <v>87</v>
      </c>
      <c r="F163">
        <v>2</v>
      </c>
      <c r="G163">
        <v>1047.8900000000001</v>
      </c>
      <c r="H163">
        <v>0</v>
      </c>
      <c r="I163" s="4">
        <v>2095.7800000000002</v>
      </c>
      <c r="J163" t="s">
        <v>16</v>
      </c>
      <c r="K163" t="s">
        <v>35</v>
      </c>
      <c r="L163" s="4">
        <f>VLOOKUP(tblTransactions[[#This Row],[Product_ID]],tblProducts[],5,FALSE)</f>
        <v>742.63</v>
      </c>
      <c r="M163" s="4">
        <f>tblTransactions[[#This Row],[Total_Amount]]-(tblTransactions[[#This Row],[Cost_Prices]]*tblTransactions[[#This Row],[Quantity]]*(1-tblTransactions[[#This Row],[Discount]]))</f>
        <v>610.52000000000021</v>
      </c>
      <c r="N163" s="3">
        <f>tblTransactions[[#This Row],[Profit]]/tblTransactions[[#This Row],[Total_Amount]]</f>
        <v>0.29130920230176838</v>
      </c>
      <c r="O163" t="str">
        <f>TEXT(tblTransactions[[#This Row],[Date]], "MMM-YYYY")</f>
        <v>Feb-2023</v>
      </c>
      <c r="P163" t="str">
        <f>"Q"&amp;ROUNDUP(MONTH(tblTransactions[[#This Row],[Date]])/3,0)&amp;"-"&amp;YEAR(tblTransactions[[#This Row],[Date]])</f>
        <v>Q1-2023</v>
      </c>
      <c r="Q163">
        <f>YEAR(tblTransactions[[#This Row],[Date]])</f>
        <v>2023</v>
      </c>
      <c r="R163" t="str">
        <f>TEXT(tblTransactions[[#This Row],[Date]],"DDDD")</f>
        <v>Monday</v>
      </c>
      <c r="S163">
        <f>MONTH(tblTransactions[[#This Row],[Date]])</f>
        <v>2</v>
      </c>
      <c r="T163" t="str">
        <f>VLOOKUP(E163, Products!$A:$B,2,0)</f>
        <v>Monitors Tec-2</v>
      </c>
      <c r="U163" t="str">
        <f>VLOOKUP(E163,Products!$A:$C,3,0)</f>
        <v>Technology</v>
      </c>
      <c r="V163" t="str">
        <f>VLOOKUP(E163,Products!$A:$D,4,0)</f>
        <v>Monitors</v>
      </c>
      <c r="W163" t="str">
        <f>VLOOKUP(D163,Customers!$A:$C,3,0)</f>
        <v>B2B</v>
      </c>
      <c r="X163" t="str">
        <f>VLOOKUP(C163,Sales_Representatives!$A:$B,2,0)</f>
        <v>Thomas Lopez</v>
      </c>
    </row>
    <row r="164" spans="1:24" x14ac:dyDescent="0.3">
      <c r="A164" t="s">
        <v>343</v>
      </c>
      <c r="B164" t="s">
        <v>344</v>
      </c>
      <c r="C164" t="s">
        <v>41</v>
      </c>
      <c r="D164" t="s">
        <v>32</v>
      </c>
      <c r="E164" t="s">
        <v>345</v>
      </c>
      <c r="F164">
        <v>7</v>
      </c>
      <c r="G164">
        <v>13.97</v>
      </c>
      <c r="H164">
        <v>0.13</v>
      </c>
      <c r="I164" s="4">
        <v>85.08</v>
      </c>
      <c r="J164" t="s">
        <v>44</v>
      </c>
      <c r="K164" t="s">
        <v>39</v>
      </c>
      <c r="L164" s="4">
        <f>VLOOKUP(tblTransactions[[#This Row],[Product_ID]],tblProducts[],5,FALSE)</f>
        <v>8.69</v>
      </c>
      <c r="M164" s="4">
        <f>tblTransactions[[#This Row],[Total_Amount]]-(tblTransactions[[#This Row],[Cost_Prices]]*tblTransactions[[#This Row],[Quantity]]*(1-tblTransactions[[#This Row],[Discount]]))</f>
        <v>32.157899999999998</v>
      </c>
      <c r="N164" s="3">
        <f>tblTransactions[[#This Row],[Profit]]/tblTransactions[[#This Row],[Total_Amount]]</f>
        <v>0.3779724964739069</v>
      </c>
      <c r="O164" t="str">
        <f>TEXT(tblTransactions[[#This Row],[Date]], "MMM-YYYY")</f>
        <v>Feb-2023</v>
      </c>
      <c r="P164" t="str">
        <f>"Q"&amp;ROUNDUP(MONTH(tblTransactions[[#This Row],[Date]])/3,0)&amp;"-"&amp;YEAR(tblTransactions[[#This Row],[Date]])</f>
        <v>Q1-2023</v>
      </c>
      <c r="Q164">
        <f>YEAR(tblTransactions[[#This Row],[Date]])</f>
        <v>2023</v>
      </c>
      <c r="R164" t="str">
        <f>TEXT(tblTransactions[[#This Row],[Date]],"DDDD")</f>
        <v>Tuesday</v>
      </c>
      <c r="S164">
        <f>MONTH(tblTransactions[[#This Row],[Date]])</f>
        <v>2</v>
      </c>
      <c r="T164" t="str">
        <f>VLOOKUP(E164, Products!$A:$B,2,0)</f>
        <v>Cases Acc-2</v>
      </c>
      <c r="U164" t="str">
        <f>VLOOKUP(E164,Products!$A:$C,3,0)</f>
        <v>Accessories</v>
      </c>
      <c r="V164" t="str">
        <f>VLOOKUP(E164,Products!$A:$D,4,0)</f>
        <v>Cases</v>
      </c>
      <c r="W164" t="str">
        <f>VLOOKUP(D164,Customers!$A:$C,3,0)</f>
        <v>B2C</v>
      </c>
      <c r="X164" t="str">
        <f>VLOOKUP(C164,Sales_Representatives!$A:$B,2,0)</f>
        <v>Robert Jones</v>
      </c>
    </row>
    <row r="165" spans="1:24" x14ac:dyDescent="0.3">
      <c r="A165" t="s">
        <v>346</v>
      </c>
      <c r="B165" t="s">
        <v>344</v>
      </c>
      <c r="C165" t="s">
        <v>70</v>
      </c>
      <c r="D165" t="s">
        <v>144</v>
      </c>
      <c r="E165" t="s">
        <v>347</v>
      </c>
      <c r="F165">
        <v>5</v>
      </c>
      <c r="G165">
        <v>1539.6</v>
      </c>
      <c r="H165">
        <v>0.06</v>
      </c>
      <c r="I165" s="4">
        <v>7236.12</v>
      </c>
      <c r="J165" t="s">
        <v>16</v>
      </c>
      <c r="K165" t="s">
        <v>48</v>
      </c>
      <c r="L165" s="4">
        <f>VLOOKUP(tblTransactions[[#This Row],[Product_ID]],tblProducts[],5,FALSE)</f>
        <v>992.43</v>
      </c>
      <c r="M165" s="4">
        <f>tblTransactions[[#This Row],[Total_Amount]]-(tblTransactions[[#This Row],[Cost_Prices]]*tblTransactions[[#This Row],[Quantity]]*(1-tblTransactions[[#This Row],[Discount]]))</f>
        <v>2571.6990000000005</v>
      </c>
      <c r="N165" s="3">
        <f>tblTransactions[[#This Row],[Profit]]/tblTransactions[[#This Row],[Total_Amount]]</f>
        <v>0.35539750584567426</v>
      </c>
      <c r="O165" t="str">
        <f>TEXT(tblTransactions[[#This Row],[Date]], "MMM-YYYY")</f>
        <v>Feb-2023</v>
      </c>
      <c r="P165" t="str">
        <f>"Q"&amp;ROUNDUP(MONTH(tblTransactions[[#This Row],[Date]])/3,0)&amp;"-"&amp;YEAR(tblTransactions[[#This Row],[Date]])</f>
        <v>Q1-2023</v>
      </c>
      <c r="Q165">
        <f>YEAR(tblTransactions[[#This Row],[Date]])</f>
        <v>2023</v>
      </c>
      <c r="R165" t="str">
        <f>TEXT(tblTransactions[[#This Row],[Date]],"DDDD")</f>
        <v>Tuesday</v>
      </c>
      <c r="S165">
        <f>MONTH(tblTransactions[[#This Row],[Date]])</f>
        <v>2</v>
      </c>
      <c r="T165" t="str">
        <f>VLOOKUP(E165, Products!$A:$B,2,0)</f>
        <v>Routers Tec-2</v>
      </c>
      <c r="U165" t="str">
        <f>VLOOKUP(E165,Products!$A:$C,3,0)</f>
        <v>Technology</v>
      </c>
      <c r="V165" t="str">
        <f>VLOOKUP(E165,Products!$A:$D,4,0)</f>
        <v>Routers</v>
      </c>
      <c r="W165" t="str">
        <f>VLOOKUP(D165,Customers!$A:$C,3,0)</f>
        <v>B2C</v>
      </c>
      <c r="X165" t="str">
        <f>VLOOKUP(C165,Sales_Representatives!$A:$B,2,0)</f>
        <v>Linda Smith</v>
      </c>
    </row>
    <row r="166" spans="1:24" x14ac:dyDescent="0.3">
      <c r="A166" t="s">
        <v>348</v>
      </c>
      <c r="B166" t="s">
        <v>344</v>
      </c>
      <c r="C166" t="s">
        <v>59</v>
      </c>
      <c r="D166" t="s">
        <v>247</v>
      </c>
      <c r="E166" t="s">
        <v>310</v>
      </c>
      <c r="F166">
        <v>1</v>
      </c>
      <c r="G166">
        <v>274.13</v>
      </c>
      <c r="H166">
        <v>0.1</v>
      </c>
      <c r="I166" s="4">
        <v>246.72</v>
      </c>
      <c r="J166" t="s">
        <v>21</v>
      </c>
      <c r="K166" t="s">
        <v>48</v>
      </c>
      <c r="L166" s="4">
        <f>VLOOKUP(tblTransactions[[#This Row],[Product_ID]],tblProducts[],5,FALSE)</f>
        <v>134.41999999999999</v>
      </c>
      <c r="M166" s="4">
        <f>tblTransactions[[#This Row],[Total_Amount]]-(tblTransactions[[#This Row],[Cost_Prices]]*tblTransactions[[#This Row],[Quantity]]*(1-tblTransactions[[#This Row],[Discount]]))</f>
        <v>125.742</v>
      </c>
      <c r="N166" s="3">
        <f>tblTransactions[[#This Row],[Profit]]/tblTransactions[[#This Row],[Total_Amount]]</f>
        <v>0.50965466926070035</v>
      </c>
      <c r="O166" t="str">
        <f>TEXT(tblTransactions[[#This Row],[Date]], "MMM-YYYY")</f>
        <v>Feb-2023</v>
      </c>
      <c r="P166" t="str">
        <f>"Q"&amp;ROUNDUP(MONTH(tblTransactions[[#This Row],[Date]])/3,0)&amp;"-"&amp;YEAR(tblTransactions[[#This Row],[Date]])</f>
        <v>Q1-2023</v>
      </c>
      <c r="Q166">
        <f>YEAR(tblTransactions[[#This Row],[Date]])</f>
        <v>2023</v>
      </c>
      <c r="R166" t="str">
        <f>TEXT(tblTransactions[[#This Row],[Date]],"DDDD")</f>
        <v>Tuesday</v>
      </c>
      <c r="S166">
        <f>MONTH(tblTransactions[[#This Row],[Date]])</f>
        <v>2</v>
      </c>
      <c r="T166" t="str">
        <f>VLOOKUP(E166, Products!$A:$B,2,0)</f>
        <v>Adapters Acc-4</v>
      </c>
      <c r="U166" t="str">
        <f>VLOOKUP(E166,Products!$A:$C,3,0)</f>
        <v>Accessories</v>
      </c>
      <c r="V166" t="str">
        <f>VLOOKUP(E166,Products!$A:$D,4,0)</f>
        <v>Adapters</v>
      </c>
      <c r="W166" t="str">
        <f>VLOOKUP(D166,Customers!$A:$C,3,0)</f>
        <v>B2C</v>
      </c>
      <c r="X166" t="str">
        <f>VLOOKUP(C166,Sales_Representatives!$A:$B,2,0)</f>
        <v>Sarah Brown</v>
      </c>
    </row>
    <row r="167" spans="1:24" x14ac:dyDescent="0.3">
      <c r="A167" t="s">
        <v>349</v>
      </c>
      <c r="B167" t="s">
        <v>350</v>
      </c>
      <c r="C167" t="s">
        <v>63</v>
      </c>
      <c r="D167" t="s">
        <v>351</v>
      </c>
      <c r="E167" t="s">
        <v>264</v>
      </c>
      <c r="F167">
        <v>3</v>
      </c>
      <c r="G167">
        <v>607.29999999999995</v>
      </c>
      <c r="H167">
        <v>0.04</v>
      </c>
      <c r="I167" s="4">
        <v>1749.02</v>
      </c>
      <c r="J167" t="s">
        <v>21</v>
      </c>
      <c r="K167" t="s">
        <v>22</v>
      </c>
      <c r="L167" s="4">
        <f>VLOOKUP(tblTransactions[[#This Row],[Product_ID]],tblProducts[],5,FALSE)</f>
        <v>436.37</v>
      </c>
      <c r="M167" s="4">
        <f>tblTransactions[[#This Row],[Total_Amount]]-(tblTransactions[[#This Row],[Cost_Prices]]*tblTransactions[[#This Row],[Quantity]]*(1-tblTransactions[[#This Row],[Discount]]))</f>
        <v>492.27440000000001</v>
      </c>
      <c r="N167" s="3">
        <f>tblTransactions[[#This Row],[Profit]]/tblTransactions[[#This Row],[Total_Amount]]</f>
        <v>0.28145727321585806</v>
      </c>
      <c r="O167" t="str">
        <f>TEXT(tblTransactions[[#This Row],[Date]], "MMM-YYYY")</f>
        <v>Feb-2023</v>
      </c>
      <c r="P167" t="str">
        <f>"Q"&amp;ROUNDUP(MONTH(tblTransactions[[#This Row],[Date]])/3,0)&amp;"-"&amp;YEAR(tblTransactions[[#This Row],[Date]])</f>
        <v>Q1-2023</v>
      </c>
      <c r="Q167">
        <f>YEAR(tblTransactions[[#This Row],[Date]])</f>
        <v>2023</v>
      </c>
      <c r="R167" t="str">
        <f>TEXT(tblTransactions[[#This Row],[Date]],"DDDD")</f>
        <v>Wednesday</v>
      </c>
      <c r="S167">
        <f>MONTH(tblTransactions[[#This Row],[Date]])</f>
        <v>2</v>
      </c>
      <c r="T167" t="str">
        <f>VLOOKUP(E167, Products!$A:$B,2,0)</f>
        <v>Tablets Ele-4</v>
      </c>
      <c r="U167" t="str">
        <f>VLOOKUP(E167,Products!$A:$C,3,0)</f>
        <v>Electronics</v>
      </c>
      <c r="V167" t="str">
        <f>VLOOKUP(E167,Products!$A:$D,4,0)</f>
        <v>Tablets</v>
      </c>
      <c r="W167" t="str">
        <f>VLOOKUP(D167,Customers!$A:$C,3,0)</f>
        <v>B2C</v>
      </c>
      <c r="X167" t="str">
        <f>VLOOKUP(C167,Sales_Representatives!$A:$B,2,0)</f>
        <v>Richard Wilson</v>
      </c>
    </row>
    <row r="168" spans="1:24" x14ac:dyDescent="0.3">
      <c r="A168" t="s">
        <v>352</v>
      </c>
      <c r="B168" t="s">
        <v>350</v>
      </c>
      <c r="C168" t="s">
        <v>59</v>
      </c>
      <c r="D168" t="s">
        <v>50</v>
      </c>
      <c r="E168" t="s">
        <v>105</v>
      </c>
      <c r="F168">
        <v>7</v>
      </c>
      <c r="G168">
        <v>1342.04</v>
      </c>
      <c r="H168">
        <v>0.05</v>
      </c>
      <c r="I168" s="4">
        <v>8924.57</v>
      </c>
      <c r="J168" t="s">
        <v>21</v>
      </c>
      <c r="K168" t="s">
        <v>22</v>
      </c>
      <c r="L168" s="4">
        <f>VLOOKUP(tblTransactions[[#This Row],[Product_ID]],tblProducts[],5,FALSE)</f>
        <v>792.89</v>
      </c>
      <c r="M168" s="4">
        <f>tblTransactions[[#This Row],[Total_Amount]]-(tblTransactions[[#This Row],[Cost_Prices]]*tblTransactions[[#This Row],[Quantity]]*(1-tblTransactions[[#This Row],[Discount]]))</f>
        <v>3651.8515000000007</v>
      </c>
      <c r="N168" s="3">
        <f>tblTransactions[[#This Row],[Profit]]/tblTransactions[[#This Row],[Total_Amount]]</f>
        <v>0.40919075092693552</v>
      </c>
      <c r="O168" t="str">
        <f>TEXT(tblTransactions[[#This Row],[Date]], "MMM-YYYY")</f>
        <v>Feb-2023</v>
      </c>
      <c r="P168" t="str">
        <f>"Q"&amp;ROUNDUP(MONTH(tblTransactions[[#This Row],[Date]])/3,0)&amp;"-"&amp;YEAR(tblTransactions[[#This Row],[Date]])</f>
        <v>Q1-2023</v>
      </c>
      <c r="Q168">
        <f>YEAR(tblTransactions[[#This Row],[Date]])</f>
        <v>2023</v>
      </c>
      <c r="R168" t="str">
        <f>TEXT(tblTransactions[[#This Row],[Date]],"DDDD")</f>
        <v>Wednesday</v>
      </c>
      <c r="S168">
        <f>MONTH(tblTransactions[[#This Row],[Date]])</f>
        <v>2</v>
      </c>
      <c r="T168" t="str">
        <f>VLOOKUP(E168, Products!$A:$B,2,0)</f>
        <v>Cameras Ele-1</v>
      </c>
      <c r="U168" t="str">
        <f>VLOOKUP(E168,Products!$A:$C,3,0)</f>
        <v>Electronics</v>
      </c>
      <c r="V168" t="str">
        <f>VLOOKUP(E168,Products!$A:$D,4,0)</f>
        <v>Cameras</v>
      </c>
      <c r="W168" t="str">
        <f>VLOOKUP(D168,Customers!$A:$C,3,0)</f>
        <v>Small Business</v>
      </c>
      <c r="X168" t="str">
        <f>VLOOKUP(C168,Sales_Representatives!$A:$B,2,0)</f>
        <v>Sarah Brown</v>
      </c>
    </row>
    <row r="169" spans="1:24" x14ac:dyDescent="0.3">
      <c r="A169" t="s">
        <v>353</v>
      </c>
      <c r="B169" t="s">
        <v>350</v>
      </c>
      <c r="C169" t="s">
        <v>19</v>
      </c>
      <c r="D169" t="s">
        <v>28</v>
      </c>
      <c r="E169" t="s">
        <v>129</v>
      </c>
      <c r="F169">
        <v>4</v>
      </c>
      <c r="G169">
        <v>1283.71</v>
      </c>
      <c r="H169">
        <v>0.05</v>
      </c>
      <c r="I169" s="4">
        <v>4878.1000000000004</v>
      </c>
      <c r="J169" t="s">
        <v>21</v>
      </c>
      <c r="K169" t="s">
        <v>39</v>
      </c>
      <c r="L169" s="4">
        <f>VLOOKUP(tblTransactions[[#This Row],[Product_ID]],tblProducts[],5,FALSE)</f>
        <v>970.14</v>
      </c>
      <c r="M169" s="4">
        <f>tblTransactions[[#This Row],[Total_Amount]]-(tblTransactions[[#This Row],[Cost_Prices]]*tblTransactions[[#This Row],[Quantity]]*(1-tblTransactions[[#This Row],[Discount]]))</f>
        <v>1191.5680000000007</v>
      </c>
      <c r="N169" s="3">
        <f>tblTransactions[[#This Row],[Profit]]/tblTransactions[[#This Row],[Total_Amount]]</f>
        <v>0.24426887517681076</v>
      </c>
      <c r="O169" t="str">
        <f>TEXT(tblTransactions[[#This Row],[Date]], "MMM-YYYY")</f>
        <v>Feb-2023</v>
      </c>
      <c r="P169" t="str">
        <f>"Q"&amp;ROUNDUP(MONTH(tblTransactions[[#This Row],[Date]])/3,0)&amp;"-"&amp;YEAR(tblTransactions[[#This Row],[Date]])</f>
        <v>Q1-2023</v>
      </c>
      <c r="Q169">
        <f>YEAR(tblTransactions[[#This Row],[Date]])</f>
        <v>2023</v>
      </c>
      <c r="R169" t="str">
        <f>TEXT(tblTransactions[[#This Row],[Date]],"DDDD")</f>
        <v>Wednesday</v>
      </c>
      <c r="S169">
        <f>MONTH(tblTransactions[[#This Row],[Date]])</f>
        <v>2</v>
      </c>
      <c r="T169" t="str">
        <f>VLOOKUP(E169, Products!$A:$B,2,0)</f>
        <v>Cameras Ele-3</v>
      </c>
      <c r="U169" t="str">
        <f>VLOOKUP(E169,Products!$A:$C,3,0)</f>
        <v>Electronics</v>
      </c>
      <c r="V169" t="str">
        <f>VLOOKUP(E169,Products!$A:$D,4,0)</f>
        <v>Cameras</v>
      </c>
      <c r="W169" t="str">
        <f>VLOOKUP(D169,Customers!$A:$C,3,0)</f>
        <v>B2B</v>
      </c>
      <c r="X169" t="str">
        <f>VLOOKUP(C169,Sales_Representatives!$A:$B,2,0)</f>
        <v>Robert Jones</v>
      </c>
    </row>
    <row r="170" spans="1:24" x14ac:dyDescent="0.3">
      <c r="A170" t="s">
        <v>354</v>
      </c>
      <c r="B170" t="s">
        <v>350</v>
      </c>
      <c r="C170" t="s">
        <v>59</v>
      </c>
      <c r="D170" t="s">
        <v>327</v>
      </c>
      <c r="E170" t="s">
        <v>25</v>
      </c>
      <c r="F170">
        <v>7</v>
      </c>
      <c r="G170">
        <v>1467.49</v>
      </c>
      <c r="H170">
        <v>0.08</v>
      </c>
      <c r="I170" s="4">
        <v>9450.64</v>
      </c>
      <c r="J170" t="s">
        <v>21</v>
      </c>
      <c r="K170" t="s">
        <v>48</v>
      </c>
      <c r="L170" s="4">
        <f>VLOOKUP(tblTransactions[[#This Row],[Product_ID]],tblProducts[],5,FALSE)</f>
        <v>757.65</v>
      </c>
      <c r="M170" s="4">
        <f>tblTransactions[[#This Row],[Total_Amount]]-(tblTransactions[[#This Row],[Cost_Prices]]*tblTransactions[[#This Row],[Quantity]]*(1-tblTransactions[[#This Row],[Discount]]))</f>
        <v>4571.3739999999989</v>
      </c>
      <c r="N170" s="3">
        <f>tblTransactions[[#This Row],[Profit]]/tblTransactions[[#This Row],[Total_Amount]]</f>
        <v>0.48371052119221547</v>
      </c>
      <c r="O170" t="str">
        <f>TEXT(tblTransactions[[#This Row],[Date]], "MMM-YYYY")</f>
        <v>Feb-2023</v>
      </c>
      <c r="P170" t="str">
        <f>"Q"&amp;ROUNDUP(MONTH(tblTransactions[[#This Row],[Date]])/3,0)&amp;"-"&amp;YEAR(tblTransactions[[#This Row],[Date]])</f>
        <v>Q1-2023</v>
      </c>
      <c r="Q170">
        <f>YEAR(tblTransactions[[#This Row],[Date]])</f>
        <v>2023</v>
      </c>
      <c r="R170" t="str">
        <f>TEXT(tblTransactions[[#This Row],[Date]],"DDDD")</f>
        <v>Wednesday</v>
      </c>
      <c r="S170">
        <f>MONTH(tblTransactions[[#This Row],[Date]])</f>
        <v>2</v>
      </c>
      <c r="T170" t="str">
        <f>VLOOKUP(E170, Products!$A:$B,2,0)</f>
        <v>Tables Fur-3</v>
      </c>
      <c r="U170" t="str">
        <f>VLOOKUP(E170,Products!$A:$C,3,0)</f>
        <v>Furniture</v>
      </c>
      <c r="V170" t="str">
        <f>VLOOKUP(E170,Products!$A:$D,4,0)</f>
        <v>Tables</v>
      </c>
      <c r="W170" t="str">
        <f>VLOOKUP(D170,Customers!$A:$C,3,0)</f>
        <v>B2C</v>
      </c>
      <c r="X170" t="str">
        <f>VLOOKUP(C170,Sales_Representatives!$A:$B,2,0)</f>
        <v>Sarah Brown</v>
      </c>
    </row>
    <row r="171" spans="1:24" x14ac:dyDescent="0.3">
      <c r="A171" t="s">
        <v>355</v>
      </c>
      <c r="B171" t="s">
        <v>350</v>
      </c>
      <c r="C171" t="s">
        <v>107</v>
      </c>
      <c r="D171" t="s">
        <v>134</v>
      </c>
      <c r="E171" t="s">
        <v>243</v>
      </c>
      <c r="F171">
        <v>4</v>
      </c>
      <c r="G171">
        <v>384.18</v>
      </c>
      <c r="H171">
        <v>0.04</v>
      </c>
      <c r="I171" s="4">
        <v>1475.25</v>
      </c>
      <c r="J171" t="s">
        <v>109</v>
      </c>
      <c r="K171" t="s">
        <v>22</v>
      </c>
      <c r="L171" s="4">
        <f>VLOOKUP(tblTransactions[[#This Row],[Product_ID]],tblProducts[],5,FALSE)</f>
        <v>266.92</v>
      </c>
      <c r="M171" s="4">
        <f>tblTransactions[[#This Row],[Total_Amount]]-(tblTransactions[[#This Row],[Cost_Prices]]*tblTransactions[[#This Row],[Quantity]]*(1-tblTransactions[[#This Row],[Discount]]))</f>
        <v>450.27719999999999</v>
      </c>
      <c r="N171" s="3">
        <f>tblTransactions[[#This Row],[Profit]]/tblTransactions[[#This Row],[Total_Amount]]</f>
        <v>0.30522094560244029</v>
      </c>
      <c r="O171" t="str">
        <f>TEXT(tblTransactions[[#This Row],[Date]], "MMM-YYYY")</f>
        <v>Feb-2023</v>
      </c>
      <c r="P171" t="str">
        <f>"Q"&amp;ROUNDUP(MONTH(tblTransactions[[#This Row],[Date]])/3,0)&amp;"-"&amp;YEAR(tblTransactions[[#This Row],[Date]])</f>
        <v>Q1-2023</v>
      </c>
      <c r="Q171">
        <f>YEAR(tblTransactions[[#This Row],[Date]])</f>
        <v>2023</v>
      </c>
      <c r="R171" t="str">
        <f>TEXT(tblTransactions[[#This Row],[Date]],"DDDD")</f>
        <v>Wednesday</v>
      </c>
      <c r="S171">
        <f>MONTH(tblTransactions[[#This Row],[Date]])</f>
        <v>2</v>
      </c>
      <c r="T171" t="str">
        <f>VLOOKUP(E171, Products!$A:$B,2,0)</f>
        <v>Routers Tec-3</v>
      </c>
      <c r="U171" t="str">
        <f>VLOOKUP(E171,Products!$A:$C,3,0)</f>
        <v>Technology</v>
      </c>
      <c r="V171" t="str">
        <f>VLOOKUP(E171,Products!$A:$D,4,0)</f>
        <v>Routers</v>
      </c>
      <c r="W171" t="str">
        <f>VLOOKUP(D171,Customers!$A:$C,3,0)</f>
        <v>B2B</v>
      </c>
      <c r="X171" t="str">
        <f>VLOOKUP(C171,Sales_Representatives!$A:$B,2,0)</f>
        <v>Jennifer Brown</v>
      </c>
    </row>
    <row r="172" spans="1:24" x14ac:dyDescent="0.3">
      <c r="A172" t="s">
        <v>356</v>
      </c>
      <c r="B172" t="s">
        <v>350</v>
      </c>
      <c r="C172" t="s">
        <v>13</v>
      </c>
      <c r="D172" t="s">
        <v>351</v>
      </c>
      <c r="E172" t="s">
        <v>96</v>
      </c>
      <c r="F172">
        <v>2</v>
      </c>
      <c r="G172">
        <v>751.9</v>
      </c>
      <c r="H172">
        <v>0.05</v>
      </c>
      <c r="I172" s="4">
        <v>1428.61</v>
      </c>
      <c r="J172" t="s">
        <v>16</v>
      </c>
      <c r="K172" t="s">
        <v>39</v>
      </c>
      <c r="L172" s="4">
        <f>VLOOKUP(tblTransactions[[#This Row],[Product_ID]],tblProducts[],5,FALSE)</f>
        <v>570.29</v>
      </c>
      <c r="M172" s="4">
        <f>tblTransactions[[#This Row],[Total_Amount]]-(tblTransactions[[#This Row],[Cost_Prices]]*tblTransactions[[#This Row],[Quantity]]*(1-tblTransactions[[#This Row],[Discount]]))</f>
        <v>345.05899999999997</v>
      </c>
      <c r="N172" s="3">
        <f>tblTransactions[[#This Row],[Profit]]/tblTransactions[[#This Row],[Total_Amount]]</f>
        <v>0.24153477856097885</v>
      </c>
      <c r="O172" t="str">
        <f>TEXT(tblTransactions[[#This Row],[Date]], "MMM-YYYY")</f>
        <v>Feb-2023</v>
      </c>
      <c r="P172" t="str">
        <f>"Q"&amp;ROUNDUP(MONTH(tblTransactions[[#This Row],[Date]])/3,0)&amp;"-"&amp;YEAR(tblTransactions[[#This Row],[Date]])</f>
        <v>Q1-2023</v>
      </c>
      <c r="Q172">
        <f>YEAR(tblTransactions[[#This Row],[Date]])</f>
        <v>2023</v>
      </c>
      <c r="R172" t="str">
        <f>TEXT(tblTransactions[[#This Row],[Date]],"DDDD")</f>
        <v>Wednesday</v>
      </c>
      <c r="S172">
        <f>MONTH(tblTransactions[[#This Row],[Date]])</f>
        <v>2</v>
      </c>
      <c r="T172" t="str">
        <f>VLOOKUP(E172, Products!$A:$B,2,0)</f>
        <v>Routers Tec-1</v>
      </c>
      <c r="U172" t="str">
        <f>VLOOKUP(E172,Products!$A:$C,3,0)</f>
        <v>Technology</v>
      </c>
      <c r="V172" t="str">
        <f>VLOOKUP(E172,Products!$A:$D,4,0)</f>
        <v>Routers</v>
      </c>
      <c r="W172" t="str">
        <f>VLOOKUP(D172,Customers!$A:$C,3,0)</f>
        <v>B2C</v>
      </c>
      <c r="X172" t="str">
        <f>VLOOKUP(C172,Sales_Representatives!$A:$B,2,0)</f>
        <v>Jennifer Rodriguez</v>
      </c>
    </row>
    <row r="173" spans="1:24" x14ac:dyDescent="0.3">
      <c r="A173" t="s">
        <v>357</v>
      </c>
      <c r="B173" t="s">
        <v>350</v>
      </c>
      <c r="C173" t="s">
        <v>59</v>
      </c>
      <c r="D173" t="s">
        <v>42</v>
      </c>
      <c r="E173" t="s">
        <v>137</v>
      </c>
      <c r="F173">
        <v>7</v>
      </c>
      <c r="G173">
        <v>241.39</v>
      </c>
      <c r="H173">
        <v>0.06</v>
      </c>
      <c r="I173" s="4">
        <v>1588.35</v>
      </c>
      <c r="J173" t="s">
        <v>21</v>
      </c>
      <c r="K173" t="s">
        <v>35</v>
      </c>
      <c r="L173" s="4">
        <f>VLOOKUP(tblTransactions[[#This Row],[Product_ID]],tblProducts[],5,FALSE)</f>
        <v>124.07</v>
      </c>
      <c r="M173" s="4">
        <f>tblTransactions[[#This Row],[Total_Amount]]-(tblTransactions[[#This Row],[Cost_Prices]]*tblTransactions[[#This Row],[Quantity]]*(1-tblTransactions[[#This Row],[Discount]]))</f>
        <v>771.96939999999995</v>
      </c>
      <c r="N173" s="3">
        <f>tblTransactions[[#This Row],[Profit]]/tblTransactions[[#This Row],[Total_Amount]]</f>
        <v>0.48601970598419741</v>
      </c>
      <c r="O173" t="str">
        <f>TEXT(tblTransactions[[#This Row],[Date]], "MMM-YYYY")</f>
        <v>Feb-2023</v>
      </c>
      <c r="P173" t="str">
        <f>"Q"&amp;ROUNDUP(MONTH(tblTransactions[[#This Row],[Date]])/3,0)&amp;"-"&amp;YEAR(tblTransactions[[#This Row],[Date]])</f>
        <v>Q1-2023</v>
      </c>
      <c r="Q173">
        <f>YEAR(tblTransactions[[#This Row],[Date]])</f>
        <v>2023</v>
      </c>
      <c r="R173" t="str">
        <f>TEXT(tblTransactions[[#This Row],[Date]],"DDDD")</f>
        <v>Wednesday</v>
      </c>
      <c r="S173">
        <f>MONTH(tblTransactions[[#This Row],[Date]])</f>
        <v>2</v>
      </c>
      <c r="T173" t="str">
        <f>VLOOKUP(E173, Products!$A:$B,2,0)</f>
        <v>Desks Fur-2</v>
      </c>
      <c r="U173" t="str">
        <f>VLOOKUP(E173,Products!$A:$C,3,0)</f>
        <v>Furniture</v>
      </c>
      <c r="V173" t="str">
        <f>VLOOKUP(E173,Products!$A:$D,4,0)</f>
        <v>Desks</v>
      </c>
      <c r="W173" t="str">
        <f>VLOOKUP(D173,Customers!$A:$C,3,0)</f>
        <v>B2C</v>
      </c>
      <c r="X173" t="str">
        <f>VLOOKUP(C173,Sales_Representatives!$A:$B,2,0)</f>
        <v>Sarah Brown</v>
      </c>
    </row>
    <row r="174" spans="1:24" x14ac:dyDescent="0.3">
      <c r="A174" t="s">
        <v>358</v>
      </c>
      <c r="B174" t="s">
        <v>350</v>
      </c>
      <c r="C174" t="s">
        <v>141</v>
      </c>
      <c r="D174" t="s">
        <v>128</v>
      </c>
      <c r="E174" t="s">
        <v>91</v>
      </c>
      <c r="F174">
        <v>3</v>
      </c>
      <c r="G174">
        <v>286.62</v>
      </c>
      <c r="H174">
        <v>0.01</v>
      </c>
      <c r="I174" s="4">
        <v>851.26</v>
      </c>
      <c r="J174" t="s">
        <v>109</v>
      </c>
      <c r="K174" t="s">
        <v>17</v>
      </c>
      <c r="L174" s="4">
        <f>VLOOKUP(tblTransactions[[#This Row],[Product_ID]],tblProducts[],5,FALSE)</f>
        <v>145.54</v>
      </c>
      <c r="M174" s="4">
        <f>tblTransactions[[#This Row],[Total_Amount]]-(tblTransactions[[#This Row],[Cost_Prices]]*tblTransactions[[#This Row],[Quantity]]*(1-tblTransactions[[#This Row],[Discount]]))</f>
        <v>419.00619999999998</v>
      </c>
      <c r="N174" s="3">
        <f>tblTransactions[[#This Row],[Profit]]/tblTransactions[[#This Row],[Total_Amount]]</f>
        <v>0.49221882856001692</v>
      </c>
      <c r="O174" t="str">
        <f>TEXT(tblTransactions[[#This Row],[Date]], "MMM-YYYY")</f>
        <v>Feb-2023</v>
      </c>
      <c r="P174" t="str">
        <f>"Q"&amp;ROUNDUP(MONTH(tblTransactions[[#This Row],[Date]])/3,0)&amp;"-"&amp;YEAR(tblTransactions[[#This Row],[Date]])</f>
        <v>Q1-2023</v>
      </c>
      <c r="Q174">
        <f>YEAR(tblTransactions[[#This Row],[Date]])</f>
        <v>2023</v>
      </c>
      <c r="R174" t="str">
        <f>TEXT(tblTransactions[[#This Row],[Date]],"DDDD")</f>
        <v>Wednesday</v>
      </c>
      <c r="S174">
        <f>MONTH(tblTransactions[[#This Row],[Date]])</f>
        <v>2</v>
      </c>
      <c r="T174" t="str">
        <f>VLOOKUP(E174, Products!$A:$B,2,0)</f>
        <v>Chairs Fur-1</v>
      </c>
      <c r="U174" t="str">
        <f>VLOOKUP(E174,Products!$A:$C,3,0)</f>
        <v>Furniture</v>
      </c>
      <c r="V174" t="str">
        <f>VLOOKUP(E174,Products!$A:$D,4,0)</f>
        <v>Chairs</v>
      </c>
      <c r="W174" t="str">
        <f>VLOOKUP(D174,Customers!$A:$C,3,0)</f>
        <v>B2B</v>
      </c>
      <c r="X174" t="str">
        <f>VLOOKUP(C174,Sales_Representatives!$A:$B,2,0)</f>
        <v>Richard Garcia</v>
      </c>
    </row>
    <row r="175" spans="1:24" x14ac:dyDescent="0.3">
      <c r="A175" t="s">
        <v>359</v>
      </c>
      <c r="B175" t="s">
        <v>350</v>
      </c>
      <c r="C175" t="s">
        <v>63</v>
      </c>
      <c r="D175" t="s">
        <v>60</v>
      </c>
      <c r="E175" t="s">
        <v>68</v>
      </c>
      <c r="F175">
        <v>4</v>
      </c>
      <c r="G175">
        <v>522.63</v>
      </c>
      <c r="H175">
        <v>0.06</v>
      </c>
      <c r="I175" s="4">
        <v>1965.09</v>
      </c>
      <c r="J175" t="s">
        <v>21</v>
      </c>
      <c r="K175" t="s">
        <v>48</v>
      </c>
      <c r="L175" s="4">
        <f>VLOOKUP(tblTransactions[[#This Row],[Product_ID]],tblProducts[],5,FALSE)</f>
        <v>355.82</v>
      </c>
      <c r="M175" s="4">
        <f>tblTransactions[[#This Row],[Total_Amount]]-(tblTransactions[[#This Row],[Cost_Prices]]*tblTransactions[[#This Row],[Quantity]]*(1-tblTransactions[[#This Row],[Discount]]))</f>
        <v>627.20679999999993</v>
      </c>
      <c r="N175" s="3">
        <f>tblTransactions[[#This Row],[Profit]]/tblTransactions[[#This Row],[Total_Amount]]</f>
        <v>0.31917459251230224</v>
      </c>
      <c r="O175" t="str">
        <f>TEXT(tblTransactions[[#This Row],[Date]], "MMM-YYYY")</f>
        <v>Feb-2023</v>
      </c>
      <c r="P175" t="str">
        <f>"Q"&amp;ROUNDUP(MONTH(tblTransactions[[#This Row],[Date]])/3,0)&amp;"-"&amp;YEAR(tblTransactions[[#This Row],[Date]])</f>
        <v>Q1-2023</v>
      </c>
      <c r="Q175">
        <f>YEAR(tblTransactions[[#This Row],[Date]])</f>
        <v>2023</v>
      </c>
      <c r="R175" t="str">
        <f>TEXT(tblTransactions[[#This Row],[Date]],"DDDD")</f>
        <v>Wednesday</v>
      </c>
      <c r="S175">
        <f>MONTH(tblTransactions[[#This Row],[Date]])</f>
        <v>2</v>
      </c>
      <c r="T175" t="str">
        <f>VLOOKUP(E175, Products!$A:$B,2,0)</f>
        <v>Monitors Tec-3</v>
      </c>
      <c r="U175" t="str">
        <f>VLOOKUP(E175,Products!$A:$C,3,0)</f>
        <v>Technology</v>
      </c>
      <c r="V175" t="str">
        <f>VLOOKUP(E175,Products!$A:$D,4,0)</f>
        <v>Monitors</v>
      </c>
      <c r="W175" t="str">
        <f>VLOOKUP(D175,Customers!$A:$C,3,0)</f>
        <v>B2C</v>
      </c>
      <c r="X175" t="str">
        <f>VLOOKUP(C175,Sales_Representatives!$A:$B,2,0)</f>
        <v>Richard Wilson</v>
      </c>
    </row>
    <row r="176" spans="1:24" x14ac:dyDescent="0.3">
      <c r="A176" t="s">
        <v>360</v>
      </c>
      <c r="B176" t="s">
        <v>361</v>
      </c>
      <c r="C176" t="s">
        <v>59</v>
      </c>
      <c r="D176" t="s">
        <v>362</v>
      </c>
      <c r="E176" t="s">
        <v>96</v>
      </c>
      <c r="F176">
        <v>6</v>
      </c>
      <c r="G176">
        <v>751.9</v>
      </c>
      <c r="H176">
        <v>0.08</v>
      </c>
      <c r="I176" s="4">
        <v>4150.49</v>
      </c>
      <c r="J176" t="s">
        <v>21</v>
      </c>
      <c r="K176" t="s">
        <v>48</v>
      </c>
      <c r="L176" s="4">
        <f>VLOOKUP(tblTransactions[[#This Row],[Product_ID]],tblProducts[],5,FALSE)</f>
        <v>570.29</v>
      </c>
      <c r="M176" s="4">
        <f>tblTransactions[[#This Row],[Total_Amount]]-(tblTransactions[[#This Row],[Cost_Prices]]*tblTransactions[[#This Row],[Quantity]]*(1-tblTransactions[[#This Row],[Discount]]))</f>
        <v>1002.4892</v>
      </c>
      <c r="N176" s="3">
        <f>tblTransactions[[#This Row],[Profit]]/tblTransactions[[#This Row],[Total_Amount]]</f>
        <v>0.24153514404323345</v>
      </c>
      <c r="O176" t="str">
        <f>TEXT(tblTransactions[[#This Row],[Date]], "MMM-YYYY")</f>
        <v>Feb-2023</v>
      </c>
      <c r="P176" t="str">
        <f>"Q"&amp;ROUNDUP(MONTH(tblTransactions[[#This Row],[Date]])/3,0)&amp;"-"&amp;YEAR(tblTransactions[[#This Row],[Date]])</f>
        <v>Q1-2023</v>
      </c>
      <c r="Q176">
        <f>YEAR(tblTransactions[[#This Row],[Date]])</f>
        <v>2023</v>
      </c>
      <c r="R176" t="str">
        <f>TEXT(tblTransactions[[#This Row],[Date]],"DDDD")</f>
        <v>Thursday</v>
      </c>
      <c r="S176">
        <f>MONTH(tblTransactions[[#This Row],[Date]])</f>
        <v>2</v>
      </c>
      <c r="T176" t="str">
        <f>VLOOKUP(E176, Products!$A:$B,2,0)</f>
        <v>Routers Tec-1</v>
      </c>
      <c r="U176" t="str">
        <f>VLOOKUP(E176,Products!$A:$C,3,0)</f>
        <v>Technology</v>
      </c>
      <c r="V176" t="str">
        <f>VLOOKUP(E176,Products!$A:$D,4,0)</f>
        <v>Routers</v>
      </c>
      <c r="W176" t="str">
        <f>VLOOKUP(D176,Customers!$A:$C,3,0)</f>
        <v>Small Business</v>
      </c>
      <c r="X176" t="str">
        <f>VLOOKUP(C176,Sales_Representatives!$A:$B,2,0)</f>
        <v>Sarah Brown</v>
      </c>
    </row>
    <row r="177" spans="1:24" x14ac:dyDescent="0.3">
      <c r="A177" t="s">
        <v>363</v>
      </c>
      <c r="B177" t="s">
        <v>361</v>
      </c>
      <c r="C177" t="s">
        <v>141</v>
      </c>
      <c r="D177" t="s">
        <v>52</v>
      </c>
      <c r="E177" t="s">
        <v>99</v>
      </c>
      <c r="F177">
        <v>5</v>
      </c>
      <c r="G177">
        <v>325.14</v>
      </c>
      <c r="H177">
        <v>0.01</v>
      </c>
      <c r="I177" s="4">
        <v>1609.44</v>
      </c>
      <c r="J177" t="s">
        <v>109</v>
      </c>
      <c r="K177" t="s">
        <v>48</v>
      </c>
      <c r="L177" s="4">
        <f>VLOOKUP(tblTransactions[[#This Row],[Product_ID]],tblProducts[],5,FALSE)</f>
        <v>209.04</v>
      </c>
      <c r="M177" s="4">
        <f>tblTransactions[[#This Row],[Total_Amount]]-(tblTransactions[[#This Row],[Cost_Prices]]*tblTransactions[[#This Row],[Quantity]]*(1-tblTransactions[[#This Row],[Discount]]))</f>
        <v>574.69200000000001</v>
      </c>
      <c r="N177" s="3">
        <f>tblTransactions[[#This Row],[Profit]]/tblTransactions[[#This Row],[Total_Amount]]</f>
        <v>0.35707575305696393</v>
      </c>
      <c r="O177" t="str">
        <f>TEXT(tblTransactions[[#This Row],[Date]], "MMM-YYYY")</f>
        <v>Feb-2023</v>
      </c>
      <c r="P177" t="str">
        <f>"Q"&amp;ROUNDUP(MONTH(tblTransactions[[#This Row],[Date]])/3,0)&amp;"-"&amp;YEAR(tblTransactions[[#This Row],[Date]])</f>
        <v>Q1-2023</v>
      </c>
      <c r="Q177">
        <f>YEAR(tblTransactions[[#This Row],[Date]])</f>
        <v>2023</v>
      </c>
      <c r="R177" t="str">
        <f>TEXT(tblTransactions[[#This Row],[Date]],"DDDD")</f>
        <v>Thursday</v>
      </c>
      <c r="S177">
        <f>MONTH(tblTransactions[[#This Row],[Date]])</f>
        <v>2</v>
      </c>
      <c r="T177" t="str">
        <f>VLOOKUP(E177, Products!$A:$B,2,0)</f>
        <v>Monitors Tec-1</v>
      </c>
      <c r="U177" t="str">
        <f>VLOOKUP(E177,Products!$A:$C,3,0)</f>
        <v>Technology</v>
      </c>
      <c r="V177" t="str">
        <f>VLOOKUP(E177,Products!$A:$D,4,0)</f>
        <v>Monitors</v>
      </c>
      <c r="W177" t="str">
        <f>VLOOKUP(D177,Customers!$A:$C,3,0)</f>
        <v>B2C</v>
      </c>
      <c r="X177" t="str">
        <f>VLOOKUP(C177,Sales_Representatives!$A:$B,2,0)</f>
        <v>Richard Garcia</v>
      </c>
    </row>
    <row r="178" spans="1:24" x14ac:dyDescent="0.3">
      <c r="A178" t="s">
        <v>364</v>
      </c>
      <c r="B178" t="s">
        <v>361</v>
      </c>
      <c r="C178" t="s">
        <v>131</v>
      </c>
      <c r="D178" t="s">
        <v>247</v>
      </c>
      <c r="E178" t="s">
        <v>304</v>
      </c>
      <c r="F178">
        <v>6</v>
      </c>
      <c r="G178">
        <v>13.43</v>
      </c>
      <c r="H178">
        <v>7.0000000000000007E-2</v>
      </c>
      <c r="I178" s="4">
        <v>74.94</v>
      </c>
      <c r="J178" t="s">
        <v>44</v>
      </c>
      <c r="K178" t="s">
        <v>39</v>
      </c>
      <c r="L178" s="4">
        <f>VLOOKUP(tblTransactions[[#This Row],[Product_ID]],tblProducts[],5,FALSE)</f>
        <v>5.8</v>
      </c>
      <c r="M178" s="4">
        <f>tblTransactions[[#This Row],[Total_Amount]]-(tblTransactions[[#This Row],[Cost_Prices]]*tblTransactions[[#This Row],[Quantity]]*(1-tblTransactions[[#This Row],[Discount]]))</f>
        <v>42.576000000000001</v>
      </c>
      <c r="N178" s="3">
        <f>tblTransactions[[#This Row],[Profit]]/tblTransactions[[#This Row],[Total_Amount]]</f>
        <v>0.56813450760608486</v>
      </c>
      <c r="O178" t="str">
        <f>TEXT(tblTransactions[[#This Row],[Date]], "MMM-YYYY")</f>
        <v>Feb-2023</v>
      </c>
      <c r="P178" t="str">
        <f>"Q"&amp;ROUNDUP(MONTH(tblTransactions[[#This Row],[Date]])/3,0)&amp;"-"&amp;YEAR(tblTransactions[[#This Row],[Date]])</f>
        <v>Q1-2023</v>
      </c>
      <c r="Q178">
        <f>YEAR(tblTransactions[[#This Row],[Date]])</f>
        <v>2023</v>
      </c>
      <c r="R178" t="str">
        <f>TEXT(tblTransactions[[#This Row],[Date]],"DDDD")</f>
        <v>Thursday</v>
      </c>
      <c r="S178">
        <f>MONTH(tblTransactions[[#This Row],[Date]])</f>
        <v>2</v>
      </c>
      <c r="T178" t="str">
        <f>VLOOKUP(E178, Products!$A:$B,2,0)</f>
        <v>Pens Off-1</v>
      </c>
      <c r="U178" t="str">
        <f>VLOOKUP(E178,Products!$A:$C,3,0)</f>
        <v>Office Supplies</v>
      </c>
      <c r="V178" t="str">
        <f>VLOOKUP(E178,Products!$A:$D,4,0)</f>
        <v>Pens</v>
      </c>
      <c r="W178" t="str">
        <f>VLOOKUP(D178,Customers!$A:$C,3,0)</f>
        <v>B2C</v>
      </c>
      <c r="X178" t="str">
        <f>VLOOKUP(C178,Sales_Representatives!$A:$B,2,0)</f>
        <v>Michael Davis</v>
      </c>
    </row>
    <row r="179" spans="1:24" x14ac:dyDescent="0.3">
      <c r="A179" t="s">
        <v>365</v>
      </c>
      <c r="B179" t="s">
        <v>361</v>
      </c>
      <c r="C179" t="s">
        <v>56</v>
      </c>
      <c r="D179" t="s">
        <v>190</v>
      </c>
      <c r="E179" t="s">
        <v>79</v>
      </c>
      <c r="F179">
        <v>2</v>
      </c>
      <c r="G179">
        <v>1452.36</v>
      </c>
      <c r="H179">
        <v>0.08</v>
      </c>
      <c r="I179" s="4">
        <v>2672.34</v>
      </c>
      <c r="J179" t="s">
        <v>34</v>
      </c>
      <c r="K179" t="s">
        <v>35</v>
      </c>
      <c r="L179" s="4">
        <f>VLOOKUP(tblTransactions[[#This Row],[Product_ID]],tblProducts[],5,FALSE)</f>
        <v>778.71</v>
      </c>
      <c r="M179" s="4">
        <f>tblTransactions[[#This Row],[Total_Amount]]-(tblTransactions[[#This Row],[Cost_Prices]]*tblTransactions[[#This Row],[Quantity]]*(1-tblTransactions[[#This Row],[Discount]]))</f>
        <v>1239.5136</v>
      </c>
      <c r="N179" s="3">
        <f>tblTransactions[[#This Row],[Profit]]/tblTransactions[[#This Row],[Total_Amount]]</f>
        <v>0.46383079997305732</v>
      </c>
      <c r="O179" t="str">
        <f>TEXT(tblTransactions[[#This Row],[Date]], "MMM-YYYY")</f>
        <v>Feb-2023</v>
      </c>
      <c r="P179" t="str">
        <f>"Q"&amp;ROUNDUP(MONTH(tblTransactions[[#This Row],[Date]])/3,0)&amp;"-"&amp;YEAR(tblTransactions[[#This Row],[Date]])</f>
        <v>Q1-2023</v>
      </c>
      <c r="Q179">
        <f>YEAR(tblTransactions[[#This Row],[Date]])</f>
        <v>2023</v>
      </c>
      <c r="R179" t="str">
        <f>TEXT(tblTransactions[[#This Row],[Date]],"DDDD")</f>
        <v>Thursday</v>
      </c>
      <c r="S179">
        <f>MONTH(tblTransactions[[#This Row],[Date]])</f>
        <v>2</v>
      </c>
      <c r="T179" t="str">
        <f>VLOOKUP(E179, Products!$A:$B,2,0)</f>
        <v>Tables Fur-2</v>
      </c>
      <c r="U179" t="str">
        <f>VLOOKUP(E179,Products!$A:$C,3,0)</f>
        <v>Furniture</v>
      </c>
      <c r="V179" t="str">
        <f>VLOOKUP(E179,Products!$A:$D,4,0)</f>
        <v>Tables</v>
      </c>
      <c r="W179" t="str">
        <f>VLOOKUP(D179,Customers!$A:$C,3,0)</f>
        <v>B2B</v>
      </c>
      <c r="X179" t="str">
        <f>VLOOKUP(C179,Sales_Representatives!$A:$B,2,0)</f>
        <v>Thomas Hernandez</v>
      </c>
    </row>
    <row r="180" spans="1:24" x14ac:dyDescent="0.3">
      <c r="A180" t="s">
        <v>366</v>
      </c>
      <c r="B180" t="s">
        <v>361</v>
      </c>
      <c r="C180" t="s">
        <v>107</v>
      </c>
      <c r="D180" t="s">
        <v>124</v>
      </c>
      <c r="E180" t="s">
        <v>339</v>
      </c>
      <c r="F180">
        <v>13</v>
      </c>
      <c r="G180">
        <v>1100.8800000000001</v>
      </c>
      <c r="H180">
        <v>0.13</v>
      </c>
      <c r="I180" s="4">
        <v>12450.95</v>
      </c>
      <c r="J180" t="s">
        <v>109</v>
      </c>
      <c r="K180" t="s">
        <v>39</v>
      </c>
      <c r="L180" s="4">
        <f>VLOOKUP(tblTransactions[[#This Row],[Product_ID]],tblProducts[],5,FALSE)</f>
        <v>761.53</v>
      </c>
      <c r="M180" s="4">
        <f>tblTransactions[[#This Row],[Total_Amount]]-(tblTransactions[[#This Row],[Cost_Prices]]*tblTransactions[[#This Row],[Quantity]]*(1-tblTransactions[[#This Row],[Discount]]))</f>
        <v>3838.0457000000006</v>
      </c>
      <c r="N180" s="3">
        <f>tblTransactions[[#This Row],[Profit]]/tblTransactions[[#This Row],[Total_Amount]]</f>
        <v>0.30825324172051133</v>
      </c>
      <c r="O180" t="str">
        <f>TEXT(tblTransactions[[#This Row],[Date]], "MMM-YYYY")</f>
        <v>Feb-2023</v>
      </c>
      <c r="P180" t="str">
        <f>"Q"&amp;ROUNDUP(MONTH(tblTransactions[[#This Row],[Date]])/3,0)&amp;"-"&amp;YEAR(tblTransactions[[#This Row],[Date]])</f>
        <v>Q1-2023</v>
      </c>
      <c r="Q180">
        <f>YEAR(tblTransactions[[#This Row],[Date]])</f>
        <v>2023</v>
      </c>
      <c r="R180" t="str">
        <f>TEXT(tblTransactions[[#This Row],[Date]],"DDDD")</f>
        <v>Thursday</v>
      </c>
      <c r="S180">
        <f>MONTH(tblTransactions[[#This Row],[Date]])</f>
        <v>2</v>
      </c>
      <c r="T180" t="str">
        <f>VLOOKUP(E180, Products!$A:$B,2,0)</f>
        <v>Phones Ele-2</v>
      </c>
      <c r="U180" t="str">
        <f>VLOOKUP(E180,Products!$A:$C,3,0)</f>
        <v>Electronics</v>
      </c>
      <c r="V180" t="str">
        <f>VLOOKUP(E180,Products!$A:$D,4,0)</f>
        <v>Phones</v>
      </c>
      <c r="W180" t="str">
        <f>VLOOKUP(D180,Customers!$A:$C,3,0)</f>
        <v>B2B</v>
      </c>
      <c r="X180" t="str">
        <f>VLOOKUP(C180,Sales_Representatives!$A:$B,2,0)</f>
        <v>Jennifer Brown</v>
      </c>
    </row>
    <row r="181" spans="1:24" x14ac:dyDescent="0.3">
      <c r="A181" t="s">
        <v>367</v>
      </c>
      <c r="B181" t="s">
        <v>361</v>
      </c>
      <c r="C181" t="s">
        <v>59</v>
      </c>
      <c r="D181" t="s">
        <v>212</v>
      </c>
      <c r="E181" t="s">
        <v>178</v>
      </c>
      <c r="F181">
        <v>6</v>
      </c>
      <c r="G181">
        <v>1623.35</v>
      </c>
      <c r="H181">
        <v>0.13</v>
      </c>
      <c r="I181" s="4">
        <v>8473.89</v>
      </c>
      <c r="J181" t="s">
        <v>21</v>
      </c>
      <c r="K181" t="s">
        <v>17</v>
      </c>
      <c r="L181" s="4">
        <f>VLOOKUP(tblTransactions[[#This Row],[Product_ID]],tblProducts[],5,FALSE)</f>
        <v>981.45</v>
      </c>
      <c r="M181" s="4">
        <f>tblTransactions[[#This Row],[Total_Amount]]-(tblTransactions[[#This Row],[Cost_Prices]]*tblTransactions[[#This Row],[Quantity]]*(1-tblTransactions[[#This Row],[Discount]]))</f>
        <v>3350.7209999999986</v>
      </c>
      <c r="N181" s="3">
        <f>tblTransactions[[#This Row],[Profit]]/tblTransactions[[#This Row],[Total_Amount]]</f>
        <v>0.39541709887666687</v>
      </c>
      <c r="O181" t="str">
        <f>TEXT(tblTransactions[[#This Row],[Date]], "MMM-YYYY")</f>
        <v>Feb-2023</v>
      </c>
      <c r="P181" t="str">
        <f>"Q"&amp;ROUNDUP(MONTH(tblTransactions[[#This Row],[Date]])/3,0)&amp;"-"&amp;YEAR(tblTransactions[[#This Row],[Date]])</f>
        <v>Q1-2023</v>
      </c>
      <c r="Q181">
        <f>YEAR(tblTransactions[[#This Row],[Date]])</f>
        <v>2023</v>
      </c>
      <c r="R181" t="str">
        <f>TEXT(tblTransactions[[#This Row],[Date]],"DDDD")</f>
        <v>Thursday</v>
      </c>
      <c r="S181">
        <f>MONTH(tblTransactions[[#This Row],[Date]])</f>
        <v>2</v>
      </c>
      <c r="T181" t="str">
        <f>VLOOKUP(E181, Products!$A:$B,2,0)</f>
        <v>Tablets Ele-1</v>
      </c>
      <c r="U181" t="str">
        <f>VLOOKUP(E181,Products!$A:$C,3,0)</f>
        <v>Electronics</v>
      </c>
      <c r="V181" t="str">
        <f>VLOOKUP(E181,Products!$A:$D,4,0)</f>
        <v>Tablets</v>
      </c>
      <c r="W181" t="str">
        <f>VLOOKUP(D181,Customers!$A:$C,3,0)</f>
        <v>B2C</v>
      </c>
      <c r="X181" t="str">
        <f>VLOOKUP(C181,Sales_Representatives!$A:$B,2,0)</f>
        <v>Sarah Brown</v>
      </c>
    </row>
    <row r="182" spans="1:24" x14ac:dyDescent="0.3">
      <c r="A182" t="s">
        <v>368</v>
      </c>
      <c r="B182" t="s">
        <v>369</v>
      </c>
      <c r="C182" t="s">
        <v>31</v>
      </c>
      <c r="D182" t="s">
        <v>64</v>
      </c>
      <c r="E182" t="s">
        <v>370</v>
      </c>
      <c r="F182">
        <v>7</v>
      </c>
      <c r="G182">
        <v>238.95</v>
      </c>
      <c r="H182">
        <v>0.12</v>
      </c>
      <c r="I182" s="4">
        <v>1471.93</v>
      </c>
      <c r="J182" t="s">
        <v>34</v>
      </c>
      <c r="K182" t="s">
        <v>35</v>
      </c>
      <c r="L182" s="4">
        <f>VLOOKUP(tblTransactions[[#This Row],[Product_ID]],tblProducts[],5,FALSE)</f>
        <v>136.6</v>
      </c>
      <c r="M182" s="4">
        <f>tblTransactions[[#This Row],[Total_Amount]]-(tblTransactions[[#This Row],[Cost_Prices]]*tblTransactions[[#This Row],[Quantity]]*(1-tblTransactions[[#This Row],[Discount]]))</f>
        <v>630.47400000000016</v>
      </c>
      <c r="N182" s="3">
        <f>tblTransactions[[#This Row],[Profit]]/tblTransactions[[#This Row],[Total_Amount]]</f>
        <v>0.42833151032997502</v>
      </c>
      <c r="O182" t="str">
        <f>TEXT(tblTransactions[[#This Row],[Date]], "MMM-YYYY")</f>
        <v>Feb-2023</v>
      </c>
      <c r="P182" t="str">
        <f>"Q"&amp;ROUNDUP(MONTH(tblTransactions[[#This Row],[Date]])/3,0)&amp;"-"&amp;YEAR(tblTransactions[[#This Row],[Date]])</f>
        <v>Q1-2023</v>
      </c>
      <c r="Q182">
        <f>YEAR(tblTransactions[[#This Row],[Date]])</f>
        <v>2023</v>
      </c>
      <c r="R182" t="str">
        <f>TEXT(tblTransactions[[#This Row],[Date]],"DDDD")</f>
        <v>Friday</v>
      </c>
      <c r="S182">
        <f>MONTH(tblTransactions[[#This Row],[Date]])</f>
        <v>2</v>
      </c>
      <c r="T182" t="str">
        <f>VLOOKUP(E182, Products!$A:$B,2,0)</f>
        <v>Cables Acc-1</v>
      </c>
      <c r="U182" t="str">
        <f>VLOOKUP(E182,Products!$A:$C,3,0)</f>
        <v>Accessories</v>
      </c>
      <c r="V182" t="str">
        <f>VLOOKUP(E182,Products!$A:$D,4,0)</f>
        <v>Cables</v>
      </c>
      <c r="W182" t="str">
        <f>VLOOKUP(D182,Customers!$A:$C,3,0)</f>
        <v>Small Business</v>
      </c>
      <c r="X182" t="str">
        <f>VLOOKUP(C182,Sales_Representatives!$A:$B,2,0)</f>
        <v>Thomas Martinez</v>
      </c>
    </row>
    <row r="183" spans="1:24" x14ac:dyDescent="0.3">
      <c r="A183" t="s">
        <v>371</v>
      </c>
      <c r="B183" t="s">
        <v>369</v>
      </c>
      <c r="C183" t="s">
        <v>70</v>
      </c>
      <c r="D183" t="s">
        <v>134</v>
      </c>
      <c r="E183" t="s">
        <v>198</v>
      </c>
      <c r="F183">
        <v>5</v>
      </c>
      <c r="G183">
        <v>1802.96</v>
      </c>
      <c r="H183">
        <v>0.04</v>
      </c>
      <c r="I183" s="4">
        <v>8654.2099999999991</v>
      </c>
      <c r="J183" t="s">
        <v>16</v>
      </c>
      <c r="K183" t="s">
        <v>35</v>
      </c>
      <c r="L183" s="4">
        <f>VLOOKUP(tblTransactions[[#This Row],[Product_ID]],tblProducts[],5,FALSE)</f>
        <v>1282.18</v>
      </c>
      <c r="M183" s="4">
        <f>tblTransactions[[#This Row],[Total_Amount]]-(tblTransactions[[#This Row],[Cost_Prices]]*tblTransactions[[#This Row],[Quantity]]*(1-tblTransactions[[#This Row],[Discount]]))</f>
        <v>2499.7459999999992</v>
      </c>
      <c r="N183" s="3">
        <f>tblTransactions[[#This Row],[Profit]]/tblTransactions[[#This Row],[Total_Amount]]</f>
        <v>0.28884739334959508</v>
      </c>
      <c r="O183" t="str">
        <f>TEXT(tblTransactions[[#This Row],[Date]], "MMM-YYYY")</f>
        <v>Feb-2023</v>
      </c>
      <c r="P183" t="str">
        <f>"Q"&amp;ROUNDUP(MONTH(tblTransactions[[#This Row],[Date]])/3,0)&amp;"-"&amp;YEAR(tblTransactions[[#This Row],[Date]])</f>
        <v>Q1-2023</v>
      </c>
      <c r="Q183">
        <f>YEAR(tblTransactions[[#This Row],[Date]])</f>
        <v>2023</v>
      </c>
      <c r="R183" t="str">
        <f>TEXT(tblTransactions[[#This Row],[Date]],"DDDD")</f>
        <v>Friday</v>
      </c>
      <c r="S183">
        <f>MONTH(tblTransactions[[#This Row],[Date]])</f>
        <v>2</v>
      </c>
      <c r="T183" t="str">
        <f>VLOOKUP(E183, Products!$A:$B,2,0)</f>
        <v>Tablets Ele-3</v>
      </c>
      <c r="U183" t="str">
        <f>VLOOKUP(E183,Products!$A:$C,3,0)</f>
        <v>Electronics</v>
      </c>
      <c r="V183" t="str">
        <f>VLOOKUP(E183,Products!$A:$D,4,0)</f>
        <v>Tablets</v>
      </c>
      <c r="W183" t="str">
        <f>VLOOKUP(D183,Customers!$A:$C,3,0)</f>
        <v>B2B</v>
      </c>
      <c r="X183" t="str">
        <f>VLOOKUP(C183,Sales_Representatives!$A:$B,2,0)</f>
        <v>Linda Smith</v>
      </c>
    </row>
    <row r="184" spans="1:24" x14ac:dyDescent="0.3">
      <c r="A184" t="s">
        <v>372</v>
      </c>
      <c r="B184" t="s">
        <v>369</v>
      </c>
      <c r="C184" t="s">
        <v>27</v>
      </c>
      <c r="D184" t="s">
        <v>134</v>
      </c>
      <c r="E184" t="s">
        <v>91</v>
      </c>
      <c r="F184">
        <v>5</v>
      </c>
      <c r="G184">
        <v>286.62</v>
      </c>
      <c r="H184">
        <v>0.04</v>
      </c>
      <c r="I184" s="4">
        <v>1375.78</v>
      </c>
      <c r="J184" t="s">
        <v>16</v>
      </c>
      <c r="K184" t="s">
        <v>22</v>
      </c>
      <c r="L184" s="4">
        <f>VLOOKUP(tblTransactions[[#This Row],[Product_ID]],tblProducts[],5,FALSE)</f>
        <v>145.54</v>
      </c>
      <c r="M184" s="4">
        <f>tblTransactions[[#This Row],[Total_Amount]]-(tblTransactions[[#This Row],[Cost_Prices]]*tblTransactions[[#This Row],[Quantity]]*(1-tblTransactions[[#This Row],[Discount]]))</f>
        <v>677.1880000000001</v>
      </c>
      <c r="N184" s="3">
        <f>tblTransactions[[#This Row],[Profit]]/tblTransactions[[#This Row],[Total_Amount]]</f>
        <v>0.49222114000785017</v>
      </c>
      <c r="O184" t="str">
        <f>TEXT(tblTransactions[[#This Row],[Date]], "MMM-YYYY")</f>
        <v>Feb-2023</v>
      </c>
      <c r="P184" t="str">
        <f>"Q"&amp;ROUNDUP(MONTH(tblTransactions[[#This Row],[Date]])/3,0)&amp;"-"&amp;YEAR(tblTransactions[[#This Row],[Date]])</f>
        <v>Q1-2023</v>
      </c>
      <c r="Q184">
        <f>YEAR(tblTransactions[[#This Row],[Date]])</f>
        <v>2023</v>
      </c>
      <c r="R184" t="str">
        <f>TEXT(tblTransactions[[#This Row],[Date]],"DDDD")</f>
        <v>Friday</v>
      </c>
      <c r="S184">
        <f>MONTH(tblTransactions[[#This Row],[Date]])</f>
        <v>2</v>
      </c>
      <c r="T184" t="str">
        <f>VLOOKUP(E184, Products!$A:$B,2,0)</f>
        <v>Chairs Fur-1</v>
      </c>
      <c r="U184" t="str">
        <f>VLOOKUP(E184,Products!$A:$C,3,0)</f>
        <v>Furniture</v>
      </c>
      <c r="V184" t="str">
        <f>VLOOKUP(E184,Products!$A:$D,4,0)</f>
        <v>Chairs</v>
      </c>
      <c r="W184" t="str">
        <f>VLOOKUP(D184,Customers!$A:$C,3,0)</f>
        <v>B2B</v>
      </c>
      <c r="X184" t="str">
        <f>VLOOKUP(C184,Sales_Representatives!$A:$B,2,0)</f>
        <v>Thomas Lopez</v>
      </c>
    </row>
    <row r="185" spans="1:24" x14ac:dyDescent="0.3">
      <c r="A185" t="s">
        <v>373</v>
      </c>
      <c r="B185" t="s">
        <v>369</v>
      </c>
      <c r="C185" t="s">
        <v>141</v>
      </c>
      <c r="D185" t="s">
        <v>228</v>
      </c>
      <c r="E185" t="s">
        <v>65</v>
      </c>
      <c r="F185">
        <v>5</v>
      </c>
      <c r="G185">
        <v>49.44</v>
      </c>
      <c r="H185">
        <v>0.06</v>
      </c>
      <c r="I185" s="4">
        <v>232.37</v>
      </c>
      <c r="J185" t="s">
        <v>109</v>
      </c>
      <c r="K185" t="s">
        <v>35</v>
      </c>
      <c r="L185" s="4">
        <f>VLOOKUP(tblTransactions[[#This Row],[Product_ID]],tblProducts[],5,FALSE)</f>
        <v>22.34</v>
      </c>
      <c r="M185" s="4">
        <f>tblTransactions[[#This Row],[Total_Amount]]-(tblTransactions[[#This Row],[Cost_Prices]]*tblTransactions[[#This Row],[Quantity]]*(1-tblTransactions[[#This Row],[Discount]]))</f>
        <v>127.37200000000001</v>
      </c>
      <c r="N185" s="3">
        <f>tblTransactions[[#This Row],[Profit]]/tblTransactions[[#This Row],[Total_Amount]]</f>
        <v>0.54814304772561007</v>
      </c>
      <c r="O185" t="str">
        <f>TEXT(tblTransactions[[#This Row],[Date]], "MMM-YYYY")</f>
        <v>Feb-2023</v>
      </c>
      <c r="P185" t="str">
        <f>"Q"&amp;ROUNDUP(MONTH(tblTransactions[[#This Row],[Date]])/3,0)&amp;"-"&amp;YEAR(tblTransactions[[#This Row],[Date]])</f>
        <v>Q1-2023</v>
      </c>
      <c r="Q185">
        <f>YEAR(tblTransactions[[#This Row],[Date]])</f>
        <v>2023</v>
      </c>
      <c r="R185" t="str">
        <f>TEXT(tblTransactions[[#This Row],[Date]],"DDDD")</f>
        <v>Friday</v>
      </c>
      <c r="S185">
        <f>MONTH(tblTransactions[[#This Row],[Date]])</f>
        <v>2</v>
      </c>
      <c r="T185" t="str">
        <f>VLOOKUP(E185, Products!$A:$B,2,0)</f>
        <v>Folders Off-2</v>
      </c>
      <c r="U185" t="str">
        <f>VLOOKUP(E185,Products!$A:$C,3,0)</f>
        <v>Office Supplies</v>
      </c>
      <c r="V185" t="str">
        <f>VLOOKUP(E185,Products!$A:$D,4,0)</f>
        <v>Folders</v>
      </c>
      <c r="W185" t="str">
        <f>VLOOKUP(D185,Customers!$A:$C,3,0)</f>
        <v>Small Business</v>
      </c>
      <c r="X185" t="str">
        <f>VLOOKUP(C185,Sales_Representatives!$A:$B,2,0)</f>
        <v>Richard Garcia</v>
      </c>
    </row>
    <row r="186" spans="1:24" x14ac:dyDescent="0.3">
      <c r="A186" t="s">
        <v>374</v>
      </c>
      <c r="B186" t="s">
        <v>369</v>
      </c>
      <c r="C186" t="s">
        <v>56</v>
      </c>
      <c r="D186" t="s">
        <v>118</v>
      </c>
      <c r="E186" t="s">
        <v>184</v>
      </c>
      <c r="F186">
        <v>7</v>
      </c>
      <c r="G186">
        <v>276.35000000000002</v>
      </c>
      <c r="H186">
        <v>7.0000000000000007E-2</v>
      </c>
      <c r="I186" s="4">
        <v>1799.04</v>
      </c>
      <c r="J186" t="s">
        <v>34</v>
      </c>
      <c r="K186" t="s">
        <v>48</v>
      </c>
      <c r="L186" s="4">
        <f>VLOOKUP(tblTransactions[[#This Row],[Product_ID]],tblProducts[],5,FALSE)</f>
        <v>130.15</v>
      </c>
      <c r="M186" s="4">
        <f>tblTransactions[[#This Row],[Total_Amount]]-(tblTransactions[[#This Row],[Cost_Prices]]*tblTransactions[[#This Row],[Quantity]]*(1-tblTransactions[[#This Row],[Discount]]))</f>
        <v>951.76349999999991</v>
      </c>
      <c r="N186" s="3">
        <f>tblTransactions[[#This Row],[Profit]]/tblTransactions[[#This Row],[Total_Amount]]</f>
        <v>0.52903965448239054</v>
      </c>
      <c r="O186" t="str">
        <f>TEXT(tblTransactions[[#This Row],[Date]], "MMM-YYYY")</f>
        <v>Feb-2023</v>
      </c>
      <c r="P186" t="str">
        <f>"Q"&amp;ROUNDUP(MONTH(tblTransactions[[#This Row],[Date]])/3,0)&amp;"-"&amp;YEAR(tblTransactions[[#This Row],[Date]])</f>
        <v>Q1-2023</v>
      </c>
      <c r="Q186">
        <f>YEAR(tblTransactions[[#This Row],[Date]])</f>
        <v>2023</v>
      </c>
      <c r="R186" t="str">
        <f>TEXT(tblTransactions[[#This Row],[Date]],"DDDD")</f>
        <v>Friday</v>
      </c>
      <c r="S186">
        <f>MONTH(tblTransactions[[#This Row],[Date]])</f>
        <v>2</v>
      </c>
      <c r="T186" t="str">
        <f>VLOOKUP(E186, Products!$A:$B,2,0)</f>
        <v>Binders Off-1</v>
      </c>
      <c r="U186" t="str">
        <f>VLOOKUP(E186,Products!$A:$C,3,0)</f>
        <v>Office Supplies</v>
      </c>
      <c r="V186" t="str">
        <f>VLOOKUP(E186,Products!$A:$D,4,0)</f>
        <v>Binders</v>
      </c>
      <c r="W186" t="str">
        <f>VLOOKUP(D186,Customers!$A:$C,3,0)</f>
        <v>B2C</v>
      </c>
      <c r="X186" t="str">
        <f>VLOOKUP(C186,Sales_Representatives!$A:$B,2,0)</f>
        <v>Thomas Hernandez</v>
      </c>
    </row>
    <row r="187" spans="1:24" x14ac:dyDescent="0.3">
      <c r="A187" t="s">
        <v>375</v>
      </c>
      <c r="B187" t="s">
        <v>369</v>
      </c>
      <c r="C187" t="s">
        <v>82</v>
      </c>
      <c r="D187" t="s">
        <v>64</v>
      </c>
      <c r="E187" t="s">
        <v>376</v>
      </c>
      <c r="F187">
        <v>2</v>
      </c>
      <c r="G187">
        <v>229.65</v>
      </c>
      <c r="H187">
        <v>0.09</v>
      </c>
      <c r="I187" s="4">
        <v>417.96</v>
      </c>
      <c r="J187" t="s">
        <v>34</v>
      </c>
      <c r="K187" t="s">
        <v>17</v>
      </c>
      <c r="L187" s="4">
        <f>VLOOKUP(tblTransactions[[#This Row],[Product_ID]],tblProducts[],5,FALSE)</f>
        <v>96.84</v>
      </c>
      <c r="M187" s="4">
        <f>tblTransactions[[#This Row],[Total_Amount]]-(tblTransactions[[#This Row],[Cost_Prices]]*tblTransactions[[#This Row],[Quantity]]*(1-tblTransactions[[#This Row],[Discount]]))</f>
        <v>241.71119999999996</v>
      </c>
      <c r="N187" s="3">
        <f>tblTransactions[[#This Row],[Profit]]/tblTransactions[[#This Row],[Total_Amount]]</f>
        <v>0.57831180017226524</v>
      </c>
      <c r="O187" t="str">
        <f>TEXT(tblTransactions[[#This Row],[Date]], "MMM-YYYY")</f>
        <v>Feb-2023</v>
      </c>
      <c r="P187" t="str">
        <f>"Q"&amp;ROUNDUP(MONTH(tblTransactions[[#This Row],[Date]])/3,0)&amp;"-"&amp;YEAR(tblTransactions[[#This Row],[Date]])</f>
        <v>Q1-2023</v>
      </c>
      <c r="Q187">
        <f>YEAR(tblTransactions[[#This Row],[Date]])</f>
        <v>2023</v>
      </c>
      <c r="R187" t="str">
        <f>TEXT(tblTransactions[[#This Row],[Date]],"DDDD")</f>
        <v>Friday</v>
      </c>
      <c r="S187">
        <f>MONTH(tblTransactions[[#This Row],[Date]])</f>
        <v>2</v>
      </c>
      <c r="T187" t="str">
        <f>VLOOKUP(E187, Products!$A:$B,2,0)</f>
        <v>Adapters Acc-2</v>
      </c>
      <c r="U187" t="str">
        <f>VLOOKUP(E187,Products!$A:$C,3,0)</f>
        <v>Accessories</v>
      </c>
      <c r="V187" t="str">
        <f>VLOOKUP(E187,Products!$A:$D,4,0)</f>
        <v>Adapters</v>
      </c>
      <c r="W187" t="str">
        <f>VLOOKUP(D187,Customers!$A:$C,3,0)</f>
        <v>Small Business</v>
      </c>
      <c r="X187" t="str">
        <f>VLOOKUP(C187,Sales_Representatives!$A:$B,2,0)</f>
        <v>John Brown</v>
      </c>
    </row>
    <row r="188" spans="1:24" x14ac:dyDescent="0.3">
      <c r="A188" t="s">
        <v>377</v>
      </c>
      <c r="B188" t="s">
        <v>369</v>
      </c>
      <c r="C188" t="s">
        <v>75</v>
      </c>
      <c r="D188" t="s">
        <v>237</v>
      </c>
      <c r="E188" t="s">
        <v>89</v>
      </c>
      <c r="F188">
        <v>9</v>
      </c>
      <c r="G188">
        <v>555.08000000000004</v>
      </c>
      <c r="H188">
        <v>7.0000000000000007E-2</v>
      </c>
      <c r="I188" s="4">
        <v>4646.0200000000004</v>
      </c>
      <c r="J188" t="s">
        <v>44</v>
      </c>
      <c r="K188" t="s">
        <v>35</v>
      </c>
      <c r="L188" s="4">
        <f>VLOOKUP(tblTransactions[[#This Row],[Product_ID]],tblProducts[],5,FALSE)</f>
        <v>402.82</v>
      </c>
      <c r="M188" s="4">
        <f>tblTransactions[[#This Row],[Total_Amount]]-(tblTransactions[[#This Row],[Cost_Prices]]*tblTransactions[[#This Row],[Quantity]]*(1-tblTransactions[[#This Row],[Discount]]))</f>
        <v>1274.4166000000005</v>
      </c>
      <c r="N188" s="3">
        <f>tblTransactions[[#This Row],[Profit]]/tblTransactions[[#This Row],[Total_Amount]]</f>
        <v>0.27430286567858086</v>
      </c>
      <c r="O188" t="str">
        <f>TEXT(tblTransactions[[#This Row],[Date]], "MMM-YYYY")</f>
        <v>Feb-2023</v>
      </c>
      <c r="P188" t="str">
        <f>"Q"&amp;ROUNDUP(MONTH(tblTransactions[[#This Row],[Date]])/3,0)&amp;"-"&amp;YEAR(tblTransactions[[#This Row],[Date]])</f>
        <v>Q1-2023</v>
      </c>
      <c r="Q188">
        <f>YEAR(tblTransactions[[#This Row],[Date]])</f>
        <v>2023</v>
      </c>
      <c r="R188" t="str">
        <f>TEXT(tblTransactions[[#This Row],[Date]],"DDDD")</f>
        <v>Friday</v>
      </c>
      <c r="S188">
        <f>MONTH(tblTransactions[[#This Row],[Date]])</f>
        <v>2</v>
      </c>
      <c r="T188" t="str">
        <f>VLOOKUP(E188, Products!$A:$B,2,0)</f>
        <v>Laptops Ele-3</v>
      </c>
      <c r="U188" t="str">
        <f>VLOOKUP(E188,Products!$A:$C,3,0)</f>
        <v>Electronics</v>
      </c>
      <c r="V188" t="str">
        <f>VLOOKUP(E188,Products!$A:$D,4,0)</f>
        <v>Laptops</v>
      </c>
      <c r="W188" t="str">
        <f>VLOOKUP(D188,Customers!$A:$C,3,0)</f>
        <v>B2B</v>
      </c>
      <c r="X188" t="str">
        <f>VLOOKUP(C188,Sales_Representatives!$A:$B,2,0)</f>
        <v>Jessica Anderson</v>
      </c>
    </row>
    <row r="189" spans="1:24" x14ac:dyDescent="0.3">
      <c r="A189" t="s">
        <v>378</v>
      </c>
      <c r="B189" t="s">
        <v>369</v>
      </c>
      <c r="C189" t="s">
        <v>75</v>
      </c>
      <c r="D189" t="s">
        <v>134</v>
      </c>
      <c r="E189" t="s">
        <v>15</v>
      </c>
      <c r="F189">
        <v>15</v>
      </c>
      <c r="G189">
        <v>477.48</v>
      </c>
      <c r="H189">
        <v>0.17</v>
      </c>
      <c r="I189" s="4">
        <v>5944.63</v>
      </c>
      <c r="J189" t="s">
        <v>44</v>
      </c>
      <c r="K189" t="s">
        <v>48</v>
      </c>
      <c r="L189" s="4">
        <f>VLOOKUP(tblTransactions[[#This Row],[Product_ID]],tblProducts[],5,FALSE)</f>
        <v>275.51</v>
      </c>
      <c r="M189" s="4">
        <f>tblTransactions[[#This Row],[Total_Amount]]-(tblTransactions[[#This Row],[Cost_Prices]]*tblTransactions[[#This Row],[Quantity]]*(1-tblTransactions[[#This Row],[Discount]]))</f>
        <v>2514.5305000000008</v>
      </c>
      <c r="N189" s="3">
        <f>tblTransactions[[#This Row],[Profit]]/tblTransactions[[#This Row],[Total_Amount]]</f>
        <v>0.42299192716788103</v>
      </c>
      <c r="O189" t="str">
        <f>TEXT(tblTransactions[[#This Row],[Date]], "MMM-YYYY")</f>
        <v>Feb-2023</v>
      </c>
      <c r="P189" t="str">
        <f>"Q"&amp;ROUNDUP(MONTH(tblTransactions[[#This Row],[Date]])/3,0)&amp;"-"&amp;YEAR(tblTransactions[[#This Row],[Date]])</f>
        <v>Q1-2023</v>
      </c>
      <c r="Q189">
        <f>YEAR(tblTransactions[[#This Row],[Date]])</f>
        <v>2023</v>
      </c>
      <c r="R189" t="str">
        <f>TEXT(tblTransactions[[#This Row],[Date]],"DDDD")</f>
        <v>Friday</v>
      </c>
      <c r="S189">
        <f>MONTH(tblTransactions[[#This Row],[Date]])</f>
        <v>2</v>
      </c>
      <c r="T189" t="str">
        <f>VLOOKUP(E189, Products!$A:$B,2,0)</f>
        <v>Laptops Ele-4</v>
      </c>
      <c r="U189" t="str">
        <f>VLOOKUP(E189,Products!$A:$C,3,0)</f>
        <v>Electronics</v>
      </c>
      <c r="V189" t="str">
        <f>VLOOKUP(E189,Products!$A:$D,4,0)</f>
        <v>Laptops</v>
      </c>
      <c r="W189" t="str">
        <f>VLOOKUP(D189,Customers!$A:$C,3,0)</f>
        <v>B2B</v>
      </c>
      <c r="X189" t="str">
        <f>VLOOKUP(C189,Sales_Representatives!$A:$B,2,0)</f>
        <v>Jessica Anderson</v>
      </c>
    </row>
    <row r="190" spans="1:24" x14ac:dyDescent="0.3">
      <c r="A190" t="s">
        <v>379</v>
      </c>
      <c r="B190" t="s">
        <v>380</v>
      </c>
      <c r="C190" t="s">
        <v>70</v>
      </c>
      <c r="D190" t="s">
        <v>197</v>
      </c>
      <c r="E190" t="s">
        <v>204</v>
      </c>
      <c r="F190">
        <v>40</v>
      </c>
      <c r="G190">
        <v>715.62</v>
      </c>
      <c r="H190">
        <v>0.2</v>
      </c>
      <c r="I190" s="4">
        <v>22899.84</v>
      </c>
      <c r="J190" t="s">
        <v>16</v>
      </c>
      <c r="K190" t="s">
        <v>22</v>
      </c>
      <c r="L190" s="4">
        <f>VLOOKUP(tblTransactions[[#This Row],[Product_ID]],tblProducts[],5,FALSE)</f>
        <v>459.58</v>
      </c>
      <c r="M190" s="4">
        <f>tblTransactions[[#This Row],[Total_Amount]]-(tblTransactions[[#This Row],[Cost_Prices]]*tblTransactions[[#This Row],[Quantity]]*(1-tblTransactions[[#This Row],[Discount]]))</f>
        <v>8193.2799999999988</v>
      </c>
      <c r="N190" s="3">
        <f>tblTransactions[[#This Row],[Profit]]/tblTransactions[[#This Row],[Total_Amount]]</f>
        <v>0.35778765266482204</v>
      </c>
      <c r="O190" t="str">
        <f>TEXT(tblTransactions[[#This Row],[Date]], "MMM-YYYY")</f>
        <v>Feb-2023</v>
      </c>
      <c r="P190" t="str">
        <f>"Q"&amp;ROUNDUP(MONTH(tblTransactions[[#This Row],[Date]])/3,0)&amp;"-"&amp;YEAR(tblTransactions[[#This Row],[Date]])</f>
        <v>Q1-2023</v>
      </c>
      <c r="Q190">
        <f>YEAR(tblTransactions[[#This Row],[Date]])</f>
        <v>2023</v>
      </c>
      <c r="R190" t="str">
        <f>TEXT(tblTransactions[[#This Row],[Date]],"DDDD")</f>
        <v>Saturday</v>
      </c>
      <c r="S190">
        <f>MONTH(tblTransactions[[#This Row],[Date]])</f>
        <v>2</v>
      </c>
      <c r="T190" t="str">
        <f>VLOOKUP(E190, Products!$A:$B,2,0)</f>
        <v>Cameras Ele-2</v>
      </c>
      <c r="U190" t="str">
        <f>VLOOKUP(E190,Products!$A:$C,3,0)</f>
        <v>Electronics</v>
      </c>
      <c r="V190" t="str">
        <f>VLOOKUP(E190,Products!$A:$D,4,0)</f>
        <v>Cameras</v>
      </c>
      <c r="W190" t="str">
        <f>VLOOKUP(D190,Customers!$A:$C,3,0)</f>
        <v>Enterprise</v>
      </c>
      <c r="X190" t="str">
        <f>VLOOKUP(C190,Sales_Representatives!$A:$B,2,0)</f>
        <v>Linda Smith</v>
      </c>
    </row>
    <row r="191" spans="1:24" x14ac:dyDescent="0.3">
      <c r="A191" t="s">
        <v>381</v>
      </c>
      <c r="B191" t="s">
        <v>380</v>
      </c>
      <c r="C191" t="s">
        <v>63</v>
      </c>
      <c r="D191" t="s">
        <v>118</v>
      </c>
      <c r="E191" t="s">
        <v>243</v>
      </c>
      <c r="F191">
        <v>6</v>
      </c>
      <c r="G191">
        <v>384.18</v>
      </c>
      <c r="H191">
        <v>0.06</v>
      </c>
      <c r="I191" s="4">
        <v>2166.7800000000002</v>
      </c>
      <c r="J191" t="s">
        <v>21</v>
      </c>
      <c r="K191" t="s">
        <v>39</v>
      </c>
      <c r="L191" s="4">
        <f>VLOOKUP(tblTransactions[[#This Row],[Product_ID]],tblProducts[],5,FALSE)</f>
        <v>266.92</v>
      </c>
      <c r="M191" s="4">
        <f>tblTransactions[[#This Row],[Total_Amount]]-(tblTransactions[[#This Row],[Cost_Prices]]*tblTransactions[[#This Row],[Quantity]]*(1-tblTransactions[[#This Row],[Discount]]))</f>
        <v>661.35120000000029</v>
      </c>
      <c r="N191" s="3">
        <f>tblTransactions[[#This Row],[Profit]]/tblTransactions[[#This Row],[Total_Amount]]</f>
        <v>0.30522304987123761</v>
      </c>
      <c r="O191" t="str">
        <f>TEXT(tblTransactions[[#This Row],[Date]], "MMM-YYYY")</f>
        <v>Feb-2023</v>
      </c>
      <c r="P191" t="str">
        <f>"Q"&amp;ROUNDUP(MONTH(tblTransactions[[#This Row],[Date]])/3,0)&amp;"-"&amp;YEAR(tblTransactions[[#This Row],[Date]])</f>
        <v>Q1-2023</v>
      </c>
      <c r="Q191">
        <f>YEAR(tblTransactions[[#This Row],[Date]])</f>
        <v>2023</v>
      </c>
      <c r="R191" t="str">
        <f>TEXT(tblTransactions[[#This Row],[Date]],"DDDD")</f>
        <v>Saturday</v>
      </c>
      <c r="S191">
        <f>MONTH(tblTransactions[[#This Row],[Date]])</f>
        <v>2</v>
      </c>
      <c r="T191" t="str">
        <f>VLOOKUP(E191, Products!$A:$B,2,0)</f>
        <v>Routers Tec-3</v>
      </c>
      <c r="U191" t="str">
        <f>VLOOKUP(E191,Products!$A:$C,3,0)</f>
        <v>Technology</v>
      </c>
      <c r="V191" t="str">
        <f>VLOOKUP(E191,Products!$A:$D,4,0)</f>
        <v>Routers</v>
      </c>
      <c r="W191" t="str">
        <f>VLOOKUP(D191,Customers!$A:$C,3,0)</f>
        <v>B2C</v>
      </c>
      <c r="X191" t="str">
        <f>VLOOKUP(C191,Sales_Representatives!$A:$B,2,0)</f>
        <v>Richard Wilson</v>
      </c>
    </row>
    <row r="192" spans="1:24" x14ac:dyDescent="0.3">
      <c r="A192" t="s">
        <v>382</v>
      </c>
      <c r="B192" t="s">
        <v>380</v>
      </c>
      <c r="C192" t="s">
        <v>82</v>
      </c>
      <c r="D192" t="s">
        <v>95</v>
      </c>
      <c r="E192" t="s">
        <v>243</v>
      </c>
      <c r="F192">
        <v>43</v>
      </c>
      <c r="G192">
        <v>384.18</v>
      </c>
      <c r="H192">
        <v>0.2</v>
      </c>
      <c r="I192" s="4">
        <v>13215.79</v>
      </c>
      <c r="J192" t="s">
        <v>34</v>
      </c>
      <c r="K192" t="s">
        <v>39</v>
      </c>
      <c r="L192" s="4">
        <f>VLOOKUP(tblTransactions[[#This Row],[Product_ID]],tblProducts[],5,FALSE)</f>
        <v>266.92</v>
      </c>
      <c r="M192" s="4">
        <f>tblTransactions[[#This Row],[Total_Amount]]-(tblTransactions[[#This Row],[Cost_Prices]]*tblTransactions[[#This Row],[Quantity]]*(1-tblTransactions[[#This Row],[Discount]]))</f>
        <v>4033.7420000000002</v>
      </c>
      <c r="N192" s="3">
        <f>tblTransactions[[#This Row],[Profit]]/tblTransactions[[#This Row],[Total_Amount]]</f>
        <v>0.30522140560647526</v>
      </c>
      <c r="O192" t="str">
        <f>TEXT(tblTransactions[[#This Row],[Date]], "MMM-YYYY")</f>
        <v>Feb-2023</v>
      </c>
      <c r="P192" t="str">
        <f>"Q"&amp;ROUNDUP(MONTH(tblTransactions[[#This Row],[Date]])/3,0)&amp;"-"&amp;YEAR(tblTransactions[[#This Row],[Date]])</f>
        <v>Q1-2023</v>
      </c>
      <c r="Q192">
        <f>YEAR(tblTransactions[[#This Row],[Date]])</f>
        <v>2023</v>
      </c>
      <c r="R192" t="str">
        <f>TEXT(tblTransactions[[#This Row],[Date]],"DDDD")</f>
        <v>Saturday</v>
      </c>
      <c r="S192">
        <f>MONTH(tblTransactions[[#This Row],[Date]])</f>
        <v>2</v>
      </c>
      <c r="T192" t="str">
        <f>VLOOKUP(E192, Products!$A:$B,2,0)</f>
        <v>Routers Tec-3</v>
      </c>
      <c r="U192" t="str">
        <f>VLOOKUP(E192,Products!$A:$C,3,0)</f>
        <v>Technology</v>
      </c>
      <c r="V192" t="str">
        <f>VLOOKUP(E192,Products!$A:$D,4,0)</f>
        <v>Routers</v>
      </c>
      <c r="W192" t="str">
        <f>VLOOKUP(D192,Customers!$A:$C,3,0)</f>
        <v>Enterprise</v>
      </c>
      <c r="X192" t="str">
        <f>VLOOKUP(C192,Sales_Representatives!$A:$B,2,0)</f>
        <v>John Brown</v>
      </c>
    </row>
    <row r="193" spans="1:24" x14ac:dyDescent="0.3">
      <c r="A193" t="s">
        <v>383</v>
      </c>
      <c r="B193" t="s">
        <v>384</v>
      </c>
      <c r="C193" t="s">
        <v>27</v>
      </c>
      <c r="D193" t="s">
        <v>124</v>
      </c>
      <c r="E193" t="s">
        <v>137</v>
      </c>
      <c r="F193">
        <v>8</v>
      </c>
      <c r="G193">
        <v>241.39</v>
      </c>
      <c r="H193">
        <v>0.12</v>
      </c>
      <c r="I193" s="4">
        <v>1699.39</v>
      </c>
      <c r="J193" t="s">
        <v>16</v>
      </c>
      <c r="K193" t="s">
        <v>22</v>
      </c>
      <c r="L193" s="4">
        <f>VLOOKUP(tblTransactions[[#This Row],[Product_ID]],tblProducts[],5,FALSE)</f>
        <v>124.07</v>
      </c>
      <c r="M193" s="4">
        <f>tblTransactions[[#This Row],[Total_Amount]]-(tblTransactions[[#This Row],[Cost_Prices]]*tblTransactions[[#This Row],[Quantity]]*(1-tblTransactions[[#This Row],[Discount]]))</f>
        <v>825.93720000000019</v>
      </c>
      <c r="N193" s="3">
        <f>tblTransactions[[#This Row],[Profit]]/tblTransactions[[#This Row],[Total_Amount]]</f>
        <v>0.48601980710725623</v>
      </c>
      <c r="O193" t="str">
        <f>TEXT(tblTransactions[[#This Row],[Date]], "MMM-YYYY")</f>
        <v>Feb-2023</v>
      </c>
      <c r="P193" t="str">
        <f>"Q"&amp;ROUNDUP(MONTH(tblTransactions[[#This Row],[Date]])/3,0)&amp;"-"&amp;YEAR(tblTransactions[[#This Row],[Date]])</f>
        <v>Q1-2023</v>
      </c>
      <c r="Q193">
        <f>YEAR(tblTransactions[[#This Row],[Date]])</f>
        <v>2023</v>
      </c>
      <c r="R193" t="str">
        <f>TEXT(tblTransactions[[#This Row],[Date]],"DDDD")</f>
        <v>Sunday</v>
      </c>
      <c r="S193">
        <f>MONTH(tblTransactions[[#This Row],[Date]])</f>
        <v>2</v>
      </c>
      <c r="T193" t="str">
        <f>VLOOKUP(E193, Products!$A:$B,2,0)</f>
        <v>Desks Fur-2</v>
      </c>
      <c r="U193" t="str">
        <f>VLOOKUP(E193,Products!$A:$C,3,0)</f>
        <v>Furniture</v>
      </c>
      <c r="V193" t="str">
        <f>VLOOKUP(E193,Products!$A:$D,4,0)</f>
        <v>Desks</v>
      </c>
      <c r="W193" t="str">
        <f>VLOOKUP(D193,Customers!$A:$C,3,0)</f>
        <v>B2B</v>
      </c>
      <c r="X193" t="str">
        <f>VLOOKUP(C193,Sales_Representatives!$A:$B,2,0)</f>
        <v>Thomas Lopez</v>
      </c>
    </row>
    <row r="194" spans="1:24" x14ac:dyDescent="0.3">
      <c r="A194" t="s">
        <v>385</v>
      </c>
      <c r="B194" t="s">
        <v>384</v>
      </c>
      <c r="C194" t="s">
        <v>63</v>
      </c>
      <c r="D194" t="s">
        <v>237</v>
      </c>
      <c r="E194" t="s">
        <v>178</v>
      </c>
      <c r="F194">
        <v>5</v>
      </c>
      <c r="G194">
        <v>1623.35</v>
      </c>
      <c r="H194">
        <v>0.01</v>
      </c>
      <c r="I194" s="4">
        <v>8035.58</v>
      </c>
      <c r="J194" t="s">
        <v>21</v>
      </c>
      <c r="K194" t="s">
        <v>35</v>
      </c>
      <c r="L194" s="4">
        <f>VLOOKUP(tblTransactions[[#This Row],[Product_ID]],tblProducts[],5,FALSE)</f>
        <v>981.45</v>
      </c>
      <c r="M194" s="4">
        <f>tblTransactions[[#This Row],[Total_Amount]]-(tblTransactions[[#This Row],[Cost_Prices]]*tblTransactions[[#This Row],[Quantity]]*(1-tblTransactions[[#This Row],[Discount]]))</f>
        <v>3177.4025000000001</v>
      </c>
      <c r="N194" s="3">
        <f>tblTransactions[[#This Row],[Profit]]/tblTransactions[[#This Row],[Total_Amount]]</f>
        <v>0.39541669674124336</v>
      </c>
      <c r="O194" t="str">
        <f>TEXT(tblTransactions[[#This Row],[Date]], "MMM-YYYY")</f>
        <v>Feb-2023</v>
      </c>
      <c r="P194" t="str">
        <f>"Q"&amp;ROUNDUP(MONTH(tblTransactions[[#This Row],[Date]])/3,0)&amp;"-"&amp;YEAR(tblTransactions[[#This Row],[Date]])</f>
        <v>Q1-2023</v>
      </c>
      <c r="Q194">
        <f>YEAR(tblTransactions[[#This Row],[Date]])</f>
        <v>2023</v>
      </c>
      <c r="R194" t="str">
        <f>TEXT(tblTransactions[[#This Row],[Date]],"DDDD")</f>
        <v>Sunday</v>
      </c>
      <c r="S194">
        <f>MONTH(tblTransactions[[#This Row],[Date]])</f>
        <v>2</v>
      </c>
      <c r="T194" t="str">
        <f>VLOOKUP(E194, Products!$A:$B,2,0)</f>
        <v>Tablets Ele-1</v>
      </c>
      <c r="U194" t="str">
        <f>VLOOKUP(E194,Products!$A:$C,3,0)</f>
        <v>Electronics</v>
      </c>
      <c r="V194" t="str">
        <f>VLOOKUP(E194,Products!$A:$D,4,0)</f>
        <v>Tablets</v>
      </c>
      <c r="W194" t="str">
        <f>VLOOKUP(D194,Customers!$A:$C,3,0)</f>
        <v>B2B</v>
      </c>
      <c r="X194" t="str">
        <f>VLOOKUP(C194,Sales_Representatives!$A:$B,2,0)</f>
        <v>Richard Wilson</v>
      </c>
    </row>
    <row r="195" spans="1:24" x14ac:dyDescent="0.3">
      <c r="A195" t="s">
        <v>386</v>
      </c>
      <c r="B195" t="s">
        <v>384</v>
      </c>
      <c r="C195" t="s">
        <v>131</v>
      </c>
      <c r="D195" t="s">
        <v>50</v>
      </c>
      <c r="E195" t="s">
        <v>43</v>
      </c>
      <c r="F195">
        <v>7</v>
      </c>
      <c r="G195">
        <v>39.32</v>
      </c>
      <c r="H195">
        <v>0.14000000000000001</v>
      </c>
      <c r="I195" s="4">
        <v>236.71</v>
      </c>
      <c r="J195" t="s">
        <v>44</v>
      </c>
      <c r="K195" t="s">
        <v>39</v>
      </c>
      <c r="L195" s="4">
        <f>VLOOKUP(tblTransactions[[#This Row],[Product_ID]],tblProducts[],5,FALSE)</f>
        <v>15.81</v>
      </c>
      <c r="M195" s="4">
        <f>tblTransactions[[#This Row],[Total_Amount]]-(tblTransactions[[#This Row],[Cost_Prices]]*tblTransactions[[#This Row],[Quantity]]*(1-tblTransactions[[#This Row],[Discount]]))</f>
        <v>141.53380000000001</v>
      </c>
      <c r="N195" s="3">
        <f>tblTransactions[[#This Row],[Profit]]/tblTransactions[[#This Row],[Total_Amount]]</f>
        <v>0.59792066241392428</v>
      </c>
      <c r="O195" t="str">
        <f>TEXT(tblTransactions[[#This Row],[Date]], "MMM-YYYY")</f>
        <v>Feb-2023</v>
      </c>
      <c r="P195" t="str">
        <f>"Q"&amp;ROUNDUP(MONTH(tblTransactions[[#This Row],[Date]])/3,0)&amp;"-"&amp;YEAR(tblTransactions[[#This Row],[Date]])</f>
        <v>Q1-2023</v>
      </c>
      <c r="Q195">
        <f>YEAR(tblTransactions[[#This Row],[Date]])</f>
        <v>2023</v>
      </c>
      <c r="R195" t="str">
        <f>TEXT(tblTransactions[[#This Row],[Date]],"DDDD")</f>
        <v>Sunday</v>
      </c>
      <c r="S195">
        <f>MONTH(tblTransactions[[#This Row],[Date]])</f>
        <v>2</v>
      </c>
      <c r="T195" t="str">
        <f>VLOOKUP(E195, Products!$A:$B,2,0)</f>
        <v>Paper Off-3</v>
      </c>
      <c r="U195" t="str">
        <f>VLOOKUP(E195,Products!$A:$C,3,0)</f>
        <v>Office Supplies</v>
      </c>
      <c r="V195" t="str">
        <f>VLOOKUP(E195,Products!$A:$D,4,0)</f>
        <v>Paper</v>
      </c>
      <c r="W195" t="str">
        <f>VLOOKUP(D195,Customers!$A:$C,3,0)</f>
        <v>Small Business</v>
      </c>
      <c r="X195" t="str">
        <f>VLOOKUP(C195,Sales_Representatives!$A:$B,2,0)</f>
        <v>Michael Davis</v>
      </c>
    </row>
    <row r="196" spans="1:24" x14ac:dyDescent="0.3">
      <c r="A196" t="s">
        <v>387</v>
      </c>
      <c r="B196" t="s">
        <v>384</v>
      </c>
      <c r="C196" t="s">
        <v>59</v>
      </c>
      <c r="D196" t="s">
        <v>203</v>
      </c>
      <c r="E196" t="s">
        <v>243</v>
      </c>
      <c r="F196">
        <v>30</v>
      </c>
      <c r="G196">
        <v>384.18</v>
      </c>
      <c r="H196">
        <v>0.21</v>
      </c>
      <c r="I196" s="4">
        <v>9105.07</v>
      </c>
      <c r="J196" t="s">
        <v>21</v>
      </c>
      <c r="K196" t="s">
        <v>17</v>
      </c>
      <c r="L196" s="4">
        <f>VLOOKUP(tblTransactions[[#This Row],[Product_ID]],tblProducts[],5,FALSE)</f>
        <v>266.92</v>
      </c>
      <c r="M196" s="4">
        <f>tblTransactions[[#This Row],[Total_Amount]]-(tblTransactions[[#This Row],[Cost_Prices]]*tblTransactions[[#This Row],[Quantity]]*(1-tblTransactions[[#This Row],[Discount]]))</f>
        <v>2779.0659999999989</v>
      </c>
      <c r="N196" s="3">
        <f>tblTransactions[[#This Row],[Profit]]/tblTransactions[[#This Row],[Total_Amount]]</f>
        <v>0.30522181597725212</v>
      </c>
      <c r="O196" t="str">
        <f>TEXT(tblTransactions[[#This Row],[Date]], "MMM-YYYY")</f>
        <v>Feb-2023</v>
      </c>
      <c r="P196" t="str">
        <f>"Q"&amp;ROUNDUP(MONTH(tblTransactions[[#This Row],[Date]])/3,0)&amp;"-"&amp;YEAR(tblTransactions[[#This Row],[Date]])</f>
        <v>Q1-2023</v>
      </c>
      <c r="Q196">
        <f>YEAR(tblTransactions[[#This Row],[Date]])</f>
        <v>2023</v>
      </c>
      <c r="R196" t="str">
        <f>TEXT(tblTransactions[[#This Row],[Date]],"DDDD")</f>
        <v>Sunday</v>
      </c>
      <c r="S196">
        <f>MONTH(tblTransactions[[#This Row],[Date]])</f>
        <v>2</v>
      </c>
      <c r="T196" t="str">
        <f>VLOOKUP(E196, Products!$A:$B,2,0)</f>
        <v>Routers Tec-3</v>
      </c>
      <c r="U196" t="str">
        <f>VLOOKUP(E196,Products!$A:$C,3,0)</f>
        <v>Technology</v>
      </c>
      <c r="V196" t="str">
        <f>VLOOKUP(E196,Products!$A:$D,4,0)</f>
        <v>Routers</v>
      </c>
      <c r="W196" t="str">
        <f>VLOOKUP(D196,Customers!$A:$C,3,0)</f>
        <v>Enterprise</v>
      </c>
      <c r="X196" t="str">
        <f>VLOOKUP(C196,Sales_Representatives!$A:$B,2,0)</f>
        <v>Sarah Brown</v>
      </c>
    </row>
    <row r="197" spans="1:24" x14ac:dyDescent="0.3">
      <c r="A197" t="s">
        <v>388</v>
      </c>
      <c r="B197" t="s">
        <v>384</v>
      </c>
      <c r="C197" t="s">
        <v>13</v>
      </c>
      <c r="D197" t="s">
        <v>132</v>
      </c>
      <c r="E197" t="s">
        <v>89</v>
      </c>
      <c r="F197">
        <v>8</v>
      </c>
      <c r="G197">
        <v>555.08000000000004</v>
      </c>
      <c r="H197">
        <v>0.05</v>
      </c>
      <c r="I197" s="4">
        <v>4218.6099999999997</v>
      </c>
      <c r="J197" t="s">
        <v>16</v>
      </c>
      <c r="K197" t="s">
        <v>35</v>
      </c>
      <c r="L197" s="4">
        <f>VLOOKUP(tblTransactions[[#This Row],[Product_ID]],tblProducts[],5,FALSE)</f>
        <v>402.82</v>
      </c>
      <c r="M197" s="4">
        <f>tblTransactions[[#This Row],[Total_Amount]]-(tblTransactions[[#This Row],[Cost_Prices]]*tblTransactions[[#This Row],[Quantity]]*(1-tblTransactions[[#This Row],[Discount]]))</f>
        <v>1157.1779999999999</v>
      </c>
      <c r="N197" s="3">
        <f>tblTransactions[[#This Row],[Profit]]/tblTransactions[[#This Row],[Total_Amount]]</f>
        <v>0.27430314724518262</v>
      </c>
      <c r="O197" t="str">
        <f>TEXT(tblTransactions[[#This Row],[Date]], "MMM-YYYY")</f>
        <v>Feb-2023</v>
      </c>
      <c r="P197" t="str">
        <f>"Q"&amp;ROUNDUP(MONTH(tblTransactions[[#This Row],[Date]])/3,0)&amp;"-"&amp;YEAR(tblTransactions[[#This Row],[Date]])</f>
        <v>Q1-2023</v>
      </c>
      <c r="Q197">
        <f>YEAR(tblTransactions[[#This Row],[Date]])</f>
        <v>2023</v>
      </c>
      <c r="R197" t="str">
        <f>TEXT(tblTransactions[[#This Row],[Date]],"DDDD")</f>
        <v>Sunday</v>
      </c>
      <c r="S197">
        <f>MONTH(tblTransactions[[#This Row],[Date]])</f>
        <v>2</v>
      </c>
      <c r="T197" t="str">
        <f>VLOOKUP(E197, Products!$A:$B,2,0)</f>
        <v>Laptops Ele-3</v>
      </c>
      <c r="U197" t="str">
        <f>VLOOKUP(E197,Products!$A:$C,3,0)</f>
        <v>Electronics</v>
      </c>
      <c r="V197" t="str">
        <f>VLOOKUP(E197,Products!$A:$D,4,0)</f>
        <v>Laptops</v>
      </c>
      <c r="W197" t="str">
        <f>VLOOKUP(D197,Customers!$A:$C,3,0)</f>
        <v>B2B</v>
      </c>
      <c r="X197" t="str">
        <f>VLOOKUP(C197,Sales_Representatives!$A:$B,2,0)</f>
        <v>Jennifer Rodriguez</v>
      </c>
    </row>
    <row r="198" spans="1:24" x14ac:dyDescent="0.3">
      <c r="A198" t="s">
        <v>389</v>
      </c>
      <c r="B198" t="s">
        <v>384</v>
      </c>
      <c r="C198" t="s">
        <v>41</v>
      </c>
      <c r="D198" t="s">
        <v>132</v>
      </c>
      <c r="E198" t="s">
        <v>243</v>
      </c>
      <c r="F198">
        <v>15</v>
      </c>
      <c r="G198">
        <v>384.18</v>
      </c>
      <c r="H198">
        <v>0.19</v>
      </c>
      <c r="I198" s="4">
        <v>4667.79</v>
      </c>
      <c r="J198" t="s">
        <v>44</v>
      </c>
      <c r="K198" t="s">
        <v>35</v>
      </c>
      <c r="L198" s="4">
        <f>VLOOKUP(tblTransactions[[#This Row],[Product_ID]],tblProducts[],5,FALSE)</f>
        <v>266.92</v>
      </c>
      <c r="M198" s="4">
        <f>tblTransactions[[#This Row],[Total_Amount]]-(tblTransactions[[#This Row],[Cost_Prices]]*tblTransactions[[#This Row],[Quantity]]*(1-tblTransactions[[#This Row],[Discount]]))</f>
        <v>1424.7119999999995</v>
      </c>
      <c r="N198" s="3">
        <f>tblTransactions[[#This Row],[Profit]]/tblTransactions[[#This Row],[Total_Amount]]</f>
        <v>0.30522195728599605</v>
      </c>
      <c r="O198" t="str">
        <f>TEXT(tblTransactions[[#This Row],[Date]], "MMM-YYYY")</f>
        <v>Feb-2023</v>
      </c>
      <c r="P198" t="str">
        <f>"Q"&amp;ROUNDUP(MONTH(tblTransactions[[#This Row],[Date]])/3,0)&amp;"-"&amp;YEAR(tblTransactions[[#This Row],[Date]])</f>
        <v>Q1-2023</v>
      </c>
      <c r="Q198">
        <f>YEAR(tblTransactions[[#This Row],[Date]])</f>
        <v>2023</v>
      </c>
      <c r="R198" t="str">
        <f>TEXT(tblTransactions[[#This Row],[Date]],"DDDD")</f>
        <v>Sunday</v>
      </c>
      <c r="S198">
        <f>MONTH(tblTransactions[[#This Row],[Date]])</f>
        <v>2</v>
      </c>
      <c r="T198" t="str">
        <f>VLOOKUP(E198, Products!$A:$B,2,0)</f>
        <v>Routers Tec-3</v>
      </c>
      <c r="U198" t="str">
        <f>VLOOKUP(E198,Products!$A:$C,3,0)</f>
        <v>Technology</v>
      </c>
      <c r="V198" t="str">
        <f>VLOOKUP(E198,Products!$A:$D,4,0)</f>
        <v>Routers</v>
      </c>
      <c r="W198" t="str">
        <f>VLOOKUP(D198,Customers!$A:$C,3,0)</f>
        <v>B2B</v>
      </c>
      <c r="X198" t="str">
        <f>VLOOKUP(C198,Sales_Representatives!$A:$B,2,0)</f>
        <v>Robert Jones</v>
      </c>
    </row>
    <row r="199" spans="1:24" x14ac:dyDescent="0.3">
      <c r="A199" t="s">
        <v>390</v>
      </c>
      <c r="B199" t="s">
        <v>391</v>
      </c>
      <c r="C199" t="s">
        <v>127</v>
      </c>
      <c r="D199" t="s">
        <v>76</v>
      </c>
      <c r="E199" t="s">
        <v>89</v>
      </c>
      <c r="F199">
        <v>4</v>
      </c>
      <c r="G199">
        <v>555.08000000000004</v>
      </c>
      <c r="H199">
        <v>0.02</v>
      </c>
      <c r="I199" s="4">
        <v>2175.91</v>
      </c>
      <c r="J199" t="s">
        <v>109</v>
      </c>
      <c r="K199" t="s">
        <v>17</v>
      </c>
      <c r="L199" s="4">
        <f>VLOOKUP(tblTransactions[[#This Row],[Product_ID]],tblProducts[],5,FALSE)</f>
        <v>402.82</v>
      </c>
      <c r="M199" s="4">
        <f>tblTransactions[[#This Row],[Total_Amount]]-(tblTransactions[[#This Row],[Cost_Prices]]*tblTransactions[[#This Row],[Quantity]]*(1-tblTransactions[[#This Row],[Discount]]))</f>
        <v>596.85559999999987</v>
      </c>
      <c r="N199" s="3">
        <f>tblTransactions[[#This Row],[Profit]]/tblTransactions[[#This Row],[Total_Amount]]</f>
        <v>0.27430160254789948</v>
      </c>
      <c r="O199" t="str">
        <f>TEXT(tblTransactions[[#This Row],[Date]], "MMM-YYYY")</f>
        <v>Feb-2023</v>
      </c>
      <c r="P199" t="str">
        <f>"Q"&amp;ROUNDUP(MONTH(tblTransactions[[#This Row],[Date]])/3,0)&amp;"-"&amp;YEAR(tblTransactions[[#This Row],[Date]])</f>
        <v>Q1-2023</v>
      </c>
      <c r="Q199">
        <f>YEAR(tblTransactions[[#This Row],[Date]])</f>
        <v>2023</v>
      </c>
      <c r="R199" t="str">
        <f>TEXT(tblTransactions[[#This Row],[Date]],"DDDD")</f>
        <v>Monday</v>
      </c>
      <c r="S199">
        <f>MONTH(tblTransactions[[#This Row],[Date]])</f>
        <v>2</v>
      </c>
      <c r="T199" t="str">
        <f>VLOOKUP(E199, Products!$A:$B,2,0)</f>
        <v>Laptops Ele-3</v>
      </c>
      <c r="U199" t="str">
        <f>VLOOKUP(E199,Products!$A:$C,3,0)</f>
        <v>Electronics</v>
      </c>
      <c r="V199" t="str">
        <f>VLOOKUP(E199,Products!$A:$D,4,0)</f>
        <v>Laptops</v>
      </c>
      <c r="W199" t="str">
        <f>VLOOKUP(D199,Customers!$A:$C,3,0)</f>
        <v>Small Business</v>
      </c>
      <c r="X199" t="str">
        <f>VLOOKUP(C199,Sales_Representatives!$A:$B,2,0)</f>
        <v>Emily Hernandez</v>
      </c>
    </row>
    <row r="200" spans="1:24" x14ac:dyDescent="0.3">
      <c r="A200" t="s">
        <v>392</v>
      </c>
      <c r="B200" t="s">
        <v>391</v>
      </c>
      <c r="C200" t="s">
        <v>27</v>
      </c>
      <c r="D200" t="s">
        <v>52</v>
      </c>
      <c r="E200" t="s">
        <v>121</v>
      </c>
      <c r="F200">
        <v>1</v>
      </c>
      <c r="G200">
        <v>183.9</v>
      </c>
      <c r="H200">
        <v>0.04</v>
      </c>
      <c r="I200" s="4">
        <v>176.54</v>
      </c>
      <c r="J200" t="s">
        <v>16</v>
      </c>
      <c r="K200" t="s">
        <v>39</v>
      </c>
      <c r="L200" s="4">
        <f>VLOOKUP(tblTransactions[[#This Row],[Product_ID]],tblProducts[],5,FALSE)</f>
        <v>116.83</v>
      </c>
      <c r="M200" s="4">
        <f>tblTransactions[[#This Row],[Total_Amount]]-(tblTransactions[[#This Row],[Cost_Prices]]*tblTransactions[[#This Row],[Quantity]]*(1-tblTransactions[[#This Row],[Discount]]))</f>
        <v>64.383200000000002</v>
      </c>
      <c r="N200" s="3">
        <f>tblTransactions[[#This Row],[Profit]]/tblTransactions[[#This Row],[Total_Amount]]</f>
        <v>0.36469468675654243</v>
      </c>
      <c r="O200" t="str">
        <f>TEXT(tblTransactions[[#This Row],[Date]], "MMM-YYYY")</f>
        <v>Feb-2023</v>
      </c>
      <c r="P200" t="str">
        <f>"Q"&amp;ROUNDUP(MONTH(tblTransactions[[#This Row],[Date]])/3,0)&amp;"-"&amp;YEAR(tblTransactions[[#This Row],[Date]])</f>
        <v>Q1-2023</v>
      </c>
      <c r="Q200">
        <f>YEAR(tblTransactions[[#This Row],[Date]])</f>
        <v>2023</v>
      </c>
      <c r="R200" t="str">
        <f>TEXT(tblTransactions[[#This Row],[Date]],"DDDD")</f>
        <v>Monday</v>
      </c>
      <c r="S200">
        <f>MONTH(tblTransactions[[#This Row],[Date]])</f>
        <v>2</v>
      </c>
      <c r="T200" t="str">
        <f>VLOOKUP(E200, Products!$A:$B,2,0)</f>
        <v>Pens Off-3</v>
      </c>
      <c r="U200" t="str">
        <f>VLOOKUP(E200,Products!$A:$C,3,0)</f>
        <v>Office Supplies</v>
      </c>
      <c r="V200" t="str">
        <f>VLOOKUP(E200,Products!$A:$D,4,0)</f>
        <v>Pens</v>
      </c>
      <c r="W200" t="str">
        <f>VLOOKUP(D200,Customers!$A:$C,3,0)</f>
        <v>B2C</v>
      </c>
      <c r="X200" t="str">
        <f>VLOOKUP(C200,Sales_Representatives!$A:$B,2,0)</f>
        <v>Thomas Lopez</v>
      </c>
    </row>
    <row r="201" spans="1:24" x14ac:dyDescent="0.3">
      <c r="A201" t="s">
        <v>393</v>
      </c>
      <c r="B201" t="s">
        <v>391</v>
      </c>
      <c r="C201" t="s">
        <v>13</v>
      </c>
      <c r="D201" t="s">
        <v>362</v>
      </c>
      <c r="E201" t="s">
        <v>394</v>
      </c>
      <c r="F201">
        <v>1</v>
      </c>
      <c r="G201">
        <v>314.69</v>
      </c>
      <c r="H201">
        <v>0</v>
      </c>
      <c r="I201" s="4">
        <v>314.69</v>
      </c>
      <c r="J201" t="s">
        <v>16</v>
      </c>
      <c r="K201" t="s">
        <v>39</v>
      </c>
      <c r="L201" s="4">
        <f>VLOOKUP(tblTransactions[[#This Row],[Product_ID]],tblProducts[],5,FALSE)</f>
        <v>185.43</v>
      </c>
      <c r="M201" s="4">
        <f>tblTransactions[[#This Row],[Total_Amount]]-(tblTransactions[[#This Row],[Cost_Prices]]*tblTransactions[[#This Row],[Quantity]]*(1-tblTransactions[[#This Row],[Discount]]))</f>
        <v>129.26</v>
      </c>
      <c r="N201" s="3">
        <f>tblTransactions[[#This Row],[Profit]]/tblTransactions[[#This Row],[Total_Amount]]</f>
        <v>0.41075343989322821</v>
      </c>
      <c r="O201" t="str">
        <f>TEXT(tblTransactions[[#This Row],[Date]], "MMM-YYYY")</f>
        <v>Feb-2023</v>
      </c>
      <c r="P201" t="str">
        <f>"Q"&amp;ROUNDUP(MONTH(tblTransactions[[#This Row],[Date]])/3,0)&amp;"-"&amp;YEAR(tblTransactions[[#This Row],[Date]])</f>
        <v>Q1-2023</v>
      </c>
      <c r="Q201">
        <f>YEAR(tblTransactions[[#This Row],[Date]])</f>
        <v>2023</v>
      </c>
      <c r="R201" t="str">
        <f>TEXT(tblTransactions[[#This Row],[Date]],"DDDD")</f>
        <v>Monday</v>
      </c>
      <c r="S201">
        <f>MONTH(tblTransactions[[#This Row],[Date]])</f>
        <v>2</v>
      </c>
      <c r="T201" t="str">
        <f>VLOOKUP(E201, Products!$A:$B,2,0)</f>
        <v>Desks Fur-1</v>
      </c>
      <c r="U201" t="str">
        <f>VLOOKUP(E201,Products!$A:$C,3,0)</f>
        <v>Furniture</v>
      </c>
      <c r="V201" t="str">
        <f>VLOOKUP(E201,Products!$A:$D,4,0)</f>
        <v>Desks</v>
      </c>
      <c r="W201" t="str">
        <f>VLOOKUP(D201,Customers!$A:$C,3,0)</f>
        <v>Small Business</v>
      </c>
      <c r="X201" t="str">
        <f>VLOOKUP(C201,Sales_Representatives!$A:$B,2,0)</f>
        <v>Jennifer Rodriguez</v>
      </c>
    </row>
    <row r="202" spans="1:24" x14ac:dyDescent="0.3">
      <c r="A202" t="s">
        <v>395</v>
      </c>
      <c r="B202" t="s">
        <v>391</v>
      </c>
      <c r="C202" t="s">
        <v>82</v>
      </c>
      <c r="D202" t="s">
        <v>396</v>
      </c>
      <c r="E202" t="s">
        <v>125</v>
      </c>
      <c r="F202">
        <v>4</v>
      </c>
      <c r="G202">
        <v>1201.4000000000001</v>
      </c>
      <c r="H202">
        <v>7.0000000000000007E-2</v>
      </c>
      <c r="I202" s="4">
        <v>4469.21</v>
      </c>
      <c r="J202" t="s">
        <v>34</v>
      </c>
      <c r="K202" t="s">
        <v>35</v>
      </c>
      <c r="L202" s="4">
        <f>VLOOKUP(tblTransactions[[#This Row],[Product_ID]],tblProducts[],5,FALSE)</f>
        <v>672.72</v>
      </c>
      <c r="M202" s="4">
        <f>tblTransactions[[#This Row],[Total_Amount]]-(tblTransactions[[#This Row],[Cost_Prices]]*tblTransactions[[#This Row],[Quantity]]*(1-tblTransactions[[#This Row],[Discount]]))</f>
        <v>1966.6916000000001</v>
      </c>
      <c r="N202" s="3">
        <f>tblTransactions[[#This Row],[Profit]]/tblTransactions[[#This Row],[Total_Amount]]</f>
        <v>0.44005352176335416</v>
      </c>
      <c r="O202" t="str">
        <f>TEXT(tblTransactions[[#This Row],[Date]], "MMM-YYYY")</f>
        <v>Feb-2023</v>
      </c>
      <c r="P202" t="str">
        <f>"Q"&amp;ROUNDUP(MONTH(tblTransactions[[#This Row],[Date]])/3,0)&amp;"-"&amp;YEAR(tblTransactions[[#This Row],[Date]])</f>
        <v>Q1-2023</v>
      </c>
      <c r="Q202">
        <f>YEAR(tblTransactions[[#This Row],[Date]])</f>
        <v>2023</v>
      </c>
      <c r="R202" t="str">
        <f>TEXT(tblTransactions[[#This Row],[Date]],"DDDD")</f>
        <v>Monday</v>
      </c>
      <c r="S202">
        <f>MONTH(tblTransactions[[#This Row],[Date]])</f>
        <v>2</v>
      </c>
      <c r="T202" t="str">
        <f>VLOOKUP(E202, Products!$A:$B,2,0)</f>
        <v>Printers Tec-2</v>
      </c>
      <c r="U202" t="str">
        <f>VLOOKUP(E202,Products!$A:$C,3,0)</f>
        <v>Technology</v>
      </c>
      <c r="V202" t="str">
        <f>VLOOKUP(E202,Products!$A:$D,4,0)</f>
        <v>Printers</v>
      </c>
      <c r="W202" t="str">
        <f>VLOOKUP(D202,Customers!$A:$C,3,0)</f>
        <v>Small Business</v>
      </c>
      <c r="X202" t="str">
        <f>VLOOKUP(C202,Sales_Representatives!$A:$B,2,0)</f>
        <v>John Brown</v>
      </c>
    </row>
    <row r="203" spans="1:24" x14ac:dyDescent="0.3">
      <c r="A203" t="s">
        <v>397</v>
      </c>
      <c r="B203" t="s">
        <v>391</v>
      </c>
      <c r="C203" t="s">
        <v>27</v>
      </c>
      <c r="D203" t="s">
        <v>24</v>
      </c>
      <c r="E203" t="s">
        <v>152</v>
      </c>
      <c r="F203">
        <v>19</v>
      </c>
      <c r="G203">
        <v>859.93</v>
      </c>
      <c r="H203">
        <v>0.15</v>
      </c>
      <c r="I203" s="4">
        <v>13887.87</v>
      </c>
      <c r="J203" t="s">
        <v>16</v>
      </c>
      <c r="K203" t="s">
        <v>22</v>
      </c>
      <c r="L203" s="4">
        <f>VLOOKUP(tblTransactions[[#This Row],[Product_ID]],tblProducts[],5,FALSE)</f>
        <v>579.79</v>
      </c>
      <c r="M203" s="4">
        <f>tblTransactions[[#This Row],[Total_Amount]]-(tblTransactions[[#This Row],[Cost_Prices]]*tblTransactions[[#This Row],[Quantity]]*(1-tblTransactions[[#This Row],[Discount]]))</f>
        <v>4524.2615000000023</v>
      </c>
      <c r="N203" s="3">
        <f>tblTransactions[[#This Row],[Profit]]/tblTransactions[[#This Row],[Total_Amount]]</f>
        <v>0.32577072654049916</v>
      </c>
      <c r="O203" t="str">
        <f>TEXT(tblTransactions[[#This Row],[Date]], "MMM-YYYY")</f>
        <v>Feb-2023</v>
      </c>
      <c r="P203" t="str">
        <f>"Q"&amp;ROUNDUP(MONTH(tblTransactions[[#This Row],[Date]])/3,0)&amp;"-"&amp;YEAR(tblTransactions[[#This Row],[Date]])</f>
        <v>Q1-2023</v>
      </c>
      <c r="Q203">
        <f>YEAR(tblTransactions[[#This Row],[Date]])</f>
        <v>2023</v>
      </c>
      <c r="R203" t="str">
        <f>TEXT(tblTransactions[[#This Row],[Date]],"DDDD")</f>
        <v>Monday</v>
      </c>
      <c r="S203">
        <f>MONTH(tblTransactions[[#This Row],[Date]])</f>
        <v>2</v>
      </c>
      <c r="T203" t="str">
        <f>VLOOKUP(E203, Products!$A:$B,2,0)</f>
        <v>Phones Ele-4</v>
      </c>
      <c r="U203" t="str">
        <f>VLOOKUP(E203,Products!$A:$C,3,0)</f>
        <v>Electronics</v>
      </c>
      <c r="V203" t="str">
        <f>VLOOKUP(E203,Products!$A:$D,4,0)</f>
        <v>Phones</v>
      </c>
      <c r="W203" t="str">
        <f>VLOOKUP(D203,Customers!$A:$C,3,0)</f>
        <v>B2B</v>
      </c>
      <c r="X203" t="str">
        <f>VLOOKUP(C203,Sales_Representatives!$A:$B,2,0)</f>
        <v>Thomas Lopez</v>
      </c>
    </row>
    <row r="204" spans="1:24" x14ac:dyDescent="0.3">
      <c r="A204" t="s">
        <v>398</v>
      </c>
      <c r="B204" t="s">
        <v>399</v>
      </c>
      <c r="C204" t="s">
        <v>131</v>
      </c>
      <c r="D204" t="s">
        <v>28</v>
      </c>
      <c r="E204" t="s">
        <v>255</v>
      </c>
      <c r="F204">
        <v>10</v>
      </c>
      <c r="G204">
        <v>1444.13</v>
      </c>
      <c r="H204">
        <v>7.0000000000000007E-2</v>
      </c>
      <c r="I204" s="4">
        <v>13430.41</v>
      </c>
      <c r="J204" t="s">
        <v>44</v>
      </c>
      <c r="K204" t="s">
        <v>17</v>
      </c>
      <c r="L204" s="4">
        <f>VLOOKUP(tblTransactions[[#This Row],[Product_ID]],tblProducts[],5,FALSE)</f>
        <v>874.43</v>
      </c>
      <c r="M204" s="4">
        <f>tblTransactions[[#This Row],[Total_Amount]]-(tblTransactions[[#This Row],[Cost_Prices]]*tblTransactions[[#This Row],[Quantity]]*(1-tblTransactions[[#This Row],[Discount]]))</f>
        <v>5298.2110000000011</v>
      </c>
      <c r="N204" s="3">
        <f>tblTransactions[[#This Row],[Profit]]/tblTransactions[[#This Row],[Total_Amount]]</f>
        <v>0.39449361560816099</v>
      </c>
      <c r="O204" t="str">
        <f>TEXT(tblTransactions[[#This Row],[Date]], "MMM-YYYY")</f>
        <v>Feb-2023</v>
      </c>
      <c r="P204" t="str">
        <f>"Q"&amp;ROUNDUP(MONTH(tblTransactions[[#This Row],[Date]])/3,0)&amp;"-"&amp;YEAR(tblTransactions[[#This Row],[Date]])</f>
        <v>Q1-2023</v>
      </c>
      <c r="Q204">
        <f>YEAR(tblTransactions[[#This Row],[Date]])</f>
        <v>2023</v>
      </c>
      <c r="R204" t="str">
        <f>TEXT(tblTransactions[[#This Row],[Date]],"DDDD")</f>
        <v>Tuesday</v>
      </c>
      <c r="S204">
        <f>MONTH(tblTransactions[[#This Row],[Date]])</f>
        <v>2</v>
      </c>
      <c r="T204" t="str">
        <f>VLOOKUP(E204, Products!$A:$B,2,0)</f>
        <v>Printers Tec-1</v>
      </c>
      <c r="U204" t="str">
        <f>VLOOKUP(E204,Products!$A:$C,3,0)</f>
        <v>Technology</v>
      </c>
      <c r="V204" t="str">
        <f>VLOOKUP(E204,Products!$A:$D,4,0)</f>
        <v>Printers</v>
      </c>
      <c r="W204" t="str">
        <f>VLOOKUP(D204,Customers!$A:$C,3,0)</f>
        <v>B2B</v>
      </c>
      <c r="X204" t="str">
        <f>VLOOKUP(C204,Sales_Representatives!$A:$B,2,0)</f>
        <v>Michael Davis</v>
      </c>
    </row>
    <row r="205" spans="1:24" x14ac:dyDescent="0.3">
      <c r="A205" t="s">
        <v>400</v>
      </c>
      <c r="B205" t="s">
        <v>399</v>
      </c>
      <c r="C205" t="s">
        <v>107</v>
      </c>
      <c r="D205" t="s">
        <v>118</v>
      </c>
      <c r="E205" t="s">
        <v>38</v>
      </c>
      <c r="F205">
        <v>4</v>
      </c>
      <c r="G205">
        <v>581.47</v>
      </c>
      <c r="H205">
        <v>0.03</v>
      </c>
      <c r="I205" s="4">
        <v>2256.1</v>
      </c>
      <c r="J205" t="s">
        <v>109</v>
      </c>
      <c r="K205" t="s">
        <v>35</v>
      </c>
      <c r="L205" s="4">
        <f>VLOOKUP(tblTransactions[[#This Row],[Product_ID]],tblProducts[],5,FALSE)</f>
        <v>372.07</v>
      </c>
      <c r="M205" s="4">
        <f>tblTransactions[[#This Row],[Total_Amount]]-(tblTransactions[[#This Row],[Cost_Prices]]*tblTransactions[[#This Row],[Quantity]]*(1-tblTransactions[[#This Row],[Discount]]))</f>
        <v>812.46839999999997</v>
      </c>
      <c r="N205" s="3">
        <f>tblTransactions[[#This Row],[Profit]]/tblTransactions[[#This Row],[Total_Amount]]</f>
        <v>0.36012073932893046</v>
      </c>
      <c r="O205" t="str">
        <f>TEXT(tblTransactions[[#This Row],[Date]], "MMM-YYYY")</f>
        <v>Feb-2023</v>
      </c>
      <c r="P205" t="str">
        <f>"Q"&amp;ROUNDUP(MONTH(tblTransactions[[#This Row],[Date]])/3,0)&amp;"-"&amp;YEAR(tblTransactions[[#This Row],[Date]])</f>
        <v>Q1-2023</v>
      </c>
      <c r="Q205">
        <f>YEAR(tblTransactions[[#This Row],[Date]])</f>
        <v>2023</v>
      </c>
      <c r="R205" t="str">
        <f>TEXT(tblTransactions[[#This Row],[Date]],"DDDD")</f>
        <v>Tuesday</v>
      </c>
      <c r="S205">
        <f>MONTH(tblTransactions[[#This Row],[Date]])</f>
        <v>2</v>
      </c>
      <c r="T205" t="str">
        <f>VLOOKUP(E205, Products!$A:$B,2,0)</f>
        <v>Storage Fur-3</v>
      </c>
      <c r="U205" t="str">
        <f>VLOOKUP(E205,Products!$A:$C,3,0)</f>
        <v>Furniture</v>
      </c>
      <c r="V205" t="str">
        <f>VLOOKUP(E205,Products!$A:$D,4,0)</f>
        <v>Storage</v>
      </c>
      <c r="W205" t="str">
        <f>VLOOKUP(D205,Customers!$A:$C,3,0)</f>
        <v>B2C</v>
      </c>
      <c r="X205" t="str">
        <f>VLOOKUP(C205,Sales_Representatives!$A:$B,2,0)</f>
        <v>Jennifer Brown</v>
      </c>
    </row>
    <row r="206" spans="1:24" x14ac:dyDescent="0.3">
      <c r="A206" t="s">
        <v>401</v>
      </c>
      <c r="B206" t="s">
        <v>402</v>
      </c>
      <c r="C206" t="s">
        <v>56</v>
      </c>
      <c r="D206" t="s">
        <v>156</v>
      </c>
      <c r="E206" t="s">
        <v>102</v>
      </c>
      <c r="F206">
        <v>19</v>
      </c>
      <c r="G206">
        <v>1097.75</v>
      </c>
      <c r="H206">
        <v>0.16</v>
      </c>
      <c r="I206" s="4">
        <v>17520.09</v>
      </c>
      <c r="J206" t="s">
        <v>34</v>
      </c>
      <c r="K206" t="s">
        <v>17</v>
      </c>
      <c r="L206" s="4">
        <f>VLOOKUP(tblTransactions[[#This Row],[Product_ID]],tblProducts[],5,FALSE)</f>
        <v>680.12</v>
      </c>
      <c r="M206" s="4">
        <f>tblTransactions[[#This Row],[Total_Amount]]-(tblTransactions[[#This Row],[Cost_Prices]]*tblTransactions[[#This Row],[Quantity]]*(1-tblTransactions[[#This Row],[Discount]]))</f>
        <v>6665.3747999999996</v>
      </c>
      <c r="N206" s="3">
        <f>tblTransactions[[#This Row],[Profit]]/tblTransactions[[#This Row],[Total_Amount]]</f>
        <v>0.38044181279890682</v>
      </c>
      <c r="O206" t="str">
        <f>TEXT(tblTransactions[[#This Row],[Date]], "MMM-YYYY")</f>
        <v>Feb-2023</v>
      </c>
      <c r="P206" t="str">
        <f>"Q"&amp;ROUNDUP(MONTH(tblTransactions[[#This Row],[Date]])/3,0)&amp;"-"&amp;YEAR(tblTransactions[[#This Row],[Date]])</f>
        <v>Q1-2023</v>
      </c>
      <c r="Q206">
        <f>YEAR(tblTransactions[[#This Row],[Date]])</f>
        <v>2023</v>
      </c>
      <c r="R206" t="str">
        <f>TEXT(tblTransactions[[#This Row],[Date]],"DDDD")</f>
        <v>Wednesday</v>
      </c>
      <c r="S206">
        <f>MONTH(tblTransactions[[#This Row],[Date]])</f>
        <v>2</v>
      </c>
      <c r="T206" t="str">
        <f>VLOOKUP(E206, Products!$A:$B,2,0)</f>
        <v>Storage Fur-4</v>
      </c>
      <c r="U206" t="str">
        <f>VLOOKUP(E206,Products!$A:$C,3,0)</f>
        <v>Furniture</v>
      </c>
      <c r="V206" t="str">
        <f>VLOOKUP(E206,Products!$A:$D,4,0)</f>
        <v>Storage</v>
      </c>
      <c r="W206" t="str">
        <f>VLOOKUP(D206,Customers!$A:$C,3,0)</f>
        <v>B2B</v>
      </c>
      <c r="X206" t="str">
        <f>VLOOKUP(C206,Sales_Representatives!$A:$B,2,0)</f>
        <v>Thomas Hernandez</v>
      </c>
    </row>
    <row r="207" spans="1:24" x14ac:dyDescent="0.3">
      <c r="A207" t="s">
        <v>403</v>
      </c>
      <c r="B207" t="s">
        <v>402</v>
      </c>
      <c r="C207" t="s">
        <v>13</v>
      </c>
      <c r="D207" t="s">
        <v>164</v>
      </c>
      <c r="E207" t="s">
        <v>99</v>
      </c>
      <c r="F207">
        <v>3</v>
      </c>
      <c r="G207">
        <v>325.14</v>
      </c>
      <c r="H207">
        <v>0.09</v>
      </c>
      <c r="I207" s="4">
        <v>887.63</v>
      </c>
      <c r="J207" t="s">
        <v>16</v>
      </c>
      <c r="K207" t="s">
        <v>35</v>
      </c>
      <c r="L207" s="4">
        <f>VLOOKUP(tblTransactions[[#This Row],[Product_ID]],tblProducts[],5,FALSE)</f>
        <v>209.04</v>
      </c>
      <c r="M207" s="4">
        <f>tblTransactions[[#This Row],[Total_Amount]]-(tblTransactions[[#This Row],[Cost_Prices]]*tblTransactions[[#This Row],[Quantity]]*(1-tblTransactions[[#This Row],[Discount]]))</f>
        <v>316.95079999999996</v>
      </c>
      <c r="N207" s="3">
        <f>tblTransactions[[#This Row],[Profit]]/tblTransactions[[#This Row],[Total_Amount]]</f>
        <v>0.35707535797573309</v>
      </c>
      <c r="O207" t="str">
        <f>TEXT(tblTransactions[[#This Row],[Date]], "MMM-YYYY")</f>
        <v>Feb-2023</v>
      </c>
      <c r="P207" t="str">
        <f>"Q"&amp;ROUNDUP(MONTH(tblTransactions[[#This Row],[Date]])/3,0)&amp;"-"&amp;YEAR(tblTransactions[[#This Row],[Date]])</f>
        <v>Q1-2023</v>
      </c>
      <c r="Q207">
        <f>YEAR(tblTransactions[[#This Row],[Date]])</f>
        <v>2023</v>
      </c>
      <c r="R207" t="str">
        <f>TEXT(tblTransactions[[#This Row],[Date]],"DDDD")</f>
        <v>Wednesday</v>
      </c>
      <c r="S207">
        <f>MONTH(tblTransactions[[#This Row],[Date]])</f>
        <v>2</v>
      </c>
      <c r="T207" t="str">
        <f>VLOOKUP(E207, Products!$A:$B,2,0)</f>
        <v>Monitors Tec-1</v>
      </c>
      <c r="U207" t="str">
        <f>VLOOKUP(E207,Products!$A:$C,3,0)</f>
        <v>Technology</v>
      </c>
      <c r="V207" t="str">
        <f>VLOOKUP(E207,Products!$A:$D,4,0)</f>
        <v>Monitors</v>
      </c>
      <c r="W207" t="str">
        <f>VLOOKUP(D207,Customers!$A:$C,3,0)</f>
        <v>Small Business</v>
      </c>
      <c r="X207" t="str">
        <f>VLOOKUP(C207,Sales_Representatives!$A:$B,2,0)</f>
        <v>Jennifer Rodriguez</v>
      </c>
    </row>
    <row r="208" spans="1:24" x14ac:dyDescent="0.3">
      <c r="A208" t="s">
        <v>404</v>
      </c>
      <c r="B208" t="s">
        <v>402</v>
      </c>
      <c r="C208" t="s">
        <v>31</v>
      </c>
      <c r="D208" t="s">
        <v>212</v>
      </c>
      <c r="E208" t="s">
        <v>172</v>
      </c>
      <c r="F208">
        <v>3</v>
      </c>
      <c r="G208">
        <v>1371.15</v>
      </c>
      <c r="H208">
        <v>0.05</v>
      </c>
      <c r="I208" s="4">
        <v>3907.78</v>
      </c>
      <c r="J208" t="s">
        <v>34</v>
      </c>
      <c r="K208" t="s">
        <v>39</v>
      </c>
      <c r="L208" s="4">
        <f>VLOOKUP(tblTransactions[[#This Row],[Product_ID]],tblProducts[],5,FALSE)</f>
        <v>989.81</v>
      </c>
      <c r="M208" s="4">
        <f>tblTransactions[[#This Row],[Total_Amount]]-(tblTransactions[[#This Row],[Cost_Prices]]*tblTransactions[[#This Row],[Quantity]]*(1-tblTransactions[[#This Row],[Discount]]))</f>
        <v>1086.8215000000005</v>
      </c>
      <c r="N208" s="3">
        <f>tblTransactions[[#This Row],[Profit]]/tblTransactions[[#This Row],[Total_Amount]]</f>
        <v>0.2781173709881315</v>
      </c>
      <c r="O208" t="str">
        <f>TEXT(tblTransactions[[#This Row],[Date]], "MMM-YYYY")</f>
        <v>Feb-2023</v>
      </c>
      <c r="P208" t="str">
        <f>"Q"&amp;ROUNDUP(MONTH(tblTransactions[[#This Row],[Date]])/3,0)&amp;"-"&amp;YEAR(tblTransactions[[#This Row],[Date]])</f>
        <v>Q1-2023</v>
      </c>
      <c r="Q208">
        <f>YEAR(tblTransactions[[#This Row],[Date]])</f>
        <v>2023</v>
      </c>
      <c r="R208" t="str">
        <f>TEXT(tblTransactions[[#This Row],[Date]],"DDDD")</f>
        <v>Wednesday</v>
      </c>
      <c r="S208">
        <f>MONTH(tblTransactions[[#This Row],[Date]])</f>
        <v>2</v>
      </c>
      <c r="T208" t="str">
        <f>VLOOKUP(E208, Products!$A:$B,2,0)</f>
        <v>Cameras Ele-4</v>
      </c>
      <c r="U208" t="str">
        <f>VLOOKUP(E208,Products!$A:$C,3,0)</f>
        <v>Electronics</v>
      </c>
      <c r="V208" t="str">
        <f>VLOOKUP(E208,Products!$A:$D,4,0)</f>
        <v>Cameras</v>
      </c>
      <c r="W208" t="str">
        <f>VLOOKUP(D208,Customers!$A:$C,3,0)</f>
        <v>B2C</v>
      </c>
      <c r="X208" t="str">
        <f>VLOOKUP(C208,Sales_Representatives!$A:$B,2,0)</f>
        <v>Thomas Martinez</v>
      </c>
    </row>
    <row r="209" spans="1:24" x14ac:dyDescent="0.3">
      <c r="A209" t="s">
        <v>405</v>
      </c>
      <c r="B209" t="s">
        <v>406</v>
      </c>
      <c r="C209" t="s">
        <v>13</v>
      </c>
      <c r="D209" t="s">
        <v>83</v>
      </c>
      <c r="E209" t="s">
        <v>129</v>
      </c>
      <c r="F209">
        <v>6</v>
      </c>
      <c r="G209">
        <v>1283.71</v>
      </c>
      <c r="H209">
        <v>0.11</v>
      </c>
      <c r="I209" s="4">
        <v>6855.01</v>
      </c>
      <c r="J209" t="s">
        <v>16</v>
      </c>
      <c r="K209" t="s">
        <v>39</v>
      </c>
      <c r="L209" s="4">
        <f>VLOOKUP(tblTransactions[[#This Row],[Product_ID]],tblProducts[],5,FALSE)</f>
        <v>970.14</v>
      </c>
      <c r="M209" s="4">
        <f>tblTransactions[[#This Row],[Total_Amount]]-(tblTransactions[[#This Row],[Cost_Prices]]*tblTransactions[[#This Row],[Quantity]]*(1-tblTransactions[[#This Row],[Discount]]))</f>
        <v>1674.4624000000003</v>
      </c>
      <c r="N209" s="3">
        <f>tblTransactions[[#This Row],[Profit]]/tblTransactions[[#This Row],[Total_Amount]]</f>
        <v>0.24426841098700078</v>
      </c>
      <c r="O209" t="str">
        <f>TEXT(tblTransactions[[#This Row],[Date]], "MMM-YYYY")</f>
        <v>Feb-2023</v>
      </c>
      <c r="P209" t="str">
        <f>"Q"&amp;ROUNDUP(MONTH(tblTransactions[[#This Row],[Date]])/3,0)&amp;"-"&amp;YEAR(tblTransactions[[#This Row],[Date]])</f>
        <v>Q1-2023</v>
      </c>
      <c r="Q209">
        <f>YEAR(tblTransactions[[#This Row],[Date]])</f>
        <v>2023</v>
      </c>
      <c r="R209" t="str">
        <f>TEXT(tblTransactions[[#This Row],[Date]],"DDDD")</f>
        <v>Thursday</v>
      </c>
      <c r="S209">
        <f>MONTH(tblTransactions[[#This Row],[Date]])</f>
        <v>2</v>
      </c>
      <c r="T209" t="str">
        <f>VLOOKUP(E209, Products!$A:$B,2,0)</f>
        <v>Cameras Ele-3</v>
      </c>
      <c r="U209" t="str">
        <f>VLOOKUP(E209,Products!$A:$C,3,0)</f>
        <v>Electronics</v>
      </c>
      <c r="V209" t="str">
        <f>VLOOKUP(E209,Products!$A:$D,4,0)</f>
        <v>Cameras</v>
      </c>
      <c r="W209" t="str">
        <f>VLOOKUP(D209,Customers!$A:$C,3,0)</f>
        <v>Small Business</v>
      </c>
      <c r="X209" t="str">
        <f>VLOOKUP(C209,Sales_Representatives!$A:$B,2,0)</f>
        <v>Jennifer Rodriguez</v>
      </c>
    </row>
    <row r="210" spans="1:24" x14ac:dyDescent="0.3">
      <c r="A210" t="s">
        <v>407</v>
      </c>
      <c r="B210" t="s">
        <v>406</v>
      </c>
      <c r="C210" t="s">
        <v>59</v>
      </c>
      <c r="D210" t="s">
        <v>47</v>
      </c>
      <c r="E210" t="s">
        <v>148</v>
      </c>
      <c r="F210">
        <v>6</v>
      </c>
      <c r="G210">
        <v>20.420000000000002</v>
      </c>
      <c r="H210">
        <v>0.06</v>
      </c>
      <c r="I210" s="4">
        <v>115.17</v>
      </c>
      <c r="J210" t="s">
        <v>21</v>
      </c>
      <c r="K210" t="s">
        <v>17</v>
      </c>
      <c r="L210" s="4">
        <f>VLOOKUP(tblTransactions[[#This Row],[Product_ID]],tblProducts[],5,FALSE)</f>
        <v>9.56</v>
      </c>
      <c r="M210" s="4">
        <f>tblTransactions[[#This Row],[Total_Amount]]-(tblTransactions[[#This Row],[Cost_Prices]]*tblTransactions[[#This Row],[Quantity]]*(1-tblTransactions[[#This Row],[Discount]]))</f>
        <v>61.251600000000003</v>
      </c>
      <c r="N210" s="3">
        <f>tblTransactions[[#This Row],[Profit]]/tblTransactions[[#This Row],[Total_Amount]]</f>
        <v>0.5318364157332639</v>
      </c>
      <c r="O210" t="str">
        <f>TEXT(tblTransactions[[#This Row],[Date]], "MMM-YYYY")</f>
        <v>Feb-2023</v>
      </c>
      <c r="P210" t="str">
        <f>"Q"&amp;ROUNDUP(MONTH(tblTransactions[[#This Row],[Date]])/3,0)&amp;"-"&amp;YEAR(tblTransactions[[#This Row],[Date]])</f>
        <v>Q1-2023</v>
      </c>
      <c r="Q210">
        <f>YEAR(tblTransactions[[#This Row],[Date]])</f>
        <v>2023</v>
      </c>
      <c r="R210" t="str">
        <f>TEXT(tblTransactions[[#This Row],[Date]],"DDDD")</f>
        <v>Thursday</v>
      </c>
      <c r="S210">
        <f>MONTH(tblTransactions[[#This Row],[Date]])</f>
        <v>2</v>
      </c>
      <c r="T210" t="str">
        <f>VLOOKUP(E210, Products!$A:$B,2,0)</f>
        <v>Cases Acc-3</v>
      </c>
      <c r="U210" t="str">
        <f>VLOOKUP(E210,Products!$A:$C,3,0)</f>
        <v>Accessories</v>
      </c>
      <c r="V210" t="str">
        <f>VLOOKUP(E210,Products!$A:$D,4,0)</f>
        <v>Cases</v>
      </c>
      <c r="W210" t="str">
        <f>VLOOKUP(D210,Customers!$A:$C,3,0)</f>
        <v>B2C</v>
      </c>
      <c r="X210" t="str">
        <f>VLOOKUP(C210,Sales_Representatives!$A:$B,2,0)</f>
        <v>Sarah Brown</v>
      </c>
    </row>
    <row r="211" spans="1:24" x14ac:dyDescent="0.3">
      <c r="A211" t="s">
        <v>408</v>
      </c>
      <c r="B211" t="s">
        <v>406</v>
      </c>
      <c r="C211" t="s">
        <v>56</v>
      </c>
      <c r="D211" t="s">
        <v>42</v>
      </c>
      <c r="E211" t="s">
        <v>168</v>
      </c>
      <c r="F211">
        <v>1</v>
      </c>
      <c r="G211">
        <v>101.59</v>
      </c>
      <c r="H211">
        <v>7.0000000000000007E-2</v>
      </c>
      <c r="I211" s="4">
        <v>94.48</v>
      </c>
      <c r="J211" t="s">
        <v>34</v>
      </c>
      <c r="K211" t="s">
        <v>39</v>
      </c>
      <c r="L211" s="4">
        <f>VLOOKUP(tblTransactions[[#This Row],[Product_ID]],tblProducts[],5,FALSE)</f>
        <v>50.58</v>
      </c>
      <c r="M211" s="4">
        <f>tblTransactions[[#This Row],[Total_Amount]]-(tblTransactions[[#This Row],[Cost_Prices]]*tblTransactions[[#This Row],[Quantity]]*(1-tblTransactions[[#This Row],[Discount]]))</f>
        <v>47.440600000000011</v>
      </c>
      <c r="N211" s="3">
        <f>tblTransactions[[#This Row],[Profit]]/tblTransactions[[#This Row],[Total_Amount]]</f>
        <v>0.50212320067739213</v>
      </c>
      <c r="O211" t="str">
        <f>TEXT(tblTransactions[[#This Row],[Date]], "MMM-YYYY")</f>
        <v>Feb-2023</v>
      </c>
      <c r="P211" t="str">
        <f>"Q"&amp;ROUNDUP(MONTH(tblTransactions[[#This Row],[Date]])/3,0)&amp;"-"&amp;YEAR(tblTransactions[[#This Row],[Date]])</f>
        <v>Q1-2023</v>
      </c>
      <c r="Q211">
        <f>YEAR(tblTransactions[[#This Row],[Date]])</f>
        <v>2023</v>
      </c>
      <c r="R211" t="str">
        <f>TEXT(tblTransactions[[#This Row],[Date]],"DDDD")</f>
        <v>Thursday</v>
      </c>
      <c r="S211">
        <f>MONTH(tblTransactions[[#This Row],[Date]])</f>
        <v>2</v>
      </c>
      <c r="T211" t="str">
        <f>VLOOKUP(E211, Products!$A:$B,2,0)</f>
        <v>Cases Acc-4</v>
      </c>
      <c r="U211" t="str">
        <f>VLOOKUP(E211,Products!$A:$C,3,0)</f>
        <v>Accessories</v>
      </c>
      <c r="V211" t="str">
        <f>VLOOKUP(E211,Products!$A:$D,4,0)</f>
        <v>Cases</v>
      </c>
      <c r="W211" t="str">
        <f>VLOOKUP(D211,Customers!$A:$C,3,0)</f>
        <v>B2C</v>
      </c>
      <c r="X211" t="str">
        <f>VLOOKUP(C211,Sales_Representatives!$A:$B,2,0)</f>
        <v>Thomas Hernandez</v>
      </c>
    </row>
    <row r="212" spans="1:24" x14ac:dyDescent="0.3">
      <c r="A212" t="s">
        <v>409</v>
      </c>
      <c r="B212" t="s">
        <v>406</v>
      </c>
      <c r="C212" t="s">
        <v>31</v>
      </c>
      <c r="D212" t="s">
        <v>95</v>
      </c>
      <c r="E212" t="s">
        <v>324</v>
      </c>
      <c r="F212">
        <v>6</v>
      </c>
      <c r="G212">
        <v>245.76</v>
      </c>
      <c r="H212">
        <v>0.14000000000000001</v>
      </c>
      <c r="I212" s="4">
        <v>1268.1199999999999</v>
      </c>
      <c r="J212" t="s">
        <v>34</v>
      </c>
      <c r="K212" t="s">
        <v>39</v>
      </c>
      <c r="L212" s="4">
        <f>VLOOKUP(tblTransactions[[#This Row],[Product_ID]],tblProducts[],5,FALSE)</f>
        <v>161.94</v>
      </c>
      <c r="M212" s="4">
        <f>tblTransactions[[#This Row],[Total_Amount]]-(tblTransactions[[#This Row],[Cost_Prices]]*tblTransactions[[#This Row],[Quantity]]*(1-tblTransactions[[#This Row],[Discount]]))</f>
        <v>432.50959999999986</v>
      </c>
      <c r="N212" s="3">
        <f>tblTransactions[[#This Row],[Profit]]/tblTransactions[[#This Row],[Total_Amount]]</f>
        <v>0.34106362173926752</v>
      </c>
      <c r="O212" t="str">
        <f>TEXT(tblTransactions[[#This Row],[Date]], "MMM-YYYY")</f>
        <v>Feb-2023</v>
      </c>
      <c r="P212" t="str">
        <f>"Q"&amp;ROUNDUP(MONTH(tblTransactions[[#This Row],[Date]])/3,0)&amp;"-"&amp;YEAR(tblTransactions[[#This Row],[Date]])</f>
        <v>Q1-2023</v>
      </c>
      <c r="Q212">
        <f>YEAR(tblTransactions[[#This Row],[Date]])</f>
        <v>2023</v>
      </c>
      <c r="R212" t="str">
        <f>TEXT(tblTransactions[[#This Row],[Date]],"DDDD")</f>
        <v>Thursday</v>
      </c>
      <c r="S212">
        <f>MONTH(tblTransactions[[#This Row],[Date]])</f>
        <v>2</v>
      </c>
      <c r="T212" t="str">
        <f>VLOOKUP(E212, Products!$A:$B,2,0)</f>
        <v>Storage Fur-1</v>
      </c>
      <c r="U212" t="str">
        <f>VLOOKUP(E212,Products!$A:$C,3,0)</f>
        <v>Furniture</v>
      </c>
      <c r="V212" t="str">
        <f>VLOOKUP(E212,Products!$A:$D,4,0)</f>
        <v>Storage</v>
      </c>
      <c r="W212" t="str">
        <f>VLOOKUP(D212,Customers!$A:$C,3,0)</f>
        <v>Enterprise</v>
      </c>
      <c r="X212" t="str">
        <f>VLOOKUP(C212,Sales_Representatives!$A:$B,2,0)</f>
        <v>Thomas Martinez</v>
      </c>
    </row>
    <row r="213" spans="1:24" x14ac:dyDescent="0.3">
      <c r="A213" t="s">
        <v>410</v>
      </c>
      <c r="B213" t="s">
        <v>406</v>
      </c>
      <c r="C213" t="s">
        <v>82</v>
      </c>
      <c r="D213" t="s">
        <v>212</v>
      </c>
      <c r="E213" t="s">
        <v>79</v>
      </c>
      <c r="F213">
        <v>2</v>
      </c>
      <c r="G213">
        <v>1452.36</v>
      </c>
      <c r="H213">
        <v>0.05</v>
      </c>
      <c r="I213" s="4">
        <v>2759.48</v>
      </c>
      <c r="J213" t="s">
        <v>34</v>
      </c>
      <c r="K213" t="s">
        <v>48</v>
      </c>
      <c r="L213" s="4">
        <f>VLOOKUP(tblTransactions[[#This Row],[Product_ID]],tblProducts[],5,FALSE)</f>
        <v>778.71</v>
      </c>
      <c r="M213" s="4">
        <f>tblTransactions[[#This Row],[Total_Amount]]-(tblTransactions[[#This Row],[Cost_Prices]]*tblTransactions[[#This Row],[Quantity]]*(1-tblTransactions[[#This Row],[Discount]]))</f>
        <v>1279.931</v>
      </c>
      <c r="N213" s="3">
        <f>tblTransactions[[#This Row],[Profit]]/tblTransactions[[#This Row],[Total_Amount]]</f>
        <v>0.46383050429791123</v>
      </c>
      <c r="O213" t="str">
        <f>TEXT(tblTransactions[[#This Row],[Date]], "MMM-YYYY")</f>
        <v>Feb-2023</v>
      </c>
      <c r="P213" t="str">
        <f>"Q"&amp;ROUNDUP(MONTH(tblTransactions[[#This Row],[Date]])/3,0)&amp;"-"&amp;YEAR(tblTransactions[[#This Row],[Date]])</f>
        <v>Q1-2023</v>
      </c>
      <c r="Q213">
        <f>YEAR(tblTransactions[[#This Row],[Date]])</f>
        <v>2023</v>
      </c>
      <c r="R213" t="str">
        <f>TEXT(tblTransactions[[#This Row],[Date]],"DDDD")</f>
        <v>Thursday</v>
      </c>
      <c r="S213">
        <f>MONTH(tblTransactions[[#This Row],[Date]])</f>
        <v>2</v>
      </c>
      <c r="T213" t="str">
        <f>VLOOKUP(E213, Products!$A:$B,2,0)</f>
        <v>Tables Fur-2</v>
      </c>
      <c r="U213" t="str">
        <f>VLOOKUP(E213,Products!$A:$C,3,0)</f>
        <v>Furniture</v>
      </c>
      <c r="V213" t="str">
        <f>VLOOKUP(E213,Products!$A:$D,4,0)</f>
        <v>Tables</v>
      </c>
      <c r="W213" t="str">
        <f>VLOOKUP(D213,Customers!$A:$C,3,0)</f>
        <v>B2C</v>
      </c>
      <c r="X213" t="str">
        <f>VLOOKUP(C213,Sales_Representatives!$A:$B,2,0)</f>
        <v>John Brown</v>
      </c>
    </row>
    <row r="214" spans="1:24" x14ac:dyDescent="0.3">
      <c r="A214" t="s">
        <v>411</v>
      </c>
      <c r="B214" t="s">
        <v>406</v>
      </c>
      <c r="C214" t="s">
        <v>59</v>
      </c>
      <c r="D214" t="s">
        <v>164</v>
      </c>
      <c r="E214" t="s">
        <v>347</v>
      </c>
      <c r="F214">
        <v>5</v>
      </c>
      <c r="G214">
        <v>1539.6</v>
      </c>
      <c r="H214">
        <v>0.08</v>
      </c>
      <c r="I214" s="4">
        <v>7082.16</v>
      </c>
      <c r="J214" t="s">
        <v>21</v>
      </c>
      <c r="K214" t="s">
        <v>35</v>
      </c>
      <c r="L214" s="4">
        <f>VLOOKUP(tblTransactions[[#This Row],[Product_ID]],tblProducts[],5,FALSE)</f>
        <v>992.43</v>
      </c>
      <c r="M214" s="4">
        <f>tblTransactions[[#This Row],[Total_Amount]]-(tblTransactions[[#This Row],[Cost_Prices]]*tblTransactions[[#This Row],[Quantity]]*(1-tblTransactions[[#This Row],[Discount]]))</f>
        <v>2516.982</v>
      </c>
      <c r="N214" s="3">
        <f>tblTransactions[[#This Row],[Profit]]/tblTransactions[[#This Row],[Total_Amount]]</f>
        <v>0.3553975058456742</v>
      </c>
      <c r="O214" t="str">
        <f>TEXT(tblTransactions[[#This Row],[Date]], "MMM-YYYY")</f>
        <v>Feb-2023</v>
      </c>
      <c r="P214" t="str">
        <f>"Q"&amp;ROUNDUP(MONTH(tblTransactions[[#This Row],[Date]])/3,0)&amp;"-"&amp;YEAR(tblTransactions[[#This Row],[Date]])</f>
        <v>Q1-2023</v>
      </c>
      <c r="Q214">
        <f>YEAR(tblTransactions[[#This Row],[Date]])</f>
        <v>2023</v>
      </c>
      <c r="R214" t="str">
        <f>TEXT(tblTransactions[[#This Row],[Date]],"DDDD")</f>
        <v>Thursday</v>
      </c>
      <c r="S214">
        <f>MONTH(tblTransactions[[#This Row],[Date]])</f>
        <v>2</v>
      </c>
      <c r="T214" t="str">
        <f>VLOOKUP(E214, Products!$A:$B,2,0)</f>
        <v>Routers Tec-2</v>
      </c>
      <c r="U214" t="str">
        <f>VLOOKUP(E214,Products!$A:$C,3,0)</f>
        <v>Technology</v>
      </c>
      <c r="V214" t="str">
        <f>VLOOKUP(E214,Products!$A:$D,4,0)</f>
        <v>Routers</v>
      </c>
      <c r="W214" t="str">
        <f>VLOOKUP(D214,Customers!$A:$C,3,0)</f>
        <v>Small Business</v>
      </c>
      <c r="X214" t="str">
        <f>VLOOKUP(C214,Sales_Representatives!$A:$B,2,0)</f>
        <v>Sarah Brown</v>
      </c>
    </row>
    <row r="215" spans="1:24" x14ac:dyDescent="0.3">
      <c r="A215" t="s">
        <v>412</v>
      </c>
      <c r="B215" t="s">
        <v>406</v>
      </c>
      <c r="C215" t="s">
        <v>56</v>
      </c>
      <c r="D215" t="s">
        <v>228</v>
      </c>
      <c r="E215" t="s">
        <v>314</v>
      </c>
      <c r="F215">
        <v>5</v>
      </c>
      <c r="G215">
        <v>204.97</v>
      </c>
      <c r="H215">
        <v>0.06</v>
      </c>
      <c r="I215" s="4">
        <v>963.36</v>
      </c>
      <c r="J215" t="s">
        <v>34</v>
      </c>
      <c r="K215" t="s">
        <v>39</v>
      </c>
      <c r="L215" s="4">
        <f>VLOOKUP(tblTransactions[[#This Row],[Product_ID]],tblProducts[],5,FALSE)</f>
        <v>121.53</v>
      </c>
      <c r="M215" s="4">
        <f>tblTransactions[[#This Row],[Total_Amount]]-(tblTransactions[[#This Row],[Cost_Prices]]*tblTransactions[[#This Row],[Quantity]]*(1-tblTransactions[[#This Row],[Discount]]))</f>
        <v>392.1690000000001</v>
      </c>
      <c r="N215" s="3">
        <f>tblTransactions[[#This Row],[Profit]]/tblTransactions[[#This Row],[Total_Amount]]</f>
        <v>0.40708457897359251</v>
      </c>
      <c r="O215" t="str">
        <f>TEXT(tblTransactions[[#This Row],[Date]], "MMM-YYYY")</f>
        <v>Feb-2023</v>
      </c>
      <c r="P215" t="str">
        <f>"Q"&amp;ROUNDUP(MONTH(tblTransactions[[#This Row],[Date]])/3,0)&amp;"-"&amp;YEAR(tblTransactions[[#This Row],[Date]])</f>
        <v>Q1-2023</v>
      </c>
      <c r="Q215">
        <f>YEAR(tblTransactions[[#This Row],[Date]])</f>
        <v>2023</v>
      </c>
      <c r="R215" t="str">
        <f>TEXT(tblTransactions[[#This Row],[Date]],"DDDD")</f>
        <v>Thursday</v>
      </c>
      <c r="S215">
        <f>MONTH(tblTransactions[[#This Row],[Date]])</f>
        <v>2</v>
      </c>
      <c r="T215" t="str">
        <f>VLOOKUP(E215, Products!$A:$B,2,0)</f>
        <v>Adapters Acc-3</v>
      </c>
      <c r="U215" t="str">
        <f>VLOOKUP(E215,Products!$A:$C,3,0)</f>
        <v>Accessories</v>
      </c>
      <c r="V215" t="str">
        <f>VLOOKUP(E215,Products!$A:$D,4,0)</f>
        <v>Adapters</v>
      </c>
      <c r="W215" t="str">
        <f>VLOOKUP(D215,Customers!$A:$C,3,0)</f>
        <v>Small Business</v>
      </c>
      <c r="X215" t="str">
        <f>VLOOKUP(C215,Sales_Representatives!$A:$B,2,0)</f>
        <v>Thomas Hernandez</v>
      </c>
    </row>
    <row r="216" spans="1:24" x14ac:dyDescent="0.3">
      <c r="A216" t="s">
        <v>413</v>
      </c>
      <c r="B216" t="s">
        <v>414</v>
      </c>
      <c r="C216" t="s">
        <v>127</v>
      </c>
      <c r="D216" t="s">
        <v>98</v>
      </c>
      <c r="E216" t="s">
        <v>345</v>
      </c>
      <c r="F216">
        <v>2</v>
      </c>
      <c r="G216">
        <v>13.97</v>
      </c>
      <c r="H216">
        <v>0</v>
      </c>
      <c r="I216" s="4">
        <v>27.94</v>
      </c>
      <c r="J216" t="s">
        <v>109</v>
      </c>
      <c r="K216" t="s">
        <v>39</v>
      </c>
      <c r="L216" s="4">
        <f>VLOOKUP(tblTransactions[[#This Row],[Product_ID]],tblProducts[],5,FALSE)</f>
        <v>8.69</v>
      </c>
      <c r="M216" s="4">
        <f>tblTransactions[[#This Row],[Total_Amount]]-(tblTransactions[[#This Row],[Cost_Prices]]*tblTransactions[[#This Row],[Quantity]]*(1-tblTransactions[[#This Row],[Discount]]))</f>
        <v>10.560000000000002</v>
      </c>
      <c r="N216" s="3">
        <f>tblTransactions[[#This Row],[Profit]]/tblTransactions[[#This Row],[Total_Amount]]</f>
        <v>0.37795275590551186</v>
      </c>
      <c r="O216" t="str">
        <f>TEXT(tblTransactions[[#This Row],[Date]], "MMM-YYYY")</f>
        <v>Feb-2023</v>
      </c>
      <c r="P216" t="str">
        <f>"Q"&amp;ROUNDUP(MONTH(tblTransactions[[#This Row],[Date]])/3,0)&amp;"-"&amp;YEAR(tblTransactions[[#This Row],[Date]])</f>
        <v>Q1-2023</v>
      </c>
      <c r="Q216">
        <f>YEAR(tblTransactions[[#This Row],[Date]])</f>
        <v>2023</v>
      </c>
      <c r="R216" t="str">
        <f>TEXT(tblTransactions[[#This Row],[Date]],"DDDD")</f>
        <v>Friday</v>
      </c>
      <c r="S216">
        <f>MONTH(tblTransactions[[#This Row],[Date]])</f>
        <v>2</v>
      </c>
      <c r="T216" t="str">
        <f>VLOOKUP(E216, Products!$A:$B,2,0)</f>
        <v>Cases Acc-2</v>
      </c>
      <c r="U216" t="str">
        <f>VLOOKUP(E216,Products!$A:$C,3,0)</f>
        <v>Accessories</v>
      </c>
      <c r="V216" t="str">
        <f>VLOOKUP(E216,Products!$A:$D,4,0)</f>
        <v>Cases</v>
      </c>
      <c r="W216" t="str">
        <f>VLOOKUP(D216,Customers!$A:$C,3,0)</f>
        <v>B2C</v>
      </c>
      <c r="X216" t="str">
        <f>VLOOKUP(C216,Sales_Representatives!$A:$B,2,0)</f>
        <v>Emily Hernandez</v>
      </c>
    </row>
    <row r="217" spans="1:24" x14ac:dyDescent="0.3">
      <c r="A217" t="s">
        <v>415</v>
      </c>
      <c r="B217" t="s">
        <v>416</v>
      </c>
      <c r="C217" t="s">
        <v>70</v>
      </c>
      <c r="D217" t="s">
        <v>144</v>
      </c>
      <c r="E217" t="s">
        <v>89</v>
      </c>
      <c r="F217">
        <v>7</v>
      </c>
      <c r="G217">
        <v>555.08000000000004</v>
      </c>
      <c r="H217">
        <v>0.13</v>
      </c>
      <c r="I217" s="4">
        <v>3380.44</v>
      </c>
      <c r="J217" t="s">
        <v>16</v>
      </c>
      <c r="K217" t="s">
        <v>22</v>
      </c>
      <c r="L217" s="4">
        <f>VLOOKUP(tblTransactions[[#This Row],[Product_ID]],tblProducts[],5,FALSE)</f>
        <v>402.82</v>
      </c>
      <c r="M217" s="4">
        <f>tblTransactions[[#This Row],[Total_Amount]]-(tblTransactions[[#This Row],[Cost_Prices]]*tblTransactions[[#This Row],[Quantity]]*(1-tblTransactions[[#This Row],[Discount]]))</f>
        <v>927.26620000000048</v>
      </c>
      <c r="N217" s="3">
        <f>tblTransactions[[#This Row],[Profit]]/tblTransactions[[#This Row],[Total_Amount]]</f>
        <v>0.27430340429056588</v>
      </c>
      <c r="O217" t="str">
        <f>TEXT(tblTransactions[[#This Row],[Date]], "MMM-YYYY")</f>
        <v>Feb-2023</v>
      </c>
      <c r="P217" t="str">
        <f>"Q"&amp;ROUNDUP(MONTH(tblTransactions[[#This Row],[Date]])/3,0)&amp;"-"&amp;YEAR(tblTransactions[[#This Row],[Date]])</f>
        <v>Q1-2023</v>
      </c>
      <c r="Q217">
        <f>YEAR(tblTransactions[[#This Row],[Date]])</f>
        <v>2023</v>
      </c>
      <c r="R217" t="str">
        <f>TEXT(tblTransactions[[#This Row],[Date]],"DDDD")</f>
        <v>Saturday</v>
      </c>
      <c r="S217">
        <f>MONTH(tblTransactions[[#This Row],[Date]])</f>
        <v>2</v>
      </c>
      <c r="T217" t="str">
        <f>VLOOKUP(E217, Products!$A:$B,2,0)</f>
        <v>Laptops Ele-3</v>
      </c>
      <c r="U217" t="str">
        <f>VLOOKUP(E217,Products!$A:$C,3,0)</f>
        <v>Electronics</v>
      </c>
      <c r="V217" t="str">
        <f>VLOOKUP(E217,Products!$A:$D,4,0)</f>
        <v>Laptops</v>
      </c>
      <c r="W217" t="str">
        <f>VLOOKUP(D217,Customers!$A:$C,3,0)</f>
        <v>B2C</v>
      </c>
      <c r="X217" t="str">
        <f>VLOOKUP(C217,Sales_Representatives!$A:$B,2,0)</f>
        <v>Linda Smith</v>
      </c>
    </row>
    <row r="218" spans="1:24" x14ac:dyDescent="0.3">
      <c r="A218" t="s">
        <v>417</v>
      </c>
      <c r="B218" t="s">
        <v>416</v>
      </c>
      <c r="C218" t="s">
        <v>27</v>
      </c>
      <c r="D218" t="s">
        <v>362</v>
      </c>
      <c r="E218" t="s">
        <v>157</v>
      </c>
      <c r="F218">
        <v>4</v>
      </c>
      <c r="G218">
        <v>1227.68</v>
      </c>
      <c r="H218">
        <v>0.02</v>
      </c>
      <c r="I218" s="4">
        <v>4812.51</v>
      </c>
      <c r="J218" t="s">
        <v>16</v>
      </c>
      <c r="K218" t="s">
        <v>17</v>
      </c>
      <c r="L218" s="4">
        <f>VLOOKUP(tblTransactions[[#This Row],[Product_ID]],tblProducts[],5,FALSE)</f>
        <v>846.42</v>
      </c>
      <c r="M218" s="4">
        <f>tblTransactions[[#This Row],[Total_Amount]]-(tblTransactions[[#This Row],[Cost_Prices]]*tblTransactions[[#This Row],[Quantity]]*(1-tblTransactions[[#This Row],[Discount]]))</f>
        <v>1494.5436000000004</v>
      </c>
      <c r="N218" s="3">
        <f>tblTransactions[[#This Row],[Profit]]/tblTransactions[[#This Row],[Total_Amount]]</f>
        <v>0.31055386897897364</v>
      </c>
      <c r="O218" t="str">
        <f>TEXT(tblTransactions[[#This Row],[Date]], "MMM-YYYY")</f>
        <v>Feb-2023</v>
      </c>
      <c r="P218" t="str">
        <f>"Q"&amp;ROUNDUP(MONTH(tblTransactions[[#This Row],[Date]])/3,0)&amp;"-"&amp;YEAR(tblTransactions[[#This Row],[Date]])</f>
        <v>Q1-2023</v>
      </c>
      <c r="Q218">
        <f>YEAR(tblTransactions[[#This Row],[Date]])</f>
        <v>2023</v>
      </c>
      <c r="R218" t="str">
        <f>TEXT(tblTransactions[[#This Row],[Date]],"DDDD")</f>
        <v>Saturday</v>
      </c>
      <c r="S218">
        <f>MONTH(tblTransactions[[#This Row],[Date]])</f>
        <v>2</v>
      </c>
      <c r="T218" t="str">
        <f>VLOOKUP(E218, Products!$A:$B,2,0)</f>
        <v>Printers Tec-4</v>
      </c>
      <c r="U218" t="str">
        <f>VLOOKUP(E218,Products!$A:$C,3,0)</f>
        <v>Technology</v>
      </c>
      <c r="V218" t="str">
        <f>VLOOKUP(E218,Products!$A:$D,4,0)</f>
        <v>Printers</v>
      </c>
      <c r="W218" t="str">
        <f>VLOOKUP(D218,Customers!$A:$C,3,0)</f>
        <v>Small Business</v>
      </c>
      <c r="X218" t="str">
        <f>VLOOKUP(C218,Sales_Representatives!$A:$B,2,0)</f>
        <v>Thomas Lopez</v>
      </c>
    </row>
    <row r="219" spans="1:24" x14ac:dyDescent="0.3">
      <c r="A219" t="s">
        <v>418</v>
      </c>
      <c r="B219" t="s">
        <v>416</v>
      </c>
      <c r="C219" t="s">
        <v>31</v>
      </c>
      <c r="D219" t="s">
        <v>76</v>
      </c>
      <c r="E219" t="s">
        <v>121</v>
      </c>
      <c r="F219">
        <v>2</v>
      </c>
      <c r="G219">
        <v>183.9</v>
      </c>
      <c r="H219">
        <v>0.06</v>
      </c>
      <c r="I219" s="4">
        <v>345.73</v>
      </c>
      <c r="J219" t="s">
        <v>34</v>
      </c>
      <c r="K219" t="s">
        <v>35</v>
      </c>
      <c r="L219" s="4">
        <f>VLOOKUP(tblTransactions[[#This Row],[Product_ID]],tblProducts[],5,FALSE)</f>
        <v>116.83</v>
      </c>
      <c r="M219" s="4">
        <f>tblTransactions[[#This Row],[Total_Amount]]-(tblTransactions[[#This Row],[Cost_Prices]]*tblTransactions[[#This Row],[Quantity]]*(1-tblTransactions[[#This Row],[Discount]]))</f>
        <v>126.08960000000005</v>
      </c>
      <c r="N219" s="3">
        <f>tblTransactions[[#This Row],[Profit]]/tblTransactions[[#This Row],[Total_Amount]]</f>
        <v>0.36470540595262213</v>
      </c>
      <c r="O219" t="str">
        <f>TEXT(tblTransactions[[#This Row],[Date]], "MMM-YYYY")</f>
        <v>Feb-2023</v>
      </c>
      <c r="P219" t="str">
        <f>"Q"&amp;ROUNDUP(MONTH(tblTransactions[[#This Row],[Date]])/3,0)&amp;"-"&amp;YEAR(tblTransactions[[#This Row],[Date]])</f>
        <v>Q1-2023</v>
      </c>
      <c r="Q219">
        <f>YEAR(tblTransactions[[#This Row],[Date]])</f>
        <v>2023</v>
      </c>
      <c r="R219" t="str">
        <f>TEXT(tblTransactions[[#This Row],[Date]],"DDDD")</f>
        <v>Saturday</v>
      </c>
      <c r="S219">
        <f>MONTH(tblTransactions[[#This Row],[Date]])</f>
        <v>2</v>
      </c>
      <c r="T219" t="str">
        <f>VLOOKUP(E219, Products!$A:$B,2,0)</f>
        <v>Pens Off-3</v>
      </c>
      <c r="U219" t="str">
        <f>VLOOKUP(E219,Products!$A:$C,3,0)</f>
        <v>Office Supplies</v>
      </c>
      <c r="V219" t="str">
        <f>VLOOKUP(E219,Products!$A:$D,4,0)</f>
        <v>Pens</v>
      </c>
      <c r="W219" t="str">
        <f>VLOOKUP(D219,Customers!$A:$C,3,0)</f>
        <v>Small Business</v>
      </c>
      <c r="X219" t="str">
        <f>VLOOKUP(C219,Sales_Representatives!$A:$B,2,0)</f>
        <v>Thomas Martinez</v>
      </c>
    </row>
    <row r="220" spans="1:24" x14ac:dyDescent="0.3">
      <c r="A220" t="s">
        <v>419</v>
      </c>
      <c r="B220" t="s">
        <v>416</v>
      </c>
      <c r="C220" t="s">
        <v>13</v>
      </c>
      <c r="D220" t="s">
        <v>98</v>
      </c>
      <c r="E220" t="s">
        <v>125</v>
      </c>
      <c r="F220">
        <v>3</v>
      </c>
      <c r="G220">
        <v>1201.4000000000001</v>
      </c>
      <c r="H220">
        <v>0</v>
      </c>
      <c r="I220" s="4">
        <v>3604.2</v>
      </c>
      <c r="J220" t="s">
        <v>16</v>
      </c>
      <c r="K220" t="s">
        <v>17</v>
      </c>
      <c r="L220" s="4">
        <f>VLOOKUP(tblTransactions[[#This Row],[Product_ID]],tblProducts[],5,FALSE)</f>
        <v>672.72</v>
      </c>
      <c r="M220" s="4">
        <f>tblTransactions[[#This Row],[Total_Amount]]-(tblTransactions[[#This Row],[Cost_Prices]]*tblTransactions[[#This Row],[Quantity]]*(1-tblTransactions[[#This Row],[Discount]]))</f>
        <v>1586.0399999999997</v>
      </c>
      <c r="N220" s="3">
        <f>tblTransactions[[#This Row],[Profit]]/tblTransactions[[#This Row],[Total_Amount]]</f>
        <v>0.44005327118361903</v>
      </c>
      <c r="O220" t="str">
        <f>TEXT(tblTransactions[[#This Row],[Date]], "MMM-YYYY")</f>
        <v>Feb-2023</v>
      </c>
      <c r="P220" t="str">
        <f>"Q"&amp;ROUNDUP(MONTH(tblTransactions[[#This Row],[Date]])/3,0)&amp;"-"&amp;YEAR(tblTransactions[[#This Row],[Date]])</f>
        <v>Q1-2023</v>
      </c>
      <c r="Q220">
        <f>YEAR(tblTransactions[[#This Row],[Date]])</f>
        <v>2023</v>
      </c>
      <c r="R220" t="str">
        <f>TEXT(tblTransactions[[#This Row],[Date]],"DDDD")</f>
        <v>Saturday</v>
      </c>
      <c r="S220">
        <f>MONTH(tblTransactions[[#This Row],[Date]])</f>
        <v>2</v>
      </c>
      <c r="T220" t="str">
        <f>VLOOKUP(E220, Products!$A:$B,2,0)</f>
        <v>Printers Tec-2</v>
      </c>
      <c r="U220" t="str">
        <f>VLOOKUP(E220,Products!$A:$C,3,0)</f>
        <v>Technology</v>
      </c>
      <c r="V220" t="str">
        <f>VLOOKUP(E220,Products!$A:$D,4,0)</f>
        <v>Printers</v>
      </c>
      <c r="W220" t="str">
        <f>VLOOKUP(D220,Customers!$A:$C,3,0)</f>
        <v>B2C</v>
      </c>
      <c r="X220" t="str">
        <f>VLOOKUP(C220,Sales_Representatives!$A:$B,2,0)</f>
        <v>Jennifer Rodriguez</v>
      </c>
    </row>
    <row r="221" spans="1:24" x14ac:dyDescent="0.3">
      <c r="A221" t="s">
        <v>420</v>
      </c>
      <c r="B221" t="s">
        <v>416</v>
      </c>
      <c r="C221" t="s">
        <v>70</v>
      </c>
      <c r="D221" t="s">
        <v>57</v>
      </c>
      <c r="E221" t="s">
        <v>116</v>
      </c>
      <c r="F221">
        <v>2</v>
      </c>
      <c r="G221">
        <v>232.86</v>
      </c>
      <c r="H221">
        <v>0.06</v>
      </c>
      <c r="I221" s="4">
        <v>437.78</v>
      </c>
      <c r="J221" t="s">
        <v>16</v>
      </c>
      <c r="K221" t="s">
        <v>17</v>
      </c>
      <c r="L221" s="4">
        <f>VLOOKUP(tblTransactions[[#This Row],[Product_ID]],tblProducts[],5,FALSE)</f>
        <v>116.79</v>
      </c>
      <c r="M221" s="4">
        <f>tblTransactions[[#This Row],[Total_Amount]]-(tblTransactions[[#This Row],[Cost_Prices]]*tblTransactions[[#This Row],[Quantity]]*(1-tblTransactions[[#This Row],[Discount]]))</f>
        <v>218.21479999999997</v>
      </c>
      <c r="N221" s="3">
        <f>tblTransactions[[#This Row],[Profit]]/tblTransactions[[#This Row],[Total_Amount]]</f>
        <v>0.4984576728036913</v>
      </c>
      <c r="O221" t="str">
        <f>TEXT(tblTransactions[[#This Row],[Date]], "MMM-YYYY")</f>
        <v>Feb-2023</v>
      </c>
      <c r="P221" t="str">
        <f>"Q"&amp;ROUNDUP(MONTH(tblTransactions[[#This Row],[Date]])/3,0)&amp;"-"&amp;YEAR(tblTransactions[[#This Row],[Date]])</f>
        <v>Q1-2023</v>
      </c>
      <c r="Q221">
        <f>YEAR(tblTransactions[[#This Row],[Date]])</f>
        <v>2023</v>
      </c>
      <c r="R221" t="str">
        <f>TEXT(tblTransactions[[#This Row],[Date]],"DDDD")</f>
        <v>Saturday</v>
      </c>
      <c r="S221">
        <f>MONTH(tblTransactions[[#This Row],[Date]])</f>
        <v>2</v>
      </c>
      <c r="T221" t="str">
        <f>VLOOKUP(E221, Products!$A:$B,2,0)</f>
        <v>Folders Off-4</v>
      </c>
      <c r="U221" t="str">
        <f>VLOOKUP(E221,Products!$A:$C,3,0)</f>
        <v>Office Supplies</v>
      </c>
      <c r="V221" t="str">
        <f>VLOOKUP(E221,Products!$A:$D,4,0)</f>
        <v>Folders</v>
      </c>
      <c r="W221" t="str">
        <f>VLOOKUP(D221,Customers!$A:$C,3,0)</f>
        <v>Small Business</v>
      </c>
      <c r="X221" t="str">
        <f>VLOOKUP(C221,Sales_Representatives!$A:$B,2,0)</f>
        <v>Linda Smith</v>
      </c>
    </row>
    <row r="222" spans="1:24" x14ac:dyDescent="0.3">
      <c r="A222" t="s">
        <v>421</v>
      </c>
      <c r="B222" t="s">
        <v>416</v>
      </c>
      <c r="C222" t="s">
        <v>127</v>
      </c>
      <c r="D222" t="s">
        <v>112</v>
      </c>
      <c r="E222" t="s">
        <v>299</v>
      </c>
      <c r="F222">
        <v>8</v>
      </c>
      <c r="G222">
        <v>963.44</v>
      </c>
      <c r="H222">
        <v>0.09</v>
      </c>
      <c r="I222" s="4">
        <v>7013.84</v>
      </c>
      <c r="J222" t="s">
        <v>109</v>
      </c>
      <c r="K222" t="s">
        <v>39</v>
      </c>
      <c r="L222" s="4">
        <f>VLOOKUP(tblTransactions[[#This Row],[Product_ID]],tblProducts[],5,FALSE)</f>
        <v>578.96</v>
      </c>
      <c r="M222" s="4">
        <f>tblTransactions[[#This Row],[Total_Amount]]-(tblTransactions[[#This Row],[Cost_Prices]]*tblTransactions[[#This Row],[Quantity]]*(1-tblTransactions[[#This Row],[Discount]]))</f>
        <v>2799.0111999999999</v>
      </c>
      <c r="N222" s="3">
        <f>tblTransactions[[#This Row],[Profit]]/tblTransactions[[#This Row],[Total_Amount]]</f>
        <v>0.39906972500085541</v>
      </c>
      <c r="O222" t="str">
        <f>TEXT(tblTransactions[[#This Row],[Date]], "MMM-YYYY")</f>
        <v>Feb-2023</v>
      </c>
      <c r="P222" t="str">
        <f>"Q"&amp;ROUNDUP(MONTH(tblTransactions[[#This Row],[Date]])/3,0)&amp;"-"&amp;YEAR(tblTransactions[[#This Row],[Date]])</f>
        <v>Q1-2023</v>
      </c>
      <c r="Q222">
        <f>YEAR(tblTransactions[[#This Row],[Date]])</f>
        <v>2023</v>
      </c>
      <c r="R222" t="str">
        <f>TEXT(tblTransactions[[#This Row],[Date]],"DDDD")</f>
        <v>Saturday</v>
      </c>
      <c r="S222">
        <f>MONTH(tblTransactions[[#This Row],[Date]])</f>
        <v>2</v>
      </c>
      <c r="T222" t="str">
        <f>VLOOKUP(E222, Products!$A:$B,2,0)</f>
        <v>Chairs Fur-4</v>
      </c>
      <c r="U222" t="str">
        <f>VLOOKUP(E222,Products!$A:$C,3,0)</f>
        <v>Furniture</v>
      </c>
      <c r="V222" t="str">
        <f>VLOOKUP(E222,Products!$A:$D,4,0)</f>
        <v>Chairs</v>
      </c>
      <c r="W222" t="str">
        <f>VLOOKUP(D222,Customers!$A:$C,3,0)</f>
        <v>Enterprise</v>
      </c>
      <c r="X222" t="str">
        <f>VLOOKUP(C222,Sales_Representatives!$A:$B,2,0)</f>
        <v>Emily Hernandez</v>
      </c>
    </row>
    <row r="223" spans="1:24" x14ac:dyDescent="0.3">
      <c r="A223" t="s">
        <v>422</v>
      </c>
      <c r="B223" t="s">
        <v>416</v>
      </c>
      <c r="C223" t="s">
        <v>75</v>
      </c>
      <c r="D223" t="s">
        <v>144</v>
      </c>
      <c r="E223" t="s">
        <v>25</v>
      </c>
      <c r="F223">
        <v>3</v>
      </c>
      <c r="G223">
        <v>1467.49</v>
      </c>
      <c r="H223">
        <v>0.1</v>
      </c>
      <c r="I223" s="4">
        <v>3962.22</v>
      </c>
      <c r="J223" t="s">
        <v>44</v>
      </c>
      <c r="K223" t="s">
        <v>39</v>
      </c>
      <c r="L223" s="4">
        <f>VLOOKUP(tblTransactions[[#This Row],[Product_ID]],tblProducts[],5,FALSE)</f>
        <v>757.65</v>
      </c>
      <c r="M223" s="4">
        <f>tblTransactions[[#This Row],[Total_Amount]]-(tblTransactions[[#This Row],[Cost_Prices]]*tblTransactions[[#This Row],[Quantity]]*(1-tblTransactions[[#This Row],[Discount]]))</f>
        <v>1916.5649999999998</v>
      </c>
      <c r="N223" s="3">
        <f>tblTransactions[[#This Row],[Profit]]/tblTransactions[[#This Row],[Total_Amount]]</f>
        <v>0.48370988991020186</v>
      </c>
      <c r="O223" t="str">
        <f>TEXT(tblTransactions[[#This Row],[Date]], "MMM-YYYY")</f>
        <v>Feb-2023</v>
      </c>
      <c r="P223" t="str">
        <f>"Q"&amp;ROUNDUP(MONTH(tblTransactions[[#This Row],[Date]])/3,0)&amp;"-"&amp;YEAR(tblTransactions[[#This Row],[Date]])</f>
        <v>Q1-2023</v>
      </c>
      <c r="Q223">
        <f>YEAR(tblTransactions[[#This Row],[Date]])</f>
        <v>2023</v>
      </c>
      <c r="R223" t="str">
        <f>TEXT(tblTransactions[[#This Row],[Date]],"DDDD")</f>
        <v>Saturday</v>
      </c>
      <c r="S223">
        <f>MONTH(tblTransactions[[#This Row],[Date]])</f>
        <v>2</v>
      </c>
      <c r="T223" t="str">
        <f>VLOOKUP(E223, Products!$A:$B,2,0)</f>
        <v>Tables Fur-3</v>
      </c>
      <c r="U223" t="str">
        <f>VLOOKUP(E223,Products!$A:$C,3,0)</f>
        <v>Furniture</v>
      </c>
      <c r="V223" t="str">
        <f>VLOOKUP(E223,Products!$A:$D,4,0)</f>
        <v>Tables</v>
      </c>
      <c r="W223" t="str">
        <f>VLOOKUP(D223,Customers!$A:$C,3,0)</f>
        <v>B2C</v>
      </c>
      <c r="X223" t="str">
        <f>VLOOKUP(C223,Sales_Representatives!$A:$B,2,0)</f>
        <v>Jessica Anderson</v>
      </c>
    </row>
    <row r="224" spans="1:24" x14ac:dyDescent="0.3">
      <c r="A224" t="s">
        <v>423</v>
      </c>
      <c r="B224" t="s">
        <v>424</v>
      </c>
      <c r="C224" t="s">
        <v>141</v>
      </c>
      <c r="D224" t="s">
        <v>210</v>
      </c>
      <c r="E224" t="s">
        <v>84</v>
      </c>
      <c r="F224">
        <v>9</v>
      </c>
      <c r="G224">
        <v>1841.77</v>
      </c>
      <c r="H224">
        <v>0.06</v>
      </c>
      <c r="I224" s="4">
        <v>15581.37</v>
      </c>
      <c r="J224" t="s">
        <v>109</v>
      </c>
      <c r="K224" t="s">
        <v>39</v>
      </c>
      <c r="L224" s="4">
        <f>VLOOKUP(tblTransactions[[#This Row],[Product_ID]],tblProducts[],5,FALSE)</f>
        <v>1151.5899999999999</v>
      </c>
      <c r="M224" s="4">
        <f>tblTransactions[[#This Row],[Total_Amount]]-(tblTransactions[[#This Row],[Cost_Prices]]*tblTransactions[[#This Row],[Quantity]]*(1-tblTransactions[[#This Row],[Discount]]))</f>
        <v>5838.9186000000027</v>
      </c>
      <c r="N224" s="3">
        <f>tblTransactions[[#This Row],[Profit]]/tblTransactions[[#This Row],[Total_Amount]]</f>
        <v>0.37473717651272015</v>
      </c>
      <c r="O224" t="str">
        <f>TEXT(tblTransactions[[#This Row],[Date]], "MMM-YYYY")</f>
        <v>Feb-2023</v>
      </c>
      <c r="P224" t="str">
        <f>"Q"&amp;ROUNDUP(MONTH(tblTransactions[[#This Row],[Date]])/3,0)&amp;"-"&amp;YEAR(tblTransactions[[#This Row],[Date]])</f>
        <v>Q1-2023</v>
      </c>
      <c r="Q224">
        <f>YEAR(tblTransactions[[#This Row],[Date]])</f>
        <v>2023</v>
      </c>
      <c r="R224" t="str">
        <f>TEXT(tblTransactions[[#This Row],[Date]],"DDDD")</f>
        <v>Sunday</v>
      </c>
      <c r="S224">
        <f>MONTH(tblTransactions[[#This Row],[Date]])</f>
        <v>2</v>
      </c>
      <c r="T224" t="str">
        <f>VLOOKUP(E224, Products!$A:$B,2,0)</f>
        <v>Laptops Ele-2</v>
      </c>
      <c r="U224" t="str">
        <f>VLOOKUP(E224,Products!$A:$C,3,0)</f>
        <v>Electronics</v>
      </c>
      <c r="V224" t="str">
        <f>VLOOKUP(E224,Products!$A:$D,4,0)</f>
        <v>Laptops</v>
      </c>
      <c r="W224" t="str">
        <f>VLOOKUP(D224,Customers!$A:$C,3,0)</f>
        <v>B2B</v>
      </c>
      <c r="X224" t="str">
        <f>VLOOKUP(C224,Sales_Representatives!$A:$B,2,0)</f>
        <v>Richard Garcia</v>
      </c>
    </row>
    <row r="225" spans="1:24" x14ac:dyDescent="0.3">
      <c r="A225" t="s">
        <v>425</v>
      </c>
      <c r="B225" t="s">
        <v>424</v>
      </c>
      <c r="C225" t="s">
        <v>31</v>
      </c>
      <c r="D225" t="s">
        <v>134</v>
      </c>
      <c r="E225" t="s">
        <v>283</v>
      </c>
      <c r="F225">
        <v>7</v>
      </c>
      <c r="G225">
        <v>456.88</v>
      </c>
      <c r="H225">
        <v>0.11</v>
      </c>
      <c r="I225" s="4">
        <v>2846.36</v>
      </c>
      <c r="J225" t="s">
        <v>34</v>
      </c>
      <c r="K225" t="s">
        <v>39</v>
      </c>
      <c r="L225" s="4">
        <f>VLOOKUP(tblTransactions[[#This Row],[Product_ID]],tblProducts[],5,FALSE)</f>
        <v>313.23</v>
      </c>
      <c r="M225" s="4">
        <f>tblTransactions[[#This Row],[Total_Amount]]-(tblTransactions[[#This Row],[Cost_Prices]]*tblTransactions[[#This Row],[Quantity]]*(1-tblTransactions[[#This Row],[Discount]]))</f>
        <v>894.93709999999987</v>
      </c>
      <c r="N225" s="3">
        <f>tblTransactions[[#This Row],[Profit]]/tblTransactions[[#This Row],[Total_Amount]]</f>
        <v>0.31441458564622882</v>
      </c>
      <c r="O225" t="str">
        <f>TEXT(tblTransactions[[#This Row],[Date]], "MMM-YYYY")</f>
        <v>Feb-2023</v>
      </c>
      <c r="P225" t="str">
        <f>"Q"&amp;ROUNDUP(MONTH(tblTransactions[[#This Row],[Date]])/3,0)&amp;"-"&amp;YEAR(tblTransactions[[#This Row],[Date]])</f>
        <v>Q1-2023</v>
      </c>
      <c r="Q225">
        <f>YEAR(tblTransactions[[#This Row],[Date]])</f>
        <v>2023</v>
      </c>
      <c r="R225" t="str">
        <f>TEXT(tblTransactions[[#This Row],[Date]],"DDDD")</f>
        <v>Sunday</v>
      </c>
      <c r="S225">
        <f>MONTH(tblTransactions[[#This Row],[Date]])</f>
        <v>2</v>
      </c>
      <c r="T225" t="str">
        <f>VLOOKUP(E225, Products!$A:$B,2,0)</f>
        <v>Chairs Fur-3</v>
      </c>
      <c r="U225" t="str">
        <f>VLOOKUP(E225,Products!$A:$C,3,0)</f>
        <v>Furniture</v>
      </c>
      <c r="V225" t="str">
        <f>VLOOKUP(E225,Products!$A:$D,4,0)</f>
        <v>Chairs</v>
      </c>
      <c r="W225" t="str">
        <f>VLOOKUP(D225,Customers!$A:$C,3,0)</f>
        <v>B2B</v>
      </c>
      <c r="X225" t="str">
        <f>VLOOKUP(C225,Sales_Representatives!$A:$B,2,0)</f>
        <v>Thomas Martinez</v>
      </c>
    </row>
    <row r="226" spans="1:24" x14ac:dyDescent="0.3">
      <c r="A226" t="s">
        <v>426</v>
      </c>
      <c r="B226" t="s">
        <v>424</v>
      </c>
      <c r="C226" t="s">
        <v>13</v>
      </c>
      <c r="D226" t="s">
        <v>203</v>
      </c>
      <c r="E226" t="s">
        <v>264</v>
      </c>
      <c r="F226">
        <v>29</v>
      </c>
      <c r="G226">
        <v>607.29999999999995</v>
      </c>
      <c r="H226">
        <v>0.17</v>
      </c>
      <c r="I226" s="4">
        <v>14617.71</v>
      </c>
      <c r="J226" t="s">
        <v>16</v>
      </c>
      <c r="K226" t="s">
        <v>17</v>
      </c>
      <c r="L226" s="4">
        <f>VLOOKUP(tblTransactions[[#This Row],[Product_ID]],tblProducts[],5,FALSE)</f>
        <v>436.37</v>
      </c>
      <c r="M226" s="4">
        <f>tblTransactions[[#This Row],[Total_Amount]]-(tblTransactions[[#This Row],[Cost_Prices]]*tblTransactions[[#This Row],[Quantity]]*(1-tblTransactions[[#This Row],[Discount]]))</f>
        <v>4114.2841000000008</v>
      </c>
      <c r="N226" s="3">
        <f>tblTransactions[[#This Row],[Profit]]/tblTransactions[[#This Row],[Total_Amount]]</f>
        <v>0.28145886736020903</v>
      </c>
      <c r="O226" t="str">
        <f>TEXT(tblTransactions[[#This Row],[Date]], "MMM-YYYY")</f>
        <v>Feb-2023</v>
      </c>
      <c r="P226" t="str">
        <f>"Q"&amp;ROUNDUP(MONTH(tblTransactions[[#This Row],[Date]])/3,0)&amp;"-"&amp;YEAR(tblTransactions[[#This Row],[Date]])</f>
        <v>Q1-2023</v>
      </c>
      <c r="Q226">
        <f>YEAR(tblTransactions[[#This Row],[Date]])</f>
        <v>2023</v>
      </c>
      <c r="R226" t="str">
        <f>TEXT(tblTransactions[[#This Row],[Date]],"DDDD")</f>
        <v>Sunday</v>
      </c>
      <c r="S226">
        <f>MONTH(tblTransactions[[#This Row],[Date]])</f>
        <v>2</v>
      </c>
      <c r="T226" t="str">
        <f>VLOOKUP(E226, Products!$A:$B,2,0)</f>
        <v>Tablets Ele-4</v>
      </c>
      <c r="U226" t="str">
        <f>VLOOKUP(E226,Products!$A:$C,3,0)</f>
        <v>Electronics</v>
      </c>
      <c r="V226" t="str">
        <f>VLOOKUP(E226,Products!$A:$D,4,0)</f>
        <v>Tablets</v>
      </c>
      <c r="W226" t="str">
        <f>VLOOKUP(D226,Customers!$A:$C,3,0)</f>
        <v>Enterprise</v>
      </c>
      <c r="X226" t="str">
        <f>VLOOKUP(C226,Sales_Representatives!$A:$B,2,0)</f>
        <v>Jennifer Rodriguez</v>
      </c>
    </row>
    <row r="227" spans="1:24" x14ac:dyDescent="0.3">
      <c r="A227" t="s">
        <v>427</v>
      </c>
      <c r="B227" t="s">
        <v>424</v>
      </c>
      <c r="C227" t="s">
        <v>31</v>
      </c>
      <c r="D227" t="s">
        <v>93</v>
      </c>
      <c r="E227" t="s">
        <v>29</v>
      </c>
      <c r="F227">
        <v>5</v>
      </c>
      <c r="G227">
        <v>1363.46</v>
      </c>
      <c r="H227">
        <v>0.09</v>
      </c>
      <c r="I227" s="4">
        <v>6203.74</v>
      </c>
      <c r="J227" t="s">
        <v>34</v>
      </c>
      <c r="K227" t="s">
        <v>39</v>
      </c>
      <c r="L227" s="4">
        <f>VLOOKUP(tblTransactions[[#This Row],[Product_ID]],tblProducts[],5,FALSE)</f>
        <v>995.41</v>
      </c>
      <c r="M227" s="4">
        <f>tblTransactions[[#This Row],[Total_Amount]]-(tblTransactions[[#This Row],[Cost_Prices]]*tblTransactions[[#This Row],[Quantity]]*(1-tblTransactions[[#This Row],[Discount]]))</f>
        <v>1674.6244999999999</v>
      </c>
      <c r="N227" s="3">
        <f>tblTransactions[[#This Row],[Profit]]/tblTransactions[[#This Row],[Total_Amount]]</f>
        <v>0.26993789230367488</v>
      </c>
      <c r="O227" t="str">
        <f>TEXT(tblTransactions[[#This Row],[Date]], "MMM-YYYY")</f>
        <v>Feb-2023</v>
      </c>
      <c r="P227" t="str">
        <f>"Q"&amp;ROUNDUP(MONTH(tblTransactions[[#This Row],[Date]])/3,0)&amp;"-"&amp;YEAR(tblTransactions[[#This Row],[Date]])</f>
        <v>Q1-2023</v>
      </c>
      <c r="Q227">
        <f>YEAR(tblTransactions[[#This Row],[Date]])</f>
        <v>2023</v>
      </c>
      <c r="R227" t="str">
        <f>TEXT(tblTransactions[[#This Row],[Date]],"DDDD")</f>
        <v>Sunday</v>
      </c>
      <c r="S227">
        <f>MONTH(tblTransactions[[#This Row],[Date]])</f>
        <v>2</v>
      </c>
      <c r="T227" t="str">
        <f>VLOOKUP(E227, Products!$A:$B,2,0)</f>
        <v>Phones Ele-3</v>
      </c>
      <c r="U227" t="str">
        <f>VLOOKUP(E227,Products!$A:$C,3,0)</f>
        <v>Electronics</v>
      </c>
      <c r="V227" t="str">
        <f>VLOOKUP(E227,Products!$A:$D,4,0)</f>
        <v>Phones</v>
      </c>
      <c r="W227" t="str">
        <f>VLOOKUP(D227,Customers!$A:$C,3,0)</f>
        <v>B2C</v>
      </c>
      <c r="X227" t="str">
        <f>VLOOKUP(C227,Sales_Representatives!$A:$B,2,0)</f>
        <v>Thomas Martinez</v>
      </c>
    </row>
    <row r="228" spans="1:24" x14ac:dyDescent="0.3">
      <c r="A228" t="s">
        <v>428</v>
      </c>
      <c r="B228" t="s">
        <v>429</v>
      </c>
      <c r="C228" t="s">
        <v>41</v>
      </c>
      <c r="D228" t="s">
        <v>164</v>
      </c>
      <c r="E228" t="s">
        <v>113</v>
      </c>
      <c r="F228">
        <v>5</v>
      </c>
      <c r="G228">
        <v>930.41</v>
      </c>
      <c r="H228">
        <v>7.0000000000000007E-2</v>
      </c>
      <c r="I228" s="4">
        <v>4326.41</v>
      </c>
      <c r="J228" t="s">
        <v>44</v>
      </c>
      <c r="K228" t="s">
        <v>35</v>
      </c>
      <c r="L228" s="4">
        <f>VLOOKUP(tblTransactions[[#This Row],[Product_ID]],tblProducts[],5,FALSE)</f>
        <v>595.51</v>
      </c>
      <c r="M228" s="4">
        <f>tblTransactions[[#This Row],[Total_Amount]]-(tblTransactions[[#This Row],[Cost_Prices]]*tblTransactions[[#This Row],[Quantity]]*(1-tblTransactions[[#This Row],[Discount]]))</f>
        <v>1557.2884999999997</v>
      </c>
      <c r="N228" s="3">
        <f>tblTransactions[[#This Row],[Profit]]/tblTransactions[[#This Row],[Total_Amount]]</f>
        <v>0.35994935755048635</v>
      </c>
      <c r="O228" t="str">
        <f>TEXT(tblTransactions[[#This Row],[Date]], "MMM-YYYY")</f>
        <v>Feb-2023</v>
      </c>
      <c r="P228" t="str">
        <f>"Q"&amp;ROUNDUP(MONTH(tblTransactions[[#This Row],[Date]])/3,0)&amp;"-"&amp;YEAR(tblTransactions[[#This Row],[Date]])</f>
        <v>Q1-2023</v>
      </c>
      <c r="Q228">
        <f>YEAR(tblTransactions[[#This Row],[Date]])</f>
        <v>2023</v>
      </c>
      <c r="R228" t="str">
        <f>TEXT(tblTransactions[[#This Row],[Date]],"DDDD")</f>
        <v>Monday</v>
      </c>
      <c r="S228">
        <f>MONTH(tblTransactions[[#This Row],[Date]])</f>
        <v>2</v>
      </c>
      <c r="T228" t="str">
        <f>VLOOKUP(E228, Products!$A:$B,2,0)</f>
        <v>Phones Ele-1</v>
      </c>
      <c r="U228" t="str">
        <f>VLOOKUP(E228,Products!$A:$C,3,0)</f>
        <v>Electronics</v>
      </c>
      <c r="V228" t="str">
        <f>VLOOKUP(E228,Products!$A:$D,4,0)</f>
        <v>Phones</v>
      </c>
      <c r="W228" t="str">
        <f>VLOOKUP(D228,Customers!$A:$C,3,0)</f>
        <v>Small Business</v>
      </c>
      <c r="X228" t="str">
        <f>VLOOKUP(C228,Sales_Representatives!$A:$B,2,0)</f>
        <v>Robert Jones</v>
      </c>
    </row>
    <row r="229" spans="1:24" x14ac:dyDescent="0.3">
      <c r="A229" t="s">
        <v>430</v>
      </c>
      <c r="B229" t="s">
        <v>429</v>
      </c>
      <c r="C229" t="s">
        <v>75</v>
      </c>
      <c r="D229" t="s">
        <v>60</v>
      </c>
      <c r="E229" t="s">
        <v>394</v>
      </c>
      <c r="F229">
        <v>7</v>
      </c>
      <c r="G229">
        <v>314.69</v>
      </c>
      <c r="H229">
        <v>0.15</v>
      </c>
      <c r="I229" s="4">
        <v>1872.41</v>
      </c>
      <c r="J229" t="s">
        <v>44</v>
      </c>
      <c r="K229" t="s">
        <v>39</v>
      </c>
      <c r="L229" s="4">
        <f>VLOOKUP(tblTransactions[[#This Row],[Product_ID]],tblProducts[],5,FALSE)</f>
        <v>185.43</v>
      </c>
      <c r="M229" s="4">
        <f>tblTransactions[[#This Row],[Total_Amount]]-(tblTransactions[[#This Row],[Cost_Prices]]*tblTransactions[[#This Row],[Quantity]]*(1-tblTransactions[[#This Row],[Discount]]))</f>
        <v>769.10150000000021</v>
      </c>
      <c r="N229" s="3">
        <f>tblTransactions[[#This Row],[Profit]]/tblTransactions[[#This Row],[Total_Amount]]</f>
        <v>0.41075485604114492</v>
      </c>
      <c r="O229" t="str">
        <f>TEXT(tblTransactions[[#This Row],[Date]], "MMM-YYYY")</f>
        <v>Feb-2023</v>
      </c>
      <c r="P229" t="str">
        <f>"Q"&amp;ROUNDUP(MONTH(tblTransactions[[#This Row],[Date]])/3,0)&amp;"-"&amp;YEAR(tblTransactions[[#This Row],[Date]])</f>
        <v>Q1-2023</v>
      </c>
      <c r="Q229">
        <f>YEAR(tblTransactions[[#This Row],[Date]])</f>
        <v>2023</v>
      </c>
      <c r="R229" t="str">
        <f>TEXT(tblTransactions[[#This Row],[Date]],"DDDD")</f>
        <v>Monday</v>
      </c>
      <c r="S229">
        <f>MONTH(tblTransactions[[#This Row],[Date]])</f>
        <v>2</v>
      </c>
      <c r="T229" t="str">
        <f>VLOOKUP(E229, Products!$A:$B,2,0)</f>
        <v>Desks Fur-1</v>
      </c>
      <c r="U229" t="str">
        <f>VLOOKUP(E229,Products!$A:$C,3,0)</f>
        <v>Furniture</v>
      </c>
      <c r="V229" t="str">
        <f>VLOOKUP(E229,Products!$A:$D,4,0)</f>
        <v>Desks</v>
      </c>
      <c r="W229" t="str">
        <f>VLOOKUP(D229,Customers!$A:$C,3,0)</f>
        <v>B2C</v>
      </c>
      <c r="X229" t="str">
        <f>VLOOKUP(C229,Sales_Representatives!$A:$B,2,0)</f>
        <v>Jessica Anderson</v>
      </c>
    </row>
    <row r="230" spans="1:24" x14ac:dyDescent="0.3">
      <c r="A230" t="s">
        <v>431</v>
      </c>
      <c r="B230" t="s">
        <v>429</v>
      </c>
      <c r="C230" t="s">
        <v>141</v>
      </c>
      <c r="D230" t="s">
        <v>212</v>
      </c>
      <c r="E230" t="s">
        <v>33</v>
      </c>
      <c r="F230">
        <v>5</v>
      </c>
      <c r="G230">
        <v>322.7</v>
      </c>
      <c r="H230">
        <v>0.02</v>
      </c>
      <c r="I230" s="4">
        <v>1581.23</v>
      </c>
      <c r="J230" t="s">
        <v>109</v>
      </c>
      <c r="K230" t="s">
        <v>48</v>
      </c>
      <c r="L230" s="4">
        <f>VLOOKUP(tblTransactions[[#This Row],[Product_ID]],tblProducts[],5,FALSE)</f>
        <v>139.81</v>
      </c>
      <c r="M230" s="4">
        <f>tblTransactions[[#This Row],[Total_Amount]]-(tblTransactions[[#This Row],[Cost_Prices]]*tblTransactions[[#This Row],[Quantity]]*(1-tblTransactions[[#This Row],[Discount]]))</f>
        <v>896.16100000000006</v>
      </c>
      <c r="N230" s="3">
        <f>tblTransactions[[#This Row],[Profit]]/tblTransactions[[#This Row],[Total_Amount]]</f>
        <v>0.56674930275797952</v>
      </c>
      <c r="O230" t="str">
        <f>TEXT(tblTransactions[[#This Row],[Date]], "MMM-YYYY")</f>
        <v>Feb-2023</v>
      </c>
      <c r="P230" t="str">
        <f>"Q"&amp;ROUNDUP(MONTH(tblTransactions[[#This Row],[Date]])/3,0)&amp;"-"&amp;YEAR(tblTransactions[[#This Row],[Date]])</f>
        <v>Q1-2023</v>
      </c>
      <c r="Q230">
        <f>YEAR(tblTransactions[[#This Row],[Date]])</f>
        <v>2023</v>
      </c>
      <c r="R230" t="str">
        <f>TEXT(tblTransactions[[#This Row],[Date]],"DDDD")</f>
        <v>Monday</v>
      </c>
      <c r="S230">
        <f>MONTH(tblTransactions[[#This Row],[Date]])</f>
        <v>2</v>
      </c>
      <c r="T230" t="str">
        <f>VLOOKUP(E230, Products!$A:$B,2,0)</f>
        <v>Adapters Acc-1</v>
      </c>
      <c r="U230" t="str">
        <f>VLOOKUP(E230,Products!$A:$C,3,0)</f>
        <v>Accessories</v>
      </c>
      <c r="V230" t="str">
        <f>VLOOKUP(E230,Products!$A:$D,4,0)</f>
        <v>Adapters</v>
      </c>
      <c r="W230" t="str">
        <f>VLOOKUP(D230,Customers!$A:$C,3,0)</f>
        <v>B2C</v>
      </c>
      <c r="X230" t="str">
        <f>VLOOKUP(C230,Sales_Representatives!$A:$B,2,0)</f>
        <v>Richard Garcia</v>
      </c>
    </row>
    <row r="231" spans="1:24" x14ac:dyDescent="0.3">
      <c r="A231" t="s">
        <v>432</v>
      </c>
      <c r="B231" t="s">
        <v>433</v>
      </c>
      <c r="C231" t="s">
        <v>41</v>
      </c>
      <c r="D231" t="s">
        <v>64</v>
      </c>
      <c r="E231" t="s">
        <v>299</v>
      </c>
      <c r="F231">
        <v>5</v>
      </c>
      <c r="G231">
        <v>963.44</v>
      </c>
      <c r="H231">
        <v>0.08</v>
      </c>
      <c r="I231" s="4">
        <v>4431.82</v>
      </c>
      <c r="J231" t="s">
        <v>44</v>
      </c>
      <c r="K231" t="s">
        <v>22</v>
      </c>
      <c r="L231" s="4">
        <f>VLOOKUP(tblTransactions[[#This Row],[Product_ID]],tblProducts[],5,FALSE)</f>
        <v>578.96</v>
      </c>
      <c r="M231" s="4">
        <f>tblTransactions[[#This Row],[Total_Amount]]-(tblTransactions[[#This Row],[Cost_Prices]]*tblTransactions[[#This Row],[Quantity]]*(1-tblTransactions[[#This Row],[Discount]]))</f>
        <v>1768.6039999999994</v>
      </c>
      <c r="N231" s="3">
        <f>tblTransactions[[#This Row],[Profit]]/tblTransactions[[#This Row],[Total_Amount]]</f>
        <v>0.39906945679201761</v>
      </c>
      <c r="O231" t="str">
        <f>TEXT(tblTransactions[[#This Row],[Date]], "MMM-YYYY")</f>
        <v>Feb-2023</v>
      </c>
      <c r="P231" t="str">
        <f>"Q"&amp;ROUNDUP(MONTH(tblTransactions[[#This Row],[Date]])/3,0)&amp;"-"&amp;YEAR(tblTransactions[[#This Row],[Date]])</f>
        <v>Q1-2023</v>
      </c>
      <c r="Q231">
        <f>YEAR(tblTransactions[[#This Row],[Date]])</f>
        <v>2023</v>
      </c>
      <c r="R231" t="str">
        <f>TEXT(tblTransactions[[#This Row],[Date]],"DDDD")</f>
        <v>Wednesday</v>
      </c>
      <c r="S231">
        <f>MONTH(tblTransactions[[#This Row],[Date]])</f>
        <v>2</v>
      </c>
      <c r="T231" t="str">
        <f>VLOOKUP(E231, Products!$A:$B,2,0)</f>
        <v>Chairs Fur-4</v>
      </c>
      <c r="U231" t="str">
        <f>VLOOKUP(E231,Products!$A:$C,3,0)</f>
        <v>Furniture</v>
      </c>
      <c r="V231" t="str">
        <f>VLOOKUP(E231,Products!$A:$D,4,0)</f>
        <v>Chairs</v>
      </c>
      <c r="W231" t="str">
        <f>VLOOKUP(D231,Customers!$A:$C,3,0)</f>
        <v>Small Business</v>
      </c>
      <c r="X231" t="str">
        <f>VLOOKUP(C231,Sales_Representatives!$A:$B,2,0)</f>
        <v>Robert Jones</v>
      </c>
    </row>
    <row r="232" spans="1:24" x14ac:dyDescent="0.3">
      <c r="A232" t="s">
        <v>434</v>
      </c>
      <c r="B232" t="s">
        <v>433</v>
      </c>
      <c r="C232" t="s">
        <v>13</v>
      </c>
      <c r="D232" t="s">
        <v>247</v>
      </c>
      <c r="E232" t="s">
        <v>435</v>
      </c>
      <c r="F232">
        <v>6</v>
      </c>
      <c r="G232">
        <v>198.72</v>
      </c>
      <c r="H232">
        <v>0.13</v>
      </c>
      <c r="I232" s="4">
        <v>1037.32</v>
      </c>
      <c r="J232" t="s">
        <v>16</v>
      </c>
      <c r="K232" t="s">
        <v>22</v>
      </c>
      <c r="L232" s="4">
        <f>VLOOKUP(tblTransactions[[#This Row],[Product_ID]],tblProducts[],5,FALSE)</f>
        <v>116.98</v>
      </c>
      <c r="M232" s="4">
        <f>tblTransactions[[#This Row],[Total_Amount]]-(tblTransactions[[#This Row],[Cost_Prices]]*tblTransactions[[#This Row],[Quantity]]*(1-tblTransactions[[#This Row],[Discount]]))</f>
        <v>426.68439999999998</v>
      </c>
      <c r="N232" s="3">
        <f>tblTransactions[[#This Row],[Profit]]/tblTransactions[[#This Row],[Total_Amount]]</f>
        <v>0.41133343616241858</v>
      </c>
      <c r="O232" t="str">
        <f>TEXT(tblTransactions[[#This Row],[Date]], "MMM-YYYY")</f>
        <v>Feb-2023</v>
      </c>
      <c r="P232" t="str">
        <f>"Q"&amp;ROUNDUP(MONTH(tblTransactions[[#This Row],[Date]])/3,0)&amp;"-"&amp;YEAR(tblTransactions[[#This Row],[Date]])</f>
        <v>Q1-2023</v>
      </c>
      <c r="Q232">
        <f>YEAR(tblTransactions[[#This Row],[Date]])</f>
        <v>2023</v>
      </c>
      <c r="R232" t="str">
        <f>TEXT(tblTransactions[[#This Row],[Date]],"DDDD")</f>
        <v>Wednesday</v>
      </c>
      <c r="S232">
        <f>MONTH(tblTransactions[[#This Row],[Date]])</f>
        <v>2</v>
      </c>
      <c r="T232" t="str">
        <f>VLOOKUP(E232, Products!$A:$B,2,0)</f>
        <v>Paper Off-4</v>
      </c>
      <c r="U232" t="str">
        <f>VLOOKUP(E232,Products!$A:$C,3,0)</f>
        <v>Office Supplies</v>
      </c>
      <c r="V232" t="str">
        <f>VLOOKUP(E232,Products!$A:$D,4,0)</f>
        <v>Paper</v>
      </c>
      <c r="W232" t="str">
        <f>VLOOKUP(D232,Customers!$A:$C,3,0)</f>
        <v>B2C</v>
      </c>
      <c r="X232" t="str">
        <f>VLOOKUP(C232,Sales_Representatives!$A:$B,2,0)</f>
        <v>Jennifer Rodriguez</v>
      </c>
    </row>
    <row r="233" spans="1:24" x14ac:dyDescent="0.3">
      <c r="A233" t="s">
        <v>436</v>
      </c>
      <c r="B233" t="s">
        <v>433</v>
      </c>
      <c r="C233" t="s">
        <v>127</v>
      </c>
      <c r="D233" t="s">
        <v>144</v>
      </c>
      <c r="E233" t="s">
        <v>310</v>
      </c>
      <c r="F233">
        <v>5</v>
      </c>
      <c r="G233">
        <v>274.13</v>
      </c>
      <c r="H233">
        <v>0.03</v>
      </c>
      <c r="I233" s="4">
        <v>1329.53</v>
      </c>
      <c r="J233" t="s">
        <v>109</v>
      </c>
      <c r="K233" t="s">
        <v>39</v>
      </c>
      <c r="L233" s="4">
        <f>VLOOKUP(tblTransactions[[#This Row],[Product_ID]],tblProducts[],5,FALSE)</f>
        <v>134.41999999999999</v>
      </c>
      <c r="M233" s="4">
        <f>tblTransactions[[#This Row],[Total_Amount]]-(tblTransactions[[#This Row],[Cost_Prices]]*tblTransactions[[#This Row],[Quantity]]*(1-tblTransactions[[#This Row],[Discount]]))</f>
        <v>677.59300000000007</v>
      </c>
      <c r="N233" s="3">
        <f>tblTransactions[[#This Row],[Profit]]/tblTransactions[[#This Row],[Total_Amount]]</f>
        <v>0.50964852241017511</v>
      </c>
      <c r="O233" t="str">
        <f>TEXT(tblTransactions[[#This Row],[Date]], "MMM-YYYY")</f>
        <v>Feb-2023</v>
      </c>
      <c r="P233" t="str">
        <f>"Q"&amp;ROUNDUP(MONTH(tblTransactions[[#This Row],[Date]])/3,0)&amp;"-"&amp;YEAR(tblTransactions[[#This Row],[Date]])</f>
        <v>Q1-2023</v>
      </c>
      <c r="Q233">
        <f>YEAR(tblTransactions[[#This Row],[Date]])</f>
        <v>2023</v>
      </c>
      <c r="R233" t="str">
        <f>TEXT(tblTransactions[[#This Row],[Date]],"DDDD")</f>
        <v>Wednesday</v>
      </c>
      <c r="S233">
        <f>MONTH(tblTransactions[[#This Row],[Date]])</f>
        <v>2</v>
      </c>
      <c r="T233" t="str">
        <f>VLOOKUP(E233, Products!$A:$B,2,0)</f>
        <v>Adapters Acc-4</v>
      </c>
      <c r="U233" t="str">
        <f>VLOOKUP(E233,Products!$A:$C,3,0)</f>
        <v>Accessories</v>
      </c>
      <c r="V233" t="str">
        <f>VLOOKUP(E233,Products!$A:$D,4,0)</f>
        <v>Adapters</v>
      </c>
      <c r="W233" t="str">
        <f>VLOOKUP(D233,Customers!$A:$C,3,0)</f>
        <v>B2C</v>
      </c>
      <c r="X233" t="str">
        <f>VLOOKUP(C233,Sales_Representatives!$A:$B,2,0)</f>
        <v>Emily Hernandez</v>
      </c>
    </row>
    <row r="234" spans="1:24" x14ac:dyDescent="0.3">
      <c r="A234" t="s">
        <v>437</v>
      </c>
      <c r="B234" t="s">
        <v>433</v>
      </c>
      <c r="C234" t="s">
        <v>27</v>
      </c>
      <c r="D234" t="s">
        <v>203</v>
      </c>
      <c r="E234" t="s">
        <v>394</v>
      </c>
      <c r="F234">
        <v>20</v>
      </c>
      <c r="G234">
        <v>314.69</v>
      </c>
      <c r="H234">
        <v>0.13</v>
      </c>
      <c r="I234" s="4">
        <v>5475.61</v>
      </c>
      <c r="J234" t="s">
        <v>16</v>
      </c>
      <c r="K234" t="s">
        <v>22</v>
      </c>
      <c r="L234" s="4">
        <f>VLOOKUP(tblTransactions[[#This Row],[Product_ID]],tblProducts[],5,FALSE)</f>
        <v>185.43</v>
      </c>
      <c r="M234" s="4">
        <f>tblTransactions[[#This Row],[Total_Amount]]-(tblTransactions[[#This Row],[Cost_Prices]]*tblTransactions[[#This Row],[Quantity]]*(1-tblTransactions[[#This Row],[Discount]]))</f>
        <v>2249.1279999999992</v>
      </c>
      <c r="N234" s="3">
        <f>tblTransactions[[#This Row],[Profit]]/tblTransactions[[#This Row],[Total_Amount]]</f>
        <v>0.41075387034503907</v>
      </c>
      <c r="O234" t="str">
        <f>TEXT(tblTransactions[[#This Row],[Date]], "MMM-YYYY")</f>
        <v>Feb-2023</v>
      </c>
      <c r="P234" t="str">
        <f>"Q"&amp;ROUNDUP(MONTH(tblTransactions[[#This Row],[Date]])/3,0)&amp;"-"&amp;YEAR(tblTransactions[[#This Row],[Date]])</f>
        <v>Q1-2023</v>
      </c>
      <c r="Q234">
        <f>YEAR(tblTransactions[[#This Row],[Date]])</f>
        <v>2023</v>
      </c>
      <c r="R234" t="str">
        <f>TEXT(tblTransactions[[#This Row],[Date]],"DDDD")</f>
        <v>Wednesday</v>
      </c>
      <c r="S234">
        <f>MONTH(tblTransactions[[#This Row],[Date]])</f>
        <v>2</v>
      </c>
      <c r="T234" t="str">
        <f>VLOOKUP(E234, Products!$A:$B,2,0)</f>
        <v>Desks Fur-1</v>
      </c>
      <c r="U234" t="str">
        <f>VLOOKUP(E234,Products!$A:$C,3,0)</f>
        <v>Furniture</v>
      </c>
      <c r="V234" t="str">
        <f>VLOOKUP(E234,Products!$A:$D,4,0)</f>
        <v>Desks</v>
      </c>
      <c r="W234" t="str">
        <f>VLOOKUP(D234,Customers!$A:$C,3,0)</f>
        <v>Enterprise</v>
      </c>
      <c r="X234" t="str">
        <f>VLOOKUP(C234,Sales_Representatives!$A:$B,2,0)</f>
        <v>Thomas Lopez</v>
      </c>
    </row>
    <row r="235" spans="1:24" x14ac:dyDescent="0.3">
      <c r="A235" t="s">
        <v>438</v>
      </c>
      <c r="B235" t="s">
        <v>433</v>
      </c>
      <c r="C235" t="s">
        <v>70</v>
      </c>
      <c r="D235" t="s">
        <v>60</v>
      </c>
      <c r="E235" t="s">
        <v>77</v>
      </c>
      <c r="F235">
        <v>4</v>
      </c>
      <c r="G235">
        <v>236.82</v>
      </c>
      <c r="H235">
        <v>0.04</v>
      </c>
      <c r="I235" s="4">
        <v>909.39</v>
      </c>
      <c r="J235" t="s">
        <v>16</v>
      </c>
      <c r="K235" t="s">
        <v>22</v>
      </c>
      <c r="L235" s="4">
        <f>VLOOKUP(tblTransactions[[#This Row],[Product_ID]],tblProducts[],5,FALSE)</f>
        <v>110.79</v>
      </c>
      <c r="M235" s="4">
        <f>tblTransactions[[#This Row],[Total_Amount]]-(tblTransactions[[#This Row],[Cost_Prices]]*tblTransactions[[#This Row],[Quantity]]*(1-tblTransactions[[#This Row],[Discount]]))</f>
        <v>483.95639999999997</v>
      </c>
      <c r="N235" s="3">
        <f>tblTransactions[[#This Row],[Profit]]/tblTransactions[[#This Row],[Total_Amount]]</f>
        <v>0.53217695378220564</v>
      </c>
      <c r="O235" t="str">
        <f>TEXT(tblTransactions[[#This Row],[Date]], "MMM-YYYY")</f>
        <v>Feb-2023</v>
      </c>
      <c r="P235" t="str">
        <f>"Q"&amp;ROUNDUP(MONTH(tblTransactions[[#This Row],[Date]])/3,0)&amp;"-"&amp;YEAR(tblTransactions[[#This Row],[Date]])</f>
        <v>Q1-2023</v>
      </c>
      <c r="Q235">
        <f>YEAR(tblTransactions[[#This Row],[Date]])</f>
        <v>2023</v>
      </c>
      <c r="R235" t="str">
        <f>TEXT(tblTransactions[[#This Row],[Date]],"DDDD")</f>
        <v>Wednesday</v>
      </c>
      <c r="S235">
        <f>MONTH(tblTransactions[[#This Row],[Date]])</f>
        <v>2</v>
      </c>
      <c r="T235" t="str">
        <f>VLOOKUP(E235, Products!$A:$B,2,0)</f>
        <v>Binders Off-4</v>
      </c>
      <c r="U235" t="str">
        <f>VLOOKUP(E235,Products!$A:$C,3,0)</f>
        <v>Office Supplies</v>
      </c>
      <c r="V235" t="str">
        <f>VLOOKUP(E235,Products!$A:$D,4,0)</f>
        <v>Binders</v>
      </c>
      <c r="W235" t="str">
        <f>VLOOKUP(D235,Customers!$A:$C,3,0)</f>
        <v>B2C</v>
      </c>
      <c r="X235" t="str">
        <f>VLOOKUP(C235,Sales_Representatives!$A:$B,2,0)</f>
        <v>Linda Smith</v>
      </c>
    </row>
    <row r="236" spans="1:24" x14ac:dyDescent="0.3">
      <c r="A236" t="s">
        <v>439</v>
      </c>
      <c r="B236" t="s">
        <v>440</v>
      </c>
      <c r="C236" t="s">
        <v>141</v>
      </c>
      <c r="D236" t="s">
        <v>118</v>
      </c>
      <c r="E236" t="s">
        <v>89</v>
      </c>
      <c r="F236">
        <v>1</v>
      </c>
      <c r="G236">
        <v>555.08000000000004</v>
      </c>
      <c r="H236">
        <v>0.02</v>
      </c>
      <c r="I236" s="4">
        <v>543.98</v>
      </c>
      <c r="J236" t="s">
        <v>109</v>
      </c>
      <c r="K236" t="s">
        <v>17</v>
      </c>
      <c r="L236" s="4">
        <f>VLOOKUP(tblTransactions[[#This Row],[Product_ID]],tblProducts[],5,FALSE)</f>
        <v>402.82</v>
      </c>
      <c r="M236" s="4">
        <f>tblTransactions[[#This Row],[Total_Amount]]-(tblTransactions[[#This Row],[Cost_Prices]]*tblTransactions[[#This Row],[Quantity]]*(1-tblTransactions[[#This Row],[Discount]]))</f>
        <v>149.21640000000002</v>
      </c>
      <c r="N236" s="3">
        <f>tblTransactions[[#This Row],[Profit]]/tblTransactions[[#This Row],[Total_Amount]]</f>
        <v>0.27430493768153241</v>
      </c>
      <c r="O236" t="str">
        <f>TEXT(tblTransactions[[#This Row],[Date]], "MMM-YYYY")</f>
        <v>Feb-2023</v>
      </c>
      <c r="P236" t="str">
        <f>"Q"&amp;ROUNDUP(MONTH(tblTransactions[[#This Row],[Date]])/3,0)&amp;"-"&amp;YEAR(tblTransactions[[#This Row],[Date]])</f>
        <v>Q1-2023</v>
      </c>
      <c r="Q236">
        <f>YEAR(tblTransactions[[#This Row],[Date]])</f>
        <v>2023</v>
      </c>
      <c r="R236" t="str">
        <f>TEXT(tblTransactions[[#This Row],[Date]],"DDDD")</f>
        <v>Thursday</v>
      </c>
      <c r="S236">
        <f>MONTH(tblTransactions[[#This Row],[Date]])</f>
        <v>2</v>
      </c>
      <c r="T236" t="str">
        <f>VLOOKUP(E236, Products!$A:$B,2,0)</f>
        <v>Laptops Ele-3</v>
      </c>
      <c r="U236" t="str">
        <f>VLOOKUP(E236,Products!$A:$C,3,0)</f>
        <v>Electronics</v>
      </c>
      <c r="V236" t="str">
        <f>VLOOKUP(E236,Products!$A:$D,4,0)</f>
        <v>Laptops</v>
      </c>
      <c r="W236" t="str">
        <f>VLOOKUP(D236,Customers!$A:$C,3,0)</f>
        <v>B2C</v>
      </c>
      <c r="X236" t="str">
        <f>VLOOKUP(C236,Sales_Representatives!$A:$B,2,0)</f>
        <v>Richard Garcia</v>
      </c>
    </row>
    <row r="237" spans="1:24" x14ac:dyDescent="0.3">
      <c r="A237" t="s">
        <v>441</v>
      </c>
      <c r="B237" t="s">
        <v>440</v>
      </c>
      <c r="C237" t="s">
        <v>19</v>
      </c>
      <c r="D237" t="s">
        <v>212</v>
      </c>
      <c r="E237" t="s">
        <v>283</v>
      </c>
      <c r="F237">
        <v>7</v>
      </c>
      <c r="G237">
        <v>456.88</v>
      </c>
      <c r="H237">
        <v>0.08</v>
      </c>
      <c r="I237" s="4">
        <v>2942.31</v>
      </c>
      <c r="J237" t="s">
        <v>21</v>
      </c>
      <c r="K237" t="s">
        <v>39</v>
      </c>
      <c r="L237" s="4">
        <f>VLOOKUP(tblTransactions[[#This Row],[Product_ID]],tblProducts[],5,FALSE)</f>
        <v>313.23</v>
      </c>
      <c r="M237" s="4">
        <f>tblTransactions[[#This Row],[Total_Amount]]-(tblTransactions[[#This Row],[Cost_Prices]]*tblTransactions[[#This Row],[Quantity]]*(1-tblTransactions[[#This Row],[Discount]]))</f>
        <v>925.10879999999975</v>
      </c>
      <c r="N237" s="3">
        <f>tblTransactions[[#This Row],[Profit]]/tblTransactions[[#This Row],[Total_Amount]]</f>
        <v>0.31441581614445785</v>
      </c>
      <c r="O237" t="str">
        <f>TEXT(tblTransactions[[#This Row],[Date]], "MMM-YYYY")</f>
        <v>Feb-2023</v>
      </c>
      <c r="P237" t="str">
        <f>"Q"&amp;ROUNDUP(MONTH(tblTransactions[[#This Row],[Date]])/3,0)&amp;"-"&amp;YEAR(tblTransactions[[#This Row],[Date]])</f>
        <v>Q1-2023</v>
      </c>
      <c r="Q237">
        <f>YEAR(tblTransactions[[#This Row],[Date]])</f>
        <v>2023</v>
      </c>
      <c r="R237" t="str">
        <f>TEXT(tblTransactions[[#This Row],[Date]],"DDDD")</f>
        <v>Thursday</v>
      </c>
      <c r="S237">
        <f>MONTH(tblTransactions[[#This Row],[Date]])</f>
        <v>2</v>
      </c>
      <c r="T237" t="str">
        <f>VLOOKUP(E237, Products!$A:$B,2,0)</f>
        <v>Chairs Fur-3</v>
      </c>
      <c r="U237" t="str">
        <f>VLOOKUP(E237,Products!$A:$C,3,0)</f>
        <v>Furniture</v>
      </c>
      <c r="V237" t="str">
        <f>VLOOKUP(E237,Products!$A:$D,4,0)</f>
        <v>Chairs</v>
      </c>
      <c r="W237" t="str">
        <f>VLOOKUP(D237,Customers!$A:$C,3,0)</f>
        <v>B2C</v>
      </c>
      <c r="X237" t="str">
        <f>VLOOKUP(C237,Sales_Representatives!$A:$B,2,0)</f>
        <v>Robert Jones</v>
      </c>
    </row>
    <row r="238" spans="1:24" x14ac:dyDescent="0.3">
      <c r="A238" t="s">
        <v>442</v>
      </c>
      <c r="B238" t="s">
        <v>440</v>
      </c>
      <c r="C238" t="s">
        <v>41</v>
      </c>
      <c r="D238" t="s">
        <v>351</v>
      </c>
      <c r="E238" t="s">
        <v>152</v>
      </c>
      <c r="F238">
        <v>7</v>
      </c>
      <c r="G238">
        <v>859.93</v>
      </c>
      <c r="H238">
        <v>0.12</v>
      </c>
      <c r="I238" s="4">
        <v>5297.17</v>
      </c>
      <c r="J238" t="s">
        <v>44</v>
      </c>
      <c r="K238" t="s">
        <v>35</v>
      </c>
      <c r="L238" s="4">
        <f>VLOOKUP(tblTransactions[[#This Row],[Product_ID]],tblProducts[],5,FALSE)</f>
        <v>579.79</v>
      </c>
      <c r="M238" s="4">
        <f>tblTransactions[[#This Row],[Total_Amount]]-(tblTransactions[[#This Row],[Cost_Prices]]*tblTransactions[[#This Row],[Quantity]]*(1-tblTransactions[[#This Row],[Discount]]))</f>
        <v>1725.6636000000003</v>
      </c>
      <c r="N238" s="3">
        <f>tblTransactions[[#This Row],[Profit]]/tblTransactions[[#This Row],[Total_Amount]]</f>
        <v>0.32577085500370956</v>
      </c>
      <c r="O238" t="str">
        <f>TEXT(tblTransactions[[#This Row],[Date]], "MMM-YYYY")</f>
        <v>Feb-2023</v>
      </c>
      <c r="P238" t="str">
        <f>"Q"&amp;ROUNDUP(MONTH(tblTransactions[[#This Row],[Date]])/3,0)&amp;"-"&amp;YEAR(tblTransactions[[#This Row],[Date]])</f>
        <v>Q1-2023</v>
      </c>
      <c r="Q238">
        <f>YEAR(tblTransactions[[#This Row],[Date]])</f>
        <v>2023</v>
      </c>
      <c r="R238" t="str">
        <f>TEXT(tblTransactions[[#This Row],[Date]],"DDDD")</f>
        <v>Thursday</v>
      </c>
      <c r="S238">
        <f>MONTH(tblTransactions[[#This Row],[Date]])</f>
        <v>2</v>
      </c>
      <c r="T238" t="str">
        <f>VLOOKUP(E238, Products!$A:$B,2,0)</f>
        <v>Phones Ele-4</v>
      </c>
      <c r="U238" t="str">
        <f>VLOOKUP(E238,Products!$A:$C,3,0)</f>
        <v>Electronics</v>
      </c>
      <c r="V238" t="str">
        <f>VLOOKUP(E238,Products!$A:$D,4,0)</f>
        <v>Phones</v>
      </c>
      <c r="W238" t="str">
        <f>VLOOKUP(D238,Customers!$A:$C,3,0)</f>
        <v>B2C</v>
      </c>
      <c r="X238" t="str">
        <f>VLOOKUP(C238,Sales_Representatives!$A:$B,2,0)</f>
        <v>Robert Jones</v>
      </c>
    </row>
    <row r="239" spans="1:24" x14ac:dyDescent="0.3">
      <c r="A239" t="s">
        <v>443</v>
      </c>
      <c r="B239" t="s">
        <v>440</v>
      </c>
      <c r="C239" t="s">
        <v>107</v>
      </c>
      <c r="D239" t="s">
        <v>144</v>
      </c>
      <c r="E239" t="s">
        <v>89</v>
      </c>
      <c r="F239">
        <v>7</v>
      </c>
      <c r="G239">
        <v>555.08000000000004</v>
      </c>
      <c r="H239">
        <v>0.14000000000000001</v>
      </c>
      <c r="I239" s="4">
        <v>3341.58</v>
      </c>
      <c r="J239" t="s">
        <v>109</v>
      </c>
      <c r="K239" t="s">
        <v>22</v>
      </c>
      <c r="L239" s="4">
        <f>VLOOKUP(tblTransactions[[#This Row],[Product_ID]],tblProducts[],5,FALSE)</f>
        <v>402.82</v>
      </c>
      <c r="M239" s="4">
        <f>tblTransactions[[#This Row],[Total_Amount]]-(tblTransactions[[#This Row],[Cost_Prices]]*tblTransactions[[#This Row],[Quantity]]*(1-tblTransactions[[#This Row],[Discount]]))</f>
        <v>916.60360000000037</v>
      </c>
      <c r="N239" s="3">
        <f>tblTransactions[[#This Row],[Profit]]/tblTransactions[[#This Row],[Total_Amount]]</f>
        <v>0.2743024557245376</v>
      </c>
      <c r="O239" t="str">
        <f>TEXT(tblTransactions[[#This Row],[Date]], "MMM-YYYY")</f>
        <v>Feb-2023</v>
      </c>
      <c r="P239" t="str">
        <f>"Q"&amp;ROUNDUP(MONTH(tblTransactions[[#This Row],[Date]])/3,0)&amp;"-"&amp;YEAR(tblTransactions[[#This Row],[Date]])</f>
        <v>Q1-2023</v>
      </c>
      <c r="Q239">
        <f>YEAR(tblTransactions[[#This Row],[Date]])</f>
        <v>2023</v>
      </c>
      <c r="R239" t="str">
        <f>TEXT(tblTransactions[[#This Row],[Date]],"DDDD")</f>
        <v>Thursday</v>
      </c>
      <c r="S239">
        <f>MONTH(tblTransactions[[#This Row],[Date]])</f>
        <v>2</v>
      </c>
      <c r="T239" t="str">
        <f>VLOOKUP(E239, Products!$A:$B,2,0)</f>
        <v>Laptops Ele-3</v>
      </c>
      <c r="U239" t="str">
        <f>VLOOKUP(E239,Products!$A:$C,3,0)</f>
        <v>Electronics</v>
      </c>
      <c r="V239" t="str">
        <f>VLOOKUP(E239,Products!$A:$D,4,0)</f>
        <v>Laptops</v>
      </c>
      <c r="W239" t="str">
        <f>VLOOKUP(D239,Customers!$A:$C,3,0)</f>
        <v>B2C</v>
      </c>
      <c r="X239" t="str">
        <f>VLOOKUP(C239,Sales_Representatives!$A:$B,2,0)</f>
        <v>Jennifer Brown</v>
      </c>
    </row>
    <row r="240" spans="1:24" x14ac:dyDescent="0.3">
      <c r="A240" t="s">
        <v>444</v>
      </c>
      <c r="B240" t="s">
        <v>445</v>
      </c>
      <c r="C240" t="s">
        <v>82</v>
      </c>
      <c r="D240" t="s">
        <v>216</v>
      </c>
      <c r="E240" t="s">
        <v>217</v>
      </c>
      <c r="F240">
        <v>4</v>
      </c>
      <c r="G240">
        <v>145.51</v>
      </c>
      <c r="H240">
        <v>0.02</v>
      </c>
      <c r="I240" s="4">
        <v>570.4</v>
      </c>
      <c r="J240" t="s">
        <v>34</v>
      </c>
      <c r="K240" t="s">
        <v>39</v>
      </c>
      <c r="L240" s="4">
        <f>VLOOKUP(tblTransactions[[#This Row],[Product_ID]],tblProducts[],5,FALSE)</f>
        <v>64.510000000000005</v>
      </c>
      <c r="M240" s="4">
        <f>tblTransactions[[#This Row],[Total_Amount]]-(tblTransactions[[#This Row],[Cost_Prices]]*tblTransactions[[#This Row],[Quantity]]*(1-tblTransactions[[#This Row],[Discount]]))</f>
        <v>317.52079999999995</v>
      </c>
      <c r="N240" s="3">
        <f>tblTransactions[[#This Row],[Profit]]/tblTransactions[[#This Row],[Total_Amount]]</f>
        <v>0.5566633941093968</v>
      </c>
      <c r="O240" t="str">
        <f>TEXT(tblTransactions[[#This Row],[Date]], "MMM-YYYY")</f>
        <v>Feb-2023</v>
      </c>
      <c r="P240" t="str">
        <f>"Q"&amp;ROUNDUP(MONTH(tblTransactions[[#This Row],[Date]])/3,0)&amp;"-"&amp;YEAR(tblTransactions[[#This Row],[Date]])</f>
        <v>Q1-2023</v>
      </c>
      <c r="Q240">
        <f>YEAR(tblTransactions[[#This Row],[Date]])</f>
        <v>2023</v>
      </c>
      <c r="R240" t="str">
        <f>TEXT(tblTransactions[[#This Row],[Date]],"DDDD")</f>
        <v>Friday</v>
      </c>
      <c r="S240">
        <f>MONTH(tblTransactions[[#This Row],[Date]])</f>
        <v>2</v>
      </c>
      <c r="T240" t="str">
        <f>VLOOKUP(E240, Products!$A:$B,2,0)</f>
        <v>Cables Acc-2</v>
      </c>
      <c r="U240" t="str">
        <f>VLOOKUP(E240,Products!$A:$C,3,0)</f>
        <v>Accessories</v>
      </c>
      <c r="V240" t="str">
        <f>VLOOKUP(E240,Products!$A:$D,4,0)</f>
        <v>Cables</v>
      </c>
      <c r="W240" t="str">
        <f>VLOOKUP(D240,Customers!$A:$C,3,0)</f>
        <v>Small Business</v>
      </c>
      <c r="X240" t="str">
        <f>VLOOKUP(C240,Sales_Representatives!$A:$B,2,0)</f>
        <v>John Brown</v>
      </c>
    </row>
    <row r="241" spans="1:24" x14ac:dyDescent="0.3">
      <c r="A241" t="s">
        <v>446</v>
      </c>
      <c r="B241" t="s">
        <v>445</v>
      </c>
      <c r="C241" t="s">
        <v>70</v>
      </c>
      <c r="D241" t="s">
        <v>212</v>
      </c>
      <c r="E241" t="s">
        <v>324</v>
      </c>
      <c r="F241">
        <v>1</v>
      </c>
      <c r="G241">
        <v>245.76</v>
      </c>
      <c r="H241">
        <v>0.08</v>
      </c>
      <c r="I241" s="4">
        <v>226.1</v>
      </c>
      <c r="J241" t="s">
        <v>16</v>
      </c>
      <c r="K241" t="s">
        <v>17</v>
      </c>
      <c r="L241" s="4">
        <f>VLOOKUP(tblTransactions[[#This Row],[Product_ID]],tblProducts[],5,FALSE)</f>
        <v>161.94</v>
      </c>
      <c r="M241" s="4">
        <f>tblTransactions[[#This Row],[Total_Amount]]-(tblTransactions[[#This Row],[Cost_Prices]]*tblTransactions[[#This Row],[Quantity]]*(1-tblTransactions[[#This Row],[Discount]]))</f>
        <v>77.115199999999987</v>
      </c>
      <c r="N241" s="3">
        <f>tblTransactions[[#This Row],[Profit]]/tblTransactions[[#This Row],[Total_Amount]]</f>
        <v>0.34106678460858025</v>
      </c>
      <c r="O241" t="str">
        <f>TEXT(tblTransactions[[#This Row],[Date]], "MMM-YYYY")</f>
        <v>Feb-2023</v>
      </c>
      <c r="P241" t="str">
        <f>"Q"&amp;ROUNDUP(MONTH(tblTransactions[[#This Row],[Date]])/3,0)&amp;"-"&amp;YEAR(tblTransactions[[#This Row],[Date]])</f>
        <v>Q1-2023</v>
      </c>
      <c r="Q241">
        <f>YEAR(tblTransactions[[#This Row],[Date]])</f>
        <v>2023</v>
      </c>
      <c r="R241" t="str">
        <f>TEXT(tblTransactions[[#This Row],[Date]],"DDDD")</f>
        <v>Friday</v>
      </c>
      <c r="S241">
        <f>MONTH(tblTransactions[[#This Row],[Date]])</f>
        <v>2</v>
      </c>
      <c r="T241" t="str">
        <f>VLOOKUP(E241, Products!$A:$B,2,0)</f>
        <v>Storage Fur-1</v>
      </c>
      <c r="U241" t="str">
        <f>VLOOKUP(E241,Products!$A:$C,3,0)</f>
        <v>Furniture</v>
      </c>
      <c r="V241" t="str">
        <f>VLOOKUP(E241,Products!$A:$D,4,0)</f>
        <v>Storage</v>
      </c>
      <c r="W241" t="str">
        <f>VLOOKUP(D241,Customers!$A:$C,3,0)</f>
        <v>B2C</v>
      </c>
      <c r="X241" t="str">
        <f>VLOOKUP(C241,Sales_Representatives!$A:$B,2,0)</f>
        <v>Linda Smith</v>
      </c>
    </row>
    <row r="242" spans="1:24" x14ac:dyDescent="0.3">
      <c r="A242" t="s">
        <v>447</v>
      </c>
      <c r="B242" t="s">
        <v>445</v>
      </c>
      <c r="C242" t="s">
        <v>27</v>
      </c>
      <c r="D242" t="s">
        <v>154</v>
      </c>
      <c r="E242" t="s">
        <v>172</v>
      </c>
      <c r="F242">
        <v>6</v>
      </c>
      <c r="G242">
        <v>1371.15</v>
      </c>
      <c r="H242">
        <v>0.06</v>
      </c>
      <c r="I242" s="4">
        <v>7733.29</v>
      </c>
      <c r="J242" t="s">
        <v>16</v>
      </c>
      <c r="K242" t="s">
        <v>35</v>
      </c>
      <c r="L242" s="4">
        <f>VLOOKUP(tblTransactions[[#This Row],[Product_ID]],tblProducts[],5,FALSE)</f>
        <v>989.81</v>
      </c>
      <c r="M242" s="4">
        <f>tblTransactions[[#This Row],[Total_Amount]]-(tblTransactions[[#This Row],[Cost_Prices]]*tblTransactions[[#This Row],[Quantity]]*(1-tblTransactions[[#This Row],[Discount]]))</f>
        <v>2150.7616000000007</v>
      </c>
      <c r="N242" s="3">
        <f>tblTransactions[[#This Row],[Profit]]/tblTransactions[[#This Row],[Total_Amount]]</f>
        <v>0.27811728255373852</v>
      </c>
      <c r="O242" t="str">
        <f>TEXT(tblTransactions[[#This Row],[Date]], "MMM-YYYY")</f>
        <v>Feb-2023</v>
      </c>
      <c r="P242" t="str">
        <f>"Q"&amp;ROUNDUP(MONTH(tblTransactions[[#This Row],[Date]])/3,0)&amp;"-"&amp;YEAR(tblTransactions[[#This Row],[Date]])</f>
        <v>Q1-2023</v>
      </c>
      <c r="Q242">
        <f>YEAR(tblTransactions[[#This Row],[Date]])</f>
        <v>2023</v>
      </c>
      <c r="R242" t="str">
        <f>TEXT(tblTransactions[[#This Row],[Date]],"DDDD")</f>
        <v>Friday</v>
      </c>
      <c r="S242">
        <f>MONTH(tblTransactions[[#This Row],[Date]])</f>
        <v>2</v>
      </c>
      <c r="T242" t="str">
        <f>VLOOKUP(E242, Products!$A:$B,2,0)</f>
        <v>Cameras Ele-4</v>
      </c>
      <c r="U242" t="str">
        <f>VLOOKUP(E242,Products!$A:$C,3,0)</f>
        <v>Electronics</v>
      </c>
      <c r="V242" t="str">
        <f>VLOOKUP(E242,Products!$A:$D,4,0)</f>
        <v>Cameras</v>
      </c>
      <c r="W242" t="str">
        <f>VLOOKUP(D242,Customers!$A:$C,3,0)</f>
        <v>B2B</v>
      </c>
      <c r="X242" t="str">
        <f>VLOOKUP(C242,Sales_Representatives!$A:$B,2,0)</f>
        <v>Thomas Lopez</v>
      </c>
    </row>
    <row r="243" spans="1:24" x14ac:dyDescent="0.3">
      <c r="A243" t="s">
        <v>448</v>
      </c>
      <c r="B243" t="s">
        <v>445</v>
      </c>
      <c r="C243" t="s">
        <v>59</v>
      </c>
      <c r="D243" t="s">
        <v>351</v>
      </c>
      <c r="E243" t="s">
        <v>129</v>
      </c>
      <c r="F243">
        <v>2</v>
      </c>
      <c r="G243">
        <v>1283.71</v>
      </c>
      <c r="H243">
        <v>7.0000000000000007E-2</v>
      </c>
      <c r="I243" s="4">
        <v>2387.6999999999998</v>
      </c>
      <c r="J243" t="s">
        <v>21</v>
      </c>
      <c r="K243" t="s">
        <v>22</v>
      </c>
      <c r="L243" s="4">
        <f>VLOOKUP(tblTransactions[[#This Row],[Product_ID]],tblProducts[],5,FALSE)</f>
        <v>970.14</v>
      </c>
      <c r="M243" s="4">
        <f>tblTransactions[[#This Row],[Total_Amount]]-(tblTransactions[[#This Row],[Cost_Prices]]*tblTransactions[[#This Row],[Quantity]]*(1-tblTransactions[[#This Row],[Discount]]))</f>
        <v>583.23959999999988</v>
      </c>
      <c r="N243" s="3">
        <f>tblTransactions[[#This Row],[Profit]]/tblTransactions[[#This Row],[Total_Amount]]</f>
        <v>0.24426837542404822</v>
      </c>
      <c r="O243" t="str">
        <f>TEXT(tblTransactions[[#This Row],[Date]], "MMM-YYYY")</f>
        <v>Feb-2023</v>
      </c>
      <c r="P243" t="str">
        <f>"Q"&amp;ROUNDUP(MONTH(tblTransactions[[#This Row],[Date]])/3,0)&amp;"-"&amp;YEAR(tblTransactions[[#This Row],[Date]])</f>
        <v>Q1-2023</v>
      </c>
      <c r="Q243">
        <f>YEAR(tblTransactions[[#This Row],[Date]])</f>
        <v>2023</v>
      </c>
      <c r="R243" t="str">
        <f>TEXT(tblTransactions[[#This Row],[Date]],"DDDD")</f>
        <v>Friday</v>
      </c>
      <c r="S243">
        <f>MONTH(tblTransactions[[#This Row],[Date]])</f>
        <v>2</v>
      </c>
      <c r="T243" t="str">
        <f>VLOOKUP(E243, Products!$A:$B,2,0)</f>
        <v>Cameras Ele-3</v>
      </c>
      <c r="U243" t="str">
        <f>VLOOKUP(E243,Products!$A:$C,3,0)</f>
        <v>Electronics</v>
      </c>
      <c r="V243" t="str">
        <f>VLOOKUP(E243,Products!$A:$D,4,0)</f>
        <v>Cameras</v>
      </c>
      <c r="W243" t="str">
        <f>VLOOKUP(D243,Customers!$A:$C,3,0)</f>
        <v>B2C</v>
      </c>
      <c r="X243" t="str">
        <f>VLOOKUP(C243,Sales_Representatives!$A:$B,2,0)</f>
        <v>Sarah Brown</v>
      </c>
    </row>
    <row r="244" spans="1:24" x14ac:dyDescent="0.3">
      <c r="A244" t="s">
        <v>449</v>
      </c>
      <c r="B244" t="s">
        <v>445</v>
      </c>
      <c r="C244" t="s">
        <v>19</v>
      </c>
      <c r="D244" t="s">
        <v>128</v>
      </c>
      <c r="E244" t="s">
        <v>450</v>
      </c>
      <c r="F244">
        <v>2</v>
      </c>
      <c r="G244">
        <v>2083.92</v>
      </c>
      <c r="H244">
        <v>0.04</v>
      </c>
      <c r="I244" s="4">
        <v>4001.13</v>
      </c>
      <c r="J244" t="s">
        <v>21</v>
      </c>
      <c r="K244" t="s">
        <v>17</v>
      </c>
      <c r="L244" s="4">
        <f>VLOOKUP(tblTransactions[[#This Row],[Product_ID]],tblProducts[],5,FALSE)</f>
        <v>1425.78</v>
      </c>
      <c r="M244" s="4">
        <f>tblTransactions[[#This Row],[Total_Amount]]-(tblTransactions[[#This Row],[Cost_Prices]]*tblTransactions[[#This Row],[Quantity]]*(1-tblTransactions[[#This Row],[Discount]]))</f>
        <v>1263.6324000000004</v>
      </c>
      <c r="N244" s="3">
        <f>tblTransactions[[#This Row],[Profit]]/tblTransactions[[#This Row],[Total_Amount]]</f>
        <v>0.31581888116607065</v>
      </c>
      <c r="O244" t="str">
        <f>TEXT(tblTransactions[[#This Row],[Date]], "MMM-YYYY")</f>
        <v>Feb-2023</v>
      </c>
      <c r="P244" t="str">
        <f>"Q"&amp;ROUNDUP(MONTH(tblTransactions[[#This Row],[Date]])/3,0)&amp;"-"&amp;YEAR(tblTransactions[[#This Row],[Date]])</f>
        <v>Q1-2023</v>
      </c>
      <c r="Q244">
        <f>YEAR(tblTransactions[[#This Row],[Date]])</f>
        <v>2023</v>
      </c>
      <c r="R244" t="str">
        <f>TEXT(tblTransactions[[#This Row],[Date]],"DDDD")</f>
        <v>Friday</v>
      </c>
      <c r="S244">
        <f>MONTH(tblTransactions[[#This Row],[Date]])</f>
        <v>2</v>
      </c>
      <c r="T244" t="str">
        <f>VLOOKUP(E244, Products!$A:$B,2,0)</f>
        <v>Monitors Tec-4</v>
      </c>
      <c r="U244" t="str">
        <f>VLOOKUP(E244,Products!$A:$C,3,0)</f>
        <v>Technology</v>
      </c>
      <c r="V244" t="str">
        <f>VLOOKUP(E244,Products!$A:$D,4,0)</f>
        <v>Monitors</v>
      </c>
      <c r="W244" t="str">
        <f>VLOOKUP(D244,Customers!$A:$C,3,0)</f>
        <v>B2B</v>
      </c>
      <c r="X244" t="str">
        <f>VLOOKUP(C244,Sales_Representatives!$A:$B,2,0)</f>
        <v>Robert Jones</v>
      </c>
    </row>
    <row r="245" spans="1:24" x14ac:dyDescent="0.3">
      <c r="A245" t="s">
        <v>451</v>
      </c>
      <c r="B245" t="s">
        <v>445</v>
      </c>
      <c r="C245" t="s">
        <v>63</v>
      </c>
      <c r="D245" t="s">
        <v>83</v>
      </c>
      <c r="E245" t="s">
        <v>224</v>
      </c>
      <c r="F245">
        <v>5</v>
      </c>
      <c r="G245">
        <v>505.37</v>
      </c>
      <c r="H245">
        <v>7.0000000000000007E-2</v>
      </c>
      <c r="I245" s="4">
        <v>2349.9699999999998</v>
      </c>
      <c r="J245" t="s">
        <v>21</v>
      </c>
      <c r="K245" t="s">
        <v>17</v>
      </c>
      <c r="L245" s="4">
        <f>VLOOKUP(tblTransactions[[#This Row],[Product_ID]],tblProducts[],5,FALSE)</f>
        <v>281.14999999999998</v>
      </c>
      <c r="M245" s="4">
        <f>tblTransactions[[#This Row],[Total_Amount]]-(tblTransactions[[#This Row],[Cost_Prices]]*tblTransactions[[#This Row],[Quantity]]*(1-tblTransactions[[#This Row],[Discount]]))</f>
        <v>1042.6224999999999</v>
      </c>
      <c r="N245" s="3">
        <f>tblTransactions[[#This Row],[Profit]]/tblTransactions[[#This Row],[Total_Amount]]</f>
        <v>0.44367481286995153</v>
      </c>
      <c r="O245" t="str">
        <f>TEXT(tblTransactions[[#This Row],[Date]], "MMM-YYYY")</f>
        <v>Feb-2023</v>
      </c>
      <c r="P245" t="str">
        <f>"Q"&amp;ROUNDUP(MONTH(tblTransactions[[#This Row],[Date]])/3,0)&amp;"-"&amp;YEAR(tblTransactions[[#This Row],[Date]])</f>
        <v>Q1-2023</v>
      </c>
      <c r="Q245">
        <f>YEAR(tblTransactions[[#This Row],[Date]])</f>
        <v>2023</v>
      </c>
      <c r="R245" t="str">
        <f>TEXT(tblTransactions[[#This Row],[Date]],"DDDD")</f>
        <v>Friday</v>
      </c>
      <c r="S245">
        <f>MONTH(tblTransactions[[#This Row],[Date]])</f>
        <v>2</v>
      </c>
      <c r="T245" t="str">
        <f>VLOOKUP(E245, Products!$A:$B,2,0)</f>
        <v>Desks Fur-3</v>
      </c>
      <c r="U245" t="str">
        <f>VLOOKUP(E245,Products!$A:$C,3,0)</f>
        <v>Furniture</v>
      </c>
      <c r="V245" t="str">
        <f>VLOOKUP(E245,Products!$A:$D,4,0)</f>
        <v>Desks</v>
      </c>
      <c r="W245" t="str">
        <f>VLOOKUP(D245,Customers!$A:$C,3,0)</f>
        <v>Small Business</v>
      </c>
      <c r="X245" t="str">
        <f>VLOOKUP(C245,Sales_Representatives!$A:$B,2,0)</f>
        <v>Richard Wilson</v>
      </c>
    </row>
    <row r="246" spans="1:24" x14ac:dyDescent="0.3">
      <c r="A246" t="s">
        <v>452</v>
      </c>
      <c r="B246" t="s">
        <v>453</v>
      </c>
      <c r="C246" t="s">
        <v>27</v>
      </c>
      <c r="D246" t="s">
        <v>156</v>
      </c>
      <c r="E246" t="s">
        <v>20</v>
      </c>
      <c r="F246">
        <v>19</v>
      </c>
      <c r="G246">
        <v>1219.49</v>
      </c>
      <c r="H246">
        <v>0.14000000000000001</v>
      </c>
      <c r="I246" s="4">
        <v>19926.47</v>
      </c>
      <c r="J246" t="s">
        <v>16</v>
      </c>
      <c r="K246" t="s">
        <v>17</v>
      </c>
      <c r="L246" s="4">
        <f>VLOOKUP(tblTransactions[[#This Row],[Product_ID]],tblProducts[],5,FALSE)</f>
        <v>686.9</v>
      </c>
      <c r="M246" s="4">
        <f>tblTransactions[[#This Row],[Total_Amount]]-(tblTransactions[[#This Row],[Cost_Prices]]*tblTransactions[[#This Row],[Quantity]]*(1-tblTransactions[[#This Row],[Discount]]))</f>
        <v>8702.5240000000013</v>
      </c>
      <c r="N246" s="3">
        <f>tblTransactions[[#This Row],[Profit]]/tblTransactions[[#This Row],[Total_Amount]]</f>
        <v>0.43673184462677034</v>
      </c>
      <c r="O246" t="str">
        <f>TEXT(tblTransactions[[#This Row],[Date]], "MMM-YYYY")</f>
        <v>Feb-2023</v>
      </c>
      <c r="P246" t="str">
        <f>"Q"&amp;ROUNDUP(MONTH(tblTransactions[[#This Row],[Date]])/3,0)&amp;"-"&amp;YEAR(tblTransactions[[#This Row],[Date]])</f>
        <v>Q1-2023</v>
      </c>
      <c r="Q246">
        <f>YEAR(tblTransactions[[#This Row],[Date]])</f>
        <v>2023</v>
      </c>
      <c r="R246" t="str">
        <f>TEXT(tblTransactions[[#This Row],[Date]],"DDDD")</f>
        <v>Saturday</v>
      </c>
      <c r="S246">
        <f>MONTH(tblTransactions[[#This Row],[Date]])</f>
        <v>2</v>
      </c>
      <c r="T246" t="str">
        <f>VLOOKUP(E246, Products!$A:$B,2,0)</f>
        <v>Laptops Ele-1</v>
      </c>
      <c r="U246" t="str">
        <f>VLOOKUP(E246,Products!$A:$C,3,0)</f>
        <v>Electronics</v>
      </c>
      <c r="V246" t="str">
        <f>VLOOKUP(E246,Products!$A:$D,4,0)</f>
        <v>Laptops</v>
      </c>
      <c r="W246" t="str">
        <f>VLOOKUP(D246,Customers!$A:$C,3,0)</f>
        <v>B2B</v>
      </c>
      <c r="X246" t="str">
        <f>VLOOKUP(C246,Sales_Representatives!$A:$B,2,0)</f>
        <v>Thomas Lopez</v>
      </c>
    </row>
    <row r="247" spans="1:24" x14ac:dyDescent="0.3">
      <c r="A247" t="s">
        <v>454</v>
      </c>
      <c r="B247" t="s">
        <v>455</v>
      </c>
      <c r="C247" t="s">
        <v>82</v>
      </c>
      <c r="D247" t="s">
        <v>136</v>
      </c>
      <c r="E247" t="s">
        <v>105</v>
      </c>
      <c r="F247">
        <v>5</v>
      </c>
      <c r="G247">
        <v>1342.04</v>
      </c>
      <c r="H247">
        <v>0.06</v>
      </c>
      <c r="I247" s="4">
        <v>6307.59</v>
      </c>
      <c r="J247" t="s">
        <v>34</v>
      </c>
      <c r="K247" t="s">
        <v>35</v>
      </c>
      <c r="L247" s="4">
        <f>VLOOKUP(tblTransactions[[#This Row],[Product_ID]],tblProducts[],5,FALSE)</f>
        <v>792.89</v>
      </c>
      <c r="M247" s="4">
        <f>tblTransactions[[#This Row],[Total_Amount]]-(tblTransactions[[#This Row],[Cost_Prices]]*tblTransactions[[#This Row],[Quantity]]*(1-tblTransactions[[#This Row],[Discount]]))</f>
        <v>2581.0070000000005</v>
      </c>
      <c r="N247" s="3">
        <f>tblTransactions[[#This Row],[Profit]]/tblTransactions[[#This Row],[Total_Amount]]</f>
        <v>0.4091906734584842</v>
      </c>
      <c r="O247" t="str">
        <f>TEXT(tblTransactions[[#This Row],[Date]], "MMM-YYYY")</f>
        <v>Feb-2023</v>
      </c>
      <c r="P247" t="str">
        <f>"Q"&amp;ROUNDUP(MONTH(tblTransactions[[#This Row],[Date]])/3,0)&amp;"-"&amp;YEAR(tblTransactions[[#This Row],[Date]])</f>
        <v>Q1-2023</v>
      </c>
      <c r="Q247">
        <f>YEAR(tblTransactions[[#This Row],[Date]])</f>
        <v>2023</v>
      </c>
      <c r="R247" t="str">
        <f>TEXT(tblTransactions[[#This Row],[Date]],"DDDD")</f>
        <v>Sunday</v>
      </c>
      <c r="S247">
        <f>MONTH(tblTransactions[[#This Row],[Date]])</f>
        <v>2</v>
      </c>
      <c r="T247" t="str">
        <f>VLOOKUP(E247, Products!$A:$B,2,0)</f>
        <v>Cameras Ele-1</v>
      </c>
      <c r="U247" t="str">
        <f>VLOOKUP(E247,Products!$A:$C,3,0)</f>
        <v>Electronics</v>
      </c>
      <c r="V247" t="str">
        <f>VLOOKUP(E247,Products!$A:$D,4,0)</f>
        <v>Cameras</v>
      </c>
      <c r="W247" t="str">
        <f>VLOOKUP(D247,Customers!$A:$C,3,0)</f>
        <v>B2B</v>
      </c>
      <c r="X247" t="str">
        <f>VLOOKUP(C247,Sales_Representatives!$A:$B,2,0)</f>
        <v>John Brown</v>
      </c>
    </row>
    <row r="248" spans="1:24" x14ac:dyDescent="0.3">
      <c r="A248" t="s">
        <v>456</v>
      </c>
      <c r="B248" t="s">
        <v>455</v>
      </c>
      <c r="C248" t="s">
        <v>63</v>
      </c>
      <c r="D248" t="s">
        <v>247</v>
      </c>
      <c r="E248" t="s">
        <v>168</v>
      </c>
      <c r="F248">
        <v>6</v>
      </c>
      <c r="G248">
        <v>101.59</v>
      </c>
      <c r="H248">
        <v>7.0000000000000007E-2</v>
      </c>
      <c r="I248" s="4">
        <v>566.87</v>
      </c>
      <c r="J248" t="s">
        <v>21</v>
      </c>
      <c r="K248" t="s">
        <v>22</v>
      </c>
      <c r="L248" s="4">
        <f>VLOOKUP(tblTransactions[[#This Row],[Product_ID]],tblProducts[],5,FALSE)</f>
        <v>50.58</v>
      </c>
      <c r="M248" s="4">
        <f>tblTransactions[[#This Row],[Total_Amount]]-(tblTransactions[[#This Row],[Cost_Prices]]*tblTransactions[[#This Row],[Quantity]]*(1-tblTransactions[[#This Row],[Discount]]))</f>
        <v>284.6336</v>
      </c>
      <c r="N248" s="3">
        <f>tblTransactions[[#This Row],[Profit]]/tblTransactions[[#This Row],[Total_Amount]]</f>
        <v>0.50211441776774213</v>
      </c>
      <c r="O248" t="str">
        <f>TEXT(tblTransactions[[#This Row],[Date]], "MMM-YYYY")</f>
        <v>Feb-2023</v>
      </c>
      <c r="P248" t="str">
        <f>"Q"&amp;ROUNDUP(MONTH(tblTransactions[[#This Row],[Date]])/3,0)&amp;"-"&amp;YEAR(tblTransactions[[#This Row],[Date]])</f>
        <v>Q1-2023</v>
      </c>
      <c r="Q248">
        <f>YEAR(tblTransactions[[#This Row],[Date]])</f>
        <v>2023</v>
      </c>
      <c r="R248" t="str">
        <f>TEXT(tblTransactions[[#This Row],[Date]],"DDDD")</f>
        <v>Sunday</v>
      </c>
      <c r="S248">
        <f>MONTH(tblTransactions[[#This Row],[Date]])</f>
        <v>2</v>
      </c>
      <c r="T248" t="str">
        <f>VLOOKUP(E248, Products!$A:$B,2,0)</f>
        <v>Cases Acc-4</v>
      </c>
      <c r="U248" t="str">
        <f>VLOOKUP(E248,Products!$A:$C,3,0)</f>
        <v>Accessories</v>
      </c>
      <c r="V248" t="str">
        <f>VLOOKUP(E248,Products!$A:$D,4,0)</f>
        <v>Cases</v>
      </c>
      <c r="W248" t="str">
        <f>VLOOKUP(D248,Customers!$A:$C,3,0)</f>
        <v>B2C</v>
      </c>
      <c r="X248" t="str">
        <f>VLOOKUP(C248,Sales_Representatives!$A:$B,2,0)</f>
        <v>Richard Wilson</v>
      </c>
    </row>
    <row r="249" spans="1:24" x14ac:dyDescent="0.3">
      <c r="A249" t="s">
        <v>457</v>
      </c>
      <c r="B249" t="s">
        <v>455</v>
      </c>
      <c r="C249" t="s">
        <v>75</v>
      </c>
      <c r="D249" t="s">
        <v>37</v>
      </c>
      <c r="E249" t="s">
        <v>152</v>
      </c>
      <c r="F249">
        <v>42</v>
      </c>
      <c r="G249">
        <v>859.93</v>
      </c>
      <c r="H249">
        <v>0.2</v>
      </c>
      <c r="I249" s="4">
        <v>28893.65</v>
      </c>
      <c r="J249" t="s">
        <v>44</v>
      </c>
      <c r="K249" t="s">
        <v>48</v>
      </c>
      <c r="L249" s="4">
        <f>VLOOKUP(tblTransactions[[#This Row],[Product_ID]],tblProducts[],5,FALSE)</f>
        <v>579.79</v>
      </c>
      <c r="M249" s="4">
        <f>tblTransactions[[#This Row],[Total_Amount]]-(tblTransactions[[#This Row],[Cost_Prices]]*tblTransactions[[#This Row],[Quantity]]*(1-tblTransactions[[#This Row],[Discount]]))</f>
        <v>9412.7060000000019</v>
      </c>
      <c r="N249" s="3">
        <f>tblTransactions[[#This Row],[Profit]]/tblTransactions[[#This Row],[Total_Amount]]</f>
        <v>0.32577074893618502</v>
      </c>
      <c r="O249" t="str">
        <f>TEXT(tblTransactions[[#This Row],[Date]], "MMM-YYYY")</f>
        <v>Feb-2023</v>
      </c>
      <c r="P249" t="str">
        <f>"Q"&amp;ROUNDUP(MONTH(tblTransactions[[#This Row],[Date]])/3,0)&amp;"-"&amp;YEAR(tblTransactions[[#This Row],[Date]])</f>
        <v>Q1-2023</v>
      </c>
      <c r="Q249">
        <f>YEAR(tblTransactions[[#This Row],[Date]])</f>
        <v>2023</v>
      </c>
      <c r="R249" t="str">
        <f>TEXT(tblTransactions[[#This Row],[Date]],"DDDD")</f>
        <v>Sunday</v>
      </c>
      <c r="S249">
        <f>MONTH(tblTransactions[[#This Row],[Date]])</f>
        <v>2</v>
      </c>
      <c r="T249" t="str">
        <f>VLOOKUP(E249, Products!$A:$B,2,0)</f>
        <v>Phones Ele-4</v>
      </c>
      <c r="U249" t="str">
        <f>VLOOKUP(E249,Products!$A:$C,3,0)</f>
        <v>Electronics</v>
      </c>
      <c r="V249" t="str">
        <f>VLOOKUP(E249,Products!$A:$D,4,0)</f>
        <v>Phones</v>
      </c>
      <c r="W249" t="str">
        <f>VLOOKUP(D249,Customers!$A:$C,3,0)</f>
        <v>Enterprise</v>
      </c>
      <c r="X249" t="str">
        <f>VLOOKUP(C249,Sales_Representatives!$A:$B,2,0)</f>
        <v>Jessica Anderson</v>
      </c>
    </row>
    <row r="250" spans="1:24" x14ac:dyDescent="0.3">
      <c r="A250" t="s">
        <v>458</v>
      </c>
      <c r="B250" t="s">
        <v>459</v>
      </c>
      <c r="C250" t="s">
        <v>31</v>
      </c>
      <c r="D250" t="s">
        <v>47</v>
      </c>
      <c r="E250" t="s">
        <v>243</v>
      </c>
      <c r="F250">
        <v>2</v>
      </c>
      <c r="G250">
        <v>384.18</v>
      </c>
      <c r="H250">
        <v>0.03</v>
      </c>
      <c r="I250" s="4">
        <v>745.31</v>
      </c>
      <c r="J250" t="s">
        <v>34</v>
      </c>
      <c r="K250" t="s">
        <v>48</v>
      </c>
      <c r="L250" s="4">
        <f>VLOOKUP(tblTransactions[[#This Row],[Product_ID]],tblProducts[],5,FALSE)</f>
        <v>266.92</v>
      </c>
      <c r="M250" s="4">
        <f>tblTransactions[[#This Row],[Total_Amount]]-(tblTransactions[[#This Row],[Cost_Prices]]*tblTransactions[[#This Row],[Quantity]]*(1-tblTransactions[[#This Row],[Discount]]))</f>
        <v>227.48519999999996</v>
      </c>
      <c r="N250" s="3">
        <f>tblTransactions[[#This Row],[Profit]]/tblTransactions[[#This Row],[Total_Amount]]</f>
        <v>0.30522225651071366</v>
      </c>
      <c r="O250" t="str">
        <f>TEXT(tblTransactions[[#This Row],[Date]], "MMM-YYYY")</f>
        <v>Feb-2023</v>
      </c>
      <c r="P250" t="str">
        <f>"Q"&amp;ROUNDUP(MONTH(tblTransactions[[#This Row],[Date]])/3,0)&amp;"-"&amp;YEAR(tblTransactions[[#This Row],[Date]])</f>
        <v>Q1-2023</v>
      </c>
      <c r="Q250">
        <f>YEAR(tblTransactions[[#This Row],[Date]])</f>
        <v>2023</v>
      </c>
      <c r="R250" t="str">
        <f>TEXT(tblTransactions[[#This Row],[Date]],"DDDD")</f>
        <v>Monday</v>
      </c>
      <c r="S250">
        <f>MONTH(tblTransactions[[#This Row],[Date]])</f>
        <v>2</v>
      </c>
      <c r="T250" t="str">
        <f>VLOOKUP(E250, Products!$A:$B,2,0)</f>
        <v>Routers Tec-3</v>
      </c>
      <c r="U250" t="str">
        <f>VLOOKUP(E250,Products!$A:$C,3,0)</f>
        <v>Technology</v>
      </c>
      <c r="V250" t="str">
        <f>VLOOKUP(E250,Products!$A:$D,4,0)</f>
        <v>Routers</v>
      </c>
      <c r="W250" t="str">
        <f>VLOOKUP(D250,Customers!$A:$C,3,0)</f>
        <v>B2C</v>
      </c>
      <c r="X250" t="str">
        <f>VLOOKUP(C250,Sales_Representatives!$A:$B,2,0)</f>
        <v>Thomas Martinez</v>
      </c>
    </row>
    <row r="251" spans="1:24" x14ac:dyDescent="0.3">
      <c r="A251" t="s">
        <v>460</v>
      </c>
      <c r="B251" t="s">
        <v>459</v>
      </c>
      <c r="C251" t="s">
        <v>56</v>
      </c>
      <c r="D251" t="s">
        <v>32</v>
      </c>
      <c r="E251" t="s">
        <v>91</v>
      </c>
      <c r="F251">
        <v>7</v>
      </c>
      <c r="G251">
        <v>286.62</v>
      </c>
      <c r="H251">
        <v>0.13</v>
      </c>
      <c r="I251" s="4">
        <v>1745.52</v>
      </c>
      <c r="J251" t="s">
        <v>34</v>
      </c>
      <c r="K251" t="s">
        <v>17</v>
      </c>
      <c r="L251" s="4">
        <f>VLOOKUP(tblTransactions[[#This Row],[Product_ID]],tblProducts[],5,FALSE)</f>
        <v>145.54</v>
      </c>
      <c r="M251" s="4">
        <f>tblTransactions[[#This Row],[Total_Amount]]-(tblTransactions[[#This Row],[Cost_Prices]]*tblTransactions[[#This Row],[Quantity]]*(1-tblTransactions[[#This Row],[Discount]]))</f>
        <v>859.18140000000005</v>
      </c>
      <c r="N251" s="3">
        <f>tblTransactions[[#This Row],[Profit]]/tblTransactions[[#This Row],[Total_Amount]]</f>
        <v>0.49222088546679504</v>
      </c>
      <c r="O251" t="str">
        <f>TEXT(tblTransactions[[#This Row],[Date]], "MMM-YYYY")</f>
        <v>Feb-2023</v>
      </c>
      <c r="P251" t="str">
        <f>"Q"&amp;ROUNDUP(MONTH(tblTransactions[[#This Row],[Date]])/3,0)&amp;"-"&amp;YEAR(tblTransactions[[#This Row],[Date]])</f>
        <v>Q1-2023</v>
      </c>
      <c r="Q251">
        <f>YEAR(tblTransactions[[#This Row],[Date]])</f>
        <v>2023</v>
      </c>
      <c r="R251" t="str">
        <f>TEXT(tblTransactions[[#This Row],[Date]],"DDDD")</f>
        <v>Monday</v>
      </c>
      <c r="S251">
        <f>MONTH(tblTransactions[[#This Row],[Date]])</f>
        <v>2</v>
      </c>
      <c r="T251" t="str">
        <f>VLOOKUP(E251, Products!$A:$B,2,0)</f>
        <v>Chairs Fur-1</v>
      </c>
      <c r="U251" t="str">
        <f>VLOOKUP(E251,Products!$A:$C,3,0)</f>
        <v>Furniture</v>
      </c>
      <c r="V251" t="str">
        <f>VLOOKUP(E251,Products!$A:$D,4,0)</f>
        <v>Chairs</v>
      </c>
      <c r="W251" t="str">
        <f>VLOOKUP(D251,Customers!$A:$C,3,0)</f>
        <v>B2C</v>
      </c>
      <c r="X251" t="str">
        <f>VLOOKUP(C251,Sales_Representatives!$A:$B,2,0)</f>
        <v>Thomas Hernandez</v>
      </c>
    </row>
    <row r="252" spans="1:24" x14ac:dyDescent="0.3">
      <c r="A252" t="s">
        <v>461</v>
      </c>
      <c r="B252" t="s">
        <v>459</v>
      </c>
      <c r="C252" t="s">
        <v>59</v>
      </c>
      <c r="D252" t="s">
        <v>118</v>
      </c>
      <c r="E252" t="s">
        <v>178</v>
      </c>
      <c r="F252">
        <v>6</v>
      </c>
      <c r="G252">
        <v>1623.35</v>
      </c>
      <c r="H252">
        <v>0.13</v>
      </c>
      <c r="I252" s="4">
        <v>8473.89</v>
      </c>
      <c r="J252" t="s">
        <v>21</v>
      </c>
      <c r="K252" t="s">
        <v>17</v>
      </c>
      <c r="L252" s="4">
        <f>VLOOKUP(tblTransactions[[#This Row],[Product_ID]],tblProducts[],5,FALSE)</f>
        <v>981.45</v>
      </c>
      <c r="M252" s="4">
        <f>tblTransactions[[#This Row],[Total_Amount]]-(tblTransactions[[#This Row],[Cost_Prices]]*tblTransactions[[#This Row],[Quantity]]*(1-tblTransactions[[#This Row],[Discount]]))</f>
        <v>3350.7209999999986</v>
      </c>
      <c r="N252" s="3">
        <f>tblTransactions[[#This Row],[Profit]]/tblTransactions[[#This Row],[Total_Amount]]</f>
        <v>0.39541709887666687</v>
      </c>
      <c r="O252" t="str">
        <f>TEXT(tblTransactions[[#This Row],[Date]], "MMM-YYYY")</f>
        <v>Feb-2023</v>
      </c>
      <c r="P252" t="str">
        <f>"Q"&amp;ROUNDUP(MONTH(tblTransactions[[#This Row],[Date]])/3,0)&amp;"-"&amp;YEAR(tblTransactions[[#This Row],[Date]])</f>
        <v>Q1-2023</v>
      </c>
      <c r="Q252">
        <f>YEAR(tblTransactions[[#This Row],[Date]])</f>
        <v>2023</v>
      </c>
      <c r="R252" t="str">
        <f>TEXT(tblTransactions[[#This Row],[Date]],"DDDD")</f>
        <v>Monday</v>
      </c>
      <c r="S252">
        <f>MONTH(tblTransactions[[#This Row],[Date]])</f>
        <v>2</v>
      </c>
      <c r="T252" t="str">
        <f>VLOOKUP(E252, Products!$A:$B,2,0)</f>
        <v>Tablets Ele-1</v>
      </c>
      <c r="U252" t="str">
        <f>VLOOKUP(E252,Products!$A:$C,3,0)</f>
        <v>Electronics</v>
      </c>
      <c r="V252" t="str">
        <f>VLOOKUP(E252,Products!$A:$D,4,0)</f>
        <v>Tablets</v>
      </c>
      <c r="W252" t="str">
        <f>VLOOKUP(D252,Customers!$A:$C,3,0)</f>
        <v>B2C</v>
      </c>
      <c r="X252" t="str">
        <f>VLOOKUP(C252,Sales_Representatives!$A:$B,2,0)</f>
        <v>Sarah Brown</v>
      </c>
    </row>
    <row r="253" spans="1:24" x14ac:dyDescent="0.3">
      <c r="A253" t="s">
        <v>462</v>
      </c>
      <c r="B253" t="s">
        <v>463</v>
      </c>
      <c r="C253" t="s">
        <v>63</v>
      </c>
      <c r="D253" t="s">
        <v>50</v>
      </c>
      <c r="E253" t="s">
        <v>347</v>
      </c>
      <c r="F253">
        <v>4</v>
      </c>
      <c r="G253">
        <v>1539.6</v>
      </c>
      <c r="H253">
        <v>0.08</v>
      </c>
      <c r="I253" s="4">
        <v>5665.73</v>
      </c>
      <c r="J253" t="s">
        <v>21</v>
      </c>
      <c r="K253" t="s">
        <v>39</v>
      </c>
      <c r="L253" s="4">
        <f>VLOOKUP(tblTransactions[[#This Row],[Product_ID]],tblProducts[],5,FALSE)</f>
        <v>992.43</v>
      </c>
      <c r="M253" s="4">
        <f>tblTransactions[[#This Row],[Total_Amount]]-(tblTransactions[[#This Row],[Cost_Prices]]*tblTransactions[[#This Row],[Quantity]]*(1-tblTransactions[[#This Row],[Discount]]))</f>
        <v>2013.5875999999994</v>
      </c>
      <c r="N253" s="3">
        <f>tblTransactions[[#This Row],[Profit]]/tblTransactions[[#This Row],[Total_Amount]]</f>
        <v>0.35539773339004849</v>
      </c>
      <c r="O253" t="str">
        <f>TEXT(tblTransactions[[#This Row],[Date]], "MMM-YYYY")</f>
        <v>Feb-2023</v>
      </c>
      <c r="P253" t="str">
        <f>"Q"&amp;ROUNDUP(MONTH(tblTransactions[[#This Row],[Date]])/3,0)&amp;"-"&amp;YEAR(tblTransactions[[#This Row],[Date]])</f>
        <v>Q1-2023</v>
      </c>
      <c r="Q253">
        <f>YEAR(tblTransactions[[#This Row],[Date]])</f>
        <v>2023</v>
      </c>
      <c r="R253" t="str">
        <f>TEXT(tblTransactions[[#This Row],[Date]],"DDDD")</f>
        <v>Tuesday</v>
      </c>
      <c r="S253">
        <f>MONTH(tblTransactions[[#This Row],[Date]])</f>
        <v>2</v>
      </c>
      <c r="T253" t="str">
        <f>VLOOKUP(E253, Products!$A:$B,2,0)</f>
        <v>Routers Tec-2</v>
      </c>
      <c r="U253" t="str">
        <f>VLOOKUP(E253,Products!$A:$C,3,0)</f>
        <v>Technology</v>
      </c>
      <c r="V253" t="str">
        <f>VLOOKUP(E253,Products!$A:$D,4,0)</f>
        <v>Routers</v>
      </c>
      <c r="W253" t="str">
        <f>VLOOKUP(D253,Customers!$A:$C,3,0)</f>
        <v>Small Business</v>
      </c>
      <c r="X253" t="str">
        <f>VLOOKUP(C253,Sales_Representatives!$A:$B,2,0)</f>
        <v>Richard Wilson</v>
      </c>
    </row>
    <row r="254" spans="1:24" x14ac:dyDescent="0.3">
      <c r="A254" t="s">
        <v>464</v>
      </c>
      <c r="B254" t="s">
        <v>463</v>
      </c>
      <c r="C254" t="s">
        <v>41</v>
      </c>
      <c r="D254" t="s">
        <v>14</v>
      </c>
      <c r="E254" t="s">
        <v>290</v>
      </c>
      <c r="F254">
        <v>12</v>
      </c>
      <c r="G254">
        <v>729.32</v>
      </c>
      <c r="H254">
        <v>0.11</v>
      </c>
      <c r="I254" s="4">
        <v>7789.14</v>
      </c>
      <c r="J254" t="s">
        <v>44</v>
      </c>
      <c r="K254" t="s">
        <v>48</v>
      </c>
      <c r="L254" s="4">
        <f>VLOOKUP(tblTransactions[[#This Row],[Product_ID]],tblProducts[],5,FALSE)</f>
        <v>482.7</v>
      </c>
      <c r="M254" s="4">
        <f>tblTransactions[[#This Row],[Total_Amount]]-(tblTransactions[[#This Row],[Cost_Prices]]*tblTransactions[[#This Row],[Quantity]]*(1-tblTransactions[[#This Row],[Discount]]))</f>
        <v>2633.9040000000005</v>
      </c>
      <c r="N254" s="3">
        <f>tblTransactions[[#This Row],[Profit]]/tblTransactions[[#This Row],[Total_Amount]]</f>
        <v>0.33815080997388675</v>
      </c>
      <c r="O254" t="str">
        <f>TEXT(tblTransactions[[#This Row],[Date]], "MMM-YYYY")</f>
        <v>Feb-2023</v>
      </c>
      <c r="P254" t="str">
        <f>"Q"&amp;ROUNDUP(MONTH(tblTransactions[[#This Row],[Date]])/3,0)&amp;"-"&amp;YEAR(tblTransactions[[#This Row],[Date]])</f>
        <v>Q1-2023</v>
      </c>
      <c r="Q254">
        <f>YEAR(tblTransactions[[#This Row],[Date]])</f>
        <v>2023</v>
      </c>
      <c r="R254" t="str">
        <f>TEXT(tblTransactions[[#This Row],[Date]],"DDDD")</f>
        <v>Tuesday</v>
      </c>
      <c r="S254">
        <f>MONTH(tblTransactions[[#This Row],[Date]])</f>
        <v>2</v>
      </c>
      <c r="T254" t="str">
        <f>VLOOKUP(E254, Products!$A:$B,2,0)</f>
        <v>Tables Fur-1</v>
      </c>
      <c r="U254" t="str">
        <f>VLOOKUP(E254,Products!$A:$C,3,0)</f>
        <v>Furniture</v>
      </c>
      <c r="V254" t="str">
        <f>VLOOKUP(E254,Products!$A:$D,4,0)</f>
        <v>Tables</v>
      </c>
      <c r="W254" t="str">
        <f>VLOOKUP(D254,Customers!$A:$C,3,0)</f>
        <v>B2B</v>
      </c>
      <c r="X254" t="str">
        <f>VLOOKUP(C254,Sales_Representatives!$A:$B,2,0)</f>
        <v>Robert Jones</v>
      </c>
    </row>
    <row r="255" spans="1:24" x14ac:dyDescent="0.3">
      <c r="A255" t="s">
        <v>465</v>
      </c>
      <c r="B255" t="s">
        <v>463</v>
      </c>
      <c r="C255" t="s">
        <v>107</v>
      </c>
      <c r="D255" t="s">
        <v>28</v>
      </c>
      <c r="E255" t="s">
        <v>72</v>
      </c>
      <c r="F255">
        <v>3</v>
      </c>
      <c r="G255">
        <v>404.76</v>
      </c>
      <c r="H255">
        <v>0.02</v>
      </c>
      <c r="I255" s="4">
        <v>1189.99</v>
      </c>
      <c r="J255" t="s">
        <v>109</v>
      </c>
      <c r="K255" t="s">
        <v>39</v>
      </c>
      <c r="L255" s="4">
        <f>VLOOKUP(tblTransactions[[#This Row],[Product_ID]],tblProducts[],5,FALSE)</f>
        <v>226.76</v>
      </c>
      <c r="M255" s="4">
        <f>tblTransactions[[#This Row],[Total_Amount]]-(tblTransactions[[#This Row],[Cost_Prices]]*tblTransactions[[#This Row],[Quantity]]*(1-tblTransactions[[#This Row],[Discount]]))</f>
        <v>523.31560000000002</v>
      </c>
      <c r="N255" s="3">
        <f>tblTransactions[[#This Row],[Profit]]/tblTransactions[[#This Row],[Total_Amount]]</f>
        <v>0.43976470390507483</v>
      </c>
      <c r="O255" t="str">
        <f>TEXT(tblTransactions[[#This Row],[Date]], "MMM-YYYY")</f>
        <v>Feb-2023</v>
      </c>
      <c r="P255" t="str">
        <f>"Q"&amp;ROUNDUP(MONTH(tblTransactions[[#This Row],[Date]])/3,0)&amp;"-"&amp;YEAR(tblTransactions[[#This Row],[Date]])</f>
        <v>Q1-2023</v>
      </c>
      <c r="Q255">
        <f>YEAR(tblTransactions[[#This Row],[Date]])</f>
        <v>2023</v>
      </c>
      <c r="R255" t="str">
        <f>TEXT(tblTransactions[[#This Row],[Date]],"DDDD")</f>
        <v>Tuesday</v>
      </c>
      <c r="S255">
        <f>MONTH(tblTransactions[[#This Row],[Date]])</f>
        <v>2</v>
      </c>
      <c r="T255" t="str">
        <f>VLOOKUP(E255, Products!$A:$B,2,0)</f>
        <v>Tablets Ele-2</v>
      </c>
      <c r="U255" t="str">
        <f>VLOOKUP(E255,Products!$A:$C,3,0)</f>
        <v>Electronics</v>
      </c>
      <c r="V255" t="str">
        <f>VLOOKUP(E255,Products!$A:$D,4,0)</f>
        <v>Tablets</v>
      </c>
      <c r="W255" t="str">
        <f>VLOOKUP(D255,Customers!$A:$C,3,0)</f>
        <v>B2B</v>
      </c>
      <c r="X255" t="str">
        <f>VLOOKUP(C255,Sales_Representatives!$A:$B,2,0)</f>
        <v>Jennifer Brown</v>
      </c>
    </row>
    <row r="256" spans="1:24" x14ac:dyDescent="0.3">
      <c r="A256" t="s">
        <v>466</v>
      </c>
      <c r="B256" t="s">
        <v>463</v>
      </c>
      <c r="C256" t="s">
        <v>13</v>
      </c>
      <c r="D256" t="s">
        <v>132</v>
      </c>
      <c r="E256" t="s">
        <v>68</v>
      </c>
      <c r="F256">
        <v>17</v>
      </c>
      <c r="G256">
        <v>522.63</v>
      </c>
      <c r="H256">
        <v>0.17</v>
      </c>
      <c r="I256" s="4">
        <v>7374.31</v>
      </c>
      <c r="J256" t="s">
        <v>16</v>
      </c>
      <c r="K256" t="s">
        <v>35</v>
      </c>
      <c r="L256" s="4">
        <f>VLOOKUP(tblTransactions[[#This Row],[Product_ID]],tblProducts[],5,FALSE)</f>
        <v>355.82</v>
      </c>
      <c r="M256" s="4">
        <f>tblTransactions[[#This Row],[Total_Amount]]-(tblTransactions[[#This Row],[Cost_Prices]]*tblTransactions[[#This Row],[Quantity]]*(1-tblTransactions[[#This Row],[Discount]]))</f>
        <v>2353.689800000001</v>
      </c>
      <c r="N256" s="3">
        <f>tblTransactions[[#This Row],[Profit]]/tblTransactions[[#This Row],[Total_Amount]]</f>
        <v>0.3191742413866519</v>
      </c>
      <c r="O256" t="str">
        <f>TEXT(tblTransactions[[#This Row],[Date]], "MMM-YYYY")</f>
        <v>Feb-2023</v>
      </c>
      <c r="P256" t="str">
        <f>"Q"&amp;ROUNDUP(MONTH(tblTransactions[[#This Row],[Date]])/3,0)&amp;"-"&amp;YEAR(tblTransactions[[#This Row],[Date]])</f>
        <v>Q1-2023</v>
      </c>
      <c r="Q256">
        <f>YEAR(tblTransactions[[#This Row],[Date]])</f>
        <v>2023</v>
      </c>
      <c r="R256" t="str">
        <f>TEXT(tblTransactions[[#This Row],[Date]],"DDDD")</f>
        <v>Tuesday</v>
      </c>
      <c r="S256">
        <f>MONTH(tblTransactions[[#This Row],[Date]])</f>
        <v>2</v>
      </c>
      <c r="T256" t="str">
        <f>VLOOKUP(E256, Products!$A:$B,2,0)</f>
        <v>Monitors Tec-3</v>
      </c>
      <c r="U256" t="str">
        <f>VLOOKUP(E256,Products!$A:$C,3,0)</f>
        <v>Technology</v>
      </c>
      <c r="V256" t="str">
        <f>VLOOKUP(E256,Products!$A:$D,4,0)</f>
        <v>Monitors</v>
      </c>
      <c r="W256" t="str">
        <f>VLOOKUP(D256,Customers!$A:$C,3,0)</f>
        <v>B2B</v>
      </c>
      <c r="X256" t="str">
        <f>VLOOKUP(C256,Sales_Representatives!$A:$B,2,0)</f>
        <v>Jennifer Rodriguez</v>
      </c>
    </row>
    <row r="257" spans="1:24" x14ac:dyDescent="0.3">
      <c r="A257" t="s">
        <v>467</v>
      </c>
      <c r="B257" t="s">
        <v>463</v>
      </c>
      <c r="C257" t="s">
        <v>56</v>
      </c>
      <c r="D257" t="s">
        <v>237</v>
      </c>
      <c r="E257" t="s">
        <v>113</v>
      </c>
      <c r="F257">
        <v>16</v>
      </c>
      <c r="G257">
        <v>930.41</v>
      </c>
      <c r="H257">
        <v>0.1</v>
      </c>
      <c r="I257" s="4">
        <v>13397.9</v>
      </c>
      <c r="J257" t="s">
        <v>34</v>
      </c>
      <c r="K257" t="s">
        <v>35</v>
      </c>
      <c r="L257" s="4">
        <f>VLOOKUP(tblTransactions[[#This Row],[Product_ID]],tblProducts[],5,FALSE)</f>
        <v>595.51</v>
      </c>
      <c r="M257" s="4">
        <f>tblTransactions[[#This Row],[Total_Amount]]-(tblTransactions[[#This Row],[Cost_Prices]]*tblTransactions[[#This Row],[Quantity]]*(1-tblTransactions[[#This Row],[Discount]]))</f>
        <v>4822.5559999999987</v>
      </c>
      <c r="N257" s="3">
        <f>tblTransactions[[#This Row],[Profit]]/tblTransactions[[#This Row],[Total_Amount]]</f>
        <v>0.35994864866882115</v>
      </c>
      <c r="O257" t="str">
        <f>TEXT(tblTransactions[[#This Row],[Date]], "MMM-YYYY")</f>
        <v>Feb-2023</v>
      </c>
      <c r="P257" t="str">
        <f>"Q"&amp;ROUNDUP(MONTH(tblTransactions[[#This Row],[Date]])/3,0)&amp;"-"&amp;YEAR(tblTransactions[[#This Row],[Date]])</f>
        <v>Q1-2023</v>
      </c>
      <c r="Q257">
        <f>YEAR(tblTransactions[[#This Row],[Date]])</f>
        <v>2023</v>
      </c>
      <c r="R257" t="str">
        <f>TEXT(tblTransactions[[#This Row],[Date]],"DDDD")</f>
        <v>Tuesday</v>
      </c>
      <c r="S257">
        <f>MONTH(tblTransactions[[#This Row],[Date]])</f>
        <v>2</v>
      </c>
      <c r="T257" t="str">
        <f>VLOOKUP(E257, Products!$A:$B,2,0)</f>
        <v>Phones Ele-1</v>
      </c>
      <c r="U257" t="str">
        <f>VLOOKUP(E257,Products!$A:$C,3,0)</f>
        <v>Electronics</v>
      </c>
      <c r="V257" t="str">
        <f>VLOOKUP(E257,Products!$A:$D,4,0)</f>
        <v>Phones</v>
      </c>
      <c r="W257" t="str">
        <f>VLOOKUP(D257,Customers!$A:$C,3,0)</f>
        <v>B2B</v>
      </c>
      <c r="X257" t="str">
        <f>VLOOKUP(C257,Sales_Representatives!$A:$B,2,0)</f>
        <v>Thomas Hernandez</v>
      </c>
    </row>
    <row r="258" spans="1:24" x14ac:dyDescent="0.3">
      <c r="A258" t="s">
        <v>468</v>
      </c>
      <c r="B258" t="s">
        <v>463</v>
      </c>
      <c r="C258" t="s">
        <v>131</v>
      </c>
      <c r="D258" t="s">
        <v>154</v>
      </c>
      <c r="E258" t="s">
        <v>178</v>
      </c>
      <c r="F258">
        <v>13</v>
      </c>
      <c r="G258">
        <v>1623.35</v>
      </c>
      <c r="H258">
        <v>0.11</v>
      </c>
      <c r="I258" s="4">
        <v>18782.16</v>
      </c>
      <c r="J258" t="s">
        <v>44</v>
      </c>
      <c r="K258" t="s">
        <v>22</v>
      </c>
      <c r="L258" s="4">
        <f>VLOOKUP(tblTransactions[[#This Row],[Product_ID]],tblProducts[],5,FALSE)</f>
        <v>981.45</v>
      </c>
      <c r="M258" s="4">
        <f>tblTransactions[[#This Row],[Total_Amount]]-(tblTransactions[[#This Row],[Cost_Prices]]*tblTransactions[[#This Row],[Quantity]]*(1-tblTransactions[[#This Row],[Discount]]))</f>
        <v>7426.7834999999995</v>
      </c>
      <c r="N258" s="3">
        <f>tblTransactions[[#This Row],[Profit]]/tblTransactions[[#This Row],[Total_Amount]]</f>
        <v>0.39541690093152221</v>
      </c>
      <c r="O258" t="str">
        <f>TEXT(tblTransactions[[#This Row],[Date]], "MMM-YYYY")</f>
        <v>Feb-2023</v>
      </c>
      <c r="P258" t="str">
        <f>"Q"&amp;ROUNDUP(MONTH(tblTransactions[[#This Row],[Date]])/3,0)&amp;"-"&amp;YEAR(tblTransactions[[#This Row],[Date]])</f>
        <v>Q1-2023</v>
      </c>
      <c r="Q258">
        <f>YEAR(tblTransactions[[#This Row],[Date]])</f>
        <v>2023</v>
      </c>
      <c r="R258" t="str">
        <f>TEXT(tblTransactions[[#This Row],[Date]],"DDDD")</f>
        <v>Tuesday</v>
      </c>
      <c r="S258">
        <f>MONTH(tblTransactions[[#This Row],[Date]])</f>
        <v>2</v>
      </c>
      <c r="T258" t="str">
        <f>VLOOKUP(E258, Products!$A:$B,2,0)</f>
        <v>Tablets Ele-1</v>
      </c>
      <c r="U258" t="str">
        <f>VLOOKUP(E258,Products!$A:$C,3,0)</f>
        <v>Electronics</v>
      </c>
      <c r="V258" t="str">
        <f>VLOOKUP(E258,Products!$A:$D,4,0)</f>
        <v>Tablets</v>
      </c>
      <c r="W258" t="str">
        <f>VLOOKUP(D258,Customers!$A:$C,3,0)</f>
        <v>B2B</v>
      </c>
      <c r="X258" t="str">
        <f>VLOOKUP(C258,Sales_Representatives!$A:$B,2,0)</f>
        <v>Michael Davis</v>
      </c>
    </row>
    <row r="259" spans="1:24" x14ac:dyDescent="0.3">
      <c r="A259" t="s">
        <v>469</v>
      </c>
      <c r="B259" t="s">
        <v>463</v>
      </c>
      <c r="C259" t="s">
        <v>131</v>
      </c>
      <c r="D259" t="s">
        <v>50</v>
      </c>
      <c r="E259" t="s">
        <v>105</v>
      </c>
      <c r="F259">
        <v>3</v>
      </c>
      <c r="G259">
        <v>1342.04</v>
      </c>
      <c r="H259">
        <v>0.01</v>
      </c>
      <c r="I259" s="4">
        <v>3985.86</v>
      </c>
      <c r="J259" t="s">
        <v>44</v>
      </c>
      <c r="K259" t="s">
        <v>39</v>
      </c>
      <c r="L259" s="4">
        <f>VLOOKUP(tblTransactions[[#This Row],[Product_ID]],tblProducts[],5,FALSE)</f>
        <v>792.89</v>
      </c>
      <c r="M259" s="4">
        <f>tblTransactions[[#This Row],[Total_Amount]]-(tblTransactions[[#This Row],[Cost_Prices]]*tblTransactions[[#This Row],[Quantity]]*(1-tblTransactions[[#This Row],[Discount]]))</f>
        <v>1630.9767000000002</v>
      </c>
      <c r="N259" s="3">
        <f>tblTransactions[[#This Row],[Profit]]/tblTransactions[[#This Row],[Total_Amount]]</f>
        <v>0.40919066399723025</v>
      </c>
      <c r="O259" t="str">
        <f>TEXT(tblTransactions[[#This Row],[Date]], "MMM-YYYY")</f>
        <v>Feb-2023</v>
      </c>
      <c r="P259" t="str">
        <f>"Q"&amp;ROUNDUP(MONTH(tblTransactions[[#This Row],[Date]])/3,0)&amp;"-"&amp;YEAR(tblTransactions[[#This Row],[Date]])</f>
        <v>Q1-2023</v>
      </c>
      <c r="Q259">
        <f>YEAR(tblTransactions[[#This Row],[Date]])</f>
        <v>2023</v>
      </c>
      <c r="R259" t="str">
        <f>TEXT(tblTransactions[[#This Row],[Date]],"DDDD")</f>
        <v>Tuesday</v>
      </c>
      <c r="S259">
        <f>MONTH(tblTransactions[[#This Row],[Date]])</f>
        <v>2</v>
      </c>
      <c r="T259" t="str">
        <f>VLOOKUP(E259, Products!$A:$B,2,0)</f>
        <v>Cameras Ele-1</v>
      </c>
      <c r="U259" t="str">
        <f>VLOOKUP(E259,Products!$A:$C,3,0)</f>
        <v>Electronics</v>
      </c>
      <c r="V259" t="str">
        <f>VLOOKUP(E259,Products!$A:$D,4,0)</f>
        <v>Cameras</v>
      </c>
      <c r="W259" t="str">
        <f>VLOOKUP(D259,Customers!$A:$C,3,0)</f>
        <v>Small Business</v>
      </c>
      <c r="X259" t="str">
        <f>VLOOKUP(C259,Sales_Representatives!$A:$B,2,0)</f>
        <v>Michael Davis</v>
      </c>
    </row>
    <row r="260" spans="1:24" x14ac:dyDescent="0.3">
      <c r="A260" t="s">
        <v>470</v>
      </c>
      <c r="B260" t="s">
        <v>463</v>
      </c>
      <c r="C260" t="s">
        <v>31</v>
      </c>
      <c r="D260" t="s">
        <v>98</v>
      </c>
      <c r="E260" t="s">
        <v>33</v>
      </c>
      <c r="F260">
        <v>7</v>
      </c>
      <c r="G260">
        <v>322.7</v>
      </c>
      <c r="H260">
        <v>0.09</v>
      </c>
      <c r="I260" s="4">
        <v>2055.6</v>
      </c>
      <c r="J260" t="s">
        <v>34</v>
      </c>
      <c r="K260" t="s">
        <v>17</v>
      </c>
      <c r="L260" s="4">
        <f>VLOOKUP(tblTransactions[[#This Row],[Product_ID]],tblProducts[],5,FALSE)</f>
        <v>139.81</v>
      </c>
      <c r="M260" s="4">
        <f>tblTransactions[[#This Row],[Total_Amount]]-(tblTransactions[[#This Row],[Cost_Prices]]*tblTransactions[[#This Row],[Quantity]]*(1-tblTransactions[[#This Row],[Discount]]))</f>
        <v>1165.0102999999999</v>
      </c>
      <c r="N260" s="3">
        <f>tblTransactions[[#This Row],[Profit]]/tblTransactions[[#This Row],[Total_Amount]]</f>
        <v>0.56674951352403191</v>
      </c>
      <c r="O260" t="str">
        <f>TEXT(tblTransactions[[#This Row],[Date]], "MMM-YYYY")</f>
        <v>Feb-2023</v>
      </c>
      <c r="P260" t="str">
        <f>"Q"&amp;ROUNDUP(MONTH(tblTransactions[[#This Row],[Date]])/3,0)&amp;"-"&amp;YEAR(tblTransactions[[#This Row],[Date]])</f>
        <v>Q1-2023</v>
      </c>
      <c r="Q260">
        <f>YEAR(tblTransactions[[#This Row],[Date]])</f>
        <v>2023</v>
      </c>
      <c r="R260" t="str">
        <f>TEXT(tblTransactions[[#This Row],[Date]],"DDDD")</f>
        <v>Tuesday</v>
      </c>
      <c r="S260">
        <f>MONTH(tblTransactions[[#This Row],[Date]])</f>
        <v>2</v>
      </c>
      <c r="T260" t="str">
        <f>VLOOKUP(E260, Products!$A:$B,2,0)</f>
        <v>Adapters Acc-1</v>
      </c>
      <c r="U260" t="str">
        <f>VLOOKUP(E260,Products!$A:$C,3,0)</f>
        <v>Accessories</v>
      </c>
      <c r="V260" t="str">
        <f>VLOOKUP(E260,Products!$A:$D,4,0)</f>
        <v>Adapters</v>
      </c>
      <c r="W260" t="str">
        <f>VLOOKUP(D260,Customers!$A:$C,3,0)</f>
        <v>B2C</v>
      </c>
      <c r="X260" t="str">
        <f>VLOOKUP(C260,Sales_Representatives!$A:$B,2,0)</f>
        <v>Thomas Martinez</v>
      </c>
    </row>
    <row r="261" spans="1:24" x14ac:dyDescent="0.3">
      <c r="A261" t="s">
        <v>471</v>
      </c>
      <c r="B261" t="s">
        <v>472</v>
      </c>
      <c r="C261" t="s">
        <v>19</v>
      </c>
      <c r="D261" t="s">
        <v>57</v>
      </c>
      <c r="E261" t="s">
        <v>116</v>
      </c>
      <c r="F261">
        <v>3</v>
      </c>
      <c r="G261">
        <v>232.86</v>
      </c>
      <c r="H261">
        <v>0.08</v>
      </c>
      <c r="I261" s="4">
        <v>642.69000000000005</v>
      </c>
      <c r="J261" t="s">
        <v>21</v>
      </c>
      <c r="K261" t="s">
        <v>17</v>
      </c>
      <c r="L261" s="4">
        <f>VLOOKUP(tblTransactions[[#This Row],[Product_ID]],tblProducts[],5,FALSE)</f>
        <v>116.79</v>
      </c>
      <c r="M261" s="4">
        <f>tblTransactions[[#This Row],[Total_Amount]]-(tblTransactions[[#This Row],[Cost_Prices]]*tblTransactions[[#This Row],[Quantity]]*(1-tblTransactions[[#This Row],[Discount]]))</f>
        <v>320.34960000000001</v>
      </c>
      <c r="N261" s="3">
        <f>tblTransactions[[#This Row],[Profit]]/tblTransactions[[#This Row],[Total_Amount]]</f>
        <v>0.49845119731130089</v>
      </c>
      <c r="O261" t="str">
        <f>TEXT(tblTransactions[[#This Row],[Date]], "MMM-YYYY")</f>
        <v>Mar-2023</v>
      </c>
      <c r="P261" t="str">
        <f>"Q"&amp;ROUNDUP(MONTH(tblTransactions[[#This Row],[Date]])/3,0)&amp;"-"&amp;YEAR(tblTransactions[[#This Row],[Date]])</f>
        <v>Q1-2023</v>
      </c>
      <c r="Q261">
        <f>YEAR(tblTransactions[[#This Row],[Date]])</f>
        <v>2023</v>
      </c>
      <c r="R261" t="str">
        <f>TEXT(tblTransactions[[#This Row],[Date]],"DDDD")</f>
        <v>Wednesday</v>
      </c>
      <c r="S261">
        <f>MONTH(tblTransactions[[#This Row],[Date]])</f>
        <v>3</v>
      </c>
      <c r="T261" t="str">
        <f>VLOOKUP(E261, Products!$A:$B,2,0)</f>
        <v>Folders Off-4</v>
      </c>
      <c r="U261" t="str">
        <f>VLOOKUP(E261,Products!$A:$C,3,0)</f>
        <v>Office Supplies</v>
      </c>
      <c r="V261" t="str">
        <f>VLOOKUP(E261,Products!$A:$D,4,0)</f>
        <v>Folders</v>
      </c>
      <c r="W261" t="str">
        <f>VLOOKUP(D261,Customers!$A:$C,3,0)</f>
        <v>Small Business</v>
      </c>
      <c r="X261" t="str">
        <f>VLOOKUP(C261,Sales_Representatives!$A:$B,2,0)</f>
        <v>Robert Jones</v>
      </c>
    </row>
    <row r="262" spans="1:24" x14ac:dyDescent="0.3">
      <c r="A262" t="s">
        <v>473</v>
      </c>
      <c r="B262" t="s">
        <v>472</v>
      </c>
      <c r="C262" t="s">
        <v>56</v>
      </c>
      <c r="D262" t="s">
        <v>50</v>
      </c>
      <c r="E262" t="s">
        <v>394</v>
      </c>
      <c r="F262">
        <v>5</v>
      </c>
      <c r="G262">
        <v>314.69</v>
      </c>
      <c r="H262">
        <v>0.09</v>
      </c>
      <c r="I262" s="4">
        <v>1431.84</v>
      </c>
      <c r="J262" t="s">
        <v>34</v>
      </c>
      <c r="K262" t="s">
        <v>35</v>
      </c>
      <c r="L262" s="4">
        <f>VLOOKUP(tblTransactions[[#This Row],[Product_ID]],tblProducts[],5,FALSE)</f>
        <v>185.43</v>
      </c>
      <c r="M262" s="4">
        <f>tblTransactions[[#This Row],[Total_Amount]]-(tblTransactions[[#This Row],[Cost_Prices]]*tblTransactions[[#This Row],[Quantity]]*(1-tblTransactions[[#This Row],[Discount]]))</f>
        <v>588.1334999999998</v>
      </c>
      <c r="N262" s="3">
        <f>tblTransactions[[#This Row],[Profit]]/tblTransactions[[#This Row],[Total_Amount]]</f>
        <v>0.41075364565873268</v>
      </c>
      <c r="O262" t="str">
        <f>TEXT(tblTransactions[[#This Row],[Date]], "MMM-YYYY")</f>
        <v>Mar-2023</v>
      </c>
      <c r="P262" t="str">
        <f>"Q"&amp;ROUNDUP(MONTH(tblTransactions[[#This Row],[Date]])/3,0)&amp;"-"&amp;YEAR(tblTransactions[[#This Row],[Date]])</f>
        <v>Q1-2023</v>
      </c>
      <c r="Q262">
        <f>YEAR(tblTransactions[[#This Row],[Date]])</f>
        <v>2023</v>
      </c>
      <c r="R262" t="str">
        <f>TEXT(tblTransactions[[#This Row],[Date]],"DDDD")</f>
        <v>Wednesday</v>
      </c>
      <c r="S262">
        <f>MONTH(tblTransactions[[#This Row],[Date]])</f>
        <v>3</v>
      </c>
      <c r="T262" t="str">
        <f>VLOOKUP(E262, Products!$A:$B,2,0)</f>
        <v>Desks Fur-1</v>
      </c>
      <c r="U262" t="str">
        <f>VLOOKUP(E262,Products!$A:$C,3,0)</f>
        <v>Furniture</v>
      </c>
      <c r="V262" t="str">
        <f>VLOOKUP(E262,Products!$A:$D,4,0)</f>
        <v>Desks</v>
      </c>
      <c r="W262" t="str">
        <f>VLOOKUP(D262,Customers!$A:$C,3,0)</f>
        <v>Small Business</v>
      </c>
      <c r="X262" t="str">
        <f>VLOOKUP(C262,Sales_Representatives!$A:$B,2,0)</f>
        <v>Thomas Hernandez</v>
      </c>
    </row>
    <row r="263" spans="1:24" x14ac:dyDescent="0.3">
      <c r="A263" t="s">
        <v>474</v>
      </c>
      <c r="B263" t="s">
        <v>472</v>
      </c>
      <c r="C263" t="s">
        <v>70</v>
      </c>
      <c r="D263" t="s">
        <v>183</v>
      </c>
      <c r="E263" t="s">
        <v>206</v>
      </c>
      <c r="F263">
        <v>4</v>
      </c>
      <c r="G263">
        <v>292.51</v>
      </c>
      <c r="H263">
        <v>0.08</v>
      </c>
      <c r="I263" s="4">
        <v>1076.44</v>
      </c>
      <c r="J263" t="s">
        <v>16</v>
      </c>
      <c r="K263" t="s">
        <v>48</v>
      </c>
      <c r="L263" s="4">
        <f>VLOOKUP(tblTransactions[[#This Row],[Product_ID]],tblProducts[],5,FALSE)</f>
        <v>122.08</v>
      </c>
      <c r="M263" s="4">
        <f>tblTransactions[[#This Row],[Total_Amount]]-(tblTransactions[[#This Row],[Cost_Prices]]*tblTransactions[[#This Row],[Quantity]]*(1-tblTransactions[[#This Row],[Discount]]))</f>
        <v>627.18560000000002</v>
      </c>
      <c r="N263" s="3">
        <f>tblTransactions[[#This Row],[Profit]]/tblTransactions[[#This Row],[Total_Amount]]</f>
        <v>0.58264798781167548</v>
      </c>
      <c r="O263" t="str">
        <f>TEXT(tblTransactions[[#This Row],[Date]], "MMM-YYYY")</f>
        <v>Mar-2023</v>
      </c>
      <c r="P263" t="str">
        <f>"Q"&amp;ROUNDUP(MONTH(tblTransactions[[#This Row],[Date]])/3,0)&amp;"-"&amp;YEAR(tblTransactions[[#This Row],[Date]])</f>
        <v>Q1-2023</v>
      </c>
      <c r="Q263">
        <f>YEAR(tblTransactions[[#This Row],[Date]])</f>
        <v>2023</v>
      </c>
      <c r="R263" t="str">
        <f>TEXT(tblTransactions[[#This Row],[Date]],"DDDD")</f>
        <v>Wednesday</v>
      </c>
      <c r="S263">
        <f>MONTH(tblTransactions[[#This Row],[Date]])</f>
        <v>3</v>
      </c>
      <c r="T263" t="str">
        <f>VLOOKUP(E263, Products!$A:$B,2,0)</f>
        <v>Keyboards Acc-1</v>
      </c>
      <c r="U263" t="str">
        <f>VLOOKUP(E263,Products!$A:$C,3,0)</f>
        <v>Accessories</v>
      </c>
      <c r="V263" t="str">
        <f>VLOOKUP(E263,Products!$A:$D,4,0)</f>
        <v>Keyboards</v>
      </c>
      <c r="W263" t="str">
        <f>VLOOKUP(D263,Customers!$A:$C,3,0)</f>
        <v>Small Business</v>
      </c>
      <c r="X263" t="str">
        <f>VLOOKUP(C263,Sales_Representatives!$A:$B,2,0)</f>
        <v>Linda Smith</v>
      </c>
    </row>
    <row r="264" spans="1:24" x14ac:dyDescent="0.3">
      <c r="A264" t="s">
        <v>475</v>
      </c>
      <c r="B264" t="s">
        <v>472</v>
      </c>
      <c r="C264" t="s">
        <v>13</v>
      </c>
      <c r="D264" t="s">
        <v>28</v>
      </c>
      <c r="E264" t="s">
        <v>96</v>
      </c>
      <c r="F264">
        <v>12</v>
      </c>
      <c r="G264">
        <v>751.9</v>
      </c>
      <c r="H264">
        <v>0.13</v>
      </c>
      <c r="I264" s="4">
        <v>7849.84</v>
      </c>
      <c r="J264" t="s">
        <v>16</v>
      </c>
      <c r="K264" t="s">
        <v>17</v>
      </c>
      <c r="L264" s="4">
        <f>VLOOKUP(tblTransactions[[#This Row],[Product_ID]],tblProducts[],5,FALSE)</f>
        <v>570.29</v>
      </c>
      <c r="M264" s="4">
        <f>tblTransactions[[#This Row],[Total_Amount]]-(tblTransactions[[#This Row],[Cost_Prices]]*tblTransactions[[#This Row],[Quantity]]*(1-tblTransactions[[#This Row],[Discount]]))</f>
        <v>1896.0124000000005</v>
      </c>
      <c r="N264" s="3">
        <f>tblTransactions[[#This Row],[Profit]]/tblTransactions[[#This Row],[Total_Amount]]</f>
        <v>0.24153516504795008</v>
      </c>
      <c r="O264" t="str">
        <f>TEXT(tblTransactions[[#This Row],[Date]], "MMM-YYYY")</f>
        <v>Mar-2023</v>
      </c>
      <c r="P264" t="str">
        <f>"Q"&amp;ROUNDUP(MONTH(tblTransactions[[#This Row],[Date]])/3,0)&amp;"-"&amp;YEAR(tblTransactions[[#This Row],[Date]])</f>
        <v>Q1-2023</v>
      </c>
      <c r="Q264">
        <f>YEAR(tblTransactions[[#This Row],[Date]])</f>
        <v>2023</v>
      </c>
      <c r="R264" t="str">
        <f>TEXT(tblTransactions[[#This Row],[Date]],"DDDD")</f>
        <v>Wednesday</v>
      </c>
      <c r="S264">
        <f>MONTH(tblTransactions[[#This Row],[Date]])</f>
        <v>3</v>
      </c>
      <c r="T264" t="str">
        <f>VLOOKUP(E264, Products!$A:$B,2,0)</f>
        <v>Routers Tec-1</v>
      </c>
      <c r="U264" t="str">
        <f>VLOOKUP(E264,Products!$A:$C,3,0)</f>
        <v>Technology</v>
      </c>
      <c r="V264" t="str">
        <f>VLOOKUP(E264,Products!$A:$D,4,0)</f>
        <v>Routers</v>
      </c>
      <c r="W264" t="str">
        <f>VLOOKUP(D264,Customers!$A:$C,3,0)</f>
        <v>B2B</v>
      </c>
      <c r="X264" t="str">
        <f>VLOOKUP(C264,Sales_Representatives!$A:$B,2,0)</f>
        <v>Jennifer Rodriguez</v>
      </c>
    </row>
    <row r="265" spans="1:24" x14ac:dyDescent="0.3">
      <c r="A265" t="s">
        <v>476</v>
      </c>
      <c r="B265" t="s">
        <v>477</v>
      </c>
      <c r="C265" t="s">
        <v>63</v>
      </c>
      <c r="D265" t="s">
        <v>210</v>
      </c>
      <c r="E265" t="s">
        <v>176</v>
      </c>
      <c r="F265">
        <v>16</v>
      </c>
      <c r="G265">
        <v>1462.68</v>
      </c>
      <c r="H265">
        <v>0.16</v>
      </c>
      <c r="I265" s="4">
        <v>19658.419999999998</v>
      </c>
      <c r="J265" t="s">
        <v>21</v>
      </c>
      <c r="K265" t="s">
        <v>22</v>
      </c>
      <c r="L265" s="4">
        <f>VLOOKUP(tblTransactions[[#This Row],[Product_ID]],tblProducts[],5,FALSE)</f>
        <v>775.94</v>
      </c>
      <c r="M265" s="4">
        <f>tblTransactions[[#This Row],[Total_Amount]]-(tblTransactions[[#This Row],[Cost_Prices]]*tblTransactions[[#This Row],[Quantity]]*(1-tblTransactions[[#This Row],[Discount]]))</f>
        <v>9229.7863999999972</v>
      </c>
      <c r="N265" s="3">
        <f>tblTransactions[[#This Row],[Profit]]/tblTransactions[[#This Row],[Total_Amount]]</f>
        <v>0.46950804795095424</v>
      </c>
      <c r="O265" t="str">
        <f>TEXT(tblTransactions[[#This Row],[Date]], "MMM-YYYY")</f>
        <v>Mar-2023</v>
      </c>
      <c r="P265" t="str">
        <f>"Q"&amp;ROUNDUP(MONTH(tblTransactions[[#This Row],[Date]])/3,0)&amp;"-"&amp;YEAR(tblTransactions[[#This Row],[Date]])</f>
        <v>Q1-2023</v>
      </c>
      <c r="Q265">
        <f>YEAR(tblTransactions[[#This Row],[Date]])</f>
        <v>2023</v>
      </c>
      <c r="R265" t="str">
        <f>TEXT(tblTransactions[[#This Row],[Date]],"DDDD")</f>
        <v>Thursday</v>
      </c>
      <c r="S265">
        <f>MONTH(tblTransactions[[#This Row],[Date]])</f>
        <v>3</v>
      </c>
      <c r="T265" t="str">
        <f>VLOOKUP(E265, Products!$A:$B,2,0)</f>
        <v>Chairs Fur-2</v>
      </c>
      <c r="U265" t="str">
        <f>VLOOKUP(E265,Products!$A:$C,3,0)</f>
        <v>Furniture</v>
      </c>
      <c r="V265" t="str">
        <f>VLOOKUP(E265,Products!$A:$D,4,0)</f>
        <v>Chairs</v>
      </c>
      <c r="W265" t="str">
        <f>VLOOKUP(D265,Customers!$A:$C,3,0)</f>
        <v>B2B</v>
      </c>
      <c r="X265" t="str">
        <f>VLOOKUP(C265,Sales_Representatives!$A:$B,2,0)</f>
        <v>Richard Wilson</v>
      </c>
    </row>
    <row r="266" spans="1:24" x14ac:dyDescent="0.3">
      <c r="A266" t="s">
        <v>478</v>
      </c>
      <c r="B266" t="s">
        <v>477</v>
      </c>
      <c r="C266" t="s">
        <v>41</v>
      </c>
      <c r="D266" t="s">
        <v>212</v>
      </c>
      <c r="E266" t="s">
        <v>479</v>
      </c>
      <c r="F266">
        <v>6</v>
      </c>
      <c r="G266">
        <v>239.6</v>
      </c>
      <c r="H266">
        <v>0.15</v>
      </c>
      <c r="I266" s="4">
        <v>1221.96</v>
      </c>
      <c r="J266" t="s">
        <v>44</v>
      </c>
      <c r="K266" t="s">
        <v>48</v>
      </c>
      <c r="L266" s="4">
        <f>VLOOKUP(tblTransactions[[#This Row],[Product_ID]],tblProducts[],5,FALSE)</f>
        <v>107.49</v>
      </c>
      <c r="M266" s="4">
        <f>tblTransactions[[#This Row],[Total_Amount]]-(tblTransactions[[#This Row],[Cost_Prices]]*tblTransactions[[#This Row],[Quantity]]*(1-tblTransactions[[#This Row],[Discount]]))</f>
        <v>673.76100000000008</v>
      </c>
      <c r="N266" s="3">
        <f>tblTransactions[[#This Row],[Profit]]/tblTransactions[[#This Row],[Total_Amount]]</f>
        <v>0.55137729549248748</v>
      </c>
      <c r="O266" t="str">
        <f>TEXT(tblTransactions[[#This Row],[Date]], "MMM-YYYY")</f>
        <v>Mar-2023</v>
      </c>
      <c r="P266" t="str">
        <f>"Q"&amp;ROUNDUP(MONTH(tblTransactions[[#This Row],[Date]])/3,0)&amp;"-"&amp;YEAR(tblTransactions[[#This Row],[Date]])</f>
        <v>Q1-2023</v>
      </c>
      <c r="Q266">
        <f>YEAR(tblTransactions[[#This Row],[Date]])</f>
        <v>2023</v>
      </c>
      <c r="R266" t="str">
        <f>TEXT(tblTransactions[[#This Row],[Date]],"DDDD")</f>
        <v>Thursday</v>
      </c>
      <c r="S266">
        <f>MONTH(tblTransactions[[#This Row],[Date]])</f>
        <v>3</v>
      </c>
      <c r="T266" t="str">
        <f>VLOOKUP(E266, Products!$A:$B,2,0)</f>
        <v>Pens Off-2</v>
      </c>
      <c r="U266" t="str">
        <f>VLOOKUP(E266,Products!$A:$C,3,0)</f>
        <v>Office Supplies</v>
      </c>
      <c r="V266" t="str">
        <f>VLOOKUP(E266,Products!$A:$D,4,0)</f>
        <v>Pens</v>
      </c>
      <c r="W266" t="str">
        <f>VLOOKUP(D266,Customers!$A:$C,3,0)</f>
        <v>B2C</v>
      </c>
      <c r="X266" t="str">
        <f>VLOOKUP(C266,Sales_Representatives!$A:$B,2,0)</f>
        <v>Robert Jones</v>
      </c>
    </row>
    <row r="267" spans="1:24" x14ac:dyDescent="0.3">
      <c r="A267" t="s">
        <v>480</v>
      </c>
      <c r="B267" t="s">
        <v>477</v>
      </c>
      <c r="C267" t="s">
        <v>31</v>
      </c>
      <c r="D267" t="s">
        <v>115</v>
      </c>
      <c r="E267" t="s">
        <v>481</v>
      </c>
      <c r="F267">
        <v>5</v>
      </c>
      <c r="G267">
        <v>263.58999999999997</v>
      </c>
      <c r="H267">
        <v>0.08</v>
      </c>
      <c r="I267" s="4">
        <v>1212.51</v>
      </c>
      <c r="J267" t="s">
        <v>34</v>
      </c>
      <c r="K267" t="s">
        <v>35</v>
      </c>
      <c r="L267" s="4">
        <f>VLOOKUP(tblTransactions[[#This Row],[Product_ID]],tblProducts[],5,FALSE)</f>
        <v>133.65</v>
      </c>
      <c r="M267" s="4">
        <f>tblTransactions[[#This Row],[Total_Amount]]-(tblTransactions[[#This Row],[Cost_Prices]]*tblTransactions[[#This Row],[Quantity]]*(1-tblTransactions[[#This Row],[Discount]]))</f>
        <v>597.71999999999991</v>
      </c>
      <c r="N267" s="3">
        <f>tblTransactions[[#This Row],[Profit]]/tblTransactions[[#This Row],[Total_Amount]]</f>
        <v>0.49296088279684286</v>
      </c>
      <c r="O267" t="str">
        <f>TEXT(tblTransactions[[#This Row],[Date]], "MMM-YYYY")</f>
        <v>Mar-2023</v>
      </c>
      <c r="P267" t="str">
        <f>"Q"&amp;ROUNDUP(MONTH(tblTransactions[[#This Row],[Date]])/3,0)&amp;"-"&amp;YEAR(tblTransactions[[#This Row],[Date]])</f>
        <v>Q1-2023</v>
      </c>
      <c r="Q267">
        <f>YEAR(tblTransactions[[#This Row],[Date]])</f>
        <v>2023</v>
      </c>
      <c r="R267" t="str">
        <f>TEXT(tblTransactions[[#This Row],[Date]],"DDDD")</f>
        <v>Thursday</v>
      </c>
      <c r="S267">
        <f>MONTH(tblTransactions[[#This Row],[Date]])</f>
        <v>3</v>
      </c>
      <c r="T267" t="str">
        <f>VLOOKUP(E267, Products!$A:$B,2,0)</f>
        <v>Folders Off-1</v>
      </c>
      <c r="U267" t="str">
        <f>VLOOKUP(E267,Products!$A:$C,3,0)</f>
        <v>Office Supplies</v>
      </c>
      <c r="V267" t="str">
        <f>VLOOKUP(E267,Products!$A:$D,4,0)</f>
        <v>Folders</v>
      </c>
      <c r="W267" t="str">
        <f>VLOOKUP(D267,Customers!$A:$C,3,0)</f>
        <v>B2C</v>
      </c>
      <c r="X267" t="str">
        <f>VLOOKUP(C267,Sales_Representatives!$A:$B,2,0)</f>
        <v>Thomas Martinez</v>
      </c>
    </row>
    <row r="268" spans="1:24" x14ac:dyDescent="0.3">
      <c r="A268" t="s">
        <v>482</v>
      </c>
      <c r="B268" t="s">
        <v>483</v>
      </c>
      <c r="C268" t="s">
        <v>56</v>
      </c>
      <c r="D268" t="s">
        <v>132</v>
      </c>
      <c r="E268" t="s">
        <v>84</v>
      </c>
      <c r="F268">
        <v>17</v>
      </c>
      <c r="G268">
        <v>1841.77</v>
      </c>
      <c r="H268">
        <v>0.15</v>
      </c>
      <c r="I268" s="4">
        <v>26613.58</v>
      </c>
      <c r="J268" t="s">
        <v>34</v>
      </c>
      <c r="K268" t="s">
        <v>22</v>
      </c>
      <c r="L268" s="4">
        <f>VLOOKUP(tblTransactions[[#This Row],[Product_ID]],tblProducts[],5,FALSE)</f>
        <v>1151.5899999999999</v>
      </c>
      <c r="M268" s="4">
        <f>tblTransactions[[#This Row],[Total_Amount]]-(tblTransactions[[#This Row],[Cost_Prices]]*tblTransactions[[#This Row],[Quantity]]*(1-tblTransactions[[#This Row],[Discount]]))</f>
        <v>9973.1045000000049</v>
      </c>
      <c r="N268" s="3">
        <f>tblTransactions[[#This Row],[Profit]]/tblTransactions[[#This Row],[Total_Amount]]</f>
        <v>0.37473742728336451</v>
      </c>
      <c r="O268" t="str">
        <f>TEXT(tblTransactions[[#This Row],[Date]], "MMM-YYYY")</f>
        <v>Mar-2023</v>
      </c>
      <c r="P268" t="str">
        <f>"Q"&amp;ROUNDUP(MONTH(tblTransactions[[#This Row],[Date]])/3,0)&amp;"-"&amp;YEAR(tblTransactions[[#This Row],[Date]])</f>
        <v>Q1-2023</v>
      </c>
      <c r="Q268">
        <f>YEAR(tblTransactions[[#This Row],[Date]])</f>
        <v>2023</v>
      </c>
      <c r="R268" t="str">
        <f>TEXT(tblTransactions[[#This Row],[Date]],"DDDD")</f>
        <v>Friday</v>
      </c>
      <c r="S268">
        <f>MONTH(tblTransactions[[#This Row],[Date]])</f>
        <v>3</v>
      </c>
      <c r="T268" t="str">
        <f>VLOOKUP(E268, Products!$A:$B,2,0)</f>
        <v>Laptops Ele-2</v>
      </c>
      <c r="U268" t="str">
        <f>VLOOKUP(E268,Products!$A:$C,3,0)</f>
        <v>Electronics</v>
      </c>
      <c r="V268" t="str">
        <f>VLOOKUP(E268,Products!$A:$D,4,0)</f>
        <v>Laptops</v>
      </c>
      <c r="W268" t="str">
        <f>VLOOKUP(D268,Customers!$A:$C,3,0)</f>
        <v>B2B</v>
      </c>
      <c r="X268" t="str">
        <f>VLOOKUP(C268,Sales_Representatives!$A:$B,2,0)</f>
        <v>Thomas Hernandez</v>
      </c>
    </row>
    <row r="269" spans="1:24" x14ac:dyDescent="0.3">
      <c r="A269" t="s">
        <v>484</v>
      </c>
      <c r="B269" t="s">
        <v>483</v>
      </c>
      <c r="C269" t="s">
        <v>56</v>
      </c>
      <c r="D269" t="s">
        <v>136</v>
      </c>
      <c r="E269" t="s">
        <v>125</v>
      </c>
      <c r="F269">
        <v>2</v>
      </c>
      <c r="G269">
        <v>1201.4000000000001</v>
      </c>
      <c r="H269">
        <v>0.09</v>
      </c>
      <c r="I269" s="4">
        <v>2186.5500000000002</v>
      </c>
      <c r="J269" t="s">
        <v>34</v>
      </c>
      <c r="K269" t="s">
        <v>39</v>
      </c>
      <c r="L269" s="4">
        <f>VLOOKUP(tblTransactions[[#This Row],[Product_ID]],tblProducts[],5,FALSE)</f>
        <v>672.72</v>
      </c>
      <c r="M269" s="4">
        <f>tblTransactions[[#This Row],[Total_Amount]]-(tblTransactions[[#This Row],[Cost_Prices]]*tblTransactions[[#This Row],[Quantity]]*(1-tblTransactions[[#This Row],[Discount]]))</f>
        <v>962.19960000000015</v>
      </c>
      <c r="N269" s="3">
        <f>tblTransactions[[#This Row],[Profit]]/tblTransactions[[#This Row],[Total_Amount]]</f>
        <v>0.4400537833573438</v>
      </c>
      <c r="O269" t="str">
        <f>TEXT(tblTransactions[[#This Row],[Date]], "MMM-YYYY")</f>
        <v>Mar-2023</v>
      </c>
      <c r="P269" t="str">
        <f>"Q"&amp;ROUNDUP(MONTH(tblTransactions[[#This Row],[Date]])/3,0)&amp;"-"&amp;YEAR(tblTransactions[[#This Row],[Date]])</f>
        <v>Q1-2023</v>
      </c>
      <c r="Q269">
        <f>YEAR(tblTransactions[[#This Row],[Date]])</f>
        <v>2023</v>
      </c>
      <c r="R269" t="str">
        <f>TEXT(tblTransactions[[#This Row],[Date]],"DDDD")</f>
        <v>Friday</v>
      </c>
      <c r="S269">
        <f>MONTH(tblTransactions[[#This Row],[Date]])</f>
        <v>3</v>
      </c>
      <c r="T269" t="str">
        <f>VLOOKUP(E269, Products!$A:$B,2,0)</f>
        <v>Printers Tec-2</v>
      </c>
      <c r="U269" t="str">
        <f>VLOOKUP(E269,Products!$A:$C,3,0)</f>
        <v>Technology</v>
      </c>
      <c r="V269" t="str">
        <f>VLOOKUP(E269,Products!$A:$D,4,0)</f>
        <v>Printers</v>
      </c>
      <c r="W269" t="str">
        <f>VLOOKUP(D269,Customers!$A:$C,3,0)</f>
        <v>B2B</v>
      </c>
      <c r="X269" t="str">
        <f>VLOOKUP(C269,Sales_Representatives!$A:$B,2,0)</f>
        <v>Thomas Hernandez</v>
      </c>
    </row>
    <row r="270" spans="1:24" x14ac:dyDescent="0.3">
      <c r="A270" t="s">
        <v>485</v>
      </c>
      <c r="B270" t="s">
        <v>483</v>
      </c>
      <c r="C270" t="s">
        <v>131</v>
      </c>
      <c r="D270" t="s">
        <v>247</v>
      </c>
      <c r="E270" t="s">
        <v>53</v>
      </c>
      <c r="F270">
        <v>4</v>
      </c>
      <c r="G270">
        <v>2069.2199999999998</v>
      </c>
      <c r="H270">
        <v>7.0000000000000007E-2</v>
      </c>
      <c r="I270" s="4">
        <v>7697.5</v>
      </c>
      <c r="J270" t="s">
        <v>44</v>
      </c>
      <c r="K270" t="s">
        <v>17</v>
      </c>
      <c r="L270" s="4">
        <f>VLOOKUP(tblTransactions[[#This Row],[Product_ID]],tblProducts[],5,FALSE)</f>
        <v>1451.18</v>
      </c>
      <c r="M270" s="4">
        <f>tblTransactions[[#This Row],[Total_Amount]]-(tblTransactions[[#This Row],[Cost_Prices]]*tblTransactions[[#This Row],[Quantity]]*(1-tblTransactions[[#This Row],[Discount]]))</f>
        <v>2299.1104000000005</v>
      </c>
      <c r="N270" s="3">
        <f>tblTransactions[[#This Row],[Profit]]/tblTransactions[[#This Row],[Total_Amount]]</f>
        <v>0.29868274114972398</v>
      </c>
      <c r="O270" t="str">
        <f>TEXT(tblTransactions[[#This Row],[Date]], "MMM-YYYY")</f>
        <v>Mar-2023</v>
      </c>
      <c r="P270" t="str">
        <f>"Q"&amp;ROUNDUP(MONTH(tblTransactions[[#This Row],[Date]])/3,0)&amp;"-"&amp;YEAR(tblTransactions[[#This Row],[Date]])</f>
        <v>Q1-2023</v>
      </c>
      <c r="Q270">
        <f>YEAR(tblTransactions[[#This Row],[Date]])</f>
        <v>2023</v>
      </c>
      <c r="R270" t="str">
        <f>TEXT(tblTransactions[[#This Row],[Date]],"DDDD")</f>
        <v>Friday</v>
      </c>
      <c r="S270">
        <f>MONTH(tblTransactions[[#This Row],[Date]])</f>
        <v>3</v>
      </c>
      <c r="T270" t="str">
        <f>VLOOKUP(E270, Products!$A:$B,2,0)</f>
        <v>Printers Tec-3</v>
      </c>
      <c r="U270" t="str">
        <f>VLOOKUP(E270,Products!$A:$C,3,0)</f>
        <v>Technology</v>
      </c>
      <c r="V270" t="str">
        <f>VLOOKUP(E270,Products!$A:$D,4,0)</f>
        <v>Printers</v>
      </c>
      <c r="W270" t="str">
        <f>VLOOKUP(D270,Customers!$A:$C,3,0)</f>
        <v>B2C</v>
      </c>
      <c r="X270" t="str">
        <f>VLOOKUP(C270,Sales_Representatives!$A:$B,2,0)</f>
        <v>Michael Davis</v>
      </c>
    </row>
    <row r="271" spans="1:24" x14ac:dyDescent="0.3">
      <c r="A271" t="s">
        <v>486</v>
      </c>
      <c r="B271" t="s">
        <v>487</v>
      </c>
      <c r="C271" t="s">
        <v>131</v>
      </c>
      <c r="D271" t="s">
        <v>183</v>
      </c>
      <c r="E271" t="s">
        <v>479</v>
      </c>
      <c r="F271">
        <v>2</v>
      </c>
      <c r="G271">
        <v>239.6</v>
      </c>
      <c r="H271">
        <v>0.02</v>
      </c>
      <c r="I271" s="4">
        <v>469.62</v>
      </c>
      <c r="J271" t="s">
        <v>44</v>
      </c>
      <c r="K271" t="s">
        <v>48</v>
      </c>
      <c r="L271" s="4">
        <f>VLOOKUP(tblTransactions[[#This Row],[Product_ID]],tblProducts[],5,FALSE)</f>
        <v>107.49</v>
      </c>
      <c r="M271" s="4">
        <f>tblTransactions[[#This Row],[Total_Amount]]-(tblTransactions[[#This Row],[Cost_Prices]]*tblTransactions[[#This Row],[Quantity]]*(1-tblTransactions[[#This Row],[Discount]]))</f>
        <v>258.93960000000004</v>
      </c>
      <c r="N271" s="3">
        <f>tblTransactions[[#This Row],[Profit]]/tblTransactions[[#This Row],[Total_Amount]]</f>
        <v>0.55138111664750233</v>
      </c>
      <c r="O271" t="str">
        <f>TEXT(tblTransactions[[#This Row],[Date]], "MMM-YYYY")</f>
        <v>Mar-2023</v>
      </c>
      <c r="P271" t="str">
        <f>"Q"&amp;ROUNDUP(MONTH(tblTransactions[[#This Row],[Date]])/3,0)&amp;"-"&amp;YEAR(tblTransactions[[#This Row],[Date]])</f>
        <v>Q1-2023</v>
      </c>
      <c r="Q271">
        <f>YEAR(tblTransactions[[#This Row],[Date]])</f>
        <v>2023</v>
      </c>
      <c r="R271" t="str">
        <f>TEXT(tblTransactions[[#This Row],[Date]],"DDDD")</f>
        <v>Saturday</v>
      </c>
      <c r="S271">
        <f>MONTH(tblTransactions[[#This Row],[Date]])</f>
        <v>3</v>
      </c>
      <c r="T271" t="str">
        <f>VLOOKUP(E271, Products!$A:$B,2,0)</f>
        <v>Pens Off-2</v>
      </c>
      <c r="U271" t="str">
        <f>VLOOKUP(E271,Products!$A:$C,3,0)</f>
        <v>Office Supplies</v>
      </c>
      <c r="V271" t="str">
        <f>VLOOKUP(E271,Products!$A:$D,4,0)</f>
        <v>Pens</v>
      </c>
      <c r="W271" t="str">
        <f>VLOOKUP(D271,Customers!$A:$C,3,0)</f>
        <v>Small Business</v>
      </c>
      <c r="X271" t="str">
        <f>VLOOKUP(C271,Sales_Representatives!$A:$B,2,0)</f>
        <v>Michael Davis</v>
      </c>
    </row>
    <row r="272" spans="1:24" x14ac:dyDescent="0.3">
      <c r="A272" t="s">
        <v>488</v>
      </c>
      <c r="B272" t="s">
        <v>487</v>
      </c>
      <c r="C272" t="s">
        <v>75</v>
      </c>
      <c r="D272" t="s">
        <v>212</v>
      </c>
      <c r="E272" t="s">
        <v>87</v>
      </c>
      <c r="F272">
        <v>4</v>
      </c>
      <c r="G272">
        <v>1047.8900000000001</v>
      </c>
      <c r="H272">
        <v>0</v>
      </c>
      <c r="I272" s="4">
        <v>4191.5600000000004</v>
      </c>
      <c r="J272" t="s">
        <v>44</v>
      </c>
      <c r="K272" t="s">
        <v>39</v>
      </c>
      <c r="L272" s="4">
        <f>VLOOKUP(tblTransactions[[#This Row],[Product_ID]],tblProducts[],5,FALSE)</f>
        <v>742.63</v>
      </c>
      <c r="M272" s="4">
        <f>tblTransactions[[#This Row],[Total_Amount]]-(tblTransactions[[#This Row],[Cost_Prices]]*tblTransactions[[#This Row],[Quantity]]*(1-tblTransactions[[#This Row],[Discount]]))</f>
        <v>1221.0400000000004</v>
      </c>
      <c r="N272" s="3">
        <f>tblTransactions[[#This Row],[Profit]]/tblTransactions[[#This Row],[Total_Amount]]</f>
        <v>0.29130920230176838</v>
      </c>
      <c r="O272" t="str">
        <f>TEXT(tblTransactions[[#This Row],[Date]], "MMM-YYYY")</f>
        <v>Mar-2023</v>
      </c>
      <c r="P272" t="str">
        <f>"Q"&amp;ROUNDUP(MONTH(tblTransactions[[#This Row],[Date]])/3,0)&amp;"-"&amp;YEAR(tblTransactions[[#This Row],[Date]])</f>
        <v>Q1-2023</v>
      </c>
      <c r="Q272">
        <f>YEAR(tblTransactions[[#This Row],[Date]])</f>
        <v>2023</v>
      </c>
      <c r="R272" t="str">
        <f>TEXT(tblTransactions[[#This Row],[Date]],"DDDD")</f>
        <v>Saturday</v>
      </c>
      <c r="S272">
        <f>MONTH(tblTransactions[[#This Row],[Date]])</f>
        <v>3</v>
      </c>
      <c r="T272" t="str">
        <f>VLOOKUP(E272, Products!$A:$B,2,0)</f>
        <v>Monitors Tec-2</v>
      </c>
      <c r="U272" t="str">
        <f>VLOOKUP(E272,Products!$A:$C,3,0)</f>
        <v>Technology</v>
      </c>
      <c r="V272" t="str">
        <f>VLOOKUP(E272,Products!$A:$D,4,0)</f>
        <v>Monitors</v>
      </c>
      <c r="W272" t="str">
        <f>VLOOKUP(D272,Customers!$A:$C,3,0)</f>
        <v>B2C</v>
      </c>
      <c r="X272" t="str">
        <f>VLOOKUP(C272,Sales_Representatives!$A:$B,2,0)</f>
        <v>Jessica Anderson</v>
      </c>
    </row>
    <row r="273" spans="1:24" x14ac:dyDescent="0.3">
      <c r="A273" t="s">
        <v>489</v>
      </c>
      <c r="B273" t="s">
        <v>487</v>
      </c>
      <c r="C273" t="s">
        <v>59</v>
      </c>
      <c r="D273" t="s">
        <v>183</v>
      </c>
      <c r="E273" t="s">
        <v>310</v>
      </c>
      <c r="F273">
        <v>3</v>
      </c>
      <c r="G273">
        <v>274.13</v>
      </c>
      <c r="H273">
        <v>0.08</v>
      </c>
      <c r="I273" s="4">
        <v>756.6</v>
      </c>
      <c r="J273" t="s">
        <v>21</v>
      </c>
      <c r="K273" t="s">
        <v>22</v>
      </c>
      <c r="L273" s="4">
        <f>VLOOKUP(tblTransactions[[#This Row],[Product_ID]],tblProducts[],5,FALSE)</f>
        <v>134.41999999999999</v>
      </c>
      <c r="M273" s="4">
        <f>tblTransactions[[#This Row],[Total_Amount]]-(tblTransactions[[#This Row],[Cost_Prices]]*tblTransactions[[#This Row],[Quantity]]*(1-tblTransactions[[#This Row],[Discount]]))</f>
        <v>385.60079999999999</v>
      </c>
      <c r="N273" s="3">
        <f>tblTransactions[[#This Row],[Profit]]/tblTransactions[[#This Row],[Total_Amount]]</f>
        <v>0.5096494845360825</v>
      </c>
      <c r="O273" t="str">
        <f>TEXT(tblTransactions[[#This Row],[Date]], "MMM-YYYY")</f>
        <v>Mar-2023</v>
      </c>
      <c r="P273" t="str">
        <f>"Q"&amp;ROUNDUP(MONTH(tblTransactions[[#This Row],[Date]])/3,0)&amp;"-"&amp;YEAR(tblTransactions[[#This Row],[Date]])</f>
        <v>Q1-2023</v>
      </c>
      <c r="Q273">
        <f>YEAR(tblTransactions[[#This Row],[Date]])</f>
        <v>2023</v>
      </c>
      <c r="R273" t="str">
        <f>TEXT(tblTransactions[[#This Row],[Date]],"DDDD")</f>
        <v>Saturday</v>
      </c>
      <c r="S273">
        <f>MONTH(tblTransactions[[#This Row],[Date]])</f>
        <v>3</v>
      </c>
      <c r="T273" t="str">
        <f>VLOOKUP(E273, Products!$A:$B,2,0)</f>
        <v>Adapters Acc-4</v>
      </c>
      <c r="U273" t="str">
        <f>VLOOKUP(E273,Products!$A:$C,3,0)</f>
        <v>Accessories</v>
      </c>
      <c r="V273" t="str">
        <f>VLOOKUP(E273,Products!$A:$D,4,0)</f>
        <v>Adapters</v>
      </c>
      <c r="W273" t="str">
        <f>VLOOKUP(D273,Customers!$A:$C,3,0)</f>
        <v>Small Business</v>
      </c>
      <c r="X273" t="str">
        <f>VLOOKUP(C273,Sales_Representatives!$A:$B,2,0)</f>
        <v>Sarah Brown</v>
      </c>
    </row>
    <row r="274" spans="1:24" x14ac:dyDescent="0.3">
      <c r="A274" t="s">
        <v>490</v>
      </c>
      <c r="B274" t="s">
        <v>487</v>
      </c>
      <c r="C274" t="s">
        <v>31</v>
      </c>
      <c r="D274" t="s">
        <v>93</v>
      </c>
      <c r="E274" t="s">
        <v>264</v>
      </c>
      <c r="F274">
        <v>5</v>
      </c>
      <c r="G274">
        <v>607.29999999999995</v>
      </c>
      <c r="H274">
        <v>0</v>
      </c>
      <c r="I274" s="4">
        <v>3036.5</v>
      </c>
      <c r="J274" t="s">
        <v>34</v>
      </c>
      <c r="K274" t="s">
        <v>35</v>
      </c>
      <c r="L274" s="4">
        <f>VLOOKUP(tblTransactions[[#This Row],[Product_ID]],tblProducts[],5,FALSE)</f>
        <v>436.37</v>
      </c>
      <c r="M274" s="4">
        <f>tblTransactions[[#This Row],[Total_Amount]]-(tblTransactions[[#This Row],[Cost_Prices]]*tblTransactions[[#This Row],[Quantity]]*(1-tblTransactions[[#This Row],[Discount]]))</f>
        <v>854.65000000000009</v>
      </c>
      <c r="N274" s="3">
        <f>tblTransactions[[#This Row],[Profit]]/tblTransactions[[#This Row],[Total_Amount]]</f>
        <v>0.28145891651572535</v>
      </c>
      <c r="O274" t="str">
        <f>TEXT(tblTransactions[[#This Row],[Date]], "MMM-YYYY")</f>
        <v>Mar-2023</v>
      </c>
      <c r="P274" t="str">
        <f>"Q"&amp;ROUNDUP(MONTH(tblTransactions[[#This Row],[Date]])/3,0)&amp;"-"&amp;YEAR(tblTransactions[[#This Row],[Date]])</f>
        <v>Q1-2023</v>
      </c>
      <c r="Q274">
        <f>YEAR(tblTransactions[[#This Row],[Date]])</f>
        <v>2023</v>
      </c>
      <c r="R274" t="str">
        <f>TEXT(tblTransactions[[#This Row],[Date]],"DDDD")</f>
        <v>Saturday</v>
      </c>
      <c r="S274">
        <f>MONTH(tblTransactions[[#This Row],[Date]])</f>
        <v>3</v>
      </c>
      <c r="T274" t="str">
        <f>VLOOKUP(E274, Products!$A:$B,2,0)</f>
        <v>Tablets Ele-4</v>
      </c>
      <c r="U274" t="str">
        <f>VLOOKUP(E274,Products!$A:$C,3,0)</f>
        <v>Electronics</v>
      </c>
      <c r="V274" t="str">
        <f>VLOOKUP(E274,Products!$A:$D,4,0)</f>
        <v>Tablets</v>
      </c>
      <c r="W274" t="str">
        <f>VLOOKUP(D274,Customers!$A:$C,3,0)</f>
        <v>B2C</v>
      </c>
      <c r="X274" t="str">
        <f>VLOOKUP(C274,Sales_Representatives!$A:$B,2,0)</f>
        <v>Thomas Martinez</v>
      </c>
    </row>
    <row r="275" spans="1:24" x14ac:dyDescent="0.3">
      <c r="A275" t="s">
        <v>491</v>
      </c>
      <c r="B275" t="s">
        <v>487</v>
      </c>
      <c r="C275" t="s">
        <v>75</v>
      </c>
      <c r="D275" t="s">
        <v>60</v>
      </c>
      <c r="E275" t="s">
        <v>96</v>
      </c>
      <c r="F275">
        <v>1</v>
      </c>
      <c r="G275">
        <v>751.9</v>
      </c>
      <c r="H275">
        <v>0.01</v>
      </c>
      <c r="I275" s="4">
        <v>744.38</v>
      </c>
      <c r="J275" t="s">
        <v>44</v>
      </c>
      <c r="K275" t="s">
        <v>17</v>
      </c>
      <c r="L275" s="4">
        <f>VLOOKUP(tblTransactions[[#This Row],[Product_ID]],tblProducts[],5,FALSE)</f>
        <v>570.29</v>
      </c>
      <c r="M275" s="4">
        <f>tblTransactions[[#This Row],[Total_Amount]]-(tblTransactions[[#This Row],[Cost_Prices]]*tblTransactions[[#This Row],[Quantity]]*(1-tblTransactions[[#This Row],[Discount]]))</f>
        <v>179.79290000000003</v>
      </c>
      <c r="N275" s="3">
        <f>tblTransactions[[#This Row],[Profit]]/tblTransactions[[#This Row],[Total_Amount]]</f>
        <v>0.24153375963889415</v>
      </c>
      <c r="O275" t="str">
        <f>TEXT(tblTransactions[[#This Row],[Date]], "MMM-YYYY")</f>
        <v>Mar-2023</v>
      </c>
      <c r="P275" t="str">
        <f>"Q"&amp;ROUNDUP(MONTH(tblTransactions[[#This Row],[Date]])/3,0)&amp;"-"&amp;YEAR(tblTransactions[[#This Row],[Date]])</f>
        <v>Q1-2023</v>
      </c>
      <c r="Q275">
        <f>YEAR(tblTransactions[[#This Row],[Date]])</f>
        <v>2023</v>
      </c>
      <c r="R275" t="str">
        <f>TEXT(tblTransactions[[#This Row],[Date]],"DDDD")</f>
        <v>Saturday</v>
      </c>
      <c r="S275">
        <f>MONTH(tblTransactions[[#This Row],[Date]])</f>
        <v>3</v>
      </c>
      <c r="T275" t="str">
        <f>VLOOKUP(E275, Products!$A:$B,2,0)</f>
        <v>Routers Tec-1</v>
      </c>
      <c r="U275" t="str">
        <f>VLOOKUP(E275,Products!$A:$C,3,0)</f>
        <v>Technology</v>
      </c>
      <c r="V275" t="str">
        <f>VLOOKUP(E275,Products!$A:$D,4,0)</f>
        <v>Routers</v>
      </c>
      <c r="W275" t="str">
        <f>VLOOKUP(D275,Customers!$A:$C,3,0)</f>
        <v>B2C</v>
      </c>
      <c r="X275" t="str">
        <f>VLOOKUP(C275,Sales_Representatives!$A:$B,2,0)</f>
        <v>Jessica Anderson</v>
      </c>
    </row>
    <row r="276" spans="1:24" x14ac:dyDescent="0.3">
      <c r="A276" t="s">
        <v>492</v>
      </c>
      <c r="B276" t="s">
        <v>493</v>
      </c>
      <c r="C276" t="s">
        <v>70</v>
      </c>
      <c r="D276" t="s">
        <v>83</v>
      </c>
      <c r="E276" t="s">
        <v>99</v>
      </c>
      <c r="F276">
        <v>7</v>
      </c>
      <c r="G276">
        <v>325.14</v>
      </c>
      <c r="H276">
        <v>0.05</v>
      </c>
      <c r="I276" s="4">
        <v>2162.1799999999998</v>
      </c>
      <c r="J276" t="s">
        <v>16</v>
      </c>
      <c r="K276" t="s">
        <v>39</v>
      </c>
      <c r="L276" s="4">
        <f>VLOOKUP(tblTransactions[[#This Row],[Product_ID]],tblProducts[],5,FALSE)</f>
        <v>209.04</v>
      </c>
      <c r="M276" s="4">
        <f>tblTransactions[[#This Row],[Total_Amount]]-(tblTransactions[[#This Row],[Cost_Prices]]*tblTransactions[[#This Row],[Quantity]]*(1-tblTransactions[[#This Row],[Discount]]))</f>
        <v>772.06399999999985</v>
      </c>
      <c r="N276" s="3">
        <f>tblTransactions[[#This Row],[Profit]]/tblTransactions[[#This Row],[Total_Amount]]</f>
        <v>0.35707665411760348</v>
      </c>
      <c r="O276" t="str">
        <f>TEXT(tblTransactions[[#This Row],[Date]], "MMM-YYYY")</f>
        <v>Mar-2023</v>
      </c>
      <c r="P276" t="str">
        <f>"Q"&amp;ROUNDUP(MONTH(tblTransactions[[#This Row],[Date]])/3,0)&amp;"-"&amp;YEAR(tblTransactions[[#This Row],[Date]])</f>
        <v>Q1-2023</v>
      </c>
      <c r="Q276">
        <f>YEAR(tblTransactions[[#This Row],[Date]])</f>
        <v>2023</v>
      </c>
      <c r="R276" t="str">
        <f>TEXT(tblTransactions[[#This Row],[Date]],"DDDD")</f>
        <v>Sunday</v>
      </c>
      <c r="S276">
        <f>MONTH(tblTransactions[[#This Row],[Date]])</f>
        <v>3</v>
      </c>
      <c r="T276" t="str">
        <f>VLOOKUP(E276, Products!$A:$B,2,0)</f>
        <v>Monitors Tec-1</v>
      </c>
      <c r="U276" t="str">
        <f>VLOOKUP(E276,Products!$A:$C,3,0)</f>
        <v>Technology</v>
      </c>
      <c r="V276" t="str">
        <f>VLOOKUP(E276,Products!$A:$D,4,0)</f>
        <v>Monitors</v>
      </c>
      <c r="W276" t="str">
        <f>VLOOKUP(D276,Customers!$A:$C,3,0)</f>
        <v>Small Business</v>
      </c>
      <c r="X276" t="str">
        <f>VLOOKUP(C276,Sales_Representatives!$A:$B,2,0)</f>
        <v>Linda Smith</v>
      </c>
    </row>
    <row r="277" spans="1:24" x14ac:dyDescent="0.3">
      <c r="A277" t="s">
        <v>494</v>
      </c>
      <c r="B277" t="s">
        <v>493</v>
      </c>
      <c r="C277" t="s">
        <v>13</v>
      </c>
      <c r="D277" t="s">
        <v>128</v>
      </c>
      <c r="E277" t="s">
        <v>176</v>
      </c>
      <c r="F277">
        <v>16</v>
      </c>
      <c r="G277">
        <v>1462.68</v>
      </c>
      <c r="H277">
        <v>0.12</v>
      </c>
      <c r="I277" s="4">
        <v>20594.53</v>
      </c>
      <c r="J277" t="s">
        <v>16</v>
      </c>
      <c r="K277" t="s">
        <v>39</v>
      </c>
      <c r="L277" s="4">
        <f>VLOOKUP(tblTransactions[[#This Row],[Product_ID]],tblProducts[],5,FALSE)</f>
        <v>775.94</v>
      </c>
      <c r="M277" s="4">
        <f>tblTransactions[[#This Row],[Total_Amount]]-(tblTransactions[[#This Row],[Cost_Prices]]*tblTransactions[[#This Row],[Quantity]]*(1-tblTransactions[[#This Row],[Discount]]))</f>
        <v>9669.2947999999978</v>
      </c>
      <c r="N277" s="3">
        <f>tblTransactions[[#This Row],[Profit]]/tblTransactions[[#This Row],[Total_Amount]]</f>
        <v>0.46950791302350664</v>
      </c>
      <c r="O277" t="str">
        <f>TEXT(tblTransactions[[#This Row],[Date]], "MMM-YYYY")</f>
        <v>Mar-2023</v>
      </c>
      <c r="P277" t="str">
        <f>"Q"&amp;ROUNDUP(MONTH(tblTransactions[[#This Row],[Date]])/3,0)&amp;"-"&amp;YEAR(tblTransactions[[#This Row],[Date]])</f>
        <v>Q1-2023</v>
      </c>
      <c r="Q277">
        <f>YEAR(tblTransactions[[#This Row],[Date]])</f>
        <v>2023</v>
      </c>
      <c r="R277" t="str">
        <f>TEXT(tblTransactions[[#This Row],[Date]],"DDDD")</f>
        <v>Sunday</v>
      </c>
      <c r="S277">
        <f>MONTH(tblTransactions[[#This Row],[Date]])</f>
        <v>3</v>
      </c>
      <c r="T277" t="str">
        <f>VLOOKUP(E277, Products!$A:$B,2,0)</f>
        <v>Chairs Fur-2</v>
      </c>
      <c r="U277" t="str">
        <f>VLOOKUP(E277,Products!$A:$C,3,0)</f>
        <v>Furniture</v>
      </c>
      <c r="V277" t="str">
        <f>VLOOKUP(E277,Products!$A:$D,4,0)</f>
        <v>Chairs</v>
      </c>
      <c r="W277" t="str">
        <f>VLOOKUP(D277,Customers!$A:$C,3,0)</f>
        <v>B2B</v>
      </c>
      <c r="X277" t="str">
        <f>VLOOKUP(C277,Sales_Representatives!$A:$B,2,0)</f>
        <v>Jennifer Rodriguez</v>
      </c>
    </row>
    <row r="278" spans="1:24" x14ac:dyDescent="0.3">
      <c r="A278" t="s">
        <v>495</v>
      </c>
      <c r="B278" t="s">
        <v>496</v>
      </c>
      <c r="C278" t="s">
        <v>59</v>
      </c>
      <c r="D278" t="s">
        <v>118</v>
      </c>
      <c r="E278" t="s">
        <v>255</v>
      </c>
      <c r="F278">
        <v>6</v>
      </c>
      <c r="G278">
        <v>1444.13</v>
      </c>
      <c r="H278">
        <v>0.05</v>
      </c>
      <c r="I278" s="4">
        <v>8231.5400000000009</v>
      </c>
      <c r="J278" t="s">
        <v>21</v>
      </c>
      <c r="K278" t="s">
        <v>39</v>
      </c>
      <c r="L278" s="4">
        <f>VLOOKUP(tblTransactions[[#This Row],[Product_ID]],tblProducts[],5,FALSE)</f>
        <v>874.43</v>
      </c>
      <c r="M278" s="4">
        <f>tblTransactions[[#This Row],[Total_Amount]]-(tblTransactions[[#This Row],[Cost_Prices]]*tblTransactions[[#This Row],[Quantity]]*(1-tblTransactions[[#This Row],[Discount]]))</f>
        <v>3247.2890000000016</v>
      </c>
      <c r="N278" s="3">
        <f>tblTransactions[[#This Row],[Profit]]/tblTransactions[[#This Row],[Total_Amount]]</f>
        <v>0.39449349696411623</v>
      </c>
      <c r="O278" t="str">
        <f>TEXT(tblTransactions[[#This Row],[Date]], "MMM-YYYY")</f>
        <v>Mar-2023</v>
      </c>
      <c r="P278" t="str">
        <f>"Q"&amp;ROUNDUP(MONTH(tblTransactions[[#This Row],[Date]])/3,0)&amp;"-"&amp;YEAR(tblTransactions[[#This Row],[Date]])</f>
        <v>Q1-2023</v>
      </c>
      <c r="Q278">
        <f>YEAR(tblTransactions[[#This Row],[Date]])</f>
        <v>2023</v>
      </c>
      <c r="R278" t="str">
        <f>TEXT(tblTransactions[[#This Row],[Date]],"DDDD")</f>
        <v>Monday</v>
      </c>
      <c r="S278">
        <f>MONTH(tblTransactions[[#This Row],[Date]])</f>
        <v>3</v>
      </c>
      <c r="T278" t="str">
        <f>VLOOKUP(E278, Products!$A:$B,2,0)</f>
        <v>Printers Tec-1</v>
      </c>
      <c r="U278" t="str">
        <f>VLOOKUP(E278,Products!$A:$C,3,0)</f>
        <v>Technology</v>
      </c>
      <c r="V278" t="str">
        <f>VLOOKUP(E278,Products!$A:$D,4,0)</f>
        <v>Printers</v>
      </c>
      <c r="W278" t="str">
        <f>VLOOKUP(D278,Customers!$A:$C,3,0)</f>
        <v>B2C</v>
      </c>
      <c r="X278" t="str">
        <f>VLOOKUP(C278,Sales_Representatives!$A:$B,2,0)</f>
        <v>Sarah Brown</v>
      </c>
    </row>
    <row r="279" spans="1:24" x14ac:dyDescent="0.3">
      <c r="A279" t="s">
        <v>497</v>
      </c>
      <c r="B279" t="s">
        <v>496</v>
      </c>
      <c r="C279" t="s">
        <v>75</v>
      </c>
      <c r="D279" t="s">
        <v>351</v>
      </c>
      <c r="E279" t="s">
        <v>248</v>
      </c>
      <c r="F279">
        <v>3</v>
      </c>
      <c r="G279">
        <v>82.29</v>
      </c>
      <c r="H279">
        <v>0.01</v>
      </c>
      <c r="I279" s="4">
        <v>244.4</v>
      </c>
      <c r="J279" t="s">
        <v>44</v>
      </c>
      <c r="K279" t="s">
        <v>35</v>
      </c>
      <c r="L279" s="4">
        <f>VLOOKUP(tblTransactions[[#This Row],[Product_ID]],tblProducts[],5,FALSE)</f>
        <v>51.11</v>
      </c>
      <c r="M279" s="4">
        <f>tblTransactions[[#This Row],[Total_Amount]]-(tblTransactions[[#This Row],[Cost_Prices]]*tblTransactions[[#This Row],[Quantity]]*(1-tblTransactions[[#This Row],[Discount]]))</f>
        <v>92.603300000000019</v>
      </c>
      <c r="N279" s="3">
        <f>tblTransactions[[#This Row],[Profit]]/tblTransactions[[#This Row],[Total_Amount]]</f>
        <v>0.37890057283142398</v>
      </c>
      <c r="O279" t="str">
        <f>TEXT(tblTransactions[[#This Row],[Date]], "MMM-YYYY")</f>
        <v>Mar-2023</v>
      </c>
      <c r="P279" t="str">
        <f>"Q"&amp;ROUNDUP(MONTH(tblTransactions[[#This Row],[Date]])/3,0)&amp;"-"&amp;YEAR(tblTransactions[[#This Row],[Date]])</f>
        <v>Q1-2023</v>
      </c>
      <c r="Q279">
        <f>YEAR(tblTransactions[[#This Row],[Date]])</f>
        <v>2023</v>
      </c>
      <c r="R279" t="str">
        <f>TEXT(tblTransactions[[#This Row],[Date]],"DDDD")</f>
        <v>Monday</v>
      </c>
      <c r="S279">
        <f>MONTH(tblTransactions[[#This Row],[Date]])</f>
        <v>3</v>
      </c>
      <c r="T279" t="str">
        <f>VLOOKUP(E279, Products!$A:$B,2,0)</f>
        <v>Keyboards Acc-2</v>
      </c>
      <c r="U279" t="str">
        <f>VLOOKUP(E279,Products!$A:$C,3,0)</f>
        <v>Accessories</v>
      </c>
      <c r="V279" t="str">
        <f>VLOOKUP(E279,Products!$A:$D,4,0)</f>
        <v>Keyboards</v>
      </c>
      <c r="W279" t="str">
        <f>VLOOKUP(D279,Customers!$A:$C,3,0)</f>
        <v>B2C</v>
      </c>
      <c r="X279" t="str">
        <f>VLOOKUP(C279,Sales_Representatives!$A:$B,2,0)</f>
        <v>Jessica Anderson</v>
      </c>
    </row>
    <row r="280" spans="1:24" x14ac:dyDescent="0.3">
      <c r="A280" t="s">
        <v>498</v>
      </c>
      <c r="B280" t="s">
        <v>496</v>
      </c>
      <c r="C280" t="s">
        <v>31</v>
      </c>
      <c r="D280" t="s">
        <v>237</v>
      </c>
      <c r="E280" t="s">
        <v>157</v>
      </c>
      <c r="F280">
        <v>18</v>
      </c>
      <c r="G280">
        <v>1227.68</v>
      </c>
      <c r="H280">
        <v>0.17</v>
      </c>
      <c r="I280" s="4">
        <v>18341.54</v>
      </c>
      <c r="J280" t="s">
        <v>34</v>
      </c>
      <c r="K280" t="s">
        <v>17</v>
      </c>
      <c r="L280" s="4">
        <f>VLOOKUP(tblTransactions[[#This Row],[Product_ID]],tblProducts[],5,FALSE)</f>
        <v>846.42</v>
      </c>
      <c r="M280" s="4">
        <f>tblTransactions[[#This Row],[Total_Amount]]-(tblTransactions[[#This Row],[Cost_Prices]]*tblTransactions[[#This Row],[Quantity]]*(1-tblTransactions[[#This Row],[Discount]]))</f>
        <v>5696.0252000000019</v>
      </c>
      <c r="N280" s="3">
        <f>tblTransactions[[#This Row],[Profit]]/tblTransactions[[#This Row],[Total_Amount]]</f>
        <v>0.31055326870044725</v>
      </c>
      <c r="O280" t="str">
        <f>TEXT(tblTransactions[[#This Row],[Date]], "MMM-YYYY")</f>
        <v>Mar-2023</v>
      </c>
      <c r="P280" t="str">
        <f>"Q"&amp;ROUNDUP(MONTH(tblTransactions[[#This Row],[Date]])/3,0)&amp;"-"&amp;YEAR(tblTransactions[[#This Row],[Date]])</f>
        <v>Q1-2023</v>
      </c>
      <c r="Q280">
        <f>YEAR(tblTransactions[[#This Row],[Date]])</f>
        <v>2023</v>
      </c>
      <c r="R280" t="str">
        <f>TEXT(tblTransactions[[#This Row],[Date]],"DDDD")</f>
        <v>Monday</v>
      </c>
      <c r="S280">
        <f>MONTH(tblTransactions[[#This Row],[Date]])</f>
        <v>3</v>
      </c>
      <c r="T280" t="str">
        <f>VLOOKUP(E280, Products!$A:$B,2,0)</f>
        <v>Printers Tec-4</v>
      </c>
      <c r="U280" t="str">
        <f>VLOOKUP(E280,Products!$A:$C,3,0)</f>
        <v>Technology</v>
      </c>
      <c r="V280" t="str">
        <f>VLOOKUP(E280,Products!$A:$D,4,0)</f>
        <v>Printers</v>
      </c>
      <c r="W280" t="str">
        <f>VLOOKUP(D280,Customers!$A:$C,3,0)</f>
        <v>B2B</v>
      </c>
      <c r="X280" t="str">
        <f>VLOOKUP(C280,Sales_Representatives!$A:$B,2,0)</f>
        <v>Thomas Martinez</v>
      </c>
    </row>
    <row r="281" spans="1:24" x14ac:dyDescent="0.3">
      <c r="A281" t="s">
        <v>499</v>
      </c>
      <c r="B281" t="s">
        <v>496</v>
      </c>
      <c r="C281" t="s">
        <v>127</v>
      </c>
      <c r="D281" t="s">
        <v>156</v>
      </c>
      <c r="E281" t="s">
        <v>224</v>
      </c>
      <c r="F281">
        <v>14</v>
      </c>
      <c r="G281">
        <v>505.37</v>
      </c>
      <c r="H281">
        <v>0.11</v>
      </c>
      <c r="I281" s="4">
        <v>6296.91</v>
      </c>
      <c r="J281" t="s">
        <v>109</v>
      </c>
      <c r="K281" t="s">
        <v>35</v>
      </c>
      <c r="L281" s="4">
        <f>VLOOKUP(tblTransactions[[#This Row],[Product_ID]],tblProducts[],5,FALSE)</f>
        <v>281.14999999999998</v>
      </c>
      <c r="M281" s="4">
        <f>tblTransactions[[#This Row],[Total_Amount]]-(tblTransactions[[#This Row],[Cost_Prices]]*tblTransactions[[#This Row],[Quantity]]*(1-tblTransactions[[#This Row],[Discount]]))</f>
        <v>2793.7810000000004</v>
      </c>
      <c r="N281" s="3">
        <f>tblTransactions[[#This Row],[Profit]]/tblTransactions[[#This Row],[Total_Amount]]</f>
        <v>0.44367491356871869</v>
      </c>
      <c r="O281" t="str">
        <f>TEXT(tblTransactions[[#This Row],[Date]], "MMM-YYYY")</f>
        <v>Mar-2023</v>
      </c>
      <c r="P281" t="str">
        <f>"Q"&amp;ROUNDUP(MONTH(tblTransactions[[#This Row],[Date]])/3,0)&amp;"-"&amp;YEAR(tblTransactions[[#This Row],[Date]])</f>
        <v>Q1-2023</v>
      </c>
      <c r="Q281">
        <f>YEAR(tblTransactions[[#This Row],[Date]])</f>
        <v>2023</v>
      </c>
      <c r="R281" t="str">
        <f>TEXT(tblTransactions[[#This Row],[Date]],"DDDD")</f>
        <v>Monday</v>
      </c>
      <c r="S281">
        <f>MONTH(tblTransactions[[#This Row],[Date]])</f>
        <v>3</v>
      </c>
      <c r="T281" t="str">
        <f>VLOOKUP(E281, Products!$A:$B,2,0)</f>
        <v>Desks Fur-3</v>
      </c>
      <c r="U281" t="str">
        <f>VLOOKUP(E281,Products!$A:$C,3,0)</f>
        <v>Furniture</v>
      </c>
      <c r="V281" t="str">
        <f>VLOOKUP(E281,Products!$A:$D,4,0)</f>
        <v>Desks</v>
      </c>
      <c r="W281" t="str">
        <f>VLOOKUP(D281,Customers!$A:$C,3,0)</f>
        <v>B2B</v>
      </c>
      <c r="X281" t="str">
        <f>VLOOKUP(C281,Sales_Representatives!$A:$B,2,0)</f>
        <v>Emily Hernandez</v>
      </c>
    </row>
    <row r="282" spans="1:24" x14ac:dyDescent="0.3">
      <c r="A282" t="s">
        <v>500</v>
      </c>
      <c r="B282" t="s">
        <v>496</v>
      </c>
      <c r="C282" t="s">
        <v>19</v>
      </c>
      <c r="D282" t="s">
        <v>154</v>
      </c>
      <c r="E282" t="s">
        <v>450</v>
      </c>
      <c r="F282">
        <v>17</v>
      </c>
      <c r="G282">
        <v>2083.92</v>
      </c>
      <c r="H282">
        <v>0.14000000000000001</v>
      </c>
      <c r="I282" s="4">
        <v>30466.91</v>
      </c>
      <c r="J282" t="s">
        <v>21</v>
      </c>
      <c r="K282" t="s">
        <v>39</v>
      </c>
      <c r="L282" s="4">
        <f>VLOOKUP(tblTransactions[[#This Row],[Product_ID]],tblProducts[],5,FALSE)</f>
        <v>1425.78</v>
      </c>
      <c r="M282" s="4">
        <f>tblTransactions[[#This Row],[Total_Amount]]-(tblTransactions[[#This Row],[Cost_Prices]]*tblTransactions[[#This Row],[Quantity]]*(1-tblTransactions[[#This Row],[Discount]]))</f>
        <v>9622.006400000002</v>
      </c>
      <c r="N282" s="3">
        <f>tblTransactions[[#This Row],[Profit]]/tblTransactions[[#This Row],[Total_Amount]]</f>
        <v>0.31581825659379315</v>
      </c>
      <c r="O282" t="str">
        <f>TEXT(tblTransactions[[#This Row],[Date]], "MMM-YYYY")</f>
        <v>Mar-2023</v>
      </c>
      <c r="P282" t="str">
        <f>"Q"&amp;ROUNDUP(MONTH(tblTransactions[[#This Row],[Date]])/3,0)&amp;"-"&amp;YEAR(tblTransactions[[#This Row],[Date]])</f>
        <v>Q1-2023</v>
      </c>
      <c r="Q282">
        <f>YEAR(tblTransactions[[#This Row],[Date]])</f>
        <v>2023</v>
      </c>
      <c r="R282" t="str">
        <f>TEXT(tblTransactions[[#This Row],[Date]],"DDDD")</f>
        <v>Monday</v>
      </c>
      <c r="S282">
        <f>MONTH(tblTransactions[[#This Row],[Date]])</f>
        <v>3</v>
      </c>
      <c r="T282" t="str">
        <f>VLOOKUP(E282, Products!$A:$B,2,0)</f>
        <v>Monitors Tec-4</v>
      </c>
      <c r="U282" t="str">
        <f>VLOOKUP(E282,Products!$A:$C,3,0)</f>
        <v>Technology</v>
      </c>
      <c r="V282" t="str">
        <f>VLOOKUP(E282,Products!$A:$D,4,0)</f>
        <v>Monitors</v>
      </c>
      <c r="W282" t="str">
        <f>VLOOKUP(D282,Customers!$A:$C,3,0)</f>
        <v>B2B</v>
      </c>
      <c r="X282" t="str">
        <f>VLOOKUP(C282,Sales_Representatives!$A:$B,2,0)</f>
        <v>Robert Jones</v>
      </c>
    </row>
    <row r="283" spans="1:24" x14ac:dyDescent="0.3">
      <c r="A283" t="s">
        <v>501</v>
      </c>
      <c r="B283" t="s">
        <v>496</v>
      </c>
      <c r="C283" t="s">
        <v>141</v>
      </c>
      <c r="D283" t="s">
        <v>216</v>
      </c>
      <c r="E283" t="s">
        <v>77</v>
      </c>
      <c r="F283">
        <v>2</v>
      </c>
      <c r="G283">
        <v>236.82</v>
      </c>
      <c r="H283">
        <v>0.09</v>
      </c>
      <c r="I283" s="4">
        <v>431.01</v>
      </c>
      <c r="J283" t="s">
        <v>109</v>
      </c>
      <c r="K283" t="s">
        <v>48</v>
      </c>
      <c r="L283" s="4">
        <f>VLOOKUP(tblTransactions[[#This Row],[Product_ID]],tblProducts[],5,FALSE)</f>
        <v>110.79</v>
      </c>
      <c r="M283" s="4">
        <f>tblTransactions[[#This Row],[Total_Amount]]-(tblTransactions[[#This Row],[Cost_Prices]]*tblTransactions[[#This Row],[Quantity]]*(1-tblTransactions[[#This Row],[Discount]]))</f>
        <v>229.37219999999996</v>
      </c>
      <c r="N283" s="3">
        <f>tblTransactions[[#This Row],[Profit]]/tblTransactions[[#This Row],[Total_Amount]]</f>
        <v>0.53217373146794733</v>
      </c>
      <c r="O283" t="str">
        <f>TEXT(tblTransactions[[#This Row],[Date]], "MMM-YYYY")</f>
        <v>Mar-2023</v>
      </c>
      <c r="P283" t="str">
        <f>"Q"&amp;ROUNDUP(MONTH(tblTransactions[[#This Row],[Date]])/3,0)&amp;"-"&amp;YEAR(tblTransactions[[#This Row],[Date]])</f>
        <v>Q1-2023</v>
      </c>
      <c r="Q283">
        <f>YEAR(tblTransactions[[#This Row],[Date]])</f>
        <v>2023</v>
      </c>
      <c r="R283" t="str">
        <f>TEXT(tblTransactions[[#This Row],[Date]],"DDDD")</f>
        <v>Monday</v>
      </c>
      <c r="S283">
        <f>MONTH(tblTransactions[[#This Row],[Date]])</f>
        <v>3</v>
      </c>
      <c r="T283" t="str">
        <f>VLOOKUP(E283, Products!$A:$B,2,0)</f>
        <v>Binders Off-4</v>
      </c>
      <c r="U283" t="str">
        <f>VLOOKUP(E283,Products!$A:$C,3,0)</f>
        <v>Office Supplies</v>
      </c>
      <c r="V283" t="str">
        <f>VLOOKUP(E283,Products!$A:$D,4,0)</f>
        <v>Binders</v>
      </c>
      <c r="W283" t="str">
        <f>VLOOKUP(D283,Customers!$A:$C,3,0)</f>
        <v>Small Business</v>
      </c>
      <c r="X283" t="str">
        <f>VLOOKUP(C283,Sales_Representatives!$A:$B,2,0)</f>
        <v>Richard Garcia</v>
      </c>
    </row>
    <row r="284" spans="1:24" x14ac:dyDescent="0.3">
      <c r="A284" t="s">
        <v>502</v>
      </c>
      <c r="B284" t="s">
        <v>496</v>
      </c>
      <c r="C284" t="s">
        <v>19</v>
      </c>
      <c r="D284" t="s">
        <v>134</v>
      </c>
      <c r="E284" t="s">
        <v>91</v>
      </c>
      <c r="F284">
        <v>14</v>
      </c>
      <c r="G284">
        <v>286.62</v>
      </c>
      <c r="H284">
        <v>0.15</v>
      </c>
      <c r="I284" s="4">
        <v>3410.78</v>
      </c>
      <c r="J284" t="s">
        <v>21</v>
      </c>
      <c r="K284" t="s">
        <v>22</v>
      </c>
      <c r="L284" s="4">
        <f>VLOOKUP(tblTransactions[[#This Row],[Product_ID]],tblProducts[],5,FALSE)</f>
        <v>145.54</v>
      </c>
      <c r="M284" s="4">
        <f>tblTransactions[[#This Row],[Total_Amount]]-(tblTransactions[[#This Row],[Cost_Prices]]*tblTransactions[[#This Row],[Quantity]]*(1-tblTransactions[[#This Row],[Discount]]))</f>
        <v>1678.8540000000003</v>
      </c>
      <c r="N284" s="3">
        <f>tblTransactions[[#This Row],[Profit]]/tblTransactions[[#This Row],[Total_Amount]]</f>
        <v>0.49221996141645025</v>
      </c>
      <c r="O284" t="str">
        <f>TEXT(tblTransactions[[#This Row],[Date]], "MMM-YYYY")</f>
        <v>Mar-2023</v>
      </c>
      <c r="P284" t="str">
        <f>"Q"&amp;ROUNDUP(MONTH(tblTransactions[[#This Row],[Date]])/3,0)&amp;"-"&amp;YEAR(tblTransactions[[#This Row],[Date]])</f>
        <v>Q1-2023</v>
      </c>
      <c r="Q284">
        <f>YEAR(tblTransactions[[#This Row],[Date]])</f>
        <v>2023</v>
      </c>
      <c r="R284" t="str">
        <f>TEXT(tblTransactions[[#This Row],[Date]],"DDDD")</f>
        <v>Monday</v>
      </c>
      <c r="S284">
        <f>MONTH(tblTransactions[[#This Row],[Date]])</f>
        <v>3</v>
      </c>
      <c r="T284" t="str">
        <f>VLOOKUP(E284, Products!$A:$B,2,0)</f>
        <v>Chairs Fur-1</v>
      </c>
      <c r="U284" t="str">
        <f>VLOOKUP(E284,Products!$A:$C,3,0)</f>
        <v>Furniture</v>
      </c>
      <c r="V284" t="str">
        <f>VLOOKUP(E284,Products!$A:$D,4,0)</f>
        <v>Chairs</v>
      </c>
      <c r="W284" t="str">
        <f>VLOOKUP(D284,Customers!$A:$C,3,0)</f>
        <v>B2B</v>
      </c>
      <c r="X284" t="str">
        <f>VLOOKUP(C284,Sales_Representatives!$A:$B,2,0)</f>
        <v>Robert Jones</v>
      </c>
    </row>
    <row r="285" spans="1:24" x14ac:dyDescent="0.3">
      <c r="A285" t="s">
        <v>503</v>
      </c>
      <c r="B285" t="s">
        <v>504</v>
      </c>
      <c r="C285" t="s">
        <v>63</v>
      </c>
      <c r="D285" t="s">
        <v>118</v>
      </c>
      <c r="E285" t="s">
        <v>243</v>
      </c>
      <c r="F285">
        <v>6</v>
      </c>
      <c r="G285">
        <v>384.18</v>
      </c>
      <c r="H285">
        <v>0.08</v>
      </c>
      <c r="I285" s="4">
        <v>2120.67</v>
      </c>
      <c r="J285" t="s">
        <v>21</v>
      </c>
      <c r="K285" t="s">
        <v>48</v>
      </c>
      <c r="L285" s="4">
        <f>VLOOKUP(tblTransactions[[#This Row],[Product_ID]],tblProducts[],5,FALSE)</f>
        <v>266.92</v>
      </c>
      <c r="M285" s="4">
        <f>tblTransactions[[#This Row],[Total_Amount]]-(tblTransactions[[#This Row],[Cost_Prices]]*tblTransactions[[#This Row],[Quantity]]*(1-tblTransactions[[#This Row],[Discount]]))</f>
        <v>647.27160000000003</v>
      </c>
      <c r="N285" s="3">
        <f>tblTransactions[[#This Row],[Profit]]/tblTransactions[[#This Row],[Total_Amount]]</f>
        <v>0.30522033131038778</v>
      </c>
      <c r="O285" t="str">
        <f>TEXT(tblTransactions[[#This Row],[Date]], "MMM-YYYY")</f>
        <v>Mar-2023</v>
      </c>
      <c r="P285" t="str">
        <f>"Q"&amp;ROUNDUP(MONTH(tblTransactions[[#This Row],[Date]])/3,0)&amp;"-"&amp;YEAR(tblTransactions[[#This Row],[Date]])</f>
        <v>Q1-2023</v>
      </c>
      <c r="Q285">
        <f>YEAR(tblTransactions[[#This Row],[Date]])</f>
        <v>2023</v>
      </c>
      <c r="R285" t="str">
        <f>TEXT(tblTransactions[[#This Row],[Date]],"DDDD")</f>
        <v>Tuesday</v>
      </c>
      <c r="S285">
        <f>MONTH(tblTransactions[[#This Row],[Date]])</f>
        <v>3</v>
      </c>
      <c r="T285" t="str">
        <f>VLOOKUP(E285, Products!$A:$B,2,0)</f>
        <v>Routers Tec-3</v>
      </c>
      <c r="U285" t="str">
        <f>VLOOKUP(E285,Products!$A:$C,3,0)</f>
        <v>Technology</v>
      </c>
      <c r="V285" t="str">
        <f>VLOOKUP(E285,Products!$A:$D,4,0)</f>
        <v>Routers</v>
      </c>
      <c r="W285" t="str">
        <f>VLOOKUP(D285,Customers!$A:$C,3,0)</f>
        <v>B2C</v>
      </c>
      <c r="X285" t="str">
        <f>VLOOKUP(C285,Sales_Representatives!$A:$B,2,0)</f>
        <v>Richard Wilson</v>
      </c>
    </row>
    <row r="286" spans="1:24" x14ac:dyDescent="0.3">
      <c r="A286" t="s">
        <v>505</v>
      </c>
      <c r="B286" t="s">
        <v>504</v>
      </c>
      <c r="C286" t="s">
        <v>19</v>
      </c>
      <c r="D286" t="s">
        <v>124</v>
      </c>
      <c r="E286" t="s">
        <v>347</v>
      </c>
      <c r="F286">
        <v>6</v>
      </c>
      <c r="G286">
        <v>1539.6</v>
      </c>
      <c r="H286">
        <v>0.09</v>
      </c>
      <c r="I286" s="4">
        <v>8406.2199999999993</v>
      </c>
      <c r="J286" t="s">
        <v>21</v>
      </c>
      <c r="K286" t="s">
        <v>48</v>
      </c>
      <c r="L286" s="4">
        <f>VLOOKUP(tblTransactions[[#This Row],[Product_ID]],tblProducts[],5,FALSE)</f>
        <v>992.43</v>
      </c>
      <c r="M286" s="4">
        <f>tblTransactions[[#This Row],[Total_Amount]]-(tblTransactions[[#This Row],[Cost_Prices]]*tblTransactions[[#This Row],[Quantity]]*(1-tblTransactions[[#This Row],[Discount]]))</f>
        <v>2987.5521999999992</v>
      </c>
      <c r="N286" s="3">
        <f>tblTransactions[[#This Row],[Profit]]/tblTransactions[[#This Row],[Total_Amount]]</f>
        <v>0.35539781257211916</v>
      </c>
      <c r="O286" t="str">
        <f>TEXT(tblTransactions[[#This Row],[Date]], "MMM-YYYY")</f>
        <v>Mar-2023</v>
      </c>
      <c r="P286" t="str">
        <f>"Q"&amp;ROUNDUP(MONTH(tblTransactions[[#This Row],[Date]])/3,0)&amp;"-"&amp;YEAR(tblTransactions[[#This Row],[Date]])</f>
        <v>Q1-2023</v>
      </c>
      <c r="Q286">
        <f>YEAR(tblTransactions[[#This Row],[Date]])</f>
        <v>2023</v>
      </c>
      <c r="R286" t="str">
        <f>TEXT(tblTransactions[[#This Row],[Date]],"DDDD")</f>
        <v>Tuesday</v>
      </c>
      <c r="S286">
        <f>MONTH(tblTransactions[[#This Row],[Date]])</f>
        <v>3</v>
      </c>
      <c r="T286" t="str">
        <f>VLOOKUP(E286, Products!$A:$B,2,0)</f>
        <v>Routers Tec-2</v>
      </c>
      <c r="U286" t="str">
        <f>VLOOKUP(E286,Products!$A:$C,3,0)</f>
        <v>Technology</v>
      </c>
      <c r="V286" t="str">
        <f>VLOOKUP(E286,Products!$A:$D,4,0)</f>
        <v>Routers</v>
      </c>
      <c r="W286" t="str">
        <f>VLOOKUP(D286,Customers!$A:$C,3,0)</f>
        <v>B2B</v>
      </c>
      <c r="X286" t="str">
        <f>VLOOKUP(C286,Sales_Representatives!$A:$B,2,0)</f>
        <v>Robert Jones</v>
      </c>
    </row>
    <row r="287" spans="1:24" x14ac:dyDescent="0.3">
      <c r="A287" t="s">
        <v>506</v>
      </c>
      <c r="B287" t="s">
        <v>504</v>
      </c>
      <c r="C287" t="s">
        <v>131</v>
      </c>
      <c r="D287" t="s">
        <v>42</v>
      </c>
      <c r="E287" t="s">
        <v>72</v>
      </c>
      <c r="F287">
        <v>3</v>
      </c>
      <c r="G287">
        <v>404.76</v>
      </c>
      <c r="H287">
        <v>0.05</v>
      </c>
      <c r="I287" s="4">
        <v>1153.57</v>
      </c>
      <c r="J287" t="s">
        <v>44</v>
      </c>
      <c r="K287" t="s">
        <v>22</v>
      </c>
      <c r="L287" s="4">
        <f>VLOOKUP(tblTransactions[[#This Row],[Product_ID]],tblProducts[],5,FALSE)</f>
        <v>226.76</v>
      </c>
      <c r="M287" s="4">
        <f>tblTransactions[[#This Row],[Total_Amount]]-(tblTransactions[[#This Row],[Cost_Prices]]*tblTransactions[[#This Row],[Quantity]]*(1-tblTransactions[[#This Row],[Discount]]))</f>
        <v>507.30399999999997</v>
      </c>
      <c r="N287" s="3">
        <f>tblTransactions[[#This Row],[Profit]]/tblTransactions[[#This Row],[Total_Amount]]</f>
        <v>0.43976871797983652</v>
      </c>
      <c r="O287" t="str">
        <f>TEXT(tblTransactions[[#This Row],[Date]], "MMM-YYYY")</f>
        <v>Mar-2023</v>
      </c>
      <c r="P287" t="str">
        <f>"Q"&amp;ROUNDUP(MONTH(tblTransactions[[#This Row],[Date]])/3,0)&amp;"-"&amp;YEAR(tblTransactions[[#This Row],[Date]])</f>
        <v>Q1-2023</v>
      </c>
      <c r="Q287">
        <f>YEAR(tblTransactions[[#This Row],[Date]])</f>
        <v>2023</v>
      </c>
      <c r="R287" t="str">
        <f>TEXT(tblTransactions[[#This Row],[Date]],"DDDD")</f>
        <v>Tuesday</v>
      </c>
      <c r="S287">
        <f>MONTH(tblTransactions[[#This Row],[Date]])</f>
        <v>3</v>
      </c>
      <c r="T287" t="str">
        <f>VLOOKUP(E287, Products!$A:$B,2,0)</f>
        <v>Tablets Ele-2</v>
      </c>
      <c r="U287" t="str">
        <f>VLOOKUP(E287,Products!$A:$C,3,0)</f>
        <v>Electronics</v>
      </c>
      <c r="V287" t="str">
        <f>VLOOKUP(E287,Products!$A:$D,4,0)</f>
        <v>Tablets</v>
      </c>
      <c r="W287" t="str">
        <f>VLOOKUP(D287,Customers!$A:$C,3,0)</f>
        <v>B2C</v>
      </c>
      <c r="X287" t="str">
        <f>VLOOKUP(C287,Sales_Representatives!$A:$B,2,0)</f>
        <v>Michael Davis</v>
      </c>
    </row>
    <row r="288" spans="1:24" x14ac:dyDescent="0.3">
      <c r="A288" t="s">
        <v>507</v>
      </c>
      <c r="B288" t="s">
        <v>504</v>
      </c>
      <c r="C288" t="s">
        <v>82</v>
      </c>
      <c r="D288" t="s">
        <v>67</v>
      </c>
      <c r="E288" t="s">
        <v>508</v>
      </c>
      <c r="F288">
        <v>7</v>
      </c>
      <c r="G288">
        <v>237.69</v>
      </c>
      <c r="H288">
        <v>0.05</v>
      </c>
      <c r="I288" s="4">
        <v>1580.64</v>
      </c>
      <c r="J288" t="s">
        <v>34</v>
      </c>
      <c r="K288" t="s">
        <v>48</v>
      </c>
      <c r="L288" s="4">
        <f>VLOOKUP(tblTransactions[[#This Row],[Product_ID]],tblProducts[],5,FALSE)</f>
        <v>115.31</v>
      </c>
      <c r="M288" s="4">
        <f>tblTransactions[[#This Row],[Total_Amount]]-(tblTransactions[[#This Row],[Cost_Prices]]*tblTransactions[[#This Row],[Quantity]]*(1-tblTransactions[[#This Row],[Discount]]))</f>
        <v>813.82850000000008</v>
      </c>
      <c r="N288" s="3">
        <f>tblTransactions[[#This Row],[Profit]]/tblTransactions[[#This Row],[Total_Amount]]</f>
        <v>0.51487277305395285</v>
      </c>
      <c r="O288" t="str">
        <f>TEXT(tblTransactions[[#This Row],[Date]], "MMM-YYYY")</f>
        <v>Mar-2023</v>
      </c>
      <c r="P288" t="str">
        <f>"Q"&amp;ROUNDUP(MONTH(tblTransactions[[#This Row],[Date]])/3,0)&amp;"-"&amp;YEAR(tblTransactions[[#This Row],[Date]])</f>
        <v>Q1-2023</v>
      </c>
      <c r="Q288">
        <f>YEAR(tblTransactions[[#This Row],[Date]])</f>
        <v>2023</v>
      </c>
      <c r="R288" t="str">
        <f>TEXT(tblTransactions[[#This Row],[Date]],"DDDD")</f>
        <v>Tuesday</v>
      </c>
      <c r="S288">
        <f>MONTH(tblTransactions[[#This Row],[Date]])</f>
        <v>3</v>
      </c>
      <c r="T288" t="str">
        <f>VLOOKUP(E288, Products!$A:$B,2,0)</f>
        <v>Folders Off-3</v>
      </c>
      <c r="U288" t="str">
        <f>VLOOKUP(E288,Products!$A:$C,3,0)</f>
        <v>Office Supplies</v>
      </c>
      <c r="V288" t="str">
        <f>VLOOKUP(E288,Products!$A:$D,4,0)</f>
        <v>Folders</v>
      </c>
      <c r="W288" t="str">
        <f>VLOOKUP(D288,Customers!$A:$C,3,0)</f>
        <v>B2C</v>
      </c>
      <c r="X288" t="str">
        <f>VLOOKUP(C288,Sales_Representatives!$A:$B,2,0)</f>
        <v>John Brown</v>
      </c>
    </row>
    <row r="289" spans="1:24" x14ac:dyDescent="0.3">
      <c r="A289" t="s">
        <v>509</v>
      </c>
      <c r="B289" t="s">
        <v>504</v>
      </c>
      <c r="C289" t="s">
        <v>82</v>
      </c>
      <c r="D289" t="s">
        <v>166</v>
      </c>
      <c r="E289" t="s">
        <v>20</v>
      </c>
      <c r="F289">
        <v>3</v>
      </c>
      <c r="G289">
        <v>1219.49</v>
      </c>
      <c r="H289">
        <v>0.08</v>
      </c>
      <c r="I289" s="4">
        <v>3365.79</v>
      </c>
      <c r="J289" t="s">
        <v>34</v>
      </c>
      <c r="K289" t="s">
        <v>35</v>
      </c>
      <c r="L289" s="4">
        <f>VLOOKUP(tblTransactions[[#This Row],[Product_ID]],tblProducts[],5,FALSE)</f>
        <v>686.9</v>
      </c>
      <c r="M289" s="4">
        <f>tblTransactions[[#This Row],[Total_Amount]]-(tblTransactions[[#This Row],[Cost_Prices]]*tblTransactions[[#This Row],[Quantity]]*(1-tblTransactions[[#This Row],[Discount]]))</f>
        <v>1469.9460000000001</v>
      </c>
      <c r="N289" s="3">
        <f>tblTransactions[[#This Row],[Profit]]/tblTransactions[[#This Row],[Total_Amount]]</f>
        <v>0.43673134687547355</v>
      </c>
      <c r="O289" t="str">
        <f>TEXT(tblTransactions[[#This Row],[Date]], "MMM-YYYY")</f>
        <v>Mar-2023</v>
      </c>
      <c r="P289" t="str">
        <f>"Q"&amp;ROUNDUP(MONTH(tblTransactions[[#This Row],[Date]])/3,0)&amp;"-"&amp;YEAR(tblTransactions[[#This Row],[Date]])</f>
        <v>Q1-2023</v>
      </c>
      <c r="Q289">
        <f>YEAR(tblTransactions[[#This Row],[Date]])</f>
        <v>2023</v>
      </c>
      <c r="R289" t="str">
        <f>TEXT(tblTransactions[[#This Row],[Date]],"DDDD")</f>
        <v>Tuesday</v>
      </c>
      <c r="S289">
        <f>MONTH(tblTransactions[[#This Row],[Date]])</f>
        <v>3</v>
      </c>
      <c r="T289" t="str">
        <f>VLOOKUP(E289, Products!$A:$B,2,0)</f>
        <v>Laptops Ele-1</v>
      </c>
      <c r="U289" t="str">
        <f>VLOOKUP(E289,Products!$A:$C,3,0)</f>
        <v>Electronics</v>
      </c>
      <c r="V289" t="str">
        <f>VLOOKUP(E289,Products!$A:$D,4,0)</f>
        <v>Laptops</v>
      </c>
      <c r="W289" t="str">
        <f>VLOOKUP(D289,Customers!$A:$C,3,0)</f>
        <v>B2C</v>
      </c>
      <c r="X289" t="str">
        <f>VLOOKUP(C289,Sales_Representatives!$A:$B,2,0)</f>
        <v>John Brown</v>
      </c>
    </row>
    <row r="290" spans="1:24" x14ac:dyDescent="0.3">
      <c r="A290" t="s">
        <v>510</v>
      </c>
      <c r="B290" t="s">
        <v>504</v>
      </c>
      <c r="C290" t="s">
        <v>63</v>
      </c>
      <c r="D290" t="s">
        <v>128</v>
      </c>
      <c r="E290" t="s">
        <v>224</v>
      </c>
      <c r="F290">
        <v>9</v>
      </c>
      <c r="G290">
        <v>505.37</v>
      </c>
      <c r="H290">
        <v>0.12</v>
      </c>
      <c r="I290" s="4">
        <v>4002.53</v>
      </c>
      <c r="J290" t="s">
        <v>21</v>
      </c>
      <c r="K290" t="s">
        <v>22</v>
      </c>
      <c r="L290" s="4">
        <f>VLOOKUP(tblTransactions[[#This Row],[Product_ID]],tblProducts[],5,FALSE)</f>
        <v>281.14999999999998</v>
      </c>
      <c r="M290" s="4">
        <f>tblTransactions[[#This Row],[Total_Amount]]-(tblTransactions[[#This Row],[Cost_Prices]]*tblTransactions[[#This Row],[Quantity]]*(1-tblTransactions[[#This Row],[Discount]]))</f>
        <v>1775.8220000000001</v>
      </c>
      <c r="N290" s="3">
        <f>tblTransactions[[#This Row],[Profit]]/tblTransactions[[#This Row],[Total_Amount]]</f>
        <v>0.44367487564115698</v>
      </c>
      <c r="O290" t="str">
        <f>TEXT(tblTransactions[[#This Row],[Date]], "MMM-YYYY")</f>
        <v>Mar-2023</v>
      </c>
      <c r="P290" t="str">
        <f>"Q"&amp;ROUNDUP(MONTH(tblTransactions[[#This Row],[Date]])/3,0)&amp;"-"&amp;YEAR(tblTransactions[[#This Row],[Date]])</f>
        <v>Q1-2023</v>
      </c>
      <c r="Q290">
        <f>YEAR(tblTransactions[[#This Row],[Date]])</f>
        <v>2023</v>
      </c>
      <c r="R290" t="str">
        <f>TEXT(tblTransactions[[#This Row],[Date]],"DDDD")</f>
        <v>Tuesday</v>
      </c>
      <c r="S290">
        <f>MONTH(tblTransactions[[#This Row],[Date]])</f>
        <v>3</v>
      </c>
      <c r="T290" t="str">
        <f>VLOOKUP(E290, Products!$A:$B,2,0)</f>
        <v>Desks Fur-3</v>
      </c>
      <c r="U290" t="str">
        <f>VLOOKUP(E290,Products!$A:$C,3,0)</f>
        <v>Furniture</v>
      </c>
      <c r="V290" t="str">
        <f>VLOOKUP(E290,Products!$A:$D,4,0)</f>
        <v>Desks</v>
      </c>
      <c r="W290" t="str">
        <f>VLOOKUP(D290,Customers!$A:$C,3,0)</f>
        <v>B2B</v>
      </c>
      <c r="X290" t="str">
        <f>VLOOKUP(C290,Sales_Representatives!$A:$B,2,0)</f>
        <v>Richard Wilson</v>
      </c>
    </row>
    <row r="291" spans="1:24" x14ac:dyDescent="0.3">
      <c r="A291" t="s">
        <v>511</v>
      </c>
      <c r="B291" t="s">
        <v>512</v>
      </c>
      <c r="C291" t="s">
        <v>63</v>
      </c>
      <c r="D291" t="s">
        <v>112</v>
      </c>
      <c r="E291" t="s">
        <v>290</v>
      </c>
      <c r="F291">
        <v>26</v>
      </c>
      <c r="G291">
        <v>729.32</v>
      </c>
      <c r="H291">
        <v>0.16</v>
      </c>
      <c r="I291" s="4">
        <v>15928.35</v>
      </c>
      <c r="J291" t="s">
        <v>21</v>
      </c>
      <c r="K291" t="s">
        <v>22</v>
      </c>
      <c r="L291" s="4">
        <f>VLOOKUP(tblTransactions[[#This Row],[Product_ID]],tblProducts[],5,FALSE)</f>
        <v>482.7</v>
      </c>
      <c r="M291" s="4">
        <f>tblTransactions[[#This Row],[Total_Amount]]-(tblTransactions[[#This Row],[Cost_Prices]]*tblTransactions[[#This Row],[Quantity]]*(1-tblTransactions[[#This Row],[Discount]]))</f>
        <v>5386.1820000000025</v>
      </c>
      <c r="N291" s="3">
        <f>tblTransactions[[#This Row],[Profit]]/tblTransactions[[#This Row],[Total_Amount]]</f>
        <v>0.33815065590597909</v>
      </c>
      <c r="O291" t="str">
        <f>TEXT(tblTransactions[[#This Row],[Date]], "MMM-YYYY")</f>
        <v>Mar-2023</v>
      </c>
      <c r="P291" t="str">
        <f>"Q"&amp;ROUNDUP(MONTH(tblTransactions[[#This Row],[Date]])/3,0)&amp;"-"&amp;YEAR(tblTransactions[[#This Row],[Date]])</f>
        <v>Q1-2023</v>
      </c>
      <c r="Q291">
        <f>YEAR(tblTransactions[[#This Row],[Date]])</f>
        <v>2023</v>
      </c>
      <c r="R291" t="str">
        <f>TEXT(tblTransactions[[#This Row],[Date]],"DDDD")</f>
        <v>Wednesday</v>
      </c>
      <c r="S291">
        <f>MONTH(tblTransactions[[#This Row],[Date]])</f>
        <v>3</v>
      </c>
      <c r="T291" t="str">
        <f>VLOOKUP(E291, Products!$A:$B,2,0)</f>
        <v>Tables Fur-1</v>
      </c>
      <c r="U291" t="str">
        <f>VLOOKUP(E291,Products!$A:$C,3,0)</f>
        <v>Furniture</v>
      </c>
      <c r="V291" t="str">
        <f>VLOOKUP(E291,Products!$A:$D,4,0)</f>
        <v>Tables</v>
      </c>
      <c r="W291" t="str">
        <f>VLOOKUP(D291,Customers!$A:$C,3,0)</f>
        <v>Enterprise</v>
      </c>
      <c r="X291" t="str">
        <f>VLOOKUP(C291,Sales_Representatives!$A:$B,2,0)</f>
        <v>Richard Wilson</v>
      </c>
    </row>
    <row r="292" spans="1:24" x14ac:dyDescent="0.3">
      <c r="A292" t="s">
        <v>513</v>
      </c>
      <c r="B292" t="s">
        <v>512</v>
      </c>
      <c r="C292" t="s">
        <v>27</v>
      </c>
      <c r="D292" t="s">
        <v>210</v>
      </c>
      <c r="E292" t="s">
        <v>99</v>
      </c>
      <c r="F292">
        <v>19</v>
      </c>
      <c r="G292">
        <v>325.14</v>
      </c>
      <c r="H292">
        <v>0.1</v>
      </c>
      <c r="I292" s="4">
        <v>5559.89</v>
      </c>
      <c r="J292" t="s">
        <v>16</v>
      </c>
      <c r="K292" t="s">
        <v>17</v>
      </c>
      <c r="L292" s="4">
        <f>VLOOKUP(tblTransactions[[#This Row],[Product_ID]],tblProducts[],5,FALSE)</f>
        <v>209.04</v>
      </c>
      <c r="M292" s="4">
        <f>tblTransactions[[#This Row],[Total_Amount]]-(tblTransactions[[#This Row],[Cost_Prices]]*tblTransactions[[#This Row],[Quantity]]*(1-tblTransactions[[#This Row],[Discount]]))</f>
        <v>1985.3060000000005</v>
      </c>
      <c r="N292" s="3">
        <f>tblTransactions[[#This Row],[Profit]]/tblTransactions[[#This Row],[Total_Amount]]</f>
        <v>0.35707648892334209</v>
      </c>
      <c r="O292" t="str">
        <f>TEXT(tblTransactions[[#This Row],[Date]], "MMM-YYYY")</f>
        <v>Mar-2023</v>
      </c>
      <c r="P292" t="str">
        <f>"Q"&amp;ROUNDUP(MONTH(tblTransactions[[#This Row],[Date]])/3,0)&amp;"-"&amp;YEAR(tblTransactions[[#This Row],[Date]])</f>
        <v>Q1-2023</v>
      </c>
      <c r="Q292">
        <f>YEAR(tblTransactions[[#This Row],[Date]])</f>
        <v>2023</v>
      </c>
      <c r="R292" t="str">
        <f>TEXT(tblTransactions[[#This Row],[Date]],"DDDD")</f>
        <v>Wednesday</v>
      </c>
      <c r="S292">
        <f>MONTH(tblTransactions[[#This Row],[Date]])</f>
        <v>3</v>
      </c>
      <c r="T292" t="str">
        <f>VLOOKUP(E292, Products!$A:$B,2,0)</f>
        <v>Monitors Tec-1</v>
      </c>
      <c r="U292" t="str">
        <f>VLOOKUP(E292,Products!$A:$C,3,0)</f>
        <v>Technology</v>
      </c>
      <c r="V292" t="str">
        <f>VLOOKUP(E292,Products!$A:$D,4,0)</f>
        <v>Monitors</v>
      </c>
      <c r="W292" t="str">
        <f>VLOOKUP(D292,Customers!$A:$C,3,0)</f>
        <v>B2B</v>
      </c>
      <c r="X292" t="str">
        <f>VLOOKUP(C292,Sales_Representatives!$A:$B,2,0)</f>
        <v>Thomas Lopez</v>
      </c>
    </row>
    <row r="293" spans="1:24" x14ac:dyDescent="0.3">
      <c r="A293" t="s">
        <v>514</v>
      </c>
      <c r="B293" t="s">
        <v>515</v>
      </c>
      <c r="C293" t="s">
        <v>70</v>
      </c>
      <c r="D293" t="s">
        <v>50</v>
      </c>
      <c r="E293" t="s">
        <v>314</v>
      </c>
      <c r="F293">
        <v>2</v>
      </c>
      <c r="G293">
        <v>204.97</v>
      </c>
      <c r="H293">
        <v>0.08</v>
      </c>
      <c r="I293" s="4">
        <v>377.14</v>
      </c>
      <c r="J293" t="s">
        <v>16</v>
      </c>
      <c r="K293" t="s">
        <v>22</v>
      </c>
      <c r="L293" s="4">
        <f>VLOOKUP(tblTransactions[[#This Row],[Product_ID]],tblProducts[],5,FALSE)</f>
        <v>121.53</v>
      </c>
      <c r="M293" s="4">
        <f>tblTransactions[[#This Row],[Total_Amount]]-(tblTransactions[[#This Row],[Cost_Prices]]*tblTransactions[[#This Row],[Quantity]]*(1-tblTransactions[[#This Row],[Discount]]))</f>
        <v>153.52479999999997</v>
      </c>
      <c r="N293" s="3">
        <f>tblTransactions[[#This Row],[Profit]]/tblTransactions[[#This Row],[Total_Amount]]</f>
        <v>0.40707641724558513</v>
      </c>
      <c r="O293" t="str">
        <f>TEXT(tblTransactions[[#This Row],[Date]], "MMM-YYYY")</f>
        <v>Mar-2023</v>
      </c>
      <c r="P293" t="str">
        <f>"Q"&amp;ROUNDUP(MONTH(tblTransactions[[#This Row],[Date]])/3,0)&amp;"-"&amp;YEAR(tblTransactions[[#This Row],[Date]])</f>
        <v>Q1-2023</v>
      </c>
      <c r="Q293">
        <f>YEAR(tblTransactions[[#This Row],[Date]])</f>
        <v>2023</v>
      </c>
      <c r="R293" t="str">
        <f>TEXT(tblTransactions[[#This Row],[Date]],"DDDD")</f>
        <v>Thursday</v>
      </c>
      <c r="S293">
        <f>MONTH(tblTransactions[[#This Row],[Date]])</f>
        <v>3</v>
      </c>
      <c r="T293" t="str">
        <f>VLOOKUP(E293, Products!$A:$B,2,0)</f>
        <v>Adapters Acc-3</v>
      </c>
      <c r="U293" t="str">
        <f>VLOOKUP(E293,Products!$A:$C,3,0)</f>
        <v>Accessories</v>
      </c>
      <c r="V293" t="str">
        <f>VLOOKUP(E293,Products!$A:$D,4,0)</f>
        <v>Adapters</v>
      </c>
      <c r="W293" t="str">
        <f>VLOOKUP(D293,Customers!$A:$C,3,0)</f>
        <v>Small Business</v>
      </c>
      <c r="X293" t="str">
        <f>VLOOKUP(C293,Sales_Representatives!$A:$B,2,0)</f>
        <v>Linda Smith</v>
      </c>
    </row>
    <row r="294" spans="1:24" x14ac:dyDescent="0.3">
      <c r="A294" t="s">
        <v>516</v>
      </c>
      <c r="B294" t="s">
        <v>515</v>
      </c>
      <c r="C294" t="s">
        <v>127</v>
      </c>
      <c r="D294" t="s">
        <v>134</v>
      </c>
      <c r="E294" t="s">
        <v>394</v>
      </c>
      <c r="F294">
        <v>5</v>
      </c>
      <c r="G294">
        <v>314.69</v>
      </c>
      <c r="H294">
        <v>0.03</v>
      </c>
      <c r="I294" s="4">
        <v>1526.25</v>
      </c>
      <c r="J294" t="s">
        <v>109</v>
      </c>
      <c r="K294" t="s">
        <v>48</v>
      </c>
      <c r="L294" s="4">
        <f>VLOOKUP(tblTransactions[[#This Row],[Product_ID]],tblProducts[],5,FALSE)</f>
        <v>185.43</v>
      </c>
      <c r="M294" s="4">
        <f>tblTransactions[[#This Row],[Total_Amount]]-(tblTransactions[[#This Row],[Cost_Prices]]*tblTransactions[[#This Row],[Quantity]]*(1-tblTransactions[[#This Row],[Discount]]))</f>
        <v>626.91449999999998</v>
      </c>
      <c r="N294" s="3">
        <f>tblTransactions[[#This Row],[Profit]]/tblTransactions[[#This Row],[Total_Amount]]</f>
        <v>0.41075479115479113</v>
      </c>
      <c r="O294" t="str">
        <f>TEXT(tblTransactions[[#This Row],[Date]], "MMM-YYYY")</f>
        <v>Mar-2023</v>
      </c>
      <c r="P294" t="str">
        <f>"Q"&amp;ROUNDUP(MONTH(tblTransactions[[#This Row],[Date]])/3,0)&amp;"-"&amp;YEAR(tblTransactions[[#This Row],[Date]])</f>
        <v>Q1-2023</v>
      </c>
      <c r="Q294">
        <f>YEAR(tblTransactions[[#This Row],[Date]])</f>
        <v>2023</v>
      </c>
      <c r="R294" t="str">
        <f>TEXT(tblTransactions[[#This Row],[Date]],"DDDD")</f>
        <v>Thursday</v>
      </c>
      <c r="S294">
        <f>MONTH(tblTransactions[[#This Row],[Date]])</f>
        <v>3</v>
      </c>
      <c r="T294" t="str">
        <f>VLOOKUP(E294, Products!$A:$B,2,0)</f>
        <v>Desks Fur-1</v>
      </c>
      <c r="U294" t="str">
        <f>VLOOKUP(E294,Products!$A:$C,3,0)</f>
        <v>Furniture</v>
      </c>
      <c r="V294" t="str">
        <f>VLOOKUP(E294,Products!$A:$D,4,0)</f>
        <v>Desks</v>
      </c>
      <c r="W294" t="str">
        <f>VLOOKUP(D294,Customers!$A:$C,3,0)</f>
        <v>B2B</v>
      </c>
      <c r="X294" t="str">
        <f>VLOOKUP(C294,Sales_Representatives!$A:$B,2,0)</f>
        <v>Emily Hernandez</v>
      </c>
    </row>
    <row r="295" spans="1:24" x14ac:dyDescent="0.3">
      <c r="A295" t="s">
        <v>517</v>
      </c>
      <c r="B295" t="s">
        <v>515</v>
      </c>
      <c r="C295" t="s">
        <v>27</v>
      </c>
      <c r="D295" t="s">
        <v>28</v>
      </c>
      <c r="E295" t="s">
        <v>113</v>
      </c>
      <c r="F295">
        <v>11</v>
      </c>
      <c r="G295">
        <v>930.41</v>
      </c>
      <c r="H295">
        <v>0.14000000000000001</v>
      </c>
      <c r="I295" s="4">
        <v>8801.68</v>
      </c>
      <c r="J295" t="s">
        <v>16</v>
      </c>
      <c r="K295" t="s">
        <v>35</v>
      </c>
      <c r="L295" s="4">
        <f>VLOOKUP(tblTransactions[[#This Row],[Product_ID]],tblProducts[],5,FALSE)</f>
        <v>595.51</v>
      </c>
      <c r="M295" s="4">
        <f>tblTransactions[[#This Row],[Total_Amount]]-(tblTransactions[[#This Row],[Cost_Prices]]*tblTransactions[[#This Row],[Quantity]]*(1-tblTransactions[[#This Row],[Discount]]))</f>
        <v>3168.1554000000006</v>
      </c>
      <c r="N295" s="3">
        <f>tblTransactions[[#This Row],[Profit]]/tblTransactions[[#This Row],[Total_Amount]]</f>
        <v>0.35994894156570112</v>
      </c>
      <c r="O295" t="str">
        <f>TEXT(tblTransactions[[#This Row],[Date]], "MMM-YYYY")</f>
        <v>Mar-2023</v>
      </c>
      <c r="P295" t="str">
        <f>"Q"&amp;ROUNDUP(MONTH(tblTransactions[[#This Row],[Date]])/3,0)&amp;"-"&amp;YEAR(tblTransactions[[#This Row],[Date]])</f>
        <v>Q1-2023</v>
      </c>
      <c r="Q295">
        <f>YEAR(tblTransactions[[#This Row],[Date]])</f>
        <v>2023</v>
      </c>
      <c r="R295" t="str">
        <f>TEXT(tblTransactions[[#This Row],[Date]],"DDDD")</f>
        <v>Thursday</v>
      </c>
      <c r="S295">
        <f>MONTH(tblTransactions[[#This Row],[Date]])</f>
        <v>3</v>
      </c>
      <c r="T295" t="str">
        <f>VLOOKUP(E295, Products!$A:$B,2,0)</f>
        <v>Phones Ele-1</v>
      </c>
      <c r="U295" t="str">
        <f>VLOOKUP(E295,Products!$A:$C,3,0)</f>
        <v>Electronics</v>
      </c>
      <c r="V295" t="str">
        <f>VLOOKUP(E295,Products!$A:$D,4,0)</f>
        <v>Phones</v>
      </c>
      <c r="W295" t="str">
        <f>VLOOKUP(D295,Customers!$A:$C,3,0)</f>
        <v>B2B</v>
      </c>
      <c r="X295" t="str">
        <f>VLOOKUP(C295,Sales_Representatives!$A:$B,2,0)</f>
        <v>Thomas Lopez</v>
      </c>
    </row>
    <row r="296" spans="1:24" x14ac:dyDescent="0.3">
      <c r="A296" t="s">
        <v>518</v>
      </c>
      <c r="B296" t="s">
        <v>515</v>
      </c>
      <c r="C296" t="s">
        <v>63</v>
      </c>
      <c r="D296" t="s">
        <v>396</v>
      </c>
      <c r="E296" t="s">
        <v>221</v>
      </c>
      <c r="F296">
        <v>3</v>
      </c>
      <c r="G296">
        <v>210.02</v>
      </c>
      <c r="H296">
        <v>0.05</v>
      </c>
      <c r="I296" s="4">
        <v>598.55999999999995</v>
      </c>
      <c r="J296" t="s">
        <v>21</v>
      </c>
      <c r="K296" t="s">
        <v>22</v>
      </c>
      <c r="L296" s="4">
        <f>VLOOKUP(tblTransactions[[#This Row],[Product_ID]],tblProducts[],5,FALSE)</f>
        <v>131.66</v>
      </c>
      <c r="M296" s="4">
        <f>tblTransactions[[#This Row],[Total_Amount]]-(tblTransactions[[#This Row],[Cost_Prices]]*tblTransactions[[#This Row],[Quantity]]*(1-tblTransactions[[#This Row],[Discount]]))</f>
        <v>223.32899999999995</v>
      </c>
      <c r="N296" s="3">
        <f>tblTransactions[[#This Row],[Profit]]/tblTransactions[[#This Row],[Total_Amount]]</f>
        <v>0.37311046511627904</v>
      </c>
      <c r="O296" t="str">
        <f>TEXT(tblTransactions[[#This Row],[Date]], "MMM-YYYY")</f>
        <v>Mar-2023</v>
      </c>
      <c r="P296" t="str">
        <f>"Q"&amp;ROUNDUP(MONTH(tblTransactions[[#This Row],[Date]])/3,0)&amp;"-"&amp;YEAR(tblTransactions[[#This Row],[Date]])</f>
        <v>Q1-2023</v>
      </c>
      <c r="Q296">
        <f>YEAR(tblTransactions[[#This Row],[Date]])</f>
        <v>2023</v>
      </c>
      <c r="R296" t="str">
        <f>TEXT(tblTransactions[[#This Row],[Date]],"DDDD")</f>
        <v>Thursday</v>
      </c>
      <c r="S296">
        <f>MONTH(tblTransactions[[#This Row],[Date]])</f>
        <v>3</v>
      </c>
      <c r="T296" t="str">
        <f>VLOOKUP(E296, Products!$A:$B,2,0)</f>
        <v>Storage Fur-2</v>
      </c>
      <c r="U296" t="str">
        <f>VLOOKUP(E296,Products!$A:$C,3,0)</f>
        <v>Furniture</v>
      </c>
      <c r="V296" t="str">
        <f>VLOOKUP(E296,Products!$A:$D,4,0)</f>
        <v>Storage</v>
      </c>
      <c r="W296" t="str">
        <f>VLOOKUP(D296,Customers!$A:$C,3,0)</f>
        <v>Small Business</v>
      </c>
      <c r="X296" t="str">
        <f>VLOOKUP(C296,Sales_Representatives!$A:$B,2,0)</f>
        <v>Richard Wilson</v>
      </c>
    </row>
    <row r="297" spans="1:24" x14ac:dyDescent="0.3">
      <c r="A297" t="s">
        <v>519</v>
      </c>
      <c r="B297" t="s">
        <v>515</v>
      </c>
      <c r="C297" t="s">
        <v>82</v>
      </c>
      <c r="D297" t="s">
        <v>124</v>
      </c>
      <c r="E297" t="s">
        <v>38</v>
      </c>
      <c r="F297">
        <v>9</v>
      </c>
      <c r="G297">
        <v>581.47</v>
      </c>
      <c r="H297">
        <v>0.1</v>
      </c>
      <c r="I297" s="4">
        <v>4709.91</v>
      </c>
      <c r="J297" t="s">
        <v>34</v>
      </c>
      <c r="K297" t="s">
        <v>48</v>
      </c>
      <c r="L297" s="4">
        <f>VLOOKUP(tblTransactions[[#This Row],[Product_ID]],tblProducts[],5,FALSE)</f>
        <v>372.07</v>
      </c>
      <c r="M297" s="4">
        <f>tblTransactions[[#This Row],[Total_Amount]]-(tblTransactions[[#This Row],[Cost_Prices]]*tblTransactions[[#This Row],[Quantity]]*(1-tblTransactions[[#This Row],[Discount]]))</f>
        <v>1696.1429999999996</v>
      </c>
      <c r="N297" s="3">
        <f>tblTransactions[[#This Row],[Profit]]/tblTransactions[[#This Row],[Total_Amount]]</f>
        <v>0.36012216793951468</v>
      </c>
      <c r="O297" t="str">
        <f>TEXT(tblTransactions[[#This Row],[Date]], "MMM-YYYY")</f>
        <v>Mar-2023</v>
      </c>
      <c r="P297" t="str">
        <f>"Q"&amp;ROUNDUP(MONTH(tblTransactions[[#This Row],[Date]])/3,0)&amp;"-"&amp;YEAR(tblTransactions[[#This Row],[Date]])</f>
        <v>Q1-2023</v>
      </c>
      <c r="Q297">
        <f>YEAR(tblTransactions[[#This Row],[Date]])</f>
        <v>2023</v>
      </c>
      <c r="R297" t="str">
        <f>TEXT(tblTransactions[[#This Row],[Date]],"DDDD")</f>
        <v>Thursday</v>
      </c>
      <c r="S297">
        <f>MONTH(tblTransactions[[#This Row],[Date]])</f>
        <v>3</v>
      </c>
      <c r="T297" t="str">
        <f>VLOOKUP(E297, Products!$A:$B,2,0)</f>
        <v>Storage Fur-3</v>
      </c>
      <c r="U297" t="str">
        <f>VLOOKUP(E297,Products!$A:$C,3,0)</f>
        <v>Furniture</v>
      </c>
      <c r="V297" t="str">
        <f>VLOOKUP(E297,Products!$A:$D,4,0)</f>
        <v>Storage</v>
      </c>
      <c r="W297" t="str">
        <f>VLOOKUP(D297,Customers!$A:$C,3,0)</f>
        <v>B2B</v>
      </c>
      <c r="X297" t="str">
        <f>VLOOKUP(C297,Sales_Representatives!$A:$B,2,0)</f>
        <v>John Brown</v>
      </c>
    </row>
    <row r="298" spans="1:24" x14ac:dyDescent="0.3">
      <c r="A298" t="s">
        <v>520</v>
      </c>
      <c r="B298" t="s">
        <v>521</v>
      </c>
      <c r="C298" t="s">
        <v>63</v>
      </c>
      <c r="D298" t="s">
        <v>164</v>
      </c>
      <c r="E298" t="s">
        <v>53</v>
      </c>
      <c r="F298">
        <v>2</v>
      </c>
      <c r="G298">
        <v>2069.2199999999998</v>
      </c>
      <c r="H298">
        <v>0.09</v>
      </c>
      <c r="I298" s="4">
        <v>3765.98</v>
      </c>
      <c r="J298" t="s">
        <v>21</v>
      </c>
      <c r="K298" t="s">
        <v>22</v>
      </c>
      <c r="L298" s="4">
        <f>VLOOKUP(tblTransactions[[#This Row],[Product_ID]],tblProducts[],5,FALSE)</f>
        <v>1451.18</v>
      </c>
      <c r="M298" s="4">
        <f>tblTransactions[[#This Row],[Total_Amount]]-(tblTransactions[[#This Row],[Cost_Prices]]*tblTransactions[[#This Row],[Quantity]]*(1-tblTransactions[[#This Row],[Discount]]))</f>
        <v>1124.8323999999998</v>
      </c>
      <c r="N298" s="3">
        <f>tblTransactions[[#This Row],[Profit]]/tblTransactions[[#This Row],[Total_Amount]]</f>
        <v>0.29868252088433817</v>
      </c>
      <c r="O298" t="str">
        <f>TEXT(tblTransactions[[#This Row],[Date]], "MMM-YYYY")</f>
        <v>Mar-2023</v>
      </c>
      <c r="P298" t="str">
        <f>"Q"&amp;ROUNDUP(MONTH(tblTransactions[[#This Row],[Date]])/3,0)&amp;"-"&amp;YEAR(tblTransactions[[#This Row],[Date]])</f>
        <v>Q1-2023</v>
      </c>
      <c r="Q298">
        <f>YEAR(tblTransactions[[#This Row],[Date]])</f>
        <v>2023</v>
      </c>
      <c r="R298" t="str">
        <f>TEXT(tblTransactions[[#This Row],[Date]],"DDDD")</f>
        <v>Friday</v>
      </c>
      <c r="S298">
        <f>MONTH(tblTransactions[[#This Row],[Date]])</f>
        <v>3</v>
      </c>
      <c r="T298" t="str">
        <f>VLOOKUP(E298, Products!$A:$B,2,0)</f>
        <v>Printers Tec-3</v>
      </c>
      <c r="U298" t="str">
        <f>VLOOKUP(E298,Products!$A:$C,3,0)</f>
        <v>Technology</v>
      </c>
      <c r="V298" t="str">
        <f>VLOOKUP(E298,Products!$A:$D,4,0)</f>
        <v>Printers</v>
      </c>
      <c r="W298" t="str">
        <f>VLOOKUP(D298,Customers!$A:$C,3,0)</f>
        <v>Small Business</v>
      </c>
      <c r="X298" t="str">
        <f>VLOOKUP(C298,Sales_Representatives!$A:$B,2,0)</f>
        <v>Richard Wilson</v>
      </c>
    </row>
    <row r="299" spans="1:24" x14ac:dyDescent="0.3">
      <c r="A299" t="s">
        <v>522</v>
      </c>
      <c r="B299" t="s">
        <v>521</v>
      </c>
      <c r="C299" t="s">
        <v>70</v>
      </c>
      <c r="D299" t="s">
        <v>124</v>
      </c>
      <c r="E299" t="s">
        <v>172</v>
      </c>
      <c r="F299">
        <v>16</v>
      </c>
      <c r="G299">
        <v>1371.15</v>
      </c>
      <c r="H299">
        <v>0.12</v>
      </c>
      <c r="I299" s="4">
        <v>19305.79</v>
      </c>
      <c r="J299" t="s">
        <v>16</v>
      </c>
      <c r="K299" t="s">
        <v>17</v>
      </c>
      <c r="L299" s="4">
        <f>VLOOKUP(tblTransactions[[#This Row],[Product_ID]],tblProducts[],5,FALSE)</f>
        <v>989.81</v>
      </c>
      <c r="M299" s="4">
        <f>tblTransactions[[#This Row],[Total_Amount]]-(tblTransactions[[#This Row],[Cost_Prices]]*tblTransactions[[#This Row],[Quantity]]*(1-tblTransactions[[#This Row],[Discount]]))</f>
        <v>5369.2652000000016</v>
      </c>
      <c r="N299" s="3">
        <f>tblTransactions[[#This Row],[Profit]]/tblTransactions[[#This Row],[Total_Amount]]</f>
        <v>0.27811683437973794</v>
      </c>
      <c r="O299" t="str">
        <f>TEXT(tblTransactions[[#This Row],[Date]], "MMM-YYYY")</f>
        <v>Mar-2023</v>
      </c>
      <c r="P299" t="str">
        <f>"Q"&amp;ROUNDUP(MONTH(tblTransactions[[#This Row],[Date]])/3,0)&amp;"-"&amp;YEAR(tblTransactions[[#This Row],[Date]])</f>
        <v>Q1-2023</v>
      </c>
      <c r="Q299">
        <f>YEAR(tblTransactions[[#This Row],[Date]])</f>
        <v>2023</v>
      </c>
      <c r="R299" t="str">
        <f>TEXT(tblTransactions[[#This Row],[Date]],"DDDD")</f>
        <v>Friday</v>
      </c>
      <c r="S299">
        <f>MONTH(tblTransactions[[#This Row],[Date]])</f>
        <v>3</v>
      </c>
      <c r="T299" t="str">
        <f>VLOOKUP(E299, Products!$A:$B,2,0)</f>
        <v>Cameras Ele-4</v>
      </c>
      <c r="U299" t="str">
        <f>VLOOKUP(E299,Products!$A:$C,3,0)</f>
        <v>Electronics</v>
      </c>
      <c r="V299" t="str">
        <f>VLOOKUP(E299,Products!$A:$D,4,0)</f>
        <v>Cameras</v>
      </c>
      <c r="W299" t="str">
        <f>VLOOKUP(D299,Customers!$A:$C,3,0)</f>
        <v>B2B</v>
      </c>
      <c r="X299" t="str">
        <f>VLOOKUP(C299,Sales_Representatives!$A:$B,2,0)</f>
        <v>Linda Smith</v>
      </c>
    </row>
    <row r="300" spans="1:24" x14ac:dyDescent="0.3">
      <c r="A300" t="s">
        <v>523</v>
      </c>
      <c r="B300" t="s">
        <v>521</v>
      </c>
      <c r="C300" t="s">
        <v>31</v>
      </c>
      <c r="D300" t="s">
        <v>93</v>
      </c>
      <c r="E300" t="s">
        <v>217</v>
      </c>
      <c r="F300">
        <v>1</v>
      </c>
      <c r="G300">
        <v>145.51</v>
      </c>
      <c r="H300">
        <v>0.06</v>
      </c>
      <c r="I300" s="4">
        <v>136.78</v>
      </c>
      <c r="J300" t="s">
        <v>34</v>
      </c>
      <c r="K300" t="s">
        <v>48</v>
      </c>
      <c r="L300" s="4">
        <f>VLOOKUP(tblTransactions[[#This Row],[Product_ID]],tblProducts[],5,FALSE)</f>
        <v>64.510000000000005</v>
      </c>
      <c r="M300" s="4">
        <f>tblTransactions[[#This Row],[Total_Amount]]-(tblTransactions[[#This Row],[Cost_Prices]]*tblTransactions[[#This Row],[Quantity]]*(1-tblTransactions[[#This Row],[Discount]]))</f>
        <v>76.140600000000006</v>
      </c>
      <c r="N300" s="3">
        <f>tblTransactions[[#This Row],[Profit]]/tblTransactions[[#This Row],[Total_Amount]]</f>
        <v>0.55666471706389831</v>
      </c>
      <c r="O300" t="str">
        <f>TEXT(tblTransactions[[#This Row],[Date]], "MMM-YYYY")</f>
        <v>Mar-2023</v>
      </c>
      <c r="P300" t="str">
        <f>"Q"&amp;ROUNDUP(MONTH(tblTransactions[[#This Row],[Date]])/3,0)&amp;"-"&amp;YEAR(tblTransactions[[#This Row],[Date]])</f>
        <v>Q1-2023</v>
      </c>
      <c r="Q300">
        <f>YEAR(tblTransactions[[#This Row],[Date]])</f>
        <v>2023</v>
      </c>
      <c r="R300" t="str">
        <f>TEXT(tblTransactions[[#This Row],[Date]],"DDDD")</f>
        <v>Friday</v>
      </c>
      <c r="S300">
        <f>MONTH(tblTransactions[[#This Row],[Date]])</f>
        <v>3</v>
      </c>
      <c r="T300" t="str">
        <f>VLOOKUP(E300, Products!$A:$B,2,0)</f>
        <v>Cables Acc-2</v>
      </c>
      <c r="U300" t="str">
        <f>VLOOKUP(E300,Products!$A:$C,3,0)</f>
        <v>Accessories</v>
      </c>
      <c r="V300" t="str">
        <f>VLOOKUP(E300,Products!$A:$D,4,0)</f>
        <v>Cables</v>
      </c>
      <c r="W300" t="str">
        <f>VLOOKUP(D300,Customers!$A:$C,3,0)</f>
        <v>B2C</v>
      </c>
      <c r="X300" t="str">
        <f>VLOOKUP(C300,Sales_Representatives!$A:$B,2,0)</f>
        <v>Thomas Martinez</v>
      </c>
    </row>
    <row r="301" spans="1:24" x14ac:dyDescent="0.3">
      <c r="A301" t="s">
        <v>524</v>
      </c>
      <c r="B301" t="s">
        <v>521</v>
      </c>
      <c r="C301" t="s">
        <v>63</v>
      </c>
      <c r="D301" t="s">
        <v>98</v>
      </c>
      <c r="E301" t="s">
        <v>508</v>
      </c>
      <c r="F301">
        <v>2</v>
      </c>
      <c r="G301">
        <v>237.69</v>
      </c>
      <c r="H301">
        <v>0.09</v>
      </c>
      <c r="I301" s="4">
        <v>432.6</v>
      </c>
      <c r="J301" t="s">
        <v>21</v>
      </c>
      <c r="K301" t="s">
        <v>48</v>
      </c>
      <c r="L301" s="4">
        <f>VLOOKUP(tblTransactions[[#This Row],[Product_ID]],tblProducts[],5,FALSE)</f>
        <v>115.31</v>
      </c>
      <c r="M301" s="4">
        <f>tblTransactions[[#This Row],[Total_Amount]]-(tblTransactions[[#This Row],[Cost_Prices]]*tblTransactions[[#This Row],[Quantity]]*(1-tblTransactions[[#This Row],[Discount]]))</f>
        <v>222.73580000000001</v>
      </c>
      <c r="N301" s="3">
        <f>tblTransactions[[#This Row],[Profit]]/tblTransactions[[#This Row],[Total_Amount]]</f>
        <v>0.51487702265372171</v>
      </c>
      <c r="O301" t="str">
        <f>TEXT(tblTransactions[[#This Row],[Date]], "MMM-YYYY")</f>
        <v>Mar-2023</v>
      </c>
      <c r="P301" t="str">
        <f>"Q"&amp;ROUNDUP(MONTH(tblTransactions[[#This Row],[Date]])/3,0)&amp;"-"&amp;YEAR(tblTransactions[[#This Row],[Date]])</f>
        <v>Q1-2023</v>
      </c>
      <c r="Q301">
        <f>YEAR(tblTransactions[[#This Row],[Date]])</f>
        <v>2023</v>
      </c>
      <c r="R301" t="str">
        <f>TEXT(tblTransactions[[#This Row],[Date]],"DDDD")</f>
        <v>Friday</v>
      </c>
      <c r="S301">
        <f>MONTH(tblTransactions[[#This Row],[Date]])</f>
        <v>3</v>
      </c>
      <c r="T301" t="str">
        <f>VLOOKUP(E301, Products!$A:$B,2,0)</f>
        <v>Folders Off-3</v>
      </c>
      <c r="U301" t="str">
        <f>VLOOKUP(E301,Products!$A:$C,3,0)</f>
        <v>Office Supplies</v>
      </c>
      <c r="V301" t="str">
        <f>VLOOKUP(E301,Products!$A:$D,4,0)</f>
        <v>Folders</v>
      </c>
      <c r="W301" t="str">
        <f>VLOOKUP(D301,Customers!$A:$C,3,0)</f>
        <v>B2C</v>
      </c>
      <c r="X301" t="str">
        <f>VLOOKUP(C301,Sales_Representatives!$A:$B,2,0)</f>
        <v>Richard Wilson</v>
      </c>
    </row>
    <row r="302" spans="1:24" x14ac:dyDescent="0.3">
      <c r="A302" t="s">
        <v>525</v>
      </c>
      <c r="B302" t="s">
        <v>521</v>
      </c>
      <c r="C302" t="s">
        <v>59</v>
      </c>
      <c r="D302" t="s">
        <v>156</v>
      </c>
      <c r="E302" t="s">
        <v>68</v>
      </c>
      <c r="F302">
        <v>7</v>
      </c>
      <c r="G302">
        <v>522.63</v>
      </c>
      <c r="H302">
        <v>0.11</v>
      </c>
      <c r="I302" s="4">
        <v>3255.98</v>
      </c>
      <c r="J302" t="s">
        <v>21</v>
      </c>
      <c r="K302" t="s">
        <v>22</v>
      </c>
      <c r="L302" s="4">
        <f>VLOOKUP(tblTransactions[[#This Row],[Product_ID]],tblProducts[],5,FALSE)</f>
        <v>355.82</v>
      </c>
      <c r="M302" s="4">
        <f>tblTransactions[[#This Row],[Total_Amount]]-(tblTransactions[[#This Row],[Cost_Prices]]*tblTransactions[[#This Row],[Quantity]]*(1-tblTransactions[[#This Row],[Discount]]))</f>
        <v>1039.2214000000004</v>
      </c>
      <c r="N302" s="3">
        <f>tblTransactions[[#This Row],[Profit]]/tblTransactions[[#This Row],[Total_Amount]]</f>
        <v>0.31917315216923947</v>
      </c>
      <c r="O302" t="str">
        <f>TEXT(tblTransactions[[#This Row],[Date]], "MMM-YYYY")</f>
        <v>Mar-2023</v>
      </c>
      <c r="P302" t="str">
        <f>"Q"&amp;ROUNDUP(MONTH(tblTransactions[[#This Row],[Date]])/3,0)&amp;"-"&amp;YEAR(tblTransactions[[#This Row],[Date]])</f>
        <v>Q1-2023</v>
      </c>
      <c r="Q302">
        <f>YEAR(tblTransactions[[#This Row],[Date]])</f>
        <v>2023</v>
      </c>
      <c r="R302" t="str">
        <f>TEXT(tblTransactions[[#This Row],[Date]],"DDDD")</f>
        <v>Friday</v>
      </c>
      <c r="S302">
        <f>MONTH(tblTransactions[[#This Row],[Date]])</f>
        <v>3</v>
      </c>
      <c r="T302" t="str">
        <f>VLOOKUP(E302, Products!$A:$B,2,0)</f>
        <v>Monitors Tec-3</v>
      </c>
      <c r="U302" t="str">
        <f>VLOOKUP(E302,Products!$A:$C,3,0)</f>
        <v>Technology</v>
      </c>
      <c r="V302" t="str">
        <f>VLOOKUP(E302,Products!$A:$D,4,0)</f>
        <v>Monitors</v>
      </c>
      <c r="W302" t="str">
        <f>VLOOKUP(D302,Customers!$A:$C,3,0)</f>
        <v>B2B</v>
      </c>
      <c r="X302" t="str">
        <f>VLOOKUP(C302,Sales_Representatives!$A:$B,2,0)</f>
        <v>Sarah Brown</v>
      </c>
    </row>
    <row r="303" spans="1:24" x14ac:dyDescent="0.3">
      <c r="A303" t="s">
        <v>526</v>
      </c>
      <c r="B303" t="s">
        <v>521</v>
      </c>
      <c r="C303" t="s">
        <v>131</v>
      </c>
      <c r="D303" t="s">
        <v>527</v>
      </c>
      <c r="E303" t="s">
        <v>299</v>
      </c>
      <c r="F303">
        <v>7</v>
      </c>
      <c r="G303">
        <v>963.44</v>
      </c>
      <c r="H303">
        <v>0.05</v>
      </c>
      <c r="I303" s="4">
        <v>6406.88</v>
      </c>
      <c r="J303" t="s">
        <v>44</v>
      </c>
      <c r="K303" t="s">
        <v>48</v>
      </c>
      <c r="L303" s="4">
        <f>VLOOKUP(tblTransactions[[#This Row],[Product_ID]],tblProducts[],5,FALSE)</f>
        <v>578.96</v>
      </c>
      <c r="M303" s="4">
        <f>tblTransactions[[#This Row],[Total_Amount]]-(tblTransactions[[#This Row],[Cost_Prices]]*tblTransactions[[#This Row],[Quantity]]*(1-tblTransactions[[#This Row],[Discount]]))</f>
        <v>2556.7959999999998</v>
      </c>
      <c r="N303" s="3">
        <f>tblTransactions[[#This Row],[Profit]]/tblTransactions[[#This Row],[Total_Amount]]</f>
        <v>0.39907037434757631</v>
      </c>
      <c r="O303" t="str">
        <f>TEXT(tblTransactions[[#This Row],[Date]], "MMM-YYYY")</f>
        <v>Mar-2023</v>
      </c>
      <c r="P303" t="str">
        <f>"Q"&amp;ROUNDUP(MONTH(tblTransactions[[#This Row],[Date]])/3,0)&amp;"-"&amp;YEAR(tblTransactions[[#This Row],[Date]])</f>
        <v>Q1-2023</v>
      </c>
      <c r="Q303">
        <f>YEAR(tblTransactions[[#This Row],[Date]])</f>
        <v>2023</v>
      </c>
      <c r="R303" t="str">
        <f>TEXT(tblTransactions[[#This Row],[Date]],"DDDD")</f>
        <v>Friday</v>
      </c>
      <c r="S303">
        <f>MONTH(tblTransactions[[#This Row],[Date]])</f>
        <v>3</v>
      </c>
      <c r="T303" t="str">
        <f>VLOOKUP(E303, Products!$A:$B,2,0)</f>
        <v>Chairs Fur-4</v>
      </c>
      <c r="U303" t="str">
        <f>VLOOKUP(E303,Products!$A:$C,3,0)</f>
        <v>Furniture</v>
      </c>
      <c r="V303" t="str">
        <f>VLOOKUP(E303,Products!$A:$D,4,0)</f>
        <v>Chairs</v>
      </c>
      <c r="W303" t="str">
        <f>VLOOKUP(D303,Customers!$A:$C,3,0)</f>
        <v>B2C</v>
      </c>
      <c r="X303" t="str">
        <f>VLOOKUP(C303,Sales_Representatives!$A:$B,2,0)</f>
        <v>Michael Davis</v>
      </c>
    </row>
    <row r="304" spans="1:24" x14ac:dyDescent="0.3">
      <c r="A304" t="s">
        <v>528</v>
      </c>
      <c r="B304" t="s">
        <v>529</v>
      </c>
      <c r="C304" t="s">
        <v>127</v>
      </c>
      <c r="D304" t="s">
        <v>139</v>
      </c>
      <c r="E304" t="s">
        <v>204</v>
      </c>
      <c r="F304">
        <v>4</v>
      </c>
      <c r="G304">
        <v>715.62</v>
      </c>
      <c r="H304">
        <v>7.0000000000000007E-2</v>
      </c>
      <c r="I304" s="4">
        <v>2662.11</v>
      </c>
      <c r="J304" t="s">
        <v>109</v>
      </c>
      <c r="K304" t="s">
        <v>22</v>
      </c>
      <c r="L304" s="4">
        <f>VLOOKUP(tblTransactions[[#This Row],[Product_ID]],tblProducts[],5,FALSE)</f>
        <v>459.58</v>
      </c>
      <c r="M304" s="4">
        <f>tblTransactions[[#This Row],[Total_Amount]]-(tblTransactions[[#This Row],[Cost_Prices]]*tblTransactions[[#This Row],[Quantity]]*(1-tblTransactions[[#This Row],[Discount]]))</f>
        <v>952.47240000000033</v>
      </c>
      <c r="N304" s="3">
        <f>tblTransactions[[#This Row],[Profit]]/tblTransactions[[#This Row],[Total_Amount]]</f>
        <v>0.35778852113549037</v>
      </c>
      <c r="O304" t="str">
        <f>TEXT(tblTransactions[[#This Row],[Date]], "MMM-YYYY")</f>
        <v>Mar-2023</v>
      </c>
      <c r="P304" t="str">
        <f>"Q"&amp;ROUNDUP(MONTH(tblTransactions[[#This Row],[Date]])/3,0)&amp;"-"&amp;YEAR(tblTransactions[[#This Row],[Date]])</f>
        <v>Q1-2023</v>
      </c>
      <c r="Q304">
        <f>YEAR(tblTransactions[[#This Row],[Date]])</f>
        <v>2023</v>
      </c>
      <c r="R304" t="str">
        <f>TEXT(tblTransactions[[#This Row],[Date]],"DDDD")</f>
        <v>Saturday</v>
      </c>
      <c r="S304">
        <f>MONTH(tblTransactions[[#This Row],[Date]])</f>
        <v>3</v>
      </c>
      <c r="T304" t="str">
        <f>VLOOKUP(E304, Products!$A:$B,2,0)</f>
        <v>Cameras Ele-2</v>
      </c>
      <c r="U304" t="str">
        <f>VLOOKUP(E304,Products!$A:$C,3,0)</f>
        <v>Electronics</v>
      </c>
      <c r="V304" t="str">
        <f>VLOOKUP(E304,Products!$A:$D,4,0)</f>
        <v>Cameras</v>
      </c>
      <c r="W304" t="str">
        <f>VLOOKUP(D304,Customers!$A:$C,3,0)</f>
        <v>B2C</v>
      </c>
      <c r="X304" t="str">
        <f>VLOOKUP(C304,Sales_Representatives!$A:$B,2,0)</f>
        <v>Emily Hernandez</v>
      </c>
    </row>
    <row r="305" spans="1:24" x14ac:dyDescent="0.3">
      <c r="A305" t="s">
        <v>530</v>
      </c>
      <c r="B305" t="s">
        <v>529</v>
      </c>
      <c r="C305" t="s">
        <v>56</v>
      </c>
      <c r="D305" t="s">
        <v>57</v>
      </c>
      <c r="E305" t="s">
        <v>125</v>
      </c>
      <c r="F305">
        <v>3</v>
      </c>
      <c r="G305">
        <v>1201.4000000000001</v>
      </c>
      <c r="H305">
        <v>0.04</v>
      </c>
      <c r="I305" s="4">
        <v>3460.03</v>
      </c>
      <c r="J305" t="s">
        <v>34</v>
      </c>
      <c r="K305" t="s">
        <v>48</v>
      </c>
      <c r="L305" s="4">
        <f>VLOOKUP(tblTransactions[[#This Row],[Product_ID]],tblProducts[],5,FALSE)</f>
        <v>672.72</v>
      </c>
      <c r="M305" s="4">
        <f>tblTransactions[[#This Row],[Total_Amount]]-(tblTransactions[[#This Row],[Cost_Prices]]*tblTransactions[[#This Row],[Quantity]]*(1-tblTransactions[[#This Row],[Discount]]))</f>
        <v>1522.5964000000001</v>
      </c>
      <c r="N305" s="3">
        <f>tblTransactions[[#This Row],[Profit]]/tblTransactions[[#This Row],[Total_Amount]]</f>
        <v>0.44005294751779611</v>
      </c>
      <c r="O305" t="str">
        <f>TEXT(tblTransactions[[#This Row],[Date]], "MMM-YYYY")</f>
        <v>Mar-2023</v>
      </c>
      <c r="P305" t="str">
        <f>"Q"&amp;ROUNDUP(MONTH(tblTransactions[[#This Row],[Date]])/3,0)&amp;"-"&amp;YEAR(tblTransactions[[#This Row],[Date]])</f>
        <v>Q1-2023</v>
      </c>
      <c r="Q305">
        <f>YEAR(tblTransactions[[#This Row],[Date]])</f>
        <v>2023</v>
      </c>
      <c r="R305" t="str">
        <f>TEXT(tblTransactions[[#This Row],[Date]],"DDDD")</f>
        <v>Saturday</v>
      </c>
      <c r="S305">
        <f>MONTH(tblTransactions[[#This Row],[Date]])</f>
        <v>3</v>
      </c>
      <c r="T305" t="str">
        <f>VLOOKUP(E305, Products!$A:$B,2,0)</f>
        <v>Printers Tec-2</v>
      </c>
      <c r="U305" t="str">
        <f>VLOOKUP(E305,Products!$A:$C,3,0)</f>
        <v>Technology</v>
      </c>
      <c r="V305" t="str">
        <f>VLOOKUP(E305,Products!$A:$D,4,0)</f>
        <v>Printers</v>
      </c>
      <c r="W305" t="str">
        <f>VLOOKUP(D305,Customers!$A:$C,3,0)</f>
        <v>Small Business</v>
      </c>
      <c r="X305" t="str">
        <f>VLOOKUP(C305,Sales_Representatives!$A:$B,2,0)</f>
        <v>Thomas Hernandez</v>
      </c>
    </row>
    <row r="306" spans="1:24" x14ac:dyDescent="0.3">
      <c r="A306" t="s">
        <v>531</v>
      </c>
      <c r="B306" t="s">
        <v>529</v>
      </c>
      <c r="C306" t="s">
        <v>41</v>
      </c>
      <c r="D306" t="s">
        <v>228</v>
      </c>
      <c r="E306" t="s">
        <v>38</v>
      </c>
      <c r="F306">
        <v>7</v>
      </c>
      <c r="G306">
        <v>581.47</v>
      </c>
      <c r="H306">
        <v>0.08</v>
      </c>
      <c r="I306" s="4">
        <v>3744.67</v>
      </c>
      <c r="J306" t="s">
        <v>44</v>
      </c>
      <c r="K306" t="s">
        <v>48</v>
      </c>
      <c r="L306" s="4">
        <f>VLOOKUP(tblTransactions[[#This Row],[Product_ID]],tblProducts[],5,FALSE)</f>
        <v>372.07</v>
      </c>
      <c r="M306" s="4">
        <f>tblTransactions[[#This Row],[Total_Amount]]-(tblTransactions[[#This Row],[Cost_Prices]]*tblTransactions[[#This Row],[Quantity]]*(1-tblTransactions[[#This Row],[Discount]]))</f>
        <v>1348.5392000000002</v>
      </c>
      <c r="N306" s="3">
        <f>tblTransactions[[#This Row],[Profit]]/tblTransactions[[#This Row],[Total_Amount]]</f>
        <v>0.36012230717259469</v>
      </c>
      <c r="O306" t="str">
        <f>TEXT(tblTransactions[[#This Row],[Date]], "MMM-YYYY")</f>
        <v>Mar-2023</v>
      </c>
      <c r="P306" t="str">
        <f>"Q"&amp;ROUNDUP(MONTH(tblTransactions[[#This Row],[Date]])/3,0)&amp;"-"&amp;YEAR(tblTransactions[[#This Row],[Date]])</f>
        <v>Q1-2023</v>
      </c>
      <c r="Q306">
        <f>YEAR(tblTransactions[[#This Row],[Date]])</f>
        <v>2023</v>
      </c>
      <c r="R306" t="str">
        <f>TEXT(tblTransactions[[#This Row],[Date]],"DDDD")</f>
        <v>Saturday</v>
      </c>
      <c r="S306">
        <f>MONTH(tblTransactions[[#This Row],[Date]])</f>
        <v>3</v>
      </c>
      <c r="T306" t="str">
        <f>VLOOKUP(E306, Products!$A:$B,2,0)</f>
        <v>Storage Fur-3</v>
      </c>
      <c r="U306" t="str">
        <f>VLOOKUP(E306,Products!$A:$C,3,0)</f>
        <v>Furniture</v>
      </c>
      <c r="V306" t="str">
        <f>VLOOKUP(E306,Products!$A:$D,4,0)</f>
        <v>Storage</v>
      </c>
      <c r="W306" t="str">
        <f>VLOOKUP(D306,Customers!$A:$C,3,0)</f>
        <v>Small Business</v>
      </c>
      <c r="X306" t="str">
        <f>VLOOKUP(C306,Sales_Representatives!$A:$B,2,0)</f>
        <v>Robert Jones</v>
      </c>
    </row>
    <row r="307" spans="1:24" x14ac:dyDescent="0.3">
      <c r="A307" t="s">
        <v>532</v>
      </c>
      <c r="B307" t="s">
        <v>533</v>
      </c>
      <c r="C307" t="s">
        <v>127</v>
      </c>
      <c r="D307" t="s">
        <v>197</v>
      </c>
      <c r="E307" t="s">
        <v>290</v>
      </c>
      <c r="F307">
        <v>21</v>
      </c>
      <c r="G307">
        <v>729.32</v>
      </c>
      <c r="H307">
        <v>0.22</v>
      </c>
      <c r="I307" s="4">
        <v>11946.26</v>
      </c>
      <c r="J307" t="s">
        <v>109</v>
      </c>
      <c r="K307" t="s">
        <v>48</v>
      </c>
      <c r="L307" s="4">
        <f>VLOOKUP(tblTransactions[[#This Row],[Product_ID]],tblProducts[],5,FALSE)</f>
        <v>482.7</v>
      </c>
      <c r="M307" s="4">
        <f>tblTransactions[[#This Row],[Total_Amount]]-(tblTransactions[[#This Row],[Cost_Prices]]*tblTransactions[[#This Row],[Quantity]]*(1-tblTransactions[[#This Row],[Discount]]))</f>
        <v>4039.6340000000009</v>
      </c>
      <c r="N307" s="3">
        <f>tblTransactions[[#This Row],[Profit]]/tblTransactions[[#This Row],[Total_Amount]]</f>
        <v>0.33815051740042495</v>
      </c>
      <c r="O307" t="str">
        <f>TEXT(tblTransactions[[#This Row],[Date]], "MMM-YYYY")</f>
        <v>Mar-2023</v>
      </c>
      <c r="P307" t="str">
        <f>"Q"&amp;ROUNDUP(MONTH(tblTransactions[[#This Row],[Date]])/3,0)&amp;"-"&amp;YEAR(tblTransactions[[#This Row],[Date]])</f>
        <v>Q1-2023</v>
      </c>
      <c r="Q307">
        <f>YEAR(tblTransactions[[#This Row],[Date]])</f>
        <v>2023</v>
      </c>
      <c r="R307" t="str">
        <f>TEXT(tblTransactions[[#This Row],[Date]],"DDDD")</f>
        <v>Monday</v>
      </c>
      <c r="S307">
        <f>MONTH(tblTransactions[[#This Row],[Date]])</f>
        <v>3</v>
      </c>
      <c r="T307" t="str">
        <f>VLOOKUP(E307, Products!$A:$B,2,0)</f>
        <v>Tables Fur-1</v>
      </c>
      <c r="U307" t="str">
        <f>VLOOKUP(E307,Products!$A:$C,3,0)</f>
        <v>Furniture</v>
      </c>
      <c r="V307" t="str">
        <f>VLOOKUP(E307,Products!$A:$D,4,0)</f>
        <v>Tables</v>
      </c>
      <c r="W307" t="str">
        <f>VLOOKUP(D307,Customers!$A:$C,3,0)</f>
        <v>Enterprise</v>
      </c>
      <c r="X307" t="str">
        <f>VLOOKUP(C307,Sales_Representatives!$A:$B,2,0)</f>
        <v>Emily Hernandez</v>
      </c>
    </row>
    <row r="308" spans="1:24" x14ac:dyDescent="0.3">
      <c r="A308" t="s">
        <v>534</v>
      </c>
      <c r="B308" t="s">
        <v>533</v>
      </c>
      <c r="C308" t="s">
        <v>13</v>
      </c>
      <c r="D308" t="s">
        <v>203</v>
      </c>
      <c r="E308" t="s">
        <v>347</v>
      </c>
      <c r="F308">
        <v>13</v>
      </c>
      <c r="G308">
        <v>1539.6</v>
      </c>
      <c r="H308">
        <v>0.16</v>
      </c>
      <c r="I308" s="4">
        <v>16812.43</v>
      </c>
      <c r="J308" t="s">
        <v>16</v>
      </c>
      <c r="K308" t="s">
        <v>35</v>
      </c>
      <c r="L308" s="4">
        <f>VLOOKUP(tblTransactions[[#This Row],[Product_ID]],tblProducts[],5,FALSE)</f>
        <v>992.43</v>
      </c>
      <c r="M308" s="4">
        <f>tblTransactions[[#This Row],[Total_Amount]]-(tblTransactions[[#This Row],[Cost_Prices]]*tblTransactions[[#This Row],[Quantity]]*(1-tblTransactions[[#This Row],[Discount]]))</f>
        <v>5975.0944</v>
      </c>
      <c r="N308" s="3">
        <f>tblTransactions[[#This Row],[Profit]]/tblTransactions[[#This Row],[Total_Amount]]</f>
        <v>0.35539742916401734</v>
      </c>
      <c r="O308" t="str">
        <f>TEXT(tblTransactions[[#This Row],[Date]], "MMM-YYYY")</f>
        <v>Mar-2023</v>
      </c>
      <c r="P308" t="str">
        <f>"Q"&amp;ROUNDUP(MONTH(tblTransactions[[#This Row],[Date]])/3,0)&amp;"-"&amp;YEAR(tblTransactions[[#This Row],[Date]])</f>
        <v>Q1-2023</v>
      </c>
      <c r="Q308">
        <f>YEAR(tblTransactions[[#This Row],[Date]])</f>
        <v>2023</v>
      </c>
      <c r="R308" t="str">
        <f>TEXT(tblTransactions[[#This Row],[Date]],"DDDD")</f>
        <v>Monday</v>
      </c>
      <c r="S308">
        <f>MONTH(tblTransactions[[#This Row],[Date]])</f>
        <v>3</v>
      </c>
      <c r="T308" t="str">
        <f>VLOOKUP(E308, Products!$A:$B,2,0)</f>
        <v>Routers Tec-2</v>
      </c>
      <c r="U308" t="str">
        <f>VLOOKUP(E308,Products!$A:$C,3,0)</f>
        <v>Technology</v>
      </c>
      <c r="V308" t="str">
        <f>VLOOKUP(E308,Products!$A:$D,4,0)</f>
        <v>Routers</v>
      </c>
      <c r="W308" t="str">
        <f>VLOOKUP(D308,Customers!$A:$C,3,0)</f>
        <v>Enterprise</v>
      </c>
      <c r="X308" t="str">
        <f>VLOOKUP(C308,Sales_Representatives!$A:$B,2,0)</f>
        <v>Jennifer Rodriguez</v>
      </c>
    </row>
    <row r="309" spans="1:24" x14ac:dyDescent="0.3">
      <c r="A309" t="s">
        <v>535</v>
      </c>
      <c r="B309" t="s">
        <v>536</v>
      </c>
      <c r="C309" t="s">
        <v>82</v>
      </c>
      <c r="D309" t="s">
        <v>98</v>
      </c>
      <c r="E309" t="s">
        <v>129</v>
      </c>
      <c r="F309">
        <v>5</v>
      </c>
      <c r="G309">
        <v>1283.71</v>
      </c>
      <c r="H309">
        <v>0.09</v>
      </c>
      <c r="I309" s="4">
        <v>5840.88</v>
      </c>
      <c r="J309" t="s">
        <v>34</v>
      </c>
      <c r="K309" t="s">
        <v>35</v>
      </c>
      <c r="L309" s="4">
        <f>VLOOKUP(tblTransactions[[#This Row],[Product_ID]],tblProducts[],5,FALSE)</f>
        <v>970.14</v>
      </c>
      <c r="M309" s="4">
        <f>tblTransactions[[#This Row],[Total_Amount]]-(tblTransactions[[#This Row],[Cost_Prices]]*tblTransactions[[#This Row],[Quantity]]*(1-tblTransactions[[#This Row],[Discount]]))</f>
        <v>1426.7430000000004</v>
      </c>
      <c r="N309" s="3">
        <f>tblTransactions[[#This Row],[Profit]]/tblTransactions[[#This Row],[Total_Amount]]</f>
        <v>0.2442685006368904</v>
      </c>
      <c r="O309" t="str">
        <f>TEXT(tblTransactions[[#This Row],[Date]], "MMM-YYYY")</f>
        <v>Mar-2023</v>
      </c>
      <c r="P309" t="str">
        <f>"Q"&amp;ROUNDUP(MONTH(tblTransactions[[#This Row],[Date]])/3,0)&amp;"-"&amp;YEAR(tblTransactions[[#This Row],[Date]])</f>
        <v>Q1-2023</v>
      </c>
      <c r="Q309">
        <f>YEAR(tblTransactions[[#This Row],[Date]])</f>
        <v>2023</v>
      </c>
      <c r="R309" t="str">
        <f>TEXT(tblTransactions[[#This Row],[Date]],"DDDD")</f>
        <v>Tuesday</v>
      </c>
      <c r="S309">
        <f>MONTH(tblTransactions[[#This Row],[Date]])</f>
        <v>3</v>
      </c>
      <c r="T309" t="str">
        <f>VLOOKUP(E309, Products!$A:$B,2,0)</f>
        <v>Cameras Ele-3</v>
      </c>
      <c r="U309" t="str">
        <f>VLOOKUP(E309,Products!$A:$C,3,0)</f>
        <v>Electronics</v>
      </c>
      <c r="V309" t="str">
        <f>VLOOKUP(E309,Products!$A:$D,4,0)</f>
        <v>Cameras</v>
      </c>
      <c r="W309" t="str">
        <f>VLOOKUP(D309,Customers!$A:$C,3,0)</f>
        <v>B2C</v>
      </c>
      <c r="X309" t="str">
        <f>VLOOKUP(C309,Sales_Representatives!$A:$B,2,0)</f>
        <v>John Brown</v>
      </c>
    </row>
    <row r="310" spans="1:24" x14ac:dyDescent="0.3">
      <c r="A310" t="s">
        <v>537</v>
      </c>
      <c r="B310" t="s">
        <v>536</v>
      </c>
      <c r="C310" t="s">
        <v>56</v>
      </c>
      <c r="D310" t="s">
        <v>156</v>
      </c>
      <c r="E310" t="s">
        <v>87</v>
      </c>
      <c r="F310">
        <v>10</v>
      </c>
      <c r="G310">
        <v>1047.8900000000001</v>
      </c>
      <c r="H310">
        <v>0.06</v>
      </c>
      <c r="I310" s="4">
        <v>9850.17</v>
      </c>
      <c r="J310" t="s">
        <v>34</v>
      </c>
      <c r="K310" t="s">
        <v>48</v>
      </c>
      <c r="L310" s="4">
        <f>VLOOKUP(tblTransactions[[#This Row],[Product_ID]],tblProducts[],5,FALSE)</f>
        <v>742.63</v>
      </c>
      <c r="M310" s="4">
        <f>tblTransactions[[#This Row],[Total_Amount]]-(tblTransactions[[#This Row],[Cost_Prices]]*tblTransactions[[#This Row],[Quantity]]*(1-tblTransactions[[#This Row],[Discount]]))</f>
        <v>2869.4480000000003</v>
      </c>
      <c r="N310" s="3">
        <f>tblTransactions[[#This Row],[Profit]]/tblTransactions[[#This Row],[Total_Amount]]</f>
        <v>0.29130949009001877</v>
      </c>
      <c r="O310" t="str">
        <f>TEXT(tblTransactions[[#This Row],[Date]], "MMM-YYYY")</f>
        <v>Mar-2023</v>
      </c>
      <c r="P310" t="str">
        <f>"Q"&amp;ROUNDUP(MONTH(tblTransactions[[#This Row],[Date]])/3,0)&amp;"-"&amp;YEAR(tblTransactions[[#This Row],[Date]])</f>
        <v>Q1-2023</v>
      </c>
      <c r="Q310">
        <f>YEAR(tblTransactions[[#This Row],[Date]])</f>
        <v>2023</v>
      </c>
      <c r="R310" t="str">
        <f>TEXT(tblTransactions[[#This Row],[Date]],"DDDD")</f>
        <v>Tuesday</v>
      </c>
      <c r="S310">
        <f>MONTH(tblTransactions[[#This Row],[Date]])</f>
        <v>3</v>
      </c>
      <c r="T310" t="str">
        <f>VLOOKUP(E310, Products!$A:$B,2,0)</f>
        <v>Monitors Tec-2</v>
      </c>
      <c r="U310" t="str">
        <f>VLOOKUP(E310,Products!$A:$C,3,0)</f>
        <v>Technology</v>
      </c>
      <c r="V310" t="str">
        <f>VLOOKUP(E310,Products!$A:$D,4,0)</f>
        <v>Monitors</v>
      </c>
      <c r="W310" t="str">
        <f>VLOOKUP(D310,Customers!$A:$C,3,0)</f>
        <v>B2B</v>
      </c>
      <c r="X310" t="str">
        <f>VLOOKUP(C310,Sales_Representatives!$A:$B,2,0)</f>
        <v>Thomas Hernandez</v>
      </c>
    </row>
    <row r="311" spans="1:24" x14ac:dyDescent="0.3">
      <c r="A311" t="s">
        <v>538</v>
      </c>
      <c r="B311" t="s">
        <v>536</v>
      </c>
      <c r="C311" t="s">
        <v>31</v>
      </c>
      <c r="D311" t="s">
        <v>396</v>
      </c>
      <c r="E311" t="s">
        <v>508</v>
      </c>
      <c r="F311">
        <v>1</v>
      </c>
      <c r="G311">
        <v>237.69</v>
      </c>
      <c r="H311">
        <v>0.01</v>
      </c>
      <c r="I311" s="4">
        <v>235.31</v>
      </c>
      <c r="J311" t="s">
        <v>34</v>
      </c>
      <c r="K311" t="s">
        <v>22</v>
      </c>
      <c r="L311" s="4">
        <f>VLOOKUP(tblTransactions[[#This Row],[Product_ID]],tblProducts[],5,FALSE)</f>
        <v>115.31</v>
      </c>
      <c r="M311" s="4">
        <f>tblTransactions[[#This Row],[Total_Amount]]-(tblTransactions[[#This Row],[Cost_Prices]]*tblTransactions[[#This Row],[Quantity]]*(1-tblTransactions[[#This Row],[Discount]]))</f>
        <v>121.15309999999999</v>
      </c>
      <c r="N311" s="3">
        <f>tblTransactions[[#This Row],[Profit]]/tblTransactions[[#This Row],[Total_Amount]]</f>
        <v>0.51486592155029531</v>
      </c>
      <c r="O311" t="str">
        <f>TEXT(tblTransactions[[#This Row],[Date]], "MMM-YYYY")</f>
        <v>Mar-2023</v>
      </c>
      <c r="P311" t="str">
        <f>"Q"&amp;ROUNDUP(MONTH(tblTransactions[[#This Row],[Date]])/3,0)&amp;"-"&amp;YEAR(tblTransactions[[#This Row],[Date]])</f>
        <v>Q1-2023</v>
      </c>
      <c r="Q311">
        <f>YEAR(tblTransactions[[#This Row],[Date]])</f>
        <v>2023</v>
      </c>
      <c r="R311" t="str">
        <f>TEXT(tblTransactions[[#This Row],[Date]],"DDDD")</f>
        <v>Tuesday</v>
      </c>
      <c r="S311">
        <f>MONTH(tblTransactions[[#This Row],[Date]])</f>
        <v>3</v>
      </c>
      <c r="T311" t="str">
        <f>VLOOKUP(E311, Products!$A:$B,2,0)</f>
        <v>Folders Off-3</v>
      </c>
      <c r="U311" t="str">
        <f>VLOOKUP(E311,Products!$A:$C,3,0)</f>
        <v>Office Supplies</v>
      </c>
      <c r="V311" t="str">
        <f>VLOOKUP(E311,Products!$A:$D,4,0)</f>
        <v>Folders</v>
      </c>
      <c r="W311" t="str">
        <f>VLOOKUP(D311,Customers!$A:$C,3,0)</f>
        <v>Small Business</v>
      </c>
      <c r="X311" t="str">
        <f>VLOOKUP(C311,Sales_Representatives!$A:$B,2,0)</f>
        <v>Thomas Martinez</v>
      </c>
    </row>
    <row r="312" spans="1:24" x14ac:dyDescent="0.3">
      <c r="A312" t="s">
        <v>539</v>
      </c>
      <c r="B312" t="s">
        <v>536</v>
      </c>
      <c r="C312" t="s">
        <v>59</v>
      </c>
      <c r="D312" t="s">
        <v>118</v>
      </c>
      <c r="E312" t="s">
        <v>194</v>
      </c>
      <c r="F312">
        <v>4</v>
      </c>
      <c r="G312">
        <v>82.84</v>
      </c>
      <c r="H312">
        <v>0</v>
      </c>
      <c r="I312" s="4">
        <v>331.36</v>
      </c>
      <c r="J312" t="s">
        <v>21</v>
      </c>
      <c r="K312" t="s">
        <v>48</v>
      </c>
      <c r="L312" s="4">
        <f>VLOOKUP(tblTransactions[[#This Row],[Product_ID]],tblProducts[],5,FALSE)</f>
        <v>52.98</v>
      </c>
      <c r="M312" s="4">
        <f>tblTransactions[[#This Row],[Total_Amount]]-(tblTransactions[[#This Row],[Cost_Prices]]*tblTransactions[[#This Row],[Quantity]]*(1-tblTransactions[[#This Row],[Discount]]))</f>
        <v>119.44000000000003</v>
      </c>
      <c r="N312" s="3">
        <f>tblTransactions[[#This Row],[Profit]]/tblTransactions[[#This Row],[Total_Amount]]</f>
        <v>0.36045388701110581</v>
      </c>
      <c r="O312" t="str">
        <f>TEXT(tblTransactions[[#This Row],[Date]], "MMM-YYYY")</f>
        <v>Mar-2023</v>
      </c>
      <c r="P312" t="str">
        <f>"Q"&amp;ROUNDUP(MONTH(tblTransactions[[#This Row],[Date]])/3,0)&amp;"-"&amp;YEAR(tblTransactions[[#This Row],[Date]])</f>
        <v>Q1-2023</v>
      </c>
      <c r="Q312">
        <f>YEAR(tblTransactions[[#This Row],[Date]])</f>
        <v>2023</v>
      </c>
      <c r="R312" t="str">
        <f>TEXT(tblTransactions[[#This Row],[Date]],"DDDD")</f>
        <v>Tuesday</v>
      </c>
      <c r="S312">
        <f>MONTH(tblTransactions[[#This Row],[Date]])</f>
        <v>3</v>
      </c>
      <c r="T312" t="str">
        <f>VLOOKUP(E312, Products!$A:$B,2,0)</f>
        <v>Binders Off-2</v>
      </c>
      <c r="U312" t="str">
        <f>VLOOKUP(E312,Products!$A:$C,3,0)</f>
        <v>Office Supplies</v>
      </c>
      <c r="V312" t="str">
        <f>VLOOKUP(E312,Products!$A:$D,4,0)</f>
        <v>Binders</v>
      </c>
      <c r="W312" t="str">
        <f>VLOOKUP(D312,Customers!$A:$C,3,0)</f>
        <v>B2C</v>
      </c>
      <c r="X312" t="str">
        <f>VLOOKUP(C312,Sales_Representatives!$A:$B,2,0)</f>
        <v>Sarah Brown</v>
      </c>
    </row>
    <row r="313" spans="1:24" x14ac:dyDescent="0.3">
      <c r="A313" t="s">
        <v>540</v>
      </c>
      <c r="B313" t="s">
        <v>536</v>
      </c>
      <c r="C313" t="s">
        <v>70</v>
      </c>
      <c r="D313" t="s">
        <v>288</v>
      </c>
      <c r="E313" t="s">
        <v>99</v>
      </c>
      <c r="F313">
        <v>5</v>
      </c>
      <c r="G313">
        <v>325.14</v>
      </c>
      <c r="H313">
        <v>0.09</v>
      </c>
      <c r="I313" s="4">
        <v>1479.39</v>
      </c>
      <c r="J313" t="s">
        <v>16</v>
      </c>
      <c r="K313" t="s">
        <v>48</v>
      </c>
      <c r="L313" s="4">
        <f>VLOOKUP(tblTransactions[[#This Row],[Product_ID]],tblProducts[],5,FALSE)</f>
        <v>209.04</v>
      </c>
      <c r="M313" s="4">
        <f>tblTransactions[[#This Row],[Total_Amount]]-(tblTransactions[[#This Row],[Cost_Prices]]*tblTransactions[[#This Row],[Quantity]]*(1-tblTransactions[[#This Row],[Discount]]))</f>
        <v>528.25800000000004</v>
      </c>
      <c r="N313" s="3">
        <f>tblTransactions[[#This Row],[Profit]]/tblTransactions[[#This Row],[Total_Amount]]</f>
        <v>0.35707825522681647</v>
      </c>
      <c r="O313" t="str">
        <f>TEXT(tblTransactions[[#This Row],[Date]], "MMM-YYYY")</f>
        <v>Mar-2023</v>
      </c>
      <c r="P313" t="str">
        <f>"Q"&amp;ROUNDUP(MONTH(tblTransactions[[#This Row],[Date]])/3,0)&amp;"-"&amp;YEAR(tblTransactions[[#This Row],[Date]])</f>
        <v>Q1-2023</v>
      </c>
      <c r="Q313">
        <f>YEAR(tblTransactions[[#This Row],[Date]])</f>
        <v>2023</v>
      </c>
      <c r="R313" t="str">
        <f>TEXT(tblTransactions[[#This Row],[Date]],"DDDD")</f>
        <v>Tuesday</v>
      </c>
      <c r="S313">
        <f>MONTH(tblTransactions[[#This Row],[Date]])</f>
        <v>3</v>
      </c>
      <c r="T313" t="str">
        <f>VLOOKUP(E313, Products!$A:$B,2,0)</f>
        <v>Monitors Tec-1</v>
      </c>
      <c r="U313" t="str">
        <f>VLOOKUP(E313,Products!$A:$C,3,0)</f>
        <v>Technology</v>
      </c>
      <c r="V313" t="str">
        <f>VLOOKUP(E313,Products!$A:$D,4,0)</f>
        <v>Monitors</v>
      </c>
      <c r="W313" t="str">
        <f>VLOOKUP(D313,Customers!$A:$C,3,0)</f>
        <v>B2C</v>
      </c>
      <c r="X313" t="str">
        <f>VLOOKUP(C313,Sales_Representatives!$A:$B,2,0)</f>
        <v>Linda Smith</v>
      </c>
    </row>
    <row r="314" spans="1:24" x14ac:dyDescent="0.3">
      <c r="A314" t="s">
        <v>541</v>
      </c>
      <c r="B314" t="s">
        <v>536</v>
      </c>
      <c r="C314" t="s">
        <v>141</v>
      </c>
      <c r="D314" t="s">
        <v>124</v>
      </c>
      <c r="E314" t="s">
        <v>125</v>
      </c>
      <c r="F314">
        <v>4</v>
      </c>
      <c r="G314">
        <v>1201.4000000000001</v>
      </c>
      <c r="H314">
        <v>0.04</v>
      </c>
      <c r="I314" s="4">
        <v>4613.38</v>
      </c>
      <c r="J314" t="s">
        <v>109</v>
      </c>
      <c r="K314" t="s">
        <v>35</v>
      </c>
      <c r="L314" s="4">
        <f>VLOOKUP(tblTransactions[[#This Row],[Product_ID]],tblProducts[],5,FALSE)</f>
        <v>672.72</v>
      </c>
      <c r="M314" s="4">
        <f>tblTransactions[[#This Row],[Total_Amount]]-(tblTransactions[[#This Row],[Cost_Prices]]*tblTransactions[[#This Row],[Quantity]]*(1-tblTransactions[[#This Row],[Discount]]))</f>
        <v>2030.1352000000002</v>
      </c>
      <c r="N314" s="3">
        <f>tblTransactions[[#This Row],[Profit]]/tblTransactions[[#This Row],[Total_Amount]]</f>
        <v>0.44005375668165209</v>
      </c>
      <c r="O314" t="str">
        <f>TEXT(tblTransactions[[#This Row],[Date]], "MMM-YYYY")</f>
        <v>Mar-2023</v>
      </c>
      <c r="P314" t="str">
        <f>"Q"&amp;ROUNDUP(MONTH(tblTransactions[[#This Row],[Date]])/3,0)&amp;"-"&amp;YEAR(tblTransactions[[#This Row],[Date]])</f>
        <v>Q1-2023</v>
      </c>
      <c r="Q314">
        <f>YEAR(tblTransactions[[#This Row],[Date]])</f>
        <v>2023</v>
      </c>
      <c r="R314" t="str">
        <f>TEXT(tblTransactions[[#This Row],[Date]],"DDDD")</f>
        <v>Tuesday</v>
      </c>
      <c r="S314">
        <f>MONTH(tblTransactions[[#This Row],[Date]])</f>
        <v>3</v>
      </c>
      <c r="T314" t="str">
        <f>VLOOKUP(E314, Products!$A:$B,2,0)</f>
        <v>Printers Tec-2</v>
      </c>
      <c r="U314" t="str">
        <f>VLOOKUP(E314,Products!$A:$C,3,0)</f>
        <v>Technology</v>
      </c>
      <c r="V314" t="str">
        <f>VLOOKUP(E314,Products!$A:$D,4,0)</f>
        <v>Printers</v>
      </c>
      <c r="W314" t="str">
        <f>VLOOKUP(D314,Customers!$A:$C,3,0)</f>
        <v>B2B</v>
      </c>
      <c r="X314" t="str">
        <f>VLOOKUP(C314,Sales_Representatives!$A:$B,2,0)</f>
        <v>Richard Garcia</v>
      </c>
    </row>
    <row r="315" spans="1:24" x14ac:dyDescent="0.3">
      <c r="A315" t="s">
        <v>542</v>
      </c>
      <c r="B315" t="s">
        <v>536</v>
      </c>
      <c r="C315" t="s">
        <v>131</v>
      </c>
      <c r="D315" t="s">
        <v>37</v>
      </c>
      <c r="E315" t="s">
        <v>283</v>
      </c>
      <c r="F315">
        <v>41</v>
      </c>
      <c r="G315">
        <v>456.88</v>
      </c>
      <c r="H315">
        <v>0.18</v>
      </c>
      <c r="I315" s="4">
        <v>15360.31</v>
      </c>
      <c r="J315" t="s">
        <v>44</v>
      </c>
      <c r="K315" t="s">
        <v>48</v>
      </c>
      <c r="L315" s="4">
        <f>VLOOKUP(tblTransactions[[#This Row],[Product_ID]],tblProducts[],5,FALSE)</f>
        <v>313.23</v>
      </c>
      <c r="M315" s="4">
        <f>tblTransactions[[#This Row],[Total_Amount]]-(tblTransactions[[#This Row],[Cost_Prices]]*tblTransactions[[#This Row],[Quantity]]*(1-tblTransactions[[#This Row],[Discount]]))</f>
        <v>4829.5173999999988</v>
      </c>
      <c r="N315" s="3">
        <f>tblTransactions[[#This Row],[Profit]]/tblTransactions[[#This Row],[Total_Amount]]</f>
        <v>0.31441536010666443</v>
      </c>
      <c r="O315" t="str">
        <f>TEXT(tblTransactions[[#This Row],[Date]], "MMM-YYYY")</f>
        <v>Mar-2023</v>
      </c>
      <c r="P315" t="str">
        <f>"Q"&amp;ROUNDUP(MONTH(tblTransactions[[#This Row],[Date]])/3,0)&amp;"-"&amp;YEAR(tblTransactions[[#This Row],[Date]])</f>
        <v>Q1-2023</v>
      </c>
      <c r="Q315">
        <f>YEAR(tblTransactions[[#This Row],[Date]])</f>
        <v>2023</v>
      </c>
      <c r="R315" t="str">
        <f>TEXT(tblTransactions[[#This Row],[Date]],"DDDD")</f>
        <v>Tuesday</v>
      </c>
      <c r="S315">
        <f>MONTH(tblTransactions[[#This Row],[Date]])</f>
        <v>3</v>
      </c>
      <c r="T315" t="str">
        <f>VLOOKUP(E315, Products!$A:$B,2,0)</f>
        <v>Chairs Fur-3</v>
      </c>
      <c r="U315" t="str">
        <f>VLOOKUP(E315,Products!$A:$C,3,0)</f>
        <v>Furniture</v>
      </c>
      <c r="V315" t="str">
        <f>VLOOKUP(E315,Products!$A:$D,4,0)</f>
        <v>Chairs</v>
      </c>
      <c r="W315" t="str">
        <f>VLOOKUP(D315,Customers!$A:$C,3,0)</f>
        <v>Enterprise</v>
      </c>
      <c r="X315" t="str">
        <f>VLOOKUP(C315,Sales_Representatives!$A:$B,2,0)</f>
        <v>Michael Davis</v>
      </c>
    </row>
    <row r="316" spans="1:24" x14ac:dyDescent="0.3">
      <c r="A316" t="s">
        <v>543</v>
      </c>
      <c r="B316" t="s">
        <v>536</v>
      </c>
      <c r="C316" t="s">
        <v>56</v>
      </c>
      <c r="D316" t="s">
        <v>28</v>
      </c>
      <c r="E316" t="s">
        <v>15</v>
      </c>
      <c r="F316">
        <v>2</v>
      </c>
      <c r="G316">
        <v>477.48</v>
      </c>
      <c r="H316">
        <v>0.1</v>
      </c>
      <c r="I316" s="4">
        <v>859.46</v>
      </c>
      <c r="J316" t="s">
        <v>34</v>
      </c>
      <c r="K316" t="s">
        <v>17</v>
      </c>
      <c r="L316" s="4">
        <f>VLOOKUP(tblTransactions[[#This Row],[Product_ID]],tblProducts[],5,FALSE)</f>
        <v>275.51</v>
      </c>
      <c r="M316" s="4">
        <f>tblTransactions[[#This Row],[Total_Amount]]-(tblTransactions[[#This Row],[Cost_Prices]]*tblTransactions[[#This Row],[Quantity]]*(1-tblTransactions[[#This Row],[Discount]]))</f>
        <v>363.54200000000003</v>
      </c>
      <c r="N316" s="3">
        <f>tblTransactions[[#This Row],[Profit]]/tblTransactions[[#This Row],[Total_Amount]]</f>
        <v>0.42298885346612991</v>
      </c>
      <c r="O316" t="str">
        <f>TEXT(tblTransactions[[#This Row],[Date]], "MMM-YYYY")</f>
        <v>Mar-2023</v>
      </c>
      <c r="P316" t="str">
        <f>"Q"&amp;ROUNDUP(MONTH(tblTransactions[[#This Row],[Date]])/3,0)&amp;"-"&amp;YEAR(tblTransactions[[#This Row],[Date]])</f>
        <v>Q1-2023</v>
      </c>
      <c r="Q316">
        <f>YEAR(tblTransactions[[#This Row],[Date]])</f>
        <v>2023</v>
      </c>
      <c r="R316" t="str">
        <f>TEXT(tblTransactions[[#This Row],[Date]],"DDDD")</f>
        <v>Tuesday</v>
      </c>
      <c r="S316">
        <f>MONTH(tblTransactions[[#This Row],[Date]])</f>
        <v>3</v>
      </c>
      <c r="T316" t="str">
        <f>VLOOKUP(E316, Products!$A:$B,2,0)</f>
        <v>Laptops Ele-4</v>
      </c>
      <c r="U316" t="str">
        <f>VLOOKUP(E316,Products!$A:$C,3,0)</f>
        <v>Electronics</v>
      </c>
      <c r="V316" t="str">
        <f>VLOOKUP(E316,Products!$A:$D,4,0)</f>
        <v>Laptops</v>
      </c>
      <c r="W316" t="str">
        <f>VLOOKUP(D316,Customers!$A:$C,3,0)</f>
        <v>B2B</v>
      </c>
      <c r="X316" t="str">
        <f>VLOOKUP(C316,Sales_Representatives!$A:$B,2,0)</f>
        <v>Thomas Hernandez</v>
      </c>
    </row>
    <row r="317" spans="1:24" x14ac:dyDescent="0.3">
      <c r="A317" t="s">
        <v>544</v>
      </c>
      <c r="B317" t="s">
        <v>536</v>
      </c>
      <c r="C317" t="s">
        <v>107</v>
      </c>
      <c r="D317" t="s">
        <v>190</v>
      </c>
      <c r="E317" t="s">
        <v>290</v>
      </c>
      <c r="F317">
        <v>8</v>
      </c>
      <c r="G317">
        <v>729.32</v>
      </c>
      <c r="H317">
        <v>0.09</v>
      </c>
      <c r="I317" s="4">
        <v>5309.45</v>
      </c>
      <c r="J317" t="s">
        <v>109</v>
      </c>
      <c r="K317" t="s">
        <v>22</v>
      </c>
      <c r="L317" s="4">
        <f>VLOOKUP(tblTransactions[[#This Row],[Product_ID]],tblProducts[],5,FALSE)</f>
        <v>482.7</v>
      </c>
      <c r="M317" s="4">
        <f>tblTransactions[[#This Row],[Total_Amount]]-(tblTransactions[[#This Row],[Cost_Prices]]*tblTransactions[[#This Row],[Quantity]]*(1-tblTransactions[[#This Row],[Discount]]))</f>
        <v>1795.3939999999998</v>
      </c>
      <c r="N317" s="3">
        <f>tblTransactions[[#This Row],[Profit]]/tblTransactions[[#This Row],[Total_Amount]]</f>
        <v>0.33815065590597893</v>
      </c>
      <c r="O317" t="str">
        <f>TEXT(tblTransactions[[#This Row],[Date]], "MMM-YYYY")</f>
        <v>Mar-2023</v>
      </c>
      <c r="P317" t="str">
        <f>"Q"&amp;ROUNDUP(MONTH(tblTransactions[[#This Row],[Date]])/3,0)&amp;"-"&amp;YEAR(tblTransactions[[#This Row],[Date]])</f>
        <v>Q1-2023</v>
      </c>
      <c r="Q317">
        <f>YEAR(tblTransactions[[#This Row],[Date]])</f>
        <v>2023</v>
      </c>
      <c r="R317" t="str">
        <f>TEXT(tblTransactions[[#This Row],[Date]],"DDDD")</f>
        <v>Tuesday</v>
      </c>
      <c r="S317">
        <f>MONTH(tblTransactions[[#This Row],[Date]])</f>
        <v>3</v>
      </c>
      <c r="T317" t="str">
        <f>VLOOKUP(E317, Products!$A:$B,2,0)</f>
        <v>Tables Fur-1</v>
      </c>
      <c r="U317" t="str">
        <f>VLOOKUP(E317,Products!$A:$C,3,0)</f>
        <v>Furniture</v>
      </c>
      <c r="V317" t="str">
        <f>VLOOKUP(E317,Products!$A:$D,4,0)</f>
        <v>Tables</v>
      </c>
      <c r="W317" t="str">
        <f>VLOOKUP(D317,Customers!$A:$C,3,0)</f>
        <v>B2B</v>
      </c>
      <c r="X317" t="str">
        <f>VLOOKUP(C317,Sales_Representatives!$A:$B,2,0)</f>
        <v>Jennifer Brown</v>
      </c>
    </row>
    <row r="318" spans="1:24" x14ac:dyDescent="0.3">
      <c r="A318" t="s">
        <v>545</v>
      </c>
      <c r="B318" t="s">
        <v>536</v>
      </c>
      <c r="C318" t="s">
        <v>107</v>
      </c>
      <c r="D318" t="s">
        <v>216</v>
      </c>
      <c r="E318" t="s">
        <v>43</v>
      </c>
      <c r="F318">
        <v>3</v>
      </c>
      <c r="G318">
        <v>39.32</v>
      </c>
      <c r="H318">
        <v>0.08</v>
      </c>
      <c r="I318" s="4">
        <v>108.52</v>
      </c>
      <c r="J318" t="s">
        <v>109</v>
      </c>
      <c r="K318" t="s">
        <v>39</v>
      </c>
      <c r="L318" s="4">
        <f>VLOOKUP(tblTransactions[[#This Row],[Product_ID]],tblProducts[],5,FALSE)</f>
        <v>15.81</v>
      </c>
      <c r="M318" s="4">
        <f>tblTransactions[[#This Row],[Total_Amount]]-(tblTransactions[[#This Row],[Cost_Prices]]*tblTransactions[[#This Row],[Quantity]]*(1-tblTransactions[[#This Row],[Discount]]))</f>
        <v>64.884399999999999</v>
      </c>
      <c r="N318" s="3">
        <f>tblTransactions[[#This Row],[Profit]]/tblTransactions[[#This Row],[Total_Amount]]</f>
        <v>0.5979026907482492</v>
      </c>
      <c r="O318" t="str">
        <f>TEXT(tblTransactions[[#This Row],[Date]], "MMM-YYYY")</f>
        <v>Mar-2023</v>
      </c>
      <c r="P318" t="str">
        <f>"Q"&amp;ROUNDUP(MONTH(tblTransactions[[#This Row],[Date]])/3,0)&amp;"-"&amp;YEAR(tblTransactions[[#This Row],[Date]])</f>
        <v>Q1-2023</v>
      </c>
      <c r="Q318">
        <f>YEAR(tblTransactions[[#This Row],[Date]])</f>
        <v>2023</v>
      </c>
      <c r="R318" t="str">
        <f>TEXT(tblTransactions[[#This Row],[Date]],"DDDD")</f>
        <v>Tuesday</v>
      </c>
      <c r="S318">
        <f>MONTH(tblTransactions[[#This Row],[Date]])</f>
        <v>3</v>
      </c>
      <c r="T318" t="str">
        <f>VLOOKUP(E318, Products!$A:$B,2,0)</f>
        <v>Paper Off-3</v>
      </c>
      <c r="U318" t="str">
        <f>VLOOKUP(E318,Products!$A:$C,3,0)</f>
        <v>Office Supplies</v>
      </c>
      <c r="V318" t="str">
        <f>VLOOKUP(E318,Products!$A:$D,4,0)</f>
        <v>Paper</v>
      </c>
      <c r="W318" t="str">
        <f>VLOOKUP(D318,Customers!$A:$C,3,0)</f>
        <v>Small Business</v>
      </c>
      <c r="X318" t="str">
        <f>VLOOKUP(C318,Sales_Representatives!$A:$B,2,0)</f>
        <v>Jennifer Brown</v>
      </c>
    </row>
    <row r="319" spans="1:24" x14ac:dyDescent="0.3">
      <c r="A319" t="s">
        <v>546</v>
      </c>
      <c r="B319" t="s">
        <v>547</v>
      </c>
      <c r="C319" t="s">
        <v>31</v>
      </c>
      <c r="D319" t="s">
        <v>112</v>
      </c>
      <c r="E319" t="s">
        <v>15</v>
      </c>
      <c r="F319">
        <v>20</v>
      </c>
      <c r="G319">
        <v>477.48</v>
      </c>
      <c r="H319">
        <v>0.14000000000000001</v>
      </c>
      <c r="I319" s="4">
        <v>8212.66</v>
      </c>
      <c r="J319" t="s">
        <v>34</v>
      </c>
      <c r="K319" t="s">
        <v>39</v>
      </c>
      <c r="L319" s="4">
        <f>VLOOKUP(tblTransactions[[#This Row],[Product_ID]],tblProducts[],5,FALSE)</f>
        <v>275.51</v>
      </c>
      <c r="M319" s="4">
        <f>tblTransactions[[#This Row],[Total_Amount]]-(tblTransactions[[#This Row],[Cost_Prices]]*tblTransactions[[#This Row],[Quantity]]*(1-tblTransactions[[#This Row],[Discount]]))</f>
        <v>3473.8879999999999</v>
      </c>
      <c r="N319" s="3">
        <f>tblTransactions[[#This Row],[Profit]]/tblTransactions[[#This Row],[Total_Amount]]</f>
        <v>0.42299181994627805</v>
      </c>
      <c r="O319" t="str">
        <f>TEXT(tblTransactions[[#This Row],[Date]], "MMM-YYYY")</f>
        <v>Mar-2023</v>
      </c>
      <c r="P319" t="str">
        <f>"Q"&amp;ROUNDUP(MONTH(tblTransactions[[#This Row],[Date]])/3,0)&amp;"-"&amp;YEAR(tblTransactions[[#This Row],[Date]])</f>
        <v>Q1-2023</v>
      </c>
      <c r="Q319">
        <f>YEAR(tblTransactions[[#This Row],[Date]])</f>
        <v>2023</v>
      </c>
      <c r="R319" t="str">
        <f>TEXT(tblTransactions[[#This Row],[Date]],"DDDD")</f>
        <v>Wednesday</v>
      </c>
      <c r="S319">
        <f>MONTH(tblTransactions[[#This Row],[Date]])</f>
        <v>3</v>
      </c>
      <c r="T319" t="str">
        <f>VLOOKUP(E319, Products!$A:$B,2,0)</f>
        <v>Laptops Ele-4</v>
      </c>
      <c r="U319" t="str">
        <f>VLOOKUP(E319,Products!$A:$C,3,0)</f>
        <v>Electronics</v>
      </c>
      <c r="V319" t="str">
        <f>VLOOKUP(E319,Products!$A:$D,4,0)</f>
        <v>Laptops</v>
      </c>
      <c r="W319" t="str">
        <f>VLOOKUP(D319,Customers!$A:$C,3,0)</f>
        <v>Enterprise</v>
      </c>
      <c r="X319" t="str">
        <f>VLOOKUP(C319,Sales_Representatives!$A:$B,2,0)</f>
        <v>Thomas Martinez</v>
      </c>
    </row>
    <row r="320" spans="1:24" x14ac:dyDescent="0.3">
      <c r="A320" t="s">
        <v>548</v>
      </c>
      <c r="B320" t="s">
        <v>547</v>
      </c>
      <c r="C320" t="s">
        <v>31</v>
      </c>
      <c r="D320" t="s">
        <v>60</v>
      </c>
      <c r="E320" t="s">
        <v>105</v>
      </c>
      <c r="F320">
        <v>5</v>
      </c>
      <c r="G320">
        <v>1342.04</v>
      </c>
      <c r="H320">
        <v>0.06</v>
      </c>
      <c r="I320" s="4">
        <v>6307.59</v>
      </c>
      <c r="J320" t="s">
        <v>34</v>
      </c>
      <c r="K320" t="s">
        <v>35</v>
      </c>
      <c r="L320" s="4">
        <f>VLOOKUP(tblTransactions[[#This Row],[Product_ID]],tblProducts[],5,FALSE)</f>
        <v>792.89</v>
      </c>
      <c r="M320" s="4">
        <f>tblTransactions[[#This Row],[Total_Amount]]-(tblTransactions[[#This Row],[Cost_Prices]]*tblTransactions[[#This Row],[Quantity]]*(1-tblTransactions[[#This Row],[Discount]]))</f>
        <v>2581.0070000000005</v>
      </c>
      <c r="N320" s="3">
        <f>tblTransactions[[#This Row],[Profit]]/tblTransactions[[#This Row],[Total_Amount]]</f>
        <v>0.4091906734584842</v>
      </c>
      <c r="O320" t="str">
        <f>TEXT(tblTransactions[[#This Row],[Date]], "MMM-YYYY")</f>
        <v>Mar-2023</v>
      </c>
      <c r="P320" t="str">
        <f>"Q"&amp;ROUNDUP(MONTH(tblTransactions[[#This Row],[Date]])/3,0)&amp;"-"&amp;YEAR(tblTransactions[[#This Row],[Date]])</f>
        <v>Q1-2023</v>
      </c>
      <c r="Q320">
        <f>YEAR(tblTransactions[[#This Row],[Date]])</f>
        <v>2023</v>
      </c>
      <c r="R320" t="str">
        <f>TEXT(tblTransactions[[#This Row],[Date]],"DDDD")</f>
        <v>Wednesday</v>
      </c>
      <c r="S320">
        <f>MONTH(tblTransactions[[#This Row],[Date]])</f>
        <v>3</v>
      </c>
      <c r="T320" t="str">
        <f>VLOOKUP(E320, Products!$A:$B,2,0)</f>
        <v>Cameras Ele-1</v>
      </c>
      <c r="U320" t="str">
        <f>VLOOKUP(E320,Products!$A:$C,3,0)</f>
        <v>Electronics</v>
      </c>
      <c r="V320" t="str">
        <f>VLOOKUP(E320,Products!$A:$D,4,0)</f>
        <v>Cameras</v>
      </c>
      <c r="W320" t="str">
        <f>VLOOKUP(D320,Customers!$A:$C,3,0)</f>
        <v>B2C</v>
      </c>
      <c r="X320" t="str">
        <f>VLOOKUP(C320,Sales_Representatives!$A:$B,2,0)</f>
        <v>Thomas Martinez</v>
      </c>
    </row>
    <row r="321" spans="1:24" x14ac:dyDescent="0.3">
      <c r="A321" t="s">
        <v>549</v>
      </c>
      <c r="B321" t="s">
        <v>547</v>
      </c>
      <c r="C321" t="s">
        <v>107</v>
      </c>
      <c r="D321" t="s">
        <v>210</v>
      </c>
      <c r="E321" t="s">
        <v>113</v>
      </c>
      <c r="F321">
        <v>6</v>
      </c>
      <c r="G321">
        <v>930.41</v>
      </c>
      <c r="H321">
        <v>0.09</v>
      </c>
      <c r="I321" s="4">
        <v>5080.04</v>
      </c>
      <c r="J321" t="s">
        <v>109</v>
      </c>
      <c r="K321" t="s">
        <v>39</v>
      </c>
      <c r="L321" s="4">
        <f>VLOOKUP(tblTransactions[[#This Row],[Product_ID]],tblProducts[],5,FALSE)</f>
        <v>595.51</v>
      </c>
      <c r="M321" s="4">
        <f>tblTransactions[[#This Row],[Total_Amount]]-(tblTransactions[[#This Row],[Cost_Prices]]*tblTransactions[[#This Row],[Quantity]]*(1-tblTransactions[[#This Row],[Discount]]))</f>
        <v>1828.5553999999997</v>
      </c>
      <c r="N321" s="3">
        <f>tblTransactions[[#This Row],[Profit]]/tblTransactions[[#This Row],[Total_Amount]]</f>
        <v>0.35994901614947911</v>
      </c>
      <c r="O321" t="str">
        <f>TEXT(tblTransactions[[#This Row],[Date]], "MMM-YYYY")</f>
        <v>Mar-2023</v>
      </c>
      <c r="P321" t="str">
        <f>"Q"&amp;ROUNDUP(MONTH(tblTransactions[[#This Row],[Date]])/3,0)&amp;"-"&amp;YEAR(tblTransactions[[#This Row],[Date]])</f>
        <v>Q1-2023</v>
      </c>
      <c r="Q321">
        <f>YEAR(tblTransactions[[#This Row],[Date]])</f>
        <v>2023</v>
      </c>
      <c r="R321" t="str">
        <f>TEXT(tblTransactions[[#This Row],[Date]],"DDDD")</f>
        <v>Wednesday</v>
      </c>
      <c r="S321">
        <f>MONTH(tblTransactions[[#This Row],[Date]])</f>
        <v>3</v>
      </c>
      <c r="T321" t="str">
        <f>VLOOKUP(E321, Products!$A:$B,2,0)</f>
        <v>Phones Ele-1</v>
      </c>
      <c r="U321" t="str">
        <f>VLOOKUP(E321,Products!$A:$C,3,0)</f>
        <v>Electronics</v>
      </c>
      <c r="V321" t="str">
        <f>VLOOKUP(E321,Products!$A:$D,4,0)</f>
        <v>Phones</v>
      </c>
      <c r="W321" t="str">
        <f>VLOOKUP(D321,Customers!$A:$C,3,0)</f>
        <v>B2B</v>
      </c>
      <c r="X321" t="str">
        <f>VLOOKUP(C321,Sales_Representatives!$A:$B,2,0)</f>
        <v>Jennifer Brown</v>
      </c>
    </row>
    <row r="322" spans="1:24" x14ac:dyDescent="0.3">
      <c r="A322" t="s">
        <v>550</v>
      </c>
      <c r="B322" t="s">
        <v>551</v>
      </c>
      <c r="C322" t="s">
        <v>19</v>
      </c>
      <c r="D322" t="s">
        <v>288</v>
      </c>
      <c r="E322" t="s">
        <v>168</v>
      </c>
      <c r="F322">
        <v>3</v>
      </c>
      <c r="G322">
        <v>101.59</v>
      </c>
      <c r="H322">
        <v>0.08</v>
      </c>
      <c r="I322" s="4">
        <v>280.39</v>
      </c>
      <c r="J322" t="s">
        <v>21</v>
      </c>
      <c r="K322" t="s">
        <v>39</v>
      </c>
      <c r="L322" s="4">
        <f>VLOOKUP(tblTransactions[[#This Row],[Product_ID]],tblProducts[],5,FALSE)</f>
        <v>50.58</v>
      </c>
      <c r="M322" s="4">
        <f>tblTransactions[[#This Row],[Total_Amount]]-(tblTransactions[[#This Row],[Cost_Prices]]*tblTransactions[[#This Row],[Quantity]]*(1-tblTransactions[[#This Row],[Discount]]))</f>
        <v>140.78919999999997</v>
      </c>
      <c r="N322" s="3">
        <f>tblTransactions[[#This Row],[Profit]]/tblTransactions[[#This Row],[Total_Amount]]</f>
        <v>0.50211919112664494</v>
      </c>
      <c r="O322" t="str">
        <f>TEXT(tblTransactions[[#This Row],[Date]], "MMM-YYYY")</f>
        <v>Mar-2023</v>
      </c>
      <c r="P322" t="str">
        <f>"Q"&amp;ROUNDUP(MONTH(tblTransactions[[#This Row],[Date]])/3,0)&amp;"-"&amp;YEAR(tblTransactions[[#This Row],[Date]])</f>
        <v>Q1-2023</v>
      </c>
      <c r="Q322">
        <f>YEAR(tblTransactions[[#This Row],[Date]])</f>
        <v>2023</v>
      </c>
      <c r="R322" t="str">
        <f>TEXT(tblTransactions[[#This Row],[Date]],"DDDD")</f>
        <v>Thursday</v>
      </c>
      <c r="S322">
        <f>MONTH(tblTransactions[[#This Row],[Date]])</f>
        <v>3</v>
      </c>
      <c r="T322" t="str">
        <f>VLOOKUP(E322, Products!$A:$B,2,0)</f>
        <v>Cases Acc-4</v>
      </c>
      <c r="U322" t="str">
        <f>VLOOKUP(E322,Products!$A:$C,3,0)</f>
        <v>Accessories</v>
      </c>
      <c r="V322" t="str">
        <f>VLOOKUP(E322,Products!$A:$D,4,0)</f>
        <v>Cases</v>
      </c>
      <c r="W322" t="str">
        <f>VLOOKUP(D322,Customers!$A:$C,3,0)</f>
        <v>B2C</v>
      </c>
      <c r="X322" t="str">
        <f>VLOOKUP(C322,Sales_Representatives!$A:$B,2,0)</f>
        <v>Robert Jones</v>
      </c>
    </row>
    <row r="323" spans="1:24" x14ac:dyDescent="0.3">
      <c r="A323" t="s">
        <v>552</v>
      </c>
      <c r="B323" t="s">
        <v>551</v>
      </c>
      <c r="C323" t="s">
        <v>13</v>
      </c>
      <c r="D323" t="s">
        <v>71</v>
      </c>
      <c r="E323" t="s">
        <v>125</v>
      </c>
      <c r="F323">
        <v>2</v>
      </c>
      <c r="G323">
        <v>1201.4000000000001</v>
      </c>
      <c r="H323">
        <v>0</v>
      </c>
      <c r="I323" s="4">
        <v>2402.8000000000002</v>
      </c>
      <c r="J323" t="s">
        <v>16</v>
      </c>
      <c r="K323" t="s">
        <v>22</v>
      </c>
      <c r="L323" s="4">
        <f>VLOOKUP(tblTransactions[[#This Row],[Product_ID]],tblProducts[],5,FALSE)</f>
        <v>672.72</v>
      </c>
      <c r="M323" s="4">
        <f>tblTransactions[[#This Row],[Total_Amount]]-(tblTransactions[[#This Row],[Cost_Prices]]*tblTransactions[[#This Row],[Quantity]]*(1-tblTransactions[[#This Row],[Discount]]))</f>
        <v>1057.3600000000001</v>
      </c>
      <c r="N323" s="3">
        <f>tblTransactions[[#This Row],[Profit]]/tblTransactions[[#This Row],[Total_Amount]]</f>
        <v>0.44005327118361914</v>
      </c>
      <c r="O323" t="str">
        <f>TEXT(tblTransactions[[#This Row],[Date]], "MMM-YYYY")</f>
        <v>Mar-2023</v>
      </c>
      <c r="P323" t="str">
        <f>"Q"&amp;ROUNDUP(MONTH(tblTransactions[[#This Row],[Date]])/3,0)&amp;"-"&amp;YEAR(tblTransactions[[#This Row],[Date]])</f>
        <v>Q1-2023</v>
      </c>
      <c r="Q323">
        <f>YEAR(tblTransactions[[#This Row],[Date]])</f>
        <v>2023</v>
      </c>
      <c r="R323" t="str">
        <f>TEXT(tblTransactions[[#This Row],[Date]],"DDDD")</f>
        <v>Thursday</v>
      </c>
      <c r="S323">
        <f>MONTH(tblTransactions[[#This Row],[Date]])</f>
        <v>3</v>
      </c>
      <c r="T323" t="str">
        <f>VLOOKUP(E323, Products!$A:$B,2,0)</f>
        <v>Printers Tec-2</v>
      </c>
      <c r="U323" t="str">
        <f>VLOOKUP(E323,Products!$A:$C,3,0)</f>
        <v>Technology</v>
      </c>
      <c r="V323" t="str">
        <f>VLOOKUP(E323,Products!$A:$D,4,0)</f>
        <v>Printers</v>
      </c>
      <c r="W323" t="str">
        <f>VLOOKUP(D323,Customers!$A:$C,3,0)</f>
        <v>B2B</v>
      </c>
      <c r="X323" t="str">
        <f>VLOOKUP(C323,Sales_Representatives!$A:$B,2,0)</f>
        <v>Jennifer Rodriguez</v>
      </c>
    </row>
    <row r="324" spans="1:24" x14ac:dyDescent="0.3">
      <c r="A324" t="s">
        <v>553</v>
      </c>
      <c r="B324" t="s">
        <v>551</v>
      </c>
      <c r="C324" t="s">
        <v>131</v>
      </c>
      <c r="D324" t="s">
        <v>197</v>
      </c>
      <c r="E324" t="s">
        <v>125</v>
      </c>
      <c r="F324">
        <v>33</v>
      </c>
      <c r="G324">
        <v>1201.4000000000001</v>
      </c>
      <c r="H324">
        <v>0.22</v>
      </c>
      <c r="I324" s="4">
        <v>30924.04</v>
      </c>
      <c r="J324" t="s">
        <v>44</v>
      </c>
      <c r="K324" t="s">
        <v>48</v>
      </c>
      <c r="L324" s="4">
        <f>VLOOKUP(tblTransactions[[#This Row],[Product_ID]],tblProducts[],5,FALSE)</f>
        <v>672.72</v>
      </c>
      <c r="M324" s="4">
        <f>tblTransactions[[#This Row],[Total_Amount]]-(tblTransactions[[#This Row],[Cost_Prices]]*tblTransactions[[#This Row],[Quantity]]*(1-tblTransactions[[#This Row],[Discount]]))</f>
        <v>13608.227199999998</v>
      </c>
      <c r="N324" s="3">
        <f>tblTransactions[[#This Row],[Profit]]/tblTransactions[[#This Row],[Total_Amount]]</f>
        <v>0.44005334361228343</v>
      </c>
      <c r="O324" t="str">
        <f>TEXT(tblTransactions[[#This Row],[Date]], "MMM-YYYY")</f>
        <v>Mar-2023</v>
      </c>
      <c r="P324" t="str">
        <f>"Q"&amp;ROUNDUP(MONTH(tblTransactions[[#This Row],[Date]])/3,0)&amp;"-"&amp;YEAR(tblTransactions[[#This Row],[Date]])</f>
        <v>Q1-2023</v>
      </c>
      <c r="Q324">
        <f>YEAR(tblTransactions[[#This Row],[Date]])</f>
        <v>2023</v>
      </c>
      <c r="R324" t="str">
        <f>TEXT(tblTransactions[[#This Row],[Date]],"DDDD")</f>
        <v>Thursday</v>
      </c>
      <c r="S324">
        <f>MONTH(tblTransactions[[#This Row],[Date]])</f>
        <v>3</v>
      </c>
      <c r="T324" t="str">
        <f>VLOOKUP(E324, Products!$A:$B,2,0)</f>
        <v>Printers Tec-2</v>
      </c>
      <c r="U324" t="str">
        <f>VLOOKUP(E324,Products!$A:$C,3,0)</f>
        <v>Technology</v>
      </c>
      <c r="V324" t="str">
        <f>VLOOKUP(E324,Products!$A:$D,4,0)</f>
        <v>Printers</v>
      </c>
      <c r="W324" t="str">
        <f>VLOOKUP(D324,Customers!$A:$C,3,0)</f>
        <v>Enterprise</v>
      </c>
      <c r="X324" t="str">
        <f>VLOOKUP(C324,Sales_Representatives!$A:$B,2,0)</f>
        <v>Michael Davis</v>
      </c>
    </row>
    <row r="325" spans="1:24" x14ac:dyDescent="0.3">
      <c r="A325" t="s">
        <v>554</v>
      </c>
      <c r="B325" t="s">
        <v>551</v>
      </c>
      <c r="C325" t="s">
        <v>13</v>
      </c>
      <c r="D325" t="s">
        <v>139</v>
      </c>
      <c r="E325" t="s">
        <v>198</v>
      </c>
      <c r="F325">
        <v>6</v>
      </c>
      <c r="G325">
        <v>1802.96</v>
      </c>
      <c r="H325">
        <v>0.06</v>
      </c>
      <c r="I325" s="4">
        <v>10168.69</v>
      </c>
      <c r="J325" t="s">
        <v>16</v>
      </c>
      <c r="K325" t="s">
        <v>17</v>
      </c>
      <c r="L325" s="4">
        <f>VLOOKUP(tblTransactions[[#This Row],[Product_ID]],tblProducts[],5,FALSE)</f>
        <v>1282.18</v>
      </c>
      <c r="M325" s="4">
        <f>tblTransactions[[#This Row],[Total_Amount]]-(tblTransactions[[#This Row],[Cost_Prices]]*tblTransactions[[#This Row],[Quantity]]*(1-tblTransactions[[#This Row],[Discount]]))</f>
        <v>2937.1948000000011</v>
      </c>
      <c r="N325" s="3">
        <f>tblTransactions[[#This Row],[Profit]]/tblTransactions[[#This Row],[Total_Amount]]</f>
        <v>0.28884692128484601</v>
      </c>
      <c r="O325" t="str">
        <f>TEXT(tblTransactions[[#This Row],[Date]], "MMM-YYYY")</f>
        <v>Mar-2023</v>
      </c>
      <c r="P325" t="str">
        <f>"Q"&amp;ROUNDUP(MONTH(tblTransactions[[#This Row],[Date]])/3,0)&amp;"-"&amp;YEAR(tblTransactions[[#This Row],[Date]])</f>
        <v>Q1-2023</v>
      </c>
      <c r="Q325">
        <f>YEAR(tblTransactions[[#This Row],[Date]])</f>
        <v>2023</v>
      </c>
      <c r="R325" t="str">
        <f>TEXT(tblTransactions[[#This Row],[Date]],"DDDD")</f>
        <v>Thursday</v>
      </c>
      <c r="S325">
        <f>MONTH(tblTransactions[[#This Row],[Date]])</f>
        <v>3</v>
      </c>
      <c r="T325" t="str">
        <f>VLOOKUP(E325, Products!$A:$B,2,0)</f>
        <v>Tablets Ele-3</v>
      </c>
      <c r="U325" t="str">
        <f>VLOOKUP(E325,Products!$A:$C,3,0)</f>
        <v>Electronics</v>
      </c>
      <c r="V325" t="str">
        <f>VLOOKUP(E325,Products!$A:$D,4,0)</f>
        <v>Tablets</v>
      </c>
      <c r="W325" t="str">
        <f>VLOOKUP(D325,Customers!$A:$C,3,0)</f>
        <v>B2C</v>
      </c>
      <c r="X325" t="str">
        <f>VLOOKUP(C325,Sales_Representatives!$A:$B,2,0)</f>
        <v>Jennifer Rodriguez</v>
      </c>
    </row>
    <row r="326" spans="1:24" x14ac:dyDescent="0.3">
      <c r="A326" t="s">
        <v>555</v>
      </c>
      <c r="B326" t="s">
        <v>551</v>
      </c>
      <c r="C326" t="s">
        <v>107</v>
      </c>
      <c r="D326" t="s">
        <v>50</v>
      </c>
      <c r="E326" t="s">
        <v>255</v>
      </c>
      <c r="F326">
        <v>7</v>
      </c>
      <c r="G326">
        <v>1444.13</v>
      </c>
      <c r="H326">
        <v>0.1</v>
      </c>
      <c r="I326" s="4">
        <v>9098.02</v>
      </c>
      <c r="J326" t="s">
        <v>109</v>
      </c>
      <c r="K326" t="s">
        <v>17</v>
      </c>
      <c r="L326" s="4">
        <f>VLOOKUP(tblTransactions[[#This Row],[Product_ID]],tblProducts[],5,FALSE)</f>
        <v>874.43</v>
      </c>
      <c r="M326" s="4">
        <f>tblTransactions[[#This Row],[Total_Amount]]-(tblTransactions[[#This Row],[Cost_Prices]]*tblTransactions[[#This Row],[Quantity]]*(1-tblTransactions[[#This Row],[Discount]]))</f>
        <v>3589.1110000000008</v>
      </c>
      <c r="N326" s="3">
        <f>tblTransactions[[#This Row],[Profit]]/tblTransactions[[#This Row],[Total_Amount]]</f>
        <v>0.39449363707707835</v>
      </c>
      <c r="O326" t="str">
        <f>TEXT(tblTransactions[[#This Row],[Date]], "MMM-YYYY")</f>
        <v>Mar-2023</v>
      </c>
      <c r="P326" t="str">
        <f>"Q"&amp;ROUNDUP(MONTH(tblTransactions[[#This Row],[Date]])/3,0)&amp;"-"&amp;YEAR(tblTransactions[[#This Row],[Date]])</f>
        <v>Q1-2023</v>
      </c>
      <c r="Q326">
        <f>YEAR(tblTransactions[[#This Row],[Date]])</f>
        <v>2023</v>
      </c>
      <c r="R326" t="str">
        <f>TEXT(tblTransactions[[#This Row],[Date]],"DDDD")</f>
        <v>Thursday</v>
      </c>
      <c r="S326">
        <f>MONTH(tblTransactions[[#This Row],[Date]])</f>
        <v>3</v>
      </c>
      <c r="T326" t="str">
        <f>VLOOKUP(E326, Products!$A:$B,2,0)</f>
        <v>Printers Tec-1</v>
      </c>
      <c r="U326" t="str">
        <f>VLOOKUP(E326,Products!$A:$C,3,0)</f>
        <v>Technology</v>
      </c>
      <c r="V326" t="str">
        <f>VLOOKUP(E326,Products!$A:$D,4,0)</f>
        <v>Printers</v>
      </c>
      <c r="W326" t="str">
        <f>VLOOKUP(D326,Customers!$A:$C,3,0)</f>
        <v>Small Business</v>
      </c>
      <c r="X326" t="str">
        <f>VLOOKUP(C326,Sales_Representatives!$A:$B,2,0)</f>
        <v>Jennifer Brown</v>
      </c>
    </row>
    <row r="327" spans="1:24" x14ac:dyDescent="0.3">
      <c r="A327" t="s">
        <v>556</v>
      </c>
      <c r="B327" t="s">
        <v>551</v>
      </c>
      <c r="C327" t="s">
        <v>31</v>
      </c>
      <c r="D327" t="s">
        <v>228</v>
      </c>
      <c r="E327" t="s">
        <v>176</v>
      </c>
      <c r="F327">
        <v>2</v>
      </c>
      <c r="G327">
        <v>1462.68</v>
      </c>
      <c r="H327">
        <v>0.02</v>
      </c>
      <c r="I327" s="4">
        <v>2866.85</v>
      </c>
      <c r="J327" t="s">
        <v>34</v>
      </c>
      <c r="K327" t="s">
        <v>17</v>
      </c>
      <c r="L327" s="4">
        <f>VLOOKUP(tblTransactions[[#This Row],[Product_ID]],tblProducts[],5,FALSE)</f>
        <v>775.94</v>
      </c>
      <c r="M327" s="4">
        <f>tblTransactions[[#This Row],[Total_Amount]]-(tblTransactions[[#This Row],[Cost_Prices]]*tblTransactions[[#This Row],[Quantity]]*(1-tblTransactions[[#This Row],[Discount]]))</f>
        <v>1346.0075999999999</v>
      </c>
      <c r="N327" s="3">
        <f>tblTransactions[[#This Row],[Profit]]/tblTransactions[[#This Row],[Total_Amount]]</f>
        <v>0.46950750824075205</v>
      </c>
      <c r="O327" t="str">
        <f>TEXT(tblTransactions[[#This Row],[Date]], "MMM-YYYY")</f>
        <v>Mar-2023</v>
      </c>
      <c r="P327" t="str">
        <f>"Q"&amp;ROUNDUP(MONTH(tblTransactions[[#This Row],[Date]])/3,0)&amp;"-"&amp;YEAR(tblTransactions[[#This Row],[Date]])</f>
        <v>Q1-2023</v>
      </c>
      <c r="Q327">
        <f>YEAR(tblTransactions[[#This Row],[Date]])</f>
        <v>2023</v>
      </c>
      <c r="R327" t="str">
        <f>TEXT(tblTransactions[[#This Row],[Date]],"DDDD")</f>
        <v>Thursday</v>
      </c>
      <c r="S327">
        <f>MONTH(tblTransactions[[#This Row],[Date]])</f>
        <v>3</v>
      </c>
      <c r="T327" t="str">
        <f>VLOOKUP(E327, Products!$A:$B,2,0)</f>
        <v>Chairs Fur-2</v>
      </c>
      <c r="U327" t="str">
        <f>VLOOKUP(E327,Products!$A:$C,3,0)</f>
        <v>Furniture</v>
      </c>
      <c r="V327" t="str">
        <f>VLOOKUP(E327,Products!$A:$D,4,0)</f>
        <v>Chairs</v>
      </c>
      <c r="W327" t="str">
        <f>VLOOKUP(D327,Customers!$A:$C,3,0)</f>
        <v>Small Business</v>
      </c>
      <c r="X327" t="str">
        <f>VLOOKUP(C327,Sales_Representatives!$A:$B,2,0)</f>
        <v>Thomas Martinez</v>
      </c>
    </row>
    <row r="328" spans="1:24" x14ac:dyDescent="0.3">
      <c r="A328" t="s">
        <v>557</v>
      </c>
      <c r="B328" t="s">
        <v>551</v>
      </c>
      <c r="C328" t="s">
        <v>75</v>
      </c>
      <c r="D328" t="s">
        <v>83</v>
      </c>
      <c r="E328" t="s">
        <v>53</v>
      </c>
      <c r="F328">
        <v>2</v>
      </c>
      <c r="G328">
        <v>2069.2199999999998</v>
      </c>
      <c r="H328">
        <v>0</v>
      </c>
      <c r="I328" s="4">
        <v>4138.4399999999996</v>
      </c>
      <c r="J328" t="s">
        <v>44</v>
      </c>
      <c r="K328" t="s">
        <v>22</v>
      </c>
      <c r="L328" s="4">
        <f>VLOOKUP(tblTransactions[[#This Row],[Product_ID]],tblProducts[],5,FALSE)</f>
        <v>1451.18</v>
      </c>
      <c r="M328" s="4">
        <f>tblTransactions[[#This Row],[Total_Amount]]-(tblTransactions[[#This Row],[Cost_Prices]]*tblTransactions[[#This Row],[Quantity]]*(1-tblTransactions[[#This Row],[Discount]]))</f>
        <v>1236.0799999999995</v>
      </c>
      <c r="N328" s="3">
        <f>tblTransactions[[#This Row],[Profit]]/tblTransactions[[#This Row],[Total_Amount]]</f>
        <v>0.29868259537410224</v>
      </c>
      <c r="O328" t="str">
        <f>TEXT(tblTransactions[[#This Row],[Date]], "MMM-YYYY")</f>
        <v>Mar-2023</v>
      </c>
      <c r="P328" t="str">
        <f>"Q"&amp;ROUNDUP(MONTH(tblTransactions[[#This Row],[Date]])/3,0)&amp;"-"&amp;YEAR(tblTransactions[[#This Row],[Date]])</f>
        <v>Q1-2023</v>
      </c>
      <c r="Q328">
        <f>YEAR(tblTransactions[[#This Row],[Date]])</f>
        <v>2023</v>
      </c>
      <c r="R328" t="str">
        <f>TEXT(tblTransactions[[#This Row],[Date]],"DDDD")</f>
        <v>Thursday</v>
      </c>
      <c r="S328">
        <f>MONTH(tblTransactions[[#This Row],[Date]])</f>
        <v>3</v>
      </c>
      <c r="T328" t="str">
        <f>VLOOKUP(E328, Products!$A:$B,2,0)</f>
        <v>Printers Tec-3</v>
      </c>
      <c r="U328" t="str">
        <f>VLOOKUP(E328,Products!$A:$C,3,0)</f>
        <v>Technology</v>
      </c>
      <c r="V328" t="str">
        <f>VLOOKUP(E328,Products!$A:$D,4,0)</f>
        <v>Printers</v>
      </c>
      <c r="W328" t="str">
        <f>VLOOKUP(D328,Customers!$A:$C,3,0)</f>
        <v>Small Business</v>
      </c>
      <c r="X328" t="str">
        <f>VLOOKUP(C328,Sales_Representatives!$A:$B,2,0)</f>
        <v>Jessica Anderson</v>
      </c>
    </row>
    <row r="329" spans="1:24" x14ac:dyDescent="0.3">
      <c r="A329" t="s">
        <v>558</v>
      </c>
      <c r="B329" t="s">
        <v>551</v>
      </c>
      <c r="C329" t="s">
        <v>141</v>
      </c>
      <c r="D329" t="s">
        <v>24</v>
      </c>
      <c r="E329" t="s">
        <v>450</v>
      </c>
      <c r="F329">
        <v>19</v>
      </c>
      <c r="G329">
        <v>2083.92</v>
      </c>
      <c r="H329">
        <v>0.13</v>
      </c>
      <c r="I329" s="4">
        <v>34447.199999999997</v>
      </c>
      <c r="J329" t="s">
        <v>109</v>
      </c>
      <c r="K329" t="s">
        <v>17</v>
      </c>
      <c r="L329" s="4">
        <f>VLOOKUP(tblTransactions[[#This Row],[Product_ID]],tblProducts[],5,FALSE)</f>
        <v>1425.78</v>
      </c>
      <c r="M329" s="4">
        <f>tblTransactions[[#This Row],[Total_Amount]]-(tblTransactions[[#This Row],[Cost_Prices]]*tblTransactions[[#This Row],[Quantity]]*(1-tblTransactions[[#This Row],[Discount]]))</f>
        <v>10879.056599999996</v>
      </c>
      <c r="N329" s="3">
        <f>tblTransactions[[#This Row],[Profit]]/tblTransactions[[#This Row],[Total_Amount]]</f>
        <v>0.31581831324461779</v>
      </c>
      <c r="O329" t="str">
        <f>TEXT(tblTransactions[[#This Row],[Date]], "MMM-YYYY")</f>
        <v>Mar-2023</v>
      </c>
      <c r="P329" t="str">
        <f>"Q"&amp;ROUNDUP(MONTH(tblTransactions[[#This Row],[Date]])/3,0)&amp;"-"&amp;YEAR(tblTransactions[[#This Row],[Date]])</f>
        <v>Q1-2023</v>
      </c>
      <c r="Q329">
        <f>YEAR(tblTransactions[[#This Row],[Date]])</f>
        <v>2023</v>
      </c>
      <c r="R329" t="str">
        <f>TEXT(tblTransactions[[#This Row],[Date]],"DDDD")</f>
        <v>Thursday</v>
      </c>
      <c r="S329">
        <f>MONTH(tblTransactions[[#This Row],[Date]])</f>
        <v>3</v>
      </c>
      <c r="T329" t="str">
        <f>VLOOKUP(E329, Products!$A:$B,2,0)</f>
        <v>Monitors Tec-4</v>
      </c>
      <c r="U329" t="str">
        <f>VLOOKUP(E329,Products!$A:$C,3,0)</f>
        <v>Technology</v>
      </c>
      <c r="V329" t="str">
        <f>VLOOKUP(E329,Products!$A:$D,4,0)</f>
        <v>Monitors</v>
      </c>
      <c r="W329" t="str">
        <f>VLOOKUP(D329,Customers!$A:$C,3,0)</f>
        <v>B2B</v>
      </c>
      <c r="X329" t="str">
        <f>VLOOKUP(C329,Sales_Representatives!$A:$B,2,0)</f>
        <v>Richard Garcia</v>
      </c>
    </row>
    <row r="330" spans="1:24" x14ac:dyDescent="0.3">
      <c r="A330" t="s">
        <v>559</v>
      </c>
      <c r="B330" t="s">
        <v>551</v>
      </c>
      <c r="C330" t="s">
        <v>127</v>
      </c>
      <c r="D330" t="s">
        <v>52</v>
      </c>
      <c r="E330" t="s">
        <v>299</v>
      </c>
      <c r="F330">
        <v>4</v>
      </c>
      <c r="G330">
        <v>963.44</v>
      </c>
      <c r="H330">
        <v>7.0000000000000007E-2</v>
      </c>
      <c r="I330" s="4">
        <v>3584</v>
      </c>
      <c r="J330" t="s">
        <v>109</v>
      </c>
      <c r="K330" t="s">
        <v>48</v>
      </c>
      <c r="L330" s="4">
        <f>VLOOKUP(tblTransactions[[#This Row],[Product_ID]],tblProducts[],5,FALSE)</f>
        <v>578.96</v>
      </c>
      <c r="M330" s="4">
        <f>tblTransactions[[#This Row],[Total_Amount]]-(tblTransactions[[#This Row],[Cost_Prices]]*tblTransactions[[#This Row],[Quantity]]*(1-tblTransactions[[#This Row],[Discount]]))</f>
        <v>1430.2687999999998</v>
      </c>
      <c r="N330" s="3">
        <f>tblTransactions[[#This Row],[Profit]]/tblTransactions[[#This Row],[Total_Amount]]</f>
        <v>0.39907053571428569</v>
      </c>
      <c r="O330" t="str">
        <f>TEXT(tblTransactions[[#This Row],[Date]], "MMM-YYYY")</f>
        <v>Mar-2023</v>
      </c>
      <c r="P330" t="str">
        <f>"Q"&amp;ROUNDUP(MONTH(tblTransactions[[#This Row],[Date]])/3,0)&amp;"-"&amp;YEAR(tblTransactions[[#This Row],[Date]])</f>
        <v>Q1-2023</v>
      </c>
      <c r="Q330">
        <f>YEAR(tblTransactions[[#This Row],[Date]])</f>
        <v>2023</v>
      </c>
      <c r="R330" t="str">
        <f>TEXT(tblTransactions[[#This Row],[Date]],"DDDD")</f>
        <v>Thursday</v>
      </c>
      <c r="S330">
        <f>MONTH(tblTransactions[[#This Row],[Date]])</f>
        <v>3</v>
      </c>
      <c r="T330" t="str">
        <f>VLOOKUP(E330, Products!$A:$B,2,0)</f>
        <v>Chairs Fur-4</v>
      </c>
      <c r="U330" t="str">
        <f>VLOOKUP(E330,Products!$A:$C,3,0)</f>
        <v>Furniture</v>
      </c>
      <c r="V330" t="str">
        <f>VLOOKUP(E330,Products!$A:$D,4,0)</f>
        <v>Chairs</v>
      </c>
      <c r="W330" t="str">
        <f>VLOOKUP(D330,Customers!$A:$C,3,0)</f>
        <v>B2C</v>
      </c>
      <c r="X330" t="str">
        <f>VLOOKUP(C330,Sales_Representatives!$A:$B,2,0)</f>
        <v>Emily Hernandez</v>
      </c>
    </row>
    <row r="331" spans="1:24" x14ac:dyDescent="0.3">
      <c r="A331" t="s">
        <v>560</v>
      </c>
      <c r="B331" t="s">
        <v>561</v>
      </c>
      <c r="C331" t="s">
        <v>141</v>
      </c>
      <c r="D331" t="s">
        <v>101</v>
      </c>
      <c r="E331" t="s">
        <v>91</v>
      </c>
      <c r="F331">
        <v>1</v>
      </c>
      <c r="G331">
        <v>286.62</v>
      </c>
      <c r="H331">
        <v>0.08</v>
      </c>
      <c r="I331" s="4">
        <v>263.69</v>
      </c>
      <c r="J331" t="s">
        <v>109</v>
      </c>
      <c r="K331" t="s">
        <v>17</v>
      </c>
      <c r="L331" s="4">
        <f>VLOOKUP(tblTransactions[[#This Row],[Product_ID]],tblProducts[],5,FALSE)</f>
        <v>145.54</v>
      </c>
      <c r="M331" s="4">
        <f>tblTransactions[[#This Row],[Total_Amount]]-(tblTransactions[[#This Row],[Cost_Prices]]*tblTransactions[[#This Row],[Quantity]]*(1-tblTransactions[[#This Row],[Discount]]))</f>
        <v>129.79320000000001</v>
      </c>
      <c r="N331" s="3">
        <f>tblTransactions[[#This Row],[Profit]]/tblTransactions[[#This Row],[Total_Amount]]</f>
        <v>0.49221889339755021</v>
      </c>
      <c r="O331" t="str">
        <f>TEXT(tblTransactions[[#This Row],[Date]], "MMM-YYYY")</f>
        <v>Mar-2023</v>
      </c>
      <c r="P331" t="str">
        <f>"Q"&amp;ROUNDUP(MONTH(tblTransactions[[#This Row],[Date]])/3,0)&amp;"-"&amp;YEAR(tblTransactions[[#This Row],[Date]])</f>
        <v>Q1-2023</v>
      </c>
      <c r="Q331">
        <f>YEAR(tblTransactions[[#This Row],[Date]])</f>
        <v>2023</v>
      </c>
      <c r="R331" t="str">
        <f>TEXT(tblTransactions[[#This Row],[Date]],"DDDD")</f>
        <v>Friday</v>
      </c>
      <c r="S331">
        <f>MONTH(tblTransactions[[#This Row],[Date]])</f>
        <v>3</v>
      </c>
      <c r="T331" t="str">
        <f>VLOOKUP(E331, Products!$A:$B,2,0)</f>
        <v>Chairs Fur-1</v>
      </c>
      <c r="U331" t="str">
        <f>VLOOKUP(E331,Products!$A:$C,3,0)</f>
        <v>Furniture</v>
      </c>
      <c r="V331" t="str">
        <f>VLOOKUP(E331,Products!$A:$D,4,0)</f>
        <v>Chairs</v>
      </c>
      <c r="W331" t="str">
        <f>VLOOKUP(D331,Customers!$A:$C,3,0)</f>
        <v>B2C</v>
      </c>
      <c r="X331" t="str">
        <f>VLOOKUP(C331,Sales_Representatives!$A:$B,2,0)</f>
        <v>Richard Garcia</v>
      </c>
    </row>
    <row r="332" spans="1:24" x14ac:dyDescent="0.3">
      <c r="A332" t="s">
        <v>562</v>
      </c>
      <c r="B332" t="s">
        <v>561</v>
      </c>
      <c r="C332" t="s">
        <v>131</v>
      </c>
      <c r="D332" t="s">
        <v>136</v>
      </c>
      <c r="E332" t="s">
        <v>347</v>
      </c>
      <c r="F332">
        <v>7</v>
      </c>
      <c r="G332">
        <v>1539.6</v>
      </c>
      <c r="H332">
        <v>0.15</v>
      </c>
      <c r="I332" s="4">
        <v>9160.6200000000008</v>
      </c>
      <c r="J332" t="s">
        <v>44</v>
      </c>
      <c r="K332" t="s">
        <v>39</v>
      </c>
      <c r="L332" s="4">
        <f>VLOOKUP(tblTransactions[[#This Row],[Product_ID]],tblProducts[],5,FALSE)</f>
        <v>992.43</v>
      </c>
      <c r="M332" s="4">
        <f>tblTransactions[[#This Row],[Total_Amount]]-(tblTransactions[[#This Row],[Cost_Prices]]*tblTransactions[[#This Row],[Quantity]]*(1-tblTransactions[[#This Row],[Discount]]))</f>
        <v>3255.661500000002</v>
      </c>
      <c r="N332" s="3">
        <f>tblTransactions[[#This Row],[Profit]]/tblTransactions[[#This Row],[Total_Amount]]</f>
        <v>0.35539750584567437</v>
      </c>
      <c r="O332" t="str">
        <f>TEXT(tblTransactions[[#This Row],[Date]], "MMM-YYYY")</f>
        <v>Mar-2023</v>
      </c>
      <c r="P332" t="str">
        <f>"Q"&amp;ROUNDUP(MONTH(tblTransactions[[#This Row],[Date]])/3,0)&amp;"-"&amp;YEAR(tblTransactions[[#This Row],[Date]])</f>
        <v>Q1-2023</v>
      </c>
      <c r="Q332">
        <f>YEAR(tblTransactions[[#This Row],[Date]])</f>
        <v>2023</v>
      </c>
      <c r="R332" t="str">
        <f>TEXT(tblTransactions[[#This Row],[Date]],"DDDD")</f>
        <v>Friday</v>
      </c>
      <c r="S332">
        <f>MONTH(tblTransactions[[#This Row],[Date]])</f>
        <v>3</v>
      </c>
      <c r="T332" t="str">
        <f>VLOOKUP(E332, Products!$A:$B,2,0)</f>
        <v>Routers Tec-2</v>
      </c>
      <c r="U332" t="str">
        <f>VLOOKUP(E332,Products!$A:$C,3,0)</f>
        <v>Technology</v>
      </c>
      <c r="V332" t="str">
        <f>VLOOKUP(E332,Products!$A:$D,4,0)</f>
        <v>Routers</v>
      </c>
      <c r="W332" t="str">
        <f>VLOOKUP(D332,Customers!$A:$C,3,0)</f>
        <v>B2B</v>
      </c>
      <c r="X332" t="str">
        <f>VLOOKUP(C332,Sales_Representatives!$A:$B,2,0)</f>
        <v>Michael Davis</v>
      </c>
    </row>
    <row r="333" spans="1:24" x14ac:dyDescent="0.3">
      <c r="A333" t="s">
        <v>563</v>
      </c>
      <c r="B333" t="s">
        <v>561</v>
      </c>
      <c r="C333" t="s">
        <v>31</v>
      </c>
      <c r="D333" t="s">
        <v>32</v>
      </c>
      <c r="E333" t="s">
        <v>89</v>
      </c>
      <c r="F333">
        <v>3</v>
      </c>
      <c r="G333">
        <v>555.08000000000004</v>
      </c>
      <c r="H333">
        <v>0.08</v>
      </c>
      <c r="I333" s="4">
        <v>1532.02</v>
      </c>
      <c r="J333" t="s">
        <v>34</v>
      </c>
      <c r="K333" t="s">
        <v>17</v>
      </c>
      <c r="L333" s="4">
        <f>VLOOKUP(tblTransactions[[#This Row],[Product_ID]],tblProducts[],5,FALSE)</f>
        <v>402.82</v>
      </c>
      <c r="M333" s="4">
        <f>tblTransactions[[#This Row],[Total_Amount]]-(tblTransactions[[#This Row],[Cost_Prices]]*tblTransactions[[#This Row],[Quantity]]*(1-tblTransactions[[#This Row],[Discount]]))</f>
        <v>420.2367999999999</v>
      </c>
      <c r="N333" s="3">
        <f>tblTransactions[[#This Row],[Profit]]/tblTransactions[[#This Row],[Total_Amount]]</f>
        <v>0.27430242425033607</v>
      </c>
      <c r="O333" t="str">
        <f>TEXT(tblTransactions[[#This Row],[Date]], "MMM-YYYY")</f>
        <v>Mar-2023</v>
      </c>
      <c r="P333" t="str">
        <f>"Q"&amp;ROUNDUP(MONTH(tblTransactions[[#This Row],[Date]])/3,0)&amp;"-"&amp;YEAR(tblTransactions[[#This Row],[Date]])</f>
        <v>Q1-2023</v>
      </c>
      <c r="Q333">
        <f>YEAR(tblTransactions[[#This Row],[Date]])</f>
        <v>2023</v>
      </c>
      <c r="R333" t="str">
        <f>TEXT(tblTransactions[[#This Row],[Date]],"DDDD")</f>
        <v>Friday</v>
      </c>
      <c r="S333">
        <f>MONTH(tblTransactions[[#This Row],[Date]])</f>
        <v>3</v>
      </c>
      <c r="T333" t="str">
        <f>VLOOKUP(E333, Products!$A:$B,2,0)</f>
        <v>Laptops Ele-3</v>
      </c>
      <c r="U333" t="str">
        <f>VLOOKUP(E333,Products!$A:$C,3,0)</f>
        <v>Electronics</v>
      </c>
      <c r="V333" t="str">
        <f>VLOOKUP(E333,Products!$A:$D,4,0)</f>
        <v>Laptops</v>
      </c>
      <c r="W333" t="str">
        <f>VLOOKUP(D333,Customers!$A:$C,3,0)</f>
        <v>B2C</v>
      </c>
      <c r="X333" t="str">
        <f>VLOOKUP(C333,Sales_Representatives!$A:$B,2,0)</f>
        <v>Thomas Martinez</v>
      </c>
    </row>
    <row r="334" spans="1:24" x14ac:dyDescent="0.3">
      <c r="A334" t="s">
        <v>564</v>
      </c>
      <c r="B334" t="s">
        <v>561</v>
      </c>
      <c r="C334" t="s">
        <v>82</v>
      </c>
      <c r="D334" t="s">
        <v>154</v>
      </c>
      <c r="E334" t="s">
        <v>20</v>
      </c>
      <c r="F334">
        <v>8</v>
      </c>
      <c r="G334">
        <v>1219.49</v>
      </c>
      <c r="H334">
        <v>0.09</v>
      </c>
      <c r="I334" s="4">
        <v>8877.89</v>
      </c>
      <c r="J334" t="s">
        <v>34</v>
      </c>
      <c r="K334" t="s">
        <v>22</v>
      </c>
      <c r="L334" s="4">
        <f>VLOOKUP(tblTransactions[[#This Row],[Product_ID]],tblProducts[],5,FALSE)</f>
        <v>686.9</v>
      </c>
      <c r="M334" s="4">
        <f>tblTransactions[[#This Row],[Total_Amount]]-(tblTransactions[[#This Row],[Cost_Prices]]*tblTransactions[[#This Row],[Quantity]]*(1-tblTransactions[[#This Row],[Discount]]))</f>
        <v>3877.2579999999998</v>
      </c>
      <c r="N334" s="3">
        <f>tblTransactions[[#This Row],[Profit]]/tblTransactions[[#This Row],[Total_Amount]]</f>
        <v>0.43673192616714107</v>
      </c>
      <c r="O334" t="str">
        <f>TEXT(tblTransactions[[#This Row],[Date]], "MMM-YYYY")</f>
        <v>Mar-2023</v>
      </c>
      <c r="P334" t="str">
        <f>"Q"&amp;ROUNDUP(MONTH(tblTransactions[[#This Row],[Date]])/3,0)&amp;"-"&amp;YEAR(tblTransactions[[#This Row],[Date]])</f>
        <v>Q1-2023</v>
      </c>
      <c r="Q334">
        <f>YEAR(tblTransactions[[#This Row],[Date]])</f>
        <v>2023</v>
      </c>
      <c r="R334" t="str">
        <f>TEXT(tblTransactions[[#This Row],[Date]],"DDDD")</f>
        <v>Friday</v>
      </c>
      <c r="S334">
        <f>MONTH(tblTransactions[[#This Row],[Date]])</f>
        <v>3</v>
      </c>
      <c r="T334" t="str">
        <f>VLOOKUP(E334, Products!$A:$B,2,0)</f>
        <v>Laptops Ele-1</v>
      </c>
      <c r="U334" t="str">
        <f>VLOOKUP(E334,Products!$A:$C,3,0)</f>
        <v>Electronics</v>
      </c>
      <c r="V334" t="str">
        <f>VLOOKUP(E334,Products!$A:$D,4,0)</f>
        <v>Laptops</v>
      </c>
      <c r="W334" t="str">
        <f>VLOOKUP(D334,Customers!$A:$C,3,0)</f>
        <v>B2B</v>
      </c>
      <c r="X334" t="str">
        <f>VLOOKUP(C334,Sales_Representatives!$A:$B,2,0)</f>
        <v>John Brown</v>
      </c>
    </row>
    <row r="335" spans="1:24" x14ac:dyDescent="0.3">
      <c r="A335" t="s">
        <v>565</v>
      </c>
      <c r="B335" t="s">
        <v>566</v>
      </c>
      <c r="C335" t="s">
        <v>82</v>
      </c>
      <c r="D335" t="s">
        <v>139</v>
      </c>
      <c r="E335" t="s">
        <v>345</v>
      </c>
      <c r="F335">
        <v>3</v>
      </c>
      <c r="G335">
        <v>13.97</v>
      </c>
      <c r="H335">
        <v>0.08</v>
      </c>
      <c r="I335" s="4">
        <v>38.56</v>
      </c>
      <c r="J335" t="s">
        <v>34</v>
      </c>
      <c r="K335" t="s">
        <v>35</v>
      </c>
      <c r="L335" s="4">
        <f>VLOOKUP(tblTransactions[[#This Row],[Product_ID]],tblProducts[],5,FALSE)</f>
        <v>8.69</v>
      </c>
      <c r="M335" s="4">
        <f>tblTransactions[[#This Row],[Total_Amount]]-(tblTransactions[[#This Row],[Cost_Prices]]*tblTransactions[[#This Row],[Quantity]]*(1-tblTransactions[[#This Row],[Discount]]))</f>
        <v>14.575600000000001</v>
      </c>
      <c r="N335" s="3">
        <f>tblTransactions[[#This Row],[Profit]]/tblTransactions[[#This Row],[Total_Amount]]</f>
        <v>0.37799792531120335</v>
      </c>
      <c r="O335" t="str">
        <f>TEXT(tblTransactions[[#This Row],[Date]], "MMM-YYYY")</f>
        <v>Mar-2023</v>
      </c>
      <c r="P335" t="str">
        <f>"Q"&amp;ROUNDUP(MONTH(tblTransactions[[#This Row],[Date]])/3,0)&amp;"-"&amp;YEAR(tblTransactions[[#This Row],[Date]])</f>
        <v>Q1-2023</v>
      </c>
      <c r="Q335">
        <f>YEAR(tblTransactions[[#This Row],[Date]])</f>
        <v>2023</v>
      </c>
      <c r="R335" t="str">
        <f>TEXT(tblTransactions[[#This Row],[Date]],"DDDD")</f>
        <v>Saturday</v>
      </c>
      <c r="S335">
        <f>MONTH(tblTransactions[[#This Row],[Date]])</f>
        <v>3</v>
      </c>
      <c r="T335" t="str">
        <f>VLOOKUP(E335, Products!$A:$B,2,0)</f>
        <v>Cases Acc-2</v>
      </c>
      <c r="U335" t="str">
        <f>VLOOKUP(E335,Products!$A:$C,3,0)</f>
        <v>Accessories</v>
      </c>
      <c r="V335" t="str">
        <f>VLOOKUP(E335,Products!$A:$D,4,0)</f>
        <v>Cases</v>
      </c>
      <c r="W335" t="str">
        <f>VLOOKUP(D335,Customers!$A:$C,3,0)</f>
        <v>B2C</v>
      </c>
      <c r="X335" t="str">
        <f>VLOOKUP(C335,Sales_Representatives!$A:$B,2,0)</f>
        <v>John Brown</v>
      </c>
    </row>
    <row r="336" spans="1:24" x14ac:dyDescent="0.3">
      <c r="A336" t="s">
        <v>567</v>
      </c>
      <c r="B336" t="s">
        <v>566</v>
      </c>
      <c r="C336" t="s">
        <v>141</v>
      </c>
      <c r="D336" t="s">
        <v>166</v>
      </c>
      <c r="E336" t="s">
        <v>129</v>
      </c>
      <c r="F336">
        <v>3</v>
      </c>
      <c r="G336">
        <v>1283.71</v>
      </c>
      <c r="H336">
        <v>0.02</v>
      </c>
      <c r="I336" s="4">
        <v>3774.11</v>
      </c>
      <c r="J336" t="s">
        <v>109</v>
      </c>
      <c r="K336" t="s">
        <v>17</v>
      </c>
      <c r="L336" s="4">
        <f>VLOOKUP(tblTransactions[[#This Row],[Product_ID]],tblProducts[],5,FALSE)</f>
        <v>970.14</v>
      </c>
      <c r="M336" s="4">
        <f>tblTransactions[[#This Row],[Total_Amount]]-(tblTransactions[[#This Row],[Cost_Prices]]*tblTransactions[[#This Row],[Quantity]]*(1-tblTransactions[[#This Row],[Discount]]))</f>
        <v>921.89840000000004</v>
      </c>
      <c r="N336" s="3">
        <f>tblTransactions[[#This Row],[Profit]]/tblTransactions[[#This Row],[Total_Amount]]</f>
        <v>0.24426908595668914</v>
      </c>
      <c r="O336" t="str">
        <f>TEXT(tblTransactions[[#This Row],[Date]], "MMM-YYYY")</f>
        <v>Mar-2023</v>
      </c>
      <c r="P336" t="str">
        <f>"Q"&amp;ROUNDUP(MONTH(tblTransactions[[#This Row],[Date]])/3,0)&amp;"-"&amp;YEAR(tblTransactions[[#This Row],[Date]])</f>
        <v>Q1-2023</v>
      </c>
      <c r="Q336">
        <f>YEAR(tblTransactions[[#This Row],[Date]])</f>
        <v>2023</v>
      </c>
      <c r="R336" t="str">
        <f>TEXT(tblTransactions[[#This Row],[Date]],"DDDD")</f>
        <v>Saturday</v>
      </c>
      <c r="S336">
        <f>MONTH(tblTransactions[[#This Row],[Date]])</f>
        <v>3</v>
      </c>
      <c r="T336" t="str">
        <f>VLOOKUP(E336, Products!$A:$B,2,0)</f>
        <v>Cameras Ele-3</v>
      </c>
      <c r="U336" t="str">
        <f>VLOOKUP(E336,Products!$A:$C,3,0)</f>
        <v>Electronics</v>
      </c>
      <c r="V336" t="str">
        <f>VLOOKUP(E336,Products!$A:$D,4,0)</f>
        <v>Cameras</v>
      </c>
      <c r="W336" t="str">
        <f>VLOOKUP(D336,Customers!$A:$C,3,0)</f>
        <v>B2C</v>
      </c>
      <c r="X336" t="str">
        <f>VLOOKUP(C336,Sales_Representatives!$A:$B,2,0)</f>
        <v>Richard Garcia</v>
      </c>
    </row>
    <row r="337" spans="1:24" x14ac:dyDescent="0.3">
      <c r="A337" t="s">
        <v>568</v>
      </c>
      <c r="B337" t="s">
        <v>569</v>
      </c>
      <c r="C337" t="s">
        <v>31</v>
      </c>
      <c r="D337" t="s">
        <v>47</v>
      </c>
      <c r="E337" t="s">
        <v>198</v>
      </c>
      <c r="F337">
        <v>3</v>
      </c>
      <c r="G337">
        <v>1802.96</v>
      </c>
      <c r="H337">
        <v>7.0000000000000007E-2</v>
      </c>
      <c r="I337" s="4">
        <v>5030.26</v>
      </c>
      <c r="J337" t="s">
        <v>34</v>
      </c>
      <c r="K337" t="s">
        <v>48</v>
      </c>
      <c r="L337" s="4">
        <f>VLOOKUP(tblTransactions[[#This Row],[Product_ID]],tblProducts[],5,FALSE)</f>
        <v>1282.18</v>
      </c>
      <c r="M337" s="4">
        <f>tblTransactions[[#This Row],[Total_Amount]]-(tblTransactions[[#This Row],[Cost_Prices]]*tblTransactions[[#This Row],[Quantity]]*(1-tblTransactions[[#This Row],[Discount]]))</f>
        <v>1452.9778000000006</v>
      </c>
      <c r="N337" s="3">
        <f>tblTransactions[[#This Row],[Profit]]/tblTransactions[[#This Row],[Total_Amount]]</f>
        <v>0.28884745520112293</v>
      </c>
      <c r="O337" t="str">
        <f>TEXT(tblTransactions[[#This Row],[Date]], "MMM-YYYY")</f>
        <v>Mar-2023</v>
      </c>
      <c r="P337" t="str">
        <f>"Q"&amp;ROUNDUP(MONTH(tblTransactions[[#This Row],[Date]])/3,0)&amp;"-"&amp;YEAR(tblTransactions[[#This Row],[Date]])</f>
        <v>Q1-2023</v>
      </c>
      <c r="Q337">
        <f>YEAR(tblTransactions[[#This Row],[Date]])</f>
        <v>2023</v>
      </c>
      <c r="R337" t="str">
        <f>TEXT(tblTransactions[[#This Row],[Date]],"DDDD")</f>
        <v>Sunday</v>
      </c>
      <c r="S337">
        <f>MONTH(tblTransactions[[#This Row],[Date]])</f>
        <v>3</v>
      </c>
      <c r="T337" t="str">
        <f>VLOOKUP(E337, Products!$A:$B,2,0)</f>
        <v>Tablets Ele-3</v>
      </c>
      <c r="U337" t="str">
        <f>VLOOKUP(E337,Products!$A:$C,3,0)</f>
        <v>Electronics</v>
      </c>
      <c r="V337" t="str">
        <f>VLOOKUP(E337,Products!$A:$D,4,0)</f>
        <v>Tablets</v>
      </c>
      <c r="W337" t="str">
        <f>VLOOKUP(D337,Customers!$A:$C,3,0)</f>
        <v>B2C</v>
      </c>
      <c r="X337" t="str">
        <f>VLOOKUP(C337,Sales_Representatives!$A:$B,2,0)</f>
        <v>Thomas Martinez</v>
      </c>
    </row>
    <row r="338" spans="1:24" x14ac:dyDescent="0.3">
      <c r="A338" t="s">
        <v>570</v>
      </c>
      <c r="B338" t="s">
        <v>569</v>
      </c>
      <c r="C338" t="s">
        <v>131</v>
      </c>
      <c r="D338" t="s">
        <v>288</v>
      </c>
      <c r="E338" t="s">
        <v>25</v>
      </c>
      <c r="F338">
        <v>5</v>
      </c>
      <c r="G338">
        <v>1467.49</v>
      </c>
      <c r="H338">
        <v>0.05</v>
      </c>
      <c r="I338" s="4">
        <v>6970.58</v>
      </c>
      <c r="J338" t="s">
        <v>44</v>
      </c>
      <c r="K338" t="s">
        <v>22</v>
      </c>
      <c r="L338" s="4">
        <f>VLOOKUP(tblTransactions[[#This Row],[Product_ID]],tblProducts[],5,FALSE)</f>
        <v>757.65</v>
      </c>
      <c r="M338" s="4">
        <f>tblTransactions[[#This Row],[Total_Amount]]-(tblTransactions[[#This Row],[Cost_Prices]]*tblTransactions[[#This Row],[Quantity]]*(1-tblTransactions[[#This Row],[Discount]]))</f>
        <v>3371.7425000000003</v>
      </c>
      <c r="N338" s="3">
        <f>tblTransactions[[#This Row],[Profit]]/tblTransactions[[#This Row],[Total_Amount]]</f>
        <v>0.48371046598704848</v>
      </c>
      <c r="O338" t="str">
        <f>TEXT(tblTransactions[[#This Row],[Date]], "MMM-YYYY")</f>
        <v>Mar-2023</v>
      </c>
      <c r="P338" t="str">
        <f>"Q"&amp;ROUNDUP(MONTH(tblTransactions[[#This Row],[Date]])/3,0)&amp;"-"&amp;YEAR(tblTransactions[[#This Row],[Date]])</f>
        <v>Q1-2023</v>
      </c>
      <c r="Q338">
        <f>YEAR(tblTransactions[[#This Row],[Date]])</f>
        <v>2023</v>
      </c>
      <c r="R338" t="str">
        <f>TEXT(tblTransactions[[#This Row],[Date]],"DDDD")</f>
        <v>Sunday</v>
      </c>
      <c r="S338">
        <f>MONTH(tblTransactions[[#This Row],[Date]])</f>
        <v>3</v>
      </c>
      <c r="T338" t="str">
        <f>VLOOKUP(E338, Products!$A:$B,2,0)</f>
        <v>Tables Fur-3</v>
      </c>
      <c r="U338" t="str">
        <f>VLOOKUP(E338,Products!$A:$C,3,0)</f>
        <v>Furniture</v>
      </c>
      <c r="V338" t="str">
        <f>VLOOKUP(E338,Products!$A:$D,4,0)</f>
        <v>Tables</v>
      </c>
      <c r="W338" t="str">
        <f>VLOOKUP(D338,Customers!$A:$C,3,0)</f>
        <v>B2C</v>
      </c>
      <c r="X338" t="str">
        <f>VLOOKUP(C338,Sales_Representatives!$A:$B,2,0)</f>
        <v>Michael Davis</v>
      </c>
    </row>
    <row r="339" spans="1:24" x14ac:dyDescent="0.3">
      <c r="A339" t="s">
        <v>571</v>
      </c>
      <c r="B339" t="s">
        <v>569</v>
      </c>
      <c r="C339" t="s">
        <v>56</v>
      </c>
      <c r="D339" t="s">
        <v>210</v>
      </c>
      <c r="E339" t="s">
        <v>87</v>
      </c>
      <c r="F339">
        <v>10</v>
      </c>
      <c r="G339">
        <v>1047.8900000000001</v>
      </c>
      <c r="H339">
        <v>0.06</v>
      </c>
      <c r="I339" s="4">
        <v>9850.17</v>
      </c>
      <c r="J339" t="s">
        <v>34</v>
      </c>
      <c r="K339" t="s">
        <v>17</v>
      </c>
      <c r="L339" s="4">
        <f>VLOOKUP(tblTransactions[[#This Row],[Product_ID]],tblProducts[],5,FALSE)</f>
        <v>742.63</v>
      </c>
      <c r="M339" s="4">
        <f>tblTransactions[[#This Row],[Total_Amount]]-(tblTransactions[[#This Row],[Cost_Prices]]*tblTransactions[[#This Row],[Quantity]]*(1-tblTransactions[[#This Row],[Discount]]))</f>
        <v>2869.4480000000003</v>
      </c>
      <c r="N339" s="3">
        <f>tblTransactions[[#This Row],[Profit]]/tblTransactions[[#This Row],[Total_Amount]]</f>
        <v>0.29130949009001877</v>
      </c>
      <c r="O339" t="str">
        <f>TEXT(tblTransactions[[#This Row],[Date]], "MMM-YYYY")</f>
        <v>Mar-2023</v>
      </c>
      <c r="P339" t="str">
        <f>"Q"&amp;ROUNDUP(MONTH(tblTransactions[[#This Row],[Date]])/3,0)&amp;"-"&amp;YEAR(tblTransactions[[#This Row],[Date]])</f>
        <v>Q1-2023</v>
      </c>
      <c r="Q339">
        <f>YEAR(tblTransactions[[#This Row],[Date]])</f>
        <v>2023</v>
      </c>
      <c r="R339" t="str">
        <f>TEXT(tblTransactions[[#This Row],[Date]],"DDDD")</f>
        <v>Sunday</v>
      </c>
      <c r="S339">
        <f>MONTH(tblTransactions[[#This Row],[Date]])</f>
        <v>3</v>
      </c>
      <c r="T339" t="str">
        <f>VLOOKUP(E339, Products!$A:$B,2,0)</f>
        <v>Monitors Tec-2</v>
      </c>
      <c r="U339" t="str">
        <f>VLOOKUP(E339,Products!$A:$C,3,0)</f>
        <v>Technology</v>
      </c>
      <c r="V339" t="str">
        <f>VLOOKUP(E339,Products!$A:$D,4,0)</f>
        <v>Monitors</v>
      </c>
      <c r="W339" t="str">
        <f>VLOOKUP(D339,Customers!$A:$C,3,0)</f>
        <v>B2B</v>
      </c>
      <c r="X339" t="str">
        <f>VLOOKUP(C339,Sales_Representatives!$A:$B,2,0)</f>
        <v>Thomas Hernandez</v>
      </c>
    </row>
    <row r="340" spans="1:24" x14ac:dyDescent="0.3">
      <c r="A340" t="s">
        <v>572</v>
      </c>
      <c r="B340" t="s">
        <v>573</v>
      </c>
      <c r="C340" t="s">
        <v>82</v>
      </c>
      <c r="D340" t="s">
        <v>351</v>
      </c>
      <c r="E340" t="s">
        <v>77</v>
      </c>
      <c r="F340">
        <v>1</v>
      </c>
      <c r="G340">
        <v>236.82</v>
      </c>
      <c r="H340">
        <v>0.02</v>
      </c>
      <c r="I340" s="4">
        <v>232.08</v>
      </c>
      <c r="J340" t="s">
        <v>34</v>
      </c>
      <c r="K340" t="s">
        <v>17</v>
      </c>
      <c r="L340" s="4">
        <f>VLOOKUP(tblTransactions[[#This Row],[Product_ID]],tblProducts[],5,FALSE)</f>
        <v>110.79</v>
      </c>
      <c r="M340" s="4">
        <f>tblTransactions[[#This Row],[Total_Amount]]-(tblTransactions[[#This Row],[Cost_Prices]]*tblTransactions[[#This Row],[Quantity]]*(1-tblTransactions[[#This Row],[Discount]]))</f>
        <v>123.50580000000001</v>
      </c>
      <c r="N340" s="3">
        <f>tblTransactions[[#This Row],[Profit]]/tblTransactions[[#This Row],[Total_Amount]]</f>
        <v>0.53216907962771454</v>
      </c>
      <c r="O340" t="str">
        <f>TEXT(tblTransactions[[#This Row],[Date]], "MMM-YYYY")</f>
        <v>Mar-2023</v>
      </c>
      <c r="P340" t="str">
        <f>"Q"&amp;ROUNDUP(MONTH(tblTransactions[[#This Row],[Date]])/3,0)&amp;"-"&amp;YEAR(tblTransactions[[#This Row],[Date]])</f>
        <v>Q1-2023</v>
      </c>
      <c r="Q340">
        <f>YEAR(tblTransactions[[#This Row],[Date]])</f>
        <v>2023</v>
      </c>
      <c r="R340" t="str">
        <f>TEXT(tblTransactions[[#This Row],[Date]],"DDDD")</f>
        <v>Monday</v>
      </c>
      <c r="S340">
        <f>MONTH(tblTransactions[[#This Row],[Date]])</f>
        <v>3</v>
      </c>
      <c r="T340" t="str">
        <f>VLOOKUP(E340, Products!$A:$B,2,0)</f>
        <v>Binders Off-4</v>
      </c>
      <c r="U340" t="str">
        <f>VLOOKUP(E340,Products!$A:$C,3,0)</f>
        <v>Office Supplies</v>
      </c>
      <c r="V340" t="str">
        <f>VLOOKUP(E340,Products!$A:$D,4,0)</f>
        <v>Binders</v>
      </c>
      <c r="W340" t="str">
        <f>VLOOKUP(D340,Customers!$A:$C,3,0)</f>
        <v>B2C</v>
      </c>
      <c r="X340" t="str">
        <f>VLOOKUP(C340,Sales_Representatives!$A:$B,2,0)</f>
        <v>John Brown</v>
      </c>
    </row>
    <row r="341" spans="1:24" x14ac:dyDescent="0.3">
      <c r="A341" t="s">
        <v>574</v>
      </c>
      <c r="B341" t="s">
        <v>573</v>
      </c>
      <c r="C341" t="s">
        <v>31</v>
      </c>
      <c r="D341" t="s">
        <v>132</v>
      </c>
      <c r="E341" t="s">
        <v>87</v>
      </c>
      <c r="F341">
        <v>18</v>
      </c>
      <c r="G341">
        <v>1047.8900000000001</v>
      </c>
      <c r="H341">
        <v>0.11</v>
      </c>
      <c r="I341" s="4">
        <v>16787.2</v>
      </c>
      <c r="J341" t="s">
        <v>34</v>
      </c>
      <c r="K341" t="s">
        <v>22</v>
      </c>
      <c r="L341" s="4">
        <f>VLOOKUP(tblTransactions[[#This Row],[Product_ID]],tblProducts[],5,FALSE)</f>
        <v>742.63</v>
      </c>
      <c r="M341" s="4">
        <f>tblTransactions[[#This Row],[Total_Amount]]-(tblTransactions[[#This Row],[Cost_Prices]]*tblTransactions[[#This Row],[Quantity]]*(1-tblTransactions[[#This Row],[Discount]]))</f>
        <v>4890.2674000000006</v>
      </c>
      <c r="N341" s="3">
        <f>tblTransactions[[#This Row],[Profit]]/tblTransactions[[#This Row],[Total_Amount]]</f>
        <v>0.29130929517727794</v>
      </c>
      <c r="O341" t="str">
        <f>TEXT(tblTransactions[[#This Row],[Date]], "MMM-YYYY")</f>
        <v>Mar-2023</v>
      </c>
      <c r="P341" t="str">
        <f>"Q"&amp;ROUNDUP(MONTH(tblTransactions[[#This Row],[Date]])/3,0)&amp;"-"&amp;YEAR(tblTransactions[[#This Row],[Date]])</f>
        <v>Q1-2023</v>
      </c>
      <c r="Q341">
        <f>YEAR(tblTransactions[[#This Row],[Date]])</f>
        <v>2023</v>
      </c>
      <c r="R341" t="str">
        <f>TEXT(tblTransactions[[#This Row],[Date]],"DDDD")</f>
        <v>Monday</v>
      </c>
      <c r="S341">
        <f>MONTH(tblTransactions[[#This Row],[Date]])</f>
        <v>3</v>
      </c>
      <c r="T341" t="str">
        <f>VLOOKUP(E341, Products!$A:$B,2,0)</f>
        <v>Monitors Tec-2</v>
      </c>
      <c r="U341" t="str">
        <f>VLOOKUP(E341,Products!$A:$C,3,0)</f>
        <v>Technology</v>
      </c>
      <c r="V341" t="str">
        <f>VLOOKUP(E341,Products!$A:$D,4,0)</f>
        <v>Monitors</v>
      </c>
      <c r="W341" t="str">
        <f>VLOOKUP(D341,Customers!$A:$C,3,0)</f>
        <v>B2B</v>
      </c>
      <c r="X341" t="str">
        <f>VLOOKUP(C341,Sales_Representatives!$A:$B,2,0)</f>
        <v>Thomas Martinez</v>
      </c>
    </row>
    <row r="342" spans="1:24" x14ac:dyDescent="0.3">
      <c r="A342" t="s">
        <v>575</v>
      </c>
      <c r="B342" t="s">
        <v>573</v>
      </c>
      <c r="C342" t="s">
        <v>56</v>
      </c>
      <c r="D342" t="s">
        <v>37</v>
      </c>
      <c r="E342" t="s">
        <v>102</v>
      </c>
      <c r="F342">
        <v>36</v>
      </c>
      <c r="G342">
        <v>1097.75</v>
      </c>
      <c r="H342">
        <v>0.18</v>
      </c>
      <c r="I342" s="4">
        <v>32405.58</v>
      </c>
      <c r="J342" t="s">
        <v>34</v>
      </c>
      <c r="K342" t="s">
        <v>48</v>
      </c>
      <c r="L342" s="4">
        <f>VLOOKUP(tblTransactions[[#This Row],[Product_ID]],tblProducts[],5,FALSE)</f>
        <v>680.12</v>
      </c>
      <c r="M342" s="4">
        <f>tblTransactions[[#This Row],[Total_Amount]]-(tblTransactions[[#This Row],[Cost_Prices]]*tblTransactions[[#This Row],[Quantity]]*(1-tblTransactions[[#This Row],[Discount]]))</f>
        <v>12328.437600000001</v>
      </c>
      <c r="N342" s="3">
        <f>tblTransactions[[#This Row],[Profit]]/tblTransactions[[#This Row],[Total_Amount]]</f>
        <v>0.38044181279890688</v>
      </c>
      <c r="O342" t="str">
        <f>TEXT(tblTransactions[[#This Row],[Date]], "MMM-YYYY")</f>
        <v>Mar-2023</v>
      </c>
      <c r="P342" t="str">
        <f>"Q"&amp;ROUNDUP(MONTH(tblTransactions[[#This Row],[Date]])/3,0)&amp;"-"&amp;YEAR(tblTransactions[[#This Row],[Date]])</f>
        <v>Q1-2023</v>
      </c>
      <c r="Q342">
        <f>YEAR(tblTransactions[[#This Row],[Date]])</f>
        <v>2023</v>
      </c>
      <c r="R342" t="str">
        <f>TEXT(tblTransactions[[#This Row],[Date]],"DDDD")</f>
        <v>Monday</v>
      </c>
      <c r="S342">
        <f>MONTH(tblTransactions[[#This Row],[Date]])</f>
        <v>3</v>
      </c>
      <c r="T342" t="str">
        <f>VLOOKUP(E342, Products!$A:$B,2,0)</f>
        <v>Storage Fur-4</v>
      </c>
      <c r="U342" t="str">
        <f>VLOOKUP(E342,Products!$A:$C,3,0)</f>
        <v>Furniture</v>
      </c>
      <c r="V342" t="str">
        <f>VLOOKUP(E342,Products!$A:$D,4,0)</f>
        <v>Storage</v>
      </c>
      <c r="W342" t="str">
        <f>VLOOKUP(D342,Customers!$A:$C,3,0)</f>
        <v>Enterprise</v>
      </c>
      <c r="X342" t="str">
        <f>VLOOKUP(C342,Sales_Representatives!$A:$B,2,0)</f>
        <v>Thomas Hernandez</v>
      </c>
    </row>
    <row r="343" spans="1:24" x14ac:dyDescent="0.3">
      <c r="A343" t="s">
        <v>576</v>
      </c>
      <c r="B343" t="s">
        <v>573</v>
      </c>
      <c r="C343" t="s">
        <v>107</v>
      </c>
      <c r="D343" t="s">
        <v>71</v>
      </c>
      <c r="E343" t="s">
        <v>339</v>
      </c>
      <c r="F343">
        <v>10</v>
      </c>
      <c r="G343">
        <v>1100.8800000000001</v>
      </c>
      <c r="H343">
        <v>0.09</v>
      </c>
      <c r="I343" s="4">
        <v>10018.01</v>
      </c>
      <c r="J343" t="s">
        <v>109</v>
      </c>
      <c r="K343" t="s">
        <v>39</v>
      </c>
      <c r="L343" s="4">
        <f>VLOOKUP(tblTransactions[[#This Row],[Product_ID]],tblProducts[],5,FALSE)</f>
        <v>761.53</v>
      </c>
      <c r="M343" s="4">
        <f>tblTransactions[[#This Row],[Total_Amount]]-(tblTransactions[[#This Row],[Cost_Prices]]*tblTransactions[[#This Row],[Quantity]]*(1-tblTransactions[[#This Row],[Discount]]))</f>
        <v>3088.0870000000004</v>
      </c>
      <c r="N343" s="3">
        <f>tblTransactions[[#This Row],[Profit]]/tblTransactions[[#This Row],[Total_Amount]]</f>
        <v>0.30825353538277567</v>
      </c>
      <c r="O343" t="str">
        <f>TEXT(tblTransactions[[#This Row],[Date]], "MMM-YYYY")</f>
        <v>Mar-2023</v>
      </c>
      <c r="P343" t="str">
        <f>"Q"&amp;ROUNDUP(MONTH(tblTransactions[[#This Row],[Date]])/3,0)&amp;"-"&amp;YEAR(tblTransactions[[#This Row],[Date]])</f>
        <v>Q1-2023</v>
      </c>
      <c r="Q343">
        <f>YEAR(tblTransactions[[#This Row],[Date]])</f>
        <v>2023</v>
      </c>
      <c r="R343" t="str">
        <f>TEXT(tblTransactions[[#This Row],[Date]],"DDDD")</f>
        <v>Monday</v>
      </c>
      <c r="S343">
        <f>MONTH(tblTransactions[[#This Row],[Date]])</f>
        <v>3</v>
      </c>
      <c r="T343" t="str">
        <f>VLOOKUP(E343, Products!$A:$B,2,0)</f>
        <v>Phones Ele-2</v>
      </c>
      <c r="U343" t="str">
        <f>VLOOKUP(E343,Products!$A:$C,3,0)</f>
        <v>Electronics</v>
      </c>
      <c r="V343" t="str">
        <f>VLOOKUP(E343,Products!$A:$D,4,0)</f>
        <v>Phones</v>
      </c>
      <c r="W343" t="str">
        <f>VLOOKUP(D343,Customers!$A:$C,3,0)</f>
        <v>B2B</v>
      </c>
      <c r="X343" t="str">
        <f>VLOOKUP(C343,Sales_Representatives!$A:$B,2,0)</f>
        <v>Jennifer Brown</v>
      </c>
    </row>
    <row r="344" spans="1:24" x14ac:dyDescent="0.3">
      <c r="A344" t="s">
        <v>577</v>
      </c>
      <c r="B344" t="s">
        <v>573</v>
      </c>
      <c r="C344" t="s">
        <v>41</v>
      </c>
      <c r="D344" t="s">
        <v>112</v>
      </c>
      <c r="E344" t="s">
        <v>324</v>
      </c>
      <c r="F344">
        <v>48</v>
      </c>
      <c r="G344">
        <v>245.76</v>
      </c>
      <c r="H344">
        <v>0.25</v>
      </c>
      <c r="I344" s="4">
        <v>8847.36</v>
      </c>
      <c r="J344" t="s">
        <v>44</v>
      </c>
      <c r="K344" t="s">
        <v>39</v>
      </c>
      <c r="L344" s="4">
        <f>VLOOKUP(tblTransactions[[#This Row],[Product_ID]],tblProducts[],5,FALSE)</f>
        <v>161.94</v>
      </c>
      <c r="M344" s="4">
        <f>tblTransactions[[#This Row],[Total_Amount]]-(tblTransactions[[#This Row],[Cost_Prices]]*tblTransactions[[#This Row],[Quantity]]*(1-tblTransactions[[#This Row],[Discount]]))</f>
        <v>3017.5200000000004</v>
      </c>
      <c r="N344" s="3">
        <f>tblTransactions[[#This Row],[Profit]]/tblTransactions[[#This Row],[Total_Amount]]</f>
        <v>0.341064453125</v>
      </c>
      <c r="O344" t="str">
        <f>TEXT(tblTransactions[[#This Row],[Date]], "MMM-YYYY")</f>
        <v>Mar-2023</v>
      </c>
      <c r="P344" t="str">
        <f>"Q"&amp;ROUNDUP(MONTH(tblTransactions[[#This Row],[Date]])/3,0)&amp;"-"&amp;YEAR(tblTransactions[[#This Row],[Date]])</f>
        <v>Q1-2023</v>
      </c>
      <c r="Q344">
        <f>YEAR(tblTransactions[[#This Row],[Date]])</f>
        <v>2023</v>
      </c>
      <c r="R344" t="str">
        <f>TEXT(tblTransactions[[#This Row],[Date]],"DDDD")</f>
        <v>Monday</v>
      </c>
      <c r="S344">
        <f>MONTH(tblTransactions[[#This Row],[Date]])</f>
        <v>3</v>
      </c>
      <c r="T344" t="str">
        <f>VLOOKUP(E344, Products!$A:$B,2,0)</f>
        <v>Storage Fur-1</v>
      </c>
      <c r="U344" t="str">
        <f>VLOOKUP(E344,Products!$A:$C,3,0)</f>
        <v>Furniture</v>
      </c>
      <c r="V344" t="str">
        <f>VLOOKUP(E344,Products!$A:$D,4,0)</f>
        <v>Storage</v>
      </c>
      <c r="W344" t="str">
        <f>VLOOKUP(D344,Customers!$A:$C,3,0)</f>
        <v>Enterprise</v>
      </c>
      <c r="X344" t="str">
        <f>VLOOKUP(C344,Sales_Representatives!$A:$B,2,0)</f>
        <v>Robert Jones</v>
      </c>
    </row>
    <row r="345" spans="1:24" x14ac:dyDescent="0.3">
      <c r="A345" t="s">
        <v>578</v>
      </c>
      <c r="B345" t="s">
        <v>573</v>
      </c>
      <c r="C345" t="s">
        <v>131</v>
      </c>
      <c r="D345" t="s">
        <v>247</v>
      </c>
      <c r="E345" t="s">
        <v>148</v>
      </c>
      <c r="F345">
        <v>2</v>
      </c>
      <c r="G345">
        <v>20.420000000000002</v>
      </c>
      <c r="H345">
        <v>0.04</v>
      </c>
      <c r="I345" s="4">
        <v>39.21</v>
      </c>
      <c r="J345" t="s">
        <v>44</v>
      </c>
      <c r="K345" t="s">
        <v>35</v>
      </c>
      <c r="L345" s="4">
        <f>VLOOKUP(tblTransactions[[#This Row],[Product_ID]],tblProducts[],5,FALSE)</f>
        <v>9.56</v>
      </c>
      <c r="M345" s="4">
        <f>tblTransactions[[#This Row],[Total_Amount]]-(tblTransactions[[#This Row],[Cost_Prices]]*tblTransactions[[#This Row],[Quantity]]*(1-tblTransactions[[#This Row],[Discount]]))</f>
        <v>20.854800000000001</v>
      </c>
      <c r="N345" s="3">
        <f>tblTransactions[[#This Row],[Profit]]/tblTransactions[[#This Row],[Total_Amount]]</f>
        <v>0.53187452180566186</v>
      </c>
      <c r="O345" t="str">
        <f>TEXT(tblTransactions[[#This Row],[Date]], "MMM-YYYY")</f>
        <v>Mar-2023</v>
      </c>
      <c r="P345" t="str">
        <f>"Q"&amp;ROUNDUP(MONTH(tblTransactions[[#This Row],[Date]])/3,0)&amp;"-"&amp;YEAR(tblTransactions[[#This Row],[Date]])</f>
        <v>Q1-2023</v>
      </c>
      <c r="Q345">
        <f>YEAR(tblTransactions[[#This Row],[Date]])</f>
        <v>2023</v>
      </c>
      <c r="R345" t="str">
        <f>TEXT(tblTransactions[[#This Row],[Date]],"DDDD")</f>
        <v>Monday</v>
      </c>
      <c r="S345">
        <f>MONTH(tblTransactions[[#This Row],[Date]])</f>
        <v>3</v>
      </c>
      <c r="T345" t="str">
        <f>VLOOKUP(E345, Products!$A:$B,2,0)</f>
        <v>Cases Acc-3</v>
      </c>
      <c r="U345" t="str">
        <f>VLOOKUP(E345,Products!$A:$C,3,0)</f>
        <v>Accessories</v>
      </c>
      <c r="V345" t="str">
        <f>VLOOKUP(E345,Products!$A:$D,4,0)</f>
        <v>Cases</v>
      </c>
      <c r="W345" t="str">
        <f>VLOOKUP(D345,Customers!$A:$C,3,0)</f>
        <v>B2C</v>
      </c>
      <c r="X345" t="str">
        <f>VLOOKUP(C345,Sales_Representatives!$A:$B,2,0)</f>
        <v>Michael Davis</v>
      </c>
    </row>
    <row r="346" spans="1:24" x14ac:dyDescent="0.3">
      <c r="A346" t="s">
        <v>579</v>
      </c>
      <c r="B346" t="s">
        <v>580</v>
      </c>
      <c r="C346" t="s">
        <v>70</v>
      </c>
      <c r="D346" t="s">
        <v>83</v>
      </c>
      <c r="E346" t="s">
        <v>38</v>
      </c>
      <c r="F346">
        <v>1</v>
      </c>
      <c r="G346">
        <v>581.47</v>
      </c>
      <c r="H346">
        <v>0.09</v>
      </c>
      <c r="I346" s="4">
        <v>529.14</v>
      </c>
      <c r="J346" t="s">
        <v>16</v>
      </c>
      <c r="K346" t="s">
        <v>48</v>
      </c>
      <c r="L346" s="4">
        <f>VLOOKUP(tblTransactions[[#This Row],[Product_ID]],tblProducts[],5,FALSE)</f>
        <v>372.07</v>
      </c>
      <c r="M346" s="4">
        <f>tblTransactions[[#This Row],[Total_Amount]]-(tblTransactions[[#This Row],[Cost_Prices]]*tblTransactions[[#This Row],[Quantity]]*(1-tblTransactions[[#This Row],[Discount]]))</f>
        <v>190.55629999999996</v>
      </c>
      <c r="N346" s="3">
        <f>tblTransactions[[#This Row],[Profit]]/tblTransactions[[#This Row],[Total_Amount]]</f>
        <v>0.36012454170918845</v>
      </c>
      <c r="O346" t="str">
        <f>TEXT(tblTransactions[[#This Row],[Date]], "MMM-YYYY")</f>
        <v>Mar-2023</v>
      </c>
      <c r="P346" t="str">
        <f>"Q"&amp;ROUNDUP(MONTH(tblTransactions[[#This Row],[Date]])/3,0)&amp;"-"&amp;YEAR(tblTransactions[[#This Row],[Date]])</f>
        <v>Q1-2023</v>
      </c>
      <c r="Q346">
        <f>YEAR(tblTransactions[[#This Row],[Date]])</f>
        <v>2023</v>
      </c>
      <c r="R346" t="str">
        <f>TEXT(tblTransactions[[#This Row],[Date]],"DDDD")</f>
        <v>Tuesday</v>
      </c>
      <c r="S346">
        <f>MONTH(tblTransactions[[#This Row],[Date]])</f>
        <v>3</v>
      </c>
      <c r="T346" t="str">
        <f>VLOOKUP(E346, Products!$A:$B,2,0)</f>
        <v>Storage Fur-3</v>
      </c>
      <c r="U346" t="str">
        <f>VLOOKUP(E346,Products!$A:$C,3,0)</f>
        <v>Furniture</v>
      </c>
      <c r="V346" t="str">
        <f>VLOOKUP(E346,Products!$A:$D,4,0)</f>
        <v>Storage</v>
      </c>
      <c r="W346" t="str">
        <f>VLOOKUP(D346,Customers!$A:$C,3,0)</f>
        <v>Small Business</v>
      </c>
      <c r="X346" t="str">
        <f>VLOOKUP(C346,Sales_Representatives!$A:$B,2,0)</f>
        <v>Linda Smith</v>
      </c>
    </row>
    <row r="347" spans="1:24" x14ac:dyDescent="0.3">
      <c r="A347" t="s">
        <v>581</v>
      </c>
      <c r="B347" t="s">
        <v>582</v>
      </c>
      <c r="C347" t="s">
        <v>70</v>
      </c>
      <c r="D347" t="s">
        <v>71</v>
      </c>
      <c r="E347" t="s">
        <v>264</v>
      </c>
      <c r="F347">
        <v>2</v>
      </c>
      <c r="G347">
        <v>607.29999999999995</v>
      </c>
      <c r="H347">
        <v>0.05</v>
      </c>
      <c r="I347" s="4">
        <v>1153.8699999999999</v>
      </c>
      <c r="J347" t="s">
        <v>16</v>
      </c>
      <c r="K347" t="s">
        <v>22</v>
      </c>
      <c r="L347" s="4">
        <f>VLOOKUP(tblTransactions[[#This Row],[Product_ID]],tblProducts[],5,FALSE)</f>
        <v>436.37</v>
      </c>
      <c r="M347" s="4">
        <f>tblTransactions[[#This Row],[Total_Amount]]-(tblTransactions[[#This Row],[Cost_Prices]]*tblTransactions[[#This Row],[Quantity]]*(1-tblTransactions[[#This Row],[Discount]]))</f>
        <v>324.76699999999994</v>
      </c>
      <c r="N347" s="3">
        <f>tblTransactions[[#This Row],[Profit]]/tblTransactions[[#This Row],[Total_Amount]]</f>
        <v>0.2814589165157253</v>
      </c>
      <c r="O347" t="str">
        <f>TEXT(tblTransactions[[#This Row],[Date]], "MMM-YYYY")</f>
        <v>Mar-2023</v>
      </c>
      <c r="P347" t="str">
        <f>"Q"&amp;ROUNDUP(MONTH(tblTransactions[[#This Row],[Date]])/3,0)&amp;"-"&amp;YEAR(tblTransactions[[#This Row],[Date]])</f>
        <v>Q1-2023</v>
      </c>
      <c r="Q347">
        <f>YEAR(tblTransactions[[#This Row],[Date]])</f>
        <v>2023</v>
      </c>
      <c r="R347" t="str">
        <f>TEXT(tblTransactions[[#This Row],[Date]],"DDDD")</f>
        <v>Wednesday</v>
      </c>
      <c r="S347">
        <f>MONTH(tblTransactions[[#This Row],[Date]])</f>
        <v>3</v>
      </c>
      <c r="T347" t="str">
        <f>VLOOKUP(E347, Products!$A:$B,2,0)</f>
        <v>Tablets Ele-4</v>
      </c>
      <c r="U347" t="str">
        <f>VLOOKUP(E347,Products!$A:$C,3,0)</f>
        <v>Electronics</v>
      </c>
      <c r="V347" t="str">
        <f>VLOOKUP(E347,Products!$A:$D,4,0)</f>
        <v>Tablets</v>
      </c>
      <c r="W347" t="str">
        <f>VLOOKUP(D347,Customers!$A:$C,3,0)</f>
        <v>B2B</v>
      </c>
      <c r="X347" t="str">
        <f>VLOOKUP(C347,Sales_Representatives!$A:$B,2,0)</f>
        <v>Linda Smith</v>
      </c>
    </row>
    <row r="348" spans="1:24" x14ac:dyDescent="0.3">
      <c r="A348" t="s">
        <v>583</v>
      </c>
      <c r="B348" t="s">
        <v>582</v>
      </c>
      <c r="C348" t="s">
        <v>127</v>
      </c>
      <c r="D348" t="s">
        <v>14</v>
      </c>
      <c r="E348" t="s">
        <v>102</v>
      </c>
      <c r="F348">
        <v>4</v>
      </c>
      <c r="G348">
        <v>1097.75</v>
      </c>
      <c r="H348">
        <v>0.01</v>
      </c>
      <c r="I348" s="4">
        <v>4347.09</v>
      </c>
      <c r="J348" t="s">
        <v>109</v>
      </c>
      <c r="K348" t="s">
        <v>48</v>
      </c>
      <c r="L348" s="4">
        <f>VLOOKUP(tblTransactions[[#This Row],[Product_ID]],tblProducts[],5,FALSE)</f>
        <v>680.12</v>
      </c>
      <c r="M348" s="4">
        <f>tblTransactions[[#This Row],[Total_Amount]]-(tblTransactions[[#This Row],[Cost_Prices]]*tblTransactions[[#This Row],[Quantity]]*(1-tblTransactions[[#This Row],[Discount]]))</f>
        <v>1653.8148000000001</v>
      </c>
      <c r="N348" s="3">
        <f>tblTransactions[[#This Row],[Profit]]/tblTransactions[[#This Row],[Total_Amount]]</f>
        <v>0.38044181279890688</v>
      </c>
      <c r="O348" t="str">
        <f>TEXT(tblTransactions[[#This Row],[Date]], "MMM-YYYY")</f>
        <v>Mar-2023</v>
      </c>
      <c r="P348" t="str">
        <f>"Q"&amp;ROUNDUP(MONTH(tblTransactions[[#This Row],[Date]])/3,0)&amp;"-"&amp;YEAR(tblTransactions[[#This Row],[Date]])</f>
        <v>Q1-2023</v>
      </c>
      <c r="Q348">
        <f>YEAR(tblTransactions[[#This Row],[Date]])</f>
        <v>2023</v>
      </c>
      <c r="R348" t="str">
        <f>TEXT(tblTransactions[[#This Row],[Date]],"DDDD")</f>
        <v>Wednesday</v>
      </c>
      <c r="S348">
        <f>MONTH(tblTransactions[[#This Row],[Date]])</f>
        <v>3</v>
      </c>
      <c r="T348" t="str">
        <f>VLOOKUP(E348, Products!$A:$B,2,0)</f>
        <v>Storage Fur-4</v>
      </c>
      <c r="U348" t="str">
        <f>VLOOKUP(E348,Products!$A:$C,3,0)</f>
        <v>Furniture</v>
      </c>
      <c r="V348" t="str">
        <f>VLOOKUP(E348,Products!$A:$D,4,0)</f>
        <v>Storage</v>
      </c>
      <c r="W348" t="str">
        <f>VLOOKUP(D348,Customers!$A:$C,3,0)</f>
        <v>B2B</v>
      </c>
      <c r="X348" t="str">
        <f>VLOOKUP(C348,Sales_Representatives!$A:$B,2,0)</f>
        <v>Emily Hernandez</v>
      </c>
    </row>
    <row r="349" spans="1:24" x14ac:dyDescent="0.3">
      <c r="A349" t="s">
        <v>584</v>
      </c>
      <c r="B349" t="s">
        <v>582</v>
      </c>
      <c r="C349" t="s">
        <v>41</v>
      </c>
      <c r="D349" t="s">
        <v>134</v>
      </c>
      <c r="E349" t="s">
        <v>79</v>
      </c>
      <c r="F349">
        <v>7</v>
      </c>
      <c r="G349">
        <v>1452.36</v>
      </c>
      <c r="H349">
        <v>0.13</v>
      </c>
      <c r="I349" s="4">
        <v>8844.8700000000008</v>
      </c>
      <c r="J349" t="s">
        <v>44</v>
      </c>
      <c r="K349" t="s">
        <v>35</v>
      </c>
      <c r="L349" s="4">
        <f>VLOOKUP(tblTransactions[[#This Row],[Product_ID]],tblProducts[],5,FALSE)</f>
        <v>778.71</v>
      </c>
      <c r="M349" s="4">
        <f>tblTransactions[[#This Row],[Total_Amount]]-(tblTransactions[[#This Row],[Cost_Prices]]*tblTransactions[[#This Row],[Quantity]]*(1-tblTransactions[[#This Row],[Discount]]))</f>
        <v>4102.526100000001</v>
      </c>
      <c r="N349" s="3">
        <f>tblTransactions[[#This Row],[Profit]]/tblTransactions[[#This Row],[Total_Amount]]</f>
        <v>0.46383113601443554</v>
      </c>
      <c r="O349" t="str">
        <f>TEXT(tblTransactions[[#This Row],[Date]], "MMM-YYYY")</f>
        <v>Mar-2023</v>
      </c>
      <c r="P349" t="str">
        <f>"Q"&amp;ROUNDUP(MONTH(tblTransactions[[#This Row],[Date]])/3,0)&amp;"-"&amp;YEAR(tblTransactions[[#This Row],[Date]])</f>
        <v>Q1-2023</v>
      </c>
      <c r="Q349">
        <f>YEAR(tblTransactions[[#This Row],[Date]])</f>
        <v>2023</v>
      </c>
      <c r="R349" t="str">
        <f>TEXT(tblTransactions[[#This Row],[Date]],"DDDD")</f>
        <v>Wednesday</v>
      </c>
      <c r="S349">
        <f>MONTH(tblTransactions[[#This Row],[Date]])</f>
        <v>3</v>
      </c>
      <c r="T349" t="str">
        <f>VLOOKUP(E349, Products!$A:$B,2,0)</f>
        <v>Tables Fur-2</v>
      </c>
      <c r="U349" t="str">
        <f>VLOOKUP(E349,Products!$A:$C,3,0)</f>
        <v>Furniture</v>
      </c>
      <c r="V349" t="str">
        <f>VLOOKUP(E349,Products!$A:$D,4,0)</f>
        <v>Tables</v>
      </c>
      <c r="W349" t="str">
        <f>VLOOKUP(D349,Customers!$A:$C,3,0)</f>
        <v>B2B</v>
      </c>
      <c r="X349" t="str">
        <f>VLOOKUP(C349,Sales_Representatives!$A:$B,2,0)</f>
        <v>Robert Jones</v>
      </c>
    </row>
    <row r="350" spans="1:24" x14ac:dyDescent="0.3">
      <c r="A350" t="s">
        <v>585</v>
      </c>
      <c r="B350" t="s">
        <v>586</v>
      </c>
      <c r="C350" t="s">
        <v>75</v>
      </c>
      <c r="D350" t="s">
        <v>166</v>
      </c>
      <c r="E350" t="s">
        <v>587</v>
      </c>
      <c r="F350">
        <v>3</v>
      </c>
      <c r="G350">
        <v>58.54</v>
      </c>
      <c r="H350">
        <v>0.09</v>
      </c>
      <c r="I350" s="4">
        <v>159.81</v>
      </c>
      <c r="J350" t="s">
        <v>44</v>
      </c>
      <c r="K350" t="s">
        <v>17</v>
      </c>
      <c r="L350" s="4">
        <f>VLOOKUP(tblTransactions[[#This Row],[Product_ID]],tblProducts[],5,FALSE)</f>
        <v>25.43</v>
      </c>
      <c r="M350" s="4">
        <f>tblTransactions[[#This Row],[Total_Amount]]-(tblTransactions[[#This Row],[Cost_Prices]]*tblTransactions[[#This Row],[Quantity]]*(1-tblTransactions[[#This Row],[Discount]]))</f>
        <v>90.386100000000013</v>
      </c>
      <c r="N350" s="3">
        <f>tblTransactions[[#This Row],[Profit]]/tblTransactions[[#This Row],[Total_Amount]]</f>
        <v>0.56558475689881738</v>
      </c>
      <c r="O350" t="str">
        <f>TEXT(tblTransactions[[#This Row],[Date]], "MMM-YYYY")</f>
        <v>Mar-2023</v>
      </c>
      <c r="P350" t="str">
        <f>"Q"&amp;ROUNDUP(MONTH(tblTransactions[[#This Row],[Date]])/3,0)&amp;"-"&amp;YEAR(tblTransactions[[#This Row],[Date]])</f>
        <v>Q1-2023</v>
      </c>
      <c r="Q350">
        <f>YEAR(tblTransactions[[#This Row],[Date]])</f>
        <v>2023</v>
      </c>
      <c r="R350" t="str">
        <f>TEXT(tblTransactions[[#This Row],[Date]],"DDDD")</f>
        <v>Thursday</v>
      </c>
      <c r="S350">
        <f>MONTH(tblTransactions[[#This Row],[Date]])</f>
        <v>3</v>
      </c>
      <c r="T350" t="str">
        <f>VLOOKUP(E350, Products!$A:$B,2,0)</f>
        <v>Paper Off-2</v>
      </c>
      <c r="U350" t="str">
        <f>VLOOKUP(E350,Products!$A:$C,3,0)</f>
        <v>Office Supplies</v>
      </c>
      <c r="V350" t="str">
        <f>VLOOKUP(E350,Products!$A:$D,4,0)</f>
        <v>Paper</v>
      </c>
      <c r="W350" t="str">
        <f>VLOOKUP(D350,Customers!$A:$C,3,0)</f>
        <v>B2C</v>
      </c>
      <c r="X350" t="str">
        <f>VLOOKUP(C350,Sales_Representatives!$A:$B,2,0)</f>
        <v>Jessica Anderson</v>
      </c>
    </row>
    <row r="351" spans="1:24" x14ac:dyDescent="0.3">
      <c r="A351" t="s">
        <v>588</v>
      </c>
      <c r="B351" t="s">
        <v>586</v>
      </c>
      <c r="C351" t="s">
        <v>107</v>
      </c>
      <c r="D351" t="s">
        <v>37</v>
      </c>
      <c r="E351" t="s">
        <v>224</v>
      </c>
      <c r="F351">
        <v>28</v>
      </c>
      <c r="G351">
        <v>505.37</v>
      </c>
      <c r="H351">
        <v>0.17</v>
      </c>
      <c r="I351" s="4">
        <v>11744.8</v>
      </c>
      <c r="J351" t="s">
        <v>109</v>
      </c>
      <c r="K351" t="s">
        <v>48</v>
      </c>
      <c r="L351" s="4">
        <f>VLOOKUP(tblTransactions[[#This Row],[Product_ID]],tblProducts[],5,FALSE)</f>
        <v>281.14999999999998</v>
      </c>
      <c r="M351" s="4">
        <f>tblTransactions[[#This Row],[Total_Amount]]-(tblTransactions[[#This Row],[Cost_Prices]]*tblTransactions[[#This Row],[Quantity]]*(1-tblTransactions[[#This Row],[Discount]]))</f>
        <v>5210.8740000000007</v>
      </c>
      <c r="N351" s="3">
        <f>tblTransactions[[#This Row],[Profit]]/tblTransactions[[#This Row],[Total_Amount]]</f>
        <v>0.44367498807983113</v>
      </c>
      <c r="O351" t="str">
        <f>TEXT(tblTransactions[[#This Row],[Date]], "MMM-YYYY")</f>
        <v>Mar-2023</v>
      </c>
      <c r="P351" t="str">
        <f>"Q"&amp;ROUNDUP(MONTH(tblTransactions[[#This Row],[Date]])/3,0)&amp;"-"&amp;YEAR(tblTransactions[[#This Row],[Date]])</f>
        <v>Q1-2023</v>
      </c>
      <c r="Q351">
        <f>YEAR(tblTransactions[[#This Row],[Date]])</f>
        <v>2023</v>
      </c>
      <c r="R351" t="str">
        <f>TEXT(tblTransactions[[#This Row],[Date]],"DDDD")</f>
        <v>Thursday</v>
      </c>
      <c r="S351">
        <f>MONTH(tblTransactions[[#This Row],[Date]])</f>
        <v>3</v>
      </c>
      <c r="T351" t="str">
        <f>VLOOKUP(E351, Products!$A:$B,2,0)</f>
        <v>Desks Fur-3</v>
      </c>
      <c r="U351" t="str">
        <f>VLOOKUP(E351,Products!$A:$C,3,0)</f>
        <v>Furniture</v>
      </c>
      <c r="V351" t="str">
        <f>VLOOKUP(E351,Products!$A:$D,4,0)</f>
        <v>Desks</v>
      </c>
      <c r="W351" t="str">
        <f>VLOOKUP(D351,Customers!$A:$C,3,0)</f>
        <v>Enterprise</v>
      </c>
      <c r="X351" t="str">
        <f>VLOOKUP(C351,Sales_Representatives!$A:$B,2,0)</f>
        <v>Jennifer Brown</v>
      </c>
    </row>
    <row r="352" spans="1:24" x14ac:dyDescent="0.3">
      <c r="A352" t="s">
        <v>589</v>
      </c>
      <c r="B352" t="s">
        <v>586</v>
      </c>
      <c r="C352" t="s">
        <v>56</v>
      </c>
      <c r="D352" t="s">
        <v>156</v>
      </c>
      <c r="E352" t="s">
        <v>105</v>
      </c>
      <c r="F352">
        <v>4</v>
      </c>
      <c r="G352">
        <v>1342.04</v>
      </c>
      <c r="H352">
        <v>0.06</v>
      </c>
      <c r="I352" s="4">
        <v>5046.07</v>
      </c>
      <c r="J352" t="s">
        <v>34</v>
      </c>
      <c r="K352" t="s">
        <v>39</v>
      </c>
      <c r="L352" s="4">
        <f>VLOOKUP(tblTransactions[[#This Row],[Product_ID]],tblProducts[],5,FALSE)</f>
        <v>792.89</v>
      </c>
      <c r="M352" s="4">
        <f>tblTransactions[[#This Row],[Total_Amount]]-(tblTransactions[[#This Row],[Cost_Prices]]*tblTransactions[[#This Row],[Quantity]]*(1-tblTransactions[[#This Row],[Discount]]))</f>
        <v>2064.8035999999997</v>
      </c>
      <c r="N352" s="3">
        <f>tblTransactions[[#This Row],[Profit]]/tblTransactions[[#This Row],[Total_Amount]]</f>
        <v>0.40919043929236015</v>
      </c>
      <c r="O352" t="str">
        <f>TEXT(tblTransactions[[#This Row],[Date]], "MMM-YYYY")</f>
        <v>Mar-2023</v>
      </c>
      <c r="P352" t="str">
        <f>"Q"&amp;ROUNDUP(MONTH(tblTransactions[[#This Row],[Date]])/3,0)&amp;"-"&amp;YEAR(tblTransactions[[#This Row],[Date]])</f>
        <v>Q1-2023</v>
      </c>
      <c r="Q352">
        <f>YEAR(tblTransactions[[#This Row],[Date]])</f>
        <v>2023</v>
      </c>
      <c r="R352" t="str">
        <f>TEXT(tblTransactions[[#This Row],[Date]],"DDDD")</f>
        <v>Thursday</v>
      </c>
      <c r="S352">
        <f>MONTH(tblTransactions[[#This Row],[Date]])</f>
        <v>3</v>
      </c>
      <c r="T352" t="str">
        <f>VLOOKUP(E352, Products!$A:$B,2,0)</f>
        <v>Cameras Ele-1</v>
      </c>
      <c r="U352" t="str">
        <f>VLOOKUP(E352,Products!$A:$C,3,0)</f>
        <v>Electronics</v>
      </c>
      <c r="V352" t="str">
        <f>VLOOKUP(E352,Products!$A:$D,4,0)</f>
        <v>Cameras</v>
      </c>
      <c r="W352" t="str">
        <f>VLOOKUP(D352,Customers!$A:$C,3,0)</f>
        <v>B2B</v>
      </c>
      <c r="X352" t="str">
        <f>VLOOKUP(C352,Sales_Representatives!$A:$B,2,0)</f>
        <v>Thomas Hernandez</v>
      </c>
    </row>
    <row r="353" spans="1:24" x14ac:dyDescent="0.3">
      <c r="A353" t="s">
        <v>590</v>
      </c>
      <c r="B353" t="s">
        <v>586</v>
      </c>
      <c r="C353" t="s">
        <v>82</v>
      </c>
      <c r="D353" t="s">
        <v>28</v>
      </c>
      <c r="E353" t="s">
        <v>96</v>
      </c>
      <c r="F353">
        <v>11</v>
      </c>
      <c r="G353">
        <v>751.9</v>
      </c>
      <c r="H353">
        <v>0.19</v>
      </c>
      <c r="I353" s="4">
        <v>6699.43</v>
      </c>
      <c r="J353" t="s">
        <v>34</v>
      </c>
      <c r="K353" t="s">
        <v>48</v>
      </c>
      <c r="L353" s="4">
        <f>VLOOKUP(tblTransactions[[#This Row],[Product_ID]],tblProducts[],5,FALSE)</f>
        <v>570.29</v>
      </c>
      <c r="M353" s="4">
        <f>tblTransactions[[#This Row],[Total_Amount]]-(tblTransactions[[#This Row],[Cost_Prices]]*tblTransactions[[#This Row],[Quantity]]*(1-tblTransactions[[#This Row],[Discount]]))</f>
        <v>1618.1460999999999</v>
      </c>
      <c r="N353" s="3">
        <f>tblTransactions[[#This Row],[Profit]]/tblTransactions[[#This Row],[Total_Amount]]</f>
        <v>0.24153489177437482</v>
      </c>
      <c r="O353" t="str">
        <f>TEXT(tblTransactions[[#This Row],[Date]], "MMM-YYYY")</f>
        <v>Mar-2023</v>
      </c>
      <c r="P353" t="str">
        <f>"Q"&amp;ROUNDUP(MONTH(tblTransactions[[#This Row],[Date]])/3,0)&amp;"-"&amp;YEAR(tblTransactions[[#This Row],[Date]])</f>
        <v>Q1-2023</v>
      </c>
      <c r="Q353">
        <f>YEAR(tblTransactions[[#This Row],[Date]])</f>
        <v>2023</v>
      </c>
      <c r="R353" t="str">
        <f>TEXT(tblTransactions[[#This Row],[Date]],"DDDD")</f>
        <v>Thursday</v>
      </c>
      <c r="S353">
        <f>MONTH(tblTransactions[[#This Row],[Date]])</f>
        <v>3</v>
      </c>
      <c r="T353" t="str">
        <f>VLOOKUP(E353, Products!$A:$B,2,0)</f>
        <v>Routers Tec-1</v>
      </c>
      <c r="U353" t="str">
        <f>VLOOKUP(E353,Products!$A:$C,3,0)</f>
        <v>Technology</v>
      </c>
      <c r="V353" t="str">
        <f>VLOOKUP(E353,Products!$A:$D,4,0)</f>
        <v>Routers</v>
      </c>
      <c r="W353" t="str">
        <f>VLOOKUP(D353,Customers!$A:$C,3,0)</f>
        <v>B2B</v>
      </c>
      <c r="X353" t="str">
        <f>VLOOKUP(C353,Sales_Representatives!$A:$B,2,0)</f>
        <v>John Brown</v>
      </c>
    </row>
    <row r="354" spans="1:24" x14ac:dyDescent="0.3">
      <c r="A354" t="s">
        <v>591</v>
      </c>
      <c r="B354" t="s">
        <v>586</v>
      </c>
      <c r="C354" t="s">
        <v>131</v>
      </c>
      <c r="D354" t="s">
        <v>327</v>
      </c>
      <c r="E354" t="s">
        <v>204</v>
      </c>
      <c r="F354">
        <v>6</v>
      </c>
      <c r="G354">
        <v>715.62</v>
      </c>
      <c r="H354">
        <v>0.1</v>
      </c>
      <c r="I354" s="4">
        <v>3864.35</v>
      </c>
      <c r="J354" t="s">
        <v>44</v>
      </c>
      <c r="K354" t="s">
        <v>35</v>
      </c>
      <c r="L354" s="4">
        <f>VLOOKUP(tblTransactions[[#This Row],[Product_ID]],tblProducts[],5,FALSE)</f>
        <v>459.58</v>
      </c>
      <c r="M354" s="4">
        <f>tblTransactions[[#This Row],[Total_Amount]]-(tblTransactions[[#This Row],[Cost_Prices]]*tblTransactions[[#This Row],[Quantity]]*(1-tblTransactions[[#This Row],[Discount]]))</f>
        <v>1382.6179999999999</v>
      </c>
      <c r="N354" s="3">
        <f>tblTransactions[[#This Row],[Profit]]/tblTransactions[[#This Row],[Total_Amount]]</f>
        <v>0.35778798504276266</v>
      </c>
      <c r="O354" t="str">
        <f>TEXT(tblTransactions[[#This Row],[Date]], "MMM-YYYY")</f>
        <v>Mar-2023</v>
      </c>
      <c r="P354" t="str">
        <f>"Q"&amp;ROUNDUP(MONTH(tblTransactions[[#This Row],[Date]])/3,0)&amp;"-"&amp;YEAR(tblTransactions[[#This Row],[Date]])</f>
        <v>Q1-2023</v>
      </c>
      <c r="Q354">
        <f>YEAR(tblTransactions[[#This Row],[Date]])</f>
        <v>2023</v>
      </c>
      <c r="R354" t="str">
        <f>TEXT(tblTransactions[[#This Row],[Date]],"DDDD")</f>
        <v>Thursday</v>
      </c>
      <c r="S354">
        <f>MONTH(tblTransactions[[#This Row],[Date]])</f>
        <v>3</v>
      </c>
      <c r="T354" t="str">
        <f>VLOOKUP(E354, Products!$A:$B,2,0)</f>
        <v>Cameras Ele-2</v>
      </c>
      <c r="U354" t="str">
        <f>VLOOKUP(E354,Products!$A:$C,3,0)</f>
        <v>Electronics</v>
      </c>
      <c r="V354" t="str">
        <f>VLOOKUP(E354,Products!$A:$D,4,0)</f>
        <v>Cameras</v>
      </c>
      <c r="W354" t="str">
        <f>VLOOKUP(D354,Customers!$A:$C,3,0)</f>
        <v>B2C</v>
      </c>
      <c r="X354" t="str">
        <f>VLOOKUP(C354,Sales_Representatives!$A:$B,2,0)</f>
        <v>Michael Davis</v>
      </c>
    </row>
    <row r="355" spans="1:24" x14ac:dyDescent="0.3">
      <c r="A355" t="s">
        <v>592</v>
      </c>
      <c r="B355" t="s">
        <v>586</v>
      </c>
      <c r="C355" t="s">
        <v>107</v>
      </c>
      <c r="D355" t="s">
        <v>67</v>
      </c>
      <c r="E355" t="s">
        <v>370</v>
      </c>
      <c r="F355">
        <v>1</v>
      </c>
      <c r="G355">
        <v>238.95</v>
      </c>
      <c r="H355">
        <v>7.0000000000000007E-2</v>
      </c>
      <c r="I355" s="4">
        <v>222.22</v>
      </c>
      <c r="J355" t="s">
        <v>109</v>
      </c>
      <c r="K355" t="s">
        <v>22</v>
      </c>
      <c r="L355" s="4">
        <f>VLOOKUP(tblTransactions[[#This Row],[Product_ID]],tblProducts[],5,FALSE)</f>
        <v>136.6</v>
      </c>
      <c r="M355" s="4">
        <f>tblTransactions[[#This Row],[Total_Amount]]-(tblTransactions[[#This Row],[Cost_Prices]]*tblTransactions[[#This Row],[Quantity]]*(1-tblTransactions[[#This Row],[Discount]]))</f>
        <v>95.182000000000016</v>
      </c>
      <c r="N355" s="3">
        <f>tblTransactions[[#This Row],[Profit]]/tblTransactions[[#This Row],[Total_Amount]]</f>
        <v>0.42832328323283242</v>
      </c>
      <c r="O355" t="str">
        <f>TEXT(tblTransactions[[#This Row],[Date]], "MMM-YYYY")</f>
        <v>Mar-2023</v>
      </c>
      <c r="P355" t="str">
        <f>"Q"&amp;ROUNDUP(MONTH(tblTransactions[[#This Row],[Date]])/3,0)&amp;"-"&amp;YEAR(tblTransactions[[#This Row],[Date]])</f>
        <v>Q1-2023</v>
      </c>
      <c r="Q355">
        <f>YEAR(tblTransactions[[#This Row],[Date]])</f>
        <v>2023</v>
      </c>
      <c r="R355" t="str">
        <f>TEXT(tblTransactions[[#This Row],[Date]],"DDDD")</f>
        <v>Thursday</v>
      </c>
      <c r="S355">
        <f>MONTH(tblTransactions[[#This Row],[Date]])</f>
        <v>3</v>
      </c>
      <c r="T355" t="str">
        <f>VLOOKUP(E355, Products!$A:$B,2,0)</f>
        <v>Cables Acc-1</v>
      </c>
      <c r="U355" t="str">
        <f>VLOOKUP(E355,Products!$A:$C,3,0)</f>
        <v>Accessories</v>
      </c>
      <c r="V355" t="str">
        <f>VLOOKUP(E355,Products!$A:$D,4,0)</f>
        <v>Cables</v>
      </c>
      <c r="W355" t="str">
        <f>VLOOKUP(D355,Customers!$A:$C,3,0)</f>
        <v>B2C</v>
      </c>
      <c r="X355" t="str">
        <f>VLOOKUP(C355,Sales_Representatives!$A:$B,2,0)</f>
        <v>Jennifer Brown</v>
      </c>
    </row>
    <row r="356" spans="1:24" x14ac:dyDescent="0.3">
      <c r="A356" t="s">
        <v>593</v>
      </c>
      <c r="B356" t="s">
        <v>594</v>
      </c>
      <c r="C356" t="s">
        <v>131</v>
      </c>
      <c r="D356" t="s">
        <v>396</v>
      </c>
      <c r="E356" t="s">
        <v>53</v>
      </c>
      <c r="F356">
        <v>1</v>
      </c>
      <c r="G356">
        <v>2069.2199999999998</v>
      </c>
      <c r="H356">
        <v>0.06</v>
      </c>
      <c r="I356" s="4">
        <v>1945.07</v>
      </c>
      <c r="J356" t="s">
        <v>44</v>
      </c>
      <c r="K356" t="s">
        <v>17</v>
      </c>
      <c r="L356" s="4">
        <f>VLOOKUP(tblTransactions[[#This Row],[Product_ID]],tblProducts[],5,FALSE)</f>
        <v>1451.18</v>
      </c>
      <c r="M356" s="4">
        <f>tblTransactions[[#This Row],[Total_Amount]]-(tblTransactions[[#This Row],[Cost_Prices]]*tblTransactions[[#This Row],[Quantity]]*(1-tblTransactions[[#This Row],[Discount]]))</f>
        <v>580.96080000000006</v>
      </c>
      <c r="N356" s="3">
        <f>tblTransactions[[#This Row],[Profit]]/tblTransactions[[#This Row],[Total_Amount]]</f>
        <v>0.29868374917098106</v>
      </c>
      <c r="O356" t="str">
        <f>TEXT(tblTransactions[[#This Row],[Date]], "MMM-YYYY")</f>
        <v>Mar-2023</v>
      </c>
      <c r="P356" t="str">
        <f>"Q"&amp;ROUNDUP(MONTH(tblTransactions[[#This Row],[Date]])/3,0)&amp;"-"&amp;YEAR(tblTransactions[[#This Row],[Date]])</f>
        <v>Q1-2023</v>
      </c>
      <c r="Q356">
        <f>YEAR(tblTransactions[[#This Row],[Date]])</f>
        <v>2023</v>
      </c>
      <c r="R356" t="str">
        <f>TEXT(tblTransactions[[#This Row],[Date]],"DDDD")</f>
        <v>Friday</v>
      </c>
      <c r="S356">
        <f>MONTH(tblTransactions[[#This Row],[Date]])</f>
        <v>3</v>
      </c>
      <c r="T356" t="str">
        <f>VLOOKUP(E356, Products!$A:$B,2,0)</f>
        <v>Printers Tec-3</v>
      </c>
      <c r="U356" t="str">
        <f>VLOOKUP(E356,Products!$A:$C,3,0)</f>
        <v>Technology</v>
      </c>
      <c r="V356" t="str">
        <f>VLOOKUP(E356,Products!$A:$D,4,0)</f>
        <v>Printers</v>
      </c>
      <c r="W356" t="str">
        <f>VLOOKUP(D356,Customers!$A:$C,3,0)</f>
        <v>Small Business</v>
      </c>
      <c r="X356" t="str">
        <f>VLOOKUP(C356,Sales_Representatives!$A:$B,2,0)</f>
        <v>Michael Davis</v>
      </c>
    </row>
    <row r="357" spans="1:24" x14ac:dyDescent="0.3">
      <c r="A357" t="s">
        <v>595</v>
      </c>
      <c r="B357" t="s">
        <v>594</v>
      </c>
      <c r="C357" t="s">
        <v>13</v>
      </c>
      <c r="D357" t="s">
        <v>24</v>
      </c>
      <c r="E357" t="s">
        <v>450</v>
      </c>
      <c r="F357">
        <v>4</v>
      </c>
      <c r="G357">
        <v>2083.92</v>
      </c>
      <c r="H357">
        <v>0.08</v>
      </c>
      <c r="I357" s="4">
        <v>7668.83</v>
      </c>
      <c r="J357" t="s">
        <v>16</v>
      </c>
      <c r="K357" t="s">
        <v>39</v>
      </c>
      <c r="L357" s="4">
        <f>VLOOKUP(tblTransactions[[#This Row],[Product_ID]],tblProducts[],5,FALSE)</f>
        <v>1425.78</v>
      </c>
      <c r="M357" s="4">
        <f>tblTransactions[[#This Row],[Total_Amount]]-(tblTransactions[[#This Row],[Cost_Prices]]*tblTransactions[[#This Row],[Quantity]]*(1-tblTransactions[[#This Row],[Discount]]))</f>
        <v>2421.9596000000001</v>
      </c>
      <c r="N357" s="3">
        <f>tblTransactions[[#This Row],[Profit]]/tblTransactions[[#This Row],[Total_Amount]]</f>
        <v>0.31581865812646781</v>
      </c>
      <c r="O357" t="str">
        <f>TEXT(tblTransactions[[#This Row],[Date]], "MMM-YYYY")</f>
        <v>Mar-2023</v>
      </c>
      <c r="P357" t="str">
        <f>"Q"&amp;ROUNDUP(MONTH(tblTransactions[[#This Row],[Date]])/3,0)&amp;"-"&amp;YEAR(tblTransactions[[#This Row],[Date]])</f>
        <v>Q1-2023</v>
      </c>
      <c r="Q357">
        <f>YEAR(tblTransactions[[#This Row],[Date]])</f>
        <v>2023</v>
      </c>
      <c r="R357" t="str">
        <f>TEXT(tblTransactions[[#This Row],[Date]],"DDDD")</f>
        <v>Friday</v>
      </c>
      <c r="S357">
        <f>MONTH(tblTransactions[[#This Row],[Date]])</f>
        <v>3</v>
      </c>
      <c r="T357" t="str">
        <f>VLOOKUP(E357, Products!$A:$B,2,0)</f>
        <v>Monitors Tec-4</v>
      </c>
      <c r="U357" t="str">
        <f>VLOOKUP(E357,Products!$A:$C,3,0)</f>
        <v>Technology</v>
      </c>
      <c r="V357" t="str">
        <f>VLOOKUP(E357,Products!$A:$D,4,0)</f>
        <v>Monitors</v>
      </c>
      <c r="W357" t="str">
        <f>VLOOKUP(D357,Customers!$A:$C,3,0)</f>
        <v>B2B</v>
      </c>
      <c r="X357" t="str">
        <f>VLOOKUP(C357,Sales_Representatives!$A:$B,2,0)</f>
        <v>Jennifer Rodriguez</v>
      </c>
    </row>
    <row r="358" spans="1:24" x14ac:dyDescent="0.3">
      <c r="A358" t="s">
        <v>596</v>
      </c>
      <c r="B358" t="s">
        <v>594</v>
      </c>
      <c r="C358" t="s">
        <v>56</v>
      </c>
      <c r="D358" t="s">
        <v>212</v>
      </c>
      <c r="E358" t="s">
        <v>198</v>
      </c>
      <c r="F358">
        <v>5</v>
      </c>
      <c r="G358">
        <v>1802.96</v>
      </c>
      <c r="H358">
        <v>0.01</v>
      </c>
      <c r="I358" s="4">
        <v>8924.65</v>
      </c>
      <c r="J358" t="s">
        <v>34</v>
      </c>
      <c r="K358" t="s">
        <v>35</v>
      </c>
      <c r="L358" s="4">
        <f>VLOOKUP(tblTransactions[[#This Row],[Product_ID]],tblProducts[],5,FALSE)</f>
        <v>1282.18</v>
      </c>
      <c r="M358" s="4">
        <f>tblTransactions[[#This Row],[Total_Amount]]-(tblTransactions[[#This Row],[Cost_Prices]]*tblTransactions[[#This Row],[Quantity]]*(1-tblTransactions[[#This Row],[Discount]]))</f>
        <v>2577.8589999999995</v>
      </c>
      <c r="N358" s="3">
        <f>tblTransactions[[#This Row],[Profit]]/tblTransactions[[#This Row],[Total_Amount]]</f>
        <v>0.28884706963298273</v>
      </c>
      <c r="O358" t="str">
        <f>TEXT(tblTransactions[[#This Row],[Date]], "MMM-YYYY")</f>
        <v>Mar-2023</v>
      </c>
      <c r="P358" t="str">
        <f>"Q"&amp;ROUNDUP(MONTH(tblTransactions[[#This Row],[Date]])/3,0)&amp;"-"&amp;YEAR(tblTransactions[[#This Row],[Date]])</f>
        <v>Q1-2023</v>
      </c>
      <c r="Q358">
        <f>YEAR(tblTransactions[[#This Row],[Date]])</f>
        <v>2023</v>
      </c>
      <c r="R358" t="str">
        <f>TEXT(tblTransactions[[#This Row],[Date]],"DDDD")</f>
        <v>Friday</v>
      </c>
      <c r="S358">
        <f>MONTH(tblTransactions[[#This Row],[Date]])</f>
        <v>3</v>
      </c>
      <c r="T358" t="str">
        <f>VLOOKUP(E358, Products!$A:$B,2,0)</f>
        <v>Tablets Ele-3</v>
      </c>
      <c r="U358" t="str">
        <f>VLOOKUP(E358,Products!$A:$C,3,0)</f>
        <v>Electronics</v>
      </c>
      <c r="V358" t="str">
        <f>VLOOKUP(E358,Products!$A:$D,4,0)</f>
        <v>Tablets</v>
      </c>
      <c r="W358" t="str">
        <f>VLOOKUP(D358,Customers!$A:$C,3,0)</f>
        <v>B2C</v>
      </c>
      <c r="X358" t="str">
        <f>VLOOKUP(C358,Sales_Representatives!$A:$B,2,0)</f>
        <v>Thomas Hernandez</v>
      </c>
    </row>
    <row r="359" spans="1:24" x14ac:dyDescent="0.3">
      <c r="A359" t="s">
        <v>597</v>
      </c>
      <c r="B359" t="s">
        <v>594</v>
      </c>
      <c r="C359" t="s">
        <v>59</v>
      </c>
      <c r="D359" t="s">
        <v>83</v>
      </c>
      <c r="E359" t="s">
        <v>324</v>
      </c>
      <c r="F359">
        <v>7</v>
      </c>
      <c r="G359">
        <v>245.76</v>
      </c>
      <c r="H359">
        <v>0.13</v>
      </c>
      <c r="I359" s="4">
        <v>1496.68</v>
      </c>
      <c r="J359" t="s">
        <v>21</v>
      </c>
      <c r="K359" t="s">
        <v>35</v>
      </c>
      <c r="L359" s="4">
        <f>VLOOKUP(tblTransactions[[#This Row],[Product_ID]],tblProducts[],5,FALSE)</f>
        <v>161.94</v>
      </c>
      <c r="M359" s="4">
        <f>tblTransactions[[#This Row],[Total_Amount]]-(tblTransactions[[#This Row],[Cost_Prices]]*tblTransactions[[#This Row],[Quantity]]*(1-tblTransactions[[#This Row],[Discount]]))</f>
        <v>510.46540000000016</v>
      </c>
      <c r="N359" s="3">
        <f>tblTransactions[[#This Row],[Profit]]/tblTransactions[[#This Row],[Total_Amount]]</f>
        <v>0.34106515754870792</v>
      </c>
      <c r="O359" t="str">
        <f>TEXT(tblTransactions[[#This Row],[Date]], "MMM-YYYY")</f>
        <v>Mar-2023</v>
      </c>
      <c r="P359" t="str">
        <f>"Q"&amp;ROUNDUP(MONTH(tblTransactions[[#This Row],[Date]])/3,0)&amp;"-"&amp;YEAR(tblTransactions[[#This Row],[Date]])</f>
        <v>Q1-2023</v>
      </c>
      <c r="Q359">
        <f>YEAR(tblTransactions[[#This Row],[Date]])</f>
        <v>2023</v>
      </c>
      <c r="R359" t="str">
        <f>TEXT(tblTransactions[[#This Row],[Date]],"DDDD")</f>
        <v>Friday</v>
      </c>
      <c r="S359">
        <f>MONTH(tblTransactions[[#This Row],[Date]])</f>
        <v>3</v>
      </c>
      <c r="T359" t="str">
        <f>VLOOKUP(E359, Products!$A:$B,2,0)</f>
        <v>Storage Fur-1</v>
      </c>
      <c r="U359" t="str">
        <f>VLOOKUP(E359,Products!$A:$C,3,0)</f>
        <v>Furniture</v>
      </c>
      <c r="V359" t="str">
        <f>VLOOKUP(E359,Products!$A:$D,4,0)</f>
        <v>Storage</v>
      </c>
      <c r="W359" t="str">
        <f>VLOOKUP(D359,Customers!$A:$C,3,0)</f>
        <v>Small Business</v>
      </c>
      <c r="X359" t="str">
        <f>VLOOKUP(C359,Sales_Representatives!$A:$B,2,0)</f>
        <v>Sarah Brown</v>
      </c>
    </row>
    <row r="360" spans="1:24" x14ac:dyDescent="0.3">
      <c r="A360" t="s">
        <v>598</v>
      </c>
      <c r="B360" t="s">
        <v>594</v>
      </c>
      <c r="C360" t="s">
        <v>41</v>
      </c>
      <c r="D360" t="s">
        <v>351</v>
      </c>
      <c r="E360" t="s">
        <v>243</v>
      </c>
      <c r="F360">
        <v>2</v>
      </c>
      <c r="G360">
        <v>384.18</v>
      </c>
      <c r="H360">
        <v>0.06</v>
      </c>
      <c r="I360" s="4">
        <v>722.26</v>
      </c>
      <c r="J360" t="s">
        <v>44</v>
      </c>
      <c r="K360" t="s">
        <v>48</v>
      </c>
      <c r="L360" s="4">
        <f>VLOOKUP(tblTransactions[[#This Row],[Product_ID]],tblProducts[],5,FALSE)</f>
        <v>266.92</v>
      </c>
      <c r="M360" s="4">
        <f>tblTransactions[[#This Row],[Total_Amount]]-(tblTransactions[[#This Row],[Cost_Prices]]*tblTransactions[[#This Row],[Quantity]]*(1-tblTransactions[[#This Row],[Discount]]))</f>
        <v>220.4504</v>
      </c>
      <c r="N360" s="3">
        <f>tblTransactions[[#This Row],[Profit]]/tblTransactions[[#This Row],[Total_Amount]]</f>
        <v>0.3052230498712375</v>
      </c>
      <c r="O360" t="str">
        <f>TEXT(tblTransactions[[#This Row],[Date]], "MMM-YYYY")</f>
        <v>Mar-2023</v>
      </c>
      <c r="P360" t="str">
        <f>"Q"&amp;ROUNDUP(MONTH(tblTransactions[[#This Row],[Date]])/3,0)&amp;"-"&amp;YEAR(tblTransactions[[#This Row],[Date]])</f>
        <v>Q1-2023</v>
      </c>
      <c r="Q360">
        <f>YEAR(tblTransactions[[#This Row],[Date]])</f>
        <v>2023</v>
      </c>
      <c r="R360" t="str">
        <f>TEXT(tblTransactions[[#This Row],[Date]],"DDDD")</f>
        <v>Friday</v>
      </c>
      <c r="S360">
        <f>MONTH(tblTransactions[[#This Row],[Date]])</f>
        <v>3</v>
      </c>
      <c r="T360" t="str">
        <f>VLOOKUP(E360, Products!$A:$B,2,0)</f>
        <v>Routers Tec-3</v>
      </c>
      <c r="U360" t="str">
        <f>VLOOKUP(E360,Products!$A:$C,3,0)</f>
        <v>Technology</v>
      </c>
      <c r="V360" t="str">
        <f>VLOOKUP(E360,Products!$A:$D,4,0)</f>
        <v>Routers</v>
      </c>
      <c r="W360" t="str">
        <f>VLOOKUP(D360,Customers!$A:$C,3,0)</f>
        <v>B2C</v>
      </c>
      <c r="X360" t="str">
        <f>VLOOKUP(C360,Sales_Representatives!$A:$B,2,0)</f>
        <v>Robert Jones</v>
      </c>
    </row>
    <row r="361" spans="1:24" x14ac:dyDescent="0.3">
      <c r="A361" t="s">
        <v>599</v>
      </c>
      <c r="B361" t="s">
        <v>600</v>
      </c>
      <c r="C361" t="s">
        <v>56</v>
      </c>
      <c r="D361" t="s">
        <v>132</v>
      </c>
      <c r="E361" t="s">
        <v>105</v>
      </c>
      <c r="F361">
        <v>6</v>
      </c>
      <c r="G361">
        <v>1342.04</v>
      </c>
      <c r="H361">
        <v>0.11</v>
      </c>
      <c r="I361" s="4">
        <v>7166.49</v>
      </c>
      <c r="J361" t="s">
        <v>34</v>
      </c>
      <c r="K361" t="s">
        <v>17</v>
      </c>
      <c r="L361" s="4">
        <f>VLOOKUP(tblTransactions[[#This Row],[Product_ID]],tblProducts[],5,FALSE)</f>
        <v>792.89</v>
      </c>
      <c r="M361" s="4">
        <f>tblTransactions[[#This Row],[Total_Amount]]-(tblTransactions[[#This Row],[Cost_Prices]]*tblTransactions[[#This Row],[Quantity]]*(1-tblTransactions[[#This Row],[Discount]]))</f>
        <v>2932.4573999999993</v>
      </c>
      <c r="N361" s="3">
        <f>tblTransactions[[#This Row],[Profit]]/tblTransactions[[#This Row],[Total_Amount]]</f>
        <v>0.40919018933955109</v>
      </c>
      <c r="O361" t="str">
        <f>TEXT(tblTransactions[[#This Row],[Date]], "MMM-YYYY")</f>
        <v>Mar-2023</v>
      </c>
      <c r="P361" t="str">
        <f>"Q"&amp;ROUNDUP(MONTH(tblTransactions[[#This Row],[Date]])/3,0)&amp;"-"&amp;YEAR(tblTransactions[[#This Row],[Date]])</f>
        <v>Q1-2023</v>
      </c>
      <c r="Q361">
        <f>YEAR(tblTransactions[[#This Row],[Date]])</f>
        <v>2023</v>
      </c>
      <c r="R361" t="str">
        <f>TEXT(tblTransactions[[#This Row],[Date]],"DDDD")</f>
        <v>Saturday</v>
      </c>
      <c r="S361">
        <f>MONTH(tblTransactions[[#This Row],[Date]])</f>
        <v>3</v>
      </c>
      <c r="T361" t="str">
        <f>VLOOKUP(E361, Products!$A:$B,2,0)</f>
        <v>Cameras Ele-1</v>
      </c>
      <c r="U361" t="str">
        <f>VLOOKUP(E361,Products!$A:$C,3,0)</f>
        <v>Electronics</v>
      </c>
      <c r="V361" t="str">
        <f>VLOOKUP(E361,Products!$A:$D,4,0)</f>
        <v>Cameras</v>
      </c>
      <c r="W361" t="str">
        <f>VLOOKUP(D361,Customers!$A:$C,3,0)</f>
        <v>B2B</v>
      </c>
      <c r="X361" t="str">
        <f>VLOOKUP(C361,Sales_Representatives!$A:$B,2,0)</f>
        <v>Thomas Hernandez</v>
      </c>
    </row>
    <row r="362" spans="1:24" x14ac:dyDescent="0.3">
      <c r="A362" t="s">
        <v>601</v>
      </c>
      <c r="B362" t="s">
        <v>600</v>
      </c>
      <c r="C362" t="s">
        <v>41</v>
      </c>
      <c r="D362" t="s">
        <v>183</v>
      </c>
      <c r="E362" t="s">
        <v>304</v>
      </c>
      <c r="F362">
        <v>3</v>
      </c>
      <c r="G362">
        <v>13.43</v>
      </c>
      <c r="H362">
        <v>0.1</v>
      </c>
      <c r="I362" s="4">
        <v>36.26</v>
      </c>
      <c r="J362" t="s">
        <v>44</v>
      </c>
      <c r="K362" t="s">
        <v>17</v>
      </c>
      <c r="L362" s="4">
        <f>VLOOKUP(tblTransactions[[#This Row],[Product_ID]],tblProducts[],5,FALSE)</f>
        <v>5.8</v>
      </c>
      <c r="M362" s="4">
        <f>tblTransactions[[#This Row],[Total_Amount]]-(tblTransactions[[#This Row],[Cost_Prices]]*tblTransactions[[#This Row],[Quantity]]*(1-tblTransactions[[#This Row],[Discount]]))</f>
        <v>20.6</v>
      </c>
      <c r="N362" s="3">
        <f>tblTransactions[[#This Row],[Profit]]/tblTransactions[[#This Row],[Total_Amount]]</f>
        <v>0.56811913954771109</v>
      </c>
      <c r="O362" t="str">
        <f>TEXT(tblTransactions[[#This Row],[Date]], "MMM-YYYY")</f>
        <v>Mar-2023</v>
      </c>
      <c r="P362" t="str">
        <f>"Q"&amp;ROUNDUP(MONTH(tblTransactions[[#This Row],[Date]])/3,0)&amp;"-"&amp;YEAR(tblTransactions[[#This Row],[Date]])</f>
        <v>Q1-2023</v>
      </c>
      <c r="Q362">
        <f>YEAR(tblTransactions[[#This Row],[Date]])</f>
        <v>2023</v>
      </c>
      <c r="R362" t="str">
        <f>TEXT(tblTransactions[[#This Row],[Date]],"DDDD")</f>
        <v>Saturday</v>
      </c>
      <c r="S362">
        <f>MONTH(tblTransactions[[#This Row],[Date]])</f>
        <v>3</v>
      </c>
      <c r="T362" t="str">
        <f>VLOOKUP(E362, Products!$A:$B,2,0)</f>
        <v>Pens Off-1</v>
      </c>
      <c r="U362" t="str">
        <f>VLOOKUP(E362,Products!$A:$C,3,0)</f>
        <v>Office Supplies</v>
      </c>
      <c r="V362" t="str">
        <f>VLOOKUP(E362,Products!$A:$D,4,0)</f>
        <v>Pens</v>
      </c>
      <c r="W362" t="str">
        <f>VLOOKUP(D362,Customers!$A:$C,3,0)</f>
        <v>Small Business</v>
      </c>
      <c r="X362" t="str">
        <f>VLOOKUP(C362,Sales_Representatives!$A:$B,2,0)</f>
        <v>Robert Jones</v>
      </c>
    </row>
    <row r="363" spans="1:24" x14ac:dyDescent="0.3">
      <c r="A363" t="s">
        <v>602</v>
      </c>
      <c r="B363" t="s">
        <v>600</v>
      </c>
      <c r="C363" t="s">
        <v>131</v>
      </c>
      <c r="D363" t="s">
        <v>60</v>
      </c>
      <c r="E363" t="s">
        <v>38</v>
      </c>
      <c r="F363">
        <v>7</v>
      </c>
      <c r="G363">
        <v>581.47</v>
      </c>
      <c r="H363">
        <v>0.13</v>
      </c>
      <c r="I363" s="4">
        <v>3541.15</v>
      </c>
      <c r="J363" t="s">
        <v>44</v>
      </c>
      <c r="K363" t="s">
        <v>39</v>
      </c>
      <c r="L363" s="4">
        <f>VLOOKUP(tblTransactions[[#This Row],[Product_ID]],tblProducts[],5,FALSE)</f>
        <v>372.07</v>
      </c>
      <c r="M363" s="4">
        <f>tblTransactions[[#This Row],[Total_Amount]]-(tblTransactions[[#This Row],[Cost_Prices]]*tblTransactions[[#This Row],[Quantity]]*(1-tblTransactions[[#This Row],[Discount]]))</f>
        <v>1275.2437000000004</v>
      </c>
      <c r="N363" s="3">
        <f>tblTransactions[[#This Row],[Profit]]/tblTransactions[[#This Row],[Total_Amount]]</f>
        <v>0.36012134476088287</v>
      </c>
      <c r="O363" t="str">
        <f>TEXT(tblTransactions[[#This Row],[Date]], "MMM-YYYY")</f>
        <v>Mar-2023</v>
      </c>
      <c r="P363" t="str">
        <f>"Q"&amp;ROUNDUP(MONTH(tblTransactions[[#This Row],[Date]])/3,0)&amp;"-"&amp;YEAR(tblTransactions[[#This Row],[Date]])</f>
        <v>Q1-2023</v>
      </c>
      <c r="Q363">
        <f>YEAR(tblTransactions[[#This Row],[Date]])</f>
        <v>2023</v>
      </c>
      <c r="R363" t="str">
        <f>TEXT(tblTransactions[[#This Row],[Date]],"DDDD")</f>
        <v>Saturday</v>
      </c>
      <c r="S363">
        <f>MONTH(tblTransactions[[#This Row],[Date]])</f>
        <v>3</v>
      </c>
      <c r="T363" t="str">
        <f>VLOOKUP(E363, Products!$A:$B,2,0)</f>
        <v>Storage Fur-3</v>
      </c>
      <c r="U363" t="str">
        <f>VLOOKUP(E363,Products!$A:$C,3,0)</f>
        <v>Furniture</v>
      </c>
      <c r="V363" t="str">
        <f>VLOOKUP(E363,Products!$A:$D,4,0)</f>
        <v>Storage</v>
      </c>
      <c r="W363" t="str">
        <f>VLOOKUP(D363,Customers!$A:$C,3,0)</f>
        <v>B2C</v>
      </c>
      <c r="X363" t="str">
        <f>VLOOKUP(C363,Sales_Representatives!$A:$B,2,0)</f>
        <v>Michael Davis</v>
      </c>
    </row>
    <row r="364" spans="1:24" x14ac:dyDescent="0.3">
      <c r="A364" t="s">
        <v>603</v>
      </c>
      <c r="B364" t="s">
        <v>600</v>
      </c>
      <c r="C364" t="s">
        <v>41</v>
      </c>
      <c r="D364" t="s">
        <v>52</v>
      </c>
      <c r="E364" t="s">
        <v>159</v>
      </c>
      <c r="F364">
        <v>7</v>
      </c>
      <c r="G364">
        <v>78.09</v>
      </c>
      <c r="H364">
        <v>0.14000000000000001</v>
      </c>
      <c r="I364" s="4">
        <v>470.1</v>
      </c>
      <c r="J364" t="s">
        <v>44</v>
      </c>
      <c r="K364" t="s">
        <v>39</v>
      </c>
      <c r="L364" s="4">
        <f>VLOOKUP(tblTransactions[[#This Row],[Product_ID]],tblProducts[],5,FALSE)</f>
        <v>47.01</v>
      </c>
      <c r="M364" s="4">
        <f>tblTransactions[[#This Row],[Total_Amount]]-(tblTransactions[[#This Row],[Cost_Prices]]*tblTransactions[[#This Row],[Quantity]]*(1-tblTransactions[[#This Row],[Discount]]))</f>
        <v>187.09980000000002</v>
      </c>
      <c r="N364" s="3">
        <f>tblTransactions[[#This Row],[Profit]]/tblTransactions[[#This Row],[Total_Amount]]</f>
        <v>0.39800000000000002</v>
      </c>
      <c r="O364" t="str">
        <f>TEXT(tblTransactions[[#This Row],[Date]], "MMM-YYYY")</f>
        <v>Mar-2023</v>
      </c>
      <c r="P364" t="str">
        <f>"Q"&amp;ROUNDUP(MONTH(tblTransactions[[#This Row],[Date]])/3,0)&amp;"-"&amp;YEAR(tblTransactions[[#This Row],[Date]])</f>
        <v>Q1-2023</v>
      </c>
      <c r="Q364">
        <f>YEAR(tblTransactions[[#This Row],[Date]])</f>
        <v>2023</v>
      </c>
      <c r="R364" t="str">
        <f>TEXT(tblTransactions[[#This Row],[Date]],"DDDD")</f>
        <v>Saturday</v>
      </c>
      <c r="S364">
        <f>MONTH(tblTransactions[[#This Row],[Date]])</f>
        <v>3</v>
      </c>
      <c r="T364" t="str">
        <f>VLOOKUP(E364, Products!$A:$B,2,0)</f>
        <v>Cables Acc-4</v>
      </c>
      <c r="U364" t="str">
        <f>VLOOKUP(E364,Products!$A:$C,3,0)</f>
        <v>Accessories</v>
      </c>
      <c r="V364" t="str">
        <f>VLOOKUP(E364,Products!$A:$D,4,0)</f>
        <v>Cables</v>
      </c>
      <c r="W364" t="str">
        <f>VLOOKUP(D364,Customers!$A:$C,3,0)</f>
        <v>B2C</v>
      </c>
      <c r="X364" t="str">
        <f>VLOOKUP(C364,Sales_Representatives!$A:$B,2,0)</f>
        <v>Robert Jones</v>
      </c>
    </row>
    <row r="365" spans="1:24" x14ac:dyDescent="0.3">
      <c r="A365" t="s">
        <v>604</v>
      </c>
      <c r="B365" t="s">
        <v>600</v>
      </c>
      <c r="C365" t="s">
        <v>82</v>
      </c>
      <c r="D365" t="s">
        <v>24</v>
      </c>
      <c r="E365" t="s">
        <v>87</v>
      </c>
      <c r="F365">
        <v>18</v>
      </c>
      <c r="G365">
        <v>1047.8900000000001</v>
      </c>
      <c r="H365">
        <v>0.18</v>
      </c>
      <c r="I365" s="4">
        <v>15466.86</v>
      </c>
      <c r="J365" t="s">
        <v>34</v>
      </c>
      <c r="K365" t="s">
        <v>48</v>
      </c>
      <c r="L365" s="4">
        <f>VLOOKUP(tblTransactions[[#This Row],[Product_ID]],tblProducts[],5,FALSE)</f>
        <v>742.63</v>
      </c>
      <c r="M365" s="4">
        <f>tblTransactions[[#This Row],[Total_Amount]]-(tblTransactions[[#This Row],[Cost_Prices]]*tblTransactions[[#This Row],[Quantity]]*(1-tblTransactions[[#This Row],[Discount]]))</f>
        <v>4505.6412</v>
      </c>
      <c r="N365" s="3">
        <f>tblTransactions[[#This Row],[Profit]]/tblTransactions[[#This Row],[Total_Amount]]</f>
        <v>0.29130936725359896</v>
      </c>
      <c r="O365" t="str">
        <f>TEXT(tblTransactions[[#This Row],[Date]], "MMM-YYYY")</f>
        <v>Mar-2023</v>
      </c>
      <c r="P365" t="str">
        <f>"Q"&amp;ROUNDUP(MONTH(tblTransactions[[#This Row],[Date]])/3,0)&amp;"-"&amp;YEAR(tblTransactions[[#This Row],[Date]])</f>
        <v>Q1-2023</v>
      </c>
      <c r="Q365">
        <f>YEAR(tblTransactions[[#This Row],[Date]])</f>
        <v>2023</v>
      </c>
      <c r="R365" t="str">
        <f>TEXT(tblTransactions[[#This Row],[Date]],"DDDD")</f>
        <v>Saturday</v>
      </c>
      <c r="S365">
        <f>MONTH(tblTransactions[[#This Row],[Date]])</f>
        <v>3</v>
      </c>
      <c r="T365" t="str">
        <f>VLOOKUP(E365, Products!$A:$B,2,0)</f>
        <v>Monitors Tec-2</v>
      </c>
      <c r="U365" t="str">
        <f>VLOOKUP(E365,Products!$A:$C,3,0)</f>
        <v>Technology</v>
      </c>
      <c r="V365" t="str">
        <f>VLOOKUP(E365,Products!$A:$D,4,0)</f>
        <v>Monitors</v>
      </c>
      <c r="W365" t="str">
        <f>VLOOKUP(D365,Customers!$A:$C,3,0)</f>
        <v>B2B</v>
      </c>
      <c r="X365" t="str">
        <f>VLOOKUP(C365,Sales_Representatives!$A:$B,2,0)</f>
        <v>John Brown</v>
      </c>
    </row>
    <row r="366" spans="1:24" x14ac:dyDescent="0.3">
      <c r="A366" t="s">
        <v>605</v>
      </c>
      <c r="B366" t="s">
        <v>600</v>
      </c>
      <c r="C366" t="s">
        <v>141</v>
      </c>
      <c r="D366" t="s">
        <v>164</v>
      </c>
      <c r="E366" t="s">
        <v>221</v>
      </c>
      <c r="F366">
        <v>2</v>
      </c>
      <c r="G366">
        <v>210.02</v>
      </c>
      <c r="H366">
        <v>0.05</v>
      </c>
      <c r="I366" s="4">
        <v>399.04</v>
      </c>
      <c r="J366" t="s">
        <v>109</v>
      </c>
      <c r="K366" t="s">
        <v>48</v>
      </c>
      <c r="L366" s="4">
        <f>VLOOKUP(tblTransactions[[#This Row],[Product_ID]],tblProducts[],5,FALSE)</f>
        <v>131.66</v>
      </c>
      <c r="M366" s="4">
        <f>tblTransactions[[#This Row],[Total_Amount]]-(tblTransactions[[#This Row],[Cost_Prices]]*tblTransactions[[#This Row],[Quantity]]*(1-tblTransactions[[#This Row],[Discount]]))</f>
        <v>148.88600000000005</v>
      </c>
      <c r="N366" s="3">
        <f>tblTransactions[[#This Row],[Profit]]/tblTransactions[[#This Row],[Total_Amount]]</f>
        <v>0.37311046511627916</v>
      </c>
      <c r="O366" t="str">
        <f>TEXT(tblTransactions[[#This Row],[Date]], "MMM-YYYY")</f>
        <v>Mar-2023</v>
      </c>
      <c r="P366" t="str">
        <f>"Q"&amp;ROUNDUP(MONTH(tblTransactions[[#This Row],[Date]])/3,0)&amp;"-"&amp;YEAR(tblTransactions[[#This Row],[Date]])</f>
        <v>Q1-2023</v>
      </c>
      <c r="Q366">
        <f>YEAR(tblTransactions[[#This Row],[Date]])</f>
        <v>2023</v>
      </c>
      <c r="R366" t="str">
        <f>TEXT(tblTransactions[[#This Row],[Date]],"DDDD")</f>
        <v>Saturday</v>
      </c>
      <c r="S366">
        <f>MONTH(tblTransactions[[#This Row],[Date]])</f>
        <v>3</v>
      </c>
      <c r="T366" t="str">
        <f>VLOOKUP(E366, Products!$A:$B,2,0)</f>
        <v>Storage Fur-2</v>
      </c>
      <c r="U366" t="str">
        <f>VLOOKUP(E366,Products!$A:$C,3,0)</f>
        <v>Furniture</v>
      </c>
      <c r="V366" t="str">
        <f>VLOOKUP(E366,Products!$A:$D,4,0)</f>
        <v>Storage</v>
      </c>
      <c r="W366" t="str">
        <f>VLOOKUP(D366,Customers!$A:$C,3,0)</f>
        <v>Small Business</v>
      </c>
      <c r="X366" t="str">
        <f>VLOOKUP(C366,Sales_Representatives!$A:$B,2,0)</f>
        <v>Richard Garcia</v>
      </c>
    </row>
    <row r="367" spans="1:24" x14ac:dyDescent="0.3">
      <c r="A367" t="s">
        <v>606</v>
      </c>
      <c r="B367" t="s">
        <v>600</v>
      </c>
      <c r="C367" t="s">
        <v>31</v>
      </c>
      <c r="D367" t="s">
        <v>216</v>
      </c>
      <c r="E367" t="s">
        <v>479</v>
      </c>
      <c r="F367">
        <v>7</v>
      </c>
      <c r="G367">
        <v>239.6</v>
      </c>
      <c r="H367">
        <v>0.08</v>
      </c>
      <c r="I367" s="4">
        <v>1543.02</v>
      </c>
      <c r="J367" t="s">
        <v>34</v>
      </c>
      <c r="K367" t="s">
        <v>48</v>
      </c>
      <c r="L367" s="4">
        <f>VLOOKUP(tblTransactions[[#This Row],[Product_ID]],tblProducts[],5,FALSE)</f>
        <v>107.49</v>
      </c>
      <c r="M367" s="4">
        <f>tblTransactions[[#This Row],[Total_Amount]]-(tblTransactions[[#This Row],[Cost_Prices]]*tblTransactions[[#This Row],[Quantity]]*(1-tblTransactions[[#This Row],[Discount]]))</f>
        <v>850.78440000000001</v>
      </c>
      <c r="N367" s="3">
        <f>tblTransactions[[#This Row],[Profit]]/tblTransactions[[#This Row],[Total_Amount]]</f>
        <v>0.55137613251934514</v>
      </c>
      <c r="O367" t="str">
        <f>TEXT(tblTransactions[[#This Row],[Date]], "MMM-YYYY")</f>
        <v>Mar-2023</v>
      </c>
      <c r="P367" t="str">
        <f>"Q"&amp;ROUNDUP(MONTH(tblTransactions[[#This Row],[Date]])/3,0)&amp;"-"&amp;YEAR(tblTransactions[[#This Row],[Date]])</f>
        <v>Q1-2023</v>
      </c>
      <c r="Q367">
        <f>YEAR(tblTransactions[[#This Row],[Date]])</f>
        <v>2023</v>
      </c>
      <c r="R367" t="str">
        <f>TEXT(tblTransactions[[#This Row],[Date]],"DDDD")</f>
        <v>Saturday</v>
      </c>
      <c r="S367">
        <f>MONTH(tblTransactions[[#This Row],[Date]])</f>
        <v>3</v>
      </c>
      <c r="T367" t="str">
        <f>VLOOKUP(E367, Products!$A:$B,2,0)</f>
        <v>Pens Off-2</v>
      </c>
      <c r="U367" t="str">
        <f>VLOOKUP(E367,Products!$A:$C,3,0)</f>
        <v>Office Supplies</v>
      </c>
      <c r="V367" t="str">
        <f>VLOOKUP(E367,Products!$A:$D,4,0)</f>
        <v>Pens</v>
      </c>
      <c r="W367" t="str">
        <f>VLOOKUP(D367,Customers!$A:$C,3,0)</f>
        <v>Small Business</v>
      </c>
      <c r="X367" t="str">
        <f>VLOOKUP(C367,Sales_Representatives!$A:$B,2,0)</f>
        <v>Thomas Martinez</v>
      </c>
    </row>
    <row r="368" spans="1:24" x14ac:dyDescent="0.3">
      <c r="A368" t="s">
        <v>607</v>
      </c>
      <c r="B368" t="s">
        <v>600</v>
      </c>
      <c r="C368" t="s">
        <v>27</v>
      </c>
      <c r="D368" t="s">
        <v>32</v>
      </c>
      <c r="E368" t="s">
        <v>68</v>
      </c>
      <c r="F368">
        <v>3</v>
      </c>
      <c r="G368">
        <v>522.63</v>
      </c>
      <c r="H368">
        <v>0.01</v>
      </c>
      <c r="I368" s="4">
        <v>1552.21</v>
      </c>
      <c r="J368" t="s">
        <v>16</v>
      </c>
      <c r="K368" t="s">
        <v>22</v>
      </c>
      <c r="L368" s="4">
        <f>VLOOKUP(tblTransactions[[#This Row],[Product_ID]],tblProducts[],5,FALSE)</f>
        <v>355.82</v>
      </c>
      <c r="M368" s="4">
        <f>tblTransactions[[#This Row],[Total_Amount]]-(tblTransactions[[#This Row],[Cost_Prices]]*tblTransactions[[#This Row],[Quantity]]*(1-tblTransactions[[#This Row],[Discount]]))</f>
        <v>495.42460000000005</v>
      </c>
      <c r="N368" s="3">
        <f>tblTransactions[[#This Row],[Profit]]/tblTransactions[[#This Row],[Total_Amount]]</f>
        <v>0.31917369428105735</v>
      </c>
      <c r="O368" t="str">
        <f>TEXT(tblTransactions[[#This Row],[Date]], "MMM-YYYY")</f>
        <v>Mar-2023</v>
      </c>
      <c r="P368" t="str">
        <f>"Q"&amp;ROUNDUP(MONTH(tblTransactions[[#This Row],[Date]])/3,0)&amp;"-"&amp;YEAR(tblTransactions[[#This Row],[Date]])</f>
        <v>Q1-2023</v>
      </c>
      <c r="Q368">
        <f>YEAR(tblTransactions[[#This Row],[Date]])</f>
        <v>2023</v>
      </c>
      <c r="R368" t="str">
        <f>TEXT(tblTransactions[[#This Row],[Date]],"DDDD")</f>
        <v>Saturday</v>
      </c>
      <c r="S368">
        <f>MONTH(tblTransactions[[#This Row],[Date]])</f>
        <v>3</v>
      </c>
      <c r="T368" t="str">
        <f>VLOOKUP(E368, Products!$A:$B,2,0)</f>
        <v>Monitors Tec-3</v>
      </c>
      <c r="U368" t="str">
        <f>VLOOKUP(E368,Products!$A:$C,3,0)</f>
        <v>Technology</v>
      </c>
      <c r="V368" t="str">
        <f>VLOOKUP(E368,Products!$A:$D,4,0)</f>
        <v>Monitors</v>
      </c>
      <c r="W368" t="str">
        <f>VLOOKUP(D368,Customers!$A:$C,3,0)</f>
        <v>B2C</v>
      </c>
      <c r="X368" t="str">
        <f>VLOOKUP(C368,Sales_Representatives!$A:$B,2,0)</f>
        <v>Thomas Lopez</v>
      </c>
    </row>
    <row r="369" spans="1:24" x14ac:dyDescent="0.3">
      <c r="A369" t="s">
        <v>608</v>
      </c>
      <c r="B369" t="s">
        <v>600</v>
      </c>
      <c r="C369" t="s">
        <v>63</v>
      </c>
      <c r="D369" t="s">
        <v>101</v>
      </c>
      <c r="E369" t="s">
        <v>99</v>
      </c>
      <c r="F369">
        <v>2</v>
      </c>
      <c r="G369">
        <v>325.14</v>
      </c>
      <c r="H369">
        <v>0.08</v>
      </c>
      <c r="I369" s="4">
        <v>598.26</v>
      </c>
      <c r="J369" t="s">
        <v>21</v>
      </c>
      <c r="K369" t="s">
        <v>39</v>
      </c>
      <c r="L369" s="4">
        <f>VLOOKUP(tblTransactions[[#This Row],[Product_ID]],tblProducts[],5,FALSE)</f>
        <v>209.04</v>
      </c>
      <c r="M369" s="4">
        <f>tblTransactions[[#This Row],[Total_Amount]]-(tblTransactions[[#This Row],[Cost_Prices]]*tblTransactions[[#This Row],[Quantity]]*(1-tblTransactions[[#This Row],[Discount]]))</f>
        <v>213.62639999999999</v>
      </c>
      <c r="N369" s="3">
        <f>tblTransactions[[#This Row],[Profit]]/tblTransactions[[#This Row],[Total_Amount]]</f>
        <v>0.35707953063885267</v>
      </c>
      <c r="O369" t="str">
        <f>TEXT(tblTransactions[[#This Row],[Date]], "MMM-YYYY")</f>
        <v>Mar-2023</v>
      </c>
      <c r="P369" t="str">
        <f>"Q"&amp;ROUNDUP(MONTH(tblTransactions[[#This Row],[Date]])/3,0)&amp;"-"&amp;YEAR(tblTransactions[[#This Row],[Date]])</f>
        <v>Q1-2023</v>
      </c>
      <c r="Q369">
        <f>YEAR(tblTransactions[[#This Row],[Date]])</f>
        <v>2023</v>
      </c>
      <c r="R369" t="str">
        <f>TEXT(tblTransactions[[#This Row],[Date]],"DDDD")</f>
        <v>Saturday</v>
      </c>
      <c r="S369">
        <f>MONTH(tblTransactions[[#This Row],[Date]])</f>
        <v>3</v>
      </c>
      <c r="T369" t="str">
        <f>VLOOKUP(E369, Products!$A:$B,2,0)</f>
        <v>Monitors Tec-1</v>
      </c>
      <c r="U369" t="str">
        <f>VLOOKUP(E369,Products!$A:$C,3,0)</f>
        <v>Technology</v>
      </c>
      <c r="V369" t="str">
        <f>VLOOKUP(E369,Products!$A:$D,4,0)</f>
        <v>Monitors</v>
      </c>
      <c r="W369" t="str">
        <f>VLOOKUP(D369,Customers!$A:$C,3,0)</f>
        <v>B2C</v>
      </c>
      <c r="X369" t="str">
        <f>VLOOKUP(C369,Sales_Representatives!$A:$B,2,0)</f>
        <v>Richard Wilson</v>
      </c>
    </row>
    <row r="370" spans="1:24" x14ac:dyDescent="0.3">
      <c r="A370" t="s">
        <v>609</v>
      </c>
      <c r="B370" t="s">
        <v>600</v>
      </c>
      <c r="C370" t="s">
        <v>56</v>
      </c>
      <c r="D370" t="s">
        <v>212</v>
      </c>
      <c r="E370" t="s">
        <v>221</v>
      </c>
      <c r="F370">
        <v>5</v>
      </c>
      <c r="G370">
        <v>210.02</v>
      </c>
      <c r="H370">
        <v>0.01</v>
      </c>
      <c r="I370" s="4">
        <v>1039.5999999999999</v>
      </c>
      <c r="J370" t="s">
        <v>34</v>
      </c>
      <c r="K370" t="s">
        <v>17</v>
      </c>
      <c r="L370" s="4">
        <f>VLOOKUP(tblTransactions[[#This Row],[Product_ID]],tblProducts[],5,FALSE)</f>
        <v>131.66</v>
      </c>
      <c r="M370" s="4">
        <f>tblTransactions[[#This Row],[Total_Amount]]-(tblTransactions[[#This Row],[Cost_Prices]]*tblTransactions[[#This Row],[Quantity]]*(1-tblTransactions[[#This Row],[Discount]]))</f>
        <v>387.88299999999992</v>
      </c>
      <c r="N370" s="3">
        <f>tblTransactions[[#This Row],[Profit]]/tblTransactions[[#This Row],[Total_Amount]]</f>
        <v>0.37310792612543281</v>
      </c>
      <c r="O370" t="str">
        <f>TEXT(tblTransactions[[#This Row],[Date]], "MMM-YYYY")</f>
        <v>Mar-2023</v>
      </c>
      <c r="P370" t="str">
        <f>"Q"&amp;ROUNDUP(MONTH(tblTransactions[[#This Row],[Date]])/3,0)&amp;"-"&amp;YEAR(tblTransactions[[#This Row],[Date]])</f>
        <v>Q1-2023</v>
      </c>
      <c r="Q370">
        <f>YEAR(tblTransactions[[#This Row],[Date]])</f>
        <v>2023</v>
      </c>
      <c r="R370" t="str">
        <f>TEXT(tblTransactions[[#This Row],[Date]],"DDDD")</f>
        <v>Saturday</v>
      </c>
      <c r="S370">
        <f>MONTH(tblTransactions[[#This Row],[Date]])</f>
        <v>3</v>
      </c>
      <c r="T370" t="str">
        <f>VLOOKUP(E370, Products!$A:$B,2,0)</f>
        <v>Storage Fur-2</v>
      </c>
      <c r="U370" t="str">
        <f>VLOOKUP(E370,Products!$A:$C,3,0)</f>
        <v>Furniture</v>
      </c>
      <c r="V370" t="str">
        <f>VLOOKUP(E370,Products!$A:$D,4,0)</f>
        <v>Storage</v>
      </c>
      <c r="W370" t="str">
        <f>VLOOKUP(D370,Customers!$A:$C,3,0)</f>
        <v>B2C</v>
      </c>
      <c r="X370" t="str">
        <f>VLOOKUP(C370,Sales_Representatives!$A:$B,2,0)</f>
        <v>Thomas Hernandez</v>
      </c>
    </row>
    <row r="371" spans="1:24" x14ac:dyDescent="0.3">
      <c r="A371" t="s">
        <v>610</v>
      </c>
      <c r="B371" t="s">
        <v>600</v>
      </c>
      <c r="C371" t="s">
        <v>70</v>
      </c>
      <c r="D371" t="s">
        <v>183</v>
      </c>
      <c r="E371" t="s">
        <v>316</v>
      </c>
      <c r="F371">
        <v>4</v>
      </c>
      <c r="G371">
        <v>91.42</v>
      </c>
      <c r="H371">
        <v>0.04</v>
      </c>
      <c r="I371" s="4">
        <v>351.05</v>
      </c>
      <c r="J371" t="s">
        <v>16</v>
      </c>
      <c r="K371" t="s">
        <v>17</v>
      </c>
      <c r="L371" s="4">
        <f>VLOOKUP(tblTransactions[[#This Row],[Product_ID]],tblProducts[],5,FALSE)</f>
        <v>50.09</v>
      </c>
      <c r="M371" s="4">
        <f>tblTransactions[[#This Row],[Total_Amount]]-(tblTransactions[[#This Row],[Cost_Prices]]*tblTransactions[[#This Row],[Quantity]]*(1-tblTransactions[[#This Row],[Discount]]))</f>
        <v>158.70439999999999</v>
      </c>
      <c r="N371" s="3">
        <f>tblTransactions[[#This Row],[Profit]]/tblTransactions[[#This Row],[Total_Amount]]</f>
        <v>0.45208488819256515</v>
      </c>
      <c r="O371" t="str">
        <f>TEXT(tblTransactions[[#This Row],[Date]], "MMM-YYYY")</f>
        <v>Mar-2023</v>
      </c>
      <c r="P371" t="str">
        <f>"Q"&amp;ROUNDUP(MONTH(tblTransactions[[#This Row],[Date]])/3,0)&amp;"-"&amp;YEAR(tblTransactions[[#This Row],[Date]])</f>
        <v>Q1-2023</v>
      </c>
      <c r="Q371">
        <f>YEAR(tblTransactions[[#This Row],[Date]])</f>
        <v>2023</v>
      </c>
      <c r="R371" t="str">
        <f>TEXT(tblTransactions[[#This Row],[Date]],"DDDD")</f>
        <v>Saturday</v>
      </c>
      <c r="S371">
        <f>MONTH(tblTransactions[[#This Row],[Date]])</f>
        <v>3</v>
      </c>
      <c r="T371" t="str">
        <f>VLOOKUP(E371, Products!$A:$B,2,0)</f>
        <v>Binders Off-3</v>
      </c>
      <c r="U371" t="str">
        <f>VLOOKUP(E371,Products!$A:$C,3,0)</f>
        <v>Office Supplies</v>
      </c>
      <c r="V371" t="str">
        <f>VLOOKUP(E371,Products!$A:$D,4,0)</f>
        <v>Binders</v>
      </c>
      <c r="W371" t="str">
        <f>VLOOKUP(D371,Customers!$A:$C,3,0)</f>
        <v>Small Business</v>
      </c>
      <c r="X371" t="str">
        <f>VLOOKUP(C371,Sales_Representatives!$A:$B,2,0)</f>
        <v>Linda Smith</v>
      </c>
    </row>
    <row r="372" spans="1:24" x14ac:dyDescent="0.3">
      <c r="A372" t="s">
        <v>611</v>
      </c>
      <c r="B372" t="s">
        <v>600</v>
      </c>
      <c r="C372" t="s">
        <v>82</v>
      </c>
      <c r="D372" t="s">
        <v>24</v>
      </c>
      <c r="E372" t="s">
        <v>20</v>
      </c>
      <c r="F372">
        <v>10</v>
      </c>
      <c r="G372">
        <v>1219.49</v>
      </c>
      <c r="H372">
        <v>0.13</v>
      </c>
      <c r="I372" s="4">
        <v>10609.56</v>
      </c>
      <c r="J372" t="s">
        <v>34</v>
      </c>
      <c r="K372" t="s">
        <v>22</v>
      </c>
      <c r="L372" s="4">
        <f>VLOOKUP(tblTransactions[[#This Row],[Product_ID]],tblProducts[],5,FALSE)</f>
        <v>686.9</v>
      </c>
      <c r="M372" s="4">
        <f>tblTransactions[[#This Row],[Total_Amount]]-(tblTransactions[[#This Row],[Cost_Prices]]*tblTransactions[[#This Row],[Quantity]]*(1-tblTransactions[[#This Row],[Discount]]))</f>
        <v>4633.53</v>
      </c>
      <c r="N372" s="3">
        <f>tblTransactions[[#This Row],[Profit]]/tblTransactions[[#This Row],[Total_Amount]]</f>
        <v>0.43673158924592537</v>
      </c>
      <c r="O372" t="str">
        <f>TEXT(tblTransactions[[#This Row],[Date]], "MMM-YYYY")</f>
        <v>Mar-2023</v>
      </c>
      <c r="P372" t="str">
        <f>"Q"&amp;ROUNDUP(MONTH(tblTransactions[[#This Row],[Date]])/3,0)&amp;"-"&amp;YEAR(tblTransactions[[#This Row],[Date]])</f>
        <v>Q1-2023</v>
      </c>
      <c r="Q372">
        <f>YEAR(tblTransactions[[#This Row],[Date]])</f>
        <v>2023</v>
      </c>
      <c r="R372" t="str">
        <f>TEXT(tblTransactions[[#This Row],[Date]],"DDDD")</f>
        <v>Saturday</v>
      </c>
      <c r="S372">
        <f>MONTH(tblTransactions[[#This Row],[Date]])</f>
        <v>3</v>
      </c>
      <c r="T372" t="str">
        <f>VLOOKUP(E372, Products!$A:$B,2,0)</f>
        <v>Laptops Ele-1</v>
      </c>
      <c r="U372" t="str">
        <f>VLOOKUP(E372,Products!$A:$C,3,0)</f>
        <v>Electronics</v>
      </c>
      <c r="V372" t="str">
        <f>VLOOKUP(E372,Products!$A:$D,4,0)</f>
        <v>Laptops</v>
      </c>
      <c r="W372" t="str">
        <f>VLOOKUP(D372,Customers!$A:$C,3,0)</f>
        <v>B2B</v>
      </c>
      <c r="X372" t="str">
        <f>VLOOKUP(C372,Sales_Representatives!$A:$B,2,0)</f>
        <v>John Brown</v>
      </c>
    </row>
    <row r="373" spans="1:24" x14ac:dyDescent="0.3">
      <c r="A373" t="s">
        <v>612</v>
      </c>
      <c r="B373" t="s">
        <v>613</v>
      </c>
      <c r="C373" t="s">
        <v>31</v>
      </c>
      <c r="D373" t="s">
        <v>132</v>
      </c>
      <c r="E373" t="s">
        <v>191</v>
      </c>
      <c r="F373">
        <v>6</v>
      </c>
      <c r="G373">
        <v>1012.75</v>
      </c>
      <c r="H373">
        <v>0.09</v>
      </c>
      <c r="I373" s="4">
        <v>5529.62</v>
      </c>
      <c r="J373" t="s">
        <v>34</v>
      </c>
      <c r="K373" t="s">
        <v>48</v>
      </c>
      <c r="L373" s="4">
        <f>VLOOKUP(tblTransactions[[#This Row],[Product_ID]],tblProducts[],5,FALSE)</f>
        <v>518.53</v>
      </c>
      <c r="M373" s="4">
        <f>tblTransactions[[#This Row],[Total_Amount]]-(tblTransactions[[#This Row],[Cost_Prices]]*tblTransactions[[#This Row],[Quantity]]*(1-tblTransactions[[#This Row],[Discount]]))</f>
        <v>2698.4461999999999</v>
      </c>
      <c r="N373" s="3">
        <f>tblTransactions[[#This Row],[Profit]]/tblTransactions[[#This Row],[Total_Amount]]</f>
        <v>0.48799848814204227</v>
      </c>
      <c r="O373" t="str">
        <f>TEXT(tblTransactions[[#This Row],[Date]], "MMM-YYYY")</f>
        <v>Mar-2023</v>
      </c>
      <c r="P373" t="str">
        <f>"Q"&amp;ROUNDUP(MONTH(tblTransactions[[#This Row],[Date]])/3,0)&amp;"-"&amp;YEAR(tblTransactions[[#This Row],[Date]])</f>
        <v>Q1-2023</v>
      </c>
      <c r="Q373">
        <f>YEAR(tblTransactions[[#This Row],[Date]])</f>
        <v>2023</v>
      </c>
      <c r="R373" t="str">
        <f>TEXT(tblTransactions[[#This Row],[Date]],"DDDD")</f>
        <v>Sunday</v>
      </c>
      <c r="S373">
        <f>MONTH(tblTransactions[[#This Row],[Date]])</f>
        <v>3</v>
      </c>
      <c r="T373" t="str">
        <f>VLOOKUP(E373, Products!$A:$B,2,0)</f>
        <v>Tables Fur-4</v>
      </c>
      <c r="U373" t="str">
        <f>VLOOKUP(E373,Products!$A:$C,3,0)</f>
        <v>Furniture</v>
      </c>
      <c r="V373" t="str">
        <f>VLOOKUP(E373,Products!$A:$D,4,0)</f>
        <v>Tables</v>
      </c>
      <c r="W373" t="str">
        <f>VLOOKUP(D373,Customers!$A:$C,3,0)</f>
        <v>B2B</v>
      </c>
      <c r="X373" t="str">
        <f>VLOOKUP(C373,Sales_Representatives!$A:$B,2,0)</f>
        <v>Thomas Martinez</v>
      </c>
    </row>
    <row r="374" spans="1:24" x14ac:dyDescent="0.3">
      <c r="A374" t="s">
        <v>614</v>
      </c>
      <c r="B374" t="s">
        <v>613</v>
      </c>
      <c r="C374" t="s">
        <v>59</v>
      </c>
      <c r="D374" t="s">
        <v>52</v>
      </c>
      <c r="E374" t="s">
        <v>102</v>
      </c>
      <c r="F374">
        <v>1</v>
      </c>
      <c r="G374">
        <v>1097.75</v>
      </c>
      <c r="H374">
        <v>0.06</v>
      </c>
      <c r="I374" s="4">
        <v>1031.8800000000001</v>
      </c>
      <c r="J374" t="s">
        <v>21</v>
      </c>
      <c r="K374" t="s">
        <v>39</v>
      </c>
      <c r="L374" s="4">
        <f>VLOOKUP(tblTransactions[[#This Row],[Product_ID]],tblProducts[],5,FALSE)</f>
        <v>680.12</v>
      </c>
      <c r="M374" s="4">
        <f>tblTransactions[[#This Row],[Total_Amount]]-(tblTransactions[[#This Row],[Cost_Prices]]*tblTransactions[[#This Row],[Quantity]]*(1-tblTransactions[[#This Row],[Discount]]))</f>
        <v>392.56720000000018</v>
      </c>
      <c r="N374" s="3">
        <f>tblTransactions[[#This Row],[Profit]]/tblTransactions[[#This Row],[Total_Amount]]</f>
        <v>0.38043881071442431</v>
      </c>
      <c r="O374" t="str">
        <f>TEXT(tblTransactions[[#This Row],[Date]], "MMM-YYYY")</f>
        <v>Mar-2023</v>
      </c>
      <c r="P374" t="str">
        <f>"Q"&amp;ROUNDUP(MONTH(tblTransactions[[#This Row],[Date]])/3,0)&amp;"-"&amp;YEAR(tblTransactions[[#This Row],[Date]])</f>
        <v>Q1-2023</v>
      </c>
      <c r="Q374">
        <f>YEAR(tblTransactions[[#This Row],[Date]])</f>
        <v>2023</v>
      </c>
      <c r="R374" t="str">
        <f>TEXT(tblTransactions[[#This Row],[Date]],"DDDD")</f>
        <v>Sunday</v>
      </c>
      <c r="S374">
        <f>MONTH(tblTransactions[[#This Row],[Date]])</f>
        <v>3</v>
      </c>
      <c r="T374" t="str">
        <f>VLOOKUP(E374, Products!$A:$B,2,0)</f>
        <v>Storage Fur-4</v>
      </c>
      <c r="U374" t="str">
        <f>VLOOKUP(E374,Products!$A:$C,3,0)</f>
        <v>Furniture</v>
      </c>
      <c r="V374" t="str">
        <f>VLOOKUP(E374,Products!$A:$D,4,0)</f>
        <v>Storage</v>
      </c>
      <c r="W374" t="str">
        <f>VLOOKUP(D374,Customers!$A:$C,3,0)</f>
        <v>B2C</v>
      </c>
      <c r="X374" t="str">
        <f>VLOOKUP(C374,Sales_Representatives!$A:$B,2,0)</f>
        <v>Sarah Brown</v>
      </c>
    </row>
    <row r="375" spans="1:24" x14ac:dyDescent="0.3">
      <c r="A375" t="s">
        <v>615</v>
      </c>
      <c r="B375" t="s">
        <v>613</v>
      </c>
      <c r="C375" t="s">
        <v>31</v>
      </c>
      <c r="D375" t="s">
        <v>52</v>
      </c>
      <c r="E375" t="s">
        <v>243</v>
      </c>
      <c r="F375">
        <v>5</v>
      </c>
      <c r="G375">
        <v>384.18</v>
      </c>
      <c r="H375">
        <v>0.05</v>
      </c>
      <c r="I375" s="4">
        <v>1824.86</v>
      </c>
      <c r="J375" t="s">
        <v>34</v>
      </c>
      <c r="K375" t="s">
        <v>35</v>
      </c>
      <c r="L375" s="4">
        <f>VLOOKUP(tblTransactions[[#This Row],[Product_ID]],tblProducts[],5,FALSE)</f>
        <v>266.92</v>
      </c>
      <c r="M375" s="4">
        <f>tblTransactions[[#This Row],[Total_Amount]]-(tblTransactions[[#This Row],[Cost_Prices]]*tblTransactions[[#This Row],[Quantity]]*(1-tblTransactions[[#This Row],[Discount]]))</f>
        <v>556.98999999999978</v>
      </c>
      <c r="N375" s="3">
        <f>tblTransactions[[#This Row],[Profit]]/tblTransactions[[#This Row],[Total_Amount]]</f>
        <v>0.30522341439891271</v>
      </c>
      <c r="O375" t="str">
        <f>TEXT(tblTransactions[[#This Row],[Date]], "MMM-YYYY")</f>
        <v>Mar-2023</v>
      </c>
      <c r="P375" t="str">
        <f>"Q"&amp;ROUNDUP(MONTH(tblTransactions[[#This Row],[Date]])/3,0)&amp;"-"&amp;YEAR(tblTransactions[[#This Row],[Date]])</f>
        <v>Q1-2023</v>
      </c>
      <c r="Q375">
        <f>YEAR(tblTransactions[[#This Row],[Date]])</f>
        <v>2023</v>
      </c>
      <c r="R375" t="str">
        <f>TEXT(tblTransactions[[#This Row],[Date]],"DDDD")</f>
        <v>Sunday</v>
      </c>
      <c r="S375">
        <f>MONTH(tblTransactions[[#This Row],[Date]])</f>
        <v>3</v>
      </c>
      <c r="T375" t="str">
        <f>VLOOKUP(E375, Products!$A:$B,2,0)</f>
        <v>Routers Tec-3</v>
      </c>
      <c r="U375" t="str">
        <f>VLOOKUP(E375,Products!$A:$C,3,0)</f>
        <v>Technology</v>
      </c>
      <c r="V375" t="str">
        <f>VLOOKUP(E375,Products!$A:$D,4,0)</f>
        <v>Routers</v>
      </c>
      <c r="W375" t="str">
        <f>VLOOKUP(D375,Customers!$A:$C,3,0)</f>
        <v>B2C</v>
      </c>
      <c r="X375" t="str">
        <f>VLOOKUP(C375,Sales_Representatives!$A:$B,2,0)</f>
        <v>Thomas Martinez</v>
      </c>
    </row>
    <row r="376" spans="1:24" x14ac:dyDescent="0.3">
      <c r="A376" t="s">
        <v>616</v>
      </c>
      <c r="B376" t="s">
        <v>617</v>
      </c>
      <c r="C376" t="s">
        <v>27</v>
      </c>
      <c r="D376" t="s">
        <v>203</v>
      </c>
      <c r="E376" t="s">
        <v>299</v>
      </c>
      <c r="F376">
        <v>46</v>
      </c>
      <c r="G376">
        <v>963.44</v>
      </c>
      <c r="H376">
        <v>0.23</v>
      </c>
      <c r="I376" s="4">
        <v>34125.040000000001</v>
      </c>
      <c r="J376" t="s">
        <v>16</v>
      </c>
      <c r="K376" t="s">
        <v>35</v>
      </c>
      <c r="L376" s="4">
        <f>VLOOKUP(tblTransactions[[#This Row],[Product_ID]],tblProducts[],5,FALSE)</f>
        <v>578.96</v>
      </c>
      <c r="M376" s="4">
        <f>tblTransactions[[#This Row],[Total_Amount]]-(tblTransactions[[#This Row],[Cost_Prices]]*tblTransactions[[#This Row],[Quantity]]*(1-tblTransactions[[#This Row],[Discount]]))</f>
        <v>13618.276799999996</v>
      </c>
      <c r="N376" s="3">
        <f>tblTransactions[[#This Row],[Profit]]/tblTransactions[[#This Row],[Total_Amount]]</f>
        <v>0.39906991464332336</v>
      </c>
      <c r="O376" t="str">
        <f>TEXT(tblTransactions[[#This Row],[Date]], "MMM-YYYY")</f>
        <v>Mar-2023</v>
      </c>
      <c r="P376" t="str">
        <f>"Q"&amp;ROUNDUP(MONTH(tblTransactions[[#This Row],[Date]])/3,0)&amp;"-"&amp;YEAR(tblTransactions[[#This Row],[Date]])</f>
        <v>Q1-2023</v>
      </c>
      <c r="Q376">
        <f>YEAR(tblTransactions[[#This Row],[Date]])</f>
        <v>2023</v>
      </c>
      <c r="R376" t="str">
        <f>TEXT(tblTransactions[[#This Row],[Date]],"DDDD")</f>
        <v>Monday</v>
      </c>
      <c r="S376">
        <f>MONTH(tblTransactions[[#This Row],[Date]])</f>
        <v>3</v>
      </c>
      <c r="T376" t="str">
        <f>VLOOKUP(E376, Products!$A:$B,2,0)</f>
        <v>Chairs Fur-4</v>
      </c>
      <c r="U376" t="str">
        <f>VLOOKUP(E376,Products!$A:$C,3,0)</f>
        <v>Furniture</v>
      </c>
      <c r="V376" t="str">
        <f>VLOOKUP(E376,Products!$A:$D,4,0)</f>
        <v>Chairs</v>
      </c>
      <c r="W376" t="str">
        <f>VLOOKUP(D376,Customers!$A:$C,3,0)</f>
        <v>Enterprise</v>
      </c>
      <c r="X376" t="str">
        <f>VLOOKUP(C376,Sales_Representatives!$A:$B,2,0)</f>
        <v>Thomas Lopez</v>
      </c>
    </row>
    <row r="377" spans="1:24" x14ac:dyDescent="0.3">
      <c r="A377" t="s">
        <v>618</v>
      </c>
      <c r="B377" t="s">
        <v>617</v>
      </c>
      <c r="C377" t="s">
        <v>63</v>
      </c>
      <c r="D377" t="s">
        <v>237</v>
      </c>
      <c r="E377" t="s">
        <v>137</v>
      </c>
      <c r="F377">
        <v>5</v>
      </c>
      <c r="G377">
        <v>241.39</v>
      </c>
      <c r="H377">
        <v>7.0000000000000007E-2</v>
      </c>
      <c r="I377" s="4">
        <v>1122.46</v>
      </c>
      <c r="J377" t="s">
        <v>21</v>
      </c>
      <c r="K377" t="s">
        <v>17</v>
      </c>
      <c r="L377" s="4">
        <f>VLOOKUP(tblTransactions[[#This Row],[Product_ID]],tblProducts[],5,FALSE)</f>
        <v>124.07</v>
      </c>
      <c r="M377" s="4">
        <f>tblTransactions[[#This Row],[Total_Amount]]-(tblTransactions[[#This Row],[Cost_Prices]]*tblTransactions[[#This Row],[Quantity]]*(1-tblTransactions[[#This Row],[Discount]]))</f>
        <v>545.53450000000021</v>
      </c>
      <c r="N377" s="3">
        <f>tblTransactions[[#This Row],[Profit]]/tblTransactions[[#This Row],[Total_Amount]]</f>
        <v>0.48601687365251339</v>
      </c>
      <c r="O377" t="str">
        <f>TEXT(tblTransactions[[#This Row],[Date]], "MMM-YYYY")</f>
        <v>Mar-2023</v>
      </c>
      <c r="P377" t="str">
        <f>"Q"&amp;ROUNDUP(MONTH(tblTransactions[[#This Row],[Date]])/3,0)&amp;"-"&amp;YEAR(tblTransactions[[#This Row],[Date]])</f>
        <v>Q1-2023</v>
      </c>
      <c r="Q377">
        <f>YEAR(tblTransactions[[#This Row],[Date]])</f>
        <v>2023</v>
      </c>
      <c r="R377" t="str">
        <f>TEXT(tblTransactions[[#This Row],[Date]],"DDDD")</f>
        <v>Monday</v>
      </c>
      <c r="S377">
        <f>MONTH(tblTransactions[[#This Row],[Date]])</f>
        <v>3</v>
      </c>
      <c r="T377" t="str">
        <f>VLOOKUP(E377, Products!$A:$B,2,0)</f>
        <v>Desks Fur-2</v>
      </c>
      <c r="U377" t="str">
        <f>VLOOKUP(E377,Products!$A:$C,3,0)</f>
        <v>Furniture</v>
      </c>
      <c r="V377" t="str">
        <f>VLOOKUP(E377,Products!$A:$D,4,0)</f>
        <v>Desks</v>
      </c>
      <c r="W377" t="str">
        <f>VLOOKUP(D377,Customers!$A:$C,3,0)</f>
        <v>B2B</v>
      </c>
      <c r="X377" t="str">
        <f>VLOOKUP(C377,Sales_Representatives!$A:$B,2,0)</f>
        <v>Richard Wilson</v>
      </c>
    </row>
    <row r="378" spans="1:24" x14ac:dyDescent="0.3">
      <c r="A378" t="s">
        <v>619</v>
      </c>
      <c r="B378" t="s">
        <v>617</v>
      </c>
      <c r="C378" t="s">
        <v>70</v>
      </c>
      <c r="D378" t="s">
        <v>190</v>
      </c>
      <c r="E378" t="s">
        <v>255</v>
      </c>
      <c r="F378">
        <v>11</v>
      </c>
      <c r="G378">
        <v>1444.13</v>
      </c>
      <c r="H378">
        <v>0.15</v>
      </c>
      <c r="I378" s="4">
        <v>13502.62</v>
      </c>
      <c r="J378" t="s">
        <v>16</v>
      </c>
      <c r="K378" t="s">
        <v>48</v>
      </c>
      <c r="L378" s="4">
        <f>VLOOKUP(tblTransactions[[#This Row],[Product_ID]],tblProducts[],5,FALSE)</f>
        <v>874.43</v>
      </c>
      <c r="M378" s="4">
        <f>tblTransactions[[#This Row],[Total_Amount]]-(tblTransactions[[#This Row],[Cost_Prices]]*tblTransactions[[#This Row],[Quantity]]*(1-tblTransactions[[#This Row],[Discount]]))</f>
        <v>5326.6995000000015</v>
      </c>
      <c r="N378" s="3">
        <f>tblTransactions[[#This Row],[Profit]]/tblTransactions[[#This Row],[Total_Amount]]</f>
        <v>0.39449377231974248</v>
      </c>
      <c r="O378" t="str">
        <f>TEXT(tblTransactions[[#This Row],[Date]], "MMM-YYYY")</f>
        <v>Mar-2023</v>
      </c>
      <c r="P378" t="str">
        <f>"Q"&amp;ROUNDUP(MONTH(tblTransactions[[#This Row],[Date]])/3,0)&amp;"-"&amp;YEAR(tblTransactions[[#This Row],[Date]])</f>
        <v>Q1-2023</v>
      </c>
      <c r="Q378">
        <f>YEAR(tblTransactions[[#This Row],[Date]])</f>
        <v>2023</v>
      </c>
      <c r="R378" t="str">
        <f>TEXT(tblTransactions[[#This Row],[Date]],"DDDD")</f>
        <v>Monday</v>
      </c>
      <c r="S378">
        <f>MONTH(tblTransactions[[#This Row],[Date]])</f>
        <v>3</v>
      </c>
      <c r="T378" t="str">
        <f>VLOOKUP(E378, Products!$A:$B,2,0)</f>
        <v>Printers Tec-1</v>
      </c>
      <c r="U378" t="str">
        <f>VLOOKUP(E378,Products!$A:$C,3,0)</f>
        <v>Technology</v>
      </c>
      <c r="V378" t="str">
        <f>VLOOKUP(E378,Products!$A:$D,4,0)</f>
        <v>Printers</v>
      </c>
      <c r="W378" t="str">
        <f>VLOOKUP(D378,Customers!$A:$C,3,0)</f>
        <v>B2B</v>
      </c>
      <c r="X378" t="str">
        <f>VLOOKUP(C378,Sales_Representatives!$A:$B,2,0)</f>
        <v>Linda Smith</v>
      </c>
    </row>
    <row r="379" spans="1:24" x14ac:dyDescent="0.3">
      <c r="A379" t="s">
        <v>620</v>
      </c>
      <c r="B379" t="s">
        <v>617</v>
      </c>
      <c r="C379" t="s">
        <v>19</v>
      </c>
      <c r="D379" t="s">
        <v>71</v>
      </c>
      <c r="E379" t="s">
        <v>79</v>
      </c>
      <c r="F379">
        <v>13</v>
      </c>
      <c r="G379">
        <v>1452.36</v>
      </c>
      <c r="H379">
        <v>0.11</v>
      </c>
      <c r="I379" s="4">
        <v>16803.810000000001</v>
      </c>
      <c r="J379" t="s">
        <v>21</v>
      </c>
      <c r="K379" t="s">
        <v>22</v>
      </c>
      <c r="L379" s="4">
        <f>VLOOKUP(tblTransactions[[#This Row],[Product_ID]],tblProducts[],5,FALSE)</f>
        <v>778.71</v>
      </c>
      <c r="M379" s="4">
        <f>tblTransactions[[#This Row],[Total_Amount]]-(tblTransactions[[#This Row],[Cost_Prices]]*tblTransactions[[#This Row],[Quantity]]*(1-tblTransactions[[#This Row],[Discount]]))</f>
        <v>7794.1353000000017</v>
      </c>
      <c r="N379" s="3">
        <f>tblTransactions[[#This Row],[Profit]]/tblTransactions[[#This Row],[Total_Amount]]</f>
        <v>0.46383143465678328</v>
      </c>
      <c r="O379" t="str">
        <f>TEXT(tblTransactions[[#This Row],[Date]], "MMM-YYYY")</f>
        <v>Mar-2023</v>
      </c>
      <c r="P379" t="str">
        <f>"Q"&amp;ROUNDUP(MONTH(tblTransactions[[#This Row],[Date]])/3,0)&amp;"-"&amp;YEAR(tblTransactions[[#This Row],[Date]])</f>
        <v>Q1-2023</v>
      </c>
      <c r="Q379">
        <f>YEAR(tblTransactions[[#This Row],[Date]])</f>
        <v>2023</v>
      </c>
      <c r="R379" t="str">
        <f>TEXT(tblTransactions[[#This Row],[Date]],"DDDD")</f>
        <v>Monday</v>
      </c>
      <c r="S379">
        <f>MONTH(tblTransactions[[#This Row],[Date]])</f>
        <v>3</v>
      </c>
      <c r="T379" t="str">
        <f>VLOOKUP(E379, Products!$A:$B,2,0)</f>
        <v>Tables Fur-2</v>
      </c>
      <c r="U379" t="str">
        <f>VLOOKUP(E379,Products!$A:$C,3,0)</f>
        <v>Furniture</v>
      </c>
      <c r="V379" t="str">
        <f>VLOOKUP(E379,Products!$A:$D,4,0)</f>
        <v>Tables</v>
      </c>
      <c r="W379" t="str">
        <f>VLOOKUP(D379,Customers!$A:$C,3,0)</f>
        <v>B2B</v>
      </c>
      <c r="X379" t="str">
        <f>VLOOKUP(C379,Sales_Representatives!$A:$B,2,0)</f>
        <v>Robert Jones</v>
      </c>
    </row>
    <row r="380" spans="1:24" x14ac:dyDescent="0.3">
      <c r="A380" t="s">
        <v>621</v>
      </c>
      <c r="B380" t="s">
        <v>617</v>
      </c>
      <c r="C380" t="s">
        <v>59</v>
      </c>
      <c r="D380" t="s">
        <v>144</v>
      </c>
      <c r="E380" t="s">
        <v>587</v>
      </c>
      <c r="F380">
        <v>6</v>
      </c>
      <c r="G380">
        <v>58.54</v>
      </c>
      <c r="H380">
        <v>0.12</v>
      </c>
      <c r="I380" s="4">
        <v>309.08999999999997</v>
      </c>
      <c r="J380" t="s">
        <v>21</v>
      </c>
      <c r="K380" t="s">
        <v>48</v>
      </c>
      <c r="L380" s="4">
        <f>VLOOKUP(tblTransactions[[#This Row],[Product_ID]],tblProducts[],5,FALSE)</f>
        <v>25.43</v>
      </c>
      <c r="M380" s="4">
        <f>tblTransactions[[#This Row],[Total_Amount]]-(tblTransactions[[#This Row],[Cost_Prices]]*tblTransactions[[#This Row],[Quantity]]*(1-tblTransactions[[#This Row],[Discount]]))</f>
        <v>174.81959999999998</v>
      </c>
      <c r="N380" s="3">
        <f>tblTransactions[[#This Row],[Profit]]/tblTransactions[[#This Row],[Total_Amount]]</f>
        <v>0.56559448704260895</v>
      </c>
      <c r="O380" t="str">
        <f>TEXT(tblTransactions[[#This Row],[Date]], "MMM-YYYY")</f>
        <v>Mar-2023</v>
      </c>
      <c r="P380" t="str">
        <f>"Q"&amp;ROUNDUP(MONTH(tblTransactions[[#This Row],[Date]])/3,0)&amp;"-"&amp;YEAR(tblTransactions[[#This Row],[Date]])</f>
        <v>Q1-2023</v>
      </c>
      <c r="Q380">
        <f>YEAR(tblTransactions[[#This Row],[Date]])</f>
        <v>2023</v>
      </c>
      <c r="R380" t="str">
        <f>TEXT(tblTransactions[[#This Row],[Date]],"DDDD")</f>
        <v>Monday</v>
      </c>
      <c r="S380">
        <f>MONTH(tblTransactions[[#This Row],[Date]])</f>
        <v>3</v>
      </c>
      <c r="T380" t="str">
        <f>VLOOKUP(E380, Products!$A:$B,2,0)</f>
        <v>Paper Off-2</v>
      </c>
      <c r="U380" t="str">
        <f>VLOOKUP(E380,Products!$A:$C,3,0)</f>
        <v>Office Supplies</v>
      </c>
      <c r="V380" t="str">
        <f>VLOOKUP(E380,Products!$A:$D,4,0)</f>
        <v>Paper</v>
      </c>
      <c r="W380" t="str">
        <f>VLOOKUP(D380,Customers!$A:$C,3,0)</f>
        <v>B2C</v>
      </c>
      <c r="X380" t="str">
        <f>VLOOKUP(C380,Sales_Representatives!$A:$B,2,0)</f>
        <v>Sarah Brown</v>
      </c>
    </row>
    <row r="381" spans="1:24" x14ac:dyDescent="0.3">
      <c r="A381" t="s">
        <v>622</v>
      </c>
      <c r="B381" t="s">
        <v>623</v>
      </c>
      <c r="C381" t="s">
        <v>131</v>
      </c>
      <c r="D381" t="s">
        <v>237</v>
      </c>
      <c r="E381" t="s">
        <v>339</v>
      </c>
      <c r="F381">
        <v>2</v>
      </c>
      <c r="G381">
        <v>1100.8800000000001</v>
      </c>
      <c r="H381">
        <v>0.01</v>
      </c>
      <c r="I381" s="4">
        <v>2179.7399999999998</v>
      </c>
      <c r="J381" t="s">
        <v>44</v>
      </c>
      <c r="K381" t="s">
        <v>17</v>
      </c>
      <c r="L381" s="4">
        <f>VLOOKUP(tblTransactions[[#This Row],[Product_ID]],tblProducts[],5,FALSE)</f>
        <v>761.53</v>
      </c>
      <c r="M381" s="4">
        <f>tblTransactions[[#This Row],[Total_Amount]]-(tblTransactions[[#This Row],[Cost_Prices]]*tblTransactions[[#This Row],[Quantity]]*(1-tblTransactions[[#This Row],[Discount]]))</f>
        <v>671.91059999999993</v>
      </c>
      <c r="N381" s="3">
        <f>tblTransactions[[#This Row],[Profit]]/tblTransactions[[#This Row],[Total_Amount]]</f>
        <v>0.30825263563544275</v>
      </c>
      <c r="O381" t="str">
        <f>TEXT(tblTransactions[[#This Row],[Date]], "MMM-YYYY")</f>
        <v>Mar-2023</v>
      </c>
      <c r="P381" t="str">
        <f>"Q"&amp;ROUNDUP(MONTH(tblTransactions[[#This Row],[Date]])/3,0)&amp;"-"&amp;YEAR(tblTransactions[[#This Row],[Date]])</f>
        <v>Q1-2023</v>
      </c>
      <c r="Q381">
        <f>YEAR(tblTransactions[[#This Row],[Date]])</f>
        <v>2023</v>
      </c>
      <c r="R381" t="str">
        <f>TEXT(tblTransactions[[#This Row],[Date]],"DDDD")</f>
        <v>Tuesday</v>
      </c>
      <c r="S381">
        <f>MONTH(tblTransactions[[#This Row],[Date]])</f>
        <v>3</v>
      </c>
      <c r="T381" t="str">
        <f>VLOOKUP(E381, Products!$A:$B,2,0)</f>
        <v>Phones Ele-2</v>
      </c>
      <c r="U381" t="str">
        <f>VLOOKUP(E381,Products!$A:$C,3,0)</f>
        <v>Electronics</v>
      </c>
      <c r="V381" t="str">
        <f>VLOOKUP(E381,Products!$A:$D,4,0)</f>
        <v>Phones</v>
      </c>
      <c r="W381" t="str">
        <f>VLOOKUP(D381,Customers!$A:$C,3,0)</f>
        <v>B2B</v>
      </c>
      <c r="X381" t="str">
        <f>VLOOKUP(C381,Sales_Representatives!$A:$B,2,0)</f>
        <v>Michael Davis</v>
      </c>
    </row>
    <row r="382" spans="1:24" x14ac:dyDescent="0.3">
      <c r="A382" t="s">
        <v>624</v>
      </c>
      <c r="B382" t="s">
        <v>623</v>
      </c>
      <c r="C382" t="s">
        <v>141</v>
      </c>
      <c r="D382" t="s">
        <v>93</v>
      </c>
      <c r="E382" t="s">
        <v>116</v>
      </c>
      <c r="F382">
        <v>5</v>
      </c>
      <c r="G382">
        <v>232.86</v>
      </c>
      <c r="H382">
        <v>0.05</v>
      </c>
      <c r="I382" s="4">
        <v>1106.0899999999999</v>
      </c>
      <c r="J382" t="s">
        <v>109</v>
      </c>
      <c r="K382" t="s">
        <v>17</v>
      </c>
      <c r="L382" s="4">
        <f>VLOOKUP(tblTransactions[[#This Row],[Product_ID]],tblProducts[],5,FALSE)</f>
        <v>116.79</v>
      </c>
      <c r="M382" s="4">
        <f>tblTransactions[[#This Row],[Total_Amount]]-(tblTransactions[[#This Row],[Cost_Prices]]*tblTransactions[[#This Row],[Quantity]]*(1-tblTransactions[[#This Row],[Discount]]))</f>
        <v>551.33749999999986</v>
      </c>
      <c r="N382" s="3">
        <f>tblTransactions[[#This Row],[Profit]]/tblTransactions[[#This Row],[Total_Amount]]</f>
        <v>0.498456273901762</v>
      </c>
      <c r="O382" t="str">
        <f>TEXT(tblTransactions[[#This Row],[Date]], "MMM-YYYY")</f>
        <v>Mar-2023</v>
      </c>
      <c r="P382" t="str">
        <f>"Q"&amp;ROUNDUP(MONTH(tblTransactions[[#This Row],[Date]])/3,0)&amp;"-"&amp;YEAR(tblTransactions[[#This Row],[Date]])</f>
        <v>Q1-2023</v>
      </c>
      <c r="Q382">
        <f>YEAR(tblTransactions[[#This Row],[Date]])</f>
        <v>2023</v>
      </c>
      <c r="R382" t="str">
        <f>TEXT(tblTransactions[[#This Row],[Date]],"DDDD")</f>
        <v>Tuesday</v>
      </c>
      <c r="S382">
        <f>MONTH(tblTransactions[[#This Row],[Date]])</f>
        <v>3</v>
      </c>
      <c r="T382" t="str">
        <f>VLOOKUP(E382, Products!$A:$B,2,0)</f>
        <v>Folders Off-4</v>
      </c>
      <c r="U382" t="str">
        <f>VLOOKUP(E382,Products!$A:$C,3,0)</f>
        <v>Office Supplies</v>
      </c>
      <c r="V382" t="str">
        <f>VLOOKUP(E382,Products!$A:$D,4,0)</f>
        <v>Folders</v>
      </c>
      <c r="W382" t="str">
        <f>VLOOKUP(D382,Customers!$A:$C,3,0)</f>
        <v>B2C</v>
      </c>
      <c r="X382" t="str">
        <f>VLOOKUP(C382,Sales_Representatives!$A:$B,2,0)</f>
        <v>Richard Garcia</v>
      </c>
    </row>
    <row r="383" spans="1:24" x14ac:dyDescent="0.3">
      <c r="A383" t="s">
        <v>625</v>
      </c>
      <c r="B383" t="s">
        <v>623</v>
      </c>
      <c r="C383" t="s">
        <v>31</v>
      </c>
      <c r="D383" t="s">
        <v>210</v>
      </c>
      <c r="E383" t="s">
        <v>264</v>
      </c>
      <c r="F383">
        <v>4</v>
      </c>
      <c r="G383">
        <v>607.29999999999995</v>
      </c>
      <c r="H383">
        <v>0.08</v>
      </c>
      <c r="I383" s="4">
        <v>2234.86</v>
      </c>
      <c r="J383" t="s">
        <v>34</v>
      </c>
      <c r="K383" t="s">
        <v>39</v>
      </c>
      <c r="L383" s="4">
        <f>VLOOKUP(tblTransactions[[#This Row],[Product_ID]],tblProducts[],5,FALSE)</f>
        <v>436.37</v>
      </c>
      <c r="M383" s="4">
        <f>tblTransactions[[#This Row],[Total_Amount]]-(tblTransactions[[#This Row],[Cost_Prices]]*tblTransactions[[#This Row],[Quantity]]*(1-tblTransactions[[#This Row],[Discount]]))</f>
        <v>629.01839999999993</v>
      </c>
      <c r="N383" s="3">
        <f>tblTransactions[[#This Row],[Profit]]/tblTransactions[[#This Row],[Total_Amount]]</f>
        <v>0.28145763045559896</v>
      </c>
      <c r="O383" t="str">
        <f>TEXT(tblTransactions[[#This Row],[Date]], "MMM-YYYY")</f>
        <v>Mar-2023</v>
      </c>
      <c r="P383" t="str">
        <f>"Q"&amp;ROUNDUP(MONTH(tblTransactions[[#This Row],[Date]])/3,0)&amp;"-"&amp;YEAR(tblTransactions[[#This Row],[Date]])</f>
        <v>Q1-2023</v>
      </c>
      <c r="Q383">
        <f>YEAR(tblTransactions[[#This Row],[Date]])</f>
        <v>2023</v>
      </c>
      <c r="R383" t="str">
        <f>TEXT(tblTransactions[[#This Row],[Date]],"DDDD")</f>
        <v>Tuesday</v>
      </c>
      <c r="S383">
        <f>MONTH(tblTransactions[[#This Row],[Date]])</f>
        <v>3</v>
      </c>
      <c r="T383" t="str">
        <f>VLOOKUP(E383, Products!$A:$B,2,0)</f>
        <v>Tablets Ele-4</v>
      </c>
      <c r="U383" t="str">
        <f>VLOOKUP(E383,Products!$A:$C,3,0)</f>
        <v>Electronics</v>
      </c>
      <c r="V383" t="str">
        <f>VLOOKUP(E383,Products!$A:$D,4,0)</f>
        <v>Tablets</v>
      </c>
      <c r="W383" t="str">
        <f>VLOOKUP(D383,Customers!$A:$C,3,0)</f>
        <v>B2B</v>
      </c>
      <c r="X383" t="str">
        <f>VLOOKUP(C383,Sales_Representatives!$A:$B,2,0)</f>
        <v>Thomas Martinez</v>
      </c>
    </row>
    <row r="384" spans="1:24" x14ac:dyDescent="0.3">
      <c r="A384" t="s">
        <v>626</v>
      </c>
      <c r="B384" t="s">
        <v>623</v>
      </c>
      <c r="C384" t="s">
        <v>41</v>
      </c>
      <c r="D384" t="s">
        <v>93</v>
      </c>
      <c r="E384" t="s">
        <v>20</v>
      </c>
      <c r="F384">
        <v>5</v>
      </c>
      <c r="G384">
        <v>1219.49</v>
      </c>
      <c r="H384">
        <v>0.01</v>
      </c>
      <c r="I384" s="4">
        <v>6036.48</v>
      </c>
      <c r="J384" t="s">
        <v>44</v>
      </c>
      <c r="K384" t="s">
        <v>17</v>
      </c>
      <c r="L384" s="4">
        <f>VLOOKUP(tblTransactions[[#This Row],[Product_ID]],tblProducts[],5,FALSE)</f>
        <v>686.9</v>
      </c>
      <c r="M384" s="4">
        <f>tblTransactions[[#This Row],[Total_Amount]]-(tblTransactions[[#This Row],[Cost_Prices]]*tblTransactions[[#This Row],[Quantity]]*(1-tblTransactions[[#This Row],[Discount]]))</f>
        <v>2636.3249999999998</v>
      </c>
      <c r="N384" s="3">
        <f>tblTransactions[[#This Row],[Profit]]/tblTransactions[[#This Row],[Total_Amount]]</f>
        <v>0.43673216841603052</v>
      </c>
      <c r="O384" t="str">
        <f>TEXT(tblTransactions[[#This Row],[Date]], "MMM-YYYY")</f>
        <v>Mar-2023</v>
      </c>
      <c r="P384" t="str">
        <f>"Q"&amp;ROUNDUP(MONTH(tblTransactions[[#This Row],[Date]])/3,0)&amp;"-"&amp;YEAR(tblTransactions[[#This Row],[Date]])</f>
        <v>Q1-2023</v>
      </c>
      <c r="Q384">
        <f>YEAR(tblTransactions[[#This Row],[Date]])</f>
        <v>2023</v>
      </c>
      <c r="R384" t="str">
        <f>TEXT(tblTransactions[[#This Row],[Date]],"DDDD")</f>
        <v>Tuesday</v>
      </c>
      <c r="S384">
        <f>MONTH(tblTransactions[[#This Row],[Date]])</f>
        <v>3</v>
      </c>
      <c r="T384" t="str">
        <f>VLOOKUP(E384, Products!$A:$B,2,0)</f>
        <v>Laptops Ele-1</v>
      </c>
      <c r="U384" t="str">
        <f>VLOOKUP(E384,Products!$A:$C,3,0)</f>
        <v>Electronics</v>
      </c>
      <c r="V384" t="str">
        <f>VLOOKUP(E384,Products!$A:$D,4,0)</f>
        <v>Laptops</v>
      </c>
      <c r="W384" t="str">
        <f>VLOOKUP(D384,Customers!$A:$C,3,0)</f>
        <v>B2C</v>
      </c>
      <c r="X384" t="str">
        <f>VLOOKUP(C384,Sales_Representatives!$A:$B,2,0)</f>
        <v>Robert Jones</v>
      </c>
    </row>
    <row r="385" spans="1:24" x14ac:dyDescent="0.3">
      <c r="A385" t="s">
        <v>627</v>
      </c>
      <c r="B385" t="s">
        <v>623</v>
      </c>
      <c r="C385" t="s">
        <v>127</v>
      </c>
      <c r="D385" t="s">
        <v>527</v>
      </c>
      <c r="E385" t="s">
        <v>191</v>
      </c>
      <c r="F385">
        <v>1</v>
      </c>
      <c r="G385">
        <v>1012.75</v>
      </c>
      <c r="H385">
        <v>0.04</v>
      </c>
      <c r="I385" s="4">
        <v>972.24</v>
      </c>
      <c r="J385" t="s">
        <v>109</v>
      </c>
      <c r="K385" t="s">
        <v>17</v>
      </c>
      <c r="L385" s="4">
        <f>VLOOKUP(tblTransactions[[#This Row],[Product_ID]],tblProducts[],5,FALSE)</f>
        <v>518.53</v>
      </c>
      <c r="M385" s="4">
        <f>tblTransactions[[#This Row],[Total_Amount]]-(tblTransactions[[#This Row],[Cost_Prices]]*tblTransactions[[#This Row],[Quantity]]*(1-tblTransactions[[#This Row],[Discount]]))</f>
        <v>474.45120000000003</v>
      </c>
      <c r="N385" s="3">
        <f>tblTransactions[[#This Row],[Profit]]/tblTransactions[[#This Row],[Total_Amount]]</f>
        <v>0.48799802517896818</v>
      </c>
      <c r="O385" t="str">
        <f>TEXT(tblTransactions[[#This Row],[Date]], "MMM-YYYY")</f>
        <v>Mar-2023</v>
      </c>
      <c r="P385" t="str">
        <f>"Q"&amp;ROUNDUP(MONTH(tblTransactions[[#This Row],[Date]])/3,0)&amp;"-"&amp;YEAR(tblTransactions[[#This Row],[Date]])</f>
        <v>Q1-2023</v>
      </c>
      <c r="Q385">
        <f>YEAR(tblTransactions[[#This Row],[Date]])</f>
        <v>2023</v>
      </c>
      <c r="R385" t="str">
        <f>TEXT(tblTransactions[[#This Row],[Date]],"DDDD")</f>
        <v>Tuesday</v>
      </c>
      <c r="S385">
        <f>MONTH(tblTransactions[[#This Row],[Date]])</f>
        <v>3</v>
      </c>
      <c r="T385" t="str">
        <f>VLOOKUP(E385, Products!$A:$B,2,0)</f>
        <v>Tables Fur-4</v>
      </c>
      <c r="U385" t="str">
        <f>VLOOKUP(E385,Products!$A:$C,3,0)</f>
        <v>Furniture</v>
      </c>
      <c r="V385" t="str">
        <f>VLOOKUP(E385,Products!$A:$D,4,0)</f>
        <v>Tables</v>
      </c>
      <c r="W385" t="str">
        <f>VLOOKUP(D385,Customers!$A:$C,3,0)</f>
        <v>B2C</v>
      </c>
      <c r="X385" t="str">
        <f>VLOOKUP(C385,Sales_Representatives!$A:$B,2,0)</f>
        <v>Emily Hernandez</v>
      </c>
    </row>
    <row r="386" spans="1:24" x14ac:dyDescent="0.3">
      <c r="A386" t="s">
        <v>628</v>
      </c>
      <c r="B386" t="s">
        <v>623</v>
      </c>
      <c r="C386" t="s">
        <v>70</v>
      </c>
      <c r="D386" t="s">
        <v>52</v>
      </c>
      <c r="E386" t="s">
        <v>77</v>
      </c>
      <c r="F386">
        <v>3</v>
      </c>
      <c r="G386">
        <v>236.82</v>
      </c>
      <c r="H386">
        <v>0.01</v>
      </c>
      <c r="I386" s="4">
        <v>703.36</v>
      </c>
      <c r="J386" t="s">
        <v>16</v>
      </c>
      <c r="K386" t="s">
        <v>48</v>
      </c>
      <c r="L386" s="4">
        <f>VLOOKUP(tblTransactions[[#This Row],[Product_ID]],tblProducts[],5,FALSE)</f>
        <v>110.79</v>
      </c>
      <c r="M386" s="4">
        <f>tblTransactions[[#This Row],[Total_Amount]]-(tblTransactions[[#This Row],[Cost_Prices]]*tblTransactions[[#This Row],[Quantity]]*(1-tblTransactions[[#This Row],[Discount]]))</f>
        <v>374.31370000000004</v>
      </c>
      <c r="N386" s="3">
        <f>tblTransactions[[#This Row],[Profit]]/tblTransactions[[#This Row],[Total_Amount]]</f>
        <v>0.53217939604185627</v>
      </c>
      <c r="O386" t="str">
        <f>TEXT(tblTransactions[[#This Row],[Date]], "MMM-YYYY")</f>
        <v>Mar-2023</v>
      </c>
      <c r="P386" t="str">
        <f>"Q"&amp;ROUNDUP(MONTH(tblTransactions[[#This Row],[Date]])/3,0)&amp;"-"&amp;YEAR(tblTransactions[[#This Row],[Date]])</f>
        <v>Q1-2023</v>
      </c>
      <c r="Q386">
        <f>YEAR(tblTransactions[[#This Row],[Date]])</f>
        <v>2023</v>
      </c>
      <c r="R386" t="str">
        <f>TEXT(tblTransactions[[#This Row],[Date]],"DDDD")</f>
        <v>Tuesday</v>
      </c>
      <c r="S386">
        <f>MONTH(tblTransactions[[#This Row],[Date]])</f>
        <v>3</v>
      </c>
      <c r="T386" t="str">
        <f>VLOOKUP(E386, Products!$A:$B,2,0)</f>
        <v>Binders Off-4</v>
      </c>
      <c r="U386" t="str">
        <f>VLOOKUP(E386,Products!$A:$C,3,0)</f>
        <v>Office Supplies</v>
      </c>
      <c r="V386" t="str">
        <f>VLOOKUP(E386,Products!$A:$D,4,0)</f>
        <v>Binders</v>
      </c>
      <c r="W386" t="str">
        <f>VLOOKUP(D386,Customers!$A:$C,3,0)</f>
        <v>B2C</v>
      </c>
      <c r="X386" t="str">
        <f>VLOOKUP(C386,Sales_Representatives!$A:$B,2,0)</f>
        <v>Linda Smith</v>
      </c>
    </row>
    <row r="387" spans="1:24" x14ac:dyDescent="0.3">
      <c r="A387" t="s">
        <v>629</v>
      </c>
      <c r="B387" t="s">
        <v>630</v>
      </c>
      <c r="C387" t="s">
        <v>31</v>
      </c>
      <c r="D387" t="s">
        <v>362</v>
      </c>
      <c r="E387" t="s">
        <v>587</v>
      </c>
      <c r="F387">
        <v>6</v>
      </c>
      <c r="G387">
        <v>58.54</v>
      </c>
      <c r="H387">
        <v>0.09</v>
      </c>
      <c r="I387" s="4">
        <v>319.63</v>
      </c>
      <c r="J387" t="s">
        <v>34</v>
      </c>
      <c r="K387" t="s">
        <v>39</v>
      </c>
      <c r="L387" s="4">
        <f>VLOOKUP(tblTransactions[[#This Row],[Product_ID]],tblProducts[],5,FALSE)</f>
        <v>25.43</v>
      </c>
      <c r="M387" s="4">
        <f>tblTransactions[[#This Row],[Total_Amount]]-(tblTransactions[[#This Row],[Cost_Prices]]*tblTransactions[[#This Row],[Quantity]]*(1-tblTransactions[[#This Row],[Discount]]))</f>
        <v>180.78220000000002</v>
      </c>
      <c r="N387" s="3">
        <f>tblTransactions[[#This Row],[Profit]]/tblTransactions[[#This Row],[Total_Amount]]</f>
        <v>0.56559834808997911</v>
      </c>
      <c r="O387" t="str">
        <f>TEXT(tblTransactions[[#This Row],[Date]], "MMM-YYYY")</f>
        <v>Mar-2023</v>
      </c>
      <c r="P387" t="str">
        <f>"Q"&amp;ROUNDUP(MONTH(tblTransactions[[#This Row],[Date]])/3,0)&amp;"-"&amp;YEAR(tblTransactions[[#This Row],[Date]])</f>
        <v>Q1-2023</v>
      </c>
      <c r="Q387">
        <f>YEAR(tblTransactions[[#This Row],[Date]])</f>
        <v>2023</v>
      </c>
      <c r="R387" t="str">
        <f>TEXT(tblTransactions[[#This Row],[Date]],"DDDD")</f>
        <v>Wednesday</v>
      </c>
      <c r="S387">
        <f>MONTH(tblTransactions[[#This Row],[Date]])</f>
        <v>3</v>
      </c>
      <c r="T387" t="str">
        <f>VLOOKUP(E387, Products!$A:$B,2,0)</f>
        <v>Paper Off-2</v>
      </c>
      <c r="U387" t="str">
        <f>VLOOKUP(E387,Products!$A:$C,3,0)</f>
        <v>Office Supplies</v>
      </c>
      <c r="V387" t="str">
        <f>VLOOKUP(E387,Products!$A:$D,4,0)</f>
        <v>Paper</v>
      </c>
      <c r="W387" t="str">
        <f>VLOOKUP(D387,Customers!$A:$C,3,0)</f>
        <v>Small Business</v>
      </c>
      <c r="X387" t="str">
        <f>VLOOKUP(C387,Sales_Representatives!$A:$B,2,0)</f>
        <v>Thomas Martinez</v>
      </c>
    </row>
    <row r="388" spans="1:24" x14ac:dyDescent="0.3">
      <c r="A388" t="s">
        <v>631</v>
      </c>
      <c r="B388" t="s">
        <v>630</v>
      </c>
      <c r="C388" t="s">
        <v>131</v>
      </c>
      <c r="D388" t="s">
        <v>50</v>
      </c>
      <c r="E388" t="s">
        <v>316</v>
      </c>
      <c r="F388">
        <v>5</v>
      </c>
      <c r="G388">
        <v>91.42</v>
      </c>
      <c r="H388">
        <v>7.0000000000000007E-2</v>
      </c>
      <c r="I388" s="4">
        <v>425.1</v>
      </c>
      <c r="J388" t="s">
        <v>44</v>
      </c>
      <c r="K388" t="s">
        <v>48</v>
      </c>
      <c r="L388" s="4">
        <f>VLOOKUP(tblTransactions[[#This Row],[Product_ID]],tblProducts[],5,FALSE)</f>
        <v>50.09</v>
      </c>
      <c r="M388" s="4">
        <f>tblTransactions[[#This Row],[Total_Amount]]-(tblTransactions[[#This Row],[Cost_Prices]]*tblTransactions[[#This Row],[Quantity]]*(1-tblTransactions[[#This Row],[Discount]]))</f>
        <v>192.18150000000003</v>
      </c>
      <c r="N388" s="3">
        <f>tblTransactions[[#This Row],[Profit]]/tblTransactions[[#This Row],[Total_Amount]]</f>
        <v>0.45208539167254769</v>
      </c>
      <c r="O388" t="str">
        <f>TEXT(tblTransactions[[#This Row],[Date]], "MMM-YYYY")</f>
        <v>Mar-2023</v>
      </c>
      <c r="P388" t="str">
        <f>"Q"&amp;ROUNDUP(MONTH(tblTransactions[[#This Row],[Date]])/3,0)&amp;"-"&amp;YEAR(tblTransactions[[#This Row],[Date]])</f>
        <v>Q1-2023</v>
      </c>
      <c r="Q388">
        <f>YEAR(tblTransactions[[#This Row],[Date]])</f>
        <v>2023</v>
      </c>
      <c r="R388" t="str">
        <f>TEXT(tblTransactions[[#This Row],[Date]],"DDDD")</f>
        <v>Wednesday</v>
      </c>
      <c r="S388">
        <f>MONTH(tblTransactions[[#This Row],[Date]])</f>
        <v>3</v>
      </c>
      <c r="T388" t="str">
        <f>VLOOKUP(E388, Products!$A:$B,2,0)</f>
        <v>Binders Off-3</v>
      </c>
      <c r="U388" t="str">
        <f>VLOOKUP(E388,Products!$A:$C,3,0)</f>
        <v>Office Supplies</v>
      </c>
      <c r="V388" t="str">
        <f>VLOOKUP(E388,Products!$A:$D,4,0)</f>
        <v>Binders</v>
      </c>
      <c r="W388" t="str">
        <f>VLOOKUP(D388,Customers!$A:$C,3,0)</f>
        <v>Small Business</v>
      </c>
      <c r="X388" t="str">
        <f>VLOOKUP(C388,Sales_Representatives!$A:$B,2,0)</f>
        <v>Michael Davis</v>
      </c>
    </row>
    <row r="389" spans="1:24" x14ac:dyDescent="0.3">
      <c r="A389" t="s">
        <v>632</v>
      </c>
      <c r="B389" t="s">
        <v>630</v>
      </c>
      <c r="C389" t="s">
        <v>31</v>
      </c>
      <c r="D389" t="s">
        <v>112</v>
      </c>
      <c r="E389" t="s">
        <v>191</v>
      </c>
      <c r="F389">
        <v>37</v>
      </c>
      <c r="G389">
        <v>1012.75</v>
      </c>
      <c r="H389">
        <v>0.19</v>
      </c>
      <c r="I389" s="4">
        <v>30352.12</v>
      </c>
      <c r="J389" t="s">
        <v>34</v>
      </c>
      <c r="K389" t="s">
        <v>39</v>
      </c>
      <c r="L389" s="4">
        <f>VLOOKUP(tblTransactions[[#This Row],[Product_ID]],tblProducts[],5,FALSE)</f>
        <v>518.53</v>
      </c>
      <c r="M389" s="4">
        <f>tblTransactions[[#This Row],[Total_Amount]]-(tblTransactions[[#This Row],[Cost_Prices]]*tblTransactions[[#This Row],[Quantity]]*(1-tblTransactions[[#This Row],[Discount]]))</f>
        <v>14811.775899999997</v>
      </c>
      <c r="N389" s="3">
        <f>tblTransactions[[#This Row],[Profit]]/tblTransactions[[#This Row],[Total_Amount]]</f>
        <v>0.4879980673508143</v>
      </c>
      <c r="O389" t="str">
        <f>TEXT(tblTransactions[[#This Row],[Date]], "MMM-YYYY")</f>
        <v>Mar-2023</v>
      </c>
      <c r="P389" t="str">
        <f>"Q"&amp;ROUNDUP(MONTH(tblTransactions[[#This Row],[Date]])/3,0)&amp;"-"&amp;YEAR(tblTransactions[[#This Row],[Date]])</f>
        <v>Q1-2023</v>
      </c>
      <c r="Q389">
        <f>YEAR(tblTransactions[[#This Row],[Date]])</f>
        <v>2023</v>
      </c>
      <c r="R389" t="str">
        <f>TEXT(tblTransactions[[#This Row],[Date]],"DDDD")</f>
        <v>Wednesday</v>
      </c>
      <c r="S389">
        <f>MONTH(tblTransactions[[#This Row],[Date]])</f>
        <v>3</v>
      </c>
      <c r="T389" t="str">
        <f>VLOOKUP(E389, Products!$A:$B,2,0)</f>
        <v>Tables Fur-4</v>
      </c>
      <c r="U389" t="str">
        <f>VLOOKUP(E389,Products!$A:$C,3,0)</f>
        <v>Furniture</v>
      </c>
      <c r="V389" t="str">
        <f>VLOOKUP(E389,Products!$A:$D,4,0)</f>
        <v>Tables</v>
      </c>
      <c r="W389" t="str">
        <f>VLOOKUP(D389,Customers!$A:$C,3,0)</f>
        <v>Enterprise</v>
      </c>
      <c r="X389" t="str">
        <f>VLOOKUP(C389,Sales_Representatives!$A:$B,2,0)</f>
        <v>Thomas Martinez</v>
      </c>
    </row>
    <row r="390" spans="1:24" x14ac:dyDescent="0.3">
      <c r="A390" t="s">
        <v>633</v>
      </c>
      <c r="B390" t="s">
        <v>630</v>
      </c>
      <c r="C390" t="s">
        <v>56</v>
      </c>
      <c r="D390" t="s">
        <v>247</v>
      </c>
      <c r="E390" t="s">
        <v>310</v>
      </c>
      <c r="F390">
        <v>5</v>
      </c>
      <c r="G390">
        <v>274.13</v>
      </c>
      <c r="H390">
        <v>0.09</v>
      </c>
      <c r="I390" s="4">
        <v>1247.29</v>
      </c>
      <c r="J390" t="s">
        <v>34</v>
      </c>
      <c r="K390" t="s">
        <v>17</v>
      </c>
      <c r="L390" s="4">
        <f>VLOOKUP(tblTransactions[[#This Row],[Product_ID]],tblProducts[],5,FALSE)</f>
        <v>134.41999999999999</v>
      </c>
      <c r="M390" s="4">
        <f>tblTransactions[[#This Row],[Total_Amount]]-(tblTransactions[[#This Row],[Cost_Prices]]*tblTransactions[[#This Row],[Quantity]]*(1-tblTransactions[[#This Row],[Discount]]))</f>
        <v>635.67899999999997</v>
      </c>
      <c r="N390" s="3">
        <f>tblTransactions[[#This Row],[Profit]]/tblTransactions[[#This Row],[Total_Amount]]</f>
        <v>0.50964811711791158</v>
      </c>
      <c r="O390" t="str">
        <f>TEXT(tblTransactions[[#This Row],[Date]], "MMM-YYYY")</f>
        <v>Mar-2023</v>
      </c>
      <c r="P390" t="str">
        <f>"Q"&amp;ROUNDUP(MONTH(tblTransactions[[#This Row],[Date]])/3,0)&amp;"-"&amp;YEAR(tblTransactions[[#This Row],[Date]])</f>
        <v>Q1-2023</v>
      </c>
      <c r="Q390">
        <f>YEAR(tblTransactions[[#This Row],[Date]])</f>
        <v>2023</v>
      </c>
      <c r="R390" t="str">
        <f>TEXT(tblTransactions[[#This Row],[Date]],"DDDD")</f>
        <v>Wednesday</v>
      </c>
      <c r="S390">
        <f>MONTH(tblTransactions[[#This Row],[Date]])</f>
        <v>3</v>
      </c>
      <c r="T390" t="str">
        <f>VLOOKUP(E390, Products!$A:$B,2,0)</f>
        <v>Adapters Acc-4</v>
      </c>
      <c r="U390" t="str">
        <f>VLOOKUP(E390,Products!$A:$C,3,0)</f>
        <v>Accessories</v>
      </c>
      <c r="V390" t="str">
        <f>VLOOKUP(E390,Products!$A:$D,4,0)</f>
        <v>Adapters</v>
      </c>
      <c r="W390" t="str">
        <f>VLOOKUP(D390,Customers!$A:$C,3,0)</f>
        <v>B2C</v>
      </c>
      <c r="X390" t="str">
        <f>VLOOKUP(C390,Sales_Representatives!$A:$B,2,0)</f>
        <v>Thomas Hernandez</v>
      </c>
    </row>
    <row r="391" spans="1:24" x14ac:dyDescent="0.3">
      <c r="A391" t="s">
        <v>634</v>
      </c>
      <c r="B391" t="s">
        <v>630</v>
      </c>
      <c r="C391" t="s">
        <v>31</v>
      </c>
      <c r="D391" t="s">
        <v>197</v>
      </c>
      <c r="E391" t="s">
        <v>99</v>
      </c>
      <c r="F391">
        <v>30</v>
      </c>
      <c r="G391">
        <v>325.14</v>
      </c>
      <c r="H391">
        <v>0.23</v>
      </c>
      <c r="I391" s="4">
        <v>7510.73</v>
      </c>
      <c r="J391" t="s">
        <v>34</v>
      </c>
      <c r="K391" t="s">
        <v>35</v>
      </c>
      <c r="L391" s="4">
        <f>VLOOKUP(tblTransactions[[#This Row],[Product_ID]],tblProducts[],5,FALSE)</f>
        <v>209.04</v>
      </c>
      <c r="M391" s="4">
        <f>tblTransactions[[#This Row],[Total_Amount]]-(tblTransactions[[#This Row],[Cost_Prices]]*tblTransactions[[#This Row],[Quantity]]*(1-tblTransactions[[#This Row],[Discount]]))</f>
        <v>2681.9059999999999</v>
      </c>
      <c r="N391" s="3">
        <f>tblTransactions[[#This Row],[Profit]]/tblTransactions[[#This Row],[Total_Amount]]</f>
        <v>0.35707660906463157</v>
      </c>
      <c r="O391" t="str">
        <f>TEXT(tblTransactions[[#This Row],[Date]], "MMM-YYYY")</f>
        <v>Mar-2023</v>
      </c>
      <c r="P391" t="str">
        <f>"Q"&amp;ROUNDUP(MONTH(tblTransactions[[#This Row],[Date]])/3,0)&amp;"-"&amp;YEAR(tblTransactions[[#This Row],[Date]])</f>
        <v>Q1-2023</v>
      </c>
      <c r="Q391">
        <f>YEAR(tblTransactions[[#This Row],[Date]])</f>
        <v>2023</v>
      </c>
      <c r="R391" t="str">
        <f>TEXT(tblTransactions[[#This Row],[Date]],"DDDD")</f>
        <v>Wednesday</v>
      </c>
      <c r="S391">
        <f>MONTH(tblTransactions[[#This Row],[Date]])</f>
        <v>3</v>
      </c>
      <c r="T391" t="str">
        <f>VLOOKUP(E391, Products!$A:$B,2,0)</f>
        <v>Monitors Tec-1</v>
      </c>
      <c r="U391" t="str">
        <f>VLOOKUP(E391,Products!$A:$C,3,0)</f>
        <v>Technology</v>
      </c>
      <c r="V391" t="str">
        <f>VLOOKUP(E391,Products!$A:$D,4,0)</f>
        <v>Monitors</v>
      </c>
      <c r="W391" t="str">
        <f>VLOOKUP(D391,Customers!$A:$C,3,0)</f>
        <v>Enterprise</v>
      </c>
      <c r="X391" t="str">
        <f>VLOOKUP(C391,Sales_Representatives!$A:$B,2,0)</f>
        <v>Thomas Martinez</v>
      </c>
    </row>
    <row r="392" spans="1:24" x14ac:dyDescent="0.3">
      <c r="A392" t="s">
        <v>635</v>
      </c>
      <c r="B392" t="s">
        <v>636</v>
      </c>
      <c r="C392" t="s">
        <v>63</v>
      </c>
      <c r="D392" t="s">
        <v>288</v>
      </c>
      <c r="E392" t="s">
        <v>61</v>
      </c>
      <c r="F392">
        <v>7</v>
      </c>
      <c r="G392">
        <v>92.07</v>
      </c>
      <c r="H392">
        <v>0.11</v>
      </c>
      <c r="I392" s="4">
        <v>573.6</v>
      </c>
      <c r="J392" t="s">
        <v>21</v>
      </c>
      <c r="K392" t="s">
        <v>48</v>
      </c>
      <c r="L392" s="4">
        <f>VLOOKUP(tblTransactions[[#This Row],[Product_ID]],tblProducts[],5,FALSE)</f>
        <v>56.98</v>
      </c>
      <c r="M392" s="4">
        <f>tblTransactions[[#This Row],[Total_Amount]]-(tblTransactions[[#This Row],[Cost_Prices]]*tblTransactions[[#This Row],[Quantity]]*(1-tblTransactions[[#This Row],[Discount]]))</f>
        <v>218.61460000000005</v>
      </c>
      <c r="N392" s="3">
        <f>tblTransactions[[#This Row],[Profit]]/tblTransactions[[#This Row],[Total_Amount]]</f>
        <v>0.3811272663877267</v>
      </c>
      <c r="O392" t="str">
        <f>TEXT(tblTransactions[[#This Row],[Date]], "MMM-YYYY")</f>
        <v>Mar-2023</v>
      </c>
      <c r="P392" t="str">
        <f>"Q"&amp;ROUNDUP(MONTH(tblTransactions[[#This Row],[Date]])/3,0)&amp;"-"&amp;YEAR(tblTransactions[[#This Row],[Date]])</f>
        <v>Q1-2023</v>
      </c>
      <c r="Q392">
        <f>YEAR(tblTransactions[[#This Row],[Date]])</f>
        <v>2023</v>
      </c>
      <c r="R392" t="str">
        <f>TEXT(tblTransactions[[#This Row],[Date]],"DDDD")</f>
        <v>Thursday</v>
      </c>
      <c r="S392">
        <f>MONTH(tblTransactions[[#This Row],[Date]])</f>
        <v>3</v>
      </c>
      <c r="T392" t="str">
        <f>VLOOKUP(E392, Products!$A:$B,2,0)</f>
        <v>Pens Off-4</v>
      </c>
      <c r="U392" t="str">
        <f>VLOOKUP(E392,Products!$A:$C,3,0)</f>
        <v>Office Supplies</v>
      </c>
      <c r="V392" t="str">
        <f>VLOOKUP(E392,Products!$A:$D,4,0)</f>
        <v>Pens</v>
      </c>
      <c r="W392" t="str">
        <f>VLOOKUP(D392,Customers!$A:$C,3,0)</f>
        <v>B2C</v>
      </c>
      <c r="X392" t="str">
        <f>VLOOKUP(C392,Sales_Representatives!$A:$B,2,0)</f>
        <v>Richard Wilson</v>
      </c>
    </row>
    <row r="393" spans="1:24" x14ac:dyDescent="0.3">
      <c r="A393" t="s">
        <v>637</v>
      </c>
      <c r="B393" t="s">
        <v>636</v>
      </c>
      <c r="C393" t="s">
        <v>63</v>
      </c>
      <c r="D393" t="s">
        <v>112</v>
      </c>
      <c r="E393" t="s">
        <v>53</v>
      </c>
      <c r="F393">
        <v>35</v>
      </c>
      <c r="G393">
        <v>2069.2199999999998</v>
      </c>
      <c r="H393">
        <v>0.21</v>
      </c>
      <c r="I393" s="4">
        <v>57213.93</v>
      </c>
      <c r="J393" t="s">
        <v>21</v>
      </c>
      <c r="K393" t="s">
        <v>35</v>
      </c>
      <c r="L393" s="4">
        <f>VLOOKUP(tblTransactions[[#This Row],[Product_ID]],tblProducts[],5,FALSE)</f>
        <v>1451.18</v>
      </c>
      <c r="M393" s="4">
        <f>tblTransactions[[#This Row],[Total_Amount]]-(tblTransactions[[#This Row],[Cost_Prices]]*tblTransactions[[#This Row],[Quantity]]*(1-tblTransactions[[#This Row],[Discount]]))</f>
        <v>17088.802999999993</v>
      </c>
      <c r="N393" s="3">
        <f>tblTransactions[[#This Row],[Profit]]/tblTransactions[[#This Row],[Total_Amount]]</f>
        <v>0.29868255860067633</v>
      </c>
      <c r="O393" t="str">
        <f>TEXT(tblTransactions[[#This Row],[Date]], "MMM-YYYY")</f>
        <v>Mar-2023</v>
      </c>
      <c r="P393" t="str">
        <f>"Q"&amp;ROUNDUP(MONTH(tblTransactions[[#This Row],[Date]])/3,0)&amp;"-"&amp;YEAR(tblTransactions[[#This Row],[Date]])</f>
        <v>Q1-2023</v>
      </c>
      <c r="Q393">
        <f>YEAR(tblTransactions[[#This Row],[Date]])</f>
        <v>2023</v>
      </c>
      <c r="R393" t="str">
        <f>TEXT(tblTransactions[[#This Row],[Date]],"DDDD")</f>
        <v>Thursday</v>
      </c>
      <c r="S393">
        <f>MONTH(tblTransactions[[#This Row],[Date]])</f>
        <v>3</v>
      </c>
      <c r="T393" t="str">
        <f>VLOOKUP(E393, Products!$A:$B,2,0)</f>
        <v>Printers Tec-3</v>
      </c>
      <c r="U393" t="str">
        <f>VLOOKUP(E393,Products!$A:$C,3,0)</f>
        <v>Technology</v>
      </c>
      <c r="V393" t="str">
        <f>VLOOKUP(E393,Products!$A:$D,4,0)</f>
        <v>Printers</v>
      </c>
      <c r="W393" t="str">
        <f>VLOOKUP(D393,Customers!$A:$C,3,0)</f>
        <v>Enterprise</v>
      </c>
      <c r="X393" t="str">
        <f>VLOOKUP(C393,Sales_Representatives!$A:$B,2,0)</f>
        <v>Richard Wilson</v>
      </c>
    </row>
    <row r="394" spans="1:24" x14ac:dyDescent="0.3">
      <c r="A394" t="s">
        <v>638</v>
      </c>
      <c r="B394" t="s">
        <v>636</v>
      </c>
      <c r="C394" t="s">
        <v>141</v>
      </c>
      <c r="D394" t="s">
        <v>144</v>
      </c>
      <c r="E394" t="s">
        <v>264</v>
      </c>
      <c r="F394">
        <v>6</v>
      </c>
      <c r="G394">
        <v>607.29999999999995</v>
      </c>
      <c r="H394">
        <v>0.08</v>
      </c>
      <c r="I394" s="4">
        <v>3352.3</v>
      </c>
      <c r="J394" t="s">
        <v>109</v>
      </c>
      <c r="K394" t="s">
        <v>39</v>
      </c>
      <c r="L394" s="4">
        <f>VLOOKUP(tblTransactions[[#This Row],[Product_ID]],tblProducts[],5,FALSE)</f>
        <v>436.37</v>
      </c>
      <c r="M394" s="4">
        <f>tblTransactions[[#This Row],[Total_Amount]]-(tblTransactions[[#This Row],[Cost_Prices]]*tblTransactions[[#This Row],[Quantity]]*(1-tblTransactions[[#This Row],[Discount]]))</f>
        <v>943.53759999999966</v>
      </c>
      <c r="N394" s="3">
        <f>tblTransactions[[#This Row],[Profit]]/tblTransactions[[#This Row],[Total_Amount]]</f>
        <v>0.28145977388658522</v>
      </c>
      <c r="O394" t="str">
        <f>TEXT(tblTransactions[[#This Row],[Date]], "MMM-YYYY")</f>
        <v>Mar-2023</v>
      </c>
      <c r="P394" t="str">
        <f>"Q"&amp;ROUNDUP(MONTH(tblTransactions[[#This Row],[Date]])/3,0)&amp;"-"&amp;YEAR(tblTransactions[[#This Row],[Date]])</f>
        <v>Q1-2023</v>
      </c>
      <c r="Q394">
        <f>YEAR(tblTransactions[[#This Row],[Date]])</f>
        <v>2023</v>
      </c>
      <c r="R394" t="str">
        <f>TEXT(tblTransactions[[#This Row],[Date]],"DDDD")</f>
        <v>Thursday</v>
      </c>
      <c r="S394">
        <f>MONTH(tblTransactions[[#This Row],[Date]])</f>
        <v>3</v>
      </c>
      <c r="T394" t="str">
        <f>VLOOKUP(E394, Products!$A:$B,2,0)</f>
        <v>Tablets Ele-4</v>
      </c>
      <c r="U394" t="str">
        <f>VLOOKUP(E394,Products!$A:$C,3,0)</f>
        <v>Electronics</v>
      </c>
      <c r="V394" t="str">
        <f>VLOOKUP(E394,Products!$A:$D,4,0)</f>
        <v>Tablets</v>
      </c>
      <c r="W394" t="str">
        <f>VLOOKUP(D394,Customers!$A:$C,3,0)</f>
        <v>B2C</v>
      </c>
      <c r="X394" t="str">
        <f>VLOOKUP(C394,Sales_Representatives!$A:$B,2,0)</f>
        <v>Richard Garcia</v>
      </c>
    </row>
    <row r="395" spans="1:24" x14ac:dyDescent="0.3">
      <c r="A395" t="s">
        <v>639</v>
      </c>
      <c r="B395" t="s">
        <v>636</v>
      </c>
      <c r="C395" t="s">
        <v>27</v>
      </c>
      <c r="D395" t="s">
        <v>396</v>
      </c>
      <c r="E395" t="s">
        <v>61</v>
      </c>
      <c r="F395">
        <v>1</v>
      </c>
      <c r="G395">
        <v>92.07</v>
      </c>
      <c r="H395">
        <v>0.08</v>
      </c>
      <c r="I395" s="4">
        <v>84.7</v>
      </c>
      <c r="J395" t="s">
        <v>16</v>
      </c>
      <c r="K395" t="s">
        <v>48</v>
      </c>
      <c r="L395" s="4">
        <f>VLOOKUP(tblTransactions[[#This Row],[Product_ID]],tblProducts[],5,FALSE)</f>
        <v>56.98</v>
      </c>
      <c r="M395" s="4">
        <f>tblTransactions[[#This Row],[Total_Amount]]-(tblTransactions[[#This Row],[Cost_Prices]]*tblTransactions[[#This Row],[Quantity]]*(1-tblTransactions[[#This Row],[Discount]]))</f>
        <v>32.278400000000005</v>
      </c>
      <c r="N395" s="3">
        <f>tblTransactions[[#This Row],[Profit]]/tblTransactions[[#This Row],[Total_Amount]]</f>
        <v>0.38109090909090915</v>
      </c>
      <c r="O395" t="str">
        <f>TEXT(tblTransactions[[#This Row],[Date]], "MMM-YYYY")</f>
        <v>Mar-2023</v>
      </c>
      <c r="P395" t="str">
        <f>"Q"&amp;ROUNDUP(MONTH(tblTransactions[[#This Row],[Date]])/3,0)&amp;"-"&amp;YEAR(tblTransactions[[#This Row],[Date]])</f>
        <v>Q1-2023</v>
      </c>
      <c r="Q395">
        <f>YEAR(tblTransactions[[#This Row],[Date]])</f>
        <v>2023</v>
      </c>
      <c r="R395" t="str">
        <f>TEXT(tblTransactions[[#This Row],[Date]],"DDDD")</f>
        <v>Thursday</v>
      </c>
      <c r="S395">
        <f>MONTH(tblTransactions[[#This Row],[Date]])</f>
        <v>3</v>
      </c>
      <c r="T395" t="str">
        <f>VLOOKUP(E395, Products!$A:$B,2,0)</f>
        <v>Pens Off-4</v>
      </c>
      <c r="U395" t="str">
        <f>VLOOKUP(E395,Products!$A:$C,3,0)</f>
        <v>Office Supplies</v>
      </c>
      <c r="V395" t="str">
        <f>VLOOKUP(E395,Products!$A:$D,4,0)</f>
        <v>Pens</v>
      </c>
      <c r="W395" t="str">
        <f>VLOOKUP(D395,Customers!$A:$C,3,0)</f>
        <v>Small Business</v>
      </c>
      <c r="X395" t="str">
        <f>VLOOKUP(C395,Sales_Representatives!$A:$B,2,0)</f>
        <v>Thomas Lopez</v>
      </c>
    </row>
    <row r="396" spans="1:24" x14ac:dyDescent="0.3">
      <c r="A396" t="s">
        <v>640</v>
      </c>
      <c r="B396" t="s">
        <v>636</v>
      </c>
      <c r="C396" t="s">
        <v>59</v>
      </c>
      <c r="D396" t="s">
        <v>351</v>
      </c>
      <c r="E396" t="s">
        <v>394</v>
      </c>
      <c r="F396">
        <v>1</v>
      </c>
      <c r="G396">
        <v>314.69</v>
      </c>
      <c r="H396">
        <v>0.02</v>
      </c>
      <c r="I396" s="4">
        <v>308.39999999999998</v>
      </c>
      <c r="J396" t="s">
        <v>21</v>
      </c>
      <c r="K396" t="s">
        <v>22</v>
      </c>
      <c r="L396" s="4">
        <f>VLOOKUP(tblTransactions[[#This Row],[Product_ID]],tblProducts[],5,FALSE)</f>
        <v>185.43</v>
      </c>
      <c r="M396" s="4">
        <f>tblTransactions[[#This Row],[Total_Amount]]-(tblTransactions[[#This Row],[Cost_Prices]]*tblTransactions[[#This Row],[Quantity]]*(1-tblTransactions[[#This Row],[Discount]]))</f>
        <v>126.67859999999996</v>
      </c>
      <c r="N396" s="3">
        <f>tblTransactions[[#This Row],[Profit]]/tblTransactions[[#This Row],[Total_Amount]]</f>
        <v>0.41076070038910495</v>
      </c>
      <c r="O396" t="str">
        <f>TEXT(tblTransactions[[#This Row],[Date]], "MMM-YYYY")</f>
        <v>Mar-2023</v>
      </c>
      <c r="P396" t="str">
        <f>"Q"&amp;ROUNDUP(MONTH(tblTransactions[[#This Row],[Date]])/3,0)&amp;"-"&amp;YEAR(tblTransactions[[#This Row],[Date]])</f>
        <v>Q1-2023</v>
      </c>
      <c r="Q396">
        <f>YEAR(tblTransactions[[#This Row],[Date]])</f>
        <v>2023</v>
      </c>
      <c r="R396" t="str">
        <f>TEXT(tblTransactions[[#This Row],[Date]],"DDDD")</f>
        <v>Thursday</v>
      </c>
      <c r="S396">
        <f>MONTH(tblTransactions[[#This Row],[Date]])</f>
        <v>3</v>
      </c>
      <c r="T396" t="str">
        <f>VLOOKUP(E396, Products!$A:$B,2,0)</f>
        <v>Desks Fur-1</v>
      </c>
      <c r="U396" t="str">
        <f>VLOOKUP(E396,Products!$A:$C,3,0)</f>
        <v>Furniture</v>
      </c>
      <c r="V396" t="str">
        <f>VLOOKUP(E396,Products!$A:$D,4,0)</f>
        <v>Desks</v>
      </c>
      <c r="W396" t="str">
        <f>VLOOKUP(D396,Customers!$A:$C,3,0)</f>
        <v>B2C</v>
      </c>
      <c r="X396" t="str">
        <f>VLOOKUP(C396,Sales_Representatives!$A:$B,2,0)</f>
        <v>Sarah Brown</v>
      </c>
    </row>
    <row r="397" spans="1:24" x14ac:dyDescent="0.3">
      <c r="A397" t="s">
        <v>641</v>
      </c>
      <c r="B397" t="s">
        <v>642</v>
      </c>
      <c r="C397" t="s">
        <v>31</v>
      </c>
      <c r="D397" t="s">
        <v>228</v>
      </c>
      <c r="E397" t="s">
        <v>191</v>
      </c>
      <c r="F397">
        <v>4</v>
      </c>
      <c r="G397">
        <v>1012.75</v>
      </c>
      <c r="H397">
        <v>0.08</v>
      </c>
      <c r="I397" s="4">
        <v>3726.92</v>
      </c>
      <c r="J397" t="s">
        <v>34</v>
      </c>
      <c r="K397" t="s">
        <v>35</v>
      </c>
      <c r="L397" s="4">
        <f>VLOOKUP(tblTransactions[[#This Row],[Product_ID]],tblProducts[],5,FALSE)</f>
        <v>518.53</v>
      </c>
      <c r="M397" s="4">
        <f>tblTransactions[[#This Row],[Total_Amount]]-(tblTransactions[[#This Row],[Cost_Prices]]*tblTransactions[[#This Row],[Quantity]]*(1-tblTransactions[[#This Row],[Discount]]))</f>
        <v>1818.7296000000001</v>
      </c>
      <c r="N397" s="3">
        <f>tblTransactions[[#This Row],[Profit]]/tblTransactions[[#This Row],[Total_Amount]]</f>
        <v>0.48799802517896818</v>
      </c>
      <c r="O397" t="str">
        <f>TEXT(tblTransactions[[#This Row],[Date]], "MMM-YYYY")</f>
        <v>Mar-2023</v>
      </c>
      <c r="P397" t="str">
        <f>"Q"&amp;ROUNDUP(MONTH(tblTransactions[[#This Row],[Date]])/3,0)&amp;"-"&amp;YEAR(tblTransactions[[#This Row],[Date]])</f>
        <v>Q1-2023</v>
      </c>
      <c r="Q397">
        <f>YEAR(tblTransactions[[#This Row],[Date]])</f>
        <v>2023</v>
      </c>
      <c r="R397" t="str">
        <f>TEXT(tblTransactions[[#This Row],[Date]],"DDDD")</f>
        <v>Friday</v>
      </c>
      <c r="S397">
        <f>MONTH(tblTransactions[[#This Row],[Date]])</f>
        <v>3</v>
      </c>
      <c r="T397" t="str">
        <f>VLOOKUP(E397, Products!$A:$B,2,0)</f>
        <v>Tables Fur-4</v>
      </c>
      <c r="U397" t="str">
        <f>VLOOKUP(E397,Products!$A:$C,3,0)</f>
        <v>Furniture</v>
      </c>
      <c r="V397" t="str">
        <f>VLOOKUP(E397,Products!$A:$D,4,0)</f>
        <v>Tables</v>
      </c>
      <c r="W397" t="str">
        <f>VLOOKUP(D397,Customers!$A:$C,3,0)</f>
        <v>Small Business</v>
      </c>
      <c r="X397" t="str">
        <f>VLOOKUP(C397,Sales_Representatives!$A:$B,2,0)</f>
        <v>Thomas Martinez</v>
      </c>
    </row>
    <row r="398" spans="1:24" x14ac:dyDescent="0.3">
      <c r="A398" t="s">
        <v>643</v>
      </c>
      <c r="B398" t="s">
        <v>642</v>
      </c>
      <c r="C398" t="s">
        <v>31</v>
      </c>
      <c r="D398" t="s">
        <v>527</v>
      </c>
      <c r="E398" t="s">
        <v>316</v>
      </c>
      <c r="F398">
        <v>7</v>
      </c>
      <c r="G398">
        <v>91.42</v>
      </c>
      <c r="H398">
        <v>0.08</v>
      </c>
      <c r="I398" s="4">
        <v>588.74</v>
      </c>
      <c r="J398" t="s">
        <v>34</v>
      </c>
      <c r="K398" t="s">
        <v>39</v>
      </c>
      <c r="L398" s="4">
        <f>VLOOKUP(tblTransactions[[#This Row],[Product_ID]],tblProducts[],5,FALSE)</f>
        <v>50.09</v>
      </c>
      <c r="M398" s="4">
        <f>tblTransactions[[#This Row],[Total_Amount]]-(tblTransactions[[#This Row],[Cost_Prices]]*tblTransactions[[#This Row],[Quantity]]*(1-tblTransactions[[#This Row],[Discount]]))</f>
        <v>266.16039999999998</v>
      </c>
      <c r="N398" s="3">
        <f>tblTransactions[[#This Row],[Profit]]/tblTransactions[[#This Row],[Total_Amount]]</f>
        <v>0.45208479124910822</v>
      </c>
      <c r="O398" t="str">
        <f>TEXT(tblTransactions[[#This Row],[Date]], "MMM-YYYY")</f>
        <v>Mar-2023</v>
      </c>
      <c r="P398" t="str">
        <f>"Q"&amp;ROUNDUP(MONTH(tblTransactions[[#This Row],[Date]])/3,0)&amp;"-"&amp;YEAR(tblTransactions[[#This Row],[Date]])</f>
        <v>Q1-2023</v>
      </c>
      <c r="Q398">
        <f>YEAR(tblTransactions[[#This Row],[Date]])</f>
        <v>2023</v>
      </c>
      <c r="R398" t="str">
        <f>TEXT(tblTransactions[[#This Row],[Date]],"DDDD")</f>
        <v>Friday</v>
      </c>
      <c r="S398">
        <f>MONTH(tblTransactions[[#This Row],[Date]])</f>
        <v>3</v>
      </c>
      <c r="T398" t="str">
        <f>VLOOKUP(E398, Products!$A:$B,2,0)</f>
        <v>Binders Off-3</v>
      </c>
      <c r="U398" t="str">
        <f>VLOOKUP(E398,Products!$A:$C,3,0)</f>
        <v>Office Supplies</v>
      </c>
      <c r="V398" t="str">
        <f>VLOOKUP(E398,Products!$A:$D,4,0)</f>
        <v>Binders</v>
      </c>
      <c r="W398" t="str">
        <f>VLOOKUP(D398,Customers!$A:$C,3,0)</f>
        <v>B2C</v>
      </c>
      <c r="X398" t="str">
        <f>VLOOKUP(C398,Sales_Representatives!$A:$B,2,0)</f>
        <v>Thomas Martinez</v>
      </c>
    </row>
    <row r="399" spans="1:24" x14ac:dyDescent="0.3">
      <c r="A399" t="s">
        <v>644</v>
      </c>
      <c r="B399" t="s">
        <v>642</v>
      </c>
      <c r="C399" t="s">
        <v>127</v>
      </c>
      <c r="D399" t="s">
        <v>210</v>
      </c>
      <c r="E399" t="s">
        <v>87</v>
      </c>
      <c r="F399">
        <v>8</v>
      </c>
      <c r="G399">
        <v>1047.8900000000001</v>
      </c>
      <c r="H399">
        <v>7.0000000000000007E-2</v>
      </c>
      <c r="I399" s="4">
        <v>7796.3</v>
      </c>
      <c r="J399" t="s">
        <v>109</v>
      </c>
      <c r="K399" t="s">
        <v>48</v>
      </c>
      <c r="L399" s="4">
        <f>VLOOKUP(tblTransactions[[#This Row],[Product_ID]],tblProducts[],5,FALSE)</f>
        <v>742.63</v>
      </c>
      <c r="M399" s="4">
        <f>tblTransactions[[#This Row],[Total_Amount]]-(tblTransactions[[#This Row],[Cost_Prices]]*tblTransactions[[#This Row],[Quantity]]*(1-tblTransactions[[#This Row],[Discount]]))</f>
        <v>2271.1328000000003</v>
      </c>
      <c r="N399" s="3">
        <f>tblTransactions[[#This Row],[Profit]]/tblTransactions[[#This Row],[Total_Amount]]</f>
        <v>0.29130905686030556</v>
      </c>
      <c r="O399" t="str">
        <f>TEXT(tblTransactions[[#This Row],[Date]], "MMM-YYYY")</f>
        <v>Mar-2023</v>
      </c>
      <c r="P399" t="str">
        <f>"Q"&amp;ROUNDUP(MONTH(tblTransactions[[#This Row],[Date]])/3,0)&amp;"-"&amp;YEAR(tblTransactions[[#This Row],[Date]])</f>
        <v>Q1-2023</v>
      </c>
      <c r="Q399">
        <f>YEAR(tblTransactions[[#This Row],[Date]])</f>
        <v>2023</v>
      </c>
      <c r="R399" t="str">
        <f>TEXT(tblTransactions[[#This Row],[Date]],"DDDD")</f>
        <v>Friday</v>
      </c>
      <c r="S399">
        <f>MONTH(tblTransactions[[#This Row],[Date]])</f>
        <v>3</v>
      </c>
      <c r="T399" t="str">
        <f>VLOOKUP(E399, Products!$A:$B,2,0)</f>
        <v>Monitors Tec-2</v>
      </c>
      <c r="U399" t="str">
        <f>VLOOKUP(E399,Products!$A:$C,3,0)</f>
        <v>Technology</v>
      </c>
      <c r="V399" t="str">
        <f>VLOOKUP(E399,Products!$A:$D,4,0)</f>
        <v>Monitors</v>
      </c>
      <c r="W399" t="str">
        <f>VLOOKUP(D399,Customers!$A:$C,3,0)</f>
        <v>B2B</v>
      </c>
      <c r="X399" t="str">
        <f>VLOOKUP(C399,Sales_Representatives!$A:$B,2,0)</f>
        <v>Emily Hernandez</v>
      </c>
    </row>
    <row r="400" spans="1:24" x14ac:dyDescent="0.3">
      <c r="A400" t="s">
        <v>645</v>
      </c>
      <c r="B400" t="s">
        <v>642</v>
      </c>
      <c r="C400" t="s">
        <v>19</v>
      </c>
      <c r="D400" t="s">
        <v>124</v>
      </c>
      <c r="E400" t="s">
        <v>53</v>
      </c>
      <c r="F400">
        <v>15</v>
      </c>
      <c r="G400">
        <v>2069.2199999999998</v>
      </c>
      <c r="H400">
        <v>0.15</v>
      </c>
      <c r="I400" s="4">
        <v>26382.55</v>
      </c>
      <c r="J400" t="s">
        <v>21</v>
      </c>
      <c r="K400" t="s">
        <v>48</v>
      </c>
      <c r="L400" s="4">
        <f>VLOOKUP(tblTransactions[[#This Row],[Product_ID]],tblProducts[],5,FALSE)</f>
        <v>1451.18</v>
      </c>
      <c r="M400" s="4">
        <f>tblTransactions[[#This Row],[Total_Amount]]-(tblTransactions[[#This Row],[Cost_Prices]]*tblTransactions[[#This Row],[Quantity]]*(1-tblTransactions[[#This Row],[Discount]]))</f>
        <v>7880.0049999999974</v>
      </c>
      <c r="N400" s="3">
        <f>tblTransactions[[#This Row],[Profit]]/tblTransactions[[#This Row],[Total_Amount]]</f>
        <v>0.29868246246098262</v>
      </c>
      <c r="O400" t="str">
        <f>TEXT(tblTransactions[[#This Row],[Date]], "MMM-YYYY")</f>
        <v>Mar-2023</v>
      </c>
      <c r="P400" t="str">
        <f>"Q"&amp;ROUNDUP(MONTH(tblTransactions[[#This Row],[Date]])/3,0)&amp;"-"&amp;YEAR(tblTransactions[[#This Row],[Date]])</f>
        <v>Q1-2023</v>
      </c>
      <c r="Q400">
        <f>YEAR(tblTransactions[[#This Row],[Date]])</f>
        <v>2023</v>
      </c>
      <c r="R400" t="str">
        <f>TEXT(tblTransactions[[#This Row],[Date]],"DDDD")</f>
        <v>Friday</v>
      </c>
      <c r="S400">
        <f>MONTH(tblTransactions[[#This Row],[Date]])</f>
        <v>3</v>
      </c>
      <c r="T400" t="str">
        <f>VLOOKUP(E400, Products!$A:$B,2,0)</f>
        <v>Printers Tec-3</v>
      </c>
      <c r="U400" t="str">
        <f>VLOOKUP(E400,Products!$A:$C,3,0)</f>
        <v>Technology</v>
      </c>
      <c r="V400" t="str">
        <f>VLOOKUP(E400,Products!$A:$D,4,0)</f>
        <v>Printers</v>
      </c>
      <c r="W400" t="str">
        <f>VLOOKUP(D400,Customers!$A:$C,3,0)</f>
        <v>B2B</v>
      </c>
      <c r="X400" t="str">
        <f>VLOOKUP(C400,Sales_Representatives!$A:$B,2,0)</f>
        <v>Robert Jones</v>
      </c>
    </row>
    <row r="401" spans="1:24" x14ac:dyDescent="0.3">
      <c r="A401" t="s">
        <v>646</v>
      </c>
      <c r="B401" t="s">
        <v>647</v>
      </c>
      <c r="C401" t="s">
        <v>41</v>
      </c>
      <c r="D401" t="s">
        <v>118</v>
      </c>
      <c r="E401" t="s">
        <v>33</v>
      </c>
      <c r="F401">
        <v>2</v>
      </c>
      <c r="G401">
        <v>322.7</v>
      </c>
      <c r="H401">
        <v>0.08</v>
      </c>
      <c r="I401" s="4">
        <v>593.77</v>
      </c>
      <c r="J401" t="s">
        <v>44</v>
      </c>
      <c r="K401" t="s">
        <v>39</v>
      </c>
      <c r="L401" s="4">
        <f>VLOOKUP(tblTransactions[[#This Row],[Product_ID]],tblProducts[],5,FALSE)</f>
        <v>139.81</v>
      </c>
      <c r="M401" s="4">
        <f>tblTransactions[[#This Row],[Total_Amount]]-(tblTransactions[[#This Row],[Cost_Prices]]*tblTransactions[[#This Row],[Quantity]]*(1-tblTransactions[[#This Row],[Discount]]))</f>
        <v>336.51959999999997</v>
      </c>
      <c r="N401" s="3">
        <f>tblTransactions[[#This Row],[Profit]]/tblTransactions[[#This Row],[Total_Amount]]</f>
        <v>0.56675076207959307</v>
      </c>
      <c r="O401" t="str">
        <f>TEXT(tblTransactions[[#This Row],[Date]], "MMM-YYYY")</f>
        <v>Apr-2023</v>
      </c>
      <c r="P401" t="str">
        <f>"Q"&amp;ROUNDUP(MONTH(tblTransactions[[#This Row],[Date]])/3,0)&amp;"-"&amp;YEAR(tblTransactions[[#This Row],[Date]])</f>
        <v>Q2-2023</v>
      </c>
      <c r="Q401">
        <f>YEAR(tblTransactions[[#This Row],[Date]])</f>
        <v>2023</v>
      </c>
      <c r="R401" t="str">
        <f>TEXT(tblTransactions[[#This Row],[Date]],"DDDD")</f>
        <v>Saturday</v>
      </c>
      <c r="S401">
        <f>MONTH(tblTransactions[[#This Row],[Date]])</f>
        <v>4</v>
      </c>
      <c r="T401" t="str">
        <f>VLOOKUP(E401, Products!$A:$B,2,0)</f>
        <v>Adapters Acc-1</v>
      </c>
      <c r="U401" t="str">
        <f>VLOOKUP(E401,Products!$A:$C,3,0)</f>
        <v>Accessories</v>
      </c>
      <c r="V401" t="str">
        <f>VLOOKUP(E401,Products!$A:$D,4,0)</f>
        <v>Adapters</v>
      </c>
      <c r="W401" t="str">
        <f>VLOOKUP(D401,Customers!$A:$C,3,0)</f>
        <v>B2C</v>
      </c>
      <c r="X401" t="str">
        <f>VLOOKUP(C401,Sales_Representatives!$A:$B,2,0)</f>
        <v>Robert Jones</v>
      </c>
    </row>
    <row r="402" spans="1:24" x14ac:dyDescent="0.3">
      <c r="A402" t="s">
        <v>648</v>
      </c>
      <c r="B402" t="s">
        <v>647</v>
      </c>
      <c r="C402" t="s">
        <v>131</v>
      </c>
      <c r="D402" t="s">
        <v>139</v>
      </c>
      <c r="E402" t="s">
        <v>29</v>
      </c>
      <c r="F402">
        <v>3</v>
      </c>
      <c r="G402">
        <v>1363.46</v>
      </c>
      <c r="H402">
        <v>0.02</v>
      </c>
      <c r="I402" s="4">
        <v>4008.57</v>
      </c>
      <c r="J402" t="s">
        <v>44</v>
      </c>
      <c r="K402" t="s">
        <v>22</v>
      </c>
      <c r="L402" s="4">
        <f>VLOOKUP(tblTransactions[[#This Row],[Product_ID]],tblProducts[],5,FALSE)</f>
        <v>995.41</v>
      </c>
      <c r="M402" s="4">
        <f>tblTransactions[[#This Row],[Total_Amount]]-(tblTransactions[[#This Row],[Cost_Prices]]*tblTransactions[[#This Row],[Quantity]]*(1-tblTransactions[[#This Row],[Discount]]))</f>
        <v>1082.0646000000002</v>
      </c>
      <c r="N402" s="3">
        <f>tblTransactions[[#This Row],[Profit]]/tblTransactions[[#This Row],[Total_Amount]]</f>
        <v>0.26993780824583335</v>
      </c>
      <c r="O402" t="str">
        <f>TEXT(tblTransactions[[#This Row],[Date]], "MMM-YYYY")</f>
        <v>Apr-2023</v>
      </c>
      <c r="P402" t="str">
        <f>"Q"&amp;ROUNDUP(MONTH(tblTransactions[[#This Row],[Date]])/3,0)&amp;"-"&amp;YEAR(tblTransactions[[#This Row],[Date]])</f>
        <v>Q2-2023</v>
      </c>
      <c r="Q402">
        <f>YEAR(tblTransactions[[#This Row],[Date]])</f>
        <v>2023</v>
      </c>
      <c r="R402" t="str">
        <f>TEXT(tblTransactions[[#This Row],[Date]],"DDDD")</f>
        <v>Saturday</v>
      </c>
      <c r="S402">
        <f>MONTH(tblTransactions[[#This Row],[Date]])</f>
        <v>4</v>
      </c>
      <c r="T402" t="str">
        <f>VLOOKUP(E402, Products!$A:$B,2,0)</f>
        <v>Phones Ele-3</v>
      </c>
      <c r="U402" t="str">
        <f>VLOOKUP(E402,Products!$A:$C,3,0)</f>
        <v>Electronics</v>
      </c>
      <c r="V402" t="str">
        <f>VLOOKUP(E402,Products!$A:$D,4,0)</f>
        <v>Phones</v>
      </c>
      <c r="W402" t="str">
        <f>VLOOKUP(D402,Customers!$A:$C,3,0)</f>
        <v>B2C</v>
      </c>
      <c r="X402" t="str">
        <f>VLOOKUP(C402,Sales_Representatives!$A:$B,2,0)</f>
        <v>Michael Davis</v>
      </c>
    </row>
    <row r="403" spans="1:24" x14ac:dyDescent="0.3">
      <c r="A403" t="s">
        <v>649</v>
      </c>
      <c r="B403" t="s">
        <v>650</v>
      </c>
      <c r="C403" t="s">
        <v>13</v>
      </c>
      <c r="D403" t="s">
        <v>203</v>
      </c>
      <c r="E403" t="s">
        <v>72</v>
      </c>
      <c r="F403">
        <v>46</v>
      </c>
      <c r="G403">
        <v>404.76</v>
      </c>
      <c r="H403">
        <v>0.16</v>
      </c>
      <c r="I403" s="4">
        <v>15639.93</v>
      </c>
      <c r="J403" t="s">
        <v>16</v>
      </c>
      <c r="K403" t="s">
        <v>48</v>
      </c>
      <c r="L403" s="4">
        <f>VLOOKUP(tblTransactions[[#This Row],[Product_ID]],tblProducts[],5,FALSE)</f>
        <v>226.76</v>
      </c>
      <c r="M403" s="4">
        <f>tblTransactions[[#This Row],[Total_Amount]]-(tblTransactions[[#This Row],[Cost_Prices]]*tblTransactions[[#This Row],[Quantity]]*(1-tblTransactions[[#This Row],[Discount]]))</f>
        <v>6877.9236000000019</v>
      </c>
      <c r="N403" s="3">
        <f>tblTransactions[[#This Row],[Profit]]/tblTransactions[[#This Row],[Total_Amount]]</f>
        <v>0.43976690432757704</v>
      </c>
      <c r="O403" t="str">
        <f>TEXT(tblTransactions[[#This Row],[Date]], "MMM-YYYY")</f>
        <v>Apr-2023</v>
      </c>
      <c r="P403" t="str">
        <f>"Q"&amp;ROUNDUP(MONTH(tblTransactions[[#This Row],[Date]])/3,0)&amp;"-"&amp;YEAR(tblTransactions[[#This Row],[Date]])</f>
        <v>Q2-2023</v>
      </c>
      <c r="Q403">
        <f>YEAR(tblTransactions[[#This Row],[Date]])</f>
        <v>2023</v>
      </c>
      <c r="R403" t="str">
        <f>TEXT(tblTransactions[[#This Row],[Date]],"DDDD")</f>
        <v>Sunday</v>
      </c>
      <c r="S403">
        <f>MONTH(tblTransactions[[#This Row],[Date]])</f>
        <v>4</v>
      </c>
      <c r="T403" t="str">
        <f>VLOOKUP(E403, Products!$A:$B,2,0)</f>
        <v>Tablets Ele-2</v>
      </c>
      <c r="U403" t="str">
        <f>VLOOKUP(E403,Products!$A:$C,3,0)</f>
        <v>Electronics</v>
      </c>
      <c r="V403" t="str">
        <f>VLOOKUP(E403,Products!$A:$D,4,0)</f>
        <v>Tablets</v>
      </c>
      <c r="W403" t="str">
        <f>VLOOKUP(D403,Customers!$A:$C,3,0)</f>
        <v>Enterprise</v>
      </c>
      <c r="X403" t="str">
        <f>VLOOKUP(C403,Sales_Representatives!$A:$B,2,0)</f>
        <v>Jennifer Rodriguez</v>
      </c>
    </row>
    <row r="404" spans="1:24" x14ac:dyDescent="0.3">
      <c r="A404" t="s">
        <v>651</v>
      </c>
      <c r="B404" t="s">
        <v>650</v>
      </c>
      <c r="C404" t="s">
        <v>59</v>
      </c>
      <c r="D404" t="s">
        <v>95</v>
      </c>
      <c r="E404" t="s">
        <v>38</v>
      </c>
      <c r="F404">
        <v>18</v>
      </c>
      <c r="G404">
        <v>581.47</v>
      </c>
      <c r="H404">
        <v>0.14000000000000001</v>
      </c>
      <c r="I404" s="4">
        <v>9001.16</v>
      </c>
      <c r="J404" t="s">
        <v>21</v>
      </c>
      <c r="K404" t="s">
        <v>35</v>
      </c>
      <c r="L404" s="4">
        <f>VLOOKUP(tblTransactions[[#This Row],[Product_ID]],tblProducts[],5,FALSE)</f>
        <v>372.07</v>
      </c>
      <c r="M404" s="4">
        <f>tblTransactions[[#This Row],[Total_Amount]]-(tblTransactions[[#This Row],[Cost_Prices]]*tblTransactions[[#This Row],[Quantity]]*(1-tblTransactions[[#This Row],[Discount]]))</f>
        <v>3241.5163999999995</v>
      </c>
      <c r="N404" s="3">
        <f>tblTransactions[[#This Row],[Profit]]/tblTransactions[[#This Row],[Total_Amount]]</f>
        <v>0.36012207315501554</v>
      </c>
      <c r="O404" t="str">
        <f>TEXT(tblTransactions[[#This Row],[Date]], "MMM-YYYY")</f>
        <v>Apr-2023</v>
      </c>
      <c r="P404" t="str">
        <f>"Q"&amp;ROUNDUP(MONTH(tblTransactions[[#This Row],[Date]])/3,0)&amp;"-"&amp;YEAR(tblTransactions[[#This Row],[Date]])</f>
        <v>Q2-2023</v>
      </c>
      <c r="Q404">
        <f>YEAR(tblTransactions[[#This Row],[Date]])</f>
        <v>2023</v>
      </c>
      <c r="R404" t="str">
        <f>TEXT(tblTransactions[[#This Row],[Date]],"DDDD")</f>
        <v>Sunday</v>
      </c>
      <c r="S404">
        <f>MONTH(tblTransactions[[#This Row],[Date]])</f>
        <v>4</v>
      </c>
      <c r="T404" t="str">
        <f>VLOOKUP(E404, Products!$A:$B,2,0)</f>
        <v>Storage Fur-3</v>
      </c>
      <c r="U404" t="str">
        <f>VLOOKUP(E404,Products!$A:$C,3,0)</f>
        <v>Furniture</v>
      </c>
      <c r="V404" t="str">
        <f>VLOOKUP(E404,Products!$A:$D,4,0)</f>
        <v>Storage</v>
      </c>
      <c r="W404" t="str">
        <f>VLOOKUP(D404,Customers!$A:$C,3,0)</f>
        <v>Enterprise</v>
      </c>
      <c r="X404" t="str">
        <f>VLOOKUP(C404,Sales_Representatives!$A:$B,2,0)</f>
        <v>Sarah Brown</v>
      </c>
    </row>
    <row r="405" spans="1:24" x14ac:dyDescent="0.3">
      <c r="A405" t="s">
        <v>652</v>
      </c>
      <c r="B405" t="s">
        <v>650</v>
      </c>
      <c r="C405" t="s">
        <v>59</v>
      </c>
      <c r="D405" t="s">
        <v>132</v>
      </c>
      <c r="E405" t="s">
        <v>191</v>
      </c>
      <c r="F405">
        <v>8</v>
      </c>
      <c r="G405">
        <v>1012.75</v>
      </c>
      <c r="H405">
        <v>7.0000000000000007E-2</v>
      </c>
      <c r="I405" s="4">
        <v>7534.86</v>
      </c>
      <c r="J405" t="s">
        <v>21</v>
      </c>
      <c r="K405" t="s">
        <v>35</v>
      </c>
      <c r="L405" s="4">
        <f>VLOOKUP(tblTransactions[[#This Row],[Product_ID]],tblProducts[],5,FALSE)</f>
        <v>518.53</v>
      </c>
      <c r="M405" s="4">
        <f>tblTransactions[[#This Row],[Total_Amount]]-(tblTransactions[[#This Row],[Cost_Prices]]*tblTransactions[[#This Row],[Quantity]]*(1-tblTransactions[[#This Row],[Discount]]))</f>
        <v>3676.9968000000003</v>
      </c>
      <c r="N405" s="3">
        <f>tblTransactions[[#This Row],[Profit]]/tblTransactions[[#This Row],[Total_Amount]]</f>
        <v>0.48799802517896823</v>
      </c>
      <c r="O405" t="str">
        <f>TEXT(tblTransactions[[#This Row],[Date]], "MMM-YYYY")</f>
        <v>Apr-2023</v>
      </c>
      <c r="P405" t="str">
        <f>"Q"&amp;ROUNDUP(MONTH(tblTransactions[[#This Row],[Date]])/3,0)&amp;"-"&amp;YEAR(tblTransactions[[#This Row],[Date]])</f>
        <v>Q2-2023</v>
      </c>
      <c r="Q405">
        <f>YEAR(tblTransactions[[#This Row],[Date]])</f>
        <v>2023</v>
      </c>
      <c r="R405" t="str">
        <f>TEXT(tblTransactions[[#This Row],[Date]],"DDDD")</f>
        <v>Sunday</v>
      </c>
      <c r="S405">
        <f>MONTH(tblTransactions[[#This Row],[Date]])</f>
        <v>4</v>
      </c>
      <c r="T405" t="str">
        <f>VLOOKUP(E405, Products!$A:$B,2,0)</f>
        <v>Tables Fur-4</v>
      </c>
      <c r="U405" t="str">
        <f>VLOOKUP(E405,Products!$A:$C,3,0)</f>
        <v>Furniture</v>
      </c>
      <c r="V405" t="str">
        <f>VLOOKUP(E405,Products!$A:$D,4,0)</f>
        <v>Tables</v>
      </c>
      <c r="W405" t="str">
        <f>VLOOKUP(D405,Customers!$A:$C,3,0)</f>
        <v>B2B</v>
      </c>
      <c r="X405" t="str">
        <f>VLOOKUP(C405,Sales_Representatives!$A:$B,2,0)</f>
        <v>Sarah Brown</v>
      </c>
    </row>
    <row r="406" spans="1:24" x14ac:dyDescent="0.3">
      <c r="A406" t="s">
        <v>653</v>
      </c>
      <c r="B406" t="s">
        <v>650</v>
      </c>
      <c r="C406" t="s">
        <v>13</v>
      </c>
      <c r="D406" t="s">
        <v>154</v>
      </c>
      <c r="E406" t="s">
        <v>324</v>
      </c>
      <c r="F406">
        <v>3</v>
      </c>
      <c r="G406">
        <v>245.76</v>
      </c>
      <c r="H406">
        <v>0</v>
      </c>
      <c r="I406" s="4">
        <v>737.28</v>
      </c>
      <c r="J406" t="s">
        <v>16</v>
      </c>
      <c r="K406" t="s">
        <v>17</v>
      </c>
      <c r="L406" s="4">
        <f>VLOOKUP(tblTransactions[[#This Row],[Product_ID]],tblProducts[],5,FALSE)</f>
        <v>161.94</v>
      </c>
      <c r="M406" s="4">
        <f>tblTransactions[[#This Row],[Total_Amount]]-(tblTransactions[[#This Row],[Cost_Prices]]*tblTransactions[[#This Row],[Quantity]]*(1-tblTransactions[[#This Row],[Discount]]))</f>
        <v>251.45999999999998</v>
      </c>
      <c r="N406" s="3">
        <f>tblTransactions[[#This Row],[Profit]]/tblTransactions[[#This Row],[Total_Amount]]</f>
        <v>0.341064453125</v>
      </c>
      <c r="O406" t="str">
        <f>TEXT(tblTransactions[[#This Row],[Date]], "MMM-YYYY")</f>
        <v>Apr-2023</v>
      </c>
      <c r="P406" t="str">
        <f>"Q"&amp;ROUNDUP(MONTH(tblTransactions[[#This Row],[Date]])/3,0)&amp;"-"&amp;YEAR(tblTransactions[[#This Row],[Date]])</f>
        <v>Q2-2023</v>
      </c>
      <c r="Q406">
        <f>YEAR(tblTransactions[[#This Row],[Date]])</f>
        <v>2023</v>
      </c>
      <c r="R406" t="str">
        <f>TEXT(tblTransactions[[#This Row],[Date]],"DDDD")</f>
        <v>Sunday</v>
      </c>
      <c r="S406">
        <f>MONTH(tblTransactions[[#This Row],[Date]])</f>
        <v>4</v>
      </c>
      <c r="T406" t="str">
        <f>VLOOKUP(E406, Products!$A:$B,2,0)</f>
        <v>Storage Fur-1</v>
      </c>
      <c r="U406" t="str">
        <f>VLOOKUP(E406,Products!$A:$C,3,0)</f>
        <v>Furniture</v>
      </c>
      <c r="V406" t="str">
        <f>VLOOKUP(E406,Products!$A:$D,4,0)</f>
        <v>Storage</v>
      </c>
      <c r="W406" t="str">
        <f>VLOOKUP(D406,Customers!$A:$C,3,0)</f>
        <v>B2B</v>
      </c>
      <c r="X406" t="str">
        <f>VLOOKUP(C406,Sales_Representatives!$A:$B,2,0)</f>
        <v>Jennifer Rodriguez</v>
      </c>
    </row>
    <row r="407" spans="1:24" x14ac:dyDescent="0.3">
      <c r="A407" t="s">
        <v>654</v>
      </c>
      <c r="B407" t="s">
        <v>655</v>
      </c>
      <c r="C407" t="s">
        <v>70</v>
      </c>
      <c r="D407" t="s">
        <v>288</v>
      </c>
      <c r="E407" t="s">
        <v>347</v>
      </c>
      <c r="F407">
        <v>1</v>
      </c>
      <c r="G407">
        <v>1539.6</v>
      </c>
      <c r="H407">
        <v>0.06</v>
      </c>
      <c r="I407" s="4">
        <v>1447.22</v>
      </c>
      <c r="J407" t="s">
        <v>16</v>
      </c>
      <c r="K407" t="s">
        <v>22</v>
      </c>
      <c r="L407" s="4">
        <f>VLOOKUP(tblTransactions[[#This Row],[Product_ID]],tblProducts[],5,FALSE)</f>
        <v>992.43</v>
      </c>
      <c r="M407" s="4">
        <f>tblTransactions[[#This Row],[Total_Amount]]-(tblTransactions[[#This Row],[Cost_Prices]]*tblTransactions[[#This Row],[Quantity]]*(1-tblTransactions[[#This Row],[Discount]]))</f>
        <v>514.33580000000018</v>
      </c>
      <c r="N407" s="3">
        <f>tblTransactions[[#This Row],[Profit]]/tblTransactions[[#This Row],[Total_Amount]]</f>
        <v>0.35539572421608334</v>
      </c>
      <c r="O407" t="str">
        <f>TEXT(tblTransactions[[#This Row],[Date]], "MMM-YYYY")</f>
        <v>Apr-2023</v>
      </c>
      <c r="P407" t="str">
        <f>"Q"&amp;ROUNDUP(MONTH(tblTransactions[[#This Row],[Date]])/3,0)&amp;"-"&amp;YEAR(tblTransactions[[#This Row],[Date]])</f>
        <v>Q2-2023</v>
      </c>
      <c r="Q407">
        <f>YEAR(tblTransactions[[#This Row],[Date]])</f>
        <v>2023</v>
      </c>
      <c r="R407" t="str">
        <f>TEXT(tblTransactions[[#This Row],[Date]],"DDDD")</f>
        <v>Monday</v>
      </c>
      <c r="S407">
        <f>MONTH(tblTransactions[[#This Row],[Date]])</f>
        <v>4</v>
      </c>
      <c r="T407" t="str">
        <f>VLOOKUP(E407, Products!$A:$B,2,0)</f>
        <v>Routers Tec-2</v>
      </c>
      <c r="U407" t="str">
        <f>VLOOKUP(E407,Products!$A:$C,3,0)</f>
        <v>Technology</v>
      </c>
      <c r="V407" t="str">
        <f>VLOOKUP(E407,Products!$A:$D,4,0)</f>
        <v>Routers</v>
      </c>
      <c r="W407" t="str">
        <f>VLOOKUP(D407,Customers!$A:$C,3,0)</f>
        <v>B2C</v>
      </c>
      <c r="X407" t="str">
        <f>VLOOKUP(C407,Sales_Representatives!$A:$B,2,0)</f>
        <v>Linda Smith</v>
      </c>
    </row>
    <row r="408" spans="1:24" x14ac:dyDescent="0.3">
      <c r="A408" t="s">
        <v>656</v>
      </c>
      <c r="B408" t="s">
        <v>655</v>
      </c>
      <c r="C408" t="s">
        <v>131</v>
      </c>
      <c r="D408" t="s">
        <v>288</v>
      </c>
      <c r="E408" t="s">
        <v>587</v>
      </c>
      <c r="F408">
        <v>6</v>
      </c>
      <c r="G408">
        <v>58.54</v>
      </c>
      <c r="H408">
        <v>0.1</v>
      </c>
      <c r="I408" s="4">
        <v>316.12</v>
      </c>
      <c r="J408" t="s">
        <v>44</v>
      </c>
      <c r="K408" t="s">
        <v>22</v>
      </c>
      <c r="L408" s="4">
        <f>VLOOKUP(tblTransactions[[#This Row],[Product_ID]],tblProducts[],5,FALSE)</f>
        <v>25.43</v>
      </c>
      <c r="M408" s="4">
        <f>tblTransactions[[#This Row],[Total_Amount]]-(tblTransactions[[#This Row],[Cost_Prices]]*tblTransactions[[#This Row],[Quantity]]*(1-tblTransactions[[#This Row],[Discount]]))</f>
        <v>178.798</v>
      </c>
      <c r="N408" s="3">
        <f>tblTransactions[[#This Row],[Profit]]/tblTransactions[[#This Row],[Total_Amount]]</f>
        <v>0.56560167025180308</v>
      </c>
      <c r="O408" t="str">
        <f>TEXT(tblTransactions[[#This Row],[Date]], "MMM-YYYY")</f>
        <v>Apr-2023</v>
      </c>
      <c r="P408" t="str">
        <f>"Q"&amp;ROUNDUP(MONTH(tblTransactions[[#This Row],[Date]])/3,0)&amp;"-"&amp;YEAR(tblTransactions[[#This Row],[Date]])</f>
        <v>Q2-2023</v>
      </c>
      <c r="Q408">
        <f>YEAR(tblTransactions[[#This Row],[Date]])</f>
        <v>2023</v>
      </c>
      <c r="R408" t="str">
        <f>TEXT(tblTransactions[[#This Row],[Date]],"DDDD")</f>
        <v>Monday</v>
      </c>
      <c r="S408">
        <f>MONTH(tblTransactions[[#This Row],[Date]])</f>
        <v>4</v>
      </c>
      <c r="T408" t="str">
        <f>VLOOKUP(E408, Products!$A:$B,2,0)</f>
        <v>Paper Off-2</v>
      </c>
      <c r="U408" t="str">
        <f>VLOOKUP(E408,Products!$A:$C,3,0)</f>
        <v>Office Supplies</v>
      </c>
      <c r="V408" t="str">
        <f>VLOOKUP(E408,Products!$A:$D,4,0)</f>
        <v>Paper</v>
      </c>
      <c r="W408" t="str">
        <f>VLOOKUP(D408,Customers!$A:$C,3,0)</f>
        <v>B2C</v>
      </c>
      <c r="X408" t="str">
        <f>VLOOKUP(C408,Sales_Representatives!$A:$B,2,0)</f>
        <v>Michael Davis</v>
      </c>
    </row>
    <row r="409" spans="1:24" x14ac:dyDescent="0.3">
      <c r="A409" t="s">
        <v>657</v>
      </c>
      <c r="B409" t="s">
        <v>655</v>
      </c>
      <c r="C409" t="s">
        <v>41</v>
      </c>
      <c r="D409" t="s">
        <v>288</v>
      </c>
      <c r="E409" t="s">
        <v>91</v>
      </c>
      <c r="F409">
        <v>3</v>
      </c>
      <c r="G409">
        <v>286.62</v>
      </c>
      <c r="H409">
        <v>0.06</v>
      </c>
      <c r="I409" s="4">
        <v>808.27</v>
      </c>
      <c r="J409" t="s">
        <v>44</v>
      </c>
      <c r="K409" t="s">
        <v>48</v>
      </c>
      <c r="L409" s="4">
        <f>VLOOKUP(tblTransactions[[#This Row],[Product_ID]],tblProducts[],5,FALSE)</f>
        <v>145.54</v>
      </c>
      <c r="M409" s="4">
        <f>tblTransactions[[#This Row],[Total_Amount]]-(tblTransactions[[#This Row],[Cost_Prices]]*tblTransactions[[#This Row],[Quantity]]*(1-tblTransactions[[#This Row],[Discount]]))</f>
        <v>397.84719999999999</v>
      </c>
      <c r="N409" s="3">
        <f>tblTransactions[[#This Row],[Profit]]/tblTransactions[[#This Row],[Total_Amount]]</f>
        <v>0.49222066883590881</v>
      </c>
      <c r="O409" t="str">
        <f>TEXT(tblTransactions[[#This Row],[Date]], "MMM-YYYY")</f>
        <v>Apr-2023</v>
      </c>
      <c r="P409" t="str">
        <f>"Q"&amp;ROUNDUP(MONTH(tblTransactions[[#This Row],[Date]])/3,0)&amp;"-"&amp;YEAR(tblTransactions[[#This Row],[Date]])</f>
        <v>Q2-2023</v>
      </c>
      <c r="Q409">
        <f>YEAR(tblTransactions[[#This Row],[Date]])</f>
        <v>2023</v>
      </c>
      <c r="R409" t="str">
        <f>TEXT(tblTransactions[[#This Row],[Date]],"DDDD")</f>
        <v>Monday</v>
      </c>
      <c r="S409">
        <f>MONTH(tblTransactions[[#This Row],[Date]])</f>
        <v>4</v>
      </c>
      <c r="T409" t="str">
        <f>VLOOKUP(E409, Products!$A:$B,2,0)</f>
        <v>Chairs Fur-1</v>
      </c>
      <c r="U409" t="str">
        <f>VLOOKUP(E409,Products!$A:$C,3,0)</f>
        <v>Furniture</v>
      </c>
      <c r="V409" t="str">
        <f>VLOOKUP(E409,Products!$A:$D,4,0)</f>
        <v>Chairs</v>
      </c>
      <c r="W409" t="str">
        <f>VLOOKUP(D409,Customers!$A:$C,3,0)</f>
        <v>B2C</v>
      </c>
      <c r="X409" t="str">
        <f>VLOOKUP(C409,Sales_Representatives!$A:$B,2,0)</f>
        <v>Robert Jones</v>
      </c>
    </row>
    <row r="410" spans="1:24" x14ac:dyDescent="0.3">
      <c r="A410" t="s">
        <v>658</v>
      </c>
      <c r="B410" t="s">
        <v>655</v>
      </c>
      <c r="C410" t="s">
        <v>131</v>
      </c>
      <c r="D410" t="s">
        <v>118</v>
      </c>
      <c r="E410" t="s">
        <v>347</v>
      </c>
      <c r="F410">
        <v>2</v>
      </c>
      <c r="G410">
        <v>1539.6</v>
      </c>
      <c r="H410">
        <v>0.08</v>
      </c>
      <c r="I410" s="4">
        <v>2832.86</v>
      </c>
      <c r="J410" t="s">
        <v>44</v>
      </c>
      <c r="K410" t="s">
        <v>48</v>
      </c>
      <c r="L410" s="4">
        <f>VLOOKUP(tblTransactions[[#This Row],[Product_ID]],tblProducts[],5,FALSE)</f>
        <v>992.43</v>
      </c>
      <c r="M410" s="4">
        <f>tblTransactions[[#This Row],[Total_Amount]]-(tblTransactions[[#This Row],[Cost_Prices]]*tblTransactions[[#This Row],[Quantity]]*(1-tblTransactions[[#This Row],[Discount]]))</f>
        <v>1006.7888</v>
      </c>
      <c r="N410" s="3">
        <f>tblTransactions[[#This Row],[Profit]]/tblTransactions[[#This Row],[Total_Amount]]</f>
        <v>0.35539659566657017</v>
      </c>
      <c r="O410" t="str">
        <f>TEXT(tblTransactions[[#This Row],[Date]], "MMM-YYYY")</f>
        <v>Apr-2023</v>
      </c>
      <c r="P410" t="str">
        <f>"Q"&amp;ROUNDUP(MONTH(tblTransactions[[#This Row],[Date]])/3,0)&amp;"-"&amp;YEAR(tblTransactions[[#This Row],[Date]])</f>
        <v>Q2-2023</v>
      </c>
      <c r="Q410">
        <f>YEAR(tblTransactions[[#This Row],[Date]])</f>
        <v>2023</v>
      </c>
      <c r="R410" t="str">
        <f>TEXT(tblTransactions[[#This Row],[Date]],"DDDD")</f>
        <v>Monday</v>
      </c>
      <c r="S410">
        <f>MONTH(tblTransactions[[#This Row],[Date]])</f>
        <v>4</v>
      </c>
      <c r="T410" t="str">
        <f>VLOOKUP(E410, Products!$A:$B,2,0)</f>
        <v>Routers Tec-2</v>
      </c>
      <c r="U410" t="str">
        <f>VLOOKUP(E410,Products!$A:$C,3,0)</f>
        <v>Technology</v>
      </c>
      <c r="V410" t="str">
        <f>VLOOKUP(E410,Products!$A:$D,4,0)</f>
        <v>Routers</v>
      </c>
      <c r="W410" t="str">
        <f>VLOOKUP(D410,Customers!$A:$C,3,0)</f>
        <v>B2C</v>
      </c>
      <c r="X410" t="str">
        <f>VLOOKUP(C410,Sales_Representatives!$A:$B,2,0)</f>
        <v>Michael Davis</v>
      </c>
    </row>
    <row r="411" spans="1:24" x14ac:dyDescent="0.3">
      <c r="A411" t="s">
        <v>659</v>
      </c>
      <c r="B411" t="s">
        <v>660</v>
      </c>
      <c r="C411" t="s">
        <v>75</v>
      </c>
      <c r="D411" t="s">
        <v>190</v>
      </c>
      <c r="E411" t="s">
        <v>283</v>
      </c>
      <c r="F411">
        <v>19</v>
      </c>
      <c r="G411">
        <v>456.88</v>
      </c>
      <c r="H411">
        <v>0.18</v>
      </c>
      <c r="I411" s="4">
        <v>7118.19</v>
      </c>
      <c r="J411" t="s">
        <v>44</v>
      </c>
      <c r="K411" t="s">
        <v>35</v>
      </c>
      <c r="L411" s="4">
        <f>VLOOKUP(tblTransactions[[#This Row],[Product_ID]],tblProducts[],5,FALSE)</f>
        <v>313.23</v>
      </c>
      <c r="M411" s="4">
        <f>tblTransactions[[#This Row],[Total_Amount]]-(tblTransactions[[#This Row],[Cost_Prices]]*tblTransactions[[#This Row],[Quantity]]*(1-tblTransactions[[#This Row],[Discount]]))</f>
        <v>2238.0665999999983</v>
      </c>
      <c r="N411" s="3">
        <f>tblTransactions[[#This Row],[Profit]]/tblTransactions[[#This Row],[Total_Amount]]</f>
        <v>0.31441512519334247</v>
      </c>
      <c r="O411" t="str">
        <f>TEXT(tblTransactions[[#This Row],[Date]], "MMM-YYYY")</f>
        <v>Apr-2023</v>
      </c>
      <c r="P411" t="str">
        <f>"Q"&amp;ROUNDUP(MONTH(tblTransactions[[#This Row],[Date]])/3,0)&amp;"-"&amp;YEAR(tblTransactions[[#This Row],[Date]])</f>
        <v>Q2-2023</v>
      </c>
      <c r="Q411">
        <f>YEAR(tblTransactions[[#This Row],[Date]])</f>
        <v>2023</v>
      </c>
      <c r="R411" t="str">
        <f>TEXT(tblTransactions[[#This Row],[Date]],"DDDD")</f>
        <v>Wednesday</v>
      </c>
      <c r="S411">
        <f>MONTH(tblTransactions[[#This Row],[Date]])</f>
        <v>4</v>
      </c>
      <c r="T411" t="str">
        <f>VLOOKUP(E411, Products!$A:$B,2,0)</f>
        <v>Chairs Fur-3</v>
      </c>
      <c r="U411" t="str">
        <f>VLOOKUP(E411,Products!$A:$C,3,0)</f>
        <v>Furniture</v>
      </c>
      <c r="V411" t="str">
        <f>VLOOKUP(E411,Products!$A:$D,4,0)</f>
        <v>Chairs</v>
      </c>
      <c r="W411" t="str">
        <f>VLOOKUP(D411,Customers!$A:$C,3,0)</f>
        <v>B2B</v>
      </c>
      <c r="X411" t="str">
        <f>VLOOKUP(C411,Sales_Representatives!$A:$B,2,0)</f>
        <v>Jessica Anderson</v>
      </c>
    </row>
    <row r="412" spans="1:24" x14ac:dyDescent="0.3">
      <c r="A412" t="s">
        <v>661</v>
      </c>
      <c r="B412" t="s">
        <v>660</v>
      </c>
      <c r="C412" t="s">
        <v>141</v>
      </c>
      <c r="D412" t="s">
        <v>50</v>
      </c>
      <c r="E412" t="s">
        <v>204</v>
      </c>
      <c r="F412">
        <v>3</v>
      </c>
      <c r="G412">
        <v>715.62</v>
      </c>
      <c r="H412">
        <v>0.09</v>
      </c>
      <c r="I412" s="4">
        <v>1953.64</v>
      </c>
      <c r="J412" t="s">
        <v>109</v>
      </c>
      <c r="K412" t="s">
        <v>22</v>
      </c>
      <c r="L412" s="4">
        <f>VLOOKUP(tblTransactions[[#This Row],[Product_ID]],tblProducts[],5,FALSE)</f>
        <v>459.58</v>
      </c>
      <c r="M412" s="4">
        <f>tblTransactions[[#This Row],[Total_Amount]]-(tblTransactions[[#This Row],[Cost_Prices]]*tblTransactions[[#This Row],[Quantity]]*(1-tblTransactions[[#This Row],[Discount]]))</f>
        <v>698.98659999999995</v>
      </c>
      <c r="N412" s="3">
        <f>tblTransactions[[#This Row],[Profit]]/tblTransactions[[#This Row],[Total_Amount]]</f>
        <v>0.35778679797710933</v>
      </c>
      <c r="O412" t="str">
        <f>TEXT(tblTransactions[[#This Row],[Date]], "MMM-YYYY")</f>
        <v>Apr-2023</v>
      </c>
      <c r="P412" t="str">
        <f>"Q"&amp;ROUNDUP(MONTH(tblTransactions[[#This Row],[Date]])/3,0)&amp;"-"&amp;YEAR(tblTransactions[[#This Row],[Date]])</f>
        <v>Q2-2023</v>
      </c>
      <c r="Q412">
        <f>YEAR(tblTransactions[[#This Row],[Date]])</f>
        <v>2023</v>
      </c>
      <c r="R412" t="str">
        <f>TEXT(tblTransactions[[#This Row],[Date]],"DDDD")</f>
        <v>Wednesday</v>
      </c>
      <c r="S412">
        <f>MONTH(tblTransactions[[#This Row],[Date]])</f>
        <v>4</v>
      </c>
      <c r="T412" t="str">
        <f>VLOOKUP(E412, Products!$A:$B,2,0)</f>
        <v>Cameras Ele-2</v>
      </c>
      <c r="U412" t="str">
        <f>VLOOKUP(E412,Products!$A:$C,3,0)</f>
        <v>Electronics</v>
      </c>
      <c r="V412" t="str">
        <f>VLOOKUP(E412,Products!$A:$D,4,0)</f>
        <v>Cameras</v>
      </c>
      <c r="W412" t="str">
        <f>VLOOKUP(D412,Customers!$A:$C,3,0)</f>
        <v>Small Business</v>
      </c>
      <c r="X412" t="str">
        <f>VLOOKUP(C412,Sales_Representatives!$A:$B,2,0)</f>
        <v>Richard Garcia</v>
      </c>
    </row>
    <row r="413" spans="1:24" x14ac:dyDescent="0.3">
      <c r="A413" t="s">
        <v>662</v>
      </c>
      <c r="B413" t="s">
        <v>660</v>
      </c>
      <c r="C413" t="s">
        <v>141</v>
      </c>
      <c r="D413" t="s">
        <v>128</v>
      </c>
      <c r="E413" t="s">
        <v>84</v>
      </c>
      <c r="F413">
        <v>16</v>
      </c>
      <c r="G413">
        <v>1841.77</v>
      </c>
      <c r="H413">
        <v>0.18</v>
      </c>
      <c r="I413" s="4">
        <v>24164.02</v>
      </c>
      <c r="J413" t="s">
        <v>109</v>
      </c>
      <c r="K413" t="s">
        <v>22</v>
      </c>
      <c r="L413" s="4">
        <f>VLOOKUP(tblTransactions[[#This Row],[Product_ID]],tblProducts[],5,FALSE)</f>
        <v>1151.5899999999999</v>
      </c>
      <c r="M413" s="4">
        <f>tblTransactions[[#This Row],[Total_Amount]]-(tblTransactions[[#This Row],[Cost_Prices]]*tblTransactions[[#This Row],[Quantity]]*(1-tblTransactions[[#This Row],[Discount]]))</f>
        <v>9055.1592000000001</v>
      </c>
      <c r="N413" s="3">
        <f>tblTransactions[[#This Row],[Profit]]/tblTransactions[[#This Row],[Total_Amount]]</f>
        <v>0.37473728295209158</v>
      </c>
      <c r="O413" t="str">
        <f>TEXT(tblTransactions[[#This Row],[Date]], "MMM-YYYY")</f>
        <v>Apr-2023</v>
      </c>
      <c r="P413" t="str">
        <f>"Q"&amp;ROUNDUP(MONTH(tblTransactions[[#This Row],[Date]])/3,0)&amp;"-"&amp;YEAR(tblTransactions[[#This Row],[Date]])</f>
        <v>Q2-2023</v>
      </c>
      <c r="Q413">
        <f>YEAR(tblTransactions[[#This Row],[Date]])</f>
        <v>2023</v>
      </c>
      <c r="R413" t="str">
        <f>TEXT(tblTransactions[[#This Row],[Date]],"DDDD")</f>
        <v>Wednesday</v>
      </c>
      <c r="S413">
        <f>MONTH(tblTransactions[[#This Row],[Date]])</f>
        <v>4</v>
      </c>
      <c r="T413" t="str">
        <f>VLOOKUP(E413, Products!$A:$B,2,0)</f>
        <v>Laptops Ele-2</v>
      </c>
      <c r="U413" t="str">
        <f>VLOOKUP(E413,Products!$A:$C,3,0)</f>
        <v>Electronics</v>
      </c>
      <c r="V413" t="str">
        <f>VLOOKUP(E413,Products!$A:$D,4,0)</f>
        <v>Laptops</v>
      </c>
      <c r="W413" t="str">
        <f>VLOOKUP(D413,Customers!$A:$C,3,0)</f>
        <v>B2B</v>
      </c>
      <c r="X413" t="str">
        <f>VLOOKUP(C413,Sales_Representatives!$A:$B,2,0)</f>
        <v>Richard Garcia</v>
      </c>
    </row>
    <row r="414" spans="1:24" x14ac:dyDescent="0.3">
      <c r="A414" t="s">
        <v>663</v>
      </c>
      <c r="B414" t="s">
        <v>664</v>
      </c>
      <c r="C414" t="s">
        <v>31</v>
      </c>
      <c r="D414" t="s">
        <v>183</v>
      </c>
      <c r="E414" t="s">
        <v>264</v>
      </c>
      <c r="F414">
        <v>2</v>
      </c>
      <c r="G414">
        <v>607.29999999999995</v>
      </c>
      <c r="H414">
        <v>0.04</v>
      </c>
      <c r="I414" s="4">
        <v>1166.02</v>
      </c>
      <c r="J414" t="s">
        <v>34</v>
      </c>
      <c r="K414" t="s">
        <v>17</v>
      </c>
      <c r="L414" s="4">
        <f>VLOOKUP(tblTransactions[[#This Row],[Product_ID]],tblProducts[],5,FALSE)</f>
        <v>436.37</v>
      </c>
      <c r="M414" s="4">
        <f>tblTransactions[[#This Row],[Total_Amount]]-(tblTransactions[[#This Row],[Cost_Prices]]*tblTransactions[[#This Row],[Quantity]]*(1-tblTransactions[[#This Row],[Discount]]))</f>
        <v>328.18960000000004</v>
      </c>
      <c r="N414" s="3">
        <f>tblTransactions[[#This Row],[Profit]]/tblTransactions[[#This Row],[Total_Amount]]</f>
        <v>0.28146138145143312</v>
      </c>
      <c r="O414" t="str">
        <f>TEXT(tblTransactions[[#This Row],[Date]], "MMM-YYYY")</f>
        <v>Apr-2023</v>
      </c>
      <c r="P414" t="str">
        <f>"Q"&amp;ROUNDUP(MONTH(tblTransactions[[#This Row],[Date]])/3,0)&amp;"-"&amp;YEAR(tblTransactions[[#This Row],[Date]])</f>
        <v>Q2-2023</v>
      </c>
      <c r="Q414">
        <f>YEAR(tblTransactions[[#This Row],[Date]])</f>
        <v>2023</v>
      </c>
      <c r="R414" t="str">
        <f>TEXT(tblTransactions[[#This Row],[Date]],"DDDD")</f>
        <v>Thursday</v>
      </c>
      <c r="S414">
        <f>MONTH(tblTransactions[[#This Row],[Date]])</f>
        <v>4</v>
      </c>
      <c r="T414" t="str">
        <f>VLOOKUP(E414, Products!$A:$B,2,0)</f>
        <v>Tablets Ele-4</v>
      </c>
      <c r="U414" t="str">
        <f>VLOOKUP(E414,Products!$A:$C,3,0)</f>
        <v>Electronics</v>
      </c>
      <c r="V414" t="str">
        <f>VLOOKUP(E414,Products!$A:$D,4,0)</f>
        <v>Tablets</v>
      </c>
      <c r="W414" t="str">
        <f>VLOOKUP(D414,Customers!$A:$C,3,0)</f>
        <v>Small Business</v>
      </c>
      <c r="X414" t="str">
        <f>VLOOKUP(C414,Sales_Representatives!$A:$B,2,0)</f>
        <v>Thomas Martinez</v>
      </c>
    </row>
    <row r="415" spans="1:24" x14ac:dyDescent="0.3">
      <c r="A415" t="s">
        <v>665</v>
      </c>
      <c r="B415" t="s">
        <v>664</v>
      </c>
      <c r="C415" t="s">
        <v>82</v>
      </c>
      <c r="D415" t="s">
        <v>57</v>
      </c>
      <c r="E415" t="s">
        <v>258</v>
      </c>
      <c r="F415">
        <v>7</v>
      </c>
      <c r="G415">
        <v>73.33</v>
      </c>
      <c r="H415">
        <v>0.11</v>
      </c>
      <c r="I415" s="4">
        <v>456.85</v>
      </c>
      <c r="J415" t="s">
        <v>34</v>
      </c>
      <c r="K415" t="s">
        <v>39</v>
      </c>
      <c r="L415" s="4">
        <f>VLOOKUP(tblTransactions[[#This Row],[Product_ID]],tblProducts[],5,FALSE)</f>
        <v>38.049999999999997</v>
      </c>
      <c r="M415" s="4">
        <f>tblTransactions[[#This Row],[Total_Amount]]-(tblTransactions[[#This Row],[Cost_Prices]]*tblTransactions[[#This Row],[Quantity]]*(1-tblTransactions[[#This Row],[Discount]]))</f>
        <v>219.79850000000005</v>
      </c>
      <c r="N415" s="3">
        <f>tblTransactions[[#This Row],[Profit]]/tblTransactions[[#This Row],[Total_Amount]]</f>
        <v>0.48111743460654488</v>
      </c>
      <c r="O415" t="str">
        <f>TEXT(tblTransactions[[#This Row],[Date]], "MMM-YYYY")</f>
        <v>Apr-2023</v>
      </c>
      <c r="P415" t="str">
        <f>"Q"&amp;ROUNDUP(MONTH(tblTransactions[[#This Row],[Date]])/3,0)&amp;"-"&amp;YEAR(tblTransactions[[#This Row],[Date]])</f>
        <v>Q2-2023</v>
      </c>
      <c r="Q415">
        <f>YEAR(tblTransactions[[#This Row],[Date]])</f>
        <v>2023</v>
      </c>
      <c r="R415" t="str">
        <f>TEXT(tblTransactions[[#This Row],[Date]],"DDDD")</f>
        <v>Thursday</v>
      </c>
      <c r="S415">
        <f>MONTH(tblTransactions[[#This Row],[Date]])</f>
        <v>4</v>
      </c>
      <c r="T415" t="str">
        <f>VLOOKUP(E415, Products!$A:$B,2,0)</f>
        <v>Keyboards Acc-3</v>
      </c>
      <c r="U415" t="str">
        <f>VLOOKUP(E415,Products!$A:$C,3,0)</f>
        <v>Accessories</v>
      </c>
      <c r="V415" t="str">
        <f>VLOOKUP(E415,Products!$A:$D,4,0)</f>
        <v>Keyboards</v>
      </c>
      <c r="W415" t="str">
        <f>VLOOKUP(D415,Customers!$A:$C,3,0)</f>
        <v>Small Business</v>
      </c>
      <c r="X415" t="str">
        <f>VLOOKUP(C415,Sales_Representatives!$A:$B,2,0)</f>
        <v>John Brown</v>
      </c>
    </row>
    <row r="416" spans="1:24" x14ac:dyDescent="0.3">
      <c r="A416" t="s">
        <v>666</v>
      </c>
      <c r="B416" t="s">
        <v>664</v>
      </c>
      <c r="C416" t="s">
        <v>56</v>
      </c>
      <c r="D416" t="s">
        <v>128</v>
      </c>
      <c r="E416" t="s">
        <v>394</v>
      </c>
      <c r="F416">
        <v>19</v>
      </c>
      <c r="G416">
        <v>314.69</v>
      </c>
      <c r="H416">
        <v>0.18</v>
      </c>
      <c r="I416" s="4">
        <v>4902.87</v>
      </c>
      <c r="J416" t="s">
        <v>34</v>
      </c>
      <c r="K416" t="s">
        <v>39</v>
      </c>
      <c r="L416" s="4">
        <f>VLOOKUP(tblTransactions[[#This Row],[Product_ID]],tblProducts[],5,FALSE)</f>
        <v>185.43</v>
      </c>
      <c r="M416" s="4">
        <f>tblTransactions[[#This Row],[Total_Amount]]-(tblTransactions[[#This Row],[Cost_Prices]]*tblTransactions[[#This Row],[Quantity]]*(1-tblTransactions[[#This Row],[Discount]]))</f>
        <v>2013.8705999999997</v>
      </c>
      <c r="N416" s="3">
        <f>tblTransactions[[#This Row],[Profit]]/tblTransactions[[#This Row],[Total_Amount]]</f>
        <v>0.41075341585642688</v>
      </c>
      <c r="O416" t="str">
        <f>TEXT(tblTransactions[[#This Row],[Date]], "MMM-YYYY")</f>
        <v>Apr-2023</v>
      </c>
      <c r="P416" t="str">
        <f>"Q"&amp;ROUNDUP(MONTH(tblTransactions[[#This Row],[Date]])/3,0)&amp;"-"&amp;YEAR(tblTransactions[[#This Row],[Date]])</f>
        <v>Q2-2023</v>
      </c>
      <c r="Q416">
        <f>YEAR(tblTransactions[[#This Row],[Date]])</f>
        <v>2023</v>
      </c>
      <c r="R416" t="str">
        <f>TEXT(tblTransactions[[#This Row],[Date]],"DDDD")</f>
        <v>Thursday</v>
      </c>
      <c r="S416">
        <f>MONTH(tblTransactions[[#This Row],[Date]])</f>
        <v>4</v>
      </c>
      <c r="T416" t="str">
        <f>VLOOKUP(E416, Products!$A:$B,2,0)</f>
        <v>Desks Fur-1</v>
      </c>
      <c r="U416" t="str">
        <f>VLOOKUP(E416,Products!$A:$C,3,0)</f>
        <v>Furniture</v>
      </c>
      <c r="V416" t="str">
        <f>VLOOKUP(E416,Products!$A:$D,4,0)</f>
        <v>Desks</v>
      </c>
      <c r="W416" t="str">
        <f>VLOOKUP(D416,Customers!$A:$C,3,0)</f>
        <v>B2B</v>
      </c>
      <c r="X416" t="str">
        <f>VLOOKUP(C416,Sales_Representatives!$A:$B,2,0)</f>
        <v>Thomas Hernandez</v>
      </c>
    </row>
    <row r="417" spans="1:24" x14ac:dyDescent="0.3">
      <c r="A417" t="s">
        <v>667</v>
      </c>
      <c r="B417" t="s">
        <v>668</v>
      </c>
      <c r="C417" t="s">
        <v>70</v>
      </c>
      <c r="D417" t="s">
        <v>76</v>
      </c>
      <c r="E417" t="s">
        <v>87</v>
      </c>
      <c r="F417">
        <v>6</v>
      </c>
      <c r="G417">
        <v>1047.8900000000001</v>
      </c>
      <c r="H417">
        <v>0.06</v>
      </c>
      <c r="I417" s="4">
        <v>5910.1</v>
      </c>
      <c r="J417" t="s">
        <v>16</v>
      </c>
      <c r="K417" t="s">
        <v>22</v>
      </c>
      <c r="L417" s="4">
        <f>VLOOKUP(tblTransactions[[#This Row],[Product_ID]],tblProducts[],5,FALSE)</f>
        <v>742.63</v>
      </c>
      <c r="M417" s="4">
        <f>tblTransactions[[#This Row],[Total_Amount]]-(tblTransactions[[#This Row],[Cost_Prices]]*tblTransactions[[#This Row],[Quantity]]*(1-tblTransactions[[#This Row],[Discount]]))</f>
        <v>1721.6668000000009</v>
      </c>
      <c r="N417" s="3">
        <f>tblTransactions[[#This Row],[Profit]]/tblTransactions[[#This Row],[Total_Amount]]</f>
        <v>0.29130925026649307</v>
      </c>
      <c r="O417" t="str">
        <f>TEXT(tblTransactions[[#This Row],[Date]], "MMM-YYYY")</f>
        <v>Apr-2023</v>
      </c>
      <c r="P417" t="str">
        <f>"Q"&amp;ROUNDUP(MONTH(tblTransactions[[#This Row],[Date]])/3,0)&amp;"-"&amp;YEAR(tblTransactions[[#This Row],[Date]])</f>
        <v>Q2-2023</v>
      </c>
      <c r="Q417">
        <f>YEAR(tblTransactions[[#This Row],[Date]])</f>
        <v>2023</v>
      </c>
      <c r="R417" t="str">
        <f>TEXT(tblTransactions[[#This Row],[Date]],"DDDD")</f>
        <v>Friday</v>
      </c>
      <c r="S417">
        <f>MONTH(tblTransactions[[#This Row],[Date]])</f>
        <v>4</v>
      </c>
      <c r="T417" t="str">
        <f>VLOOKUP(E417, Products!$A:$B,2,0)</f>
        <v>Monitors Tec-2</v>
      </c>
      <c r="U417" t="str">
        <f>VLOOKUP(E417,Products!$A:$C,3,0)</f>
        <v>Technology</v>
      </c>
      <c r="V417" t="str">
        <f>VLOOKUP(E417,Products!$A:$D,4,0)</f>
        <v>Monitors</v>
      </c>
      <c r="W417" t="str">
        <f>VLOOKUP(D417,Customers!$A:$C,3,0)</f>
        <v>Small Business</v>
      </c>
      <c r="X417" t="str">
        <f>VLOOKUP(C417,Sales_Representatives!$A:$B,2,0)</f>
        <v>Linda Smith</v>
      </c>
    </row>
    <row r="418" spans="1:24" x14ac:dyDescent="0.3">
      <c r="A418" t="s">
        <v>669</v>
      </c>
      <c r="B418" t="s">
        <v>668</v>
      </c>
      <c r="C418" t="s">
        <v>31</v>
      </c>
      <c r="D418" t="s">
        <v>71</v>
      </c>
      <c r="E418" t="s">
        <v>87</v>
      </c>
      <c r="F418">
        <v>13</v>
      </c>
      <c r="G418">
        <v>1047.8900000000001</v>
      </c>
      <c r="H418">
        <v>0.12</v>
      </c>
      <c r="I418" s="4">
        <v>11987.86</v>
      </c>
      <c r="J418" t="s">
        <v>34</v>
      </c>
      <c r="K418" t="s">
        <v>48</v>
      </c>
      <c r="L418" s="4">
        <f>VLOOKUP(tblTransactions[[#This Row],[Product_ID]],tblProducts[],5,FALSE)</f>
        <v>742.63</v>
      </c>
      <c r="M418" s="4">
        <f>tblTransactions[[#This Row],[Total_Amount]]-(tblTransactions[[#This Row],[Cost_Prices]]*tblTransactions[[#This Row],[Quantity]]*(1-tblTransactions[[#This Row],[Discount]]))</f>
        <v>3492.1728000000003</v>
      </c>
      <c r="N418" s="3">
        <f>tblTransactions[[#This Row],[Profit]]/tblTransactions[[#This Row],[Total_Amount]]</f>
        <v>0.29130910771397062</v>
      </c>
      <c r="O418" t="str">
        <f>TEXT(tblTransactions[[#This Row],[Date]], "MMM-YYYY")</f>
        <v>Apr-2023</v>
      </c>
      <c r="P418" t="str">
        <f>"Q"&amp;ROUNDUP(MONTH(tblTransactions[[#This Row],[Date]])/3,0)&amp;"-"&amp;YEAR(tblTransactions[[#This Row],[Date]])</f>
        <v>Q2-2023</v>
      </c>
      <c r="Q418">
        <f>YEAR(tblTransactions[[#This Row],[Date]])</f>
        <v>2023</v>
      </c>
      <c r="R418" t="str">
        <f>TEXT(tblTransactions[[#This Row],[Date]],"DDDD")</f>
        <v>Friday</v>
      </c>
      <c r="S418">
        <f>MONTH(tblTransactions[[#This Row],[Date]])</f>
        <v>4</v>
      </c>
      <c r="T418" t="str">
        <f>VLOOKUP(E418, Products!$A:$B,2,0)</f>
        <v>Monitors Tec-2</v>
      </c>
      <c r="U418" t="str">
        <f>VLOOKUP(E418,Products!$A:$C,3,0)</f>
        <v>Technology</v>
      </c>
      <c r="V418" t="str">
        <f>VLOOKUP(E418,Products!$A:$D,4,0)</f>
        <v>Monitors</v>
      </c>
      <c r="W418" t="str">
        <f>VLOOKUP(D418,Customers!$A:$C,3,0)</f>
        <v>B2B</v>
      </c>
      <c r="X418" t="str">
        <f>VLOOKUP(C418,Sales_Representatives!$A:$B,2,0)</f>
        <v>Thomas Martinez</v>
      </c>
    </row>
    <row r="419" spans="1:24" x14ac:dyDescent="0.3">
      <c r="A419" t="s">
        <v>670</v>
      </c>
      <c r="B419" t="s">
        <v>668</v>
      </c>
      <c r="C419" t="s">
        <v>41</v>
      </c>
      <c r="D419" t="s">
        <v>197</v>
      </c>
      <c r="E419" t="s">
        <v>157</v>
      </c>
      <c r="F419">
        <v>11</v>
      </c>
      <c r="G419">
        <v>1227.68</v>
      </c>
      <c r="H419">
        <v>0.15</v>
      </c>
      <c r="I419" s="4">
        <v>11478.81</v>
      </c>
      <c r="J419" t="s">
        <v>44</v>
      </c>
      <c r="K419" t="s">
        <v>48</v>
      </c>
      <c r="L419" s="4">
        <f>VLOOKUP(tblTransactions[[#This Row],[Product_ID]],tblProducts[],5,FALSE)</f>
        <v>846.42</v>
      </c>
      <c r="M419" s="4">
        <f>tblTransactions[[#This Row],[Total_Amount]]-(tblTransactions[[#This Row],[Cost_Prices]]*tblTransactions[[#This Row],[Quantity]]*(1-tblTransactions[[#This Row],[Discount]]))</f>
        <v>3564.7830000000004</v>
      </c>
      <c r="N419" s="3">
        <f>tblTransactions[[#This Row],[Profit]]/tblTransactions[[#This Row],[Total_Amount]]</f>
        <v>0.31055335875408691</v>
      </c>
      <c r="O419" t="str">
        <f>TEXT(tblTransactions[[#This Row],[Date]], "MMM-YYYY")</f>
        <v>Apr-2023</v>
      </c>
      <c r="P419" t="str">
        <f>"Q"&amp;ROUNDUP(MONTH(tblTransactions[[#This Row],[Date]])/3,0)&amp;"-"&amp;YEAR(tblTransactions[[#This Row],[Date]])</f>
        <v>Q2-2023</v>
      </c>
      <c r="Q419">
        <f>YEAR(tblTransactions[[#This Row],[Date]])</f>
        <v>2023</v>
      </c>
      <c r="R419" t="str">
        <f>TEXT(tblTransactions[[#This Row],[Date]],"DDDD")</f>
        <v>Friday</v>
      </c>
      <c r="S419">
        <f>MONTH(tblTransactions[[#This Row],[Date]])</f>
        <v>4</v>
      </c>
      <c r="T419" t="str">
        <f>VLOOKUP(E419, Products!$A:$B,2,0)</f>
        <v>Printers Tec-4</v>
      </c>
      <c r="U419" t="str">
        <f>VLOOKUP(E419,Products!$A:$C,3,0)</f>
        <v>Technology</v>
      </c>
      <c r="V419" t="str">
        <f>VLOOKUP(E419,Products!$A:$D,4,0)</f>
        <v>Printers</v>
      </c>
      <c r="W419" t="str">
        <f>VLOOKUP(D419,Customers!$A:$C,3,0)</f>
        <v>Enterprise</v>
      </c>
      <c r="X419" t="str">
        <f>VLOOKUP(C419,Sales_Representatives!$A:$B,2,0)</f>
        <v>Robert Jones</v>
      </c>
    </row>
    <row r="420" spans="1:24" x14ac:dyDescent="0.3">
      <c r="A420" t="s">
        <v>671</v>
      </c>
      <c r="B420" t="s">
        <v>672</v>
      </c>
      <c r="C420" t="s">
        <v>131</v>
      </c>
      <c r="D420" t="s">
        <v>134</v>
      </c>
      <c r="E420" t="s">
        <v>15</v>
      </c>
      <c r="F420">
        <v>9</v>
      </c>
      <c r="G420">
        <v>477.48</v>
      </c>
      <c r="H420">
        <v>0.11</v>
      </c>
      <c r="I420" s="4">
        <v>3824.61</v>
      </c>
      <c r="J420" t="s">
        <v>44</v>
      </c>
      <c r="K420" t="s">
        <v>17</v>
      </c>
      <c r="L420" s="4">
        <f>VLOOKUP(tblTransactions[[#This Row],[Product_ID]],tblProducts[],5,FALSE)</f>
        <v>275.51</v>
      </c>
      <c r="M420" s="4">
        <f>tblTransactions[[#This Row],[Total_Amount]]-(tblTransactions[[#This Row],[Cost_Prices]]*tblTransactions[[#This Row],[Quantity]]*(1-tblTransactions[[#This Row],[Discount]]))</f>
        <v>1617.7748999999999</v>
      </c>
      <c r="N420" s="3">
        <f>tblTransactions[[#This Row],[Profit]]/tblTransactions[[#This Row],[Total_Amount]]</f>
        <v>0.42299081474973915</v>
      </c>
      <c r="O420" t="str">
        <f>TEXT(tblTransactions[[#This Row],[Date]], "MMM-YYYY")</f>
        <v>Apr-2023</v>
      </c>
      <c r="P420" t="str">
        <f>"Q"&amp;ROUNDUP(MONTH(tblTransactions[[#This Row],[Date]])/3,0)&amp;"-"&amp;YEAR(tblTransactions[[#This Row],[Date]])</f>
        <v>Q2-2023</v>
      </c>
      <c r="Q420">
        <f>YEAR(tblTransactions[[#This Row],[Date]])</f>
        <v>2023</v>
      </c>
      <c r="R420" t="str">
        <f>TEXT(tblTransactions[[#This Row],[Date]],"DDDD")</f>
        <v>Saturday</v>
      </c>
      <c r="S420">
        <f>MONTH(tblTransactions[[#This Row],[Date]])</f>
        <v>4</v>
      </c>
      <c r="T420" t="str">
        <f>VLOOKUP(E420, Products!$A:$B,2,0)</f>
        <v>Laptops Ele-4</v>
      </c>
      <c r="U420" t="str">
        <f>VLOOKUP(E420,Products!$A:$C,3,0)</f>
        <v>Electronics</v>
      </c>
      <c r="V420" t="str">
        <f>VLOOKUP(E420,Products!$A:$D,4,0)</f>
        <v>Laptops</v>
      </c>
      <c r="W420" t="str">
        <f>VLOOKUP(D420,Customers!$A:$C,3,0)</f>
        <v>B2B</v>
      </c>
      <c r="X420" t="str">
        <f>VLOOKUP(C420,Sales_Representatives!$A:$B,2,0)</f>
        <v>Michael Davis</v>
      </c>
    </row>
    <row r="421" spans="1:24" x14ac:dyDescent="0.3">
      <c r="A421" t="s">
        <v>673</v>
      </c>
      <c r="B421" t="s">
        <v>672</v>
      </c>
      <c r="C421" t="s">
        <v>70</v>
      </c>
      <c r="D421" t="s">
        <v>93</v>
      </c>
      <c r="E421" t="s">
        <v>198</v>
      </c>
      <c r="F421">
        <v>7</v>
      </c>
      <c r="G421">
        <v>1802.96</v>
      </c>
      <c r="H421">
        <v>0.11</v>
      </c>
      <c r="I421" s="4">
        <v>11232.44</v>
      </c>
      <c r="J421" t="s">
        <v>16</v>
      </c>
      <c r="K421" t="s">
        <v>39</v>
      </c>
      <c r="L421" s="4">
        <f>VLOOKUP(tblTransactions[[#This Row],[Product_ID]],tblProducts[],5,FALSE)</f>
        <v>1282.18</v>
      </c>
      <c r="M421" s="4">
        <f>tblTransactions[[#This Row],[Total_Amount]]-(tblTransactions[[#This Row],[Cost_Prices]]*tblTransactions[[#This Row],[Quantity]]*(1-tblTransactions[[#This Row],[Discount]]))</f>
        <v>3244.4585999999999</v>
      </c>
      <c r="N421" s="3">
        <f>tblTransactions[[#This Row],[Profit]]/tblTransactions[[#This Row],[Total_Amount]]</f>
        <v>0.28884717835127538</v>
      </c>
      <c r="O421" t="str">
        <f>TEXT(tblTransactions[[#This Row],[Date]], "MMM-YYYY")</f>
        <v>Apr-2023</v>
      </c>
      <c r="P421" t="str">
        <f>"Q"&amp;ROUNDUP(MONTH(tblTransactions[[#This Row],[Date]])/3,0)&amp;"-"&amp;YEAR(tblTransactions[[#This Row],[Date]])</f>
        <v>Q2-2023</v>
      </c>
      <c r="Q421">
        <f>YEAR(tblTransactions[[#This Row],[Date]])</f>
        <v>2023</v>
      </c>
      <c r="R421" t="str">
        <f>TEXT(tblTransactions[[#This Row],[Date]],"DDDD")</f>
        <v>Saturday</v>
      </c>
      <c r="S421">
        <f>MONTH(tblTransactions[[#This Row],[Date]])</f>
        <v>4</v>
      </c>
      <c r="T421" t="str">
        <f>VLOOKUP(E421, Products!$A:$B,2,0)</f>
        <v>Tablets Ele-3</v>
      </c>
      <c r="U421" t="str">
        <f>VLOOKUP(E421,Products!$A:$C,3,0)</f>
        <v>Electronics</v>
      </c>
      <c r="V421" t="str">
        <f>VLOOKUP(E421,Products!$A:$D,4,0)</f>
        <v>Tablets</v>
      </c>
      <c r="W421" t="str">
        <f>VLOOKUP(D421,Customers!$A:$C,3,0)</f>
        <v>B2C</v>
      </c>
      <c r="X421" t="str">
        <f>VLOOKUP(C421,Sales_Representatives!$A:$B,2,0)</f>
        <v>Linda Smith</v>
      </c>
    </row>
    <row r="422" spans="1:24" x14ac:dyDescent="0.3">
      <c r="A422" t="s">
        <v>674</v>
      </c>
      <c r="B422" t="s">
        <v>672</v>
      </c>
      <c r="C422" t="s">
        <v>70</v>
      </c>
      <c r="D422" t="s">
        <v>132</v>
      </c>
      <c r="E422" t="s">
        <v>347</v>
      </c>
      <c r="F422">
        <v>10</v>
      </c>
      <c r="G422">
        <v>1539.6</v>
      </c>
      <c r="H422">
        <v>0.1</v>
      </c>
      <c r="I422" s="4">
        <v>13856.4</v>
      </c>
      <c r="J422" t="s">
        <v>16</v>
      </c>
      <c r="K422" t="s">
        <v>22</v>
      </c>
      <c r="L422" s="4">
        <f>VLOOKUP(tblTransactions[[#This Row],[Product_ID]],tblProducts[],5,FALSE)</f>
        <v>992.43</v>
      </c>
      <c r="M422" s="4">
        <f>tblTransactions[[#This Row],[Total_Amount]]-(tblTransactions[[#This Row],[Cost_Prices]]*tblTransactions[[#This Row],[Quantity]]*(1-tblTransactions[[#This Row],[Discount]]))</f>
        <v>4924.5300000000007</v>
      </c>
      <c r="N422" s="3">
        <f>tblTransactions[[#This Row],[Profit]]/tblTransactions[[#This Row],[Total_Amount]]</f>
        <v>0.35539750584567426</v>
      </c>
      <c r="O422" t="str">
        <f>TEXT(tblTransactions[[#This Row],[Date]], "MMM-YYYY")</f>
        <v>Apr-2023</v>
      </c>
      <c r="P422" t="str">
        <f>"Q"&amp;ROUNDUP(MONTH(tblTransactions[[#This Row],[Date]])/3,0)&amp;"-"&amp;YEAR(tblTransactions[[#This Row],[Date]])</f>
        <v>Q2-2023</v>
      </c>
      <c r="Q422">
        <f>YEAR(tblTransactions[[#This Row],[Date]])</f>
        <v>2023</v>
      </c>
      <c r="R422" t="str">
        <f>TEXT(tblTransactions[[#This Row],[Date]],"DDDD")</f>
        <v>Saturday</v>
      </c>
      <c r="S422">
        <f>MONTH(tblTransactions[[#This Row],[Date]])</f>
        <v>4</v>
      </c>
      <c r="T422" t="str">
        <f>VLOOKUP(E422, Products!$A:$B,2,0)</f>
        <v>Routers Tec-2</v>
      </c>
      <c r="U422" t="str">
        <f>VLOOKUP(E422,Products!$A:$C,3,0)</f>
        <v>Technology</v>
      </c>
      <c r="V422" t="str">
        <f>VLOOKUP(E422,Products!$A:$D,4,0)</f>
        <v>Routers</v>
      </c>
      <c r="W422" t="str">
        <f>VLOOKUP(D422,Customers!$A:$C,3,0)</f>
        <v>B2B</v>
      </c>
      <c r="X422" t="str">
        <f>VLOOKUP(C422,Sales_Representatives!$A:$B,2,0)</f>
        <v>Linda Smith</v>
      </c>
    </row>
    <row r="423" spans="1:24" x14ac:dyDescent="0.3">
      <c r="A423" t="s">
        <v>675</v>
      </c>
      <c r="B423" t="s">
        <v>672</v>
      </c>
      <c r="C423" t="s">
        <v>107</v>
      </c>
      <c r="D423" t="s">
        <v>164</v>
      </c>
      <c r="E423" t="s">
        <v>243</v>
      </c>
      <c r="F423">
        <v>4</v>
      </c>
      <c r="G423">
        <v>384.18</v>
      </c>
      <c r="H423">
        <v>0.09</v>
      </c>
      <c r="I423" s="4">
        <v>1398.42</v>
      </c>
      <c r="J423" t="s">
        <v>109</v>
      </c>
      <c r="K423" t="s">
        <v>48</v>
      </c>
      <c r="L423" s="4">
        <f>VLOOKUP(tblTransactions[[#This Row],[Product_ID]],tblProducts[],5,FALSE)</f>
        <v>266.92</v>
      </c>
      <c r="M423" s="4">
        <f>tblTransactions[[#This Row],[Total_Amount]]-(tblTransactions[[#This Row],[Cost_Prices]]*tblTransactions[[#This Row],[Quantity]]*(1-tblTransactions[[#This Row],[Discount]]))</f>
        <v>426.83119999999997</v>
      </c>
      <c r="N423" s="3">
        <f>tblTransactions[[#This Row],[Profit]]/tblTransactions[[#This Row],[Total_Amount]]</f>
        <v>0.30522389553925139</v>
      </c>
      <c r="O423" t="str">
        <f>TEXT(tblTransactions[[#This Row],[Date]], "MMM-YYYY")</f>
        <v>Apr-2023</v>
      </c>
      <c r="P423" t="str">
        <f>"Q"&amp;ROUNDUP(MONTH(tblTransactions[[#This Row],[Date]])/3,0)&amp;"-"&amp;YEAR(tblTransactions[[#This Row],[Date]])</f>
        <v>Q2-2023</v>
      </c>
      <c r="Q423">
        <f>YEAR(tblTransactions[[#This Row],[Date]])</f>
        <v>2023</v>
      </c>
      <c r="R423" t="str">
        <f>TEXT(tblTransactions[[#This Row],[Date]],"DDDD")</f>
        <v>Saturday</v>
      </c>
      <c r="S423">
        <f>MONTH(tblTransactions[[#This Row],[Date]])</f>
        <v>4</v>
      </c>
      <c r="T423" t="str">
        <f>VLOOKUP(E423, Products!$A:$B,2,0)</f>
        <v>Routers Tec-3</v>
      </c>
      <c r="U423" t="str">
        <f>VLOOKUP(E423,Products!$A:$C,3,0)</f>
        <v>Technology</v>
      </c>
      <c r="V423" t="str">
        <f>VLOOKUP(E423,Products!$A:$D,4,0)</f>
        <v>Routers</v>
      </c>
      <c r="W423" t="str">
        <f>VLOOKUP(D423,Customers!$A:$C,3,0)</f>
        <v>Small Business</v>
      </c>
      <c r="X423" t="str">
        <f>VLOOKUP(C423,Sales_Representatives!$A:$B,2,0)</f>
        <v>Jennifer Brown</v>
      </c>
    </row>
    <row r="424" spans="1:24" x14ac:dyDescent="0.3">
      <c r="A424" t="s">
        <v>676</v>
      </c>
      <c r="B424" t="s">
        <v>677</v>
      </c>
      <c r="C424" t="s">
        <v>131</v>
      </c>
      <c r="D424" t="s">
        <v>112</v>
      </c>
      <c r="E424" t="s">
        <v>347</v>
      </c>
      <c r="F424">
        <v>40</v>
      </c>
      <c r="G424">
        <v>1539.6</v>
      </c>
      <c r="H424">
        <v>0.16</v>
      </c>
      <c r="I424" s="4">
        <v>51730.559999999998</v>
      </c>
      <c r="J424" t="s">
        <v>44</v>
      </c>
      <c r="K424" t="s">
        <v>22</v>
      </c>
      <c r="L424" s="4">
        <f>VLOOKUP(tblTransactions[[#This Row],[Product_ID]],tblProducts[],5,FALSE)</f>
        <v>992.43</v>
      </c>
      <c r="M424" s="4">
        <f>tblTransactions[[#This Row],[Total_Amount]]-(tblTransactions[[#This Row],[Cost_Prices]]*tblTransactions[[#This Row],[Quantity]]*(1-tblTransactions[[#This Row],[Discount]]))</f>
        <v>18384.912000000004</v>
      </c>
      <c r="N424" s="3">
        <f>tblTransactions[[#This Row],[Profit]]/tblTransactions[[#This Row],[Total_Amount]]</f>
        <v>0.35539750584567431</v>
      </c>
      <c r="O424" t="str">
        <f>TEXT(tblTransactions[[#This Row],[Date]], "MMM-YYYY")</f>
        <v>Apr-2023</v>
      </c>
      <c r="P424" t="str">
        <f>"Q"&amp;ROUNDUP(MONTH(tblTransactions[[#This Row],[Date]])/3,0)&amp;"-"&amp;YEAR(tblTransactions[[#This Row],[Date]])</f>
        <v>Q2-2023</v>
      </c>
      <c r="Q424">
        <f>YEAR(tblTransactions[[#This Row],[Date]])</f>
        <v>2023</v>
      </c>
      <c r="R424" t="str">
        <f>TEXT(tblTransactions[[#This Row],[Date]],"DDDD")</f>
        <v>Sunday</v>
      </c>
      <c r="S424">
        <f>MONTH(tblTransactions[[#This Row],[Date]])</f>
        <v>4</v>
      </c>
      <c r="T424" t="str">
        <f>VLOOKUP(E424, Products!$A:$B,2,0)</f>
        <v>Routers Tec-2</v>
      </c>
      <c r="U424" t="str">
        <f>VLOOKUP(E424,Products!$A:$C,3,0)</f>
        <v>Technology</v>
      </c>
      <c r="V424" t="str">
        <f>VLOOKUP(E424,Products!$A:$D,4,0)</f>
        <v>Routers</v>
      </c>
      <c r="W424" t="str">
        <f>VLOOKUP(D424,Customers!$A:$C,3,0)</f>
        <v>Enterprise</v>
      </c>
      <c r="X424" t="str">
        <f>VLOOKUP(C424,Sales_Representatives!$A:$B,2,0)</f>
        <v>Michael Davis</v>
      </c>
    </row>
    <row r="425" spans="1:24" x14ac:dyDescent="0.3">
      <c r="A425" t="s">
        <v>678</v>
      </c>
      <c r="B425" t="s">
        <v>677</v>
      </c>
      <c r="C425" t="s">
        <v>63</v>
      </c>
      <c r="D425" t="s">
        <v>112</v>
      </c>
      <c r="E425" t="s">
        <v>38</v>
      </c>
      <c r="F425">
        <v>23</v>
      </c>
      <c r="G425">
        <v>581.47</v>
      </c>
      <c r="H425">
        <v>0.24</v>
      </c>
      <c r="I425" s="4">
        <v>10164.1</v>
      </c>
      <c r="J425" t="s">
        <v>21</v>
      </c>
      <c r="K425" t="s">
        <v>17</v>
      </c>
      <c r="L425" s="4">
        <f>VLOOKUP(tblTransactions[[#This Row],[Product_ID]],tblProducts[],5,FALSE)</f>
        <v>372.07</v>
      </c>
      <c r="M425" s="4">
        <f>tblTransactions[[#This Row],[Total_Amount]]-(tblTransactions[[#This Row],[Cost_Prices]]*tblTransactions[[#This Row],[Quantity]]*(1-tblTransactions[[#This Row],[Discount]]))</f>
        <v>3660.3163999999997</v>
      </c>
      <c r="N425" s="3">
        <f>tblTransactions[[#This Row],[Profit]]/tblTransactions[[#This Row],[Total_Amount]]</f>
        <v>0.36012203736681059</v>
      </c>
      <c r="O425" t="str">
        <f>TEXT(tblTransactions[[#This Row],[Date]], "MMM-YYYY")</f>
        <v>Apr-2023</v>
      </c>
      <c r="P425" t="str">
        <f>"Q"&amp;ROUNDUP(MONTH(tblTransactions[[#This Row],[Date]])/3,0)&amp;"-"&amp;YEAR(tblTransactions[[#This Row],[Date]])</f>
        <v>Q2-2023</v>
      </c>
      <c r="Q425">
        <f>YEAR(tblTransactions[[#This Row],[Date]])</f>
        <v>2023</v>
      </c>
      <c r="R425" t="str">
        <f>TEXT(tblTransactions[[#This Row],[Date]],"DDDD")</f>
        <v>Sunday</v>
      </c>
      <c r="S425">
        <f>MONTH(tblTransactions[[#This Row],[Date]])</f>
        <v>4</v>
      </c>
      <c r="T425" t="str">
        <f>VLOOKUP(E425, Products!$A:$B,2,0)</f>
        <v>Storage Fur-3</v>
      </c>
      <c r="U425" t="str">
        <f>VLOOKUP(E425,Products!$A:$C,3,0)</f>
        <v>Furniture</v>
      </c>
      <c r="V425" t="str">
        <f>VLOOKUP(E425,Products!$A:$D,4,0)</f>
        <v>Storage</v>
      </c>
      <c r="W425" t="str">
        <f>VLOOKUP(D425,Customers!$A:$C,3,0)</f>
        <v>Enterprise</v>
      </c>
      <c r="X425" t="str">
        <f>VLOOKUP(C425,Sales_Representatives!$A:$B,2,0)</f>
        <v>Richard Wilson</v>
      </c>
    </row>
    <row r="426" spans="1:24" x14ac:dyDescent="0.3">
      <c r="A426" t="s">
        <v>679</v>
      </c>
      <c r="B426" t="s">
        <v>677</v>
      </c>
      <c r="C426" t="s">
        <v>13</v>
      </c>
      <c r="D426" t="s">
        <v>50</v>
      </c>
      <c r="E426" t="s">
        <v>479</v>
      </c>
      <c r="F426">
        <v>3</v>
      </c>
      <c r="G426">
        <v>239.6</v>
      </c>
      <c r="H426">
        <v>0</v>
      </c>
      <c r="I426" s="4">
        <v>718.8</v>
      </c>
      <c r="J426" t="s">
        <v>16</v>
      </c>
      <c r="K426" t="s">
        <v>22</v>
      </c>
      <c r="L426" s="4">
        <f>VLOOKUP(tblTransactions[[#This Row],[Product_ID]],tblProducts[],5,FALSE)</f>
        <v>107.49</v>
      </c>
      <c r="M426" s="4">
        <f>tblTransactions[[#This Row],[Total_Amount]]-(tblTransactions[[#This Row],[Cost_Prices]]*tblTransactions[[#This Row],[Quantity]]*(1-tblTransactions[[#This Row],[Discount]]))</f>
        <v>396.33</v>
      </c>
      <c r="N426" s="3">
        <f>tblTransactions[[#This Row],[Profit]]/tblTransactions[[#This Row],[Total_Amount]]</f>
        <v>0.55137729549248748</v>
      </c>
      <c r="O426" t="str">
        <f>TEXT(tblTransactions[[#This Row],[Date]], "MMM-YYYY")</f>
        <v>Apr-2023</v>
      </c>
      <c r="P426" t="str">
        <f>"Q"&amp;ROUNDUP(MONTH(tblTransactions[[#This Row],[Date]])/3,0)&amp;"-"&amp;YEAR(tblTransactions[[#This Row],[Date]])</f>
        <v>Q2-2023</v>
      </c>
      <c r="Q426">
        <f>YEAR(tblTransactions[[#This Row],[Date]])</f>
        <v>2023</v>
      </c>
      <c r="R426" t="str">
        <f>TEXT(tblTransactions[[#This Row],[Date]],"DDDD")</f>
        <v>Sunday</v>
      </c>
      <c r="S426">
        <f>MONTH(tblTransactions[[#This Row],[Date]])</f>
        <v>4</v>
      </c>
      <c r="T426" t="str">
        <f>VLOOKUP(E426, Products!$A:$B,2,0)</f>
        <v>Pens Off-2</v>
      </c>
      <c r="U426" t="str">
        <f>VLOOKUP(E426,Products!$A:$C,3,0)</f>
        <v>Office Supplies</v>
      </c>
      <c r="V426" t="str">
        <f>VLOOKUP(E426,Products!$A:$D,4,0)</f>
        <v>Pens</v>
      </c>
      <c r="W426" t="str">
        <f>VLOOKUP(D426,Customers!$A:$C,3,0)</f>
        <v>Small Business</v>
      </c>
      <c r="X426" t="str">
        <f>VLOOKUP(C426,Sales_Representatives!$A:$B,2,0)</f>
        <v>Jennifer Rodriguez</v>
      </c>
    </row>
    <row r="427" spans="1:24" x14ac:dyDescent="0.3">
      <c r="A427" t="s">
        <v>680</v>
      </c>
      <c r="B427" t="s">
        <v>677</v>
      </c>
      <c r="C427" t="s">
        <v>75</v>
      </c>
      <c r="D427" t="s">
        <v>95</v>
      </c>
      <c r="E427" t="s">
        <v>157</v>
      </c>
      <c r="F427">
        <v>12</v>
      </c>
      <c r="G427">
        <v>1227.68</v>
      </c>
      <c r="H427">
        <v>0.15</v>
      </c>
      <c r="I427" s="4">
        <v>12522.34</v>
      </c>
      <c r="J427" t="s">
        <v>44</v>
      </c>
      <c r="K427" t="s">
        <v>39</v>
      </c>
      <c r="L427" s="4">
        <f>VLOOKUP(tblTransactions[[#This Row],[Product_ID]],tblProducts[],5,FALSE)</f>
        <v>846.42</v>
      </c>
      <c r="M427" s="4">
        <f>tblTransactions[[#This Row],[Total_Amount]]-(tblTransactions[[#This Row],[Cost_Prices]]*tblTransactions[[#This Row],[Quantity]]*(1-tblTransactions[[#This Row],[Discount]]))</f>
        <v>3888.8560000000016</v>
      </c>
      <c r="N427" s="3">
        <f>tblTransactions[[#This Row],[Profit]]/tblTransactions[[#This Row],[Total_Amount]]</f>
        <v>0.31055345885832852</v>
      </c>
      <c r="O427" t="str">
        <f>TEXT(tblTransactions[[#This Row],[Date]], "MMM-YYYY")</f>
        <v>Apr-2023</v>
      </c>
      <c r="P427" t="str">
        <f>"Q"&amp;ROUNDUP(MONTH(tblTransactions[[#This Row],[Date]])/3,0)&amp;"-"&amp;YEAR(tblTransactions[[#This Row],[Date]])</f>
        <v>Q2-2023</v>
      </c>
      <c r="Q427">
        <f>YEAR(tblTransactions[[#This Row],[Date]])</f>
        <v>2023</v>
      </c>
      <c r="R427" t="str">
        <f>TEXT(tblTransactions[[#This Row],[Date]],"DDDD")</f>
        <v>Sunday</v>
      </c>
      <c r="S427">
        <f>MONTH(tblTransactions[[#This Row],[Date]])</f>
        <v>4</v>
      </c>
      <c r="T427" t="str">
        <f>VLOOKUP(E427, Products!$A:$B,2,0)</f>
        <v>Printers Tec-4</v>
      </c>
      <c r="U427" t="str">
        <f>VLOOKUP(E427,Products!$A:$C,3,0)</f>
        <v>Technology</v>
      </c>
      <c r="V427" t="str">
        <f>VLOOKUP(E427,Products!$A:$D,4,0)</f>
        <v>Printers</v>
      </c>
      <c r="W427" t="str">
        <f>VLOOKUP(D427,Customers!$A:$C,3,0)</f>
        <v>Enterprise</v>
      </c>
      <c r="X427" t="str">
        <f>VLOOKUP(C427,Sales_Representatives!$A:$B,2,0)</f>
        <v>Jessica Anderson</v>
      </c>
    </row>
    <row r="428" spans="1:24" x14ac:dyDescent="0.3">
      <c r="A428" t="s">
        <v>681</v>
      </c>
      <c r="B428" t="s">
        <v>677</v>
      </c>
      <c r="C428" t="s">
        <v>107</v>
      </c>
      <c r="D428" t="s">
        <v>76</v>
      </c>
      <c r="E428" t="s">
        <v>168</v>
      </c>
      <c r="F428">
        <v>7</v>
      </c>
      <c r="G428">
        <v>101.59</v>
      </c>
      <c r="H428">
        <v>0.09</v>
      </c>
      <c r="I428" s="4">
        <v>647.13</v>
      </c>
      <c r="J428" t="s">
        <v>109</v>
      </c>
      <c r="K428" t="s">
        <v>39</v>
      </c>
      <c r="L428" s="4">
        <f>VLOOKUP(tblTransactions[[#This Row],[Product_ID]],tblProducts[],5,FALSE)</f>
        <v>50.58</v>
      </c>
      <c r="M428" s="4">
        <f>tblTransactions[[#This Row],[Total_Amount]]-(tblTransactions[[#This Row],[Cost_Prices]]*tblTransactions[[#This Row],[Quantity]]*(1-tblTransactions[[#This Row],[Discount]]))</f>
        <v>324.93539999999996</v>
      </c>
      <c r="N428" s="3">
        <f>tblTransactions[[#This Row],[Profit]]/tblTransactions[[#This Row],[Total_Amount]]</f>
        <v>0.50211765796671448</v>
      </c>
      <c r="O428" t="str">
        <f>TEXT(tblTransactions[[#This Row],[Date]], "MMM-YYYY")</f>
        <v>Apr-2023</v>
      </c>
      <c r="P428" t="str">
        <f>"Q"&amp;ROUNDUP(MONTH(tblTransactions[[#This Row],[Date]])/3,0)&amp;"-"&amp;YEAR(tblTransactions[[#This Row],[Date]])</f>
        <v>Q2-2023</v>
      </c>
      <c r="Q428">
        <f>YEAR(tblTransactions[[#This Row],[Date]])</f>
        <v>2023</v>
      </c>
      <c r="R428" t="str">
        <f>TEXT(tblTransactions[[#This Row],[Date]],"DDDD")</f>
        <v>Sunday</v>
      </c>
      <c r="S428">
        <f>MONTH(tblTransactions[[#This Row],[Date]])</f>
        <v>4</v>
      </c>
      <c r="T428" t="str">
        <f>VLOOKUP(E428, Products!$A:$B,2,0)</f>
        <v>Cases Acc-4</v>
      </c>
      <c r="U428" t="str">
        <f>VLOOKUP(E428,Products!$A:$C,3,0)</f>
        <v>Accessories</v>
      </c>
      <c r="V428" t="str">
        <f>VLOOKUP(E428,Products!$A:$D,4,0)</f>
        <v>Cases</v>
      </c>
      <c r="W428" t="str">
        <f>VLOOKUP(D428,Customers!$A:$C,3,0)</f>
        <v>Small Business</v>
      </c>
      <c r="X428" t="str">
        <f>VLOOKUP(C428,Sales_Representatives!$A:$B,2,0)</f>
        <v>Jennifer Brown</v>
      </c>
    </row>
    <row r="429" spans="1:24" x14ac:dyDescent="0.3">
      <c r="A429" t="s">
        <v>682</v>
      </c>
      <c r="B429" t="s">
        <v>683</v>
      </c>
      <c r="C429" t="s">
        <v>13</v>
      </c>
      <c r="D429" t="s">
        <v>134</v>
      </c>
      <c r="E429" t="s">
        <v>450</v>
      </c>
      <c r="F429">
        <v>12</v>
      </c>
      <c r="G429">
        <v>2083.92</v>
      </c>
      <c r="H429">
        <v>0.12</v>
      </c>
      <c r="I429" s="4">
        <v>22006.2</v>
      </c>
      <c r="J429" t="s">
        <v>16</v>
      </c>
      <c r="K429" t="s">
        <v>48</v>
      </c>
      <c r="L429" s="4">
        <f>VLOOKUP(tblTransactions[[#This Row],[Product_ID]],tblProducts[],5,FALSE)</f>
        <v>1425.78</v>
      </c>
      <c r="M429" s="4">
        <f>tblTransactions[[#This Row],[Total_Amount]]-(tblTransactions[[#This Row],[Cost_Prices]]*tblTransactions[[#This Row],[Quantity]]*(1-tblTransactions[[#This Row],[Discount]]))</f>
        <v>6949.9632000000001</v>
      </c>
      <c r="N429" s="3">
        <f>tblTransactions[[#This Row],[Profit]]/tblTransactions[[#This Row],[Total_Amount]]</f>
        <v>0.31581841481037159</v>
      </c>
      <c r="O429" t="str">
        <f>TEXT(tblTransactions[[#This Row],[Date]], "MMM-YYYY")</f>
        <v>Apr-2023</v>
      </c>
      <c r="P429" t="str">
        <f>"Q"&amp;ROUNDUP(MONTH(tblTransactions[[#This Row],[Date]])/3,0)&amp;"-"&amp;YEAR(tblTransactions[[#This Row],[Date]])</f>
        <v>Q2-2023</v>
      </c>
      <c r="Q429">
        <f>YEAR(tblTransactions[[#This Row],[Date]])</f>
        <v>2023</v>
      </c>
      <c r="R429" t="str">
        <f>TEXT(tblTransactions[[#This Row],[Date]],"DDDD")</f>
        <v>Monday</v>
      </c>
      <c r="S429">
        <f>MONTH(tblTransactions[[#This Row],[Date]])</f>
        <v>4</v>
      </c>
      <c r="T429" t="str">
        <f>VLOOKUP(E429, Products!$A:$B,2,0)</f>
        <v>Monitors Tec-4</v>
      </c>
      <c r="U429" t="str">
        <f>VLOOKUP(E429,Products!$A:$C,3,0)</f>
        <v>Technology</v>
      </c>
      <c r="V429" t="str">
        <f>VLOOKUP(E429,Products!$A:$D,4,0)</f>
        <v>Monitors</v>
      </c>
      <c r="W429" t="str">
        <f>VLOOKUP(D429,Customers!$A:$C,3,0)</f>
        <v>B2B</v>
      </c>
      <c r="X429" t="str">
        <f>VLOOKUP(C429,Sales_Representatives!$A:$B,2,0)</f>
        <v>Jennifer Rodriguez</v>
      </c>
    </row>
    <row r="430" spans="1:24" x14ac:dyDescent="0.3">
      <c r="A430" t="s">
        <v>684</v>
      </c>
      <c r="B430" t="s">
        <v>683</v>
      </c>
      <c r="C430" t="s">
        <v>56</v>
      </c>
      <c r="D430" t="s">
        <v>228</v>
      </c>
      <c r="E430" t="s">
        <v>370</v>
      </c>
      <c r="F430">
        <v>4</v>
      </c>
      <c r="G430">
        <v>238.95</v>
      </c>
      <c r="H430">
        <v>0.08</v>
      </c>
      <c r="I430" s="4">
        <v>879.34</v>
      </c>
      <c r="J430" t="s">
        <v>34</v>
      </c>
      <c r="K430" t="s">
        <v>17</v>
      </c>
      <c r="L430" s="4">
        <f>VLOOKUP(tblTransactions[[#This Row],[Product_ID]],tblProducts[],5,FALSE)</f>
        <v>136.6</v>
      </c>
      <c r="M430" s="4">
        <f>tblTransactions[[#This Row],[Total_Amount]]-(tblTransactions[[#This Row],[Cost_Prices]]*tblTransactions[[#This Row],[Quantity]]*(1-tblTransactions[[#This Row],[Discount]]))</f>
        <v>376.65200000000004</v>
      </c>
      <c r="N430" s="3">
        <f>tblTransactions[[#This Row],[Profit]]/tblTransactions[[#This Row],[Total_Amount]]</f>
        <v>0.42833488752928334</v>
      </c>
      <c r="O430" t="str">
        <f>TEXT(tblTransactions[[#This Row],[Date]], "MMM-YYYY")</f>
        <v>Apr-2023</v>
      </c>
      <c r="P430" t="str">
        <f>"Q"&amp;ROUNDUP(MONTH(tblTransactions[[#This Row],[Date]])/3,0)&amp;"-"&amp;YEAR(tblTransactions[[#This Row],[Date]])</f>
        <v>Q2-2023</v>
      </c>
      <c r="Q430">
        <f>YEAR(tblTransactions[[#This Row],[Date]])</f>
        <v>2023</v>
      </c>
      <c r="R430" t="str">
        <f>TEXT(tblTransactions[[#This Row],[Date]],"DDDD")</f>
        <v>Monday</v>
      </c>
      <c r="S430">
        <f>MONTH(tblTransactions[[#This Row],[Date]])</f>
        <v>4</v>
      </c>
      <c r="T430" t="str">
        <f>VLOOKUP(E430, Products!$A:$B,2,0)</f>
        <v>Cables Acc-1</v>
      </c>
      <c r="U430" t="str">
        <f>VLOOKUP(E430,Products!$A:$C,3,0)</f>
        <v>Accessories</v>
      </c>
      <c r="V430" t="str">
        <f>VLOOKUP(E430,Products!$A:$D,4,0)</f>
        <v>Cables</v>
      </c>
      <c r="W430" t="str">
        <f>VLOOKUP(D430,Customers!$A:$C,3,0)</f>
        <v>Small Business</v>
      </c>
      <c r="X430" t="str">
        <f>VLOOKUP(C430,Sales_Representatives!$A:$B,2,0)</f>
        <v>Thomas Hernandez</v>
      </c>
    </row>
    <row r="431" spans="1:24" x14ac:dyDescent="0.3">
      <c r="A431" t="s">
        <v>685</v>
      </c>
      <c r="B431" t="s">
        <v>683</v>
      </c>
      <c r="C431" t="s">
        <v>41</v>
      </c>
      <c r="D431" t="s">
        <v>28</v>
      </c>
      <c r="E431" t="s">
        <v>72</v>
      </c>
      <c r="F431">
        <v>11</v>
      </c>
      <c r="G431">
        <v>404.76</v>
      </c>
      <c r="H431">
        <v>0.15</v>
      </c>
      <c r="I431" s="4">
        <v>3784.51</v>
      </c>
      <c r="J431" t="s">
        <v>44</v>
      </c>
      <c r="K431" t="s">
        <v>35</v>
      </c>
      <c r="L431" s="4">
        <f>VLOOKUP(tblTransactions[[#This Row],[Product_ID]],tblProducts[],5,FALSE)</f>
        <v>226.76</v>
      </c>
      <c r="M431" s="4">
        <f>tblTransactions[[#This Row],[Total_Amount]]-(tblTransactions[[#This Row],[Cost_Prices]]*tblTransactions[[#This Row],[Quantity]]*(1-tblTransactions[[#This Row],[Discount]]))</f>
        <v>1664.3040000000005</v>
      </c>
      <c r="N431" s="3">
        <f>tblTransactions[[#This Row],[Profit]]/tblTransactions[[#This Row],[Total_Amount]]</f>
        <v>0.43976736750596523</v>
      </c>
      <c r="O431" t="str">
        <f>TEXT(tblTransactions[[#This Row],[Date]], "MMM-YYYY")</f>
        <v>Apr-2023</v>
      </c>
      <c r="P431" t="str">
        <f>"Q"&amp;ROUNDUP(MONTH(tblTransactions[[#This Row],[Date]])/3,0)&amp;"-"&amp;YEAR(tblTransactions[[#This Row],[Date]])</f>
        <v>Q2-2023</v>
      </c>
      <c r="Q431">
        <f>YEAR(tblTransactions[[#This Row],[Date]])</f>
        <v>2023</v>
      </c>
      <c r="R431" t="str">
        <f>TEXT(tblTransactions[[#This Row],[Date]],"DDDD")</f>
        <v>Monday</v>
      </c>
      <c r="S431">
        <f>MONTH(tblTransactions[[#This Row],[Date]])</f>
        <v>4</v>
      </c>
      <c r="T431" t="str">
        <f>VLOOKUP(E431, Products!$A:$B,2,0)</f>
        <v>Tablets Ele-2</v>
      </c>
      <c r="U431" t="str">
        <f>VLOOKUP(E431,Products!$A:$C,3,0)</f>
        <v>Electronics</v>
      </c>
      <c r="V431" t="str">
        <f>VLOOKUP(E431,Products!$A:$D,4,0)</f>
        <v>Tablets</v>
      </c>
      <c r="W431" t="str">
        <f>VLOOKUP(D431,Customers!$A:$C,3,0)</f>
        <v>B2B</v>
      </c>
      <c r="X431" t="str">
        <f>VLOOKUP(C431,Sales_Representatives!$A:$B,2,0)</f>
        <v>Robert Jones</v>
      </c>
    </row>
    <row r="432" spans="1:24" x14ac:dyDescent="0.3">
      <c r="A432" t="s">
        <v>686</v>
      </c>
      <c r="B432" t="s">
        <v>683</v>
      </c>
      <c r="C432" t="s">
        <v>19</v>
      </c>
      <c r="D432" t="s">
        <v>351</v>
      </c>
      <c r="E432" t="s">
        <v>148</v>
      </c>
      <c r="F432">
        <v>3</v>
      </c>
      <c r="G432">
        <v>20.420000000000002</v>
      </c>
      <c r="H432">
        <v>0.08</v>
      </c>
      <c r="I432" s="4">
        <v>56.36</v>
      </c>
      <c r="J432" t="s">
        <v>21</v>
      </c>
      <c r="K432" t="s">
        <v>48</v>
      </c>
      <c r="L432" s="4">
        <f>VLOOKUP(tblTransactions[[#This Row],[Product_ID]],tblProducts[],5,FALSE)</f>
        <v>9.56</v>
      </c>
      <c r="M432" s="4">
        <f>tblTransactions[[#This Row],[Total_Amount]]-(tblTransactions[[#This Row],[Cost_Prices]]*tblTransactions[[#This Row],[Quantity]]*(1-tblTransactions[[#This Row],[Discount]]))</f>
        <v>29.974399999999999</v>
      </c>
      <c r="N432" s="3">
        <f>tblTransactions[[#This Row],[Profit]]/tblTransactions[[#This Row],[Total_Amount]]</f>
        <v>0.53183818310858766</v>
      </c>
      <c r="O432" t="str">
        <f>TEXT(tblTransactions[[#This Row],[Date]], "MMM-YYYY")</f>
        <v>Apr-2023</v>
      </c>
      <c r="P432" t="str">
        <f>"Q"&amp;ROUNDUP(MONTH(tblTransactions[[#This Row],[Date]])/3,0)&amp;"-"&amp;YEAR(tblTransactions[[#This Row],[Date]])</f>
        <v>Q2-2023</v>
      </c>
      <c r="Q432">
        <f>YEAR(tblTransactions[[#This Row],[Date]])</f>
        <v>2023</v>
      </c>
      <c r="R432" t="str">
        <f>TEXT(tblTransactions[[#This Row],[Date]],"DDDD")</f>
        <v>Monday</v>
      </c>
      <c r="S432">
        <f>MONTH(tblTransactions[[#This Row],[Date]])</f>
        <v>4</v>
      </c>
      <c r="T432" t="str">
        <f>VLOOKUP(E432, Products!$A:$B,2,0)</f>
        <v>Cases Acc-3</v>
      </c>
      <c r="U432" t="str">
        <f>VLOOKUP(E432,Products!$A:$C,3,0)</f>
        <v>Accessories</v>
      </c>
      <c r="V432" t="str">
        <f>VLOOKUP(E432,Products!$A:$D,4,0)</f>
        <v>Cases</v>
      </c>
      <c r="W432" t="str">
        <f>VLOOKUP(D432,Customers!$A:$C,3,0)</f>
        <v>B2C</v>
      </c>
      <c r="X432" t="str">
        <f>VLOOKUP(C432,Sales_Representatives!$A:$B,2,0)</f>
        <v>Robert Jones</v>
      </c>
    </row>
    <row r="433" spans="1:24" x14ac:dyDescent="0.3">
      <c r="A433" t="s">
        <v>687</v>
      </c>
      <c r="B433" t="s">
        <v>683</v>
      </c>
      <c r="C433" t="s">
        <v>63</v>
      </c>
      <c r="D433" t="s">
        <v>47</v>
      </c>
      <c r="E433" t="s">
        <v>283</v>
      </c>
      <c r="F433">
        <v>7</v>
      </c>
      <c r="G433">
        <v>456.88</v>
      </c>
      <c r="H433">
        <v>0.11</v>
      </c>
      <c r="I433" s="4">
        <v>2846.36</v>
      </c>
      <c r="J433" t="s">
        <v>21</v>
      </c>
      <c r="K433" t="s">
        <v>39</v>
      </c>
      <c r="L433" s="4">
        <f>VLOOKUP(tblTransactions[[#This Row],[Product_ID]],tblProducts[],5,FALSE)</f>
        <v>313.23</v>
      </c>
      <c r="M433" s="4">
        <f>tblTransactions[[#This Row],[Total_Amount]]-(tblTransactions[[#This Row],[Cost_Prices]]*tblTransactions[[#This Row],[Quantity]]*(1-tblTransactions[[#This Row],[Discount]]))</f>
        <v>894.93709999999987</v>
      </c>
      <c r="N433" s="3">
        <f>tblTransactions[[#This Row],[Profit]]/tblTransactions[[#This Row],[Total_Amount]]</f>
        <v>0.31441458564622882</v>
      </c>
      <c r="O433" t="str">
        <f>TEXT(tblTransactions[[#This Row],[Date]], "MMM-YYYY")</f>
        <v>Apr-2023</v>
      </c>
      <c r="P433" t="str">
        <f>"Q"&amp;ROUNDUP(MONTH(tblTransactions[[#This Row],[Date]])/3,0)&amp;"-"&amp;YEAR(tblTransactions[[#This Row],[Date]])</f>
        <v>Q2-2023</v>
      </c>
      <c r="Q433">
        <f>YEAR(tblTransactions[[#This Row],[Date]])</f>
        <v>2023</v>
      </c>
      <c r="R433" t="str">
        <f>TEXT(tblTransactions[[#This Row],[Date]],"DDDD")</f>
        <v>Monday</v>
      </c>
      <c r="S433">
        <f>MONTH(tblTransactions[[#This Row],[Date]])</f>
        <v>4</v>
      </c>
      <c r="T433" t="str">
        <f>VLOOKUP(E433, Products!$A:$B,2,0)</f>
        <v>Chairs Fur-3</v>
      </c>
      <c r="U433" t="str">
        <f>VLOOKUP(E433,Products!$A:$C,3,0)</f>
        <v>Furniture</v>
      </c>
      <c r="V433" t="str">
        <f>VLOOKUP(E433,Products!$A:$D,4,0)</f>
        <v>Chairs</v>
      </c>
      <c r="W433" t="str">
        <f>VLOOKUP(D433,Customers!$A:$C,3,0)</f>
        <v>B2C</v>
      </c>
      <c r="X433" t="str">
        <f>VLOOKUP(C433,Sales_Representatives!$A:$B,2,0)</f>
        <v>Richard Wilson</v>
      </c>
    </row>
    <row r="434" spans="1:24" x14ac:dyDescent="0.3">
      <c r="A434" t="s">
        <v>688</v>
      </c>
      <c r="B434" t="s">
        <v>689</v>
      </c>
      <c r="C434" t="s">
        <v>131</v>
      </c>
      <c r="D434" t="s">
        <v>134</v>
      </c>
      <c r="E434" t="s">
        <v>20</v>
      </c>
      <c r="F434">
        <v>14</v>
      </c>
      <c r="G434">
        <v>1219.49</v>
      </c>
      <c r="H434">
        <v>0.14000000000000001</v>
      </c>
      <c r="I434" s="4">
        <v>14682.66</v>
      </c>
      <c r="J434" t="s">
        <v>44</v>
      </c>
      <c r="K434" t="s">
        <v>22</v>
      </c>
      <c r="L434" s="4">
        <f>VLOOKUP(tblTransactions[[#This Row],[Product_ID]],tblProducts[],5,FALSE)</f>
        <v>686.9</v>
      </c>
      <c r="M434" s="4">
        <f>tblTransactions[[#This Row],[Total_Amount]]-(tblTransactions[[#This Row],[Cost_Prices]]*tblTransactions[[#This Row],[Quantity]]*(1-tblTransactions[[#This Row],[Discount]]))</f>
        <v>6412.384</v>
      </c>
      <c r="N434" s="3">
        <f>tblTransactions[[#This Row],[Profit]]/tblTransactions[[#This Row],[Total_Amount]]</f>
        <v>0.43673176386295126</v>
      </c>
      <c r="O434" t="str">
        <f>TEXT(tblTransactions[[#This Row],[Date]], "MMM-YYYY")</f>
        <v>Apr-2023</v>
      </c>
      <c r="P434" t="str">
        <f>"Q"&amp;ROUNDUP(MONTH(tblTransactions[[#This Row],[Date]])/3,0)&amp;"-"&amp;YEAR(tblTransactions[[#This Row],[Date]])</f>
        <v>Q2-2023</v>
      </c>
      <c r="Q434">
        <f>YEAR(tblTransactions[[#This Row],[Date]])</f>
        <v>2023</v>
      </c>
      <c r="R434" t="str">
        <f>TEXT(tblTransactions[[#This Row],[Date]],"DDDD")</f>
        <v>Tuesday</v>
      </c>
      <c r="S434">
        <f>MONTH(tblTransactions[[#This Row],[Date]])</f>
        <v>4</v>
      </c>
      <c r="T434" t="str">
        <f>VLOOKUP(E434, Products!$A:$B,2,0)</f>
        <v>Laptops Ele-1</v>
      </c>
      <c r="U434" t="str">
        <f>VLOOKUP(E434,Products!$A:$C,3,0)</f>
        <v>Electronics</v>
      </c>
      <c r="V434" t="str">
        <f>VLOOKUP(E434,Products!$A:$D,4,0)</f>
        <v>Laptops</v>
      </c>
      <c r="W434" t="str">
        <f>VLOOKUP(D434,Customers!$A:$C,3,0)</f>
        <v>B2B</v>
      </c>
      <c r="X434" t="str">
        <f>VLOOKUP(C434,Sales_Representatives!$A:$B,2,0)</f>
        <v>Michael Davis</v>
      </c>
    </row>
    <row r="435" spans="1:24" x14ac:dyDescent="0.3">
      <c r="A435" t="s">
        <v>690</v>
      </c>
      <c r="B435" t="s">
        <v>689</v>
      </c>
      <c r="C435" t="s">
        <v>141</v>
      </c>
      <c r="D435" t="s">
        <v>28</v>
      </c>
      <c r="E435" t="s">
        <v>68</v>
      </c>
      <c r="F435">
        <v>19</v>
      </c>
      <c r="G435">
        <v>522.63</v>
      </c>
      <c r="H435">
        <v>0.13</v>
      </c>
      <c r="I435" s="4">
        <v>8639.07</v>
      </c>
      <c r="J435" t="s">
        <v>109</v>
      </c>
      <c r="K435" t="s">
        <v>35</v>
      </c>
      <c r="L435" s="4">
        <f>VLOOKUP(tblTransactions[[#This Row],[Product_ID]],tblProducts[],5,FALSE)</f>
        <v>355.82</v>
      </c>
      <c r="M435" s="4">
        <f>tblTransactions[[#This Row],[Total_Amount]]-(tblTransactions[[#This Row],[Cost_Prices]]*tblTransactions[[#This Row],[Quantity]]*(1-tblTransactions[[#This Row],[Discount]]))</f>
        <v>2757.3653999999997</v>
      </c>
      <c r="N435" s="3">
        <f>tblTransactions[[#This Row],[Profit]]/tblTransactions[[#This Row],[Total_Amount]]</f>
        <v>0.3191738694095545</v>
      </c>
      <c r="O435" t="str">
        <f>TEXT(tblTransactions[[#This Row],[Date]], "MMM-YYYY")</f>
        <v>Apr-2023</v>
      </c>
      <c r="P435" t="str">
        <f>"Q"&amp;ROUNDUP(MONTH(tblTransactions[[#This Row],[Date]])/3,0)&amp;"-"&amp;YEAR(tblTransactions[[#This Row],[Date]])</f>
        <v>Q2-2023</v>
      </c>
      <c r="Q435">
        <f>YEAR(tblTransactions[[#This Row],[Date]])</f>
        <v>2023</v>
      </c>
      <c r="R435" t="str">
        <f>TEXT(tblTransactions[[#This Row],[Date]],"DDDD")</f>
        <v>Tuesday</v>
      </c>
      <c r="S435">
        <f>MONTH(tblTransactions[[#This Row],[Date]])</f>
        <v>4</v>
      </c>
      <c r="T435" t="str">
        <f>VLOOKUP(E435, Products!$A:$B,2,0)</f>
        <v>Monitors Tec-3</v>
      </c>
      <c r="U435" t="str">
        <f>VLOOKUP(E435,Products!$A:$C,3,0)</f>
        <v>Technology</v>
      </c>
      <c r="V435" t="str">
        <f>VLOOKUP(E435,Products!$A:$D,4,0)</f>
        <v>Monitors</v>
      </c>
      <c r="W435" t="str">
        <f>VLOOKUP(D435,Customers!$A:$C,3,0)</f>
        <v>B2B</v>
      </c>
      <c r="X435" t="str">
        <f>VLOOKUP(C435,Sales_Representatives!$A:$B,2,0)</f>
        <v>Richard Garcia</v>
      </c>
    </row>
    <row r="436" spans="1:24" x14ac:dyDescent="0.3">
      <c r="A436" t="s">
        <v>691</v>
      </c>
      <c r="B436" t="s">
        <v>689</v>
      </c>
      <c r="C436" t="s">
        <v>31</v>
      </c>
      <c r="D436" t="s">
        <v>28</v>
      </c>
      <c r="E436" t="s">
        <v>53</v>
      </c>
      <c r="F436">
        <v>16</v>
      </c>
      <c r="G436">
        <v>2069.2199999999998</v>
      </c>
      <c r="H436">
        <v>0.16</v>
      </c>
      <c r="I436" s="4">
        <v>27810.32</v>
      </c>
      <c r="J436" t="s">
        <v>34</v>
      </c>
      <c r="K436" t="s">
        <v>35</v>
      </c>
      <c r="L436" s="4">
        <f>VLOOKUP(tblTransactions[[#This Row],[Product_ID]],tblProducts[],5,FALSE)</f>
        <v>1451.18</v>
      </c>
      <c r="M436" s="4">
        <f>tblTransactions[[#This Row],[Total_Amount]]-(tblTransactions[[#This Row],[Cost_Prices]]*tblTransactions[[#This Row],[Quantity]]*(1-tblTransactions[[#This Row],[Discount]]))</f>
        <v>8306.4608000000007</v>
      </c>
      <c r="N436" s="3">
        <f>tblTransactions[[#This Row],[Profit]]/tblTransactions[[#This Row],[Total_Amount]]</f>
        <v>0.29868267607132892</v>
      </c>
      <c r="O436" t="str">
        <f>TEXT(tblTransactions[[#This Row],[Date]], "MMM-YYYY")</f>
        <v>Apr-2023</v>
      </c>
      <c r="P436" t="str">
        <f>"Q"&amp;ROUNDUP(MONTH(tblTransactions[[#This Row],[Date]])/3,0)&amp;"-"&amp;YEAR(tblTransactions[[#This Row],[Date]])</f>
        <v>Q2-2023</v>
      </c>
      <c r="Q436">
        <f>YEAR(tblTransactions[[#This Row],[Date]])</f>
        <v>2023</v>
      </c>
      <c r="R436" t="str">
        <f>TEXT(tblTransactions[[#This Row],[Date]],"DDDD")</f>
        <v>Tuesday</v>
      </c>
      <c r="S436">
        <f>MONTH(tblTransactions[[#This Row],[Date]])</f>
        <v>4</v>
      </c>
      <c r="T436" t="str">
        <f>VLOOKUP(E436, Products!$A:$B,2,0)</f>
        <v>Printers Tec-3</v>
      </c>
      <c r="U436" t="str">
        <f>VLOOKUP(E436,Products!$A:$C,3,0)</f>
        <v>Technology</v>
      </c>
      <c r="V436" t="str">
        <f>VLOOKUP(E436,Products!$A:$D,4,0)</f>
        <v>Printers</v>
      </c>
      <c r="W436" t="str">
        <f>VLOOKUP(D436,Customers!$A:$C,3,0)</f>
        <v>B2B</v>
      </c>
      <c r="X436" t="str">
        <f>VLOOKUP(C436,Sales_Representatives!$A:$B,2,0)</f>
        <v>Thomas Martinez</v>
      </c>
    </row>
    <row r="437" spans="1:24" x14ac:dyDescent="0.3">
      <c r="A437" t="s">
        <v>692</v>
      </c>
      <c r="B437" t="s">
        <v>689</v>
      </c>
      <c r="C437" t="s">
        <v>31</v>
      </c>
      <c r="D437" t="s">
        <v>134</v>
      </c>
      <c r="E437" t="s">
        <v>157</v>
      </c>
      <c r="F437">
        <v>12</v>
      </c>
      <c r="G437">
        <v>1227.68</v>
      </c>
      <c r="H437">
        <v>0.11</v>
      </c>
      <c r="I437" s="4">
        <v>13111.62</v>
      </c>
      <c r="J437" t="s">
        <v>34</v>
      </c>
      <c r="K437" t="s">
        <v>39</v>
      </c>
      <c r="L437" s="4">
        <f>VLOOKUP(tblTransactions[[#This Row],[Product_ID]],tblProducts[],5,FALSE)</f>
        <v>846.42</v>
      </c>
      <c r="M437" s="4">
        <f>tblTransactions[[#This Row],[Total_Amount]]-(tblTransactions[[#This Row],[Cost_Prices]]*tblTransactions[[#This Row],[Quantity]]*(1-tblTransactions[[#This Row],[Discount]]))</f>
        <v>4071.854400000002</v>
      </c>
      <c r="N437" s="3">
        <f>tblTransactions[[#This Row],[Profit]]/tblTransactions[[#This Row],[Total_Amount]]</f>
        <v>0.31055311243004308</v>
      </c>
      <c r="O437" t="str">
        <f>TEXT(tblTransactions[[#This Row],[Date]], "MMM-YYYY")</f>
        <v>Apr-2023</v>
      </c>
      <c r="P437" t="str">
        <f>"Q"&amp;ROUNDUP(MONTH(tblTransactions[[#This Row],[Date]])/3,0)&amp;"-"&amp;YEAR(tblTransactions[[#This Row],[Date]])</f>
        <v>Q2-2023</v>
      </c>
      <c r="Q437">
        <f>YEAR(tblTransactions[[#This Row],[Date]])</f>
        <v>2023</v>
      </c>
      <c r="R437" t="str">
        <f>TEXT(tblTransactions[[#This Row],[Date]],"DDDD")</f>
        <v>Tuesday</v>
      </c>
      <c r="S437">
        <f>MONTH(tblTransactions[[#This Row],[Date]])</f>
        <v>4</v>
      </c>
      <c r="T437" t="str">
        <f>VLOOKUP(E437, Products!$A:$B,2,0)</f>
        <v>Printers Tec-4</v>
      </c>
      <c r="U437" t="str">
        <f>VLOOKUP(E437,Products!$A:$C,3,0)</f>
        <v>Technology</v>
      </c>
      <c r="V437" t="str">
        <f>VLOOKUP(E437,Products!$A:$D,4,0)</f>
        <v>Printers</v>
      </c>
      <c r="W437" t="str">
        <f>VLOOKUP(D437,Customers!$A:$C,3,0)</f>
        <v>B2B</v>
      </c>
      <c r="X437" t="str">
        <f>VLOOKUP(C437,Sales_Representatives!$A:$B,2,0)</f>
        <v>Thomas Martinez</v>
      </c>
    </row>
    <row r="438" spans="1:24" x14ac:dyDescent="0.3">
      <c r="A438" t="s">
        <v>693</v>
      </c>
      <c r="B438" t="s">
        <v>689</v>
      </c>
      <c r="C438" t="s">
        <v>82</v>
      </c>
      <c r="D438" t="s">
        <v>156</v>
      </c>
      <c r="E438" t="s">
        <v>38</v>
      </c>
      <c r="F438">
        <v>4</v>
      </c>
      <c r="G438">
        <v>581.47</v>
      </c>
      <c r="H438">
        <v>0.08</v>
      </c>
      <c r="I438" s="4">
        <v>2139.81</v>
      </c>
      <c r="J438" t="s">
        <v>34</v>
      </c>
      <c r="K438" t="s">
        <v>17</v>
      </c>
      <c r="L438" s="4">
        <f>VLOOKUP(tblTransactions[[#This Row],[Product_ID]],tblProducts[],5,FALSE)</f>
        <v>372.07</v>
      </c>
      <c r="M438" s="4">
        <f>tblTransactions[[#This Row],[Total_Amount]]-(tblTransactions[[#This Row],[Cost_Prices]]*tblTransactions[[#This Row],[Quantity]]*(1-tblTransactions[[#This Row],[Discount]]))</f>
        <v>770.5924</v>
      </c>
      <c r="N438" s="3">
        <f>tblTransactions[[#This Row],[Profit]]/tblTransactions[[#This Row],[Total_Amount]]</f>
        <v>0.36012187997999823</v>
      </c>
      <c r="O438" t="str">
        <f>TEXT(tblTransactions[[#This Row],[Date]], "MMM-YYYY")</f>
        <v>Apr-2023</v>
      </c>
      <c r="P438" t="str">
        <f>"Q"&amp;ROUNDUP(MONTH(tblTransactions[[#This Row],[Date]])/3,0)&amp;"-"&amp;YEAR(tblTransactions[[#This Row],[Date]])</f>
        <v>Q2-2023</v>
      </c>
      <c r="Q438">
        <f>YEAR(tblTransactions[[#This Row],[Date]])</f>
        <v>2023</v>
      </c>
      <c r="R438" t="str">
        <f>TEXT(tblTransactions[[#This Row],[Date]],"DDDD")</f>
        <v>Tuesday</v>
      </c>
      <c r="S438">
        <f>MONTH(tblTransactions[[#This Row],[Date]])</f>
        <v>4</v>
      </c>
      <c r="T438" t="str">
        <f>VLOOKUP(E438, Products!$A:$B,2,0)</f>
        <v>Storage Fur-3</v>
      </c>
      <c r="U438" t="str">
        <f>VLOOKUP(E438,Products!$A:$C,3,0)</f>
        <v>Furniture</v>
      </c>
      <c r="V438" t="str">
        <f>VLOOKUP(E438,Products!$A:$D,4,0)</f>
        <v>Storage</v>
      </c>
      <c r="W438" t="str">
        <f>VLOOKUP(D438,Customers!$A:$C,3,0)</f>
        <v>B2B</v>
      </c>
      <c r="X438" t="str">
        <f>VLOOKUP(C438,Sales_Representatives!$A:$B,2,0)</f>
        <v>John Brown</v>
      </c>
    </row>
    <row r="439" spans="1:24" x14ac:dyDescent="0.3">
      <c r="A439" t="s">
        <v>694</v>
      </c>
      <c r="B439" t="s">
        <v>689</v>
      </c>
      <c r="C439" t="s">
        <v>19</v>
      </c>
      <c r="D439" t="s">
        <v>64</v>
      </c>
      <c r="E439" t="s">
        <v>84</v>
      </c>
      <c r="F439">
        <v>7</v>
      </c>
      <c r="G439">
        <v>1841.77</v>
      </c>
      <c r="H439">
        <v>0.11</v>
      </c>
      <c r="I439" s="4">
        <v>11474.23</v>
      </c>
      <c r="J439" t="s">
        <v>21</v>
      </c>
      <c r="K439" t="s">
        <v>39</v>
      </c>
      <c r="L439" s="4">
        <f>VLOOKUP(tblTransactions[[#This Row],[Product_ID]],tblProducts[],5,FALSE)</f>
        <v>1151.5899999999999</v>
      </c>
      <c r="M439" s="4">
        <f>tblTransactions[[#This Row],[Total_Amount]]-(tblTransactions[[#This Row],[Cost_Prices]]*tblTransactions[[#This Row],[Quantity]]*(1-tblTransactions[[#This Row],[Discount]]))</f>
        <v>4299.8243000000002</v>
      </c>
      <c r="N439" s="3">
        <f>tblTransactions[[#This Row],[Profit]]/tblTransactions[[#This Row],[Total_Amount]]</f>
        <v>0.37473750308299558</v>
      </c>
      <c r="O439" t="str">
        <f>TEXT(tblTransactions[[#This Row],[Date]], "MMM-YYYY")</f>
        <v>Apr-2023</v>
      </c>
      <c r="P439" t="str">
        <f>"Q"&amp;ROUNDUP(MONTH(tblTransactions[[#This Row],[Date]])/3,0)&amp;"-"&amp;YEAR(tblTransactions[[#This Row],[Date]])</f>
        <v>Q2-2023</v>
      </c>
      <c r="Q439">
        <f>YEAR(tblTransactions[[#This Row],[Date]])</f>
        <v>2023</v>
      </c>
      <c r="R439" t="str">
        <f>TEXT(tblTransactions[[#This Row],[Date]],"DDDD")</f>
        <v>Tuesday</v>
      </c>
      <c r="S439">
        <f>MONTH(tblTransactions[[#This Row],[Date]])</f>
        <v>4</v>
      </c>
      <c r="T439" t="str">
        <f>VLOOKUP(E439, Products!$A:$B,2,0)</f>
        <v>Laptops Ele-2</v>
      </c>
      <c r="U439" t="str">
        <f>VLOOKUP(E439,Products!$A:$C,3,0)</f>
        <v>Electronics</v>
      </c>
      <c r="V439" t="str">
        <f>VLOOKUP(E439,Products!$A:$D,4,0)</f>
        <v>Laptops</v>
      </c>
      <c r="W439" t="str">
        <f>VLOOKUP(D439,Customers!$A:$C,3,0)</f>
        <v>Small Business</v>
      </c>
      <c r="X439" t="str">
        <f>VLOOKUP(C439,Sales_Representatives!$A:$B,2,0)</f>
        <v>Robert Jones</v>
      </c>
    </row>
    <row r="440" spans="1:24" x14ac:dyDescent="0.3">
      <c r="A440" t="s">
        <v>695</v>
      </c>
      <c r="B440" t="s">
        <v>696</v>
      </c>
      <c r="C440" t="s">
        <v>59</v>
      </c>
      <c r="D440" t="s">
        <v>14</v>
      </c>
      <c r="E440" t="s">
        <v>89</v>
      </c>
      <c r="F440">
        <v>19</v>
      </c>
      <c r="G440">
        <v>555.08000000000004</v>
      </c>
      <c r="H440">
        <v>0.17</v>
      </c>
      <c r="I440" s="4">
        <v>8753.61</v>
      </c>
      <c r="J440" t="s">
        <v>21</v>
      </c>
      <c r="K440" t="s">
        <v>22</v>
      </c>
      <c r="L440" s="4">
        <f>VLOOKUP(tblTransactions[[#This Row],[Product_ID]],tblProducts[],5,FALSE)</f>
        <v>402.82</v>
      </c>
      <c r="M440" s="4">
        <f>tblTransactions[[#This Row],[Total_Amount]]-(tblTransactions[[#This Row],[Cost_Prices]]*tblTransactions[[#This Row],[Quantity]]*(1-tblTransactions[[#This Row],[Discount]]))</f>
        <v>2401.1386000000011</v>
      </c>
      <c r="N440" s="3">
        <f>tblTransactions[[#This Row],[Profit]]/tblTransactions[[#This Row],[Total_Amount]]</f>
        <v>0.27430267055534813</v>
      </c>
      <c r="O440" t="str">
        <f>TEXT(tblTransactions[[#This Row],[Date]], "MMM-YYYY")</f>
        <v>Apr-2023</v>
      </c>
      <c r="P440" t="str">
        <f>"Q"&amp;ROUNDUP(MONTH(tblTransactions[[#This Row],[Date]])/3,0)&amp;"-"&amp;YEAR(tblTransactions[[#This Row],[Date]])</f>
        <v>Q2-2023</v>
      </c>
      <c r="Q440">
        <f>YEAR(tblTransactions[[#This Row],[Date]])</f>
        <v>2023</v>
      </c>
      <c r="R440" t="str">
        <f>TEXT(tblTransactions[[#This Row],[Date]],"DDDD")</f>
        <v>Wednesday</v>
      </c>
      <c r="S440">
        <f>MONTH(tblTransactions[[#This Row],[Date]])</f>
        <v>4</v>
      </c>
      <c r="T440" t="str">
        <f>VLOOKUP(E440, Products!$A:$B,2,0)</f>
        <v>Laptops Ele-3</v>
      </c>
      <c r="U440" t="str">
        <f>VLOOKUP(E440,Products!$A:$C,3,0)</f>
        <v>Electronics</v>
      </c>
      <c r="V440" t="str">
        <f>VLOOKUP(E440,Products!$A:$D,4,0)</f>
        <v>Laptops</v>
      </c>
      <c r="W440" t="str">
        <f>VLOOKUP(D440,Customers!$A:$C,3,0)</f>
        <v>B2B</v>
      </c>
      <c r="X440" t="str">
        <f>VLOOKUP(C440,Sales_Representatives!$A:$B,2,0)</f>
        <v>Sarah Brown</v>
      </c>
    </row>
    <row r="441" spans="1:24" x14ac:dyDescent="0.3">
      <c r="A441" t="s">
        <v>697</v>
      </c>
      <c r="B441" t="s">
        <v>696</v>
      </c>
      <c r="C441" t="s">
        <v>63</v>
      </c>
      <c r="D441" t="s">
        <v>362</v>
      </c>
      <c r="E441" t="s">
        <v>481</v>
      </c>
      <c r="F441">
        <v>7</v>
      </c>
      <c r="G441">
        <v>263.58999999999997</v>
      </c>
      <c r="H441">
        <v>0.09</v>
      </c>
      <c r="I441" s="4">
        <v>1679.07</v>
      </c>
      <c r="J441" t="s">
        <v>21</v>
      </c>
      <c r="K441" t="s">
        <v>17</v>
      </c>
      <c r="L441" s="4">
        <f>VLOOKUP(tblTransactions[[#This Row],[Product_ID]],tblProducts[],5,FALSE)</f>
        <v>133.65</v>
      </c>
      <c r="M441" s="4">
        <f>tblTransactions[[#This Row],[Total_Amount]]-(tblTransactions[[#This Row],[Cost_Prices]]*tblTransactions[[#This Row],[Quantity]]*(1-tblTransactions[[#This Row],[Discount]]))</f>
        <v>827.71949999999981</v>
      </c>
      <c r="N441" s="3">
        <f>tblTransactions[[#This Row],[Profit]]/tblTransactions[[#This Row],[Total_Amount]]</f>
        <v>0.49296306884168012</v>
      </c>
      <c r="O441" t="str">
        <f>TEXT(tblTransactions[[#This Row],[Date]], "MMM-YYYY")</f>
        <v>Apr-2023</v>
      </c>
      <c r="P441" t="str">
        <f>"Q"&amp;ROUNDUP(MONTH(tblTransactions[[#This Row],[Date]])/3,0)&amp;"-"&amp;YEAR(tblTransactions[[#This Row],[Date]])</f>
        <v>Q2-2023</v>
      </c>
      <c r="Q441">
        <f>YEAR(tblTransactions[[#This Row],[Date]])</f>
        <v>2023</v>
      </c>
      <c r="R441" t="str">
        <f>TEXT(tblTransactions[[#This Row],[Date]],"DDDD")</f>
        <v>Wednesday</v>
      </c>
      <c r="S441">
        <f>MONTH(tblTransactions[[#This Row],[Date]])</f>
        <v>4</v>
      </c>
      <c r="T441" t="str">
        <f>VLOOKUP(E441, Products!$A:$B,2,0)</f>
        <v>Folders Off-1</v>
      </c>
      <c r="U441" t="str">
        <f>VLOOKUP(E441,Products!$A:$C,3,0)</f>
        <v>Office Supplies</v>
      </c>
      <c r="V441" t="str">
        <f>VLOOKUP(E441,Products!$A:$D,4,0)</f>
        <v>Folders</v>
      </c>
      <c r="W441" t="str">
        <f>VLOOKUP(D441,Customers!$A:$C,3,0)</f>
        <v>Small Business</v>
      </c>
      <c r="X441" t="str">
        <f>VLOOKUP(C441,Sales_Representatives!$A:$B,2,0)</f>
        <v>Richard Wilson</v>
      </c>
    </row>
    <row r="442" spans="1:24" x14ac:dyDescent="0.3">
      <c r="A442" t="s">
        <v>698</v>
      </c>
      <c r="B442" t="s">
        <v>696</v>
      </c>
      <c r="C442" t="s">
        <v>27</v>
      </c>
      <c r="D442" t="s">
        <v>183</v>
      </c>
      <c r="E442" t="s">
        <v>435</v>
      </c>
      <c r="F442">
        <v>4</v>
      </c>
      <c r="G442">
        <v>198.72</v>
      </c>
      <c r="H442">
        <v>7.0000000000000007E-2</v>
      </c>
      <c r="I442" s="4">
        <v>739.24</v>
      </c>
      <c r="J442" t="s">
        <v>16</v>
      </c>
      <c r="K442" t="s">
        <v>17</v>
      </c>
      <c r="L442" s="4">
        <f>VLOOKUP(tblTransactions[[#This Row],[Product_ID]],tblProducts[],5,FALSE)</f>
        <v>116.98</v>
      </c>
      <c r="M442" s="4">
        <f>tblTransactions[[#This Row],[Total_Amount]]-(tblTransactions[[#This Row],[Cost_Prices]]*tblTransactions[[#This Row],[Quantity]]*(1-tblTransactions[[#This Row],[Discount]]))</f>
        <v>304.07440000000003</v>
      </c>
      <c r="N442" s="3">
        <f>tblTransactions[[#This Row],[Profit]]/tblTransactions[[#This Row],[Total_Amount]]</f>
        <v>0.41133380228342625</v>
      </c>
      <c r="O442" t="str">
        <f>TEXT(tblTransactions[[#This Row],[Date]], "MMM-YYYY")</f>
        <v>Apr-2023</v>
      </c>
      <c r="P442" t="str">
        <f>"Q"&amp;ROUNDUP(MONTH(tblTransactions[[#This Row],[Date]])/3,0)&amp;"-"&amp;YEAR(tblTransactions[[#This Row],[Date]])</f>
        <v>Q2-2023</v>
      </c>
      <c r="Q442">
        <f>YEAR(tblTransactions[[#This Row],[Date]])</f>
        <v>2023</v>
      </c>
      <c r="R442" t="str">
        <f>TEXT(tblTransactions[[#This Row],[Date]],"DDDD")</f>
        <v>Wednesday</v>
      </c>
      <c r="S442">
        <f>MONTH(tblTransactions[[#This Row],[Date]])</f>
        <v>4</v>
      </c>
      <c r="T442" t="str">
        <f>VLOOKUP(E442, Products!$A:$B,2,0)</f>
        <v>Paper Off-4</v>
      </c>
      <c r="U442" t="str">
        <f>VLOOKUP(E442,Products!$A:$C,3,0)</f>
        <v>Office Supplies</v>
      </c>
      <c r="V442" t="str">
        <f>VLOOKUP(E442,Products!$A:$D,4,0)</f>
        <v>Paper</v>
      </c>
      <c r="W442" t="str">
        <f>VLOOKUP(D442,Customers!$A:$C,3,0)</f>
        <v>Small Business</v>
      </c>
      <c r="X442" t="str">
        <f>VLOOKUP(C442,Sales_Representatives!$A:$B,2,0)</f>
        <v>Thomas Lopez</v>
      </c>
    </row>
    <row r="443" spans="1:24" x14ac:dyDescent="0.3">
      <c r="A443" t="s">
        <v>699</v>
      </c>
      <c r="B443" t="s">
        <v>696</v>
      </c>
      <c r="C443" t="s">
        <v>107</v>
      </c>
      <c r="D443" t="s">
        <v>237</v>
      </c>
      <c r="E443" t="s">
        <v>157</v>
      </c>
      <c r="F443">
        <v>19</v>
      </c>
      <c r="G443">
        <v>1227.68</v>
      </c>
      <c r="H443">
        <v>0.12</v>
      </c>
      <c r="I443" s="4">
        <v>20526.810000000001</v>
      </c>
      <c r="J443" t="s">
        <v>109</v>
      </c>
      <c r="K443" t="s">
        <v>35</v>
      </c>
      <c r="L443" s="4">
        <f>VLOOKUP(tblTransactions[[#This Row],[Product_ID]],tblProducts[],5,FALSE)</f>
        <v>846.42</v>
      </c>
      <c r="M443" s="4">
        <f>tblTransactions[[#This Row],[Total_Amount]]-(tblTransactions[[#This Row],[Cost_Prices]]*tblTransactions[[#This Row],[Quantity]]*(1-tblTransactions[[#This Row],[Discount]]))</f>
        <v>6374.6676000000025</v>
      </c>
      <c r="N443" s="3">
        <f>tblTransactions[[#This Row],[Profit]]/tblTransactions[[#This Row],[Total_Amount]]</f>
        <v>0.31055325206400808</v>
      </c>
      <c r="O443" t="str">
        <f>TEXT(tblTransactions[[#This Row],[Date]], "MMM-YYYY")</f>
        <v>Apr-2023</v>
      </c>
      <c r="P443" t="str">
        <f>"Q"&amp;ROUNDUP(MONTH(tblTransactions[[#This Row],[Date]])/3,0)&amp;"-"&amp;YEAR(tblTransactions[[#This Row],[Date]])</f>
        <v>Q2-2023</v>
      </c>
      <c r="Q443">
        <f>YEAR(tblTransactions[[#This Row],[Date]])</f>
        <v>2023</v>
      </c>
      <c r="R443" t="str">
        <f>TEXT(tblTransactions[[#This Row],[Date]],"DDDD")</f>
        <v>Wednesday</v>
      </c>
      <c r="S443">
        <f>MONTH(tblTransactions[[#This Row],[Date]])</f>
        <v>4</v>
      </c>
      <c r="T443" t="str">
        <f>VLOOKUP(E443, Products!$A:$B,2,0)</f>
        <v>Printers Tec-4</v>
      </c>
      <c r="U443" t="str">
        <f>VLOOKUP(E443,Products!$A:$C,3,0)</f>
        <v>Technology</v>
      </c>
      <c r="V443" t="str">
        <f>VLOOKUP(E443,Products!$A:$D,4,0)</f>
        <v>Printers</v>
      </c>
      <c r="W443" t="str">
        <f>VLOOKUP(D443,Customers!$A:$C,3,0)</f>
        <v>B2B</v>
      </c>
      <c r="X443" t="str">
        <f>VLOOKUP(C443,Sales_Representatives!$A:$B,2,0)</f>
        <v>Jennifer Brown</v>
      </c>
    </row>
    <row r="444" spans="1:24" x14ac:dyDescent="0.3">
      <c r="A444" t="s">
        <v>700</v>
      </c>
      <c r="B444" t="s">
        <v>696</v>
      </c>
      <c r="C444" t="s">
        <v>141</v>
      </c>
      <c r="D444" t="s">
        <v>93</v>
      </c>
      <c r="E444" t="s">
        <v>394</v>
      </c>
      <c r="F444">
        <v>3</v>
      </c>
      <c r="G444">
        <v>314.69</v>
      </c>
      <c r="H444">
        <v>0.06</v>
      </c>
      <c r="I444" s="4">
        <v>887.43</v>
      </c>
      <c r="J444" t="s">
        <v>109</v>
      </c>
      <c r="K444" t="s">
        <v>48</v>
      </c>
      <c r="L444" s="4">
        <f>VLOOKUP(tblTransactions[[#This Row],[Product_ID]],tblProducts[],5,FALSE)</f>
        <v>185.43</v>
      </c>
      <c r="M444" s="4">
        <f>tblTransactions[[#This Row],[Total_Amount]]-(tblTransactions[[#This Row],[Cost_Prices]]*tblTransactions[[#This Row],[Quantity]]*(1-tblTransactions[[#This Row],[Discount]]))</f>
        <v>364.51740000000007</v>
      </c>
      <c r="N444" s="3">
        <f>tblTransactions[[#This Row],[Profit]]/tblTransactions[[#This Row],[Total_Amount]]</f>
        <v>0.41075622866028877</v>
      </c>
      <c r="O444" t="str">
        <f>TEXT(tblTransactions[[#This Row],[Date]], "MMM-YYYY")</f>
        <v>Apr-2023</v>
      </c>
      <c r="P444" t="str">
        <f>"Q"&amp;ROUNDUP(MONTH(tblTransactions[[#This Row],[Date]])/3,0)&amp;"-"&amp;YEAR(tblTransactions[[#This Row],[Date]])</f>
        <v>Q2-2023</v>
      </c>
      <c r="Q444">
        <f>YEAR(tblTransactions[[#This Row],[Date]])</f>
        <v>2023</v>
      </c>
      <c r="R444" t="str">
        <f>TEXT(tblTransactions[[#This Row],[Date]],"DDDD")</f>
        <v>Wednesday</v>
      </c>
      <c r="S444">
        <f>MONTH(tblTransactions[[#This Row],[Date]])</f>
        <v>4</v>
      </c>
      <c r="T444" t="str">
        <f>VLOOKUP(E444, Products!$A:$B,2,0)</f>
        <v>Desks Fur-1</v>
      </c>
      <c r="U444" t="str">
        <f>VLOOKUP(E444,Products!$A:$C,3,0)</f>
        <v>Furniture</v>
      </c>
      <c r="V444" t="str">
        <f>VLOOKUP(E444,Products!$A:$D,4,0)</f>
        <v>Desks</v>
      </c>
      <c r="W444" t="str">
        <f>VLOOKUP(D444,Customers!$A:$C,3,0)</f>
        <v>B2C</v>
      </c>
      <c r="X444" t="str">
        <f>VLOOKUP(C444,Sales_Representatives!$A:$B,2,0)</f>
        <v>Richard Garcia</v>
      </c>
    </row>
    <row r="445" spans="1:24" x14ac:dyDescent="0.3">
      <c r="A445" t="s">
        <v>701</v>
      </c>
      <c r="B445" t="s">
        <v>696</v>
      </c>
      <c r="C445" t="s">
        <v>63</v>
      </c>
      <c r="D445" t="s">
        <v>136</v>
      </c>
      <c r="E445" t="s">
        <v>29</v>
      </c>
      <c r="F445">
        <v>15</v>
      </c>
      <c r="G445">
        <v>1363.46</v>
      </c>
      <c r="H445">
        <v>0.18</v>
      </c>
      <c r="I445" s="4">
        <v>16770.560000000001</v>
      </c>
      <c r="J445" t="s">
        <v>21</v>
      </c>
      <c r="K445" t="s">
        <v>22</v>
      </c>
      <c r="L445" s="4">
        <f>VLOOKUP(tblTransactions[[#This Row],[Product_ID]],tblProducts[],5,FALSE)</f>
        <v>995.41</v>
      </c>
      <c r="M445" s="4">
        <f>tblTransactions[[#This Row],[Total_Amount]]-(tblTransactions[[#This Row],[Cost_Prices]]*tblTransactions[[#This Row],[Quantity]]*(1-tblTransactions[[#This Row],[Discount]]))</f>
        <v>4527.0169999999998</v>
      </c>
      <c r="N445" s="3">
        <f>tblTransactions[[#This Row],[Profit]]/tblTransactions[[#This Row],[Total_Amount]]</f>
        <v>0.26993833241108223</v>
      </c>
      <c r="O445" t="str">
        <f>TEXT(tblTransactions[[#This Row],[Date]], "MMM-YYYY")</f>
        <v>Apr-2023</v>
      </c>
      <c r="P445" t="str">
        <f>"Q"&amp;ROUNDUP(MONTH(tblTransactions[[#This Row],[Date]])/3,0)&amp;"-"&amp;YEAR(tblTransactions[[#This Row],[Date]])</f>
        <v>Q2-2023</v>
      </c>
      <c r="Q445">
        <f>YEAR(tblTransactions[[#This Row],[Date]])</f>
        <v>2023</v>
      </c>
      <c r="R445" t="str">
        <f>TEXT(tblTransactions[[#This Row],[Date]],"DDDD")</f>
        <v>Wednesday</v>
      </c>
      <c r="S445">
        <f>MONTH(tblTransactions[[#This Row],[Date]])</f>
        <v>4</v>
      </c>
      <c r="T445" t="str">
        <f>VLOOKUP(E445, Products!$A:$B,2,0)</f>
        <v>Phones Ele-3</v>
      </c>
      <c r="U445" t="str">
        <f>VLOOKUP(E445,Products!$A:$C,3,0)</f>
        <v>Electronics</v>
      </c>
      <c r="V445" t="str">
        <f>VLOOKUP(E445,Products!$A:$D,4,0)</f>
        <v>Phones</v>
      </c>
      <c r="W445" t="str">
        <f>VLOOKUP(D445,Customers!$A:$C,3,0)</f>
        <v>B2B</v>
      </c>
      <c r="X445" t="str">
        <f>VLOOKUP(C445,Sales_Representatives!$A:$B,2,0)</f>
        <v>Richard Wilson</v>
      </c>
    </row>
    <row r="446" spans="1:24" x14ac:dyDescent="0.3">
      <c r="A446" t="s">
        <v>702</v>
      </c>
      <c r="B446" t="s">
        <v>696</v>
      </c>
      <c r="C446" t="s">
        <v>127</v>
      </c>
      <c r="D446" t="s">
        <v>166</v>
      </c>
      <c r="E446" t="s">
        <v>91</v>
      </c>
      <c r="F446">
        <v>5</v>
      </c>
      <c r="G446">
        <v>286.62</v>
      </c>
      <c r="H446">
        <v>7.0000000000000007E-2</v>
      </c>
      <c r="I446" s="4">
        <v>1332.78</v>
      </c>
      <c r="J446" t="s">
        <v>109</v>
      </c>
      <c r="K446" t="s">
        <v>48</v>
      </c>
      <c r="L446" s="4">
        <f>VLOOKUP(tblTransactions[[#This Row],[Product_ID]],tblProducts[],5,FALSE)</f>
        <v>145.54</v>
      </c>
      <c r="M446" s="4">
        <f>tblTransactions[[#This Row],[Total_Amount]]-(tblTransactions[[#This Row],[Cost_Prices]]*tblTransactions[[#This Row],[Quantity]]*(1-tblTransactions[[#This Row],[Discount]]))</f>
        <v>656.01900000000012</v>
      </c>
      <c r="N446" s="3">
        <f>tblTransactions[[#This Row],[Profit]]/tblTransactions[[#This Row],[Total_Amount]]</f>
        <v>0.49221852068608485</v>
      </c>
      <c r="O446" t="str">
        <f>TEXT(tblTransactions[[#This Row],[Date]], "MMM-YYYY")</f>
        <v>Apr-2023</v>
      </c>
      <c r="P446" t="str">
        <f>"Q"&amp;ROUNDUP(MONTH(tblTransactions[[#This Row],[Date]])/3,0)&amp;"-"&amp;YEAR(tblTransactions[[#This Row],[Date]])</f>
        <v>Q2-2023</v>
      </c>
      <c r="Q446">
        <f>YEAR(tblTransactions[[#This Row],[Date]])</f>
        <v>2023</v>
      </c>
      <c r="R446" t="str">
        <f>TEXT(tblTransactions[[#This Row],[Date]],"DDDD")</f>
        <v>Wednesday</v>
      </c>
      <c r="S446">
        <f>MONTH(tblTransactions[[#This Row],[Date]])</f>
        <v>4</v>
      </c>
      <c r="T446" t="str">
        <f>VLOOKUP(E446, Products!$A:$B,2,0)</f>
        <v>Chairs Fur-1</v>
      </c>
      <c r="U446" t="str">
        <f>VLOOKUP(E446,Products!$A:$C,3,0)</f>
        <v>Furniture</v>
      </c>
      <c r="V446" t="str">
        <f>VLOOKUP(E446,Products!$A:$D,4,0)</f>
        <v>Chairs</v>
      </c>
      <c r="W446" t="str">
        <f>VLOOKUP(D446,Customers!$A:$C,3,0)</f>
        <v>B2C</v>
      </c>
      <c r="X446" t="str">
        <f>VLOOKUP(C446,Sales_Representatives!$A:$B,2,0)</f>
        <v>Emily Hernandez</v>
      </c>
    </row>
    <row r="447" spans="1:24" x14ac:dyDescent="0.3">
      <c r="A447" t="s">
        <v>703</v>
      </c>
      <c r="B447" t="s">
        <v>696</v>
      </c>
      <c r="C447" t="s">
        <v>63</v>
      </c>
      <c r="D447" t="s">
        <v>115</v>
      </c>
      <c r="E447" t="s">
        <v>704</v>
      </c>
      <c r="F447">
        <v>6</v>
      </c>
      <c r="G447">
        <v>291.81</v>
      </c>
      <c r="H447">
        <v>0.14000000000000001</v>
      </c>
      <c r="I447" s="4">
        <v>1505.74</v>
      </c>
      <c r="J447" t="s">
        <v>21</v>
      </c>
      <c r="K447" t="s">
        <v>22</v>
      </c>
      <c r="L447" s="4">
        <f>VLOOKUP(tblTransactions[[#This Row],[Product_ID]],tblProducts[],5,FALSE)</f>
        <v>123.61</v>
      </c>
      <c r="M447" s="4">
        <f>tblTransactions[[#This Row],[Total_Amount]]-(tblTransactions[[#This Row],[Cost_Prices]]*tblTransactions[[#This Row],[Quantity]]*(1-tblTransactions[[#This Row],[Discount]]))</f>
        <v>867.91240000000005</v>
      </c>
      <c r="N447" s="3">
        <f>tblTransactions[[#This Row],[Profit]]/tblTransactions[[#This Row],[Total_Amount]]</f>
        <v>0.57640256618008423</v>
      </c>
      <c r="O447" t="str">
        <f>TEXT(tblTransactions[[#This Row],[Date]], "MMM-YYYY")</f>
        <v>Apr-2023</v>
      </c>
      <c r="P447" t="str">
        <f>"Q"&amp;ROUNDUP(MONTH(tblTransactions[[#This Row],[Date]])/3,0)&amp;"-"&amp;YEAR(tblTransactions[[#This Row],[Date]])</f>
        <v>Q2-2023</v>
      </c>
      <c r="Q447">
        <f>YEAR(tblTransactions[[#This Row],[Date]])</f>
        <v>2023</v>
      </c>
      <c r="R447" t="str">
        <f>TEXT(tblTransactions[[#This Row],[Date]],"DDDD")</f>
        <v>Wednesday</v>
      </c>
      <c r="S447">
        <f>MONTH(tblTransactions[[#This Row],[Date]])</f>
        <v>4</v>
      </c>
      <c r="T447" t="str">
        <f>VLOOKUP(E447, Products!$A:$B,2,0)</f>
        <v>Keyboards Acc-4</v>
      </c>
      <c r="U447" t="str">
        <f>VLOOKUP(E447,Products!$A:$C,3,0)</f>
        <v>Accessories</v>
      </c>
      <c r="V447" t="str">
        <f>VLOOKUP(E447,Products!$A:$D,4,0)</f>
        <v>Keyboards</v>
      </c>
      <c r="W447" t="str">
        <f>VLOOKUP(D447,Customers!$A:$C,3,0)</f>
        <v>B2C</v>
      </c>
      <c r="X447" t="str">
        <f>VLOOKUP(C447,Sales_Representatives!$A:$B,2,0)</f>
        <v>Richard Wilson</v>
      </c>
    </row>
    <row r="448" spans="1:24" x14ac:dyDescent="0.3">
      <c r="A448" t="s">
        <v>705</v>
      </c>
      <c r="B448" t="s">
        <v>696</v>
      </c>
      <c r="C448" t="s">
        <v>131</v>
      </c>
      <c r="D448" t="s">
        <v>166</v>
      </c>
      <c r="E448" t="s">
        <v>206</v>
      </c>
      <c r="F448">
        <v>3</v>
      </c>
      <c r="G448">
        <v>292.51</v>
      </c>
      <c r="H448">
        <v>7.0000000000000007E-2</v>
      </c>
      <c r="I448" s="4">
        <v>816.1</v>
      </c>
      <c r="J448" t="s">
        <v>44</v>
      </c>
      <c r="K448" t="s">
        <v>35</v>
      </c>
      <c r="L448" s="4">
        <f>VLOOKUP(tblTransactions[[#This Row],[Product_ID]],tblProducts[],5,FALSE)</f>
        <v>122.08</v>
      </c>
      <c r="M448" s="4">
        <f>tblTransactions[[#This Row],[Total_Amount]]-(tblTransactions[[#This Row],[Cost_Prices]]*tblTransactions[[#This Row],[Quantity]]*(1-tblTransactions[[#This Row],[Discount]]))</f>
        <v>475.49680000000006</v>
      </c>
      <c r="N448" s="3">
        <f>tblTransactions[[#This Row],[Profit]]/tblTransactions[[#This Row],[Total_Amount]]</f>
        <v>0.58264526406077688</v>
      </c>
      <c r="O448" t="str">
        <f>TEXT(tblTransactions[[#This Row],[Date]], "MMM-YYYY")</f>
        <v>Apr-2023</v>
      </c>
      <c r="P448" t="str">
        <f>"Q"&amp;ROUNDUP(MONTH(tblTransactions[[#This Row],[Date]])/3,0)&amp;"-"&amp;YEAR(tblTransactions[[#This Row],[Date]])</f>
        <v>Q2-2023</v>
      </c>
      <c r="Q448">
        <f>YEAR(tblTransactions[[#This Row],[Date]])</f>
        <v>2023</v>
      </c>
      <c r="R448" t="str">
        <f>TEXT(tblTransactions[[#This Row],[Date]],"DDDD")</f>
        <v>Wednesday</v>
      </c>
      <c r="S448">
        <f>MONTH(tblTransactions[[#This Row],[Date]])</f>
        <v>4</v>
      </c>
      <c r="T448" t="str">
        <f>VLOOKUP(E448, Products!$A:$B,2,0)</f>
        <v>Keyboards Acc-1</v>
      </c>
      <c r="U448" t="str">
        <f>VLOOKUP(E448,Products!$A:$C,3,0)</f>
        <v>Accessories</v>
      </c>
      <c r="V448" t="str">
        <f>VLOOKUP(E448,Products!$A:$D,4,0)</f>
        <v>Keyboards</v>
      </c>
      <c r="W448" t="str">
        <f>VLOOKUP(D448,Customers!$A:$C,3,0)</f>
        <v>B2C</v>
      </c>
      <c r="X448" t="str">
        <f>VLOOKUP(C448,Sales_Representatives!$A:$B,2,0)</f>
        <v>Michael Davis</v>
      </c>
    </row>
    <row r="449" spans="1:24" x14ac:dyDescent="0.3">
      <c r="A449" t="s">
        <v>706</v>
      </c>
      <c r="B449" t="s">
        <v>696</v>
      </c>
      <c r="C449" t="s">
        <v>19</v>
      </c>
      <c r="D449" t="s">
        <v>288</v>
      </c>
      <c r="E449" t="s">
        <v>145</v>
      </c>
      <c r="F449">
        <v>5</v>
      </c>
      <c r="G449">
        <v>93.43</v>
      </c>
      <c r="H449">
        <v>0.05</v>
      </c>
      <c r="I449" s="4">
        <v>443.79</v>
      </c>
      <c r="J449" t="s">
        <v>21</v>
      </c>
      <c r="K449" t="s">
        <v>17</v>
      </c>
      <c r="L449" s="4">
        <f>VLOOKUP(tblTransactions[[#This Row],[Product_ID]],tblProducts[],5,FALSE)</f>
        <v>45.74</v>
      </c>
      <c r="M449" s="4">
        <f>tblTransactions[[#This Row],[Total_Amount]]-(tblTransactions[[#This Row],[Cost_Prices]]*tblTransactions[[#This Row],[Quantity]]*(1-tblTransactions[[#This Row],[Discount]]))</f>
        <v>226.52500000000001</v>
      </c>
      <c r="N449" s="3">
        <f>tblTransactions[[#This Row],[Profit]]/tblTransactions[[#This Row],[Total_Amount]]</f>
        <v>0.51043286238986907</v>
      </c>
      <c r="O449" t="str">
        <f>TEXT(tblTransactions[[#This Row],[Date]], "MMM-YYYY")</f>
        <v>Apr-2023</v>
      </c>
      <c r="P449" t="str">
        <f>"Q"&amp;ROUNDUP(MONTH(tblTransactions[[#This Row],[Date]])/3,0)&amp;"-"&amp;YEAR(tblTransactions[[#This Row],[Date]])</f>
        <v>Q2-2023</v>
      </c>
      <c r="Q449">
        <f>YEAR(tblTransactions[[#This Row],[Date]])</f>
        <v>2023</v>
      </c>
      <c r="R449" t="str">
        <f>TEXT(tblTransactions[[#This Row],[Date]],"DDDD")</f>
        <v>Wednesday</v>
      </c>
      <c r="S449">
        <f>MONTH(tblTransactions[[#This Row],[Date]])</f>
        <v>4</v>
      </c>
      <c r="T449" t="str">
        <f>VLOOKUP(E449, Products!$A:$B,2,0)</f>
        <v>Paper Off-1</v>
      </c>
      <c r="U449" t="str">
        <f>VLOOKUP(E449,Products!$A:$C,3,0)</f>
        <v>Office Supplies</v>
      </c>
      <c r="V449" t="str">
        <f>VLOOKUP(E449,Products!$A:$D,4,0)</f>
        <v>Paper</v>
      </c>
      <c r="W449" t="str">
        <f>VLOOKUP(D449,Customers!$A:$C,3,0)</f>
        <v>B2C</v>
      </c>
      <c r="X449" t="str">
        <f>VLOOKUP(C449,Sales_Representatives!$A:$B,2,0)</f>
        <v>Robert Jones</v>
      </c>
    </row>
    <row r="450" spans="1:24" x14ac:dyDescent="0.3">
      <c r="A450" t="s">
        <v>707</v>
      </c>
      <c r="B450" t="s">
        <v>708</v>
      </c>
      <c r="C450" t="s">
        <v>127</v>
      </c>
      <c r="D450" t="s">
        <v>50</v>
      </c>
      <c r="E450" t="s">
        <v>221</v>
      </c>
      <c r="F450">
        <v>1</v>
      </c>
      <c r="G450">
        <v>210.02</v>
      </c>
      <c r="H450">
        <v>0.1</v>
      </c>
      <c r="I450" s="4">
        <v>189.02</v>
      </c>
      <c r="J450" t="s">
        <v>109</v>
      </c>
      <c r="K450" t="s">
        <v>39</v>
      </c>
      <c r="L450" s="4">
        <f>VLOOKUP(tblTransactions[[#This Row],[Product_ID]],tblProducts[],5,FALSE)</f>
        <v>131.66</v>
      </c>
      <c r="M450" s="4">
        <f>tblTransactions[[#This Row],[Total_Amount]]-(tblTransactions[[#This Row],[Cost_Prices]]*tblTransactions[[#This Row],[Quantity]]*(1-tblTransactions[[#This Row],[Discount]]))</f>
        <v>70.52600000000001</v>
      </c>
      <c r="N450" s="3">
        <f>tblTransactions[[#This Row],[Profit]]/tblTransactions[[#This Row],[Total_Amount]]</f>
        <v>0.37311395619511167</v>
      </c>
      <c r="O450" t="str">
        <f>TEXT(tblTransactions[[#This Row],[Date]], "MMM-YYYY")</f>
        <v>Apr-2023</v>
      </c>
      <c r="P450" t="str">
        <f>"Q"&amp;ROUNDUP(MONTH(tblTransactions[[#This Row],[Date]])/3,0)&amp;"-"&amp;YEAR(tblTransactions[[#This Row],[Date]])</f>
        <v>Q2-2023</v>
      </c>
      <c r="Q450">
        <f>YEAR(tblTransactions[[#This Row],[Date]])</f>
        <v>2023</v>
      </c>
      <c r="R450" t="str">
        <f>TEXT(tblTransactions[[#This Row],[Date]],"DDDD")</f>
        <v>Thursday</v>
      </c>
      <c r="S450">
        <f>MONTH(tblTransactions[[#This Row],[Date]])</f>
        <v>4</v>
      </c>
      <c r="T450" t="str">
        <f>VLOOKUP(E450, Products!$A:$B,2,0)</f>
        <v>Storage Fur-2</v>
      </c>
      <c r="U450" t="str">
        <f>VLOOKUP(E450,Products!$A:$C,3,0)</f>
        <v>Furniture</v>
      </c>
      <c r="V450" t="str">
        <f>VLOOKUP(E450,Products!$A:$D,4,0)</f>
        <v>Storage</v>
      </c>
      <c r="W450" t="str">
        <f>VLOOKUP(D450,Customers!$A:$C,3,0)</f>
        <v>Small Business</v>
      </c>
      <c r="X450" t="str">
        <f>VLOOKUP(C450,Sales_Representatives!$A:$B,2,0)</f>
        <v>Emily Hernandez</v>
      </c>
    </row>
    <row r="451" spans="1:24" x14ac:dyDescent="0.3">
      <c r="A451" t="s">
        <v>709</v>
      </c>
      <c r="B451" t="s">
        <v>708</v>
      </c>
      <c r="C451" t="s">
        <v>127</v>
      </c>
      <c r="D451" t="s">
        <v>101</v>
      </c>
      <c r="E451" t="s">
        <v>704</v>
      </c>
      <c r="F451">
        <v>6</v>
      </c>
      <c r="G451">
        <v>291.81</v>
      </c>
      <c r="H451">
        <v>0.1</v>
      </c>
      <c r="I451" s="4">
        <v>1575.77</v>
      </c>
      <c r="J451" t="s">
        <v>109</v>
      </c>
      <c r="K451" t="s">
        <v>22</v>
      </c>
      <c r="L451" s="4">
        <f>VLOOKUP(tblTransactions[[#This Row],[Product_ID]],tblProducts[],5,FALSE)</f>
        <v>123.61</v>
      </c>
      <c r="M451" s="4">
        <f>tblTransactions[[#This Row],[Total_Amount]]-(tblTransactions[[#This Row],[Cost_Prices]]*tblTransactions[[#This Row],[Quantity]]*(1-tblTransactions[[#This Row],[Discount]]))</f>
        <v>908.27599999999995</v>
      </c>
      <c r="N451" s="3">
        <f>tblTransactions[[#This Row],[Profit]]/tblTransactions[[#This Row],[Total_Amount]]</f>
        <v>0.57640137837374739</v>
      </c>
      <c r="O451" t="str">
        <f>TEXT(tblTransactions[[#This Row],[Date]], "MMM-YYYY")</f>
        <v>Apr-2023</v>
      </c>
      <c r="P451" t="str">
        <f>"Q"&amp;ROUNDUP(MONTH(tblTransactions[[#This Row],[Date]])/3,0)&amp;"-"&amp;YEAR(tblTransactions[[#This Row],[Date]])</f>
        <v>Q2-2023</v>
      </c>
      <c r="Q451">
        <f>YEAR(tblTransactions[[#This Row],[Date]])</f>
        <v>2023</v>
      </c>
      <c r="R451" t="str">
        <f>TEXT(tblTransactions[[#This Row],[Date]],"DDDD")</f>
        <v>Thursday</v>
      </c>
      <c r="S451">
        <f>MONTH(tblTransactions[[#This Row],[Date]])</f>
        <v>4</v>
      </c>
      <c r="T451" t="str">
        <f>VLOOKUP(E451, Products!$A:$B,2,0)</f>
        <v>Keyboards Acc-4</v>
      </c>
      <c r="U451" t="str">
        <f>VLOOKUP(E451,Products!$A:$C,3,0)</f>
        <v>Accessories</v>
      </c>
      <c r="V451" t="str">
        <f>VLOOKUP(E451,Products!$A:$D,4,0)</f>
        <v>Keyboards</v>
      </c>
      <c r="W451" t="str">
        <f>VLOOKUP(D451,Customers!$A:$C,3,0)</f>
        <v>B2C</v>
      </c>
      <c r="X451" t="str">
        <f>VLOOKUP(C451,Sales_Representatives!$A:$B,2,0)</f>
        <v>Emily Hernandez</v>
      </c>
    </row>
    <row r="452" spans="1:24" x14ac:dyDescent="0.3">
      <c r="A452" t="s">
        <v>710</v>
      </c>
      <c r="B452" t="s">
        <v>711</v>
      </c>
      <c r="C452" t="s">
        <v>31</v>
      </c>
      <c r="D452" t="s">
        <v>327</v>
      </c>
      <c r="E452" t="s">
        <v>324</v>
      </c>
      <c r="F452">
        <v>3</v>
      </c>
      <c r="G452">
        <v>245.76</v>
      </c>
      <c r="H452">
        <v>0.09</v>
      </c>
      <c r="I452" s="4">
        <v>670.92</v>
      </c>
      <c r="J452" t="s">
        <v>34</v>
      </c>
      <c r="K452" t="s">
        <v>48</v>
      </c>
      <c r="L452" s="4">
        <f>VLOOKUP(tblTransactions[[#This Row],[Product_ID]],tblProducts[],5,FALSE)</f>
        <v>161.94</v>
      </c>
      <c r="M452" s="4">
        <f>tblTransactions[[#This Row],[Total_Amount]]-(tblTransactions[[#This Row],[Cost_Prices]]*tblTransactions[[#This Row],[Quantity]]*(1-tblTransactions[[#This Row],[Discount]]))</f>
        <v>228.82379999999995</v>
      </c>
      <c r="N452" s="3">
        <f>tblTransactions[[#This Row],[Profit]]/tblTransactions[[#This Row],[Total_Amount]]</f>
        <v>0.34105973886603463</v>
      </c>
      <c r="O452" t="str">
        <f>TEXT(tblTransactions[[#This Row],[Date]], "MMM-YYYY")</f>
        <v>Apr-2023</v>
      </c>
      <c r="P452" t="str">
        <f>"Q"&amp;ROUNDUP(MONTH(tblTransactions[[#This Row],[Date]])/3,0)&amp;"-"&amp;YEAR(tblTransactions[[#This Row],[Date]])</f>
        <v>Q2-2023</v>
      </c>
      <c r="Q452">
        <f>YEAR(tblTransactions[[#This Row],[Date]])</f>
        <v>2023</v>
      </c>
      <c r="R452" t="str">
        <f>TEXT(tblTransactions[[#This Row],[Date]],"DDDD")</f>
        <v>Friday</v>
      </c>
      <c r="S452">
        <f>MONTH(tblTransactions[[#This Row],[Date]])</f>
        <v>4</v>
      </c>
      <c r="T452" t="str">
        <f>VLOOKUP(E452, Products!$A:$B,2,0)</f>
        <v>Storage Fur-1</v>
      </c>
      <c r="U452" t="str">
        <f>VLOOKUP(E452,Products!$A:$C,3,0)</f>
        <v>Furniture</v>
      </c>
      <c r="V452" t="str">
        <f>VLOOKUP(E452,Products!$A:$D,4,0)</f>
        <v>Storage</v>
      </c>
      <c r="W452" t="str">
        <f>VLOOKUP(D452,Customers!$A:$C,3,0)</f>
        <v>B2C</v>
      </c>
      <c r="X452" t="str">
        <f>VLOOKUP(C452,Sales_Representatives!$A:$B,2,0)</f>
        <v>Thomas Martinez</v>
      </c>
    </row>
    <row r="453" spans="1:24" x14ac:dyDescent="0.3">
      <c r="A453" t="s">
        <v>712</v>
      </c>
      <c r="B453" t="s">
        <v>711</v>
      </c>
      <c r="C453" t="s">
        <v>27</v>
      </c>
      <c r="D453" t="s">
        <v>210</v>
      </c>
      <c r="E453" t="s">
        <v>96</v>
      </c>
      <c r="F453">
        <v>3</v>
      </c>
      <c r="G453">
        <v>751.9</v>
      </c>
      <c r="H453">
        <v>0.06</v>
      </c>
      <c r="I453" s="4">
        <v>2120.36</v>
      </c>
      <c r="J453" t="s">
        <v>16</v>
      </c>
      <c r="K453" t="s">
        <v>39</v>
      </c>
      <c r="L453" s="4">
        <f>VLOOKUP(tblTransactions[[#This Row],[Product_ID]],tblProducts[],5,FALSE)</f>
        <v>570.29</v>
      </c>
      <c r="M453" s="4">
        <f>tblTransactions[[#This Row],[Total_Amount]]-(tblTransactions[[#This Row],[Cost_Prices]]*tblTransactions[[#This Row],[Quantity]]*(1-tblTransactions[[#This Row],[Discount]]))</f>
        <v>512.14220000000023</v>
      </c>
      <c r="N453" s="3">
        <f>tblTransactions[[#This Row],[Profit]]/tblTransactions[[#This Row],[Total_Amount]]</f>
        <v>0.2415354939727217</v>
      </c>
      <c r="O453" t="str">
        <f>TEXT(tblTransactions[[#This Row],[Date]], "MMM-YYYY")</f>
        <v>Apr-2023</v>
      </c>
      <c r="P453" t="str">
        <f>"Q"&amp;ROUNDUP(MONTH(tblTransactions[[#This Row],[Date]])/3,0)&amp;"-"&amp;YEAR(tblTransactions[[#This Row],[Date]])</f>
        <v>Q2-2023</v>
      </c>
      <c r="Q453">
        <f>YEAR(tblTransactions[[#This Row],[Date]])</f>
        <v>2023</v>
      </c>
      <c r="R453" t="str">
        <f>TEXT(tblTransactions[[#This Row],[Date]],"DDDD")</f>
        <v>Friday</v>
      </c>
      <c r="S453">
        <f>MONTH(tblTransactions[[#This Row],[Date]])</f>
        <v>4</v>
      </c>
      <c r="T453" t="str">
        <f>VLOOKUP(E453, Products!$A:$B,2,0)</f>
        <v>Routers Tec-1</v>
      </c>
      <c r="U453" t="str">
        <f>VLOOKUP(E453,Products!$A:$C,3,0)</f>
        <v>Technology</v>
      </c>
      <c r="V453" t="str">
        <f>VLOOKUP(E453,Products!$A:$D,4,0)</f>
        <v>Routers</v>
      </c>
      <c r="W453" t="str">
        <f>VLOOKUP(D453,Customers!$A:$C,3,0)</f>
        <v>B2B</v>
      </c>
      <c r="X453" t="str">
        <f>VLOOKUP(C453,Sales_Representatives!$A:$B,2,0)</f>
        <v>Thomas Lopez</v>
      </c>
    </row>
    <row r="454" spans="1:24" x14ac:dyDescent="0.3">
      <c r="A454" t="s">
        <v>713</v>
      </c>
      <c r="B454" t="s">
        <v>711</v>
      </c>
      <c r="C454" t="s">
        <v>27</v>
      </c>
      <c r="D454" t="s">
        <v>156</v>
      </c>
      <c r="E454" t="s">
        <v>176</v>
      </c>
      <c r="F454">
        <v>6</v>
      </c>
      <c r="G454">
        <v>1462.68</v>
      </c>
      <c r="H454">
        <v>0.13</v>
      </c>
      <c r="I454" s="4">
        <v>7635.19</v>
      </c>
      <c r="J454" t="s">
        <v>16</v>
      </c>
      <c r="K454" t="s">
        <v>39</v>
      </c>
      <c r="L454" s="4">
        <f>VLOOKUP(tblTransactions[[#This Row],[Product_ID]],tblProducts[],5,FALSE)</f>
        <v>775.94</v>
      </c>
      <c r="M454" s="4">
        <f>tblTransactions[[#This Row],[Total_Amount]]-(tblTransactions[[#This Row],[Cost_Prices]]*tblTransactions[[#This Row],[Quantity]]*(1-tblTransactions[[#This Row],[Discount]]))</f>
        <v>3584.7831999999994</v>
      </c>
      <c r="N454" s="3">
        <f>tblTransactions[[#This Row],[Profit]]/tblTransactions[[#This Row],[Total_Amount]]</f>
        <v>0.46950805415451347</v>
      </c>
      <c r="O454" t="str">
        <f>TEXT(tblTransactions[[#This Row],[Date]], "MMM-YYYY")</f>
        <v>Apr-2023</v>
      </c>
      <c r="P454" t="str">
        <f>"Q"&amp;ROUNDUP(MONTH(tblTransactions[[#This Row],[Date]])/3,0)&amp;"-"&amp;YEAR(tblTransactions[[#This Row],[Date]])</f>
        <v>Q2-2023</v>
      </c>
      <c r="Q454">
        <f>YEAR(tblTransactions[[#This Row],[Date]])</f>
        <v>2023</v>
      </c>
      <c r="R454" t="str">
        <f>TEXT(tblTransactions[[#This Row],[Date]],"DDDD")</f>
        <v>Friday</v>
      </c>
      <c r="S454">
        <f>MONTH(tblTransactions[[#This Row],[Date]])</f>
        <v>4</v>
      </c>
      <c r="T454" t="str">
        <f>VLOOKUP(E454, Products!$A:$B,2,0)</f>
        <v>Chairs Fur-2</v>
      </c>
      <c r="U454" t="str">
        <f>VLOOKUP(E454,Products!$A:$C,3,0)</f>
        <v>Furniture</v>
      </c>
      <c r="V454" t="str">
        <f>VLOOKUP(E454,Products!$A:$D,4,0)</f>
        <v>Chairs</v>
      </c>
      <c r="W454" t="str">
        <f>VLOOKUP(D454,Customers!$A:$C,3,0)</f>
        <v>B2B</v>
      </c>
      <c r="X454" t="str">
        <f>VLOOKUP(C454,Sales_Representatives!$A:$B,2,0)</f>
        <v>Thomas Lopez</v>
      </c>
    </row>
    <row r="455" spans="1:24" x14ac:dyDescent="0.3">
      <c r="A455" t="s">
        <v>714</v>
      </c>
      <c r="B455" t="s">
        <v>711</v>
      </c>
      <c r="C455" t="s">
        <v>127</v>
      </c>
      <c r="D455" t="s">
        <v>190</v>
      </c>
      <c r="E455" t="s">
        <v>450</v>
      </c>
      <c r="F455">
        <v>17</v>
      </c>
      <c r="G455">
        <v>2083.92</v>
      </c>
      <c r="H455">
        <v>0.14000000000000001</v>
      </c>
      <c r="I455" s="4">
        <v>30466.91</v>
      </c>
      <c r="J455" t="s">
        <v>109</v>
      </c>
      <c r="K455" t="s">
        <v>22</v>
      </c>
      <c r="L455" s="4">
        <f>VLOOKUP(tblTransactions[[#This Row],[Product_ID]],tblProducts[],5,FALSE)</f>
        <v>1425.78</v>
      </c>
      <c r="M455" s="4">
        <f>tblTransactions[[#This Row],[Total_Amount]]-(tblTransactions[[#This Row],[Cost_Prices]]*tblTransactions[[#This Row],[Quantity]]*(1-tblTransactions[[#This Row],[Discount]]))</f>
        <v>9622.006400000002</v>
      </c>
      <c r="N455" s="3">
        <f>tblTransactions[[#This Row],[Profit]]/tblTransactions[[#This Row],[Total_Amount]]</f>
        <v>0.31581825659379315</v>
      </c>
      <c r="O455" t="str">
        <f>TEXT(tblTransactions[[#This Row],[Date]], "MMM-YYYY")</f>
        <v>Apr-2023</v>
      </c>
      <c r="P455" t="str">
        <f>"Q"&amp;ROUNDUP(MONTH(tblTransactions[[#This Row],[Date]])/3,0)&amp;"-"&amp;YEAR(tblTransactions[[#This Row],[Date]])</f>
        <v>Q2-2023</v>
      </c>
      <c r="Q455">
        <f>YEAR(tblTransactions[[#This Row],[Date]])</f>
        <v>2023</v>
      </c>
      <c r="R455" t="str">
        <f>TEXT(tblTransactions[[#This Row],[Date]],"DDDD")</f>
        <v>Friday</v>
      </c>
      <c r="S455">
        <f>MONTH(tblTransactions[[#This Row],[Date]])</f>
        <v>4</v>
      </c>
      <c r="T455" t="str">
        <f>VLOOKUP(E455, Products!$A:$B,2,0)</f>
        <v>Monitors Tec-4</v>
      </c>
      <c r="U455" t="str">
        <f>VLOOKUP(E455,Products!$A:$C,3,0)</f>
        <v>Technology</v>
      </c>
      <c r="V455" t="str">
        <f>VLOOKUP(E455,Products!$A:$D,4,0)</f>
        <v>Monitors</v>
      </c>
      <c r="W455" t="str">
        <f>VLOOKUP(D455,Customers!$A:$C,3,0)</f>
        <v>B2B</v>
      </c>
      <c r="X455" t="str">
        <f>VLOOKUP(C455,Sales_Representatives!$A:$B,2,0)</f>
        <v>Emily Hernandez</v>
      </c>
    </row>
    <row r="456" spans="1:24" x14ac:dyDescent="0.3">
      <c r="A456" t="s">
        <v>715</v>
      </c>
      <c r="B456" t="s">
        <v>711</v>
      </c>
      <c r="C456" t="s">
        <v>13</v>
      </c>
      <c r="D456" t="s">
        <v>24</v>
      </c>
      <c r="E456" t="s">
        <v>99</v>
      </c>
      <c r="F456">
        <v>7</v>
      </c>
      <c r="G456">
        <v>325.14</v>
      </c>
      <c r="H456">
        <v>0.08</v>
      </c>
      <c r="I456" s="4">
        <v>2093.9</v>
      </c>
      <c r="J456" t="s">
        <v>16</v>
      </c>
      <c r="K456" t="s">
        <v>17</v>
      </c>
      <c r="L456" s="4">
        <f>VLOOKUP(tblTransactions[[#This Row],[Product_ID]],tblProducts[],5,FALSE)</f>
        <v>209.04</v>
      </c>
      <c r="M456" s="4">
        <f>tblTransactions[[#This Row],[Total_Amount]]-(tblTransactions[[#This Row],[Cost_Prices]]*tblTransactions[[#This Row],[Quantity]]*(1-tblTransactions[[#This Row],[Discount]]))</f>
        <v>747.68240000000014</v>
      </c>
      <c r="N456" s="3">
        <f>tblTransactions[[#This Row],[Profit]]/tblTransactions[[#This Row],[Total_Amount]]</f>
        <v>0.35707646019389661</v>
      </c>
      <c r="O456" t="str">
        <f>TEXT(tblTransactions[[#This Row],[Date]], "MMM-YYYY")</f>
        <v>Apr-2023</v>
      </c>
      <c r="P456" t="str">
        <f>"Q"&amp;ROUNDUP(MONTH(tblTransactions[[#This Row],[Date]])/3,0)&amp;"-"&amp;YEAR(tblTransactions[[#This Row],[Date]])</f>
        <v>Q2-2023</v>
      </c>
      <c r="Q456">
        <f>YEAR(tblTransactions[[#This Row],[Date]])</f>
        <v>2023</v>
      </c>
      <c r="R456" t="str">
        <f>TEXT(tblTransactions[[#This Row],[Date]],"DDDD")</f>
        <v>Friday</v>
      </c>
      <c r="S456">
        <f>MONTH(tblTransactions[[#This Row],[Date]])</f>
        <v>4</v>
      </c>
      <c r="T456" t="str">
        <f>VLOOKUP(E456, Products!$A:$B,2,0)</f>
        <v>Monitors Tec-1</v>
      </c>
      <c r="U456" t="str">
        <f>VLOOKUP(E456,Products!$A:$C,3,0)</f>
        <v>Technology</v>
      </c>
      <c r="V456" t="str">
        <f>VLOOKUP(E456,Products!$A:$D,4,0)</f>
        <v>Monitors</v>
      </c>
      <c r="W456" t="str">
        <f>VLOOKUP(D456,Customers!$A:$C,3,0)</f>
        <v>B2B</v>
      </c>
      <c r="X456" t="str">
        <f>VLOOKUP(C456,Sales_Representatives!$A:$B,2,0)</f>
        <v>Jennifer Rodriguez</v>
      </c>
    </row>
    <row r="457" spans="1:24" x14ac:dyDescent="0.3">
      <c r="A457" t="s">
        <v>716</v>
      </c>
      <c r="B457" t="s">
        <v>711</v>
      </c>
      <c r="C457" t="s">
        <v>59</v>
      </c>
      <c r="D457" t="s">
        <v>76</v>
      </c>
      <c r="E457" t="s">
        <v>20</v>
      </c>
      <c r="F457">
        <v>4</v>
      </c>
      <c r="G457">
        <v>1219.49</v>
      </c>
      <c r="H457">
        <v>0.06</v>
      </c>
      <c r="I457" s="4">
        <v>4585.28</v>
      </c>
      <c r="J457" t="s">
        <v>21</v>
      </c>
      <c r="K457" t="s">
        <v>17</v>
      </c>
      <c r="L457" s="4">
        <f>VLOOKUP(tblTransactions[[#This Row],[Product_ID]],tblProducts[],5,FALSE)</f>
        <v>686.9</v>
      </c>
      <c r="M457" s="4">
        <f>tblTransactions[[#This Row],[Total_Amount]]-(tblTransactions[[#This Row],[Cost_Prices]]*tblTransactions[[#This Row],[Quantity]]*(1-tblTransactions[[#This Row],[Discount]]))</f>
        <v>2002.5360000000001</v>
      </c>
      <c r="N457" s="3">
        <f>tblTransactions[[#This Row],[Profit]]/tblTransactions[[#This Row],[Total_Amount]]</f>
        <v>0.43673145369530325</v>
      </c>
      <c r="O457" t="str">
        <f>TEXT(tblTransactions[[#This Row],[Date]], "MMM-YYYY")</f>
        <v>Apr-2023</v>
      </c>
      <c r="P457" t="str">
        <f>"Q"&amp;ROUNDUP(MONTH(tblTransactions[[#This Row],[Date]])/3,0)&amp;"-"&amp;YEAR(tblTransactions[[#This Row],[Date]])</f>
        <v>Q2-2023</v>
      </c>
      <c r="Q457">
        <f>YEAR(tblTransactions[[#This Row],[Date]])</f>
        <v>2023</v>
      </c>
      <c r="R457" t="str">
        <f>TEXT(tblTransactions[[#This Row],[Date]],"DDDD")</f>
        <v>Friday</v>
      </c>
      <c r="S457">
        <f>MONTH(tblTransactions[[#This Row],[Date]])</f>
        <v>4</v>
      </c>
      <c r="T457" t="str">
        <f>VLOOKUP(E457, Products!$A:$B,2,0)</f>
        <v>Laptops Ele-1</v>
      </c>
      <c r="U457" t="str">
        <f>VLOOKUP(E457,Products!$A:$C,3,0)</f>
        <v>Electronics</v>
      </c>
      <c r="V457" t="str">
        <f>VLOOKUP(E457,Products!$A:$D,4,0)</f>
        <v>Laptops</v>
      </c>
      <c r="W457" t="str">
        <f>VLOOKUP(D457,Customers!$A:$C,3,0)</f>
        <v>Small Business</v>
      </c>
      <c r="X457" t="str">
        <f>VLOOKUP(C457,Sales_Representatives!$A:$B,2,0)</f>
        <v>Sarah Brown</v>
      </c>
    </row>
    <row r="458" spans="1:24" x14ac:dyDescent="0.3">
      <c r="A458" t="s">
        <v>717</v>
      </c>
      <c r="B458" t="s">
        <v>711</v>
      </c>
      <c r="C458" t="s">
        <v>13</v>
      </c>
      <c r="D458" t="s">
        <v>156</v>
      </c>
      <c r="E458" t="s">
        <v>394</v>
      </c>
      <c r="F458">
        <v>2</v>
      </c>
      <c r="G458">
        <v>314.69</v>
      </c>
      <c r="H458">
        <v>0</v>
      </c>
      <c r="I458" s="4">
        <v>629.38</v>
      </c>
      <c r="J458" t="s">
        <v>16</v>
      </c>
      <c r="K458" t="s">
        <v>35</v>
      </c>
      <c r="L458" s="4">
        <f>VLOOKUP(tblTransactions[[#This Row],[Product_ID]],tblProducts[],5,FALSE)</f>
        <v>185.43</v>
      </c>
      <c r="M458" s="4">
        <f>tblTransactions[[#This Row],[Total_Amount]]-(tblTransactions[[#This Row],[Cost_Prices]]*tblTransactions[[#This Row],[Quantity]]*(1-tblTransactions[[#This Row],[Discount]]))</f>
        <v>258.52</v>
      </c>
      <c r="N458" s="3">
        <f>tblTransactions[[#This Row],[Profit]]/tblTransactions[[#This Row],[Total_Amount]]</f>
        <v>0.41075343989322821</v>
      </c>
      <c r="O458" t="str">
        <f>TEXT(tblTransactions[[#This Row],[Date]], "MMM-YYYY")</f>
        <v>Apr-2023</v>
      </c>
      <c r="P458" t="str">
        <f>"Q"&amp;ROUNDUP(MONTH(tblTransactions[[#This Row],[Date]])/3,0)&amp;"-"&amp;YEAR(tblTransactions[[#This Row],[Date]])</f>
        <v>Q2-2023</v>
      </c>
      <c r="Q458">
        <f>YEAR(tblTransactions[[#This Row],[Date]])</f>
        <v>2023</v>
      </c>
      <c r="R458" t="str">
        <f>TEXT(tblTransactions[[#This Row],[Date]],"DDDD")</f>
        <v>Friday</v>
      </c>
      <c r="S458">
        <f>MONTH(tblTransactions[[#This Row],[Date]])</f>
        <v>4</v>
      </c>
      <c r="T458" t="str">
        <f>VLOOKUP(E458, Products!$A:$B,2,0)</f>
        <v>Desks Fur-1</v>
      </c>
      <c r="U458" t="str">
        <f>VLOOKUP(E458,Products!$A:$C,3,0)</f>
        <v>Furniture</v>
      </c>
      <c r="V458" t="str">
        <f>VLOOKUP(E458,Products!$A:$D,4,0)</f>
        <v>Desks</v>
      </c>
      <c r="W458" t="str">
        <f>VLOOKUP(D458,Customers!$A:$C,3,0)</f>
        <v>B2B</v>
      </c>
      <c r="X458" t="str">
        <f>VLOOKUP(C458,Sales_Representatives!$A:$B,2,0)</f>
        <v>Jennifer Rodriguez</v>
      </c>
    </row>
    <row r="459" spans="1:24" x14ac:dyDescent="0.3">
      <c r="A459" t="s">
        <v>718</v>
      </c>
      <c r="B459" t="s">
        <v>711</v>
      </c>
      <c r="C459" t="s">
        <v>107</v>
      </c>
      <c r="D459" t="s">
        <v>118</v>
      </c>
      <c r="E459" t="s">
        <v>314</v>
      </c>
      <c r="F459">
        <v>3</v>
      </c>
      <c r="G459">
        <v>204.97</v>
      </c>
      <c r="H459">
        <v>0.09</v>
      </c>
      <c r="I459" s="4">
        <v>559.57000000000005</v>
      </c>
      <c r="J459" t="s">
        <v>109</v>
      </c>
      <c r="K459" t="s">
        <v>35</v>
      </c>
      <c r="L459" s="4">
        <f>VLOOKUP(tblTransactions[[#This Row],[Product_ID]],tblProducts[],5,FALSE)</f>
        <v>121.53</v>
      </c>
      <c r="M459" s="4">
        <f>tblTransactions[[#This Row],[Total_Amount]]-(tblTransactions[[#This Row],[Cost_Prices]]*tblTransactions[[#This Row],[Quantity]]*(1-tblTransactions[[#This Row],[Discount]]))</f>
        <v>227.79310000000004</v>
      </c>
      <c r="N459" s="3">
        <f>tblTransactions[[#This Row],[Profit]]/tblTransactions[[#This Row],[Total_Amount]]</f>
        <v>0.40708597673213365</v>
      </c>
      <c r="O459" t="str">
        <f>TEXT(tblTransactions[[#This Row],[Date]], "MMM-YYYY")</f>
        <v>Apr-2023</v>
      </c>
      <c r="P459" t="str">
        <f>"Q"&amp;ROUNDUP(MONTH(tblTransactions[[#This Row],[Date]])/3,0)&amp;"-"&amp;YEAR(tblTransactions[[#This Row],[Date]])</f>
        <v>Q2-2023</v>
      </c>
      <c r="Q459">
        <f>YEAR(tblTransactions[[#This Row],[Date]])</f>
        <v>2023</v>
      </c>
      <c r="R459" t="str">
        <f>TEXT(tblTransactions[[#This Row],[Date]],"DDDD")</f>
        <v>Friday</v>
      </c>
      <c r="S459">
        <f>MONTH(tblTransactions[[#This Row],[Date]])</f>
        <v>4</v>
      </c>
      <c r="T459" t="str">
        <f>VLOOKUP(E459, Products!$A:$B,2,0)</f>
        <v>Adapters Acc-3</v>
      </c>
      <c r="U459" t="str">
        <f>VLOOKUP(E459,Products!$A:$C,3,0)</f>
        <v>Accessories</v>
      </c>
      <c r="V459" t="str">
        <f>VLOOKUP(E459,Products!$A:$D,4,0)</f>
        <v>Adapters</v>
      </c>
      <c r="W459" t="str">
        <f>VLOOKUP(D459,Customers!$A:$C,3,0)</f>
        <v>B2C</v>
      </c>
      <c r="X459" t="str">
        <f>VLOOKUP(C459,Sales_Representatives!$A:$B,2,0)</f>
        <v>Jennifer Brown</v>
      </c>
    </row>
    <row r="460" spans="1:24" x14ac:dyDescent="0.3">
      <c r="A460" t="s">
        <v>719</v>
      </c>
      <c r="B460" t="s">
        <v>720</v>
      </c>
      <c r="C460" t="s">
        <v>141</v>
      </c>
      <c r="D460" t="s">
        <v>156</v>
      </c>
      <c r="E460" t="s">
        <v>91</v>
      </c>
      <c r="F460">
        <v>15</v>
      </c>
      <c r="G460">
        <v>286.62</v>
      </c>
      <c r="H460">
        <v>0.12</v>
      </c>
      <c r="I460" s="4">
        <v>3783.38</v>
      </c>
      <c r="J460" t="s">
        <v>109</v>
      </c>
      <c r="K460" t="s">
        <v>48</v>
      </c>
      <c r="L460" s="4">
        <f>VLOOKUP(tblTransactions[[#This Row],[Product_ID]],tblProducts[],5,FALSE)</f>
        <v>145.54</v>
      </c>
      <c r="M460" s="4">
        <f>tblTransactions[[#This Row],[Total_Amount]]-(tblTransactions[[#This Row],[Cost_Prices]]*tblTransactions[[#This Row],[Quantity]]*(1-tblTransactions[[#This Row],[Discount]]))</f>
        <v>1862.2520000000002</v>
      </c>
      <c r="N460" s="3">
        <f>tblTransactions[[#This Row],[Profit]]/tblTransactions[[#This Row],[Total_Amount]]</f>
        <v>0.49221912681253271</v>
      </c>
      <c r="O460" t="str">
        <f>TEXT(tblTransactions[[#This Row],[Date]], "MMM-YYYY")</f>
        <v>Apr-2023</v>
      </c>
      <c r="P460" t="str">
        <f>"Q"&amp;ROUNDUP(MONTH(tblTransactions[[#This Row],[Date]])/3,0)&amp;"-"&amp;YEAR(tblTransactions[[#This Row],[Date]])</f>
        <v>Q2-2023</v>
      </c>
      <c r="Q460">
        <f>YEAR(tblTransactions[[#This Row],[Date]])</f>
        <v>2023</v>
      </c>
      <c r="R460" t="str">
        <f>TEXT(tblTransactions[[#This Row],[Date]],"DDDD")</f>
        <v>Saturday</v>
      </c>
      <c r="S460">
        <f>MONTH(tblTransactions[[#This Row],[Date]])</f>
        <v>4</v>
      </c>
      <c r="T460" t="str">
        <f>VLOOKUP(E460, Products!$A:$B,2,0)</f>
        <v>Chairs Fur-1</v>
      </c>
      <c r="U460" t="str">
        <f>VLOOKUP(E460,Products!$A:$C,3,0)</f>
        <v>Furniture</v>
      </c>
      <c r="V460" t="str">
        <f>VLOOKUP(E460,Products!$A:$D,4,0)</f>
        <v>Chairs</v>
      </c>
      <c r="W460" t="str">
        <f>VLOOKUP(D460,Customers!$A:$C,3,0)</f>
        <v>B2B</v>
      </c>
      <c r="X460" t="str">
        <f>VLOOKUP(C460,Sales_Representatives!$A:$B,2,0)</f>
        <v>Richard Garcia</v>
      </c>
    </row>
    <row r="461" spans="1:24" x14ac:dyDescent="0.3">
      <c r="A461" t="s">
        <v>721</v>
      </c>
      <c r="B461" t="s">
        <v>720</v>
      </c>
      <c r="C461" t="s">
        <v>41</v>
      </c>
      <c r="D461" t="s">
        <v>115</v>
      </c>
      <c r="E461" t="s">
        <v>435</v>
      </c>
      <c r="F461">
        <v>6</v>
      </c>
      <c r="G461">
        <v>198.72</v>
      </c>
      <c r="H461">
        <v>7.0000000000000007E-2</v>
      </c>
      <c r="I461" s="4">
        <v>1108.8599999999999</v>
      </c>
      <c r="J461" t="s">
        <v>44</v>
      </c>
      <c r="K461" t="s">
        <v>48</v>
      </c>
      <c r="L461" s="4">
        <f>VLOOKUP(tblTransactions[[#This Row],[Product_ID]],tblProducts[],5,FALSE)</f>
        <v>116.98</v>
      </c>
      <c r="M461" s="4">
        <f>tblTransactions[[#This Row],[Total_Amount]]-(tblTransactions[[#This Row],[Cost_Prices]]*tblTransactions[[#This Row],[Quantity]]*(1-tblTransactions[[#This Row],[Discount]]))</f>
        <v>456.11159999999995</v>
      </c>
      <c r="N461" s="3">
        <f>tblTransactions[[#This Row],[Profit]]/tblTransactions[[#This Row],[Total_Amount]]</f>
        <v>0.4113338022834262</v>
      </c>
      <c r="O461" t="str">
        <f>TEXT(tblTransactions[[#This Row],[Date]], "MMM-YYYY")</f>
        <v>Apr-2023</v>
      </c>
      <c r="P461" t="str">
        <f>"Q"&amp;ROUNDUP(MONTH(tblTransactions[[#This Row],[Date]])/3,0)&amp;"-"&amp;YEAR(tblTransactions[[#This Row],[Date]])</f>
        <v>Q2-2023</v>
      </c>
      <c r="Q461">
        <f>YEAR(tblTransactions[[#This Row],[Date]])</f>
        <v>2023</v>
      </c>
      <c r="R461" t="str">
        <f>TEXT(tblTransactions[[#This Row],[Date]],"DDDD")</f>
        <v>Saturday</v>
      </c>
      <c r="S461">
        <f>MONTH(tblTransactions[[#This Row],[Date]])</f>
        <v>4</v>
      </c>
      <c r="T461" t="str">
        <f>VLOOKUP(E461, Products!$A:$B,2,0)</f>
        <v>Paper Off-4</v>
      </c>
      <c r="U461" t="str">
        <f>VLOOKUP(E461,Products!$A:$C,3,0)</f>
        <v>Office Supplies</v>
      </c>
      <c r="V461" t="str">
        <f>VLOOKUP(E461,Products!$A:$D,4,0)</f>
        <v>Paper</v>
      </c>
      <c r="W461" t="str">
        <f>VLOOKUP(D461,Customers!$A:$C,3,0)</f>
        <v>B2C</v>
      </c>
      <c r="X461" t="str">
        <f>VLOOKUP(C461,Sales_Representatives!$A:$B,2,0)</f>
        <v>Robert Jones</v>
      </c>
    </row>
    <row r="462" spans="1:24" x14ac:dyDescent="0.3">
      <c r="A462" t="s">
        <v>722</v>
      </c>
      <c r="B462" t="s">
        <v>720</v>
      </c>
      <c r="C462" t="s">
        <v>75</v>
      </c>
      <c r="D462" t="s">
        <v>64</v>
      </c>
      <c r="E462" t="s">
        <v>264</v>
      </c>
      <c r="F462">
        <v>7</v>
      </c>
      <c r="G462">
        <v>607.29999999999995</v>
      </c>
      <c r="H462">
        <v>0.09</v>
      </c>
      <c r="I462" s="4">
        <v>3868.5</v>
      </c>
      <c r="J462" t="s">
        <v>44</v>
      </c>
      <c r="K462" t="s">
        <v>35</v>
      </c>
      <c r="L462" s="4">
        <f>VLOOKUP(tblTransactions[[#This Row],[Product_ID]],tblProducts[],5,FALSE)</f>
        <v>436.37</v>
      </c>
      <c r="M462" s="4">
        <f>tblTransactions[[#This Row],[Total_Amount]]-(tblTransactions[[#This Row],[Cost_Prices]]*tblTransactions[[#This Row],[Quantity]]*(1-tblTransactions[[#This Row],[Discount]]))</f>
        <v>1088.8230999999996</v>
      </c>
      <c r="N462" s="3">
        <f>tblTransactions[[#This Row],[Profit]]/tblTransactions[[#This Row],[Total_Amount]]</f>
        <v>0.2814587307742018</v>
      </c>
      <c r="O462" t="str">
        <f>TEXT(tblTransactions[[#This Row],[Date]], "MMM-YYYY")</f>
        <v>Apr-2023</v>
      </c>
      <c r="P462" t="str">
        <f>"Q"&amp;ROUNDUP(MONTH(tblTransactions[[#This Row],[Date]])/3,0)&amp;"-"&amp;YEAR(tblTransactions[[#This Row],[Date]])</f>
        <v>Q2-2023</v>
      </c>
      <c r="Q462">
        <f>YEAR(tblTransactions[[#This Row],[Date]])</f>
        <v>2023</v>
      </c>
      <c r="R462" t="str">
        <f>TEXT(tblTransactions[[#This Row],[Date]],"DDDD")</f>
        <v>Saturday</v>
      </c>
      <c r="S462">
        <f>MONTH(tblTransactions[[#This Row],[Date]])</f>
        <v>4</v>
      </c>
      <c r="T462" t="str">
        <f>VLOOKUP(E462, Products!$A:$B,2,0)</f>
        <v>Tablets Ele-4</v>
      </c>
      <c r="U462" t="str">
        <f>VLOOKUP(E462,Products!$A:$C,3,0)</f>
        <v>Electronics</v>
      </c>
      <c r="V462" t="str">
        <f>VLOOKUP(E462,Products!$A:$D,4,0)</f>
        <v>Tablets</v>
      </c>
      <c r="W462" t="str">
        <f>VLOOKUP(D462,Customers!$A:$C,3,0)</f>
        <v>Small Business</v>
      </c>
      <c r="X462" t="str">
        <f>VLOOKUP(C462,Sales_Representatives!$A:$B,2,0)</f>
        <v>Jessica Anderson</v>
      </c>
    </row>
    <row r="463" spans="1:24" x14ac:dyDescent="0.3">
      <c r="A463" t="s">
        <v>723</v>
      </c>
      <c r="B463" t="s">
        <v>724</v>
      </c>
      <c r="C463" t="s">
        <v>19</v>
      </c>
      <c r="D463" t="s">
        <v>42</v>
      </c>
      <c r="E463" t="s">
        <v>310</v>
      </c>
      <c r="F463">
        <v>5</v>
      </c>
      <c r="G463">
        <v>274.13</v>
      </c>
      <c r="H463">
        <v>0.08</v>
      </c>
      <c r="I463" s="4">
        <v>1261</v>
      </c>
      <c r="J463" t="s">
        <v>21</v>
      </c>
      <c r="K463" t="s">
        <v>39</v>
      </c>
      <c r="L463" s="4">
        <f>VLOOKUP(tblTransactions[[#This Row],[Product_ID]],tblProducts[],5,FALSE)</f>
        <v>134.41999999999999</v>
      </c>
      <c r="M463" s="4">
        <f>tblTransactions[[#This Row],[Total_Amount]]-(tblTransactions[[#This Row],[Cost_Prices]]*tblTransactions[[#This Row],[Quantity]]*(1-tblTransactions[[#This Row],[Discount]]))</f>
        <v>642.66800000000001</v>
      </c>
      <c r="N463" s="3">
        <f>tblTransactions[[#This Row],[Profit]]/tblTransactions[[#This Row],[Total_Amount]]</f>
        <v>0.5096494845360825</v>
      </c>
      <c r="O463" t="str">
        <f>TEXT(tblTransactions[[#This Row],[Date]], "MMM-YYYY")</f>
        <v>Apr-2023</v>
      </c>
      <c r="P463" t="str">
        <f>"Q"&amp;ROUNDUP(MONTH(tblTransactions[[#This Row],[Date]])/3,0)&amp;"-"&amp;YEAR(tblTransactions[[#This Row],[Date]])</f>
        <v>Q2-2023</v>
      </c>
      <c r="Q463">
        <f>YEAR(tblTransactions[[#This Row],[Date]])</f>
        <v>2023</v>
      </c>
      <c r="R463" t="str">
        <f>TEXT(tblTransactions[[#This Row],[Date]],"DDDD")</f>
        <v>Sunday</v>
      </c>
      <c r="S463">
        <f>MONTH(tblTransactions[[#This Row],[Date]])</f>
        <v>4</v>
      </c>
      <c r="T463" t="str">
        <f>VLOOKUP(E463, Products!$A:$B,2,0)</f>
        <v>Adapters Acc-4</v>
      </c>
      <c r="U463" t="str">
        <f>VLOOKUP(E463,Products!$A:$C,3,0)</f>
        <v>Accessories</v>
      </c>
      <c r="V463" t="str">
        <f>VLOOKUP(E463,Products!$A:$D,4,0)</f>
        <v>Adapters</v>
      </c>
      <c r="W463" t="str">
        <f>VLOOKUP(D463,Customers!$A:$C,3,0)</f>
        <v>B2C</v>
      </c>
      <c r="X463" t="str">
        <f>VLOOKUP(C463,Sales_Representatives!$A:$B,2,0)</f>
        <v>Robert Jones</v>
      </c>
    </row>
    <row r="464" spans="1:24" x14ac:dyDescent="0.3">
      <c r="A464" t="s">
        <v>725</v>
      </c>
      <c r="B464" t="s">
        <v>724</v>
      </c>
      <c r="C464" t="s">
        <v>70</v>
      </c>
      <c r="D464" t="s">
        <v>42</v>
      </c>
      <c r="E464" t="s">
        <v>206</v>
      </c>
      <c r="F464">
        <v>5</v>
      </c>
      <c r="G464">
        <v>292.51</v>
      </c>
      <c r="H464">
        <v>0.02</v>
      </c>
      <c r="I464" s="4">
        <v>1433.3</v>
      </c>
      <c r="J464" t="s">
        <v>16</v>
      </c>
      <c r="K464" t="s">
        <v>35</v>
      </c>
      <c r="L464" s="4">
        <f>VLOOKUP(tblTransactions[[#This Row],[Product_ID]],tblProducts[],5,FALSE)</f>
        <v>122.08</v>
      </c>
      <c r="M464" s="4">
        <f>tblTransactions[[#This Row],[Total_Amount]]-(tblTransactions[[#This Row],[Cost_Prices]]*tblTransactions[[#This Row],[Quantity]]*(1-tblTransactions[[#This Row],[Discount]]))</f>
        <v>835.10799999999995</v>
      </c>
      <c r="N464" s="3">
        <f>tblTransactions[[#This Row],[Profit]]/tblTransactions[[#This Row],[Total_Amount]]</f>
        <v>0.58264703830321629</v>
      </c>
      <c r="O464" t="str">
        <f>TEXT(tblTransactions[[#This Row],[Date]], "MMM-YYYY")</f>
        <v>Apr-2023</v>
      </c>
      <c r="P464" t="str">
        <f>"Q"&amp;ROUNDUP(MONTH(tblTransactions[[#This Row],[Date]])/3,0)&amp;"-"&amp;YEAR(tblTransactions[[#This Row],[Date]])</f>
        <v>Q2-2023</v>
      </c>
      <c r="Q464">
        <f>YEAR(tblTransactions[[#This Row],[Date]])</f>
        <v>2023</v>
      </c>
      <c r="R464" t="str">
        <f>TEXT(tblTransactions[[#This Row],[Date]],"DDDD")</f>
        <v>Sunday</v>
      </c>
      <c r="S464">
        <f>MONTH(tblTransactions[[#This Row],[Date]])</f>
        <v>4</v>
      </c>
      <c r="T464" t="str">
        <f>VLOOKUP(E464, Products!$A:$B,2,0)</f>
        <v>Keyboards Acc-1</v>
      </c>
      <c r="U464" t="str">
        <f>VLOOKUP(E464,Products!$A:$C,3,0)</f>
        <v>Accessories</v>
      </c>
      <c r="V464" t="str">
        <f>VLOOKUP(E464,Products!$A:$D,4,0)</f>
        <v>Keyboards</v>
      </c>
      <c r="W464" t="str">
        <f>VLOOKUP(D464,Customers!$A:$C,3,0)</f>
        <v>B2C</v>
      </c>
      <c r="X464" t="str">
        <f>VLOOKUP(C464,Sales_Representatives!$A:$B,2,0)</f>
        <v>Linda Smith</v>
      </c>
    </row>
    <row r="465" spans="1:24" x14ac:dyDescent="0.3">
      <c r="A465" t="s">
        <v>726</v>
      </c>
      <c r="B465" t="s">
        <v>724</v>
      </c>
      <c r="C465" t="s">
        <v>31</v>
      </c>
      <c r="D465" t="s">
        <v>83</v>
      </c>
      <c r="E465" t="s">
        <v>394</v>
      </c>
      <c r="F465">
        <v>4</v>
      </c>
      <c r="G465">
        <v>314.69</v>
      </c>
      <c r="H465">
        <v>0.08</v>
      </c>
      <c r="I465" s="4">
        <v>1158.06</v>
      </c>
      <c r="J465" t="s">
        <v>34</v>
      </c>
      <c r="K465" t="s">
        <v>39</v>
      </c>
      <c r="L465" s="4">
        <f>VLOOKUP(tblTransactions[[#This Row],[Product_ID]],tblProducts[],5,FALSE)</f>
        <v>185.43</v>
      </c>
      <c r="M465" s="4">
        <f>tblTransactions[[#This Row],[Total_Amount]]-(tblTransactions[[#This Row],[Cost_Prices]]*tblTransactions[[#This Row],[Quantity]]*(1-tblTransactions[[#This Row],[Discount]]))</f>
        <v>475.67759999999987</v>
      </c>
      <c r="N465" s="3">
        <f>tblTransactions[[#This Row],[Profit]]/tblTransactions[[#This Row],[Total_Amount]]</f>
        <v>0.41075384695093509</v>
      </c>
      <c r="O465" t="str">
        <f>TEXT(tblTransactions[[#This Row],[Date]], "MMM-YYYY")</f>
        <v>Apr-2023</v>
      </c>
      <c r="P465" t="str">
        <f>"Q"&amp;ROUNDUP(MONTH(tblTransactions[[#This Row],[Date]])/3,0)&amp;"-"&amp;YEAR(tblTransactions[[#This Row],[Date]])</f>
        <v>Q2-2023</v>
      </c>
      <c r="Q465">
        <f>YEAR(tblTransactions[[#This Row],[Date]])</f>
        <v>2023</v>
      </c>
      <c r="R465" t="str">
        <f>TEXT(tblTransactions[[#This Row],[Date]],"DDDD")</f>
        <v>Sunday</v>
      </c>
      <c r="S465">
        <f>MONTH(tblTransactions[[#This Row],[Date]])</f>
        <v>4</v>
      </c>
      <c r="T465" t="str">
        <f>VLOOKUP(E465, Products!$A:$B,2,0)</f>
        <v>Desks Fur-1</v>
      </c>
      <c r="U465" t="str">
        <f>VLOOKUP(E465,Products!$A:$C,3,0)</f>
        <v>Furniture</v>
      </c>
      <c r="V465" t="str">
        <f>VLOOKUP(E465,Products!$A:$D,4,0)</f>
        <v>Desks</v>
      </c>
      <c r="W465" t="str">
        <f>VLOOKUP(D465,Customers!$A:$C,3,0)</f>
        <v>Small Business</v>
      </c>
      <c r="X465" t="str">
        <f>VLOOKUP(C465,Sales_Representatives!$A:$B,2,0)</f>
        <v>Thomas Martinez</v>
      </c>
    </row>
    <row r="466" spans="1:24" x14ac:dyDescent="0.3">
      <c r="A466" t="s">
        <v>727</v>
      </c>
      <c r="B466" t="s">
        <v>728</v>
      </c>
      <c r="C466" t="s">
        <v>41</v>
      </c>
      <c r="D466" t="s">
        <v>42</v>
      </c>
      <c r="E466" t="s">
        <v>299</v>
      </c>
      <c r="F466">
        <v>2</v>
      </c>
      <c r="G466">
        <v>963.44</v>
      </c>
      <c r="H466">
        <v>0.04</v>
      </c>
      <c r="I466" s="4">
        <v>1849.8</v>
      </c>
      <c r="J466" t="s">
        <v>44</v>
      </c>
      <c r="K466" t="s">
        <v>17</v>
      </c>
      <c r="L466" s="4">
        <f>VLOOKUP(tblTransactions[[#This Row],[Product_ID]],tblProducts[],5,FALSE)</f>
        <v>578.96</v>
      </c>
      <c r="M466" s="4">
        <f>tblTransactions[[#This Row],[Total_Amount]]-(tblTransactions[[#This Row],[Cost_Prices]]*tblTransactions[[#This Row],[Quantity]]*(1-tblTransactions[[#This Row],[Discount]]))</f>
        <v>738.19679999999994</v>
      </c>
      <c r="N466" s="3">
        <f>tblTransactions[[#This Row],[Profit]]/tblTransactions[[#This Row],[Total_Amount]]</f>
        <v>0.39906843983133311</v>
      </c>
      <c r="O466" t="str">
        <f>TEXT(tblTransactions[[#This Row],[Date]], "MMM-YYYY")</f>
        <v>Apr-2023</v>
      </c>
      <c r="P466" t="str">
        <f>"Q"&amp;ROUNDUP(MONTH(tblTransactions[[#This Row],[Date]])/3,0)&amp;"-"&amp;YEAR(tblTransactions[[#This Row],[Date]])</f>
        <v>Q2-2023</v>
      </c>
      <c r="Q466">
        <f>YEAR(tblTransactions[[#This Row],[Date]])</f>
        <v>2023</v>
      </c>
      <c r="R466" t="str">
        <f>TEXT(tblTransactions[[#This Row],[Date]],"DDDD")</f>
        <v>Monday</v>
      </c>
      <c r="S466">
        <f>MONTH(tblTransactions[[#This Row],[Date]])</f>
        <v>4</v>
      </c>
      <c r="T466" t="str">
        <f>VLOOKUP(E466, Products!$A:$B,2,0)</f>
        <v>Chairs Fur-4</v>
      </c>
      <c r="U466" t="str">
        <f>VLOOKUP(E466,Products!$A:$C,3,0)</f>
        <v>Furniture</v>
      </c>
      <c r="V466" t="str">
        <f>VLOOKUP(E466,Products!$A:$D,4,0)</f>
        <v>Chairs</v>
      </c>
      <c r="W466" t="str">
        <f>VLOOKUP(D466,Customers!$A:$C,3,0)</f>
        <v>B2C</v>
      </c>
      <c r="X466" t="str">
        <f>VLOOKUP(C466,Sales_Representatives!$A:$B,2,0)</f>
        <v>Robert Jones</v>
      </c>
    </row>
    <row r="467" spans="1:24" x14ac:dyDescent="0.3">
      <c r="A467" t="s">
        <v>729</v>
      </c>
      <c r="B467" t="s">
        <v>728</v>
      </c>
      <c r="C467" t="s">
        <v>127</v>
      </c>
      <c r="D467" t="s">
        <v>203</v>
      </c>
      <c r="E467" t="s">
        <v>15</v>
      </c>
      <c r="F467">
        <v>14</v>
      </c>
      <c r="G467">
        <v>477.48</v>
      </c>
      <c r="H467">
        <v>0.19</v>
      </c>
      <c r="I467" s="4">
        <v>5414.62</v>
      </c>
      <c r="J467" t="s">
        <v>109</v>
      </c>
      <c r="K467" t="s">
        <v>35</v>
      </c>
      <c r="L467" s="4">
        <f>VLOOKUP(tblTransactions[[#This Row],[Product_ID]],tblProducts[],5,FALSE)</f>
        <v>275.51</v>
      </c>
      <c r="M467" s="4">
        <f>tblTransactions[[#This Row],[Total_Amount]]-(tblTransactions[[#This Row],[Cost_Prices]]*tblTransactions[[#This Row],[Quantity]]*(1-tblTransactions[[#This Row],[Discount]]))</f>
        <v>2290.3365999999996</v>
      </c>
      <c r="N467" s="3">
        <f>tblTransactions[[#This Row],[Profit]]/tblTransactions[[#This Row],[Total_Amount]]</f>
        <v>0.42299119790493139</v>
      </c>
      <c r="O467" t="str">
        <f>TEXT(tblTransactions[[#This Row],[Date]], "MMM-YYYY")</f>
        <v>Apr-2023</v>
      </c>
      <c r="P467" t="str">
        <f>"Q"&amp;ROUNDUP(MONTH(tblTransactions[[#This Row],[Date]])/3,0)&amp;"-"&amp;YEAR(tblTransactions[[#This Row],[Date]])</f>
        <v>Q2-2023</v>
      </c>
      <c r="Q467">
        <f>YEAR(tblTransactions[[#This Row],[Date]])</f>
        <v>2023</v>
      </c>
      <c r="R467" t="str">
        <f>TEXT(tblTransactions[[#This Row],[Date]],"DDDD")</f>
        <v>Monday</v>
      </c>
      <c r="S467">
        <f>MONTH(tblTransactions[[#This Row],[Date]])</f>
        <v>4</v>
      </c>
      <c r="T467" t="str">
        <f>VLOOKUP(E467, Products!$A:$B,2,0)</f>
        <v>Laptops Ele-4</v>
      </c>
      <c r="U467" t="str">
        <f>VLOOKUP(E467,Products!$A:$C,3,0)</f>
        <v>Electronics</v>
      </c>
      <c r="V467" t="str">
        <f>VLOOKUP(E467,Products!$A:$D,4,0)</f>
        <v>Laptops</v>
      </c>
      <c r="W467" t="str">
        <f>VLOOKUP(D467,Customers!$A:$C,3,0)</f>
        <v>Enterprise</v>
      </c>
      <c r="X467" t="str">
        <f>VLOOKUP(C467,Sales_Representatives!$A:$B,2,0)</f>
        <v>Emily Hernandez</v>
      </c>
    </row>
    <row r="468" spans="1:24" x14ac:dyDescent="0.3">
      <c r="A468" t="s">
        <v>730</v>
      </c>
      <c r="B468" t="s">
        <v>728</v>
      </c>
      <c r="C468" t="s">
        <v>75</v>
      </c>
      <c r="D468" t="s">
        <v>112</v>
      </c>
      <c r="E468" t="s">
        <v>38</v>
      </c>
      <c r="F468">
        <v>15</v>
      </c>
      <c r="G468">
        <v>581.47</v>
      </c>
      <c r="H468">
        <v>0.19</v>
      </c>
      <c r="I468" s="4">
        <v>7064.86</v>
      </c>
      <c r="J468" t="s">
        <v>44</v>
      </c>
      <c r="K468" t="s">
        <v>48</v>
      </c>
      <c r="L468" s="4">
        <f>VLOOKUP(tblTransactions[[#This Row],[Product_ID]],tblProducts[],5,FALSE)</f>
        <v>372.07</v>
      </c>
      <c r="M468" s="4">
        <f>tblTransactions[[#This Row],[Total_Amount]]-(tblTransactions[[#This Row],[Cost_Prices]]*tblTransactions[[#This Row],[Quantity]]*(1-tblTransactions[[#This Row],[Discount]]))</f>
        <v>2544.209499999999</v>
      </c>
      <c r="N468" s="3">
        <f>tblTransactions[[#This Row],[Profit]]/tblTransactions[[#This Row],[Total_Amount]]</f>
        <v>0.3601217150799873</v>
      </c>
      <c r="O468" t="str">
        <f>TEXT(tblTransactions[[#This Row],[Date]], "MMM-YYYY")</f>
        <v>Apr-2023</v>
      </c>
      <c r="P468" t="str">
        <f>"Q"&amp;ROUNDUP(MONTH(tblTransactions[[#This Row],[Date]])/3,0)&amp;"-"&amp;YEAR(tblTransactions[[#This Row],[Date]])</f>
        <v>Q2-2023</v>
      </c>
      <c r="Q468">
        <f>YEAR(tblTransactions[[#This Row],[Date]])</f>
        <v>2023</v>
      </c>
      <c r="R468" t="str">
        <f>TEXT(tblTransactions[[#This Row],[Date]],"DDDD")</f>
        <v>Monday</v>
      </c>
      <c r="S468">
        <f>MONTH(tblTransactions[[#This Row],[Date]])</f>
        <v>4</v>
      </c>
      <c r="T468" t="str">
        <f>VLOOKUP(E468, Products!$A:$B,2,0)</f>
        <v>Storage Fur-3</v>
      </c>
      <c r="U468" t="str">
        <f>VLOOKUP(E468,Products!$A:$C,3,0)</f>
        <v>Furniture</v>
      </c>
      <c r="V468" t="str">
        <f>VLOOKUP(E468,Products!$A:$D,4,0)</f>
        <v>Storage</v>
      </c>
      <c r="W468" t="str">
        <f>VLOOKUP(D468,Customers!$A:$C,3,0)</f>
        <v>Enterprise</v>
      </c>
      <c r="X468" t="str">
        <f>VLOOKUP(C468,Sales_Representatives!$A:$B,2,0)</f>
        <v>Jessica Anderson</v>
      </c>
    </row>
    <row r="469" spans="1:24" x14ac:dyDescent="0.3">
      <c r="A469" t="s">
        <v>731</v>
      </c>
      <c r="B469" t="s">
        <v>732</v>
      </c>
      <c r="C469" t="s">
        <v>27</v>
      </c>
      <c r="D469" t="s">
        <v>144</v>
      </c>
      <c r="E469" t="s">
        <v>370</v>
      </c>
      <c r="F469">
        <v>5</v>
      </c>
      <c r="G469">
        <v>238.95</v>
      </c>
      <c r="H469">
        <v>0.08</v>
      </c>
      <c r="I469" s="4">
        <v>1099.17</v>
      </c>
      <c r="J469" t="s">
        <v>16</v>
      </c>
      <c r="K469" t="s">
        <v>35</v>
      </c>
      <c r="L469" s="4">
        <f>VLOOKUP(tblTransactions[[#This Row],[Product_ID]],tblProducts[],5,FALSE)</f>
        <v>136.6</v>
      </c>
      <c r="M469" s="4">
        <f>tblTransactions[[#This Row],[Total_Amount]]-(tblTransactions[[#This Row],[Cost_Prices]]*tblTransactions[[#This Row],[Quantity]]*(1-tblTransactions[[#This Row],[Discount]]))</f>
        <v>470.81000000000006</v>
      </c>
      <c r="N469" s="3">
        <f>tblTransactions[[#This Row],[Profit]]/tblTransactions[[#This Row],[Total_Amount]]</f>
        <v>0.42833228708934928</v>
      </c>
      <c r="O469" t="str">
        <f>TEXT(tblTransactions[[#This Row],[Date]], "MMM-YYYY")</f>
        <v>Apr-2023</v>
      </c>
      <c r="P469" t="str">
        <f>"Q"&amp;ROUNDUP(MONTH(tblTransactions[[#This Row],[Date]])/3,0)&amp;"-"&amp;YEAR(tblTransactions[[#This Row],[Date]])</f>
        <v>Q2-2023</v>
      </c>
      <c r="Q469">
        <f>YEAR(tblTransactions[[#This Row],[Date]])</f>
        <v>2023</v>
      </c>
      <c r="R469" t="str">
        <f>TEXT(tblTransactions[[#This Row],[Date]],"DDDD")</f>
        <v>Tuesday</v>
      </c>
      <c r="S469">
        <f>MONTH(tblTransactions[[#This Row],[Date]])</f>
        <v>4</v>
      </c>
      <c r="T469" t="str">
        <f>VLOOKUP(E469, Products!$A:$B,2,0)</f>
        <v>Cables Acc-1</v>
      </c>
      <c r="U469" t="str">
        <f>VLOOKUP(E469,Products!$A:$C,3,0)</f>
        <v>Accessories</v>
      </c>
      <c r="V469" t="str">
        <f>VLOOKUP(E469,Products!$A:$D,4,0)</f>
        <v>Cables</v>
      </c>
      <c r="W469" t="str">
        <f>VLOOKUP(D469,Customers!$A:$C,3,0)</f>
        <v>B2C</v>
      </c>
      <c r="X469" t="str">
        <f>VLOOKUP(C469,Sales_Representatives!$A:$B,2,0)</f>
        <v>Thomas Lopez</v>
      </c>
    </row>
    <row r="470" spans="1:24" x14ac:dyDescent="0.3">
      <c r="A470" t="s">
        <v>733</v>
      </c>
      <c r="B470" t="s">
        <v>732</v>
      </c>
      <c r="C470" t="s">
        <v>82</v>
      </c>
      <c r="D470" t="s">
        <v>197</v>
      </c>
      <c r="E470" t="s">
        <v>89</v>
      </c>
      <c r="F470">
        <v>37</v>
      </c>
      <c r="G470">
        <v>555.08000000000004</v>
      </c>
      <c r="H470">
        <v>0.23</v>
      </c>
      <c r="I470" s="4">
        <v>15814.23</v>
      </c>
      <c r="J470" t="s">
        <v>34</v>
      </c>
      <c r="K470" t="s">
        <v>17</v>
      </c>
      <c r="L470" s="4">
        <f>VLOOKUP(tblTransactions[[#This Row],[Product_ID]],tblProducts[],5,FALSE)</f>
        <v>402.82</v>
      </c>
      <c r="M470" s="4">
        <f>tblTransactions[[#This Row],[Total_Amount]]-(tblTransactions[[#This Row],[Cost_Prices]]*tblTransactions[[#This Row],[Quantity]]*(1-tblTransactions[[#This Row],[Discount]]))</f>
        <v>4337.8881999999994</v>
      </c>
      <c r="N470" s="3">
        <f>tblTransactions[[#This Row],[Profit]]/tblTransactions[[#This Row],[Total_Amount]]</f>
        <v>0.27430283991063742</v>
      </c>
      <c r="O470" t="str">
        <f>TEXT(tblTransactions[[#This Row],[Date]], "MMM-YYYY")</f>
        <v>Apr-2023</v>
      </c>
      <c r="P470" t="str">
        <f>"Q"&amp;ROUNDUP(MONTH(tblTransactions[[#This Row],[Date]])/3,0)&amp;"-"&amp;YEAR(tblTransactions[[#This Row],[Date]])</f>
        <v>Q2-2023</v>
      </c>
      <c r="Q470">
        <f>YEAR(tblTransactions[[#This Row],[Date]])</f>
        <v>2023</v>
      </c>
      <c r="R470" t="str">
        <f>TEXT(tblTransactions[[#This Row],[Date]],"DDDD")</f>
        <v>Tuesday</v>
      </c>
      <c r="S470">
        <f>MONTH(tblTransactions[[#This Row],[Date]])</f>
        <v>4</v>
      </c>
      <c r="T470" t="str">
        <f>VLOOKUP(E470, Products!$A:$B,2,0)</f>
        <v>Laptops Ele-3</v>
      </c>
      <c r="U470" t="str">
        <f>VLOOKUP(E470,Products!$A:$C,3,0)</f>
        <v>Electronics</v>
      </c>
      <c r="V470" t="str">
        <f>VLOOKUP(E470,Products!$A:$D,4,0)</f>
        <v>Laptops</v>
      </c>
      <c r="W470" t="str">
        <f>VLOOKUP(D470,Customers!$A:$C,3,0)</f>
        <v>Enterprise</v>
      </c>
      <c r="X470" t="str">
        <f>VLOOKUP(C470,Sales_Representatives!$A:$B,2,0)</f>
        <v>John Brown</v>
      </c>
    </row>
    <row r="471" spans="1:24" x14ac:dyDescent="0.3">
      <c r="A471" t="s">
        <v>734</v>
      </c>
      <c r="B471" t="s">
        <v>732</v>
      </c>
      <c r="C471" t="s">
        <v>59</v>
      </c>
      <c r="D471" t="s">
        <v>71</v>
      </c>
      <c r="E471" t="s">
        <v>200</v>
      </c>
      <c r="F471">
        <v>11</v>
      </c>
      <c r="G471">
        <v>544.77</v>
      </c>
      <c r="H471">
        <v>0.16</v>
      </c>
      <c r="I471" s="4">
        <v>5033.67</v>
      </c>
      <c r="J471" t="s">
        <v>21</v>
      </c>
      <c r="K471" t="s">
        <v>48</v>
      </c>
      <c r="L471" s="4">
        <f>VLOOKUP(tblTransactions[[#This Row],[Product_ID]],tblProducts[],5,FALSE)</f>
        <v>318.2</v>
      </c>
      <c r="M471" s="4">
        <f>tblTransactions[[#This Row],[Total_Amount]]-(tblTransactions[[#This Row],[Cost_Prices]]*tblTransactions[[#This Row],[Quantity]]*(1-tblTransactions[[#This Row],[Discount]]))</f>
        <v>2093.5020000000004</v>
      </c>
      <c r="N471" s="3">
        <f>tblTransactions[[#This Row],[Profit]]/tblTransactions[[#This Row],[Total_Amount]]</f>
        <v>0.41589973121003171</v>
      </c>
      <c r="O471" t="str">
        <f>TEXT(tblTransactions[[#This Row],[Date]], "MMM-YYYY")</f>
        <v>Apr-2023</v>
      </c>
      <c r="P471" t="str">
        <f>"Q"&amp;ROUNDUP(MONTH(tblTransactions[[#This Row],[Date]])/3,0)&amp;"-"&amp;YEAR(tblTransactions[[#This Row],[Date]])</f>
        <v>Q2-2023</v>
      </c>
      <c r="Q471">
        <f>YEAR(tblTransactions[[#This Row],[Date]])</f>
        <v>2023</v>
      </c>
      <c r="R471" t="str">
        <f>TEXT(tblTransactions[[#This Row],[Date]],"DDDD")</f>
        <v>Tuesday</v>
      </c>
      <c r="S471">
        <f>MONTH(tblTransactions[[#This Row],[Date]])</f>
        <v>4</v>
      </c>
      <c r="T471" t="str">
        <f>VLOOKUP(E471, Products!$A:$B,2,0)</f>
        <v>Desks Fur-4</v>
      </c>
      <c r="U471" t="str">
        <f>VLOOKUP(E471,Products!$A:$C,3,0)</f>
        <v>Furniture</v>
      </c>
      <c r="V471" t="str">
        <f>VLOOKUP(E471,Products!$A:$D,4,0)</f>
        <v>Desks</v>
      </c>
      <c r="W471" t="str">
        <f>VLOOKUP(D471,Customers!$A:$C,3,0)</f>
        <v>B2B</v>
      </c>
      <c r="X471" t="str">
        <f>VLOOKUP(C471,Sales_Representatives!$A:$B,2,0)</f>
        <v>Sarah Brown</v>
      </c>
    </row>
    <row r="472" spans="1:24" x14ac:dyDescent="0.3">
      <c r="A472" t="s">
        <v>735</v>
      </c>
      <c r="B472" t="s">
        <v>732</v>
      </c>
      <c r="C472" t="s">
        <v>75</v>
      </c>
      <c r="D472" t="s">
        <v>128</v>
      </c>
      <c r="E472" t="s">
        <v>137</v>
      </c>
      <c r="F472">
        <v>15</v>
      </c>
      <c r="G472">
        <v>241.39</v>
      </c>
      <c r="H472">
        <v>0.14000000000000001</v>
      </c>
      <c r="I472" s="4">
        <v>3113.93</v>
      </c>
      <c r="J472" t="s">
        <v>44</v>
      </c>
      <c r="K472" t="s">
        <v>39</v>
      </c>
      <c r="L472" s="4">
        <f>VLOOKUP(tblTransactions[[#This Row],[Product_ID]],tblProducts[],5,FALSE)</f>
        <v>124.07</v>
      </c>
      <c r="M472" s="4">
        <f>tblTransactions[[#This Row],[Total_Amount]]-(tblTransactions[[#This Row],[Cost_Prices]]*tblTransactions[[#This Row],[Quantity]]*(1-tblTransactions[[#This Row],[Discount]]))</f>
        <v>1513.4269999999999</v>
      </c>
      <c r="N472" s="3">
        <f>tblTransactions[[#This Row],[Profit]]/tblTransactions[[#This Row],[Total_Amount]]</f>
        <v>0.48601831126582806</v>
      </c>
      <c r="O472" t="str">
        <f>TEXT(tblTransactions[[#This Row],[Date]], "MMM-YYYY")</f>
        <v>Apr-2023</v>
      </c>
      <c r="P472" t="str">
        <f>"Q"&amp;ROUNDUP(MONTH(tblTransactions[[#This Row],[Date]])/3,0)&amp;"-"&amp;YEAR(tblTransactions[[#This Row],[Date]])</f>
        <v>Q2-2023</v>
      </c>
      <c r="Q472">
        <f>YEAR(tblTransactions[[#This Row],[Date]])</f>
        <v>2023</v>
      </c>
      <c r="R472" t="str">
        <f>TEXT(tblTransactions[[#This Row],[Date]],"DDDD")</f>
        <v>Tuesday</v>
      </c>
      <c r="S472">
        <f>MONTH(tblTransactions[[#This Row],[Date]])</f>
        <v>4</v>
      </c>
      <c r="T472" t="str">
        <f>VLOOKUP(E472, Products!$A:$B,2,0)</f>
        <v>Desks Fur-2</v>
      </c>
      <c r="U472" t="str">
        <f>VLOOKUP(E472,Products!$A:$C,3,0)</f>
        <v>Furniture</v>
      </c>
      <c r="V472" t="str">
        <f>VLOOKUP(E472,Products!$A:$D,4,0)</f>
        <v>Desks</v>
      </c>
      <c r="W472" t="str">
        <f>VLOOKUP(D472,Customers!$A:$C,3,0)</f>
        <v>B2B</v>
      </c>
      <c r="X472" t="str">
        <f>VLOOKUP(C472,Sales_Representatives!$A:$B,2,0)</f>
        <v>Jessica Anderson</v>
      </c>
    </row>
    <row r="473" spans="1:24" x14ac:dyDescent="0.3">
      <c r="A473" t="s">
        <v>736</v>
      </c>
      <c r="B473" t="s">
        <v>732</v>
      </c>
      <c r="C473" t="s">
        <v>19</v>
      </c>
      <c r="D473" t="s">
        <v>237</v>
      </c>
      <c r="E473" t="s">
        <v>72</v>
      </c>
      <c r="F473">
        <v>9</v>
      </c>
      <c r="G473">
        <v>404.76</v>
      </c>
      <c r="H473">
        <v>0.13</v>
      </c>
      <c r="I473" s="4">
        <v>3169.27</v>
      </c>
      <c r="J473" t="s">
        <v>21</v>
      </c>
      <c r="K473" t="s">
        <v>48</v>
      </c>
      <c r="L473" s="4">
        <f>VLOOKUP(tblTransactions[[#This Row],[Product_ID]],tblProducts[],5,FALSE)</f>
        <v>226.76</v>
      </c>
      <c r="M473" s="4">
        <f>tblTransactions[[#This Row],[Total_Amount]]-(tblTransactions[[#This Row],[Cost_Prices]]*tblTransactions[[#This Row],[Quantity]]*(1-tblTransactions[[#This Row],[Discount]]))</f>
        <v>1393.7392</v>
      </c>
      <c r="N473" s="3">
        <f>tblTransactions[[#This Row],[Profit]]/tblTransactions[[#This Row],[Total_Amount]]</f>
        <v>0.43976663395671556</v>
      </c>
      <c r="O473" t="str">
        <f>TEXT(tblTransactions[[#This Row],[Date]], "MMM-YYYY")</f>
        <v>Apr-2023</v>
      </c>
      <c r="P473" t="str">
        <f>"Q"&amp;ROUNDUP(MONTH(tblTransactions[[#This Row],[Date]])/3,0)&amp;"-"&amp;YEAR(tblTransactions[[#This Row],[Date]])</f>
        <v>Q2-2023</v>
      </c>
      <c r="Q473">
        <f>YEAR(tblTransactions[[#This Row],[Date]])</f>
        <v>2023</v>
      </c>
      <c r="R473" t="str">
        <f>TEXT(tblTransactions[[#This Row],[Date]],"DDDD")</f>
        <v>Tuesday</v>
      </c>
      <c r="S473">
        <f>MONTH(tblTransactions[[#This Row],[Date]])</f>
        <v>4</v>
      </c>
      <c r="T473" t="str">
        <f>VLOOKUP(E473, Products!$A:$B,2,0)</f>
        <v>Tablets Ele-2</v>
      </c>
      <c r="U473" t="str">
        <f>VLOOKUP(E473,Products!$A:$C,3,0)</f>
        <v>Electronics</v>
      </c>
      <c r="V473" t="str">
        <f>VLOOKUP(E473,Products!$A:$D,4,0)</f>
        <v>Tablets</v>
      </c>
      <c r="W473" t="str">
        <f>VLOOKUP(D473,Customers!$A:$C,3,0)</f>
        <v>B2B</v>
      </c>
      <c r="X473" t="str">
        <f>VLOOKUP(C473,Sales_Representatives!$A:$B,2,0)</f>
        <v>Robert Jones</v>
      </c>
    </row>
    <row r="474" spans="1:24" x14ac:dyDescent="0.3">
      <c r="A474" t="s">
        <v>737</v>
      </c>
      <c r="B474" t="s">
        <v>732</v>
      </c>
      <c r="C474" t="s">
        <v>70</v>
      </c>
      <c r="D474" t="s">
        <v>71</v>
      </c>
      <c r="E474" t="s">
        <v>204</v>
      </c>
      <c r="F474">
        <v>15</v>
      </c>
      <c r="G474">
        <v>715.62</v>
      </c>
      <c r="H474">
        <v>0.11</v>
      </c>
      <c r="I474" s="4">
        <v>9553.5300000000007</v>
      </c>
      <c r="J474" t="s">
        <v>16</v>
      </c>
      <c r="K474" t="s">
        <v>17</v>
      </c>
      <c r="L474" s="4">
        <f>VLOOKUP(tblTransactions[[#This Row],[Product_ID]],tblProducts[],5,FALSE)</f>
        <v>459.58</v>
      </c>
      <c r="M474" s="4">
        <f>tblTransactions[[#This Row],[Total_Amount]]-(tblTransactions[[#This Row],[Cost_Prices]]*tblTransactions[[#This Row],[Quantity]]*(1-tblTransactions[[#This Row],[Discount]]))</f>
        <v>3418.1370000000006</v>
      </c>
      <c r="N474" s="3">
        <f>tblTransactions[[#This Row],[Profit]]/tblTransactions[[#This Row],[Total_Amount]]</f>
        <v>0.3577878543323777</v>
      </c>
      <c r="O474" t="str">
        <f>TEXT(tblTransactions[[#This Row],[Date]], "MMM-YYYY")</f>
        <v>Apr-2023</v>
      </c>
      <c r="P474" t="str">
        <f>"Q"&amp;ROUNDUP(MONTH(tblTransactions[[#This Row],[Date]])/3,0)&amp;"-"&amp;YEAR(tblTransactions[[#This Row],[Date]])</f>
        <v>Q2-2023</v>
      </c>
      <c r="Q474">
        <f>YEAR(tblTransactions[[#This Row],[Date]])</f>
        <v>2023</v>
      </c>
      <c r="R474" t="str">
        <f>TEXT(tblTransactions[[#This Row],[Date]],"DDDD")</f>
        <v>Tuesday</v>
      </c>
      <c r="S474">
        <f>MONTH(tblTransactions[[#This Row],[Date]])</f>
        <v>4</v>
      </c>
      <c r="T474" t="str">
        <f>VLOOKUP(E474, Products!$A:$B,2,0)</f>
        <v>Cameras Ele-2</v>
      </c>
      <c r="U474" t="str">
        <f>VLOOKUP(E474,Products!$A:$C,3,0)</f>
        <v>Electronics</v>
      </c>
      <c r="V474" t="str">
        <f>VLOOKUP(E474,Products!$A:$D,4,0)</f>
        <v>Cameras</v>
      </c>
      <c r="W474" t="str">
        <f>VLOOKUP(D474,Customers!$A:$C,3,0)</f>
        <v>B2B</v>
      </c>
      <c r="X474" t="str">
        <f>VLOOKUP(C474,Sales_Representatives!$A:$B,2,0)</f>
        <v>Linda Smith</v>
      </c>
    </row>
    <row r="475" spans="1:24" x14ac:dyDescent="0.3">
      <c r="A475" t="s">
        <v>738</v>
      </c>
      <c r="B475" t="s">
        <v>739</v>
      </c>
      <c r="C475" t="s">
        <v>63</v>
      </c>
      <c r="D475" t="s">
        <v>132</v>
      </c>
      <c r="E475" t="s">
        <v>198</v>
      </c>
      <c r="F475">
        <v>14</v>
      </c>
      <c r="G475">
        <v>1802.96</v>
      </c>
      <c r="H475">
        <v>0.18</v>
      </c>
      <c r="I475" s="4">
        <v>20697.98</v>
      </c>
      <c r="J475" t="s">
        <v>21</v>
      </c>
      <c r="K475" t="s">
        <v>35</v>
      </c>
      <c r="L475" s="4">
        <f>VLOOKUP(tblTransactions[[#This Row],[Product_ID]],tblProducts[],5,FALSE)</f>
        <v>1282.18</v>
      </c>
      <c r="M475" s="4">
        <f>tblTransactions[[#This Row],[Total_Amount]]-(tblTransactions[[#This Row],[Cost_Prices]]*tblTransactions[[#This Row],[Quantity]]*(1-tblTransactions[[#This Row],[Discount]]))</f>
        <v>5978.5535999999975</v>
      </c>
      <c r="N475" s="3">
        <f>tblTransactions[[#This Row],[Profit]]/tblTransactions[[#This Row],[Total_Amount]]</f>
        <v>0.28884720151435056</v>
      </c>
      <c r="O475" t="str">
        <f>TEXT(tblTransactions[[#This Row],[Date]], "MMM-YYYY")</f>
        <v>Apr-2023</v>
      </c>
      <c r="P475" t="str">
        <f>"Q"&amp;ROUNDUP(MONTH(tblTransactions[[#This Row],[Date]])/3,0)&amp;"-"&amp;YEAR(tblTransactions[[#This Row],[Date]])</f>
        <v>Q2-2023</v>
      </c>
      <c r="Q475">
        <f>YEAR(tblTransactions[[#This Row],[Date]])</f>
        <v>2023</v>
      </c>
      <c r="R475" t="str">
        <f>TEXT(tblTransactions[[#This Row],[Date]],"DDDD")</f>
        <v>Wednesday</v>
      </c>
      <c r="S475">
        <f>MONTH(tblTransactions[[#This Row],[Date]])</f>
        <v>4</v>
      </c>
      <c r="T475" t="str">
        <f>VLOOKUP(E475, Products!$A:$B,2,0)</f>
        <v>Tablets Ele-3</v>
      </c>
      <c r="U475" t="str">
        <f>VLOOKUP(E475,Products!$A:$C,3,0)</f>
        <v>Electronics</v>
      </c>
      <c r="V475" t="str">
        <f>VLOOKUP(E475,Products!$A:$D,4,0)</f>
        <v>Tablets</v>
      </c>
      <c r="W475" t="str">
        <f>VLOOKUP(D475,Customers!$A:$C,3,0)</f>
        <v>B2B</v>
      </c>
      <c r="X475" t="str">
        <f>VLOOKUP(C475,Sales_Representatives!$A:$B,2,0)</f>
        <v>Richard Wilson</v>
      </c>
    </row>
    <row r="476" spans="1:24" x14ac:dyDescent="0.3">
      <c r="A476" t="s">
        <v>740</v>
      </c>
      <c r="B476" t="s">
        <v>739</v>
      </c>
      <c r="C476" t="s">
        <v>75</v>
      </c>
      <c r="D476" t="s">
        <v>197</v>
      </c>
      <c r="E476" t="s">
        <v>243</v>
      </c>
      <c r="F476">
        <v>45</v>
      </c>
      <c r="G476">
        <v>384.18</v>
      </c>
      <c r="H476">
        <v>0.23</v>
      </c>
      <c r="I476" s="4">
        <v>13311.84</v>
      </c>
      <c r="J476" t="s">
        <v>44</v>
      </c>
      <c r="K476" t="s">
        <v>22</v>
      </c>
      <c r="L476" s="4">
        <f>VLOOKUP(tblTransactions[[#This Row],[Product_ID]],tblProducts[],5,FALSE)</f>
        <v>266.92</v>
      </c>
      <c r="M476" s="4">
        <f>tblTransactions[[#This Row],[Total_Amount]]-(tblTransactions[[#This Row],[Cost_Prices]]*tblTransactions[[#This Row],[Quantity]]*(1-tblTransactions[[#This Row],[Discount]]))</f>
        <v>4063.0619999999981</v>
      </c>
      <c r="N476" s="3">
        <f>tblTransactions[[#This Row],[Profit]]/tblTransactions[[#This Row],[Total_Amount]]</f>
        <v>0.30522166732773215</v>
      </c>
      <c r="O476" t="str">
        <f>TEXT(tblTransactions[[#This Row],[Date]], "MMM-YYYY")</f>
        <v>Apr-2023</v>
      </c>
      <c r="P476" t="str">
        <f>"Q"&amp;ROUNDUP(MONTH(tblTransactions[[#This Row],[Date]])/3,0)&amp;"-"&amp;YEAR(tblTransactions[[#This Row],[Date]])</f>
        <v>Q2-2023</v>
      </c>
      <c r="Q476">
        <f>YEAR(tblTransactions[[#This Row],[Date]])</f>
        <v>2023</v>
      </c>
      <c r="R476" t="str">
        <f>TEXT(tblTransactions[[#This Row],[Date]],"DDDD")</f>
        <v>Wednesday</v>
      </c>
      <c r="S476">
        <f>MONTH(tblTransactions[[#This Row],[Date]])</f>
        <v>4</v>
      </c>
      <c r="T476" t="str">
        <f>VLOOKUP(E476, Products!$A:$B,2,0)</f>
        <v>Routers Tec-3</v>
      </c>
      <c r="U476" t="str">
        <f>VLOOKUP(E476,Products!$A:$C,3,0)</f>
        <v>Technology</v>
      </c>
      <c r="V476" t="str">
        <f>VLOOKUP(E476,Products!$A:$D,4,0)</f>
        <v>Routers</v>
      </c>
      <c r="W476" t="str">
        <f>VLOOKUP(D476,Customers!$A:$C,3,0)</f>
        <v>Enterprise</v>
      </c>
      <c r="X476" t="str">
        <f>VLOOKUP(C476,Sales_Representatives!$A:$B,2,0)</f>
        <v>Jessica Anderson</v>
      </c>
    </row>
    <row r="477" spans="1:24" x14ac:dyDescent="0.3">
      <c r="A477" t="s">
        <v>741</v>
      </c>
      <c r="B477" t="s">
        <v>739</v>
      </c>
      <c r="C477" t="s">
        <v>13</v>
      </c>
      <c r="D477" t="s">
        <v>228</v>
      </c>
      <c r="E477" t="s">
        <v>68</v>
      </c>
      <c r="F477">
        <v>6</v>
      </c>
      <c r="G477">
        <v>522.63</v>
      </c>
      <c r="H477">
        <v>0.14000000000000001</v>
      </c>
      <c r="I477" s="4">
        <v>2696.77</v>
      </c>
      <c r="J477" t="s">
        <v>16</v>
      </c>
      <c r="K477" t="s">
        <v>39</v>
      </c>
      <c r="L477" s="4">
        <f>VLOOKUP(tblTransactions[[#This Row],[Product_ID]],tblProducts[],5,FALSE)</f>
        <v>355.82</v>
      </c>
      <c r="M477" s="4">
        <f>tblTransactions[[#This Row],[Total_Amount]]-(tblTransactions[[#This Row],[Cost_Prices]]*tblTransactions[[#This Row],[Quantity]]*(1-tblTransactions[[#This Row],[Discount]]))</f>
        <v>860.73879999999986</v>
      </c>
      <c r="N477" s="3">
        <f>tblTransactions[[#This Row],[Profit]]/tblTransactions[[#This Row],[Total_Amount]]</f>
        <v>0.319173974792066</v>
      </c>
      <c r="O477" t="str">
        <f>TEXT(tblTransactions[[#This Row],[Date]], "MMM-YYYY")</f>
        <v>Apr-2023</v>
      </c>
      <c r="P477" t="str">
        <f>"Q"&amp;ROUNDUP(MONTH(tblTransactions[[#This Row],[Date]])/3,0)&amp;"-"&amp;YEAR(tblTransactions[[#This Row],[Date]])</f>
        <v>Q2-2023</v>
      </c>
      <c r="Q477">
        <f>YEAR(tblTransactions[[#This Row],[Date]])</f>
        <v>2023</v>
      </c>
      <c r="R477" t="str">
        <f>TEXT(tblTransactions[[#This Row],[Date]],"DDDD")</f>
        <v>Wednesday</v>
      </c>
      <c r="S477">
        <f>MONTH(tblTransactions[[#This Row],[Date]])</f>
        <v>4</v>
      </c>
      <c r="T477" t="str">
        <f>VLOOKUP(E477, Products!$A:$B,2,0)</f>
        <v>Monitors Tec-3</v>
      </c>
      <c r="U477" t="str">
        <f>VLOOKUP(E477,Products!$A:$C,3,0)</f>
        <v>Technology</v>
      </c>
      <c r="V477" t="str">
        <f>VLOOKUP(E477,Products!$A:$D,4,0)</f>
        <v>Monitors</v>
      </c>
      <c r="W477" t="str">
        <f>VLOOKUP(D477,Customers!$A:$C,3,0)</f>
        <v>Small Business</v>
      </c>
      <c r="X477" t="str">
        <f>VLOOKUP(C477,Sales_Representatives!$A:$B,2,0)</f>
        <v>Jennifer Rodriguez</v>
      </c>
    </row>
    <row r="478" spans="1:24" x14ac:dyDescent="0.3">
      <c r="A478" t="s">
        <v>742</v>
      </c>
      <c r="B478" t="s">
        <v>739</v>
      </c>
      <c r="C478" t="s">
        <v>63</v>
      </c>
      <c r="D478" t="s">
        <v>156</v>
      </c>
      <c r="E478" t="s">
        <v>72</v>
      </c>
      <c r="F478">
        <v>5</v>
      </c>
      <c r="G478">
        <v>404.76</v>
      </c>
      <c r="H478">
        <v>0.09</v>
      </c>
      <c r="I478" s="4">
        <v>1841.66</v>
      </c>
      <c r="J478" t="s">
        <v>21</v>
      </c>
      <c r="K478" t="s">
        <v>17</v>
      </c>
      <c r="L478" s="4">
        <f>VLOOKUP(tblTransactions[[#This Row],[Product_ID]],tblProducts[],5,FALSE)</f>
        <v>226.76</v>
      </c>
      <c r="M478" s="4">
        <f>tblTransactions[[#This Row],[Total_Amount]]-(tblTransactions[[#This Row],[Cost_Prices]]*tblTransactions[[#This Row],[Quantity]]*(1-tblTransactions[[#This Row],[Discount]]))</f>
        <v>809.90200000000004</v>
      </c>
      <c r="N478" s="3">
        <f>tblTransactions[[#This Row],[Profit]]/tblTransactions[[#This Row],[Total_Amount]]</f>
        <v>0.43976738377333491</v>
      </c>
      <c r="O478" t="str">
        <f>TEXT(tblTransactions[[#This Row],[Date]], "MMM-YYYY")</f>
        <v>Apr-2023</v>
      </c>
      <c r="P478" t="str">
        <f>"Q"&amp;ROUNDUP(MONTH(tblTransactions[[#This Row],[Date]])/3,0)&amp;"-"&amp;YEAR(tblTransactions[[#This Row],[Date]])</f>
        <v>Q2-2023</v>
      </c>
      <c r="Q478">
        <f>YEAR(tblTransactions[[#This Row],[Date]])</f>
        <v>2023</v>
      </c>
      <c r="R478" t="str">
        <f>TEXT(tblTransactions[[#This Row],[Date]],"DDDD")</f>
        <v>Wednesday</v>
      </c>
      <c r="S478">
        <f>MONTH(tblTransactions[[#This Row],[Date]])</f>
        <v>4</v>
      </c>
      <c r="T478" t="str">
        <f>VLOOKUP(E478, Products!$A:$B,2,0)</f>
        <v>Tablets Ele-2</v>
      </c>
      <c r="U478" t="str">
        <f>VLOOKUP(E478,Products!$A:$C,3,0)</f>
        <v>Electronics</v>
      </c>
      <c r="V478" t="str">
        <f>VLOOKUP(E478,Products!$A:$D,4,0)</f>
        <v>Tablets</v>
      </c>
      <c r="W478" t="str">
        <f>VLOOKUP(D478,Customers!$A:$C,3,0)</f>
        <v>B2B</v>
      </c>
      <c r="X478" t="str">
        <f>VLOOKUP(C478,Sales_Representatives!$A:$B,2,0)</f>
        <v>Richard Wilson</v>
      </c>
    </row>
    <row r="479" spans="1:24" x14ac:dyDescent="0.3">
      <c r="A479" t="s">
        <v>743</v>
      </c>
      <c r="B479" t="s">
        <v>739</v>
      </c>
      <c r="C479" t="s">
        <v>63</v>
      </c>
      <c r="D479" t="s">
        <v>50</v>
      </c>
      <c r="E479" t="s">
        <v>339</v>
      </c>
      <c r="F479">
        <v>1</v>
      </c>
      <c r="G479">
        <v>1100.8800000000001</v>
      </c>
      <c r="H479">
        <v>7.0000000000000007E-2</v>
      </c>
      <c r="I479" s="4">
        <v>1023.82</v>
      </c>
      <c r="J479" t="s">
        <v>21</v>
      </c>
      <c r="K479" t="s">
        <v>22</v>
      </c>
      <c r="L479" s="4">
        <f>VLOOKUP(tblTransactions[[#This Row],[Product_ID]],tblProducts[],5,FALSE)</f>
        <v>761.53</v>
      </c>
      <c r="M479" s="4">
        <f>tblTransactions[[#This Row],[Total_Amount]]-(tblTransactions[[#This Row],[Cost_Prices]]*tblTransactions[[#This Row],[Quantity]]*(1-tblTransactions[[#This Row],[Discount]]))</f>
        <v>315.59710000000007</v>
      </c>
      <c r="N479" s="3">
        <f>tblTransactions[[#This Row],[Profit]]/tblTransactions[[#This Row],[Total_Amount]]</f>
        <v>0.30825447832626834</v>
      </c>
      <c r="O479" t="str">
        <f>TEXT(tblTransactions[[#This Row],[Date]], "MMM-YYYY")</f>
        <v>Apr-2023</v>
      </c>
      <c r="P479" t="str">
        <f>"Q"&amp;ROUNDUP(MONTH(tblTransactions[[#This Row],[Date]])/3,0)&amp;"-"&amp;YEAR(tblTransactions[[#This Row],[Date]])</f>
        <v>Q2-2023</v>
      </c>
      <c r="Q479">
        <f>YEAR(tblTransactions[[#This Row],[Date]])</f>
        <v>2023</v>
      </c>
      <c r="R479" t="str">
        <f>TEXT(tblTransactions[[#This Row],[Date]],"DDDD")</f>
        <v>Wednesday</v>
      </c>
      <c r="S479">
        <f>MONTH(tblTransactions[[#This Row],[Date]])</f>
        <v>4</v>
      </c>
      <c r="T479" t="str">
        <f>VLOOKUP(E479, Products!$A:$B,2,0)</f>
        <v>Phones Ele-2</v>
      </c>
      <c r="U479" t="str">
        <f>VLOOKUP(E479,Products!$A:$C,3,0)</f>
        <v>Electronics</v>
      </c>
      <c r="V479" t="str">
        <f>VLOOKUP(E479,Products!$A:$D,4,0)</f>
        <v>Phones</v>
      </c>
      <c r="W479" t="str">
        <f>VLOOKUP(D479,Customers!$A:$C,3,0)</f>
        <v>Small Business</v>
      </c>
      <c r="X479" t="str">
        <f>VLOOKUP(C479,Sales_Representatives!$A:$B,2,0)</f>
        <v>Richard Wilson</v>
      </c>
    </row>
    <row r="480" spans="1:24" x14ac:dyDescent="0.3">
      <c r="A480" t="s">
        <v>744</v>
      </c>
      <c r="B480" t="s">
        <v>739</v>
      </c>
      <c r="C480" t="s">
        <v>59</v>
      </c>
      <c r="D480" t="s">
        <v>327</v>
      </c>
      <c r="E480" t="s">
        <v>347</v>
      </c>
      <c r="F480">
        <v>4</v>
      </c>
      <c r="G480">
        <v>1539.6</v>
      </c>
      <c r="H480">
        <v>0.04</v>
      </c>
      <c r="I480" s="4">
        <v>5912.06</v>
      </c>
      <c r="J480" t="s">
        <v>21</v>
      </c>
      <c r="K480" t="s">
        <v>17</v>
      </c>
      <c r="L480" s="4">
        <f>VLOOKUP(tblTransactions[[#This Row],[Product_ID]],tblProducts[],5,FALSE)</f>
        <v>992.43</v>
      </c>
      <c r="M480" s="4">
        <f>tblTransactions[[#This Row],[Total_Amount]]-(tblTransactions[[#This Row],[Cost_Prices]]*tblTransactions[[#This Row],[Quantity]]*(1-tblTransactions[[#This Row],[Discount]]))</f>
        <v>2101.1288000000009</v>
      </c>
      <c r="N480" s="3">
        <f>tblTransactions[[#This Row],[Profit]]/tblTransactions[[#This Row],[Total_Amount]]</f>
        <v>0.35539706971850771</v>
      </c>
      <c r="O480" t="str">
        <f>TEXT(tblTransactions[[#This Row],[Date]], "MMM-YYYY")</f>
        <v>Apr-2023</v>
      </c>
      <c r="P480" t="str">
        <f>"Q"&amp;ROUNDUP(MONTH(tblTransactions[[#This Row],[Date]])/3,0)&amp;"-"&amp;YEAR(tblTransactions[[#This Row],[Date]])</f>
        <v>Q2-2023</v>
      </c>
      <c r="Q480">
        <f>YEAR(tblTransactions[[#This Row],[Date]])</f>
        <v>2023</v>
      </c>
      <c r="R480" t="str">
        <f>TEXT(tblTransactions[[#This Row],[Date]],"DDDD")</f>
        <v>Wednesday</v>
      </c>
      <c r="S480">
        <f>MONTH(tblTransactions[[#This Row],[Date]])</f>
        <v>4</v>
      </c>
      <c r="T480" t="str">
        <f>VLOOKUP(E480, Products!$A:$B,2,0)</f>
        <v>Routers Tec-2</v>
      </c>
      <c r="U480" t="str">
        <f>VLOOKUP(E480,Products!$A:$C,3,0)</f>
        <v>Technology</v>
      </c>
      <c r="V480" t="str">
        <f>VLOOKUP(E480,Products!$A:$D,4,0)</f>
        <v>Routers</v>
      </c>
      <c r="W480" t="str">
        <f>VLOOKUP(D480,Customers!$A:$C,3,0)</f>
        <v>B2C</v>
      </c>
      <c r="X480" t="str">
        <f>VLOOKUP(C480,Sales_Representatives!$A:$B,2,0)</f>
        <v>Sarah Brown</v>
      </c>
    </row>
    <row r="481" spans="1:24" x14ac:dyDescent="0.3">
      <c r="A481" t="s">
        <v>745</v>
      </c>
      <c r="B481" t="s">
        <v>739</v>
      </c>
      <c r="C481" t="s">
        <v>127</v>
      </c>
      <c r="D481" t="s">
        <v>28</v>
      </c>
      <c r="E481" t="s">
        <v>96</v>
      </c>
      <c r="F481">
        <v>12</v>
      </c>
      <c r="G481">
        <v>751.9</v>
      </c>
      <c r="H481">
        <v>0.19</v>
      </c>
      <c r="I481" s="4">
        <v>7308.47</v>
      </c>
      <c r="J481" t="s">
        <v>109</v>
      </c>
      <c r="K481" t="s">
        <v>48</v>
      </c>
      <c r="L481" s="4">
        <f>VLOOKUP(tblTransactions[[#This Row],[Product_ID]],tblProducts[],5,FALSE)</f>
        <v>570.29</v>
      </c>
      <c r="M481" s="4">
        <f>tblTransactions[[#This Row],[Total_Amount]]-(tblTransactions[[#This Row],[Cost_Prices]]*tblTransactions[[#This Row],[Quantity]]*(1-tblTransactions[[#This Row],[Discount]]))</f>
        <v>1765.2512000000006</v>
      </c>
      <c r="N481" s="3">
        <f>tblTransactions[[#This Row],[Profit]]/tblTransactions[[#This Row],[Total_Amount]]</f>
        <v>0.24153498611884575</v>
      </c>
      <c r="O481" t="str">
        <f>TEXT(tblTransactions[[#This Row],[Date]], "MMM-YYYY")</f>
        <v>Apr-2023</v>
      </c>
      <c r="P481" t="str">
        <f>"Q"&amp;ROUNDUP(MONTH(tblTransactions[[#This Row],[Date]])/3,0)&amp;"-"&amp;YEAR(tblTransactions[[#This Row],[Date]])</f>
        <v>Q2-2023</v>
      </c>
      <c r="Q481">
        <f>YEAR(tblTransactions[[#This Row],[Date]])</f>
        <v>2023</v>
      </c>
      <c r="R481" t="str">
        <f>TEXT(tblTransactions[[#This Row],[Date]],"DDDD")</f>
        <v>Wednesday</v>
      </c>
      <c r="S481">
        <f>MONTH(tblTransactions[[#This Row],[Date]])</f>
        <v>4</v>
      </c>
      <c r="T481" t="str">
        <f>VLOOKUP(E481, Products!$A:$B,2,0)</f>
        <v>Routers Tec-1</v>
      </c>
      <c r="U481" t="str">
        <f>VLOOKUP(E481,Products!$A:$C,3,0)</f>
        <v>Technology</v>
      </c>
      <c r="V481" t="str">
        <f>VLOOKUP(E481,Products!$A:$D,4,0)</f>
        <v>Routers</v>
      </c>
      <c r="W481" t="str">
        <f>VLOOKUP(D481,Customers!$A:$C,3,0)</f>
        <v>B2B</v>
      </c>
      <c r="X481" t="str">
        <f>VLOOKUP(C481,Sales_Representatives!$A:$B,2,0)</f>
        <v>Emily Hernandez</v>
      </c>
    </row>
    <row r="482" spans="1:24" x14ac:dyDescent="0.3">
      <c r="A482" t="s">
        <v>746</v>
      </c>
      <c r="B482" t="s">
        <v>739</v>
      </c>
      <c r="C482" t="s">
        <v>82</v>
      </c>
      <c r="D482" t="s">
        <v>216</v>
      </c>
      <c r="E482" t="s">
        <v>316</v>
      </c>
      <c r="F482">
        <v>1</v>
      </c>
      <c r="G482">
        <v>91.42</v>
      </c>
      <c r="H482">
        <v>0</v>
      </c>
      <c r="I482" s="4">
        <v>91.42</v>
      </c>
      <c r="J482" t="s">
        <v>34</v>
      </c>
      <c r="K482" t="s">
        <v>22</v>
      </c>
      <c r="L482" s="4">
        <f>VLOOKUP(tblTransactions[[#This Row],[Product_ID]],tblProducts[],5,FALSE)</f>
        <v>50.09</v>
      </c>
      <c r="M482" s="4">
        <f>tblTransactions[[#This Row],[Total_Amount]]-(tblTransactions[[#This Row],[Cost_Prices]]*tblTransactions[[#This Row],[Quantity]]*(1-tblTransactions[[#This Row],[Discount]]))</f>
        <v>41.33</v>
      </c>
      <c r="N482" s="3">
        <f>tblTransactions[[#This Row],[Profit]]/tblTransactions[[#This Row],[Total_Amount]]</f>
        <v>0.45208925836797198</v>
      </c>
      <c r="O482" t="str">
        <f>TEXT(tblTransactions[[#This Row],[Date]], "MMM-YYYY")</f>
        <v>Apr-2023</v>
      </c>
      <c r="P482" t="str">
        <f>"Q"&amp;ROUNDUP(MONTH(tblTransactions[[#This Row],[Date]])/3,0)&amp;"-"&amp;YEAR(tblTransactions[[#This Row],[Date]])</f>
        <v>Q2-2023</v>
      </c>
      <c r="Q482">
        <f>YEAR(tblTransactions[[#This Row],[Date]])</f>
        <v>2023</v>
      </c>
      <c r="R482" t="str">
        <f>TEXT(tblTransactions[[#This Row],[Date]],"DDDD")</f>
        <v>Wednesday</v>
      </c>
      <c r="S482">
        <f>MONTH(tblTransactions[[#This Row],[Date]])</f>
        <v>4</v>
      </c>
      <c r="T482" t="str">
        <f>VLOOKUP(E482, Products!$A:$B,2,0)</f>
        <v>Binders Off-3</v>
      </c>
      <c r="U482" t="str">
        <f>VLOOKUP(E482,Products!$A:$C,3,0)</f>
        <v>Office Supplies</v>
      </c>
      <c r="V482" t="str">
        <f>VLOOKUP(E482,Products!$A:$D,4,0)</f>
        <v>Binders</v>
      </c>
      <c r="W482" t="str">
        <f>VLOOKUP(D482,Customers!$A:$C,3,0)</f>
        <v>Small Business</v>
      </c>
      <c r="X482" t="str">
        <f>VLOOKUP(C482,Sales_Representatives!$A:$B,2,0)</f>
        <v>John Brown</v>
      </c>
    </row>
    <row r="483" spans="1:24" x14ac:dyDescent="0.3">
      <c r="A483" t="s">
        <v>747</v>
      </c>
      <c r="B483" t="s">
        <v>739</v>
      </c>
      <c r="C483" t="s">
        <v>41</v>
      </c>
      <c r="D483" t="s">
        <v>42</v>
      </c>
      <c r="E483" t="s">
        <v>68</v>
      </c>
      <c r="F483">
        <v>3</v>
      </c>
      <c r="G483">
        <v>522.63</v>
      </c>
      <c r="H483">
        <v>0.06</v>
      </c>
      <c r="I483" s="4">
        <v>1473.82</v>
      </c>
      <c r="J483" t="s">
        <v>44</v>
      </c>
      <c r="K483" t="s">
        <v>48</v>
      </c>
      <c r="L483" s="4">
        <f>VLOOKUP(tblTransactions[[#This Row],[Product_ID]],tblProducts[],5,FALSE)</f>
        <v>355.82</v>
      </c>
      <c r="M483" s="4">
        <f>tblTransactions[[#This Row],[Total_Amount]]-(tblTransactions[[#This Row],[Cost_Prices]]*tblTransactions[[#This Row],[Quantity]]*(1-tblTransactions[[#This Row],[Discount]]))</f>
        <v>470.4076</v>
      </c>
      <c r="N483" s="3">
        <f>tblTransactions[[#This Row],[Profit]]/tblTransactions[[#This Row],[Total_Amount]]</f>
        <v>0.3191757473775631</v>
      </c>
      <c r="O483" t="str">
        <f>TEXT(tblTransactions[[#This Row],[Date]], "MMM-YYYY")</f>
        <v>Apr-2023</v>
      </c>
      <c r="P483" t="str">
        <f>"Q"&amp;ROUNDUP(MONTH(tblTransactions[[#This Row],[Date]])/3,0)&amp;"-"&amp;YEAR(tblTransactions[[#This Row],[Date]])</f>
        <v>Q2-2023</v>
      </c>
      <c r="Q483">
        <f>YEAR(tblTransactions[[#This Row],[Date]])</f>
        <v>2023</v>
      </c>
      <c r="R483" t="str">
        <f>TEXT(tblTransactions[[#This Row],[Date]],"DDDD")</f>
        <v>Wednesday</v>
      </c>
      <c r="S483">
        <f>MONTH(tblTransactions[[#This Row],[Date]])</f>
        <v>4</v>
      </c>
      <c r="T483" t="str">
        <f>VLOOKUP(E483, Products!$A:$B,2,0)</f>
        <v>Monitors Tec-3</v>
      </c>
      <c r="U483" t="str">
        <f>VLOOKUP(E483,Products!$A:$C,3,0)</f>
        <v>Technology</v>
      </c>
      <c r="V483" t="str">
        <f>VLOOKUP(E483,Products!$A:$D,4,0)</f>
        <v>Monitors</v>
      </c>
      <c r="W483" t="str">
        <f>VLOOKUP(D483,Customers!$A:$C,3,0)</f>
        <v>B2C</v>
      </c>
      <c r="X483" t="str">
        <f>VLOOKUP(C483,Sales_Representatives!$A:$B,2,0)</f>
        <v>Robert Jones</v>
      </c>
    </row>
    <row r="484" spans="1:24" x14ac:dyDescent="0.3">
      <c r="A484" t="s">
        <v>748</v>
      </c>
      <c r="B484" t="s">
        <v>749</v>
      </c>
      <c r="C484" t="s">
        <v>107</v>
      </c>
      <c r="D484" t="s">
        <v>124</v>
      </c>
      <c r="E484" t="s">
        <v>137</v>
      </c>
      <c r="F484">
        <v>13</v>
      </c>
      <c r="G484">
        <v>241.39</v>
      </c>
      <c r="H484">
        <v>0.18</v>
      </c>
      <c r="I484" s="4">
        <v>2573.2199999999998</v>
      </c>
      <c r="J484" t="s">
        <v>109</v>
      </c>
      <c r="K484" t="s">
        <v>39</v>
      </c>
      <c r="L484" s="4">
        <f>VLOOKUP(tblTransactions[[#This Row],[Product_ID]],tblProducts[],5,FALSE)</f>
        <v>124.07</v>
      </c>
      <c r="M484" s="4">
        <f>tblTransactions[[#This Row],[Total_Amount]]-(tblTransactions[[#This Row],[Cost_Prices]]*tblTransactions[[#This Row],[Quantity]]*(1-tblTransactions[[#This Row],[Discount]]))</f>
        <v>1250.6337999999998</v>
      </c>
      <c r="N484" s="3">
        <f>tblTransactions[[#This Row],[Profit]]/tblTransactions[[#This Row],[Total_Amount]]</f>
        <v>0.48601899565524903</v>
      </c>
      <c r="O484" t="str">
        <f>TEXT(tblTransactions[[#This Row],[Date]], "MMM-YYYY")</f>
        <v>Apr-2023</v>
      </c>
      <c r="P484" t="str">
        <f>"Q"&amp;ROUNDUP(MONTH(tblTransactions[[#This Row],[Date]])/3,0)&amp;"-"&amp;YEAR(tblTransactions[[#This Row],[Date]])</f>
        <v>Q2-2023</v>
      </c>
      <c r="Q484">
        <f>YEAR(tblTransactions[[#This Row],[Date]])</f>
        <v>2023</v>
      </c>
      <c r="R484" t="str">
        <f>TEXT(tblTransactions[[#This Row],[Date]],"DDDD")</f>
        <v>Thursday</v>
      </c>
      <c r="S484">
        <f>MONTH(tblTransactions[[#This Row],[Date]])</f>
        <v>4</v>
      </c>
      <c r="T484" t="str">
        <f>VLOOKUP(E484, Products!$A:$B,2,0)</f>
        <v>Desks Fur-2</v>
      </c>
      <c r="U484" t="str">
        <f>VLOOKUP(E484,Products!$A:$C,3,0)</f>
        <v>Furniture</v>
      </c>
      <c r="V484" t="str">
        <f>VLOOKUP(E484,Products!$A:$D,4,0)</f>
        <v>Desks</v>
      </c>
      <c r="W484" t="str">
        <f>VLOOKUP(D484,Customers!$A:$C,3,0)</f>
        <v>B2B</v>
      </c>
      <c r="X484" t="str">
        <f>VLOOKUP(C484,Sales_Representatives!$A:$B,2,0)</f>
        <v>Jennifer Brown</v>
      </c>
    </row>
    <row r="485" spans="1:24" x14ac:dyDescent="0.3">
      <c r="A485" t="s">
        <v>750</v>
      </c>
      <c r="B485" t="s">
        <v>751</v>
      </c>
      <c r="C485" t="s">
        <v>131</v>
      </c>
      <c r="D485" t="s">
        <v>67</v>
      </c>
      <c r="E485" t="s">
        <v>137</v>
      </c>
      <c r="F485">
        <v>2</v>
      </c>
      <c r="G485">
        <v>241.39</v>
      </c>
      <c r="H485">
        <v>0.06</v>
      </c>
      <c r="I485" s="4">
        <v>453.81</v>
      </c>
      <c r="J485" t="s">
        <v>44</v>
      </c>
      <c r="K485" t="s">
        <v>48</v>
      </c>
      <c r="L485" s="4">
        <f>VLOOKUP(tblTransactions[[#This Row],[Product_ID]],tblProducts[],5,FALSE)</f>
        <v>124.07</v>
      </c>
      <c r="M485" s="4">
        <f>tblTransactions[[#This Row],[Total_Amount]]-(tblTransactions[[#This Row],[Cost_Prices]]*tblTransactions[[#This Row],[Quantity]]*(1-tblTransactions[[#This Row],[Discount]]))</f>
        <v>220.55840000000003</v>
      </c>
      <c r="N485" s="3">
        <f>tblTransactions[[#This Row],[Profit]]/tblTransactions[[#This Row],[Total_Amount]]</f>
        <v>0.48601485203058559</v>
      </c>
      <c r="O485" t="str">
        <f>TEXT(tblTransactions[[#This Row],[Date]], "MMM-YYYY")</f>
        <v>Apr-2023</v>
      </c>
      <c r="P485" t="str">
        <f>"Q"&amp;ROUNDUP(MONTH(tblTransactions[[#This Row],[Date]])/3,0)&amp;"-"&amp;YEAR(tblTransactions[[#This Row],[Date]])</f>
        <v>Q2-2023</v>
      </c>
      <c r="Q485">
        <f>YEAR(tblTransactions[[#This Row],[Date]])</f>
        <v>2023</v>
      </c>
      <c r="R485" t="str">
        <f>TEXT(tblTransactions[[#This Row],[Date]],"DDDD")</f>
        <v>Friday</v>
      </c>
      <c r="S485">
        <f>MONTH(tblTransactions[[#This Row],[Date]])</f>
        <v>4</v>
      </c>
      <c r="T485" t="str">
        <f>VLOOKUP(E485, Products!$A:$B,2,0)</f>
        <v>Desks Fur-2</v>
      </c>
      <c r="U485" t="str">
        <f>VLOOKUP(E485,Products!$A:$C,3,0)</f>
        <v>Furniture</v>
      </c>
      <c r="V485" t="str">
        <f>VLOOKUP(E485,Products!$A:$D,4,0)</f>
        <v>Desks</v>
      </c>
      <c r="W485" t="str">
        <f>VLOOKUP(D485,Customers!$A:$C,3,0)</f>
        <v>B2C</v>
      </c>
      <c r="X485" t="str">
        <f>VLOOKUP(C485,Sales_Representatives!$A:$B,2,0)</f>
        <v>Michael Davis</v>
      </c>
    </row>
    <row r="486" spans="1:24" x14ac:dyDescent="0.3">
      <c r="A486" t="s">
        <v>752</v>
      </c>
      <c r="B486" t="s">
        <v>751</v>
      </c>
      <c r="C486" t="s">
        <v>141</v>
      </c>
      <c r="D486" t="s">
        <v>76</v>
      </c>
      <c r="E486" t="s">
        <v>87</v>
      </c>
      <c r="F486">
        <v>2</v>
      </c>
      <c r="G486">
        <v>1047.8900000000001</v>
      </c>
      <c r="H486">
        <v>0.03</v>
      </c>
      <c r="I486" s="4">
        <v>2032.91</v>
      </c>
      <c r="J486" t="s">
        <v>109</v>
      </c>
      <c r="K486" t="s">
        <v>35</v>
      </c>
      <c r="L486" s="4">
        <f>VLOOKUP(tblTransactions[[#This Row],[Product_ID]],tblProducts[],5,FALSE)</f>
        <v>742.63</v>
      </c>
      <c r="M486" s="4">
        <f>tblTransactions[[#This Row],[Total_Amount]]-(tblTransactions[[#This Row],[Cost_Prices]]*tblTransactions[[#This Row],[Quantity]]*(1-tblTransactions[[#This Row],[Discount]]))</f>
        <v>592.20780000000013</v>
      </c>
      <c r="N486" s="3">
        <f>tblTransactions[[#This Row],[Profit]]/tblTransactions[[#This Row],[Total_Amount]]</f>
        <v>0.29131038757249467</v>
      </c>
      <c r="O486" t="str">
        <f>TEXT(tblTransactions[[#This Row],[Date]], "MMM-YYYY")</f>
        <v>Apr-2023</v>
      </c>
      <c r="P486" t="str">
        <f>"Q"&amp;ROUNDUP(MONTH(tblTransactions[[#This Row],[Date]])/3,0)&amp;"-"&amp;YEAR(tblTransactions[[#This Row],[Date]])</f>
        <v>Q2-2023</v>
      </c>
      <c r="Q486">
        <f>YEAR(tblTransactions[[#This Row],[Date]])</f>
        <v>2023</v>
      </c>
      <c r="R486" t="str">
        <f>TEXT(tblTransactions[[#This Row],[Date]],"DDDD")</f>
        <v>Friday</v>
      </c>
      <c r="S486">
        <f>MONTH(tblTransactions[[#This Row],[Date]])</f>
        <v>4</v>
      </c>
      <c r="T486" t="str">
        <f>VLOOKUP(E486, Products!$A:$B,2,0)</f>
        <v>Monitors Tec-2</v>
      </c>
      <c r="U486" t="str">
        <f>VLOOKUP(E486,Products!$A:$C,3,0)</f>
        <v>Technology</v>
      </c>
      <c r="V486" t="str">
        <f>VLOOKUP(E486,Products!$A:$D,4,0)</f>
        <v>Monitors</v>
      </c>
      <c r="W486" t="str">
        <f>VLOOKUP(D486,Customers!$A:$C,3,0)</f>
        <v>Small Business</v>
      </c>
      <c r="X486" t="str">
        <f>VLOOKUP(C486,Sales_Representatives!$A:$B,2,0)</f>
        <v>Richard Garcia</v>
      </c>
    </row>
    <row r="487" spans="1:24" x14ac:dyDescent="0.3">
      <c r="A487" t="s">
        <v>753</v>
      </c>
      <c r="B487" t="s">
        <v>751</v>
      </c>
      <c r="C487" t="s">
        <v>107</v>
      </c>
      <c r="D487" t="s">
        <v>83</v>
      </c>
      <c r="E487" t="s">
        <v>224</v>
      </c>
      <c r="F487">
        <v>7</v>
      </c>
      <c r="G487">
        <v>505.37</v>
      </c>
      <c r="H487">
        <v>0.08</v>
      </c>
      <c r="I487" s="4">
        <v>3254.58</v>
      </c>
      <c r="J487" t="s">
        <v>109</v>
      </c>
      <c r="K487" t="s">
        <v>35</v>
      </c>
      <c r="L487" s="4">
        <f>VLOOKUP(tblTransactions[[#This Row],[Product_ID]],tblProducts[],5,FALSE)</f>
        <v>281.14999999999998</v>
      </c>
      <c r="M487" s="4">
        <f>tblTransactions[[#This Row],[Total_Amount]]-(tblTransactions[[#This Row],[Cost_Prices]]*tblTransactions[[#This Row],[Quantity]]*(1-tblTransactions[[#This Row],[Discount]]))</f>
        <v>1443.9740000000002</v>
      </c>
      <c r="N487" s="3">
        <f>tblTransactions[[#This Row],[Profit]]/tblTransactions[[#This Row],[Total_Amount]]</f>
        <v>0.44367445261754213</v>
      </c>
      <c r="O487" t="str">
        <f>TEXT(tblTransactions[[#This Row],[Date]], "MMM-YYYY")</f>
        <v>Apr-2023</v>
      </c>
      <c r="P487" t="str">
        <f>"Q"&amp;ROUNDUP(MONTH(tblTransactions[[#This Row],[Date]])/3,0)&amp;"-"&amp;YEAR(tblTransactions[[#This Row],[Date]])</f>
        <v>Q2-2023</v>
      </c>
      <c r="Q487">
        <f>YEAR(tblTransactions[[#This Row],[Date]])</f>
        <v>2023</v>
      </c>
      <c r="R487" t="str">
        <f>TEXT(tblTransactions[[#This Row],[Date]],"DDDD")</f>
        <v>Friday</v>
      </c>
      <c r="S487">
        <f>MONTH(tblTransactions[[#This Row],[Date]])</f>
        <v>4</v>
      </c>
      <c r="T487" t="str">
        <f>VLOOKUP(E487, Products!$A:$B,2,0)</f>
        <v>Desks Fur-3</v>
      </c>
      <c r="U487" t="str">
        <f>VLOOKUP(E487,Products!$A:$C,3,0)</f>
        <v>Furniture</v>
      </c>
      <c r="V487" t="str">
        <f>VLOOKUP(E487,Products!$A:$D,4,0)</f>
        <v>Desks</v>
      </c>
      <c r="W487" t="str">
        <f>VLOOKUP(D487,Customers!$A:$C,3,0)</f>
        <v>Small Business</v>
      </c>
      <c r="X487" t="str">
        <f>VLOOKUP(C487,Sales_Representatives!$A:$B,2,0)</f>
        <v>Jennifer Brown</v>
      </c>
    </row>
    <row r="488" spans="1:24" x14ac:dyDescent="0.3">
      <c r="A488" t="s">
        <v>754</v>
      </c>
      <c r="B488" t="s">
        <v>751</v>
      </c>
      <c r="C488" t="s">
        <v>59</v>
      </c>
      <c r="D488" t="s">
        <v>42</v>
      </c>
      <c r="E488" t="s">
        <v>264</v>
      </c>
      <c r="F488">
        <v>7</v>
      </c>
      <c r="G488">
        <v>607.29999999999995</v>
      </c>
      <c r="H488">
        <v>7.0000000000000007E-2</v>
      </c>
      <c r="I488" s="4">
        <v>3953.52</v>
      </c>
      <c r="J488" t="s">
        <v>21</v>
      </c>
      <c r="K488" t="s">
        <v>22</v>
      </c>
      <c r="L488" s="4">
        <f>VLOOKUP(tblTransactions[[#This Row],[Product_ID]],tblProducts[],5,FALSE)</f>
        <v>436.37</v>
      </c>
      <c r="M488" s="4">
        <f>tblTransactions[[#This Row],[Total_Amount]]-(tblTransactions[[#This Row],[Cost_Prices]]*tblTransactions[[#This Row],[Quantity]]*(1-tblTransactions[[#This Row],[Discount]]))</f>
        <v>1112.7512999999999</v>
      </c>
      <c r="N488" s="3">
        <f>tblTransactions[[#This Row],[Profit]]/tblTransactions[[#This Row],[Total_Amount]]</f>
        <v>0.28145837127420625</v>
      </c>
      <c r="O488" t="str">
        <f>TEXT(tblTransactions[[#This Row],[Date]], "MMM-YYYY")</f>
        <v>Apr-2023</v>
      </c>
      <c r="P488" t="str">
        <f>"Q"&amp;ROUNDUP(MONTH(tblTransactions[[#This Row],[Date]])/3,0)&amp;"-"&amp;YEAR(tblTransactions[[#This Row],[Date]])</f>
        <v>Q2-2023</v>
      </c>
      <c r="Q488">
        <f>YEAR(tblTransactions[[#This Row],[Date]])</f>
        <v>2023</v>
      </c>
      <c r="R488" t="str">
        <f>TEXT(tblTransactions[[#This Row],[Date]],"DDDD")</f>
        <v>Friday</v>
      </c>
      <c r="S488">
        <f>MONTH(tblTransactions[[#This Row],[Date]])</f>
        <v>4</v>
      </c>
      <c r="T488" t="str">
        <f>VLOOKUP(E488, Products!$A:$B,2,0)</f>
        <v>Tablets Ele-4</v>
      </c>
      <c r="U488" t="str">
        <f>VLOOKUP(E488,Products!$A:$C,3,0)</f>
        <v>Electronics</v>
      </c>
      <c r="V488" t="str">
        <f>VLOOKUP(E488,Products!$A:$D,4,0)</f>
        <v>Tablets</v>
      </c>
      <c r="W488" t="str">
        <f>VLOOKUP(D488,Customers!$A:$C,3,0)</f>
        <v>B2C</v>
      </c>
      <c r="X488" t="str">
        <f>VLOOKUP(C488,Sales_Representatives!$A:$B,2,0)</f>
        <v>Sarah Brown</v>
      </c>
    </row>
    <row r="489" spans="1:24" x14ac:dyDescent="0.3">
      <c r="A489" t="s">
        <v>755</v>
      </c>
      <c r="B489" t="s">
        <v>751</v>
      </c>
      <c r="C489" t="s">
        <v>131</v>
      </c>
      <c r="D489" t="s">
        <v>190</v>
      </c>
      <c r="E489" t="s">
        <v>87</v>
      </c>
      <c r="F489">
        <v>10</v>
      </c>
      <c r="G489">
        <v>1047.8900000000001</v>
      </c>
      <c r="H489">
        <v>0.08</v>
      </c>
      <c r="I489" s="4">
        <v>9640.59</v>
      </c>
      <c r="J489" t="s">
        <v>44</v>
      </c>
      <c r="K489" t="s">
        <v>17</v>
      </c>
      <c r="L489" s="4">
        <f>VLOOKUP(tblTransactions[[#This Row],[Product_ID]],tblProducts[],5,FALSE)</f>
        <v>742.63</v>
      </c>
      <c r="M489" s="4">
        <f>tblTransactions[[#This Row],[Total_Amount]]-(tblTransactions[[#This Row],[Cost_Prices]]*tblTransactions[[#This Row],[Quantity]]*(1-tblTransactions[[#This Row],[Discount]]))</f>
        <v>2808.3939999999993</v>
      </c>
      <c r="N489" s="3">
        <f>tblTransactions[[#This Row],[Profit]]/tblTransactions[[#This Row],[Total_Amount]]</f>
        <v>0.29130934932405583</v>
      </c>
      <c r="O489" t="str">
        <f>TEXT(tblTransactions[[#This Row],[Date]], "MMM-YYYY")</f>
        <v>Apr-2023</v>
      </c>
      <c r="P489" t="str">
        <f>"Q"&amp;ROUNDUP(MONTH(tblTransactions[[#This Row],[Date]])/3,0)&amp;"-"&amp;YEAR(tblTransactions[[#This Row],[Date]])</f>
        <v>Q2-2023</v>
      </c>
      <c r="Q489">
        <f>YEAR(tblTransactions[[#This Row],[Date]])</f>
        <v>2023</v>
      </c>
      <c r="R489" t="str">
        <f>TEXT(tblTransactions[[#This Row],[Date]],"DDDD")</f>
        <v>Friday</v>
      </c>
      <c r="S489">
        <f>MONTH(tblTransactions[[#This Row],[Date]])</f>
        <v>4</v>
      </c>
      <c r="T489" t="str">
        <f>VLOOKUP(E489, Products!$A:$B,2,0)</f>
        <v>Monitors Tec-2</v>
      </c>
      <c r="U489" t="str">
        <f>VLOOKUP(E489,Products!$A:$C,3,0)</f>
        <v>Technology</v>
      </c>
      <c r="V489" t="str">
        <f>VLOOKUP(E489,Products!$A:$D,4,0)</f>
        <v>Monitors</v>
      </c>
      <c r="W489" t="str">
        <f>VLOOKUP(D489,Customers!$A:$C,3,0)</f>
        <v>B2B</v>
      </c>
      <c r="X489" t="str">
        <f>VLOOKUP(C489,Sales_Representatives!$A:$B,2,0)</f>
        <v>Michael Davis</v>
      </c>
    </row>
    <row r="490" spans="1:24" x14ac:dyDescent="0.3">
      <c r="A490" t="s">
        <v>756</v>
      </c>
      <c r="B490" t="s">
        <v>751</v>
      </c>
      <c r="C490" t="s">
        <v>63</v>
      </c>
      <c r="D490" t="s">
        <v>136</v>
      </c>
      <c r="E490" t="s">
        <v>394</v>
      </c>
      <c r="F490">
        <v>19</v>
      </c>
      <c r="G490">
        <v>314.69</v>
      </c>
      <c r="H490">
        <v>0.12</v>
      </c>
      <c r="I490" s="4">
        <v>5261.62</v>
      </c>
      <c r="J490" t="s">
        <v>21</v>
      </c>
      <c r="K490" t="s">
        <v>35</v>
      </c>
      <c r="L490" s="4">
        <f>VLOOKUP(tblTransactions[[#This Row],[Product_ID]],tblProducts[],5,FALSE)</f>
        <v>185.43</v>
      </c>
      <c r="M490" s="4">
        <f>tblTransactions[[#This Row],[Total_Amount]]-(tblTransactions[[#This Row],[Cost_Prices]]*tblTransactions[[#This Row],[Quantity]]*(1-tblTransactions[[#This Row],[Discount]]))</f>
        <v>2161.2303999999999</v>
      </c>
      <c r="N490" s="3">
        <f>tblTransactions[[#This Row],[Profit]]/tblTransactions[[#This Row],[Total_Amount]]</f>
        <v>0.41075379825985153</v>
      </c>
      <c r="O490" t="str">
        <f>TEXT(tblTransactions[[#This Row],[Date]], "MMM-YYYY")</f>
        <v>Apr-2023</v>
      </c>
      <c r="P490" t="str">
        <f>"Q"&amp;ROUNDUP(MONTH(tblTransactions[[#This Row],[Date]])/3,0)&amp;"-"&amp;YEAR(tblTransactions[[#This Row],[Date]])</f>
        <v>Q2-2023</v>
      </c>
      <c r="Q490">
        <f>YEAR(tblTransactions[[#This Row],[Date]])</f>
        <v>2023</v>
      </c>
      <c r="R490" t="str">
        <f>TEXT(tblTransactions[[#This Row],[Date]],"DDDD")</f>
        <v>Friday</v>
      </c>
      <c r="S490">
        <f>MONTH(tblTransactions[[#This Row],[Date]])</f>
        <v>4</v>
      </c>
      <c r="T490" t="str">
        <f>VLOOKUP(E490, Products!$A:$B,2,0)</f>
        <v>Desks Fur-1</v>
      </c>
      <c r="U490" t="str">
        <f>VLOOKUP(E490,Products!$A:$C,3,0)</f>
        <v>Furniture</v>
      </c>
      <c r="V490" t="str">
        <f>VLOOKUP(E490,Products!$A:$D,4,0)</f>
        <v>Desks</v>
      </c>
      <c r="W490" t="str">
        <f>VLOOKUP(D490,Customers!$A:$C,3,0)</f>
        <v>B2B</v>
      </c>
      <c r="X490" t="str">
        <f>VLOOKUP(C490,Sales_Representatives!$A:$B,2,0)</f>
        <v>Richard Wilson</v>
      </c>
    </row>
    <row r="491" spans="1:24" x14ac:dyDescent="0.3">
      <c r="A491" t="s">
        <v>757</v>
      </c>
      <c r="B491" t="s">
        <v>751</v>
      </c>
      <c r="C491" t="s">
        <v>82</v>
      </c>
      <c r="D491" t="s">
        <v>396</v>
      </c>
      <c r="E491" t="s">
        <v>25</v>
      </c>
      <c r="F491">
        <v>3</v>
      </c>
      <c r="G491">
        <v>1467.49</v>
      </c>
      <c r="H491">
        <v>0.09</v>
      </c>
      <c r="I491" s="4">
        <v>4006.25</v>
      </c>
      <c r="J491" t="s">
        <v>34</v>
      </c>
      <c r="K491" t="s">
        <v>39</v>
      </c>
      <c r="L491" s="4">
        <f>VLOOKUP(tblTransactions[[#This Row],[Product_ID]],tblProducts[],5,FALSE)</f>
        <v>757.65</v>
      </c>
      <c r="M491" s="4">
        <f>tblTransactions[[#This Row],[Total_Amount]]-(tblTransactions[[#This Row],[Cost_Prices]]*tblTransactions[[#This Row],[Quantity]]*(1-tblTransactions[[#This Row],[Discount]]))</f>
        <v>1937.8654999999999</v>
      </c>
      <c r="N491" s="3">
        <f>tblTransactions[[#This Row],[Profit]]/tblTransactions[[#This Row],[Total_Amount]]</f>
        <v>0.48371057722308891</v>
      </c>
      <c r="O491" t="str">
        <f>TEXT(tblTransactions[[#This Row],[Date]], "MMM-YYYY")</f>
        <v>Apr-2023</v>
      </c>
      <c r="P491" t="str">
        <f>"Q"&amp;ROUNDUP(MONTH(tblTransactions[[#This Row],[Date]])/3,0)&amp;"-"&amp;YEAR(tblTransactions[[#This Row],[Date]])</f>
        <v>Q2-2023</v>
      </c>
      <c r="Q491">
        <f>YEAR(tblTransactions[[#This Row],[Date]])</f>
        <v>2023</v>
      </c>
      <c r="R491" t="str">
        <f>TEXT(tblTransactions[[#This Row],[Date]],"DDDD")</f>
        <v>Friday</v>
      </c>
      <c r="S491">
        <f>MONTH(tblTransactions[[#This Row],[Date]])</f>
        <v>4</v>
      </c>
      <c r="T491" t="str">
        <f>VLOOKUP(E491, Products!$A:$B,2,0)</f>
        <v>Tables Fur-3</v>
      </c>
      <c r="U491" t="str">
        <f>VLOOKUP(E491,Products!$A:$C,3,0)</f>
        <v>Furniture</v>
      </c>
      <c r="V491" t="str">
        <f>VLOOKUP(E491,Products!$A:$D,4,0)</f>
        <v>Tables</v>
      </c>
      <c r="W491" t="str">
        <f>VLOOKUP(D491,Customers!$A:$C,3,0)</f>
        <v>Small Business</v>
      </c>
      <c r="X491" t="str">
        <f>VLOOKUP(C491,Sales_Representatives!$A:$B,2,0)</f>
        <v>John Brown</v>
      </c>
    </row>
    <row r="492" spans="1:24" x14ac:dyDescent="0.3">
      <c r="A492" t="s">
        <v>758</v>
      </c>
      <c r="B492" t="s">
        <v>759</v>
      </c>
      <c r="C492" t="s">
        <v>127</v>
      </c>
      <c r="D492" t="s">
        <v>136</v>
      </c>
      <c r="E492" t="s">
        <v>20</v>
      </c>
      <c r="F492">
        <v>8</v>
      </c>
      <c r="G492">
        <v>1219.49</v>
      </c>
      <c r="H492">
        <v>0.09</v>
      </c>
      <c r="I492" s="4">
        <v>8877.89</v>
      </c>
      <c r="J492" t="s">
        <v>109</v>
      </c>
      <c r="K492" t="s">
        <v>39</v>
      </c>
      <c r="L492" s="4">
        <f>VLOOKUP(tblTransactions[[#This Row],[Product_ID]],tblProducts[],5,FALSE)</f>
        <v>686.9</v>
      </c>
      <c r="M492" s="4">
        <f>tblTransactions[[#This Row],[Total_Amount]]-(tblTransactions[[#This Row],[Cost_Prices]]*tblTransactions[[#This Row],[Quantity]]*(1-tblTransactions[[#This Row],[Discount]]))</f>
        <v>3877.2579999999998</v>
      </c>
      <c r="N492" s="3">
        <f>tblTransactions[[#This Row],[Profit]]/tblTransactions[[#This Row],[Total_Amount]]</f>
        <v>0.43673192616714107</v>
      </c>
      <c r="O492" t="str">
        <f>TEXT(tblTransactions[[#This Row],[Date]], "MMM-YYYY")</f>
        <v>Apr-2023</v>
      </c>
      <c r="P492" t="str">
        <f>"Q"&amp;ROUNDUP(MONTH(tblTransactions[[#This Row],[Date]])/3,0)&amp;"-"&amp;YEAR(tblTransactions[[#This Row],[Date]])</f>
        <v>Q2-2023</v>
      </c>
      <c r="Q492">
        <f>YEAR(tblTransactions[[#This Row],[Date]])</f>
        <v>2023</v>
      </c>
      <c r="R492" t="str">
        <f>TEXT(tblTransactions[[#This Row],[Date]],"DDDD")</f>
        <v>Saturday</v>
      </c>
      <c r="S492">
        <f>MONTH(tblTransactions[[#This Row],[Date]])</f>
        <v>4</v>
      </c>
      <c r="T492" t="str">
        <f>VLOOKUP(E492, Products!$A:$B,2,0)</f>
        <v>Laptops Ele-1</v>
      </c>
      <c r="U492" t="str">
        <f>VLOOKUP(E492,Products!$A:$C,3,0)</f>
        <v>Electronics</v>
      </c>
      <c r="V492" t="str">
        <f>VLOOKUP(E492,Products!$A:$D,4,0)</f>
        <v>Laptops</v>
      </c>
      <c r="W492" t="str">
        <f>VLOOKUP(D492,Customers!$A:$C,3,0)</f>
        <v>B2B</v>
      </c>
      <c r="X492" t="str">
        <f>VLOOKUP(C492,Sales_Representatives!$A:$B,2,0)</f>
        <v>Emily Hernandez</v>
      </c>
    </row>
    <row r="493" spans="1:24" x14ac:dyDescent="0.3">
      <c r="A493" t="s">
        <v>760</v>
      </c>
      <c r="B493" t="s">
        <v>759</v>
      </c>
      <c r="C493" t="s">
        <v>70</v>
      </c>
      <c r="D493" t="s">
        <v>24</v>
      </c>
      <c r="E493" t="s">
        <v>324</v>
      </c>
      <c r="F493">
        <v>14</v>
      </c>
      <c r="G493">
        <v>245.76</v>
      </c>
      <c r="H493">
        <v>0.11</v>
      </c>
      <c r="I493" s="4">
        <v>3062.17</v>
      </c>
      <c r="J493" t="s">
        <v>16</v>
      </c>
      <c r="K493" t="s">
        <v>17</v>
      </c>
      <c r="L493" s="4">
        <f>VLOOKUP(tblTransactions[[#This Row],[Product_ID]],tblProducts[],5,FALSE)</f>
        <v>161.94</v>
      </c>
      <c r="M493" s="4">
        <f>tblTransactions[[#This Row],[Total_Amount]]-(tblTransactions[[#This Row],[Cost_Prices]]*tblTransactions[[#This Row],[Quantity]]*(1-tblTransactions[[#This Row],[Discount]]))</f>
        <v>1044.3976000000002</v>
      </c>
      <c r="N493" s="3">
        <f>tblTransactions[[#This Row],[Profit]]/tblTransactions[[#This Row],[Total_Amount]]</f>
        <v>0.34106453919932606</v>
      </c>
      <c r="O493" t="str">
        <f>TEXT(tblTransactions[[#This Row],[Date]], "MMM-YYYY")</f>
        <v>Apr-2023</v>
      </c>
      <c r="P493" t="str">
        <f>"Q"&amp;ROUNDUP(MONTH(tblTransactions[[#This Row],[Date]])/3,0)&amp;"-"&amp;YEAR(tblTransactions[[#This Row],[Date]])</f>
        <v>Q2-2023</v>
      </c>
      <c r="Q493">
        <f>YEAR(tblTransactions[[#This Row],[Date]])</f>
        <v>2023</v>
      </c>
      <c r="R493" t="str">
        <f>TEXT(tblTransactions[[#This Row],[Date]],"DDDD")</f>
        <v>Saturday</v>
      </c>
      <c r="S493">
        <f>MONTH(tblTransactions[[#This Row],[Date]])</f>
        <v>4</v>
      </c>
      <c r="T493" t="str">
        <f>VLOOKUP(E493, Products!$A:$B,2,0)</f>
        <v>Storage Fur-1</v>
      </c>
      <c r="U493" t="str">
        <f>VLOOKUP(E493,Products!$A:$C,3,0)</f>
        <v>Furniture</v>
      </c>
      <c r="V493" t="str">
        <f>VLOOKUP(E493,Products!$A:$D,4,0)</f>
        <v>Storage</v>
      </c>
      <c r="W493" t="str">
        <f>VLOOKUP(D493,Customers!$A:$C,3,0)</f>
        <v>B2B</v>
      </c>
      <c r="X493" t="str">
        <f>VLOOKUP(C493,Sales_Representatives!$A:$B,2,0)</f>
        <v>Linda Smith</v>
      </c>
    </row>
    <row r="494" spans="1:24" x14ac:dyDescent="0.3">
      <c r="A494" t="s">
        <v>761</v>
      </c>
      <c r="B494" t="s">
        <v>759</v>
      </c>
      <c r="C494" t="s">
        <v>63</v>
      </c>
      <c r="D494" t="s">
        <v>197</v>
      </c>
      <c r="E494" t="s">
        <v>84</v>
      </c>
      <c r="F494">
        <v>41</v>
      </c>
      <c r="G494">
        <v>1841.77</v>
      </c>
      <c r="H494">
        <v>0.22</v>
      </c>
      <c r="I494" s="4">
        <v>58899.8</v>
      </c>
      <c r="J494" t="s">
        <v>21</v>
      </c>
      <c r="K494" t="s">
        <v>17</v>
      </c>
      <c r="L494" s="4">
        <f>VLOOKUP(tblTransactions[[#This Row],[Product_ID]],tblProducts[],5,FALSE)</f>
        <v>1151.5899999999999</v>
      </c>
      <c r="M494" s="4">
        <f>tblTransactions[[#This Row],[Total_Amount]]-(tblTransactions[[#This Row],[Cost_Prices]]*tblTransactions[[#This Row],[Quantity]]*(1-tblTransactions[[#This Row],[Discount]]))</f>
        <v>22071.951800000003</v>
      </c>
      <c r="N494" s="3">
        <f>tblTransactions[[#This Row],[Profit]]/tblTransactions[[#This Row],[Total_Amount]]</f>
        <v>0.37473729622171892</v>
      </c>
      <c r="O494" t="str">
        <f>TEXT(tblTransactions[[#This Row],[Date]], "MMM-YYYY")</f>
        <v>Apr-2023</v>
      </c>
      <c r="P494" t="str">
        <f>"Q"&amp;ROUNDUP(MONTH(tblTransactions[[#This Row],[Date]])/3,0)&amp;"-"&amp;YEAR(tblTransactions[[#This Row],[Date]])</f>
        <v>Q2-2023</v>
      </c>
      <c r="Q494">
        <f>YEAR(tblTransactions[[#This Row],[Date]])</f>
        <v>2023</v>
      </c>
      <c r="R494" t="str">
        <f>TEXT(tblTransactions[[#This Row],[Date]],"DDDD")</f>
        <v>Saturday</v>
      </c>
      <c r="S494">
        <f>MONTH(tblTransactions[[#This Row],[Date]])</f>
        <v>4</v>
      </c>
      <c r="T494" t="str">
        <f>VLOOKUP(E494, Products!$A:$B,2,0)</f>
        <v>Laptops Ele-2</v>
      </c>
      <c r="U494" t="str">
        <f>VLOOKUP(E494,Products!$A:$C,3,0)</f>
        <v>Electronics</v>
      </c>
      <c r="V494" t="str">
        <f>VLOOKUP(E494,Products!$A:$D,4,0)</f>
        <v>Laptops</v>
      </c>
      <c r="W494" t="str">
        <f>VLOOKUP(D494,Customers!$A:$C,3,0)</f>
        <v>Enterprise</v>
      </c>
      <c r="X494" t="str">
        <f>VLOOKUP(C494,Sales_Representatives!$A:$B,2,0)</f>
        <v>Richard Wilson</v>
      </c>
    </row>
    <row r="495" spans="1:24" x14ac:dyDescent="0.3">
      <c r="A495" t="s">
        <v>762</v>
      </c>
      <c r="B495" t="s">
        <v>759</v>
      </c>
      <c r="C495" t="s">
        <v>13</v>
      </c>
      <c r="D495" t="s">
        <v>527</v>
      </c>
      <c r="E495" t="s">
        <v>258</v>
      </c>
      <c r="F495">
        <v>4</v>
      </c>
      <c r="G495">
        <v>73.33</v>
      </c>
      <c r="H495">
        <v>0.03</v>
      </c>
      <c r="I495" s="4">
        <v>284.52</v>
      </c>
      <c r="J495" t="s">
        <v>16</v>
      </c>
      <c r="K495" t="s">
        <v>48</v>
      </c>
      <c r="L495" s="4">
        <f>VLOOKUP(tblTransactions[[#This Row],[Product_ID]],tblProducts[],5,FALSE)</f>
        <v>38.049999999999997</v>
      </c>
      <c r="M495" s="4">
        <f>tblTransactions[[#This Row],[Total_Amount]]-(tblTransactions[[#This Row],[Cost_Prices]]*tblTransactions[[#This Row],[Quantity]]*(1-tblTransactions[[#This Row],[Discount]]))</f>
        <v>136.886</v>
      </c>
      <c r="N495" s="3">
        <f>tblTransactions[[#This Row],[Profit]]/tblTransactions[[#This Row],[Total_Amount]]</f>
        <v>0.48111204836215382</v>
      </c>
      <c r="O495" t="str">
        <f>TEXT(tblTransactions[[#This Row],[Date]], "MMM-YYYY")</f>
        <v>Apr-2023</v>
      </c>
      <c r="P495" t="str">
        <f>"Q"&amp;ROUNDUP(MONTH(tblTransactions[[#This Row],[Date]])/3,0)&amp;"-"&amp;YEAR(tblTransactions[[#This Row],[Date]])</f>
        <v>Q2-2023</v>
      </c>
      <c r="Q495">
        <f>YEAR(tblTransactions[[#This Row],[Date]])</f>
        <v>2023</v>
      </c>
      <c r="R495" t="str">
        <f>TEXT(tblTransactions[[#This Row],[Date]],"DDDD")</f>
        <v>Saturday</v>
      </c>
      <c r="S495">
        <f>MONTH(tblTransactions[[#This Row],[Date]])</f>
        <v>4</v>
      </c>
      <c r="T495" t="str">
        <f>VLOOKUP(E495, Products!$A:$B,2,0)</f>
        <v>Keyboards Acc-3</v>
      </c>
      <c r="U495" t="str">
        <f>VLOOKUP(E495,Products!$A:$C,3,0)</f>
        <v>Accessories</v>
      </c>
      <c r="V495" t="str">
        <f>VLOOKUP(E495,Products!$A:$D,4,0)</f>
        <v>Keyboards</v>
      </c>
      <c r="W495" t="str">
        <f>VLOOKUP(D495,Customers!$A:$C,3,0)</f>
        <v>B2C</v>
      </c>
      <c r="X495" t="str">
        <f>VLOOKUP(C495,Sales_Representatives!$A:$B,2,0)</f>
        <v>Jennifer Rodriguez</v>
      </c>
    </row>
    <row r="496" spans="1:24" x14ac:dyDescent="0.3">
      <c r="A496" t="s">
        <v>763</v>
      </c>
      <c r="B496" t="s">
        <v>764</v>
      </c>
      <c r="C496" t="s">
        <v>70</v>
      </c>
      <c r="D496" t="s">
        <v>327</v>
      </c>
      <c r="E496" t="s">
        <v>314</v>
      </c>
      <c r="F496">
        <v>1</v>
      </c>
      <c r="G496">
        <v>204.97</v>
      </c>
      <c r="H496">
        <v>0.04</v>
      </c>
      <c r="I496" s="4">
        <v>196.77</v>
      </c>
      <c r="J496" t="s">
        <v>16</v>
      </c>
      <c r="K496" t="s">
        <v>17</v>
      </c>
      <c r="L496" s="4">
        <f>VLOOKUP(tblTransactions[[#This Row],[Product_ID]],tblProducts[],5,FALSE)</f>
        <v>121.53</v>
      </c>
      <c r="M496" s="4">
        <f>tblTransactions[[#This Row],[Total_Amount]]-(tblTransactions[[#This Row],[Cost_Prices]]*tblTransactions[[#This Row],[Quantity]]*(1-tblTransactions[[#This Row],[Discount]]))</f>
        <v>80.10120000000002</v>
      </c>
      <c r="N496" s="3">
        <f>tblTransactions[[#This Row],[Profit]]/tblTransactions[[#This Row],[Total_Amount]]</f>
        <v>0.40708034761396561</v>
      </c>
      <c r="O496" t="str">
        <f>TEXT(tblTransactions[[#This Row],[Date]], "MMM-YYYY")</f>
        <v>Apr-2023</v>
      </c>
      <c r="P496" t="str">
        <f>"Q"&amp;ROUNDUP(MONTH(tblTransactions[[#This Row],[Date]])/3,0)&amp;"-"&amp;YEAR(tblTransactions[[#This Row],[Date]])</f>
        <v>Q2-2023</v>
      </c>
      <c r="Q496">
        <f>YEAR(tblTransactions[[#This Row],[Date]])</f>
        <v>2023</v>
      </c>
      <c r="R496" t="str">
        <f>TEXT(tblTransactions[[#This Row],[Date]],"DDDD")</f>
        <v>Sunday</v>
      </c>
      <c r="S496">
        <f>MONTH(tblTransactions[[#This Row],[Date]])</f>
        <v>4</v>
      </c>
      <c r="T496" t="str">
        <f>VLOOKUP(E496, Products!$A:$B,2,0)</f>
        <v>Adapters Acc-3</v>
      </c>
      <c r="U496" t="str">
        <f>VLOOKUP(E496,Products!$A:$C,3,0)</f>
        <v>Accessories</v>
      </c>
      <c r="V496" t="str">
        <f>VLOOKUP(E496,Products!$A:$D,4,0)</f>
        <v>Adapters</v>
      </c>
      <c r="W496" t="str">
        <f>VLOOKUP(D496,Customers!$A:$C,3,0)</f>
        <v>B2C</v>
      </c>
      <c r="X496" t="str">
        <f>VLOOKUP(C496,Sales_Representatives!$A:$B,2,0)</f>
        <v>Linda Smith</v>
      </c>
    </row>
    <row r="497" spans="1:24" x14ac:dyDescent="0.3">
      <c r="A497" t="s">
        <v>765</v>
      </c>
      <c r="B497" t="s">
        <v>764</v>
      </c>
      <c r="C497" t="s">
        <v>56</v>
      </c>
      <c r="D497" t="s">
        <v>156</v>
      </c>
      <c r="E497" t="s">
        <v>87</v>
      </c>
      <c r="F497">
        <v>2</v>
      </c>
      <c r="G497">
        <v>1047.8900000000001</v>
      </c>
      <c r="H497">
        <v>0.01</v>
      </c>
      <c r="I497" s="4">
        <v>2074.8200000000002</v>
      </c>
      <c r="J497" t="s">
        <v>34</v>
      </c>
      <c r="K497" t="s">
        <v>17</v>
      </c>
      <c r="L497" s="4">
        <f>VLOOKUP(tblTransactions[[#This Row],[Product_ID]],tblProducts[],5,FALSE)</f>
        <v>742.63</v>
      </c>
      <c r="M497" s="4">
        <f>tblTransactions[[#This Row],[Total_Amount]]-(tblTransactions[[#This Row],[Cost_Prices]]*tblTransactions[[#This Row],[Quantity]]*(1-tblTransactions[[#This Row],[Discount]]))</f>
        <v>604.41260000000011</v>
      </c>
      <c r="N497" s="3">
        <f>tblTransactions[[#This Row],[Profit]]/tblTransactions[[#This Row],[Total_Amount]]</f>
        <v>0.29130845085356805</v>
      </c>
      <c r="O497" t="str">
        <f>TEXT(tblTransactions[[#This Row],[Date]], "MMM-YYYY")</f>
        <v>Apr-2023</v>
      </c>
      <c r="P497" t="str">
        <f>"Q"&amp;ROUNDUP(MONTH(tblTransactions[[#This Row],[Date]])/3,0)&amp;"-"&amp;YEAR(tblTransactions[[#This Row],[Date]])</f>
        <v>Q2-2023</v>
      </c>
      <c r="Q497">
        <f>YEAR(tblTransactions[[#This Row],[Date]])</f>
        <v>2023</v>
      </c>
      <c r="R497" t="str">
        <f>TEXT(tblTransactions[[#This Row],[Date]],"DDDD")</f>
        <v>Sunday</v>
      </c>
      <c r="S497">
        <f>MONTH(tblTransactions[[#This Row],[Date]])</f>
        <v>4</v>
      </c>
      <c r="T497" t="str">
        <f>VLOOKUP(E497, Products!$A:$B,2,0)</f>
        <v>Monitors Tec-2</v>
      </c>
      <c r="U497" t="str">
        <f>VLOOKUP(E497,Products!$A:$C,3,0)</f>
        <v>Technology</v>
      </c>
      <c r="V497" t="str">
        <f>VLOOKUP(E497,Products!$A:$D,4,0)</f>
        <v>Monitors</v>
      </c>
      <c r="W497" t="str">
        <f>VLOOKUP(D497,Customers!$A:$C,3,0)</f>
        <v>B2B</v>
      </c>
      <c r="X497" t="str">
        <f>VLOOKUP(C497,Sales_Representatives!$A:$B,2,0)</f>
        <v>Thomas Hernandez</v>
      </c>
    </row>
    <row r="498" spans="1:24" x14ac:dyDescent="0.3">
      <c r="A498" t="s">
        <v>766</v>
      </c>
      <c r="B498" t="s">
        <v>764</v>
      </c>
      <c r="C498" t="s">
        <v>70</v>
      </c>
      <c r="D498" t="s">
        <v>95</v>
      </c>
      <c r="E498" t="s">
        <v>324</v>
      </c>
      <c r="F498">
        <v>32</v>
      </c>
      <c r="G498">
        <v>245.76</v>
      </c>
      <c r="H498">
        <v>0.17</v>
      </c>
      <c r="I498" s="4">
        <v>6527.39</v>
      </c>
      <c r="J498" t="s">
        <v>16</v>
      </c>
      <c r="K498" t="s">
        <v>22</v>
      </c>
      <c r="L498" s="4">
        <f>VLOOKUP(tblTransactions[[#This Row],[Product_ID]],tblProducts[],5,FALSE)</f>
        <v>161.94</v>
      </c>
      <c r="M498" s="4">
        <f>tblTransactions[[#This Row],[Total_Amount]]-(tblTransactions[[#This Row],[Cost_Prices]]*tblTransactions[[#This Row],[Quantity]]*(1-tblTransactions[[#This Row],[Discount]]))</f>
        <v>2226.2636000000002</v>
      </c>
      <c r="N498" s="3">
        <f>tblTransactions[[#This Row],[Profit]]/tblTransactions[[#This Row],[Total_Amount]]</f>
        <v>0.34106489730198442</v>
      </c>
      <c r="O498" t="str">
        <f>TEXT(tblTransactions[[#This Row],[Date]], "MMM-YYYY")</f>
        <v>Apr-2023</v>
      </c>
      <c r="P498" t="str">
        <f>"Q"&amp;ROUNDUP(MONTH(tblTransactions[[#This Row],[Date]])/3,0)&amp;"-"&amp;YEAR(tblTransactions[[#This Row],[Date]])</f>
        <v>Q2-2023</v>
      </c>
      <c r="Q498">
        <f>YEAR(tblTransactions[[#This Row],[Date]])</f>
        <v>2023</v>
      </c>
      <c r="R498" t="str">
        <f>TEXT(tblTransactions[[#This Row],[Date]],"DDDD")</f>
        <v>Sunday</v>
      </c>
      <c r="S498">
        <f>MONTH(tblTransactions[[#This Row],[Date]])</f>
        <v>4</v>
      </c>
      <c r="T498" t="str">
        <f>VLOOKUP(E498, Products!$A:$B,2,0)</f>
        <v>Storage Fur-1</v>
      </c>
      <c r="U498" t="str">
        <f>VLOOKUP(E498,Products!$A:$C,3,0)</f>
        <v>Furniture</v>
      </c>
      <c r="V498" t="str">
        <f>VLOOKUP(E498,Products!$A:$D,4,0)</f>
        <v>Storage</v>
      </c>
      <c r="W498" t="str">
        <f>VLOOKUP(D498,Customers!$A:$C,3,0)</f>
        <v>Enterprise</v>
      </c>
      <c r="X498" t="str">
        <f>VLOOKUP(C498,Sales_Representatives!$A:$B,2,0)</f>
        <v>Linda Smith</v>
      </c>
    </row>
    <row r="499" spans="1:24" x14ac:dyDescent="0.3">
      <c r="A499" t="s">
        <v>767</v>
      </c>
      <c r="B499" t="s">
        <v>764</v>
      </c>
      <c r="C499" t="s">
        <v>82</v>
      </c>
      <c r="D499" t="s">
        <v>166</v>
      </c>
      <c r="E499" t="s">
        <v>324</v>
      </c>
      <c r="F499">
        <v>2</v>
      </c>
      <c r="G499">
        <v>245.76</v>
      </c>
      <c r="H499">
        <v>0.09</v>
      </c>
      <c r="I499" s="4">
        <v>447.28</v>
      </c>
      <c r="J499" t="s">
        <v>34</v>
      </c>
      <c r="K499" t="s">
        <v>35</v>
      </c>
      <c r="L499" s="4">
        <f>VLOOKUP(tblTransactions[[#This Row],[Product_ID]],tblProducts[],5,FALSE)</f>
        <v>161.94</v>
      </c>
      <c r="M499" s="4">
        <f>tblTransactions[[#This Row],[Total_Amount]]-(tblTransactions[[#This Row],[Cost_Prices]]*tblTransactions[[#This Row],[Quantity]]*(1-tblTransactions[[#This Row],[Discount]]))</f>
        <v>152.54919999999998</v>
      </c>
      <c r="N499" s="3">
        <f>tblTransactions[[#This Row],[Profit]]/tblTransactions[[#This Row],[Total_Amount]]</f>
        <v>0.34105973886603469</v>
      </c>
      <c r="O499" t="str">
        <f>TEXT(tblTransactions[[#This Row],[Date]], "MMM-YYYY")</f>
        <v>Apr-2023</v>
      </c>
      <c r="P499" t="str">
        <f>"Q"&amp;ROUNDUP(MONTH(tblTransactions[[#This Row],[Date]])/3,0)&amp;"-"&amp;YEAR(tblTransactions[[#This Row],[Date]])</f>
        <v>Q2-2023</v>
      </c>
      <c r="Q499">
        <f>YEAR(tblTransactions[[#This Row],[Date]])</f>
        <v>2023</v>
      </c>
      <c r="R499" t="str">
        <f>TEXT(tblTransactions[[#This Row],[Date]],"DDDD")</f>
        <v>Sunday</v>
      </c>
      <c r="S499">
        <f>MONTH(tblTransactions[[#This Row],[Date]])</f>
        <v>4</v>
      </c>
      <c r="T499" t="str">
        <f>VLOOKUP(E499, Products!$A:$B,2,0)</f>
        <v>Storage Fur-1</v>
      </c>
      <c r="U499" t="str">
        <f>VLOOKUP(E499,Products!$A:$C,3,0)</f>
        <v>Furniture</v>
      </c>
      <c r="V499" t="str">
        <f>VLOOKUP(E499,Products!$A:$D,4,0)</f>
        <v>Storage</v>
      </c>
      <c r="W499" t="str">
        <f>VLOOKUP(D499,Customers!$A:$C,3,0)</f>
        <v>B2C</v>
      </c>
      <c r="X499" t="str">
        <f>VLOOKUP(C499,Sales_Representatives!$A:$B,2,0)</f>
        <v>John Brown</v>
      </c>
    </row>
    <row r="500" spans="1:24" x14ac:dyDescent="0.3">
      <c r="A500" t="s">
        <v>768</v>
      </c>
      <c r="B500" t="s">
        <v>764</v>
      </c>
      <c r="C500" t="s">
        <v>13</v>
      </c>
      <c r="D500" t="s">
        <v>71</v>
      </c>
      <c r="E500" t="s">
        <v>29</v>
      </c>
      <c r="F500">
        <v>12</v>
      </c>
      <c r="G500">
        <v>1363.46</v>
      </c>
      <c r="H500">
        <v>0.17</v>
      </c>
      <c r="I500" s="4">
        <v>13580.06</v>
      </c>
      <c r="J500" t="s">
        <v>16</v>
      </c>
      <c r="K500" t="s">
        <v>17</v>
      </c>
      <c r="L500" s="4">
        <f>VLOOKUP(tblTransactions[[#This Row],[Product_ID]],tblProducts[],5,FALSE)</f>
        <v>995.41</v>
      </c>
      <c r="M500" s="4">
        <f>tblTransactions[[#This Row],[Total_Amount]]-(tblTransactions[[#This Row],[Cost_Prices]]*tblTransactions[[#This Row],[Quantity]]*(1-tblTransactions[[#This Row],[Discount]]))</f>
        <v>3665.7764000000006</v>
      </c>
      <c r="N500" s="3">
        <f>tblTransactions[[#This Row],[Profit]]/tblTransactions[[#This Row],[Total_Amount]]</f>
        <v>0.26993815933066573</v>
      </c>
      <c r="O500" t="str">
        <f>TEXT(tblTransactions[[#This Row],[Date]], "MMM-YYYY")</f>
        <v>Apr-2023</v>
      </c>
      <c r="P500" t="str">
        <f>"Q"&amp;ROUNDUP(MONTH(tblTransactions[[#This Row],[Date]])/3,0)&amp;"-"&amp;YEAR(tblTransactions[[#This Row],[Date]])</f>
        <v>Q2-2023</v>
      </c>
      <c r="Q500">
        <f>YEAR(tblTransactions[[#This Row],[Date]])</f>
        <v>2023</v>
      </c>
      <c r="R500" t="str">
        <f>TEXT(tblTransactions[[#This Row],[Date]],"DDDD")</f>
        <v>Sunday</v>
      </c>
      <c r="S500">
        <f>MONTH(tblTransactions[[#This Row],[Date]])</f>
        <v>4</v>
      </c>
      <c r="T500" t="str">
        <f>VLOOKUP(E500, Products!$A:$B,2,0)</f>
        <v>Phones Ele-3</v>
      </c>
      <c r="U500" t="str">
        <f>VLOOKUP(E500,Products!$A:$C,3,0)</f>
        <v>Electronics</v>
      </c>
      <c r="V500" t="str">
        <f>VLOOKUP(E500,Products!$A:$D,4,0)</f>
        <v>Phones</v>
      </c>
      <c r="W500" t="str">
        <f>VLOOKUP(D500,Customers!$A:$C,3,0)</f>
        <v>B2B</v>
      </c>
      <c r="X500" t="str">
        <f>VLOOKUP(C500,Sales_Representatives!$A:$B,2,0)</f>
        <v>Jennifer Rodriguez</v>
      </c>
    </row>
    <row r="501" spans="1:24" x14ac:dyDescent="0.3">
      <c r="A501" t="s">
        <v>769</v>
      </c>
      <c r="B501" t="s">
        <v>764</v>
      </c>
      <c r="C501" t="s">
        <v>31</v>
      </c>
      <c r="D501" t="s">
        <v>210</v>
      </c>
      <c r="E501" t="s">
        <v>125</v>
      </c>
      <c r="F501">
        <v>2</v>
      </c>
      <c r="G501">
        <v>1201.4000000000001</v>
      </c>
      <c r="H501">
        <v>0.08</v>
      </c>
      <c r="I501" s="4">
        <v>2210.58</v>
      </c>
      <c r="J501" t="s">
        <v>34</v>
      </c>
      <c r="K501" t="s">
        <v>39</v>
      </c>
      <c r="L501" s="4">
        <f>VLOOKUP(tblTransactions[[#This Row],[Product_ID]],tblProducts[],5,FALSE)</f>
        <v>672.72</v>
      </c>
      <c r="M501" s="4">
        <f>tblTransactions[[#This Row],[Total_Amount]]-(tblTransactions[[#This Row],[Cost_Prices]]*tblTransactions[[#This Row],[Quantity]]*(1-tblTransactions[[#This Row],[Discount]]))</f>
        <v>972.77519999999981</v>
      </c>
      <c r="N501" s="3">
        <f>tblTransactions[[#This Row],[Profit]]/tblTransactions[[#This Row],[Total_Amount]]</f>
        <v>0.44005428439595029</v>
      </c>
      <c r="O501" t="str">
        <f>TEXT(tblTransactions[[#This Row],[Date]], "MMM-YYYY")</f>
        <v>Apr-2023</v>
      </c>
      <c r="P501" t="str">
        <f>"Q"&amp;ROUNDUP(MONTH(tblTransactions[[#This Row],[Date]])/3,0)&amp;"-"&amp;YEAR(tblTransactions[[#This Row],[Date]])</f>
        <v>Q2-2023</v>
      </c>
      <c r="Q501">
        <f>YEAR(tblTransactions[[#This Row],[Date]])</f>
        <v>2023</v>
      </c>
      <c r="R501" t="str">
        <f>TEXT(tblTransactions[[#This Row],[Date]],"DDDD")</f>
        <v>Sunday</v>
      </c>
      <c r="S501">
        <f>MONTH(tblTransactions[[#This Row],[Date]])</f>
        <v>4</v>
      </c>
      <c r="T501" t="str">
        <f>VLOOKUP(E501, Products!$A:$B,2,0)</f>
        <v>Printers Tec-2</v>
      </c>
      <c r="U501" t="str">
        <f>VLOOKUP(E501,Products!$A:$C,3,0)</f>
        <v>Technology</v>
      </c>
      <c r="V501" t="str">
        <f>VLOOKUP(E501,Products!$A:$D,4,0)</f>
        <v>Printers</v>
      </c>
      <c r="W501" t="str">
        <f>VLOOKUP(D501,Customers!$A:$C,3,0)</f>
        <v>B2B</v>
      </c>
      <c r="X501" t="str">
        <f>VLOOKUP(C501,Sales_Representatives!$A:$B,2,0)</f>
        <v>Thomas Martinez</v>
      </c>
    </row>
    <row r="502" spans="1:24" x14ac:dyDescent="0.3">
      <c r="A502" t="s">
        <v>770</v>
      </c>
      <c r="B502" t="s">
        <v>764</v>
      </c>
      <c r="C502" t="s">
        <v>75</v>
      </c>
      <c r="D502" t="s">
        <v>216</v>
      </c>
      <c r="E502" t="s">
        <v>145</v>
      </c>
      <c r="F502">
        <v>2</v>
      </c>
      <c r="G502">
        <v>93.43</v>
      </c>
      <c r="H502">
        <v>0.04</v>
      </c>
      <c r="I502" s="4">
        <v>179.39</v>
      </c>
      <c r="J502" t="s">
        <v>44</v>
      </c>
      <c r="K502" t="s">
        <v>48</v>
      </c>
      <c r="L502" s="4">
        <f>VLOOKUP(tblTransactions[[#This Row],[Product_ID]],tblProducts[],5,FALSE)</f>
        <v>45.74</v>
      </c>
      <c r="M502" s="4">
        <f>tblTransactions[[#This Row],[Total_Amount]]-(tblTransactions[[#This Row],[Cost_Prices]]*tblTransactions[[#This Row],[Quantity]]*(1-tblTransactions[[#This Row],[Discount]]))</f>
        <v>91.569199999999981</v>
      </c>
      <c r="N502" s="3">
        <f>tblTransactions[[#This Row],[Profit]]/tblTransactions[[#This Row],[Total_Amount]]</f>
        <v>0.51044762807291366</v>
      </c>
      <c r="O502" t="str">
        <f>TEXT(tblTransactions[[#This Row],[Date]], "MMM-YYYY")</f>
        <v>Apr-2023</v>
      </c>
      <c r="P502" t="str">
        <f>"Q"&amp;ROUNDUP(MONTH(tblTransactions[[#This Row],[Date]])/3,0)&amp;"-"&amp;YEAR(tblTransactions[[#This Row],[Date]])</f>
        <v>Q2-2023</v>
      </c>
      <c r="Q502">
        <f>YEAR(tblTransactions[[#This Row],[Date]])</f>
        <v>2023</v>
      </c>
      <c r="R502" t="str">
        <f>TEXT(tblTransactions[[#This Row],[Date]],"DDDD")</f>
        <v>Sunday</v>
      </c>
      <c r="S502">
        <f>MONTH(tblTransactions[[#This Row],[Date]])</f>
        <v>4</v>
      </c>
      <c r="T502" t="str">
        <f>VLOOKUP(E502, Products!$A:$B,2,0)</f>
        <v>Paper Off-1</v>
      </c>
      <c r="U502" t="str">
        <f>VLOOKUP(E502,Products!$A:$C,3,0)</f>
        <v>Office Supplies</v>
      </c>
      <c r="V502" t="str">
        <f>VLOOKUP(E502,Products!$A:$D,4,0)</f>
        <v>Paper</v>
      </c>
      <c r="W502" t="str">
        <f>VLOOKUP(D502,Customers!$A:$C,3,0)</f>
        <v>Small Business</v>
      </c>
      <c r="X502" t="str">
        <f>VLOOKUP(C502,Sales_Representatives!$A:$B,2,0)</f>
        <v>Jessica Anderson</v>
      </c>
    </row>
    <row r="503" spans="1:24" x14ac:dyDescent="0.3">
      <c r="A503" t="s">
        <v>771</v>
      </c>
      <c r="B503" t="s">
        <v>764</v>
      </c>
      <c r="C503" t="s">
        <v>70</v>
      </c>
      <c r="D503" t="s">
        <v>50</v>
      </c>
      <c r="E503" t="s">
        <v>394</v>
      </c>
      <c r="F503">
        <v>6</v>
      </c>
      <c r="G503">
        <v>314.69</v>
      </c>
      <c r="H503">
        <v>0.06</v>
      </c>
      <c r="I503" s="4">
        <v>1774.85</v>
      </c>
      <c r="J503" t="s">
        <v>16</v>
      </c>
      <c r="K503" t="s">
        <v>17</v>
      </c>
      <c r="L503" s="4">
        <f>VLOOKUP(tblTransactions[[#This Row],[Product_ID]],tblProducts[],5,FALSE)</f>
        <v>185.43</v>
      </c>
      <c r="M503" s="4">
        <f>tblTransactions[[#This Row],[Total_Amount]]-(tblTransactions[[#This Row],[Cost_Prices]]*tblTransactions[[#This Row],[Quantity]]*(1-tblTransactions[[#This Row],[Discount]]))</f>
        <v>729.02480000000014</v>
      </c>
      <c r="N503" s="3">
        <f>tblTransactions[[#This Row],[Profit]]/tblTransactions[[#This Row],[Total_Amount]]</f>
        <v>0.41075290869650966</v>
      </c>
      <c r="O503" t="str">
        <f>TEXT(tblTransactions[[#This Row],[Date]], "MMM-YYYY")</f>
        <v>Apr-2023</v>
      </c>
      <c r="P503" t="str">
        <f>"Q"&amp;ROUNDUP(MONTH(tblTransactions[[#This Row],[Date]])/3,0)&amp;"-"&amp;YEAR(tblTransactions[[#This Row],[Date]])</f>
        <v>Q2-2023</v>
      </c>
      <c r="Q503">
        <f>YEAR(tblTransactions[[#This Row],[Date]])</f>
        <v>2023</v>
      </c>
      <c r="R503" t="str">
        <f>TEXT(tblTransactions[[#This Row],[Date]],"DDDD")</f>
        <v>Sunday</v>
      </c>
      <c r="S503">
        <f>MONTH(tblTransactions[[#This Row],[Date]])</f>
        <v>4</v>
      </c>
      <c r="T503" t="str">
        <f>VLOOKUP(E503, Products!$A:$B,2,0)</f>
        <v>Desks Fur-1</v>
      </c>
      <c r="U503" t="str">
        <f>VLOOKUP(E503,Products!$A:$C,3,0)</f>
        <v>Furniture</v>
      </c>
      <c r="V503" t="str">
        <f>VLOOKUP(E503,Products!$A:$D,4,0)</f>
        <v>Desks</v>
      </c>
      <c r="W503" t="str">
        <f>VLOOKUP(D503,Customers!$A:$C,3,0)</f>
        <v>Small Business</v>
      </c>
      <c r="X503" t="str">
        <f>VLOOKUP(C503,Sales_Representatives!$A:$B,2,0)</f>
        <v>Linda Smith</v>
      </c>
    </row>
    <row r="504" spans="1:24" x14ac:dyDescent="0.3">
      <c r="A504" t="s">
        <v>772</v>
      </c>
      <c r="B504" t="s">
        <v>764</v>
      </c>
      <c r="C504" t="s">
        <v>41</v>
      </c>
      <c r="D504" t="s">
        <v>95</v>
      </c>
      <c r="E504" t="s">
        <v>152</v>
      </c>
      <c r="F504">
        <v>11</v>
      </c>
      <c r="G504">
        <v>859.93</v>
      </c>
      <c r="H504">
        <v>0.2</v>
      </c>
      <c r="I504" s="4">
        <v>7567.38</v>
      </c>
      <c r="J504" t="s">
        <v>44</v>
      </c>
      <c r="K504" t="s">
        <v>35</v>
      </c>
      <c r="L504" s="4">
        <f>VLOOKUP(tblTransactions[[#This Row],[Product_ID]],tblProducts[],5,FALSE)</f>
        <v>579.79</v>
      </c>
      <c r="M504" s="4">
        <f>tblTransactions[[#This Row],[Total_Amount]]-(tblTransactions[[#This Row],[Cost_Prices]]*tblTransactions[[#This Row],[Quantity]]*(1-tblTransactions[[#This Row],[Discount]]))</f>
        <v>2465.2280000000001</v>
      </c>
      <c r="N504" s="3">
        <f>tblTransactions[[#This Row],[Profit]]/tblTransactions[[#This Row],[Total_Amount]]</f>
        <v>0.32577034587928716</v>
      </c>
      <c r="O504" t="str">
        <f>TEXT(tblTransactions[[#This Row],[Date]], "MMM-YYYY")</f>
        <v>Apr-2023</v>
      </c>
      <c r="P504" t="str">
        <f>"Q"&amp;ROUNDUP(MONTH(tblTransactions[[#This Row],[Date]])/3,0)&amp;"-"&amp;YEAR(tblTransactions[[#This Row],[Date]])</f>
        <v>Q2-2023</v>
      </c>
      <c r="Q504">
        <f>YEAR(tblTransactions[[#This Row],[Date]])</f>
        <v>2023</v>
      </c>
      <c r="R504" t="str">
        <f>TEXT(tblTransactions[[#This Row],[Date]],"DDDD")</f>
        <v>Sunday</v>
      </c>
      <c r="S504">
        <f>MONTH(tblTransactions[[#This Row],[Date]])</f>
        <v>4</v>
      </c>
      <c r="T504" t="str">
        <f>VLOOKUP(E504, Products!$A:$B,2,0)</f>
        <v>Phones Ele-4</v>
      </c>
      <c r="U504" t="str">
        <f>VLOOKUP(E504,Products!$A:$C,3,0)</f>
        <v>Electronics</v>
      </c>
      <c r="V504" t="str">
        <f>VLOOKUP(E504,Products!$A:$D,4,0)</f>
        <v>Phones</v>
      </c>
      <c r="W504" t="str">
        <f>VLOOKUP(D504,Customers!$A:$C,3,0)</f>
        <v>Enterprise</v>
      </c>
      <c r="X504" t="str">
        <f>VLOOKUP(C504,Sales_Representatives!$A:$B,2,0)</f>
        <v>Robert Jones</v>
      </c>
    </row>
    <row r="505" spans="1:24" x14ac:dyDescent="0.3">
      <c r="A505" t="s">
        <v>773</v>
      </c>
      <c r="B505" t="s">
        <v>774</v>
      </c>
      <c r="C505" t="s">
        <v>19</v>
      </c>
      <c r="D505" t="s">
        <v>124</v>
      </c>
      <c r="E505" t="s">
        <v>255</v>
      </c>
      <c r="F505">
        <v>15</v>
      </c>
      <c r="G505">
        <v>1444.13</v>
      </c>
      <c r="H505">
        <v>0.18</v>
      </c>
      <c r="I505" s="4">
        <v>17762.8</v>
      </c>
      <c r="J505" t="s">
        <v>21</v>
      </c>
      <c r="K505" t="s">
        <v>17</v>
      </c>
      <c r="L505" s="4">
        <f>VLOOKUP(tblTransactions[[#This Row],[Product_ID]],tblProducts[],5,FALSE)</f>
        <v>874.43</v>
      </c>
      <c r="M505" s="4">
        <f>tblTransactions[[#This Row],[Total_Amount]]-(tblTransactions[[#This Row],[Cost_Prices]]*tblTransactions[[#This Row],[Quantity]]*(1-tblTransactions[[#This Row],[Discount]]))</f>
        <v>7007.3109999999997</v>
      </c>
      <c r="N505" s="3">
        <f>tblTransactions[[#This Row],[Profit]]/tblTransactions[[#This Row],[Total_Amount]]</f>
        <v>0.39449360461188554</v>
      </c>
      <c r="O505" t="str">
        <f>TEXT(tblTransactions[[#This Row],[Date]], "MMM-YYYY")</f>
        <v>Apr-2023</v>
      </c>
      <c r="P505" t="str">
        <f>"Q"&amp;ROUNDUP(MONTH(tblTransactions[[#This Row],[Date]])/3,0)&amp;"-"&amp;YEAR(tblTransactions[[#This Row],[Date]])</f>
        <v>Q2-2023</v>
      </c>
      <c r="Q505">
        <f>YEAR(tblTransactions[[#This Row],[Date]])</f>
        <v>2023</v>
      </c>
      <c r="R505" t="str">
        <f>TEXT(tblTransactions[[#This Row],[Date]],"DDDD")</f>
        <v>Monday</v>
      </c>
      <c r="S505">
        <f>MONTH(tblTransactions[[#This Row],[Date]])</f>
        <v>4</v>
      </c>
      <c r="T505" t="str">
        <f>VLOOKUP(E505, Products!$A:$B,2,0)</f>
        <v>Printers Tec-1</v>
      </c>
      <c r="U505" t="str">
        <f>VLOOKUP(E505,Products!$A:$C,3,0)</f>
        <v>Technology</v>
      </c>
      <c r="V505" t="str">
        <f>VLOOKUP(E505,Products!$A:$D,4,0)</f>
        <v>Printers</v>
      </c>
      <c r="W505" t="str">
        <f>VLOOKUP(D505,Customers!$A:$C,3,0)</f>
        <v>B2B</v>
      </c>
      <c r="X505" t="str">
        <f>VLOOKUP(C505,Sales_Representatives!$A:$B,2,0)</f>
        <v>Robert Jones</v>
      </c>
    </row>
    <row r="506" spans="1:24" x14ac:dyDescent="0.3">
      <c r="A506" t="s">
        <v>775</v>
      </c>
      <c r="B506" t="s">
        <v>774</v>
      </c>
      <c r="C506" t="s">
        <v>27</v>
      </c>
      <c r="D506" t="s">
        <v>212</v>
      </c>
      <c r="E506" t="s">
        <v>137</v>
      </c>
      <c r="F506">
        <v>2</v>
      </c>
      <c r="G506">
        <v>241.39</v>
      </c>
      <c r="H506">
        <v>0.09</v>
      </c>
      <c r="I506" s="4">
        <v>439.33</v>
      </c>
      <c r="J506" t="s">
        <v>16</v>
      </c>
      <c r="K506" t="s">
        <v>48</v>
      </c>
      <c r="L506" s="4">
        <f>VLOOKUP(tblTransactions[[#This Row],[Product_ID]],tblProducts[],5,FALSE)</f>
        <v>124.07</v>
      </c>
      <c r="M506" s="4">
        <f>tblTransactions[[#This Row],[Total_Amount]]-(tblTransactions[[#This Row],[Cost_Prices]]*tblTransactions[[#This Row],[Quantity]]*(1-tblTransactions[[#This Row],[Discount]]))</f>
        <v>213.52259999999998</v>
      </c>
      <c r="N506" s="3">
        <f>tblTransactions[[#This Row],[Profit]]/tblTransactions[[#This Row],[Total_Amount]]</f>
        <v>0.48601871030887939</v>
      </c>
      <c r="O506" t="str">
        <f>TEXT(tblTransactions[[#This Row],[Date]], "MMM-YYYY")</f>
        <v>Apr-2023</v>
      </c>
      <c r="P506" t="str">
        <f>"Q"&amp;ROUNDUP(MONTH(tblTransactions[[#This Row],[Date]])/3,0)&amp;"-"&amp;YEAR(tblTransactions[[#This Row],[Date]])</f>
        <v>Q2-2023</v>
      </c>
      <c r="Q506">
        <f>YEAR(tblTransactions[[#This Row],[Date]])</f>
        <v>2023</v>
      </c>
      <c r="R506" t="str">
        <f>TEXT(tblTransactions[[#This Row],[Date]],"DDDD")</f>
        <v>Monday</v>
      </c>
      <c r="S506">
        <f>MONTH(tblTransactions[[#This Row],[Date]])</f>
        <v>4</v>
      </c>
      <c r="T506" t="str">
        <f>VLOOKUP(E506, Products!$A:$B,2,0)</f>
        <v>Desks Fur-2</v>
      </c>
      <c r="U506" t="str">
        <f>VLOOKUP(E506,Products!$A:$C,3,0)</f>
        <v>Furniture</v>
      </c>
      <c r="V506" t="str">
        <f>VLOOKUP(E506,Products!$A:$D,4,0)</f>
        <v>Desks</v>
      </c>
      <c r="W506" t="str">
        <f>VLOOKUP(D506,Customers!$A:$C,3,0)</f>
        <v>B2C</v>
      </c>
      <c r="X506" t="str">
        <f>VLOOKUP(C506,Sales_Representatives!$A:$B,2,0)</f>
        <v>Thomas Lopez</v>
      </c>
    </row>
    <row r="507" spans="1:24" x14ac:dyDescent="0.3">
      <c r="A507" t="s">
        <v>776</v>
      </c>
      <c r="B507" t="s">
        <v>774</v>
      </c>
      <c r="C507" t="s">
        <v>131</v>
      </c>
      <c r="D507" t="s">
        <v>115</v>
      </c>
      <c r="E507" t="s">
        <v>314</v>
      </c>
      <c r="F507">
        <v>2</v>
      </c>
      <c r="G507">
        <v>204.97</v>
      </c>
      <c r="H507">
        <v>7.0000000000000007E-2</v>
      </c>
      <c r="I507" s="4">
        <v>381.24</v>
      </c>
      <c r="J507" t="s">
        <v>44</v>
      </c>
      <c r="K507" t="s">
        <v>22</v>
      </c>
      <c r="L507" s="4">
        <f>VLOOKUP(tblTransactions[[#This Row],[Product_ID]],tblProducts[],5,FALSE)</f>
        <v>121.53</v>
      </c>
      <c r="M507" s="4">
        <f>tblTransactions[[#This Row],[Total_Amount]]-(tblTransactions[[#This Row],[Cost_Prices]]*tblTransactions[[#This Row],[Quantity]]*(1-tblTransactions[[#This Row],[Discount]]))</f>
        <v>155.19420000000002</v>
      </c>
      <c r="N507" s="3">
        <f>tblTransactions[[#This Row],[Profit]]/tblTransactions[[#This Row],[Total_Amount]]</f>
        <v>0.40707743153918796</v>
      </c>
      <c r="O507" t="str">
        <f>TEXT(tblTransactions[[#This Row],[Date]], "MMM-YYYY")</f>
        <v>Apr-2023</v>
      </c>
      <c r="P507" t="str">
        <f>"Q"&amp;ROUNDUP(MONTH(tblTransactions[[#This Row],[Date]])/3,0)&amp;"-"&amp;YEAR(tblTransactions[[#This Row],[Date]])</f>
        <v>Q2-2023</v>
      </c>
      <c r="Q507">
        <f>YEAR(tblTransactions[[#This Row],[Date]])</f>
        <v>2023</v>
      </c>
      <c r="R507" t="str">
        <f>TEXT(tblTransactions[[#This Row],[Date]],"DDDD")</f>
        <v>Monday</v>
      </c>
      <c r="S507">
        <f>MONTH(tblTransactions[[#This Row],[Date]])</f>
        <v>4</v>
      </c>
      <c r="T507" t="str">
        <f>VLOOKUP(E507, Products!$A:$B,2,0)</f>
        <v>Adapters Acc-3</v>
      </c>
      <c r="U507" t="str">
        <f>VLOOKUP(E507,Products!$A:$C,3,0)</f>
        <v>Accessories</v>
      </c>
      <c r="V507" t="str">
        <f>VLOOKUP(E507,Products!$A:$D,4,0)</f>
        <v>Adapters</v>
      </c>
      <c r="W507" t="str">
        <f>VLOOKUP(D507,Customers!$A:$C,3,0)</f>
        <v>B2C</v>
      </c>
      <c r="X507" t="str">
        <f>VLOOKUP(C507,Sales_Representatives!$A:$B,2,0)</f>
        <v>Michael Davis</v>
      </c>
    </row>
    <row r="508" spans="1:24" x14ac:dyDescent="0.3">
      <c r="A508" t="s">
        <v>777</v>
      </c>
      <c r="B508" t="s">
        <v>774</v>
      </c>
      <c r="C508" t="s">
        <v>56</v>
      </c>
      <c r="D508" t="s">
        <v>237</v>
      </c>
      <c r="E508" t="s">
        <v>137</v>
      </c>
      <c r="F508">
        <v>7</v>
      </c>
      <c r="G508">
        <v>241.39</v>
      </c>
      <c r="H508">
        <v>0.1</v>
      </c>
      <c r="I508" s="4">
        <v>1520.76</v>
      </c>
      <c r="J508" t="s">
        <v>34</v>
      </c>
      <c r="K508" t="s">
        <v>39</v>
      </c>
      <c r="L508" s="4">
        <f>VLOOKUP(tblTransactions[[#This Row],[Product_ID]],tblProducts[],5,FALSE)</f>
        <v>124.07</v>
      </c>
      <c r="M508" s="4">
        <f>tblTransactions[[#This Row],[Total_Amount]]-(tblTransactions[[#This Row],[Cost_Prices]]*tblTransactions[[#This Row],[Quantity]]*(1-tblTransactions[[#This Row],[Discount]]))</f>
        <v>739.11899999999991</v>
      </c>
      <c r="N508" s="3">
        <f>tblTransactions[[#This Row],[Profit]]/tblTransactions[[#This Row],[Total_Amount]]</f>
        <v>0.48601949025487251</v>
      </c>
      <c r="O508" t="str">
        <f>TEXT(tblTransactions[[#This Row],[Date]], "MMM-YYYY")</f>
        <v>Apr-2023</v>
      </c>
      <c r="P508" t="str">
        <f>"Q"&amp;ROUNDUP(MONTH(tblTransactions[[#This Row],[Date]])/3,0)&amp;"-"&amp;YEAR(tblTransactions[[#This Row],[Date]])</f>
        <v>Q2-2023</v>
      </c>
      <c r="Q508">
        <f>YEAR(tblTransactions[[#This Row],[Date]])</f>
        <v>2023</v>
      </c>
      <c r="R508" t="str">
        <f>TEXT(tblTransactions[[#This Row],[Date]],"DDDD")</f>
        <v>Monday</v>
      </c>
      <c r="S508">
        <f>MONTH(tblTransactions[[#This Row],[Date]])</f>
        <v>4</v>
      </c>
      <c r="T508" t="str">
        <f>VLOOKUP(E508, Products!$A:$B,2,0)</f>
        <v>Desks Fur-2</v>
      </c>
      <c r="U508" t="str">
        <f>VLOOKUP(E508,Products!$A:$C,3,0)</f>
        <v>Furniture</v>
      </c>
      <c r="V508" t="str">
        <f>VLOOKUP(E508,Products!$A:$D,4,0)</f>
        <v>Desks</v>
      </c>
      <c r="W508" t="str">
        <f>VLOOKUP(D508,Customers!$A:$C,3,0)</f>
        <v>B2B</v>
      </c>
      <c r="X508" t="str">
        <f>VLOOKUP(C508,Sales_Representatives!$A:$B,2,0)</f>
        <v>Thomas Hernandez</v>
      </c>
    </row>
    <row r="509" spans="1:24" x14ac:dyDescent="0.3">
      <c r="A509" t="s">
        <v>778</v>
      </c>
      <c r="B509" t="s">
        <v>774</v>
      </c>
      <c r="C509" t="s">
        <v>31</v>
      </c>
      <c r="D509" t="s">
        <v>139</v>
      </c>
      <c r="E509" t="s">
        <v>200</v>
      </c>
      <c r="F509">
        <v>7</v>
      </c>
      <c r="G509">
        <v>544.77</v>
      </c>
      <c r="H509">
        <v>0.09</v>
      </c>
      <c r="I509" s="4">
        <v>3470.18</v>
      </c>
      <c r="J509" t="s">
        <v>34</v>
      </c>
      <c r="K509" t="s">
        <v>39</v>
      </c>
      <c r="L509" s="4">
        <f>VLOOKUP(tblTransactions[[#This Row],[Product_ID]],tblProducts[],5,FALSE)</f>
        <v>318.2</v>
      </c>
      <c r="M509" s="4">
        <f>tblTransactions[[#This Row],[Total_Amount]]-(tblTransactions[[#This Row],[Cost_Prices]]*tblTransactions[[#This Row],[Quantity]]*(1-tblTransactions[[#This Row],[Discount]]))</f>
        <v>1443.2459999999996</v>
      </c>
      <c r="N509" s="3">
        <f>tblTransactions[[#This Row],[Profit]]/tblTransactions[[#This Row],[Total_Amount]]</f>
        <v>0.41589946342840994</v>
      </c>
      <c r="O509" t="str">
        <f>TEXT(tblTransactions[[#This Row],[Date]], "MMM-YYYY")</f>
        <v>Apr-2023</v>
      </c>
      <c r="P509" t="str">
        <f>"Q"&amp;ROUNDUP(MONTH(tblTransactions[[#This Row],[Date]])/3,0)&amp;"-"&amp;YEAR(tblTransactions[[#This Row],[Date]])</f>
        <v>Q2-2023</v>
      </c>
      <c r="Q509">
        <f>YEAR(tblTransactions[[#This Row],[Date]])</f>
        <v>2023</v>
      </c>
      <c r="R509" t="str">
        <f>TEXT(tblTransactions[[#This Row],[Date]],"DDDD")</f>
        <v>Monday</v>
      </c>
      <c r="S509">
        <f>MONTH(tblTransactions[[#This Row],[Date]])</f>
        <v>4</v>
      </c>
      <c r="T509" t="str">
        <f>VLOOKUP(E509, Products!$A:$B,2,0)</f>
        <v>Desks Fur-4</v>
      </c>
      <c r="U509" t="str">
        <f>VLOOKUP(E509,Products!$A:$C,3,0)</f>
        <v>Furniture</v>
      </c>
      <c r="V509" t="str">
        <f>VLOOKUP(E509,Products!$A:$D,4,0)</f>
        <v>Desks</v>
      </c>
      <c r="W509" t="str">
        <f>VLOOKUP(D509,Customers!$A:$C,3,0)</f>
        <v>B2C</v>
      </c>
      <c r="X509" t="str">
        <f>VLOOKUP(C509,Sales_Representatives!$A:$B,2,0)</f>
        <v>Thomas Martinez</v>
      </c>
    </row>
    <row r="510" spans="1:24" x14ac:dyDescent="0.3">
      <c r="A510" t="s">
        <v>779</v>
      </c>
      <c r="B510" t="s">
        <v>774</v>
      </c>
      <c r="C510" t="s">
        <v>131</v>
      </c>
      <c r="D510" t="s">
        <v>64</v>
      </c>
      <c r="E510" t="s">
        <v>324</v>
      </c>
      <c r="F510">
        <v>4</v>
      </c>
      <c r="G510">
        <v>245.76</v>
      </c>
      <c r="H510">
        <v>0.01</v>
      </c>
      <c r="I510" s="4">
        <v>973.21</v>
      </c>
      <c r="J510" t="s">
        <v>44</v>
      </c>
      <c r="K510" t="s">
        <v>48</v>
      </c>
      <c r="L510" s="4">
        <f>VLOOKUP(tblTransactions[[#This Row],[Product_ID]],tblProducts[],5,FALSE)</f>
        <v>161.94</v>
      </c>
      <c r="M510" s="4">
        <f>tblTransactions[[#This Row],[Total_Amount]]-(tblTransactions[[#This Row],[Cost_Prices]]*tblTransactions[[#This Row],[Quantity]]*(1-tblTransactions[[#This Row],[Discount]]))</f>
        <v>331.9276000000001</v>
      </c>
      <c r="N510" s="3">
        <f>tblTransactions[[#This Row],[Profit]]/tblTransactions[[#This Row],[Total_Amount]]</f>
        <v>0.34106472395474779</v>
      </c>
      <c r="O510" t="str">
        <f>TEXT(tblTransactions[[#This Row],[Date]], "MMM-YYYY")</f>
        <v>Apr-2023</v>
      </c>
      <c r="P510" t="str">
        <f>"Q"&amp;ROUNDUP(MONTH(tblTransactions[[#This Row],[Date]])/3,0)&amp;"-"&amp;YEAR(tblTransactions[[#This Row],[Date]])</f>
        <v>Q2-2023</v>
      </c>
      <c r="Q510">
        <f>YEAR(tblTransactions[[#This Row],[Date]])</f>
        <v>2023</v>
      </c>
      <c r="R510" t="str">
        <f>TEXT(tblTransactions[[#This Row],[Date]],"DDDD")</f>
        <v>Monday</v>
      </c>
      <c r="S510">
        <f>MONTH(tblTransactions[[#This Row],[Date]])</f>
        <v>4</v>
      </c>
      <c r="T510" t="str">
        <f>VLOOKUP(E510, Products!$A:$B,2,0)</f>
        <v>Storage Fur-1</v>
      </c>
      <c r="U510" t="str">
        <f>VLOOKUP(E510,Products!$A:$C,3,0)</f>
        <v>Furniture</v>
      </c>
      <c r="V510" t="str">
        <f>VLOOKUP(E510,Products!$A:$D,4,0)</f>
        <v>Storage</v>
      </c>
      <c r="W510" t="str">
        <f>VLOOKUP(D510,Customers!$A:$C,3,0)</f>
        <v>Small Business</v>
      </c>
      <c r="X510" t="str">
        <f>VLOOKUP(C510,Sales_Representatives!$A:$B,2,0)</f>
        <v>Michael Davis</v>
      </c>
    </row>
    <row r="511" spans="1:24" x14ac:dyDescent="0.3">
      <c r="A511" t="s">
        <v>780</v>
      </c>
      <c r="B511" t="s">
        <v>781</v>
      </c>
      <c r="C511" t="s">
        <v>127</v>
      </c>
      <c r="D511" t="s">
        <v>212</v>
      </c>
      <c r="E511" t="s">
        <v>376</v>
      </c>
      <c r="F511">
        <v>4</v>
      </c>
      <c r="G511">
        <v>229.65</v>
      </c>
      <c r="H511">
        <v>0.1</v>
      </c>
      <c r="I511" s="4">
        <v>826.74</v>
      </c>
      <c r="J511" t="s">
        <v>109</v>
      </c>
      <c r="K511" t="s">
        <v>39</v>
      </c>
      <c r="L511" s="4">
        <f>VLOOKUP(tblTransactions[[#This Row],[Product_ID]],tblProducts[],5,FALSE)</f>
        <v>96.84</v>
      </c>
      <c r="M511" s="4">
        <f>tblTransactions[[#This Row],[Total_Amount]]-(tblTransactions[[#This Row],[Cost_Prices]]*tblTransactions[[#This Row],[Quantity]]*(1-tblTransactions[[#This Row],[Discount]]))</f>
        <v>478.11599999999999</v>
      </c>
      <c r="N511" s="3">
        <f>tblTransactions[[#This Row],[Profit]]/tblTransactions[[#This Row],[Total_Amount]]</f>
        <v>0.57831482691051594</v>
      </c>
      <c r="O511" t="str">
        <f>TEXT(tblTransactions[[#This Row],[Date]], "MMM-YYYY")</f>
        <v>Apr-2023</v>
      </c>
      <c r="P511" t="str">
        <f>"Q"&amp;ROUNDUP(MONTH(tblTransactions[[#This Row],[Date]])/3,0)&amp;"-"&amp;YEAR(tblTransactions[[#This Row],[Date]])</f>
        <v>Q2-2023</v>
      </c>
      <c r="Q511">
        <f>YEAR(tblTransactions[[#This Row],[Date]])</f>
        <v>2023</v>
      </c>
      <c r="R511" t="str">
        <f>TEXT(tblTransactions[[#This Row],[Date]],"DDDD")</f>
        <v>Tuesday</v>
      </c>
      <c r="S511">
        <f>MONTH(tblTransactions[[#This Row],[Date]])</f>
        <v>4</v>
      </c>
      <c r="T511" t="str">
        <f>VLOOKUP(E511, Products!$A:$B,2,0)</f>
        <v>Adapters Acc-2</v>
      </c>
      <c r="U511" t="str">
        <f>VLOOKUP(E511,Products!$A:$C,3,0)</f>
        <v>Accessories</v>
      </c>
      <c r="V511" t="str">
        <f>VLOOKUP(E511,Products!$A:$D,4,0)</f>
        <v>Adapters</v>
      </c>
      <c r="W511" t="str">
        <f>VLOOKUP(D511,Customers!$A:$C,3,0)</f>
        <v>B2C</v>
      </c>
      <c r="X511" t="str">
        <f>VLOOKUP(C511,Sales_Representatives!$A:$B,2,0)</f>
        <v>Emily Hernandez</v>
      </c>
    </row>
    <row r="512" spans="1:24" x14ac:dyDescent="0.3">
      <c r="A512" t="s">
        <v>782</v>
      </c>
      <c r="B512" t="s">
        <v>781</v>
      </c>
      <c r="C512" t="s">
        <v>59</v>
      </c>
      <c r="D512" t="s">
        <v>95</v>
      </c>
      <c r="E512" t="s">
        <v>53</v>
      </c>
      <c r="F512">
        <v>6</v>
      </c>
      <c r="G512">
        <v>2069.2199999999998</v>
      </c>
      <c r="H512">
        <v>0.09</v>
      </c>
      <c r="I512" s="4">
        <v>11297.94</v>
      </c>
      <c r="J512" t="s">
        <v>21</v>
      </c>
      <c r="K512" t="s">
        <v>48</v>
      </c>
      <c r="L512" s="4">
        <f>VLOOKUP(tblTransactions[[#This Row],[Product_ID]],tblProducts[],5,FALSE)</f>
        <v>1451.18</v>
      </c>
      <c r="M512" s="4">
        <f>tblTransactions[[#This Row],[Total_Amount]]-(tblTransactions[[#This Row],[Cost_Prices]]*tblTransactions[[#This Row],[Quantity]]*(1-tblTransactions[[#This Row],[Discount]]))</f>
        <v>3374.4972000000007</v>
      </c>
      <c r="N512" s="3">
        <f>tblTransactions[[#This Row],[Profit]]/tblTransactions[[#This Row],[Total_Amount]]</f>
        <v>0.29868252088433828</v>
      </c>
      <c r="O512" t="str">
        <f>TEXT(tblTransactions[[#This Row],[Date]], "MMM-YYYY")</f>
        <v>Apr-2023</v>
      </c>
      <c r="P512" t="str">
        <f>"Q"&amp;ROUNDUP(MONTH(tblTransactions[[#This Row],[Date]])/3,0)&amp;"-"&amp;YEAR(tblTransactions[[#This Row],[Date]])</f>
        <v>Q2-2023</v>
      </c>
      <c r="Q512">
        <f>YEAR(tblTransactions[[#This Row],[Date]])</f>
        <v>2023</v>
      </c>
      <c r="R512" t="str">
        <f>TEXT(tblTransactions[[#This Row],[Date]],"DDDD")</f>
        <v>Tuesday</v>
      </c>
      <c r="S512">
        <f>MONTH(tblTransactions[[#This Row],[Date]])</f>
        <v>4</v>
      </c>
      <c r="T512" t="str">
        <f>VLOOKUP(E512, Products!$A:$B,2,0)</f>
        <v>Printers Tec-3</v>
      </c>
      <c r="U512" t="str">
        <f>VLOOKUP(E512,Products!$A:$C,3,0)</f>
        <v>Technology</v>
      </c>
      <c r="V512" t="str">
        <f>VLOOKUP(E512,Products!$A:$D,4,0)</f>
        <v>Printers</v>
      </c>
      <c r="W512" t="str">
        <f>VLOOKUP(D512,Customers!$A:$C,3,0)</f>
        <v>Enterprise</v>
      </c>
      <c r="X512" t="str">
        <f>VLOOKUP(C512,Sales_Representatives!$A:$B,2,0)</f>
        <v>Sarah Brown</v>
      </c>
    </row>
    <row r="513" spans="1:24" x14ac:dyDescent="0.3">
      <c r="A513" t="s">
        <v>783</v>
      </c>
      <c r="B513" t="s">
        <v>781</v>
      </c>
      <c r="C513" t="s">
        <v>27</v>
      </c>
      <c r="D513" t="s">
        <v>190</v>
      </c>
      <c r="E513" t="s">
        <v>105</v>
      </c>
      <c r="F513">
        <v>14</v>
      </c>
      <c r="G513">
        <v>1342.04</v>
      </c>
      <c r="H513">
        <v>0.13</v>
      </c>
      <c r="I513" s="4">
        <v>16346.05</v>
      </c>
      <c r="J513" t="s">
        <v>16</v>
      </c>
      <c r="K513" t="s">
        <v>48</v>
      </c>
      <c r="L513" s="4">
        <f>VLOOKUP(tblTransactions[[#This Row],[Product_ID]],tblProducts[],5,FALSE)</f>
        <v>792.89</v>
      </c>
      <c r="M513" s="4">
        <f>tblTransactions[[#This Row],[Total_Amount]]-(tblTransactions[[#This Row],[Cost_Prices]]*tblTransactions[[#This Row],[Quantity]]*(1-tblTransactions[[#This Row],[Discount]]))</f>
        <v>6688.6497999999992</v>
      </c>
      <c r="N513" s="3">
        <f>tblTransactions[[#This Row],[Profit]]/tblTransactions[[#This Row],[Total_Amount]]</f>
        <v>0.40919058732843711</v>
      </c>
      <c r="O513" t="str">
        <f>TEXT(tblTransactions[[#This Row],[Date]], "MMM-YYYY")</f>
        <v>Apr-2023</v>
      </c>
      <c r="P513" t="str">
        <f>"Q"&amp;ROUNDUP(MONTH(tblTransactions[[#This Row],[Date]])/3,0)&amp;"-"&amp;YEAR(tblTransactions[[#This Row],[Date]])</f>
        <v>Q2-2023</v>
      </c>
      <c r="Q513">
        <f>YEAR(tblTransactions[[#This Row],[Date]])</f>
        <v>2023</v>
      </c>
      <c r="R513" t="str">
        <f>TEXT(tblTransactions[[#This Row],[Date]],"DDDD")</f>
        <v>Tuesday</v>
      </c>
      <c r="S513">
        <f>MONTH(tblTransactions[[#This Row],[Date]])</f>
        <v>4</v>
      </c>
      <c r="T513" t="str">
        <f>VLOOKUP(E513, Products!$A:$B,2,0)</f>
        <v>Cameras Ele-1</v>
      </c>
      <c r="U513" t="str">
        <f>VLOOKUP(E513,Products!$A:$C,3,0)</f>
        <v>Electronics</v>
      </c>
      <c r="V513" t="str">
        <f>VLOOKUP(E513,Products!$A:$D,4,0)</f>
        <v>Cameras</v>
      </c>
      <c r="W513" t="str">
        <f>VLOOKUP(D513,Customers!$A:$C,3,0)</f>
        <v>B2B</v>
      </c>
      <c r="X513" t="str">
        <f>VLOOKUP(C513,Sales_Representatives!$A:$B,2,0)</f>
        <v>Thomas Lopez</v>
      </c>
    </row>
    <row r="514" spans="1:24" x14ac:dyDescent="0.3">
      <c r="A514" t="s">
        <v>784</v>
      </c>
      <c r="B514" t="s">
        <v>785</v>
      </c>
      <c r="C514" t="s">
        <v>41</v>
      </c>
      <c r="D514" t="s">
        <v>57</v>
      </c>
      <c r="E514" t="s">
        <v>137</v>
      </c>
      <c r="F514">
        <v>2</v>
      </c>
      <c r="G514">
        <v>241.39</v>
      </c>
      <c r="H514">
        <v>0.08</v>
      </c>
      <c r="I514" s="4">
        <v>444.16</v>
      </c>
      <c r="J514" t="s">
        <v>44</v>
      </c>
      <c r="K514" t="s">
        <v>22</v>
      </c>
      <c r="L514" s="4">
        <f>VLOOKUP(tblTransactions[[#This Row],[Product_ID]],tblProducts[],5,FALSE)</f>
        <v>124.07</v>
      </c>
      <c r="M514" s="4">
        <f>tblTransactions[[#This Row],[Total_Amount]]-(tblTransactions[[#This Row],[Cost_Prices]]*tblTransactions[[#This Row],[Quantity]]*(1-tblTransactions[[#This Row],[Discount]]))</f>
        <v>215.87120000000002</v>
      </c>
      <c r="N514" s="3">
        <f>tblTransactions[[#This Row],[Profit]]/tblTransactions[[#This Row],[Total_Amount]]</f>
        <v>0.48602125360230547</v>
      </c>
      <c r="O514" t="str">
        <f>TEXT(tblTransactions[[#This Row],[Date]], "MMM-YYYY")</f>
        <v>Apr-2023</v>
      </c>
      <c r="P514" t="str">
        <f>"Q"&amp;ROUNDUP(MONTH(tblTransactions[[#This Row],[Date]])/3,0)&amp;"-"&amp;YEAR(tblTransactions[[#This Row],[Date]])</f>
        <v>Q2-2023</v>
      </c>
      <c r="Q514">
        <f>YEAR(tblTransactions[[#This Row],[Date]])</f>
        <v>2023</v>
      </c>
      <c r="R514" t="str">
        <f>TEXT(tblTransactions[[#This Row],[Date]],"DDDD")</f>
        <v>Wednesday</v>
      </c>
      <c r="S514">
        <f>MONTH(tblTransactions[[#This Row],[Date]])</f>
        <v>4</v>
      </c>
      <c r="T514" t="str">
        <f>VLOOKUP(E514, Products!$A:$B,2,0)</f>
        <v>Desks Fur-2</v>
      </c>
      <c r="U514" t="str">
        <f>VLOOKUP(E514,Products!$A:$C,3,0)</f>
        <v>Furniture</v>
      </c>
      <c r="V514" t="str">
        <f>VLOOKUP(E514,Products!$A:$D,4,0)</f>
        <v>Desks</v>
      </c>
      <c r="W514" t="str">
        <f>VLOOKUP(D514,Customers!$A:$C,3,0)</f>
        <v>Small Business</v>
      </c>
      <c r="X514" t="str">
        <f>VLOOKUP(C514,Sales_Representatives!$A:$B,2,0)</f>
        <v>Robert Jones</v>
      </c>
    </row>
    <row r="515" spans="1:24" x14ac:dyDescent="0.3">
      <c r="A515" t="s">
        <v>786</v>
      </c>
      <c r="B515" t="s">
        <v>785</v>
      </c>
      <c r="C515" t="s">
        <v>70</v>
      </c>
      <c r="D515" t="s">
        <v>24</v>
      </c>
      <c r="E515" t="s">
        <v>221</v>
      </c>
      <c r="F515">
        <v>13</v>
      </c>
      <c r="G515">
        <v>210.02</v>
      </c>
      <c r="H515">
        <v>0.15</v>
      </c>
      <c r="I515" s="4">
        <v>2320.7199999999998</v>
      </c>
      <c r="J515" t="s">
        <v>16</v>
      </c>
      <c r="K515" t="s">
        <v>22</v>
      </c>
      <c r="L515" s="4">
        <f>VLOOKUP(tblTransactions[[#This Row],[Product_ID]],tblProducts[],5,FALSE)</f>
        <v>131.66</v>
      </c>
      <c r="M515" s="4">
        <f>tblTransactions[[#This Row],[Total_Amount]]-(tblTransactions[[#This Row],[Cost_Prices]]*tblTransactions[[#This Row],[Quantity]]*(1-tblTransactions[[#This Row],[Discount]]))</f>
        <v>865.87699999999995</v>
      </c>
      <c r="N515" s="3">
        <f>tblTransactions[[#This Row],[Profit]]/tblTransactions[[#This Row],[Total_Amount]]</f>
        <v>0.37310705298355684</v>
      </c>
      <c r="O515" t="str">
        <f>TEXT(tblTransactions[[#This Row],[Date]], "MMM-YYYY")</f>
        <v>Apr-2023</v>
      </c>
      <c r="P515" t="str">
        <f>"Q"&amp;ROUNDUP(MONTH(tblTransactions[[#This Row],[Date]])/3,0)&amp;"-"&amp;YEAR(tblTransactions[[#This Row],[Date]])</f>
        <v>Q2-2023</v>
      </c>
      <c r="Q515">
        <f>YEAR(tblTransactions[[#This Row],[Date]])</f>
        <v>2023</v>
      </c>
      <c r="R515" t="str">
        <f>TEXT(tblTransactions[[#This Row],[Date]],"DDDD")</f>
        <v>Wednesday</v>
      </c>
      <c r="S515">
        <f>MONTH(tblTransactions[[#This Row],[Date]])</f>
        <v>4</v>
      </c>
      <c r="T515" t="str">
        <f>VLOOKUP(E515, Products!$A:$B,2,0)</f>
        <v>Storage Fur-2</v>
      </c>
      <c r="U515" t="str">
        <f>VLOOKUP(E515,Products!$A:$C,3,0)</f>
        <v>Furniture</v>
      </c>
      <c r="V515" t="str">
        <f>VLOOKUP(E515,Products!$A:$D,4,0)</f>
        <v>Storage</v>
      </c>
      <c r="W515" t="str">
        <f>VLOOKUP(D515,Customers!$A:$C,3,0)</f>
        <v>B2B</v>
      </c>
      <c r="X515" t="str">
        <f>VLOOKUP(C515,Sales_Representatives!$A:$B,2,0)</f>
        <v>Linda Smith</v>
      </c>
    </row>
    <row r="516" spans="1:24" x14ac:dyDescent="0.3">
      <c r="A516" t="s">
        <v>787</v>
      </c>
      <c r="B516" t="s">
        <v>785</v>
      </c>
      <c r="C516" t="s">
        <v>27</v>
      </c>
      <c r="D516" t="s">
        <v>216</v>
      </c>
      <c r="E516" t="s">
        <v>152</v>
      </c>
      <c r="F516">
        <v>3</v>
      </c>
      <c r="G516">
        <v>859.93</v>
      </c>
      <c r="H516">
        <v>0.01</v>
      </c>
      <c r="I516" s="4">
        <v>2553.9899999999998</v>
      </c>
      <c r="J516" t="s">
        <v>16</v>
      </c>
      <c r="K516" t="s">
        <v>48</v>
      </c>
      <c r="L516" s="4">
        <f>VLOOKUP(tblTransactions[[#This Row],[Product_ID]],tblProducts[],5,FALSE)</f>
        <v>579.79</v>
      </c>
      <c r="M516" s="4">
        <f>tblTransactions[[#This Row],[Total_Amount]]-(tblTransactions[[#This Row],[Cost_Prices]]*tblTransactions[[#This Row],[Quantity]]*(1-tblTransactions[[#This Row],[Discount]]))</f>
        <v>832.01369999999997</v>
      </c>
      <c r="N516" s="3">
        <f>tblTransactions[[#This Row],[Profit]]/tblTransactions[[#This Row],[Total_Amount]]</f>
        <v>0.32577014788624858</v>
      </c>
      <c r="O516" t="str">
        <f>TEXT(tblTransactions[[#This Row],[Date]], "MMM-YYYY")</f>
        <v>Apr-2023</v>
      </c>
      <c r="P516" t="str">
        <f>"Q"&amp;ROUNDUP(MONTH(tblTransactions[[#This Row],[Date]])/3,0)&amp;"-"&amp;YEAR(tblTransactions[[#This Row],[Date]])</f>
        <v>Q2-2023</v>
      </c>
      <c r="Q516">
        <f>YEAR(tblTransactions[[#This Row],[Date]])</f>
        <v>2023</v>
      </c>
      <c r="R516" t="str">
        <f>TEXT(tblTransactions[[#This Row],[Date]],"DDDD")</f>
        <v>Wednesday</v>
      </c>
      <c r="S516">
        <f>MONTH(tblTransactions[[#This Row],[Date]])</f>
        <v>4</v>
      </c>
      <c r="T516" t="str">
        <f>VLOOKUP(E516, Products!$A:$B,2,0)</f>
        <v>Phones Ele-4</v>
      </c>
      <c r="U516" t="str">
        <f>VLOOKUP(E516,Products!$A:$C,3,0)</f>
        <v>Electronics</v>
      </c>
      <c r="V516" t="str">
        <f>VLOOKUP(E516,Products!$A:$D,4,0)</f>
        <v>Phones</v>
      </c>
      <c r="W516" t="str">
        <f>VLOOKUP(D516,Customers!$A:$C,3,0)</f>
        <v>Small Business</v>
      </c>
      <c r="X516" t="str">
        <f>VLOOKUP(C516,Sales_Representatives!$A:$B,2,0)</f>
        <v>Thomas Lopez</v>
      </c>
    </row>
    <row r="517" spans="1:24" x14ac:dyDescent="0.3">
      <c r="A517" t="s">
        <v>788</v>
      </c>
      <c r="B517" t="s">
        <v>785</v>
      </c>
      <c r="C517" t="s">
        <v>27</v>
      </c>
      <c r="D517" t="s">
        <v>98</v>
      </c>
      <c r="E517" t="s">
        <v>178</v>
      </c>
      <c r="F517">
        <v>6</v>
      </c>
      <c r="G517">
        <v>1623.35</v>
      </c>
      <c r="H517">
        <v>7.0000000000000007E-2</v>
      </c>
      <c r="I517" s="4">
        <v>9058.2900000000009</v>
      </c>
      <c r="J517" t="s">
        <v>16</v>
      </c>
      <c r="K517" t="s">
        <v>48</v>
      </c>
      <c r="L517" s="4">
        <f>VLOOKUP(tblTransactions[[#This Row],[Product_ID]],tblProducts[],5,FALSE)</f>
        <v>981.45</v>
      </c>
      <c r="M517" s="4">
        <f>tblTransactions[[#This Row],[Total_Amount]]-(tblTransactions[[#This Row],[Cost_Prices]]*tblTransactions[[#This Row],[Quantity]]*(1-tblTransactions[[#This Row],[Discount]]))</f>
        <v>3581.7990000000009</v>
      </c>
      <c r="N517" s="3">
        <f>tblTransactions[[#This Row],[Profit]]/tblTransactions[[#This Row],[Total_Amount]]</f>
        <v>0.39541668460603496</v>
      </c>
      <c r="O517" t="str">
        <f>TEXT(tblTransactions[[#This Row],[Date]], "MMM-YYYY")</f>
        <v>Apr-2023</v>
      </c>
      <c r="P517" t="str">
        <f>"Q"&amp;ROUNDUP(MONTH(tblTransactions[[#This Row],[Date]])/3,0)&amp;"-"&amp;YEAR(tblTransactions[[#This Row],[Date]])</f>
        <v>Q2-2023</v>
      </c>
      <c r="Q517">
        <f>YEAR(tblTransactions[[#This Row],[Date]])</f>
        <v>2023</v>
      </c>
      <c r="R517" t="str">
        <f>TEXT(tblTransactions[[#This Row],[Date]],"DDDD")</f>
        <v>Wednesday</v>
      </c>
      <c r="S517">
        <f>MONTH(tblTransactions[[#This Row],[Date]])</f>
        <v>4</v>
      </c>
      <c r="T517" t="str">
        <f>VLOOKUP(E517, Products!$A:$B,2,0)</f>
        <v>Tablets Ele-1</v>
      </c>
      <c r="U517" t="str">
        <f>VLOOKUP(E517,Products!$A:$C,3,0)</f>
        <v>Electronics</v>
      </c>
      <c r="V517" t="str">
        <f>VLOOKUP(E517,Products!$A:$D,4,0)</f>
        <v>Tablets</v>
      </c>
      <c r="W517" t="str">
        <f>VLOOKUP(D517,Customers!$A:$C,3,0)</f>
        <v>B2C</v>
      </c>
      <c r="X517" t="str">
        <f>VLOOKUP(C517,Sales_Representatives!$A:$B,2,0)</f>
        <v>Thomas Lopez</v>
      </c>
    </row>
    <row r="518" spans="1:24" x14ac:dyDescent="0.3">
      <c r="A518" t="s">
        <v>789</v>
      </c>
      <c r="B518" t="s">
        <v>790</v>
      </c>
      <c r="C518" t="s">
        <v>41</v>
      </c>
      <c r="D518" t="s">
        <v>154</v>
      </c>
      <c r="E518" t="s">
        <v>339</v>
      </c>
      <c r="F518">
        <v>3</v>
      </c>
      <c r="G518">
        <v>1100.8800000000001</v>
      </c>
      <c r="H518">
        <v>0.02</v>
      </c>
      <c r="I518" s="4">
        <v>3236.59</v>
      </c>
      <c r="J518" t="s">
        <v>44</v>
      </c>
      <c r="K518" t="s">
        <v>48</v>
      </c>
      <c r="L518" s="4">
        <f>VLOOKUP(tblTransactions[[#This Row],[Product_ID]],tblProducts[],5,FALSE)</f>
        <v>761.53</v>
      </c>
      <c r="M518" s="4">
        <f>tblTransactions[[#This Row],[Total_Amount]]-(tblTransactions[[#This Row],[Cost_Prices]]*tblTransactions[[#This Row],[Quantity]]*(1-tblTransactions[[#This Row],[Discount]]))</f>
        <v>997.69180000000006</v>
      </c>
      <c r="N518" s="3">
        <f>tblTransactions[[#This Row],[Profit]]/tblTransactions[[#This Row],[Total_Amount]]</f>
        <v>0.30825399571771528</v>
      </c>
      <c r="O518" t="str">
        <f>TEXT(tblTransactions[[#This Row],[Date]], "MMM-YYYY")</f>
        <v>Apr-2023</v>
      </c>
      <c r="P518" t="str">
        <f>"Q"&amp;ROUNDUP(MONTH(tblTransactions[[#This Row],[Date]])/3,0)&amp;"-"&amp;YEAR(tblTransactions[[#This Row],[Date]])</f>
        <v>Q2-2023</v>
      </c>
      <c r="Q518">
        <f>YEAR(tblTransactions[[#This Row],[Date]])</f>
        <v>2023</v>
      </c>
      <c r="R518" t="str">
        <f>TEXT(tblTransactions[[#This Row],[Date]],"DDDD")</f>
        <v>Thursday</v>
      </c>
      <c r="S518">
        <f>MONTH(tblTransactions[[#This Row],[Date]])</f>
        <v>4</v>
      </c>
      <c r="T518" t="str">
        <f>VLOOKUP(E518, Products!$A:$B,2,0)</f>
        <v>Phones Ele-2</v>
      </c>
      <c r="U518" t="str">
        <f>VLOOKUP(E518,Products!$A:$C,3,0)</f>
        <v>Electronics</v>
      </c>
      <c r="V518" t="str">
        <f>VLOOKUP(E518,Products!$A:$D,4,0)</f>
        <v>Phones</v>
      </c>
      <c r="W518" t="str">
        <f>VLOOKUP(D518,Customers!$A:$C,3,0)</f>
        <v>B2B</v>
      </c>
      <c r="X518" t="str">
        <f>VLOOKUP(C518,Sales_Representatives!$A:$B,2,0)</f>
        <v>Robert Jones</v>
      </c>
    </row>
    <row r="519" spans="1:24" x14ac:dyDescent="0.3">
      <c r="A519" t="s">
        <v>791</v>
      </c>
      <c r="B519" t="s">
        <v>790</v>
      </c>
      <c r="C519" t="s">
        <v>131</v>
      </c>
      <c r="D519" t="s">
        <v>50</v>
      </c>
      <c r="E519" t="s">
        <v>248</v>
      </c>
      <c r="F519">
        <v>2</v>
      </c>
      <c r="G519">
        <v>82.29</v>
      </c>
      <c r="H519">
        <v>0.09</v>
      </c>
      <c r="I519" s="4">
        <v>149.77000000000001</v>
      </c>
      <c r="J519" t="s">
        <v>44</v>
      </c>
      <c r="K519" t="s">
        <v>17</v>
      </c>
      <c r="L519" s="4">
        <f>VLOOKUP(tblTransactions[[#This Row],[Product_ID]],tblProducts[],5,FALSE)</f>
        <v>51.11</v>
      </c>
      <c r="M519" s="4">
        <f>tblTransactions[[#This Row],[Total_Amount]]-(tblTransactions[[#This Row],[Cost_Prices]]*tblTransactions[[#This Row],[Quantity]]*(1-tblTransactions[[#This Row],[Discount]]))</f>
        <v>56.749800000000008</v>
      </c>
      <c r="N519" s="3">
        <f>tblTransactions[[#This Row],[Profit]]/tblTransactions[[#This Row],[Total_Amount]]</f>
        <v>0.37891299993323097</v>
      </c>
      <c r="O519" t="str">
        <f>TEXT(tblTransactions[[#This Row],[Date]], "MMM-YYYY")</f>
        <v>Apr-2023</v>
      </c>
      <c r="P519" t="str">
        <f>"Q"&amp;ROUNDUP(MONTH(tblTransactions[[#This Row],[Date]])/3,0)&amp;"-"&amp;YEAR(tblTransactions[[#This Row],[Date]])</f>
        <v>Q2-2023</v>
      </c>
      <c r="Q519">
        <f>YEAR(tblTransactions[[#This Row],[Date]])</f>
        <v>2023</v>
      </c>
      <c r="R519" t="str">
        <f>TEXT(tblTransactions[[#This Row],[Date]],"DDDD")</f>
        <v>Thursday</v>
      </c>
      <c r="S519">
        <f>MONTH(tblTransactions[[#This Row],[Date]])</f>
        <v>4</v>
      </c>
      <c r="T519" t="str">
        <f>VLOOKUP(E519, Products!$A:$B,2,0)</f>
        <v>Keyboards Acc-2</v>
      </c>
      <c r="U519" t="str">
        <f>VLOOKUP(E519,Products!$A:$C,3,0)</f>
        <v>Accessories</v>
      </c>
      <c r="V519" t="str">
        <f>VLOOKUP(E519,Products!$A:$D,4,0)</f>
        <v>Keyboards</v>
      </c>
      <c r="W519" t="str">
        <f>VLOOKUP(D519,Customers!$A:$C,3,0)</f>
        <v>Small Business</v>
      </c>
      <c r="X519" t="str">
        <f>VLOOKUP(C519,Sales_Representatives!$A:$B,2,0)</f>
        <v>Michael Davis</v>
      </c>
    </row>
    <row r="520" spans="1:24" x14ac:dyDescent="0.3">
      <c r="A520" t="s">
        <v>792</v>
      </c>
      <c r="B520" t="s">
        <v>790</v>
      </c>
      <c r="C520" t="s">
        <v>63</v>
      </c>
      <c r="D520" t="s">
        <v>60</v>
      </c>
      <c r="E520" t="s">
        <v>29</v>
      </c>
      <c r="F520">
        <v>6</v>
      </c>
      <c r="G520">
        <v>1363.46</v>
      </c>
      <c r="H520">
        <v>7.0000000000000007E-2</v>
      </c>
      <c r="I520" s="4">
        <v>7608.11</v>
      </c>
      <c r="J520" t="s">
        <v>21</v>
      </c>
      <c r="K520" t="s">
        <v>48</v>
      </c>
      <c r="L520" s="4">
        <f>VLOOKUP(tblTransactions[[#This Row],[Product_ID]],tblProducts[],5,FALSE)</f>
        <v>995.41</v>
      </c>
      <c r="M520" s="4">
        <f>tblTransactions[[#This Row],[Total_Amount]]-(tblTransactions[[#This Row],[Cost_Prices]]*tblTransactions[[#This Row],[Quantity]]*(1-tblTransactions[[#This Row],[Discount]]))</f>
        <v>2053.7222000000002</v>
      </c>
      <c r="N520" s="3">
        <f>tblTransactions[[#This Row],[Profit]]/tblTransactions[[#This Row],[Total_Amount]]</f>
        <v>0.26993855241314862</v>
      </c>
      <c r="O520" t="str">
        <f>TEXT(tblTransactions[[#This Row],[Date]], "MMM-YYYY")</f>
        <v>Apr-2023</v>
      </c>
      <c r="P520" t="str">
        <f>"Q"&amp;ROUNDUP(MONTH(tblTransactions[[#This Row],[Date]])/3,0)&amp;"-"&amp;YEAR(tblTransactions[[#This Row],[Date]])</f>
        <v>Q2-2023</v>
      </c>
      <c r="Q520">
        <f>YEAR(tblTransactions[[#This Row],[Date]])</f>
        <v>2023</v>
      </c>
      <c r="R520" t="str">
        <f>TEXT(tblTransactions[[#This Row],[Date]],"DDDD")</f>
        <v>Thursday</v>
      </c>
      <c r="S520">
        <f>MONTH(tblTransactions[[#This Row],[Date]])</f>
        <v>4</v>
      </c>
      <c r="T520" t="str">
        <f>VLOOKUP(E520, Products!$A:$B,2,0)</f>
        <v>Phones Ele-3</v>
      </c>
      <c r="U520" t="str">
        <f>VLOOKUP(E520,Products!$A:$C,3,0)</f>
        <v>Electronics</v>
      </c>
      <c r="V520" t="str">
        <f>VLOOKUP(E520,Products!$A:$D,4,0)</f>
        <v>Phones</v>
      </c>
      <c r="W520" t="str">
        <f>VLOOKUP(D520,Customers!$A:$C,3,0)</f>
        <v>B2C</v>
      </c>
      <c r="X520" t="str">
        <f>VLOOKUP(C520,Sales_Representatives!$A:$B,2,0)</f>
        <v>Richard Wilson</v>
      </c>
    </row>
    <row r="521" spans="1:24" x14ac:dyDescent="0.3">
      <c r="A521" t="s">
        <v>793</v>
      </c>
      <c r="B521" t="s">
        <v>790</v>
      </c>
      <c r="C521" t="s">
        <v>70</v>
      </c>
      <c r="D521" t="s">
        <v>32</v>
      </c>
      <c r="E521" t="s">
        <v>221</v>
      </c>
      <c r="F521">
        <v>7</v>
      </c>
      <c r="G521">
        <v>210.02</v>
      </c>
      <c r="H521">
        <v>0.14000000000000001</v>
      </c>
      <c r="I521" s="4">
        <v>1264.32</v>
      </c>
      <c r="J521" t="s">
        <v>16</v>
      </c>
      <c r="K521" t="s">
        <v>35</v>
      </c>
      <c r="L521" s="4">
        <f>VLOOKUP(tblTransactions[[#This Row],[Product_ID]],tblProducts[],5,FALSE)</f>
        <v>131.66</v>
      </c>
      <c r="M521" s="4">
        <f>tblTransactions[[#This Row],[Total_Amount]]-(tblTransactions[[#This Row],[Cost_Prices]]*tblTransactions[[#This Row],[Quantity]]*(1-tblTransactions[[#This Row],[Discount]]))</f>
        <v>471.72679999999991</v>
      </c>
      <c r="N521" s="3">
        <f>tblTransactions[[#This Row],[Profit]]/tblTransactions[[#This Row],[Total_Amount]]</f>
        <v>0.37310712477853702</v>
      </c>
      <c r="O521" t="str">
        <f>TEXT(tblTransactions[[#This Row],[Date]], "MMM-YYYY")</f>
        <v>Apr-2023</v>
      </c>
      <c r="P521" t="str">
        <f>"Q"&amp;ROUNDUP(MONTH(tblTransactions[[#This Row],[Date]])/3,0)&amp;"-"&amp;YEAR(tblTransactions[[#This Row],[Date]])</f>
        <v>Q2-2023</v>
      </c>
      <c r="Q521">
        <f>YEAR(tblTransactions[[#This Row],[Date]])</f>
        <v>2023</v>
      </c>
      <c r="R521" t="str">
        <f>TEXT(tblTransactions[[#This Row],[Date]],"DDDD")</f>
        <v>Thursday</v>
      </c>
      <c r="S521">
        <f>MONTH(tblTransactions[[#This Row],[Date]])</f>
        <v>4</v>
      </c>
      <c r="T521" t="str">
        <f>VLOOKUP(E521, Products!$A:$B,2,0)</f>
        <v>Storage Fur-2</v>
      </c>
      <c r="U521" t="str">
        <f>VLOOKUP(E521,Products!$A:$C,3,0)</f>
        <v>Furniture</v>
      </c>
      <c r="V521" t="str">
        <f>VLOOKUP(E521,Products!$A:$D,4,0)</f>
        <v>Storage</v>
      </c>
      <c r="W521" t="str">
        <f>VLOOKUP(D521,Customers!$A:$C,3,0)</f>
        <v>B2C</v>
      </c>
      <c r="X521" t="str">
        <f>VLOOKUP(C521,Sales_Representatives!$A:$B,2,0)</f>
        <v>Linda Smith</v>
      </c>
    </row>
    <row r="522" spans="1:24" x14ac:dyDescent="0.3">
      <c r="A522" t="s">
        <v>794</v>
      </c>
      <c r="B522" t="s">
        <v>790</v>
      </c>
      <c r="C522" t="s">
        <v>131</v>
      </c>
      <c r="D522" t="s">
        <v>183</v>
      </c>
      <c r="E522" t="s">
        <v>129</v>
      </c>
      <c r="F522">
        <v>3</v>
      </c>
      <c r="G522">
        <v>1283.71</v>
      </c>
      <c r="H522">
        <v>0.03</v>
      </c>
      <c r="I522" s="4">
        <v>3735.6</v>
      </c>
      <c r="J522" t="s">
        <v>44</v>
      </c>
      <c r="K522" t="s">
        <v>48</v>
      </c>
      <c r="L522" s="4">
        <f>VLOOKUP(tblTransactions[[#This Row],[Product_ID]],tblProducts[],5,FALSE)</f>
        <v>970.14</v>
      </c>
      <c r="M522" s="4">
        <f>tblTransactions[[#This Row],[Total_Amount]]-(tblTransactions[[#This Row],[Cost_Prices]]*tblTransactions[[#This Row],[Quantity]]*(1-tblTransactions[[#This Row],[Discount]]))</f>
        <v>912.49260000000004</v>
      </c>
      <c r="N522" s="3">
        <f>tblTransactions[[#This Row],[Profit]]/tblTransactions[[#This Row],[Total_Amount]]</f>
        <v>0.24426935432059108</v>
      </c>
      <c r="O522" t="str">
        <f>TEXT(tblTransactions[[#This Row],[Date]], "MMM-YYYY")</f>
        <v>Apr-2023</v>
      </c>
      <c r="P522" t="str">
        <f>"Q"&amp;ROUNDUP(MONTH(tblTransactions[[#This Row],[Date]])/3,0)&amp;"-"&amp;YEAR(tblTransactions[[#This Row],[Date]])</f>
        <v>Q2-2023</v>
      </c>
      <c r="Q522">
        <f>YEAR(tblTransactions[[#This Row],[Date]])</f>
        <v>2023</v>
      </c>
      <c r="R522" t="str">
        <f>TEXT(tblTransactions[[#This Row],[Date]],"DDDD")</f>
        <v>Thursday</v>
      </c>
      <c r="S522">
        <f>MONTH(tblTransactions[[#This Row],[Date]])</f>
        <v>4</v>
      </c>
      <c r="T522" t="str">
        <f>VLOOKUP(E522, Products!$A:$B,2,0)</f>
        <v>Cameras Ele-3</v>
      </c>
      <c r="U522" t="str">
        <f>VLOOKUP(E522,Products!$A:$C,3,0)</f>
        <v>Electronics</v>
      </c>
      <c r="V522" t="str">
        <f>VLOOKUP(E522,Products!$A:$D,4,0)</f>
        <v>Cameras</v>
      </c>
      <c r="W522" t="str">
        <f>VLOOKUP(D522,Customers!$A:$C,3,0)</f>
        <v>Small Business</v>
      </c>
      <c r="X522" t="str">
        <f>VLOOKUP(C522,Sales_Representatives!$A:$B,2,0)</f>
        <v>Michael Davis</v>
      </c>
    </row>
    <row r="523" spans="1:24" x14ac:dyDescent="0.3">
      <c r="A523" t="s">
        <v>795</v>
      </c>
      <c r="B523" t="s">
        <v>790</v>
      </c>
      <c r="C523" t="s">
        <v>141</v>
      </c>
      <c r="D523" t="s">
        <v>132</v>
      </c>
      <c r="E523" t="s">
        <v>264</v>
      </c>
      <c r="F523">
        <v>17</v>
      </c>
      <c r="G523">
        <v>607.29999999999995</v>
      </c>
      <c r="H523">
        <v>0.2</v>
      </c>
      <c r="I523" s="4">
        <v>8259.2800000000007</v>
      </c>
      <c r="J523" t="s">
        <v>109</v>
      </c>
      <c r="K523" t="s">
        <v>48</v>
      </c>
      <c r="L523" s="4">
        <f>VLOOKUP(tblTransactions[[#This Row],[Product_ID]],tblProducts[],5,FALSE)</f>
        <v>436.37</v>
      </c>
      <c r="M523" s="4">
        <f>tblTransactions[[#This Row],[Total_Amount]]-(tblTransactions[[#This Row],[Cost_Prices]]*tblTransactions[[#This Row],[Quantity]]*(1-tblTransactions[[#This Row],[Discount]]))</f>
        <v>2324.6480000000001</v>
      </c>
      <c r="N523" s="3">
        <f>tblTransactions[[#This Row],[Profit]]/tblTransactions[[#This Row],[Total_Amount]]</f>
        <v>0.28145891651572535</v>
      </c>
      <c r="O523" t="str">
        <f>TEXT(tblTransactions[[#This Row],[Date]], "MMM-YYYY")</f>
        <v>Apr-2023</v>
      </c>
      <c r="P523" t="str">
        <f>"Q"&amp;ROUNDUP(MONTH(tblTransactions[[#This Row],[Date]])/3,0)&amp;"-"&amp;YEAR(tblTransactions[[#This Row],[Date]])</f>
        <v>Q2-2023</v>
      </c>
      <c r="Q523">
        <f>YEAR(tblTransactions[[#This Row],[Date]])</f>
        <v>2023</v>
      </c>
      <c r="R523" t="str">
        <f>TEXT(tblTransactions[[#This Row],[Date]],"DDDD")</f>
        <v>Thursday</v>
      </c>
      <c r="S523">
        <f>MONTH(tblTransactions[[#This Row],[Date]])</f>
        <v>4</v>
      </c>
      <c r="T523" t="str">
        <f>VLOOKUP(E523, Products!$A:$B,2,0)</f>
        <v>Tablets Ele-4</v>
      </c>
      <c r="U523" t="str">
        <f>VLOOKUP(E523,Products!$A:$C,3,0)</f>
        <v>Electronics</v>
      </c>
      <c r="V523" t="str">
        <f>VLOOKUP(E523,Products!$A:$D,4,0)</f>
        <v>Tablets</v>
      </c>
      <c r="W523" t="str">
        <f>VLOOKUP(D523,Customers!$A:$C,3,0)</f>
        <v>B2B</v>
      </c>
      <c r="X523" t="str">
        <f>VLOOKUP(C523,Sales_Representatives!$A:$B,2,0)</f>
        <v>Richard Garcia</v>
      </c>
    </row>
    <row r="524" spans="1:24" x14ac:dyDescent="0.3">
      <c r="A524" t="s">
        <v>796</v>
      </c>
      <c r="B524" t="s">
        <v>790</v>
      </c>
      <c r="C524" t="s">
        <v>27</v>
      </c>
      <c r="D524" t="s">
        <v>362</v>
      </c>
      <c r="E524" t="s">
        <v>376</v>
      </c>
      <c r="F524">
        <v>2</v>
      </c>
      <c r="G524">
        <v>229.65</v>
      </c>
      <c r="H524">
        <v>0.05</v>
      </c>
      <c r="I524" s="4">
        <v>436.34</v>
      </c>
      <c r="J524" t="s">
        <v>16</v>
      </c>
      <c r="K524" t="s">
        <v>22</v>
      </c>
      <c r="L524" s="4">
        <f>VLOOKUP(tblTransactions[[#This Row],[Product_ID]],tblProducts[],5,FALSE)</f>
        <v>96.84</v>
      </c>
      <c r="M524" s="4">
        <f>tblTransactions[[#This Row],[Total_Amount]]-(tblTransactions[[#This Row],[Cost_Prices]]*tblTransactions[[#This Row],[Quantity]]*(1-tblTransactions[[#This Row],[Discount]]))</f>
        <v>252.34399999999997</v>
      </c>
      <c r="N524" s="3">
        <f>tblTransactions[[#This Row],[Profit]]/tblTransactions[[#This Row],[Total_Amount]]</f>
        <v>0.57831965898152815</v>
      </c>
      <c r="O524" t="str">
        <f>TEXT(tblTransactions[[#This Row],[Date]], "MMM-YYYY")</f>
        <v>Apr-2023</v>
      </c>
      <c r="P524" t="str">
        <f>"Q"&amp;ROUNDUP(MONTH(tblTransactions[[#This Row],[Date]])/3,0)&amp;"-"&amp;YEAR(tblTransactions[[#This Row],[Date]])</f>
        <v>Q2-2023</v>
      </c>
      <c r="Q524">
        <f>YEAR(tblTransactions[[#This Row],[Date]])</f>
        <v>2023</v>
      </c>
      <c r="R524" t="str">
        <f>TEXT(tblTransactions[[#This Row],[Date]],"DDDD")</f>
        <v>Thursday</v>
      </c>
      <c r="S524">
        <f>MONTH(tblTransactions[[#This Row],[Date]])</f>
        <v>4</v>
      </c>
      <c r="T524" t="str">
        <f>VLOOKUP(E524, Products!$A:$B,2,0)</f>
        <v>Adapters Acc-2</v>
      </c>
      <c r="U524" t="str">
        <f>VLOOKUP(E524,Products!$A:$C,3,0)</f>
        <v>Accessories</v>
      </c>
      <c r="V524" t="str">
        <f>VLOOKUP(E524,Products!$A:$D,4,0)</f>
        <v>Adapters</v>
      </c>
      <c r="W524" t="str">
        <f>VLOOKUP(D524,Customers!$A:$C,3,0)</f>
        <v>Small Business</v>
      </c>
      <c r="X524" t="str">
        <f>VLOOKUP(C524,Sales_Representatives!$A:$B,2,0)</f>
        <v>Thomas Lopez</v>
      </c>
    </row>
    <row r="525" spans="1:24" x14ac:dyDescent="0.3">
      <c r="A525" t="s">
        <v>797</v>
      </c>
      <c r="B525" t="s">
        <v>798</v>
      </c>
      <c r="C525" t="s">
        <v>70</v>
      </c>
      <c r="D525" t="s">
        <v>210</v>
      </c>
      <c r="E525" t="s">
        <v>79</v>
      </c>
      <c r="F525">
        <v>18</v>
      </c>
      <c r="G525">
        <v>1452.36</v>
      </c>
      <c r="H525">
        <v>0.19</v>
      </c>
      <c r="I525" s="4">
        <v>21175.41</v>
      </c>
      <c r="J525" t="s">
        <v>16</v>
      </c>
      <c r="K525" t="s">
        <v>17</v>
      </c>
      <c r="L525" s="4">
        <f>VLOOKUP(tblTransactions[[#This Row],[Product_ID]],tblProducts[],5,FALSE)</f>
        <v>778.71</v>
      </c>
      <c r="M525" s="4">
        <f>tblTransactions[[#This Row],[Total_Amount]]-(tblTransactions[[#This Row],[Cost_Prices]]*tblTransactions[[#This Row],[Quantity]]*(1-tblTransactions[[#This Row],[Discount]]))</f>
        <v>9821.8181999999979</v>
      </c>
      <c r="N525" s="3">
        <f>tblTransactions[[#This Row],[Profit]]/tblTransactions[[#This Row],[Total_Amount]]</f>
        <v>0.46383131188487015</v>
      </c>
      <c r="O525" t="str">
        <f>TEXT(tblTransactions[[#This Row],[Date]], "MMM-YYYY")</f>
        <v>Apr-2023</v>
      </c>
      <c r="P525" t="str">
        <f>"Q"&amp;ROUNDUP(MONTH(tblTransactions[[#This Row],[Date]])/3,0)&amp;"-"&amp;YEAR(tblTransactions[[#This Row],[Date]])</f>
        <v>Q2-2023</v>
      </c>
      <c r="Q525">
        <f>YEAR(tblTransactions[[#This Row],[Date]])</f>
        <v>2023</v>
      </c>
      <c r="R525" t="str">
        <f>TEXT(tblTransactions[[#This Row],[Date]],"DDDD")</f>
        <v>Friday</v>
      </c>
      <c r="S525">
        <f>MONTH(tblTransactions[[#This Row],[Date]])</f>
        <v>4</v>
      </c>
      <c r="T525" t="str">
        <f>VLOOKUP(E525, Products!$A:$B,2,0)</f>
        <v>Tables Fur-2</v>
      </c>
      <c r="U525" t="str">
        <f>VLOOKUP(E525,Products!$A:$C,3,0)</f>
        <v>Furniture</v>
      </c>
      <c r="V525" t="str">
        <f>VLOOKUP(E525,Products!$A:$D,4,0)</f>
        <v>Tables</v>
      </c>
      <c r="W525" t="str">
        <f>VLOOKUP(D525,Customers!$A:$C,3,0)</f>
        <v>B2B</v>
      </c>
      <c r="X525" t="str">
        <f>VLOOKUP(C525,Sales_Representatives!$A:$B,2,0)</f>
        <v>Linda Smith</v>
      </c>
    </row>
    <row r="526" spans="1:24" x14ac:dyDescent="0.3">
      <c r="A526" t="s">
        <v>799</v>
      </c>
      <c r="B526" t="s">
        <v>798</v>
      </c>
      <c r="C526" t="s">
        <v>70</v>
      </c>
      <c r="D526" t="s">
        <v>128</v>
      </c>
      <c r="E526" t="s">
        <v>324</v>
      </c>
      <c r="F526">
        <v>7</v>
      </c>
      <c r="G526">
        <v>245.76</v>
      </c>
      <c r="H526">
        <v>0.08</v>
      </c>
      <c r="I526" s="4">
        <v>1582.69</v>
      </c>
      <c r="J526" t="s">
        <v>16</v>
      </c>
      <c r="K526" t="s">
        <v>39</v>
      </c>
      <c r="L526" s="4">
        <f>VLOOKUP(tblTransactions[[#This Row],[Product_ID]],tblProducts[],5,FALSE)</f>
        <v>161.94</v>
      </c>
      <c r="M526" s="4">
        <f>tblTransactions[[#This Row],[Total_Amount]]-(tblTransactions[[#This Row],[Cost_Prices]]*tblTransactions[[#This Row],[Quantity]]*(1-tblTransactions[[#This Row],[Discount]]))</f>
        <v>539.79640000000018</v>
      </c>
      <c r="N526" s="3">
        <f>tblTransactions[[#This Row],[Profit]]/tblTransactions[[#This Row],[Total_Amount]]</f>
        <v>0.3410626212334697</v>
      </c>
      <c r="O526" t="str">
        <f>TEXT(tblTransactions[[#This Row],[Date]], "MMM-YYYY")</f>
        <v>Apr-2023</v>
      </c>
      <c r="P526" t="str">
        <f>"Q"&amp;ROUNDUP(MONTH(tblTransactions[[#This Row],[Date]])/3,0)&amp;"-"&amp;YEAR(tblTransactions[[#This Row],[Date]])</f>
        <v>Q2-2023</v>
      </c>
      <c r="Q526">
        <f>YEAR(tblTransactions[[#This Row],[Date]])</f>
        <v>2023</v>
      </c>
      <c r="R526" t="str">
        <f>TEXT(tblTransactions[[#This Row],[Date]],"DDDD")</f>
        <v>Friday</v>
      </c>
      <c r="S526">
        <f>MONTH(tblTransactions[[#This Row],[Date]])</f>
        <v>4</v>
      </c>
      <c r="T526" t="str">
        <f>VLOOKUP(E526, Products!$A:$B,2,0)</f>
        <v>Storage Fur-1</v>
      </c>
      <c r="U526" t="str">
        <f>VLOOKUP(E526,Products!$A:$C,3,0)</f>
        <v>Furniture</v>
      </c>
      <c r="V526" t="str">
        <f>VLOOKUP(E526,Products!$A:$D,4,0)</f>
        <v>Storage</v>
      </c>
      <c r="W526" t="str">
        <f>VLOOKUP(D526,Customers!$A:$C,3,0)</f>
        <v>B2B</v>
      </c>
      <c r="X526" t="str">
        <f>VLOOKUP(C526,Sales_Representatives!$A:$B,2,0)</f>
        <v>Linda Smith</v>
      </c>
    </row>
    <row r="527" spans="1:24" x14ac:dyDescent="0.3">
      <c r="A527" t="s">
        <v>800</v>
      </c>
      <c r="B527" t="s">
        <v>798</v>
      </c>
      <c r="C527" t="s">
        <v>41</v>
      </c>
      <c r="D527" t="s">
        <v>32</v>
      </c>
      <c r="E527" t="s">
        <v>20</v>
      </c>
      <c r="F527">
        <v>2</v>
      </c>
      <c r="G527">
        <v>1219.49</v>
      </c>
      <c r="H527">
        <v>7.0000000000000007E-2</v>
      </c>
      <c r="I527" s="4">
        <v>2268.25</v>
      </c>
      <c r="J527" t="s">
        <v>44</v>
      </c>
      <c r="K527" t="s">
        <v>22</v>
      </c>
      <c r="L527" s="4">
        <f>VLOOKUP(tblTransactions[[#This Row],[Product_ID]],tblProducts[],5,FALSE)</f>
        <v>686.9</v>
      </c>
      <c r="M527" s="4">
        <f>tblTransactions[[#This Row],[Total_Amount]]-(tblTransactions[[#This Row],[Cost_Prices]]*tblTransactions[[#This Row],[Quantity]]*(1-tblTransactions[[#This Row],[Discount]]))</f>
        <v>990.61600000000021</v>
      </c>
      <c r="N527" s="3">
        <f>tblTransactions[[#This Row],[Profit]]/tblTransactions[[#This Row],[Total_Amount]]</f>
        <v>0.4367314008596937</v>
      </c>
      <c r="O527" t="str">
        <f>TEXT(tblTransactions[[#This Row],[Date]], "MMM-YYYY")</f>
        <v>Apr-2023</v>
      </c>
      <c r="P527" t="str">
        <f>"Q"&amp;ROUNDUP(MONTH(tblTransactions[[#This Row],[Date]])/3,0)&amp;"-"&amp;YEAR(tblTransactions[[#This Row],[Date]])</f>
        <v>Q2-2023</v>
      </c>
      <c r="Q527">
        <f>YEAR(tblTransactions[[#This Row],[Date]])</f>
        <v>2023</v>
      </c>
      <c r="R527" t="str">
        <f>TEXT(tblTransactions[[#This Row],[Date]],"DDDD")</f>
        <v>Friday</v>
      </c>
      <c r="S527">
        <f>MONTH(tblTransactions[[#This Row],[Date]])</f>
        <v>4</v>
      </c>
      <c r="T527" t="str">
        <f>VLOOKUP(E527, Products!$A:$B,2,0)</f>
        <v>Laptops Ele-1</v>
      </c>
      <c r="U527" t="str">
        <f>VLOOKUP(E527,Products!$A:$C,3,0)</f>
        <v>Electronics</v>
      </c>
      <c r="V527" t="str">
        <f>VLOOKUP(E527,Products!$A:$D,4,0)</f>
        <v>Laptops</v>
      </c>
      <c r="W527" t="str">
        <f>VLOOKUP(D527,Customers!$A:$C,3,0)</f>
        <v>B2C</v>
      </c>
      <c r="X527" t="str">
        <f>VLOOKUP(C527,Sales_Representatives!$A:$B,2,0)</f>
        <v>Robert Jones</v>
      </c>
    </row>
    <row r="528" spans="1:24" x14ac:dyDescent="0.3">
      <c r="A528" t="s">
        <v>801</v>
      </c>
      <c r="B528" t="s">
        <v>798</v>
      </c>
      <c r="C528" t="s">
        <v>63</v>
      </c>
      <c r="D528" t="s">
        <v>50</v>
      </c>
      <c r="E528" t="s">
        <v>20</v>
      </c>
      <c r="F528">
        <v>7</v>
      </c>
      <c r="G528">
        <v>1219.49</v>
      </c>
      <c r="H528">
        <v>0.06</v>
      </c>
      <c r="I528" s="4">
        <v>8024.24</v>
      </c>
      <c r="J528" t="s">
        <v>21</v>
      </c>
      <c r="K528" t="s">
        <v>48</v>
      </c>
      <c r="L528" s="4">
        <f>VLOOKUP(tblTransactions[[#This Row],[Product_ID]],tblProducts[],5,FALSE)</f>
        <v>686.9</v>
      </c>
      <c r="M528" s="4">
        <f>tblTransactions[[#This Row],[Total_Amount]]-(tblTransactions[[#This Row],[Cost_Prices]]*tblTransactions[[#This Row],[Quantity]]*(1-tblTransactions[[#This Row],[Discount]]))</f>
        <v>3504.4380000000001</v>
      </c>
      <c r="N528" s="3">
        <f>tblTransactions[[#This Row],[Profit]]/tblTransactions[[#This Row],[Total_Amount]]</f>
        <v>0.43673145369530325</v>
      </c>
      <c r="O528" t="str">
        <f>TEXT(tblTransactions[[#This Row],[Date]], "MMM-YYYY")</f>
        <v>Apr-2023</v>
      </c>
      <c r="P528" t="str">
        <f>"Q"&amp;ROUNDUP(MONTH(tblTransactions[[#This Row],[Date]])/3,0)&amp;"-"&amp;YEAR(tblTransactions[[#This Row],[Date]])</f>
        <v>Q2-2023</v>
      </c>
      <c r="Q528">
        <f>YEAR(tblTransactions[[#This Row],[Date]])</f>
        <v>2023</v>
      </c>
      <c r="R528" t="str">
        <f>TEXT(tblTransactions[[#This Row],[Date]],"DDDD")</f>
        <v>Friday</v>
      </c>
      <c r="S528">
        <f>MONTH(tblTransactions[[#This Row],[Date]])</f>
        <v>4</v>
      </c>
      <c r="T528" t="str">
        <f>VLOOKUP(E528, Products!$A:$B,2,0)</f>
        <v>Laptops Ele-1</v>
      </c>
      <c r="U528" t="str">
        <f>VLOOKUP(E528,Products!$A:$C,3,0)</f>
        <v>Electronics</v>
      </c>
      <c r="V528" t="str">
        <f>VLOOKUP(E528,Products!$A:$D,4,0)</f>
        <v>Laptops</v>
      </c>
      <c r="W528" t="str">
        <f>VLOOKUP(D528,Customers!$A:$C,3,0)</f>
        <v>Small Business</v>
      </c>
      <c r="X528" t="str">
        <f>VLOOKUP(C528,Sales_Representatives!$A:$B,2,0)</f>
        <v>Richard Wilson</v>
      </c>
    </row>
    <row r="529" spans="1:24" x14ac:dyDescent="0.3">
      <c r="A529" t="s">
        <v>802</v>
      </c>
      <c r="B529" t="s">
        <v>798</v>
      </c>
      <c r="C529" t="s">
        <v>141</v>
      </c>
      <c r="D529" t="s">
        <v>37</v>
      </c>
      <c r="E529" t="s">
        <v>152</v>
      </c>
      <c r="F529">
        <v>30</v>
      </c>
      <c r="G529">
        <v>859.93</v>
      </c>
      <c r="H529">
        <v>0.18</v>
      </c>
      <c r="I529" s="4">
        <v>21154.28</v>
      </c>
      <c r="J529" t="s">
        <v>109</v>
      </c>
      <c r="K529" t="s">
        <v>35</v>
      </c>
      <c r="L529" s="4">
        <f>VLOOKUP(tblTransactions[[#This Row],[Product_ID]],tblProducts[],5,FALSE)</f>
        <v>579.79</v>
      </c>
      <c r="M529" s="4">
        <f>tblTransactions[[#This Row],[Total_Amount]]-(tblTransactions[[#This Row],[Cost_Prices]]*tblTransactions[[#This Row],[Quantity]]*(1-tblTransactions[[#This Row],[Discount]]))</f>
        <v>6891.4459999999999</v>
      </c>
      <c r="N529" s="3">
        <f>tblTransactions[[#This Row],[Profit]]/tblTransactions[[#This Row],[Total_Amount]]</f>
        <v>0.32577076601047167</v>
      </c>
      <c r="O529" t="str">
        <f>TEXT(tblTransactions[[#This Row],[Date]], "MMM-YYYY")</f>
        <v>Apr-2023</v>
      </c>
      <c r="P529" t="str">
        <f>"Q"&amp;ROUNDUP(MONTH(tblTransactions[[#This Row],[Date]])/3,0)&amp;"-"&amp;YEAR(tblTransactions[[#This Row],[Date]])</f>
        <v>Q2-2023</v>
      </c>
      <c r="Q529">
        <f>YEAR(tblTransactions[[#This Row],[Date]])</f>
        <v>2023</v>
      </c>
      <c r="R529" t="str">
        <f>TEXT(tblTransactions[[#This Row],[Date]],"DDDD")</f>
        <v>Friday</v>
      </c>
      <c r="S529">
        <f>MONTH(tblTransactions[[#This Row],[Date]])</f>
        <v>4</v>
      </c>
      <c r="T529" t="str">
        <f>VLOOKUP(E529, Products!$A:$B,2,0)</f>
        <v>Phones Ele-4</v>
      </c>
      <c r="U529" t="str">
        <f>VLOOKUP(E529,Products!$A:$C,3,0)</f>
        <v>Electronics</v>
      </c>
      <c r="V529" t="str">
        <f>VLOOKUP(E529,Products!$A:$D,4,0)</f>
        <v>Phones</v>
      </c>
      <c r="W529" t="str">
        <f>VLOOKUP(D529,Customers!$A:$C,3,0)</f>
        <v>Enterprise</v>
      </c>
      <c r="X529" t="str">
        <f>VLOOKUP(C529,Sales_Representatives!$A:$B,2,0)</f>
        <v>Richard Garcia</v>
      </c>
    </row>
    <row r="530" spans="1:24" x14ac:dyDescent="0.3">
      <c r="A530" t="s">
        <v>803</v>
      </c>
      <c r="B530" t="s">
        <v>798</v>
      </c>
      <c r="C530" t="s">
        <v>13</v>
      </c>
      <c r="D530" t="s">
        <v>52</v>
      </c>
      <c r="E530" t="s">
        <v>38</v>
      </c>
      <c r="F530">
        <v>3</v>
      </c>
      <c r="G530">
        <v>581.47</v>
      </c>
      <c r="H530">
        <v>0.06</v>
      </c>
      <c r="I530" s="4">
        <v>1639.75</v>
      </c>
      <c r="J530" t="s">
        <v>16</v>
      </c>
      <c r="K530" t="s">
        <v>39</v>
      </c>
      <c r="L530" s="4">
        <f>VLOOKUP(tblTransactions[[#This Row],[Product_ID]],tblProducts[],5,FALSE)</f>
        <v>372.07</v>
      </c>
      <c r="M530" s="4">
        <f>tblTransactions[[#This Row],[Total_Amount]]-(tblTransactions[[#This Row],[Cost_Prices]]*tblTransactions[[#This Row],[Quantity]]*(1-tblTransactions[[#This Row],[Discount]]))</f>
        <v>590.51260000000002</v>
      </c>
      <c r="N530" s="3">
        <f>tblTransactions[[#This Row],[Profit]]/tblTransactions[[#This Row],[Total_Amount]]</f>
        <v>0.36012355542003355</v>
      </c>
      <c r="O530" t="str">
        <f>TEXT(tblTransactions[[#This Row],[Date]], "MMM-YYYY")</f>
        <v>Apr-2023</v>
      </c>
      <c r="P530" t="str">
        <f>"Q"&amp;ROUNDUP(MONTH(tblTransactions[[#This Row],[Date]])/3,0)&amp;"-"&amp;YEAR(tblTransactions[[#This Row],[Date]])</f>
        <v>Q2-2023</v>
      </c>
      <c r="Q530">
        <f>YEAR(tblTransactions[[#This Row],[Date]])</f>
        <v>2023</v>
      </c>
      <c r="R530" t="str">
        <f>TEXT(tblTransactions[[#This Row],[Date]],"DDDD")</f>
        <v>Friday</v>
      </c>
      <c r="S530">
        <f>MONTH(tblTransactions[[#This Row],[Date]])</f>
        <v>4</v>
      </c>
      <c r="T530" t="str">
        <f>VLOOKUP(E530, Products!$A:$B,2,0)</f>
        <v>Storage Fur-3</v>
      </c>
      <c r="U530" t="str">
        <f>VLOOKUP(E530,Products!$A:$C,3,0)</f>
        <v>Furniture</v>
      </c>
      <c r="V530" t="str">
        <f>VLOOKUP(E530,Products!$A:$D,4,0)</f>
        <v>Storage</v>
      </c>
      <c r="W530" t="str">
        <f>VLOOKUP(D530,Customers!$A:$C,3,0)</f>
        <v>B2C</v>
      </c>
      <c r="X530" t="str">
        <f>VLOOKUP(C530,Sales_Representatives!$A:$B,2,0)</f>
        <v>Jennifer Rodriguez</v>
      </c>
    </row>
    <row r="531" spans="1:24" x14ac:dyDescent="0.3">
      <c r="A531" t="s">
        <v>804</v>
      </c>
      <c r="B531" t="s">
        <v>798</v>
      </c>
      <c r="C531" t="s">
        <v>131</v>
      </c>
      <c r="D531" t="s">
        <v>166</v>
      </c>
      <c r="E531" t="s">
        <v>172</v>
      </c>
      <c r="F531">
        <v>1</v>
      </c>
      <c r="G531">
        <v>1371.15</v>
      </c>
      <c r="H531">
        <v>0.08</v>
      </c>
      <c r="I531" s="4">
        <v>1261.46</v>
      </c>
      <c r="J531" t="s">
        <v>44</v>
      </c>
      <c r="K531" t="s">
        <v>39</v>
      </c>
      <c r="L531" s="4">
        <f>VLOOKUP(tblTransactions[[#This Row],[Product_ID]],tblProducts[],5,FALSE)</f>
        <v>989.81</v>
      </c>
      <c r="M531" s="4">
        <f>tblTransactions[[#This Row],[Total_Amount]]-(tblTransactions[[#This Row],[Cost_Prices]]*tblTransactions[[#This Row],[Quantity]]*(1-tblTransactions[[#This Row],[Discount]]))</f>
        <v>350.83480000000009</v>
      </c>
      <c r="N531" s="3">
        <f>tblTransactions[[#This Row],[Profit]]/tblTransactions[[#This Row],[Total_Amount]]</f>
        <v>0.27811805368382675</v>
      </c>
      <c r="O531" t="str">
        <f>TEXT(tblTransactions[[#This Row],[Date]], "MMM-YYYY")</f>
        <v>Apr-2023</v>
      </c>
      <c r="P531" t="str">
        <f>"Q"&amp;ROUNDUP(MONTH(tblTransactions[[#This Row],[Date]])/3,0)&amp;"-"&amp;YEAR(tblTransactions[[#This Row],[Date]])</f>
        <v>Q2-2023</v>
      </c>
      <c r="Q531">
        <f>YEAR(tblTransactions[[#This Row],[Date]])</f>
        <v>2023</v>
      </c>
      <c r="R531" t="str">
        <f>TEXT(tblTransactions[[#This Row],[Date]],"DDDD")</f>
        <v>Friday</v>
      </c>
      <c r="S531">
        <f>MONTH(tblTransactions[[#This Row],[Date]])</f>
        <v>4</v>
      </c>
      <c r="T531" t="str">
        <f>VLOOKUP(E531, Products!$A:$B,2,0)</f>
        <v>Cameras Ele-4</v>
      </c>
      <c r="U531" t="str">
        <f>VLOOKUP(E531,Products!$A:$C,3,0)</f>
        <v>Electronics</v>
      </c>
      <c r="V531" t="str">
        <f>VLOOKUP(E531,Products!$A:$D,4,0)</f>
        <v>Cameras</v>
      </c>
      <c r="W531" t="str">
        <f>VLOOKUP(D531,Customers!$A:$C,3,0)</f>
        <v>B2C</v>
      </c>
      <c r="X531" t="str">
        <f>VLOOKUP(C531,Sales_Representatives!$A:$B,2,0)</f>
        <v>Michael Davis</v>
      </c>
    </row>
    <row r="532" spans="1:24" x14ac:dyDescent="0.3">
      <c r="A532" t="s">
        <v>805</v>
      </c>
      <c r="B532" t="s">
        <v>806</v>
      </c>
      <c r="C532" t="s">
        <v>41</v>
      </c>
      <c r="D532" t="s">
        <v>237</v>
      </c>
      <c r="E532" t="s">
        <v>38</v>
      </c>
      <c r="F532">
        <v>6</v>
      </c>
      <c r="G532">
        <v>581.47</v>
      </c>
      <c r="H532">
        <v>7.0000000000000007E-2</v>
      </c>
      <c r="I532" s="4">
        <v>3244.6</v>
      </c>
      <c r="J532" t="s">
        <v>44</v>
      </c>
      <c r="K532" t="s">
        <v>48</v>
      </c>
      <c r="L532" s="4">
        <f>VLOOKUP(tblTransactions[[#This Row],[Product_ID]],tblProducts[],5,FALSE)</f>
        <v>372.07</v>
      </c>
      <c r="M532" s="4">
        <f>tblTransactions[[#This Row],[Total_Amount]]-(tblTransactions[[#This Row],[Cost_Prices]]*tblTransactions[[#This Row],[Quantity]]*(1-tblTransactions[[#This Row],[Discount]]))</f>
        <v>1168.4494</v>
      </c>
      <c r="N532" s="3">
        <f>tblTransactions[[#This Row],[Profit]]/tblTransactions[[#This Row],[Total_Amount]]</f>
        <v>0.3601212476114159</v>
      </c>
      <c r="O532" t="str">
        <f>TEXT(tblTransactions[[#This Row],[Date]], "MMM-YYYY")</f>
        <v>Apr-2023</v>
      </c>
      <c r="P532" t="str">
        <f>"Q"&amp;ROUNDUP(MONTH(tblTransactions[[#This Row],[Date]])/3,0)&amp;"-"&amp;YEAR(tblTransactions[[#This Row],[Date]])</f>
        <v>Q2-2023</v>
      </c>
      <c r="Q532">
        <f>YEAR(tblTransactions[[#This Row],[Date]])</f>
        <v>2023</v>
      </c>
      <c r="R532" t="str">
        <f>TEXT(tblTransactions[[#This Row],[Date]],"DDDD")</f>
        <v>Saturday</v>
      </c>
      <c r="S532">
        <f>MONTH(tblTransactions[[#This Row],[Date]])</f>
        <v>4</v>
      </c>
      <c r="T532" t="str">
        <f>VLOOKUP(E532, Products!$A:$B,2,0)</f>
        <v>Storage Fur-3</v>
      </c>
      <c r="U532" t="str">
        <f>VLOOKUP(E532,Products!$A:$C,3,0)</f>
        <v>Furniture</v>
      </c>
      <c r="V532" t="str">
        <f>VLOOKUP(E532,Products!$A:$D,4,0)</f>
        <v>Storage</v>
      </c>
      <c r="W532" t="str">
        <f>VLOOKUP(D532,Customers!$A:$C,3,0)</f>
        <v>B2B</v>
      </c>
      <c r="X532" t="str">
        <f>VLOOKUP(C532,Sales_Representatives!$A:$B,2,0)</f>
        <v>Robert Jones</v>
      </c>
    </row>
    <row r="533" spans="1:24" x14ac:dyDescent="0.3">
      <c r="A533" t="s">
        <v>807</v>
      </c>
      <c r="B533" t="s">
        <v>806</v>
      </c>
      <c r="C533" t="s">
        <v>27</v>
      </c>
      <c r="D533" t="s">
        <v>288</v>
      </c>
      <c r="E533" t="s">
        <v>137</v>
      </c>
      <c r="F533">
        <v>5</v>
      </c>
      <c r="G533">
        <v>241.39</v>
      </c>
      <c r="H533">
        <v>0</v>
      </c>
      <c r="I533" s="4">
        <v>1206.95</v>
      </c>
      <c r="J533" t="s">
        <v>16</v>
      </c>
      <c r="K533" t="s">
        <v>39</v>
      </c>
      <c r="L533" s="4">
        <f>VLOOKUP(tblTransactions[[#This Row],[Product_ID]],tblProducts[],5,FALSE)</f>
        <v>124.07</v>
      </c>
      <c r="M533" s="4">
        <f>tblTransactions[[#This Row],[Total_Amount]]-(tblTransactions[[#This Row],[Cost_Prices]]*tblTransactions[[#This Row],[Quantity]]*(1-tblTransactions[[#This Row],[Discount]]))</f>
        <v>586.60000000000014</v>
      </c>
      <c r="N533" s="3">
        <f>tblTransactions[[#This Row],[Profit]]/tblTransactions[[#This Row],[Total_Amount]]</f>
        <v>0.48601847632462003</v>
      </c>
      <c r="O533" t="str">
        <f>TEXT(tblTransactions[[#This Row],[Date]], "MMM-YYYY")</f>
        <v>Apr-2023</v>
      </c>
      <c r="P533" t="str">
        <f>"Q"&amp;ROUNDUP(MONTH(tblTransactions[[#This Row],[Date]])/3,0)&amp;"-"&amp;YEAR(tblTransactions[[#This Row],[Date]])</f>
        <v>Q2-2023</v>
      </c>
      <c r="Q533">
        <f>YEAR(tblTransactions[[#This Row],[Date]])</f>
        <v>2023</v>
      </c>
      <c r="R533" t="str">
        <f>TEXT(tblTransactions[[#This Row],[Date]],"DDDD")</f>
        <v>Saturday</v>
      </c>
      <c r="S533">
        <f>MONTH(tblTransactions[[#This Row],[Date]])</f>
        <v>4</v>
      </c>
      <c r="T533" t="str">
        <f>VLOOKUP(E533, Products!$A:$B,2,0)</f>
        <v>Desks Fur-2</v>
      </c>
      <c r="U533" t="str">
        <f>VLOOKUP(E533,Products!$A:$C,3,0)</f>
        <v>Furniture</v>
      </c>
      <c r="V533" t="str">
        <f>VLOOKUP(E533,Products!$A:$D,4,0)</f>
        <v>Desks</v>
      </c>
      <c r="W533" t="str">
        <f>VLOOKUP(D533,Customers!$A:$C,3,0)</f>
        <v>B2C</v>
      </c>
      <c r="X533" t="str">
        <f>VLOOKUP(C533,Sales_Representatives!$A:$B,2,0)</f>
        <v>Thomas Lopez</v>
      </c>
    </row>
    <row r="534" spans="1:24" x14ac:dyDescent="0.3">
      <c r="A534" t="s">
        <v>808</v>
      </c>
      <c r="B534" t="s">
        <v>806</v>
      </c>
      <c r="C534" t="s">
        <v>141</v>
      </c>
      <c r="D534" t="s">
        <v>351</v>
      </c>
      <c r="E534" t="s">
        <v>481</v>
      </c>
      <c r="F534">
        <v>6</v>
      </c>
      <c r="G534">
        <v>263.58999999999997</v>
      </c>
      <c r="H534">
        <v>0.13</v>
      </c>
      <c r="I534" s="4">
        <v>1375.94</v>
      </c>
      <c r="J534" t="s">
        <v>109</v>
      </c>
      <c r="K534" t="s">
        <v>35</v>
      </c>
      <c r="L534" s="4">
        <f>VLOOKUP(tblTransactions[[#This Row],[Product_ID]],tblProducts[],5,FALSE)</f>
        <v>133.65</v>
      </c>
      <c r="M534" s="4">
        <f>tblTransactions[[#This Row],[Total_Amount]]-(tblTransactions[[#This Row],[Cost_Prices]]*tblTransactions[[#This Row],[Quantity]]*(1-tblTransactions[[#This Row],[Discount]]))</f>
        <v>678.28700000000003</v>
      </c>
      <c r="N534" s="3">
        <f>tblTransactions[[#This Row],[Profit]]/tblTransactions[[#This Row],[Total_Amount]]</f>
        <v>0.49296262918441214</v>
      </c>
      <c r="O534" t="str">
        <f>TEXT(tblTransactions[[#This Row],[Date]], "MMM-YYYY")</f>
        <v>Apr-2023</v>
      </c>
      <c r="P534" t="str">
        <f>"Q"&amp;ROUNDUP(MONTH(tblTransactions[[#This Row],[Date]])/3,0)&amp;"-"&amp;YEAR(tblTransactions[[#This Row],[Date]])</f>
        <v>Q2-2023</v>
      </c>
      <c r="Q534">
        <f>YEAR(tblTransactions[[#This Row],[Date]])</f>
        <v>2023</v>
      </c>
      <c r="R534" t="str">
        <f>TEXT(tblTransactions[[#This Row],[Date]],"DDDD")</f>
        <v>Saturday</v>
      </c>
      <c r="S534">
        <f>MONTH(tblTransactions[[#This Row],[Date]])</f>
        <v>4</v>
      </c>
      <c r="T534" t="str">
        <f>VLOOKUP(E534, Products!$A:$B,2,0)</f>
        <v>Folders Off-1</v>
      </c>
      <c r="U534" t="str">
        <f>VLOOKUP(E534,Products!$A:$C,3,0)</f>
        <v>Office Supplies</v>
      </c>
      <c r="V534" t="str">
        <f>VLOOKUP(E534,Products!$A:$D,4,0)</f>
        <v>Folders</v>
      </c>
      <c r="W534" t="str">
        <f>VLOOKUP(D534,Customers!$A:$C,3,0)</f>
        <v>B2C</v>
      </c>
      <c r="X534" t="str">
        <f>VLOOKUP(C534,Sales_Representatives!$A:$B,2,0)</f>
        <v>Richard Garcia</v>
      </c>
    </row>
    <row r="535" spans="1:24" x14ac:dyDescent="0.3">
      <c r="A535" t="s">
        <v>809</v>
      </c>
      <c r="B535" t="s">
        <v>806</v>
      </c>
      <c r="C535" t="s">
        <v>63</v>
      </c>
      <c r="D535" t="s">
        <v>183</v>
      </c>
      <c r="E535" t="s">
        <v>113</v>
      </c>
      <c r="F535">
        <v>2</v>
      </c>
      <c r="G535">
        <v>930.41</v>
      </c>
      <c r="H535">
        <v>0.08</v>
      </c>
      <c r="I535" s="4">
        <v>1711.95</v>
      </c>
      <c r="J535" t="s">
        <v>21</v>
      </c>
      <c r="K535" t="s">
        <v>39</v>
      </c>
      <c r="L535" s="4">
        <f>VLOOKUP(tblTransactions[[#This Row],[Product_ID]],tblProducts[],5,FALSE)</f>
        <v>595.51</v>
      </c>
      <c r="M535" s="4">
        <f>tblTransactions[[#This Row],[Total_Amount]]-(tblTransactions[[#This Row],[Cost_Prices]]*tblTransactions[[#This Row],[Quantity]]*(1-tblTransactions[[#This Row],[Discount]]))</f>
        <v>616.21160000000009</v>
      </c>
      <c r="N535" s="3">
        <f>tblTransactions[[#This Row],[Profit]]/tblTransactions[[#This Row],[Total_Amount]]</f>
        <v>0.35994719471947201</v>
      </c>
      <c r="O535" t="str">
        <f>TEXT(tblTransactions[[#This Row],[Date]], "MMM-YYYY")</f>
        <v>Apr-2023</v>
      </c>
      <c r="P535" t="str">
        <f>"Q"&amp;ROUNDUP(MONTH(tblTransactions[[#This Row],[Date]])/3,0)&amp;"-"&amp;YEAR(tblTransactions[[#This Row],[Date]])</f>
        <v>Q2-2023</v>
      </c>
      <c r="Q535">
        <f>YEAR(tblTransactions[[#This Row],[Date]])</f>
        <v>2023</v>
      </c>
      <c r="R535" t="str">
        <f>TEXT(tblTransactions[[#This Row],[Date]],"DDDD")</f>
        <v>Saturday</v>
      </c>
      <c r="S535">
        <f>MONTH(tblTransactions[[#This Row],[Date]])</f>
        <v>4</v>
      </c>
      <c r="T535" t="str">
        <f>VLOOKUP(E535, Products!$A:$B,2,0)</f>
        <v>Phones Ele-1</v>
      </c>
      <c r="U535" t="str">
        <f>VLOOKUP(E535,Products!$A:$C,3,0)</f>
        <v>Electronics</v>
      </c>
      <c r="V535" t="str">
        <f>VLOOKUP(E535,Products!$A:$D,4,0)</f>
        <v>Phones</v>
      </c>
      <c r="W535" t="str">
        <f>VLOOKUP(D535,Customers!$A:$C,3,0)</f>
        <v>Small Business</v>
      </c>
      <c r="X535" t="str">
        <f>VLOOKUP(C535,Sales_Representatives!$A:$B,2,0)</f>
        <v>Richard Wilson</v>
      </c>
    </row>
    <row r="536" spans="1:24" x14ac:dyDescent="0.3">
      <c r="A536" t="s">
        <v>810</v>
      </c>
      <c r="B536" t="s">
        <v>806</v>
      </c>
      <c r="C536" t="s">
        <v>56</v>
      </c>
      <c r="D536" t="s">
        <v>216</v>
      </c>
      <c r="E536" t="s">
        <v>89</v>
      </c>
      <c r="F536">
        <v>3</v>
      </c>
      <c r="G536">
        <v>555.08000000000004</v>
      </c>
      <c r="H536">
        <v>0.04</v>
      </c>
      <c r="I536" s="4">
        <v>1598.63</v>
      </c>
      <c r="J536" t="s">
        <v>34</v>
      </c>
      <c r="K536" t="s">
        <v>17</v>
      </c>
      <c r="L536" s="4">
        <f>VLOOKUP(tblTransactions[[#This Row],[Product_ID]],tblProducts[],5,FALSE)</f>
        <v>402.82</v>
      </c>
      <c r="M536" s="4">
        <f>tblTransactions[[#This Row],[Total_Amount]]-(tblTransactions[[#This Row],[Cost_Prices]]*tblTransactions[[#This Row],[Quantity]]*(1-tblTransactions[[#This Row],[Discount]]))</f>
        <v>438.50840000000017</v>
      </c>
      <c r="N536" s="3">
        <f>tblTransactions[[#This Row],[Profit]]/tblTransactions[[#This Row],[Total_Amount]]</f>
        <v>0.27430262161976199</v>
      </c>
      <c r="O536" t="str">
        <f>TEXT(tblTransactions[[#This Row],[Date]], "MMM-YYYY")</f>
        <v>Apr-2023</v>
      </c>
      <c r="P536" t="str">
        <f>"Q"&amp;ROUNDUP(MONTH(tblTransactions[[#This Row],[Date]])/3,0)&amp;"-"&amp;YEAR(tblTransactions[[#This Row],[Date]])</f>
        <v>Q2-2023</v>
      </c>
      <c r="Q536">
        <f>YEAR(tblTransactions[[#This Row],[Date]])</f>
        <v>2023</v>
      </c>
      <c r="R536" t="str">
        <f>TEXT(tblTransactions[[#This Row],[Date]],"DDDD")</f>
        <v>Saturday</v>
      </c>
      <c r="S536">
        <f>MONTH(tblTransactions[[#This Row],[Date]])</f>
        <v>4</v>
      </c>
      <c r="T536" t="str">
        <f>VLOOKUP(E536, Products!$A:$B,2,0)</f>
        <v>Laptops Ele-3</v>
      </c>
      <c r="U536" t="str">
        <f>VLOOKUP(E536,Products!$A:$C,3,0)</f>
        <v>Electronics</v>
      </c>
      <c r="V536" t="str">
        <f>VLOOKUP(E536,Products!$A:$D,4,0)</f>
        <v>Laptops</v>
      </c>
      <c r="W536" t="str">
        <f>VLOOKUP(D536,Customers!$A:$C,3,0)</f>
        <v>Small Business</v>
      </c>
      <c r="X536" t="str">
        <f>VLOOKUP(C536,Sales_Representatives!$A:$B,2,0)</f>
        <v>Thomas Hernandez</v>
      </c>
    </row>
    <row r="537" spans="1:24" x14ac:dyDescent="0.3">
      <c r="A537" t="s">
        <v>811</v>
      </c>
      <c r="B537" t="s">
        <v>806</v>
      </c>
      <c r="C537" t="s">
        <v>19</v>
      </c>
      <c r="D537" t="s">
        <v>228</v>
      </c>
      <c r="E537" t="s">
        <v>435</v>
      </c>
      <c r="F537">
        <v>7</v>
      </c>
      <c r="G537">
        <v>198.72</v>
      </c>
      <c r="H537">
        <v>0.09</v>
      </c>
      <c r="I537" s="4">
        <v>1265.8499999999999</v>
      </c>
      <c r="J537" t="s">
        <v>21</v>
      </c>
      <c r="K537" t="s">
        <v>35</v>
      </c>
      <c r="L537" s="4">
        <f>VLOOKUP(tblTransactions[[#This Row],[Product_ID]],tblProducts[],5,FALSE)</f>
        <v>116.98</v>
      </c>
      <c r="M537" s="4">
        <f>tblTransactions[[#This Row],[Total_Amount]]-(tblTransactions[[#This Row],[Cost_Prices]]*tblTransactions[[#This Row],[Quantity]]*(1-tblTransactions[[#This Row],[Discount]]))</f>
        <v>520.68739999999991</v>
      </c>
      <c r="N537" s="3">
        <f>tblTransactions[[#This Row],[Profit]]/tblTransactions[[#This Row],[Total_Amount]]</f>
        <v>0.41133420231465018</v>
      </c>
      <c r="O537" t="str">
        <f>TEXT(tblTransactions[[#This Row],[Date]], "MMM-YYYY")</f>
        <v>Apr-2023</v>
      </c>
      <c r="P537" t="str">
        <f>"Q"&amp;ROUNDUP(MONTH(tblTransactions[[#This Row],[Date]])/3,0)&amp;"-"&amp;YEAR(tblTransactions[[#This Row],[Date]])</f>
        <v>Q2-2023</v>
      </c>
      <c r="Q537">
        <f>YEAR(tblTransactions[[#This Row],[Date]])</f>
        <v>2023</v>
      </c>
      <c r="R537" t="str">
        <f>TEXT(tblTransactions[[#This Row],[Date]],"DDDD")</f>
        <v>Saturday</v>
      </c>
      <c r="S537">
        <f>MONTH(tblTransactions[[#This Row],[Date]])</f>
        <v>4</v>
      </c>
      <c r="T537" t="str">
        <f>VLOOKUP(E537, Products!$A:$B,2,0)</f>
        <v>Paper Off-4</v>
      </c>
      <c r="U537" t="str">
        <f>VLOOKUP(E537,Products!$A:$C,3,0)</f>
        <v>Office Supplies</v>
      </c>
      <c r="V537" t="str">
        <f>VLOOKUP(E537,Products!$A:$D,4,0)</f>
        <v>Paper</v>
      </c>
      <c r="W537" t="str">
        <f>VLOOKUP(D537,Customers!$A:$C,3,0)</f>
        <v>Small Business</v>
      </c>
      <c r="X537" t="str">
        <f>VLOOKUP(C537,Sales_Representatives!$A:$B,2,0)</f>
        <v>Robert Jones</v>
      </c>
    </row>
    <row r="538" spans="1:24" x14ac:dyDescent="0.3">
      <c r="A538" t="s">
        <v>812</v>
      </c>
      <c r="B538" t="s">
        <v>813</v>
      </c>
      <c r="C538" t="s">
        <v>127</v>
      </c>
      <c r="D538" t="s">
        <v>83</v>
      </c>
      <c r="E538" t="s">
        <v>79</v>
      </c>
      <c r="F538">
        <v>4</v>
      </c>
      <c r="G538">
        <v>1452.36</v>
      </c>
      <c r="H538">
        <v>0.05</v>
      </c>
      <c r="I538" s="4">
        <v>5518.97</v>
      </c>
      <c r="J538" t="s">
        <v>109</v>
      </c>
      <c r="K538" t="s">
        <v>17</v>
      </c>
      <c r="L538" s="4">
        <f>VLOOKUP(tblTransactions[[#This Row],[Product_ID]],tblProducts[],5,FALSE)</f>
        <v>778.71</v>
      </c>
      <c r="M538" s="4">
        <f>tblTransactions[[#This Row],[Total_Amount]]-(tblTransactions[[#This Row],[Cost_Prices]]*tblTransactions[[#This Row],[Quantity]]*(1-tblTransactions[[#This Row],[Discount]]))</f>
        <v>2559.8720000000003</v>
      </c>
      <c r="N538" s="3">
        <f>tblTransactions[[#This Row],[Profit]]/tblTransactions[[#This Row],[Total_Amount]]</f>
        <v>0.46383147580073819</v>
      </c>
      <c r="O538" t="str">
        <f>TEXT(tblTransactions[[#This Row],[Date]], "MMM-YYYY")</f>
        <v>Apr-2023</v>
      </c>
      <c r="P538" t="str">
        <f>"Q"&amp;ROUNDUP(MONTH(tblTransactions[[#This Row],[Date]])/3,0)&amp;"-"&amp;YEAR(tblTransactions[[#This Row],[Date]])</f>
        <v>Q2-2023</v>
      </c>
      <c r="Q538">
        <f>YEAR(tblTransactions[[#This Row],[Date]])</f>
        <v>2023</v>
      </c>
      <c r="R538" t="str">
        <f>TEXT(tblTransactions[[#This Row],[Date]],"DDDD")</f>
        <v>Sunday</v>
      </c>
      <c r="S538">
        <f>MONTH(tblTransactions[[#This Row],[Date]])</f>
        <v>4</v>
      </c>
      <c r="T538" t="str">
        <f>VLOOKUP(E538, Products!$A:$B,2,0)</f>
        <v>Tables Fur-2</v>
      </c>
      <c r="U538" t="str">
        <f>VLOOKUP(E538,Products!$A:$C,3,0)</f>
        <v>Furniture</v>
      </c>
      <c r="V538" t="str">
        <f>VLOOKUP(E538,Products!$A:$D,4,0)</f>
        <v>Tables</v>
      </c>
      <c r="W538" t="str">
        <f>VLOOKUP(D538,Customers!$A:$C,3,0)</f>
        <v>Small Business</v>
      </c>
      <c r="X538" t="str">
        <f>VLOOKUP(C538,Sales_Representatives!$A:$B,2,0)</f>
        <v>Emily Hernandez</v>
      </c>
    </row>
    <row r="539" spans="1:24" x14ac:dyDescent="0.3">
      <c r="A539" t="s">
        <v>814</v>
      </c>
      <c r="B539" t="s">
        <v>813</v>
      </c>
      <c r="C539" t="s">
        <v>19</v>
      </c>
      <c r="D539" t="s">
        <v>327</v>
      </c>
      <c r="E539" t="s">
        <v>178</v>
      </c>
      <c r="F539">
        <v>3</v>
      </c>
      <c r="G539">
        <v>1623.35</v>
      </c>
      <c r="H539">
        <v>0.03</v>
      </c>
      <c r="I539" s="4">
        <v>4723.95</v>
      </c>
      <c r="J539" t="s">
        <v>21</v>
      </c>
      <c r="K539" t="s">
        <v>22</v>
      </c>
      <c r="L539" s="4">
        <f>VLOOKUP(tblTransactions[[#This Row],[Product_ID]],tblProducts[],5,FALSE)</f>
        <v>981.45</v>
      </c>
      <c r="M539" s="4">
        <f>tblTransactions[[#This Row],[Total_Amount]]-(tblTransactions[[#This Row],[Cost_Prices]]*tblTransactions[[#This Row],[Quantity]]*(1-tblTransactions[[#This Row],[Discount]]))</f>
        <v>1867.9304999999995</v>
      </c>
      <c r="N539" s="3">
        <f>tblTransactions[[#This Row],[Profit]]/tblTransactions[[#This Row],[Total_Amount]]</f>
        <v>0.39541707681071975</v>
      </c>
      <c r="O539" t="str">
        <f>TEXT(tblTransactions[[#This Row],[Date]], "MMM-YYYY")</f>
        <v>Apr-2023</v>
      </c>
      <c r="P539" t="str">
        <f>"Q"&amp;ROUNDUP(MONTH(tblTransactions[[#This Row],[Date]])/3,0)&amp;"-"&amp;YEAR(tblTransactions[[#This Row],[Date]])</f>
        <v>Q2-2023</v>
      </c>
      <c r="Q539">
        <f>YEAR(tblTransactions[[#This Row],[Date]])</f>
        <v>2023</v>
      </c>
      <c r="R539" t="str">
        <f>TEXT(tblTransactions[[#This Row],[Date]],"DDDD")</f>
        <v>Sunday</v>
      </c>
      <c r="S539">
        <f>MONTH(tblTransactions[[#This Row],[Date]])</f>
        <v>4</v>
      </c>
      <c r="T539" t="str">
        <f>VLOOKUP(E539, Products!$A:$B,2,0)</f>
        <v>Tablets Ele-1</v>
      </c>
      <c r="U539" t="str">
        <f>VLOOKUP(E539,Products!$A:$C,3,0)</f>
        <v>Electronics</v>
      </c>
      <c r="V539" t="str">
        <f>VLOOKUP(E539,Products!$A:$D,4,0)</f>
        <v>Tablets</v>
      </c>
      <c r="W539" t="str">
        <f>VLOOKUP(D539,Customers!$A:$C,3,0)</f>
        <v>B2C</v>
      </c>
      <c r="X539" t="str">
        <f>VLOOKUP(C539,Sales_Representatives!$A:$B,2,0)</f>
        <v>Robert Jones</v>
      </c>
    </row>
    <row r="540" spans="1:24" x14ac:dyDescent="0.3">
      <c r="A540" t="s">
        <v>815</v>
      </c>
      <c r="B540" t="s">
        <v>813</v>
      </c>
      <c r="C540" t="s">
        <v>41</v>
      </c>
      <c r="D540" t="s">
        <v>527</v>
      </c>
      <c r="E540" t="s">
        <v>258</v>
      </c>
      <c r="F540">
        <v>3</v>
      </c>
      <c r="G540">
        <v>73.33</v>
      </c>
      <c r="H540">
        <v>0.09</v>
      </c>
      <c r="I540" s="4">
        <v>200.19</v>
      </c>
      <c r="J540" t="s">
        <v>44</v>
      </c>
      <c r="K540" t="s">
        <v>35</v>
      </c>
      <c r="L540" s="4">
        <f>VLOOKUP(tblTransactions[[#This Row],[Product_ID]],tblProducts[],5,FALSE)</f>
        <v>38.049999999999997</v>
      </c>
      <c r="M540" s="4">
        <f>tblTransactions[[#This Row],[Total_Amount]]-(tblTransactions[[#This Row],[Cost_Prices]]*tblTransactions[[#This Row],[Quantity]]*(1-tblTransactions[[#This Row],[Discount]]))</f>
        <v>96.313500000000005</v>
      </c>
      <c r="N540" s="3">
        <f>tblTransactions[[#This Row],[Profit]]/tblTransactions[[#This Row],[Total_Amount]]</f>
        <v>0.48111044507717671</v>
      </c>
      <c r="O540" t="str">
        <f>TEXT(tblTransactions[[#This Row],[Date]], "MMM-YYYY")</f>
        <v>Apr-2023</v>
      </c>
      <c r="P540" t="str">
        <f>"Q"&amp;ROUNDUP(MONTH(tblTransactions[[#This Row],[Date]])/3,0)&amp;"-"&amp;YEAR(tblTransactions[[#This Row],[Date]])</f>
        <v>Q2-2023</v>
      </c>
      <c r="Q540">
        <f>YEAR(tblTransactions[[#This Row],[Date]])</f>
        <v>2023</v>
      </c>
      <c r="R540" t="str">
        <f>TEXT(tblTransactions[[#This Row],[Date]],"DDDD")</f>
        <v>Sunday</v>
      </c>
      <c r="S540">
        <f>MONTH(tblTransactions[[#This Row],[Date]])</f>
        <v>4</v>
      </c>
      <c r="T540" t="str">
        <f>VLOOKUP(E540, Products!$A:$B,2,0)</f>
        <v>Keyboards Acc-3</v>
      </c>
      <c r="U540" t="str">
        <f>VLOOKUP(E540,Products!$A:$C,3,0)</f>
        <v>Accessories</v>
      </c>
      <c r="V540" t="str">
        <f>VLOOKUP(E540,Products!$A:$D,4,0)</f>
        <v>Keyboards</v>
      </c>
      <c r="W540" t="str">
        <f>VLOOKUP(D540,Customers!$A:$C,3,0)</f>
        <v>B2C</v>
      </c>
      <c r="X540" t="str">
        <f>VLOOKUP(C540,Sales_Representatives!$A:$B,2,0)</f>
        <v>Robert Jones</v>
      </c>
    </row>
    <row r="541" spans="1:24" x14ac:dyDescent="0.3">
      <c r="A541" t="s">
        <v>816</v>
      </c>
      <c r="B541" t="s">
        <v>813</v>
      </c>
      <c r="C541" t="s">
        <v>27</v>
      </c>
      <c r="D541" t="s">
        <v>203</v>
      </c>
      <c r="E541" t="s">
        <v>38</v>
      </c>
      <c r="F541">
        <v>7</v>
      </c>
      <c r="G541">
        <v>581.47</v>
      </c>
      <c r="H541">
        <v>0.09</v>
      </c>
      <c r="I541" s="4">
        <v>3703.96</v>
      </c>
      <c r="J541" t="s">
        <v>16</v>
      </c>
      <c r="K541" t="s">
        <v>39</v>
      </c>
      <c r="L541" s="4">
        <f>VLOOKUP(tblTransactions[[#This Row],[Product_ID]],tblProducts[],5,FALSE)</f>
        <v>372.07</v>
      </c>
      <c r="M541" s="4">
        <f>tblTransactions[[#This Row],[Total_Amount]]-(tblTransactions[[#This Row],[Cost_Prices]]*tblTransactions[[#This Row],[Quantity]]*(1-tblTransactions[[#This Row],[Discount]]))</f>
        <v>1333.8741</v>
      </c>
      <c r="N541" s="3">
        <f>tblTransactions[[#This Row],[Profit]]/tblTransactions[[#This Row],[Total_Amount]]</f>
        <v>0.36012108662080583</v>
      </c>
      <c r="O541" t="str">
        <f>TEXT(tblTransactions[[#This Row],[Date]], "MMM-YYYY")</f>
        <v>Apr-2023</v>
      </c>
      <c r="P541" t="str">
        <f>"Q"&amp;ROUNDUP(MONTH(tblTransactions[[#This Row],[Date]])/3,0)&amp;"-"&amp;YEAR(tblTransactions[[#This Row],[Date]])</f>
        <v>Q2-2023</v>
      </c>
      <c r="Q541">
        <f>YEAR(tblTransactions[[#This Row],[Date]])</f>
        <v>2023</v>
      </c>
      <c r="R541" t="str">
        <f>TEXT(tblTransactions[[#This Row],[Date]],"DDDD")</f>
        <v>Sunday</v>
      </c>
      <c r="S541">
        <f>MONTH(tblTransactions[[#This Row],[Date]])</f>
        <v>4</v>
      </c>
      <c r="T541" t="str">
        <f>VLOOKUP(E541, Products!$A:$B,2,0)</f>
        <v>Storage Fur-3</v>
      </c>
      <c r="U541" t="str">
        <f>VLOOKUP(E541,Products!$A:$C,3,0)</f>
        <v>Furniture</v>
      </c>
      <c r="V541" t="str">
        <f>VLOOKUP(E541,Products!$A:$D,4,0)</f>
        <v>Storage</v>
      </c>
      <c r="W541" t="str">
        <f>VLOOKUP(D541,Customers!$A:$C,3,0)</f>
        <v>Enterprise</v>
      </c>
      <c r="X541" t="str">
        <f>VLOOKUP(C541,Sales_Representatives!$A:$B,2,0)</f>
        <v>Thomas Lopez</v>
      </c>
    </row>
    <row r="542" spans="1:24" x14ac:dyDescent="0.3">
      <c r="A542" t="s">
        <v>817</v>
      </c>
      <c r="B542" t="s">
        <v>813</v>
      </c>
      <c r="C542" t="s">
        <v>13</v>
      </c>
      <c r="D542" t="s">
        <v>134</v>
      </c>
      <c r="E542" t="s">
        <v>91</v>
      </c>
      <c r="F542">
        <v>18</v>
      </c>
      <c r="G542">
        <v>286.62</v>
      </c>
      <c r="H542">
        <v>0.18</v>
      </c>
      <c r="I542" s="4">
        <v>4230.51</v>
      </c>
      <c r="J542" t="s">
        <v>16</v>
      </c>
      <c r="K542" t="s">
        <v>35</v>
      </c>
      <c r="L542" s="4">
        <f>VLOOKUP(tblTransactions[[#This Row],[Product_ID]],tblProducts[],5,FALSE)</f>
        <v>145.54</v>
      </c>
      <c r="M542" s="4">
        <f>tblTransactions[[#This Row],[Total_Amount]]-(tblTransactions[[#This Row],[Cost_Prices]]*tblTransactions[[#This Row],[Quantity]]*(1-tblTransactions[[#This Row],[Discount]]))</f>
        <v>2082.3396000000002</v>
      </c>
      <c r="N542" s="3">
        <f>tblTransactions[[#This Row],[Profit]]/tblTransactions[[#This Row],[Total_Amount]]</f>
        <v>0.49221951963238481</v>
      </c>
      <c r="O542" t="str">
        <f>TEXT(tblTransactions[[#This Row],[Date]], "MMM-YYYY")</f>
        <v>Apr-2023</v>
      </c>
      <c r="P542" t="str">
        <f>"Q"&amp;ROUNDUP(MONTH(tblTransactions[[#This Row],[Date]])/3,0)&amp;"-"&amp;YEAR(tblTransactions[[#This Row],[Date]])</f>
        <v>Q2-2023</v>
      </c>
      <c r="Q542">
        <f>YEAR(tblTransactions[[#This Row],[Date]])</f>
        <v>2023</v>
      </c>
      <c r="R542" t="str">
        <f>TEXT(tblTransactions[[#This Row],[Date]],"DDDD")</f>
        <v>Sunday</v>
      </c>
      <c r="S542">
        <f>MONTH(tblTransactions[[#This Row],[Date]])</f>
        <v>4</v>
      </c>
      <c r="T542" t="str">
        <f>VLOOKUP(E542, Products!$A:$B,2,0)</f>
        <v>Chairs Fur-1</v>
      </c>
      <c r="U542" t="str">
        <f>VLOOKUP(E542,Products!$A:$C,3,0)</f>
        <v>Furniture</v>
      </c>
      <c r="V542" t="str">
        <f>VLOOKUP(E542,Products!$A:$D,4,0)</f>
        <v>Chairs</v>
      </c>
      <c r="W542" t="str">
        <f>VLOOKUP(D542,Customers!$A:$C,3,0)</f>
        <v>B2B</v>
      </c>
      <c r="X542" t="str">
        <f>VLOOKUP(C542,Sales_Representatives!$A:$B,2,0)</f>
        <v>Jennifer Rodriguez</v>
      </c>
    </row>
    <row r="543" spans="1:24" x14ac:dyDescent="0.3">
      <c r="A543" t="s">
        <v>818</v>
      </c>
      <c r="B543" t="s">
        <v>819</v>
      </c>
      <c r="C543" t="s">
        <v>56</v>
      </c>
      <c r="D543" t="s">
        <v>362</v>
      </c>
      <c r="E543" t="s">
        <v>345</v>
      </c>
      <c r="F543">
        <v>5</v>
      </c>
      <c r="G543">
        <v>13.97</v>
      </c>
      <c r="H543">
        <v>0.08</v>
      </c>
      <c r="I543" s="4">
        <v>64.260000000000005</v>
      </c>
      <c r="J543" t="s">
        <v>34</v>
      </c>
      <c r="K543" t="s">
        <v>35</v>
      </c>
      <c r="L543" s="4">
        <f>VLOOKUP(tblTransactions[[#This Row],[Product_ID]],tblProducts[],5,FALSE)</f>
        <v>8.69</v>
      </c>
      <c r="M543" s="4">
        <f>tblTransactions[[#This Row],[Total_Amount]]-(tblTransactions[[#This Row],[Cost_Prices]]*tblTransactions[[#This Row],[Quantity]]*(1-tblTransactions[[#This Row],[Discount]]))</f>
        <v>24.286000000000008</v>
      </c>
      <c r="N543" s="3">
        <f>tblTransactions[[#This Row],[Profit]]/tblTransactions[[#This Row],[Total_Amount]]</f>
        <v>0.37793339558045452</v>
      </c>
      <c r="O543" t="str">
        <f>TEXT(tblTransactions[[#This Row],[Date]], "MMM-YYYY")</f>
        <v>May-2023</v>
      </c>
      <c r="P543" t="str">
        <f>"Q"&amp;ROUNDUP(MONTH(tblTransactions[[#This Row],[Date]])/3,0)&amp;"-"&amp;YEAR(tblTransactions[[#This Row],[Date]])</f>
        <v>Q2-2023</v>
      </c>
      <c r="Q543">
        <f>YEAR(tblTransactions[[#This Row],[Date]])</f>
        <v>2023</v>
      </c>
      <c r="R543" t="str">
        <f>TEXT(tblTransactions[[#This Row],[Date]],"DDDD")</f>
        <v>Monday</v>
      </c>
      <c r="S543">
        <f>MONTH(tblTransactions[[#This Row],[Date]])</f>
        <v>5</v>
      </c>
      <c r="T543" t="str">
        <f>VLOOKUP(E543, Products!$A:$B,2,0)</f>
        <v>Cases Acc-2</v>
      </c>
      <c r="U543" t="str">
        <f>VLOOKUP(E543,Products!$A:$C,3,0)</f>
        <v>Accessories</v>
      </c>
      <c r="V543" t="str">
        <f>VLOOKUP(E543,Products!$A:$D,4,0)</f>
        <v>Cases</v>
      </c>
      <c r="W543" t="str">
        <f>VLOOKUP(D543,Customers!$A:$C,3,0)</f>
        <v>Small Business</v>
      </c>
      <c r="X543" t="str">
        <f>VLOOKUP(C543,Sales_Representatives!$A:$B,2,0)</f>
        <v>Thomas Hernandez</v>
      </c>
    </row>
    <row r="544" spans="1:24" x14ac:dyDescent="0.3">
      <c r="A544" t="s">
        <v>820</v>
      </c>
      <c r="B544" t="s">
        <v>821</v>
      </c>
      <c r="C544" t="s">
        <v>70</v>
      </c>
      <c r="D544" t="s">
        <v>60</v>
      </c>
      <c r="E544" t="s">
        <v>129</v>
      </c>
      <c r="F544">
        <v>5</v>
      </c>
      <c r="G544">
        <v>1283.71</v>
      </c>
      <c r="H544">
        <v>0.06</v>
      </c>
      <c r="I544" s="4">
        <v>6033.44</v>
      </c>
      <c r="J544" t="s">
        <v>16</v>
      </c>
      <c r="K544" t="s">
        <v>39</v>
      </c>
      <c r="L544" s="4">
        <f>VLOOKUP(tblTransactions[[#This Row],[Product_ID]],tblProducts[],5,FALSE)</f>
        <v>970.14</v>
      </c>
      <c r="M544" s="4">
        <f>tblTransactions[[#This Row],[Total_Amount]]-(tblTransactions[[#This Row],[Cost_Prices]]*tblTransactions[[#This Row],[Quantity]]*(1-tblTransactions[[#This Row],[Discount]]))</f>
        <v>1473.7820000000002</v>
      </c>
      <c r="N544" s="3">
        <f>tblTransactions[[#This Row],[Profit]]/tblTransactions[[#This Row],[Total_Amount]]</f>
        <v>0.24426894110159383</v>
      </c>
      <c r="O544" t="str">
        <f>TEXT(tblTransactions[[#This Row],[Date]], "MMM-YYYY")</f>
        <v>May-2023</v>
      </c>
      <c r="P544" t="str">
        <f>"Q"&amp;ROUNDUP(MONTH(tblTransactions[[#This Row],[Date]])/3,0)&amp;"-"&amp;YEAR(tblTransactions[[#This Row],[Date]])</f>
        <v>Q2-2023</v>
      </c>
      <c r="Q544">
        <f>YEAR(tblTransactions[[#This Row],[Date]])</f>
        <v>2023</v>
      </c>
      <c r="R544" t="str">
        <f>TEXT(tblTransactions[[#This Row],[Date]],"DDDD")</f>
        <v>Tuesday</v>
      </c>
      <c r="S544">
        <f>MONTH(tblTransactions[[#This Row],[Date]])</f>
        <v>5</v>
      </c>
      <c r="T544" t="str">
        <f>VLOOKUP(E544, Products!$A:$B,2,0)</f>
        <v>Cameras Ele-3</v>
      </c>
      <c r="U544" t="str">
        <f>VLOOKUP(E544,Products!$A:$C,3,0)</f>
        <v>Electronics</v>
      </c>
      <c r="V544" t="str">
        <f>VLOOKUP(E544,Products!$A:$D,4,0)</f>
        <v>Cameras</v>
      </c>
      <c r="W544" t="str">
        <f>VLOOKUP(D544,Customers!$A:$C,3,0)</f>
        <v>B2C</v>
      </c>
      <c r="X544" t="str">
        <f>VLOOKUP(C544,Sales_Representatives!$A:$B,2,0)</f>
        <v>Linda Smith</v>
      </c>
    </row>
    <row r="545" spans="1:24" x14ac:dyDescent="0.3">
      <c r="A545" t="s">
        <v>822</v>
      </c>
      <c r="B545" t="s">
        <v>821</v>
      </c>
      <c r="C545" t="s">
        <v>19</v>
      </c>
      <c r="D545" t="s">
        <v>203</v>
      </c>
      <c r="E545" t="s">
        <v>79</v>
      </c>
      <c r="F545">
        <v>31</v>
      </c>
      <c r="G545">
        <v>1452.36</v>
      </c>
      <c r="H545">
        <v>0.19</v>
      </c>
      <c r="I545" s="4">
        <v>36468.76</v>
      </c>
      <c r="J545" t="s">
        <v>21</v>
      </c>
      <c r="K545" t="s">
        <v>17</v>
      </c>
      <c r="L545" s="4">
        <f>VLOOKUP(tblTransactions[[#This Row],[Product_ID]],tblProducts[],5,FALSE)</f>
        <v>778.71</v>
      </c>
      <c r="M545" s="4">
        <f>tblTransactions[[#This Row],[Total_Amount]]-(tblTransactions[[#This Row],[Cost_Prices]]*tblTransactions[[#This Row],[Quantity]]*(1-tblTransactions[[#This Row],[Discount]]))</f>
        <v>16915.351899999998</v>
      </c>
      <c r="N545" s="3">
        <f>tblTransactions[[#This Row],[Profit]]/tblTransactions[[#This Row],[Total_Amount]]</f>
        <v>0.4638312873813093</v>
      </c>
      <c r="O545" t="str">
        <f>TEXT(tblTransactions[[#This Row],[Date]], "MMM-YYYY")</f>
        <v>May-2023</v>
      </c>
      <c r="P545" t="str">
        <f>"Q"&amp;ROUNDUP(MONTH(tblTransactions[[#This Row],[Date]])/3,0)&amp;"-"&amp;YEAR(tblTransactions[[#This Row],[Date]])</f>
        <v>Q2-2023</v>
      </c>
      <c r="Q545">
        <f>YEAR(tblTransactions[[#This Row],[Date]])</f>
        <v>2023</v>
      </c>
      <c r="R545" t="str">
        <f>TEXT(tblTransactions[[#This Row],[Date]],"DDDD")</f>
        <v>Tuesday</v>
      </c>
      <c r="S545">
        <f>MONTH(tblTransactions[[#This Row],[Date]])</f>
        <v>5</v>
      </c>
      <c r="T545" t="str">
        <f>VLOOKUP(E545, Products!$A:$B,2,0)</f>
        <v>Tables Fur-2</v>
      </c>
      <c r="U545" t="str">
        <f>VLOOKUP(E545,Products!$A:$C,3,0)</f>
        <v>Furniture</v>
      </c>
      <c r="V545" t="str">
        <f>VLOOKUP(E545,Products!$A:$D,4,0)</f>
        <v>Tables</v>
      </c>
      <c r="W545" t="str">
        <f>VLOOKUP(D545,Customers!$A:$C,3,0)</f>
        <v>Enterprise</v>
      </c>
      <c r="X545" t="str">
        <f>VLOOKUP(C545,Sales_Representatives!$A:$B,2,0)</f>
        <v>Robert Jones</v>
      </c>
    </row>
    <row r="546" spans="1:24" x14ac:dyDescent="0.3">
      <c r="A546" t="s">
        <v>823</v>
      </c>
      <c r="B546" t="s">
        <v>821</v>
      </c>
      <c r="C546" t="s">
        <v>41</v>
      </c>
      <c r="D546" t="s">
        <v>288</v>
      </c>
      <c r="E546" t="s">
        <v>347</v>
      </c>
      <c r="F546">
        <v>2</v>
      </c>
      <c r="G546">
        <v>1539.6</v>
      </c>
      <c r="H546">
        <v>0.03</v>
      </c>
      <c r="I546" s="4">
        <v>2986.82</v>
      </c>
      <c r="J546" t="s">
        <v>44</v>
      </c>
      <c r="K546" t="s">
        <v>22</v>
      </c>
      <c r="L546" s="4">
        <f>VLOOKUP(tblTransactions[[#This Row],[Product_ID]],tblProducts[],5,FALSE)</f>
        <v>992.43</v>
      </c>
      <c r="M546" s="4">
        <f>tblTransactions[[#This Row],[Total_Amount]]-(tblTransactions[[#This Row],[Cost_Prices]]*tblTransactions[[#This Row],[Quantity]]*(1-tblTransactions[[#This Row],[Discount]]))</f>
        <v>1061.5058000000004</v>
      </c>
      <c r="N546" s="3">
        <f>tblTransactions[[#This Row],[Profit]]/tblTransactions[[#This Row],[Total_Amount]]</f>
        <v>0.35539664258308179</v>
      </c>
      <c r="O546" t="str">
        <f>TEXT(tblTransactions[[#This Row],[Date]], "MMM-YYYY")</f>
        <v>May-2023</v>
      </c>
      <c r="P546" t="str">
        <f>"Q"&amp;ROUNDUP(MONTH(tblTransactions[[#This Row],[Date]])/3,0)&amp;"-"&amp;YEAR(tblTransactions[[#This Row],[Date]])</f>
        <v>Q2-2023</v>
      </c>
      <c r="Q546">
        <f>YEAR(tblTransactions[[#This Row],[Date]])</f>
        <v>2023</v>
      </c>
      <c r="R546" t="str">
        <f>TEXT(tblTransactions[[#This Row],[Date]],"DDDD")</f>
        <v>Tuesday</v>
      </c>
      <c r="S546">
        <f>MONTH(tblTransactions[[#This Row],[Date]])</f>
        <v>5</v>
      </c>
      <c r="T546" t="str">
        <f>VLOOKUP(E546, Products!$A:$B,2,0)</f>
        <v>Routers Tec-2</v>
      </c>
      <c r="U546" t="str">
        <f>VLOOKUP(E546,Products!$A:$C,3,0)</f>
        <v>Technology</v>
      </c>
      <c r="V546" t="str">
        <f>VLOOKUP(E546,Products!$A:$D,4,0)</f>
        <v>Routers</v>
      </c>
      <c r="W546" t="str">
        <f>VLOOKUP(D546,Customers!$A:$C,3,0)</f>
        <v>B2C</v>
      </c>
      <c r="X546" t="str">
        <f>VLOOKUP(C546,Sales_Representatives!$A:$B,2,0)</f>
        <v>Robert Jones</v>
      </c>
    </row>
    <row r="547" spans="1:24" x14ac:dyDescent="0.3">
      <c r="A547" t="s">
        <v>824</v>
      </c>
      <c r="B547" t="s">
        <v>821</v>
      </c>
      <c r="C547" t="s">
        <v>59</v>
      </c>
      <c r="D547" t="s">
        <v>118</v>
      </c>
      <c r="E547" t="s">
        <v>191</v>
      </c>
      <c r="F547">
        <v>7</v>
      </c>
      <c r="G547">
        <v>1012.75</v>
      </c>
      <c r="H547">
        <v>0.14000000000000001</v>
      </c>
      <c r="I547" s="4">
        <v>6096.76</v>
      </c>
      <c r="J547" t="s">
        <v>21</v>
      </c>
      <c r="K547" t="s">
        <v>22</v>
      </c>
      <c r="L547" s="4">
        <f>VLOOKUP(tblTransactions[[#This Row],[Product_ID]],tblProducts[],5,FALSE)</f>
        <v>518.53</v>
      </c>
      <c r="M547" s="4">
        <f>tblTransactions[[#This Row],[Total_Amount]]-(tblTransactions[[#This Row],[Cost_Prices]]*tblTransactions[[#This Row],[Quantity]]*(1-tblTransactions[[#This Row],[Discount]]))</f>
        <v>2975.2094000000002</v>
      </c>
      <c r="N547" s="3">
        <f>tblTransactions[[#This Row],[Profit]]/tblTransactions[[#This Row],[Total_Amount]]</f>
        <v>0.48799844507574519</v>
      </c>
      <c r="O547" t="str">
        <f>TEXT(tblTransactions[[#This Row],[Date]], "MMM-YYYY")</f>
        <v>May-2023</v>
      </c>
      <c r="P547" t="str">
        <f>"Q"&amp;ROUNDUP(MONTH(tblTransactions[[#This Row],[Date]])/3,0)&amp;"-"&amp;YEAR(tblTransactions[[#This Row],[Date]])</f>
        <v>Q2-2023</v>
      </c>
      <c r="Q547">
        <f>YEAR(tblTransactions[[#This Row],[Date]])</f>
        <v>2023</v>
      </c>
      <c r="R547" t="str">
        <f>TEXT(tblTransactions[[#This Row],[Date]],"DDDD")</f>
        <v>Tuesday</v>
      </c>
      <c r="S547">
        <f>MONTH(tblTransactions[[#This Row],[Date]])</f>
        <v>5</v>
      </c>
      <c r="T547" t="str">
        <f>VLOOKUP(E547, Products!$A:$B,2,0)</f>
        <v>Tables Fur-4</v>
      </c>
      <c r="U547" t="str">
        <f>VLOOKUP(E547,Products!$A:$C,3,0)</f>
        <v>Furniture</v>
      </c>
      <c r="V547" t="str">
        <f>VLOOKUP(E547,Products!$A:$D,4,0)</f>
        <v>Tables</v>
      </c>
      <c r="W547" t="str">
        <f>VLOOKUP(D547,Customers!$A:$C,3,0)</f>
        <v>B2C</v>
      </c>
      <c r="X547" t="str">
        <f>VLOOKUP(C547,Sales_Representatives!$A:$B,2,0)</f>
        <v>Sarah Brown</v>
      </c>
    </row>
    <row r="548" spans="1:24" x14ac:dyDescent="0.3">
      <c r="A548" t="s">
        <v>825</v>
      </c>
      <c r="B548" t="s">
        <v>821</v>
      </c>
      <c r="C548" t="s">
        <v>131</v>
      </c>
      <c r="D548" t="s">
        <v>118</v>
      </c>
      <c r="E548" t="s">
        <v>324</v>
      </c>
      <c r="F548">
        <v>5</v>
      </c>
      <c r="G548">
        <v>245.76</v>
      </c>
      <c r="H548">
        <v>0.01</v>
      </c>
      <c r="I548" s="4">
        <v>1216.51</v>
      </c>
      <c r="J548" t="s">
        <v>44</v>
      </c>
      <c r="K548" t="s">
        <v>39</v>
      </c>
      <c r="L548" s="4">
        <f>VLOOKUP(tblTransactions[[#This Row],[Product_ID]],tblProducts[],5,FALSE)</f>
        <v>161.94</v>
      </c>
      <c r="M548" s="4">
        <f>tblTransactions[[#This Row],[Total_Amount]]-(tblTransactions[[#This Row],[Cost_Prices]]*tblTransactions[[#This Row],[Quantity]]*(1-tblTransactions[[#This Row],[Discount]]))</f>
        <v>414.90699999999993</v>
      </c>
      <c r="N548" s="3">
        <f>tblTransactions[[#This Row],[Profit]]/tblTransactions[[#This Row],[Total_Amount]]</f>
        <v>0.34106336980378288</v>
      </c>
      <c r="O548" t="str">
        <f>TEXT(tblTransactions[[#This Row],[Date]], "MMM-YYYY")</f>
        <v>May-2023</v>
      </c>
      <c r="P548" t="str">
        <f>"Q"&amp;ROUNDUP(MONTH(tblTransactions[[#This Row],[Date]])/3,0)&amp;"-"&amp;YEAR(tblTransactions[[#This Row],[Date]])</f>
        <v>Q2-2023</v>
      </c>
      <c r="Q548">
        <f>YEAR(tblTransactions[[#This Row],[Date]])</f>
        <v>2023</v>
      </c>
      <c r="R548" t="str">
        <f>TEXT(tblTransactions[[#This Row],[Date]],"DDDD")</f>
        <v>Tuesday</v>
      </c>
      <c r="S548">
        <f>MONTH(tblTransactions[[#This Row],[Date]])</f>
        <v>5</v>
      </c>
      <c r="T548" t="str">
        <f>VLOOKUP(E548, Products!$A:$B,2,0)</f>
        <v>Storage Fur-1</v>
      </c>
      <c r="U548" t="str">
        <f>VLOOKUP(E548,Products!$A:$C,3,0)</f>
        <v>Furniture</v>
      </c>
      <c r="V548" t="str">
        <f>VLOOKUP(E548,Products!$A:$D,4,0)</f>
        <v>Storage</v>
      </c>
      <c r="W548" t="str">
        <f>VLOOKUP(D548,Customers!$A:$C,3,0)</f>
        <v>B2C</v>
      </c>
      <c r="X548" t="str">
        <f>VLOOKUP(C548,Sales_Representatives!$A:$B,2,0)</f>
        <v>Michael Davis</v>
      </c>
    </row>
    <row r="549" spans="1:24" x14ac:dyDescent="0.3">
      <c r="A549" t="s">
        <v>826</v>
      </c>
      <c r="B549" t="s">
        <v>827</v>
      </c>
      <c r="C549" t="s">
        <v>127</v>
      </c>
      <c r="D549" t="s">
        <v>212</v>
      </c>
      <c r="E549" t="s">
        <v>77</v>
      </c>
      <c r="F549">
        <v>5</v>
      </c>
      <c r="G549">
        <v>236.82</v>
      </c>
      <c r="H549">
        <v>0.06</v>
      </c>
      <c r="I549" s="4">
        <v>1113.05</v>
      </c>
      <c r="J549" t="s">
        <v>109</v>
      </c>
      <c r="K549" t="s">
        <v>39</v>
      </c>
      <c r="L549" s="4">
        <f>VLOOKUP(tblTransactions[[#This Row],[Product_ID]],tblProducts[],5,FALSE)</f>
        <v>110.79</v>
      </c>
      <c r="M549" s="4">
        <f>tblTransactions[[#This Row],[Total_Amount]]-(tblTransactions[[#This Row],[Cost_Prices]]*tblTransactions[[#This Row],[Quantity]]*(1-tblTransactions[[#This Row],[Discount]]))</f>
        <v>592.33699999999999</v>
      </c>
      <c r="N549" s="3">
        <f>tblTransactions[[#This Row],[Profit]]/tblTransactions[[#This Row],[Total_Amount]]</f>
        <v>0.53217465522662954</v>
      </c>
      <c r="O549" t="str">
        <f>TEXT(tblTransactions[[#This Row],[Date]], "MMM-YYYY")</f>
        <v>May-2023</v>
      </c>
      <c r="P549" t="str">
        <f>"Q"&amp;ROUNDUP(MONTH(tblTransactions[[#This Row],[Date]])/3,0)&amp;"-"&amp;YEAR(tblTransactions[[#This Row],[Date]])</f>
        <v>Q2-2023</v>
      </c>
      <c r="Q549">
        <f>YEAR(tblTransactions[[#This Row],[Date]])</f>
        <v>2023</v>
      </c>
      <c r="R549" t="str">
        <f>TEXT(tblTransactions[[#This Row],[Date]],"DDDD")</f>
        <v>Wednesday</v>
      </c>
      <c r="S549">
        <f>MONTH(tblTransactions[[#This Row],[Date]])</f>
        <v>5</v>
      </c>
      <c r="T549" t="str">
        <f>VLOOKUP(E549, Products!$A:$B,2,0)</f>
        <v>Binders Off-4</v>
      </c>
      <c r="U549" t="str">
        <f>VLOOKUP(E549,Products!$A:$C,3,0)</f>
        <v>Office Supplies</v>
      </c>
      <c r="V549" t="str">
        <f>VLOOKUP(E549,Products!$A:$D,4,0)</f>
        <v>Binders</v>
      </c>
      <c r="W549" t="str">
        <f>VLOOKUP(D549,Customers!$A:$C,3,0)</f>
        <v>B2C</v>
      </c>
      <c r="X549" t="str">
        <f>VLOOKUP(C549,Sales_Representatives!$A:$B,2,0)</f>
        <v>Emily Hernandez</v>
      </c>
    </row>
    <row r="550" spans="1:24" x14ac:dyDescent="0.3">
      <c r="A550" t="s">
        <v>828</v>
      </c>
      <c r="B550" t="s">
        <v>829</v>
      </c>
      <c r="C550" t="s">
        <v>13</v>
      </c>
      <c r="D550" t="s">
        <v>154</v>
      </c>
      <c r="E550" t="s">
        <v>204</v>
      </c>
      <c r="F550">
        <v>17</v>
      </c>
      <c r="G550">
        <v>715.62</v>
      </c>
      <c r="H550">
        <v>0.15</v>
      </c>
      <c r="I550" s="4">
        <v>10340.709999999999</v>
      </c>
      <c r="J550" t="s">
        <v>16</v>
      </c>
      <c r="K550" t="s">
        <v>39</v>
      </c>
      <c r="L550" s="4">
        <f>VLOOKUP(tblTransactions[[#This Row],[Product_ID]],tblProducts[],5,FALSE)</f>
        <v>459.58</v>
      </c>
      <c r="M550" s="4">
        <f>tblTransactions[[#This Row],[Total_Amount]]-(tblTransactions[[#This Row],[Cost_Prices]]*tblTransactions[[#This Row],[Quantity]]*(1-tblTransactions[[#This Row],[Discount]]))</f>
        <v>3699.7789999999995</v>
      </c>
      <c r="N550" s="3">
        <f>tblTransactions[[#This Row],[Profit]]/tblTransactions[[#This Row],[Total_Amount]]</f>
        <v>0.35778771477006899</v>
      </c>
      <c r="O550" t="str">
        <f>TEXT(tblTransactions[[#This Row],[Date]], "MMM-YYYY")</f>
        <v>May-2023</v>
      </c>
      <c r="P550" t="str">
        <f>"Q"&amp;ROUNDUP(MONTH(tblTransactions[[#This Row],[Date]])/3,0)&amp;"-"&amp;YEAR(tblTransactions[[#This Row],[Date]])</f>
        <v>Q2-2023</v>
      </c>
      <c r="Q550">
        <f>YEAR(tblTransactions[[#This Row],[Date]])</f>
        <v>2023</v>
      </c>
      <c r="R550" t="str">
        <f>TEXT(tblTransactions[[#This Row],[Date]],"DDDD")</f>
        <v>Thursday</v>
      </c>
      <c r="S550">
        <f>MONTH(tblTransactions[[#This Row],[Date]])</f>
        <v>5</v>
      </c>
      <c r="T550" t="str">
        <f>VLOOKUP(E550, Products!$A:$B,2,0)</f>
        <v>Cameras Ele-2</v>
      </c>
      <c r="U550" t="str">
        <f>VLOOKUP(E550,Products!$A:$C,3,0)</f>
        <v>Electronics</v>
      </c>
      <c r="V550" t="str">
        <f>VLOOKUP(E550,Products!$A:$D,4,0)</f>
        <v>Cameras</v>
      </c>
      <c r="W550" t="str">
        <f>VLOOKUP(D550,Customers!$A:$C,3,0)</f>
        <v>B2B</v>
      </c>
      <c r="X550" t="str">
        <f>VLOOKUP(C550,Sales_Representatives!$A:$B,2,0)</f>
        <v>Jennifer Rodriguez</v>
      </c>
    </row>
    <row r="551" spans="1:24" x14ac:dyDescent="0.3">
      <c r="A551" t="s">
        <v>830</v>
      </c>
      <c r="B551" t="s">
        <v>829</v>
      </c>
      <c r="C551" t="s">
        <v>107</v>
      </c>
      <c r="D551" t="s">
        <v>47</v>
      </c>
      <c r="E551" t="s">
        <v>435</v>
      </c>
      <c r="F551">
        <v>6</v>
      </c>
      <c r="G551">
        <v>198.72</v>
      </c>
      <c r="H551">
        <v>7.0000000000000007E-2</v>
      </c>
      <c r="I551" s="4">
        <v>1108.8599999999999</v>
      </c>
      <c r="J551" t="s">
        <v>109</v>
      </c>
      <c r="K551" t="s">
        <v>35</v>
      </c>
      <c r="L551" s="4">
        <f>VLOOKUP(tblTransactions[[#This Row],[Product_ID]],tblProducts[],5,FALSE)</f>
        <v>116.98</v>
      </c>
      <c r="M551" s="4">
        <f>tblTransactions[[#This Row],[Total_Amount]]-(tblTransactions[[#This Row],[Cost_Prices]]*tblTransactions[[#This Row],[Quantity]]*(1-tblTransactions[[#This Row],[Discount]]))</f>
        <v>456.11159999999995</v>
      </c>
      <c r="N551" s="3">
        <f>tblTransactions[[#This Row],[Profit]]/tblTransactions[[#This Row],[Total_Amount]]</f>
        <v>0.4113338022834262</v>
      </c>
      <c r="O551" t="str">
        <f>TEXT(tblTransactions[[#This Row],[Date]], "MMM-YYYY")</f>
        <v>May-2023</v>
      </c>
      <c r="P551" t="str">
        <f>"Q"&amp;ROUNDUP(MONTH(tblTransactions[[#This Row],[Date]])/3,0)&amp;"-"&amp;YEAR(tblTransactions[[#This Row],[Date]])</f>
        <v>Q2-2023</v>
      </c>
      <c r="Q551">
        <f>YEAR(tblTransactions[[#This Row],[Date]])</f>
        <v>2023</v>
      </c>
      <c r="R551" t="str">
        <f>TEXT(tblTransactions[[#This Row],[Date]],"DDDD")</f>
        <v>Thursday</v>
      </c>
      <c r="S551">
        <f>MONTH(tblTransactions[[#This Row],[Date]])</f>
        <v>5</v>
      </c>
      <c r="T551" t="str">
        <f>VLOOKUP(E551, Products!$A:$B,2,0)</f>
        <v>Paper Off-4</v>
      </c>
      <c r="U551" t="str">
        <f>VLOOKUP(E551,Products!$A:$C,3,0)</f>
        <v>Office Supplies</v>
      </c>
      <c r="V551" t="str">
        <f>VLOOKUP(E551,Products!$A:$D,4,0)</f>
        <v>Paper</v>
      </c>
      <c r="W551" t="str">
        <f>VLOOKUP(D551,Customers!$A:$C,3,0)</f>
        <v>B2C</v>
      </c>
      <c r="X551" t="str">
        <f>VLOOKUP(C551,Sales_Representatives!$A:$B,2,0)</f>
        <v>Jennifer Brown</v>
      </c>
    </row>
    <row r="552" spans="1:24" x14ac:dyDescent="0.3">
      <c r="A552" t="s">
        <v>831</v>
      </c>
      <c r="B552" t="s">
        <v>829</v>
      </c>
      <c r="C552" t="s">
        <v>70</v>
      </c>
      <c r="D552" t="s">
        <v>216</v>
      </c>
      <c r="E552" t="s">
        <v>77</v>
      </c>
      <c r="F552">
        <v>2</v>
      </c>
      <c r="G552">
        <v>236.82</v>
      </c>
      <c r="H552">
        <v>0.09</v>
      </c>
      <c r="I552" s="4">
        <v>431.01</v>
      </c>
      <c r="J552" t="s">
        <v>16</v>
      </c>
      <c r="K552" t="s">
        <v>48</v>
      </c>
      <c r="L552" s="4">
        <f>VLOOKUP(tblTransactions[[#This Row],[Product_ID]],tblProducts[],5,FALSE)</f>
        <v>110.79</v>
      </c>
      <c r="M552" s="4">
        <f>tblTransactions[[#This Row],[Total_Amount]]-(tblTransactions[[#This Row],[Cost_Prices]]*tblTransactions[[#This Row],[Quantity]]*(1-tblTransactions[[#This Row],[Discount]]))</f>
        <v>229.37219999999996</v>
      </c>
      <c r="N552" s="3">
        <f>tblTransactions[[#This Row],[Profit]]/tblTransactions[[#This Row],[Total_Amount]]</f>
        <v>0.53217373146794733</v>
      </c>
      <c r="O552" t="str">
        <f>TEXT(tblTransactions[[#This Row],[Date]], "MMM-YYYY")</f>
        <v>May-2023</v>
      </c>
      <c r="P552" t="str">
        <f>"Q"&amp;ROUNDUP(MONTH(tblTransactions[[#This Row],[Date]])/3,0)&amp;"-"&amp;YEAR(tblTransactions[[#This Row],[Date]])</f>
        <v>Q2-2023</v>
      </c>
      <c r="Q552">
        <f>YEAR(tblTransactions[[#This Row],[Date]])</f>
        <v>2023</v>
      </c>
      <c r="R552" t="str">
        <f>TEXT(tblTransactions[[#This Row],[Date]],"DDDD")</f>
        <v>Thursday</v>
      </c>
      <c r="S552">
        <f>MONTH(tblTransactions[[#This Row],[Date]])</f>
        <v>5</v>
      </c>
      <c r="T552" t="str">
        <f>VLOOKUP(E552, Products!$A:$B,2,0)</f>
        <v>Binders Off-4</v>
      </c>
      <c r="U552" t="str">
        <f>VLOOKUP(E552,Products!$A:$C,3,0)</f>
        <v>Office Supplies</v>
      </c>
      <c r="V552" t="str">
        <f>VLOOKUP(E552,Products!$A:$D,4,0)</f>
        <v>Binders</v>
      </c>
      <c r="W552" t="str">
        <f>VLOOKUP(D552,Customers!$A:$C,3,0)</f>
        <v>Small Business</v>
      </c>
      <c r="X552" t="str">
        <f>VLOOKUP(C552,Sales_Representatives!$A:$B,2,0)</f>
        <v>Linda Smith</v>
      </c>
    </row>
    <row r="553" spans="1:24" x14ac:dyDescent="0.3">
      <c r="A553" t="s">
        <v>832</v>
      </c>
      <c r="B553" t="s">
        <v>829</v>
      </c>
      <c r="C553" t="s">
        <v>31</v>
      </c>
      <c r="D553" t="s">
        <v>237</v>
      </c>
      <c r="E553" t="s">
        <v>152</v>
      </c>
      <c r="F553">
        <v>19</v>
      </c>
      <c r="G553">
        <v>859.93</v>
      </c>
      <c r="H553">
        <v>0.19</v>
      </c>
      <c r="I553" s="4">
        <v>13234.32</v>
      </c>
      <c r="J553" t="s">
        <v>34</v>
      </c>
      <c r="K553" t="s">
        <v>17</v>
      </c>
      <c r="L553" s="4">
        <f>VLOOKUP(tblTransactions[[#This Row],[Product_ID]],tblProducts[],5,FALSE)</f>
        <v>579.79</v>
      </c>
      <c r="M553" s="4">
        <f>tblTransactions[[#This Row],[Total_Amount]]-(tblTransactions[[#This Row],[Cost_Prices]]*tblTransactions[[#This Row],[Quantity]]*(1-tblTransactions[[#This Row],[Discount]]))</f>
        <v>4311.3518999999997</v>
      </c>
      <c r="N553" s="3">
        <f>tblTransactions[[#This Row],[Profit]]/tblTransactions[[#This Row],[Total_Amount]]</f>
        <v>0.32577056471356292</v>
      </c>
      <c r="O553" t="str">
        <f>TEXT(tblTransactions[[#This Row],[Date]], "MMM-YYYY")</f>
        <v>May-2023</v>
      </c>
      <c r="P553" t="str">
        <f>"Q"&amp;ROUNDUP(MONTH(tblTransactions[[#This Row],[Date]])/3,0)&amp;"-"&amp;YEAR(tblTransactions[[#This Row],[Date]])</f>
        <v>Q2-2023</v>
      </c>
      <c r="Q553">
        <f>YEAR(tblTransactions[[#This Row],[Date]])</f>
        <v>2023</v>
      </c>
      <c r="R553" t="str">
        <f>TEXT(tblTransactions[[#This Row],[Date]],"DDDD")</f>
        <v>Thursday</v>
      </c>
      <c r="S553">
        <f>MONTH(tblTransactions[[#This Row],[Date]])</f>
        <v>5</v>
      </c>
      <c r="T553" t="str">
        <f>VLOOKUP(E553, Products!$A:$B,2,0)</f>
        <v>Phones Ele-4</v>
      </c>
      <c r="U553" t="str">
        <f>VLOOKUP(E553,Products!$A:$C,3,0)</f>
        <v>Electronics</v>
      </c>
      <c r="V553" t="str">
        <f>VLOOKUP(E553,Products!$A:$D,4,0)</f>
        <v>Phones</v>
      </c>
      <c r="W553" t="str">
        <f>VLOOKUP(D553,Customers!$A:$C,3,0)</f>
        <v>B2B</v>
      </c>
      <c r="X553" t="str">
        <f>VLOOKUP(C553,Sales_Representatives!$A:$B,2,0)</f>
        <v>Thomas Martinez</v>
      </c>
    </row>
    <row r="554" spans="1:24" x14ac:dyDescent="0.3">
      <c r="A554" t="s">
        <v>833</v>
      </c>
      <c r="B554" t="s">
        <v>829</v>
      </c>
      <c r="C554" t="s">
        <v>27</v>
      </c>
      <c r="D554" t="s">
        <v>32</v>
      </c>
      <c r="E554" t="s">
        <v>200</v>
      </c>
      <c r="F554">
        <v>6</v>
      </c>
      <c r="G554">
        <v>544.77</v>
      </c>
      <c r="H554">
        <v>0.14000000000000001</v>
      </c>
      <c r="I554" s="4">
        <v>2811.01</v>
      </c>
      <c r="J554" t="s">
        <v>16</v>
      </c>
      <c r="K554" t="s">
        <v>22</v>
      </c>
      <c r="L554" s="4">
        <f>VLOOKUP(tblTransactions[[#This Row],[Product_ID]],tblProducts[],5,FALSE)</f>
        <v>318.2</v>
      </c>
      <c r="M554" s="4">
        <f>tblTransactions[[#This Row],[Total_Amount]]-(tblTransactions[[#This Row],[Cost_Prices]]*tblTransactions[[#This Row],[Quantity]]*(1-tblTransactions[[#This Row],[Discount]]))</f>
        <v>1169.0980000000004</v>
      </c>
      <c r="N554" s="3">
        <f>tblTransactions[[#This Row],[Profit]]/tblTransactions[[#This Row],[Total_Amount]]</f>
        <v>0.41589962326708207</v>
      </c>
      <c r="O554" t="str">
        <f>TEXT(tblTransactions[[#This Row],[Date]], "MMM-YYYY")</f>
        <v>May-2023</v>
      </c>
      <c r="P554" t="str">
        <f>"Q"&amp;ROUNDUP(MONTH(tblTransactions[[#This Row],[Date]])/3,0)&amp;"-"&amp;YEAR(tblTransactions[[#This Row],[Date]])</f>
        <v>Q2-2023</v>
      </c>
      <c r="Q554">
        <f>YEAR(tblTransactions[[#This Row],[Date]])</f>
        <v>2023</v>
      </c>
      <c r="R554" t="str">
        <f>TEXT(tblTransactions[[#This Row],[Date]],"DDDD")</f>
        <v>Thursday</v>
      </c>
      <c r="S554">
        <f>MONTH(tblTransactions[[#This Row],[Date]])</f>
        <v>5</v>
      </c>
      <c r="T554" t="str">
        <f>VLOOKUP(E554, Products!$A:$B,2,0)</f>
        <v>Desks Fur-4</v>
      </c>
      <c r="U554" t="str">
        <f>VLOOKUP(E554,Products!$A:$C,3,0)</f>
        <v>Furniture</v>
      </c>
      <c r="V554" t="str">
        <f>VLOOKUP(E554,Products!$A:$D,4,0)</f>
        <v>Desks</v>
      </c>
      <c r="W554" t="str">
        <f>VLOOKUP(D554,Customers!$A:$C,3,0)</f>
        <v>B2C</v>
      </c>
      <c r="X554" t="str">
        <f>VLOOKUP(C554,Sales_Representatives!$A:$B,2,0)</f>
        <v>Thomas Lopez</v>
      </c>
    </row>
    <row r="555" spans="1:24" x14ac:dyDescent="0.3">
      <c r="A555" t="s">
        <v>834</v>
      </c>
      <c r="B555" t="s">
        <v>829</v>
      </c>
      <c r="C555" t="s">
        <v>56</v>
      </c>
      <c r="D555" t="s">
        <v>362</v>
      </c>
      <c r="E555" t="s">
        <v>221</v>
      </c>
      <c r="F555">
        <v>4</v>
      </c>
      <c r="G555">
        <v>210.02</v>
      </c>
      <c r="H555">
        <v>0.05</v>
      </c>
      <c r="I555" s="4">
        <v>798.08</v>
      </c>
      <c r="J555" t="s">
        <v>34</v>
      </c>
      <c r="K555" t="s">
        <v>39</v>
      </c>
      <c r="L555" s="4">
        <f>VLOOKUP(tblTransactions[[#This Row],[Product_ID]],tblProducts[],5,FALSE)</f>
        <v>131.66</v>
      </c>
      <c r="M555" s="4">
        <f>tblTransactions[[#This Row],[Total_Amount]]-(tblTransactions[[#This Row],[Cost_Prices]]*tblTransactions[[#This Row],[Quantity]]*(1-tblTransactions[[#This Row],[Discount]]))</f>
        <v>297.77200000000011</v>
      </c>
      <c r="N555" s="3">
        <f>tblTransactions[[#This Row],[Profit]]/tblTransactions[[#This Row],[Total_Amount]]</f>
        <v>0.37311046511627916</v>
      </c>
      <c r="O555" t="str">
        <f>TEXT(tblTransactions[[#This Row],[Date]], "MMM-YYYY")</f>
        <v>May-2023</v>
      </c>
      <c r="P555" t="str">
        <f>"Q"&amp;ROUNDUP(MONTH(tblTransactions[[#This Row],[Date]])/3,0)&amp;"-"&amp;YEAR(tblTransactions[[#This Row],[Date]])</f>
        <v>Q2-2023</v>
      </c>
      <c r="Q555">
        <f>YEAR(tblTransactions[[#This Row],[Date]])</f>
        <v>2023</v>
      </c>
      <c r="R555" t="str">
        <f>TEXT(tblTransactions[[#This Row],[Date]],"DDDD")</f>
        <v>Thursday</v>
      </c>
      <c r="S555">
        <f>MONTH(tblTransactions[[#This Row],[Date]])</f>
        <v>5</v>
      </c>
      <c r="T555" t="str">
        <f>VLOOKUP(E555, Products!$A:$B,2,0)</f>
        <v>Storage Fur-2</v>
      </c>
      <c r="U555" t="str">
        <f>VLOOKUP(E555,Products!$A:$C,3,0)</f>
        <v>Furniture</v>
      </c>
      <c r="V555" t="str">
        <f>VLOOKUP(E555,Products!$A:$D,4,0)</f>
        <v>Storage</v>
      </c>
      <c r="W555" t="str">
        <f>VLOOKUP(D555,Customers!$A:$C,3,0)</f>
        <v>Small Business</v>
      </c>
      <c r="X555" t="str">
        <f>VLOOKUP(C555,Sales_Representatives!$A:$B,2,0)</f>
        <v>Thomas Hernandez</v>
      </c>
    </row>
    <row r="556" spans="1:24" x14ac:dyDescent="0.3">
      <c r="A556" t="s">
        <v>835</v>
      </c>
      <c r="B556" t="s">
        <v>829</v>
      </c>
      <c r="C556" t="s">
        <v>31</v>
      </c>
      <c r="D556" t="s">
        <v>128</v>
      </c>
      <c r="E556" t="s">
        <v>53</v>
      </c>
      <c r="F556">
        <v>2</v>
      </c>
      <c r="G556">
        <v>2069.2199999999998</v>
      </c>
      <c r="H556">
        <v>0.1</v>
      </c>
      <c r="I556" s="4">
        <v>3724.6</v>
      </c>
      <c r="J556" t="s">
        <v>34</v>
      </c>
      <c r="K556" t="s">
        <v>22</v>
      </c>
      <c r="L556" s="4">
        <f>VLOOKUP(tblTransactions[[#This Row],[Product_ID]],tblProducts[],5,FALSE)</f>
        <v>1451.18</v>
      </c>
      <c r="M556" s="4">
        <f>tblTransactions[[#This Row],[Total_Amount]]-(tblTransactions[[#This Row],[Cost_Prices]]*tblTransactions[[#This Row],[Quantity]]*(1-tblTransactions[[#This Row],[Discount]]))</f>
        <v>1112.4759999999997</v>
      </c>
      <c r="N556" s="3">
        <f>tblTransactions[[#This Row],[Profit]]/tblTransactions[[#This Row],[Total_Amount]]</f>
        <v>0.29868334854749495</v>
      </c>
      <c r="O556" t="str">
        <f>TEXT(tblTransactions[[#This Row],[Date]], "MMM-YYYY")</f>
        <v>May-2023</v>
      </c>
      <c r="P556" t="str">
        <f>"Q"&amp;ROUNDUP(MONTH(tblTransactions[[#This Row],[Date]])/3,0)&amp;"-"&amp;YEAR(tblTransactions[[#This Row],[Date]])</f>
        <v>Q2-2023</v>
      </c>
      <c r="Q556">
        <f>YEAR(tblTransactions[[#This Row],[Date]])</f>
        <v>2023</v>
      </c>
      <c r="R556" t="str">
        <f>TEXT(tblTransactions[[#This Row],[Date]],"DDDD")</f>
        <v>Thursday</v>
      </c>
      <c r="S556">
        <f>MONTH(tblTransactions[[#This Row],[Date]])</f>
        <v>5</v>
      </c>
      <c r="T556" t="str">
        <f>VLOOKUP(E556, Products!$A:$B,2,0)</f>
        <v>Printers Tec-3</v>
      </c>
      <c r="U556" t="str">
        <f>VLOOKUP(E556,Products!$A:$C,3,0)</f>
        <v>Technology</v>
      </c>
      <c r="V556" t="str">
        <f>VLOOKUP(E556,Products!$A:$D,4,0)</f>
        <v>Printers</v>
      </c>
      <c r="W556" t="str">
        <f>VLOOKUP(D556,Customers!$A:$C,3,0)</f>
        <v>B2B</v>
      </c>
      <c r="X556" t="str">
        <f>VLOOKUP(C556,Sales_Representatives!$A:$B,2,0)</f>
        <v>Thomas Martinez</v>
      </c>
    </row>
    <row r="557" spans="1:24" x14ac:dyDescent="0.3">
      <c r="A557" t="s">
        <v>836</v>
      </c>
      <c r="B557" t="s">
        <v>829</v>
      </c>
      <c r="C557" t="s">
        <v>70</v>
      </c>
      <c r="D557" t="s">
        <v>228</v>
      </c>
      <c r="E557" t="s">
        <v>194</v>
      </c>
      <c r="F557">
        <v>3</v>
      </c>
      <c r="G557">
        <v>82.84</v>
      </c>
      <c r="H557">
        <v>0.09</v>
      </c>
      <c r="I557" s="4">
        <v>226.15</v>
      </c>
      <c r="J557" t="s">
        <v>16</v>
      </c>
      <c r="K557" t="s">
        <v>22</v>
      </c>
      <c r="L557" s="4">
        <f>VLOOKUP(tblTransactions[[#This Row],[Product_ID]],tblProducts[],5,FALSE)</f>
        <v>52.98</v>
      </c>
      <c r="M557" s="4">
        <f>tblTransactions[[#This Row],[Total_Amount]]-(tblTransactions[[#This Row],[Cost_Prices]]*tblTransactions[[#This Row],[Quantity]]*(1-tblTransactions[[#This Row],[Discount]]))</f>
        <v>81.514600000000002</v>
      </c>
      <c r="N557" s="3">
        <f>tblTransactions[[#This Row],[Profit]]/tblTransactions[[#This Row],[Total_Amount]]</f>
        <v>0.36044483749723633</v>
      </c>
      <c r="O557" t="str">
        <f>TEXT(tblTransactions[[#This Row],[Date]], "MMM-YYYY")</f>
        <v>May-2023</v>
      </c>
      <c r="P557" t="str">
        <f>"Q"&amp;ROUNDUP(MONTH(tblTransactions[[#This Row],[Date]])/3,0)&amp;"-"&amp;YEAR(tblTransactions[[#This Row],[Date]])</f>
        <v>Q2-2023</v>
      </c>
      <c r="Q557">
        <f>YEAR(tblTransactions[[#This Row],[Date]])</f>
        <v>2023</v>
      </c>
      <c r="R557" t="str">
        <f>TEXT(tblTransactions[[#This Row],[Date]],"DDDD")</f>
        <v>Thursday</v>
      </c>
      <c r="S557">
        <f>MONTH(tblTransactions[[#This Row],[Date]])</f>
        <v>5</v>
      </c>
      <c r="T557" t="str">
        <f>VLOOKUP(E557, Products!$A:$B,2,0)</f>
        <v>Binders Off-2</v>
      </c>
      <c r="U557" t="str">
        <f>VLOOKUP(E557,Products!$A:$C,3,0)</f>
        <v>Office Supplies</v>
      </c>
      <c r="V557" t="str">
        <f>VLOOKUP(E557,Products!$A:$D,4,0)</f>
        <v>Binders</v>
      </c>
      <c r="W557" t="str">
        <f>VLOOKUP(D557,Customers!$A:$C,3,0)</f>
        <v>Small Business</v>
      </c>
      <c r="X557" t="str">
        <f>VLOOKUP(C557,Sales_Representatives!$A:$B,2,0)</f>
        <v>Linda Smith</v>
      </c>
    </row>
    <row r="558" spans="1:24" x14ac:dyDescent="0.3">
      <c r="A558" t="s">
        <v>837</v>
      </c>
      <c r="B558" t="s">
        <v>829</v>
      </c>
      <c r="C558" t="s">
        <v>27</v>
      </c>
      <c r="D558" t="s">
        <v>327</v>
      </c>
      <c r="E558" t="s">
        <v>217</v>
      </c>
      <c r="F558">
        <v>6</v>
      </c>
      <c r="G558">
        <v>145.51</v>
      </c>
      <c r="H558">
        <v>0.12</v>
      </c>
      <c r="I558" s="4">
        <v>768.29</v>
      </c>
      <c r="J558" t="s">
        <v>16</v>
      </c>
      <c r="K558" t="s">
        <v>35</v>
      </c>
      <c r="L558" s="4">
        <f>VLOOKUP(tblTransactions[[#This Row],[Product_ID]],tblProducts[],5,FALSE)</f>
        <v>64.510000000000005</v>
      </c>
      <c r="M558" s="4">
        <f>tblTransactions[[#This Row],[Total_Amount]]-(tblTransactions[[#This Row],[Cost_Prices]]*tblTransactions[[#This Row],[Quantity]]*(1-tblTransactions[[#This Row],[Discount]]))</f>
        <v>427.67719999999991</v>
      </c>
      <c r="N558" s="3">
        <f>tblTransactions[[#This Row],[Profit]]/tblTransactions[[#This Row],[Total_Amount]]</f>
        <v>0.55666115659451498</v>
      </c>
      <c r="O558" t="str">
        <f>TEXT(tblTransactions[[#This Row],[Date]], "MMM-YYYY")</f>
        <v>May-2023</v>
      </c>
      <c r="P558" t="str">
        <f>"Q"&amp;ROUNDUP(MONTH(tblTransactions[[#This Row],[Date]])/3,0)&amp;"-"&amp;YEAR(tblTransactions[[#This Row],[Date]])</f>
        <v>Q2-2023</v>
      </c>
      <c r="Q558">
        <f>YEAR(tblTransactions[[#This Row],[Date]])</f>
        <v>2023</v>
      </c>
      <c r="R558" t="str">
        <f>TEXT(tblTransactions[[#This Row],[Date]],"DDDD")</f>
        <v>Thursday</v>
      </c>
      <c r="S558">
        <f>MONTH(tblTransactions[[#This Row],[Date]])</f>
        <v>5</v>
      </c>
      <c r="T558" t="str">
        <f>VLOOKUP(E558, Products!$A:$B,2,0)</f>
        <v>Cables Acc-2</v>
      </c>
      <c r="U558" t="str">
        <f>VLOOKUP(E558,Products!$A:$C,3,0)</f>
        <v>Accessories</v>
      </c>
      <c r="V558" t="str">
        <f>VLOOKUP(E558,Products!$A:$D,4,0)</f>
        <v>Cables</v>
      </c>
      <c r="W558" t="str">
        <f>VLOOKUP(D558,Customers!$A:$C,3,0)</f>
        <v>B2C</v>
      </c>
      <c r="X558" t="str">
        <f>VLOOKUP(C558,Sales_Representatives!$A:$B,2,0)</f>
        <v>Thomas Lopez</v>
      </c>
    </row>
    <row r="559" spans="1:24" x14ac:dyDescent="0.3">
      <c r="A559" t="s">
        <v>838</v>
      </c>
      <c r="B559" t="s">
        <v>839</v>
      </c>
      <c r="C559" t="s">
        <v>13</v>
      </c>
      <c r="D559" t="s">
        <v>112</v>
      </c>
      <c r="E559" t="s">
        <v>224</v>
      </c>
      <c r="F559">
        <v>33</v>
      </c>
      <c r="G559">
        <v>505.37</v>
      </c>
      <c r="H559">
        <v>0.21</v>
      </c>
      <c r="I559" s="4">
        <v>13175</v>
      </c>
      <c r="J559" t="s">
        <v>16</v>
      </c>
      <c r="K559" t="s">
        <v>39</v>
      </c>
      <c r="L559" s="4">
        <f>VLOOKUP(tblTransactions[[#This Row],[Product_ID]],tblProducts[],5,FALSE)</f>
        <v>281.14999999999998</v>
      </c>
      <c r="M559" s="4">
        <f>tblTransactions[[#This Row],[Total_Amount]]-(tblTransactions[[#This Row],[Cost_Prices]]*tblTransactions[[#This Row],[Quantity]]*(1-tblTransactions[[#This Row],[Discount]]))</f>
        <v>5845.4195000000009</v>
      </c>
      <c r="N559" s="3">
        <f>tblTransactions[[#This Row],[Profit]]/tblTransactions[[#This Row],[Total_Amount]]</f>
        <v>0.44367510436432644</v>
      </c>
      <c r="O559" t="str">
        <f>TEXT(tblTransactions[[#This Row],[Date]], "MMM-YYYY")</f>
        <v>May-2023</v>
      </c>
      <c r="P559" t="str">
        <f>"Q"&amp;ROUNDUP(MONTH(tblTransactions[[#This Row],[Date]])/3,0)&amp;"-"&amp;YEAR(tblTransactions[[#This Row],[Date]])</f>
        <v>Q2-2023</v>
      </c>
      <c r="Q559">
        <f>YEAR(tblTransactions[[#This Row],[Date]])</f>
        <v>2023</v>
      </c>
      <c r="R559" t="str">
        <f>TEXT(tblTransactions[[#This Row],[Date]],"DDDD")</f>
        <v>Friday</v>
      </c>
      <c r="S559">
        <f>MONTH(tblTransactions[[#This Row],[Date]])</f>
        <v>5</v>
      </c>
      <c r="T559" t="str">
        <f>VLOOKUP(E559, Products!$A:$B,2,0)</f>
        <v>Desks Fur-3</v>
      </c>
      <c r="U559" t="str">
        <f>VLOOKUP(E559,Products!$A:$C,3,0)</f>
        <v>Furniture</v>
      </c>
      <c r="V559" t="str">
        <f>VLOOKUP(E559,Products!$A:$D,4,0)</f>
        <v>Desks</v>
      </c>
      <c r="W559" t="str">
        <f>VLOOKUP(D559,Customers!$A:$C,3,0)</f>
        <v>Enterprise</v>
      </c>
      <c r="X559" t="str">
        <f>VLOOKUP(C559,Sales_Representatives!$A:$B,2,0)</f>
        <v>Jennifer Rodriguez</v>
      </c>
    </row>
    <row r="560" spans="1:24" x14ac:dyDescent="0.3">
      <c r="A560" t="s">
        <v>840</v>
      </c>
      <c r="B560" t="s">
        <v>839</v>
      </c>
      <c r="C560" t="s">
        <v>31</v>
      </c>
      <c r="D560" t="s">
        <v>216</v>
      </c>
      <c r="E560" t="s">
        <v>347</v>
      </c>
      <c r="F560">
        <v>1</v>
      </c>
      <c r="G560">
        <v>1539.6</v>
      </c>
      <c r="H560">
        <v>0.02</v>
      </c>
      <c r="I560" s="4">
        <v>1508.81</v>
      </c>
      <c r="J560" t="s">
        <v>34</v>
      </c>
      <c r="K560" t="s">
        <v>48</v>
      </c>
      <c r="L560" s="4">
        <f>VLOOKUP(tblTransactions[[#This Row],[Product_ID]],tblProducts[],5,FALSE)</f>
        <v>992.43</v>
      </c>
      <c r="M560" s="4">
        <f>tblTransactions[[#This Row],[Total_Amount]]-(tblTransactions[[#This Row],[Cost_Prices]]*tblTransactions[[#This Row],[Quantity]]*(1-tblTransactions[[#This Row],[Discount]]))</f>
        <v>536.22860000000003</v>
      </c>
      <c r="N560" s="3">
        <f>tblTransactions[[#This Row],[Profit]]/tblTransactions[[#This Row],[Total_Amount]]</f>
        <v>0.35539836029718785</v>
      </c>
      <c r="O560" t="str">
        <f>TEXT(tblTransactions[[#This Row],[Date]], "MMM-YYYY")</f>
        <v>May-2023</v>
      </c>
      <c r="P560" t="str">
        <f>"Q"&amp;ROUNDUP(MONTH(tblTransactions[[#This Row],[Date]])/3,0)&amp;"-"&amp;YEAR(tblTransactions[[#This Row],[Date]])</f>
        <v>Q2-2023</v>
      </c>
      <c r="Q560">
        <f>YEAR(tblTransactions[[#This Row],[Date]])</f>
        <v>2023</v>
      </c>
      <c r="R560" t="str">
        <f>TEXT(tblTransactions[[#This Row],[Date]],"DDDD")</f>
        <v>Friday</v>
      </c>
      <c r="S560">
        <f>MONTH(tblTransactions[[#This Row],[Date]])</f>
        <v>5</v>
      </c>
      <c r="T560" t="str">
        <f>VLOOKUP(E560, Products!$A:$B,2,0)</f>
        <v>Routers Tec-2</v>
      </c>
      <c r="U560" t="str">
        <f>VLOOKUP(E560,Products!$A:$C,3,0)</f>
        <v>Technology</v>
      </c>
      <c r="V560" t="str">
        <f>VLOOKUP(E560,Products!$A:$D,4,0)</f>
        <v>Routers</v>
      </c>
      <c r="W560" t="str">
        <f>VLOOKUP(D560,Customers!$A:$C,3,0)</f>
        <v>Small Business</v>
      </c>
      <c r="X560" t="str">
        <f>VLOOKUP(C560,Sales_Representatives!$A:$B,2,0)</f>
        <v>Thomas Martinez</v>
      </c>
    </row>
    <row r="561" spans="1:24" x14ac:dyDescent="0.3">
      <c r="A561" t="s">
        <v>841</v>
      </c>
      <c r="B561" t="s">
        <v>839</v>
      </c>
      <c r="C561" t="s">
        <v>59</v>
      </c>
      <c r="D561" t="s">
        <v>67</v>
      </c>
      <c r="E561" t="s">
        <v>168</v>
      </c>
      <c r="F561">
        <v>3</v>
      </c>
      <c r="G561">
        <v>101.59</v>
      </c>
      <c r="H561">
        <v>7.0000000000000007E-2</v>
      </c>
      <c r="I561" s="4">
        <v>283.44</v>
      </c>
      <c r="J561" t="s">
        <v>21</v>
      </c>
      <c r="K561" t="s">
        <v>48</v>
      </c>
      <c r="L561" s="4">
        <f>VLOOKUP(tblTransactions[[#This Row],[Product_ID]],tblProducts[],5,FALSE)</f>
        <v>50.58</v>
      </c>
      <c r="M561" s="4">
        <f>tblTransactions[[#This Row],[Total_Amount]]-(tblTransactions[[#This Row],[Cost_Prices]]*tblTransactions[[#This Row],[Quantity]]*(1-tblTransactions[[#This Row],[Discount]]))</f>
        <v>142.3218</v>
      </c>
      <c r="N561" s="3">
        <f>tblTransactions[[#This Row],[Profit]]/tblTransactions[[#This Row],[Total_Amount]]</f>
        <v>0.50212320067739202</v>
      </c>
      <c r="O561" t="str">
        <f>TEXT(tblTransactions[[#This Row],[Date]], "MMM-YYYY")</f>
        <v>May-2023</v>
      </c>
      <c r="P561" t="str">
        <f>"Q"&amp;ROUNDUP(MONTH(tblTransactions[[#This Row],[Date]])/3,0)&amp;"-"&amp;YEAR(tblTransactions[[#This Row],[Date]])</f>
        <v>Q2-2023</v>
      </c>
      <c r="Q561">
        <f>YEAR(tblTransactions[[#This Row],[Date]])</f>
        <v>2023</v>
      </c>
      <c r="R561" t="str">
        <f>TEXT(tblTransactions[[#This Row],[Date]],"DDDD")</f>
        <v>Friday</v>
      </c>
      <c r="S561">
        <f>MONTH(tblTransactions[[#This Row],[Date]])</f>
        <v>5</v>
      </c>
      <c r="T561" t="str">
        <f>VLOOKUP(E561, Products!$A:$B,2,0)</f>
        <v>Cases Acc-4</v>
      </c>
      <c r="U561" t="str">
        <f>VLOOKUP(E561,Products!$A:$C,3,0)</f>
        <v>Accessories</v>
      </c>
      <c r="V561" t="str">
        <f>VLOOKUP(E561,Products!$A:$D,4,0)</f>
        <v>Cases</v>
      </c>
      <c r="W561" t="str">
        <f>VLOOKUP(D561,Customers!$A:$C,3,0)</f>
        <v>B2C</v>
      </c>
      <c r="X561" t="str">
        <f>VLOOKUP(C561,Sales_Representatives!$A:$B,2,0)</f>
        <v>Sarah Brown</v>
      </c>
    </row>
    <row r="562" spans="1:24" x14ac:dyDescent="0.3">
      <c r="A562" t="s">
        <v>842</v>
      </c>
      <c r="B562" t="s">
        <v>843</v>
      </c>
      <c r="C562" t="s">
        <v>82</v>
      </c>
      <c r="D562" t="s">
        <v>47</v>
      </c>
      <c r="E562" t="s">
        <v>53</v>
      </c>
      <c r="F562">
        <v>2</v>
      </c>
      <c r="G562">
        <v>2069.2199999999998</v>
      </c>
      <c r="H562">
        <v>0.06</v>
      </c>
      <c r="I562" s="4">
        <v>3890.13</v>
      </c>
      <c r="J562" t="s">
        <v>34</v>
      </c>
      <c r="K562" t="s">
        <v>22</v>
      </c>
      <c r="L562" s="4">
        <f>VLOOKUP(tblTransactions[[#This Row],[Product_ID]],tblProducts[],5,FALSE)</f>
        <v>1451.18</v>
      </c>
      <c r="M562" s="4">
        <f>tblTransactions[[#This Row],[Total_Amount]]-(tblTransactions[[#This Row],[Cost_Prices]]*tblTransactions[[#This Row],[Quantity]]*(1-tblTransactions[[#This Row],[Discount]]))</f>
        <v>1161.9116000000004</v>
      </c>
      <c r="N562" s="3">
        <f>tblTransactions[[#This Row],[Profit]]/tblTransactions[[#This Row],[Total_Amount]]</f>
        <v>0.29868194636168982</v>
      </c>
      <c r="O562" t="str">
        <f>TEXT(tblTransactions[[#This Row],[Date]], "MMM-YYYY")</f>
        <v>May-2023</v>
      </c>
      <c r="P562" t="str">
        <f>"Q"&amp;ROUNDUP(MONTH(tblTransactions[[#This Row],[Date]])/3,0)&amp;"-"&amp;YEAR(tblTransactions[[#This Row],[Date]])</f>
        <v>Q2-2023</v>
      </c>
      <c r="Q562">
        <f>YEAR(tblTransactions[[#This Row],[Date]])</f>
        <v>2023</v>
      </c>
      <c r="R562" t="str">
        <f>TEXT(tblTransactions[[#This Row],[Date]],"DDDD")</f>
        <v>Saturday</v>
      </c>
      <c r="S562">
        <f>MONTH(tblTransactions[[#This Row],[Date]])</f>
        <v>5</v>
      </c>
      <c r="T562" t="str">
        <f>VLOOKUP(E562, Products!$A:$B,2,0)</f>
        <v>Printers Tec-3</v>
      </c>
      <c r="U562" t="str">
        <f>VLOOKUP(E562,Products!$A:$C,3,0)</f>
        <v>Technology</v>
      </c>
      <c r="V562" t="str">
        <f>VLOOKUP(E562,Products!$A:$D,4,0)</f>
        <v>Printers</v>
      </c>
      <c r="W562" t="str">
        <f>VLOOKUP(D562,Customers!$A:$C,3,0)</f>
        <v>B2C</v>
      </c>
      <c r="X562" t="str">
        <f>VLOOKUP(C562,Sales_Representatives!$A:$B,2,0)</f>
        <v>John Brown</v>
      </c>
    </row>
    <row r="563" spans="1:24" x14ac:dyDescent="0.3">
      <c r="A563" t="s">
        <v>844</v>
      </c>
      <c r="B563" t="s">
        <v>843</v>
      </c>
      <c r="C563" t="s">
        <v>107</v>
      </c>
      <c r="D563" t="s">
        <v>136</v>
      </c>
      <c r="E563" t="s">
        <v>129</v>
      </c>
      <c r="F563">
        <v>5</v>
      </c>
      <c r="G563">
        <v>1283.71</v>
      </c>
      <c r="H563">
        <v>0.03</v>
      </c>
      <c r="I563" s="4">
        <v>6225.99</v>
      </c>
      <c r="J563" t="s">
        <v>109</v>
      </c>
      <c r="K563" t="s">
        <v>39</v>
      </c>
      <c r="L563" s="4">
        <f>VLOOKUP(tblTransactions[[#This Row],[Product_ID]],tblProducts[],5,FALSE)</f>
        <v>970.14</v>
      </c>
      <c r="M563" s="4">
        <f>tblTransactions[[#This Row],[Total_Amount]]-(tblTransactions[[#This Row],[Cost_Prices]]*tblTransactions[[#This Row],[Quantity]]*(1-tblTransactions[[#This Row],[Discount]]))</f>
        <v>1520.8109999999997</v>
      </c>
      <c r="N563" s="3">
        <f>tblTransactions[[#This Row],[Profit]]/tblTransactions[[#This Row],[Total_Amount]]</f>
        <v>0.2442681404885006</v>
      </c>
      <c r="O563" t="str">
        <f>TEXT(tblTransactions[[#This Row],[Date]], "MMM-YYYY")</f>
        <v>May-2023</v>
      </c>
      <c r="P563" t="str">
        <f>"Q"&amp;ROUNDUP(MONTH(tblTransactions[[#This Row],[Date]])/3,0)&amp;"-"&amp;YEAR(tblTransactions[[#This Row],[Date]])</f>
        <v>Q2-2023</v>
      </c>
      <c r="Q563">
        <f>YEAR(tblTransactions[[#This Row],[Date]])</f>
        <v>2023</v>
      </c>
      <c r="R563" t="str">
        <f>TEXT(tblTransactions[[#This Row],[Date]],"DDDD")</f>
        <v>Saturday</v>
      </c>
      <c r="S563">
        <f>MONTH(tblTransactions[[#This Row],[Date]])</f>
        <v>5</v>
      </c>
      <c r="T563" t="str">
        <f>VLOOKUP(E563, Products!$A:$B,2,0)</f>
        <v>Cameras Ele-3</v>
      </c>
      <c r="U563" t="str">
        <f>VLOOKUP(E563,Products!$A:$C,3,0)</f>
        <v>Electronics</v>
      </c>
      <c r="V563" t="str">
        <f>VLOOKUP(E563,Products!$A:$D,4,0)</f>
        <v>Cameras</v>
      </c>
      <c r="W563" t="str">
        <f>VLOOKUP(D563,Customers!$A:$C,3,0)</f>
        <v>B2B</v>
      </c>
      <c r="X563" t="str">
        <f>VLOOKUP(C563,Sales_Representatives!$A:$B,2,0)</f>
        <v>Jennifer Brown</v>
      </c>
    </row>
    <row r="564" spans="1:24" x14ac:dyDescent="0.3">
      <c r="A564" t="s">
        <v>845</v>
      </c>
      <c r="B564" t="s">
        <v>843</v>
      </c>
      <c r="C564" t="s">
        <v>31</v>
      </c>
      <c r="D564" t="s">
        <v>134</v>
      </c>
      <c r="E564" t="s">
        <v>243</v>
      </c>
      <c r="F564">
        <v>16</v>
      </c>
      <c r="G564">
        <v>384.18</v>
      </c>
      <c r="H564">
        <v>0.18</v>
      </c>
      <c r="I564" s="4">
        <v>5040.4399999999996</v>
      </c>
      <c r="J564" t="s">
        <v>34</v>
      </c>
      <c r="K564" t="s">
        <v>22</v>
      </c>
      <c r="L564" s="4">
        <f>VLOOKUP(tblTransactions[[#This Row],[Product_ID]],tblProducts[],5,FALSE)</f>
        <v>266.92</v>
      </c>
      <c r="M564" s="4">
        <f>tblTransactions[[#This Row],[Total_Amount]]-(tblTransactions[[#This Row],[Cost_Prices]]*tblTransactions[[#This Row],[Quantity]]*(1-tblTransactions[[#This Row],[Discount]]))</f>
        <v>1538.449599999999</v>
      </c>
      <c r="N564" s="3">
        <f>tblTransactions[[#This Row],[Profit]]/tblTransactions[[#This Row],[Total_Amount]]</f>
        <v>0.30522129020482319</v>
      </c>
      <c r="O564" t="str">
        <f>TEXT(tblTransactions[[#This Row],[Date]], "MMM-YYYY")</f>
        <v>May-2023</v>
      </c>
      <c r="P564" t="str">
        <f>"Q"&amp;ROUNDUP(MONTH(tblTransactions[[#This Row],[Date]])/3,0)&amp;"-"&amp;YEAR(tblTransactions[[#This Row],[Date]])</f>
        <v>Q2-2023</v>
      </c>
      <c r="Q564">
        <f>YEAR(tblTransactions[[#This Row],[Date]])</f>
        <v>2023</v>
      </c>
      <c r="R564" t="str">
        <f>TEXT(tblTransactions[[#This Row],[Date]],"DDDD")</f>
        <v>Saturday</v>
      </c>
      <c r="S564">
        <f>MONTH(tblTransactions[[#This Row],[Date]])</f>
        <v>5</v>
      </c>
      <c r="T564" t="str">
        <f>VLOOKUP(E564, Products!$A:$B,2,0)</f>
        <v>Routers Tec-3</v>
      </c>
      <c r="U564" t="str">
        <f>VLOOKUP(E564,Products!$A:$C,3,0)</f>
        <v>Technology</v>
      </c>
      <c r="V564" t="str">
        <f>VLOOKUP(E564,Products!$A:$D,4,0)</f>
        <v>Routers</v>
      </c>
      <c r="W564" t="str">
        <f>VLOOKUP(D564,Customers!$A:$C,3,0)</f>
        <v>B2B</v>
      </c>
      <c r="X564" t="str">
        <f>VLOOKUP(C564,Sales_Representatives!$A:$B,2,0)</f>
        <v>Thomas Martinez</v>
      </c>
    </row>
    <row r="565" spans="1:24" x14ac:dyDescent="0.3">
      <c r="A565" t="s">
        <v>846</v>
      </c>
      <c r="B565" t="s">
        <v>843</v>
      </c>
      <c r="C565" t="s">
        <v>107</v>
      </c>
      <c r="D565" t="s">
        <v>164</v>
      </c>
      <c r="E565" t="s">
        <v>450</v>
      </c>
      <c r="F565">
        <v>2</v>
      </c>
      <c r="G565">
        <v>2083.92</v>
      </c>
      <c r="H565">
        <v>0.04</v>
      </c>
      <c r="I565" s="4">
        <v>4001.13</v>
      </c>
      <c r="J565" t="s">
        <v>109</v>
      </c>
      <c r="K565" t="s">
        <v>22</v>
      </c>
      <c r="L565" s="4">
        <f>VLOOKUP(tblTransactions[[#This Row],[Product_ID]],tblProducts[],5,FALSE)</f>
        <v>1425.78</v>
      </c>
      <c r="M565" s="4">
        <f>tblTransactions[[#This Row],[Total_Amount]]-(tblTransactions[[#This Row],[Cost_Prices]]*tblTransactions[[#This Row],[Quantity]]*(1-tblTransactions[[#This Row],[Discount]]))</f>
        <v>1263.6324000000004</v>
      </c>
      <c r="N565" s="3">
        <f>tblTransactions[[#This Row],[Profit]]/tblTransactions[[#This Row],[Total_Amount]]</f>
        <v>0.31581888116607065</v>
      </c>
      <c r="O565" t="str">
        <f>TEXT(tblTransactions[[#This Row],[Date]], "MMM-YYYY")</f>
        <v>May-2023</v>
      </c>
      <c r="P565" t="str">
        <f>"Q"&amp;ROUNDUP(MONTH(tblTransactions[[#This Row],[Date]])/3,0)&amp;"-"&amp;YEAR(tblTransactions[[#This Row],[Date]])</f>
        <v>Q2-2023</v>
      </c>
      <c r="Q565">
        <f>YEAR(tblTransactions[[#This Row],[Date]])</f>
        <v>2023</v>
      </c>
      <c r="R565" t="str">
        <f>TEXT(tblTransactions[[#This Row],[Date]],"DDDD")</f>
        <v>Saturday</v>
      </c>
      <c r="S565">
        <f>MONTH(tblTransactions[[#This Row],[Date]])</f>
        <v>5</v>
      </c>
      <c r="T565" t="str">
        <f>VLOOKUP(E565, Products!$A:$B,2,0)</f>
        <v>Monitors Tec-4</v>
      </c>
      <c r="U565" t="str">
        <f>VLOOKUP(E565,Products!$A:$C,3,0)</f>
        <v>Technology</v>
      </c>
      <c r="V565" t="str">
        <f>VLOOKUP(E565,Products!$A:$D,4,0)</f>
        <v>Monitors</v>
      </c>
      <c r="W565" t="str">
        <f>VLOOKUP(D565,Customers!$A:$C,3,0)</f>
        <v>Small Business</v>
      </c>
      <c r="X565" t="str">
        <f>VLOOKUP(C565,Sales_Representatives!$A:$B,2,0)</f>
        <v>Jennifer Brown</v>
      </c>
    </row>
    <row r="566" spans="1:24" x14ac:dyDescent="0.3">
      <c r="A566" t="s">
        <v>847</v>
      </c>
      <c r="B566" t="s">
        <v>848</v>
      </c>
      <c r="C566" t="s">
        <v>41</v>
      </c>
      <c r="D566" t="s">
        <v>228</v>
      </c>
      <c r="E566" t="s">
        <v>264</v>
      </c>
      <c r="F566">
        <v>3</v>
      </c>
      <c r="G566">
        <v>607.29999999999995</v>
      </c>
      <c r="H566">
        <v>0.05</v>
      </c>
      <c r="I566" s="4">
        <v>1730.8</v>
      </c>
      <c r="J566" t="s">
        <v>44</v>
      </c>
      <c r="K566" t="s">
        <v>35</v>
      </c>
      <c r="L566" s="4">
        <f>VLOOKUP(tblTransactions[[#This Row],[Product_ID]],tblProducts[],5,FALSE)</f>
        <v>436.37</v>
      </c>
      <c r="M566" s="4">
        <f>tblTransactions[[#This Row],[Total_Amount]]-(tblTransactions[[#This Row],[Cost_Prices]]*tblTransactions[[#This Row],[Quantity]]*(1-tblTransactions[[#This Row],[Discount]]))</f>
        <v>487.14549999999986</v>
      </c>
      <c r="N566" s="3">
        <f>tblTransactions[[#This Row],[Profit]]/tblTransactions[[#This Row],[Total_Amount]]</f>
        <v>0.28145684076727517</v>
      </c>
      <c r="O566" t="str">
        <f>TEXT(tblTransactions[[#This Row],[Date]], "MMM-YYYY")</f>
        <v>May-2023</v>
      </c>
      <c r="P566" t="str">
        <f>"Q"&amp;ROUNDUP(MONTH(tblTransactions[[#This Row],[Date]])/3,0)&amp;"-"&amp;YEAR(tblTransactions[[#This Row],[Date]])</f>
        <v>Q2-2023</v>
      </c>
      <c r="Q566">
        <f>YEAR(tblTransactions[[#This Row],[Date]])</f>
        <v>2023</v>
      </c>
      <c r="R566" t="str">
        <f>TEXT(tblTransactions[[#This Row],[Date]],"DDDD")</f>
        <v>Sunday</v>
      </c>
      <c r="S566">
        <f>MONTH(tblTransactions[[#This Row],[Date]])</f>
        <v>5</v>
      </c>
      <c r="T566" t="str">
        <f>VLOOKUP(E566, Products!$A:$B,2,0)</f>
        <v>Tablets Ele-4</v>
      </c>
      <c r="U566" t="str">
        <f>VLOOKUP(E566,Products!$A:$C,3,0)</f>
        <v>Electronics</v>
      </c>
      <c r="V566" t="str">
        <f>VLOOKUP(E566,Products!$A:$D,4,0)</f>
        <v>Tablets</v>
      </c>
      <c r="W566" t="str">
        <f>VLOOKUP(D566,Customers!$A:$C,3,0)</f>
        <v>Small Business</v>
      </c>
      <c r="X566" t="str">
        <f>VLOOKUP(C566,Sales_Representatives!$A:$B,2,0)</f>
        <v>Robert Jones</v>
      </c>
    </row>
    <row r="567" spans="1:24" x14ac:dyDescent="0.3">
      <c r="A567" t="s">
        <v>849</v>
      </c>
      <c r="B567" t="s">
        <v>848</v>
      </c>
      <c r="C567" t="s">
        <v>107</v>
      </c>
      <c r="D567" t="s">
        <v>203</v>
      </c>
      <c r="E567" t="s">
        <v>200</v>
      </c>
      <c r="F567">
        <v>7</v>
      </c>
      <c r="G567">
        <v>544.77</v>
      </c>
      <c r="H567">
        <v>0.13</v>
      </c>
      <c r="I567" s="4">
        <v>3317.65</v>
      </c>
      <c r="J567" t="s">
        <v>109</v>
      </c>
      <c r="K567" t="s">
        <v>39</v>
      </c>
      <c r="L567" s="4">
        <f>VLOOKUP(tblTransactions[[#This Row],[Product_ID]],tblProducts[],5,FALSE)</f>
        <v>318.2</v>
      </c>
      <c r="M567" s="4">
        <f>tblTransactions[[#This Row],[Total_Amount]]-(tblTransactions[[#This Row],[Cost_Prices]]*tblTransactions[[#This Row],[Quantity]]*(1-tblTransactions[[#This Row],[Discount]]))</f>
        <v>1379.8120000000001</v>
      </c>
      <c r="N567" s="3">
        <f>tblTransactions[[#This Row],[Profit]]/tblTransactions[[#This Row],[Total_Amount]]</f>
        <v>0.41590041143580547</v>
      </c>
      <c r="O567" t="str">
        <f>TEXT(tblTransactions[[#This Row],[Date]], "MMM-YYYY")</f>
        <v>May-2023</v>
      </c>
      <c r="P567" t="str">
        <f>"Q"&amp;ROUNDUP(MONTH(tblTransactions[[#This Row],[Date]])/3,0)&amp;"-"&amp;YEAR(tblTransactions[[#This Row],[Date]])</f>
        <v>Q2-2023</v>
      </c>
      <c r="Q567">
        <f>YEAR(tblTransactions[[#This Row],[Date]])</f>
        <v>2023</v>
      </c>
      <c r="R567" t="str">
        <f>TEXT(tblTransactions[[#This Row],[Date]],"DDDD")</f>
        <v>Sunday</v>
      </c>
      <c r="S567">
        <f>MONTH(tblTransactions[[#This Row],[Date]])</f>
        <v>5</v>
      </c>
      <c r="T567" t="str">
        <f>VLOOKUP(E567, Products!$A:$B,2,0)</f>
        <v>Desks Fur-4</v>
      </c>
      <c r="U567" t="str">
        <f>VLOOKUP(E567,Products!$A:$C,3,0)</f>
        <v>Furniture</v>
      </c>
      <c r="V567" t="str">
        <f>VLOOKUP(E567,Products!$A:$D,4,0)</f>
        <v>Desks</v>
      </c>
      <c r="W567" t="str">
        <f>VLOOKUP(D567,Customers!$A:$C,3,0)</f>
        <v>Enterprise</v>
      </c>
      <c r="X567" t="str">
        <f>VLOOKUP(C567,Sales_Representatives!$A:$B,2,0)</f>
        <v>Jennifer Brown</v>
      </c>
    </row>
    <row r="568" spans="1:24" x14ac:dyDescent="0.3">
      <c r="A568" t="s">
        <v>850</v>
      </c>
      <c r="B568" t="s">
        <v>848</v>
      </c>
      <c r="C568" t="s">
        <v>127</v>
      </c>
      <c r="D568" t="s">
        <v>93</v>
      </c>
      <c r="E568" t="s">
        <v>89</v>
      </c>
      <c r="F568">
        <v>1</v>
      </c>
      <c r="G568">
        <v>555.08000000000004</v>
      </c>
      <c r="H568">
        <v>0.06</v>
      </c>
      <c r="I568" s="4">
        <v>521.78</v>
      </c>
      <c r="J568" t="s">
        <v>109</v>
      </c>
      <c r="K568" t="s">
        <v>35</v>
      </c>
      <c r="L568" s="4">
        <f>VLOOKUP(tblTransactions[[#This Row],[Product_ID]],tblProducts[],5,FALSE)</f>
        <v>402.82</v>
      </c>
      <c r="M568" s="4">
        <f>tblTransactions[[#This Row],[Total_Amount]]-(tblTransactions[[#This Row],[Cost_Prices]]*tblTransactions[[#This Row],[Quantity]]*(1-tblTransactions[[#This Row],[Discount]]))</f>
        <v>143.12920000000003</v>
      </c>
      <c r="N568" s="3">
        <f>tblTransactions[[#This Row],[Profit]]/tblTransactions[[#This Row],[Total_Amount]]</f>
        <v>0.27430947909080461</v>
      </c>
      <c r="O568" t="str">
        <f>TEXT(tblTransactions[[#This Row],[Date]], "MMM-YYYY")</f>
        <v>May-2023</v>
      </c>
      <c r="P568" t="str">
        <f>"Q"&amp;ROUNDUP(MONTH(tblTransactions[[#This Row],[Date]])/3,0)&amp;"-"&amp;YEAR(tblTransactions[[#This Row],[Date]])</f>
        <v>Q2-2023</v>
      </c>
      <c r="Q568">
        <f>YEAR(tblTransactions[[#This Row],[Date]])</f>
        <v>2023</v>
      </c>
      <c r="R568" t="str">
        <f>TEXT(tblTransactions[[#This Row],[Date]],"DDDD")</f>
        <v>Sunday</v>
      </c>
      <c r="S568">
        <f>MONTH(tblTransactions[[#This Row],[Date]])</f>
        <v>5</v>
      </c>
      <c r="T568" t="str">
        <f>VLOOKUP(E568, Products!$A:$B,2,0)</f>
        <v>Laptops Ele-3</v>
      </c>
      <c r="U568" t="str">
        <f>VLOOKUP(E568,Products!$A:$C,3,0)</f>
        <v>Electronics</v>
      </c>
      <c r="V568" t="str">
        <f>VLOOKUP(E568,Products!$A:$D,4,0)</f>
        <v>Laptops</v>
      </c>
      <c r="W568" t="str">
        <f>VLOOKUP(D568,Customers!$A:$C,3,0)</f>
        <v>B2C</v>
      </c>
      <c r="X568" t="str">
        <f>VLOOKUP(C568,Sales_Representatives!$A:$B,2,0)</f>
        <v>Emily Hernandez</v>
      </c>
    </row>
    <row r="569" spans="1:24" x14ac:dyDescent="0.3">
      <c r="A569" t="s">
        <v>851</v>
      </c>
      <c r="B569" t="s">
        <v>848</v>
      </c>
      <c r="C569" t="s">
        <v>56</v>
      </c>
      <c r="D569" t="s">
        <v>136</v>
      </c>
      <c r="E569" t="s">
        <v>152</v>
      </c>
      <c r="F569">
        <v>8</v>
      </c>
      <c r="G569">
        <v>859.93</v>
      </c>
      <c r="H569">
        <v>0.09</v>
      </c>
      <c r="I569" s="4">
        <v>6260.29</v>
      </c>
      <c r="J569" t="s">
        <v>34</v>
      </c>
      <c r="K569" t="s">
        <v>22</v>
      </c>
      <c r="L569" s="4">
        <f>VLOOKUP(tblTransactions[[#This Row],[Product_ID]],tblProducts[],5,FALSE)</f>
        <v>579.79</v>
      </c>
      <c r="M569" s="4">
        <f>tblTransactions[[#This Row],[Total_Amount]]-(tblTransactions[[#This Row],[Cost_Prices]]*tblTransactions[[#This Row],[Quantity]]*(1-tblTransactions[[#This Row],[Discount]]))</f>
        <v>2039.4188000000004</v>
      </c>
      <c r="N569" s="3">
        <f>tblTransactions[[#This Row],[Profit]]/tblTransactions[[#This Row],[Total_Amount]]</f>
        <v>0.32577065918671505</v>
      </c>
      <c r="O569" t="str">
        <f>TEXT(tblTransactions[[#This Row],[Date]], "MMM-YYYY")</f>
        <v>May-2023</v>
      </c>
      <c r="P569" t="str">
        <f>"Q"&amp;ROUNDUP(MONTH(tblTransactions[[#This Row],[Date]])/3,0)&amp;"-"&amp;YEAR(tblTransactions[[#This Row],[Date]])</f>
        <v>Q2-2023</v>
      </c>
      <c r="Q569">
        <f>YEAR(tblTransactions[[#This Row],[Date]])</f>
        <v>2023</v>
      </c>
      <c r="R569" t="str">
        <f>TEXT(tblTransactions[[#This Row],[Date]],"DDDD")</f>
        <v>Sunday</v>
      </c>
      <c r="S569">
        <f>MONTH(tblTransactions[[#This Row],[Date]])</f>
        <v>5</v>
      </c>
      <c r="T569" t="str">
        <f>VLOOKUP(E569, Products!$A:$B,2,0)</f>
        <v>Phones Ele-4</v>
      </c>
      <c r="U569" t="str">
        <f>VLOOKUP(E569,Products!$A:$C,3,0)</f>
        <v>Electronics</v>
      </c>
      <c r="V569" t="str">
        <f>VLOOKUP(E569,Products!$A:$D,4,0)</f>
        <v>Phones</v>
      </c>
      <c r="W569" t="str">
        <f>VLOOKUP(D569,Customers!$A:$C,3,0)</f>
        <v>B2B</v>
      </c>
      <c r="X569" t="str">
        <f>VLOOKUP(C569,Sales_Representatives!$A:$B,2,0)</f>
        <v>Thomas Hernandez</v>
      </c>
    </row>
    <row r="570" spans="1:24" x14ac:dyDescent="0.3">
      <c r="A570" t="s">
        <v>852</v>
      </c>
      <c r="B570" t="s">
        <v>848</v>
      </c>
      <c r="C570" t="s">
        <v>41</v>
      </c>
      <c r="D570" t="s">
        <v>60</v>
      </c>
      <c r="E570" t="s">
        <v>479</v>
      </c>
      <c r="F570">
        <v>6</v>
      </c>
      <c r="G570">
        <v>239.6</v>
      </c>
      <c r="H570">
        <v>0.13</v>
      </c>
      <c r="I570" s="4">
        <v>1250.71</v>
      </c>
      <c r="J570" t="s">
        <v>44</v>
      </c>
      <c r="K570" t="s">
        <v>35</v>
      </c>
      <c r="L570" s="4">
        <f>VLOOKUP(tblTransactions[[#This Row],[Product_ID]],tblProducts[],5,FALSE)</f>
        <v>107.49</v>
      </c>
      <c r="M570" s="4">
        <f>tblTransactions[[#This Row],[Total_Amount]]-(tblTransactions[[#This Row],[Cost_Prices]]*tblTransactions[[#This Row],[Quantity]]*(1-tblTransactions[[#This Row],[Discount]]))</f>
        <v>689.61220000000014</v>
      </c>
      <c r="N570" s="3">
        <f>tblTransactions[[#This Row],[Profit]]/tblTransactions[[#This Row],[Total_Amount]]</f>
        <v>0.55137657810363727</v>
      </c>
      <c r="O570" t="str">
        <f>TEXT(tblTransactions[[#This Row],[Date]], "MMM-YYYY")</f>
        <v>May-2023</v>
      </c>
      <c r="P570" t="str">
        <f>"Q"&amp;ROUNDUP(MONTH(tblTransactions[[#This Row],[Date]])/3,0)&amp;"-"&amp;YEAR(tblTransactions[[#This Row],[Date]])</f>
        <v>Q2-2023</v>
      </c>
      <c r="Q570">
        <f>YEAR(tblTransactions[[#This Row],[Date]])</f>
        <v>2023</v>
      </c>
      <c r="R570" t="str">
        <f>TEXT(tblTransactions[[#This Row],[Date]],"DDDD")</f>
        <v>Sunday</v>
      </c>
      <c r="S570">
        <f>MONTH(tblTransactions[[#This Row],[Date]])</f>
        <v>5</v>
      </c>
      <c r="T570" t="str">
        <f>VLOOKUP(E570, Products!$A:$B,2,0)</f>
        <v>Pens Off-2</v>
      </c>
      <c r="U570" t="str">
        <f>VLOOKUP(E570,Products!$A:$C,3,0)</f>
        <v>Office Supplies</v>
      </c>
      <c r="V570" t="str">
        <f>VLOOKUP(E570,Products!$A:$D,4,0)</f>
        <v>Pens</v>
      </c>
      <c r="W570" t="str">
        <f>VLOOKUP(D570,Customers!$A:$C,3,0)</f>
        <v>B2C</v>
      </c>
      <c r="X570" t="str">
        <f>VLOOKUP(C570,Sales_Representatives!$A:$B,2,0)</f>
        <v>Robert Jones</v>
      </c>
    </row>
    <row r="571" spans="1:24" x14ac:dyDescent="0.3">
      <c r="A571" t="s">
        <v>853</v>
      </c>
      <c r="B571" t="s">
        <v>848</v>
      </c>
      <c r="C571" t="s">
        <v>131</v>
      </c>
      <c r="D571" t="s">
        <v>144</v>
      </c>
      <c r="E571" t="s">
        <v>370</v>
      </c>
      <c r="F571">
        <v>5</v>
      </c>
      <c r="G571">
        <v>238.95</v>
      </c>
      <c r="H571">
        <v>0.01</v>
      </c>
      <c r="I571" s="4">
        <v>1182.8</v>
      </c>
      <c r="J571" t="s">
        <v>44</v>
      </c>
      <c r="K571" t="s">
        <v>35</v>
      </c>
      <c r="L571" s="4">
        <f>VLOOKUP(tblTransactions[[#This Row],[Product_ID]],tblProducts[],5,FALSE)</f>
        <v>136.6</v>
      </c>
      <c r="M571" s="4">
        <f>tblTransactions[[#This Row],[Total_Amount]]-(tblTransactions[[#This Row],[Cost_Prices]]*tblTransactions[[#This Row],[Quantity]]*(1-tblTransactions[[#This Row],[Discount]]))</f>
        <v>506.63</v>
      </c>
      <c r="N571" s="3">
        <f>tblTransactions[[#This Row],[Profit]]/tblTransactions[[#This Row],[Total_Amount]]</f>
        <v>0.42833107879607712</v>
      </c>
      <c r="O571" t="str">
        <f>TEXT(tblTransactions[[#This Row],[Date]], "MMM-YYYY")</f>
        <v>May-2023</v>
      </c>
      <c r="P571" t="str">
        <f>"Q"&amp;ROUNDUP(MONTH(tblTransactions[[#This Row],[Date]])/3,0)&amp;"-"&amp;YEAR(tblTransactions[[#This Row],[Date]])</f>
        <v>Q2-2023</v>
      </c>
      <c r="Q571">
        <f>YEAR(tblTransactions[[#This Row],[Date]])</f>
        <v>2023</v>
      </c>
      <c r="R571" t="str">
        <f>TEXT(tblTransactions[[#This Row],[Date]],"DDDD")</f>
        <v>Sunday</v>
      </c>
      <c r="S571">
        <f>MONTH(tblTransactions[[#This Row],[Date]])</f>
        <v>5</v>
      </c>
      <c r="T571" t="str">
        <f>VLOOKUP(E571, Products!$A:$B,2,0)</f>
        <v>Cables Acc-1</v>
      </c>
      <c r="U571" t="str">
        <f>VLOOKUP(E571,Products!$A:$C,3,0)</f>
        <v>Accessories</v>
      </c>
      <c r="V571" t="str">
        <f>VLOOKUP(E571,Products!$A:$D,4,0)</f>
        <v>Cables</v>
      </c>
      <c r="W571" t="str">
        <f>VLOOKUP(D571,Customers!$A:$C,3,0)</f>
        <v>B2C</v>
      </c>
      <c r="X571" t="str">
        <f>VLOOKUP(C571,Sales_Representatives!$A:$B,2,0)</f>
        <v>Michael Davis</v>
      </c>
    </row>
    <row r="572" spans="1:24" x14ac:dyDescent="0.3">
      <c r="A572" t="s">
        <v>854</v>
      </c>
      <c r="B572" t="s">
        <v>848</v>
      </c>
      <c r="C572" t="s">
        <v>107</v>
      </c>
      <c r="D572" t="s">
        <v>154</v>
      </c>
      <c r="E572" t="s">
        <v>290</v>
      </c>
      <c r="F572">
        <v>17</v>
      </c>
      <c r="G572">
        <v>729.32</v>
      </c>
      <c r="H572">
        <v>0.17</v>
      </c>
      <c r="I572" s="4">
        <v>10290.709999999999</v>
      </c>
      <c r="J572" t="s">
        <v>109</v>
      </c>
      <c r="K572" t="s">
        <v>48</v>
      </c>
      <c r="L572" s="4">
        <f>VLOOKUP(tblTransactions[[#This Row],[Product_ID]],tblProducts[],5,FALSE)</f>
        <v>482.7</v>
      </c>
      <c r="M572" s="4">
        <f>tblTransactions[[#This Row],[Total_Amount]]-(tblTransactions[[#This Row],[Cost_Prices]]*tblTransactions[[#This Row],[Quantity]]*(1-tblTransactions[[#This Row],[Discount]]))</f>
        <v>3479.8130000000001</v>
      </c>
      <c r="N572" s="3">
        <f>tblTransactions[[#This Row],[Profit]]/tblTransactions[[#This Row],[Total_Amount]]</f>
        <v>0.33815091475709647</v>
      </c>
      <c r="O572" t="str">
        <f>TEXT(tblTransactions[[#This Row],[Date]], "MMM-YYYY")</f>
        <v>May-2023</v>
      </c>
      <c r="P572" t="str">
        <f>"Q"&amp;ROUNDUP(MONTH(tblTransactions[[#This Row],[Date]])/3,0)&amp;"-"&amp;YEAR(tblTransactions[[#This Row],[Date]])</f>
        <v>Q2-2023</v>
      </c>
      <c r="Q572">
        <f>YEAR(tblTransactions[[#This Row],[Date]])</f>
        <v>2023</v>
      </c>
      <c r="R572" t="str">
        <f>TEXT(tblTransactions[[#This Row],[Date]],"DDDD")</f>
        <v>Sunday</v>
      </c>
      <c r="S572">
        <f>MONTH(tblTransactions[[#This Row],[Date]])</f>
        <v>5</v>
      </c>
      <c r="T572" t="str">
        <f>VLOOKUP(E572, Products!$A:$B,2,0)</f>
        <v>Tables Fur-1</v>
      </c>
      <c r="U572" t="str">
        <f>VLOOKUP(E572,Products!$A:$C,3,0)</f>
        <v>Furniture</v>
      </c>
      <c r="V572" t="str">
        <f>VLOOKUP(E572,Products!$A:$D,4,0)</f>
        <v>Tables</v>
      </c>
      <c r="W572" t="str">
        <f>VLOOKUP(D572,Customers!$A:$C,3,0)</f>
        <v>B2B</v>
      </c>
      <c r="X572" t="str">
        <f>VLOOKUP(C572,Sales_Representatives!$A:$B,2,0)</f>
        <v>Jennifer Brown</v>
      </c>
    </row>
    <row r="573" spans="1:24" x14ac:dyDescent="0.3">
      <c r="A573" t="s">
        <v>855</v>
      </c>
      <c r="B573" t="s">
        <v>856</v>
      </c>
      <c r="C573" t="s">
        <v>19</v>
      </c>
      <c r="D573" t="s">
        <v>216</v>
      </c>
      <c r="E573" t="s">
        <v>105</v>
      </c>
      <c r="F573">
        <v>7</v>
      </c>
      <c r="G573">
        <v>1342.04</v>
      </c>
      <c r="H573">
        <v>0.08</v>
      </c>
      <c r="I573" s="4">
        <v>8642.74</v>
      </c>
      <c r="J573" t="s">
        <v>21</v>
      </c>
      <c r="K573" t="s">
        <v>35</v>
      </c>
      <c r="L573" s="4">
        <f>VLOOKUP(tblTransactions[[#This Row],[Product_ID]],tblProducts[],5,FALSE)</f>
        <v>792.89</v>
      </c>
      <c r="M573" s="4">
        <f>tblTransactions[[#This Row],[Total_Amount]]-(tblTransactions[[#This Row],[Cost_Prices]]*tblTransactions[[#This Row],[Quantity]]*(1-tblTransactions[[#This Row],[Discount]]))</f>
        <v>3536.5284000000001</v>
      </c>
      <c r="N573" s="3">
        <f>tblTransactions[[#This Row],[Profit]]/tblTransactions[[#This Row],[Total_Amount]]</f>
        <v>0.40919065018732487</v>
      </c>
      <c r="O573" t="str">
        <f>TEXT(tblTransactions[[#This Row],[Date]], "MMM-YYYY")</f>
        <v>May-2023</v>
      </c>
      <c r="P573" t="str">
        <f>"Q"&amp;ROUNDUP(MONTH(tblTransactions[[#This Row],[Date]])/3,0)&amp;"-"&amp;YEAR(tblTransactions[[#This Row],[Date]])</f>
        <v>Q2-2023</v>
      </c>
      <c r="Q573">
        <f>YEAR(tblTransactions[[#This Row],[Date]])</f>
        <v>2023</v>
      </c>
      <c r="R573" t="str">
        <f>TEXT(tblTransactions[[#This Row],[Date]],"DDDD")</f>
        <v>Monday</v>
      </c>
      <c r="S573">
        <f>MONTH(tblTransactions[[#This Row],[Date]])</f>
        <v>5</v>
      </c>
      <c r="T573" t="str">
        <f>VLOOKUP(E573, Products!$A:$B,2,0)</f>
        <v>Cameras Ele-1</v>
      </c>
      <c r="U573" t="str">
        <f>VLOOKUP(E573,Products!$A:$C,3,0)</f>
        <v>Electronics</v>
      </c>
      <c r="V573" t="str">
        <f>VLOOKUP(E573,Products!$A:$D,4,0)</f>
        <v>Cameras</v>
      </c>
      <c r="W573" t="str">
        <f>VLOOKUP(D573,Customers!$A:$C,3,0)</f>
        <v>Small Business</v>
      </c>
      <c r="X573" t="str">
        <f>VLOOKUP(C573,Sales_Representatives!$A:$B,2,0)</f>
        <v>Robert Jones</v>
      </c>
    </row>
    <row r="574" spans="1:24" x14ac:dyDescent="0.3">
      <c r="A574" t="s">
        <v>857</v>
      </c>
      <c r="B574" t="s">
        <v>856</v>
      </c>
      <c r="C574" t="s">
        <v>82</v>
      </c>
      <c r="D574" t="s">
        <v>136</v>
      </c>
      <c r="E574" t="s">
        <v>99</v>
      </c>
      <c r="F574">
        <v>17</v>
      </c>
      <c r="G574">
        <v>325.14</v>
      </c>
      <c r="H574">
        <v>0.13</v>
      </c>
      <c r="I574" s="4">
        <v>4808.82</v>
      </c>
      <c r="J574" t="s">
        <v>34</v>
      </c>
      <c r="K574" t="s">
        <v>35</v>
      </c>
      <c r="L574" s="4">
        <f>VLOOKUP(tblTransactions[[#This Row],[Product_ID]],tblProducts[],5,FALSE)</f>
        <v>209.04</v>
      </c>
      <c r="M574" s="4">
        <f>tblTransactions[[#This Row],[Total_Amount]]-(tblTransactions[[#This Row],[Cost_Prices]]*tblTransactions[[#This Row],[Quantity]]*(1-tblTransactions[[#This Row],[Discount]]))</f>
        <v>1717.1183999999998</v>
      </c>
      <c r="N574" s="3">
        <f>tblTransactions[[#This Row],[Profit]]/tblTransactions[[#This Row],[Total_Amount]]</f>
        <v>0.35707687124907983</v>
      </c>
      <c r="O574" t="str">
        <f>TEXT(tblTransactions[[#This Row],[Date]], "MMM-YYYY")</f>
        <v>May-2023</v>
      </c>
      <c r="P574" t="str">
        <f>"Q"&amp;ROUNDUP(MONTH(tblTransactions[[#This Row],[Date]])/3,0)&amp;"-"&amp;YEAR(tblTransactions[[#This Row],[Date]])</f>
        <v>Q2-2023</v>
      </c>
      <c r="Q574">
        <f>YEAR(tblTransactions[[#This Row],[Date]])</f>
        <v>2023</v>
      </c>
      <c r="R574" t="str">
        <f>TEXT(tblTransactions[[#This Row],[Date]],"DDDD")</f>
        <v>Monday</v>
      </c>
      <c r="S574">
        <f>MONTH(tblTransactions[[#This Row],[Date]])</f>
        <v>5</v>
      </c>
      <c r="T574" t="str">
        <f>VLOOKUP(E574, Products!$A:$B,2,0)</f>
        <v>Monitors Tec-1</v>
      </c>
      <c r="U574" t="str">
        <f>VLOOKUP(E574,Products!$A:$C,3,0)</f>
        <v>Technology</v>
      </c>
      <c r="V574" t="str">
        <f>VLOOKUP(E574,Products!$A:$D,4,0)</f>
        <v>Monitors</v>
      </c>
      <c r="W574" t="str">
        <f>VLOOKUP(D574,Customers!$A:$C,3,0)</f>
        <v>B2B</v>
      </c>
      <c r="X574" t="str">
        <f>VLOOKUP(C574,Sales_Representatives!$A:$B,2,0)</f>
        <v>John Brown</v>
      </c>
    </row>
    <row r="575" spans="1:24" x14ac:dyDescent="0.3">
      <c r="A575" t="s">
        <v>858</v>
      </c>
      <c r="B575" t="s">
        <v>856</v>
      </c>
      <c r="C575" t="s">
        <v>131</v>
      </c>
      <c r="D575" t="s">
        <v>83</v>
      </c>
      <c r="E575" t="s">
        <v>91</v>
      </c>
      <c r="F575">
        <v>2</v>
      </c>
      <c r="G575">
        <v>286.62</v>
      </c>
      <c r="H575">
        <v>0.01</v>
      </c>
      <c r="I575" s="4">
        <v>567.51</v>
      </c>
      <c r="J575" t="s">
        <v>44</v>
      </c>
      <c r="K575" t="s">
        <v>39</v>
      </c>
      <c r="L575" s="4">
        <f>VLOOKUP(tblTransactions[[#This Row],[Product_ID]],tblProducts[],5,FALSE)</f>
        <v>145.54</v>
      </c>
      <c r="M575" s="4">
        <f>tblTransactions[[#This Row],[Total_Amount]]-(tblTransactions[[#This Row],[Cost_Prices]]*tblTransactions[[#This Row],[Quantity]]*(1-tblTransactions[[#This Row],[Discount]]))</f>
        <v>279.3408</v>
      </c>
      <c r="N575" s="3">
        <f>tblTransactions[[#This Row],[Profit]]/tblTransactions[[#This Row],[Total_Amount]]</f>
        <v>0.49222181106940849</v>
      </c>
      <c r="O575" t="str">
        <f>TEXT(tblTransactions[[#This Row],[Date]], "MMM-YYYY")</f>
        <v>May-2023</v>
      </c>
      <c r="P575" t="str">
        <f>"Q"&amp;ROUNDUP(MONTH(tblTransactions[[#This Row],[Date]])/3,0)&amp;"-"&amp;YEAR(tblTransactions[[#This Row],[Date]])</f>
        <v>Q2-2023</v>
      </c>
      <c r="Q575">
        <f>YEAR(tblTransactions[[#This Row],[Date]])</f>
        <v>2023</v>
      </c>
      <c r="R575" t="str">
        <f>TEXT(tblTransactions[[#This Row],[Date]],"DDDD")</f>
        <v>Monday</v>
      </c>
      <c r="S575">
        <f>MONTH(tblTransactions[[#This Row],[Date]])</f>
        <v>5</v>
      </c>
      <c r="T575" t="str">
        <f>VLOOKUP(E575, Products!$A:$B,2,0)</f>
        <v>Chairs Fur-1</v>
      </c>
      <c r="U575" t="str">
        <f>VLOOKUP(E575,Products!$A:$C,3,0)</f>
        <v>Furniture</v>
      </c>
      <c r="V575" t="str">
        <f>VLOOKUP(E575,Products!$A:$D,4,0)</f>
        <v>Chairs</v>
      </c>
      <c r="W575" t="str">
        <f>VLOOKUP(D575,Customers!$A:$C,3,0)</f>
        <v>Small Business</v>
      </c>
      <c r="X575" t="str">
        <f>VLOOKUP(C575,Sales_Representatives!$A:$B,2,0)</f>
        <v>Michael Davis</v>
      </c>
    </row>
    <row r="576" spans="1:24" x14ac:dyDescent="0.3">
      <c r="A576" t="s">
        <v>859</v>
      </c>
      <c r="B576" t="s">
        <v>856</v>
      </c>
      <c r="C576" t="s">
        <v>59</v>
      </c>
      <c r="D576" t="s">
        <v>115</v>
      </c>
      <c r="E576" t="s">
        <v>283</v>
      </c>
      <c r="F576">
        <v>6</v>
      </c>
      <c r="G576">
        <v>456.88</v>
      </c>
      <c r="H576">
        <v>0.13</v>
      </c>
      <c r="I576" s="4">
        <v>2384.91</v>
      </c>
      <c r="J576" t="s">
        <v>21</v>
      </c>
      <c r="K576" t="s">
        <v>48</v>
      </c>
      <c r="L576" s="4">
        <f>VLOOKUP(tblTransactions[[#This Row],[Product_ID]],tblProducts[],5,FALSE)</f>
        <v>313.23</v>
      </c>
      <c r="M576" s="4">
        <f>tblTransactions[[#This Row],[Total_Amount]]-(tblTransactions[[#This Row],[Cost_Prices]]*tblTransactions[[#This Row],[Quantity]]*(1-tblTransactions[[#This Row],[Discount]]))</f>
        <v>749.84939999999983</v>
      </c>
      <c r="N576" s="3">
        <f>tblTransactions[[#This Row],[Profit]]/tblTransactions[[#This Row],[Total_Amount]]</f>
        <v>0.31441412883505032</v>
      </c>
      <c r="O576" t="str">
        <f>TEXT(tblTransactions[[#This Row],[Date]], "MMM-YYYY")</f>
        <v>May-2023</v>
      </c>
      <c r="P576" t="str">
        <f>"Q"&amp;ROUNDUP(MONTH(tblTransactions[[#This Row],[Date]])/3,0)&amp;"-"&amp;YEAR(tblTransactions[[#This Row],[Date]])</f>
        <v>Q2-2023</v>
      </c>
      <c r="Q576">
        <f>YEAR(tblTransactions[[#This Row],[Date]])</f>
        <v>2023</v>
      </c>
      <c r="R576" t="str">
        <f>TEXT(tblTransactions[[#This Row],[Date]],"DDDD")</f>
        <v>Monday</v>
      </c>
      <c r="S576">
        <f>MONTH(tblTransactions[[#This Row],[Date]])</f>
        <v>5</v>
      </c>
      <c r="T576" t="str">
        <f>VLOOKUP(E576, Products!$A:$B,2,0)</f>
        <v>Chairs Fur-3</v>
      </c>
      <c r="U576" t="str">
        <f>VLOOKUP(E576,Products!$A:$C,3,0)</f>
        <v>Furniture</v>
      </c>
      <c r="V576" t="str">
        <f>VLOOKUP(E576,Products!$A:$D,4,0)</f>
        <v>Chairs</v>
      </c>
      <c r="W576" t="str">
        <f>VLOOKUP(D576,Customers!$A:$C,3,0)</f>
        <v>B2C</v>
      </c>
      <c r="X576" t="str">
        <f>VLOOKUP(C576,Sales_Representatives!$A:$B,2,0)</f>
        <v>Sarah Brown</v>
      </c>
    </row>
    <row r="577" spans="1:24" x14ac:dyDescent="0.3">
      <c r="A577" t="s">
        <v>860</v>
      </c>
      <c r="B577" t="s">
        <v>856</v>
      </c>
      <c r="C577" t="s">
        <v>27</v>
      </c>
      <c r="D577" t="s">
        <v>14</v>
      </c>
      <c r="E577" t="s">
        <v>125</v>
      </c>
      <c r="F577">
        <v>5</v>
      </c>
      <c r="G577">
        <v>1201.4000000000001</v>
      </c>
      <c r="H577">
        <v>0.08</v>
      </c>
      <c r="I577" s="4">
        <v>5526.44</v>
      </c>
      <c r="J577" t="s">
        <v>16</v>
      </c>
      <c r="K577" t="s">
        <v>35</v>
      </c>
      <c r="L577" s="4">
        <f>VLOOKUP(tblTransactions[[#This Row],[Product_ID]],tblProducts[],5,FALSE)</f>
        <v>672.72</v>
      </c>
      <c r="M577" s="4">
        <f>tblTransactions[[#This Row],[Total_Amount]]-(tblTransactions[[#This Row],[Cost_Prices]]*tblTransactions[[#This Row],[Quantity]]*(1-tblTransactions[[#This Row],[Discount]]))</f>
        <v>2431.927999999999</v>
      </c>
      <c r="N577" s="3">
        <f>tblTransactions[[#This Row],[Profit]]/tblTransactions[[#This Row],[Total_Amount]]</f>
        <v>0.44005327118361898</v>
      </c>
      <c r="O577" t="str">
        <f>TEXT(tblTransactions[[#This Row],[Date]], "MMM-YYYY")</f>
        <v>May-2023</v>
      </c>
      <c r="P577" t="str">
        <f>"Q"&amp;ROUNDUP(MONTH(tblTransactions[[#This Row],[Date]])/3,0)&amp;"-"&amp;YEAR(tblTransactions[[#This Row],[Date]])</f>
        <v>Q2-2023</v>
      </c>
      <c r="Q577">
        <f>YEAR(tblTransactions[[#This Row],[Date]])</f>
        <v>2023</v>
      </c>
      <c r="R577" t="str">
        <f>TEXT(tblTransactions[[#This Row],[Date]],"DDDD")</f>
        <v>Monday</v>
      </c>
      <c r="S577">
        <f>MONTH(tblTransactions[[#This Row],[Date]])</f>
        <v>5</v>
      </c>
      <c r="T577" t="str">
        <f>VLOOKUP(E577, Products!$A:$B,2,0)</f>
        <v>Printers Tec-2</v>
      </c>
      <c r="U577" t="str">
        <f>VLOOKUP(E577,Products!$A:$C,3,0)</f>
        <v>Technology</v>
      </c>
      <c r="V577" t="str">
        <f>VLOOKUP(E577,Products!$A:$D,4,0)</f>
        <v>Printers</v>
      </c>
      <c r="W577" t="str">
        <f>VLOOKUP(D577,Customers!$A:$C,3,0)</f>
        <v>B2B</v>
      </c>
      <c r="X577" t="str">
        <f>VLOOKUP(C577,Sales_Representatives!$A:$B,2,0)</f>
        <v>Thomas Lopez</v>
      </c>
    </row>
    <row r="578" spans="1:24" x14ac:dyDescent="0.3">
      <c r="A578" t="s">
        <v>861</v>
      </c>
      <c r="B578" t="s">
        <v>856</v>
      </c>
      <c r="C578" t="s">
        <v>31</v>
      </c>
      <c r="D578" t="s">
        <v>237</v>
      </c>
      <c r="E578" t="s">
        <v>72</v>
      </c>
      <c r="F578">
        <v>8</v>
      </c>
      <c r="G578">
        <v>404.76</v>
      </c>
      <c r="H578">
        <v>0.12</v>
      </c>
      <c r="I578" s="4">
        <v>2849.51</v>
      </c>
      <c r="J578" t="s">
        <v>34</v>
      </c>
      <c r="K578" t="s">
        <v>48</v>
      </c>
      <c r="L578" s="4">
        <f>VLOOKUP(tblTransactions[[#This Row],[Product_ID]],tblProducts[],5,FALSE)</f>
        <v>226.76</v>
      </c>
      <c r="M578" s="4">
        <f>tblTransactions[[#This Row],[Total_Amount]]-(tblTransactions[[#This Row],[Cost_Prices]]*tblTransactions[[#This Row],[Quantity]]*(1-tblTransactions[[#This Row],[Discount]]))</f>
        <v>1253.1196000000002</v>
      </c>
      <c r="N578" s="3">
        <f>tblTransactions[[#This Row],[Profit]]/tblTransactions[[#This Row],[Total_Amount]]</f>
        <v>0.4397666967303151</v>
      </c>
      <c r="O578" t="str">
        <f>TEXT(tblTransactions[[#This Row],[Date]], "MMM-YYYY")</f>
        <v>May-2023</v>
      </c>
      <c r="P578" t="str">
        <f>"Q"&amp;ROUNDUP(MONTH(tblTransactions[[#This Row],[Date]])/3,0)&amp;"-"&amp;YEAR(tblTransactions[[#This Row],[Date]])</f>
        <v>Q2-2023</v>
      </c>
      <c r="Q578">
        <f>YEAR(tblTransactions[[#This Row],[Date]])</f>
        <v>2023</v>
      </c>
      <c r="R578" t="str">
        <f>TEXT(tblTransactions[[#This Row],[Date]],"DDDD")</f>
        <v>Monday</v>
      </c>
      <c r="S578">
        <f>MONTH(tblTransactions[[#This Row],[Date]])</f>
        <v>5</v>
      </c>
      <c r="T578" t="str">
        <f>VLOOKUP(E578, Products!$A:$B,2,0)</f>
        <v>Tablets Ele-2</v>
      </c>
      <c r="U578" t="str">
        <f>VLOOKUP(E578,Products!$A:$C,3,0)</f>
        <v>Electronics</v>
      </c>
      <c r="V578" t="str">
        <f>VLOOKUP(E578,Products!$A:$D,4,0)</f>
        <v>Tablets</v>
      </c>
      <c r="W578" t="str">
        <f>VLOOKUP(D578,Customers!$A:$C,3,0)</f>
        <v>B2B</v>
      </c>
      <c r="X578" t="str">
        <f>VLOOKUP(C578,Sales_Representatives!$A:$B,2,0)</f>
        <v>Thomas Martinez</v>
      </c>
    </row>
    <row r="579" spans="1:24" x14ac:dyDescent="0.3">
      <c r="A579" t="s">
        <v>862</v>
      </c>
      <c r="B579" t="s">
        <v>856</v>
      </c>
      <c r="C579" t="s">
        <v>63</v>
      </c>
      <c r="D579" t="s">
        <v>28</v>
      </c>
      <c r="E579" t="s">
        <v>91</v>
      </c>
      <c r="F579">
        <v>15</v>
      </c>
      <c r="G579">
        <v>286.62</v>
      </c>
      <c r="H579">
        <v>0.19</v>
      </c>
      <c r="I579" s="4">
        <v>3482.43</v>
      </c>
      <c r="J579" t="s">
        <v>21</v>
      </c>
      <c r="K579" t="s">
        <v>22</v>
      </c>
      <c r="L579" s="4">
        <f>VLOOKUP(tblTransactions[[#This Row],[Product_ID]],tblProducts[],5,FALSE)</f>
        <v>145.54</v>
      </c>
      <c r="M579" s="4">
        <f>tblTransactions[[#This Row],[Total_Amount]]-(tblTransactions[[#This Row],[Cost_Prices]]*tblTransactions[[#This Row],[Quantity]]*(1-tblTransactions[[#This Row],[Discount]]))</f>
        <v>1714.1189999999997</v>
      </c>
      <c r="N579" s="3">
        <f>tblTransactions[[#This Row],[Profit]]/tblTransactions[[#This Row],[Total_Amount]]</f>
        <v>0.49221922622996006</v>
      </c>
      <c r="O579" t="str">
        <f>TEXT(tblTransactions[[#This Row],[Date]], "MMM-YYYY")</f>
        <v>May-2023</v>
      </c>
      <c r="P579" t="str">
        <f>"Q"&amp;ROUNDUP(MONTH(tblTransactions[[#This Row],[Date]])/3,0)&amp;"-"&amp;YEAR(tblTransactions[[#This Row],[Date]])</f>
        <v>Q2-2023</v>
      </c>
      <c r="Q579">
        <f>YEAR(tblTransactions[[#This Row],[Date]])</f>
        <v>2023</v>
      </c>
      <c r="R579" t="str">
        <f>TEXT(tblTransactions[[#This Row],[Date]],"DDDD")</f>
        <v>Monday</v>
      </c>
      <c r="S579">
        <f>MONTH(tblTransactions[[#This Row],[Date]])</f>
        <v>5</v>
      </c>
      <c r="T579" t="str">
        <f>VLOOKUP(E579, Products!$A:$B,2,0)</f>
        <v>Chairs Fur-1</v>
      </c>
      <c r="U579" t="str">
        <f>VLOOKUP(E579,Products!$A:$C,3,0)</f>
        <v>Furniture</v>
      </c>
      <c r="V579" t="str">
        <f>VLOOKUP(E579,Products!$A:$D,4,0)</f>
        <v>Chairs</v>
      </c>
      <c r="W579" t="str">
        <f>VLOOKUP(D579,Customers!$A:$C,3,0)</f>
        <v>B2B</v>
      </c>
      <c r="X579" t="str">
        <f>VLOOKUP(C579,Sales_Representatives!$A:$B,2,0)</f>
        <v>Richard Wilson</v>
      </c>
    </row>
    <row r="580" spans="1:24" x14ac:dyDescent="0.3">
      <c r="A580" t="s">
        <v>863</v>
      </c>
      <c r="B580" t="s">
        <v>864</v>
      </c>
      <c r="C580" t="s">
        <v>27</v>
      </c>
      <c r="D580" t="s">
        <v>228</v>
      </c>
      <c r="E580" t="s">
        <v>77</v>
      </c>
      <c r="F580">
        <v>4</v>
      </c>
      <c r="G580">
        <v>236.82</v>
      </c>
      <c r="H580">
        <v>0.02</v>
      </c>
      <c r="I580" s="4">
        <v>928.33</v>
      </c>
      <c r="J580" t="s">
        <v>16</v>
      </c>
      <c r="K580" t="s">
        <v>48</v>
      </c>
      <c r="L580" s="4">
        <f>VLOOKUP(tblTransactions[[#This Row],[Product_ID]],tblProducts[],5,FALSE)</f>
        <v>110.79</v>
      </c>
      <c r="M580" s="4">
        <f>tblTransactions[[#This Row],[Total_Amount]]-(tblTransactions[[#This Row],[Cost_Prices]]*tblTransactions[[#This Row],[Quantity]]*(1-tblTransactions[[#This Row],[Discount]]))</f>
        <v>494.03320000000002</v>
      </c>
      <c r="N580" s="3">
        <f>tblTransactions[[#This Row],[Profit]]/tblTransactions[[#This Row],[Total_Amount]]</f>
        <v>0.53217411911712431</v>
      </c>
      <c r="O580" t="str">
        <f>TEXT(tblTransactions[[#This Row],[Date]], "MMM-YYYY")</f>
        <v>May-2023</v>
      </c>
      <c r="P580" t="str">
        <f>"Q"&amp;ROUNDUP(MONTH(tblTransactions[[#This Row],[Date]])/3,0)&amp;"-"&amp;YEAR(tblTransactions[[#This Row],[Date]])</f>
        <v>Q2-2023</v>
      </c>
      <c r="Q580">
        <f>YEAR(tblTransactions[[#This Row],[Date]])</f>
        <v>2023</v>
      </c>
      <c r="R580" t="str">
        <f>TEXT(tblTransactions[[#This Row],[Date]],"DDDD")</f>
        <v>Tuesday</v>
      </c>
      <c r="S580">
        <f>MONTH(tblTransactions[[#This Row],[Date]])</f>
        <v>5</v>
      </c>
      <c r="T580" t="str">
        <f>VLOOKUP(E580, Products!$A:$B,2,0)</f>
        <v>Binders Off-4</v>
      </c>
      <c r="U580" t="str">
        <f>VLOOKUP(E580,Products!$A:$C,3,0)</f>
        <v>Office Supplies</v>
      </c>
      <c r="V580" t="str">
        <f>VLOOKUP(E580,Products!$A:$D,4,0)</f>
        <v>Binders</v>
      </c>
      <c r="W580" t="str">
        <f>VLOOKUP(D580,Customers!$A:$C,3,0)</f>
        <v>Small Business</v>
      </c>
      <c r="X580" t="str">
        <f>VLOOKUP(C580,Sales_Representatives!$A:$B,2,0)</f>
        <v>Thomas Lopez</v>
      </c>
    </row>
    <row r="581" spans="1:24" x14ac:dyDescent="0.3">
      <c r="A581" t="s">
        <v>865</v>
      </c>
      <c r="B581" t="s">
        <v>864</v>
      </c>
      <c r="C581" t="s">
        <v>131</v>
      </c>
      <c r="D581" t="s">
        <v>76</v>
      </c>
      <c r="E581" t="s">
        <v>65</v>
      </c>
      <c r="F581">
        <v>2</v>
      </c>
      <c r="G581">
        <v>49.44</v>
      </c>
      <c r="H581">
        <v>0.08</v>
      </c>
      <c r="I581" s="4">
        <v>90.97</v>
      </c>
      <c r="J581" t="s">
        <v>44</v>
      </c>
      <c r="K581" t="s">
        <v>48</v>
      </c>
      <c r="L581" s="4">
        <f>VLOOKUP(tblTransactions[[#This Row],[Product_ID]],tblProducts[],5,FALSE)</f>
        <v>22.34</v>
      </c>
      <c r="M581" s="4">
        <f>tblTransactions[[#This Row],[Total_Amount]]-(tblTransactions[[#This Row],[Cost_Prices]]*tblTransactions[[#This Row],[Quantity]]*(1-tblTransactions[[#This Row],[Discount]]))</f>
        <v>49.864399999999996</v>
      </c>
      <c r="N581" s="3">
        <f>tblTransactions[[#This Row],[Profit]]/tblTransactions[[#This Row],[Total_Amount]]</f>
        <v>0.54814114543256021</v>
      </c>
      <c r="O581" t="str">
        <f>TEXT(tblTransactions[[#This Row],[Date]], "MMM-YYYY")</f>
        <v>May-2023</v>
      </c>
      <c r="P581" t="str">
        <f>"Q"&amp;ROUNDUP(MONTH(tblTransactions[[#This Row],[Date]])/3,0)&amp;"-"&amp;YEAR(tblTransactions[[#This Row],[Date]])</f>
        <v>Q2-2023</v>
      </c>
      <c r="Q581">
        <f>YEAR(tblTransactions[[#This Row],[Date]])</f>
        <v>2023</v>
      </c>
      <c r="R581" t="str">
        <f>TEXT(tblTransactions[[#This Row],[Date]],"DDDD")</f>
        <v>Tuesday</v>
      </c>
      <c r="S581">
        <f>MONTH(tblTransactions[[#This Row],[Date]])</f>
        <v>5</v>
      </c>
      <c r="T581" t="str">
        <f>VLOOKUP(E581, Products!$A:$B,2,0)</f>
        <v>Folders Off-2</v>
      </c>
      <c r="U581" t="str">
        <f>VLOOKUP(E581,Products!$A:$C,3,0)</f>
        <v>Office Supplies</v>
      </c>
      <c r="V581" t="str">
        <f>VLOOKUP(E581,Products!$A:$D,4,0)</f>
        <v>Folders</v>
      </c>
      <c r="W581" t="str">
        <f>VLOOKUP(D581,Customers!$A:$C,3,0)</f>
        <v>Small Business</v>
      </c>
      <c r="X581" t="str">
        <f>VLOOKUP(C581,Sales_Representatives!$A:$B,2,0)</f>
        <v>Michael Davis</v>
      </c>
    </row>
    <row r="582" spans="1:24" x14ac:dyDescent="0.3">
      <c r="A582" t="s">
        <v>866</v>
      </c>
      <c r="B582" t="s">
        <v>864</v>
      </c>
      <c r="C582" t="s">
        <v>13</v>
      </c>
      <c r="D582" t="s">
        <v>144</v>
      </c>
      <c r="E582" t="s">
        <v>394</v>
      </c>
      <c r="F582">
        <v>3</v>
      </c>
      <c r="G582">
        <v>314.69</v>
      </c>
      <c r="H582">
        <v>0.02</v>
      </c>
      <c r="I582" s="4">
        <v>925.19</v>
      </c>
      <c r="J582" t="s">
        <v>16</v>
      </c>
      <c r="K582" t="s">
        <v>17</v>
      </c>
      <c r="L582" s="4">
        <f>VLOOKUP(tblTransactions[[#This Row],[Product_ID]],tblProducts[],5,FALSE)</f>
        <v>185.43</v>
      </c>
      <c r="M582" s="4">
        <f>tblTransactions[[#This Row],[Total_Amount]]-(tblTransactions[[#This Row],[Cost_Prices]]*tblTransactions[[#This Row],[Quantity]]*(1-tblTransactions[[#This Row],[Discount]]))</f>
        <v>380.02580000000012</v>
      </c>
      <c r="N582" s="3">
        <f>tblTransactions[[#This Row],[Profit]]/tblTransactions[[#This Row],[Total_Amount]]</f>
        <v>0.41075433154271024</v>
      </c>
      <c r="O582" t="str">
        <f>TEXT(tblTransactions[[#This Row],[Date]], "MMM-YYYY")</f>
        <v>May-2023</v>
      </c>
      <c r="P582" t="str">
        <f>"Q"&amp;ROUNDUP(MONTH(tblTransactions[[#This Row],[Date]])/3,0)&amp;"-"&amp;YEAR(tblTransactions[[#This Row],[Date]])</f>
        <v>Q2-2023</v>
      </c>
      <c r="Q582">
        <f>YEAR(tblTransactions[[#This Row],[Date]])</f>
        <v>2023</v>
      </c>
      <c r="R582" t="str">
        <f>TEXT(tblTransactions[[#This Row],[Date]],"DDDD")</f>
        <v>Tuesday</v>
      </c>
      <c r="S582">
        <f>MONTH(tblTransactions[[#This Row],[Date]])</f>
        <v>5</v>
      </c>
      <c r="T582" t="str">
        <f>VLOOKUP(E582, Products!$A:$B,2,0)</f>
        <v>Desks Fur-1</v>
      </c>
      <c r="U582" t="str">
        <f>VLOOKUP(E582,Products!$A:$C,3,0)</f>
        <v>Furniture</v>
      </c>
      <c r="V582" t="str">
        <f>VLOOKUP(E582,Products!$A:$D,4,0)</f>
        <v>Desks</v>
      </c>
      <c r="W582" t="str">
        <f>VLOOKUP(D582,Customers!$A:$C,3,0)</f>
        <v>B2C</v>
      </c>
      <c r="X582" t="str">
        <f>VLOOKUP(C582,Sales_Representatives!$A:$B,2,0)</f>
        <v>Jennifer Rodriguez</v>
      </c>
    </row>
    <row r="583" spans="1:24" x14ac:dyDescent="0.3">
      <c r="A583" t="s">
        <v>867</v>
      </c>
      <c r="B583" t="s">
        <v>864</v>
      </c>
      <c r="C583" t="s">
        <v>82</v>
      </c>
      <c r="D583" t="s">
        <v>136</v>
      </c>
      <c r="E583" t="s">
        <v>172</v>
      </c>
      <c r="F583">
        <v>11</v>
      </c>
      <c r="G583">
        <v>1371.15</v>
      </c>
      <c r="H583">
        <v>0.18</v>
      </c>
      <c r="I583" s="4">
        <v>12367.77</v>
      </c>
      <c r="J583" t="s">
        <v>34</v>
      </c>
      <c r="K583" t="s">
        <v>17</v>
      </c>
      <c r="L583" s="4">
        <f>VLOOKUP(tblTransactions[[#This Row],[Product_ID]],tblProducts[],5,FALSE)</f>
        <v>989.81</v>
      </c>
      <c r="M583" s="4">
        <f>tblTransactions[[#This Row],[Total_Amount]]-(tblTransactions[[#This Row],[Cost_Prices]]*tblTransactions[[#This Row],[Quantity]]*(1-tblTransactions[[#This Row],[Discount]]))</f>
        <v>3439.6838000000007</v>
      </c>
      <c r="N583" s="3">
        <f>tblTransactions[[#This Row],[Profit]]/tblTransactions[[#This Row],[Total_Amount]]</f>
        <v>0.27811673405957588</v>
      </c>
      <c r="O583" t="str">
        <f>TEXT(tblTransactions[[#This Row],[Date]], "MMM-YYYY")</f>
        <v>May-2023</v>
      </c>
      <c r="P583" t="str">
        <f>"Q"&amp;ROUNDUP(MONTH(tblTransactions[[#This Row],[Date]])/3,0)&amp;"-"&amp;YEAR(tblTransactions[[#This Row],[Date]])</f>
        <v>Q2-2023</v>
      </c>
      <c r="Q583">
        <f>YEAR(tblTransactions[[#This Row],[Date]])</f>
        <v>2023</v>
      </c>
      <c r="R583" t="str">
        <f>TEXT(tblTransactions[[#This Row],[Date]],"DDDD")</f>
        <v>Tuesday</v>
      </c>
      <c r="S583">
        <f>MONTH(tblTransactions[[#This Row],[Date]])</f>
        <v>5</v>
      </c>
      <c r="T583" t="str">
        <f>VLOOKUP(E583, Products!$A:$B,2,0)</f>
        <v>Cameras Ele-4</v>
      </c>
      <c r="U583" t="str">
        <f>VLOOKUP(E583,Products!$A:$C,3,0)</f>
        <v>Electronics</v>
      </c>
      <c r="V583" t="str">
        <f>VLOOKUP(E583,Products!$A:$D,4,0)</f>
        <v>Cameras</v>
      </c>
      <c r="W583" t="str">
        <f>VLOOKUP(D583,Customers!$A:$C,3,0)</f>
        <v>B2B</v>
      </c>
      <c r="X583" t="str">
        <f>VLOOKUP(C583,Sales_Representatives!$A:$B,2,0)</f>
        <v>John Brown</v>
      </c>
    </row>
    <row r="584" spans="1:24" x14ac:dyDescent="0.3">
      <c r="A584" t="s">
        <v>868</v>
      </c>
      <c r="B584" t="s">
        <v>864</v>
      </c>
      <c r="C584" t="s">
        <v>141</v>
      </c>
      <c r="D584" t="s">
        <v>139</v>
      </c>
      <c r="E584" t="s">
        <v>20</v>
      </c>
      <c r="F584">
        <v>2</v>
      </c>
      <c r="G584">
        <v>1219.49</v>
      </c>
      <c r="H584">
        <v>0.09</v>
      </c>
      <c r="I584" s="4">
        <v>2219.4699999999998</v>
      </c>
      <c r="J584" t="s">
        <v>109</v>
      </c>
      <c r="K584" t="s">
        <v>48</v>
      </c>
      <c r="L584" s="4">
        <f>VLOOKUP(tblTransactions[[#This Row],[Product_ID]],tblProducts[],5,FALSE)</f>
        <v>686.9</v>
      </c>
      <c r="M584" s="4">
        <f>tblTransactions[[#This Row],[Total_Amount]]-(tblTransactions[[#This Row],[Cost_Prices]]*tblTransactions[[#This Row],[Quantity]]*(1-tblTransactions[[#This Row],[Discount]]))</f>
        <v>969.3119999999999</v>
      </c>
      <c r="N584" s="3">
        <f>tblTransactions[[#This Row],[Profit]]/tblTransactions[[#This Row],[Total_Amount]]</f>
        <v>0.43673129170477637</v>
      </c>
      <c r="O584" t="str">
        <f>TEXT(tblTransactions[[#This Row],[Date]], "MMM-YYYY")</f>
        <v>May-2023</v>
      </c>
      <c r="P584" t="str">
        <f>"Q"&amp;ROUNDUP(MONTH(tblTransactions[[#This Row],[Date]])/3,0)&amp;"-"&amp;YEAR(tblTransactions[[#This Row],[Date]])</f>
        <v>Q2-2023</v>
      </c>
      <c r="Q584">
        <f>YEAR(tblTransactions[[#This Row],[Date]])</f>
        <v>2023</v>
      </c>
      <c r="R584" t="str">
        <f>TEXT(tblTransactions[[#This Row],[Date]],"DDDD")</f>
        <v>Tuesday</v>
      </c>
      <c r="S584">
        <f>MONTH(tblTransactions[[#This Row],[Date]])</f>
        <v>5</v>
      </c>
      <c r="T584" t="str">
        <f>VLOOKUP(E584, Products!$A:$B,2,0)</f>
        <v>Laptops Ele-1</v>
      </c>
      <c r="U584" t="str">
        <f>VLOOKUP(E584,Products!$A:$C,3,0)</f>
        <v>Electronics</v>
      </c>
      <c r="V584" t="str">
        <f>VLOOKUP(E584,Products!$A:$D,4,0)</f>
        <v>Laptops</v>
      </c>
      <c r="W584" t="str">
        <f>VLOOKUP(D584,Customers!$A:$C,3,0)</f>
        <v>B2C</v>
      </c>
      <c r="X584" t="str">
        <f>VLOOKUP(C584,Sales_Representatives!$A:$B,2,0)</f>
        <v>Richard Garcia</v>
      </c>
    </row>
    <row r="585" spans="1:24" x14ac:dyDescent="0.3">
      <c r="A585" t="s">
        <v>869</v>
      </c>
      <c r="B585" t="s">
        <v>864</v>
      </c>
      <c r="C585" t="s">
        <v>31</v>
      </c>
      <c r="D585" t="s">
        <v>115</v>
      </c>
      <c r="E585" t="s">
        <v>129</v>
      </c>
      <c r="F585">
        <v>2</v>
      </c>
      <c r="G585">
        <v>1283.71</v>
      </c>
      <c r="H585">
        <v>0.05</v>
      </c>
      <c r="I585" s="4">
        <v>2439.0500000000002</v>
      </c>
      <c r="J585" t="s">
        <v>34</v>
      </c>
      <c r="K585" t="s">
        <v>39</v>
      </c>
      <c r="L585" s="4">
        <f>VLOOKUP(tblTransactions[[#This Row],[Product_ID]],tblProducts[],5,FALSE)</f>
        <v>970.14</v>
      </c>
      <c r="M585" s="4">
        <f>tblTransactions[[#This Row],[Total_Amount]]-(tblTransactions[[#This Row],[Cost_Prices]]*tblTransactions[[#This Row],[Quantity]]*(1-tblTransactions[[#This Row],[Discount]]))</f>
        <v>595.78400000000033</v>
      </c>
      <c r="N585" s="3">
        <f>tblTransactions[[#This Row],[Profit]]/tblTransactions[[#This Row],[Total_Amount]]</f>
        <v>0.24426887517681076</v>
      </c>
      <c r="O585" t="str">
        <f>TEXT(tblTransactions[[#This Row],[Date]], "MMM-YYYY")</f>
        <v>May-2023</v>
      </c>
      <c r="P585" t="str">
        <f>"Q"&amp;ROUNDUP(MONTH(tblTransactions[[#This Row],[Date]])/3,0)&amp;"-"&amp;YEAR(tblTransactions[[#This Row],[Date]])</f>
        <v>Q2-2023</v>
      </c>
      <c r="Q585">
        <f>YEAR(tblTransactions[[#This Row],[Date]])</f>
        <v>2023</v>
      </c>
      <c r="R585" t="str">
        <f>TEXT(tblTransactions[[#This Row],[Date]],"DDDD")</f>
        <v>Tuesday</v>
      </c>
      <c r="S585">
        <f>MONTH(tblTransactions[[#This Row],[Date]])</f>
        <v>5</v>
      </c>
      <c r="T585" t="str">
        <f>VLOOKUP(E585, Products!$A:$B,2,0)</f>
        <v>Cameras Ele-3</v>
      </c>
      <c r="U585" t="str">
        <f>VLOOKUP(E585,Products!$A:$C,3,0)</f>
        <v>Electronics</v>
      </c>
      <c r="V585" t="str">
        <f>VLOOKUP(E585,Products!$A:$D,4,0)</f>
        <v>Cameras</v>
      </c>
      <c r="W585" t="str">
        <f>VLOOKUP(D585,Customers!$A:$C,3,0)</f>
        <v>B2C</v>
      </c>
      <c r="X585" t="str">
        <f>VLOOKUP(C585,Sales_Representatives!$A:$B,2,0)</f>
        <v>Thomas Martinez</v>
      </c>
    </row>
    <row r="586" spans="1:24" x14ac:dyDescent="0.3">
      <c r="A586" t="s">
        <v>870</v>
      </c>
      <c r="B586" t="s">
        <v>871</v>
      </c>
      <c r="C586" t="s">
        <v>31</v>
      </c>
      <c r="D586" t="s">
        <v>112</v>
      </c>
      <c r="E586" t="s">
        <v>200</v>
      </c>
      <c r="F586">
        <v>24</v>
      </c>
      <c r="G586">
        <v>544.77</v>
      </c>
      <c r="H586">
        <v>0.18</v>
      </c>
      <c r="I586" s="4">
        <v>10721.07</v>
      </c>
      <c r="J586" t="s">
        <v>34</v>
      </c>
      <c r="K586" t="s">
        <v>17</v>
      </c>
      <c r="L586" s="4">
        <f>VLOOKUP(tblTransactions[[#This Row],[Product_ID]],tblProducts[],5,FALSE)</f>
        <v>318.2</v>
      </c>
      <c r="M586" s="4">
        <f>tblTransactions[[#This Row],[Total_Amount]]-(tblTransactions[[#This Row],[Cost_Prices]]*tblTransactions[[#This Row],[Quantity]]*(1-tblTransactions[[#This Row],[Discount]]))</f>
        <v>4458.8940000000002</v>
      </c>
      <c r="N586" s="3">
        <f>tblTransactions[[#This Row],[Profit]]/tblTransactions[[#This Row],[Total_Amount]]</f>
        <v>0.41590009206170658</v>
      </c>
      <c r="O586" t="str">
        <f>TEXT(tblTransactions[[#This Row],[Date]], "MMM-YYYY")</f>
        <v>May-2023</v>
      </c>
      <c r="P586" t="str">
        <f>"Q"&amp;ROUNDUP(MONTH(tblTransactions[[#This Row],[Date]])/3,0)&amp;"-"&amp;YEAR(tblTransactions[[#This Row],[Date]])</f>
        <v>Q2-2023</v>
      </c>
      <c r="Q586">
        <f>YEAR(tblTransactions[[#This Row],[Date]])</f>
        <v>2023</v>
      </c>
      <c r="R586" t="str">
        <f>TEXT(tblTransactions[[#This Row],[Date]],"DDDD")</f>
        <v>Wednesday</v>
      </c>
      <c r="S586">
        <f>MONTH(tblTransactions[[#This Row],[Date]])</f>
        <v>5</v>
      </c>
      <c r="T586" t="str">
        <f>VLOOKUP(E586, Products!$A:$B,2,0)</f>
        <v>Desks Fur-4</v>
      </c>
      <c r="U586" t="str">
        <f>VLOOKUP(E586,Products!$A:$C,3,0)</f>
        <v>Furniture</v>
      </c>
      <c r="V586" t="str">
        <f>VLOOKUP(E586,Products!$A:$D,4,0)</f>
        <v>Desks</v>
      </c>
      <c r="W586" t="str">
        <f>VLOOKUP(D586,Customers!$A:$C,3,0)</f>
        <v>Enterprise</v>
      </c>
      <c r="X586" t="str">
        <f>VLOOKUP(C586,Sales_Representatives!$A:$B,2,0)</f>
        <v>Thomas Martinez</v>
      </c>
    </row>
    <row r="587" spans="1:24" x14ac:dyDescent="0.3">
      <c r="A587" t="s">
        <v>872</v>
      </c>
      <c r="B587" t="s">
        <v>871</v>
      </c>
      <c r="C587" t="s">
        <v>70</v>
      </c>
      <c r="D587" t="s">
        <v>166</v>
      </c>
      <c r="E587" t="s">
        <v>290</v>
      </c>
      <c r="F587">
        <v>5</v>
      </c>
      <c r="G587">
        <v>729.32</v>
      </c>
      <c r="H587">
        <v>0.05</v>
      </c>
      <c r="I587" s="4">
        <v>3464.27</v>
      </c>
      <c r="J587" t="s">
        <v>16</v>
      </c>
      <c r="K587" t="s">
        <v>48</v>
      </c>
      <c r="L587" s="4">
        <f>VLOOKUP(tblTransactions[[#This Row],[Product_ID]],tblProducts[],5,FALSE)</f>
        <v>482.7</v>
      </c>
      <c r="M587" s="4">
        <f>tblTransactions[[#This Row],[Total_Amount]]-(tblTransactions[[#This Row],[Cost_Prices]]*tblTransactions[[#This Row],[Quantity]]*(1-tblTransactions[[#This Row],[Discount]]))</f>
        <v>1171.4450000000002</v>
      </c>
      <c r="N587" s="3">
        <f>tblTransactions[[#This Row],[Profit]]/tblTransactions[[#This Row],[Total_Amount]]</f>
        <v>0.33815060604398622</v>
      </c>
      <c r="O587" t="str">
        <f>TEXT(tblTransactions[[#This Row],[Date]], "MMM-YYYY")</f>
        <v>May-2023</v>
      </c>
      <c r="P587" t="str">
        <f>"Q"&amp;ROUNDUP(MONTH(tblTransactions[[#This Row],[Date]])/3,0)&amp;"-"&amp;YEAR(tblTransactions[[#This Row],[Date]])</f>
        <v>Q2-2023</v>
      </c>
      <c r="Q587">
        <f>YEAR(tblTransactions[[#This Row],[Date]])</f>
        <v>2023</v>
      </c>
      <c r="R587" t="str">
        <f>TEXT(tblTransactions[[#This Row],[Date]],"DDDD")</f>
        <v>Wednesday</v>
      </c>
      <c r="S587">
        <f>MONTH(tblTransactions[[#This Row],[Date]])</f>
        <v>5</v>
      </c>
      <c r="T587" t="str">
        <f>VLOOKUP(E587, Products!$A:$B,2,0)</f>
        <v>Tables Fur-1</v>
      </c>
      <c r="U587" t="str">
        <f>VLOOKUP(E587,Products!$A:$C,3,0)</f>
        <v>Furniture</v>
      </c>
      <c r="V587" t="str">
        <f>VLOOKUP(E587,Products!$A:$D,4,0)</f>
        <v>Tables</v>
      </c>
      <c r="W587" t="str">
        <f>VLOOKUP(D587,Customers!$A:$C,3,0)</f>
        <v>B2C</v>
      </c>
      <c r="X587" t="str">
        <f>VLOOKUP(C587,Sales_Representatives!$A:$B,2,0)</f>
        <v>Linda Smith</v>
      </c>
    </row>
    <row r="588" spans="1:24" x14ac:dyDescent="0.3">
      <c r="A588" t="s">
        <v>873</v>
      </c>
      <c r="B588" t="s">
        <v>871</v>
      </c>
      <c r="C588" t="s">
        <v>63</v>
      </c>
      <c r="D588" t="s">
        <v>527</v>
      </c>
      <c r="E588" t="s">
        <v>25</v>
      </c>
      <c r="F588">
        <v>2</v>
      </c>
      <c r="G588">
        <v>1467.49</v>
      </c>
      <c r="H588">
        <v>0.08</v>
      </c>
      <c r="I588" s="4">
        <v>2700.18</v>
      </c>
      <c r="J588" t="s">
        <v>21</v>
      </c>
      <c r="K588" t="s">
        <v>22</v>
      </c>
      <c r="L588" s="4">
        <f>VLOOKUP(tblTransactions[[#This Row],[Product_ID]],tblProducts[],5,FALSE)</f>
        <v>757.65</v>
      </c>
      <c r="M588" s="4">
        <f>tblTransactions[[#This Row],[Total_Amount]]-(tblTransactions[[#This Row],[Cost_Prices]]*tblTransactions[[#This Row],[Quantity]]*(1-tblTransactions[[#This Row],[Discount]]))</f>
        <v>1306.1039999999998</v>
      </c>
      <c r="N588" s="3">
        <f>tblTransactions[[#This Row],[Profit]]/tblTransactions[[#This Row],[Total_Amount]]</f>
        <v>0.48370997489056283</v>
      </c>
      <c r="O588" t="str">
        <f>TEXT(tblTransactions[[#This Row],[Date]], "MMM-YYYY")</f>
        <v>May-2023</v>
      </c>
      <c r="P588" t="str">
        <f>"Q"&amp;ROUNDUP(MONTH(tblTransactions[[#This Row],[Date]])/3,0)&amp;"-"&amp;YEAR(tblTransactions[[#This Row],[Date]])</f>
        <v>Q2-2023</v>
      </c>
      <c r="Q588">
        <f>YEAR(tblTransactions[[#This Row],[Date]])</f>
        <v>2023</v>
      </c>
      <c r="R588" t="str">
        <f>TEXT(tblTransactions[[#This Row],[Date]],"DDDD")</f>
        <v>Wednesday</v>
      </c>
      <c r="S588">
        <f>MONTH(tblTransactions[[#This Row],[Date]])</f>
        <v>5</v>
      </c>
      <c r="T588" t="str">
        <f>VLOOKUP(E588, Products!$A:$B,2,0)</f>
        <v>Tables Fur-3</v>
      </c>
      <c r="U588" t="str">
        <f>VLOOKUP(E588,Products!$A:$C,3,0)</f>
        <v>Furniture</v>
      </c>
      <c r="V588" t="str">
        <f>VLOOKUP(E588,Products!$A:$D,4,0)</f>
        <v>Tables</v>
      </c>
      <c r="W588" t="str">
        <f>VLOOKUP(D588,Customers!$A:$C,3,0)</f>
        <v>B2C</v>
      </c>
      <c r="X588" t="str">
        <f>VLOOKUP(C588,Sales_Representatives!$A:$B,2,0)</f>
        <v>Richard Wilson</v>
      </c>
    </row>
    <row r="589" spans="1:24" x14ac:dyDescent="0.3">
      <c r="A589" t="s">
        <v>874</v>
      </c>
      <c r="B589" t="s">
        <v>871</v>
      </c>
      <c r="C589" t="s">
        <v>127</v>
      </c>
      <c r="D589" t="s">
        <v>124</v>
      </c>
      <c r="E589" t="s">
        <v>152</v>
      </c>
      <c r="F589">
        <v>6</v>
      </c>
      <c r="G589">
        <v>859.93</v>
      </c>
      <c r="H589">
        <v>0.06</v>
      </c>
      <c r="I589" s="4">
        <v>4850.01</v>
      </c>
      <c r="J589" t="s">
        <v>109</v>
      </c>
      <c r="K589" t="s">
        <v>39</v>
      </c>
      <c r="L589" s="4">
        <f>VLOOKUP(tblTransactions[[#This Row],[Product_ID]],tblProducts[],5,FALSE)</f>
        <v>579.79</v>
      </c>
      <c r="M589" s="4">
        <f>tblTransactions[[#This Row],[Total_Amount]]-(tblTransactions[[#This Row],[Cost_Prices]]*tblTransactions[[#This Row],[Quantity]]*(1-tblTransactions[[#This Row],[Discount]]))</f>
        <v>1579.9944000000005</v>
      </c>
      <c r="N589" s="3">
        <f>tblTransactions[[#This Row],[Profit]]/tblTransactions[[#This Row],[Total_Amount]]</f>
        <v>0.32577136954356806</v>
      </c>
      <c r="O589" t="str">
        <f>TEXT(tblTransactions[[#This Row],[Date]], "MMM-YYYY")</f>
        <v>May-2023</v>
      </c>
      <c r="P589" t="str">
        <f>"Q"&amp;ROUNDUP(MONTH(tblTransactions[[#This Row],[Date]])/3,0)&amp;"-"&amp;YEAR(tblTransactions[[#This Row],[Date]])</f>
        <v>Q2-2023</v>
      </c>
      <c r="Q589">
        <f>YEAR(tblTransactions[[#This Row],[Date]])</f>
        <v>2023</v>
      </c>
      <c r="R589" t="str">
        <f>TEXT(tblTransactions[[#This Row],[Date]],"DDDD")</f>
        <v>Wednesday</v>
      </c>
      <c r="S589">
        <f>MONTH(tblTransactions[[#This Row],[Date]])</f>
        <v>5</v>
      </c>
      <c r="T589" t="str">
        <f>VLOOKUP(E589, Products!$A:$B,2,0)</f>
        <v>Phones Ele-4</v>
      </c>
      <c r="U589" t="str">
        <f>VLOOKUP(E589,Products!$A:$C,3,0)</f>
        <v>Electronics</v>
      </c>
      <c r="V589" t="str">
        <f>VLOOKUP(E589,Products!$A:$D,4,0)</f>
        <v>Phones</v>
      </c>
      <c r="W589" t="str">
        <f>VLOOKUP(D589,Customers!$A:$C,3,0)</f>
        <v>B2B</v>
      </c>
      <c r="X589" t="str">
        <f>VLOOKUP(C589,Sales_Representatives!$A:$B,2,0)</f>
        <v>Emily Hernandez</v>
      </c>
    </row>
    <row r="590" spans="1:24" x14ac:dyDescent="0.3">
      <c r="A590" t="s">
        <v>875</v>
      </c>
      <c r="B590" t="s">
        <v>871</v>
      </c>
      <c r="C590" t="s">
        <v>141</v>
      </c>
      <c r="D590" t="s">
        <v>183</v>
      </c>
      <c r="E590" t="s">
        <v>84</v>
      </c>
      <c r="F590">
        <v>2</v>
      </c>
      <c r="G590">
        <v>1841.77</v>
      </c>
      <c r="H590">
        <v>0</v>
      </c>
      <c r="I590" s="4">
        <v>3683.54</v>
      </c>
      <c r="J590" t="s">
        <v>109</v>
      </c>
      <c r="K590" t="s">
        <v>39</v>
      </c>
      <c r="L590" s="4">
        <f>VLOOKUP(tblTransactions[[#This Row],[Product_ID]],tblProducts[],5,FALSE)</f>
        <v>1151.5899999999999</v>
      </c>
      <c r="M590" s="4">
        <f>tblTransactions[[#This Row],[Total_Amount]]-(tblTransactions[[#This Row],[Cost_Prices]]*tblTransactions[[#This Row],[Quantity]]*(1-tblTransactions[[#This Row],[Discount]]))</f>
        <v>1380.3600000000001</v>
      </c>
      <c r="N590" s="3">
        <f>tblTransactions[[#This Row],[Profit]]/tblTransactions[[#This Row],[Total_Amount]]</f>
        <v>0.37473734505394274</v>
      </c>
      <c r="O590" t="str">
        <f>TEXT(tblTransactions[[#This Row],[Date]], "MMM-YYYY")</f>
        <v>May-2023</v>
      </c>
      <c r="P590" t="str">
        <f>"Q"&amp;ROUNDUP(MONTH(tblTransactions[[#This Row],[Date]])/3,0)&amp;"-"&amp;YEAR(tblTransactions[[#This Row],[Date]])</f>
        <v>Q2-2023</v>
      </c>
      <c r="Q590">
        <f>YEAR(tblTransactions[[#This Row],[Date]])</f>
        <v>2023</v>
      </c>
      <c r="R590" t="str">
        <f>TEXT(tblTransactions[[#This Row],[Date]],"DDDD")</f>
        <v>Wednesday</v>
      </c>
      <c r="S590">
        <f>MONTH(tblTransactions[[#This Row],[Date]])</f>
        <v>5</v>
      </c>
      <c r="T590" t="str">
        <f>VLOOKUP(E590, Products!$A:$B,2,0)</f>
        <v>Laptops Ele-2</v>
      </c>
      <c r="U590" t="str">
        <f>VLOOKUP(E590,Products!$A:$C,3,0)</f>
        <v>Electronics</v>
      </c>
      <c r="V590" t="str">
        <f>VLOOKUP(E590,Products!$A:$D,4,0)</f>
        <v>Laptops</v>
      </c>
      <c r="W590" t="str">
        <f>VLOOKUP(D590,Customers!$A:$C,3,0)</f>
        <v>Small Business</v>
      </c>
      <c r="X590" t="str">
        <f>VLOOKUP(C590,Sales_Representatives!$A:$B,2,0)</f>
        <v>Richard Garcia</v>
      </c>
    </row>
    <row r="591" spans="1:24" x14ac:dyDescent="0.3">
      <c r="A591" t="s">
        <v>876</v>
      </c>
      <c r="B591" t="s">
        <v>871</v>
      </c>
      <c r="C591" t="s">
        <v>59</v>
      </c>
      <c r="D591" t="s">
        <v>166</v>
      </c>
      <c r="E591" t="s">
        <v>84</v>
      </c>
      <c r="F591">
        <v>6</v>
      </c>
      <c r="G591">
        <v>1841.77</v>
      </c>
      <c r="H591">
        <v>7.0000000000000007E-2</v>
      </c>
      <c r="I591" s="4">
        <v>10277.08</v>
      </c>
      <c r="J591" t="s">
        <v>21</v>
      </c>
      <c r="K591" t="s">
        <v>17</v>
      </c>
      <c r="L591" s="4">
        <f>VLOOKUP(tblTransactions[[#This Row],[Product_ID]],tblProducts[],5,FALSE)</f>
        <v>1151.5899999999999</v>
      </c>
      <c r="M591" s="4">
        <f>tblTransactions[[#This Row],[Total_Amount]]-(tblTransactions[[#This Row],[Cost_Prices]]*tblTransactions[[#This Row],[Quantity]]*(1-tblTransactions[[#This Row],[Discount]]))</f>
        <v>3851.207800000001</v>
      </c>
      <c r="N591" s="3">
        <f>tblTransactions[[#This Row],[Profit]]/tblTransactions[[#This Row],[Total_Amount]]</f>
        <v>0.3747375519116326</v>
      </c>
      <c r="O591" t="str">
        <f>TEXT(tblTransactions[[#This Row],[Date]], "MMM-YYYY")</f>
        <v>May-2023</v>
      </c>
      <c r="P591" t="str">
        <f>"Q"&amp;ROUNDUP(MONTH(tblTransactions[[#This Row],[Date]])/3,0)&amp;"-"&amp;YEAR(tblTransactions[[#This Row],[Date]])</f>
        <v>Q2-2023</v>
      </c>
      <c r="Q591">
        <f>YEAR(tblTransactions[[#This Row],[Date]])</f>
        <v>2023</v>
      </c>
      <c r="R591" t="str">
        <f>TEXT(tblTransactions[[#This Row],[Date]],"DDDD")</f>
        <v>Wednesday</v>
      </c>
      <c r="S591">
        <f>MONTH(tblTransactions[[#This Row],[Date]])</f>
        <v>5</v>
      </c>
      <c r="T591" t="str">
        <f>VLOOKUP(E591, Products!$A:$B,2,0)</f>
        <v>Laptops Ele-2</v>
      </c>
      <c r="U591" t="str">
        <f>VLOOKUP(E591,Products!$A:$C,3,0)</f>
        <v>Electronics</v>
      </c>
      <c r="V591" t="str">
        <f>VLOOKUP(E591,Products!$A:$D,4,0)</f>
        <v>Laptops</v>
      </c>
      <c r="W591" t="str">
        <f>VLOOKUP(D591,Customers!$A:$C,3,0)</f>
        <v>B2C</v>
      </c>
      <c r="X591" t="str">
        <f>VLOOKUP(C591,Sales_Representatives!$A:$B,2,0)</f>
        <v>Sarah Brown</v>
      </c>
    </row>
    <row r="592" spans="1:24" x14ac:dyDescent="0.3">
      <c r="A592" t="s">
        <v>877</v>
      </c>
      <c r="B592" t="s">
        <v>871</v>
      </c>
      <c r="C592" t="s">
        <v>127</v>
      </c>
      <c r="D592" t="s">
        <v>156</v>
      </c>
      <c r="E592" t="s">
        <v>129</v>
      </c>
      <c r="F592">
        <v>14</v>
      </c>
      <c r="G592">
        <v>1283.71</v>
      </c>
      <c r="H592">
        <v>0.16</v>
      </c>
      <c r="I592" s="4">
        <v>15096.43</v>
      </c>
      <c r="J592" t="s">
        <v>109</v>
      </c>
      <c r="K592" t="s">
        <v>39</v>
      </c>
      <c r="L592" s="4">
        <f>VLOOKUP(tblTransactions[[#This Row],[Product_ID]],tblProducts[],5,FALSE)</f>
        <v>970.14</v>
      </c>
      <c r="M592" s="4">
        <f>tblTransactions[[#This Row],[Total_Amount]]-(tblTransactions[[#This Row],[Cost_Prices]]*tblTransactions[[#This Row],[Quantity]]*(1-tblTransactions[[#This Row],[Discount]]))</f>
        <v>3687.5836000000018</v>
      </c>
      <c r="N592" s="3">
        <f>tblTransactions[[#This Row],[Profit]]/tblTransactions[[#This Row],[Total_Amount]]</f>
        <v>0.24426858535428586</v>
      </c>
      <c r="O592" t="str">
        <f>TEXT(tblTransactions[[#This Row],[Date]], "MMM-YYYY")</f>
        <v>May-2023</v>
      </c>
      <c r="P592" t="str">
        <f>"Q"&amp;ROUNDUP(MONTH(tblTransactions[[#This Row],[Date]])/3,0)&amp;"-"&amp;YEAR(tblTransactions[[#This Row],[Date]])</f>
        <v>Q2-2023</v>
      </c>
      <c r="Q592">
        <f>YEAR(tblTransactions[[#This Row],[Date]])</f>
        <v>2023</v>
      </c>
      <c r="R592" t="str">
        <f>TEXT(tblTransactions[[#This Row],[Date]],"DDDD")</f>
        <v>Wednesday</v>
      </c>
      <c r="S592">
        <f>MONTH(tblTransactions[[#This Row],[Date]])</f>
        <v>5</v>
      </c>
      <c r="T592" t="str">
        <f>VLOOKUP(E592, Products!$A:$B,2,0)</f>
        <v>Cameras Ele-3</v>
      </c>
      <c r="U592" t="str">
        <f>VLOOKUP(E592,Products!$A:$C,3,0)</f>
        <v>Electronics</v>
      </c>
      <c r="V592" t="str">
        <f>VLOOKUP(E592,Products!$A:$D,4,0)</f>
        <v>Cameras</v>
      </c>
      <c r="W592" t="str">
        <f>VLOOKUP(D592,Customers!$A:$C,3,0)</f>
        <v>B2B</v>
      </c>
      <c r="X592" t="str">
        <f>VLOOKUP(C592,Sales_Representatives!$A:$B,2,0)</f>
        <v>Emily Hernandez</v>
      </c>
    </row>
    <row r="593" spans="1:24" x14ac:dyDescent="0.3">
      <c r="A593" t="s">
        <v>878</v>
      </c>
      <c r="B593" t="s">
        <v>871</v>
      </c>
      <c r="C593" t="s">
        <v>141</v>
      </c>
      <c r="D593" t="s">
        <v>128</v>
      </c>
      <c r="E593" t="s">
        <v>191</v>
      </c>
      <c r="F593">
        <v>14</v>
      </c>
      <c r="G593">
        <v>1012.75</v>
      </c>
      <c r="H593">
        <v>0.17</v>
      </c>
      <c r="I593" s="4">
        <v>11768.16</v>
      </c>
      <c r="J593" t="s">
        <v>109</v>
      </c>
      <c r="K593" t="s">
        <v>17</v>
      </c>
      <c r="L593" s="4">
        <f>VLOOKUP(tblTransactions[[#This Row],[Product_ID]],tblProducts[],5,FALSE)</f>
        <v>518.53</v>
      </c>
      <c r="M593" s="4">
        <f>tblTransactions[[#This Row],[Total_Amount]]-(tblTransactions[[#This Row],[Cost_Prices]]*tblTransactions[[#This Row],[Quantity]]*(1-tblTransactions[[#This Row],[Discount]]))</f>
        <v>5742.8414000000002</v>
      </c>
      <c r="N593" s="3">
        <f>tblTransactions[[#This Row],[Profit]]/tblTransactions[[#This Row],[Total_Amount]]</f>
        <v>0.48799824271593861</v>
      </c>
      <c r="O593" t="str">
        <f>TEXT(tblTransactions[[#This Row],[Date]], "MMM-YYYY")</f>
        <v>May-2023</v>
      </c>
      <c r="P593" t="str">
        <f>"Q"&amp;ROUNDUP(MONTH(tblTransactions[[#This Row],[Date]])/3,0)&amp;"-"&amp;YEAR(tblTransactions[[#This Row],[Date]])</f>
        <v>Q2-2023</v>
      </c>
      <c r="Q593">
        <f>YEAR(tblTransactions[[#This Row],[Date]])</f>
        <v>2023</v>
      </c>
      <c r="R593" t="str">
        <f>TEXT(tblTransactions[[#This Row],[Date]],"DDDD")</f>
        <v>Wednesday</v>
      </c>
      <c r="S593">
        <f>MONTH(tblTransactions[[#This Row],[Date]])</f>
        <v>5</v>
      </c>
      <c r="T593" t="str">
        <f>VLOOKUP(E593, Products!$A:$B,2,0)</f>
        <v>Tables Fur-4</v>
      </c>
      <c r="U593" t="str">
        <f>VLOOKUP(E593,Products!$A:$C,3,0)</f>
        <v>Furniture</v>
      </c>
      <c r="V593" t="str">
        <f>VLOOKUP(E593,Products!$A:$D,4,0)</f>
        <v>Tables</v>
      </c>
      <c r="W593" t="str">
        <f>VLOOKUP(D593,Customers!$A:$C,3,0)</f>
        <v>B2B</v>
      </c>
      <c r="X593" t="str">
        <f>VLOOKUP(C593,Sales_Representatives!$A:$B,2,0)</f>
        <v>Richard Garcia</v>
      </c>
    </row>
    <row r="594" spans="1:24" x14ac:dyDescent="0.3">
      <c r="A594" t="s">
        <v>879</v>
      </c>
      <c r="B594" t="s">
        <v>880</v>
      </c>
      <c r="C594" t="s">
        <v>31</v>
      </c>
      <c r="D594" t="s">
        <v>95</v>
      </c>
      <c r="E594" t="s">
        <v>264</v>
      </c>
      <c r="F594">
        <v>20</v>
      </c>
      <c r="G594">
        <v>607.29999999999995</v>
      </c>
      <c r="H594">
        <v>0.13</v>
      </c>
      <c r="I594" s="4">
        <v>10567.02</v>
      </c>
      <c r="J594" t="s">
        <v>34</v>
      </c>
      <c r="K594" t="s">
        <v>39</v>
      </c>
      <c r="L594" s="4">
        <f>VLOOKUP(tblTransactions[[#This Row],[Product_ID]],tblProducts[],5,FALSE)</f>
        <v>436.37</v>
      </c>
      <c r="M594" s="4">
        <f>tblTransactions[[#This Row],[Total_Amount]]-(tblTransactions[[#This Row],[Cost_Prices]]*tblTransactions[[#This Row],[Quantity]]*(1-tblTransactions[[#This Row],[Discount]]))</f>
        <v>2974.1820000000007</v>
      </c>
      <c r="N594" s="3">
        <f>tblTransactions[[#This Row],[Profit]]/tblTransactions[[#This Row],[Total_Amount]]</f>
        <v>0.28145891651572541</v>
      </c>
      <c r="O594" t="str">
        <f>TEXT(tblTransactions[[#This Row],[Date]], "MMM-YYYY")</f>
        <v>May-2023</v>
      </c>
      <c r="P594" t="str">
        <f>"Q"&amp;ROUNDUP(MONTH(tblTransactions[[#This Row],[Date]])/3,0)&amp;"-"&amp;YEAR(tblTransactions[[#This Row],[Date]])</f>
        <v>Q2-2023</v>
      </c>
      <c r="Q594">
        <f>YEAR(tblTransactions[[#This Row],[Date]])</f>
        <v>2023</v>
      </c>
      <c r="R594" t="str">
        <f>TEXT(tblTransactions[[#This Row],[Date]],"DDDD")</f>
        <v>Thursday</v>
      </c>
      <c r="S594">
        <f>MONTH(tblTransactions[[#This Row],[Date]])</f>
        <v>5</v>
      </c>
      <c r="T594" t="str">
        <f>VLOOKUP(E594, Products!$A:$B,2,0)</f>
        <v>Tablets Ele-4</v>
      </c>
      <c r="U594" t="str">
        <f>VLOOKUP(E594,Products!$A:$C,3,0)</f>
        <v>Electronics</v>
      </c>
      <c r="V594" t="str">
        <f>VLOOKUP(E594,Products!$A:$D,4,0)</f>
        <v>Tablets</v>
      </c>
      <c r="W594" t="str">
        <f>VLOOKUP(D594,Customers!$A:$C,3,0)</f>
        <v>Enterprise</v>
      </c>
      <c r="X594" t="str">
        <f>VLOOKUP(C594,Sales_Representatives!$A:$B,2,0)</f>
        <v>Thomas Martinez</v>
      </c>
    </row>
    <row r="595" spans="1:24" x14ac:dyDescent="0.3">
      <c r="A595" t="s">
        <v>881</v>
      </c>
      <c r="B595" t="s">
        <v>880</v>
      </c>
      <c r="C595" t="s">
        <v>70</v>
      </c>
      <c r="D595" t="s">
        <v>288</v>
      </c>
      <c r="E595" t="s">
        <v>184</v>
      </c>
      <c r="F595">
        <v>5</v>
      </c>
      <c r="G595">
        <v>276.35000000000002</v>
      </c>
      <c r="H595">
        <v>0.09</v>
      </c>
      <c r="I595" s="4">
        <v>1257.3900000000001</v>
      </c>
      <c r="J595" t="s">
        <v>16</v>
      </c>
      <c r="K595" t="s">
        <v>22</v>
      </c>
      <c r="L595" s="4">
        <f>VLOOKUP(tblTransactions[[#This Row],[Product_ID]],tblProducts[],5,FALSE)</f>
        <v>130.15</v>
      </c>
      <c r="M595" s="4">
        <f>tblTransactions[[#This Row],[Total_Amount]]-(tblTransactions[[#This Row],[Cost_Prices]]*tblTransactions[[#This Row],[Quantity]]*(1-tblTransactions[[#This Row],[Discount]]))</f>
        <v>665.2075000000001</v>
      </c>
      <c r="N595" s="3">
        <f>tblTransactions[[#This Row],[Profit]]/tblTransactions[[#This Row],[Total_Amount]]</f>
        <v>0.52903832542011631</v>
      </c>
      <c r="O595" t="str">
        <f>TEXT(tblTransactions[[#This Row],[Date]], "MMM-YYYY")</f>
        <v>May-2023</v>
      </c>
      <c r="P595" t="str">
        <f>"Q"&amp;ROUNDUP(MONTH(tblTransactions[[#This Row],[Date]])/3,0)&amp;"-"&amp;YEAR(tblTransactions[[#This Row],[Date]])</f>
        <v>Q2-2023</v>
      </c>
      <c r="Q595">
        <f>YEAR(tblTransactions[[#This Row],[Date]])</f>
        <v>2023</v>
      </c>
      <c r="R595" t="str">
        <f>TEXT(tblTransactions[[#This Row],[Date]],"DDDD")</f>
        <v>Thursday</v>
      </c>
      <c r="S595">
        <f>MONTH(tblTransactions[[#This Row],[Date]])</f>
        <v>5</v>
      </c>
      <c r="T595" t="str">
        <f>VLOOKUP(E595, Products!$A:$B,2,0)</f>
        <v>Binders Off-1</v>
      </c>
      <c r="U595" t="str">
        <f>VLOOKUP(E595,Products!$A:$C,3,0)</f>
        <v>Office Supplies</v>
      </c>
      <c r="V595" t="str">
        <f>VLOOKUP(E595,Products!$A:$D,4,0)</f>
        <v>Binders</v>
      </c>
      <c r="W595" t="str">
        <f>VLOOKUP(D595,Customers!$A:$C,3,0)</f>
        <v>B2C</v>
      </c>
      <c r="X595" t="str">
        <f>VLOOKUP(C595,Sales_Representatives!$A:$B,2,0)</f>
        <v>Linda Smith</v>
      </c>
    </row>
    <row r="596" spans="1:24" x14ac:dyDescent="0.3">
      <c r="A596" t="s">
        <v>882</v>
      </c>
      <c r="B596" t="s">
        <v>880</v>
      </c>
      <c r="C596" t="s">
        <v>19</v>
      </c>
      <c r="D596" t="s">
        <v>112</v>
      </c>
      <c r="E596" t="s">
        <v>96</v>
      </c>
      <c r="F596">
        <v>32</v>
      </c>
      <c r="G596">
        <v>751.9</v>
      </c>
      <c r="H596">
        <v>0.16</v>
      </c>
      <c r="I596" s="4">
        <v>20211.07</v>
      </c>
      <c r="J596" t="s">
        <v>21</v>
      </c>
      <c r="K596" t="s">
        <v>39</v>
      </c>
      <c r="L596" s="4">
        <f>VLOOKUP(tblTransactions[[#This Row],[Product_ID]],tblProducts[],5,FALSE)</f>
        <v>570.29</v>
      </c>
      <c r="M596" s="4">
        <f>tblTransactions[[#This Row],[Total_Amount]]-(tblTransactions[[#This Row],[Cost_Prices]]*tblTransactions[[#This Row],[Quantity]]*(1-tblTransactions[[#This Row],[Discount]]))</f>
        <v>4881.6748000000007</v>
      </c>
      <c r="N596" s="3">
        <f>tblTransactions[[#This Row],[Profit]]/tblTransactions[[#This Row],[Total_Amount]]</f>
        <v>0.24153470350654374</v>
      </c>
      <c r="O596" t="str">
        <f>TEXT(tblTransactions[[#This Row],[Date]], "MMM-YYYY")</f>
        <v>May-2023</v>
      </c>
      <c r="P596" t="str">
        <f>"Q"&amp;ROUNDUP(MONTH(tblTransactions[[#This Row],[Date]])/3,0)&amp;"-"&amp;YEAR(tblTransactions[[#This Row],[Date]])</f>
        <v>Q2-2023</v>
      </c>
      <c r="Q596">
        <f>YEAR(tblTransactions[[#This Row],[Date]])</f>
        <v>2023</v>
      </c>
      <c r="R596" t="str">
        <f>TEXT(tblTransactions[[#This Row],[Date]],"DDDD")</f>
        <v>Thursday</v>
      </c>
      <c r="S596">
        <f>MONTH(tblTransactions[[#This Row],[Date]])</f>
        <v>5</v>
      </c>
      <c r="T596" t="str">
        <f>VLOOKUP(E596, Products!$A:$B,2,0)</f>
        <v>Routers Tec-1</v>
      </c>
      <c r="U596" t="str">
        <f>VLOOKUP(E596,Products!$A:$C,3,0)</f>
        <v>Technology</v>
      </c>
      <c r="V596" t="str">
        <f>VLOOKUP(E596,Products!$A:$D,4,0)</f>
        <v>Routers</v>
      </c>
      <c r="W596" t="str">
        <f>VLOOKUP(D596,Customers!$A:$C,3,0)</f>
        <v>Enterprise</v>
      </c>
      <c r="X596" t="str">
        <f>VLOOKUP(C596,Sales_Representatives!$A:$B,2,0)</f>
        <v>Robert Jones</v>
      </c>
    </row>
    <row r="597" spans="1:24" x14ac:dyDescent="0.3">
      <c r="A597" t="s">
        <v>883</v>
      </c>
      <c r="B597" t="s">
        <v>880</v>
      </c>
      <c r="C597" t="s">
        <v>107</v>
      </c>
      <c r="D597" t="s">
        <v>42</v>
      </c>
      <c r="E597" t="s">
        <v>258</v>
      </c>
      <c r="F597">
        <v>5</v>
      </c>
      <c r="G597">
        <v>73.33</v>
      </c>
      <c r="H597">
        <v>0.1</v>
      </c>
      <c r="I597" s="4">
        <v>329.98</v>
      </c>
      <c r="J597" t="s">
        <v>109</v>
      </c>
      <c r="K597" t="s">
        <v>48</v>
      </c>
      <c r="L597" s="4">
        <f>VLOOKUP(tblTransactions[[#This Row],[Product_ID]],tblProducts[],5,FALSE)</f>
        <v>38.049999999999997</v>
      </c>
      <c r="M597" s="4">
        <f>tblTransactions[[#This Row],[Total_Amount]]-(tblTransactions[[#This Row],[Cost_Prices]]*tblTransactions[[#This Row],[Quantity]]*(1-tblTransactions[[#This Row],[Discount]]))</f>
        <v>158.75500000000002</v>
      </c>
      <c r="N597" s="3">
        <f>tblTransactions[[#This Row],[Profit]]/tblTransactions[[#This Row],[Total_Amount]]</f>
        <v>0.48110491544942124</v>
      </c>
      <c r="O597" t="str">
        <f>TEXT(tblTransactions[[#This Row],[Date]], "MMM-YYYY")</f>
        <v>May-2023</v>
      </c>
      <c r="P597" t="str">
        <f>"Q"&amp;ROUNDUP(MONTH(tblTransactions[[#This Row],[Date]])/3,0)&amp;"-"&amp;YEAR(tblTransactions[[#This Row],[Date]])</f>
        <v>Q2-2023</v>
      </c>
      <c r="Q597">
        <f>YEAR(tblTransactions[[#This Row],[Date]])</f>
        <v>2023</v>
      </c>
      <c r="R597" t="str">
        <f>TEXT(tblTransactions[[#This Row],[Date]],"DDDD")</f>
        <v>Thursday</v>
      </c>
      <c r="S597">
        <f>MONTH(tblTransactions[[#This Row],[Date]])</f>
        <v>5</v>
      </c>
      <c r="T597" t="str">
        <f>VLOOKUP(E597, Products!$A:$B,2,0)</f>
        <v>Keyboards Acc-3</v>
      </c>
      <c r="U597" t="str">
        <f>VLOOKUP(E597,Products!$A:$C,3,0)</f>
        <v>Accessories</v>
      </c>
      <c r="V597" t="str">
        <f>VLOOKUP(E597,Products!$A:$D,4,0)</f>
        <v>Keyboards</v>
      </c>
      <c r="W597" t="str">
        <f>VLOOKUP(D597,Customers!$A:$C,3,0)</f>
        <v>B2C</v>
      </c>
      <c r="X597" t="str">
        <f>VLOOKUP(C597,Sales_Representatives!$A:$B,2,0)</f>
        <v>Jennifer Brown</v>
      </c>
    </row>
    <row r="598" spans="1:24" x14ac:dyDescent="0.3">
      <c r="A598" t="s">
        <v>884</v>
      </c>
      <c r="B598" t="s">
        <v>880</v>
      </c>
      <c r="C598" t="s">
        <v>56</v>
      </c>
      <c r="D598" t="s">
        <v>190</v>
      </c>
      <c r="E598" t="s">
        <v>347</v>
      </c>
      <c r="F598">
        <v>10</v>
      </c>
      <c r="G598">
        <v>1539.6</v>
      </c>
      <c r="H598">
        <v>0.06</v>
      </c>
      <c r="I598" s="4">
        <v>14472.24</v>
      </c>
      <c r="J598" t="s">
        <v>34</v>
      </c>
      <c r="K598" t="s">
        <v>22</v>
      </c>
      <c r="L598" s="4">
        <f>VLOOKUP(tblTransactions[[#This Row],[Product_ID]],tblProducts[],5,FALSE)</f>
        <v>992.43</v>
      </c>
      <c r="M598" s="4">
        <f>tblTransactions[[#This Row],[Total_Amount]]-(tblTransactions[[#This Row],[Cost_Prices]]*tblTransactions[[#This Row],[Quantity]]*(1-tblTransactions[[#This Row],[Discount]]))</f>
        <v>5143.398000000001</v>
      </c>
      <c r="N598" s="3">
        <f>tblTransactions[[#This Row],[Profit]]/tblTransactions[[#This Row],[Total_Amount]]</f>
        <v>0.35539750584567426</v>
      </c>
      <c r="O598" t="str">
        <f>TEXT(tblTransactions[[#This Row],[Date]], "MMM-YYYY")</f>
        <v>May-2023</v>
      </c>
      <c r="P598" t="str">
        <f>"Q"&amp;ROUNDUP(MONTH(tblTransactions[[#This Row],[Date]])/3,0)&amp;"-"&amp;YEAR(tblTransactions[[#This Row],[Date]])</f>
        <v>Q2-2023</v>
      </c>
      <c r="Q598">
        <f>YEAR(tblTransactions[[#This Row],[Date]])</f>
        <v>2023</v>
      </c>
      <c r="R598" t="str">
        <f>TEXT(tblTransactions[[#This Row],[Date]],"DDDD")</f>
        <v>Thursday</v>
      </c>
      <c r="S598">
        <f>MONTH(tblTransactions[[#This Row],[Date]])</f>
        <v>5</v>
      </c>
      <c r="T598" t="str">
        <f>VLOOKUP(E598, Products!$A:$B,2,0)</f>
        <v>Routers Tec-2</v>
      </c>
      <c r="U598" t="str">
        <f>VLOOKUP(E598,Products!$A:$C,3,0)</f>
        <v>Technology</v>
      </c>
      <c r="V598" t="str">
        <f>VLOOKUP(E598,Products!$A:$D,4,0)</f>
        <v>Routers</v>
      </c>
      <c r="W598" t="str">
        <f>VLOOKUP(D598,Customers!$A:$C,3,0)</f>
        <v>B2B</v>
      </c>
      <c r="X598" t="str">
        <f>VLOOKUP(C598,Sales_Representatives!$A:$B,2,0)</f>
        <v>Thomas Hernandez</v>
      </c>
    </row>
    <row r="599" spans="1:24" x14ac:dyDescent="0.3">
      <c r="A599" t="s">
        <v>885</v>
      </c>
      <c r="B599" t="s">
        <v>886</v>
      </c>
      <c r="C599" t="s">
        <v>131</v>
      </c>
      <c r="D599" t="s">
        <v>115</v>
      </c>
      <c r="E599" t="s">
        <v>243</v>
      </c>
      <c r="F599">
        <v>3</v>
      </c>
      <c r="G599">
        <v>384.18</v>
      </c>
      <c r="H599">
        <v>0.01</v>
      </c>
      <c r="I599" s="4">
        <v>1141.01</v>
      </c>
      <c r="J599" t="s">
        <v>44</v>
      </c>
      <c r="K599" t="s">
        <v>17</v>
      </c>
      <c r="L599" s="4">
        <f>VLOOKUP(tblTransactions[[#This Row],[Product_ID]],tblProducts[],5,FALSE)</f>
        <v>266.92</v>
      </c>
      <c r="M599" s="4">
        <f>tblTransactions[[#This Row],[Total_Amount]]-(tblTransactions[[#This Row],[Cost_Prices]]*tblTransactions[[#This Row],[Quantity]]*(1-tblTransactions[[#This Row],[Discount]]))</f>
        <v>348.25760000000002</v>
      </c>
      <c r="N599" s="3">
        <f>tblTransactions[[#This Row],[Profit]]/tblTransactions[[#This Row],[Total_Amount]]</f>
        <v>0.30521870973961668</v>
      </c>
      <c r="O599" t="str">
        <f>TEXT(tblTransactions[[#This Row],[Date]], "MMM-YYYY")</f>
        <v>May-2023</v>
      </c>
      <c r="P599" t="str">
        <f>"Q"&amp;ROUNDUP(MONTH(tblTransactions[[#This Row],[Date]])/3,0)&amp;"-"&amp;YEAR(tblTransactions[[#This Row],[Date]])</f>
        <v>Q2-2023</v>
      </c>
      <c r="Q599">
        <f>YEAR(tblTransactions[[#This Row],[Date]])</f>
        <v>2023</v>
      </c>
      <c r="R599" t="str">
        <f>TEXT(tblTransactions[[#This Row],[Date]],"DDDD")</f>
        <v>Friday</v>
      </c>
      <c r="S599">
        <f>MONTH(tblTransactions[[#This Row],[Date]])</f>
        <v>5</v>
      </c>
      <c r="T599" t="str">
        <f>VLOOKUP(E599, Products!$A:$B,2,0)</f>
        <v>Routers Tec-3</v>
      </c>
      <c r="U599" t="str">
        <f>VLOOKUP(E599,Products!$A:$C,3,0)</f>
        <v>Technology</v>
      </c>
      <c r="V599" t="str">
        <f>VLOOKUP(E599,Products!$A:$D,4,0)</f>
        <v>Routers</v>
      </c>
      <c r="W599" t="str">
        <f>VLOOKUP(D599,Customers!$A:$C,3,0)</f>
        <v>B2C</v>
      </c>
      <c r="X599" t="str">
        <f>VLOOKUP(C599,Sales_Representatives!$A:$B,2,0)</f>
        <v>Michael Davis</v>
      </c>
    </row>
    <row r="600" spans="1:24" x14ac:dyDescent="0.3">
      <c r="A600" t="s">
        <v>887</v>
      </c>
      <c r="B600" t="s">
        <v>886</v>
      </c>
      <c r="C600" t="s">
        <v>75</v>
      </c>
      <c r="D600" t="s">
        <v>50</v>
      </c>
      <c r="E600" t="s">
        <v>29</v>
      </c>
      <c r="F600">
        <v>3</v>
      </c>
      <c r="G600">
        <v>1363.46</v>
      </c>
      <c r="H600">
        <v>0</v>
      </c>
      <c r="I600" s="4">
        <v>4090.38</v>
      </c>
      <c r="J600" t="s">
        <v>44</v>
      </c>
      <c r="K600" t="s">
        <v>22</v>
      </c>
      <c r="L600" s="4">
        <f>VLOOKUP(tblTransactions[[#This Row],[Product_ID]],tblProducts[],5,FALSE)</f>
        <v>995.41</v>
      </c>
      <c r="M600" s="4">
        <f>tblTransactions[[#This Row],[Total_Amount]]-(tblTransactions[[#This Row],[Cost_Prices]]*tblTransactions[[#This Row],[Quantity]]*(1-tblTransactions[[#This Row],[Discount]]))</f>
        <v>1104.1500000000001</v>
      </c>
      <c r="N600" s="3">
        <f>tblTransactions[[#This Row],[Profit]]/tblTransactions[[#This Row],[Total_Amount]]</f>
        <v>0.26993824534639815</v>
      </c>
      <c r="O600" t="str">
        <f>TEXT(tblTransactions[[#This Row],[Date]], "MMM-YYYY")</f>
        <v>May-2023</v>
      </c>
      <c r="P600" t="str">
        <f>"Q"&amp;ROUNDUP(MONTH(tblTransactions[[#This Row],[Date]])/3,0)&amp;"-"&amp;YEAR(tblTransactions[[#This Row],[Date]])</f>
        <v>Q2-2023</v>
      </c>
      <c r="Q600">
        <f>YEAR(tblTransactions[[#This Row],[Date]])</f>
        <v>2023</v>
      </c>
      <c r="R600" t="str">
        <f>TEXT(tblTransactions[[#This Row],[Date]],"DDDD")</f>
        <v>Friday</v>
      </c>
      <c r="S600">
        <f>MONTH(tblTransactions[[#This Row],[Date]])</f>
        <v>5</v>
      </c>
      <c r="T600" t="str">
        <f>VLOOKUP(E600, Products!$A:$B,2,0)</f>
        <v>Phones Ele-3</v>
      </c>
      <c r="U600" t="str">
        <f>VLOOKUP(E600,Products!$A:$C,3,0)</f>
        <v>Electronics</v>
      </c>
      <c r="V600" t="str">
        <f>VLOOKUP(E600,Products!$A:$D,4,0)</f>
        <v>Phones</v>
      </c>
      <c r="W600" t="str">
        <f>VLOOKUP(D600,Customers!$A:$C,3,0)</f>
        <v>Small Business</v>
      </c>
      <c r="X600" t="str">
        <f>VLOOKUP(C600,Sales_Representatives!$A:$B,2,0)</f>
        <v>Jessica Anderson</v>
      </c>
    </row>
    <row r="601" spans="1:24" x14ac:dyDescent="0.3">
      <c r="A601" t="s">
        <v>888</v>
      </c>
      <c r="B601" t="s">
        <v>886</v>
      </c>
      <c r="C601" t="s">
        <v>27</v>
      </c>
      <c r="D601" t="s">
        <v>71</v>
      </c>
      <c r="E601" t="s">
        <v>68</v>
      </c>
      <c r="F601">
        <v>9</v>
      </c>
      <c r="G601">
        <v>522.63</v>
      </c>
      <c r="H601">
        <v>0.13</v>
      </c>
      <c r="I601" s="4">
        <v>4092.19</v>
      </c>
      <c r="J601" t="s">
        <v>16</v>
      </c>
      <c r="K601" t="s">
        <v>35</v>
      </c>
      <c r="L601" s="4">
        <f>VLOOKUP(tblTransactions[[#This Row],[Product_ID]],tblProducts[],5,FALSE)</f>
        <v>355.82</v>
      </c>
      <c r="M601" s="4">
        <f>tblTransactions[[#This Row],[Total_Amount]]-(tblTransactions[[#This Row],[Cost_Prices]]*tblTransactions[[#This Row],[Quantity]]*(1-tblTransactions[[#This Row],[Discount]]))</f>
        <v>1306.1194</v>
      </c>
      <c r="N601" s="3">
        <f>tblTransactions[[#This Row],[Profit]]/tblTransactions[[#This Row],[Total_Amount]]</f>
        <v>0.31917369428105735</v>
      </c>
      <c r="O601" t="str">
        <f>TEXT(tblTransactions[[#This Row],[Date]], "MMM-YYYY")</f>
        <v>May-2023</v>
      </c>
      <c r="P601" t="str">
        <f>"Q"&amp;ROUNDUP(MONTH(tblTransactions[[#This Row],[Date]])/3,0)&amp;"-"&amp;YEAR(tblTransactions[[#This Row],[Date]])</f>
        <v>Q2-2023</v>
      </c>
      <c r="Q601">
        <f>YEAR(tblTransactions[[#This Row],[Date]])</f>
        <v>2023</v>
      </c>
      <c r="R601" t="str">
        <f>TEXT(tblTransactions[[#This Row],[Date]],"DDDD")</f>
        <v>Friday</v>
      </c>
      <c r="S601">
        <f>MONTH(tblTransactions[[#This Row],[Date]])</f>
        <v>5</v>
      </c>
      <c r="T601" t="str">
        <f>VLOOKUP(E601, Products!$A:$B,2,0)</f>
        <v>Monitors Tec-3</v>
      </c>
      <c r="U601" t="str">
        <f>VLOOKUP(E601,Products!$A:$C,3,0)</f>
        <v>Technology</v>
      </c>
      <c r="V601" t="str">
        <f>VLOOKUP(E601,Products!$A:$D,4,0)</f>
        <v>Monitors</v>
      </c>
      <c r="W601" t="str">
        <f>VLOOKUP(D601,Customers!$A:$C,3,0)</f>
        <v>B2B</v>
      </c>
      <c r="X601" t="str">
        <f>VLOOKUP(C601,Sales_Representatives!$A:$B,2,0)</f>
        <v>Thomas Lopez</v>
      </c>
    </row>
    <row r="602" spans="1:24" x14ac:dyDescent="0.3">
      <c r="A602" t="s">
        <v>889</v>
      </c>
      <c r="B602" t="s">
        <v>886</v>
      </c>
      <c r="C602" t="s">
        <v>63</v>
      </c>
      <c r="D602" t="s">
        <v>183</v>
      </c>
      <c r="E602" t="s">
        <v>25</v>
      </c>
      <c r="F602">
        <v>3</v>
      </c>
      <c r="G602">
        <v>1467.49</v>
      </c>
      <c r="H602">
        <v>7.0000000000000007E-2</v>
      </c>
      <c r="I602" s="4">
        <v>4094.3</v>
      </c>
      <c r="J602" t="s">
        <v>21</v>
      </c>
      <c r="K602" t="s">
        <v>39</v>
      </c>
      <c r="L602" s="4">
        <f>VLOOKUP(tblTransactions[[#This Row],[Product_ID]],tblProducts[],5,FALSE)</f>
        <v>757.65</v>
      </c>
      <c r="M602" s="4">
        <f>tblTransactions[[#This Row],[Total_Amount]]-(tblTransactions[[#This Row],[Cost_Prices]]*tblTransactions[[#This Row],[Quantity]]*(1-tblTransactions[[#This Row],[Discount]]))</f>
        <v>1980.4565000000007</v>
      </c>
      <c r="N602" s="3">
        <f>tblTransactions[[#This Row],[Profit]]/tblTransactions[[#This Row],[Total_Amount]]</f>
        <v>0.48371064650856083</v>
      </c>
      <c r="O602" t="str">
        <f>TEXT(tblTransactions[[#This Row],[Date]], "MMM-YYYY")</f>
        <v>May-2023</v>
      </c>
      <c r="P602" t="str">
        <f>"Q"&amp;ROUNDUP(MONTH(tblTransactions[[#This Row],[Date]])/3,0)&amp;"-"&amp;YEAR(tblTransactions[[#This Row],[Date]])</f>
        <v>Q2-2023</v>
      </c>
      <c r="Q602">
        <f>YEAR(tblTransactions[[#This Row],[Date]])</f>
        <v>2023</v>
      </c>
      <c r="R602" t="str">
        <f>TEXT(tblTransactions[[#This Row],[Date]],"DDDD")</f>
        <v>Friday</v>
      </c>
      <c r="S602">
        <f>MONTH(tblTransactions[[#This Row],[Date]])</f>
        <v>5</v>
      </c>
      <c r="T602" t="str">
        <f>VLOOKUP(E602, Products!$A:$B,2,0)</f>
        <v>Tables Fur-3</v>
      </c>
      <c r="U602" t="str">
        <f>VLOOKUP(E602,Products!$A:$C,3,0)</f>
        <v>Furniture</v>
      </c>
      <c r="V602" t="str">
        <f>VLOOKUP(E602,Products!$A:$D,4,0)</f>
        <v>Tables</v>
      </c>
      <c r="W602" t="str">
        <f>VLOOKUP(D602,Customers!$A:$C,3,0)</f>
        <v>Small Business</v>
      </c>
      <c r="X602" t="str">
        <f>VLOOKUP(C602,Sales_Representatives!$A:$B,2,0)</f>
        <v>Richard Wilson</v>
      </c>
    </row>
    <row r="603" spans="1:24" x14ac:dyDescent="0.3">
      <c r="A603" t="s">
        <v>890</v>
      </c>
      <c r="B603" t="s">
        <v>891</v>
      </c>
      <c r="C603" t="s">
        <v>59</v>
      </c>
      <c r="D603" t="s">
        <v>288</v>
      </c>
      <c r="E603" t="s">
        <v>200</v>
      </c>
      <c r="F603">
        <v>5</v>
      </c>
      <c r="G603">
        <v>544.77</v>
      </c>
      <c r="H603">
        <v>0.02</v>
      </c>
      <c r="I603" s="4">
        <v>2669.37</v>
      </c>
      <c r="J603" t="s">
        <v>21</v>
      </c>
      <c r="K603" t="s">
        <v>48</v>
      </c>
      <c r="L603" s="4">
        <f>VLOOKUP(tblTransactions[[#This Row],[Product_ID]],tblProducts[],5,FALSE)</f>
        <v>318.2</v>
      </c>
      <c r="M603" s="4">
        <f>tblTransactions[[#This Row],[Total_Amount]]-(tblTransactions[[#This Row],[Cost_Prices]]*tblTransactions[[#This Row],[Quantity]]*(1-tblTransactions[[#This Row],[Discount]]))</f>
        <v>1110.1899999999998</v>
      </c>
      <c r="N603" s="3">
        <f>tblTransactions[[#This Row],[Profit]]/tblTransactions[[#This Row],[Total_Amount]]</f>
        <v>0.41589963174831512</v>
      </c>
      <c r="O603" t="str">
        <f>TEXT(tblTransactions[[#This Row],[Date]], "MMM-YYYY")</f>
        <v>May-2023</v>
      </c>
      <c r="P603" t="str">
        <f>"Q"&amp;ROUNDUP(MONTH(tblTransactions[[#This Row],[Date]])/3,0)&amp;"-"&amp;YEAR(tblTransactions[[#This Row],[Date]])</f>
        <v>Q2-2023</v>
      </c>
      <c r="Q603">
        <f>YEAR(tblTransactions[[#This Row],[Date]])</f>
        <v>2023</v>
      </c>
      <c r="R603" t="str">
        <f>TEXT(tblTransactions[[#This Row],[Date]],"DDDD")</f>
        <v>Saturday</v>
      </c>
      <c r="S603">
        <f>MONTH(tblTransactions[[#This Row],[Date]])</f>
        <v>5</v>
      </c>
      <c r="T603" t="str">
        <f>VLOOKUP(E603, Products!$A:$B,2,0)</f>
        <v>Desks Fur-4</v>
      </c>
      <c r="U603" t="str">
        <f>VLOOKUP(E603,Products!$A:$C,3,0)</f>
        <v>Furniture</v>
      </c>
      <c r="V603" t="str">
        <f>VLOOKUP(E603,Products!$A:$D,4,0)</f>
        <v>Desks</v>
      </c>
      <c r="W603" t="str">
        <f>VLOOKUP(D603,Customers!$A:$C,3,0)</f>
        <v>B2C</v>
      </c>
      <c r="X603" t="str">
        <f>VLOOKUP(C603,Sales_Representatives!$A:$B,2,0)</f>
        <v>Sarah Brown</v>
      </c>
    </row>
    <row r="604" spans="1:24" x14ac:dyDescent="0.3">
      <c r="A604" t="s">
        <v>892</v>
      </c>
      <c r="B604" t="s">
        <v>891</v>
      </c>
      <c r="C604" t="s">
        <v>31</v>
      </c>
      <c r="D604" t="s">
        <v>128</v>
      </c>
      <c r="E604" t="s">
        <v>15</v>
      </c>
      <c r="F604">
        <v>16</v>
      </c>
      <c r="G604">
        <v>477.48</v>
      </c>
      <c r="H604">
        <v>0.1</v>
      </c>
      <c r="I604" s="4">
        <v>6875.71</v>
      </c>
      <c r="J604" t="s">
        <v>34</v>
      </c>
      <c r="K604" t="s">
        <v>22</v>
      </c>
      <c r="L604" s="4">
        <f>VLOOKUP(tblTransactions[[#This Row],[Product_ID]],tblProducts[],5,FALSE)</f>
        <v>275.51</v>
      </c>
      <c r="M604" s="4">
        <f>tblTransactions[[#This Row],[Total_Amount]]-(tblTransactions[[#This Row],[Cost_Prices]]*tblTransactions[[#This Row],[Quantity]]*(1-tblTransactions[[#This Row],[Discount]]))</f>
        <v>2908.366</v>
      </c>
      <c r="N604" s="3">
        <f>tblTransactions[[#This Row],[Profit]]/tblTransactions[[#This Row],[Total_Amount]]</f>
        <v>0.42299137107295098</v>
      </c>
      <c r="O604" t="str">
        <f>TEXT(tblTransactions[[#This Row],[Date]], "MMM-YYYY")</f>
        <v>May-2023</v>
      </c>
      <c r="P604" t="str">
        <f>"Q"&amp;ROUNDUP(MONTH(tblTransactions[[#This Row],[Date]])/3,0)&amp;"-"&amp;YEAR(tblTransactions[[#This Row],[Date]])</f>
        <v>Q2-2023</v>
      </c>
      <c r="Q604">
        <f>YEAR(tblTransactions[[#This Row],[Date]])</f>
        <v>2023</v>
      </c>
      <c r="R604" t="str">
        <f>TEXT(tblTransactions[[#This Row],[Date]],"DDDD")</f>
        <v>Saturday</v>
      </c>
      <c r="S604">
        <f>MONTH(tblTransactions[[#This Row],[Date]])</f>
        <v>5</v>
      </c>
      <c r="T604" t="str">
        <f>VLOOKUP(E604, Products!$A:$B,2,0)</f>
        <v>Laptops Ele-4</v>
      </c>
      <c r="U604" t="str">
        <f>VLOOKUP(E604,Products!$A:$C,3,0)</f>
        <v>Electronics</v>
      </c>
      <c r="V604" t="str">
        <f>VLOOKUP(E604,Products!$A:$D,4,0)</f>
        <v>Laptops</v>
      </c>
      <c r="W604" t="str">
        <f>VLOOKUP(D604,Customers!$A:$C,3,0)</f>
        <v>B2B</v>
      </c>
      <c r="X604" t="str">
        <f>VLOOKUP(C604,Sales_Representatives!$A:$B,2,0)</f>
        <v>Thomas Martinez</v>
      </c>
    </row>
    <row r="605" spans="1:24" x14ac:dyDescent="0.3">
      <c r="A605" t="s">
        <v>893</v>
      </c>
      <c r="B605" t="s">
        <v>891</v>
      </c>
      <c r="C605" t="s">
        <v>75</v>
      </c>
      <c r="D605" t="s">
        <v>47</v>
      </c>
      <c r="E605" t="s">
        <v>704</v>
      </c>
      <c r="F605">
        <v>5</v>
      </c>
      <c r="G605">
        <v>291.81</v>
      </c>
      <c r="H605">
        <v>0.02</v>
      </c>
      <c r="I605" s="4">
        <v>1429.87</v>
      </c>
      <c r="J605" t="s">
        <v>44</v>
      </c>
      <c r="K605" t="s">
        <v>22</v>
      </c>
      <c r="L605" s="4">
        <f>VLOOKUP(tblTransactions[[#This Row],[Product_ID]],tblProducts[],5,FALSE)</f>
        <v>123.61</v>
      </c>
      <c r="M605" s="4">
        <f>tblTransactions[[#This Row],[Total_Amount]]-(tblTransactions[[#This Row],[Cost_Prices]]*tblTransactions[[#This Row],[Quantity]]*(1-tblTransactions[[#This Row],[Discount]]))</f>
        <v>824.18099999999993</v>
      </c>
      <c r="N605" s="3">
        <f>tblTransactions[[#This Row],[Profit]]/tblTransactions[[#This Row],[Total_Amount]]</f>
        <v>0.57640274990034057</v>
      </c>
      <c r="O605" t="str">
        <f>TEXT(tblTransactions[[#This Row],[Date]], "MMM-YYYY")</f>
        <v>May-2023</v>
      </c>
      <c r="P605" t="str">
        <f>"Q"&amp;ROUNDUP(MONTH(tblTransactions[[#This Row],[Date]])/3,0)&amp;"-"&amp;YEAR(tblTransactions[[#This Row],[Date]])</f>
        <v>Q2-2023</v>
      </c>
      <c r="Q605">
        <f>YEAR(tblTransactions[[#This Row],[Date]])</f>
        <v>2023</v>
      </c>
      <c r="R605" t="str">
        <f>TEXT(tblTransactions[[#This Row],[Date]],"DDDD")</f>
        <v>Saturday</v>
      </c>
      <c r="S605">
        <f>MONTH(tblTransactions[[#This Row],[Date]])</f>
        <v>5</v>
      </c>
      <c r="T605" t="str">
        <f>VLOOKUP(E605, Products!$A:$B,2,0)</f>
        <v>Keyboards Acc-4</v>
      </c>
      <c r="U605" t="str">
        <f>VLOOKUP(E605,Products!$A:$C,3,0)</f>
        <v>Accessories</v>
      </c>
      <c r="V605" t="str">
        <f>VLOOKUP(E605,Products!$A:$D,4,0)</f>
        <v>Keyboards</v>
      </c>
      <c r="W605" t="str">
        <f>VLOOKUP(D605,Customers!$A:$C,3,0)</f>
        <v>B2C</v>
      </c>
      <c r="X605" t="str">
        <f>VLOOKUP(C605,Sales_Representatives!$A:$B,2,0)</f>
        <v>Jessica Anderson</v>
      </c>
    </row>
    <row r="606" spans="1:24" x14ac:dyDescent="0.3">
      <c r="A606" t="s">
        <v>894</v>
      </c>
      <c r="B606" t="s">
        <v>891</v>
      </c>
      <c r="C606" t="s">
        <v>63</v>
      </c>
      <c r="D606" t="s">
        <v>396</v>
      </c>
      <c r="E606" t="s">
        <v>232</v>
      </c>
      <c r="F606">
        <v>5</v>
      </c>
      <c r="G606">
        <v>60.21</v>
      </c>
      <c r="H606">
        <v>0.01</v>
      </c>
      <c r="I606" s="4">
        <v>298.04000000000002</v>
      </c>
      <c r="J606" t="s">
        <v>21</v>
      </c>
      <c r="K606" t="s">
        <v>22</v>
      </c>
      <c r="L606" s="4">
        <f>VLOOKUP(tblTransactions[[#This Row],[Product_ID]],tblProducts[],5,FALSE)</f>
        <v>38.18</v>
      </c>
      <c r="M606" s="4">
        <f>tblTransactions[[#This Row],[Total_Amount]]-(tblTransactions[[#This Row],[Cost_Prices]]*tblTransactions[[#This Row],[Quantity]]*(1-tblTransactions[[#This Row],[Discount]]))</f>
        <v>109.04900000000001</v>
      </c>
      <c r="N606" s="3">
        <f>tblTransactions[[#This Row],[Profit]]/tblTransactions[[#This Row],[Total_Amount]]</f>
        <v>0.3658871292443967</v>
      </c>
      <c r="O606" t="str">
        <f>TEXT(tblTransactions[[#This Row],[Date]], "MMM-YYYY")</f>
        <v>May-2023</v>
      </c>
      <c r="P606" t="str">
        <f>"Q"&amp;ROUNDUP(MONTH(tblTransactions[[#This Row],[Date]])/3,0)&amp;"-"&amp;YEAR(tblTransactions[[#This Row],[Date]])</f>
        <v>Q2-2023</v>
      </c>
      <c r="Q606">
        <f>YEAR(tblTransactions[[#This Row],[Date]])</f>
        <v>2023</v>
      </c>
      <c r="R606" t="str">
        <f>TEXT(tblTransactions[[#This Row],[Date]],"DDDD")</f>
        <v>Saturday</v>
      </c>
      <c r="S606">
        <f>MONTH(tblTransactions[[#This Row],[Date]])</f>
        <v>5</v>
      </c>
      <c r="T606" t="str">
        <f>VLOOKUP(E606, Products!$A:$B,2,0)</f>
        <v>Cables Acc-3</v>
      </c>
      <c r="U606" t="str">
        <f>VLOOKUP(E606,Products!$A:$C,3,0)</f>
        <v>Accessories</v>
      </c>
      <c r="V606" t="str">
        <f>VLOOKUP(E606,Products!$A:$D,4,0)</f>
        <v>Cables</v>
      </c>
      <c r="W606" t="str">
        <f>VLOOKUP(D606,Customers!$A:$C,3,0)</f>
        <v>Small Business</v>
      </c>
      <c r="X606" t="str">
        <f>VLOOKUP(C606,Sales_Representatives!$A:$B,2,0)</f>
        <v>Richard Wilson</v>
      </c>
    </row>
    <row r="607" spans="1:24" x14ac:dyDescent="0.3">
      <c r="A607" t="s">
        <v>895</v>
      </c>
      <c r="B607" t="s">
        <v>896</v>
      </c>
      <c r="C607" t="s">
        <v>70</v>
      </c>
      <c r="D607" t="s">
        <v>197</v>
      </c>
      <c r="E607" t="s">
        <v>15</v>
      </c>
      <c r="F607">
        <v>29</v>
      </c>
      <c r="G607">
        <v>477.48</v>
      </c>
      <c r="H607">
        <v>0.2</v>
      </c>
      <c r="I607" s="4">
        <v>11077.54</v>
      </c>
      <c r="J607" t="s">
        <v>16</v>
      </c>
      <c r="K607" t="s">
        <v>35</v>
      </c>
      <c r="L607" s="4">
        <f>VLOOKUP(tblTransactions[[#This Row],[Product_ID]],tblProducts[],5,FALSE)</f>
        <v>275.51</v>
      </c>
      <c r="M607" s="4">
        <f>tblTransactions[[#This Row],[Total_Amount]]-(tblTransactions[[#This Row],[Cost_Prices]]*tblTransactions[[#This Row],[Quantity]]*(1-tblTransactions[[#This Row],[Discount]]))</f>
        <v>4685.7080000000005</v>
      </c>
      <c r="N607" s="3">
        <f>tblTransactions[[#This Row],[Profit]]/tblTransactions[[#This Row],[Total_Amount]]</f>
        <v>0.42299174726518707</v>
      </c>
      <c r="O607" t="str">
        <f>TEXT(tblTransactions[[#This Row],[Date]], "MMM-YYYY")</f>
        <v>May-2023</v>
      </c>
      <c r="P607" t="str">
        <f>"Q"&amp;ROUNDUP(MONTH(tblTransactions[[#This Row],[Date]])/3,0)&amp;"-"&amp;YEAR(tblTransactions[[#This Row],[Date]])</f>
        <v>Q2-2023</v>
      </c>
      <c r="Q607">
        <f>YEAR(tblTransactions[[#This Row],[Date]])</f>
        <v>2023</v>
      </c>
      <c r="R607" t="str">
        <f>TEXT(tblTransactions[[#This Row],[Date]],"DDDD")</f>
        <v>Sunday</v>
      </c>
      <c r="S607">
        <f>MONTH(tblTransactions[[#This Row],[Date]])</f>
        <v>5</v>
      </c>
      <c r="T607" t="str">
        <f>VLOOKUP(E607, Products!$A:$B,2,0)</f>
        <v>Laptops Ele-4</v>
      </c>
      <c r="U607" t="str">
        <f>VLOOKUP(E607,Products!$A:$C,3,0)</f>
        <v>Electronics</v>
      </c>
      <c r="V607" t="str">
        <f>VLOOKUP(E607,Products!$A:$D,4,0)</f>
        <v>Laptops</v>
      </c>
      <c r="W607" t="str">
        <f>VLOOKUP(D607,Customers!$A:$C,3,0)</f>
        <v>Enterprise</v>
      </c>
      <c r="X607" t="str">
        <f>VLOOKUP(C607,Sales_Representatives!$A:$B,2,0)</f>
        <v>Linda Smith</v>
      </c>
    </row>
    <row r="608" spans="1:24" x14ac:dyDescent="0.3">
      <c r="A608" t="s">
        <v>897</v>
      </c>
      <c r="B608" t="s">
        <v>896</v>
      </c>
      <c r="C608" t="s">
        <v>70</v>
      </c>
      <c r="D608" t="s">
        <v>154</v>
      </c>
      <c r="E608" t="s">
        <v>91</v>
      </c>
      <c r="F608">
        <v>4</v>
      </c>
      <c r="G608">
        <v>286.62</v>
      </c>
      <c r="H608">
        <v>0.03</v>
      </c>
      <c r="I608" s="4">
        <v>1112.0899999999999</v>
      </c>
      <c r="J608" t="s">
        <v>16</v>
      </c>
      <c r="K608" t="s">
        <v>17</v>
      </c>
      <c r="L608" s="4">
        <f>VLOOKUP(tblTransactions[[#This Row],[Product_ID]],tblProducts[],5,FALSE)</f>
        <v>145.54</v>
      </c>
      <c r="M608" s="4">
        <f>tblTransactions[[#This Row],[Total_Amount]]-(tblTransactions[[#This Row],[Cost_Prices]]*tblTransactions[[#This Row],[Quantity]]*(1-tblTransactions[[#This Row],[Discount]]))</f>
        <v>547.39479999999992</v>
      </c>
      <c r="N608" s="3">
        <f>tblTransactions[[#This Row],[Profit]]/tblTransactions[[#This Row],[Total_Amount]]</f>
        <v>0.49222167270634565</v>
      </c>
      <c r="O608" t="str">
        <f>TEXT(tblTransactions[[#This Row],[Date]], "MMM-YYYY")</f>
        <v>May-2023</v>
      </c>
      <c r="P608" t="str">
        <f>"Q"&amp;ROUNDUP(MONTH(tblTransactions[[#This Row],[Date]])/3,0)&amp;"-"&amp;YEAR(tblTransactions[[#This Row],[Date]])</f>
        <v>Q2-2023</v>
      </c>
      <c r="Q608">
        <f>YEAR(tblTransactions[[#This Row],[Date]])</f>
        <v>2023</v>
      </c>
      <c r="R608" t="str">
        <f>TEXT(tblTransactions[[#This Row],[Date]],"DDDD")</f>
        <v>Sunday</v>
      </c>
      <c r="S608">
        <f>MONTH(tblTransactions[[#This Row],[Date]])</f>
        <v>5</v>
      </c>
      <c r="T608" t="str">
        <f>VLOOKUP(E608, Products!$A:$B,2,0)</f>
        <v>Chairs Fur-1</v>
      </c>
      <c r="U608" t="str">
        <f>VLOOKUP(E608,Products!$A:$C,3,0)</f>
        <v>Furniture</v>
      </c>
      <c r="V608" t="str">
        <f>VLOOKUP(E608,Products!$A:$D,4,0)</f>
        <v>Chairs</v>
      </c>
      <c r="W608" t="str">
        <f>VLOOKUP(D608,Customers!$A:$C,3,0)</f>
        <v>B2B</v>
      </c>
      <c r="X608" t="str">
        <f>VLOOKUP(C608,Sales_Representatives!$A:$B,2,0)</f>
        <v>Linda Smith</v>
      </c>
    </row>
    <row r="609" spans="1:24" x14ac:dyDescent="0.3">
      <c r="A609" t="s">
        <v>898</v>
      </c>
      <c r="B609" t="s">
        <v>896</v>
      </c>
      <c r="C609" t="s">
        <v>19</v>
      </c>
      <c r="D609" t="s">
        <v>98</v>
      </c>
      <c r="E609" t="s">
        <v>125</v>
      </c>
      <c r="F609">
        <v>4</v>
      </c>
      <c r="G609">
        <v>1201.4000000000001</v>
      </c>
      <c r="H609">
        <v>0.04</v>
      </c>
      <c r="I609" s="4">
        <v>4613.38</v>
      </c>
      <c r="J609" t="s">
        <v>21</v>
      </c>
      <c r="K609" t="s">
        <v>48</v>
      </c>
      <c r="L609" s="4">
        <f>VLOOKUP(tblTransactions[[#This Row],[Product_ID]],tblProducts[],5,FALSE)</f>
        <v>672.72</v>
      </c>
      <c r="M609" s="4">
        <f>tblTransactions[[#This Row],[Total_Amount]]-(tblTransactions[[#This Row],[Cost_Prices]]*tblTransactions[[#This Row],[Quantity]]*(1-tblTransactions[[#This Row],[Discount]]))</f>
        <v>2030.1352000000002</v>
      </c>
      <c r="N609" s="3">
        <f>tblTransactions[[#This Row],[Profit]]/tblTransactions[[#This Row],[Total_Amount]]</f>
        <v>0.44005375668165209</v>
      </c>
      <c r="O609" t="str">
        <f>TEXT(tblTransactions[[#This Row],[Date]], "MMM-YYYY")</f>
        <v>May-2023</v>
      </c>
      <c r="P609" t="str">
        <f>"Q"&amp;ROUNDUP(MONTH(tblTransactions[[#This Row],[Date]])/3,0)&amp;"-"&amp;YEAR(tblTransactions[[#This Row],[Date]])</f>
        <v>Q2-2023</v>
      </c>
      <c r="Q609">
        <f>YEAR(tblTransactions[[#This Row],[Date]])</f>
        <v>2023</v>
      </c>
      <c r="R609" t="str">
        <f>TEXT(tblTransactions[[#This Row],[Date]],"DDDD")</f>
        <v>Sunday</v>
      </c>
      <c r="S609">
        <f>MONTH(tblTransactions[[#This Row],[Date]])</f>
        <v>5</v>
      </c>
      <c r="T609" t="str">
        <f>VLOOKUP(E609, Products!$A:$B,2,0)</f>
        <v>Printers Tec-2</v>
      </c>
      <c r="U609" t="str">
        <f>VLOOKUP(E609,Products!$A:$C,3,0)</f>
        <v>Technology</v>
      </c>
      <c r="V609" t="str">
        <f>VLOOKUP(E609,Products!$A:$D,4,0)</f>
        <v>Printers</v>
      </c>
      <c r="W609" t="str">
        <f>VLOOKUP(D609,Customers!$A:$C,3,0)</f>
        <v>B2C</v>
      </c>
      <c r="X609" t="str">
        <f>VLOOKUP(C609,Sales_Representatives!$A:$B,2,0)</f>
        <v>Robert Jones</v>
      </c>
    </row>
    <row r="610" spans="1:24" x14ac:dyDescent="0.3">
      <c r="A610" t="s">
        <v>899</v>
      </c>
      <c r="B610" t="s">
        <v>896</v>
      </c>
      <c r="C610" t="s">
        <v>127</v>
      </c>
      <c r="D610" t="s">
        <v>228</v>
      </c>
      <c r="E610" t="s">
        <v>25</v>
      </c>
      <c r="F610">
        <v>5</v>
      </c>
      <c r="G610">
        <v>1467.49</v>
      </c>
      <c r="H610">
        <v>0.09</v>
      </c>
      <c r="I610" s="4">
        <v>6677.08</v>
      </c>
      <c r="J610" t="s">
        <v>109</v>
      </c>
      <c r="K610" t="s">
        <v>22</v>
      </c>
      <c r="L610" s="4">
        <f>VLOOKUP(tblTransactions[[#This Row],[Product_ID]],tblProducts[],5,FALSE)</f>
        <v>757.65</v>
      </c>
      <c r="M610" s="4">
        <f>tblTransactions[[#This Row],[Total_Amount]]-(tblTransactions[[#This Row],[Cost_Prices]]*tblTransactions[[#This Row],[Quantity]]*(1-tblTransactions[[#This Row],[Discount]]))</f>
        <v>3229.7725</v>
      </c>
      <c r="N610" s="3">
        <f>tblTransactions[[#This Row],[Profit]]/tblTransactions[[#This Row],[Total_Amount]]</f>
        <v>0.48371031948097071</v>
      </c>
      <c r="O610" t="str">
        <f>TEXT(tblTransactions[[#This Row],[Date]], "MMM-YYYY")</f>
        <v>May-2023</v>
      </c>
      <c r="P610" t="str">
        <f>"Q"&amp;ROUNDUP(MONTH(tblTransactions[[#This Row],[Date]])/3,0)&amp;"-"&amp;YEAR(tblTransactions[[#This Row],[Date]])</f>
        <v>Q2-2023</v>
      </c>
      <c r="Q610">
        <f>YEAR(tblTransactions[[#This Row],[Date]])</f>
        <v>2023</v>
      </c>
      <c r="R610" t="str">
        <f>TEXT(tblTransactions[[#This Row],[Date]],"DDDD")</f>
        <v>Sunday</v>
      </c>
      <c r="S610">
        <f>MONTH(tblTransactions[[#This Row],[Date]])</f>
        <v>5</v>
      </c>
      <c r="T610" t="str">
        <f>VLOOKUP(E610, Products!$A:$B,2,0)</f>
        <v>Tables Fur-3</v>
      </c>
      <c r="U610" t="str">
        <f>VLOOKUP(E610,Products!$A:$C,3,0)</f>
        <v>Furniture</v>
      </c>
      <c r="V610" t="str">
        <f>VLOOKUP(E610,Products!$A:$D,4,0)</f>
        <v>Tables</v>
      </c>
      <c r="W610" t="str">
        <f>VLOOKUP(D610,Customers!$A:$C,3,0)</f>
        <v>Small Business</v>
      </c>
      <c r="X610" t="str">
        <f>VLOOKUP(C610,Sales_Representatives!$A:$B,2,0)</f>
        <v>Emily Hernandez</v>
      </c>
    </row>
    <row r="611" spans="1:24" x14ac:dyDescent="0.3">
      <c r="A611" t="s">
        <v>900</v>
      </c>
      <c r="B611" t="s">
        <v>901</v>
      </c>
      <c r="C611" t="s">
        <v>56</v>
      </c>
      <c r="D611" t="s">
        <v>166</v>
      </c>
      <c r="E611" t="s">
        <v>347</v>
      </c>
      <c r="F611">
        <v>2</v>
      </c>
      <c r="G611">
        <v>1539.6</v>
      </c>
      <c r="H611">
        <v>0.06</v>
      </c>
      <c r="I611" s="4">
        <v>2894.45</v>
      </c>
      <c r="J611" t="s">
        <v>34</v>
      </c>
      <c r="K611" t="s">
        <v>17</v>
      </c>
      <c r="L611" s="4">
        <f>VLOOKUP(tblTransactions[[#This Row],[Product_ID]],tblProducts[],5,FALSE)</f>
        <v>992.43</v>
      </c>
      <c r="M611" s="4">
        <f>tblTransactions[[#This Row],[Total_Amount]]-(tblTransactions[[#This Row],[Cost_Prices]]*tblTransactions[[#This Row],[Quantity]]*(1-tblTransactions[[#This Row],[Discount]]))</f>
        <v>1028.6816000000001</v>
      </c>
      <c r="N611" s="3">
        <f>tblTransactions[[#This Row],[Profit]]/tblTransactions[[#This Row],[Total_Amount]]</f>
        <v>0.35539795125153317</v>
      </c>
      <c r="O611" t="str">
        <f>TEXT(tblTransactions[[#This Row],[Date]], "MMM-YYYY")</f>
        <v>May-2023</v>
      </c>
      <c r="P611" t="str">
        <f>"Q"&amp;ROUNDUP(MONTH(tblTransactions[[#This Row],[Date]])/3,0)&amp;"-"&amp;YEAR(tblTransactions[[#This Row],[Date]])</f>
        <v>Q2-2023</v>
      </c>
      <c r="Q611">
        <f>YEAR(tblTransactions[[#This Row],[Date]])</f>
        <v>2023</v>
      </c>
      <c r="R611" t="str">
        <f>TEXT(tblTransactions[[#This Row],[Date]],"DDDD")</f>
        <v>Tuesday</v>
      </c>
      <c r="S611">
        <f>MONTH(tblTransactions[[#This Row],[Date]])</f>
        <v>5</v>
      </c>
      <c r="T611" t="str">
        <f>VLOOKUP(E611, Products!$A:$B,2,0)</f>
        <v>Routers Tec-2</v>
      </c>
      <c r="U611" t="str">
        <f>VLOOKUP(E611,Products!$A:$C,3,0)</f>
        <v>Technology</v>
      </c>
      <c r="V611" t="str">
        <f>VLOOKUP(E611,Products!$A:$D,4,0)</f>
        <v>Routers</v>
      </c>
      <c r="W611" t="str">
        <f>VLOOKUP(D611,Customers!$A:$C,3,0)</f>
        <v>B2C</v>
      </c>
      <c r="X611" t="str">
        <f>VLOOKUP(C611,Sales_Representatives!$A:$B,2,0)</f>
        <v>Thomas Hernandez</v>
      </c>
    </row>
    <row r="612" spans="1:24" x14ac:dyDescent="0.3">
      <c r="A612" t="s">
        <v>902</v>
      </c>
      <c r="B612" t="s">
        <v>901</v>
      </c>
      <c r="C612" t="s">
        <v>13</v>
      </c>
      <c r="D612" t="s">
        <v>47</v>
      </c>
      <c r="E612" t="s">
        <v>299</v>
      </c>
      <c r="F612">
        <v>1</v>
      </c>
      <c r="G612">
        <v>963.44</v>
      </c>
      <c r="H612">
        <v>0.03</v>
      </c>
      <c r="I612" s="4">
        <v>934.54</v>
      </c>
      <c r="J612" t="s">
        <v>16</v>
      </c>
      <c r="K612" t="s">
        <v>48</v>
      </c>
      <c r="L612" s="4">
        <f>VLOOKUP(tblTransactions[[#This Row],[Product_ID]],tblProducts[],5,FALSE)</f>
        <v>578.96</v>
      </c>
      <c r="M612" s="4">
        <f>tblTransactions[[#This Row],[Total_Amount]]-(tblTransactions[[#This Row],[Cost_Prices]]*tblTransactions[[#This Row],[Quantity]]*(1-tblTransactions[[#This Row],[Discount]]))</f>
        <v>372.94879999999989</v>
      </c>
      <c r="N612" s="3">
        <f>tblTransactions[[#This Row],[Profit]]/tblTransactions[[#This Row],[Total_Amount]]</f>
        <v>0.39907205684079861</v>
      </c>
      <c r="O612" t="str">
        <f>TEXT(tblTransactions[[#This Row],[Date]], "MMM-YYYY")</f>
        <v>May-2023</v>
      </c>
      <c r="P612" t="str">
        <f>"Q"&amp;ROUNDUP(MONTH(tblTransactions[[#This Row],[Date]])/3,0)&amp;"-"&amp;YEAR(tblTransactions[[#This Row],[Date]])</f>
        <v>Q2-2023</v>
      </c>
      <c r="Q612">
        <f>YEAR(tblTransactions[[#This Row],[Date]])</f>
        <v>2023</v>
      </c>
      <c r="R612" t="str">
        <f>TEXT(tblTransactions[[#This Row],[Date]],"DDDD")</f>
        <v>Tuesday</v>
      </c>
      <c r="S612">
        <f>MONTH(tblTransactions[[#This Row],[Date]])</f>
        <v>5</v>
      </c>
      <c r="T612" t="str">
        <f>VLOOKUP(E612, Products!$A:$B,2,0)</f>
        <v>Chairs Fur-4</v>
      </c>
      <c r="U612" t="str">
        <f>VLOOKUP(E612,Products!$A:$C,3,0)</f>
        <v>Furniture</v>
      </c>
      <c r="V612" t="str">
        <f>VLOOKUP(E612,Products!$A:$D,4,0)</f>
        <v>Chairs</v>
      </c>
      <c r="W612" t="str">
        <f>VLOOKUP(D612,Customers!$A:$C,3,0)</f>
        <v>B2C</v>
      </c>
      <c r="X612" t="str">
        <f>VLOOKUP(C612,Sales_Representatives!$A:$B,2,0)</f>
        <v>Jennifer Rodriguez</v>
      </c>
    </row>
    <row r="613" spans="1:24" x14ac:dyDescent="0.3">
      <c r="A613" t="s">
        <v>903</v>
      </c>
      <c r="B613" t="s">
        <v>904</v>
      </c>
      <c r="C613" t="s">
        <v>63</v>
      </c>
      <c r="D613" t="s">
        <v>144</v>
      </c>
      <c r="E613" t="s">
        <v>20</v>
      </c>
      <c r="F613">
        <v>6</v>
      </c>
      <c r="G613">
        <v>1219.49</v>
      </c>
      <c r="H613">
        <v>0.06</v>
      </c>
      <c r="I613" s="4">
        <v>6877.92</v>
      </c>
      <c r="J613" t="s">
        <v>21</v>
      </c>
      <c r="K613" t="s">
        <v>35</v>
      </c>
      <c r="L613" s="4">
        <f>VLOOKUP(tblTransactions[[#This Row],[Product_ID]],tblProducts[],5,FALSE)</f>
        <v>686.9</v>
      </c>
      <c r="M613" s="4">
        <f>tblTransactions[[#This Row],[Total_Amount]]-(tblTransactions[[#This Row],[Cost_Prices]]*tblTransactions[[#This Row],[Quantity]]*(1-tblTransactions[[#This Row],[Discount]]))</f>
        <v>3003.8040000000005</v>
      </c>
      <c r="N613" s="3">
        <f>tblTransactions[[#This Row],[Profit]]/tblTransactions[[#This Row],[Total_Amount]]</f>
        <v>0.43673145369530331</v>
      </c>
      <c r="O613" t="str">
        <f>TEXT(tblTransactions[[#This Row],[Date]], "MMM-YYYY")</f>
        <v>May-2023</v>
      </c>
      <c r="P613" t="str">
        <f>"Q"&amp;ROUNDUP(MONTH(tblTransactions[[#This Row],[Date]])/3,0)&amp;"-"&amp;YEAR(tblTransactions[[#This Row],[Date]])</f>
        <v>Q2-2023</v>
      </c>
      <c r="Q613">
        <f>YEAR(tblTransactions[[#This Row],[Date]])</f>
        <v>2023</v>
      </c>
      <c r="R613" t="str">
        <f>TEXT(tblTransactions[[#This Row],[Date]],"DDDD")</f>
        <v>Wednesday</v>
      </c>
      <c r="S613">
        <f>MONTH(tblTransactions[[#This Row],[Date]])</f>
        <v>5</v>
      </c>
      <c r="T613" t="str">
        <f>VLOOKUP(E613, Products!$A:$B,2,0)</f>
        <v>Laptops Ele-1</v>
      </c>
      <c r="U613" t="str">
        <f>VLOOKUP(E613,Products!$A:$C,3,0)</f>
        <v>Electronics</v>
      </c>
      <c r="V613" t="str">
        <f>VLOOKUP(E613,Products!$A:$D,4,0)</f>
        <v>Laptops</v>
      </c>
      <c r="W613" t="str">
        <f>VLOOKUP(D613,Customers!$A:$C,3,0)</f>
        <v>B2C</v>
      </c>
      <c r="X613" t="str">
        <f>VLOOKUP(C613,Sales_Representatives!$A:$B,2,0)</f>
        <v>Richard Wilson</v>
      </c>
    </row>
    <row r="614" spans="1:24" x14ac:dyDescent="0.3">
      <c r="A614" t="s">
        <v>905</v>
      </c>
      <c r="B614" t="s">
        <v>904</v>
      </c>
      <c r="C614" t="s">
        <v>70</v>
      </c>
      <c r="D614" t="s">
        <v>60</v>
      </c>
      <c r="E614" t="s">
        <v>20</v>
      </c>
      <c r="F614">
        <v>3</v>
      </c>
      <c r="G614">
        <v>1219.49</v>
      </c>
      <c r="H614">
        <v>0.09</v>
      </c>
      <c r="I614" s="4">
        <v>3329.21</v>
      </c>
      <c r="J614" t="s">
        <v>16</v>
      </c>
      <c r="K614" t="s">
        <v>22</v>
      </c>
      <c r="L614" s="4">
        <f>VLOOKUP(tblTransactions[[#This Row],[Product_ID]],tblProducts[],5,FALSE)</f>
        <v>686.9</v>
      </c>
      <c r="M614" s="4">
        <f>tblTransactions[[#This Row],[Total_Amount]]-(tblTransactions[[#This Row],[Cost_Prices]]*tblTransactions[[#This Row],[Quantity]]*(1-tblTransactions[[#This Row],[Discount]]))</f>
        <v>1453.9730000000002</v>
      </c>
      <c r="N614" s="3">
        <f>tblTransactions[[#This Row],[Profit]]/tblTransactions[[#This Row],[Total_Amount]]</f>
        <v>0.43673213765427837</v>
      </c>
      <c r="O614" t="str">
        <f>TEXT(tblTransactions[[#This Row],[Date]], "MMM-YYYY")</f>
        <v>May-2023</v>
      </c>
      <c r="P614" t="str">
        <f>"Q"&amp;ROUNDUP(MONTH(tblTransactions[[#This Row],[Date]])/3,0)&amp;"-"&amp;YEAR(tblTransactions[[#This Row],[Date]])</f>
        <v>Q2-2023</v>
      </c>
      <c r="Q614">
        <f>YEAR(tblTransactions[[#This Row],[Date]])</f>
        <v>2023</v>
      </c>
      <c r="R614" t="str">
        <f>TEXT(tblTransactions[[#This Row],[Date]],"DDDD")</f>
        <v>Wednesday</v>
      </c>
      <c r="S614">
        <f>MONTH(tblTransactions[[#This Row],[Date]])</f>
        <v>5</v>
      </c>
      <c r="T614" t="str">
        <f>VLOOKUP(E614, Products!$A:$B,2,0)</f>
        <v>Laptops Ele-1</v>
      </c>
      <c r="U614" t="str">
        <f>VLOOKUP(E614,Products!$A:$C,3,0)</f>
        <v>Electronics</v>
      </c>
      <c r="V614" t="str">
        <f>VLOOKUP(E614,Products!$A:$D,4,0)</f>
        <v>Laptops</v>
      </c>
      <c r="W614" t="str">
        <f>VLOOKUP(D614,Customers!$A:$C,3,0)</f>
        <v>B2C</v>
      </c>
      <c r="X614" t="str">
        <f>VLOOKUP(C614,Sales_Representatives!$A:$B,2,0)</f>
        <v>Linda Smith</v>
      </c>
    </row>
    <row r="615" spans="1:24" x14ac:dyDescent="0.3">
      <c r="A615" t="s">
        <v>906</v>
      </c>
      <c r="B615" t="s">
        <v>904</v>
      </c>
      <c r="C615" t="s">
        <v>27</v>
      </c>
      <c r="D615" t="s">
        <v>24</v>
      </c>
      <c r="E615" t="s">
        <v>53</v>
      </c>
      <c r="F615">
        <v>19</v>
      </c>
      <c r="G615">
        <v>2069.2199999999998</v>
      </c>
      <c r="H615">
        <v>0.13</v>
      </c>
      <c r="I615" s="4">
        <v>34204.21</v>
      </c>
      <c r="J615" t="s">
        <v>16</v>
      </c>
      <c r="K615" t="s">
        <v>48</v>
      </c>
      <c r="L615" s="4">
        <f>VLOOKUP(tblTransactions[[#This Row],[Product_ID]],tblProducts[],5,FALSE)</f>
        <v>1451.18</v>
      </c>
      <c r="M615" s="4">
        <f>tblTransactions[[#This Row],[Total_Amount]]-(tblTransactions[[#This Row],[Cost_Prices]]*tblTransactions[[#This Row],[Quantity]]*(1-tblTransactions[[#This Row],[Discount]]))</f>
        <v>10216.204599999997</v>
      </c>
      <c r="N615" s="3">
        <f>tblTransactions[[#This Row],[Profit]]/tblTransactions[[#This Row],[Total_Amount]]</f>
        <v>0.29868266508713393</v>
      </c>
      <c r="O615" t="str">
        <f>TEXT(tblTransactions[[#This Row],[Date]], "MMM-YYYY")</f>
        <v>May-2023</v>
      </c>
      <c r="P615" t="str">
        <f>"Q"&amp;ROUNDUP(MONTH(tblTransactions[[#This Row],[Date]])/3,0)&amp;"-"&amp;YEAR(tblTransactions[[#This Row],[Date]])</f>
        <v>Q2-2023</v>
      </c>
      <c r="Q615">
        <f>YEAR(tblTransactions[[#This Row],[Date]])</f>
        <v>2023</v>
      </c>
      <c r="R615" t="str">
        <f>TEXT(tblTransactions[[#This Row],[Date]],"DDDD")</f>
        <v>Wednesday</v>
      </c>
      <c r="S615">
        <f>MONTH(tblTransactions[[#This Row],[Date]])</f>
        <v>5</v>
      </c>
      <c r="T615" t="str">
        <f>VLOOKUP(E615, Products!$A:$B,2,0)</f>
        <v>Printers Tec-3</v>
      </c>
      <c r="U615" t="str">
        <f>VLOOKUP(E615,Products!$A:$C,3,0)</f>
        <v>Technology</v>
      </c>
      <c r="V615" t="str">
        <f>VLOOKUP(E615,Products!$A:$D,4,0)</f>
        <v>Printers</v>
      </c>
      <c r="W615" t="str">
        <f>VLOOKUP(D615,Customers!$A:$C,3,0)</f>
        <v>B2B</v>
      </c>
      <c r="X615" t="str">
        <f>VLOOKUP(C615,Sales_Representatives!$A:$B,2,0)</f>
        <v>Thomas Lopez</v>
      </c>
    </row>
    <row r="616" spans="1:24" x14ac:dyDescent="0.3">
      <c r="A616" t="s">
        <v>907</v>
      </c>
      <c r="B616" t="s">
        <v>904</v>
      </c>
      <c r="C616" t="s">
        <v>75</v>
      </c>
      <c r="D616" t="s">
        <v>228</v>
      </c>
      <c r="E616" t="s">
        <v>370</v>
      </c>
      <c r="F616">
        <v>6</v>
      </c>
      <c r="G616">
        <v>238.95</v>
      </c>
      <c r="H616">
        <v>0.09</v>
      </c>
      <c r="I616" s="4">
        <v>1304.67</v>
      </c>
      <c r="J616" t="s">
        <v>44</v>
      </c>
      <c r="K616" t="s">
        <v>48</v>
      </c>
      <c r="L616" s="4">
        <f>VLOOKUP(tblTransactions[[#This Row],[Product_ID]],tblProducts[],5,FALSE)</f>
        <v>136.6</v>
      </c>
      <c r="M616" s="4">
        <f>tblTransactions[[#This Row],[Total_Amount]]-(tblTransactions[[#This Row],[Cost_Prices]]*tblTransactions[[#This Row],[Quantity]]*(1-tblTransactions[[#This Row],[Discount]]))</f>
        <v>558.83400000000017</v>
      </c>
      <c r="N616" s="3">
        <f>tblTransactions[[#This Row],[Profit]]/tblTransactions[[#This Row],[Total_Amount]]</f>
        <v>0.42833360160040479</v>
      </c>
      <c r="O616" t="str">
        <f>TEXT(tblTransactions[[#This Row],[Date]], "MMM-YYYY")</f>
        <v>May-2023</v>
      </c>
      <c r="P616" t="str">
        <f>"Q"&amp;ROUNDUP(MONTH(tblTransactions[[#This Row],[Date]])/3,0)&amp;"-"&amp;YEAR(tblTransactions[[#This Row],[Date]])</f>
        <v>Q2-2023</v>
      </c>
      <c r="Q616">
        <f>YEAR(tblTransactions[[#This Row],[Date]])</f>
        <v>2023</v>
      </c>
      <c r="R616" t="str">
        <f>TEXT(tblTransactions[[#This Row],[Date]],"DDDD")</f>
        <v>Wednesday</v>
      </c>
      <c r="S616">
        <f>MONTH(tblTransactions[[#This Row],[Date]])</f>
        <v>5</v>
      </c>
      <c r="T616" t="str">
        <f>VLOOKUP(E616, Products!$A:$B,2,0)</f>
        <v>Cables Acc-1</v>
      </c>
      <c r="U616" t="str">
        <f>VLOOKUP(E616,Products!$A:$C,3,0)</f>
        <v>Accessories</v>
      </c>
      <c r="V616" t="str">
        <f>VLOOKUP(E616,Products!$A:$D,4,0)</f>
        <v>Cables</v>
      </c>
      <c r="W616" t="str">
        <f>VLOOKUP(D616,Customers!$A:$C,3,0)</f>
        <v>Small Business</v>
      </c>
      <c r="X616" t="str">
        <f>VLOOKUP(C616,Sales_Representatives!$A:$B,2,0)</f>
        <v>Jessica Anderson</v>
      </c>
    </row>
    <row r="617" spans="1:24" x14ac:dyDescent="0.3">
      <c r="A617" t="s">
        <v>908</v>
      </c>
      <c r="B617" t="s">
        <v>904</v>
      </c>
      <c r="C617" t="s">
        <v>13</v>
      </c>
      <c r="D617" t="s">
        <v>14</v>
      </c>
      <c r="E617" t="s">
        <v>68</v>
      </c>
      <c r="F617">
        <v>7</v>
      </c>
      <c r="G617">
        <v>522.63</v>
      </c>
      <c r="H617">
        <v>0.14000000000000001</v>
      </c>
      <c r="I617" s="4">
        <v>3146.23</v>
      </c>
      <c r="J617" t="s">
        <v>16</v>
      </c>
      <c r="K617" t="s">
        <v>39</v>
      </c>
      <c r="L617" s="4">
        <f>VLOOKUP(tblTransactions[[#This Row],[Product_ID]],tblProducts[],5,FALSE)</f>
        <v>355.82</v>
      </c>
      <c r="M617" s="4">
        <f>tblTransactions[[#This Row],[Total_Amount]]-(tblTransactions[[#This Row],[Cost_Prices]]*tblTransactions[[#This Row],[Quantity]]*(1-tblTransactions[[#This Row],[Discount]]))</f>
        <v>1004.1936000000001</v>
      </c>
      <c r="N617" s="3">
        <f>tblTransactions[[#This Row],[Profit]]/tblTransactions[[#This Row],[Total_Amount]]</f>
        <v>0.31917361413501238</v>
      </c>
      <c r="O617" t="str">
        <f>TEXT(tblTransactions[[#This Row],[Date]], "MMM-YYYY")</f>
        <v>May-2023</v>
      </c>
      <c r="P617" t="str">
        <f>"Q"&amp;ROUNDUP(MONTH(tblTransactions[[#This Row],[Date]])/3,0)&amp;"-"&amp;YEAR(tblTransactions[[#This Row],[Date]])</f>
        <v>Q2-2023</v>
      </c>
      <c r="Q617">
        <f>YEAR(tblTransactions[[#This Row],[Date]])</f>
        <v>2023</v>
      </c>
      <c r="R617" t="str">
        <f>TEXT(tblTransactions[[#This Row],[Date]],"DDDD")</f>
        <v>Wednesday</v>
      </c>
      <c r="S617">
        <f>MONTH(tblTransactions[[#This Row],[Date]])</f>
        <v>5</v>
      </c>
      <c r="T617" t="str">
        <f>VLOOKUP(E617, Products!$A:$B,2,0)</f>
        <v>Monitors Tec-3</v>
      </c>
      <c r="U617" t="str">
        <f>VLOOKUP(E617,Products!$A:$C,3,0)</f>
        <v>Technology</v>
      </c>
      <c r="V617" t="str">
        <f>VLOOKUP(E617,Products!$A:$D,4,0)</f>
        <v>Monitors</v>
      </c>
      <c r="W617" t="str">
        <f>VLOOKUP(D617,Customers!$A:$C,3,0)</f>
        <v>B2B</v>
      </c>
      <c r="X617" t="str">
        <f>VLOOKUP(C617,Sales_Representatives!$A:$B,2,0)</f>
        <v>Jennifer Rodriguez</v>
      </c>
    </row>
    <row r="618" spans="1:24" x14ac:dyDescent="0.3">
      <c r="A618" t="s">
        <v>909</v>
      </c>
      <c r="B618" t="s">
        <v>904</v>
      </c>
      <c r="C618" t="s">
        <v>75</v>
      </c>
      <c r="D618" t="s">
        <v>14</v>
      </c>
      <c r="E618" t="s">
        <v>299</v>
      </c>
      <c r="F618">
        <v>9</v>
      </c>
      <c r="G618">
        <v>963.44</v>
      </c>
      <c r="H618">
        <v>0.11</v>
      </c>
      <c r="I618" s="4">
        <v>7717.15</v>
      </c>
      <c r="J618" t="s">
        <v>44</v>
      </c>
      <c r="K618" t="s">
        <v>17</v>
      </c>
      <c r="L618" s="4">
        <f>VLOOKUP(tblTransactions[[#This Row],[Product_ID]],tblProducts[],5,FALSE)</f>
        <v>578.96</v>
      </c>
      <c r="M618" s="4">
        <f>tblTransactions[[#This Row],[Total_Amount]]-(tblTransactions[[#This Row],[Cost_Prices]]*tblTransactions[[#This Row],[Quantity]]*(1-tblTransactions[[#This Row],[Discount]]))</f>
        <v>3079.6803999999993</v>
      </c>
      <c r="N618" s="3">
        <f>tblTransactions[[#This Row],[Profit]]/tblTransactions[[#This Row],[Total_Amount]]</f>
        <v>0.39906965654419047</v>
      </c>
      <c r="O618" t="str">
        <f>TEXT(tblTransactions[[#This Row],[Date]], "MMM-YYYY")</f>
        <v>May-2023</v>
      </c>
      <c r="P618" t="str">
        <f>"Q"&amp;ROUNDUP(MONTH(tblTransactions[[#This Row],[Date]])/3,0)&amp;"-"&amp;YEAR(tblTransactions[[#This Row],[Date]])</f>
        <v>Q2-2023</v>
      </c>
      <c r="Q618">
        <f>YEAR(tblTransactions[[#This Row],[Date]])</f>
        <v>2023</v>
      </c>
      <c r="R618" t="str">
        <f>TEXT(tblTransactions[[#This Row],[Date]],"DDDD")</f>
        <v>Wednesday</v>
      </c>
      <c r="S618">
        <f>MONTH(tblTransactions[[#This Row],[Date]])</f>
        <v>5</v>
      </c>
      <c r="T618" t="str">
        <f>VLOOKUP(E618, Products!$A:$B,2,0)</f>
        <v>Chairs Fur-4</v>
      </c>
      <c r="U618" t="str">
        <f>VLOOKUP(E618,Products!$A:$C,3,0)</f>
        <v>Furniture</v>
      </c>
      <c r="V618" t="str">
        <f>VLOOKUP(E618,Products!$A:$D,4,0)</f>
        <v>Chairs</v>
      </c>
      <c r="W618" t="str">
        <f>VLOOKUP(D618,Customers!$A:$C,3,0)</f>
        <v>B2B</v>
      </c>
      <c r="X618" t="str">
        <f>VLOOKUP(C618,Sales_Representatives!$A:$B,2,0)</f>
        <v>Jessica Anderson</v>
      </c>
    </row>
    <row r="619" spans="1:24" x14ac:dyDescent="0.3">
      <c r="A619" t="s">
        <v>910</v>
      </c>
      <c r="B619" t="s">
        <v>911</v>
      </c>
      <c r="C619" t="s">
        <v>107</v>
      </c>
      <c r="D619" t="s">
        <v>112</v>
      </c>
      <c r="E619" t="s">
        <v>137</v>
      </c>
      <c r="F619">
        <v>26</v>
      </c>
      <c r="G619">
        <v>241.39</v>
      </c>
      <c r="H619">
        <v>0.25</v>
      </c>
      <c r="I619" s="4">
        <v>4707.1000000000004</v>
      </c>
      <c r="J619" t="s">
        <v>109</v>
      </c>
      <c r="K619" t="s">
        <v>35</v>
      </c>
      <c r="L619" s="4">
        <f>VLOOKUP(tblTransactions[[#This Row],[Product_ID]],tblProducts[],5,FALSE)</f>
        <v>124.07</v>
      </c>
      <c r="M619" s="4">
        <f>tblTransactions[[#This Row],[Total_Amount]]-(tblTransactions[[#This Row],[Cost_Prices]]*tblTransactions[[#This Row],[Quantity]]*(1-tblTransactions[[#This Row],[Discount]]))</f>
        <v>2287.7350000000006</v>
      </c>
      <c r="N619" s="3">
        <f>tblTransactions[[#This Row],[Profit]]/tblTransactions[[#This Row],[Total_Amount]]</f>
        <v>0.48601793036051932</v>
      </c>
      <c r="O619" t="str">
        <f>TEXT(tblTransactions[[#This Row],[Date]], "MMM-YYYY")</f>
        <v>May-2023</v>
      </c>
      <c r="P619" t="str">
        <f>"Q"&amp;ROUNDUP(MONTH(tblTransactions[[#This Row],[Date]])/3,0)&amp;"-"&amp;YEAR(tblTransactions[[#This Row],[Date]])</f>
        <v>Q2-2023</v>
      </c>
      <c r="Q619">
        <f>YEAR(tblTransactions[[#This Row],[Date]])</f>
        <v>2023</v>
      </c>
      <c r="R619" t="str">
        <f>TEXT(tblTransactions[[#This Row],[Date]],"DDDD")</f>
        <v>Thursday</v>
      </c>
      <c r="S619">
        <f>MONTH(tblTransactions[[#This Row],[Date]])</f>
        <v>5</v>
      </c>
      <c r="T619" t="str">
        <f>VLOOKUP(E619, Products!$A:$B,2,0)</f>
        <v>Desks Fur-2</v>
      </c>
      <c r="U619" t="str">
        <f>VLOOKUP(E619,Products!$A:$C,3,0)</f>
        <v>Furniture</v>
      </c>
      <c r="V619" t="str">
        <f>VLOOKUP(E619,Products!$A:$D,4,0)</f>
        <v>Desks</v>
      </c>
      <c r="W619" t="str">
        <f>VLOOKUP(D619,Customers!$A:$C,3,0)</f>
        <v>Enterprise</v>
      </c>
      <c r="X619" t="str">
        <f>VLOOKUP(C619,Sales_Representatives!$A:$B,2,0)</f>
        <v>Jennifer Brown</v>
      </c>
    </row>
    <row r="620" spans="1:24" x14ac:dyDescent="0.3">
      <c r="A620" t="s">
        <v>912</v>
      </c>
      <c r="B620" t="s">
        <v>911</v>
      </c>
      <c r="C620" t="s">
        <v>75</v>
      </c>
      <c r="D620" t="s">
        <v>14</v>
      </c>
      <c r="E620" t="s">
        <v>72</v>
      </c>
      <c r="F620">
        <v>17</v>
      </c>
      <c r="G620">
        <v>404.76</v>
      </c>
      <c r="H620">
        <v>0.14000000000000001</v>
      </c>
      <c r="I620" s="4">
        <v>5917.59</v>
      </c>
      <c r="J620" t="s">
        <v>44</v>
      </c>
      <c r="K620" t="s">
        <v>22</v>
      </c>
      <c r="L620" s="4">
        <f>VLOOKUP(tblTransactions[[#This Row],[Product_ID]],tblProducts[],5,FALSE)</f>
        <v>226.76</v>
      </c>
      <c r="M620" s="4">
        <f>tblTransactions[[#This Row],[Total_Amount]]-(tblTransactions[[#This Row],[Cost_Prices]]*tblTransactions[[#This Row],[Quantity]]*(1-tblTransactions[[#This Row],[Discount]]))</f>
        <v>2602.3588</v>
      </c>
      <c r="N620" s="3">
        <f>tblTransactions[[#This Row],[Profit]]/tblTransactions[[#This Row],[Total_Amount]]</f>
        <v>0.43976666176602297</v>
      </c>
      <c r="O620" t="str">
        <f>TEXT(tblTransactions[[#This Row],[Date]], "MMM-YYYY")</f>
        <v>May-2023</v>
      </c>
      <c r="P620" t="str">
        <f>"Q"&amp;ROUNDUP(MONTH(tblTransactions[[#This Row],[Date]])/3,0)&amp;"-"&amp;YEAR(tblTransactions[[#This Row],[Date]])</f>
        <v>Q2-2023</v>
      </c>
      <c r="Q620">
        <f>YEAR(tblTransactions[[#This Row],[Date]])</f>
        <v>2023</v>
      </c>
      <c r="R620" t="str">
        <f>TEXT(tblTransactions[[#This Row],[Date]],"DDDD")</f>
        <v>Thursday</v>
      </c>
      <c r="S620">
        <f>MONTH(tblTransactions[[#This Row],[Date]])</f>
        <v>5</v>
      </c>
      <c r="T620" t="str">
        <f>VLOOKUP(E620, Products!$A:$B,2,0)</f>
        <v>Tablets Ele-2</v>
      </c>
      <c r="U620" t="str">
        <f>VLOOKUP(E620,Products!$A:$C,3,0)</f>
        <v>Electronics</v>
      </c>
      <c r="V620" t="str">
        <f>VLOOKUP(E620,Products!$A:$D,4,0)</f>
        <v>Tablets</v>
      </c>
      <c r="W620" t="str">
        <f>VLOOKUP(D620,Customers!$A:$C,3,0)</f>
        <v>B2B</v>
      </c>
      <c r="X620" t="str">
        <f>VLOOKUP(C620,Sales_Representatives!$A:$B,2,0)</f>
        <v>Jessica Anderson</v>
      </c>
    </row>
    <row r="621" spans="1:24" x14ac:dyDescent="0.3">
      <c r="A621" t="s">
        <v>913</v>
      </c>
      <c r="B621" t="s">
        <v>911</v>
      </c>
      <c r="C621" t="s">
        <v>107</v>
      </c>
      <c r="D621" t="s">
        <v>64</v>
      </c>
      <c r="E621" t="s">
        <v>176</v>
      </c>
      <c r="F621">
        <v>6</v>
      </c>
      <c r="G621">
        <v>1462.68</v>
      </c>
      <c r="H621">
        <v>0.09</v>
      </c>
      <c r="I621" s="4">
        <v>7986.23</v>
      </c>
      <c r="J621" t="s">
        <v>109</v>
      </c>
      <c r="K621" t="s">
        <v>35</v>
      </c>
      <c r="L621" s="4">
        <f>VLOOKUP(tblTransactions[[#This Row],[Product_ID]],tblProducts[],5,FALSE)</f>
        <v>775.94</v>
      </c>
      <c r="M621" s="4">
        <f>tblTransactions[[#This Row],[Total_Amount]]-(tblTransactions[[#This Row],[Cost_Prices]]*tblTransactions[[#This Row],[Quantity]]*(1-tblTransactions[[#This Row],[Discount]]))</f>
        <v>3749.5975999999991</v>
      </c>
      <c r="N621" s="3">
        <f>tblTransactions[[#This Row],[Profit]]/tblTransactions[[#This Row],[Total_Amount]]</f>
        <v>0.46950784037023718</v>
      </c>
      <c r="O621" t="str">
        <f>TEXT(tblTransactions[[#This Row],[Date]], "MMM-YYYY")</f>
        <v>May-2023</v>
      </c>
      <c r="P621" t="str">
        <f>"Q"&amp;ROUNDUP(MONTH(tblTransactions[[#This Row],[Date]])/3,0)&amp;"-"&amp;YEAR(tblTransactions[[#This Row],[Date]])</f>
        <v>Q2-2023</v>
      </c>
      <c r="Q621">
        <f>YEAR(tblTransactions[[#This Row],[Date]])</f>
        <v>2023</v>
      </c>
      <c r="R621" t="str">
        <f>TEXT(tblTransactions[[#This Row],[Date]],"DDDD")</f>
        <v>Thursday</v>
      </c>
      <c r="S621">
        <f>MONTH(tblTransactions[[#This Row],[Date]])</f>
        <v>5</v>
      </c>
      <c r="T621" t="str">
        <f>VLOOKUP(E621, Products!$A:$B,2,0)</f>
        <v>Chairs Fur-2</v>
      </c>
      <c r="U621" t="str">
        <f>VLOOKUP(E621,Products!$A:$C,3,0)</f>
        <v>Furniture</v>
      </c>
      <c r="V621" t="str">
        <f>VLOOKUP(E621,Products!$A:$D,4,0)</f>
        <v>Chairs</v>
      </c>
      <c r="W621" t="str">
        <f>VLOOKUP(D621,Customers!$A:$C,3,0)</f>
        <v>Small Business</v>
      </c>
      <c r="X621" t="str">
        <f>VLOOKUP(C621,Sales_Representatives!$A:$B,2,0)</f>
        <v>Jennifer Brown</v>
      </c>
    </row>
    <row r="622" spans="1:24" x14ac:dyDescent="0.3">
      <c r="A622" t="s">
        <v>914</v>
      </c>
      <c r="B622" t="s">
        <v>915</v>
      </c>
      <c r="C622" t="s">
        <v>70</v>
      </c>
      <c r="D622" t="s">
        <v>64</v>
      </c>
      <c r="E622" t="s">
        <v>255</v>
      </c>
      <c r="F622">
        <v>5</v>
      </c>
      <c r="G622">
        <v>1444.13</v>
      </c>
      <c r="H622">
        <v>0.01</v>
      </c>
      <c r="I622" s="4">
        <v>7148.44</v>
      </c>
      <c r="J622" t="s">
        <v>16</v>
      </c>
      <c r="K622" t="s">
        <v>39</v>
      </c>
      <c r="L622" s="4">
        <f>VLOOKUP(tblTransactions[[#This Row],[Product_ID]],tblProducts[],5,FALSE)</f>
        <v>874.43</v>
      </c>
      <c r="M622" s="4">
        <f>tblTransactions[[#This Row],[Total_Amount]]-(tblTransactions[[#This Row],[Cost_Prices]]*tblTransactions[[#This Row],[Quantity]]*(1-tblTransactions[[#This Row],[Discount]]))</f>
        <v>2820.0114999999996</v>
      </c>
      <c r="N622" s="3">
        <f>tblTransactions[[#This Row],[Profit]]/tblTransactions[[#This Row],[Total_Amount]]</f>
        <v>0.39449327405699702</v>
      </c>
      <c r="O622" t="str">
        <f>TEXT(tblTransactions[[#This Row],[Date]], "MMM-YYYY")</f>
        <v>May-2023</v>
      </c>
      <c r="P622" t="str">
        <f>"Q"&amp;ROUNDUP(MONTH(tblTransactions[[#This Row],[Date]])/3,0)&amp;"-"&amp;YEAR(tblTransactions[[#This Row],[Date]])</f>
        <v>Q2-2023</v>
      </c>
      <c r="Q622">
        <f>YEAR(tblTransactions[[#This Row],[Date]])</f>
        <v>2023</v>
      </c>
      <c r="R622" t="str">
        <f>TEXT(tblTransactions[[#This Row],[Date]],"DDDD")</f>
        <v>Friday</v>
      </c>
      <c r="S622">
        <f>MONTH(tblTransactions[[#This Row],[Date]])</f>
        <v>5</v>
      </c>
      <c r="T622" t="str">
        <f>VLOOKUP(E622, Products!$A:$B,2,0)</f>
        <v>Printers Tec-1</v>
      </c>
      <c r="U622" t="str">
        <f>VLOOKUP(E622,Products!$A:$C,3,0)</f>
        <v>Technology</v>
      </c>
      <c r="V622" t="str">
        <f>VLOOKUP(E622,Products!$A:$D,4,0)</f>
        <v>Printers</v>
      </c>
      <c r="W622" t="str">
        <f>VLOOKUP(D622,Customers!$A:$C,3,0)</f>
        <v>Small Business</v>
      </c>
      <c r="X622" t="str">
        <f>VLOOKUP(C622,Sales_Representatives!$A:$B,2,0)</f>
        <v>Linda Smith</v>
      </c>
    </row>
    <row r="623" spans="1:24" x14ac:dyDescent="0.3">
      <c r="A623" t="s">
        <v>916</v>
      </c>
      <c r="B623" t="s">
        <v>915</v>
      </c>
      <c r="C623" t="s">
        <v>41</v>
      </c>
      <c r="D623" t="s">
        <v>136</v>
      </c>
      <c r="E623" t="s">
        <v>290</v>
      </c>
      <c r="F623">
        <v>2</v>
      </c>
      <c r="G623">
        <v>729.32</v>
      </c>
      <c r="H623">
        <v>0.1</v>
      </c>
      <c r="I623" s="4">
        <v>1312.78</v>
      </c>
      <c r="J623" t="s">
        <v>44</v>
      </c>
      <c r="K623" t="s">
        <v>48</v>
      </c>
      <c r="L623" s="4">
        <f>VLOOKUP(tblTransactions[[#This Row],[Product_ID]],tblProducts[],5,FALSE)</f>
        <v>482.7</v>
      </c>
      <c r="M623" s="4">
        <f>tblTransactions[[#This Row],[Total_Amount]]-(tblTransactions[[#This Row],[Cost_Prices]]*tblTransactions[[#This Row],[Quantity]]*(1-tblTransactions[[#This Row],[Discount]]))</f>
        <v>443.91999999999996</v>
      </c>
      <c r="N623" s="3">
        <f>tblTransactions[[#This Row],[Profit]]/tblTransactions[[#This Row],[Total_Amount]]</f>
        <v>0.33815262267859048</v>
      </c>
      <c r="O623" t="str">
        <f>TEXT(tblTransactions[[#This Row],[Date]], "MMM-YYYY")</f>
        <v>May-2023</v>
      </c>
      <c r="P623" t="str">
        <f>"Q"&amp;ROUNDUP(MONTH(tblTransactions[[#This Row],[Date]])/3,0)&amp;"-"&amp;YEAR(tblTransactions[[#This Row],[Date]])</f>
        <v>Q2-2023</v>
      </c>
      <c r="Q623">
        <f>YEAR(tblTransactions[[#This Row],[Date]])</f>
        <v>2023</v>
      </c>
      <c r="R623" t="str">
        <f>TEXT(tblTransactions[[#This Row],[Date]],"DDDD")</f>
        <v>Friday</v>
      </c>
      <c r="S623">
        <f>MONTH(tblTransactions[[#This Row],[Date]])</f>
        <v>5</v>
      </c>
      <c r="T623" t="str">
        <f>VLOOKUP(E623, Products!$A:$B,2,0)</f>
        <v>Tables Fur-1</v>
      </c>
      <c r="U623" t="str">
        <f>VLOOKUP(E623,Products!$A:$C,3,0)</f>
        <v>Furniture</v>
      </c>
      <c r="V623" t="str">
        <f>VLOOKUP(E623,Products!$A:$D,4,0)</f>
        <v>Tables</v>
      </c>
      <c r="W623" t="str">
        <f>VLOOKUP(D623,Customers!$A:$C,3,0)</f>
        <v>B2B</v>
      </c>
      <c r="X623" t="str">
        <f>VLOOKUP(C623,Sales_Representatives!$A:$B,2,0)</f>
        <v>Robert Jones</v>
      </c>
    </row>
    <row r="624" spans="1:24" x14ac:dyDescent="0.3">
      <c r="A624" t="s">
        <v>917</v>
      </c>
      <c r="B624" t="s">
        <v>915</v>
      </c>
      <c r="C624" t="s">
        <v>31</v>
      </c>
      <c r="D624" t="s">
        <v>50</v>
      </c>
      <c r="E624" t="s">
        <v>116</v>
      </c>
      <c r="F624">
        <v>5</v>
      </c>
      <c r="G624">
        <v>232.86</v>
      </c>
      <c r="H624">
        <v>0.05</v>
      </c>
      <c r="I624" s="4">
        <v>1106.0899999999999</v>
      </c>
      <c r="J624" t="s">
        <v>34</v>
      </c>
      <c r="K624" t="s">
        <v>22</v>
      </c>
      <c r="L624" s="4">
        <f>VLOOKUP(tblTransactions[[#This Row],[Product_ID]],tblProducts[],5,FALSE)</f>
        <v>116.79</v>
      </c>
      <c r="M624" s="4">
        <f>tblTransactions[[#This Row],[Total_Amount]]-(tblTransactions[[#This Row],[Cost_Prices]]*tblTransactions[[#This Row],[Quantity]]*(1-tblTransactions[[#This Row],[Discount]]))</f>
        <v>551.33749999999986</v>
      </c>
      <c r="N624" s="3">
        <f>tblTransactions[[#This Row],[Profit]]/tblTransactions[[#This Row],[Total_Amount]]</f>
        <v>0.498456273901762</v>
      </c>
      <c r="O624" t="str">
        <f>TEXT(tblTransactions[[#This Row],[Date]], "MMM-YYYY")</f>
        <v>May-2023</v>
      </c>
      <c r="P624" t="str">
        <f>"Q"&amp;ROUNDUP(MONTH(tblTransactions[[#This Row],[Date]])/3,0)&amp;"-"&amp;YEAR(tblTransactions[[#This Row],[Date]])</f>
        <v>Q2-2023</v>
      </c>
      <c r="Q624">
        <f>YEAR(tblTransactions[[#This Row],[Date]])</f>
        <v>2023</v>
      </c>
      <c r="R624" t="str">
        <f>TEXT(tblTransactions[[#This Row],[Date]],"DDDD")</f>
        <v>Friday</v>
      </c>
      <c r="S624">
        <f>MONTH(tblTransactions[[#This Row],[Date]])</f>
        <v>5</v>
      </c>
      <c r="T624" t="str">
        <f>VLOOKUP(E624, Products!$A:$B,2,0)</f>
        <v>Folders Off-4</v>
      </c>
      <c r="U624" t="str">
        <f>VLOOKUP(E624,Products!$A:$C,3,0)</f>
        <v>Office Supplies</v>
      </c>
      <c r="V624" t="str">
        <f>VLOOKUP(E624,Products!$A:$D,4,0)</f>
        <v>Folders</v>
      </c>
      <c r="W624" t="str">
        <f>VLOOKUP(D624,Customers!$A:$C,3,0)</f>
        <v>Small Business</v>
      </c>
      <c r="X624" t="str">
        <f>VLOOKUP(C624,Sales_Representatives!$A:$B,2,0)</f>
        <v>Thomas Martinez</v>
      </c>
    </row>
    <row r="625" spans="1:24" x14ac:dyDescent="0.3">
      <c r="A625" t="s">
        <v>918</v>
      </c>
      <c r="B625" t="s">
        <v>919</v>
      </c>
      <c r="C625" t="s">
        <v>75</v>
      </c>
      <c r="D625" t="s">
        <v>83</v>
      </c>
      <c r="E625" t="s">
        <v>587</v>
      </c>
      <c r="F625">
        <v>2</v>
      </c>
      <c r="G625">
        <v>58.54</v>
      </c>
      <c r="H625">
        <v>0.03</v>
      </c>
      <c r="I625" s="4">
        <v>113.57</v>
      </c>
      <c r="J625" t="s">
        <v>44</v>
      </c>
      <c r="K625" t="s">
        <v>22</v>
      </c>
      <c r="L625" s="4">
        <f>VLOOKUP(tblTransactions[[#This Row],[Product_ID]],tblProducts[],5,FALSE)</f>
        <v>25.43</v>
      </c>
      <c r="M625" s="4">
        <f>tblTransactions[[#This Row],[Total_Amount]]-(tblTransactions[[#This Row],[Cost_Prices]]*tblTransactions[[#This Row],[Quantity]]*(1-tblTransactions[[#This Row],[Discount]]))</f>
        <v>64.235799999999998</v>
      </c>
      <c r="N625" s="3">
        <f>tblTransactions[[#This Row],[Profit]]/tblTransactions[[#This Row],[Total_Amount]]</f>
        <v>0.56560535352645946</v>
      </c>
      <c r="O625" t="str">
        <f>TEXT(tblTransactions[[#This Row],[Date]], "MMM-YYYY")</f>
        <v>May-2023</v>
      </c>
      <c r="P625" t="str">
        <f>"Q"&amp;ROUNDUP(MONTH(tblTransactions[[#This Row],[Date]])/3,0)&amp;"-"&amp;YEAR(tblTransactions[[#This Row],[Date]])</f>
        <v>Q2-2023</v>
      </c>
      <c r="Q625">
        <f>YEAR(tblTransactions[[#This Row],[Date]])</f>
        <v>2023</v>
      </c>
      <c r="R625" t="str">
        <f>TEXT(tblTransactions[[#This Row],[Date]],"DDDD")</f>
        <v>Saturday</v>
      </c>
      <c r="S625">
        <f>MONTH(tblTransactions[[#This Row],[Date]])</f>
        <v>5</v>
      </c>
      <c r="T625" t="str">
        <f>VLOOKUP(E625, Products!$A:$B,2,0)</f>
        <v>Paper Off-2</v>
      </c>
      <c r="U625" t="str">
        <f>VLOOKUP(E625,Products!$A:$C,3,0)</f>
        <v>Office Supplies</v>
      </c>
      <c r="V625" t="str">
        <f>VLOOKUP(E625,Products!$A:$D,4,0)</f>
        <v>Paper</v>
      </c>
      <c r="W625" t="str">
        <f>VLOOKUP(D625,Customers!$A:$C,3,0)</f>
        <v>Small Business</v>
      </c>
      <c r="X625" t="str">
        <f>VLOOKUP(C625,Sales_Representatives!$A:$B,2,0)</f>
        <v>Jessica Anderson</v>
      </c>
    </row>
    <row r="626" spans="1:24" x14ac:dyDescent="0.3">
      <c r="A626" t="s">
        <v>920</v>
      </c>
      <c r="B626" t="s">
        <v>919</v>
      </c>
      <c r="C626" t="s">
        <v>13</v>
      </c>
      <c r="D626" t="s">
        <v>183</v>
      </c>
      <c r="E626" t="s">
        <v>194</v>
      </c>
      <c r="F626">
        <v>4</v>
      </c>
      <c r="G626">
        <v>82.84</v>
      </c>
      <c r="H626">
        <v>0.08</v>
      </c>
      <c r="I626" s="4">
        <v>304.85000000000002</v>
      </c>
      <c r="J626" t="s">
        <v>16</v>
      </c>
      <c r="K626" t="s">
        <v>17</v>
      </c>
      <c r="L626" s="4">
        <f>VLOOKUP(tblTransactions[[#This Row],[Product_ID]],tblProducts[],5,FALSE)</f>
        <v>52.98</v>
      </c>
      <c r="M626" s="4">
        <f>tblTransactions[[#This Row],[Total_Amount]]-(tblTransactions[[#This Row],[Cost_Prices]]*tblTransactions[[#This Row],[Quantity]]*(1-tblTransactions[[#This Row],[Discount]]))</f>
        <v>109.88360000000003</v>
      </c>
      <c r="N626" s="3">
        <f>tblTransactions[[#This Row],[Profit]]/tblTransactions[[#This Row],[Total_Amount]]</f>
        <v>0.36045136952599643</v>
      </c>
      <c r="O626" t="str">
        <f>TEXT(tblTransactions[[#This Row],[Date]], "MMM-YYYY")</f>
        <v>May-2023</v>
      </c>
      <c r="P626" t="str">
        <f>"Q"&amp;ROUNDUP(MONTH(tblTransactions[[#This Row],[Date]])/3,0)&amp;"-"&amp;YEAR(tblTransactions[[#This Row],[Date]])</f>
        <v>Q2-2023</v>
      </c>
      <c r="Q626">
        <f>YEAR(tblTransactions[[#This Row],[Date]])</f>
        <v>2023</v>
      </c>
      <c r="R626" t="str">
        <f>TEXT(tblTransactions[[#This Row],[Date]],"DDDD")</f>
        <v>Saturday</v>
      </c>
      <c r="S626">
        <f>MONTH(tblTransactions[[#This Row],[Date]])</f>
        <v>5</v>
      </c>
      <c r="T626" t="str">
        <f>VLOOKUP(E626, Products!$A:$B,2,0)</f>
        <v>Binders Off-2</v>
      </c>
      <c r="U626" t="str">
        <f>VLOOKUP(E626,Products!$A:$C,3,0)</f>
        <v>Office Supplies</v>
      </c>
      <c r="V626" t="str">
        <f>VLOOKUP(E626,Products!$A:$D,4,0)</f>
        <v>Binders</v>
      </c>
      <c r="W626" t="str">
        <f>VLOOKUP(D626,Customers!$A:$C,3,0)</f>
        <v>Small Business</v>
      </c>
      <c r="X626" t="str">
        <f>VLOOKUP(C626,Sales_Representatives!$A:$B,2,0)</f>
        <v>Jennifer Rodriguez</v>
      </c>
    </row>
    <row r="627" spans="1:24" x14ac:dyDescent="0.3">
      <c r="A627" t="s">
        <v>921</v>
      </c>
      <c r="B627" t="s">
        <v>919</v>
      </c>
      <c r="C627" t="s">
        <v>56</v>
      </c>
      <c r="D627" t="s">
        <v>118</v>
      </c>
      <c r="E627" t="s">
        <v>394</v>
      </c>
      <c r="F627">
        <v>4</v>
      </c>
      <c r="G627">
        <v>314.69</v>
      </c>
      <c r="H627">
        <v>0.03</v>
      </c>
      <c r="I627" s="4">
        <v>1221</v>
      </c>
      <c r="J627" t="s">
        <v>34</v>
      </c>
      <c r="K627" t="s">
        <v>17</v>
      </c>
      <c r="L627" s="4">
        <f>VLOOKUP(tblTransactions[[#This Row],[Product_ID]],tblProducts[],5,FALSE)</f>
        <v>185.43</v>
      </c>
      <c r="M627" s="4">
        <f>tblTransactions[[#This Row],[Total_Amount]]-(tblTransactions[[#This Row],[Cost_Prices]]*tblTransactions[[#This Row],[Quantity]]*(1-tblTransactions[[#This Row],[Discount]]))</f>
        <v>501.53160000000003</v>
      </c>
      <c r="N627" s="3">
        <f>tblTransactions[[#This Row],[Profit]]/tblTransactions[[#This Row],[Total_Amount]]</f>
        <v>0.41075479115479119</v>
      </c>
      <c r="O627" t="str">
        <f>TEXT(tblTransactions[[#This Row],[Date]], "MMM-YYYY")</f>
        <v>May-2023</v>
      </c>
      <c r="P627" t="str">
        <f>"Q"&amp;ROUNDUP(MONTH(tblTransactions[[#This Row],[Date]])/3,0)&amp;"-"&amp;YEAR(tblTransactions[[#This Row],[Date]])</f>
        <v>Q2-2023</v>
      </c>
      <c r="Q627">
        <f>YEAR(tblTransactions[[#This Row],[Date]])</f>
        <v>2023</v>
      </c>
      <c r="R627" t="str">
        <f>TEXT(tblTransactions[[#This Row],[Date]],"DDDD")</f>
        <v>Saturday</v>
      </c>
      <c r="S627">
        <f>MONTH(tblTransactions[[#This Row],[Date]])</f>
        <v>5</v>
      </c>
      <c r="T627" t="str">
        <f>VLOOKUP(E627, Products!$A:$B,2,0)</f>
        <v>Desks Fur-1</v>
      </c>
      <c r="U627" t="str">
        <f>VLOOKUP(E627,Products!$A:$C,3,0)</f>
        <v>Furniture</v>
      </c>
      <c r="V627" t="str">
        <f>VLOOKUP(E627,Products!$A:$D,4,0)</f>
        <v>Desks</v>
      </c>
      <c r="W627" t="str">
        <f>VLOOKUP(D627,Customers!$A:$C,3,0)</f>
        <v>B2C</v>
      </c>
      <c r="X627" t="str">
        <f>VLOOKUP(C627,Sales_Representatives!$A:$B,2,0)</f>
        <v>Thomas Hernandez</v>
      </c>
    </row>
    <row r="628" spans="1:24" x14ac:dyDescent="0.3">
      <c r="A628" t="s">
        <v>922</v>
      </c>
      <c r="B628" t="s">
        <v>923</v>
      </c>
      <c r="C628" t="s">
        <v>127</v>
      </c>
      <c r="D628" t="s">
        <v>47</v>
      </c>
      <c r="E628" t="s">
        <v>479</v>
      </c>
      <c r="F628">
        <v>6</v>
      </c>
      <c r="G628">
        <v>239.6</v>
      </c>
      <c r="H628">
        <v>0.06</v>
      </c>
      <c r="I628" s="4">
        <v>1351.34</v>
      </c>
      <c r="J628" t="s">
        <v>109</v>
      </c>
      <c r="K628" t="s">
        <v>39</v>
      </c>
      <c r="L628" s="4">
        <f>VLOOKUP(tblTransactions[[#This Row],[Product_ID]],tblProducts[],5,FALSE)</f>
        <v>107.49</v>
      </c>
      <c r="M628" s="4">
        <f>tblTransactions[[#This Row],[Total_Amount]]-(tblTransactions[[#This Row],[Cost_Prices]]*tblTransactions[[#This Row],[Quantity]]*(1-tblTransactions[[#This Row],[Discount]]))</f>
        <v>745.09640000000002</v>
      </c>
      <c r="N628" s="3">
        <f>tblTransactions[[#This Row],[Profit]]/tblTransactions[[#This Row],[Total_Amount]]</f>
        <v>0.55137596755812757</v>
      </c>
      <c r="O628" t="str">
        <f>TEXT(tblTransactions[[#This Row],[Date]], "MMM-YYYY")</f>
        <v>May-2023</v>
      </c>
      <c r="P628" t="str">
        <f>"Q"&amp;ROUNDUP(MONTH(tblTransactions[[#This Row],[Date]])/3,0)&amp;"-"&amp;YEAR(tblTransactions[[#This Row],[Date]])</f>
        <v>Q2-2023</v>
      </c>
      <c r="Q628">
        <f>YEAR(tblTransactions[[#This Row],[Date]])</f>
        <v>2023</v>
      </c>
      <c r="R628" t="str">
        <f>TEXT(tblTransactions[[#This Row],[Date]],"DDDD")</f>
        <v>Sunday</v>
      </c>
      <c r="S628">
        <f>MONTH(tblTransactions[[#This Row],[Date]])</f>
        <v>5</v>
      </c>
      <c r="T628" t="str">
        <f>VLOOKUP(E628, Products!$A:$B,2,0)</f>
        <v>Pens Off-2</v>
      </c>
      <c r="U628" t="str">
        <f>VLOOKUP(E628,Products!$A:$C,3,0)</f>
        <v>Office Supplies</v>
      </c>
      <c r="V628" t="str">
        <f>VLOOKUP(E628,Products!$A:$D,4,0)</f>
        <v>Pens</v>
      </c>
      <c r="W628" t="str">
        <f>VLOOKUP(D628,Customers!$A:$C,3,0)</f>
        <v>B2C</v>
      </c>
      <c r="X628" t="str">
        <f>VLOOKUP(C628,Sales_Representatives!$A:$B,2,0)</f>
        <v>Emily Hernandez</v>
      </c>
    </row>
    <row r="629" spans="1:24" x14ac:dyDescent="0.3">
      <c r="A629" t="s">
        <v>924</v>
      </c>
      <c r="B629" t="s">
        <v>923</v>
      </c>
      <c r="C629" t="s">
        <v>70</v>
      </c>
      <c r="D629" t="s">
        <v>362</v>
      </c>
      <c r="E629" t="s">
        <v>481</v>
      </c>
      <c r="F629">
        <v>2</v>
      </c>
      <c r="G629">
        <v>263.58999999999997</v>
      </c>
      <c r="H629">
        <v>7.0000000000000007E-2</v>
      </c>
      <c r="I629" s="4">
        <v>490.28</v>
      </c>
      <c r="J629" t="s">
        <v>16</v>
      </c>
      <c r="K629" t="s">
        <v>17</v>
      </c>
      <c r="L629" s="4">
        <f>VLOOKUP(tblTransactions[[#This Row],[Product_ID]],tblProducts[],5,FALSE)</f>
        <v>133.65</v>
      </c>
      <c r="M629" s="4">
        <f>tblTransactions[[#This Row],[Total_Amount]]-(tblTransactions[[#This Row],[Cost_Prices]]*tblTransactions[[#This Row],[Quantity]]*(1-tblTransactions[[#This Row],[Discount]]))</f>
        <v>241.69099999999997</v>
      </c>
      <c r="N629" s="3">
        <f>tblTransactions[[#This Row],[Profit]]/tblTransactions[[#This Row],[Total_Amount]]</f>
        <v>0.49296524435016725</v>
      </c>
      <c r="O629" t="str">
        <f>TEXT(tblTransactions[[#This Row],[Date]], "MMM-YYYY")</f>
        <v>May-2023</v>
      </c>
      <c r="P629" t="str">
        <f>"Q"&amp;ROUNDUP(MONTH(tblTransactions[[#This Row],[Date]])/3,0)&amp;"-"&amp;YEAR(tblTransactions[[#This Row],[Date]])</f>
        <v>Q2-2023</v>
      </c>
      <c r="Q629">
        <f>YEAR(tblTransactions[[#This Row],[Date]])</f>
        <v>2023</v>
      </c>
      <c r="R629" t="str">
        <f>TEXT(tblTransactions[[#This Row],[Date]],"DDDD")</f>
        <v>Sunday</v>
      </c>
      <c r="S629">
        <f>MONTH(tblTransactions[[#This Row],[Date]])</f>
        <v>5</v>
      </c>
      <c r="T629" t="str">
        <f>VLOOKUP(E629, Products!$A:$B,2,0)</f>
        <v>Folders Off-1</v>
      </c>
      <c r="U629" t="str">
        <f>VLOOKUP(E629,Products!$A:$C,3,0)</f>
        <v>Office Supplies</v>
      </c>
      <c r="V629" t="str">
        <f>VLOOKUP(E629,Products!$A:$D,4,0)</f>
        <v>Folders</v>
      </c>
      <c r="W629" t="str">
        <f>VLOOKUP(D629,Customers!$A:$C,3,0)</f>
        <v>Small Business</v>
      </c>
      <c r="X629" t="str">
        <f>VLOOKUP(C629,Sales_Representatives!$A:$B,2,0)</f>
        <v>Linda Smith</v>
      </c>
    </row>
    <row r="630" spans="1:24" x14ac:dyDescent="0.3">
      <c r="A630" t="s">
        <v>925</v>
      </c>
      <c r="B630" t="s">
        <v>923</v>
      </c>
      <c r="C630" t="s">
        <v>75</v>
      </c>
      <c r="D630" t="s">
        <v>112</v>
      </c>
      <c r="E630" t="s">
        <v>53</v>
      </c>
      <c r="F630">
        <v>9</v>
      </c>
      <c r="G630">
        <v>2069.2199999999998</v>
      </c>
      <c r="H630">
        <v>0.15</v>
      </c>
      <c r="I630" s="4">
        <v>15829.53</v>
      </c>
      <c r="J630" t="s">
        <v>44</v>
      </c>
      <c r="K630" t="s">
        <v>17</v>
      </c>
      <c r="L630" s="4">
        <f>VLOOKUP(tblTransactions[[#This Row],[Product_ID]],tblProducts[],5,FALSE)</f>
        <v>1451.18</v>
      </c>
      <c r="M630" s="4">
        <f>tblTransactions[[#This Row],[Total_Amount]]-(tblTransactions[[#This Row],[Cost_Prices]]*tblTransactions[[#This Row],[Quantity]]*(1-tblTransactions[[#This Row],[Discount]]))</f>
        <v>4728.0030000000006</v>
      </c>
      <c r="N630" s="3">
        <f>tblTransactions[[#This Row],[Profit]]/tblTransactions[[#This Row],[Total_Amount]]</f>
        <v>0.29868246246098273</v>
      </c>
      <c r="O630" t="str">
        <f>TEXT(tblTransactions[[#This Row],[Date]], "MMM-YYYY")</f>
        <v>May-2023</v>
      </c>
      <c r="P630" t="str">
        <f>"Q"&amp;ROUNDUP(MONTH(tblTransactions[[#This Row],[Date]])/3,0)&amp;"-"&amp;YEAR(tblTransactions[[#This Row],[Date]])</f>
        <v>Q2-2023</v>
      </c>
      <c r="Q630">
        <f>YEAR(tblTransactions[[#This Row],[Date]])</f>
        <v>2023</v>
      </c>
      <c r="R630" t="str">
        <f>TEXT(tblTransactions[[#This Row],[Date]],"DDDD")</f>
        <v>Sunday</v>
      </c>
      <c r="S630">
        <f>MONTH(tblTransactions[[#This Row],[Date]])</f>
        <v>5</v>
      </c>
      <c r="T630" t="str">
        <f>VLOOKUP(E630, Products!$A:$B,2,0)</f>
        <v>Printers Tec-3</v>
      </c>
      <c r="U630" t="str">
        <f>VLOOKUP(E630,Products!$A:$C,3,0)</f>
        <v>Technology</v>
      </c>
      <c r="V630" t="str">
        <f>VLOOKUP(E630,Products!$A:$D,4,0)</f>
        <v>Printers</v>
      </c>
      <c r="W630" t="str">
        <f>VLOOKUP(D630,Customers!$A:$C,3,0)</f>
        <v>Enterprise</v>
      </c>
      <c r="X630" t="str">
        <f>VLOOKUP(C630,Sales_Representatives!$A:$B,2,0)</f>
        <v>Jessica Anderson</v>
      </c>
    </row>
    <row r="631" spans="1:24" x14ac:dyDescent="0.3">
      <c r="A631" t="s">
        <v>926</v>
      </c>
      <c r="B631" t="s">
        <v>923</v>
      </c>
      <c r="C631" t="s">
        <v>59</v>
      </c>
      <c r="D631" t="s">
        <v>212</v>
      </c>
      <c r="E631" t="s">
        <v>232</v>
      </c>
      <c r="F631">
        <v>1</v>
      </c>
      <c r="G631">
        <v>60.21</v>
      </c>
      <c r="H631">
        <v>0.09</v>
      </c>
      <c r="I631" s="4">
        <v>54.79</v>
      </c>
      <c r="J631" t="s">
        <v>21</v>
      </c>
      <c r="K631" t="s">
        <v>48</v>
      </c>
      <c r="L631" s="4">
        <f>VLOOKUP(tblTransactions[[#This Row],[Product_ID]],tblProducts[],5,FALSE)</f>
        <v>38.18</v>
      </c>
      <c r="M631" s="4">
        <f>tblTransactions[[#This Row],[Total_Amount]]-(tblTransactions[[#This Row],[Cost_Prices]]*tblTransactions[[#This Row],[Quantity]]*(1-tblTransactions[[#This Row],[Discount]]))</f>
        <v>20.046199999999999</v>
      </c>
      <c r="N631" s="3">
        <f>tblTransactions[[#This Row],[Profit]]/tblTransactions[[#This Row],[Total_Amount]]</f>
        <v>0.36587333455010035</v>
      </c>
      <c r="O631" t="str">
        <f>TEXT(tblTransactions[[#This Row],[Date]], "MMM-YYYY")</f>
        <v>May-2023</v>
      </c>
      <c r="P631" t="str">
        <f>"Q"&amp;ROUNDUP(MONTH(tblTransactions[[#This Row],[Date]])/3,0)&amp;"-"&amp;YEAR(tblTransactions[[#This Row],[Date]])</f>
        <v>Q2-2023</v>
      </c>
      <c r="Q631">
        <f>YEAR(tblTransactions[[#This Row],[Date]])</f>
        <v>2023</v>
      </c>
      <c r="R631" t="str">
        <f>TEXT(tblTransactions[[#This Row],[Date]],"DDDD")</f>
        <v>Sunday</v>
      </c>
      <c r="S631">
        <f>MONTH(tblTransactions[[#This Row],[Date]])</f>
        <v>5</v>
      </c>
      <c r="T631" t="str">
        <f>VLOOKUP(E631, Products!$A:$B,2,0)</f>
        <v>Cables Acc-3</v>
      </c>
      <c r="U631" t="str">
        <f>VLOOKUP(E631,Products!$A:$C,3,0)</f>
        <v>Accessories</v>
      </c>
      <c r="V631" t="str">
        <f>VLOOKUP(E631,Products!$A:$D,4,0)</f>
        <v>Cables</v>
      </c>
      <c r="W631" t="str">
        <f>VLOOKUP(D631,Customers!$A:$C,3,0)</f>
        <v>B2C</v>
      </c>
      <c r="X631" t="str">
        <f>VLOOKUP(C631,Sales_Representatives!$A:$B,2,0)</f>
        <v>Sarah Brown</v>
      </c>
    </row>
    <row r="632" spans="1:24" x14ac:dyDescent="0.3">
      <c r="A632" t="s">
        <v>927</v>
      </c>
      <c r="B632" t="s">
        <v>923</v>
      </c>
      <c r="C632" t="s">
        <v>56</v>
      </c>
      <c r="D632" t="s">
        <v>37</v>
      </c>
      <c r="E632" t="s">
        <v>53</v>
      </c>
      <c r="F632">
        <v>14</v>
      </c>
      <c r="G632">
        <v>2069.2199999999998</v>
      </c>
      <c r="H632">
        <v>0.17</v>
      </c>
      <c r="I632" s="4">
        <v>24044.34</v>
      </c>
      <c r="J632" t="s">
        <v>34</v>
      </c>
      <c r="K632" t="s">
        <v>39</v>
      </c>
      <c r="L632" s="4">
        <f>VLOOKUP(tblTransactions[[#This Row],[Product_ID]],tblProducts[],5,FALSE)</f>
        <v>1451.18</v>
      </c>
      <c r="M632" s="4">
        <f>tblTransactions[[#This Row],[Total_Amount]]-(tblTransactions[[#This Row],[Cost_Prices]]*tblTransactions[[#This Row],[Quantity]]*(1-tblTransactions[[#This Row],[Discount]]))</f>
        <v>7181.6284000000014</v>
      </c>
      <c r="N632" s="3">
        <f>tblTransactions[[#This Row],[Profit]]/tblTransactions[[#This Row],[Total_Amount]]</f>
        <v>0.29868270037771888</v>
      </c>
      <c r="O632" t="str">
        <f>TEXT(tblTransactions[[#This Row],[Date]], "MMM-YYYY")</f>
        <v>May-2023</v>
      </c>
      <c r="P632" t="str">
        <f>"Q"&amp;ROUNDUP(MONTH(tblTransactions[[#This Row],[Date]])/3,0)&amp;"-"&amp;YEAR(tblTransactions[[#This Row],[Date]])</f>
        <v>Q2-2023</v>
      </c>
      <c r="Q632">
        <f>YEAR(tblTransactions[[#This Row],[Date]])</f>
        <v>2023</v>
      </c>
      <c r="R632" t="str">
        <f>TEXT(tblTransactions[[#This Row],[Date]],"DDDD")</f>
        <v>Sunday</v>
      </c>
      <c r="S632">
        <f>MONTH(tblTransactions[[#This Row],[Date]])</f>
        <v>5</v>
      </c>
      <c r="T632" t="str">
        <f>VLOOKUP(E632, Products!$A:$B,2,0)</f>
        <v>Printers Tec-3</v>
      </c>
      <c r="U632" t="str">
        <f>VLOOKUP(E632,Products!$A:$C,3,0)</f>
        <v>Technology</v>
      </c>
      <c r="V632" t="str">
        <f>VLOOKUP(E632,Products!$A:$D,4,0)</f>
        <v>Printers</v>
      </c>
      <c r="W632" t="str">
        <f>VLOOKUP(D632,Customers!$A:$C,3,0)</f>
        <v>Enterprise</v>
      </c>
      <c r="X632" t="str">
        <f>VLOOKUP(C632,Sales_Representatives!$A:$B,2,0)</f>
        <v>Thomas Hernandez</v>
      </c>
    </row>
    <row r="633" spans="1:24" x14ac:dyDescent="0.3">
      <c r="A633" t="s">
        <v>928</v>
      </c>
      <c r="B633" t="s">
        <v>923</v>
      </c>
      <c r="C633" t="s">
        <v>82</v>
      </c>
      <c r="D633" t="s">
        <v>101</v>
      </c>
      <c r="E633" t="s">
        <v>20</v>
      </c>
      <c r="F633">
        <v>4</v>
      </c>
      <c r="G633">
        <v>1219.49</v>
      </c>
      <c r="H633">
        <v>0.09</v>
      </c>
      <c r="I633" s="4">
        <v>4438.9399999999996</v>
      </c>
      <c r="J633" t="s">
        <v>34</v>
      </c>
      <c r="K633" t="s">
        <v>39</v>
      </c>
      <c r="L633" s="4">
        <f>VLOOKUP(tblTransactions[[#This Row],[Product_ID]],tblProducts[],5,FALSE)</f>
        <v>686.9</v>
      </c>
      <c r="M633" s="4">
        <f>tblTransactions[[#This Row],[Total_Amount]]-(tblTransactions[[#This Row],[Cost_Prices]]*tblTransactions[[#This Row],[Quantity]]*(1-tblTransactions[[#This Row],[Discount]]))</f>
        <v>1938.6239999999998</v>
      </c>
      <c r="N633" s="3">
        <f>tblTransactions[[#This Row],[Profit]]/tblTransactions[[#This Row],[Total_Amount]]</f>
        <v>0.43673129170477637</v>
      </c>
      <c r="O633" t="str">
        <f>TEXT(tblTransactions[[#This Row],[Date]], "MMM-YYYY")</f>
        <v>May-2023</v>
      </c>
      <c r="P633" t="str">
        <f>"Q"&amp;ROUNDUP(MONTH(tblTransactions[[#This Row],[Date]])/3,0)&amp;"-"&amp;YEAR(tblTransactions[[#This Row],[Date]])</f>
        <v>Q2-2023</v>
      </c>
      <c r="Q633">
        <f>YEAR(tblTransactions[[#This Row],[Date]])</f>
        <v>2023</v>
      </c>
      <c r="R633" t="str">
        <f>TEXT(tblTransactions[[#This Row],[Date]],"DDDD")</f>
        <v>Sunday</v>
      </c>
      <c r="S633">
        <f>MONTH(tblTransactions[[#This Row],[Date]])</f>
        <v>5</v>
      </c>
      <c r="T633" t="str">
        <f>VLOOKUP(E633, Products!$A:$B,2,0)</f>
        <v>Laptops Ele-1</v>
      </c>
      <c r="U633" t="str">
        <f>VLOOKUP(E633,Products!$A:$C,3,0)</f>
        <v>Electronics</v>
      </c>
      <c r="V633" t="str">
        <f>VLOOKUP(E633,Products!$A:$D,4,0)</f>
        <v>Laptops</v>
      </c>
      <c r="W633" t="str">
        <f>VLOOKUP(D633,Customers!$A:$C,3,0)</f>
        <v>B2C</v>
      </c>
      <c r="X633" t="str">
        <f>VLOOKUP(C633,Sales_Representatives!$A:$B,2,0)</f>
        <v>John Brown</v>
      </c>
    </row>
    <row r="634" spans="1:24" x14ac:dyDescent="0.3">
      <c r="A634" t="s">
        <v>929</v>
      </c>
      <c r="B634" t="s">
        <v>923</v>
      </c>
      <c r="C634" t="s">
        <v>27</v>
      </c>
      <c r="D634" t="s">
        <v>24</v>
      </c>
      <c r="E634" t="s">
        <v>191</v>
      </c>
      <c r="F634">
        <v>14</v>
      </c>
      <c r="G634">
        <v>1012.75</v>
      </c>
      <c r="H634">
        <v>0.15</v>
      </c>
      <c r="I634" s="4">
        <v>12051.72</v>
      </c>
      <c r="J634" t="s">
        <v>16</v>
      </c>
      <c r="K634" t="s">
        <v>17</v>
      </c>
      <c r="L634" s="4">
        <f>VLOOKUP(tblTransactions[[#This Row],[Product_ID]],tblProducts[],5,FALSE)</f>
        <v>518.53</v>
      </c>
      <c r="M634" s="4">
        <f>tblTransactions[[#This Row],[Total_Amount]]-(tblTransactions[[#This Row],[Cost_Prices]]*tblTransactions[[#This Row],[Quantity]]*(1-tblTransactions[[#This Row],[Discount]]))</f>
        <v>5881.2129999999997</v>
      </c>
      <c r="N634" s="3">
        <f>tblTransactions[[#This Row],[Profit]]/tblTransactions[[#This Row],[Total_Amount]]</f>
        <v>0.48799781276033627</v>
      </c>
      <c r="O634" t="str">
        <f>TEXT(tblTransactions[[#This Row],[Date]], "MMM-YYYY")</f>
        <v>May-2023</v>
      </c>
      <c r="P634" t="str">
        <f>"Q"&amp;ROUNDUP(MONTH(tblTransactions[[#This Row],[Date]])/3,0)&amp;"-"&amp;YEAR(tblTransactions[[#This Row],[Date]])</f>
        <v>Q2-2023</v>
      </c>
      <c r="Q634">
        <f>YEAR(tblTransactions[[#This Row],[Date]])</f>
        <v>2023</v>
      </c>
      <c r="R634" t="str">
        <f>TEXT(tblTransactions[[#This Row],[Date]],"DDDD")</f>
        <v>Sunday</v>
      </c>
      <c r="S634">
        <f>MONTH(tblTransactions[[#This Row],[Date]])</f>
        <v>5</v>
      </c>
      <c r="T634" t="str">
        <f>VLOOKUP(E634, Products!$A:$B,2,0)</f>
        <v>Tables Fur-4</v>
      </c>
      <c r="U634" t="str">
        <f>VLOOKUP(E634,Products!$A:$C,3,0)</f>
        <v>Furniture</v>
      </c>
      <c r="V634" t="str">
        <f>VLOOKUP(E634,Products!$A:$D,4,0)</f>
        <v>Tables</v>
      </c>
      <c r="W634" t="str">
        <f>VLOOKUP(D634,Customers!$A:$C,3,0)</f>
        <v>B2B</v>
      </c>
      <c r="X634" t="str">
        <f>VLOOKUP(C634,Sales_Representatives!$A:$B,2,0)</f>
        <v>Thomas Lopez</v>
      </c>
    </row>
    <row r="635" spans="1:24" x14ac:dyDescent="0.3">
      <c r="A635" t="s">
        <v>930</v>
      </c>
      <c r="B635" t="s">
        <v>923</v>
      </c>
      <c r="C635" t="s">
        <v>75</v>
      </c>
      <c r="D635" t="s">
        <v>14</v>
      </c>
      <c r="E635" t="s">
        <v>25</v>
      </c>
      <c r="F635">
        <v>9</v>
      </c>
      <c r="G635">
        <v>1467.49</v>
      </c>
      <c r="H635">
        <v>0.11</v>
      </c>
      <c r="I635" s="4">
        <v>11754.59</v>
      </c>
      <c r="J635" t="s">
        <v>44</v>
      </c>
      <c r="K635" t="s">
        <v>17</v>
      </c>
      <c r="L635" s="4">
        <f>VLOOKUP(tblTransactions[[#This Row],[Product_ID]],tblProducts[],5,FALSE)</f>
        <v>757.65</v>
      </c>
      <c r="M635" s="4">
        <f>tblTransactions[[#This Row],[Total_Amount]]-(tblTransactions[[#This Row],[Cost_Prices]]*tblTransactions[[#This Row],[Quantity]]*(1-tblTransactions[[#This Row],[Discount]]))</f>
        <v>5685.8135000000002</v>
      </c>
      <c r="N635" s="3">
        <f>tblTransactions[[#This Row],[Profit]]/tblTransactions[[#This Row],[Total_Amount]]</f>
        <v>0.48371006559990609</v>
      </c>
      <c r="O635" t="str">
        <f>TEXT(tblTransactions[[#This Row],[Date]], "MMM-YYYY")</f>
        <v>May-2023</v>
      </c>
      <c r="P635" t="str">
        <f>"Q"&amp;ROUNDUP(MONTH(tblTransactions[[#This Row],[Date]])/3,0)&amp;"-"&amp;YEAR(tblTransactions[[#This Row],[Date]])</f>
        <v>Q2-2023</v>
      </c>
      <c r="Q635">
        <f>YEAR(tblTransactions[[#This Row],[Date]])</f>
        <v>2023</v>
      </c>
      <c r="R635" t="str">
        <f>TEXT(tblTransactions[[#This Row],[Date]],"DDDD")</f>
        <v>Sunday</v>
      </c>
      <c r="S635">
        <f>MONTH(tblTransactions[[#This Row],[Date]])</f>
        <v>5</v>
      </c>
      <c r="T635" t="str">
        <f>VLOOKUP(E635, Products!$A:$B,2,0)</f>
        <v>Tables Fur-3</v>
      </c>
      <c r="U635" t="str">
        <f>VLOOKUP(E635,Products!$A:$C,3,0)</f>
        <v>Furniture</v>
      </c>
      <c r="V635" t="str">
        <f>VLOOKUP(E635,Products!$A:$D,4,0)</f>
        <v>Tables</v>
      </c>
      <c r="W635" t="str">
        <f>VLOOKUP(D635,Customers!$A:$C,3,0)</f>
        <v>B2B</v>
      </c>
      <c r="X635" t="str">
        <f>VLOOKUP(C635,Sales_Representatives!$A:$B,2,0)</f>
        <v>Jessica Anderson</v>
      </c>
    </row>
    <row r="636" spans="1:24" x14ac:dyDescent="0.3">
      <c r="A636" t="s">
        <v>931</v>
      </c>
      <c r="B636" t="s">
        <v>923</v>
      </c>
      <c r="C636" t="s">
        <v>19</v>
      </c>
      <c r="D636" t="s">
        <v>76</v>
      </c>
      <c r="E636" t="s">
        <v>248</v>
      </c>
      <c r="F636">
        <v>1</v>
      </c>
      <c r="G636">
        <v>82.29</v>
      </c>
      <c r="H636">
        <v>0.09</v>
      </c>
      <c r="I636" s="4">
        <v>74.88</v>
      </c>
      <c r="J636" t="s">
        <v>21</v>
      </c>
      <c r="K636" t="s">
        <v>39</v>
      </c>
      <c r="L636" s="4">
        <f>VLOOKUP(tblTransactions[[#This Row],[Product_ID]],tblProducts[],5,FALSE)</f>
        <v>51.11</v>
      </c>
      <c r="M636" s="4">
        <f>tblTransactions[[#This Row],[Total_Amount]]-(tblTransactions[[#This Row],[Cost_Prices]]*tblTransactions[[#This Row],[Quantity]]*(1-tblTransactions[[#This Row],[Discount]]))</f>
        <v>28.369899999999994</v>
      </c>
      <c r="N636" s="3">
        <f>tblTransactions[[#This Row],[Profit]]/tblTransactions[[#This Row],[Total_Amount]]</f>
        <v>0.37887152777777772</v>
      </c>
      <c r="O636" t="str">
        <f>TEXT(tblTransactions[[#This Row],[Date]], "MMM-YYYY")</f>
        <v>May-2023</v>
      </c>
      <c r="P636" t="str">
        <f>"Q"&amp;ROUNDUP(MONTH(tblTransactions[[#This Row],[Date]])/3,0)&amp;"-"&amp;YEAR(tblTransactions[[#This Row],[Date]])</f>
        <v>Q2-2023</v>
      </c>
      <c r="Q636">
        <f>YEAR(tblTransactions[[#This Row],[Date]])</f>
        <v>2023</v>
      </c>
      <c r="R636" t="str">
        <f>TEXT(tblTransactions[[#This Row],[Date]],"DDDD")</f>
        <v>Sunday</v>
      </c>
      <c r="S636">
        <f>MONTH(tblTransactions[[#This Row],[Date]])</f>
        <v>5</v>
      </c>
      <c r="T636" t="str">
        <f>VLOOKUP(E636, Products!$A:$B,2,0)</f>
        <v>Keyboards Acc-2</v>
      </c>
      <c r="U636" t="str">
        <f>VLOOKUP(E636,Products!$A:$C,3,0)</f>
        <v>Accessories</v>
      </c>
      <c r="V636" t="str">
        <f>VLOOKUP(E636,Products!$A:$D,4,0)</f>
        <v>Keyboards</v>
      </c>
      <c r="W636" t="str">
        <f>VLOOKUP(D636,Customers!$A:$C,3,0)</f>
        <v>Small Business</v>
      </c>
      <c r="X636" t="str">
        <f>VLOOKUP(C636,Sales_Representatives!$A:$B,2,0)</f>
        <v>Robert Jones</v>
      </c>
    </row>
    <row r="637" spans="1:24" x14ac:dyDescent="0.3">
      <c r="A637" t="s">
        <v>932</v>
      </c>
      <c r="B637" t="s">
        <v>923</v>
      </c>
      <c r="C637" t="s">
        <v>75</v>
      </c>
      <c r="D637" t="s">
        <v>203</v>
      </c>
      <c r="E637" t="s">
        <v>113</v>
      </c>
      <c r="F637">
        <v>45</v>
      </c>
      <c r="G637">
        <v>930.41</v>
      </c>
      <c r="H637">
        <v>0.2</v>
      </c>
      <c r="I637" s="4">
        <v>33494.76</v>
      </c>
      <c r="J637" t="s">
        <v>44</v>
      </c>
      <c r="K637" t="s">
        <v>48</v>
      </c>
      <c r="L637" s="4">
        <f>VLOOKUP(tblTransactions[[#This Row],[Product_ID]],tblProducts[],5,FALSE)</f>
        <v>595.51</v>
      </c>
      <c r="M637" s="4">
        <f>tblTransactions[[#This Row],[Total_Amount]]-(tblTransactions[[#This Row],[Cost_Prices]]*tblTransactions[[#This Row],[Quantity]]*(1-tblTransactions[[#This Row],[Discount]]))</f>
        <v>12056.400000000001</v>
      </c>
      <c r="N637" s="3">
        <f>tblTransactions[[#This Row],[Profit]]/tblTransactions[[#This Row],[Total_Amount]]</f>
        <v>0.35994883975881603</v>
      </c>
      <c r="O637" t="str">
        <f>TEXT(tblTransactions[[#This Row],[Date]], "MMM-YYYY")</f>
        <v>May-2023</v>
      </c>
      <c r="P637" t="str">
        <f>"Q"&amp;ROUNDUP(MONTH(tblTransactions[[#This Row],[Date]])/3,0)&amp;"-"&amp;YEAR(tblTransactions[[#This Row],[Date]])</f>
        <v>Q2-2023</v>
      </c>
      <c r="Q637">
        <f>YEAR(tblTransactions[[#This Row],[Date]])</f>
        <v>2023</v>
      </c>
      <c r="R637" t="str">
        <f>TEXT(tblTransactions[[#This Row],[Date]],"DDDD")</f>
        <v>Sunday</v>
      </c>
      <c r="S637">
        <f>MONTH(tblTransactions[[#This Row],[Date]])</f>
        <v>5</v>
      </c>
      <c r="T637" t="str">
        <f>VLOOKUP(E637, Products!$A:$B,2,0)</f>
        <v>Phones Ele-1</v>
      </c>
      <c r="U637" t="str">
        <f>VLOOKUP(E637,Products!$A:$C,3,0)</f>
        <v>Electronics</v>
      </c>
      <c r="V637" t="str">
        <f>VLOOKUP(E637,Products!$A:$D,4,0)</f>
        <v>Phones</v>
      </c>
      <c r="W637" t="str">
        <f>VLOOKUP(D637,Customers!$A:$C,3,0)</f>
        <v>Enterprise</v>
      </c>
      <c r="X637" t="str">
        <f>VLOOKUP(C637,Sales_Representatives!$A:$B,2,0)</f>
        <v>Jessica Anderson</v>
      </c>
    </row>
    <row r="638" spans="1:24" x14ac:dyDescent="0.3">
      <c r="A638" t="s">
        <v>933</v>
      </c>
      <c r="B638" t="s">
        <v>934</v>
      </c>
      <c r="C638" t="s">
        <v>13</v>
      </c>
      <c r="D638" t="s">
        <v>115</v>
      </c>
      <c r="E638" t="s">
        <v>25</v>
      </c>
      <c r="F638">
        <v>6</v>
      </c>
      <c r="G638">
        <v>1467.49</v>
      </c>
      <c r="H638">
        <v>0.12</v>
      </c>
      <c r="I638" s="4">
        <v>7748.35</v>
      </c>
      <c r="J638" t="s">
        <v>16</v>
      </c>
      <c r="K638" t="s">
        <v>22</v>
      </c>
      <c r="L638" s="4">
        <f>VLOOKUP(tblTransactions[[#This Row],[Product_ID]],tblProducts[],5,FALSE)</f>
        <v>757.65</v>
      </c>
      <c r="M638" s="4">
        <f>tblTransactions[[#This Row],[Total_Amount]]-(tblTransactions[[#This Row],[Cost_Prices]]*tblTransactions[[#This Row],[Quantity]]*(1-tblTransactions[[#This Row],[Discount]]))</f>
        <v>3747.9580000000005</v>
      </c>
      <c r="N638" s="3">
        <f>tblTransactions[[#This Row],[Profit]]/tblTransactions[[#This Row],[Total_Amount]]</f>
        <v>0.48371046738983142</v>
      </c>
      <c r="O638" t="str">
        <f>TEXT(tblTransactions[[#This Row],[Date]], "MMM-YYYY")</f>
        <v>May-2023</v>
      </c>
      <c r="P638" t="str">
        <f>"Q"&amp;ROUNDUP(MONTH(tblTransactions[[#This Row],[Date]])/3,0)&amp;"-"&amp;YEAR(tblTransactions[[#This Row],[Date]])</f>
        <v>Q2-2023</v>
      </c>
      <c r="Q638">
        <f>YEAR(tblTransactions[[#This Row],[Date]])</f>
        <v>2023</v>
      </c>
      <c r="R638" t="str">
        <f>TEXT(tblTransactions[[#This Row],[Date]],"DDDD")</f>
        <v>Monday</v>
      </c>
      <c r="S638">
        <f>MONTH(tblTransactions[[#This Row],[Date]])</f>
        <v>5</v>
      </c>
      <c r="T638" t="str">
        <f>VLOOKUP(E638, Products!$A:$B,2,0)</f>
        <v>Tables Fur-3</v>
      </c>
      <c r="U638" t="str">
        <f>VLOOKUP(E638,Products!$A:$C,3,0)</f>
        <v>Furniture</v>
      </c>
      <c r="V638" t="str">
        <f>VLOOKUP(E638,Products!$A:$D,4,0)</f>
        <v>Tables</v>
      </c>
      <c r="W638" t="str">
        <f>VLOOKUP(D638,Customers!$A:$C,3,0)</f>
        <v>B2C</v>
      </c>
      <c r="X638" t="str">
        <f>VLOOKUP(C638,Sales_Representatives!$A:$B,2,0)</f>
        <v>Jennifer Rodriguez</v>
      </c>
    </row>
    <row r="639" spans="1:24" x14ac:dyDescent="0.3">
      <c r="A639" t="s">
        <v>935</v>
      </c>
      <c r="B639" t="s">
        <v>934</v>
      </c>
      <c r="C639" t="s">
        <v>31</v>
      </c>
      <c r="D639" t="s">
        <v>247</v>
      </c>
      <c r="E639" t="s">
        <v>172</v>
      </c>
      <c r="F639">
        <v>6</v>
      </c>
      <c r="G639">
        <v>1371.15</v>
      </c>
      <c r="H639">
        <v>0.08</v>
      </c>
      <c r="I639" s="4">
        <v>7568.75</v>
      </c>
      <c r="J639" t="s">
        <v>34</v>
      </c>
      <c r="K639" t="s">
        <v>17</v>
      </c>
      <c r="L639" s="4">
        <f>VLOOKUP(tblTransactions[[#This Row],[Product_ID]],tblProducts[],5,FALSE)</f>
        <v>989.81</v>
      </c>
      <c r="M639" s="4">
        <f>tblTransactions[[#This Row],[Total_Amount]]-(tblTransactions[[#This Row],[Cost_Prices]]*tblTransactions[[#This Row],[Quantity]]*(1-tblTransactions[[#This Row],[Discount]]))</f>
        <v>2104.9988000000003</v>
      </c>
      <c r="N639" s="3">
        <f>tblTransactions[[#This Row],[Profit]]/tblTransactions[[#This Row],[Total_Amount]]</f>
        <v>0.27811709991742367</v>
      </c>
      <c r="O639" t="str">
        <f>TEXT(tblTransactions[[#This Row],[Date]], "MMM-YYYY")</f>
        <v>May-2023</v>
      </c>
      <c r="P639" t="str">
        <f>"Q"&amp;ROUNDUP(MONTH(tblTransactions[[#This Row],[Date]])/3,0)&amp;"-"&amp;YEAR(tblTransactions[[#This Row],[Date]])</f>
        <v>Q2-2023</v>
      </c>
      <c r="Q639">
        <f>YEAR(tblTransactions[[#This Row],[Date]])</f>
        <v>2023</v>
      </c>
      <c r="R639" t="str">
        <f>TEXT(tblTransactions[[#This Row],[Date]],"DDDD")</f>
        <v>Monday</v>
      </c>
      <c r="S639">
        <f>MONTH(tblTransactions[[#This Row],[Date]])</f>
        <v>5</v>
      </c>
      <c r="T639" t="str">
        <f>VLOOKUP(E639, Products!$A:$B,2,0)</f>
        <v>Cameras Ele-4</v>
      </c>
      <c r="U639" t="str">
        <f>VLOOKUP(E639,Products!$A:$C,3,0)</f>
        <v>Electronics</v>
      </c>
      <c r="V639" t="str">
        <f>VLOOKUP(E639,Products!$A:$D,4,0)</f>
        <v>Cameras</v>
      </c>
      <c r="W639" t="str">
        <f>VLOOKUP(D639,Customers!$A:$C,3,0)</f>
        <v>B2C</v>
      </c>
      <c r="X639" t="str">
        <f>VLOOKUP(C639,Sales_Representatives!$A:$B,2,0)</f>
        <v>Thomas Martinez</v>
      </c>
    </row>
    <row r="640" spans="1:24" x14ac:dyDescent="0.3">
      <c r="A640" t="s">
        <v>936</v>
      </c>
      <c r="B640" t="s">
        <v>934</v>
      </c>
      <c r="C640" t="s">
        <v>107</v>
      </c>
      <c r="D640" t="s">
        <v>183</v>
      </c>
      <c r="E640" t="s">
        <v>304</v>
      </c>
      <c r="F640">
        <v>2</v>
      </c>
      <c r="G640">
        <v>13.43</v>
      </c>
      <c r="H640">
        <v>0.03</v>
      </c>
      <c r="I640" s="4">
        <v>26.05</v>
      </c>
      <c r="J640" t="s">
        <v>109</v>
      </c>
      <c r="K640" t="s">
        <v>48</v>
      </c>
      <c r="L640" s="4">
        <f>VLOOKUP(tblTransactions[[#This Row],[Product_ID]],tblProducts[],5,FALSE)</f>
        <v>5.8</v>
      </c>
      <c r="M640" s="4">
        <f>tblTransactions[[#This Row],[Total_Amount]]-(tblTransactions[[#This Row],[Cost_Prices]]*tblTransactions[[#This Row],[Quantity]]*(1-tblTransactions[[#This Row],[Discount]]))</f>
        <v>14.798000000000002</v>
      </c>
      <c r="N640" s="3">
        <f>tblTransactions[[#This Row],[Profit]]/tblTransactions[[#This Row],[Total_Amount]]</f>
        <v>0.56806142034548945</v>
      </c>
      <c r="O640" t="str">
        <f>TEXT(tblTransactions[[#This Row],[Date]], "MMM-YYYY")</f>
        <v>May-2023</v>
      </c>
      <c r="P640" t="str">
        <f>"Q"&amp;ROUNDUP(MONTH(tblTransactions[[#This Row],[Date]])/3,0)&amp;"-"&amp;YEAR(tblTransactions[[#This Row],[Date]])</f>
        <v>Q2-2023</v>
      </c>
      <c r="Q640">
        <f>YEAR(tblTransactions[[#This Row],[Date]])</f>
        <v>2023</v>
      </c>
      <c r="R640" t="str">
        <f>TEXT(tblTransactions[[#This Row],[Date]],"DDDD")</f>
        <v>Monday</v>
      </c>
      <c r="S640">
        <f>MONTH(tblTransactions[[#This Row],[Date]])</f>
        <v>5</v>
      </c>
      <c r="T640" t="str">
        <f>VLOOKUP(E640, Products!$A:$B,2,0)</f>
        <v>Pens Off-1</v>
      </c>
      <c r="U640" t="str">
        <f>VLOOKUP(E640,Products!$A:$C,3,0)</f>
        <v>Office Supplies</v>
      </c>
      <c r="V640" t="str">
        <f>VLOOKUP(E640,Products!$A:$D,4,0)</f>
        <v>Pens</v>
      </c>
      <c r="W640" t="str">
        <f>VLOOKUP(D640,Customers!$A:$C,3,0)</f>
        <v>Small Business</v>
      </c>
      <c r="X640" t="str">
        <f>VLOOKUP(C640,Sales_Representatives!$A:$B,2,0)</f>
        <v>Jennifer Brown</v>
      </c>
    </row>
    <row r="641" spans="1:24" x14ac:dyDescent="0.3">
      <c r="A641" t="s">
        <v>937</v>
      </c>
      <c r="B641" t="s">
        <v>934</v>
      </c>
      <c r="C641" t="s">
        <v>27</v>
      </c>
      <c r="D641" t="s">
        <v>527</v>
      </c>
      <c r="E641" t="s">
        <v>191</v>
      </c>
      <c r="F641">
        <v>4</v>
      </c>
      <c r="G641">
        <v>1012.75</v>
      </c>
      <c r="H641">
        <v>7.0000000000000007E-2</v>
      </c>
      <c r="I641" s="4">
        <v>3767.43</v>
      </c>
      <c r="J641" t="s">
        <v>16</v>
      </c>
      <c r="K641" t="s">
        <v>39</v>
      </c>
      <c r="L641" s="4">
        <f>VLOOKUP(tblTransactions[[#This Row],[Product_ID]],tblProducts[],5,FALSE)</f>
        <v>518.53</v>
      </c>
      <c r="M641" s="4">
        <f>tblTransactions[[#This Row],[Total_Amount]]-(tblTransactions[[#This Row],[Cost_Prices]]*tblTransactions[[#This Row],[Quantity]]*(1-tblTransactions[[#This Row],[Discount]]))</f>
        <v>1838.4984000000002</v>
      </c>
      <c r="N641" s="3">
        <f>tblTransactions[[#This Row],[Profit]]/tblTransactions[[#This Row],[Total_Amount]]</f>
        <v>0.48799802517896823</v>
      </c>
      <c r="O641" t="str">
        <f>TEXT(tblTransactions[[#This Row],[Date]], "MMM-YYYY")</f>
        <v>May-2023</v>
      </c>
      <c r="P641" t="str">
        <f>"Q"&amp;ROUNDUP(MONTH(tblTransactions[[#This Row],[Date]])/3,0)&amp;"-"&amp;YEAR(tblTransactions[[#This Row],[Date]])</f>
        <v>Q2-2023</v>
      </c>
      <c r="Q641">
        <f>YEAR(tblTransactions[[#This Row],[Date]])</f>
        <v>2023</v>
      </c>
      <c r="R641" t="str">
        <f>TEXT(tblTransactions[[#This Row],[Date]],"DDDD")</f>
        <v>Monday</v>
      </c>
      <c r="S641">
        <f>MONTH(tblTransactions[[#This Row],[Date]])</f>
        <v>5</v>
      </c>
      <c r="T641" t="str">
        <f>VLOOKUP(E641, Products!$A:$B,2,0)</f>
        <v>Tables Fur-4</v>
      </c>
      <c r="U641" t="str">
        <f>VLOOKUP(E641,Products!$A:$C,3,0)</f>
        <v>Furniture</v>
      </c>
      <c r="V641" t="str">
        <f>VLOOKUP(E641,Products!$A:$D,4,0)</f>
        <v>Tables</v>
      </c>
      <c r="W641" t="str">
        <f>VLOOKUP(D641,Customers!$A:$C,3,0)</f>
        <v>B2C</v>
      </c>
      <c r="X641" t="str">
        <f>VLOOKUP(C641,Sales_Representatives!$A:$B,2,0)</f>
        <v>Thomas Lopez</v>
      </c>
    </row>
    <row r="642" spans="1:24" x14ac:dyDescent="0.3">
      <c r="A642" t="s">
        <v>938</v>
      </c>
      <c r="B642" t="s">
        <v>939</v>
      </c>
      <c r="C642" t="s">
        <v>31</v>
      </c>
      <c r="D642" t="s">
        <v>28</v>
      </c>
      <c r="E642" t="s">
        <v>113</v>
      </c>
      <c r="F642">
        <v>16</v>
      </c>
      <c r="G642">
        <v>930.41</v>
      </c>
      <c r="H642">
        <v>0.19</v>
      </c>
      <c r="I642" s="4">
        <v>12058.11</v>
      </c>
      <c r="J642" t="s">
        <v>34</v>
      </c>
      <c r="K642" t="s">
        <v>22</v>
      </c>
      <c r="L642" s="4">
        <f>VLOOKUP(tblTransactions[[#This Row],[Product_ID]],tblProducts[],5,FALSE)</f>
        <v>595.51</v>
      </c>
      <c r="M642" s="4">
        <f>tblTransactions[[#This Row],[Total_Amount]]-(tblTransactions[[#This Row],[Cost_Prices]]*tblTransactions[[#This Row],[Quantity]]*(1-tblTransactions[[#This Row],[Discount]]))</f>
        <v>4340.3004000000001</v>
      </c>
      <c r="N642" s="3">
        <f>tblTransactions[[#This Row],[Profit]]/tblTransactions[[#This Row],[Total_Amount]]</f>
        <v>0.3599486486688212</v>
      </c>
      <c r="O642" t="str">
        <f>TEXT(tblTransactions[[#This Row],[Date]], "MMM-YYYY")</f>
        <v>May-2023</v>
      </c>
      <c r="P642" t="str">
        <f>"Q"&amp;ROUNDUP(MONTH(tblTransactions[[#This Row],[Date]])/3,0)&amp;"-"&amp;YEAR(tblTransactions[[#This Row],[Date]])</f>
        <v>Q2-2023</v>
      </c>
      <c r="Q642">
        <f>YEAR(tblTransactions[[#This Row],[Date]])</f>
        <v>2023</v>
      </c>
      <c r="R642" t="str">
        <f>TEXT(tblTransactions[[#This Row],[Date]],"DDDD")</f>
        <v>Tuesday</v>
      </c>
      <c r="S642">
        <f>MONTH(tblTransactions[[#This Row],[Date]])</f>
        <v>5</v>
      </c>
      <c r="T642" t="str">
        <f>VLOOKUP(E642, Products!$A:$B,2,0)</f>
        <v>Phones Ele-1</v>
      </c>
      <c r="U642" t="str">
        <f>VLOOKUP(E642,Products!$A:$C,3,0)</f>
        <v>Electronics</v>
      </c>
      <c r="V642" t="str">
        <f>VLOOKUP(E642,Products!$A:$D,4,0)</f>
        <v>Phones</v>
      </c>
      <c r="W642" t="str">
        <f>VLOOKUP(D642,Customers!$A:$C,3,0)</f>
        <v>B2B</v>
      </c>
      <c r="X642" t="str">
        <f>VLOOKUP(C642,Sales_Representatives!$A:$B,2,0)</f>
        <v>Thomas Martinez</v>
      </c>
    </row>
    <row r="643" spans="1:24" x14ac:dyDescent="0.3">
      <c r="A643" t="s">
        <v>940</v>
      </c>
      <c r="B643" t="s">
        <v>939</v>
      </c>
      <c r="C643" t="s">
        <v>19</v>
      </c>
      <c r="D643" t="s">
        <v>132</v>
      </c>
      <c r="E643" t="s">
        <v>29</v>
      </c>
      <c r="F643">
        <v>7</v>
      </c>
      <c r="G643">
        <v>1363.46</v>
      </c>
      <c r="H643">
        <v>0.06</v>
      </c>
      <c r="I643" s="4">
        <v>8971.57</v>
      </c>
      <c r="J643" t="s">
        <v>21</v>
      </c>
      <c r="K643" t="s">
        <v>17</v>
      </c>
      <c r="L643" s="4">
        <f>VLOOKUP(tblTransactions[[#This Row],[Product_ID]],tblProducts[],5,FALSE)</f>
        <v>995.41</v>
      </c>
      <c r="M643" s="4">
        <f>tblTransactions[[#This Row],[Total_Amount]]-(tblTransactions[[#This Row],[Cost_Prices]]*tblTransactions[[#This Row],[Quantity]]*(1-tblTransactions[[#This Row],[Discount]]))</f>
        <v>2421.7722000000003</v>
      </c>
      <c r="N643" s="3">
        <f>tblTransactions[[#This Row],[Profit]]/tblTransactions[[#This Row],[Total_Amount]]</f>
        <v>0.26993850574648587</v>
      </c>
      <c r="O643" t="str">
        <f>TEXT(tblTransactions[[#This Row],[Date]], "MMM-YYYY")</f>
        <v>May-2023</v>
      </c>
      <c r="P643" t="str">
        <f>"Q"&amp;ROUNDUP(MONTH(tblTransactions[[#This Row],[Date]])/3,0)&amp;"-"&amp;YEAR(tblTransactions[[#This Row],[Date]])</f>
        <v>Q2-2023</v>
      </c>
      <c r="Q643">
        <f>YEAR(tblTransactions[[#This Row],[Date]])</f>
        <v>2023</v>
      </c>
      <c r="R643" t="str">
        <f>TEXT(tblTransactions[[#This Row],[Date]],"DDDD")</f>
        <v>Tuesday</v>
      </c>
      <c r="S643">
        <f>MONTH(tblTransactions[[#This Row],[Date]])</f>
        <v>5</v>
      </c>
      <c r="T643" t="str">
        <f>VLOOKUP(E643, Products!$A:$B,2,0)</f>
        <v>Phones Ele-3</v>
      </c>
      <c r="U643" t="str">
        <f>VLOOKUP(E643,Products!$A:$C,3,0)</f>
        <v>Electronics</v>
      </c>
      <c r="V643" t="str">
        <f>VLOOKUP(E643,Products!$A:$D,4,0)</f>
        <v>Phones</v>
      </c>
      <c r="W643" t="str">
        <f>VLOOKUP(D643,Customers!$A:$C,3,0)</f>
        <v>B2B</v>
      </c>
      <c r="X643" t="str">
        <f>VLOOKUP(C643,Sales_Representatives!$A:$B,2,0)</f>
        <v>Robert Jones</v>
      </c>
    </row>
    <row r="644" spans="1:24" x14ac:dyDescent="0.3">
      <c r="A644" t="s">
        <v>941</v>
      </c>
      <c r="B644" t="s">
        <v>939</v>
      </c>
      <c r="C644" t="s">
        <v>75</v>
      </c>
      <c r="D644" t="s">
        <v>115</v>
      </c>
      <c r="E644" t="s">
        <v>310</v>
      </c>
      <c r="F644">
        <v>2</v>
      </c>
      <c r="G644">
        <v>274.13</v>
      </c>
      <c r="H644">
        <v>0</v>
      </c>
      <c r="I644" s="4">
        <v>548.26</v>
      </c>
      <c r="J644" t="s">
        <v>44</v>
      </c>
      <c r="K644" t="s">
        <v>39</v>
      </c>
      <c r="L644" s="4">
        <f>VLOOKUP(tblTransactions[[#This Row],[Product_ID]],tblProducts[],5,FALSE)</f>
        <v>134.41999999999999</v>
      </c>
      <c r="M644" s="4">
        <f>tblTransactions[[#This Row],[Total_Amount]]-(tblTransactions[[#This Row],[Cost_Prices]]*tblTransactions[[#This Row],[Quantity]]*(1-tblTransactions[[#This Row],[Discount]]))</f>
        <v>279.42</v>
      </c>
      <c r="N644" s="3">
        <f>tblTransactions[[#This Row],[Profit]]/tblTransactions[[#This Row],[Total_Amount]]</f>
        <v>0.50964870681793317</v>
      </c>
      <c r="O644" t="str">
        <f>TEXT(tblTransactions[[#This Row],[Date]], "MMM-YYYY")</f>
        <v>May-2023</v>
      </c>
      <c r="P644" t="str">
        <f>"Q"&amp;ROUNDUP(MONTH(tblTransactions[[#This Row],[Date]])/3,0)&amp;"-"&amp;YEAR(tblTransactions[[#This Row],[Date]])</f>
        <v>Q2-2023</v>
      </c>
      <c r="Q644">
        <f>YEAR(tblTransactions[[#This Row],[Date]])</f>
        <v>2023</v>
      </c>
      <c r="R644" t="str">
        <f>TEXT(tblTransactions[[#This Row],[Date]],"DDDD")</f>
        <v>Tuesday</v>
      </c>
      <c r="S644">
        <f>MONTH(tblTransactions[[#This Row],[Date]])</f>
        <v>5</v>
      </c>
      <c r="T644" t="str">
        <f>VLOOKUP(E644, Products!$A:$B,2,0)</f>
        <v>Adapters Acc-4</v>
      </c>
      <c r="U644" t="str">
        <f>VLOOKUP(E644,Products!$A:$C,3,0)</f>
        <v>Accessories</v>
      </c>
      <c r="V644" t="str">
        <f>VLOOKUP(E644,Products!$A:$D,4,0)</f>
        <v>Adapters</v>
      </c>
      <c r="W644" t="str">
        <f>VLOOKUP(D644,Customers!$A:$C,3,0)</f>
        <v>B2C</v>
      </c>
      <c r="X644" t="str">
        <f>VLOOKUP(C644,Sales_Representatives!$A:$B,2,0)</f>
        <v>Jessica Anderson</v>
      </c>
    </row>
    <row r="645" spans="1:24" x14ac:dyDescent="0.3">
      <c r="A645" t="s">
        <v>942</v>
      </c>
      <c r="B645" t="s">
        <v>939</v>
      </c>
      <c r="C645" t="s">
        <v>131</v>
      </c>
      <c r="D645" t="s">
        <v>351</v>
      </c>
      <c r="E645" t="s">
        <v>157</v>
      </c>
      <c r="F645">
        <v>5</v>
      </c>
      <c r="G645">
        <v>1227.68</v>
      </c>
      <c r="H645">
        <v>0.03</v>
      </c>
      <c r="I645" s="4">
        <v>5954.25</v>
      </c>
      <c r="J645" t="s">
        <v>44</v>
      </c>
      <c r="K645" t="s">
        <v>22</v>
      </c>
      <c r="L645" s="4">
        <f>VLOOKUP(tblTransactions[[#This Row],[Product_ID]],tblProducts[],5,FALSE)</f>
        <v>846.42</v>
      </c>
      <c r="M645" s="4">
        <f>tblTransactions[[#This Row],[Total_Amount]]-(tblTransactions[[#This Row],[Cost_Prices]]*tblTransactions[[#This Row],[Quantity]]*(1-tblTransactions[[#This Row],[Discount]]))</f>
        <v>1849.1130000000003</v>
      </c>
      <c r="N645" s="3">
        <f>tblTransactions[[#This Row],[Profit]]/tblTransactions[[#This Row],[Total_Amount]]</f>
        <v>0.31055347021035401</v>
      </c>
      <c r="O645" t="str">
        <f>TEXT(tblTransactions[[#This Row],[Date]], "MMM-YYYY")</f>
        <v>May-2023</v>
      </c>
      <c r="P645" t="str">
        <f>"Q"&amp;ROUNDUP(MONTH(tblTransactions[[#This Row],[Date]])/3,0)&amp;"-"&amp;YEAR(tblTransactions[[#This Row],[Date]])</f>
        <v>Q2-2023</v>
      </c>
      <c r="Q645">
        <f>YEAR(tblTransactions[[#This Row],[Date]])</f>
        <v>2023</v>
      </c>
      <c r="R645" t="str">
        <f>TEXT(tblTransactions[[#This Row],[Date]],"DDDD")</f>
        <v>Tuesday</v>
      </c>
      <c r="S645">
        <f>MONTH(tblTransactions[[#This Row],[Date]])</f>
        <v>5</v>
      </c>
      <c r="T645" t="str">
        <f>VLOOKUP(E645, Products!$A:$B,2,0)</f>
        <v>Printers Tec-4</v>
      </c>
      <c r="U645" t="str">
        <f>VLOOKUP(E645,Products!$A:$C,3,0)</f>
        <v>Technology</v>
      </c>
      <c r="V645" t="str">
        <f>VLOOKUP(E645,Products!$A:$D,4,0)</f>
        <v>Printers</v>
      </c>
      <c r="W645" t="str">
        <f>VLOOKUP(D645,Customers!$A:$C,3,0)</f>
        <v>B2C</v>
      </c>
      <c r="X645" t="str">
        <f>VLOOKUP(C645,Sales_Representatives!$A:$B,2,0)</f>
        <v>Michael Davis</v>
      </c>
    </row>
    <row r="646" spans="1:24" x14ac:dyDescent="0.3">
      <c r="A646" t="s">
        <v>943</v>
      </c>
      <c r="B646" t="s">
        <v>939</v>
      </c>
      <c r="C646" t="s">
        <v>75</v>
      </c>
      <c r="D646" t="s">
        <v>37</v>
      </c>
      <c r="E646" t="s">
        <v>450</v>
      </c>
      <c r="F646">
        <v>45</v>
      </c>
      <c r="G646">
        <v>2083.92</v>
      </c>
      <c r="H646">
        <v>0.21</v>
      </c>
      <c r="I646" s="4">
        <v>74083.360000000001</v>
      </c>
      <c r="J646" t="s">
        <v>44</v>
      </c>
      <c r="K646" t="s">
        <v>48</v>
      </c>
      <c r="L646" s="4">
        <f>VLOOKUP(tblTransactions[[#This Row],[Product_ID]],tblProducts[],5,FALSE)</f>
        <v>1425.78</v>
      </c>
      <c r="M646" s="4">
        <f>tblTransactions[[#This Row],[Total_Amount]]-(tblTransactions[[#This Row],[Cost_Prices]]*tblTransactions[[#This Row],[Quantity]]*(1-tblTransactions[[#This Row],[Discount]]))</f>
        <v>23396.881000000001</v>
      </c>
      <c r="N646" s="3">
        <f>tblTransactions[[#This Row],[Profit]]/tblTransactions[[#This Row],[Total_Amount]]</f>
        <v>0.31581830251759641</v>
      </c>
      <c r="O646" t="str">
        <f>TEXT(tblTransactions[[#This Row],[Date]], "MMM-YYYY")</f>
        <v>May-2023</v>
      </c>
      <c r="P646" t="str">
        <f>"Q"&amp;ROUNDUP(MONTH(tblTransactions[[#This Row],[Date]])/3,0)&amp;"-"&amp;YEAR(tblTransactions[[#This Row],[Date]])</f>
        <v>Q2-2023</v>
      </c>
      <c r="Q646">
        <f>YEAR(tblTransactions[[#This Row],[Date]])</f>
        <v>2023</v>
      </c>
      <c r="R646" t="str">
        <f>TEXT(tblTransactions[[#This Row],[Date]],"DDDD")</f>
        <v>Tuesday</v>
      </c>
      <c r="S646">
        <f>MONTH(tblTransactions[[#This Row],[Date]])</f>
        <v>5</v>
      </c>
      <c r="T646" t="str">
        <f>VLOOKUP(E646, Products!$A:$B,2,0)</f>
        <v>Monitors Tec-4</v>
      </c>
      <c r="U646" t="str">
        <f>VLOOKUP(E646,Products!$A:$C,3,0)</f>
        <v>Technology</v>
      </c>
      <c r="V646" t="str">
        <f>VLOOKUP(E646,Products!$A:$D,4,0)</f>
        <v>Monitors</v>
      </c>
      <c r="W646" t="str">
        <f>VLOOKUP(D646,Customers!$A:$C,3,0)</f>
        <v>Enterprise</v>
      </c>
      <c r="X646" t="str">
        <f>VLOOKUP(C646,Sales_Representatives!$A:$B,2,0)</f>
        <v>Jessica Anderson</v>
      </c>
    </row>
    <row r="647" spans="1:24" x14ac:dyDescent="0.3">
      <c r="A647" t="s">
        <v>944</v>
      </c>
      <c r="B647" t="s">
        <v>945</v>
      </c>
      <c r="C647" t="s">
        <v>141</v>
      </c>
      <c r="D647" t="s">
        <v>156</v>
      </c>
      <c r="E647" t="s">
        <v>243</v>
      </c>
      <c r="F647">
        <v>2</v>
      </c>
      <c r="G647">
        <v>384.18</v>
      </c>
      <c r="H647">
        <v>0.03</v>
      </c>
      <c r="I647" s="4">
        <v>745.31</v>
      </c>
      <c r="J647" t="s">
        <v>109</v>
      </c>
      <c r="K647" t="s">
        <v>17</v>
      </c>
      <c r="L647" s="4">
        <f>VLOOKUP(tblTransactions[[#This Row],[Product_ID]],tblProducts[],5,FALSE)</f>
        <v>266.92</v>
      </c>
      <c r="M647" s="4">
        <f>tblTransactions[[#This Row],[Total_Amount]]-(tblTransactions[[#This Row],[Cost_Prices]]*tblTransactions[[#This Row],[Quantity]]*(1-tblTransactions[[#This Row],[Discount]]))</f>
        <v>227.48519999999996</v>
      </c>
      <c r="N647" s="3">
        <f>tblTransactions[[#This Row],[Profit]]/tblTransactions[[#This Row],[Total_Amount]]</f>
        <v>0.30522225651071366</v>
      </c>
      <c r="O647" t="str">
        <f>TEXT(tblTransactions[[#This Row],[Date]], "MMM-YYYY")</f>
        <v>May-2023</v>
      </c>
      <c r="P647" t="str">
        <f>"Q"&amp;ROUNDUP(MONTH(tblTransactions[[#This Row],[Date]])/3,0)&amp;"-"&amp;YEAR(tblTransactions[[#This Row],[Date]])</f>
        <v>Q2-2023</v>
      </c>
      <c r="Q647">
        <f>YEAR(tblTransactions[[#This Row],[Date]])</f>
        <v>2023</v>
      </c>
      <c r="R647" t="str">
        <f>TEXT(tblTransactions[[#This Row],[Date]],"DDDD")</f>
        <v>Wednesday</v>
      </c>
      <c r="S647">
        <f>MONTH(tblTransactions[[#This Row],[Date]])</f>
        <v>5</v>
      </c>
      <c r="T647" t="str">
        <f>VLOOKUP(E647, Products!$A:$B,2,0)</f>
        <v>Routers Tec-3</v>
      </c>
      <c r="U647" t="str">
        <f>VLOOKUP(E647,Products!$A:$C,3,0)</f>
        <v>Technology</v>
      </c>
      <c r="V647" t="str">
        <f>VLOOKUP(E647,Products!$A:$D,4,0)</f>
        <v>Routers</v>
      </c>
      <c r="W647" t="str">
        <f>VLOOKUP(D647,Customers!$A:$C,3,0)</f>
        <v>B2B</v>
      </c>
      <c r="X647" t="str">
        <f>VLOOKUP(C647,Sales_Representatives!$A:$B,2,0)</f>
        <v>Richard Garcia</v>
      </c>
    </row>
    <row r="648" spans="1:24" x14ac:dyDescent="0.3">
      <c r="A648" t="s">
        <v>946</v>
      </c>
      <c r="B648" t="s">
        <v>945</v>
      </c>
      <c r="C648" t="s">
        <v>131</v>
      </c>
      <c r="D648" t="s">
        <v>396</v>
      </c>
      <c r="E648" t="s">
        <v>324</v>
      </c>
      <c r="F648">
        <v>5</v>
      </c>
      <c r="G648">
        <v>245.76</v>
      </c>
      <c r="H648">
        <v>7.0000000000000007E-2</v>
      </c>
      <c r="I648" s="4">
        <v>1142.78</v>
      </c>
      <c r="J648" t="s">
        <v>44</v>
      </c>
      <c r="K648" t="s">
        <v>39</v>
      </c>
      <c r="L648" s="4">
        <f>VLOOKUP(tblTransactions[[#This Row],[Product_ID]],tblProducts[],5,FALSE)</f>
        <v>161.94</v>
      </c>
      <c r="M648" s="4">
        <f>tblTransactions[[#This Row],[Total_Amount]]-(tblTransactions[[#This Row],[Cost_Prices]]*tblTransactions[[#This Row],[Quantity]]*(1-tblTransactions[[#This Row],[Discount]]))</f>
        <v>389.75900000000001</v>
      </c>
      <c r="N648" s="3">
        <f>tblTransactions[[#This Row],[Profit]]/tblTransactions[[#This Row],[Total_Amount]]</f>
        <v>0.34106214669490192</v>
      </c>
      <c r="O648" t="str">
        <f>TEXT(tblTransactions[[#This Row],[Date]], "MMM-YYYY")</f>
        <v>May-2023</v>
      </c>
      <c r="P648" t="str">
        <f>"Q"&amp;ROUNDUP(MONTH(tblTransactions[[#This Row],[Date]])/3,0)&amp;"-"&amp;YEAR(tblTransactions[[#This Row],[Date]])</f>
        <v>Q2-2023</v>
      </c>
      <c r="Q648">
        <f>YEAR(tblTransactions[[#This Row],[Date]])</f>
        <v>2023</v>
      </c>
      <c r="R648" t="str">
        <f>TEXT(tblTransactions[[#This Row],[Date]],"DDDD")</f>
        <v>Wednesday</v>
      </c>
      <c r="S648">
        <f>MONTH(tblTransactions[[#This Row],[Date]])</f>
        <v>5</v>
      </c>
      <c r="T648" t="str">
        <f>VLOOKUP(E648, Products!$A:$B,2,0)</f>
        <v>Storage Fur-1</v>
      </c>
      <c r="U648" t="str">
        <f>VLOOKUP(E648,Products!$A:$C,3,0)</f>
        <v>Furniture</v>
      </c>
      <c r="V648" t="str">
        <f>VLOOKUP(E648,Products!$A:$D,4,0)</f>
        <v>Storage</v>
      </c>
      <c r="W648" t="str">
        <f>VLOOKUP(D648,Customers!$A:$C,3,0)</f>
        <v>Small Business</v>
      </c>
      <c r="X648" t="str">
        <f>VLOOKUP(C648,Sales_Representatives!$A:$B,2,0)</f>
        <v>Michael Davis</v>
      </c>
    </row>
    <row r="649" spans="1:24" x14ac:dyDescent="0.3">
      <c r="A649" t="s">
        <v>947</v>
      </c>
      <c r="B649" t="s">
        <v>945</v>
      </c>
      <c r="C649" t="s">
        <v>41</v>
      </c>
      <c r="D649" t="s">
        <v>228</v>
      </c>
      <c r="E649" t="s">
        <v>347</v>
      </c>
      <c r="F649">
        <v>6</v>
      </c>
      <c r="G649">
        <v>1539.6</v>
      </c>
      <c r="H649">
        <v>0.08</v>
      </c>
      <c r="I649" s="4">
        <v>8498.59</v>
      </c>
      <c r="J649" t="s">
        <v>44</v>
      </c>
      <c r="K649" t="s">
        <v>39</v>
      </c>
      <c r="L649" s="4">
        <f>VLOOKUP(tblTransactions[[#This Row],[Product_ID]],tblProducts[],5,FALSE)</f>
        <v>992.43</v>
      </c>
      <c r="M649" s="4">
        <f>tblTransactions[[#This Row],[Total_Amount]]-(tblTransactions[[#This Row],[Cost_Prices]]*tblTransactions[[#This Row],[Quantity]]*(1-tblTransactions[[#This Row],[Discount]]))</f>
        <v>3020.3764000000001</v>
      </c>
      <c r="N649" s="3">
        <f>tblTransactions[[#This Row],[Profit]]/tblTransactions[[#This Row],[Total_Amount]]</f>
        <v>0.35539735414933538</v>
      </c>
      <c r="O649" t="str">
        <f>TEXT(tblTransactions[[#This Row],[Date]], "MMM-YYYY")</f>
        <v>May-2023</v>
      </c>
      <c r="P649" t="str">
        <f>"Q"&amp;ROUNDUP(MONTH(tblTransactions[[#This Row],[Date]])/3,0)&amp;"-"&amp;YEAR(tblTransactions[[#This Row],[Date]])</f>
        <v>Q2-2023</v>
      </c>
      <c r="Q649">
        <f>YEAR(tblTransactions[[#This Row],[Date]])</f>
        <v>2023</v>
      </c>
      <c r="R649" t="str">
        <f>TEXT(tblTransactions[[#This Row],[Date]],"DDDD")</f>
        <v>Wednesday</v>
      </c>
      <c r="S649">
        <f>MONTH(tblTransactions[[#This Row],[Date]])</f>
        <v>5</v>
      </c>
      <c r="T649" t="str">
        <f>VLOOKUP(E649, Products!$A:$B,2,0)</f>
        <v>Routers Tec-2</v>
      </c>
      <c r="U649" t="str">
        <f>VLOOKUP(E649,Products!$A:$C,3,0)</f>
        <v>Technology</v>
      </c>
      <c r="V649" t="str">
        <f>VLOOKUP(E649,Products!$A:$D,4,0)</f>
        <v>Routers</v>
      </c>
      <c r="W649" t="str">
        <f>VLOOKUP(D649,Customers!$A:$C,3,0)</f>
        <v>Small Business</v>
      </c>
      <c r="X649" t="str">
        <f>VLOOKUP(C649,Sales_Representatives!$A:$B,2,0)</f>
        <v>Robert Jones</v>
      </c>
    </row>
    <row r="650" spans="1:24" x14ac:dyDescent="0.3">
      <c r="A650" t="s">
        <v>948</v>
      </c>
      <c r="B650" t="s">
        <v>949</v>
      </c>
      <c r="C650" t="s">
        <v>19</v>
      </c>
      <c r="D650" t="s">
        <v>71</v>
      </c>
      <c r="E650" t="s">
        <v>91</v>
      </c>
      <c r="F650">
        <v>13</v>
      </c>
      <c r="G650">
        <v>286.62</v>
      </c>
      <c r="H650">
        <v>0.16</v>
      </c>
      <c r="I650" s="4">
        <v>3129.89</v>
      </c>
      <c r="J650" t="s">
        <v>21</v>
      </c>
      <c r="K650" t="s">
        <v>22</v>
      </c>
      <c r="L650" s="4">
        <f>VLOOKUP(tblTransactions[[#This Row],[Product_ID]],tblProducts[],5,FALSE)</f>
        <v>145.54</v>
      </c>
      <c r="M650" s="4">
        <f>tblTransactions[[#This Row],[Total_Amount]]-(tblTransactions[[#This Row],[Cost_Prices]]*tblTransactions[[#This Row],[Quantity]]*(1-tblTransactions[[#This Row],[Discount]]))</f>
        <v>1540.5932</v>
      </c>
      <c r="N650" s="3">
        <f>tblTransactions[[#This Row],[Profit]]/tblTransactions[[#This Row],[Total_Amount]]</f>
        <v>0.49221959877184185</v>
      </c>
      <c r="O650" t="str">
        <f>TEXT(tblTransactions[[#This Row],[Date]], "MMM-YYYY")</f>
        <v>May-2023</v>
      </c>
      <c r="P650" t="str">
        <f>"Q"&amp;ROUNDUP(MONTH(tblTransactions[[#This Row],[Date]])/3,0)&amp;"-"&amp;YEAR(tblTransactions[[#This Row],[Date]])</f>
        <v>Q2-2023</v>
      </c>
      <c r="Q650">
        <f>YEAR(tblTransactions[[#This Row],[Date]])</f>
        <v>2023</v>
      </c>
      <c r="R650" t="str">
        <f>TEXT(tblTransactions[[#This Row],[Date]],"DDDD")</f>
        <v>Thursday</v>
      </c>
      <c r="S650">
        <f>MONTH(tblTransactions[[#This Row],[Date]])</f>
        <v>5</v>
      </c>
      <c r="T650" t="str">
        <f>VLOOKUP(E650, Products!$A:$B,2,0)</f>
        <v>Chairs Fur-1</v>
      </c>
      <c r="U650" t="str">
        <f>VLOOKUP(E650,Products!$A:$C,3,0)</f>
        <v>Furniture</v>
      </c>
      <c r="V650" t="str">
        <f>VLOOKUP(E650,Products!$A:$D,4,0)</f>
        <v>Chairs</v>
      </c>
      <c r="W650" t="str">
        <f>VLOOKUP(D650,Customers!$A:$C,3,0)</f>
        <v>B2B</v>
      </c>
      <c r="X650" t="str">
        <f>VLOOKUP(C650,Sales_Representatives!$A:$B,2,0)</f>
        <v>Robert Jones</v>
      </c>
    </row>
    <row r="651" spans="1:24" x14ac:dyDescent="0.3">
      <c r="A651" t="s">
        <v>950</v>
      </c>
      <c r="B651" t="s">
        <v>949</v>
      </c>
      <c r="C651" t="s">
        <v>13</v>
      </c>
      <c r="D651" t="s">
        <v>228</v>
      </c>
      <c r="E651" t="s">
        <v>248</v>
      </c>
      <c r="F651">
        <v>7</v>
      </c>
      <c r="G651">
        <v>82.29</v>
      </c>
      <c r="H651">
        <v>0.15</v>
      </c>
      <c r="I651" s="4">
        <v>489.63</v>
      </c>
      <c r="J651" t="s">
        <v>16</v>
      </c>
      <c r="K651" t="s">
        <v>17</v>
      </c>
      <c r="L651" s="4">
        <f>VLOOKUP(tblTransactions[[#This Row],[Product_ID]],tblProducts[],5,FALSE)</f>
        <v>51.11</v>
      </c>
      <c r="M651" s="4">
        <f>tblTransactions[[#This Row],[Total_Amount]]-(tblTransactions[[#This Row],[Cost_Prices]]*tblTransactions[[#This Row],[Quantity]]*(1-tblTransactions[[#This Row],[Discount]]))</f>
        <v>185.52550000000002</v>
      </c>
      <c r="N651" s="3">
        <f>tblTransactions[[#This Row],[Profit]]/tblTransactions[[#This Row],[Total_Amount]]</f>
        <v>0.37890958478851383</v>
      </c>
      <c r="O651" t="str">
        <f>TEXT(tblTransactions[[#This Row],[Date]], "MMM-YYYY")</f>
        <v>May-2023</v>
      </c>
      <c r="P651" t="str">
        <f>"Q"&amp;ROUNDUP(MONTH(tblTransactions[[#This Row],[Date]])/3,0)&amp;"-"&amp;YEAR(tblTransactions[[#This Row],[Date]])</f>
        <v>Q2-2023</v>
      </c>
      <c r="Q651">
        <f>YEAR(tblTransactions[[#This Row],[Date]])</f>
        <v>2023</v>
      </c>
      <c r="R651" t="str">
        <f>TEXT(tblTransactions[[#This Row],[Date]],"DDDD")</f>
        <v>Thursday</v>
      </c>
      <c r="S651">
        <f>MONTH(tblTransactions[[#This Row],[Date]])</f>
        <v>5</v>
      </c>
      <c r="T651" t="str">
        <f>VLOOKUP(E651, Products!$A:$B,2,0)</f>
        <v>Keyboards Acc-2</v>
      </c>
      <c r="U651" t="str">
        <f>VLOOKUP(E651,Products!$A:$C,3,0)</f>
        <v>Accessories</v>
      </c>
      <c r="V651" t="str">
        <f>VLOOKUP(E651,Products!$A:$D,4,0)</f>
        <v>Keyboards</v>
      </c>
      <c r="W651" t="str">
        <f>VLOOKUP(D651,Customers!$A:$C,3,0)</f>
        <v>Small Business</v>
      </c>
      <c r="X651" t="str">
        <f>VLOOKUP(C651,Sales_Representatives!$A:$B,2,0)</f>
        <v>Jennifer Rodriguez</v>
      </c>
    </row>
    <row r="652" spans="1:24" x14ac:dyDescent="0.3">
      <c r="A652" t="s">
        <v>951</v>
      </c>
      <c r="B652" t="s">
        <v>949</v>
      </c>
      <c r="C652" t="s">
        <v>75</v>
      </c>
      <c r="D652" t="s">
        <v>210</v>
      </c>
      <c r="E652" t="s">
        <v>38</v>
      </c>
      <c r="F652">
        <v>8</v>
      </c>
      <c r="G652">
        <v>581.47</v>
      </c>
      <c r="H652">
        <v>0.09</v>
      </c>
      <c r="I652" s="4">
        <v>4233.1000000000004</v>
      </c>
      <c r="J652" t="s">
        <v>44</v>
      </c>
      <c r="K652" t="s">
        <v>22</v>
      </c>
      <c r="L652" s="4">
        <f>VLOOKUP(tblTransactions[[#This Row],[Product_ID]],tblProducts[],5,FALSE)</f>
        <v>372.07</v>
      </c>
      <c r="M652" s="4">
        <f>tblTransactions[[#This Row],[Total_Amount]]-(tblTransactions[[#This Row],[Cost_Prices]]*tblTransactions[[#This Row],[Quantity]]*(1-tblTransactions[[#This Row],[Discount]]))</f>
        <v>1524.4304000000002</v>
      </c>
      <c r="N652" s="3">
        <f>tblTransactions[[#This Row],[Profit]]/tblTransactions[[#This Row],[Total_Amount]]</f>
        <v>0.36012151850889418</v>
      </c>
      <c r="O652" t="str">
        <f>TEXT(tblTransactions[[#This Row],[Date]], "MMM-YYYY")</f>
        <v>May-2023</v>
      </c>
      <c r="P652" t="str">
        <f>"Q"&amp;ROUNDUP(MONTH(tblTransactions[[#This Row],[Date]])/3,0)&amp;"-"&amp;YEAR(tblTransactions[[#This Row],[Date]])</f>
        <v>Q2-2023</v>
      </c>
      <c r="Q652">
        <f>YEAR(tblTransactions[[#This Row],[Date]])</f>
        <v>2023</v>
      </c>
      <c r="R652" t="str">
        <f>TEXT(tblTransactions[[#This Row],[Date]],"DDDD")</f>
        <v>Thursday</v>
      </c>
      <c r="S652">
        <f>MONTH(tblTransactions[[#This Row],[Date]])</f>
        <v>5</v>
      </c>
      <c r="T652" t="str">
        <f>VLOOKUP(E652, Products!$A:$B,2,0)</f>
        <v>Storage Fur-3</v>
      </c>
      <c r="U652" t="str">
        <f>VLOOKUP(E652,Products!$A:$C,3,0)</f>
        <v>Furniture</v>
      </c>
      <c r="V652" t="str">
        <f>VLOOKUP(E652,Products!$A:$D,4,0)</f>
        <v>Storage</v>
      </c>
      <c r="W652" t="str">
        <f>VLOOKUP(D652,Customers!$A:$C,3,0)</f>
        <v>B2B</v>
      </c>
      <c r="X652" t="str">
        <f>VLOOKUP(C652,Sales_Representatives!$A:$B,2,0)</f>
        <v>Jessica Anderson</v>
      </c>
    </row>
    <row r="653" spans="1:24" x14ac:dyDescent="0.3">
      <c r="A653" t="s">
        <v>952</v>
      </c>
      <c r="B653" t="s">
        <v>953</v>
      </c>
      <c r="C653" t="s">
        <v>13</v>
      </c>
      <c r="D653" t="s">
        <v>228</v>
      </c>
      <c r="E653" t="s">
        <v>33</v>
      </c>
      <c r="F653">
        <v>7</v>
      </c>
      <c r="G653">
        <v>322.7</v>
      </c>
      <c r="H653">
        <v>0.09</v>
      </c>
      <c r="I653" s="4">
        <v>2055.6</v>
      </c>
      <c r="J653" t="s">
        <v>16</v>
      </c>
      <c r="K653" t="s">
        <v>48</v>
      </c>
      <c r="L653" s="4">
        <f>VLOOKUP(tblTransactions[[#This Row],[Product_ID]],tblProducts[],5,FALSE)</f>
        <v>139.81</v>
      </c>
      <c r="M653" s="4">
        <f>tblTransactions[[#This Row],[Total_Amount]]-(tblTransactions[[#This Row],[Cost_Prices]]*tblTransactions[[#This Row],[Quantity]]*(1-tblTransactions[[#This Row],[Discount]]))</f>
        <v>1165.0102999999999</v>
      </c>
      <c r="N653" s="3">
        <f>tblTransactions[[#This Row],[Profit]]/tblTransactions[[#This Row],[Total_Amount]]</f>
        <v>0.56674951352403191</v>
      </c>
      <c r="O653" t="str">
        <f>TEXT(tblTransactions[[#This Row],[Date]], "MMM-YYYY")</f>
        <v>May-2023</v>
      </c>
      <c r="P653" t="str">
        <f>"Q"&amp;ROUNDUP(MONTH(tblTransactions[[#This Row],[Date]])/3,0)&amp;"-"&amp;YEAR(tblTransactions[[#This Row],[Date]])</f>
        <v>Q2-2023</v>
      </c>
      <c r="Q653">
        <f>YEAR(tblTransactions[[#This Row],[Date]])</f>
        <v>2023</v>
      </c>
      <c r="R653" t="str">
        <f>TEXT(tblTransactions[[#This Row],[Date]],"DDDD")</f>
        <v>Friday</v>
      </c>
      <c r="S653">
        <f>MONTH(tblTransactions[[#This Row],[Date]])</f>
        <v>5</v>
      </c>
      <c r="T653" t="str">
        <f>VLOOKUP(E653, Products!$A:$B,2,0)</f>
        <v>Adapters Acc-1</v>
      </c>
      <c r="U653" t="str">
        <f>VLOOKUP(E653,Products!$A:$C,3,0)</f>
        <v>Accessories</v>
      </c>
      <c r="V653" t="str">
        <f>VLOOKUP(E653,Products!$A:$D,4,0)</f>
        <v>Adapters</v>
      </c>
      <c r="W653" t="str">
        <f>VLOOKUP(D653,Customers!$A:$C,3,0)</f>
        <v>Small Business</v>
      </c>
      <c r="X653" t="str">
        <f>VLOOKUP(C653,Sales_Representatives!$A:$B,2,0)</f>
        <v>Jennifer Rodriguez</v>
      </c>
    </row>
    <row r="654" spans="1:24" x14ac:dyDescent="0.3">
      <c r="A654" t="s">
        <v>954</v>
      </c>
      <c r="B654" t="s">
        <v>953</v>
      </c>
      <c r="C654" t="s">
        <v>59</v>
      </c>
      <c r="D654" t="s">
        <v>37</v>
      </c>
      <c r="E654" t="s">
        <v>347</v>
      </c>
      <c r="F654">
        <v>34</v>
      </c>
      <c r="G654">
        <v>1539.6</v>
      </c>
      <c r="H654">
        <v>0.21</v>
      </c>
      <c r="I654" s="4">
        <v>41353.660000000003</v>
      </c>
      <c r="J654" t="s">
        <v>21</v>
      </c>
      <c r="K654" t="s">
        <v>22</v>
      </c>
      <c r="L654" s="4">
        <f>VLOOKUP(tblTransactions[[#This Row],[Product_ID]],tblProducts[],5,FALSE)</f>
        <v>992.43</v>
      </c>
      <c r="M654" s="4">
        <f>tblTransactions[[#This Row],[Total_Amount]]-(tblTransactions[[#This Row],[Cost_Prices]]*tblTransactions[[#This Row],[Quantity]]*(1-tblTransactions[[#This Row],[Discount]]))</f>
        <v>14696.990200000007</v>
      </c>
      <c r="N654" s="3">
        <f>tblTransactions[[#This Row],[Profit]]/tblTransactions[[#This Row],[Total_Amount]]</f>
        <v>0.35539756819589863</v>
      </c>
      <c r="O654" t="str">
        <f>TEXT(tblTransactions[[#This Row],[Date]], "MMM-YYYY")</f>
        <v>May-2023</v>
      </c>
      <c r="P654" t="str">
        <f>"Q"&amp;ROUNDUP(MONTH(tblTransactions[[#This Row],[Date]])/3,0)&amp;"-"&amp;YEAR(tblTransactions[[#This Row],[Date]])</f>
        <v>Q2-2023</v>
      </c>
      <c r="Q654">
        <f>YEAR(tblTransactions[[#This Row],[Date]])</f>
        <v>2023</v>
      </c>
      <c r="R654" t="str">
        <f>TEXT(tblTransactions[[#This Row],[Date]],"DDDD")</f>
        <v>Friday</v>
      </c>
      <c r="S654">
        <f>MONTH(tblTransactions[[#This Row],[Date]])</f>
        <v>5</v>
      </c>
      <c r="T654" t="str">
        <f>VLOOKUP(E654, Products!$A:$B,2,0)</f>
        <v>Routers Tec-2</v>
      </c>
      <c r="U654" t="str">
        <f>VLOOKUP(E654,Products!$A:$C,3,0)</f>
        <v>Technology</v>
      </c>
      <c r="V654" t="str">
        <f>VLOOKUP(E654,Products!$A:$D,4,0)</f>
        <v>Routers</v>
      </c>
      <c r="W654" t="str">
        <f>VLOOKUP(D654,Customers!$A:$C,3,0)</f>
        <v>Enterprise</v>
      </c>
      <c r="X654" t="str">
        <f>VLOOKUP(C654,Sales_Representatives!$A:$B,2,0)</f>
        <v>Sarah Brown</v>
      </c>
    </row>
    <row r="655" spans="1:24" x14ac:dyDescent="0.3">
      <c r="A655" t="s">
        <v>955</v>
      </c>
      <c r="B655" t="s">
        <v>953</v>
      </c>
      <c r="C655" t="s">
        <v>82</v>
      </c>
      <c r="D655" t="s">
        <v>362</v>
      </c>
      <c r="E655" t="s">
        <v>137</v>
      </c>
      <c r="F655">
        <v>1</v>
      </c>
      <c r="G655">
        <v>241.39</v>
      </c>
      <c r="H655">
        <v>0</v>
      </c>
      <c r="I655" s="4">
        <v>241.39</v>
      </c>
      <c r="J655" t="s">
        <v>34</v>
      </c>
      <c r="K655" t="s">
        <v>35</v>
      </c>
      <c r="L655" s="4">
        <f>VLOOKUP(tblTransactions[[#This Row],[Product_ID]],tblProducts[],5,FALSE)</f>
        <v>124.07</v>
      </c>
      <c r="M655" s="4">
        <f>tblTransactions[[#This Row],[Total_Amount]]-(tblTransactions[[#This Row],[Cost_Prices]]*tblTransactions[[#This Row],[Quantity]]*(1-tblTransactions[[#This Row],[Discount]]))</f>
        <v>117.32</v>
      </c>
      <c r="N655" s="3">
        <f>tblTransactions[[#This Row],[Profit]]/tblTransactions[[#This Row],[Total_Amount]]</f>
        <v>0.48601847632461992</v>
      </c>
      <c r="O655" t="str">
        <f>TEXT(tblTransactions[[#This Row],[Date]], "MMM-YYYY")</f>
        <v>May-2023</v>
      </c>
      <c r="P655" t="str">
        <f>"Q"&amp;ROUNDUP(MONTH(tblTransactions[[#This Row],[Date]])/3,0)&amp;"-"&amp;YEAR(tblTransactions[[#This Row],[Date]])</f>
        <v>Q2-2023</v>
      </c>
      <c r="Q655">
        <f>YEAR(tblTransactions[[#This Row],[Date]])</f>
        <v>2023</v>
      </c>
      <c r="R655" t="str">
        <f>TEXT(tblTransactions[[#This Row],[Date]],"DDDD")</f>
        <v>Friday</v>
      </c>
      <c r="S655">
        <f>MONTH(tblTransactions[[#This Row],[Date]])</f>
        <v>5</v>
      </c>
      <c r="T655" t="str">
        <f>VLOOKUP(E655, Products!$A:$B,2,0)</f>
        <v>Desks Fur-2</v>
      </c>
      <c r="U655" t="str">
        <f>VLOOKUP(E655,Products!$A:$C,3,0)</f>
        <v>Furniture</v>
      </c>
      <c r="V655" t="str">
        <f>VLOOKUP(E655,Products!$A:$D,4,0)</f>
        <v>Desks</v>
      </c>
      <c r="W655" t="str">
        <f>VLOOKUP(D655,Customers!$A:$C,3,0)</f>
        <v>Small Business</v>
      </c>
      <c r="X655" t="str">
        <f>VLOOKUP(C655,Sales_Representatives!$A:$B,2,0)</f>
        <v>John Brown</v>
      </c>
    </row>
    <row r="656" spans="1:24" x14ac:dyDescent="0.3">
      <c r="A656" t="s">
        <v>956</v>
      </c>
      <c r="B656" t="s">
        <v>953</v>
      </c>
      <c r="C656" t="s">
        <v>75</v>
      </c>
      <c r="D656" t="s">
        <v>128</v>
      </c>
      <c r="E656" t="s">
        <v>15</v>
      </c>
      <c r="F656">
        <v>6</v>
      </c>
      <c r="G656">
        <v>477.48</v>
      </c>
      <c r="H656">
        <v>0.15</v>
      </c>
      <c r="I656" s="4">
        <v>2435.15</v>
      </c>
      <c r="J656" t="s">
        <v>44</v>
      </c>
      <c r="K656" t="s">
        <v>35</v>
      </c>
      <c r="L656" s="4">
        <f>VLOOKUP(tblTransactions[[#This Row],[Product_ID]],tblProducts[],5,FALSE)</f>
        <v>275.51</v>
      </c>
      <c r="M656" s="4">
        <f>tblTransactions[[#This Row],[Total_Amount]]-(tblTransactions[[#This Row],[Cost_Prices]]*tblTransactions[[#This Row],[Quantity]]*(1-tblTransactions[[#This Row],[Discount]]))</f>
        <v>1030.0490000000002</v>
      </c>
      <c r="N656" s="3">
        <f>tblTransactions[[#This Row],[Profit]]/tblTransactions[[#This Row],[Total_Amount]]</f>
        <v>0.42299201281235249</v>
      </c>
      <c r="O656" t="str">
        <f>TEXT(tblTransactions[[#This Row],[Date]], "MMM-YYYY")</f>
        <v>May-2023</v>
      </c>
      <c r="P656" t="str">
        <f>"Q"&amp;ROUNDUP(MONTH(tblTransactions[[#This Row],[Date]])/3,0)&amp;"-"&amp;YEAR(tblTransactions[[#This Row],[Date]])</f>
        <v>Q2-2023</v>
      </c>
      <c r="Q656">
        <f>YEAR(tblTransactions[[#This Row],[Date]])</f>
        <v>2023</v>
      </c>
      <c r="R656" t="str">
        <f>TEXT(tblTransactions[[#This Row],[Date]],"DDDD")</f>
        <v>Friday</v>
      </c>
      <c r="S656">
        <f>MONTH(tblTransactions[[#This Row],[Date]])</f>
        <v>5</v>
      </c>
      <c r="T656" t="str">
        <f>VLOOKUP(E656, Products!$A:$B,2,0)</f>
        <v>Laptops Ele-4</v>
      </c>
      <c r="U656" t="str">
        <f>VLOOKUP(E656,Products!$A:$C,3,0)</f>
        <v>Electronics</v>
      </c>
      <c r="V656" t="str">
        <f>VLOOKUP(E656,Products!$A:$D,4,0)</f>
        <v>Laptops</v>
      </c>
      <c r="W656" t="str">
        <f>VLOOKUP(D656,Customers!$A:$C,3,0)</f>
        <v>B2B</v>
      </c>
      <c r="X656" t="str">
        <f>VLOOKUP(C656,Sales_Representatives!$A:$B,2,0)</f>
        <v>Jessica Anderson</v>
      </c>
    </row>
    <row r="657" spans="1:24" x14ac:dyDescent="0.3">
      <c r="A657" t="s">
        <v>957</v>
      </c>
      <c r="B657" t="s">
        <v>958</v>
      </c>
      <c r="C657" t="s">
        <v>70</v>
      </c>
      <c r="D657" t="s">
        <v>60</v>
      </c>
      <c r="E657" t="s">
        <v>145</v>
      </c>
      <c r="F657">
        <v>6</v>
      </c>
      <c r="G657">
        <v>93.43</v>
      </c>
      <c r="H657">
        <v>7.0000000000000007E-2</v>
      </c>
      <c r="I657" s="4">
        <v>521.34</v>
      </c>
      <c r="J657" t="s">
        <v>16</v>
      </c>
      <c r="K657" t="s">
        <v>35</v>
      </c>
      <c r="L657" s="4">
        <f>VLOOKUP(tblTransactions[[#This Row],[Product_ID]],tblProducts[],5,FALSE)</f>
        <v>45.74</v>
      </c>
      <c r="M657" s="4">
        <f>tblTransactions[[#This Row],[Total_Amount]]-(tblTransactions[[#This Row],[Cost_Prices]]*tblTransactions[[#This Row],[Quantity]]*(1-tblTransactions[[#This Row],[Discount]]))</f>
        <v>266.11080000000004</v>
      </c>
      <c r="N657" s="3">
        <f>tblTransactions[[#This Row],[Profit]]/tblTransactions[[#This Row],[Total_Amount]]</f>
        <v>0.51043618368051569</v>
      </c>
      <c r="O657" t="str">
        <f>TEXT(tblTransactions[[#This Row],[Date]], "MMM-YYYY")</f>
        <v>May-2023</v>
      </c>
      <c r="P657" t="str">
        <f>"Q"&amp;ROUNDUP(MONTH(tblTransactions[[#This Row],[Date]])/3,0)&amp;"-"&amp;YEAR(tblTransactions[[#This Row],[Date]])</f>
        <v>Q2-2023</v>
      </c>
      <c r="Q657">
        <f>YEAR(tblTransactions[[#This Row],[Date]])</f>
        <v>2023</v>
      </c>
      <c r="R657" t="str">
        <f>TEXT(tblTransactions[[#This Row],[Date]],"DDDD")</f>
        <v>Saturday</v>
      </c>
      <c r="S657">
        <f>MONTH(tblTransactions[[#This Row],[Date]])</f>
        <v>5</v>
      </c>
      <c r="T657" t="str">
        <f>VLOOKUP(E657, Products!$A:$B,2,0)</f>
        <v>Paper Off-1</v>
      </c>
      <c r="U657" t="str">
        <f>VLOOKUP(E657,Products!$A:$C,3,0)</f>
        <v>Office Supplies</v>
      </c>
      <c r="V657" t="str">
        <f>VLOOKUP(E657,Products!$A:$D,4,0)</f>
        <v>Paper</v>
      </c>
      <c r="W657" t="str">
        <f>VLOOKUP(D657,Customers!$A:$C,3,0)</f>
        <v>B2C</v>
      </c>
      <c r="X657" t="str">
        <f>VLOOKUP(C657,Sales_Representatives!$A:$B,2,0)</f>
        <v>Linda Smith</v>
      </c>
    </row>
    <row r="658" spans="1:24" x14ac:dyDescent="0.3">
      <c r="A658" t="s">
        <v>959</v>
      </c>
      <c r="B658" t="s">
        <v>958</v>
      </c>
      <c r="C658" t="s">
        <v>107</v>
      </c>
      <c r="D658" t="s">
        <v>24</v>
      </c>
      <c r="E658" t="s">
        <v>129</v>
      </c>
      <c r="F658">
        <v>4</v>
      </c>
      <c r="G658">
        <v>1283.71</v>
      </c>
      <c r="H658">
        <v>0.08</v>
      </c>
      <c r="I658" s="4">
        <v>4724.05</v>
      </c>
      <c r="J658" t="s">
        <v>109</v>
      </c>
      <c r="K658" t="s">
        <v>35</v>
      </c>
      <c r="L658" s="4">
        <f>VLOOKUP(tblTransactions[[#This Row],[Product_ID]],tblProducts[],5,FALSE)</f>
        <v>970.14</v>
      </c>
      <c r="M658" s="4">
        <f>tblTransactions[[#This Row],[Total_Amount]]-(tblTransactions[[#This Row],[Cost_Prices]]*tblTransactions[[#This Row],[Quantity]]*(1-tblTransactions[[#This Row],[Discount]]))</f>
        <v>1153.9348</v>
      </c>
      <c r="N658" s="3">
        <f>tblTransactions[[#This Row],[Profit]]/tblTransactions[[#This Row],[Total_Amount]]</f>
        <v>0.24426811739926546</v>
      </c>
      <c r="O658" t="str">
        <f>TEXT(tblTransactions[[#This Row],[Date]], "MMM-YYYY")</f>
        <v>May-2023</v>
      </c>
      <c r="P658" t="str">
        <f>"Q"&amp;ROUNDUP(MONTH(tblTransactions[[#This Row],[Date]])/3,0)&amp;"-"&amp;YEAR(tblTransactions[[#This Row],[Date]])</f>
        <v>Q2-2023</v>
      </c>
      <c r="Q658">
        <f>YEAR(tblTransactions[[#This Row],[Date]])</f>
        <v>2023</v>
      </c>
      <c r="R658" t="str">
        <f>TEXT(tblTransactions[[#This Row],[Date]],"DDDD")</f>
        <v>Saturday</v>
      </c>
      <c r="S658">
        <f>MONTH(tblTransactions[[#This Row],[Date]])</f>
        <v>5</v>
      </c>
      <c r="T658" t="str">
        <f>VLOOKUP(E658, Products!$A:$B,2,0)</f>
        <v>Cameras Ele-3</v>
      </c>
      <c r="U658" t="str">
        <f>VLOOKUP(E658,Products!$A:$C,3,0)</f>
        <v>Electronics</v>
      </c>
      <c r="V658" t="str">
        <f>VLOOKUP(E658,Products!$A:$D,4,0)</f>
        <v>Cameras</v>
      </c>
      <c r="W658" t="str">
        <f>VLOOKUP(D658,Customers!$A:$C,3,0)</f>
        <v>B2B</v>
      </c>
      <c r="X658" t="str">
        <f>VLOOKUP(C658,Sales_Representatives!$A:$B,2,0)</f>
        <v>Jennifer Brown</v>
      </c>
    </row>
    <row r="659" spans="1:24" x14ac:dyDescent="0.3">
      <c r="A659" t="s">
        <v>960</v>
      </c>
      <c r="B659" t="s">
        <v>958</v>
      </c>
      <c r="C659" t="s">
        <v>75</v>
      </c>
      <c r="D659" t="s">
        <v>288</v>
      </c>
      <c r="E659" t="s">
        <v>370</v>
      </c>
      <c r="F659">
        <v>7</v>
      </c>
      <c r="G659">
        <v>238.95</v>
      </c>
      <c r="H659">
        <v>0.08</v>
      </c>
      <c r="I659" s="4">
        <v>1538.84</v>
      </c>
      <c r="J659" t="s">
        <v>44</v>
      </c>
      <c r="K659" t="s">
        <v>22</v>
      </c>
      <c r="L659" s="4">
        <f>VLOOKUP(tblTransactions[[#This Row],[Product_ID]],tblProducts[],5,FALSE)</f>
        <v>136.6</v>
      </c>
      <c r="M659" s="4">
        <f>tblTransactions[[#This Row],[Total_Amount]]-(tblTransactions[[#This Row],[Cost_Prices]]*tblTransactions[[#This Row],[Quantity]]*(1-tblTransactions[[#This Row],[Discount]]))</f>
        <v>659.13599999999997</v>
      </c>
      <c r="N659" s="3">
        <f>tblTransactions[[#This Row],[Profit]]/tblTransactions[[#This Row],[Total_Amount]]</f>
        <v>0.42833303007460166</v>
      </c>
      <c r="O659" t="str">
        <f>TEXT(tblTransactions[[#This Row],[Date]], "MMM-YYYY")</f>
        <v>May-2023</v>
      </c>
      <c r="P659" t="str">
        <f>"Q"&amp;ROUNDUP(MONTH(tblTransactions[[#This Row],[Date]])/3,0)&amp;"-"&amp;YEAR(tblTransactions[[#This Row],[Date]])</f>
        <v>Q2-2023</v>
      </c>
      <c r="Q659">
        <f>YEAR(tblTransactions[[#This Row],[Date]])</f>
        <v>2023</v>
      </c>
      <c r="R659" t="str">
        <f>TEXT(tblTransactions[[#This Row],[Date]],"DDDD")</f>
        <v>Saturday</v>
      </c>
      <c r="S659">
        <f>MONTH(tblTransactions[[#This Row],[Date]])</f>
        <v>5</v>
      </c>
      <c r="T659" t="str">
        <f>VLOOKUP(E659, Products!$A:$B,2,0)</f>
        <v>Cables Acc-1</v>
      </c>
      <c r="U659" t="str">
        <f>VLOOKUP(E659,Products!$A:$C,3,0)</f>
        <v>Accessories</v>
      </c>
      <c r="V659" t="str">
        <f>VLOOKUP(E659,Products!$A:$D,4,0)</f>
        <v>Cables</v>
      </c>
      <c r="W659" t="str">
        <f>VLOOKUP(D659,Customers!$A:$C,3,0)</f>
        <v>B2C</v>
      </c>
      <c r="X659" t="str">
        <f>VLOOKUP(C659,Sales_Representatives!$A:$B,2,0)</f>
        <v>Jessica Anderson</v>
      </c>
    </row>
    <row r="660" spans="1:24" x14ac:dyDescent="0.3">
      <c r="A660" t="s">
        <v>961</v>
      </c>
      <c r="B660" t="s">
        <v>958</v>
      </c>
      <c r="C660" t="s">
        <v>141</v>
      </c>
      <c r="D660" t="s">
        <v>124</v>
      </c>
      <c r="E660" t="s">
        <v>53</v>
      </c>
      <c r="F660">
        <v>8</v>
      </c>
      <c r="G660">
        <v>2069.2199999999998</v>
      </c>
      <c r="H660">
        <v>0.12</v>
      </c>
      <c r="I660" s="4">
        <v>14567.31</v>
      </c>
      <c r="J660" t="s">
        <v>109</v>
      </c>
      <c r="K660" t="s">
        <v>22</v>
      </c>
      <c r="L660" s="4">
        <f>VLOOKUP(tblTransactions[[#This Row],[Product_ID]],tblProducts[],5,FALSE)</f>
        <v>1451.18</v>
      </c>
      <c r="M660" s="4">
        <f>tblTransactions[[#This Row],[Total_Amount]]-(tblTransactions[[#This Row],[Cost_Prices]]*tblTransactions[[#This Row],[Quantity]]*(1-tblTransactions[[#This Row],[Discount]]))</f>
        <v>4351.0027999999984</v>
      </c>
      <c r="N660" s="3">
        <f>tblTransactions[[#This Row],[Profit]]/tblTransactions[[#This Row],[Total_Amount]]</f>
        <v>0.29868265314598225</v>
      </c>
      <c r="O660" t="str">
        <f>TEXT(tblTransactions[[#This Row],[Date]], "MMM-YYYY")</f>
        <v>May-2023</v>
      </c>
      <c r="P660" t="str">
        <f>"Q"&amp;ROUNDUP(MONTH(tblTransactions[[#This Row],[Date]])/3,0)&amp;"-"&amp;YEAR(tblTransactions[[#This Row],[Date]])</f>
        <v>Q2-2023</v>
      </c>
      <c r="Q660">
        <f>YEAR(tblTransactions[[#This Row],[Date]])</f>
        <v>2023</v>
      </c>
      <c r="R660" t="str">
        <f>TEXT(tblTransactions[[#This Row],[Date]],"DDDD")</f>
        <v>Saturday</v>
      </c>
      <c r="S660">
        <f>MONTH(tblTransactions[[#This Row],[Date]])</f>
        <v>5</v>
      </c>
      <c r="T660" t="str">
        <f>VLOOKUP(E660, Products!$A:$B,2,0)</f>
        <v>Printers Tec-3</v>
      </c>
      <c r="U660" t="str">
        <f>VLOOKUP(E660,Products!$A:$C,3,0)</f>
        <v>Technology</v>
      </c>
      <c r="V660" t="str">
        <f>VLOOKUP(E660,Products!$A:$D,4,0)</f>
        <v>Printers</v>
      </c>
      <c r="W660" t="str">
        <f>VLOOKUP(D660,Customers!$A:$C,3,0)</f>
        <v>B2B</v>
      </c>
      <c r="X660" t="str">
        <f>VLOOKUP(C660,Sales_Representatives!$A:$B,2,0)</f>
        <v>Richard Garcia</v>
      </c>
    </row>
    <row r="661" spans="1:24" x14ac:dyDescent="0.3">
      <c r="A661" t="s">
        <v>962</v>
      </c>
      <c r="B661" t="s">
        <v>958</v>
      </c>
      <c r="C661" t="s">
        <v>127</v>
      </c>
      <c r="D661" t="s">
        <v>60</v>
      </c>
      <c r="E661" t="s">
        <v>479</v>
      </c>
      <c r="F661">
        <v>2</v>
      </c>
      <c r="G661">
        <v>239.6</v>
      </c>
      <c r="H661">
        <v>0.03</v>
      </c>
      <c r="I661" s="4">
        <v>464.82</v>
      </c>
      <c r="J661" t="s">
        <v>109</v>
      </c>
      <c r="K661" t="s">
        <v>22</v>
      </c>
      <c r="L661" s="4">
        <f>VLOOKUP(tblTransactions[[#This Row],[Product_ID]],tblProducts[],5,FALSE)</f>
        <v>107.49</v>
      </c>
      <c r="M661" s="4">
        <f>tblTransactions[[#This Row],[Total_Amount]]-(tblTransactions[[#This Row],[Cost_Prices]]*tblTransactions[[#This Row],[Quantity]]*(1-tblTransactions[[#This Row],[Discount]]))</f>
        <v>256.2894</v>
      </c>
      <c r="N661" s="3">
        <f>tblTransactions[[#This Row],[Profit]]/tblTransactions[[#This Row],[Total_Amount]]</f>
        <v>0.55137343487801727</v>
      </c>
      <c r="O661" t="str">
        <f>TEXT(tblTransactions[[#This Row],[Date]], "MMM-YYYY")</f>
        <v>May-2023</v>
      </c>
      <c r="P661" t="str">
        <f>"Q"&amp;ROUNDUP(MONTH(tblTransactions[[#This Row],[Date]])/3,0)&amp;"-"&amp;YEAR(tblTransactions[[#This Row],[Date]])</f>
        <v>Q2-2023</v>
      </c>
      <c r="Q661">
        <f>YEAR(tblTransactions[[#This Row],[Date]])</f>
        <v>2023</v>
      </c>
      <c r="R661" t="str">
        <f>TEXT(tblTransactions[[#This Row],[Date]],"DDDD")</f>
        <v>Saturday</v>
      </c>
      <c r="S661">
        <f>MONTH(tblTransactions[[#This Row],[Date]])</f>
        <v>5</v>
      </c>
      <c r="T661" t="str">
        <f>VLOOKUP(E661, Products!$A:$B,2,0)</f>
        <v>Pens Off-2</v>
      </c>
      <c r="U661" t="str">
        <f>VLOOKUP(E661,Products!$A:$C,3,0)</f>
        <v>Office Supplies</v>
      </c>
      <c r="V661" t="str">
        <f>VLOOKUP(E661,Products!$A:$D,4,0)</f>
        <v>Pens</v>
      </c>
      <c r="W661" t="str">
        <f>VLOOKUP(D661,Customers!$A:$C,3,0)</f>
        <v>B2C</v>
      </c>
      <c r="X661" t="str">
        <f>VLOOKUP(C661,Sales_Representatives!$A:$B,2,0)</f>
        <v>Emily Hernandez</v>
      </c>
    </row>
    <row r="662" spans="1:24" x14ac:dyDescent="0.3">
      <c r="A662" t="s">
        <v>963</v>
      </c>
      <c r="B662" t="s">
        <v>958</v>
      </c>
      <c r="C662" t="s">
        <v>41</v>
      </c>
      <c r="D662" t="s">
        <v>327</v>
      </c>
      <c r="E662" t="s">
        <v>157</v>
      </c>
      <c r="F662">
        <v>6</v>
      </c>
      <c r="G662">
        <v>1227.68</v>
      </c>
      <c r="H662">
        <v>0.09</v>
      </c>
      <c r="I662" s="4">
        <v>6703.13</v>
      </c>
      <c r="J662" t="s">
        <v>44</v>
      </c>
      <c r="K662" t="s">
        <v>22</v>
      </c>
      <c r="L662" s="4">
        <f>VLOOKUP(tblTransactions[[#This Row],[Product_ID]],tblProducts[],5,FALSE)</f>
        <v>846.42</v>
      </c>
      <c r="M662" s="4">
        <f>tblTransactions[[#This Row],[Total_Amount]]-(tblTransactions[[#This Row],[Cost_Prices]]*tblTransactions[[#This Row],[Quantity]]*(1-tblTransactions[[#This Row],[Discount]]))</f>
        <v>2081.6768000000002</v>
      </c>
      <c r="N662" s="3">
        <f>tblTransactions[[#This Row],[Profit]]/tblTransactions[[#This Row],[Total_Amount]]</f>
        <v>0.31055295063649374</v>
      </c>
      <c r="O662" t="str">
        <f>TEXT(tblTransactions[[#This Row],[Date]], "MMM-YYYY")</f>
        <v>May-2023</v>
      </c>
      <c r="P662" t="str">
        <f>"Q"&amp;ROUNDUP(MONTH(tblTransactions[[#This Row],[Date]])/3,0)&amp;"-"&amp;YEAR(tblTransactions[[#This Row],[Date]])</f>
        <v>Q2-2023</v>
      </c>
      <c r="Q662">
        <f>YEAR(tblTransactions[[#This Row],[Date]])</f>
        <v>2023</v>
      </c>
      <c r="R662" t="str">
        <f>TEXT(tblTransactions[[#This Row],[Date]],"DDDD")</f>
        <v>Saturday</v>
      </c>
      <c r="S662">
        <f>MONTH(tblTransactions[[#This Row],[Date]])</f>
        <v>5</v>
      </c>
      <c r="T662" t="str">
        <f>VLOOKUP(E662, Products!$A:$B,2,0)</f>
        <v>Printers Tec-4</v>
      </c>
      <c r="U662" t="str">
        <f>VLOOKUP(E662,Products!$A:$C,3,0)</f>
        <v>Technology</v>
      </c>
      <c r="V662" t="str">
        <f>VLOOKUP(E662,Products!$A:$D,4,0)</f>
        <v>Printers</v>
      </c>
      <c r="W662" t="str">
        <f>VLOOKUP(D662,Customers!$A:$C,3,0)</f>
        <v>B2C</v>
      </c>
      <c r="X662" t="str">
        <f>VLOOKUP(C662,Sales_Representatives!$A:$B,2,0)</f>
        <v>Robert Jones</v>
      </c>
    </row>
    <row r="663" spans="1:24" x14ac:dyDescent="0.3">
      <c r="A663" t="s">
        <v>964</v>
      </c>
      <c r="B663" t="s">
        <v>958</v>
      </c>
      <c r="C663" t="s">
        <v>70</v>
      </c>
      <c r="D663" t="s">
        <v>52</v>
      </c>
      <c r="E663" t="s">
        <v>191</v>
      </c>
      <c r="F663">
        <v>2</v>
      </c>
      <c r="G663">
        <v>1012.75</v>
      </c>
      <c r="H663">
        <v>0.02</v>
      </c>
      <c r="I663" s="4">
        <v>1984.99</v>
      </c>
      <c r="J663" t="s">
        <v>16</v>
      </c>
      <c r="K663" t="s">
        <v>39</v>
      </c>
      <c r="L663" s="4">
        <f>VLOOKUP(tblTransactions[[#This Row],[Product_ID]],tblProducts[],5,FALSE)</f>
        <v>518.53</v>
      </c>
      <c r="M663" s="4">
        <f>tblTransactions[[#This Row],[Total_Amount]]-(tblTransactions[[#This Row],[Cost_Prices]]*tblTransactions[[#This Row],[Quantity]]*(1-tblTransactions[[#This Row],[Discount]]))</f>
        <v>968.67120000000011</v>
      </c>
      <c r="N663" s="3">
        <f>tblTransactions[[#This Row],[Profit]]/tblTransactions[[#This Row],[Total_Amount]]</f>
        <v>0.48799802517896823</v>
      </c>
      <c r="O663" t="str">
        <f>TEXT(tblTransactions[[#This Row],[Date]], "MMM-YYYY")</f>
        <v>May-2023</v>
      </c>
      <c r="P663" t="str">
        <f>"Q"&amp;ROUNDUP(MONTH(tblTransactions[[#This Row],[Date]])/3,0)&amp;"-"&amp;YEAR(tblTransactions[[#This Row],[Date]])</f>
        <v>Q2-2023</v>
      </c>
      <c r="Q663">
        <f>YEAR(tblTransactions[[#This Row],[Date]])</f>
        <v>2023</v>
      </c>
      <c r="R663" t="str">
        <f>TEXT(tblTransactions[[#This Row],[Date]],"DDDD")</f>
        <v>Saturday</v>
      </c>
      <c r="S663">
        <f>MONTH(tblTransactions[[#This Row],[Date]])</f>
        <v>5</v>
      </c>
      <c r="T663" t="str">
        <f>VLOOKUP(E663, Products!$A:$B,2,0)</f>
        <v>Tables Fur-4</v>
      </c>
      <c r="U663" t="str">
        <f>VLOOKUP(E663,Products!$A:$C,3,0)</f>
        <v>Furniture</v>
      </c>
      <c r="V663" t="str">
        <f>VLOOKUP(E663,Products!$A:$D,4,0)</f>
        <v>Tables</v>
      </c>
      <c r="W663" t="str">
        <f>VLOOKUP(D663,Customers!$A:$C,3,0)</f>
        <v>B2C</v>
      </c>
      <c r="X663" t="str">
        <f>VLOOKUP(C663,Sales_Representatives!$A:$B,2,0)</f>
        <v>Linda Smith</v>
      </c>
    </row>
    <row r="664" spans="1:24" x14ac:dyDescent="0.3">
      <c r="A664" t="s">
        <v>965</v>
      </c>
      <c r="B664" t="s">
        <v>966</v>
      </c>
      <c r="C664" t="s">
        <v>56</v>
      </c>
      <c r="D664" t="s">
        <v>212</v>
      </c>
      <c r="E664" t="s">
        <v>87</v>
      </c>
      <c r="F664">
        <v>4</v>
      </c>
      <c r="G664">
        <v>1047.8900000000001</v>
      </c>
      <c r="H664">
        <v>0.08</v>
      </c>
      <c r="I664" s="4">
        <v>3856.24</v>
      </c>
      <c r="J664" t="s">
        <v>34</v>
      </c>
      <c r="K664" t="s">
        <v>35</v>
      </c>
      <c r="L664" s="4">
        <f>VLOOKUP(tblTransactions[[#This Row],[Product_ID]],tblProducts[],5,FALSE)</f>
        <v>742.63</v>
      </c>
      <c r="M664" s="4">
        <f>tblTransactions[[#This Row],[Total_Amount]]-(tblTransactions[[#This Row],[Cost_Prices]]*tblTransactions[[#This Row],[Quantity]]*(1-tblTransactions[[#This Row],[Discount]]))</f>
        <v>1123.3615999999997</v>
      </c>
      <c r="N664" s="3">
        <f>tblTransactions[[#This Row],[Profit]]/tblTransactions[[#This Row],[Total_Amount]]</f>
        <v>0.29131008443457873</v>
      </c>
      <c r="O664" t="str">
        <f>TEXT(tblTransactions[[#This Row],[Date]], "MMM-YYYY")</f>
        <v>May-2023</v>
      </c>
      <c r="P664" t="str">
        <f>"Q"&amp;ROUNDUP(MONTH(tblTransactions[[#This Row],[Date]])/3,0)&amp;"-"&amp;YEAR(tblTransactions[[#This Row],[Date]])</f>
        <v>Q2-2023</v>
      </c>
      <c r="Q664">
        <f>YEAR(tblTransactions[[#This Row],[Date]])</f>
        <v>2023</v>
      </c>
      <c r="R664" t="str">
        <f>TEXT(tblTransactions[[#This Row],[Date]],"DDDD")</f>
        <v>Sunday</v>
      </c>
      <c r="S664">
        <f>MONTH(tblTransactions[[#This Row],[Date]])</f>
        <v>5</v>
      </c>
      <c r="T664" t="str">
        <f>VLOOKUP(E664, Products!$A:$B,2,0)</f>
        <v>Monitors Tec-2</v>
      </c>
      <c r="U664" t="str">
        <f>VLOOKUP(E664,Products!$A:$C,3,0)</f>
        <v>Technology</v>
      </c>
      <c r="V664" t="str">
        <f>VLOOKUP(E664,Products!$A:$D,4,0)</f>
        <v>Monitors</v>
      </c>
      <c r="W664" t="str">
        <f>VLOOKUP(D664,Customers!$A:$C,3,0)</f>
        <v>B2C</v>
      </c>
      <c r="X664" t="str">
        <f>VLOOKUP(C664,Sales_Representatives!$A:$B,2,0)</f>
        <v>Thomas Hernandez</v>
      </c>
    </row>
    <row r="665" spans="1:24" x14ac:dyDescent="0.3">
      <c r="A665" t="s">
        <v>967</v>
      </c>
      <c r="B665" t="s">
        <v>966</v>
      </c>
      <c r="C665" t="s">
        <v>41</v>
      </c>
      <c r="D665" t="s">
        <v>93</v>
      </c>
      <c r="E665" t="s">
        <v>96</v>
      </c>
      <c r="F665">
        <v>1</v>
      </c>
      <c r="G665">
        <v>751.9</v>
      </c>
      <c r="H665">
        <v>0.08</v>
      </c>
      <c r="I665" s="4">
        <v>691.75</v>
      </c>
      <c r="J665" t="s">
        <v>44</v>
      </c>
      <c r="K665" t="s">
        <v>48</v>
      </c>
      <c r="L665" s="4">
        <f>VLOOKUP(tblTransactions[[#This Row],[Product_ID]],tblProducts[],5,FALSE)</f>
        <v>570.29</v>
      </c>
      <c r="M665" s="4">
        <f>tblTransactions[[#This Row],[Total_Amount]]-(tblTransactions[[#This Row],[Cost_Prices]]*tblTransactions[[#This Row],[Quantity]]*(1-tblTransactions[[#This Row],[Discount]]))</f>
        <v>167.08320000000003</v>
      </c>
      <c r="N665" s="3">
        <f>tblTransactions[[#This Row],[Profit]]/tblTransactions[[#This Row],[Total_Amount]]</f>
        <v>0.24153697144922304</v>
      </c>
      <c r="O665" t="str">
        <f>TEXT(tblTransactions[[#This Row],[Date]], "MMM-YYYY")</f>
        <v>May-2023</v>
      </c>
      <c r="P665" t="str">
        <f>"Q"&amp;ROUNDUP(MONTH(tblTransactions[[#This Row],[Date]])/3,0)&amp;"-"&amp;YEAR(tblTransactions[[#This Row],[Date]])</f>
        <v>Q2-2023</v>
      </c>
      <c r="Q665">
        <f>YEAR(tblTransactions[[#This Row],[Date]])</f>
        <v>2023</v>
      </c>
      <c r="R665" t="str">
        <f>TEXT(tblTransactions[[#This Row],[Date]],"DDDD")</f>
        <v>Sunday</v>
      </c>
      <c r="S665">
        <f>MONTH(tblTransactions[[#This Row],[Date]])</f>
        <v>5</v>
      </c>
      <c r="T665" t="str">
        <f>VLOOKUP(E665, Products!$A:$B,2,0)</f>
        <v>Routers Tec-1</v>
      </c>
      <c r="U665" t="str">
        <f>VLOOKUP(E665,Products!$A:$C,3,0)</f>
        <v>Technology</v>
      </c>
      <c r="V665" t="str">
        <f>VLOOKUP(E665,Products!$A:$D,4,0)</f>
        <v>Routers</v>
      </c>
      <c r="W665" t="str">
        <f>VLOOKUP(D665,Customers!$A:$C,3,0)</f>
        <v>B2C</v>
      </c>
      <c r="X665" t="str">
        <f>VLOOKUP(C665,Sales_Representatives!$A:$B,2,0)</f>
        <v>Robert Jones</v>
      </c>
    </row>
    <row r="666" spans="1:24" x14ac:dyDescent="0.3">
      <c r="A666" t="s">
        <v>968</v>
      </c>
      <c r="B666" t="s">
        <v>966</v>
      </c>
      <c r="C666" t="s">
        <v>127</v>
      </c>
      <c r="D666" t="s">
        <v>190</v>
      </c>
      <c r="E666" t="s">
        <v>125</v>
      </c>
      <c r="F666">
        <v>12</v>
      </c>
      <c r="G666">
        <v>1201.4000000000001</v>
      </c>
      <c r="H666">
        <v>0.11</v>
      </c>
      <c r="I666" s="4">
        <v>12830.95</v>
      </c>
      <c r="J666" t="s">
        <v>109</v>
      </c>
      <c r="K666" t="s">
        <v>39</v>
      </c>
      <c r="L666" s="4">
        <f>VLOOKUP(tblTransactions[[#This Row],[Product_ID]],tblProducts[],5,FALSE)</f>
        <v>672.72</v>
      </c>
      <c r="M666" s="4">
        <f>tblTransactions[[#This Row],[Total_Amount]]-(tblTransactions[[#This Row],[Cost_Prices]]*tblTransactions[[#This Row],[Quantity]]*(1-tblTransactions[[#This Row],[Discount]]))</f>
        <v>5646.3004000000001</v>
      </c>
      <c r="N666" s="3">
        <f>tblTransactions[[#This Row],[Profit]]/tblTransactions[[#This Row],[Total_Amount]]</f>
        <v>0.44005318390298453</v>
      </c>
      <c r="O666" t="str">
        <f>TEXT(tblTransactions[[#This Row],[Date]], "MMM-YYYY")</f>
        <v>May-2023</v>
      </c>
      <c r="P666" t="str">
        <f>"Q"&amp;ROUNDUP(MONTH(tblTransactions[[#This Row],[Date]])/3,0)&amp;"-"&amp;YEAR(tblTransactions[[#This Row],[Date]])</f>
        <v>Q2-2023</v>
      </c>
      <c r="Q666">
        <f>YEAR(tblTransactions[[#This Row],[Date]])</f>
        <v>2023</v>
      </c>
      <c r="R666" t="str">
        <f>TEXT(tblTransactions[[#This Row],[Date]],"DDDD")</f>
        <v>Sunday</v>
      </c>
      <c r="S666">
        <f>MONTH(tblTransactions[[#This Row],[Date]])</f>
        <v>5</v>
      </c>
      <c r="T666" t="str">
        <f>VLOOKUP(E666, Products!$A:$B,2,0)</f>
        <v>Printers Tec-2</v>
      </c>
      <c r="U666" t="str">
        <f>VLOOKUP(E666,Products!$A:$C,3,0)</f>
        <v>Technology</v>
      </c>
      <c r="V666" t="str">
        <f>VLOOKUP(E666,Products!$A:$D,4,0)</f>
        <v>Printers</v>
      </c>
      <c r="W666" t="str">
        <f>VLOOKUP(D666,Customers!$A:$C,3,0)</f>
        <v>B2B</v>
      </c>
      <c r="X666" t="str">
        <f>VLOOKUP(C666,Sales_Representatives!$A:$B,2,0)</f>
        <v>Emily Hernandez</v>
      </c>
    </row>
    <row r="667" spans="1:24" x14ac:dyDescent="0.3">
      <c r="A667" t="s">
        <v>969</v>
      </c>
      <c r="B667" t="s">
        <v>966</v>
      </c>
      <c r="C667" t="s">
        <v>63</v>
      </c>
      <c r="D667" t="s">
        <v>247</v>
      </c>
      <c r="E667" t="s">
        <v>258</v>
      </c>
      <c r="F667">
        <v>2</v>
      </c>
      <c r="G667">
        <v>73.33</v>
      </c>
      <c r="H667">
        <v>7.0000000000000007E-2</v>
      </c>
      <c r="I667" s="4">
        <v>136.38999999999999</v>
      </c>
      <c r="J667" t="s">
        <v>21</v>
      </c>
      <c r="K667" t="s">
        <v>35</v>
      </c>
      <c r="L667" s="4">
        <f>VLOOKUP(tblTransactions[[#This Row],[Product_ID]],tblProducts[],5,FALSE)</f>
        <v>38.049999999999997</v>
      </c>
      <c r="M667" s="4">
        <f>tblTransactions[[#This Row],[Total_Amount]]-(tblTransactions[[#This Row],[Cost_Prices]]*tblTransactions[[#This Row],[Quantity]]*(1-tblTransactions[[#This Row],[Discount]]))</f>
        <v>65.61699999999999</v>
      </c>
      <c r="N667" s="3">
        <f>tblTransactions[[#This Row],[Profit]]/tblTransactions[[#This Row],[Total_Amount]]</f>
        <v>0.48109832099127497</v>
      </c>
      <c r="O667" t="str">
        <f>TEXT(tblTransactions[[#This Row],[Date]], "MMM-YYYY")</f>
        <v>May-2023</v>
      </c>
      <c r="P667" t="str">
        <f>"Q"&amp;ROUNDUP(MONTH(tblTransactions[[#This Row],[Date]])/3,0)&amp;"-"&amp;YEAR(tblTransactions[[#This Row],[Date]])</f>
        <v>Q2-2023</v>
      </c>
      <c r="Q667">
        <f>YEAR(tblTransactions[[#This Row],[Date]])</f>
        <v>2023</v>
      </c>
      <c r="R667" t="str">
        <f>TEXT(tblTransactions[[#This Row],[Date]],"DDDD")</f>
        <v>Sunday</v>
      </c>
      <c r="S667">
        <f>MONTH(tblTransactions[[#This Row],[Date]])</f>
        <v>5</v>
      </c>
      <c r="T667" t="str">
        <f>VLOOKUP(E667, Products!$A:$B,2,0)</f>
        <v>Keyboards Acc-3</v>
      </c>
      <c r="U667" t="str">
        <f>VLOOKUP(E667,Products!$A:$C,3,0)</f>
        <v>Accessories</v>
      </c>
      <c r="V667" t="str">
        <f>VLOOKUP(E667,Products!$A:$D,4,0)</f>
        <v>Keyboards</v>
      </c>
      <c r="W667" t="str">
        <f>VLOOKUP(D667,Customers!$A:$C,3,0)</f>
        <v>B2C</v>
      </c>
      <c r="X667" t="str">
        <f>VLOOKUP(C667,Sales_Representatives!$A:$B,2,0)</f>
        <v>Richard Wilson</v>
      </c>
    </row>
    <row r="668" spans="1:24" x14ac:dyDescent="0.3">
      <c r="A668" t="s">
        <v>970</v>
      </c>
      <c r="B668" t="s">
        <v>966</v>
      </c>
      <c r="C668" t="s">
        <v>127</v>
      </c>
      <c r="D668" t="s">
        <v>362</v>
      </c>
      <c r="E668" t="s">
        <v>20</v>
      </c>
      <c r="F668">
        <v>1</v>
      </c>
      <c r="G668">
        <v>1219.49</v>
      </c>
      <c r="H668">
        <v>0.04</v>
      </c>
      <c r="I668" s="4">
        <v>1170.71</v>
      </c>
      <c r="J668" t="s">
        <v>109</v>
      </c>
      <c r="K668" t="s">
        <v>48</v>
      </c>
      <c r="L668" s="4">
        <f>VLOOKUP(tblTransactions[[#This Row],[Product_ID]],tblProducts[],5,FALSE)</f>
        <v>686.9</v>
      </c>
      <c r="M668" s="4">
        <f>tblTransactions[[#This Row],[Total_Amount]]-(tblTransactions[[#This Row],[Cost_Prices]]*tblTransactions[[#This Row],[Quantity]]*(1-tblTransactions[[#This Row],[Discount]]))</f>
        <v>511.28600000000006</v>
      </c>
      <c r="N668" s="3">
        <f>tblTransactions[[#This Row],[Profit]]/tblTransactions[[#This Row],[Total_Amount]]</f>
        <v>0.43673155606426872</v>
      </c>
      <c r="O668" t="str">
        <f>TEXT(tblTransactions[[#This Row],[Date]], "MMM-YYYY")</f>
        <v>May-2023</v>
      </c>
      <c r="P668" t="str">
        <f>"Q"&amp;ROUNDUP(MONTH(tblTransactions[[#This Row],[Date]])/3,0)&amp;"-"&amp;YEAR(tblTransactions[[#This Row],[Date]])</f>
        <v>Q2-2023</v>
      </c>
      <c r="Q668">
        <f>YEAR(tblTransactions[[#This Row],[Date]])</f>
        <v>2023</v>
      </c>
      <c r="R668" t="str">
        <f>TEXT(tblTransactions[[#This Row],[Date]],"DDDD")</f>
        <v>Sunday</v>
      </c>
      <c r="S668">
        <f>MONTH(tblTransactions[[#This Row],[Date]])</f>
        <v>5</v>
      </c>
      <c r="T668" t="str">
        <f>VLOOKUP(E668, Products!$A:$B,2,0)</f>
        <v>Laptops Ele-1</v>
      </c>
      <c r="U668" t="str">
        <f>VLOOKUP(E668,Products!$A:$C,3,0)</f>
        <v>Electronics</v>
      </c>
      <c r="V668" t="str">
        <f>VLOOKUP(E668,Products!$A:$D,4,0)</f>
        <v>Laptops</v>
      </c>
      <c r="W668" t="str">
        <f>VLOOKUP(D668,Customers!$A:$C,3,0)</f>
        <v>Small Business</v>
      </c>
      <c r="X668" t="str">
        <f>VLOOKUP(C668,Sales_Representatives!$A:$B,2,0)</f>
        <v>Emily Hernandez</v>
      </c>
    </row>
    <row r="669" spans="1:24" x14ac:dyDescent="0.3">
      <c r="A669" t="s">
        <v>971</v>
      </c>
      <c r="B669" t="s">
        <v>966</v>
      </c>
      <c r="C669" t="s">
        <v>59</v>
      </c>
      <c r="D669" t="s">
        <v>288</v>
      </c>
      <c r="E669" t="s">
        <v>15</v>
      </c>
      <c r="F669">
        <v>6</v>
      </c>
      <c r="G669">
        <v>477.48</v>
      </c>
      <c r="H669">
        <v>0.12</v>
      </c>
      <c r="I669" s="4">
        <v>2521.09</v>
      </c>
      <c r="J669" t="s">
        <v>21</v>
      </c>
      <c r="K669" t="s">
        <v>35</v>
      </c>
      <c r="L669" s="4">
        <f>VLOOKUP(tblTransactions[[#This Row],[Product_ID]],tblProducts[],5,FALSE)</f>
        <v>275.51</v>
      </c>
      <c r="M669" s="4">
        <f>tblTransactions[[#This Row],[Total_Amount]]-(tblTransactions[[#This Row],[Cost_Prices]]*tblTransactions[[#This Row],[Quantity]]*(1-tblTransactions[[#This Row],[Discount]]))</f>
        <v>1066.3972000000001</v>
      </c>
      <c r="N669" s="3">
        <f>tblTransactions[[#This Row],[Profit]]/tblTransactions[[#This Row],[Total_Amount]]</f>
        <v>0.42299053187311841</v>
      </c>
      <c r="O669" t="str">
        <f>TEXT(tblTransactions[[#This Row],[Date]], "MMM-YYYY")</f>
        <v>May-2023</v>
      </c>
      <c r="P669" t="str">
        <f>"Q"&amp;ROUNDUP(MONTH(tblTransactions[[#This Row],[Date]])/3,0)&amp;"-"&amp;YEAR(tblTransactions[[#This Row],[Date]])</f>
        <v>Q2-2023</v>
      </c>
      <c r="Q669">
        <f>YEAR(tblTransactions[[#This Row],[Date]])</f>
        <v>2023</v>
      </c>
      <c r="R669" t="str">
        <f>TEXT(tblTransactions[[#This Row],[Date]],"DDDD")</f>
        <v>Sunday</v>
      </c>
      <c r="S669">
        <f>MONTH(tblTransactions[[#This Row],[Date]])</f>
        <v>5</v>
      </c>
      <c r="T669" t="str">
        <f>VLOOKUP(E669, Products!$A:$B,2,0)</f>
        <v>Laptops Ele-4</v>
      </c>
      <c r="U669" t="str">
        <f>VLOOKUP(E669,Products!$A:$C,3,0)</f>
        <v>Electronics</v>
      </c>
      <c r="V669" t="str">
        <f>VLOOKUP(E669,Products!$A:$D,4,0)</f>
        <v>Laptops</v>
      </c>
      <c r="W669" t="str">
        <f>VLOOKUP(D669,Customers!$A:$C,3,0)</f>
        <v>B2C</v>
      </c>
      <c r="X669" t="str">
        <f>VLOOKUP(C669,Sales_Representatives!$A:$B,2,0)</f>
        <v>Sarah Brown</v>
      </c>
    </row>
    <row r="670" spans="1:24" x14ac:dyDescent="0.3">
      <c r="A670" t="s">
        <v>972</v>
      </c>
      <c r="B670" t="s">
        <v>973</v>
      </c>
      <c r="C670" t="s">
        <v>107</v>
      </c>
      <c r="D670" t="s">
        <v>247</v>
      </c>
      <c r="E670" t="s">
        <v>345</v>
      </c>
      <c r="F670">
        <v>7</v>
      </c>
      <c r="G670">
        <v>13.97</v>
      </c>
      <c r="H670">
        <v>0.08</v>
      </c>
      <c r="I670" s="4">
        <v>89.97</v>
      </c>
      <c r="J670" t="s">
        <v>109</v>
      </c>
      <c r="K670" t="s">
        <v>48</v>
      </c>
      <c r="L670" s="4">
        <f>VLOOKUP(tblTransactions[[#This Row],[Product_ID]],tblProducts[],5,FALSE)</f>
        <v>8.69</v>
      </c>
      <c r="M670" s="4">
        <f>tblTransactions[[#This Row],[Total_Amount]]-(tblTransactions[[#This Row],[Cost_Prices]]*tblTransactions[[#This Row],[Quantity]]*(1-tblTransactions[[#This Row],[Discount]]))</f>
        <v>34.006399999999999</v>
      </c>
      <c r="N670" s="3">
        <f>tblTransactions[[#This Row],[Profit]]/tblTransactions[[#This Row],[Total_Amount]]</f>
        <v>0.37797488051572747</v>
      </c>
      <c r="O670" t="str">
        <f>TEXT(tblTransactions[[#This Row],[Date]], "MMM-YYYY")</f>
        <v>May-2023</v>
      </c>
      <c r="P670" t="str">
        <f>"Q"&amp;ROUNDUP(MONTH(tblTransactions[[#This Row],[Date]])/3,0)&amp;"-"&amp;YEAR(tblTransactions[[#This Row],[Date]])</f>
        <v>Q2-2023</v>
      </c>
      <c r="Q670">
        <f>YEAR(tblTransactions[[#This Row],[Date]])</f>
        <v>2023</v>
      </c>
      <c r="R670" t="str">
        <f>TEXT(tblTransactions[[#This Row],[Date]],"DDDD")</f>
        <v>Monday</v>
      </c>
      <c r="S670">
        <f>MONTH(tblTransactions[[#This Row],[Date]])</f>
        <v>5</v>
      </c>
      <c r="T670" t="str">
        <f>VLOOKUP(E670, Products!$A:$B,2,0)</f>
        <v>Cases Acc-2</v>
      </c>
      <c r="U670" t="str">
        <f>VLOOKUP(E670,Products!$A:$C,3,0)</f>
        <v>Accessories</v>
      </c>
      <c r="V670" t="str">
        <f>VLOOKUP(E670,Products!$A:$D,4,0)</f>
        <v>Cases</v>
      </c>
      <c r="W670" t="str">
        <f>VLOOKUP(D670,Customers!$A:$C,3,0)</f>
        <v>B2C</v>
      </c>
      <c r="X670" t="str">
        <f>VLOOKUP(C670,Sales_Representatives!$A:$B,2,0)</f>
        <v>Jennifer Brown</v>
      </c>
    </row>
    <row r="671" spans="1:24" x14ac:dyDescent="0.3">
      <c r="A671" t="s">
        <v>974</v>
      </c>
      <c r="B671" t="s">
        <v>973</v>
      </c>
      <c r="C671" t="s">
        <v>131</v>
      </c>
      <c r="D671" t="s">
        <v>228</v>
      </c>
      <c r="E671" t="s">
        <v>176</v>
      </c>
      <c r="F671">
        <v>4</v>
      </c>
      <c r="G671">
        <v>1462.68</v>
      </c>
      <c r="H671">
        <v>0.04</v>
      </c>
      <c r="I671" s="4">
        <v>5616.69</v>
      </c>
      <c r="J671" t="s">
        <v>44</v>
      </c>
      <c r="K671" t="s">
        <v>17</v>
      </c>
      <c r="L671" s="4">
        <f>VLOOKUP(tblTransactions[[#This Row],[Product_ID]],tblProducts[],5,FALSE)</f>
        <v>775.94</v>
      </c>
      <c r="M671" s="4">
        <f>tblTransactions[[#This Row],[Total_Amount]]-(tblTransactions[[#This Row],[Cost_Prices]]*tblTransactions[[#This Row],[Quantity]]*(1-tblTransactions[[#This Row],[Discount]]))</f>
        <v>2637.0803999999994</v>
      </c>
      <c r="N671" s="3">
        <f>tblTransactions[[#This Row],[Profit]]/tblTransactions[[#This Row],[Total_Amount]]</f>
        <v>0.46950791302350664</v>
      </c>
      <c r="O671" t="str">
        <f>TEXT(tblTransactions[[#This Row],[Date]], "MMM-YYYY")</f>
        <v>May-2023</v>
      </c>
      <c r="P671" t="str">
        <f>"Q"&amp;ROUNDUP(MONTH(tblTransactions[[#This Row],[Date]])/3,0)&amp;"-"&amp;YEAR(tblTransactions[[#This Row],[Date]])</f>
        <v>Q2-2023</v>
      </c>
      <c r="Q671">
        <f>YEAR(tblTransactions[[#This Row],[Date]])</f>
        <v>2023</v>
      </c>
      <c r="R671" t="str">
        <f>TEXT(tblTransactions[[#This Row],[Date]],"DDDD")</f>
        <v>Monday</v>
      </c>
      <c r="S671">
        <f>MONTH(tblTransactions[[#This Row],[Date]])</f>
        <v>5</v>
      </c>
      <c r="T671" t="str">
        <f>VLOOKUP(E671, Products!$A:$B,2,0)</f>
        <v>Chairs Fur-2</v>
      </c>
      <c r="U671" t="str">
        <f>VLOOKUP(E671,Products!$A:$C,3,0)</f>
        <v>Furniture</v>
      </c>
      <c r="V671" t="str">
        <f>VLOOKUP(E671,Products!$A:$D,4,0)</f>
        <v>Chairs</v>
      </c>
      <c r="W671" t="str">
        <f>VLOOKUP(D671,Customers!$A:$C,3,0)</f>
        <v>Small Business</v>
      </c>
      <c r="X671" t="str">
        <f>VLOOKUP(C671,Sales_Representatives!$A:$B,2,0)</f>
        <v>Michael Davis</v>
      </c>
    </row>
    <row r="672" spans="1:24" x14ac:dyDescent="0.3">
      <c r="A672" t="s">
        <v>975</v>
      </c>
      <c r="B672" t="s">
        <v>973</v>
      </c>
      <c r="C672" t="s">
        <v>131</v>
      </c>
      <c r="D672" t="s">
        <v>362</v>
      </c>
      <c r="E672" t="s">
        <v>283</v>
      </c>
      <c r="F672">
        <v>1</v>
      </c>
      <c r="G672">
        <v>456.88</v>
      </c>
      <c r="H672">
        <v>0</v>
      </c>
      <c r="I672" s="4">
        <v>456.88</v>
      </c>
      <c r="J672" t="s">
        <v>44</v>
      </c>
      <c r="K672" t="s">
        <v>17</v>
      </c>
      <c r="L672" s="4">
        <f>VLOOKUP(tblTransactions[[#This Row],[Product_ID]],tblProducts[],5,FALSE)</f>
        <v>313.23</v>
      </c>
      <c r="M672" s="4">
        <f>tblTransactions[[#This Row],[Total_Amount]]-(tblTransactions[[#This Row],[Cost_Prices]]*tblTransactions[[#This Row],[Quantity]]*(1-tblTransactions[[#This Row],[Discount]]))</f>
        <v>143.64999999999998</v>
      </c>
      <c r="N672" s="3">
        <f>tblTransactions[[#This Row],[Profit]]/tblTransactions[[#This Row],[Total_Amount]]</f>
        <v>0.31441516371913847</v>
      </c>
      <c r="O672" t="str">
        <f>TEXT(tblTransactions[[#This Row],[Date]], "MMM-YYYY")</f>
        <v>May-2023</v>
      </c>
      <c r="P672" t="str">
        <f>"Q"&amp;ROUNDUP(MONTH(tblTransactions[[#This Row],[Date]])/3,0)&amp;"-"&amp;YEAR(tblTransactions[[#This Row],[Date]])</f>
        <v>Q2-2023</v>
      </c>
      <c r="Q672">
        <f>YEAR(tblTransactions[[#This Row],[Date]])</f>
        <v>2023</v>
      </c>
      <c r="R672" t="str">
        <f>TEXT(tblTransactions[[#This Row],[Date]],"DDDD")</f>
        <v>Monday</v>
      </c>
      <c r="S672">
        <f>MONTH(tblTransactions[[#This Row],[Date]])</f>
        <v>5</v>
      </c>
      <c r="T672" t="str">
        <f>VLOOKUP(E672, Products!$A:$B,2,0)</f>
        <v>Chairs Fur-3</v>
      </c>
      <c r="U672" t="str">
        <f>VLOOKUP(E672,Products!$A:$C,3,0)</f>
        <v>Furniture</v>
      </c>
      <c r="V672" t="str">
        <f>VLOOKUP(E672,Products!$A:$D,4,0)</f>
        <v>Chairs</v>
      </c>
      <c r="W672" t="str">
        <f>VLOOKUP(D672,Customers!$A:$C,3,0)</f>
        <v>Small Business</v>
      </c>
      <c r="X672" t="str">
        <f>VLOOKUP(C672,Sales_Representatives!$A:$B,2,0)</f>
        <v>Michael Davis</v>
      </c>
    </row>
    <row r="673" spans="1:24" x14ac:dyDescent="0.3">
      <c r="A673" t="s">
        <v>976</v>
      </c>
      <c r="B673" t="s">
        <v>973</v>
      </c>
      <c r="C673" t="s">
        <v>63</v>
      </c>
      <c r="D673" t="s">
        <v>247</v>
      </c>
      <c r="E673" t="s">
        <v>184</v>
      </c>
      <c r="F673">
        <v>5</v>
      </c>
      <c r="G673">
        <v>276.35000000000002</v>
      </c>
      <c r="H673">
        <v>0.06</v>
      </c>
      <c r="I673" s="4">
        <v>1298.8399999999999</v>
      </c>
      <c r="J673" t="s">
        <v>21</v>
      </c>
      <c r="K673" t="s">
        <v>48</v>
      </c>
      <c r="L673" s="4">
        <f>VLOOKUP(tblTransactions[[#This Row],[Product_ID]],tblProducts[],5,FALSE)</f>
        <v>130.15</v>
      </c>
      <c r="M673" s="4">
        <f>tblTransactions[[#This Row],[Total_Amount]]-(tblTransactions[[#This Row],[Cost_Prices]]*tblTransactions[[#This Row],[Quantity]]*(1-tblTransactions[[#This Row],[Discount]]))</f>
        <v>687.13499999999999</v>
      </c>
      <c r="N673" s="3">
        <f>tblTransactions[[#This Row],[Profit]]/tblTransactions[[#This Row],[Total_Amount]]</f>
        <v>0.5290374488004681</v>
      </c>
      <c r="O673" t="str">
        <f>TEXT(tblTransactions[[#This Row],[Date]], "MMM-YYYY")</f>
        <v>May-2023</v>
      </c>
      <c r="P673" t="str">
        <f>"Q"&amp;ROUNDUP(MONTH(tblTransactions[[#This Row],[Date]])/3,0)&amp;"-"&amp;YEAR(tblTransactions[[#This Row],[Date]])</f>
        <v>Q2-2023</v>
      </c>
      <c r="Q673">
        <f>YEAR(tblTransactions[[#This Row],[Date]])</f>
        <v>2023</v>
      </c>
      <c r="R673" t="str">
        <f>TEXT(tblTransactions[[#This Row],[Date]],"DDDD")</f>
        <v>Monday</v>
      </c>
      <c r="S673">
        <f>MONTH(tblTransactions[[#This Row],[Date]])</f>
        <v>5</v>
      </c>
      <c r="T673" t="str">
        <f>VLOOKUP(E673, Products!$A:$B,2,0)</f>
        <v>Binders Off-1</v>
      </c>
      <c r="U673" t="str">
        <f>VLOOKUP(E673,Products!$A:$C,3,0)</f>
        <v>Office Supplies</v>
      </c>
      <c r="V673" t="str">
        <f>VLOOKUP(E673,Products!$A:$D,4,0)</f>
        <v>Binders</v>
      </c>
      <c r="W673" t="str">
        <f>VLOOKUP(D673,Customers!$A:$C,3,0)</f>
        <v>B2C</v>
      </c>
      <c r="X673" t="str">
        <f>VLOOKUP(C673,Sales_Representatives!$A:$B,2,0)</f>
        <v>Richard Wilson</v>
      </c>
    </row>
    <row r="674" spans="1:24" x14ac:dyDescent="0.3">
      <c r="A674" t="s">
        <v>977</v>
      </c>
      <c r="B674" t="s">
        <v>973</v>
      </c>
      <c r="C674" t="s">
        <v>13</v>
      </c>
      <c r="D674" t="s">
        <v>95</v>
      </c>
      <c r="E674" t="s">
        <v>38</v>
      </c>
      <c r="F674">
        <v>20</v>
      </c>
      <c r="G674">
        <v>581.47</v>
      </c>
      <c r="H674">
        <v>0.11</v>
      </c>
      <c r="I674" s="4">
        <v>10350.17</v>
      </c>
      <c r="J674" t="s">
        <v>16</v>
      </c>
      <c r="K674" t="s">
        <v>39</v>
      </c>
      <c r="L674" s="4">
        <f>VLOOKUP(tblTransactions[[#This Row],[Product_ID]],tblProducts[],5,FALSE)</f>
        <v>372.07</v>
      </c>
      <c r="M674" s="4">
        <f>tblTransactions[[#This Row],[Total_Amount]]-(tblTransactions[[#This Row],[Cost_Prices]]*tblTransactions[[#This Row],[Quantity]]*(1-tblTransactions[[#This Row],[Discount]]))</f>
        <v>3727.3240000000005</v>
      </c>
      <c r="N674" s="3">
        <f>tblTransactions[[#This Row],[Profit]]/tblTransactions[[#This Row],[Total_Amount]]</f>
        <v>0.3601220076578453</v>
      </c>
      <c r="O674" t="str">
        <f>TEXT(tblTransactions[[#This Row],[Date]], "MMM-YYYY")</f>
        <v>May-2023</v>
      </c>
      <c r="P674" t="str">
        <f>"Q"&amp;ROUNDUP(MONTH(tblTransactions[[#This Row],[Date]])/3,0)&amp;"-"&amp;YEAR(tblTransactions[[#This Row],[Date]])</f>
        <v>Q2-2023</v>
      </c>
      <c r="Q674">
        <f>YEAR(tblTransactions[[#This Row],[Date]])</f>
        <v>2023</v>
      </c>
      <c r="R674" t="str">
        <f>TEXT(tblTransactions[[#This Row],[Date]],"DDDD")</f>
        <v>Monday</v>
      </c>
      <c r="S674">
        <f>MONTH(tblTransactions[[#This Row],[Date]])</f>
        <v>5</v>
      </c>
      <c r="T674" t="str">
        <f>VLOOKUP(E674, Products!$A:$B,2,0)</f>
        <v>Storage Fur-3</v>
      </c>
      <c r="U674" t="str">
        <f>VLOOKUP(E674,Products!$A:$C,3,0)</f>
        <v>Furniture</v>
      </c>
      <c r="V674" t="str">
        <f>VLOOKUP(E674,Products!$A:$D,4,0)</f>
        <v>Storage</v>
      </c>
      <c r="W674" t="str">
        <f>VLOOKUP(D674,Customers!$A:$C,3,0)</f>
        <v>Enterprise</v>
      </c>
      <c r="X674" t="str">
        <f>VLOOKUP(C674,Sales_Representatives!$A:$B,2,0)</f>
        <v>Jennifer Rodriguez</v>
      </c>
    </row>
    <row r="675" spans="1:24" x14ac:dyDescent="0.3">
      <c r="A675" t="s">
        <v>978</v>
      </c>
      <c r="B675" t="s">
        <v>973</v>
      </c>
      <c r="C675" t="s">
        <v>107</v>
      </c>
      <c r="D675" t="s">
        <v>42</v>
      </c>
      <c r="E675" t="s">
        <v>77</v>
      </c>
      <c r="F675">
        <v>4</v>
      </c>
      <c r="G675">
        <v>236.82</v>
      </c>
      <c r="H675">
        <v>0.05</v>
      </c>
      <c r="I675" s="4">
        <v>899.92</v>
      </c>
      <c r="J675" t="s">
        <v>109</v>
      </c>
      <c r="K675" t="s">
        <v>35</v>
      </c>
      <c r="L675" s="4">
        <f>VLOOKUP(tblTransactions[[#This Row],[Product_ID]],tblProducts[],5,FALSE)</f>
        <v>110.79</v>
      </c>
      <c r="M675" s="4">
        <f>tblTransactions[[#This Row],[Total_Amount]]-(tblTransactions[[#This Row],[Cost_Prices]]*tblTransactions[[#This Row],[Quantity]]*(1-tblTransactions[[#This Row],[Discount]]))</f>
        <v>478.91799999999995</v>
      </c>
      <c r="N675" s="3">
        <f>tblTransactions[[#This Row],[Profit]]/tblTransactions[[#This Row],[Total_Amount]]</f>
        <v>0.53217841585918746</v>
      </c>
      <c r="O675" t="str">
        <f>TEXT(tblTransactions[[#This Row],[Date]], "MMM-YYYY")</f>
        <v>May-2023</v>
      </c>
      <c r="P675" t="str">
        <f>"Q"&amp;ROUNDUP(MONTH(tblTransactions[[#This Row],[Date]])/3,0)&amp;"-"&amp;YEAR(tblTransactions[[#This Row],[Date]])</f>
        <v>Q2-2023</v>
      </c>
      <c r="Q675">
        <f>YEAR(tblTransactions[[#This Row],[Date]])</f>
        <v>2023</v>
      </c>
      <c r="R675" t="str">
        <f>TEXT(tblTransactions[[#This Row],[Date]],"DDDD")</f>
        <v>Monday</v>
      </c>
      <c r="S675">
        <f>MONTH(tblTransactions[[#This Row],[Date]])</f>
        <v>5</v>
      </c>
      <c r="T675" t="str">
        <f>VLOOKUP(E675, Products!$A:$B,2,0)</f>
        <v>Binders Off-4</v>
      </c>
      <c r="U675" t="str">
        <f>VLOOKUP(E675,Products!$A:$C,3,0)</f>
        <v>Office Supplies</v>
      </c>
      <c r="V675" t="str">
        <f>VLOOKUP(E675,Products!$A:$D,4,0)</f>
        <v>Binders</v>
      </c>
      <c r="W675" t="str">
        <f>VLOOKUP(D675,Customers!$A:$C,3,0)</f>
        <v>B2C</v>
      </c>
      <c r="X675" t="str">
        <f>VLOOKUP(C675,Sales_Representatives!$A:$B,2,0)</f>
        <v>Jennifer Brown</v>
      </c>
    </row>
    <row r="676" spans="1:24" x14ac:dyDescent="0.3">
      <c r="A676" t="s">
        <v>979</v>
      </c>
      <c r="B676" t="s">
        <v>973</v>
      </c>
      <c r="C676" t="s">
        <v>31</v>
      </c>
      <c r="D676" t="s">
        <v>101</v>
      </c>
      <c r="E676" t="s">
        <v>206</v>
      </c>
      <c r="F676">
        <v>5</v>
      </c>
      <c r="G676">
        <v>292.51</v>
      </c>
      <c r="H676">
        <v>0.04</v>
      </c>
      <c r="I676" s="4">
        <v>1404.05</v>
      </c>
      <c r="J676" t="s">
        <v>34</v>
      </c>
      <c r="K676" t="s">
        <v>48</v>
      </c>
      <c r="L676" s="4">
        <f>VLOOKUP(tblTransactions[[#This Row],[Product_ID]],tblProducts[],5,FALSE)</f>
        <v>122.08</v>
      </c>
      <c r="M676" s="4">
        <f>tblTransactions[[#This Row],[Total_Amount]]-(tblTransactions[[#This Row],[Cost_Prices]]*tblTransactions[[#This Row],[Quantity]]*(1-tblTransactions[[#This Row],[Discount]]))</f>
        <v>818.06600000000003</v>
      </c>
      <c r="N676" s="3">
        <f>tblTransactions[[#This Row],[Profit]]/tblTransactions[[#This Row],[Total_Amount]]</f>
        <v>0.5826473416188882</v>
      </c>
      <c r="O676" t="str">
        <f>TEXT(tblTransactions[[#This Row],[Date]], "MMM-YYYY")</f>
        <v>May-2023</v>
      </c>
      <c r="P676" t="str">
        <f>"Q"&amp;ROUNDUP(MONTH(tblTransactions[[#This Row],[Date]])/3,0)&amp;"-"&amp;YEAR(tblTransactions[[#This Row],[Date]])</f>
        <v>Q2-2023</v>
      </c>
      <c r="Q676">
        <f>YEAR(tblTransactions[[#This Row],[Date]])</f>
        <v>2023</v>
      </c>
      <c r="R676" t="str">
        <f>TEXT(tblTransactions[[#This Row],[Date]],"DDDD")</f>
        <v>Monday</v>
      </c>
      <c r="S676">
        <f>MONTH(tblTransactions[[#This Row],[Date]])</f>
        <v>5</v>
      </c>
      <c r="T676" t="str">
        <f>VLOOKUP(E676, Products!$A:$B,2,0)</f>
        <v>Keyboards Acc-1</v>
      </c>
      <c r="U676" t="str">
        <f>VLOOKUP(E676,Products!$A:$C,3,0)</f>
        <v>Accessories</v>
      </c>
      <c r="V676" t="str">
        <f>VLOOKUP(E676,Products!$A:$D,4,0)</f>
        <v>Keyboards</v>
      </c>
      <c r="W676" t="str">
        <f>VLOOKUP(D676,Customers!$A:$C,3,0)</f>
        <v>B2C</v>
      </c>
      <c r="X676" t="str">
        <f>VLOOKUP(C676,Sales_Representatives!$A:$B,2,0)</f>
        <v>Thomas Martinez</v>
      </c>
    </row>
    <row r="677" spans="1:24" x14ac:dyDescent="0.3">
      <c r="A677" t="s">
        <v>980</v>
      </c>
      <c r="B677" t="s">
        <v>981</v>
      </c>
      <c r="C677" t="s">
        <v>75</v>
      </c>
      <c r="D677" t="s">
        <v>139</v>
      </c>
      <c r="E677" t="s">
        <v>316</v>
      </c>
      <c r="F677">
        <v>6</v>
      </c>
      <c r="G677">
        <v>91.42</v>
      </c>
      <c r="H677">
        <v>0.08</v>
      </c>
      <c r="I677" s="4">
        <v>504.64</v>
      </c>
      <c r="J677" t="s">
        <v>44</v>
      </c>
      <c r="K677" t="s">
        <v>22</v>
      </c>
      <c r="L677" s="4">
        <f>VLOOKUP(tblTransactions[[#This Row],[Product_ID]],tblProducts[],5,FALSE)</f>
        <v>50.09</v>
      </c>
      <c r="M677" s="4">
        <f>tblTransactions[[#This Row],[Total_Amount]]-(tblTransactions[[#This Row],[Cost_Prices]]*tblTransactions[[#This Row],[Quantity]]*(1-tblTransactions[[#This Row],[Discount]]))</f>
        <v>228.14319999999998</v>
      </c>
      <c r="N677" s="3">
        <f>tblTransactions[[#This Row],[Profit]]/tblTransactions[[#This Row],[Total_Amount]]</f>
        <v>0.45209099556119209</v>
      </c>
      <c r="O677" t="str">
        <f>TEXT(tblTransactions[[#This Row],[Date]], "MMM-YYYY")</f>
        <v>May-2023</v>
      </c>
      <c r="P677" t="str">
        <f>"Q"&amp;ROUNDUP(MONTH(tblTransactions[[#This Row],[Date]])/3,0)&amp;"-"&amp;YEAR(tblTransactions[[#This Row],[Date]])</f>
        <v>Q2-2023</v>
      </c>
      <c r="Q677">
        <f>YEAR(tblTransactions[[#This Row],[Date]])</f>
        <v>2023</v>
      </c>
      <c r="R677" t="str">
        <f>TEXT(tblTransactions[[#This Row],[Date]],"DDDD")</f>
        <v>Wednesday</v>
      </c>
      <c r="S677">
        <f>MONTH(tblTransactions[[#This Row],[Date]])</f>
        <v>5</v>
      </c>
      <c r="T677" t="str">
        <f>VLOOKUP(E677, Products!$A:$B,2,0)</f>
        <v>Binders Off-3</v>
      </c>
      <c r="U677" t="str">
        <f>VLOOKUP(E677,Products!$A:$C,3,0)</f>
        <v>Office Supplies</v>
      </c>
      <c r="V677" t="str">
        <f>VLOOKUP(E677,Products!$A:$D,4,0)</f>
        <v>Binders</v>
      </c>
      <c r="W677" t="str">
        <f>VLOOKUP(D677,Customers!$A:$C,3,0)</f>
        <v>B2C</v>
      </c>
      <c r="X677" t="str">
        <f>VLOOKUP(C677,Sales_Representatives!$A:$B,2,0)</f>
        <v>Jessica Anderson</v>
      </c>
    </row>
    <row r="678" spans="1:24" x14ac:dyDescent="0.3">
      <c r="A678" t="s">
        <v>982</v>
      </c>
      <c r="B678" t="s">
        <v>981</v>
      </c>
      <c r="C678" t="s">
        <v>82</v>
      </c>
      <c r="D678" t="s">
        <v>132</v>
      </c>
      <c r="E678" t="s">
        <v>394</v>
      </c>
      <c r="F678">
        <v>15</v>
      </c>
      <c r="G678">
        <v>314.69</v>
      </c>
      <c r="H678">
        <v>0.17</v>
      </c>
      <c r="I678" s="4">
        <v>3917.89</v>
      </c>
      <c r="J678" t="s">
        <v>34</v>
      </c>
      <c r="K678" t="s">
        <v>48</v>
      </c>
      <c r="L678" s="4">
        <f>VLOOKUP(tblTransactions[[#This Row],[Product_ID]],tblProducts[],5,FALSE)</f>
        <v>185.43</v>
      </c>
      <c r="M678" s="4">
        <f>tblTransactions[[#This Row],[Total_Amount]]-(tblTransactions[[#This Row],[Cost_Prices]]*tblTransactions[[#This Row],[Quantity]]*(1-tblTransactions[[#This Row],[Discount]]))</f>
        <v>1609.2864999999997</v>
      </c>
      <c r="N678" s="3">
        <f>tblTransactions[[#This Row],[Profit]]/tblTransactions[[#This Row],[Total_Amount]]</f>
        <v>0.4107533646937509</v>
      </c>
      <c r="O678" t="str">
        <f>TEXT(tblTransactions[[#This Row],[Date]], "MMM-YYYY")</f>
        <v>May-2023</v>
      </c>
      <c r="P678" t="str">
        <f>"Q"&amp;ROUNDUP(MONTH(tblTransactions[[#This Row],[Date]])/3,0)&amp;"-"&amp;YEAR(tblTransactions[[#This Row],[Date]])</f>
        <v>Q2-2023</v>
      </c>
      <c r="Q678">
        <f>YEAR(tblTransactions[[#This Row],[Date]])</f>
        <v>2023</v>
      </c>
      <c r="R678" t="str">
        <f>TEXT(tblTransactions[[#This Row],[Date]],"DDDD")</f>
        <v>Wednesday</v>
      </c>
      <c r="S678">
        <f>MONTH(tblTransactions[[#This Row],[Date]])</f>
        <v>5</v>
      </c>
      <c r="T678" t="str">
        <f>VLOOKUP(E678, Products!$A:$B,2,0)</f>
        <v>Desks Fur-1</v>
      </c>
      <c r="U678" t="str">
        <f>VLOOKUP(E678,Products!$A:$C,3,0)</f>
        <v>Furniture</v>
      </c>
      <c r="V678" t="str">
        <f>VLOOKUP(E678,Products!$A:$D,4,0)</f>
        <v>Desks</v>
      </c>
      <c r="W678" t="str">
        <f>VLOOKUP(D678,Customers!$A:$C,3,0)</f>
        <v>B2B</v>
      </c>
      <c r="X678" t="str">
        <f>VLOOKUP(C678,Sales_Representatives!$A:$B,2,0)</f>
        <v>John Brown</v>
      </c>
    </row>
    <row r="679" spans="1:24" x14ac:dyDescent="0.3">
      <c r="A679" t="s">
        <v>983</v>
      </c>
      <c r="B679" t="s">
        <v>981</v>
      </c>
      <c r="C679" t="s">
        <v>41</v>
      </c>
      <c r="D679" t="s">
        <v>128</v>
      </c>
      <c r="E679" t="s">
        <v>255</v>
      </c>
      <c r="F679">
        <v>16</v>
      </c>
      <c r="G679">
        <v>1444.13</v>
      </c>
      <c r="H679">
        <v>0.17</v>
      </c>
      <c r="I679" s="4">
        <v>19178.05</v>
      </c>
      <c r="J679" t="s">
        <v>44</v>
      </c>
      <c r="K679" t="s">
        <v>17</v>
      </c>
      <c r="L679" s="4">
        <f>VLOOKUP(tblTransactions[[#This Row],[Product_ID]],tblProducts[],5,FALSE)</f>
        <v>874.43</v>
      </c>
      <c r="M679" s="4">
        <f>tblTransactions[[#This Row],[Total_Amount]]-(tblTransactions[[#This Row],[Cost_Prices]]*tblTransactions[[#This Row],[Quantity]]*(1-tblTransactions[[#This Row],[Discount]]))</f>
        <v>7565.6196</v>
      </c>
      <c r="N679" s="3">
        <f>tblTransactions[[#This Row],[Profit]]/tblTransactions[[#This Row],[Total_Amount]]</f>
        <v>0.39449368418582703</v>
      </c>
      <c r="O679" t="str">
        <f>TEXT(tblTransactions[[#This Row],[Date]], "MMM-YYYY")</f>
        <v>May-2023</v>
      </c>
      <c r="P679" t="str">
        <f>"Q"&amp;ROUNDUP(MONTH(tblTransactions[[#This Row],[Date]])/3,0)&amp;"-"&amp;YEAR(tblTransactions[[#This Row],[Date]])</f>
        <v>Q2-2023</v>
      </c>
      <c r="Q679">
        <f>YEAR(tblTransactions[[#This Row],[Date]])</f>
        <v>2023</v>
      </c>
      <c r="R679" t="str">
        <f>TEXT(tblTransactions[[#This Row],[Date]],"DDDD")</f>
        <v>Wednesday</v>
      </c>
      <c r="S679">
        <f>MONTH(tblTransactions[[#This Row],[Date]])</f>
        <v>5</v>
      </c>
      <c r="T679" t="str">
        <f>VLOOKUP(E679, Products!$A:$B,2,0)</f>
        <v>Printers Tec-1</v>
      </c>
      <c r="U679" t="str">
        <f>VLOOKUP(E679,Products!$A:$C,3,0)</f>
        <v>Technology</v>
      </c>
      <c r="V679" t="str">
        <f>VLOOKUP(E679,Products!$A:$D,4,0)</f>
        <v>Printers</v>
      </c>
      <c r="W679" t="str">
        <f>VLOOKUP(D679,Customers!$A:$C,3,0)</f>
        <v>B2B</v>
      </c>
      <c r="X679" t="str">
        <f>VLOOKUP(C679,Sales_Representatives!$A:$B,2,0)</f>
        <v>Robert Jones</v>
      </c>
    </row>
    <row r="680" spans="1:24" x14ac:dyDescent="0.3">
      <c r="A680" t="s">
        <v>984</v>
      </c>
      <c r="B680" t="s">
        <v>981</v>
      </c>
      <c r="C680" t="s">
        <v>27</v>
      </c>
      <c r="D680" t="s">
        <v>134</v>
      </c>
      <c r="E680" t="s">
        <v>89</v>
      </c>
      <c r="F680">
        <v>6</v>
      </c>
      <c r="G680">
        <v>555.08000000000004</v>
      </c>
      <c r="H680">
        <v>0.1</v>
      </c>
      <c r="I680" s="4">
        <v>2997.43</v>
      </c>
      <c r="J680" t="s">
        <v>16</v>
      </c>
      <c r="K680" t="s">
        <v>17</v>
      </c>
      <c r="L680" s="4">
        <f>VLOOKUP(tblTransactions[[#This Row],[Product_ID]],tblProducts[],5,FALSE)</f>
        <v>402.82</v>
      </c>
      <c r="M680" s="4">
        <f>tblTransactions[[#This Row],[Total_Amount]]-(tblTransactions[[#This Row],[Cost_Prices]]*tblTransactions[[#This Row],[Quantity]]*(1-tblTransactions[[#This Row],[Discount]]))</f>
        <v>822.20199999999977</v>
      </c>
      <c r="N680" s="3">
        <f>tblTransactions[[#This Row],[Profit]]/tblTransactions[[#This Row],[Total_Amount]]</f>
        <v>0.27430231898659846</v>
      </c>
      <c r="O680" t="str">
        <f>TEXT(tblTransactions[[#This Row],[Date]], "MMM-YYYY")</f>
        <v>May-2023</v>
      </c>
      <c r="P680" t="str">
        <f>"Q"&amp;ROUNDUP(MONTH(tblTransactions[[#This Row],[Date]])/3,0)&amp;"-"&amp;YEAR(tblTransactions[[#This Row],[Date]])</f>
        <v>Q2-2023</v>
      </c>
      <c r="Q680">
        <f>YEAR(tblTransactions[[#This Row],[Date]])</f>
        <v>2023</v>
      </c>
      <c r="R680" t="str">
        <f>TEXT(tblTransactions[[#This Row],[Date]],"DDDD")</f>
        <v>Wednesday</v>
      </c>
      <c r="S680">
        <f>MONTH(tblTransactions[[#This Row],[Date]])</f>
        <v>5</v>
      </c>
      <c r="T680" t="str">
        <f>VLOOKUP(E680, Products!$A:$B,2,0)</f>
        <v>Laptops Ele-3</v>
      </c>
      <c r="U680" t="str">
        <f>VLOOKUP(E680,Products!$A:$C,3,0)</f>
        <v>Electronics</v>
      </c>
      <c r="V680" t="str">
        <f>VLOOKUP(E680,Products!$A:$D,4,0)</f>
        <v>Laptops</v>
      </c>
      <c r="W680" t="str">
        <f>VLOOKUP(D680,Customers!$A:$C,3,0)</f>
        <v>B2B</v>
      </c>
      <c r="X680" t="str">
        <f>VLOOKUP(C680,Sales_Representatives!$A:$B,2,0)</f>
        <v>Thomas Lopez</v>
      </c>
    </row>
    <row r="681" spans="1:24" x14ac:dyDescent="0.3">
      <c r="A681" t="s">
        <v>985</v>
      </c>
      <c r="B681" t="s">
        <v>986</v>
      </c>
      <c r="C681" t="s">
        <v>41</v>
      </c>
      <c r="D681" t="s">
        <v>83</v>
      </c>
      <c r="E681" t="s">
        <v>345</v>
      </c>
      <c r="F681">
        <v>6</v>
      </c>
      <c r="G681">
        <v>13.97</v>
      </c>
      <c r="H681">
        <v>7.0000000000000007E-2</v>
      </c>
      <c r="I681" s="4">
        <v>77.95</v>
      </c>
      <c r="J681" t="s">
        <v>44</v>
      </c>
      <c r="K681" t="s">
        <v>35</v>
      </c>
      <c r="L681" s="4">
        <f>VLOOKUP(tblTransactions[[#This Row],[Product_ID]],tblProducts[],5,FALSE)</f>
        <v>8.69</v>
      </c>
      <c r="M681" s="4">
        <f>tblTransactions[[#This Row],[Total_Amount]]-(tblTransactions[[#This Row],[Cost_Prices]]*tblTransactions[[#This Row],[Quantity]]*(1-tblTransactions[[#This Row],[Discount]]))</f>
        <v>29.459800000000008</v>
      </c>
      <c r="N681" s="3">
        <f>tblTransactions[[#This Row],[Profit]]/tblTransactions[[#This Row],[Total_Amount]]</f>
        <v>0.37793200769724189</v>
      </c>
      <c r="O681" t="str">
        <f>TEXT(tblTransactions[[#This Row],[Date]], "MMM-YYYY")</f>
        <v>Jun-2023</v>
      </c>
      <c r="P681" t="str">
        <f>"Q"&amp;ROUNDUP(MONTH(tblTransactions[[#This Row],[Date]])/3,0)&amp;"-"&amp;YEAR(tblTransactions[[#This Row],[Date]])</f>
        <v>Q2-2023</v>
      </c>
      <c r="Q681">
        <f>YEAR(tblTransactions[[#This Row],[Date]])</f>
        <v>2023</v>
      </c>
      <c r="R681" t="str">
        <f>TEXT(tblTransactions[[#This Row],[Date]],"DDDD")</f>
        <v>Thursday</v>
      </c>
      <c r="S681">
        <f>MONTH(tblTransactions[[#This Row],[Date]])</f>
        <v>6</v>
      </c>
      <c r="T681" t="str">
        <f>VLOOKUP(E681, Products!$A:$B,2,0)</f>
        <v>Cases Acc-2</v>
      </c>
      <c r="U681" t="str">
        <f>VLOOKUP(E681,Products!$A:$C,3,0)</f>
        <v>Accessories</v>
      </c>
      <c r="V681" t="str">
        <f>VLOOKUP(E681,Products!$A:$D,4,0)</f>
        <v>Cases</v>
      </c>
      <c r="W681" t="str">
        <f>VLOOKUP(D681,Customers!$A:$C,3,0)</f>
        <v>Small Business</v>
      </c>
      <c r="X681" t="str">
        <f>VLOOKUP(C681,Sales_Representatives!$A:$B,2,0)</f>
        <v>Robert Jones</v>
      </c>
    </row>
    <row r="682" spans="1:24" x14ac:dyDescent="0.3">
      <c r="A682" t="s">
        <v>987</v>
      </c>
      <c r="B682" t="s">
        <v>986</v>
      </c>
      <c r="C682" t="s">
        <v>56</v>
      </c>
      <c r="D682" t="s">
        <v>212</v>
      </c>
      <c r="E682" t="s">
        <v>65</v>
      </c>
      <c r="F682">
        <v>7</v>
      </c>
      <c r="G682">
        <v>49.44</v>
      </c>
      <c r="H682">
        <v>7.0000000000000007E-2</v>
      </c>
      <c r="I682" s="4">
        <v>321.85000000000002</v>
      </c>
      <c r="J682" t="s">
        <v>34</v>
      </c>
      <c r="K682" t="s">
        <v>39</v>
      </c>
      <c r="L682" s="4">
        <f>VLOOKUP(tblTransactions[[#This Row],[Product_ID]],tblProducts[],5,FALSE)</f>
        <v>22.34</v>
      </c>
      <c r="M682" s="4">
        <f>tblTransactions[[#This Row],[Total_Amount]]-(tblTransactions[[#This Row],[Cost_Prices]]*tblTransactions[[#This Row],[Quantity]]*(1-tblTransactions[[#This Row],[Discount]]))</f>
        <v>176.41660000000005</v>
      </c>
      <c r="N682" s="3">
        <f>tblTransactions[[#This Row],[Profit]]/tblTransactions[[#This Row],[Total_Amount]]</f>
        <v>0.5481329812024236</v>
      </c>
      <c r="O682" t="str">
        <f>TEXT(tblTransactions[[#This Row],[Date]], "MMM-YYYY")</f>
        <v>Jun-2023</v>
      </c>
      <c r="P682" t="str">
        <f>"Q"&amp;ROUNDUP(MONTH(tblTransactions[[#This Row],[Date]])/3,0)&amp;"-"&amp;YEAR(tblTransactions[[#This Row],[Date]])</f>
        <v>Q2-2023</v>
      </c>
      <c r="Q682">
        <f>YEAR(tblTransactions[[#This Row],[Date]])</f>
        <v>2023</v>
      </c>
      <c r="R682" t="str">
        <f>TEXT(tblTransactions[[#This Row],[Date]],"DDDD")</f>
        <v>Thursday</v>
      </c>
      <c r="S682">
        <f>MONTH(tblTransactions[[#This Row],[Date]])</f>
        <v>6</v>
      </c>
      <c r="T682" t="str">
        <f>VLOOKUP(E682, Products!$A:$B,2,0)</f>
        <v>Folders Off-2</v>
      </c>
      <c r="U682" t="str">
        <f>VLOOKUP(E682,Products!$A:$C,3,0)</f>
        <v>Office Supplies</v>
      </c>
      <c r="V682" t="str">
        <f>VLOOKUP(E682,Products!$A:$D,4,0)</f>
        <v>Folders</v>
      </c>
      <c r="W682" t="str">
        <f>VLOOKUP(D682,Customers!$A:$C,3,0)</f>
        <v>B2C</v>
      </c>
      <c r="X682" t="str">
        <f>VLOOKUP(C682,Sales_Representatives!$A:$B,2,0)</f>
        <v>Thomas Hernandez</v>
      </c>
    </row>
    <row r="683" spans="1:24" x14ac:dyDescent="0.3">
      <c r="A683" t="s">
        <v>988</v>
      </c>
      <c r="B683" t="s">
        <v>986</v>
      </c>
      <c r="C683" t="s">
        <v>41</v>
      </c>
      <c r="D683" t="s">
        <v>71</v>
      </c>
      <c r="E683" t="s">
        <v>450</v>
      </c>
      <c r="F683">
        <v>7</v>
      </c>
      <c r="G683">
        <v>2083.92</v>
      </c>
      <c r="H683">
        <v>0.1</v>
      </c>
      <c r="I683" s="4">
        <v>13128.7</v>
      </c>
      <c r="J683" t="s">
        <v>44</v>
      </c>
      <c r="K683" t="s">
        <v>48</v>
      </c>
      <c r="L683" s="4">
        <f>VLOOKUP(tblTransactions[[#This Row],[Product_ID]],tblProducts[],5,FALSE)</f>
        <v>1425.78</v>
      </c>
      <c r="M683" s="4">
        <f>tblTransactions[[#This Row],[Total_Amount]]-(tblTransactions[[#This Row],[Cost_Prices]]*tblTransactions[[#This Row],[Quantity]]*(1-tblTransactions[[#This Row],[Discount]]))</f>
        <v>4146.2860000000019</v>
      </c>
      <c r="N683" s="3">
        <f>tblTransactions[[#This Row],[Profit]]/tblTransactions[[#This Row],[Total_Amount]]</f>
        <v>0.31581847403017826</v>
      </c>
      <c r="O683" t="str">
        <f>TEXT(tblTransactions[[#This Row],[Date]], "MMM-YYYY")</f>
        <v>Jun-2023</v>
      </c>
      <c r="P683" t="str">
        <f>"Q"&amp;ROUNDUP(MONTH(tblTransactions[[#This Row],[Date]])/3,0)&amp;"-"&amp;YEAR(tblTransactions[[#This Row],[Date]])</f>
        <v>Q2-2023</v>
      </c>
      <c r="Q683">
        <f>YEAR(tblTransactions[[#This Row],[Date]])</f>
        <v>2023</v>
      </c>
      <c r="R683" t="str">
        <f>TEXT(tblTransactions[[#This Row],[Date]],"DDDD")</f>
        <v>Thursday</v>
      </c>
      <c r="S683">
        <f>MONTH(tblTransactions[[#This Row],[Date]])</f>
        <v>6</v>
      </c>
      <c r="T683" t="str">
        <f>VLOOKUP(E683, Products!$A:$B,2,0)</f>
        <v>Monitors Tec-4</v>
      </c>
      <c r="U683" t="str">
        <f>VLOOKUP(E683,Products!$A:$C,3,0)</f>
        <v>Technology</v>
      </c>
      <c r="V683" t="str">
        <f>VLOOKUP(E683,Products!$A:$D,4,0)</f>
        <v>Monitors</v>
      </c>
      <c r="W683" t="str">
        <f>VLOOKUP(D683,Customers!$A:$C,3,0)</f>
        <v>B2B</v>
      </c>
      <c r="X683" t="str">
        <f>VLOOKUP(C683,Sales_Representatives!$A:$B,2,0)</f>
        <v>Robert Jones</v>
      </c>
    </row>
    <row r="684" spans="1:24" x14ac:dyDescent="0.3">
      <c r="A684" t="s">
        <v>989</v>
      </c>
      <c r="B684" t="s">
        <v>990</v>
      </c>
      <c r="C684" t="s">
        <v>70</v>
      </c>
      <c r="D684" t="s">
        <v>136</v>
      </c>
      <c r="E684" t="s">
        <v>347</v>
      </c>
      <c r="F684">
        <v>2</v>
      </c>
      <c r="G684">
        <v>1539.6</v>
      </c>
      <c r="H684">
        <v>7.0000000000000007E-2</v>
      </c>
      <c r="I684" s="4">
        <v>2863.66</v>
      </c>
      <c r="J684" t="s">
        <v>16</v>
      </c>
      <c r="K684" t="s">
        <v>22</v>
      </c>
      <c r="L684" s="4">
        <f>VLOOKUP(tblTransactions[[#This Row],[Product_ID]],tblProducts[],5,FALSE)</f>
        <v>992.43</v>
      </c>
      <c r="M684" s="4">
        <f>tblTransactions[[#This Row],[Total_Amount]]-(tblTransactions[[#This Row],[Cost_Prices]]*tblTransactions[[#This Row],[Quantity]]*(1-tblTransactions[[#This Row],[Discount]]))</f>
        <v>1017.7402</v>
      </c>
      <c r="N684" s="3">
        <f>tblTransactions[[#This Row],[Profit]]/tblTransactions[[#This Row],[Total_Amount]]</f>
        <v>0.35539840623537711</v>
      </c>
      <c r="O684" t="str">
        <f>TEXT(tblTransactions[[#This Row],[Date]], "MMM-YYYY")</f>
        <v>Jun-2023</v>
      </c>
      <c r="P684" t="str">
        <f>"Q"&amp;ROUNDUP(MONTH(tblTransactions[[#This Row],[Date]])/3,0)&amp;"-"&amp;YEAR(tblTransactions[[#This Row],[Date]])</f>
        <v>Q2-2023</v>
      </c>
      <c r="Q684">
        <f>YEAR(tblTransactions[[#This Row],[Date]])</f>
        <v>2023</v>
      </c>
      <c r="R684" t="str">
        <f>TEXT(tblTransactions[[#This Row],[Date]],"DDDD")</f>
        <v>Friday</v>
      </c>
      <c r="S684">
        <f>MONTH(tblTransactions[[#This Row],[Date]])</f>
        <v>6</v>
      </c>
      <c r="T684" t="str">
        <f>VLOOKUP(E684, Products!$A:$B,2,0)</f>
        <v>Routers Tec-2</v>
      </c>
      <c r="U684" t="str">
        <f>VLOOKUP(E684,Products!$A:$C,3,0)</f>
        <v>Technology</v>
      </c>
      <c r="V684" t="str">
        <f>VLOOKUP(E684,Products!$A:$D,4,0)</f>
        <v>Routers</v>
      </c>
      <c r="W684" t="str">
        <f>VLOOKUP(D684,Customers!$A:$C,3,0)</f>
        <v>B2B</v>
      </c>
      <c r="X684" t="str">
        <f>VLOOKUP(C684,Sales_Representatives!$A:$B,2,0)</f>
        <v>Linda Smith</v>
      </c>
    </row>
    <row r="685" spans="1:24" x14ac:dyDescent="0.3">
      <c r="A685" t="s">
        <v>991</v>
      </c>
      <c r="B685" t="s">
        <v>990</v>
      </c>
      <c r="C685" t="s">
        <v>27</v>
      </c>
      <c r="D685" t="s">
        <v>112</v>
      </c>
      <c r="E685" t="s">
        <v>200</v>
      </c>
      <c r="F685">
        <v>47</v>
      </c>
      <c r="G685">
        <v>544.77</v>
      </c>
      <c r="H685">
        <v>0.18</v>
      </c>
      <c r="I685" s="4">
        <v>20995.439999999999</v>
      </c>
      <c r="J685" t="s">
        <v>16</v>
      </c>
      <c r="K685" t="s">
        <v>35</v>
      </c>
      <c r="L685" s="4">
        <f>VLOOKUP(tblTransactions[[#This Row],[Product_ID]],tblProducts[],5,FALSE)</f>
        <v>318.2</v>
      </c>
      <c r="M685" s="4">
        <f>tblTransactions[[#This Row],[Total_Amount]]-(tblTransactions[[#This Row],[Cost_Prices]]*tblTransactions[[#This Row],[Quantity]]*(1-tblTransactions[[#This Row],[Discount]]))</f>
        <v>8732.0119999999988</v>
      </c>
      <c r="N685" s="3">
        <f>tblTransactions[[#This Row],[Profit]]/tblTransactions[[#This Row],[Total_Amount]]</f>
        <v>0.41590040504033254</v>
      </c>
      <c r="O685" t="str">
        <f>TEXT(tblTransactions[[#This Row],[Date]], "MMM-YYYY")</f>
        <v>Jun-2023</v>
      </c>
      <c r="P685" t="str">
        <f>"Q"&amp;ROUNDUP(MONTH(tblTransactions[[#This Row],[Date]])/3,0)&amp;"-"&amp;YEAR(tblTransactions[[#This Row],[Date]])</f>
        <v>Q2-2023</v>
      </c>
      <c r="Q685">
        <f>YEAR(tblTransactions[[#This Row],[Date]])</f>
        <v>2023</v>
      </c>
      <c r="R685" t="str">
        <f>TEXT(tblTransactions[[#This Row],[Date]],"DDDD")</f>
        <v>Friday</v>
      </c>
      <c r="S685">
        <f>MONTH(tblTransactions[[#This Row],[Date]])</f>
        <v>6</v>
      </c>
      <c r="T685" t="str">
        <f>VLOOKUP(E685, Products!$A:$B,2,0)</f>
        <v>Desks Fur-4</v>
      </c>
      <c r="U685" t="str">
        <f>VLOOKUP(E685,Products!$A:$C,3,0)</f>
        <v>Furniture</v>
      </c>
      <c r="V685" t="str">
        <f>VLOOKUP(E685,Products!$A:$D,4,0)</f>
        <v>Desks</v>
      </c>
      <c r="W685" t="str">
        <f>VLOOKUP(D685,Customers!$A:$C,3,0)</f>
        <v>Enterprise</v>
      </c>
      <c r="X685" t="str">
        <f>VLOOKUP(C685,Sales_Representatives!$A:$B,2,0)</f>
        <v>Thomas Lopez</v>
      </c>
    </row>
    <row r="686" spans="1:24" x14ac:dyDescent="0.3">
      <c r="A686" t="s">
        <v>992</v>
      </c>
      <c r="B686" t="s">
        <v>990</v>
      </c>
      <c r="C686" t="s">
        <v>63</v>
      </c>
      <c r="D686" t="s">
        <v>156</v>
      </c>
      <c r="E686" t="s">
        <v>176</v>
      </c>
      <c r="F686">
        <v>4</v>
      </c>
      <c r="G686">
        <v>1462.68</v>
      </c>
      <c r="H686">
        <v>0.05</v>
      </c>
      <c r="I686" s="4">
        <v>5558.18</v>
      </c>
      <c r="J686" t="s">
        <v>21</v>
      </c>
      <c r="K686" t="s">
        <v>35</v>
      </c>
      <c r="L686" s="4">
        <f>VLOOKUP(tblTransactions[[#This Row],[Product_ID]],tblProducts[],5,FALSE)</f>
        <v>775.94</v>
      </c>
      <c r="M686" s="4">
        <f>tblTransactions[[#This Row],[Total_Amount]]-(tblTransactions[[#This Row],[Cost_Prices]]*tblTransactions[[#This Row],[Quantity]]*(1-tblTransactions[[#This Row],[Discount]]))</f>
        <v>2609.6080000000002</v>
      </c>
      <c r="N686" s="3">
        <f>tblTransactions[[#This Row],[Profit]]/tblTransactions[[#This Row],[Total_Amount]]</f>
        <v>0.46950764458869632</v>
      </c>
      <c r="O686" t="str">
        <f>TEXT(tblTransactions[[#This Row],[Date]], "MMM-YYYY")</f>
        <v>Jun-2023</v>
      </c>
      <c r="P686" t="str">
        <f>"Q"&amp;ROUNDUP(MONTH(tblTransactions[[#This Row],[Date]])/3,0)&amp;"-"&amp;YEAR(tblTransactions[[#This Row],[Date]])</f>
        <v>Q2-2023</v>
      </c>
      <c r="Q686">
        <f>YEAR(tblTransactions[[#This Row],[Date]])</f>
        <v>2023</v>
      </c>
      <c r="R686" t="str">
        <f>TEXT(tblTransactions[[#This Row],[Date]],"DDDD")</f>
        <v>Friday</v>
      </c>
      <c r="S686">
        <f>MONTH(tblTransactions[[#This Row],[Date]])</f>
        <v>6</v>
      </c>
      <c r="T686" t="str">
        <f>VLOOKUP(E686, Products!$A:$B,2,0)</f>
        <v>Chairs Fur-2</v>
      </c>
      <c r="U686" t="str">
        <f>VLOOKUP(E686,Products!$A:$C,3,0)</f>
        <v>Furniture</v>
      </c>
      <c r="V686" t="str">
        <f>VLOOKUP(E686,Products!$A:$D,4,0)</f>
        <v>Chairs</v>
      </c>
      <c r="W686" t="str">
        <f>VLOOKUP(D686,Customers!$A:$C,3,0)</f>
        <v>B2B</v>
      </c>
      <c r="X686" t="str">
        <f>VLOOKUP(C686,Sales_Representatives!$A:$B,2,0)</f>
        <v>Richard Wilson</v>
      </c>
    </row>
    <row r="687" spans="1:24" x14ac:dyDescent="0.3">
      <c r="A687" t="s">
        <v>993</v>
      </c>
      <c r="B687" t="s">
        <v>990</v>
      </c>
      <c r="C687" t="s">
        <v>63</v>
      </c>
      <c r="D687" t="s">
        <v>98</v>
      </c>
      <c r="E687" t="s">
        <v>435</v>
      </c>
      <c r="F687">
        <v>7</v>
      </c>
      <c r="G687">
        <v>198.72</v>
      </c>
      <c r="H687">
        <v>0.11</v>
      </c>
      <c r="I687" s="4">
        <v>1238.03</v>
      </c>
      <c r="J687" t="s">
        <v>21</v>
      </c>
      <c r="K687" t="s">
        <v>39</v>
      </c>
      <c r="L687" s="4">
        <f>VLOOKUP(tblTransactions[[#This Row],[Product_ID]],tblProducts[],5,FALSE)</f>
        <v>116.98</v>
      </c>
      <c r="M687" s="4">
        <f>tblTransactions[[#This Row],[Total_Amount]]-(tblTransactions[[#This Row],[Cost_Prices]]*tblTransactions[[#This Row],[Quantity]]*(1-tblTransactions[[#This Row],[Discount]]))</f>
        <v>509.24459999999999</v>
      </c>
      <c r="N687" s="3">
        <f>tblTransactions[[#This Row],[Profit]]/tblTransactions[[#This Row],[Total_Amount]]</f>
        <v>0.4113346203242248</v>
      </c>
      <c r="O687" t="str">
        <f>TEXT(tblTransactions[[#This Row],[Date]], "MMM-YYYY")</f>
        <v>Jun-2023</v>
      </c>
      <c r="P687" t="str">
        <f>"Q"&amp;ROUNDUP(MONTH(tblTransactions[[#This Row],[Date]])/3,0)&amp;"-"&amp;YEAR(tblTransactions[[#This Row],[Date]])</f>
        <v>Q2-2023</v>
      </c>
      <c r="Q687">
        <f>YEAR(tblTransactions[[#This Row],[Date]])</f>
        <v>2023</v>
      </c>
      <c r="R687" t="str">
        <f>TEXT(tblTransactions[[#This Row],[Date]],"DDDD")</f>
        <v>Friday</v>
      </c>
      <c r="S687">
        <f>MONTH(tblTransactions[[#This Row],[Date]])</f>
        <v>6</v>
      </c>
      <c r="T687" t="str">
        <f>VLOOKUP(E687, Products!$A:$B,2,0)</f>
        <v>Paper Off-4</v>
      </c>
      <c r="U687" t="str">
        <f>VLOOKUP(E687,Products!$A:$C,3,0)</f>
        <v>Office Supplies</v>
      </c>
      <c r="V687" t="str">
        <f>VLOOKUP(E687,Products!$A:$D,4,0)</f>
        <v>Paper</v>
      </c>
      <c r="W687" t="str">
        <f>VLOOKUP(D687,Customers!$A:$C,3,0)</f>
        <v>B2C</v>
      </c>
      <c r="X687" t="str">
        <f>VLOOKUP(C687,Sales_Representatives!$A:$B,2,0)</f>
        <v>Richard Wilson</v>
      </c>
    </row>
    <row r="688" spans="1:24" x14ac:dyDescent="0.3">
      <c r="A688" t="s">
        <v>994</v>
      </c>
      <c r="B688" t="s">
        <v>990</v>
      </c>
      <c r="C688" t="s">
        <v>82</v>
      </c>
      <c r="D688" t="s">
        <v>47</v>
      </c>
      <c r="E688" t="s">
        <v>105</v>
      </c>
      <c r="F688">
        <v>5</v>
      </c>
      <c r="G688">
        <v>1342.04</v>
      </c>
      <c r="H688">
        <v>0.03</v>
      </c>
      <c r="I688" s="4">
        <v>6508.89</v>
      </c>
      <c r="J688" t="s">
        <v>34</v>
      </c>
      <c r="K688" t="s">
        <v>39</v>
      </c>
      <c r="L688" s="4">
        <f>VLOOKUP(tblTransactions[[#This Row],[Product_ID]],tblProducts[],5,FALSE)</f>
        <v>792.89</v>
      </c>
      <c r="M688" s="4">
        <f>tblTransactions[[#This Row],[Total_Amount]]-(tblTransactions[[#This Row],[Cost_Prices]]*tblTransactions[[#This Row],[Quantity]]*(1-tblTransactions[[#This Row],[Discount]]))</f>
        <v>2663.3735000000006</v>
      </c>
      <c r="N688" s="3">
        <f>tblTransactions[[#This Row],[Profit]]/tblTransactions[[#This Row],[Total_Amount]]</f>
        <v>0.40919012304709412</v>
      </c>
      <c r="O688" t="str">
        <f>TEXT(tblTransactions[[#This Row],[Date]], "MMM-YYYY")</f>
        <v>Jun-2023</v>
      </c>
      <c r="P688" t="str">
        <f>"Q"&amp;ROUNDUP(MONTH(tblTransactions[[#This Row],[Date]])/3,0)&amp;"-"&amp;YEAR(tblTransactions[[#This Row],[Date]])</f>
        <v>Q2-2023</v>
      </c>
      <c r="Q688">
        <f>YEAR(tblTransactions[[#This Row],[Date]])</f>
        <v>2023</v>
      </c>
      <c r="R688" t="str">
        <f>TEXT(tblTransactions[[#This Row],[Date]],"DDDD")</f>
        <v>Friday</v>
      </c>
      <c r="S688">
        <f>MONTH(tblTransactions[[#This Row],[Date]])</f>
        <v>6</v>
      </c>
      <c r="T688" t="str">
        <f>VLOOKUP(E688, Products!$A:$B,2,0)</f>
        <v>Cameras Ele-1</v>
      </c>
      <c r="U688" t="str">
        <f>VLOOKUP(E688,Products!$A:$C,3,0)</f>
        <v>Electronics</v>
      </c>
      <c r="V688" t="str">
        <f>VLOOKUP(E688,Products!$A:$D,4,0)</f>
        <v>Cameras</v>
      </c>
      <c r="W688" t="str">
        <f>VLOOKUP(D688,Customers!$A:$C,3,0)</f>
        <v>B2C</v>
      </c>
      <c r="X688" t="str">
        <f>VLOOKUP(C688,Sales_Representatives!$A:$B,2,0)</f>
        <v>John Brown</v>
      </c>
    </row>
    <row r="689" spans="1:24" x14ac:dyDescent="0.3">
      <c r="A689" t="s">
        <v>995</v>
      </c>
      <c r="B689" t="s">
        <v>996</v>
      </c>
      <c r="C689" t="s">
        <v>41</v>
      </c>
      <c r="D689" t="s">
        <v>183</v>
      </c>
      <c r="E689" t="s">
        <v>370</v>
      </c>
      <c r="F689">
        <v>7</v>
      </c>
      <c r="G689">
        <v>238.95</v>
      </c>
      <c r="H689">
        <v>0.09</v>
      </c>
      <c r="I689" s="4">
        <v>1522.11</v>
      </c>
      <c r="J689" t="s">
        <v>44</v>
      </c>
      <c r="K689" t="s">
        <v>39</v>
      </c>
      <c r="L689" s="4">
        <f>VLOOKUP(tblTransactions[[#This Row],[Product_ID]],tblProducts[],5,FALSE)</f>
        <v>136.6</v>
      </c>
      <c r="M689" s="4">
        <f>tblTransactions[[#This Row],[Total_Amount]]-(tblTransactions[[#This Row],[Cost_Prices]]*tblTransactions[[#This Row],[Quantity]]*(1-tblTransactions[[#This Row],[Discount]]))</f>
        <v>651.96799999999996</v>
      </c>
      <c r="N689" s="3">
        <f>tblTransactions[[#This Row],[Profit]]/tblTransactions[[#This Row],[Total_Amount]]</f>
        <v>0.42833172372561773</v>
      </c>
      <c r="O689" t="str">
        <f>TEXT(tblTransactions[[#This Row],[Date]], "MMM-YYYY")</f>
        <v>Jun-2023</v>
      </c>
      <c r="P689" t="str">
        <f>"Q"&amp;ROUNDUP(MONTH(tblTransactions[[#This Row],[Date]])/3,0)&amp;"-"&amp;YEAR(tblTransactions[[#This Row],[Date]])</f>
        <v>Q2-2023</v>
      </c>
      <c r="Q689">
        <f>YEAR(tblTransactions[[#This Row],[Date]])</f>
        <v>2023</v>
      </c>
      <c r="R689" t="str">
        <f>TEXT(tblTransactions[[#This Row],[Date]],"DDDD")</f>
        <v>Saturday</v>
      </c>
      <c r="S689">
        <f>MONTH(tblTransactions[[#This Row],[Date]])</f>
        <v>6</v>
      </c>
      <c r="T689" t="str">
        <f>VLOOKUP(E689, Products!$A:$B,2,0)</f>
        <v>Cables Acc-1</v>
      </c>
      <c r="U689" t="str">
        <f>VLOOKUP(E689,Products!$A:$C,3,0)</f>
        <v>Accessories</v>
      </c>
      <c r="V689" t="str">
        <f>VLOOKUP(E689,Products!$A:$D,4,0)</f>
        <v>Cables</v>
      </c>
      <c r="W689" t="str">
        <f>VLOOKUP(D689,Customers!$A:$C,3,0)</f>
        <v>Small Business</v>
      </c>
      <c r="X689" t="str">
        <f>VLOOKUP(C689,Sales_Representatives!$A:$B,2,0)</f>
        <v>Robert Jones</v>
      </c>
    </row>
    <row r="690" spans="1:24" x14ac:dyDescent="0.3">
      <c r="A690" t="s">
        <v>997</v>
      </c>
      <c r="B690" t="s">
        <v>996</v>
      </c>
      <c r="C690" t="s">
        <v>13</v>
      </c>
      <c r="D690" t="s">
        <v>166</v>
      </c>
      <c r="E690" t="s">
        <v>258</v>
      </c>
      <c r="F690">
        <v>5</v>
      </c>
      <c r="G690">
        <v>73.33</v>
      </c>
      <c r="H690">
        <v>0.05</v>
      </c>
      <c r="I690" s="4">
        <v>348.32</v>
      </c>
      <c r="J690" t="s">
        <v>16</v>
      </c>
      <c r="K690" t="s">
        <v>35</v>
      </c>
      <c r="L690" s="4">
        <f>VLOOKUP(tblTransactions[[#This Row],[Product_ID]],tblProducts[],5,FALSE)</f>
        <v>38.049999999999997</v>
      </c>
      <c r="M690" s="4">
        <f>tblTransactions[[#This Row],[Total_Amount]]-(tblTransactions[[#This Row],[Cost_Prices]]*tblTransactions[[#This Row],[Quantity]]*(1-tblTransactions[[#This Row],[Discount]]))</f>
        <v>167.58250000000001</v>
      </c>
      <c r="N690" s="3">
        <f>tblTransactions[[#This Row],[Profit]]/tblTransactions[[#This Row],[Total_Amount]]</f>
        <v>0.4811165020670648</v>
      </c>
      <c r="O690" t="str">
        <f>TEXT(tblTransactions[[#This Row],[Date]], "MMM-YYYY")</f>
        <v>Jun-2023</v>
      </c>
      <c r="P690" t="str">
        <f>"Q"&amp;ROUNDUP(MONTH(tblTransactions[[#This Row],[Date]])/3,0)&amp;"-"&amp;YEAR(tblTransactions[[#This Row],[Date]])</f>
        <v>Q2-2023</v>
      </c>
      <c r="Q690">
        <f>YEAR(tblTransactions[[#This Row],[Date]])</f>
        <v>2023</v>
      </c>
      <c r="R690" t="str">
        <f>TEXT(tblTransactions[[#This Row],[Date]],"DDDD")</f>
        <v>Saturday</v>
      </c>
      <c r="S690">
        <f>MONTH(tblTransactions[[#This Row],[Date]])</f>
        <v>6</v>
      </c>
      <c r="T690" t="str">
        <f>VLOOKUP(E690, Products!$A:$B,2,0)</f>
        <v>Keyboards Acc-3</v>
      </c>
      <c r="U690" t="str">
        <f>VLOOKUP(E690,Products!$A:$C,3,0)</f>
        <v>Accessories</v>
      </c>
      <c r="V690" t="str">
        <f>VLOOKUP(E690,Products!$A:$D,4,0)</f>
        <v>Keyboards</v>
      </c>
      <c r="W690" t="str">
        <f>VLOOKUP(D690,Customers!$A:$C,3,0)</f>
        <v>B2C</v>
      </c>
      <c r="X690" t="str">
        <f>VLOOKUP(C690,Sales_Representatives!$A:$B,2,0)</f>
        <v>Jennifer Rodriguez</v>
      </c>
    </row>
    <row r="691" spans="1:24" x14ac:dyDescent="0.3">
      <c r="A691" t="s">
        <v>998</v>
      </c>
      <c r="B691" t="s">
        <v>996</v>
      </c>
      <c r="C691" t="s">
        <v>107</v>
      </c>
      <c r="D691" t="s">
        <v>95</v>
      </c>
      <c r="E691" t="s">
        <v>191</v>
      </c>
      <c r="F691">
        <v>11</v>
      </c>
      <c r="G691">
        <v>1012.75</v>
      </c>
      <c r="H691">
        <v>0.12</v>
      </c>
      <c r="I691" s="4">
        <v>9803.42</v>
      </c>
      <c r="J691" t="s">
        <v>109</v>
      </c>
      <c r="K691" t="s">
        <v>22</v>
      </c>
      <c r="L691" s="4">
        <f>VLOOKUP(tblTransactions[[#This Row],[Product_ID]],tblProducts[],5,FALSE)</f>
        <v>518.53</v>
      </c>
      <c r="M691" s="4">
        <f>tblTransactions[[#This Row],[Total_Amount]]-(tblTransactions[[#This Row],[Cost_Prices]]*tblTransactions[[#This Row],[Quantity]]*(1-tblTransactions[[#This Row],[Discount]]))</f>
        <v>4784.0496000000003</v>
      </c>
      <c r="N691" s="3">
        <f>tblTransactions[[#This Row],[Profit]]/tblTransactions[[#This Row],[Total_Amount]]</f>
        <v>0.48799802517896818</v>
      </c>
      <c r="O691" t="str">
        <f>TEXT(tblTransactions[[#This Row],[Date]], "MMM-YYYY")</f>
        <v>Jun-2023</v>
      </c>
      <c r="P691" t="str">
        <f>"Q"&amp;ROUNDUP(MONTH(tblTransactions[[#This Row],[Date]])/3,0)&amp;"-"&amp;YEAR(tblTransactions[[#This Row],[Date]])</f>
        <v>Q2-2023</v>
      </c>
      <c r="Q691">
        <f>YEAR(tblTransactions[[#This Row],[Date]])</f>
        <v>2023</v>
      </c>
      <c r="R691" t="str">
        <f>TEXT(tblTransactions[[#This Row],[Date]],"DDDD")</f>
        <v>Saturday</v>
      </c>
      <c r="S691">
        <f>MONTH(tblTransactions[[#This Row],[Date]])</f>
        <v>6</v>
      </c>
      <c r="T691" t="str">
        <f>VLOOKUP(E691, Products!$A:$B,2,0)</f>
        <v>Tables Fur-4</v>
      </c>
      <c r="U691" t="str">
        <f>VLOOKUP(E691,Products!$A:$C,3,0)</f>
        <v>Furniture</v>
      </c>
      <c r="V691" t="str">
        <f>VLOOKUP(E691,Products!$A:$D,4,0)</f>
        <v>Tables</v>
      </c>
      <c r="W691" t="str">
        <f>VLOOKUP(D691,Customers!$A:$C,3,0)</f>
        <v>Enterprise</v>
      </c>
      <c r="X691" t="str">
        <f>VLOOKUP(C691,Sales_Representatives!$A:$B,2,0)</f>
        <v>Jennifer Brown</v>
      </c>
    </row>
    <row r="692" spans="1:24" x14ac:dyDescent="0.3">
      <c r="A692" t="s">
        <v>999</v>
      </c>
      <c r="B692" t="s">
        <v>996</v>
      </c>
      <c r="C692" t="s">
        <v>41</v>
      </c>
      <c r="D692" t="s">
        <v>98</v>
      </c>
      <c r="E692" t="s">
        <v>204</v>
      </c>
      <c r="F692">
        <v>3</v>
      </c>
      <c r="G692">
        <v>715.62</v>
      </c>
      <c r="H692">
        <v>0.06</v>
      </c>
      <c r="I692" s="4">
        <v>2018.05</v>
      </c>
      <c r="J692" t="s">
        <v>44</v>
      </c>
      <c r="K692" t="s">
        <v>39</v>
      </c>
      <c r="L692" s="4">
        <f>VLOOKUP(tblTransactions[[#This Row],[Product_ID]],tblProducts[],5,FALSE)</f>
        <v>459.58</v>
      </c>
      <c r="M692" s="4">
        <f>tblTransactions[[#This Row],[Total_Amount]]-(tblTransactions[[#This Row],[Cost_Prices]]*tblTransactions[[#This Row],[Quantity]]*(1-tblTransactions[[#This Row],[Discount]]))</f>
        <v>722.03440000000001</v>
      </c>
      <c r="N692" s="3">
        <f>tblTransactions[[#This Row],[Profit]]/tblTransactions[[#This Row],[Total_Amount]]</f>
        <v>0.35778816183939943</v>
      </c>
      <c r="O692" t="str">
        <f>TEXT(tblTransactions[[#This Row],[Date]], "MMM-YYYY")</f>
        <v>Jun-2023</v>
      </c>
      <c r="P692" t="str">
        <f>"Q"&amp;ROUNDUP(MONTH(tblTransactions[[#This Row],[Date]])/3,0)&amp;"-"&amp;YEAR(tblTransactions[[#This Row],[Date]])</f>
        <v>Q2-2023</v>
      </c>
      <c r="Q692">
        <f>YEAR(tblTransactions[[#This Row],[Date]])</f>
        <v>2023</v>
      </c>
      <c r="R692" t="str">
        <f>TEXT(tblTransactions[[#This Row],[Date]],"DDDD")</f>
        <v>Saturday</v>
      </c>
      <c r="S692">
        <f>MONTH(tblTransactions[[#This Row],[Date]])</f>
        <v>6</v>
      </c>
      <c r="T692" t="str">
        <f>VLOOKUP(E692, Products!$A:$B,2,0)</f>
        <v>Cameras Ele-2</v>
      </c>
      <c r="U692" t="str">
        <f>VLOOKUP(E692,Products!$A:$C,3,0)</f>
        <v>Electronics</v>
      </c>
      <c r="V692" t="str">
        <f>VLOOKUP(E692,Products!$A:$D,4,0)</f>
        <v>Cameras</v>
      </c>
      <c r="W692" t="str">
        <f>VLOOKUP(D692,Customers!$A:$C,3,0)</f>
        <v>B2C</v>
      </c>
      <c r="X692" t="str">
        <f>VLOOKUP(C692,Sales_Representatives!$A:$B,2,0)</f>
        <v>Robert Jones</v>
      </c>
    </row>
    <row r="693" spans="1:24" x14ac:dyDescent="0.3">
      <c r="A693" t="s">
        <v>1000</v>
      </c>
      <c r="B693" t="s">
        <v>996</v>
      </c>
      <c r="C693" t="s">
        <v>75</v>
      </c>
      <c r="D693" t="s">
        <v>67</v>
      </c>
      <c r="E693" t="s">
        <v>43</v>
      </c>
      <c r="F693">
        <v>3</v>
      </c>
      <c r="G693">
        <v>39.32</v>
      </c>
      <c r="H693">
        <v>0</v>
      </c>
      <c r="I693" s="4">
        <v>117.96</v>
      </c>
      <c r="J693" t="s">
        <v>44</v>
      </c>
      <c r="K693" t="s">
        <v>17</v>
      </c>
      <c r="L693" s="4">
        <f>VLOOKUP(tblTransactions[[#This Row],[Product_ID]],tblProducts[],5,FALSE)</f>
        <v>15.81</v>
      </c>
      <c r="M693" s="4">
        <f>tblTransactions[[#This Row],[Total_Amount]]-(tblTransactions[[#This Row],[Cost_Prices]]*tblTransactions[[#This Row],[Quantity]]*(1-tblTransactions[[#This Row],[Discount]]))</f>
        <v>70.53</v>
      </c>
      <c r="N693" s="3">
        <f>tblTransactions[[#This Row],[Profit]]/tblTransactions[[#This Row],[Total_Amount]]</f>
        <v>0.59791454730417093</v>
      </c>
      <c r="O693" t="str">
        <f>TEXT(tblTransactions[[#This Row],[Date]], "MMM-YYYY")</f>
        <v>Jun-2023</v>
      </c>
      <c r="P693" t="str">
        <f>"Q"&amp;ROUNDUP(MONTH(tblTransactions[[#This Row],[Date]])/3,0)&amp;"-"&amp;YEAR(tblTransactions[[#This Row],[Date]])</f>
        <v>Q2-2023</v>
      </c>
      <c r="Q693">
        <f>YEAR(tblTransactions[[#This Row],[Date]])</f>
        <v>2023</v>
      </c>
      <c r="R693" t="str">
        <f>TEXT(tblTransactions[[#This Row],[Date]],"DDDD")</f>
        <v>Saturday</v>
      </c>
      <c r="S693">
        <f>MONTH(tblTransactions[[#This Row],[Date]])</f>
        <v>6</v>
      </c>
      <c r="T693" t="str">
        <f>VLOOKUP(E693, Products!$A:$B,2,0)</f>
        <v>Paper Off-3</v>
      </c>
      <c r="U693" t="str">
        <f>VLOOKUP(E693,Products!$A:$C,3,0)</f>
        <v>Office Supplies</v>
      </c>
      <c r="V693" t="str">
        <f>VLOOKUP(E693,Products!$A:$D,4,0)</f>
        <v>Paper</v>
      </c>
      <c r="W693" t="str">
        <f>VLOOKUP(D693,Customers!$A:$C,3,0)</f>
        <v>B2C</v>
      </c>
      <c r="X693" t="str">
        <f>VLOOKUP(C693,Sales_Representatives!$A:$B,2,0)</f>
        <v>Jessica Anderson</v>
      </c>
    </row>
    <row r="694" spans="1:24" x14ac:dyDescent="0.3">
      <c r="A694" t="s">
        <v>1001</v>
      </c>
      <c r="B694" t="s">
        <v>996</v>
      </c>
      <c r="C694" t="s">
        <v>56</v>
      </c>
      <c r="D694" t="s">
        <v>351</v>
      </c>
      <c r="E694" t="s">
        <v>99</v>
      </c>
      <c r="F694">
        <v>6</v>
      </c>
      <c r="G694">
        <v>325.14</v>
      </c>
      <c r="H694">
        <v>0.12</v>
      </c>
      <c r="I694" s="4">
        <v>1716.74</v>
      </c>
      <c r="J694" t="s">
        <v>34</v>
      </c>
      <c r="K694" t="s">
        <v>35</v>
      </c>
      <c r="L694" s="4">
        <f>VLOOKUP(tblTransactions[[#This Row],[Product_ID]],tblProducts[],5,FALSE)</f>
        <v>209.04</v>
      </c>
      <c r="M694" s="4">
        <f>tblTransactions[[#This Row],[Total_Amount]]-(tblTransactions[[#This Row],[Cost_Prices]]*tblTransactions[[#This Row],[Quantity]]*(1-tblTransactions[[#This Row],[Discount]]))</f>
        <v>613.00880000000006</v>
      </c>
      <c r="N694" s="3">
        <f>tblTransactions[[#This Row],[Profit]]/tblTransactions[[#This Row],[Total_Amount]]</f>
        <v>0.35707725106888644</v>
      </c>
      <c r="O694" t="str">
        <f>TEXT(tblTransactions[[#This Row],[Date]], "MMM-YYYY")</f>
        <v>Jun-2023</v>
      </c>
      <c r="P694" t="str">
        <f>"Q"&amp;ROUNDUP(MONTH(tblTransactions[[#This Row],[Date]])/3,0)&amp;"-"&amp;YEAR(tblTransactions[[#This Row],[Date]])</f>
        <v>Q2-2023</v>
      </c>
      <c r="Q694">
        <f>YEAR(tblTransactions[[#This Row],[Date]])</f>
        <v>2023</v>
      </c>
      <c r="R694" t="str">
        <f>TEXT(tblTransactions[[#This Row],[Date]],"DDDD")</f>
        <v>Saturday</v>
      </c>
      <c r="S694">
        <f>MONTH(tblTransactions[[#This Row],[Date]])</f>
        <v>6</v>
      </c>
      <c r="T694" t="str">
        <f>VLOOKUP(E694, Products!$A:$B,2,0)</f>
        <v>Monitors Tec-1</v>
      </c>
      <c r="U694" t="str">
        <f>VLOOKUP(E694,Products!$A:$C,3,0)</f>
        <v>Technology</v>
      </c>
      <c r="V694" t="str">
        <f>VLOOKUP(E694,Products!$A:$D,4,0)</f>
        <v>Monitors</v>
      </c>
      <c r="W694" t="str">
        <f>VLOOKUP(D694,Customers!$A:$C,3,0)</f>
        <v>B2C</v>
      </c>
      <c r="X694" t="str">
        <f>VLOOKUP(C694,Sales_Representatives!$A:$B,2,0)</f>
        <v>Thomas Hernandez</v>
      </c>
    </row>
    <row r="695" spans="1:24" x14ac:dyDescent="0.3">
      <c r="A695" t="s">
        <v>1002</v>
      </c>
      <c r="B695" t="s">
        <v>996</v>
      </c>
      <c r="C695" t="s">
        <v>41</v>
      </c>
      <c r="D695" t="s">
        <v>128</v>
      </c>
      <c r="E695" t="s">
        <v>99</v>
      </c>
      <c r="F695">
        <v>17</v>
      </c>
      <c r="G695">
        <v>325.14</v>
      </c>
      <c r="H695">
        <v>0.14000000000000001</v>
      </c>
      <c r="I695" s="4">
        <v>4753.55</v>
      </c>
      <c r="J695" t="s">
        <v>44</v>
      </c>
      <c r="K695" t="s">
        <v>35</v>
      </c>
      <c r="L695" s="4">
        <f>VLOOKUP(tblTransactions[[#This Row],[Product_ID]],tblProducts[],5,FALSE)</f>
        <v>209.04</v>
      </c>
      <c r="M695" s="4">
        <f>tblTransactions[[#This Row],[Total_Amount]]-(tblTransactions[[#This Row],[Cost_Prices]]*tblTransactions[[#This Row],[Quantity]]*(1-tblTransactions[[#This Row],[Discount]]))</f>
        <v>1697.3852000000002</v>
      </c>
      <c r="N695" s="3">
        <f>tblTransactions[[#This Row],[Profit]]/tblTransactions[[#This Row],[Total_Amount]]</f>
        <v>0.35707738427070296</v>
      </c>
      <c r="O695" t="str">
        <f>TEXT(tblTransactions[[#This Row],[Date]], "MMM-YYYY")</f>
        <v>Jun-2023</v>
      </c>
      <c r="P695" t="str">
        <f>"Q"&amp;ROUNDUP(MONTH(tblTransactions[[#This Row],[Date]])/3,0)&amp;"-"&amp;YEAR(tblTransactions[[#This Row],[Date]])</f>
        <v>Q2-2023</v>
      </c>
      <c r="Q695">
        <f>YEAR(tblTransactions[[#This Row],[Date]])</f>
        <v>2023</v>
      </c>
      <c r="R695" t="str">
        <f>TEXT(tblTransactions[[#This Row],[Date]],"DDDD")</f>
        <v>Saturday</v>
      </c>
      <c r="S695">
        <f>MONTH(tblTransactions[[#This Row],[Date]])</f>
        <v>6</v>
      </c>
      <c r="T695" t="str">
        <f>VLOOKUP(E695, Products!$A:$B,2,0)</f>
        <v>Monitors Tec-1</v>
      </c>
      <c r="U695" t="str">
        <f>VLOOKUP(E695,Products!$A:$C,3,0)</f>
        <v>Technology</v>
      </c>
      <c r="V695" t="str">
        <f>VLOOKUP(E695,Products!$A:$D,4,0)</f>
        <v>Monitors</v>
      </c>
      <c r="W695" t="str">
        <f>VLOOKUP(D695,Customers!$A:$C,3,0)</f>
        <v>B2B</v>
      </c>
      <c r="X695" t="str">
        <f>VLOOKUP(C695,Sales_Representatives!$A:$B,2,0)</f>
        <v>Robert Jones</v>
      </c>
    </row>
    <row r="696" spans="1:24" x14ac:dyDescent="0.3">
      <c r="A696" t="s">
        <v>1003</v>
      </c>
      <c r="B696" t="s">
        <v>996</v>
      </c>
      <c r="C696" t="s">
        <v>56</v>
      </c>
      <c r="D696" t="s">
        <v>115</v>
      </c>
      <c r="E696" t="s">
        <v>91</v>
      </c>
      <c r="F696">
        <v>3</v>
      </c>
      <c r="G696">
        <v>286.62</v>
      </c>
      <c r="H696">
        <v>0.01</v>
      </c>
      <c r="I696" s="4">
        <v>851.26</v>
      </c>
      <c r="J696" t="s">
        <v>34</v>
      </c>
      <c r="K696" t="s">
        <v>22</v>
      </c>
      <c r="L696" s="4">
        <f>VLOOKUP(tblTransactions[[#This Row],[Product_ID]],tblProducts[],5,FALSE)</f>
        <v>145.54</v>
      </c>
      <c r="M696" s="4">
        <f>tblTransactions[[#This Row],[Total_Amount]]-(tblTransactions[[#This Row],[Cost_Prices]]*tblTransactions[[#This Row],[Quantity]]*(1-tblTransactions[[#This Row],[Discount]]))</f>
        <v>419.00619999999998</v>
      </c>
      <c r="N696" s="3">
        <f>tblTransactions[[#This Row],[Profit]]/tblTransactions[[#This Row],[Total_Amount]]</f>
        <v>0.49221882856001692</v>
      </c>
      <c r="O696" t="str">
        <f>TEXT(tblTransactions[[#This Row],[Date]], "MMM-YYYY")</f>
        <v>Jun-2023</v>
      </c>
      <c r="P696" t="str">
        <f>"Q"&amp;ROUNDUP(MONTH(tblTransactions[[#This Row],[Date]])/3,0)&amp;"-"&amp;YEAR(tblTransactions[[#This Row],[Date]])</f>
        <v>Q2-2023</v>
      </c>
      <c r="Q696">
        <f>YEAR(tblTransactions[[#This Row],[Date]])</f>
        <v>2023</v>
      </c>
      <c r="R696" t="str">
        <f>TEXT(tblTransactions[[#This Row],[Date]],"DDDD")</f>
        <v>Saturday</v>
      </c>
      <c r="S696">
        <f>MONTH(tblTransactions[[#This Row],[Date]])</f>
        <v>6</v>
      </c>
      <c r="T696" t="str">
        <f>VLOOKUP(E696, Products!$A:$B,2,0)</f>
        <v>Chairs Fur-1</v>
      </c>
      <c r="U696" t="str">
        <f>VLOOKUP(E696,Products!$A:$C,3,0)</f>
        <v>Furniture</v>
      </c>
      <c r="V696" t="str">
        <f>VLOOKUP(E696,Products!$A:$D,4,0)</f>
        <v>Chairs</v>
      </c>
      <c r="W696" t="str">
        <f>VLOOKUP(D696,Customers!$A:$C,3,0)</f>
        <v>B2C</v>
      </c>
      <c r="X696" t="str">
        <f>VLOOKUP(C696,Sales_Representatives!$A:$B,2,0)</f>
        <v>Thomas Hernandez</v>
      </c>
    </row>
    <row r="697" spans="1:24" x14ac:dyDescent="0.3">
      <c r="A697" t="s">
        <v>1004</v>
      </c>
      <c r="B697" t="s">
        <v>996</v>
      </c>
      <c r="C697" t="s">
        <v>107</v>
      </c>
      <c r="D697" t="s">
        <v>95</v>
      </c>
      <c r="E697" t="s">
        <v>15</v>
      </c>
      <c r="F697">
        <v>12</v>
      </c>
      <c r="G697">
        <v>477.48</v>
      </c>
      <c r="H697">
        <v>0.16</v>
      </c>
      <c r="I697" s="4">
        <v>4813</v>
      </c>
      <c r="J697" t="s">
        <v>109</v>
      </c>
      <c r="K697" t="s">
        <v>48</v>
      </c>
      <c r="L697" s="4">
        <f>VLOOKUP(tblTransactions[[#This Row],[Product_ID]],tblProducts[],5,FALSE)</f>
        <v>275.51</v>
      </c>
      <c r="M697" s="4">
        <f>tblTransactions[[#This Row],[Total_Amount]]-(tblTransactions[[#This Row],[Cost_Prices]]*tblTransactions[[#This Row],[Quantity]]*(1-tblTransactions[[#This Row],[Discount]]))</f>
        <v>2035.8592000000003</v>
      </c>
      <c r="N697" s="3">
        <f>tblTransactions[[#This Row],[Profit]]/tblTransactions[[#This Row],[Total_Amount]]</f>
        <v>0.42299173072927493</v>
      </c>
      <c r="O697" t="str">
        <f>TEXT(tblTransactions[[#This Row],[Date]], "MMM-YYYY")</f>
        <v>Jun-2023</v>
      </c>
      <c r="P697" t="str">
        <f>"Q"&amp;ROUNDUP(MONTH(tblTransactions[[#This Row],[Date]])/3,0)&amp;"-"&amp;YEAR(tblTransactions[[#This Row],[Date]])</f>
        <v>Q2-2023</v>
      </c>
      <c r="Q697">
        <f>YEAR(tblTransactions[[#This Row],[Date]])</f>
        <v>2023</v>
      </c>
      <c r="R697" t="str">
        <f>TEXT(tblTransactions[[#This Row],[Date]],"DDDD")</f>
        <v>Saturday</v>
      </c>
      <c r="S697">
        <f>MONTH(tblTransactions[[#This Row],[Date]])</f>
        <v>6</v>
      </c>
      <c r="T697" t="str">
        <f>VLOOKUP(E697, Products!$A:$B,2,0)</f>
        <v>Laptops Ele-4</v>
      </c>
      <c r="U697" t="str">
        <f>VLOOKUP(E697,Products!$A:$C,3,0)</f>
        <v>Electronics</v>
      </c>
      <c r="V697" t="str">
        <f>VLOOKUP(E697,Products!$A:$D,4,0)</f>
        <v>Laptops</v>
      </c>
      <c r="W697" t="str">
        <f>VLOOKUP(D697,Customers!$A:$C,3,0)</f>
        <v>Enterprise</v>
      </c>
      <c r="X697" t="str">
        <f>VLOOKUP(C697,Sales_Representatives!$A:$B,2,0)</f>
        <v>Jennifer Brown</v>
      </c>
    </row>
    <row r="698" spans="1:24" x14ac:dyDescent="0.3">
      <c r="A698" t="s">
        <v>1005</v>
      </c>
      <c r="B698" t="s">
        <v>996</v>
      </c>
      <c r="C698" t="s">
        <v>107</v>
      </c>
      <c r="D698" t="s">
        <v>190</v>
      </c>
      <c r="E698" t="s">
        <v>224</v>
      </c>
      <c r="F698">
        <v>10</v>
      </c>
      <c r="G698">
        <v>505.37</v>
      </c>
      <c r="H698">
        <v>0.09</v>
      </c>
      <c r="I698" s="4">
        <v>4598.87</v>
      </c>
      <c r="J698" t="s">
        <v>109</v>
      </c>
      <c r="K698" t="s">
        <v>17</v>
      </c>
      <c r="L698" s="4">
        <f>VLOOKUP(tblTransactions[[#This Row],[Product_ID]],tblProducts[],5,FALSE)</f>
        <v>281.14999999999998</v>
      </c>
      <c r="M698" s="4">
        <f>tblTransactions[[#This Row],[Total_Amount]]-(tblTransactions[[#This Row],[Cost_Prices]]*tblTransactions[[#This Row],[Quantity]]*(1-tblTransactions[[#This Row],[Discount]]))</f>
        <v>2040.4049999999997</v>
      </c>
      <c r="N698" s="3">
        <f>tblTransactions[[#This Row],[Profit]]/tblTransactions[[#This Row],[Total_Amount]]</f>
        <v>0.44367529414834511</v>
      </c>
      <c r="O698" t="str">
        <f>TEXT(tblTransactions[[#This Row],[Date]], "MMM-YYYY")</f>
        <v>Jun-2023</v>
      </c>
      <c r="P698" t="str">
        <f>"Q"&amp;ROUNDUP(MONTH(tblTransactions[[#This Row],[Date]])/3,0)&amp;"-"&amp;YEAR(tblTransactions[[#This Row],[Date]])</f>
        <v>Q2-2023</v>
      </c>
      <c r="Q698">
        <f>YEAR(tblTransactions[[#This Row],[Date]])</f>
        <v>2023</v>
      </c>
      <c r="R698" t="str">
        <f>TEXT(tblTransactions[[#This Row],[Date]],"DDDD")</f>
        <v>Saturday</v>
      </c>
      <c r="S698">
        <f>MONTH(tblTransactions[[#This Row],[Date]])</f>
        <v>6</v>
      </c>
      <c r="T698" t="str">
        <f>VLOOKUP(E698, Products!$A:$B,2,0)</f>
        <v>Desks Fur-3</v>
      </c>
      <c r="U698" t="str">
        <f>VLOOKUP(E698,Products!$A:$C,3,0)</f>
        <v>Furniture</v>
      </c>
      <c r="V698" t="str">
        <f>VLOOKUP(E698,Products!$A:$D,4,0)</f>
        <v>Desks</v>
      </c>
      <c r="W698" t="str">
        <f>VLOOKUP(D698,Customers!$A:$C,3,0)</f>
        <v>B2B</v>
      </c>
      <c r="X698" t="str">
        <f>VLOOKUP(C698,Sales_Representatives!$A:$B,2,0)</f>
        <v>Jennifer Brown</v>
      </c>
    </row>
    <row r="699" spans="1:24" x14ac:dyDescent="0.3">
      <c r="A699" t="s">
        <v>1006</v>
      </c>
      <c r="B699" t="s">
        <v>996</v>
      </c>
      <c r="C699" t="s">
        <v>59</v>
      </c>
      <c r="D699" t="s">
        <v>203</v>
      </c>
      <c r="E699" t="s">
        <v>255</v>
      </c>
      <c r="F699">
        <v>48</v>
      </c>
      <c r="G699">
        <v>1444.13</v>
      </c>
      <c r="H699">
        <v>0.19</v>
      </c>
      <c r="I699" s="4">
        <v>56147.77</v>
      </c>
      <c r="J699" t="s">
        <v>21</v>
      </c>
      <c r="K699" t="s">
        <v>35</v>
      </c>
      <c r="L699" s="4">
        <f>VLOOKUP(tblTransactions[[#This Row],[Product_ID]],tblProducts[],5,FALSE)</f>
        <v>874.43</v>
      </c>
      <c r="M699" s="4">
        <f>tblTransactions[[#This Row],[Total_Amount]]-(tblTransactions[[#This Row],[Cost_Prices]]*tblTransactions[[#This Row],[Quantity]]*(1-tblTransactions[[#This Row],[Discount]]))</f>
        <v>22149.931599999996</v>
      </c>
      <c r="N699" s="3">
        <f>tblTransactions[[#This Row],[Profit]]/tblTransactions[[#This Row],[Total_Amount]]</f>
        <v>0.39449352307313357</v>
      </c>
      <c r="O699" t="str">
        <f>TEXT(tblTransactions[[#This Row],[Date]], "MMM-YYYY")</f>
        <v>Jun-2023</v>
      </c>
      <c r="P699" t="str">
        <f>"Q"&amp;ROUNDUP(MONTH(tblTransactions[[#This Row],[Date]])/3,0)&amp;"-"&amp;YEAR(tblTransactions[[#This Row],[Date]])</f>
        <v>Q2-2023</v>
      </c>
      <c r="Q699">
        <f>YEAR(tblTransactions[[#This Row],[Date]])</f>
        <v>2023</v>
      </c>
      <c r="R699" t="str">
        <f>TEXT(tblTransactions[[#This Row],[Date]],"DDDD")</f>
        <v>Saturday</v>
      </c>
      <c r="S699">
        <f>MONTH(tblTransactions[[#This Row],[Date]])</f>
        <v>6</v>
      </c>
      <c r="T699" t="str">
        <f>VLOOKUP(E699, Products!$A:$B,2,0)</f>
        <v>Printers Tec-1</v>
      </c>
      <c r="U699" t="str">
        <f>VLOOKUP(E699,Products!$A:$C,3,0)</f>
        <v>Technology</v>
      </c>
      <c r="V699" t="str">
        <f>VLOOKUP(E699,Products!$A:$D,4,0)</f>
        <v>Printers</v>
      </c>
      <c r="W699" t="str">
        <f>VLOOKUP(D699,Customers!$A:$C,3,0)</f>
        <v>Enterprise</v>
      </c>
      <c r="X699" t="str">
        <f>VLOOKUP(C699,Sales_Representatives!$A:$B,2,0)</f>
        <v>Sarah Brown</v>
      </c>
    </row>
    <row r="700" spans="1:24" x14ac:dyDescent="0.3">
      <c r="A700" t="s">
        <v>1007</v>
      </c>
      <c r="B700" t="s">
        <v>996</v>
      </c>
      <c r="C700" t="s">
        <v>31</v>
      </c>
      <c r="D700" t="s">
        <v>216</v>
      </c>
      <c r="E700" t="s">
        <v>376</v>
      </c>
      <c r="F700">
        <v>7</v>
      </c>
      <c r="G700">
        <v>229.65</v>
      </c>
      <c r="H700">
        <v>7.0000000000000007E-2</v>
      </c>
      <c r="I700" s="4">
        <v>1495.02</v>
      </c>
      <c r="J700" t="s">
        <v>34</v>
      </c>
      <c r="K700" t="s">
        <v>17</v>
      </c>
      <c r="L700" s="4">
        <f>VLOOKUP(tblTransactions[[#This Row],[Product_ID]],tblProducts[],5,FALSE)</f>
        <v>96.84</v>
      </c>
      <c r="M700" s="4">
        <f>tblTransactions[[#This Row],[Total_Amount]]-(tblTransactions[[#This Row],[Cost_Prices]]*tblTransactions[[#This Row],[Quantity]]*(1-tblTransactions[[#This Row],[Discount]]))</f>
        <v>864.59160000000008</v>
      </c>
      <c r="N700" s="3">
        <f>tblTransactions[[#This Row],[Profit]]/tblTransactions[[#This Row],[Total_Amount]]</f>
        <v>0.57831440382068477</v>
      </c>
      <c r="O700" t="str">
        <f>TEXT(tblTransactions[[#This Row],[Date]], "MMM-YYYY")</f>
        <v>Jun-2023</v>
      </c>
      <c r="P700" t="str">
        <f>"Q"&amp;ROUNDUP(MONTH(tblTransactions[[#This Row],[Date]])/3,0)&amp;"-"&amp;YEAR(tblTransactions[[#This Row],[Date]])</f>
        <v>Q2-2023</v>
      </c>
      <c r="Q700">
        <f>YEAR(tblTransactions[[#This Row],[Date]])</f>
        <v>2023</v>
      </c>
      <c r="R700" t="str">
        <f>TEXT(tblTransactions[[#This Row],[Date]],"DDDD")</f>
        <v>Saturday</v>
      </c>
      <c r="S700">
        <f>MONTH(tblTransactions[[#This Row],[Date]])</f>
        <v>6</v>
      </c>
      <c r="T700" t="str">
        <f>VLOOKUP(E700, Products!$A:$B,2,0)</f>
        <v>Adapters Acc-2</v>
      </c>
      <c r="U700" t="str">
        <f>VLOOKUP(E700,Products!$A:$C,3,0)</f>
        <v>Accessories</v>
      </c>
      <c r="V700" t="str">
        <f>VLOOKUP(E700,Products!$A:$D,4,0)</f>
        <v>Adapters</v>
      </c>
      <c r="W700" t="str">
        <f>VLOOKUP(D700,Customers!$A:$C,3,0)</f>
        <v>Small Business</v>
      </c>
      <c r="X700" t="str">
        <f>VLOOKUP(C700,Sales_Representatives!$A:$B,2,0)</f>
        <v>Thomas Martinez</v>
      </c>
    </row>
    <row r="701" spans="1:24" x14ac:dyDescent="0.3">
      <c r="A701" t="s">
        <v>1008</v>
      </c>
      <c r="B701" t="s">
        <v>1009</v>
      </c>
      <c r="C701" t="s">
        <v>59</v>
      </c>
      <c r="D701" t="s">
        <v>362</v>
      </c>
      <c r="E701" t="s">
        <v>508</v>
      </c>
      <c r="F701">
        <v>2</v>
      </c>
      <c r="G701">
        <v>237.69</v>
      </c>
      <c r="H701">
        <v>0.06</v>
      </c>
      <c r="I701" s="4">
        <v>446.86</v>
      </c>
      <c r="J701" t="s">
        <v>21</v>
      </c>
      <c r="K701" t="s">
        <v>48</v>
      </c>
      <c r="L701" s="4">
        <f>VLOOKUP(tblTransactions[[#This Row],[Product_ID]],tblProducts[],5,FALSE)</f>
        <v>115.31</v>
      </c>
      <c r="M701" s="4">
        <f>tblTransactions[[#This Row],[Total_Amount]]-(tblTransactions[[#This Row],[Cost_Prices]]*tblTransactions[[#This Row],[Quantity]]*(1-tblTransactions[[#This Row],[Discount]]))</f>
        <v>230.07720000000003</v>
      </c>
      <c r="N701" s="3">
        <f>tblTransactions[[#This Row],[Profit]]/tblTransactions[[#This Row],[Total_Amount]]</f>
        <v>0.51487535245938332</v>
      </c>
      <c r="O701" t="str">
        <f>TEXT(tblTransactions[[#This Row],[Date]], "MMM-YYYY")</f>
        <v>Jun-2023</v>
      </c>
      <c r="P701" t="str">
        <f>"Q"&amp;ROUNDUP(MONTH(tblTransactions[[#This Row],[Date]])/3,0)&amp;"-"&amp;YEAR(tblTransactions[[#This Row],[Date]])</f>
        <v>Q2-2023</v>
      </c>
      <c r="Q701">
        <f>YEAR(tblTransactions[[#This Row],[Date]])</f>
        <v>2023</v>
      </c>
      <c r="R701" t="str">
        <f>TEXT(tblTransactions[[#This Row],[Date]],"DDDD")</f>
        <v>Sunday</v>
      </c>
      <c r="S701">
        <f>MONTH(tblTransactions[[#This Row],[Date]])</f>
        <v>6</v>
      </c>
      <c r="T701" t="str">
        <f>VLOOKUP(E701, Products!$A:$B,2,0)</f>
        <v>Folders Off-3</v>
      </c>
      <c r="U701" t="str">
        <f>VLOOKUP(E701,Products!$A:$C,3,0)</f>
        <v>Office Supplies</v>
      </c>
      <c r="V701" t="str">
        <f>VLOOKUP(E701,Products!$A:$D,4,0)</f>
        <v>Folders</v>
      </c>
      <c r="W701" t="str">
        <f>VLOOKUP(D701,Customers!$A:$C,3,0)</f>
        <v>Small Business</v>
      </c>
      <c r="X701" t="str">
        <f>VLOOKUP(C701,Sales_Representatives!$A:$B,2,0)</f>
        <v>Sarah Brown</v>
      </c>
    </row>
    <row r="702" spans="1:24" x14ac:dyDescent="0.3">
      <c r="A702" t="s">
        <v>1010</v>
      </c>
      <c r="B702" t="s">
        <v>1009</v>
      </c>
      <c r="C702" t="s">
        <v>141</v>
      </c>
      <c r="D702" t="s">
        <v>57</v>
      </c>
      <c r="E702" t="s">
        <v>84</v>
      </c>
      <c r="F702">
        <v>7</v>
      </c>
      <c r="G702">
        <v>1841.77</v>
      </c>
      <c r="H702">
        <v>0.12</v>
      </c>
      <c r="I702" s="4">
        <v>11345.3</v>
      </c>
      <c r="J702" t="s">
        <v>109</v>
      </c>
      <c r="K702" t="s">
        <v>35</v>
      </c>
      <c r="L702" s="4">
        <f>VLOOKUP(tblTransactions[[#This Row],[Product_ID]],tblProducts[],5,FALSE)</f>
        <v>1151.5899999999999</v>
      </c>
      <c r="M702" s="4">
        <f>tblTransactions[[#This Row],[Total_Amount]]-(tblTransactions[[#This Row],[Cost_Prices]]*tblTransactions[[#This Row],[Quantity]]*(1-tblTransactions[[#This Row],[Discount]]))</f>
        <v>4251.5055999999995</v>
      </c>
      <c r="N702" s="3">
        <f>tblTransactions[[#This Row],[Profit]]/tblTransactions[[#This Row],[Total_Amount]]</f>
        <v>0.37473716869540691</v>
      </c>
      <c r="O702" t="str">
        <f>TEXT(tblTransactions[[#This Row],[Date]], "MMM-YYYY")</f>
        <v>Jun-2023</v>
      </c>
      <c r="P702" t="str">
        <f>"Q"&amp;ROUNDUP(MONTH(tblTransactions[[#This Row],[Date]])/3,0)&amp;"-"&amp;YEAR(tblTransactions[[#This Row],[Date]])</f>
        <v>Q2-2023</v>
      </c>
      <c r="Q702">
        <f>YEAR(tblTransactions[[#This Row],[Date]])</f>
        <v>2023</v>
      </c>
      <c r="R702" t="str">
        <f>TEXT(tblTransactions[[#This Row],[Date]],"DDDD")</f>
        <v>Sunday</v>
      </c>
      <c r="S702">
        <f>MONTH(tblTransactions[[#This Row],[Date]])</f>
        <v>6</v>
      </c>
      <c r="T702" t="str">
        <f>VLOOKUP(E702, Products!$A:$B,2,0)</f>
        <v>Laptops Ele-2</v>
      </c>
      <c r="U702" t="str">
        <f>VLOOKUP(E702,Products!$A:$C,3,0)</f>
        <v>Electronics</v>
      </c>
      <c r="V702" t="str">
        <f>VLOOKUP(E702,Products!$A:$D,4,0)</f>
        <v>Laptops</v>
      </c>
      <c r="W702" t="str">
        <f>VLOOKUP(D702,Customers!$A:$C,3,0)</f>
        <v>Small Business</v>
      </c>
      <c r="X702" t="str">
        <f>VLOOKUP(C702,Sales_Representatives!$A:$B,2,0)</f>
        <v>Richard Garcia</v>
      </c>
    </row>
    <row r="703" spans="1:24" x14ac:dyDescent="0.3">
      <c r="A703" t="s">
        <v>1011</v>
      </c>
      <c r="B703" t="s">
        <v>1009</v>
      </c>
      <c r="C703" t="s">
        <v>19</v>
      </c>
      <c r="D703" t="s">
        <v>42</v>
      </c>
      <c r="E703" t="s">
        <v>108</v>
      </c>
      <c r="F703">
        <v>5</v>
      </c>
      <c r="G703">
        <v>155.75</v>
      </c>
      <c r="H703">
        <v>0.02</v>
      </c>
      <c r="I703" s="4">
        <v>763.18</v>
      </c>
      <c r="J703" t="s">
        <v>21</v>
      </c>
      <c r="K703" t="s">
        <v>17</v>
      </c>
      <c r="L703" s="4">
        <f>VLOOKUP(tblTransactions[[#This Row],[Product_ID]],tblProducts[],5,FALSE)</f>
        <v>80.8</v>
      </c>
      <c r="M703" s="4">
        <f>tblTransactions[[#This Row],[Total_Amount]]-(tblTransactions[[#This Row],[Cost_Prices]]*tblTransactions[[#This Row],[Quantity]]*(1-tblTransactions[[#This Row],[Discount]]))</f>
        <v>367.25999999999993</v>
      </c>
      <c r="N703" s="3">
        <f>tblTransactions[[#This Row],[Profit]]/tblTransactions[[#This Row],[Total_Amount]]</f>
        <v>0.48122330249744483</v>
      </c>
      <c r="O703" t="str">
        <f>TEXT(tblTransactions[[#This Row],[Date]], "MMM-YYYY")</f>
        <v>Jun-2023</v>
      </c>
      <c r="P703" t="str">
        <f>"Q"&amp;ROUNDUP(MONTH(tblTransactions[[#This Row],[Date]])/3,0)&amp;"-"&amp;YEAR(tblTransactions[[#This Row],[Date]])</f>
        <v>Q2-2023</v>
      </c>
      <c r="Q703">
        <f>YEAR(tblTransactions[[#This Row],[Date]])</f>
        <v>2023</v>
      </c>
      <c r="R703" t="str">
        <f>TEXT(tblTransactions[[#This Row],[Date]],"DDDD")</f>
        <v>Sunday</v>
      </c>
      <c r="S703">
        <f>MONTH(tblTransactions[[#This Row],[Date]])</f>
        <v>6</v>
      </c>
      <c r="T703" t="str">
        <f>VLOOKUP(E703, Products!$A:$B,2,0)</f>
        <v>Cases Acc-1</v>
      </c>
      <c r="U703" t="str">
        <f>VLOOKUP(E703,Products!$A:$C,3,0)</f>
        <v>Accessories</v>
      </c>
      <c r="V703" t="str">
        <f>VLOOKUP(E703,Products!$A:$D,4,0)</f>
        <v>Cases</v>
      </c>
      <c r="W703" t="str">
        <f>VLOOKUP(D703,Customers!$A:$C,3,0)</f>
        <v>B2C</v>
      </c>
      <c r="X703" t="str">
        <f>VLOOKUP(C703,Sales_Representatives!$A:$B,2,0)</f>
        <v>Robert Jones</v>
      </c>
    </row>
    <row r="704" spans="1:24" x14ac:dyDescent="0.3">
      <c r="A704" t="s">
        <v>1012</v>
      </c>
      <c r="B704" t="s">
        <v>1013</v>
      </c>
      <c r="C704" t="s">
        <v>141</v>
      </c>
      <c r="D704" t="s">
        <v>247</v>
      </c>
      <c r="E704" t="s">
        <v>91</v>
      </c>
      <c r="F704">
        <v>1</v>
      </c>
      <c r="G704">
        <v>286.62</v>
      </c>
      <c r="H704">
        <v>0.03</v>
      </c>
      <c r="I704" s="4">
        <v>278.02</v>
      </c>
      <c r="J704" t="s">
        <v>109</v>
      </c>
      <c r="K704" t="s">
        <v>22</v>
      </c>
      <c r="L704" s="4">
        <f>VLOOKUP(tblTransactions[[#This Row],[Product_ID]],tblProducts[],5,FALSE)</f>
        <v>145.54</v>
      </c>
      <c r="M704" s="4">
        <f>tblTransactions[[#This Row],[Total_Amount]]-(tblTransactions[[#This Row],[Cost_Prices]]*tblTransactions[[#This Row],[Quantity]]*(1-tblTransactions[[#This Row],[Discount]]))</f>
        <v>136.84619999999998</v>
      </c>
      <c r="N704" s="3">
        <f>tblTransactions[[#This Row],[Profit]]/tblTransactions[[#This Row],[Total_Amount]]</f>
        <v>0.49221710668297242</v>
      </c>
      <c r="O704" t="str">
        <f>TEXT(tblTransactions[[#This Row],[Date]], "MMM-YYYY")</f>
        <v>Jun-2023</v>
      </c>
      <c r="P704" t="str">
        <f>"Q"&amp;ROUNDUP(MONTH(tblTransactions[[#This Row],[Date]])/3,0)&amp;"-"&amp;YEAR(tblTransactions[[#This Row],[Date]])</f>
        <v>Q2-2023</v>
      </c>
      <c r="Q704">
        <f>YEAR(tblTransactions[[#This Row],[Date]])</f>
        <v>2023</v>
      </c>
      <c r="R704" t="str">
        <f>TEXT(tblTransactions[[#This Row],[Date]],"DDDD")</f>
        <v>Monday</v>
      </c>
      <c r="S704">
        <f>MONTH(tblTransactions[[#This Row],[Date]])</f>
        <v>6</v>
      </c>
      <c r="T704" t="str">
        <f>VLOOKUP(E704, Products!$A:$B,2,0)</f>
        <v>Chairs Fur-1</v>
      </c>
      <c r="U704" t="str">
        <f>VLOOKUP(E704,Products!$A:$C,3,0)</f>
        <v>Furniture</v>
      </c>
      <c r="V704" t="str">
        <f>VLOOKUP(E704,Products!$A:$D,4,0)</f>
        <v>Chairs</v>
      </c>
      <c r="W704" t="str">
        <f>VLOOKUP(D704,Customers!$A:$C,3,0)</f>
        <v>B2C</v>
      </c>
      <c r="X704" t="str">
        <f>VLOOKUP(C704,Sales_Representatives!$A:$B,2,0)</f>
        <v>Richard Garcia</v>
      </c>
    </row>
    <row r="705" spans="1:24" x14ac:dyDescent="0.3">
      <c r="A705" t="s">
        <v>1014</v>
      </c>
      <c r="B705" t="s">
        <v>1013</v>
      </c>
      <c r="C705" t="s">
        <v>127</v>
      </c>
      <c r="D705" t="s">
        <v>527</v>
      </c>
      <c r="E705" t="s">
        <v>65</v>
      </c>
      <c r="F705">
        <v>4</v>
      </c>
      <c r="G705">
        <v>49.44</v>
      </c>
      <c r="H705">
        <v>0.04</v>
      </c>
      <c r="I705" s="4">
        <v>189.85</v>
      </c>
      <c r="J705" t="s">
        <v>109</v>
      </c>
      <c r="K705" t="s">
        <v>22</v>
      </c>
      <c r="L705" s="4">
        <f>VLOOKUP(tblTransactions[[#This Row],[Product_ID]],tblProducts[],5,FALSE)</f>
        <v>22.34</v>
      </c>
      <c r="M705" s="4">
        <f>tblTransactions[[#This Row],[Total_Amount]]-(tblTransactions[[#This Row],[Cost_Prices]]*tblTransactions[[#This Row],[Quantity]]*(1-tblTransactions[[#This Row],[Discount]]))</f>
        <v>104.06439999999999</v>
      </c>
      <c r="N705" s="3">
        <f>tblTransactions[[#This Row],[Profit]]/tblTransactions[[#This Row],[Total_Amount]]</f>
        <v>0.54814011061364232</v>
      </c>
      <c r="O705" t="str">
        <f>TEXT(tblTransactions[[#This Row],[Date]], "MMM-YYYY")</f>
        <v>Jun-2023</v>
      </c>
      <c r="P705" t="str">
        <f>"Q"&amp;ROUNDUP(MONTH(tblTransactions[[#This Row],[Date]])/3,0)&amp;"-"&amp;YEAR(tblTransactions[[#This Row],[Date]])</f>
        <v>Q2-2023</v>
      </c>
      <c r="Q705">
        <f>YEAR(tblTransactions[[#This Row],[Date]])</f>
        <v>2023</v>
      </c>
      <c r="R705" t="str">
        <f>TEXT(tblTransactions[[#This Row],[Date]],"DDDD")</f>
        <v>Monday</v>
      </c>
      <c r="S705">
        <f>MONTH(tblTransactions[[#This Row],[Date]])</f>
        <v>6</v>
      </c>
      <c r="T705" t="str">
        <f>VLOOKUP(E705, Products!$A:$B,2,0)</f>
        <v>Folders Off-2</v>
      </c>
      <c r="U705" t="str">
        <f>VLOOKUP(E705,Products!$A:$C,3,0)</f>
        <v>Office Supplies</v>
      </c>
      <c r="V705" t="str">
        <f>VLOOKUP(E705,Products!$A:$D,4,0)</f>
        <v>Folders</v>
      </c>
      <c r="W705" t="str">
        <f>VLOOKUP(D705,Customers!$A:$C,3,0)</f>
        <v>B2C</v>
      </c>
      <c r="X705" t="str">
        <f>VLOOKUP(C705,Sales_Representatives!$A:$B,2,0)</f>
        <v>Emily Hernandez</v>
      </c>
    </row>
    <row r="706" spans="1:24" x14ac:dyDescent="0.3">
      <c r="A706" t="s">
        <v>1015</v>
      </c>
      <c r="B706" t="s">
        <v>1013</v>
      </c>
      <c r="C706" t="s">
        <v>56</v>
      </c>
      <c r="D706" t="s">
        <v>24</v>
      </c>
      <c r="E706" t="s">
        <v>198</v>
      </c>
      <c r="F706">
        <v>16</v>
      </c>
      <c r="G706">
        <v>1802.96</v>
      </c>
      <c r="H706">
        <v>0.1</v>
      </c>
      <c r="I706" s="4">
        <v>25962.62</v>
      </c>
      <c r="J706" t="s">
        <v>34</v>
      </c>
      <c r="K706" t="s">
        <v>39</v>
      </c>
      <c r="L706" s="4">
        <f>VLOOKUP(tblTransactions[[#This Row],[Product_ID]],tblProducts[],5,FALSE)</f>
        <v>1282.18</v>
      </c>
      <c r="M706" s="4">
        <f>tblTransactions[[#This Row],[Total_Amount]]-(tblTransactions[[#This Row],[Cost_Prices]]*tblTransactions[[#This Row],[Quantity]]*(1-tblTransactions[[#This Row],[Discount]]))</f>
        <v>7499.2279999999992</v>
      </c>
      <c r="N706" s="3">
        <f>tblTransactions[[#This Row],[Profit]]/tblTransactions[[#This Row],[Total_Amount]]</f>
        <v>0.28884711943555774</v>
      </c>
      <c r="O706" t="str">
        <f>TEXT(tblTransactions[[#This Row],[Date]], "MMM-YYYY")</f>
        <v>Jun-2023</v>
      </c>
      <c r="P706" t="str">
        <f>"Q"&amp;ROUNDUP(MONTH(tblTransactions[[#This Row],[Date]])/3,0)&amp;"-"&amp;YEAR(tblTransactions[[#This Row],[Date]])</f>
        <v>Q2-2023</v>
      </c>
      <c r="Q706">
        <f>YEAR(tblTransactions[[#This Row],[Date]])</f>
        <v>2023</v>
      </c>
      <c r="R706" t="str">
        <f>TEXT(tblTransactions[[#This Row],[Date]],"DDDD")</f>
        <v>Monday</v>
      </c>
      <c r="S706">
        <f>MONTH(tblTransactions[[#This Row],[Date]])</f>
        <v>6</v>
      </c>
      <c r="T706" t="str">
        <f>VLOOKUP(E706, Products!$A:$B,2,0)</f>
        <v>Tablets Ele-3</v>
      </c>
      <c r="U706" t="str">
        <f>VLOOKUP(E706,Products!$A:$C,3,0)</f>
        <v>Electronics</v>
      </c>
      <c r="V706" t="str">
        <f>VLOOKUP(E706,Products!$A:$D,4,0)</f>
        <v>Tablets</v>
      </c>
      <c r="W706" t="str">
        <f>VLOOKUP(D706,Customers!$A:$C,3,0)</f>
        <v>B2B</v>
      </c>
      <c r="X706" t="str">
        <f>VLOOKUP(C706,Sales_Representatives!$A:$B,2,0)</f>
        <v>Thomas Hernandez</v>
      </c>
    </row>
    <row r="707" spans="1:24" x14ac:dyDescent="0.3">
      <c r="A707" t="s">
        <v>1016</v>
      </c>
      <c r="B707" t="s">
        <v>1013</v>
      </c>
      <c r="C707" t="s">
        <v>63</v>
      </c>
      <c r="D707" t="s">
        <v>60</v>
      </c>
      <c r="E707" t="s">
        <v>91</v>
      </c>
      <c r="F707">
        <v>7</v>
      </c>
      <c r="G707">
        <v>286.62</v>
      </c>
      <c r="H707">
        <v>0.06</v>
      </c>
      <c r="I707" s="4">
        <v>1885.96</v>
      </c>
      <c r="J707" t="s">
        <v>21</v>
      </c>
      <c r="K707" t="s">
        <v>17</v>
      </c>
      <c r="L707" s="4">
        <f>VLOOKUP(tblTransactions[[#This Row],[Product_ID]],tblProducts[],5,FALSE)</f>
        <v>145.54</v>
      </c>
      <c r="M707" s="4">
        <f>tblTransactions[[#This Row],[Total_Amount]]-(tblTransactions[[#This Row],[Cost_Prices]]*tblTransactions[[#This Row],[Quantity]]*(1-tblTransactions[[#This Row],[Discount]]))</f>
        <v>928.30680000000007</v>
      </c>
      <c r="N707" s="3">
        <f>tblTransactions[[#This Row],[Profit]]/tblTransactions[[#This Row],[Total_Amount]]</f>
        <v>0.49221977136312545</v>
      </c>
      <c r="O707" t="str">
        <f>TEXT(tblTransactions[[#This Row],[Date]], "MMM-YYYY")</f>
        <v>Jun-2023</v>
      </c>
      <c r="P707" t="str">
        <f>"Q"&amp;ROUNDUP(MONTH(tblTransactions[[#This Row],[Date]])/3,0)&amp;"-"&amp;YEAR(tblTransactions[[#This Row],[Date]])</f>
        <v>Q2-2023</v>
      </c>
      <c r="Q707">
        <f>YEAR(tblTransactions[[#This Row],[Date]])</f>
        <v>2023</v>
      </c>
      <c r="R707" t="str">
        <f>TEXT(tblTransactions[[#This Row],[Date]],"DDDD")</f>
        <v>Monday</v>
      </c>
      <c r="S707">
        <f>MONTH(tblTransactions[[#This Row],[Date]])</f>
        <v>6</v>
      </c>
      <c r="T707" t="str">
        <f>VLOOKUP(E707, Products!$A:$B,2,0)</f>
        <v>Chairs Fur-1</v>
      </c>
      <c r="U707" t="str">
        <f>VLOOKUP(E707,Products!$A:$C,3,0)</f>
        <v>Furniture</v>
      </c>
      <c r="V707" t="str">
        <f>VLOOKUP(E707,Products!$A:$D,4,0)</f>
        <v>Chairs</v>
      </c>
      <c r="W707" t="str">
        <f>VLOOKUP(D707,Customers!$A:$C,3,0)</f>
        <v>B2C</v>
      </c>
      <c r="X707" t="str">
        <f>VLOOKUP(C707,Sales_Representatives!$A:$B,2,0)</f>
        <v>Richard Wilson</v>
      </c>
    </row>
    <row r="708" spans="1:24" x14ac:dyDescent="0.3">
      <c r="A708" t="s">
        <v>1017</v>
      </c>
      <c r="B708" t="s">
        <v>1013</v>
      </c>
      <c r="C708" t="s">
        <v>13</v>
      </c>
      <c r="D708" t="s">
        <v>210</v>
      </c>
      <c r="E708" t="s">
        <v>29</v>
      </c>
      <c r="F708">
        <v>6</v>
      </c>
      <c r="G708">
        <v>1363.46</v>
      </c>
      <c r="H708">
        <v>7.0000000000000007E-2</v>
      </c>
      <c r="I708" s="4">
        <v>7608.11</v>
      </c>
      <c r="J708" t="s">
        <v>16</v>
      </c>
      <c r="K708" t="s">
        <v>48</v>
      </c>
      <c r="L708" s="4">
        <f>VLOOKUP(tblTransactions[[#This Row],[Product_ID]],tblProducts[],5,FALSE)</f>
        <v>995.41</v>
      </c>
      <c r="M708" s="4">
        <f>tblTransactions[[#This Row],[Total_Amount]]-(tblTransactions[[#This Row],[Cost_Prices]]*tblTransactions[[#This Row],[Quantity]]*(1-tblTransactions[[#This Row],[Discount]]))</f>
        <v>2053.7222000000002</v>
      </c>
      <c r="N708" s="3">
        <f>tblTransactions[[#This Row],[Profit]]/tblTransactions[[#This Row],[Total_Amount]]</f>
        <v>0.26993855241314862</v>
      </c>
      <c r="O708" t="str">
        <f>TEXT(tblTransactions[[#This Row],[Date]], "MMM-YYYY")</f>
        <v>Jun-2023</v>
      </c>
      <c r="P708" t="str">
        <f>"Q"&amp;ROUNDUP(MONTH(tblTransactions[[#This Row],[Date]])/3,0)&amp;"-"&amp;YEAR(tblTransactions[[#This Row],[Date]])</f>
        <v>Q2-2023</v>
      </c>
      <c r="Q708">
        <f>YEAR(tblTransactions[[#This Row],[Date]])</f>
        <v>2023</v>
      </c>
      <c r="R708" t="str">
        <f>TEXT(tblTransactions[[#This Row],[Date]],"DDDD")</f>
        <v>Monday</v>
      </c>
      <c r="S708">
        <f>MONTH(tblTransactions[[#This Row],[Date]])</f>
        <v>6</v>
      </c>
      <c r="T708" t="str">
        <f>VLOOKUP(E708, Products!$A:$B,2,0)</f>
        <v>Phones Ele-3</v>
      </c>
      <c r="U708" t="str">
        <f>VLOOKUP(E708,Products!$A:$C,3,0)</f>
        <v>Electronics</v>
      </c>
      <c r="V708" t="str">
        <f>VLOOKUP(E708,Products!$A:$D,4,0)</f>
        <v>Phones</v>
      </c>
      <c r="W708" t="str">
        <f>VLOOKUP(D708,Customers!$A:$C,3,0)</f>
        <v>B2B</v>
      </c>
      <c r="X708" t="str">
        <f>VLOOKUP(C708,Sales_Representatives!$A:$B,2,0)</f>
        <v>Jennifer Rodriguez</v>
      </c>
    </row>
    <row r="709" spans="1:24" x14ac:dyDescent="0.3">
      <c r="A709" t="s">
        <v>1018</v>
      </c>
      <c r="B709" t="s">
        <v>1013</v>
      </c>
      <c r="C709" t="s">
        <v>70</v>
      </c>
      <c r="D709" t="s">
        <v>136</v>
      </c>
      <c r="E709" t="s">
        <v>176</v>
      </c>
      <c r="F709">
        <v>10</v>
      </c>
      <c r="G709">
        <v>1462.68</v>
      </c>
      <c r="H709">
        <v>0.08</v>
      </c>
      <c r="I709" s="4">
        <v>13456.66</v>
      </c>
      <c r="J709" t="s">
        <v>16</v>
      </c>
      <c r="K709" t="s">
        <v>48</v>
      </c>
      <c r="L709" s="4">
        <f>VLOOKUP(tblTransactions[[#This Row],[Product_ID]],tblProducts[],5,FALSE)</f>
        <v>775.94</v>
      </c>
      <c r="M709" s="4">
        <f>tblTransactions[[#This Row],[Total_Amount]]-(tblTransactions[[#This Row],[Cost_Prices]]*tblTransactions[[#This Row],[Quantity]]*(1-tblTransactions[[#This Row],[Discount]]))</f>
        <v>6318.0119999999988</v>
      </c>
      <c r="N709" s="3">
        <f>tblTransactions[[#This Row],[Profit]]/tblTransactions[[#This Row],[Total_Amount]]</f>
        <v>0.46950818405161449</v>
      </c>
      <c r="O709" t="str">
        <f>TEXT(tblTransactions[[#This Row],[Date]], "MMM-YYYY")</f>
        <v>Jun-2023</v>
      </c>
      <c r="P709" t="str">
        <f>"Q"&amp;ROUNDUP(MONTH(tblTransactions[[#This Row],[Date]])/3,0)&amp;"-"&amp;YEAR(tblTransactions[[#This Row],[Date]])</f>
        <v>Q2-2023</v>
      </c>
      <c r="Q709">
        <f>YEAR(tblTransactions[[#This Row],[Date]])</f>
        <v>2023</v>
      </c>
      <c r="R709" t="str">
        <f>TEXT(tblTransactions[[#This Row],[Date]],"DDDD")</f>
        <v>Monday</v>
      </c>
      <c r="S709">
        <f>MONTH(tblTransactions[[#This Row],[Date]])</f>
        <v>6</v>
      </c>
      <c r="T709" t="str">
        <f>VLOOKUP(E709, Products!$A:$B,2,0)</f>
        <v>Chairs Fur-2</v>
      </c>
      <c r="U709" t="str">
        <f>VLOOKUP(E709,Products!$A:$C,3,0)</f>
        <v>Furniture</v>
      </c>
      <c r="V709" t="str">
        <f>VLOOKUP(E709,Products!$A:$D,4,0)</f>
        <v>Chairs</v>
      </c>
      <c r="W709" t="str">
        <f>VLOOKUP(D709,Customers!$A:$C,3,0)</f>
        <v>B2B</v>
      </c>
      <c r="X709" t="str">
        <f>VLOOKUP(C709,Sales_Representatives!$A:$B,2,0)</f>
        <v>Linda Smith</v>
      </c>
    </row>
    <row r="710" spans="1:24" x14ac:dyDescent="0.3">
      <c r="A710" t="s">
        <v>1019</v>
      </c>
      <c r="B710" t="s">
        <v>1013</v>
      </c>
      <c r="C710" t="s">
        <v>70</v>
      </c>
      <c r="D710" t="s">
        <v>47</v>
      </c>
      <c r="E710" t="s">
        <v>77</v>
      </c>
      <c r="F710">
        <v>3</v>
      </c>
      <c r="G710">
        <v>236.82</v>
      </c>
      <c r="H710">
        <v>0.09</v>
      </c>
      <c r="I710" s="4">
        <v>646.52</v>
      </c>
      <c r="J710" t="s">
        <v>16</v>
      </c>
      <c r="K710" t="s">
        <v>48</v>
      </c>
      <c r="L710" s="4">
        <f>VLOOKUP(tblTransactions[[#This Row],[Product_ID]],tblProducts[],5,FALSE)</f>
        <v>110.79</v>
      </c>
      <c r="M710" s="4">
        <f>tblTransactions[[#This Row],[Total_Amount]]-(tblTransactions[[#This Row],[Cost_Prices]]*tblTransactions[[#This Row],[Quantity]]*(1-tblTransactions[[#This Row],[Discount]]))</f>
        <v>344.06329999999997</v>
      </c>
      <c r="N710" s="3">
        <f>tblTransactions[[#This Row],[Profit]]/tblTransactions[[#This Row],[Total_Amount]]</f>
        <v>0.53217734950194884</v>
      </c>
      <c r="O710" t="str">
        <f>TEXT(tblTransactions[[#This Row],[Date]], "MMM-YYYY")</f>
        <v>Jun-2023</v>
      </c>
      <c r="P710" t="str">
        <f>"Q"&amp;ROUNDUP(MONTH(tblTransactions[[#This Row],[Date]])/3,0)&amp;"-"&amp;YEAR(tblTransactions[[#This Row],[Date]])</f>
        <v>Q2-2023</v>
      </c>
      <c r="Q710">
        <f>YEAR(tblTransactions[[#This Row],[Date]])</f>
        <v>2023</v>
      </c>
      <c r="R710" t="str">
        <f>TEXT(tblTransactions[[#This Row],[Date]],"DDDD")</f>
        <v>Monday</v>
      </c>
      <c r="S710">
        <f>MONTH(tblTransactions[[#This Row],[Date]])</f>
        <v>6</v>
      </c>
      <c r="T710" t="str">
        <f>VLOOKUP(E710, Products!$A:$B,2,0)</f>
        <v>Binders Off-4</v>
      </c>
      <c r="U710" t="str">
        <f>VLOOKUP(E710,Products!$A:$C,3,0)</f>
        <v>Office Supplies</v>
      </c>
      <c r="V710" t="str">
        <f>VLOOKUP(E710,Products!$A:$D,4,0)</f>
        <v>Binders</v>
      </c>
      <c r="W710" t="str">
        <f>VLOOKUP(D710,Customers!$A:$C,3,0)</f>
        <v>B2C</v>
      </c>
      <c r="X710" t="str">
        <f>VLOOKUP(C710,Sales_Representatives!$A:$B,2,0)</f>
        <v>Linda Smith</v>
      </c>
    </row>
    <row r="711" spans="1:24" x14ac:dyDescent="0.3">
      <c r="A711" t="s">
        <v>1020</v>
      </c>
      <c r="B711" t="s">
        <v>1013</v>
      </c>
      <c r="C711" t="s">
        <v>19</v>
      </c>
      <c r="D711" t="s">
        <v>197</v>
      </c>
      <c r="E711" t="s">
        <v>204</v>
      </c>
      <c r="F711">
        <v>40</v>
      </c>
      <c r="G711">
        <v>715.62</v>
      </c>
      <c r="H711">
        <v>0.22</v>
      </c>
      <c r="I711" s="4">
        <v>22327.34</v>
      </c>
      <c r="J711" t="s">
        <v>21</v>
      </c>
      <c r="K711" t="s">
        <v>39</v>
      </c>
      <c r="L711" s="4">
        <f>VLOOKUP(tblTransactions[[#This Row],[Product_ID]],tblProducts[],5,FALSE)</f>
        <v>459.58</v>
      </c>
      <c r="M711" s="4">
        <f>tblTransactions[[#This Row],[Total_Amount]]-(tblTransactions[[#This Row],[Cost_Prices]]*tblTransactions[[#This Row],[Quantity]]*(1-tblTransactions[[#This Row],[Discount]]))</f>
        <v>7988.4439999999995</v>
      </c>
      <c r="N711" s="3">
        <f>tblTransactions[[#This Row],[Profit]]/tblTransactions[[#This Row],[Total_Amount]]</f>
        <v>0.35778753761083942</v>
      </c>
      <c r="O711" t="str">
        <f>TEXT(tblTransactions[[#This Row],[Date]], "MMM-YYYY")</f>
        <v>Jun-2023</v>
      </c>
      <c r="P711" t="str">
        <f>"Q"&amp;ROUNDUP(MONTH(tblTransactions[[#This Row],[Date]])/3,0)&amp;"-"&amp;YEAR(tblTransactions[[#This Row],[Date]])</f>
        <v>Q2-2023</v>
      </c>
      <c r="Q711">
        <f>YEAR(tblTransactions[[#This Row],[Date]])</f>
        <v>2023</v>
      </c>
      <c r="R711" t="str">
        <f>TEXT(tblTransactions[[#This Row],[Date]],"DDDD")</f>
        <v>Monday</v>
      </c>
      <c r="S711">
        <f>MONTH(tblTransactions[[#This Row],[Date]])</f>
        <v>6</v>
      </c>
      <c r="T711" t="str">
        <f>VLOOKUP(E711, Products!$A:$B,2,0)</f>
        <v>Cameras Ele-2</v>
      </c>
      <c r="U711" t="str">
        <f>VLOOKUP(E711,Products!$A:$C,3,0)</f>
        <v>Electronics</v>
      </c>
      <c r="V711" t="str">
        <f>VLOOKUP(E711,Products!$A:$D,4,0)</f>
        <v>Cameras</v>
      </c>
      <c r="W711" t="str">
        <f>VLOOKUP(D711,Customers!$A:$C,3,0)</f>
        <v>Enterprise</v>
      </c>
      <c r="X711" t="str">
        <f>VLOOKUP(C711,Sales_Representatives!$A:$B,2,0)</f>
        <v>Robert Jones</v>
      </c>
    </row>
    <row r="712" spans="1:24" x14ac:dyDescent="0.3">
      <c r="A712" t="s">
        <v>1021</v>
      </c>
      <c r="B712" t="s">
        <v>1013</v>
      </c>
      <c r="C712" t="s">
        <v>19</v>
      </c>
      <c r="D712" t="s">
        <v>24</v>
      </c>
      <c r="E712" t="s">
        <v>72</v>
      </c>
      <c r="F712">
        <v>16</v>
      </c>
      <c r="G712">
        <v>404.76</v>
      </c>
      <c r="H712">
        <v>0.17</v>
      </c>
      <c r="I712" s="4">
        <v>5375.21</v>
      </c>
      <c r="J712" t="s">
        <v>21</v>
      </c>
      <c r="K712" t="s">
        <v>22</v>
      </c>
      <c r="L712" s="4">
        <f>VLOOKUP(tblTransactions[[#This Row],[Product_ID]],tblProducts[],5,FALSE)</f>
        <v>226.76</v>
      </c>
      <c r="M712" s="4">
        <f>tblTransactions[[#This Row],[Total_Amount]]-(tblTransactions[[#This Row],[Cost_Prices]]*tblTransactions[[#This Row],[Quantity]]*(1-tblTransactions[[#This Row],[Discount]]))</f>
        <v>2363.8372000000004</v>
      </c>
      <c r="N712" s="3">
        <f>tblTransactions[[#This Row],[Profit]]/tblTransactions[[#This Row],[Total_Amount]]</f>
        <v>0.43976648354203846</v>
      </c>
      <c r="O712" t="str">
        <f>TEXT(tblTransactions[[#This Row],[Date]], "MMM-YYYY")</f>
        <v>Jun-2023</v>
      </c>
      <c r="P712" t="str">
        <f>"Q"&amp;ROUNDUP(MONTH(tblTransactions[[#This Row],[Date]])/3,0)&amp;"-"&amp;YEAR(tblTransactions[[#This Row],[Date]])</f>
        <v>Q2-2023</v>
      </c>
      <c r="Q712">
        <f>YEAR(tblTransactions[[#This Row],[Date]])</f>
        <v>2023</v>
      </c>
      <c r="R712" t="str">
        <f>TEXT(tblTransactions[[#This Row],[Date]],"DDDD")</f>
        <v>Monday</v>
      </c>
      <c r="S712">
        <f>MONTH(tblTransactions[[#This Row],[Date]])</f>
        <v>6</v>
      </c>
      <c r="T712" t="str">
        <f>VLOOKUP(E712, Products!$A:$B,2,0)</f>
        <v>Tablets Ele-2</v>
      </c>
      <c r="U712" t="str">
        <f>VLOOKUP(E712,Products!$A:$C,3,0)</f>
        <v>Electronics</v>
      </c>
      <c r="V712" t="str">
        <f>VLOOKUP(E712,Products!$A:$D,4,0)</f>
        <v>Tablets</v>
      </c>
      <c r="W712" t="str">
        <f>VLOOKUP(D712,Customers!$A:$C,3,0)</f>
        <v>B2B</v>
      </c>
      <c r="X712" t="str">
        <f>VLOOKUP(C712,Sales_Representatives!$A:$B,2,0)</f>
        <v>Robert Jones</v>
      </c>
    </row>
    <row r="713" spans="1:24" x14ac:dyDescent="0.3">
      <c r="A713" t="s">
        <v>1022</v>
      </c>
      <c r="B713" t="s">
        <v>1023</v>
      </c>
      <c r="C713" t="s">
        <v>127</v>
      </c>
      <c r="D713" t="s">
        <v>95</v>
      </c>
      <c r="E713" t="s">
        <v>38</v>
      </c>
      <c r="F713">
        <v>30</v>
      </c>
      <c r="G713">
        <v>581.47</v>
      </c>
      <c r="H713">
        <v>0.16</v>
      </c>
      <c r="I713" s="4">
        <v>14653.04</v>
      </c>
      <c r="J713" t="s">
        <v>109</v>
      </c>
      <c r="K713" t="s">
        <v>35</v>
      </c>
      <c r="L713" s="4">
        <f>VLOOKUP(tblTransactions[[#This Row],[Product_ID]],tblProducts[],5,FALSE)</f>
        <v>372.07</v>
      </c>
      <c r="M713" s="4">
        <f>tblTransactions[[#This Row],[Total_Amount]]-(tblTransactions[[#This Row],[Cost_Prices]]*tblTransactions[[#This Row],[Quantity]]*(1-tblTransactions[[#This Row],[Discount]]))</f>
        <v>5276.8760000000002</v>
      </c>
      <c r="N713" s="3">
        <f>tblTransactions[[#This Row],[Profit]]/tblTransactions[[#This Row],[Total_Amount]]</f>
        <v>0.36012158569143332</v>
      </c>
      <c r="O713" t="str">
        <f>TEXT(tblTransactions[[#This Row],[Date]], "MMM-YYYY")</f>
        <v>Jun-2023</v>
      </c>
      <c r="P713" t="str">
        <f>"Q"&amp;ROUNDUP(MONTH(tblTransactions[[#This Row],[Date]])/3,0)&amp;"-"&amp;YEAR(tblTransactions[[#This Row],[Date]])</f>
        <v>Q2-2023</v>
      </c>
      <c r="Q713">
        <f>YEAR(tblTransactions[[#This Row],[Date]])</f>
        <v>2023</v>
      </c>
      <c r="R713" t="str">
        <f>TEXT(tblTransactions[[#This Row],[Date]],"DDDD")</f>
        <v>Tuesday</v>
      </c>
      <c r="S713">
        <f>MONTH(tblTransactions[[#This Row],[Date]])</f>
        <v>6</v>
      </c>
      <c r="T713" t="str">
        <f>VLOOKUP(E713, Products!$A:$B,2,0)</f>
        <v>Storage Fur-3</v>
      </c>
      <c r="U713" t="str">
        <f>VLOOKUP(E713,Products!$A:$C,3,0)</f>
        <v>Furniture</v>
      </c>
      <c r="V713" t="str">
        <f>VLOOKUP(E713,Products!$A:$D,4,0)</f>
        <v>Storage</v>
      </c>
      <c r="W713" t="str">
        <f>VLOOKUP(D713,Customers!$A:$C,3,0)</f>
        <v>Enterprise</v>
      </c>
      <c r="X713" t="str">
        <f>VLOOKUP(C713,Sales_Representatives!$A:$B,2,0)</f>
        <v>Emily Hernandez</v>
      </c>
    </row>
    <row r="714" spans="1:24" x14ac:dyDescent="0.3">
      <c r="A714" t="s">
        <v>1024</v>
      </c>
      <c r="B714" t="s">
        <v>1023</v>
      </c>
      <c r="C714" t="s">
        <v>27</v>
      </c>
      <c r="D714" t="s">
        <v>52</v>
      </c>
      <c r="E714" t="s">
        <v>310</v>
      </c>
      <c r="F714">
        <v>5</v>
      </c>
      <c r="G714">
        <v>274.13</v>
      </c>
      <c r="H714">
        <v>7.0000000000000007E-2</v>
      </c>
      <c r="I714" s="4">
        <v>1274.7</v>
      </c>
      <c r="J714" t="s">
        <v>16</v>
      </c>
      <c r="K714" t="s">
        <v>17</v>
      </c>
      <c r="L714" s="4">
        <f>VLOOKUP(tblTransactions[[#This Row],[Product_ID]],tblProducts[],5,FALSE)</f>
        <v>134.41999999999999</v>
      </c>
      <c r="M714" s="4">
        <f>tblTransactions[[#This Row],[Total_Amount]]-(tblTransactions[[#This Row],[Cost_Prices]]*tblTransactions[[#This Row],[Quantity]]*(1-tblTransactions[[#This Row],[Discount]]))</f>
        <v>649.64700000000016</v>
      </c>
      <c r="N714" s="3">
        <f>tblTransactions[[#This Row],[Profit]]/tblTransactions[[#This Row],[Total_Amount]]</f>
        <v>0.5096469757590022</v>
      </c>
      <c r="O714" t="str">
        <f>TEXT(tblTransactions[[#This Row],[Date]], "MMM-YYYY")</f>
        <v>Jun-2023</v>
      </c>
      <c r="P714" t="str">
        <f>"Q"&amp;ROUNDUP(MONTH(tblTransactions[[#This Row],[Date]])/3,0)&amp;"-"&amp;YEAR(tblTransactions[[#This Row],[Date]])</f>
        <v>Q2-2023</v>
      </c>
      <c r="Q714">
        <f>YEAR(tblTransactions[[#This Row],[Date]])</f>
        <v>2023</v>
      </c>
      <c r="R714" t="str">
        <f>TEXT(tblTransactions[[#This Row],[Date]],"DDDD")</f>
        <v>Tuesday</v>
      </c>
      <c r="S714">
        <f>MONTH(tblTransactions[[#This Row],[Date]])</f>
        <v>6</v>
      </c>
      <c r="T714" t="str">
        <f>VLOOKUP(E714, Products!$A:$B,2,0)</f>
        <v>Adapters Acc-4</v>
      </c>
      <c r="U714" t="str">
        <f>VLOOKUP(E714,Products!$A:$C,3,0)</f>
        <v>Accessories</v>
      </c>
      <c r="V714" t="str">
        <f>VLOOKUP(E714,Products!$A:$D,4,0)</f>
        <v>Adapters</v>
      </c>
      <c r="W714" t="str">
        <f>VLOOKUP(D714,Customers!$A:$C,3,0)</f>
        <v>B2C</v>
      </c>
      <c r="X714" t="str">
        <f>VLOOKUP(C714,Sales_Representatives!$A:$B,2,0)</f>
        <v>Thomas Lopez</v>
      </c>
    </row>
    <row r="715" spans="1:24" x14ac:dyDescent="0.3">
      <c r="A715" t="s">
        <v>1025</v>
      </c>
      <c r="B715" t="s">
        <v>1023</v>
      </c>
      <c r="C715" t="s">
        <v>31</v>
      </c>
      <c r="D715" t="s">
        <v>166</v>
      </c>
      <c r="E715" t="s">
        <v>191</v>
      </c>
      <c r="F715">
        <v>5</v>
      </c>
      <c r="G715">
        <v>1012.75</v>
      </c>
      <c r="H715">
        <v>7.0000000000000007E-2</v>
      </c>
      <c r="I715" s="4">
        <v>4709.29</v>
      </c>
      <c r="J715" t="s">
        <v>34</v>
      </c>
      <c r="K715" t="s">
        <v>35</v>
      </c>
      <c r="L715" s="4">
        <f>VLOOKUP(tblTransactions[[#This Row],[Product_ID]],tblProducts[],5,FALSE)</f>
        <v>518.53</v>
      </c>
      <c r="M715" s="4">
        <f>tblTransactions[[#This Row],[Total_Amount]]-(tblTransactions[[#This Row],[Cost_Prices]]*tblTransactions[[#This Row],[Quantity]]*(1-tblTransactions[[#This Row],[Discount]]))</f>
        <v>2298.1255000000006</v>
      </c>
      <c r="N715" s="3">
        <f>tblTransactions[[#This Row],[Profit]]/tblTransactions[[#This Row],[Total_Amount]]</f>
        <v>0.48799829698319719</v>
      </c>
      <c r="O715" t="str">
        <f>TEXT(tblTransactions[[#This Row],[Date]], "MMM-YYYY")</f>
        <v>Jun-2023</v>
      </c>
      <c r="P715" t="str">
        <f>"Q"&amp;ROUNDUP(MONTH(tblTransactions[[#This Row],[Date]])/3,0)&amp;"-"&amp;YEAR(tblTransactions[[#This Row],[Date]])</f>
        <v>Q2-2023</v>
      </c>
      <c r="Q715">
        <f>YEAR(tblTransactions[[#This Row],[Date]])</f>
        <v>2023</v>
      </c>
      <c r="R715" t="str">
        <f>TEXT(tblTransactions[[#This Row],[Date]],"DDDD")</f>
        <v>Tuesday</v>
      </c>
      <c r="S715">
        <f>MONTH(tblTransactions[[#This Row],[Date]])</f>
        <v>6</v>
      </c>
      <c r="T715" t="str">
        <f>VLOOKUP(E715, Products!$A:$B,2,0)</f>
        <v>Tables Fur-4</v>
      </c>
      <c r="U715" t="str">
        <f>VLOOKUP(E715,Products!$A:$C,3,0)</f>
        <v>Furniture</v>
      </c>
      <c r="V715" t="str">
        <f>VLOOKUP(E715,Products!$A:$D,4,0)</f>
        <v>Tables</v>
      </c>
      <c r="W715" t="str">
        <f>VLOOKUP(D715,Customers!$A:$C,3,0)</f>
        <v>B2C</v>
      </c>
      <c r="X715" t="str">
        <f>VLOOKUP(C715,Sales_Representatives!$A:$B,2,0)</f>
        <v>Thomas Martinez</v>
      </c>
    </row>
    <row r="716" spans="1:24" x14ac:dyDescent="0.3">
      <c r="A716" t="s">
        <v>1026</v>
      </c>
      <c r="B716" t="s">
        <v>1023</v>
      </c>
      <c r="C716" t="s">
        <v>63</v>
      </c>
      <c r="D716" t="s">
        <v>67</v>
      </c>
      <c r="E716" t="s">
        <v>194</v>
      </c>
      <c r="F716">
        <v>3</v>
      </c>
      <c r="G716">
        <v>82.84</v>
      </c>
      <c r="H716">
        <v>0.09</v>
      </c>
      <c r="I716" s="4">
        <v>226.15</v>
      </c>
      <c r="J716" t="s">
        <v>21</v>
      </c>
      <c r="K716" t="s">
        <v>22</v>
      </c>
      <c r="L716" s="4">
        <f>VLOOKUP(tblTransactions[[#This Row],[Product_ID]],tblProducts[],5,FALSE)</f>
        <v>52.98</v>
      </c>
      <c r="M716" s="4">
        <f>tblTransactions[[#This Row],[Total_Amount]]-(tblTransactions[[#This Row],[Cost_Prices]]*tblTransactions[[#This Row],[Quantity]]*(1-tblTransactions[[#This Row],[Discount]]))</f>
        <v>81.514600000000002</v>
      </c>
      <c r="N716" s="3">
        <f>tblTransactions[[#This Row],[Profit]]/tblTransactions[[#This Row],[Total_Amount]]</f>
        <v>0.36044483749723633</v>
      </c>
      <c r="O716" t="str">
        <f>TEXT(tblTransactions[[#This Row],[Date]], "MMM-YYYY")</f>
        <v>Jun-2023</v>
      </c>
      <c r="P716" t="str">
        <f>"Q"&amp;ROUNDUP(MONTH(tblTransactions[[#This Row],[Date]])/3,0)&amp;"-"&amp;YEAR(tblTransactions[[#This Row],[Date]])</f>
        <v>Q2-2023</v>
      </c>
      <c r="Q716">
        <f>YEAR(tblTransactions[[#This Row],[Date]])</f>
        <v>2023</v>
      </c>
      <c r="R716" t="str">
        <f>TEXT(tblTransactions[[#This Row],[Date]],"DDDD")</f>
        <v>Tuesday</v>
      </c>
      <c r="S716">
        <f>MONTH(tblTransactions[[#This Row],[Date]])</f>
        <v>6</v>
      </c>
      <c r="T716" t="str">
        <f>VLOOKUP(E716, Products!$A:$B,2,0)</f>
        <v>Binders Off-2</v>
      </c>
      <c r="U716" t="str">
        <f>VLOOKUP(E716,Products!$A:$C,3,0)</f>
        <v>Office Supplies</v>
      </c>
      <c r="V716" t="str">
        <f>VLOOKUP(E716,Products!$A:$D,4,0)</f>
        <v>Binders</v>
      </c>
      <c r="W716" t="str">
        <f>VLOOKUP(D716,Customers!$A:$C,3,0)</f>
        <v>B2C</v>
      </c>
      <c r="X716" t="str">
        <f>VLOOKUP(C716,Sales_Representatives!$A:$B,2,0)</f>
        <v>Richard Wilson</v>
      </c>
    </row>
    <row r="717" spans="1:24" x14ac:dyDescent="0.3">
      <c r="A717" t="s">
        <v>1027</v>
      </c>
      <c r="B717" t="s">
        <v>1023</v>
      </c>
      <c r="C717" t="s">
        <v>41</v>
      </c>
      <c r="D717" t="s">
        <v>60</v>
      </c>
      <c r="E717" t="s">
        <v>316</v>
      </c>
      <c r="F717">
        <v>6</v>
      </c>
      <c r="G717">
        <v>91.42</v>
      </c>
      <c r="H717">
        <v>0.14000000000000001</v>
      </c>
      <c r="I717" s="4">
        <v>471.73</v>
      </c>
      <c r="J717" t="s">
        <v>44</v>
      </c>
      <c r="K717" t="s">
        <v>17</v>
      </c>
      <c r="L717" s="4">
        <f>VLOOKUP(tblTransactions[[#This Row],[Product_ID]],tblProducts[],5,FALSE)</f>
        <v>50.09</v>
      </c>
      <c r="M717" s="4">
        <f>tblTransactions[[#This Row],[Total_Amount]]-(tblTransactions[[#This Row],[Cost_Prices]]*tblTransactions[[#This Row],[Quantity]]*(1-tblTransactions[[#This Row],[Discount]]))</f>
        <v>213.26560000000001</v>
      </c>
      <c r="N717" s="3">
        <f>tblTransactions[[#This Row],[Profit]]/tblTransactions[[#This Row],[Total_Amount]]</f>
        <v>0.45209251054628707</v>
      </c>
      <c r="O717" t="str">
        <f>TEXT(tblTransactions[[#This Row],[Date]], "MMM-YYYY")</f>
        <v>Jun-2023</v>
      </c>
      <c r="P717" t="str">
        <f>"Q"&amp;ROUNDUP(MONTH(tblTransactions[[#This Row],[Date]])/3,0)&amp;"-"&amp;YEAR(tblTransactions[[#This Row],[Date]])</f>
        <v>Q2-2023</v>
      </c>
      <c r="Q717">
        <f>YEAR(tblTransactions[[#This Row],[Date]])</f>
        <v>2023</v>
      </c>
      <c r="R717" t="str">
        <f>TEXT(tblTransactions[[#This Row],[Date]],"DDDD")</f>
        <v>Tuesday</v>
      </c>
      <c r="S717">
        <f>MONTH(tblTransactions[[#This Row],[Date]])</f>
        <v>6</v>
      </c>
      <c r="T717" t="str">
        <f>VLOOKUP(E717, Products!$A:$B,2,0)</f>
        <v>Binders Off-3</v>
      </c>
      <c r="U717" t="str">
        <f>VLOOKUP(E717,Products!$A:$C,3,0)</f>
        <v>Office Supplies</v>
      </c>
      <c r="V717" t="str">
        <f>VLOOKUP(E717,Products!$A:$D,4,0)</f>
        <v>Binders</v>
      </c>
      <c r="W717" t="str">
        <f>VLOOKUP(D717,Customers!$A:$C,3,0)</f>
        <v>B2C</v>
      </c>
      <c r="X717" t="str">
        <f>VLOOKUP(C717,Sales_Representatives!$A:$B,2,0)</f>
        <v>Robert Jones</v>
      </c>
    </row>
    <row r="718" spans="1:24" x14ac:dyDescent="0.3">
      <c r="A718" t="s">
        <v>1028</v>
      </c>
      <c r="B718" t="s">
        <v>1029</v>
      </c>
      <c r="C718" t="s">
        <v>127</v>
      </c>
      <c r="D718" t="s">
        <v>144</v>
      </c>
      <c r="E718" t="s">
        <v>324</v>
      </c>
      <c r="F718">
        <v>2</v>
      </c>
      <c r="G718">
        <v>245.76</v>
      </c>
      <c r="H718">
        <v>0.03</v>
      </c>
      <c r="I718" s="4">
        <v>476.77</v>
      </c>
      <c r="J718" t="s">
        <v>109</v>
      </c>
      <c r="K718" t="s">
        <v>48</v>
      </c>
      <c r="L718" s="4">
        <f>VLOOKUP(tblTransactions[[#This Row],[Product_ID]],tblProducts[],5,FALSE)</f>
        <v>161.94</v>
      </c>
      <c r="M718" s="4">
        <f>tblTransactions[[#This Row],[Total_Amount]]-(tblTransactions[[#This Row],[Cost_Prices]]*tblTransactions[[#This Row],[Quantity]]*(1-tblTransactions[[#This Row],[Discount]]))</f>
        <v>162.60640000000001</v>
      </c>
      <c r="N718" s="3">
        <f>tblTransactions[[#This Row],[Profit]]/tblTransactions[[#This Row],[Total_Amount]]</f>
        <v>0.3410583719613231</v>
      </c>
      <c r="O718" t="str">
        <f>TEXT(tblTransactions[[#This Row],[Date]], "MMM-YYYY")</f>
        <v>Jun-2023</v>
      </c>
      <c r="P718" t="str">
        <f>"Q"&amp;ROUNDUP(MONTH(tblTransactions[[#This Row],[Date]])/3,0)&amp;"-"&amp;YEAR(tblTransactions[[#This Row],[Date]])</f>
        <v>Q2-2023</v>
      </c>
      <c r="Q718">
        <f>YEAR(tblTransactions[[#This Row],[Date]])</f>
        <v>2023</v>
      </c>
      <c r="R718" t="str">
        <f>TEXT(tblTransactions[[#This Row],[Date]],"DDDD")</f>
        <v>Wednesday</v>
      </c>
      <c r="S718">
        <f>MONTH(tblTransactions[[#This Row],[Date]])</f>
        <v>6</v>
      </c>
      <c r="T718" t="str">
        <f>VLOOKUP(E718, Products!$A:$B,2,0)</f>
        <v>Storage Fur-1</v>
      </c>
      <c r="U718" t="str">
        <f>VLOOKUP(E718,Products!$A:$C,3,0)</f>
        <v>Furniture</v>
      </c>
      <c r="V718" t="str">
        <f>VLOOKUP(E718,Products!$A:$D,4,0)</f>
        <v>Storage</v>
      </c>
      <c r="W718" t="str">
        <f>VLOOKUP(D718,Customers!$A:$C,3,0)</f>
        <v>B2C</v>
      </c>
      <c r="X718" t="str">
        <f>VLOOKUP(C718,Sales_Representatives!$A:$B,2,0)</f>
        <v>Emily Hernandez</v>
      </c>
    </row>
    <row r="719" spans="1:24" x14ac:dyDescent="0.3">
      <c r="A719" t="s">
        <v>1030</v>
      </c>
      <c r="B719" t="s">
        <v>1029</v>
      </c>
      <c r="C719" t="s">
        <v>13</v>
      </c>
      <c r="D719" t="s">
        <v>144</v>
      </c>
      <c r="E719" t="s">
        <v>145</v>
      </c>
      <c r="F719">
        <v>4</v>
      </c>
      <c r="G719">
        <v>93.43</v>
      </c>
      <c r="H719">
        <v>0.1</v>
      </c>
      <c r="I719" s="4">
        <v>336.35</v>
      </c>
      <c r="J719" t="s">
        <v>16</v>
      </c>
      <c r="K719" t="s">
        <v>39</v>
      </c>
      <c r="L719" s="4">
        <f>VLOOKUP(tblTransactions[[#This Row],[Product_ID]],tblProducts[],5,FALSE)</f>
        <v>45.74</v>
      </c>
      <c r="M719" s="4">
        <f>tblTransactions[[#This Row],[Total_Amount]]-(tblTransactions[[#This Row],[Cost_Prices]]*tblTransactions[[#This Row],[Quantity]]*(1-tblTransactions[[#This Row],[Discount]]))</f>
        <v>171.68600000000001</v>
      </c>
      <c r="N719" s="3">
        <f>tblTransactions[[#This Row],[Profit]]/tblTransactions[[#This Row],[Total_Amount]]</f>
        <v>0.51043853129180916</v>
      </c>
      <c r="O719" t="str">
        <f>TEXT(tblTransactions[[#This Row],[Date]], "MMM-YYYY")</f>
        <v>Jun-2023</v>
      </c>
      <c r="P719" t="str">
        <f>"Q"&amp;ROUNDUP(MONTH(tblTransactions[[#This Row],[Date]])/3,0)&amp;"-"&amp;YEAR(tblTransactions[[#This Row],[Date]])</f>
        <v>Q2-2023</v>
      </c>
      <c r="Q719">
        <f>YEAR(tblTransactions[[#This Row],[Date]])</f>
        <v>2023</v>
      </c>
      <c r="R719" t="str">
        <f>TEXT(tblTransactions[[#This Row],[Date]],"DDDD")</f>
        <v>Wednesday</v>
      </c>
      <c r="S719">
        <f>MONTH(tblTransactions[[#This Row],[Date]])</f>
        <v>6</v>
      </c>
      <c r="T719" t="str">
        <f>VLOOKUP(E719, Products!$A:$B,2,0)</f>
        <v>Paper Off-1</v>
      </c>
      <c r="U719" t="str">
        <f>VLOOKUP(E719,Products!$A:$C,3,0)</f>
        <v>Office Supplies</v>
      </c>
      <c r="V719" t="str">
        <f>VLOOKUP(E719,Products!$A:$D,4,0)</f>
        <v>Paper</v>
      </c>
      <c r="W719" t="str">
        <f>VLOOKUP(D719,Customers!$A:$C,3,0)</f>
        <v>B2C</v>
      </c>
      <c r="X719" t="str">
        <f>VLOOKUP(C719,Sales_Representatives!$A:$B,2,0)</f>
        <v>Jennifer Rodriguez</v>
      </c>
    </row>
    <row r="720" spans="1:24" x14ac:dyDescent="0.3">
      <c r="A720" t="s">
        <v>1031</v>
      </c>
      <c r="B720" t="s">
        <v>1032</v>
      </c>
      <c r="C720" t="s">
        <v>31</v>
      </c>
      <c r="D720" t="s">
        <v>118</v>
      </c>
      <c r="E720" t="s">
        <v>129</v>
      </c>
      <c r="F720">
        <v>4</v>
      </c>
      <c r="G720">
        <v>1283.71</v>
      </c>
      <c r="H720">
        <v>0.08</v>
      </c>
      <c r="I720" s="4">
        <v>4724.05</v>
      </c>
      <c r="J720" t="s">
        <v>34</v>
      </c>
      <c r="K720" t="s">
        <v>17</v>
      </c>
      <c r="L720" s="4">
        <f>VLOOKUP(tblTransactions[[#This Row],[Product_ID]],tblProducts[],5,FALSE)</f>
        <v>970.14</v>
      </c>
      <c r="M720" s="4">
        <f>tblTransactions[[#This Row],[Total_Amount]]-(tblTransactions[[#This Row],[Cost_Prices]]*tblTransactions[[#This Row],[Quantity]]*(1-tblTransactions[[#This Row],[Discount]]))</f>
        <v>1153.9348</v>
      </c>
      <c r="N720" s="3">
        <f>tblTransactions[[#This Row],[Profit]]/tblTransactions[[#This Row],[Total_Amount]]</f>
        <v>0.24426811739926546</v>
      </c>
      <c r="O720" t="str">
        <f>TEXT(tblTransactions[[#This Row],[Date]], "MMM-YYYY")</f>
        <v>Jun-2023</v>
      </c>
      <c r="P720" t="str">
        <f>"Q"&amp;ROUNDUP(MONTH(tblTransactions[[#This Row],[Date]])/3,0)&amp;"-"&amp;YEAR(tblTransactions[[#This Row],[Date]])</f>
        <v>Q2-2023</v>
      </c>
      <c r="Q720">
        <f>YEAR(tblTransactions[[#This Row],[Date]])</f>
        <v>2023</v>
      </c>
      <c r="R720" t="str">
        <f>TEXT(tblTransactions[[#This Row],[Date]],"DDDD")</f>
        <v>Thursday</v>
      </c>
      <c r="S720">
        <f>MONTH(tblTransactions[[#This Row],[Date]])</f>
        <v>6</v>
      </c>
      <c r="T720" t="str">
        <f>VLOOKUP(E720, Products!$A:$B,2,0)</f>
        <v>Cameras Ele-3</v>
      </c>
      <c r="U720" t="str">
        <f>VLOOKUP(E720,Products!$A:$C,3,0)</f>
        <v>Electronics</v>
      </c>
      <c r="V720" t="str">
        <f>VLOOKUP(E720,Products!$A:$D,4,0)</f>
        <v>Cameras</v>
      </c>
      <c r="W720" t="str">
        <f>VLOOKUP(D720,Customers!$A:$C,3,0)</f>
        <v>B2C</v>
      </c>
      <c r="X720" t="str">
        <f>VLOOKUP(C720,Sales_Representatives!$A:$B,2,0)</f>
        <v>Thomas Martinez</v>
      </c>
    </row>
    <row r="721" spans="1:24" x14ac:dyDescent="0.3">
      <c r="A721" t="s">
        <v>1033</v>
      </c>
      <c r="B721" t="s">
        <v>1032</v>
      </c>
      <c r="C721" t="s">
        <v>70</v>
      </c>
      <c r="D721" t="s">
        <v>247</v>
      </c>
      <c r="E721" t="s">
        <v>248</v>
      </c>
      <c r="F721">
        <v>6</v>
      </c>
      <c r="G721">
        <v>82.29</v>
      </c>
      <c r="H721">
        <v>0.1</v>
      </c>
      <c r="I721" s="4">
        <v>444.37</v>
      </c>
      <c r="J721" t="s">
        <v>16</v>
      </c>
      <c r="K721" t="s">
        <v>17</v>
      </c>
      <c r="L721" s="4">
        <f>VLOOKUP(tblTransactions[[#This Row],[Product_ID]],tblProducts[],5,FALSE)</f>
        <v>51.11</v>
      </c>
      <c r="M721" s="4">
        <f>tblTransactions[[#This Row],[Total_Amount]]-(tblTransactions[[#This Row],[Cost_Prices]]*tblTransactions[[#This Row],[Quantity]]*(1-tblTransactions[[#This Row],[Discount]]))</f>
        <v>168.37600000000003</v>
      </c>
      <c r="N721" s="3">
        <f>tblTransactions[[#This Row],[Profit]]/tblTransactions[[#This Row],[Total_Amount]]</f>
        <v>0.37890946733577879</v>
      </c>
      <c r="O721" t="str">
        <f>TEXT(tblTransactions[[#This Row],[Date]], "MMM-YYYY")</f>
        <v>Jun-2023</v>
      </c>
      <c r="P721" t="str">
        <f>"Q"&amp;ROUNDUP(MONTH(tblTransactions[[#This Row],[Date]])/3,0)&amp;"-"&amp;YEAR(tblTransactions[[#This Row],[Date]])</f>
        <v>Q2-2023</v>
      </c>
      <c r="Q721">
        <f>YEAR(tblTransactions[[#This Row],[Date]])</f>
        <v>2023</v>
      </c>
      <c r="R721" t="str">
        <f>TEXT(tblTransactions[[#This Row],[Date]],"DDDD")</f>
        <v>Thursday</v>
      </c>
      <c r="S721">
        <f>MONTH(tblTransactions[[#This Row],[Date]])</f>
        <v>6</v>
      </c>
      <c r="T721" t="str">
        <f>VLOOKUP(E721, Products!$A:$B,2,0)</f>
        <v>Keyboards Acc-2</v>
      </c>
      <c r="U721" t="str">
        <f>VLOOKUP(E721,Products!$A:$C,3,0)</f>
        <v>Accessories</v>
      </c>
      <c r="V721" t="str">
        <f>VLOOKUP(E721,Products!$A:$D,4,0)</f>
        <v>Keyboards</v>
      </c>
      <c r="W721" t="str">
        <f>VLOOKUP(D721,Customers!$A:$C,3,0)</f>
        <v>B2C</v>
      </c>
      <c r="X721" t="str">
        <f>VLOOKUP(C721,Sales_Representatives!$A:$B,2,0)</f>
        <v>Linda Smith</v>
      </c>
    </row>
    <row r="722" spans="1:24" x14ac:dyDescent="0.3">
      <c r="A722" t="s">
        <v>1034</v>
      </c>
      <c r="B722" t="s">
        <v>1032</v>
      </c>
      <c r="C722" t="s">
        <v>131</v>
      </c>
      <c r="D722" t="s">
        <v>154</v>
      </c>
      <c r="E722" t="s">
        <v>191</v>
      </c>
      <c r="F722">
        <v>17</v>
      </c>
      <c r="G722">
        <v>1012.75</v>
      </c>
      <c r="H722">
        <v>0.15</v>
      </c>
      <c r="I722" s="4">
        <v>14634.24</v>
      </c>
      <c r="J722" t="s">
        <v>44</v>
      </c>
      <c r="K722" t="s">
        <v>39</v>
      </c>
      <c r="L722" s="4">
        <f>VLOOKUP(tblTransactions[[#This Row],[Product_ID]],tblProducts[],5,FALSE)</f>
        <v>518.53</v>
      </c>
      <c r="M722" s="4">
        <f>tblTransactions[[#This Row],[Total_Amount]]-(tblTransactions[[#This Row],[Cost_Prices]]*tblTransactions[[#This Row],[Quantity]]*(1-tblTransactions[[#This Row],[Discount]]))</f>
        <v>7141.4814999999999</v>
      </c>
      <c r="N722" s="3">
        <f>tblTransactions[[#This Row],[Profit]]/tblTransactions[[#This Row],[Total_Amount]]</f>
        <v>0.48799811264541237</v>
      </c>
      <c r="O722" t="str">
        <f>TEXT(tblTransactions[[#This Row],[Date]], "MMM-YYYY")</f>
        <v>Jun-2023</v>
      </c>
      <c r="P722" t="str">
        <f>"Q"&amp;ROUNDUP(MONTH(tblTransactions[[#This Row],[Date]])/3,0)&amp;"-"&amp;YEAR(tblTransactions[[#This Row],[Date]])</f>
        <v>Q2-2023</v>
      </c>
      <c r="Q722">
        <f>YEAR(tblTransactions[[#This Row],[Date]])</f>
        <v>2023</v>
      </c>
      <c r="R722" t="str">
        <f>TEXT(tblTransactions[[#This Row],[Date]],"DDDD")</f>
        <v>Thursday</v>
      </c>
      <c r="S722">
        <f>MONTH(tblTransactions[[#This Row],[Date]])</f>
        <v>6</v>
      </c>
      <c r="T722" t="str">
        <f>VLOOKUP(E722, Products!$A:$B,2,0)</f>
        <v>Tables Fur-4</v>
      </c>
      <c r="U722" t="str">
        <f>VLOOKUP(E722,Products!$A:$C,3,0)</f>
        <v>Furniture</v>
      </c>
      <c r="V722" t="str">
        <f>VLOOKUP(E722,Products!$A:$D,4,0)</f>
        <v>Tables</v>
      </c>
      <c r="W722" t="str">
        <f>VLOOKUP(D722,Customers!$A:$C,3,0)</f>
        <v>B2B</v>
      </c>
      <c r="X722" t="str">
        <f>VLOOKUP(C722,Sales_Representatives!$A:$B,2,0)</f>
        <v>Michael Davis</v>
      </c>
    </row>
    <row r="723" spans="1:24" x14ac:dyDescent="0.3">
      <c r="A723" t="s">
        <v>1035</v>
      </c>
      <c r="B723" t="s">
        <v>1032</v>
      </c>
      <c r="C723" t="s">
        <v>82</v>
      </c>
      <c r="D723" t="s">
        <v>115</v>
      </c>
      <c r="E723" t="s">
        <v>255</v>
      </c>
      <c r="F723">
        <v>5</v>
      </c>
      <c r="G723">
        <v>1444.13</v>
      </c>
      <c r="H723">
        <v>0.09</v>
      </c>
      <c r="I723" s="4">
        <v>6570.79</v>
      </c>
      <c r="J723" t="s">
        <v>34</v>
      </c>
      <c r="K723" t="s">
        <v>17</v>
      </c>
      <c r="L723" s="4">
        <f>VLOOKUP(tblTransactions[[#This Row],[Product_ID]],tblProducts[],5,FALSE)</f>
        <v>874.43</v>
      </c>
      <c r="M723" s="4">
        <f>tblTransactions[[#This Row],[Total_Amount]]-(tblTransactions[[#This Row],[Cost_Prices]]*tblTransactions[[#This Row],[Quantity]]*(1-tblTransactions[[#This Row],[Discount]]))</f>
        <v>2592.1335000000004</v>
      </c>
      <c r="N723" s="3">
        <f>tblTransactions[[#This Row],[Profit]]/tblTransactions[[#This Row],[Total_Amount]]</f>
        <v>0.39449343229657324</v>
      </c>
      <c r="O723" t="str">
        <f>TEXT(tblTransactions[[#This Row],[Date]], "MMM-YYYY")</f>
        <v>Jun-2023</v>
      </c>
      <c r="P723" t="str">
        <f>"Q"&amp;ROUNDUP(MONTH(tblTransactions[[#This Row],[Date]])/3,0)&amp;"-"&amp;YEAR(tblTransactions[[#This Row],[Date]])</f>
        <v>Q2-2023</v>
      </c>
      <c r="Q723">
        <f>YEAR(tblTransactions[[#This Row],[Date]])</f>
        <v>2023</v>
      </c>
      <c r="R723" t="str">
        <f>TEXT(tblTransactions[[#This Row],[Date]],"DDDD")</f>
        <v>Thursday</v>
      </c>
      <c r="S723">
        <f>MONTH(tblTransactions[[#This Row],[Date]])</f>
        <v>6</v>
      </c>
      <c r="T723" t="str">
        <f>VLOOKUP(E723, Products!$A:$B,2,0)</f>
        <v>Printers Tec-1</v>
      </c>
      <c r="U723" t="str">
        <f>VLOOKUP(E723,Products!$A:$C,3,0)</f>
        <v>Technology</v>
      </c>
      <c r="V723" t="str">
        <f>VLOOKUP(E723,Products!$A:$D,4,0)</f>
        <v>Printers</v>
      </c>
      <c r="W723" t="str">
        <f>VLOOKUP(D723,Customers!$A:$C,3,0)</f>
        <v>B2C</v>
      </c>
      <c r="X723" t="str">
        <f>VLOOKUP(C723,Sales_Representatives!$A:$B,2,0)</f>
        <v>John Brown</v>
      </c>
    </row>
    <row r="724" spans="1:24" x14ac:dyDescent="0.3">
      <c r="A724" t="s">
        <v>1036</v>
      </c>
      <c r="B724" t="s">
        <v>1032</v>
      </c>
      <c r="C724" t="s">
        <v>41</v>
      </c>
      <c r="D724" t="s">
        <v>183</v>
      </c>
      <c r="E724" t="s">
        <v>347</v>
      </c>
      <c r="F724">
        <v>2</v>
      </c>
      <c r="G724">
        <v>1539.6</v>
      </c>
      <c r="H724">
        <v>0.01</v>
      </c>
      <c r="I724" s="4">
        <v>3048.41</v>
      </c>
      <c r="J724" t="s">
        <v>44</v>
      </c>
      <c r="K724" t="s">
        <v>39</v>
      </c>
      <c r="L724" s="4">
        <f>VLOOKUP(tblTransactions[[#This Row],[Product_ID]],tblProducts[],5,FALSE)</f>
        <v>992.43</v>
      </c>
      <c r="M724" s="4">
        <f>tblTransactions[[#This Row],[Total_Amount]]-(tblTransactions[[#This Row],[Cost_Prices]]*tblTransactions[[#This Row],[Quantity]]*(1-tblTransactions[[#This Row],[Discount]]))</f>
        <v>1083.3986</v>
      </c>
      <c r="N724" s="3">
        <f>tblTransactions[[#This Row],[Profit]]/tblTransactions[[#This Row],[Total_Amount]]</f>
        <v>0.35539792875630249</v>
      </c>
      <c r="O724" t="str">
        <f>TEXT(tblTransactions[[#This Row],[Date]], "MMM-YYYY")</f>
        <v>Jun-2023</v>
      </c>
      <c r="P724" t="str">
        <f>"Q"&amp;ROUNDUP(MONTH(tblTransactions[[#This Row],[Date]])/3,0)&amp;"-"&amp;YEAR(tblTransactions[[#This Row],[Date]])</f>
        <v>Q2-2023</v>
      </c>
      <c r="Q724">
        <f>YEAR(tblTransactions[[#This Row],[Date]])</f>
        <v>2023</v>
      </c>
      <c r="R724" t="str">
        <f>TEXT(tblTransactions[[#This Row],[Date]],"DDDD")</f>
        <v>Thursday</v>
      </c>
      <c r="S724">
        <f>MONTH(tblTransactions[[#This Row],[Date]])</f>
        <v>6</v>
      </c>
      <c r="T724" t="str">
        <f>VLOOKUP(E724, Products!$A:$B,2,0)</f>
        <v>Routers Tec-2</v>
      </c>
      <c r="U724" t="str">
        <f>VLOOKUP(E724,Products!$A:$C,3,0)</f>
        <v>Technology</v>
      </c>
      <c r="V724" t="str">
        <f>VLOOKUP(E724,Products!$A:$D,4,0)</f>
        <v>Routers</v>
      </c>
      <c r="W724" t="str">
        <f>VLOOKUP(D724,Customers!$A:$C,3,0)</f>
        <v>Small Business</v>
      </c>
      <c r="X724" t="str">
        <f>VLOOKUP(C724,Sales_Representatives!$A:$B,2,0)</f>
        <v>Robert Jones</v>
      </c>
    </row>
    <row r="725" spans="1:24" x14ac:dyDescent="0.3">
      <c r="A725" t="s">
        <v>1037</v>
      </c>
      <c r="B725" t="s">
        <v>1032</v>
      </c>
      <c r="C725" t="s">
        <v>70</v>
      </c>
      <c r="D725" t="s">
        <v>67</v>
      </c>
      <c r="E725" t="s">
        <v>68</v>
      </c>
      <c r="F725">
        <v>4</v>
      </c>
      <c r="G725">
        <v>522.63</v>
      </c>
      <c r="H725">
        <v>0.1</v>
      </c>
      <c r="I725" s="4">
        <v>1881.47</v>
      </c>
      <c r="J725" t="s">
        <v>16</v>
      </c>
      <c r="K725" t="s">
        <v>22</v>
      </c>
      <c r="L725" s="4">
        <f>VLOOKUP(tblTransactions[[#This Row],[Product_ID]],tblProducts[],5,FALSE)</f>
        <v>355.82</v>
      </c>
      <c r="M725" s="4">
        <f>tblTransactions[[#This Row],[Total_Amount]]-(tblTransactions[[#This Row],[Cost_Prices]]*tblTransactions[[#This Row],[Quantity]]*(1-tblTransactions[[#This Row],[Discount]]))</f>
        <v>600.51800000000003</v>
      </c>
      <c r="N725" s="3">
        <f>tblTransactions[[#This Row],[Profit]]/tblTransactions[[#This Row],[Total_Amount]]</f>
        <v>0.3191749004767549</v>
      </c>
      <c r="O725" t="str">
        <f>TEXT(tblTransactions[[#This Row],[Date]], "MMM-YYYY")</f>
        <v>Jun-2023</v>
      </c>
      <c r="P725" t="str">
        <f>"Q"&amp;ROUNDUP(MONTH(tblTransactions[[#This Row],[Date]])/3,0)&amp;"-"&amp;YEAR(tblTransactions[[#This Row],[Date]])</f>
        <v>Q2-2023</v>
      </c>
      <c r="Q725">
        <f>YEAR(tblTransactions[[#This Row],[Date]])</f>
        <v>2023</v>
      </c>
      <c r="R725" t="str">
        <f>TEXT(tblTransactions[[#This Row],[Date]],"DDDD")</f>
        <v>Thursday</v>
      </c>
      <c r="S725">
        <f>MONTH(tblTransactions[[#This Row],[Date]])</f>
        <v>6</v>
      </c>
      <c r="T725" t="str">
        <f>VLOOKUP(E725, Products!$A:$B,2,0)</f>
        <v>Monitors Tec-3</v>
      </c>
      <c r="U725" t="str">
        <f>VLOOKUP(E725,Products!$A:$C,3,0)</f>
        <v>Technology</v>
      </c>
      <c r="V725" t="str">
        <f>VLOOKUP(E725,Products!$A:$D,4,0)</f>
        <v>Monitors</v>
      </c>
      <c r="W725" t="str">
        <f>VLOOKUP(D725,Customers!$A:$C,3,0)</f>
        <v>B2C</v>
      </c>
      <c r="X725" t="str">
        <f>VLOOKUP(C725,Sales_Representatives!$A:$B,2,0)</f>
        <v>Linda Smith</v>
      </c>
    </row>
    <row r="726" spans="1:24" x14ac:dyDescent="0.3">
      <c r="A726" t="s">
        <v>1038</v>
      </c>
      <c r="B726" t="s">
        <v>1032</v>
      </c>
      <c r="C726" t="s">
        <v>27</v>
      </c>
      <c r="D726" t="s">
        <v>216</v>
      </c>
      <c r="E726" t="s">
        <v>68</v>
      </c>
      <c r="F726">
        <v>4</v>
      </c>
      <c r="G726">
        <v>522.63</v>
      </c>
      <c r="H726">
        <v>0.02</v>
      </c>
      <c r="I726" s="4">
        <v>2048.71</v>
      </c>
      <c r="J726" t="s">
        <v>16</v>
      </c>
      <c r="K726" t="s">
        <v>48</v>
      </c>
      <c r="L726" s="4">
        <f>VLOOKUP(tblTransactions[[#This Row],[Product_ID]],tblProducts[],5,FALSE)</f>
        <v>355.82</v>
      </c>
      <c r="M726" s="4">
        <f>tblTransactions[[#This Row],[Total_Amount]]-(tblTransactions[[#This Row],[Cost_Prices]]*tblTransactions[[#This Row],[Quantity]]*(1-tblTransactions[[#This Row],[Discount]]))</f>
        <v>653.89560000000006</v>
      </c>
      <c r="N726" s="3">
        <f>tblTransactions[[#This Row],[Profit]]/tblTransactions[[#This Row],[Total_Amount]]</f>
        <v>0.3191743096875595</v>
      </c>
      <c r="O726" t="str">
        <f>TEXT(tblTransactions[[#This Row],[Date]], "MMM-YYYY")</f>
        <v>Jun-2023</v>
      </c>
      <c r="P726" t="str">
        <f>"Q"&amp;ROUNDUP(MONTH(tblTransactions[[#This Row],[Date]])/3,0)&amp;"-"&amp;YEAR(tblTransactions[[#This Row],[Date]])</f>
        <v>Q2-2023</v>
      </c>
      <c r="Q726">
        <f>YEAR(tblTransactions[[#This Row],[Date]])</f>
        <v>2023</v>
      </c>
      <c r="R726" t="str">
        <f>TEXT(tblTransactions[[#This Row],[Date]],"DDDD")</f>
        <v>Thursday</v>
      </c>
      <c r="S726">
        <f>MONTH(tblTransactions[[#This Row],[Date]])</f>
        <v>6</v>
      </c>
      <c r="T726" t="str">
        <f>VLOOKUP(E726, Products!$A:$B,2,0)</f>
        <v>Monitors Tec-3</v>
      </c>
      <c r="U726" t="str">
        <f>VLOOKUP(E726,Products!$A:$C,3,0)</f>
        <v>Technology</v>
      </c>
      <c r="V726" t="str">
        <f>VLOOKUP(E726,Products!$A:$D,4,0)</f>
        <v>Monitors</v>
      </c>
      <c r="W726" t="str">
        <f>VLOOKUP(D726,Customers!$A:$C,3,0)</f>
        <v>Small Business</v>
      </c>
      <c r="X726" t="str">
        <f>VLOOKUP(C726,Sales_Representatives!$A:$B,2,0)</f>
        <v>Thomas Lopez</v>
      </c>
    </row>
    <row r="727" spans="1:24" x14ac:dyDescent="0.3">
      <c r="A727" t="s">
        <v>1039</v>
      </c>
      <c r="B727" t="s">
        <v>1040</v>
      </c>
      <c r="C727" t="s">
        <v>131</v>
      </c>
      <c r="D727" t="s">
        <v>57</v>
      </c>
      <c r="E727" t="s">
        <v>194</v>
      </c>
      <c r="F727">
        <v>1</v>
      </c>
      <c r="G727">
        <v>82.84</v>
      </c>
      <c r="H727">
        <v>0.08</v>
      </c>
      <c r="I727" s="4">
        <v>76.209999999999994</v>
      </c>
      <c r="J727" t="s">
        <v>44</v>
      </c>
      <c r="K727" t="s">
        <v>39</v>
      </c>
      <c r="L727" s="4">
        <f>VLOOKUP(tblTransactions[[#This Row],[Product_ID]],tblProducts[],5,FALSE)</f>
        <v>52.98</v>
      </c>
      <c r="M727" s="4">
        <f>tblTransactions[[#This Row],[Total_Amount]]-(tblTransactions[[#This Row],[Cost_Prices]]*tblTransactions[[#This Row],[Quantity]]*(1-tblTransactions[[#This Row],[Discount]]))</f>
        <v>27.468399999999995</v>
      </c>
      <c r="N727" s="3">
        <f>tblTransactions[[#This Row],[Profit]]/tblTransactions[[#This Row],[Total_Amount]]</f>
        <v>0.36043038971263613</v>
      </c>
      <c r="O727" t="str">
        <f>TEXT(tblTransactions[[#This Row],[Date]], "MMM-YYYY")</f>
        <v>Jun-2023</v>
      </c>
      <c r="P727" t="str">
        <f>"Q"&amp;ROUNDUP(MONTH(tblTransactions[[#This Row],[Date]])/3,0)&amp;"-"&amp;YEAR(tblTransactions[[#This Row],[Date]])</f>
        <v>Q2-2023</v>
      </c>
      <c r="Q727">
        <f>YEAR(tblTransactions[[#This Row],[Date]])</f>
        <v>2023</v>
      </c>
      <c r="R727" t="str">
        <f>TEXT(tblTransactions[[#This Row],[Date]],"DDDD")</f>
        <v>Friday</v>
      </c>
      <c r="S727">
        <f>MONTH(tblTransactions[[#This Row],[Date]])</f>
        <v>6</v>
      </c>
      <c r="T727" t="str">
        <f>VLOOKUP(E727, Products!$A:$B,2,0)</f>
        <v>Binders Off-2</v>
      </c>
      <c r="U727" t="str">
        <f>VLOOKUP(E727,Products!$A:$C,3,0)</f>
        <v>Office Supplies</v>
      </c>
      <c r="V727" t="str">
        <f>VLOOKUP(E727,Products!$A:$D,4,0)</f>
        <v>Binders</v>
      </c>
      <c r="W727" t="str">
        <f>VLOOKUP(D727,Customers!$A:$C,3,0)</f>
        <v>Small Business</v>
      </c>
      <c r="X727" t="str">
        <f>VLOOKUP(C727,Sales_Representatives!$A:$B,2,0)</f>
        <v>Michael Davis</v>
      </c>
    </row>
    <row r="728" spans="1:24" x14ac:dyDescent="0.3">
      <c r="A728" t="s">
        <v>1041</v>
      </c>
      <c r="B728" t="s">
        <v>1040</v>
      </c>
      <c r="C728" t="s">
        <v>82</v>
      </c>
      <c r="D728" t="s">
        <v>98</v>
      </c>
      <c r="E728" t="s">
        <v>89</v>
      </c>
      <c r="F728">
        <v>4</v>
      </c>
      <c r="G728">
        <v>555.08000000000004</v>
      </c>
      <c r="H728">
        <v>0.02</v>
      </c>
      <c r="I728" s="4">
        <v>2175.91</v>
      </c>
      <c r="J728" t="s">
        <v>34</v>
      </c>
      <c r="K728" t="s">
        <v>48</v>
      </c>
      <c r="L728" s="4">
        <f>VLOOKUP(tblTransactions[[#This Row],[Product_ID]],tblProducts[],5,FALSE)</f>
        <v>402.82</v>
      </c>
      <c r="M728" s="4">
        <f>tblTransactions[[#This Row],[Total_Amount]]-(tblTransactions[[#This Row],[Cost_Prices]]*tblTransactions[[#This Row],[Quantity]]*(1-tblTransactions[[#This Row],[Discount]]))</f>
        <v>596.85559999999987</v>
      </c>
      <c r="N728" s="3">
        <f>tblTransactions[[#This Row],[Profit]]/tblTransactions[[#This Row],[Total_Amount]]</f>
        <v>0.27430160254789948</v>
      </c>
      <c r="O728" t="str">
        <f>TEXT(tblTransactions[[#This Row],[Date]], "MMM-YYYY")</f>
        <v>Jun-2023</v>
      </c>
      <c r="P728" t="str">
        <f>"Q"&amp;ROUNDUP(MONTH(tblTransactions[[#This Row],[Date]])/3,0)&amp;"-"&amp;YEAR(tblTransactions[[#This Row],[Date]])</f>
        <v>Q2-2023</v>
      </c>
      <c r="Q728">
        <f>YEAR(tblTransactions[[#This Row],[Date]])</f>
        <v>2023</v>
      </c>
      <c r="R728" t="str">
        <f>TEXT(tblTransactions[[#This Row],[Date]],"DDDD")</f>
        <v>Friday</v>
      </c>
      <c r="S728">
        <f>MONTH(tblTransactions[[#This Row],[Date]])</f>
        <v>6</v>
      </c>
      <c r="T728" t="str">
        <f>VLOOKUP(E728, Products!$A:$B,2,0)</f>
        <v>Laptops Ele-3</v>
      </c>
      <c r="U728" t="str">
        <f>VLOOKUP(E728,Products!$A:$C,3,0)</f>
        <v>Electronics</v>
      </c>
      <c r="V728" t="str">
        <f>VLOOKUP(E728,Products!$A:$D,4,0)</f>
        <v>Laptops</v>
      </c>
      <c r="W728" t="str">
        <f>VLOOKUP(D728,Customers!$A:$C,3,0)</f>
        <v>B2C</v>
      </c>
      <c r="X728" t="str">
        <f>VLOOKUP(C728,Sales_Representatives!$A:$B,2,0)</f>
        <v>John Brown</v>
      </c>
    </row>
    <row r="729" spans="1:24" x14ac:dyDescent="0.3">
      <c r="A729" t="s">
        <v>1042</v>
      </c>
      <c r="B729" t="s">
        <v>1040</v>
      </c>
      <c r="C729" t="s">
        <v>31</v>
      </c>
      <c r="D729" t="s">
        <v>28</v>
      </c>
      <c r="E729" t="s">
        <v>125</v>
      </c>
      <c r="F729">
        <v>8</v>
      </c>
      <c r="G729">
        <v>1201.4000000000001</v>
      </c>
      <c r="H729">
        <v>0.11</v>
      </c>
      <c r="I729" s="4">
        <v>8553.9699999999993</v>
      </c>
      <c r="J729" t="s">
        <v>34</v>
      </c>
      <c r="K729" t="s">
        <v>22</v>
      </c>
      <c r="L729" s="4">
        <f>VLOOKUP(tblTransactions[[#This Row],[Product_ID]],tblProducts[],5,FALSE)</f>
        <v>672.72</v>
      </c>
      <c r="M729" s="4">
        <f>tblTransactions[[#This Row],[Total_Amount]]-(tblTransactions[[#This Row],[Cost_Prices]]*tblTransactions[[#This Row],[Quantity]]*(1-tblTransactions[[#This Row],[Discount]]))</f>
        <v>3764.2035999999989</v>
      </c>
      <c r="N729" s="3">
        <f>tblTransactions[[#This Row],[Profit]]/tblTransactions[[#This Row],[Total_Amount]]</f>
        <v>0.44005340210451982</v>
      </c>
      <c r="O729" t="str">
        <f>TEXT(tblTransactions[[#This Row],[Date]], "MMM-YYYY")</f>
        <v>Jun-2023</v>
      </c>
      <c r="P729" t="str">
        <f>"Q"&amp;ROUNDUP(MONTH(tblTransactions[[#This Row],[Date]])/3,0)&amp;"-"&amp;YEAR(tblTransactions[[#This Row],[Date]])</f>
        <v>Q2-2023</v>
      </c>
      <c r="Q729">
        <f>YEAR(tblTransactions[[#This Row],[Date]])</f>
        <v>2023</v>
      </c>
      <c r="R729" t="str">
        <f>TEXT(tblTransactions[[#This Row],[Date]],"DDDD")</f>
        <v>Friday</v>
      </c>
      <c r="S729">
        <f>MONTH(tblTransactions[[#This Row],[Date]])</f>
        <v>6</v>
      </c>
      <c r="T729" t="str">
        <f>VLOOKUP(E729, Products!$A:$B,2,0)</f>
        <v>Printers Tec-2</v>
      </c>
      <c r="U729" t="str">
        <f>VLOOKUP(E729,Products!$A:$C,3,0)</f>
        <v>Technology</v>
      </c>
      <c r="V729" t="str">
        <f>VLOOKUP(E729,Products!$A:$D,4,0)</f>
        <v>Printers</v>
      </c>
      <c r="W729" t="str">
        <f>VLOOKUP(D729,Customers!$A:$C,3,0)</f>
        <v>B2B</v>
      </c>
      <c r="X729" t="str">
        <f>VLOOKUP(C729,Sales_Representatives!$A:$B,2,0)</f>
        <v>Thomas Martinez</v>
      </c>
    </row>
    <row r="730" spans="1:24" x14ac:dyDescent="0.3">
      <c r="A730" t="s">
        <v>1043</v>
      </c>
      <c r="B730" t="s">
        <v>1040</v>
      </c>
      <c r="C730" t="s">
        <v>31</v>
      </c>
      <c r="D730" t="s">
        <v>50</v>
      </c>
      <c r="E730" t="s">
        <v>299</v>
      </c>
      <c r="F730">
        <v>5</v>
      </c>
      <c r="G730">
        <v>963.44</v>
      </c>
      <c r="H730">
        <v>0.02</v>
      </c>
      <c r="I730" s="4">
        <v>4720.8599999999997</v>
      </c>
      <c r="J730" t="s">
        <v>34</v>
      </c>
      <c r="K730" t="s">
        <v>35</v>
      </c>
      <c r="L730" s="4">
        <f>VLOOKUP(tblTransactions[[#This Row],[Product_ID]],tblProducts[],5,FALSE)</f>
        <v>578.96</v>
      </c>
      <c r="M730" s="4">
        <f>tblTransactions[[#This Row],[Total_Amount]]-(tblTransactions[[#This Row],[Cost_Prices]]*tblTransactions[[#This Row],[Quantity]]*(1-tblTransactions[[#This Row],[Discount]]))</f>
        <v>1883.9559999999997</v>
      </c>
      <c r="N730" s="3">
        <f>tblTransactions[[#This Row],[Profit]]/tblTransactions[[#This Row],[Total_Amount]]</f>
        <v>0.39907050833958213</v>
      </c>
      <c r="O730" t="str">
        <f>TEXT(tblTransactions[[#This Row],[Date]], "MMM-YYYY")</f>
        <v>Jun-2023</v>
      </c>
      <c r="P730" t="str">
        <f>"Q"&amp;ROUNDUP(MONTH(tblTransactions[[#This Row],[Date]])/3,0)&amp;"-"&amp;YEAR(tblTransactions[[#This Row],[Date]])</f>
        <v>Q2-2023</v>
      </c>
      <c r="Q730">
        <f>YEAR(tblTransactions[[#This Row],[Date]])</f>
        <v>2023</v>
      </c>
      <c r="R730" t="str">
        <f>TEXT(tblTransactions[[#This Row],[Date]],"DDDD")</f>
        <v>Friday</v>
      </c>
      <c r="S730">
        <f>MONTH(tblTransactions[[#This Row],[Date]])</f>
        <v>6</v>
      </c>
      <c r="T730" t="str">
        <f>VLOOKUP(E730, Products!$A:$B,2,0)</f>
        <v>Chairs Fur-4</v>
      </c>
      <c r="U730" t="str">
        <f>VLOOKUP(E730,Products!$A:$C,3,0)</f>
        <v>Furniture</v>
      </c>
      <c r="V730" t="str">
        <f>VLOOKUP(E730,Products!$A:$D,4,0)</f>
        <v>Chairs</v>
      </c>
      <c r="W730" t="str">
        <f>VLOOKUP(D730,Customers!$A:$C,3,0)</f>
        <v>Small Business</v>
      </c>
      <c r="X730" t="str">
        <f>VLOOKUP(C730,Sales_Representatives!$A:$B,2,0)</f>
        <v>Thomas Martinez</v>
      </c>
    </row>
    <row r="731" spans="1:24" x14ac:dyDescent="0.3">
      <c r="A731" t="s">
        <v>1044</v>
      </c>
      <c r="B731" t="s">
        <v>1040</v>
      </c>
      <c r="C731" t="s">
        <v>141</v>
      </c>
      <c r="D731" t="s">
        <v>98</v>
      </c>
      <c r="E731" t="s">
        <v>15</v>
      </c>
      <c r="F731">
        <v>6</v>
      </c>
      <c r="G731">
        <v>477.48</v>
      </c>
      <c r="H731">
        <v>0.06</v>
      </c>
      <c r="I731" s="4">
        <v>2692.99</v>
      </c>
      <c r="J731" t="s">
        <v>109</v>
      </c>
      <c r="K731" t="s">
        <v>17</v>
      </c>
      <c r="L731" s="4">
        <f>VLOOKUP(tblTransactions[[#This Row],[Product_ID]],tblProducts[],5,FALSE)</f>
        <v>275.51</v>
      </c>
      <c r="M731" s="4">
        <f>tblTransactions[[#This Row],[Total_Amount]]-(tblTransactions[[#This Row],[Cost_Prices]]*tblTransactions[[#This Row],[Quantity]]*(1-tblTransactions[[#This Row],[Discount]]))</f>
        <v>1139.1135999999999</v>
      </c>
      <c r="N731" s="3">
        <f>tblTransactions[[#This Row],[Profit]]/tblTransactions[[#This Row],[Total_Amount]]</f>
        <v>0.42299213884938303</v>
      </c>
      <c r="O731" t="str">
        <f>TEXT(tblTransactions[[#This Row],[Date]], "MMM-YYYY")</f>
        <v>Jun-2023</v>
      </c>
      <c r="P731" t="str">
        <f>"Q"&amp;ROUNDUP(MONTH(tblTransactions[[#This Row],[Date]])/3,0)&amp;"-"&amp;YEAR(tblTransactions[[#This Row],[Date]])</f>
        <v>Q2-2023</v>
      </c>
      <c r="Q731">
        <f>YEAR(tblTransactions[[#This Row],[Date]])</f>
        <v>2023</v>
      </c>
      <c r="R731" t="str">
        <f>TEXT(tblTransactions[[#This Row],[Date]],"DDDD")</f>
        <v>Friday</v>
      </c>
      <c r="S731">
        <f>MONTH(tblTransactions[[#This Row],[Date]])</f>
        <v>6</v>
      </c>
      <c r="T731" t="str">
        <f>VLOOKUP(E731, Products!$A:$B,2,0)</f>
        <v>Laptops Ele-4</v>
      </c>
      <c r="U731" t="str">
        <f>VLOOKUP(E731,Products!$A:$C,3,0)</f>
        <v>Electronics</v>
      </c>
      <c r="V731" t="str">
        <f>VLOOKUP(E731,Products!$A:$D,4,0)</f>
        <v>Laptops</v>
      </c>
      <c r="W731" t="str">
        <f>VLOOKUP(D731,Customers!$A:$C,3,0)</f>
        <v>B2C</v>
      </c>
      <c r="X731" t="str">
        <f>VLOOKUP(C731,Sales_Representatives!$A:$B,2,0)</f>
        <v>Richard Garcia</v>
      </c>
    </row>
    <row r="732" spans="1:24" x14ac:dyDescent="0.3">
      <c r="A732" t="s">
        <v>1045</v>
      </c>
      <c r="B732" t="s">
        <v>1040</v>
      </c>
      <c r="C732" t="s">
        <v>41</v>
      </c>
      <c r="D732" t="s">
        <v>139</v>
      </c>
      <c r="E732" t="s">
        <v>587</v>
      </c>
      <c r="F732">
        <v>2</v>
      </c>
      <c r="G732">
        <v>58.54</v>
      </c>
      <c r="H732">
        <v>0.06</v>
      </c>
      <c r="I732" s="4">
        <v>110.06</v>
      </c>
      <c r="J732" t="s">
        <v>44</v>
      </c>
      <c r="K732" t="s">
        <v>39</v>
      </c>
      <c r="L732" s="4">
        <f>VLOOKUP(tblTransactions[[#This Row],[Product_ID]],tblProducts[],5,FALSE)</f>
        <v>25.43</v>
      </c>
      <c r="M732" s="4">
        <f>tblTransactions[[#This Row],[Total_Amount]]-(tblTransactions[[#This Row],[Cost_Prices]]*tblTransactions[[#This Row],[Quantity]]*(1-tblTransactions[[#This Row],[Discount]]))</f>
        <v>62.251600000000003</v>
      </c>
      <c r="N732" s="3">
        <f>tblTransactions[[#This Row],[Profit]]/tblTransactions[[#This Row],[Total_Amount]]</f>
        <v>0.56561511902598582</v>
      </c>
      <c r="O732" t="str">
        <f>TEXT(tblTransactions[[#This Row],[Date]], "MMM-YYYY")</f>
        <v>Jun-2023</v>
      </c>
      <c r="P732" t="str">
        <f>"Q"&amp;ROUNDUP(MONTH(tblTransactions[[#This Row],[Date]])/3,0)&amp;"-"&amp;YEAR(tblTransactions[[#This Row],[Date]])</f>
        <v>Q2-2023</v>
      </c>
      <c r="Q732">
        <f>YEAR(tblTransactions[[#This Row],[Date]])</f>
        <v>2023</v>
      </c>
      <c r="R732" t="str">
        <f>TEXT(tblTransactions[[#This Row],[Date]],"DDDD")</f>
        <v>Friday</v>
      </c>
      <c r="S732">
        <f>MONTH(tblTransactions[[#This Row],[Date]])</f>
        <v>6</v>
      </c>
      <c r="T732" t="str">
        <f>VLOOKUP(E732, Products!$A:$B,2,0)</f>
        <v>Paper Off-2</v>
      </c>
      <c r="U732" t="str">
        <f>VLOOKUP(E732,Products!$A:$C,3,0)</f>
        <v>Office Supplies</v>
      </c>
      <c r="V732" t="str">
        <f>VLOOKUP(E732,Products!$A:$D,4,0)</f>
        <v>Paper</v>
      </c>
      <c r="W732" t="str">
        <f>VLOOKUP(D732,Customers!$A:$C,3,0)</f>
        <v>B2C</v>
      </c>
      <c r="X732" t="str">
        <f>VLOOKUP(C732,Sales_Representatives!$A:$B,2,0)</f>
        <v>Robert Jones</v>
      </c>
    </row>
    <row r="733" spans="1:24" x14ac:dyDescent="0.3">
      <c r="A733" t="s">
        <v>1046</v>
      </c>
      <c r="B733" t="s">
        <v>1047</v>
      </c>
      <c r="C733" t="s">
        <v>127</v>
      </c>
      <c r="D733" t="s">
        <v>50</v>
      </c>
      <c r="E733" t="s">
        <v>435</v>
      </c>
      <c r="F733">
        <v>4</v>
      </c>
      <c r="G733">
        <v>198.72</v>
      </c>
      <c r="H733">
        <v>0.06</v>
      </c>
      <c r="I733" s="4">
        <v>747.19</v>
      </c>
      <c r="J733" t="s">
        <v>109</v>
      </c>
      <c r="K733" t="s">
        <v>22</v>
      </c>
      <c r="L733" s="4">
        <f>VLOOKUP(tblTransactions[[#This Row],[Product_ID]],tblProducts[],5,FALSE)</f>
        <v>116.98</v>
      </c>
      <c r="M733" s="4">
        <f>tblTransactions[[#This Row],[Total_Amount]]-(tblTransactions[[#This Row],[Cost_Prices]]*tblTransactions[[#This Row],[Quantity]]*(1-tblTransactions[[#This Row],[Discount]]))</f>
        <v>307.34520000000009</v>
      </c>
      <c r="N733" s="3">
        <f>tblTransactions[[#This Row],[Profit]]/tblTransactions[[#This Row],[Total_Amount]]</f>
        <v>0.41133473413723426</v>
      </c>
      <c r="O733" t="str">
        <f>TEXT(tblTransactions[[#This Row],[Date]], "MMM-YYYY")</f>
        <v>Jun-2023</v>
      </c>
      <c r="P733" t="str">
        <f>"Q"&amp;ROUNDUP(MONTH(tblTransactions[[#This Row],[Date]])/3,0)&amp;"-"&amp;YEAR(tblTransactions[[#This Row],[Date]])</f>
        <v>Q2-2023</v>
      </c>
      <c r="Q733">
        <f>YEAR(tblTransactions[[#This Row],[Date]])</f>
        <v>2023</v>
      </c>
      <c r="R733" t="str">
        <f>TEXT(tblTransactions[[#This Row],[Date]],"DDDD")</f>
        <v>Saturday</v>
      </c>
      <c r="S733">
        <f>MONTH(tblTransactions[[#This Row],[Date]])</f>
        <v>6</v>
      </c>
      <c r="T733" t="str">
        <f>VLOOKUP(E733, Products!$A:$B,2,0)</f>
        <v>Paper Off-4</v>
      </c>
      <c r="U733" t="str">
        <f>VLOOKUP(E733,Products!$A:$C,3,0)</f>
        <v>Office Supplies</v>
      </c>
      <c r="V733" t="str">
        <f>VLOOKUP(E733,Products!$A:$D,4,0)</f>
        <v>Paper</v>
      </c>
      <c r="W733" t="str">
        <f>VLOOKUP(D733,Customers!$A:$C,3,0)</f>
        <v>Small Business</v>
      </c>
      <c r="X733" t="str">
        <f>VLOOKUP(C733,Sales_Representatives!$A:$B,2,0)</f>
        <v>Emily Hernandez</v>
      </c>
    </row>
    <row r="734" spans="1:24" x14ac:dyDescent="0.3">
      <c r="A734" t="s">
        <v>1048</v>
      </c>
      <c r="B734" t="s">
        <v>1047</v>
      </c>
      <c r="C734" t="s">
        <v>75</v>
      </c>
      <c r="D734" t="s">
        <v>64</v>
      </c>
      <c r="E734" t="s">
        <v>435</v>
      </c>
      <c r="F734">
        <v>4</v>
      </c>
      <c r="G734">
        <v>198.72</v>
      </c>
      <c r="H734">
        <v>0.04</v>
      </c>
      <c r="I734" s="4">
        <v>763.08</v>
      </c>
      <c r="J734" t="s">
        <v>44</v>
      </c>
      <c r="K734" t="s">
        <v>39</v>
      </c>
      <c r="L734" s="4">
        <f>VLOOKUP(tblTransactions[[#This Row],[Product_ID]],tblProducts[],5,FALSE)</f>
        <v>116.98</v>
      </c>
      <c r="M734" s="4">
        <f>tblTransactions[[#This Row],[Total_Amount]]-(tblTransactions[[#This Row],[Cost_Prices]]*tblTransactions[[#This Row],[Quantity]]*(1-tblTransactions[[#This Row],[Discount]]))</f>
        <v>313.87680000000006</v>
      </c>
      <c r="N734" s="3">
        <f>tblTransactions[[#This Row],[Profit]]/tblTransactions[[#This Row],[Total_Amount]]</f>
        <v>0.41132882528699488</v>
      </c>
      <c r="O734" t="str">
        <f>TEXT(tblTransactions[[#This Row],[Date]], "MMM-YYYY")</f>
        <v>Jun-2023</v>
      </c>
      <c r="P734" t="str">
        <f>"Q"&amp;ROUNDUP(MONTH(tblTransactions[[#This Row],[Date]])/3,0)&amp;"-"&amp;YEAR(tblTransactions[[#This Row],[Date]])</f>
        <v>Q2-2023</v>
      </c>
      <c r="Q734">
        <f>YEAR(tblTransactions[[#This Row],[Date]])</f>
        <v>2023</v>
      </c>
      <c r="R734" t="str">
        <f>TEXT(tblTransactions[[#This Row],[Date]],"DDDD")</f>
        <v>Saturday</v>
      </c>
      <c r="S734">
        <f>MONTH(tblTransactions[[#This Row],[Date]])</f>
        <v>6</v>
      </c>
      <c r="T734" t="str">
        <f>VLOOKUP(E734, Products!$A:$B,2,0)</f>
        <v>Paper Off-4</v>
      </c>
      <c r="U734" t="str">
        <f>VLOOKUP(E734,Products!$A:$C,3,0)</f>
        <v>Office Supplies</v>
      </c>
      <c r="V734" t="str">
        <f>VLOOKUP(E734,Products!$A:$D,4,0)</f>
        <v>Paper</v>
      </c>
      <c r="W734" t="str">
        <f>VLOOKUP(D734,Customers!$A:$C,3,0)</f>
        <v>Small Business</v>
      </c>
      <c r="X734" t="str">
        <f>VLOOKUP(C734,Sales_Representatives!$A:$B,2,0)</f>
        <v>Jessica Anderson</v>
      </c>
    </row>
    <row r="735" spans="1:24" x14ac:dyDescent="0.3">
      <c r="A735" t="s">
        <v>1049</v>
      </c>
      <c r="B735" t="s">
        <v>1047</v>
      </c>
      <c r="C735" t="s">
        <v>63</v>
      </c>
      <c r="D735" t="s">
        <v>76</v>
      </c>
      <c r="E735" t="s">
        <v>148</v>
      </c>
      <c r="F735">
        <v>5</v>
      </c>
      <c r="G735">
        <v>20.420000000000002</v>
      </c>
      <c r="H735">
        <v>0.02</v>
      </c>
      <c r="I735" s="4">
        <v>100.06</v>
      </c>
      <c r="J735" t="s">
        <v>21</v>
      </c>
      <c r="K735" t="s">
        <v>17</v>
      </c>
      <c r="L735" s="4">
        <f>VLOOKUP(tblTransactions[[#This Row],[Product_ID]],tblProducts[],5,FALSE)</f>
        <v>9.56</v>
      </c>
      <c r="M735" s="4">
        <f>tblTransactions[[#This Row],[Total_Amount]]-(tblTransactions[[#This Row],[Cost_Prices]]*tblTransactions[[#This Row],[Quantity]]*(1-tblTransactions[[#This Row],[Discount]]))</f>
        <v>53.216000000000001</v>
      </c>
      <c r="N735" s="3">
        <f>tblTransactions[[#This Row],[Profit]]/tblTransactions[[#This Row],[Total_Amount]]</f>
        <v>0.5318408954627224</v>
      </c>
      <c r="O735" t="str">
        <f>TEXT(tblTransactions[[#This Row],[Date]], "MMM-YYYY")</f>
        <v>Jun-2023</v>
      </c>
      <c r="P735" t="str">
        <f>"Q"&amp;ROUNDUP(MONTH(tblTransactions[[#This Row],[Date]])/3,0)&amp;"-"&amp;YEAR(tblTransactions[[#This Row],[Date]])</f>
        <v>Q2-2023</v>
      </c>
      <c r="Q735">
        <f>YEAR(tblTransactions[[#This Row],[Date]])</f>
        <v>2023</v>
      </c>
      <c r="R735" t="str">
        <f>TEXT(tblTransactions[[#This Row],[Date]],"DDDD")</f>
        <v>Saturday</v>
      </c>
      <c r="S735">
        <f>MONTH(tblTransactions[[#This Row],[Date]])</f>
        <v>6</v>
      </c>
      <c r="T735" t="str">
        <f>VLOOKUP(E735, Products!$A:$B,2,0)</f>
        <v>Cases Acc-3</v>
      </c>
      <c r="U735" t="str">
        <f>VLOOKUP(E735,Products!$A:$C,3,0)</f>
        <v>Accessories</v>
      </c>
      <c r="V735" t="str">
        <f>VLOOKUP(E735,Products!$A:$D,4,0)</f>
        <v>Cases</v>
      </c>
      <c r="W735" t="str">
        <f>VLOOKUP(D735,Customers!$A:$C,3,0)</f>
        <v>Small Business</v>
      </c>
      <c r="X735" t="str">
        <f>VLOOKUP(C735,Sales_Representatives!$A:$B,2,0)</f>
        <v>Richard Wilson</v>
      </c>
    </row>
    <row r="736" spans="1:24" x14ac:dyDescent="0.3">
      <c r="A736" t="s">
        <v>1050</v>
      </c>
      <c r="B736" t="s">
        <v>1047</v>
      </c>
      <c r="C736" t="s">
        <v>75</v>
      </c>
      <c r="D736" t="s">
        <v>101</v>
      </c>
      <c r="E736" t="s">
        <v>204</v>
      </c>
      <c r="F736">
        <v>7</v>
      </c>
      <c r="G736">
        <v>715.62</v>
      </c>
      <c r="H736">
        <v>0.09</v>
      </c>
      <c r="I736" s="4">
        <v>4558.5</v>
      </c>
      <c r="J736" t="s">
        <v>44</v>
      </c>
      <c r="K736" t="s">
        <v>35</v>
      </c>
      <c r="L736" s="4">
        <f>VLOOKUP(tblTransactions[[#This Row],[Product_ID]],tblProducts[],5,FALSE)</f>
        <v>459.58</v>
      </c>
      <c r="M736" s="4">
        <f>tblTransactions[[#This Row],[Total_Amount]]-(tblTransactions[[#This Row],[Cost_Prices]]*tblTransactions[[#This Row],[Quantity]]*(1-tblTransactions[[#This Row],[Discount]]))</f>
        <v>1630.9753999999998</v>
      </c>
      <c r="N736" s="3">
        <f>tblTransactions[[#This Row],[Profit]]/tblTransactions[[#This Row],[Total_Amount]]</f>
        <v>0.35778773719425244</v>
      </c>
      <c r="O736" t="str">
        <f>TEXT(tblTransactions[[#This Row],[Date]], "MMM-YYYY")</f>
        <v>Jun-2023</v>
      </c>
      <c r="P736" t="str">
        <f>"Q"&amp;ROUNDUP(MONTH(tblTransactions[[#This Row],[Date]])/3,0)&amp;"-"&amp;YEAR(tblTransactions[[#This Row],[Date]])</f>
        <v>Q2-2023</v>
      </c>
      <c r="Q736">
        <f>YEAR(tblTransactions[[#This Row],[Date]])</f>
        <v>2023</v>
      </c>
      <c r="R736" t="str">
        <f>TEXT(tblTransactions[[#This Row],[Date]],"DDDD")</f>
        <v>Saturday</v>
      </c>
      <c r="S736">
        <f>MONTH(tblTransactions[[#This Row],[Date]])</f>
        <v>6</v>
      </c>
      <c r="T736" t="str">
        <f>VLOOKUP(E736, Products!$A:$B,2,0)</f>
        <v>Cameras Ele-2</v>
      </c>
      <c r="U736" t="str">
        <f>VLOOKUP(E736,Products!$A:$C,3,0)</f>
        <v>Electronics</v>
      </c>
      <c r="V736" t="str">
        <f>VLOOKUP(E736,Products!$A:$D,4,0)</f>
        <v>Cameras</v>
      </c>
      <c r="W736" t="str">
        <f>VLOOKUP(D736,Customers!$A:$C,3,0)</f>
        <v>B2C</v>
      </c>
      <c r="X736" t="str">
        <f>VLOOKUP(C736,Sales_Representatives!$A:$B,2,0)</f>
        <v>Jessica Anderson</v>
      </c>
    </row>
    <row r="737" spans="1:24" x14ac:dyDescent="0.3">
      <c r="A737" t="s">
        <v>1051</v>
      </c>
      <c r="B737" t="s">
        <v>1047</v>
      </c>
      <c r="C737" t="s">
        <v>82</v>
      </c>
      <c r="D737" t="s">
        <v>327</v>
      </c>
      <c r="E737" t="s">
        <v>248</v>
      </c>
      <c r="F737">
        <v>6</v>
      </c>
      <c r="G737">
        <v>82.29</v>
      </c>
      <c r="H737">
        <v>0.06</v>
      </c>
      <c r="I737" s="4">
        <v>464.12</v>
      </c>
      <c r="J737" t="s">
        <v>34</v>
      </c>
      <c r="K737" t="s">
        <v>17</v>
      </c>
      <c r="L737" s="4">
        <f>VLOOKUP(tblTransactions[[#This Row],[Product_ID]],tblProducts[],5,FALSE)</f>
        <v>51.11</v>
      </c>
      <c r="M737" s="4">
        <f>tblTransactions[[#This Row],[Total_Amount]]-(tblTransactions[[#This Row],[Cost_Prices]]*tblTransactions[[#This Row],[Quantity]]*(1-tblTransactions[[#This Row],[Discount]]))</f>
        <v>175.85960000000006</v>
      </c>
      <c r="N737" s="3">
        <f>tblTransactions[[#This Row],[Profit]]/tblTransactions[[#This Row],[Total_Amount]]</f>
        <v>0.37890976471602184</v>
      </c>
      <c r="O737" t="str">
        <f>TEXT(tblTransactions[[#This Row],[Date]], "MMM-YYYY")</f>
        <v>Jun-2023</v>
      </c>
      <c r="P737" t="str">
        <f>"Q"&amp;ROUNDUP(MONTH(tblTransactions[[#This Row],[Date]])/3,0)&amp;"-"&amp;YEAR(tblTransactions[[#This Row],[Date]])</f>
        <v>Q2-2023</v>
      </c>
      <c r="Q737">
        <f>YEAR(tblTransactions[[#This Row],[Date]])</f>
        <v>2023</v>
      </c>
      <c r="R737" t="str">
        <f>TEXT(tblTransactions[[#This Row],[Date]],"DDDD")</f>
        <v>Saturday</v>
      </c>
      <c r="S737">
        <f>MONTH(tblTransactions[[#This Row],[Date]])</f>
        <v>6</v>
      </c>
      <c r="T737" t="str">
        <f>VLOOKUP(E737, Products!$A:$B,2,0)</f>
        <v>Keyboards Acc-2</v>
      </c>
      <c r="U737" t="str">
        <f>VLOOKUP(E737,Products!$A:$C,3,0)</f>
        <v>Accessories</v>
      </c>
      <c r="V737" t="str">
        <f>VLOOKUP(E737,Products!$A:$D,4,0)</f>
        <v>Keyboards</v>
      </c>
      <c r="W737" t="str">
        <f>VLOOKUP(D737,Customers!$A:$C,3,0)</f>
        <v>B2C</v>
      </c>
      <c r="X737" t="str">
        <f>VLOOKUP(C737,Sales_Representatives!$A:$B,2,0)</f>
        <v>John Brown</v>
      </c>
    </row>
    <row r="738" spans="1:24" x14ac:dyDescent="0.3">
      <c r="A738" t="s">
        <v>1052</v>
      </c>
      <c r="B738" t="s">
        <v>1047</v>
      </c>
      <c r="C738" t="s">
        <v>56</v>
      </c>
      <c r="D738" t="s">
        <v>154</v>
      </c>
      <c r="E738" t="s">
        <v>105</v>
      </c>
      <c r="F738">
        <v>8</v>
      </c>
      <c r="G738">
        <v>1342.04</v>
      </c>
      <c r="H738">
        <v>0.11</v>
      </c>
      <c r="I738" s="4">
        <v>9555.32</v>
      </c>
      <c r="J738" t="s">
        <v>34</v>
      </c>
      <c r="K738" t="s">
        <v>17</v>
      </c>
      <c r="L738" s="4">
        <f>VLOOKUP(tblTransactions[[#This Row],[Product_ID]],tblProducts[],5,FALSE)</f>
        <v>792.89</v>
      </c>
      <c r="M738" s="4">
        <f>tblTransactions[[#This Row],[Total_Amount]]-(tblTransactions[[#This Row],[Cost_Prices]]*tblTransactions[[#This Row],[Quantity]]*(1-tblTransactions[[#This Row],[Discount]]))</f>
        <v>3909.9431999999997</v>
      </c>
      <c r="N738" s="3">
        <f>tblTransactions[[#This Row],[Profit]]/tblTransactions[[#This Row],[Total_Amount]]</f>
        <v>0.40919018933955115</v>
      </c>
      <c r="O738" t="str">
        <f>TEXT(tblTransactions[[#This Row],[Date]], "MMM-YYYY")</f>
        <v>Jun-2023</v>
      </c>
      <c r="P738" t="str">
        <f>"Q"&amp;ROUNDUP(MONTH(tblTransactions[[#This Row],[Date]])/3,0)&amp;"-"&amp;YEAR(tblTransactions[[#This Row],[Date]])</f>
        <v>Q2-2023</v>
      </c>
      <c r="Q738">
        <f>YEAR(tblTransactions[[#This Row],[Date]])</f>
        <v>2023</v>
      </c>
      <c r="R738" t="str">
        <f>TEXT(tblTransactions[[#This Row],[Date]],"DDDD")</f>
        <v>Saturday</v>
      </c>
      <c r="S738">
        <f>MONTH(tblTransactions[[#This Row],[Date]])</f>
        <v>6</v>
      </c>
      <c r="T738" t="str">
        <f>VLOOKUP(E738, Products!$A:$B,2,0)</f>
        <v>Cameras Ele-1</v>
      </c>
      <c r="U738" t="str">
        <f>VLOOKUP(E738,Products!$A:$C,3,0)</f>
        <v>Electronics</v>
      </c>
      <c r="V738" t="str">
        <f>VLOOKUP(E738,Products!$A:$D,4,0)</f>
        <v>Cameras</v>
      </c>
      <c r="W738" t="str">
        <f>VLOOKUP(D738,Customers!$A:$C,3,0)</f>
        <v>B2B</v>
      </c>
      <c r="X738" t="str">
        <f>VLOOKUP(C738,Sales_Representatives!$A:$B,2,0)</f>
        <v>Thomas Hernandez</v>
      </c>
    </row>
    <row r="739" spans="1:24" x14ac:dyDescent="0.3">
      <c r="A739" t="s">
        <v>1053</v>
      </c>
      <c r="B739" t="s">
        <v>1047</v>
      </c>
      <c r="C739" t="s">
        <v>63</v>
      </c>
      <c r="D739" t="s">
        <v>24</v>
      </c>
      <c r="E739" t="s">
        <v>20</v>
      </c>
      <c r="F739">
        <v>4</v>
      </c>
      <c r="G739">
        <v>1219.49</v>
      </c>
      <c r="H739">
        <v>0.05</v>
      </c>
      <c r="I739" s="4">
        <v>4634.0600000000004</v>
      </c>
      <c r="J739" t="s">
        <v>21</v>
      </c>
      <c r="K739" t="s">
        <v>17</v>
      </c>
      <c r="L739" s="4">
        <f>VLOOKUP(tblTransactions[[#This Row],[Product_ID]],tblProducts[],5,FALSE)</f>
        <v>686.9</v>
      </c>
      <c r="M739" s="4">
        <f>tblTransactions[[#This Row],[Total_Amount]]-(tblTransactions[[#This Row],[Cost_Prices]]*tblTransactions[[#This Row],[Quantity]]*(1-tblTransactions[[#This Row],[Discount]]))</f>
        <v>2023.8400000000006</v>
      </c>
      <c r="N739" s="3">
        <f>tblTransactions[[#This Row],[Profit]]/tblTransactions[[#This Row],[Total_Amount]]</f>
        <v>0.43673150541857475</v>
      </c>
      <c r="O739" t="str">
        <f>TEXT(tblTransactions[[#This Row],[Date]], "MMM-YYYY")</f>
        <v>Jun-2023</v>
      </c>
      <c r="P739" t="str">
        <f>"Q"&amp;ROUNDUP(MONTH(tblTransactions[[#This Row],[Date]])/3,0)&amp;"-"&amp;YEAR(tblTransactions[[#This Row],[Date]])</f>
        <v>Q2-2023</v>
      </c>
      <c r="Q739">
        <f>YEAR(tblTransactions[[#This Row],[Date]])</f>
        <v>2023</v>
      </c>
      <c r="R739" t="str">
        <f>TEXT(tblTransactions[[#This Row],[Date]],"DDDD")</f>
        <v>Saturday</v>
      </c>
      <c r="S739">
        <f>MONTH(tblTransactions[[#This Row],[Date]])</f>
        <v>6</v>
      </c>
      <c r="T739" t="str">
        <f>VLOOKUP(E739, Products!$A:$B,2,0)</f>
        <v>Laptops Ele-1</v>
      </c>
      <c r="U739" t="str">
        <f>VLOOKUP(E739,Products!$A:$C,3,0)</f>
        <v>Electronics</v>
      </c>
      <c r="V739" t="str">
        <f>VLOOKUP(E739,Products!$A:$D,4,0)</f>
        <v>Laptops</v>
      </c>
      <c r="W739" t="str">
        <f>VLOOKUP(D739,Customers!$A:$C,3,0)</f>
        <v>B2B</v>
      </c>
      <c r="X739" t="str">
        <f>VLOOKUP(C739,Sales_Representatives!$A:$B,2,0)</f>
        <v>Richard Wilson</v>
      </c>
    </row>
    <row r="740" spans="1:24" x14ac:dyDescent="0.3">
      <c r="A740" t="s">
        <v>1054</v>
      </c>
      <c r="B740" t="s">
        <v>1047</v>
      </c>
      <c r="C740" t="s">
        <v>31</v>
      </c>
      <c r="D740" t="s">
        <v>101</v>
      </c>
      <c r="E740" t="s">
        <v>283</v>
      </c>
      <c r="F740">
        <v>7</v>
      </c>
      <c r="G740">
        <v>456.88</v>
      </c>
      <c r="H740">
        <v>0.15</v>
      </c>
      <c r="I740" s="4">
        <v>2718.44</v>
      </c>
      <c r="J740" t="s">
        <v>34</v>
      </c>
      <c r="K740" t="s">
        <v>22</v>
      </c>
      <c r="L740" s="4">
        <f>VLOOKUP(tblTransactions[[#This Row],[Product_ID]],tblProducts[],5,FALSE)</f>
        <v>313.23</v>
      </c>
      <c r="M740" s="4">
        <f>tblTransactions[[#This Row],[Total_Amount]]-(tblTransactions[[#This Row],[Cost_Prices]]*tblTransactions[[#This Row],[Quantity]]*(1-tblTransactions[[#This Row],[Discount]]))</f>
        <v>854.72150000000011</v>
      </c>
      <c r="N740" s="3">
        <f>tblTransactions[[#This Row],[Profit]]/tblTransactions[[#This Row],[Total_Amount]]</f>
        <v>0.31441617251070469</v>
      </c>
      <c r="O740" t="str">
        <f>TEXT(tblTransactions[[#This Row],[Date]], "MMM-YYYY")</f>
        <v>Jun-2023</v>
      </c>
      <c r="P740" t="str">
        <f>"Q"&amp;ROUNDUP(MONTH(tblTransactions[[#This Row],[Date]])/3,0)&amp;"-"&amp;YEAR(tblTransactions[[#This Row],[Date]])</f>
        <v>Q2-2023</v>
      </c>
      <c r="Q740">
        <f>YEAR(tblTransactions[[#This Row],[Date]])</f>
        <v>2023</v>
      </c>
      <c r="R740" t="str">
        <f>TEXT(tblTransactions[[#This Row],[Date]],"DDDD")</f>
        <v>Saturday</v>
      </c>
      <c r="S740">
        <f>MONTH(tblTransactions[[#This Row],[Date]])</f>
        <v>6</v>
      </c>
      <c r="T740" t="str">
        <f>VLOOKUP(E740, Products!$A:$B,2,0)</f>
        <v>Chairs Fur-3</v>
      </c>
      <c r="U740" t="str">
        <f>VLOOKUP(E740,Products!$A:$C,3,0)</f>
        <v>Furniture</v>
      </c>
      <c r="V740" t="str">
        <f>VLOOKUP(E740,Products!$A:$D,4,0)</f>
        <v>Chairs</v>
      </c>
      <c r="W740" t="str">
        <f>VLOOKUP(D740,Customers!$A:$C,3,0)</f>
        <v>B2C</v>
      </c>
      <c r="X740" t="str">
        <f>VLOOKUP(C740,Sales_Representatives!$A:$B,2,0)</f>
        <v>Thomas Martinez</v>
      </c>
    </row>
    <row r="741" spans="1:24" x14ac:dyDescent="0.3">
      <c r="A741" t="s">
        <v>1055</v>
      </c>
      <c r="B741" t="s">
        <v>1047</v>
      </c>
      <c r="C741" t="s">
        <v>127</v>
      </c>
      <c r="D741" t="s">
        <v>98</v>
      </c>
      <c r="E741" t="s">
        <v>99</v>
      </c>
      <c r="F741">
        <v>4</v>
      </c>
      <c r="G741">
        <v>325.14</v>
      </c>
      <c r="H741">
        <v>0.08</v>
      </c>
      <c r="I741" s="4">
        <v>1196.52</v>
      </c>
      <c r="J741" t="s">
        <v>109</v>
      </c>
      <c r="K741" t="s">
        <v>22</v>
      </c>
      <c r="L741" s="4">
        <f>VLOOKUP(tblTransactions[[#This Row],[Product_ID]],tblProducts[],5,FALSE)</f>
        <v>209.04</v>
      </c>
      <c r="M741" s="4">
        <f>tblTransactions[[#This Row],[Total_Amount]]-(tblTransactions[[#This Row],[Cost_Prices]]*tblTransactions[[#This Row],[Quantity]]*(1-tblTransactions[[#This Row],[Discount]]))</f>
        <v>427.25279999999998</v>
      </c>
      <c r="N741" s="3">
        <f>tblTransactions[[#This Row],[Profit]]/tblTransactions[[#This Row],[Total_Amount]]</f>
        <v>0.35707953063885267</v>
      </c>
      <c r="O741" t="str">
        <f>TEXT(tblTransactions[[#This Row],[Date]], "MMM-YYYY")</f>
        <v>Jun-2023</v>
      </c>
      <c r="P741" t="str">
        <f>"Q"&amp;ROUNDUP(MONTH(tblTransactions[[#This Row],[Date]])/3,0)&amp;"-"&amp;YEAR(tblTransactions[[#This Row],[Date]])</f>
        <v>Q2-2023</v>
      </c>
      <c r="Q741">
        <f>YEAR(tblTransactions[[#This Row],[Date]])</f>
        <v>2023</v>
      </c>
      <c r="R741" t="str">
        <f>TEXT(tblTransactions[[#This Row],[Date]],"DDDD")</f>
        <v>Saturday</v>
      </c>
      <c r="S741">
        <f>MONTH(tblTransactions[[#This Row],[Date]])</f>
        <v>6</v>
      </c>
      <c r="T741" t="str">
        <f>VLOOKUP(E741, Products!$A:$B,2,0)</f>
        <v>Monitors Tec-1</v>
      </c>
      <c r="U741" t="str">
        <f>VLOOKUP(E741,Products!$A:$C,3,0)</f>
        <v>Technology</v>
      </c>
      <c r="V741" t="str">
        <f>VLOOKUP(E741,Products!$A:$D,4,0)</f>
        <v>Monitors</v>
      </c>
      <c r="W741" t="str">
        <f>VLOOKUP(D741,Customers!$A:$C,3,0)</f>
        <v>B2C</v>
      </c>
      <c r="X741" t="str">
        <f>VLOOKUP(C741,Sales_Representatives!$A:$B,2,0)</f>
        <v>Emily Hernandez</v>
      </c>
    </row>
    <row r="742" spans="1:24" x14ac:dyDescent="0.3">
      <c r="A742" t="s">
        <v>1056</v>
      </c>
      <c r="B742" t="s">
        <v>1057</v>
      </c>
      <c r="C742" t="s">
        <v>59</v>
      </c>
      <c r="D742" t="s">
        <v>67</v>
      </c>
      <c r="E742" t="s">
        <v>221</v>
      </c>
      <c r="F742">
        <v>3</v>
      </c>
      <c r="G742">
        <v>210.02</v>
      </c>
      <c r="H742">
        <v>0.05</v>
      </c>
      <c r="I742" s="4">
        <v>598.55999999999995</v>
      </c>
      <c r="J742" t="s">
        <v>21</v>
      </c>
      <c r="K742" t="s">
        <v>39</v>
      </c>
      <c r="L742" s="4">
        <f>VLOOKUP(tblTransactions[[#This Row],[Product_ID]],tblProducts[],5,FALSE)</f>
        <v>131.66</v>
      </c>
      <c r="M742" s="4">
        <f>tblTransactions[[#This Row],[Total_Amount]]-(tblTransactions[[#This Row],[Cost_Prices]]*tblTransactions[[#This Row],[Quantity]]*(1-tblTransactions[[#This Row],[Discount]]))</f>
        <v>223.32899999999995</v>
      </c>
      <c r="N742" s="3">
        <f>tblTransactions[[#This Row],[Profit]]/tblTransactions[[#This Row],[Total_Amount]]</f>
        <v>0.37311046511627904</v>
      </c>
      <c r="O742" t="str">
        <f>TEXT(tblTransactions[[#This Row],[Date]], "MMM-YYYY")</f>
        <v>Jun-2023</v>
      </c>
      <c r="P742" t="str">
        <f>"Q"&amp;ROUNDUP(MONTH(tblTransactions[[#This Row],[Date]])/3,0)&amp;"-"&amp;YEAR(tblTransactions[[#This Row],[Date]])</f>
        <v>Q2-2023</v>
      </c>
      <c r="Q742">
        <f>YEAR(tblTransactions[[#This Row],[Date]])</f>
        <v>2023</v>
      </c>
      <c r="R742" t="str">
        <f>TEXT(tblTransactions[[#This Row],[Date]],"DDDD")</f>
        <v>Sunday</v>
      </c>
      <c r="S742">
        <f>MONTH(tblTransactions[[#This Row],[Date]])</f>
        <v>6</v>
      </c>
      <c r="T742" t="str">
        <f>VLOOKUP(E742, Products!$A:$B,2,0)</f>
        <v>Storage Fur-2</v>
      </c>
      <c r="U742" t="str">
        <f>VLOOKUP(E742,Products!$A:$C,3,0)</f>
        <v>Furniture</v>
      </c>
      <c r="V742" t="str">
        <f>VLOOKUP(E742,Products!$A:$D,4,0)</f>
        <v>Storage</v>
      </c>
      <c r="W742" t="str">
        <f>VLOOKUP(D742,Customers!$A:$C,3,0)</f>
        <v>B2C</v>
      </c>
      <c r="X742" t="str">
        <f>VLOOKUP(C742,Sales_Representatives!$A:$B,2,0)</f>
        <v>Sarah Brown</v>
      </c>
    </row>
    <row r="743" spans="1:24" x14ac:dyDescent="0.3">
      <c r="A743" t="s">
        <v>1058</v>
      </c>
      <c r="B743" t="s">
        <v>1057</v>
      </c>
      <c r="C743" t="s">
        <v>13</v>
      </c>
      <c r="D743" t="s">
        <v>183</v>
      </c>
      <c r="E743" t="s">
        <v>345</v>
      </c>
      <c r="F743">
        <v>1</v>
      </c>
      <c r="G743">
        <v>13.97</v>
      </c>
      <c r="H743">
        <v>0.01</v>
      </c>
      <c r="I743" s="4">
        <v>13.83</v>
      </c>
      <c r="J743" t="s">
        <v>16</v>
      </c>
      <c r="K743" t="s">
        <v>48</v>
      </c>
      <c r="L743" s="4">
        <f>VLOOKUP(tblTransactions[[#This Row],[Product_ID]],tblProducts[],5,FALSE)</f>
        <v>8.69</v>
      </c>
      <c r="M743" s="4">
        <f>tblTransactions[[#This Row],[Total_Amount]]-(tblTransactions[[#This Row],[Cost_Prices]]*tblTransactions[[#This Row],[Quantity]]*(1-tblTransactions[[#This Row],[Discount]]))</f>
        <v>5.2269000000000005</v>
      </c>
      <c r="N743" s="3">
        <f>tblTransactions[[#This Row],[Profit]]/tblTransactions[[#This Row],[Total_Amount]]</f>
        <v>0.37793926247288506</v>
      </c>
      <c r="O743" t="str">
        <f>TEXT(tblTransactions[[#This Row],[Date]], "MMM-YYYY")</f>
        <v>Jun-2023</v>
      </c>
      <c r="P743" t="str">
        <f>"Q"&amp;ROUNDUP(MONTH(tblTransactions[[#This Row],[Date]])/3,0)&amp;"-"&amp;YEAR(tblTransactions[[#This Row],[Date]])</f>
        <v>Q2-2023</v>
      </c>
      <c r="Q743">
        <f>YEAR(tblTransactions[[#This Row],[Date]])</f>
        <v>2023</v>
      </c>
      <c r="R743" t="str">
        <f>TEXT(tblTransactions[[#This Row],[Date]],"DDDD")</f>
        <v>Sunday</v>
      </c>
      <c r="S743">
        <f>MONTH(tblTransactions[[#This Row],[Date]])</f>
        <v>6</v>
      </c>
      <c r="T743" t="str">
        <f>VLOOKUP(E743, Products!$A:$B,2,0)</f>
        <v>Cases Acc-2</v>
      </c>
      <c r="U743" t="str">
        <f>VLOOKUP(E743,Products!$A:$C,3,0)</f>
        <v>Accessories</v>
      </c>
      <c r="V743" t="str">
        <f>VLOOKUP(E743,Products!$A:$D,4,0)</f>
        <v>Cases</v>
      </c>
      <c r="W743" t="str">
        <f>VLOOKUP(D743,Customers!$A:$C,3,0)</f>
        <v>Small Business</v>
      </c>
      <c r="X743" t="str">
        <f>VLOOKUP(C743,Sales_Representatives!$A:$B,2,0)</f>
        <v>Jennifer Rodriguez</v>
      </c>
    </row>
    <row r="744" spans="1:24" x14ac:dyDescent="0.3">
      <c r="A744" t="s">
        <v>1059</v>
      </c>
      <c r="B744" t="s">
        <v>1057</v>
      </c>
      <c r="C744" t="s">
        <v>19</v>
      </c>
      <c r="D744" t="s">
        <v>52</v>
      </c>
      <c r="E744" t="s">
        <v>450</v>
      </c>
      <c r="F744">
        <v>4</v>
      </c>
      <c r="G744">
        <v>2083.92</v>
      </c>
      <c r="H744">
        <v>0.02</v>
      </c>
      <c r="I744" s="4">
        <v>8168.97</v>
      </c>
      <c r="J744" t="s">
        <v>21</v>
      </c>
      <c r="K744" t="s">
        <v>39</v>
      </c>
      <c r="L744" s="4">
        <f>VLOOKUP(tblTransactions[[#This Row],[Product_ID]],tblProducts[],5,FALSE)</f>
        <v>1425.78</v>
      </c>
      <c r="M744" s="4">
        <f>tblTransactions[[#This Row],[Total_Amount]]-(tblTransactions[[#This Row],[Cost_Prices]]*tblTransactions[[#This Row],[Quantity]]*(1-tblTransactions[[#This Row],[Discount]]))</f>
        <v>2579.9124000000002</v>
      </c>
      <c r="N744" s="3">
        <f>tblTransactions[[#This Row],[Profit]]/tblTransactions[[#This Row],[Total_Amount]]</f>
        <v>0.31581856708985345</v>
      </c>
      <c r="O744" t="str">
        <f>TEXT(tblTransactions[[#This Row],[Date]], "MMM-YYYY")</f>
        <v>Jun-2023</v>
      </c>
      <c r="P744" t="str">
        <f>"Q"&amp;ROUNDUP(MONTH(tblTransactions[[#This Row],[Date]])/3,0)&amp;"-"&amp;YEAR(tblTransactions[[#This Row],[Date]])</f>
        <v>Q2-2023</v>
      </c>
      <c r="Q744">
        <f>YEAR(tblTransactions[[#This Row],[Date]])</f>
        <v>2023</v>
      </c>
      <c r="R744" t="str">
        <f>TEXT(tblTransactions[[#This Row],[Date]],"DDDD")</f>
        <v>Sunday</v>
      </c>
      <c r="S744">
        <f>MONTH(tblTransactions[[#This Row],[Date]])</f>
        <v>6</v>
      </c>
      <c r="T744" t="str">
        <f>VLOOKUP(E744, Products!$A:$B,2,0)</f>
        <v>Monitors Tec-4</v>
      </c>
      <c r="U744" t="str">
        <f>VLOOKUP(E744,Products!$A:$C,3,0)</f>
        <v>Technology</v>
      </c>
      <c r="V744" t="str">
        <f>VLOOKUP(E744,Products!$A:$D,4,0)</f>
        <v>Monitors</v>
      </c>
      <c r="W744" t="str">
        <f>VLOOKUP(D744,Customers!$A:$C,3,0)</f>
        <v>B2C</v>
      </c>
      <c r="X744" t="str">
        <f>VLOOKUP(C744,Sales_Representatives!$A:$B,2,0)</f>
        <v>Robert Jones</v>
      </c>
    </row>
    <row r="745" spans="1:24" x14ac:dyDescent="0.3">
      <c r="A745" t="s">
        <v>1060</v>
      </c>
      <c r="B745" t="s">
        <v>1057</v>
      </c>
      <c r="C745" t="s">
        <v>41</v>
      </c>
      <c r="D745" t="s">
        <v>101</v>
      </c>
      <c r="E745" t="s">
        <v>91</v>
      </c>
      <c r="F745">
        <v>6</v>
      </c>
      <c r="G745">
        <v>286.62</v>
      </c>
      <c r="H745">
        <v>0.09</v>
      </c>
      <c r="I745" s="4">
        <v>1564.95</v>
      </c>
      <c r="J745" t="s">
        <v>44</v>
      </c>
      <c r="K745" t="s">
        <v>35</v>
      </c>
      <c r="L745" s="4">
        <f>VLOOKUP(tblTransactions[[#This Row],[Product_ID]],tblProducts[],5,FALSE)</f>
        <v>145.54</v>
      </c>
      <c r="M745" s="4">
        <f>tblTransactions[[#This Row],[Total_Amount]]-(tblTransactions[[#This Row],[Cost_Prices]]*tblTransactions[[#This Row],[Quantity]]*(1-tblTransactions[[#This Row],[Discount]]))</f>
        <v>770.30160000000001</v>
      </c>
      <c r="N745" s="3">
        <f>tblTransactions[[#This Row],[Profit]]/tblTransactions[[#This Row],[Total_Amount]]</f>
        <v>0.49222122112527555</v>
      </c>
      <c r="O745" t="str">
        <f>TEXT(tblTransactions[[#This Row],[Date]], "MMM-YYYY")</f>
        <v>Jun-2023</v>
      </c>
      <c r="P745" t="str">
        <f>"Q"&amp;ROUNDUP(MONTH(tblTransactions[[#This Row],[Date]])/3,0)&amp;"-"&amp;YEAR(tblTransactions[[#This Row],[Date]])</f>
        <v>Q2-2023</v>
      </c>
      <c r="Q745">
        <f>YEAR(tblTransactions[[#This Row],[Date]])</f>
        <v>2023</v>
      </c>
      <c r="R745" t="str">
        <f>TEXT(tblTransactions[[#This Row],[Date]],"DDDD")</f>
        <v>Sunday</v>
      </c>
      <c r="S745">
        <f>MONTH(tblTransactions[[#This Row],[Date]])</f>
        <v>6</v>
      </c>
      <c r="T745" t="str">
        <f>VLOOKUP(E745, Products!$A:$B,2,0)</f>
        <v>Chairs Fur-1</v>
      </c>
      <c r="U745" t="str">
        <f>VLOOKUP(E745,Products!$A:$C,3,0)</f>
        <v>Furniture</v>
      </c>
      <c r="V745" t="str">
        <f>VLOOKUP(E745,Products!$A:$D,4,0)</f>
        <v>Chairs</v>
      </c>
      <c r="W745" t="str">
        <f>VLOOKUP(D745,Customers!$A:$C,3,0)</f>
        <v>B2C</v>
      </c>
      <c r="X745" t="str">
        <f>VLOOKUP(C745,Sales_Representatives!$A:$B,2,0)</f>
        <v>Robert Jones</v>
      </c>
    </row>
    <row r="746" spans="1:24" x14ac:dyDescent="0.3">
      <c r="A746" t="s">
        <v>1061</v>
      </c>
      <c r="B746" t="s">
        <v>1057</v>
      </c>
      <c r="C746" t="s">
        <v>19</v>
      </c>
      <c r="D746" t="s">
        <v>98</v>
      </c>
      <c r="E746" t="s">
        <v>15</v>
      </c>
      <c r="F746">
        <v>3</v>
      </c>
      <c r="G746">
        <v>477.48</v>
      </c>
      <c r="H746">
        <v>0.04</v>
      </c>
      <c r="I746" s="4">
        <v>1375.14</v>
      </c>
      <c r="J746" t="s">
        <v>21</v>
      </c>
      <c r="K746" t="s">
        <v>17</v>
      </c>
      <c r="L746" s="4">
        <f>VLOOKUP(tblTransactions[[#This Row],[Product_ID]],tblProducts[],5,FALSE)</f>
        <v>275.51</v>
      </c>
      <c r="M746" s="4">
        <f>tblTransactions[[#This Row],[Total_Amount]]-(tblTransactions[[#This Row],[Cost_Prices]]*tblTransactions[[#This Row],[Quantity]]*(1-tblTransactions[[#This Row],[Discount]]))</f>
        <v>581.67120000000011</v>
      </c>
      <c r="N746" s="3">
        <f>tblTransactions[[#This Row],[Profit]]/tblTransactions[[#This Row],[Total_Amount]]</f>
        <v>0.42299053187311841</v>
      </c>
      <c r="O746" t="str">
        <f>TEXT(tblTransactions[[#This Row],[Date]], "MMM-YYYY")</f>
        <v>Jun-2023</v>
      </c>
      <c r="P746" t="str">
        <f>"Q"&amp;ROUNDUP(MONTH(tblTransactions[[#This Row],[Date]])/3,0)&amp;"-"&amp;YEAR(tblTransactions[[#This Row],[Date]])</f>
        <v>Q2-2023</v>
      </c>
      <c r="Q746">
        <f>YEAR(tblTransactions[[#This Row],[Date]])</f>
        <v>2023</v>
      </c>
      <c r="R746" t="str">
        <f>TEXT(tblTransactions[[#This Row],[Date]],"DDDD")</f>
        <v>Sunday</v>
      </c>
      <c r="S746">
        <f>MONTH(tblTransactions[[#This Row],[Date]])</f>
        <v>6</v>
      </c>
      <c r="T746" t="str">
        <f>VLOOKUP(E746, Products!$A:$B,2,0)</f>
        <v>Laptops Ele-4</v>
      </c>
      <c r="U746" t="str">
        <f>VLOOKUP(E746,Products!$A:$C,3,0)</f>
        <v>Electronics</v>
      </c>
      <c r="V746" t="str">
        <f>VLOOKUP(E746,Products!$A:$D,4,0)</f>
        <v>Laptops</v>
      </c>
      <c r="W746" t="str">
        <f>VLOOKUP(D746,Customers!$A:$C,3,0)</f>
        <v>B2C</v>
      </c>
      <c r="X746" t="str">
        <f>VLOOKUP(C746,Sales_Representatives!$A:$B,2,0)</f>
        <v>Robert Jones</v>
      </c>
    </row>
    <row r="747" spans="1:24" x14ac:dyDescent="0.3">
      <c r="A747" t="s">
        <v>1062</v>
      </c>
      <c r="B747" t="s">
        <v>1057</v>
      </c>
      <c r="C747" t="s">
        <v>19</v>
      </c>
      <c r="D747" t="s">
        <v>183</v>
      </c>
      <c r="E747" t="s">
        <v>116</v>
      </c>
      <c r="F747">
        <v>1</v>
      </c>
      <c r="G747">
        <v>232.86</v>
      </c>
      <c r="H747">
        <v>0.01</v>
      </c>
      <c r="I747" s="4">
        <v>230.53</v>
      </c>
      <c r="J747" t="s">
        <v>21</v>
      </c>
      <c r="K747" t="s">
        <v>35</v>
      </c>
      <c r="L747" s="4">
        <f>VLOOKUP(tblTransactions[[#This Row],[Product_ID]],tblProducts[],5,FALSE)</f>
        <v>116.79</v>
      </c>
      <c r="M747" s="4">
        <f>tblTransactions[[#This Row],[Total_Amount]]-(tblTransactions[[#This Row],[Cost_Prices]]*tblTransactions[[#This Row],[Quantity]]*(1-tblTransactions[[#This Row],[Discount]]))</f>
        <v>114.9079</v>
      </c>
      <c r="N747" s="3">
        <f>tblTransactions[[#This Row],[Profit]]/tblTransactions[[#This Row],[Total_Amount]]</f>
        <v>0.49845096082939311</v>
      </c>
      <c r="O747" t="str">
        <f>TEXT(tblTransactions[[#This Row],[Date]], "MMM-YYYY")</f>
        <v>Jun-2023</v>
      </c>
      <c r="P747" t="str">
        <f>"Q"&amp;ROUNDUP(MONTH(tblTransactions[[#This Row],[Date]])/3,0)&amp;"-"&amp;YEAR(tblTransactions[[#This Row],[Date]])</f>
        <v>Q2-2023</v>
      </c>
      <c r="Q747">
        <f>YEAR(tblTransactions[[#This Row],[Date]])</f>
        <v>2023</v>
      </c>
      <c r="R747" t="str">
        <f>TEXT(tblTransactions[[#This Row],[Date]],"DDDD")</f>
        <v>Sunday</v>
      </c>
      <c r="S747">
        <f>MONTH(tblTransactions[[#This Row],[Date]])</f>
        <v>6</v>
      </c>
      <c r="T747" t="str">
        <f>VLOOKUP(E747, Products!$A:$B,2,0)</f>
        <v>Folders Off-4</v>
      </c>
      <c r="U747" t="str">
        <f>VLOOKUP(E747,Products!$A:$C,3,0)</f>
        <v>Office Supplies</v>
      </c>
      <c r="V747" t="str">
        <f>VLOOKUP(E747,Products!$A:$D,4,0)</f>
        <v>Folders</v>
      </c>
      <c r="W747" t="str">
        <f>VLOOKUP(D747,Customers!$A:$C,3,0)</f>
        <v>Small Business</v>
      </c>
      <c r="X747" t="str">
        <f>VLOOKUP(C747,Sales_Representatives!$A:$B,2,0)</f>
        <v>Robert Jones</v>
      </c>
    </row>
    <row r="748" spans="1:24" x14ac:dyDescent="0.3">
      <c r="A748" t="s">
        <v>1063</v>
      </c>
      <c r="B748" t="s">
        <v>1057</v>
      </c>
      <c r="C748" t="s">
        <v>127</v>
      </c>
      <c r="D748" t="s">
        <v>144</v>
      </c>
      <c r="E748" t="s">
        <v>243</v>
      </c>
      <c r="F748">
        <v>2</v>
      </c>
      <c r="G748">
        <v>384.18</v>
      </c>
      <c r="H748">
        <v>7.0000000000000007E-2</v>
      </c>
      <c r="I748" s="4">
        <v>714.57</v>
      </c>
      <c r="J748" t="s">
        <v>109</v>
      </c>
      <c r="K748" t="s">
        <v>48</v>
      </c>
      <c r="L748" s="4">
        <f>VLOOKUP(tblTransactions[[#This Row],[Product_ID]],tblProducts[],5,FALSE)</f>
        <v>266.92</v>
      </c>
      <c r="M748" s="4">
        <f>tblTransactions[[#This Row],[Total_Amount]]-(tblTransactions[[#This Row],[Cost_Prices]]*tblTransactions[[#This Row],[Quantity]]*(1-tblTransactions[[#This Row],[Discount]]))</f>
        <v>218.09880000000004</v>
      </c>
      <c r="N748" s="3">
        <f>tblTransactions[[#This Row],[Profit]]/tblTransactions[[#This Row],[Total_Amount]]</f>
        <v>0.30521684369620894</v>
      </c>
      <c r="O748" t="str">
        <f>TEXT(tblTransactions[[#This Row],[Date]], "MMM-YYYY")</f>
        <v>Jun-2023</v>
      </c>
      <c r="P748" t="str">
        <f>"Q"&amp;ROUNDUP(MONTH(tblTransactions[[#This Row],[Date]])/3,0)&amp;"-"&amp;YEAR(tblTransactions[[#This Row],[Date]])</f>
        <v>Q2-2023</v>
      </c>
      <c r="Q748">
        <f>YEAR(tblTransactions[[#This Row],[Date]])</f>
        <v>2023</v>
      </c>
      <c r="R748" t="str">
        <f>TEXT(tblTransactions[[#This Row],[Date]],"DDDD")</f>
        <v>Sunday</v>
      </c>
      <c r="S748">
        <f>MONTH(tblTransactions[[#This Row],[Date]])</f>
        <v>6</v>
      </c>
      <c r="T748" t="str">
        <f>VLOOKUP(E748, Products!$A:$B,2,0)</f>
        <v>Routers Tec-3</v>
      </c>
      <c r="U748" t="str">
        <f>VLOOKUP(E748,Products!$A:$C,3,0)</f>
        <v>Technology</v>
      </c>
      <c r="V748" t="str">
        <f>VLOOKUP(E748,Products!$A:$D,4,0)</f>
        <v>Routers</v>
      </c>
      <c r="W748" t="str">
        <f>VLOOKUP(D748,Customers!$A:$C,3,0)</f>
        <v>B2C</v>
      </c>
      <c r="X748" t="str">
        <f>VLOOKUP(C748,Sales_Representatives!$A:$B,2,0)</f>
        <v>Emily Hernandez</v>
      </c>
    </row>
    <row r="749" spans="1:24" x14ac:dyDescent="0.3">
      <c r="A749" t="s">
        <v>1064</v>
      </c>
      <c r="B749" t="s">
        <v>1057</v>
      </c>
      <c r="C749" t="s">
        <v>41</v>
      </c>
      <c r="D749" t="s">
        <v>76</v>
      </c>
      <c r="E749" t="s">
        <v>345</v>
      </c>
      <c r="F749">
        <v>1</v>
      </c>
      <c r="G749">
        <v>13.97</v>
      </c>
      <c r="H749">
        <v>0.08</v>
      </c>
      <c r="I749" s="4">
        <v>12.85</v>
      </c>
      <c r="J749" t="s">
        <v>44</v>
      </c>
      <c r="K749" t="s">
        <v>39</v>
      </c>
      <c r="L749" s="4">
        <f>VLOOKUP(tblTransactions[[#This Row],[Product_ID]],tblProducts[],5,FALSE)</f>
        <v>8.69</v>
      </c>
      <c r="M749" s="4">
        <f>tblTransactions[[#This Row],[Total_Amount]]-(tblTransactions[[#This Row],[Cost_Prices]]*tblTransactions[[#This Row],[Quantity]]*(1-tblTransactions[[#This Row],[Discount]]))</f>
        <v>4.8552</v>
      </c>
      <c r="N749" s="3">
        <f>tblTransactions[[#This Row],[Profit]]/tblTransactions[[#This Row],[Total_Amount]]</f>
        <v>0.37783657587548641</v>
      </c>
      <c r="O749" t="str">
        <f>TEXT(tblTransactions[[#This Row],[Date]], "MMM-YYYY")</f>
        <v>Jun-2023</v>
      </c>
      <c r="P749" t="str">
        <f>"Q"&amp;ROUNDUP(MONTH(tblTransactions[[#This Row],[Date]])/3,0)&amp;"-"&amp;YEAR(tblTransactions[[#This Row],[Date]])</f>
        <v>Q2-2023</v>
      </c>
      <c r="Q749">
        <f>YEAR(tblTransactions[[#This Row],[Date]])</f>
        <v>2023</v>
      </c>
      <c r="R749" t="str">
        <f>TEXT(tblTransactions[[#This Row],[Date]],"DDDD")</f>
        <v>Sunday</v>
      </c>
      <c r="S749">
        <f>MONTH(tblTransactions[[#This Row],[Date]])</f>
        <v>6</v>
      </c>
      <c r="T749" t="str">
        <f>VLOOKUP(E749, Products!$A:$B,2,0)</f>
        <v>Cases Acc-2</v>
      </c>
      <c r="U749" t="str">
        <f>VLOOKUP(E749,Products!$A:$C,3,0)</f>
        <v>Accessories</v>
      </c>
      <c r="V749" t="str">
        <f>VLOOKUP(E749,Products!$A:$D,4,0)</f>
        <v>Cases</v>
      </c>
      <c r="W749" t="str">
        <f>VLOOKUP(D749,Customers!$A:$C,3,0)</f>
        <v>Small Business</v>
      </c>
      <c r="X749" t="str">
        <f>VLOOKUP(C749,Sales_Representatives!$A:$B,2,0)</f>
        <v>Robert Jones</v>
      </c>
    </row>
    <row r="750" spans="1:24" x14ac:dyDescent="0.3">
      <c r="A750" t="s">
        <v>1065</v>
      </c>
      <c r="B750" t="s">
        <v>1066</v>
      </c>
      <c r="C750" t="s">
        <v>56</v>
      </c>
      <c r="D750" t="s">
        <v>327</v>
      </c>
      <c r="E750" t="s">
        <v>481</v>
      </c>
      <c r="F750">
        <v>1</v>
      </c>
      <c r="G750">
        <v>263.58999999999997</v>
      </c>
      <c r="H750">
        <v>0.06</v>
      </c>
      <c r="I750" s="4">
        <v>247.77</v>
      </c>
      <c r="J750" t="s">
        <v>34</v>
      </c>
      <c r="K750" t="s">
        <v>17</v>
      </c>
      <c r="L750" s="4">
        <f>VLOOKUP(tblTransactions[[#This Row],[Product_ID]],tblProducts[],5,FALSE)</f>
        <v>133.65</v>
      </c>
      <c r="M750" s="4">
        <f>tblTransactions[[#This Row],[Total_Amount]]-(tblTransactions[[#This Row],[Cost_Prices]]*tblTransactions[[#This Row],[Quantity]]*(1-tblTransactions[[#This Row],[Discount]]))</f>
        <v>122.13900000000001</v>
      </c>
      <c r="N750" s="3">
        <f>tblTransactions[[#This Row],[Profit]]/tblTransactions[[#This Row],[Total_Amount]]</f>
        <v>0.49295314202687979</v>
      </c>
      <c r="O750" t="str">
        <f>TEXT(tblTransactions[[#This Row],[Date]], "MMM-YYYY")</f>
        <v>Jun-2023</v>
      </c>
      <c r="P750" t="str">
        <f>"Q"&amp;ROUNDUP(MONTH(tblTransactions[[#This Row],[Date]])/3,0)&amp;"-"&amp;YEAR(tblTransactions[[#This Row],[Date]])</f>
        <v>Q2-2023</v>
      </c>
      <c r="Q750">
        <f>YEAR(tblTransactions[[#This Row],[Date]])</f>
        <v>2023</v>
      </c>
      <c r="R750" t="str">
        <f>TEXT(tblTransactions[[#This Row],[Date]],"DDDD")</f>
        <v>Monday</v>
      </c>
      <c r="S750">
        <f>MONTH(tblTransactions[[#This Row],[Date]])</f>
        <v>6</v>
      </c>
      <c r="T750" t="str">
        <f>VLOOKUP(E750, Products!$A:$B,2,0)</f>
        <v>Folders Off-1</v>
      </c>
      <c r="U750" t="str">
        <f>VLOOKUP(E750,Products!$A:$C,3,0)</f>
        <v>Office Supplies</v>
      </c>
      <c r="V750" t="str">
        <f>VLOOKUP(E750,Products!$A:$D,4,0)</f>
        <v>Folders</v>
      </c>
      <c r="W750" t="str">
        <f>VLOOKUP(D750,Customers!$A:$C,3,0)</f>
        <v>B2C</v>
      </c>
      <c r="X750" t="str">
        <f>VLOOKUP(C750,Sales_Representatives!$A:$B,2,0)</f>
        <v>Thomas Hernandez</v>
      </c>
    </row>
    <row r="751" spans="1:24" x14ac:dyDescent="0.3">
      <c r="A751" t="s">
        <v>1067</v>
      </c>
      <c r="B751" t="s">
        <v>1066</v>
      </c>
      <c r="C751" t="s">
        <v>70</v>
      </c>
      <c r="D751" t="s">
        <v>288</v>
      </c>
      <c r="E751" t="s">
        <v>99</v>
      </c>
      <c r="F751">
        <v>5</v>
      </c>
      <c r="G751">
        <v>325.14</v>
      </c>
      <c r="H751">
        <v>0.1</v>
      </c>
      <c r="I751" s="4">
        <v>1463.13</v>
      </c>
      <c r="J751" t="s">
        <v>16</v>
      </c>
      <c r="K751" t="s">
        <v>39</v>
      </c>
      <c r="L751" s="4">
        <f>VLOOKUP(tblTransactions[[#This Row],[Product_ID]],tblProducts[],5,FALSE)</f>
        <v>209.04</v>
      </c>
      <c r="M751" s="4">
        <f>tblTransactions[[#This Row],[Total_Amount]]-(tblTransactions[[#This Row],[Cost_Prices]]*tblTransactions[[#This Row],[Quantity]]*(1-tblTransactions[[#This Row],[Discount]]))</f>
        <v>522.45000000000005</v>
      </c>
      <c r="N751" s="3">
        <f>tblTransactions[[#This Row],[Profit]]/tblTransactions[[#This Row],[Total_Amount]]</f>
        <v>0.35707695146706037</v>
      </c>
      <c r="O751" t="str">
        <f>TEXT(tblTransactions[[#This Row],[Date]], "MMM-YYYY")</f>
        <v>Jun-2023</v>
      </c>
      <c r="P751" t="str">
        <f>"Q"&amp;ROUNDUP(MONTH(tblTransactions[[#This Row],[Date]])/3,0)&amp;"-"&amp;YEAR(tblTransactions[[#This Row],[Date]])</f>
        <v>Q2-2023</v>
      </c>
      <c r="Q751">
        <f>YEAR(tblTransactions[[#This Row],[Date]])</f>
        <v>2023</v>
      </c>
      <c r="R751" t="str">
        <f>TEXT(tblTransactions[[#This Row],[Date]],"DDDD")</f>
        <v>Monday</v>
      </c>
      <c r="S751">
        <f>MONTH(tblTransactions[[#This Row],[Date]])</f>
        <v>6</v>
      </c>
      <c r="T751" t="str">
        <f>VLOOKUP(E751, Products!$A:$B,2,0)</f>
        <v>Monitors Tec-1</v>
      </c>
      <c r="U751" t="str">
        <f>VLOOKUP(E751,Products!$A:$C,3,0)</f>
        <v>Technology</v>
      </c>
      <c r="V751" t="str">
        <f>VLOOKUP(E751,Products!$A:$D,4,0)</f>
        <v>Monitors</v>
      </c>
      <c r="W751" t="str">
        <f>VLOOKUP(D751,Customers!$A:$C,3,0)</f>
        <v>B2C</v>
      </c>
      <c r="X751" t="str">
        <f>VLOOKUP(C751,Sales_Representatives!$A:$B,2,0)</f>
        <v>Linda Smith</v>
      </c>
    </row>
    <row r="752" spans="1:24" x14ac:dyDescent="0.3">
      <c r="A752" t="s">
        <v>1068</v>
      </c>
      <c r="B752" t="s">
        <v>1066</v>
      </c>
      <c r="C752" t="s">
        <v>13</v>
      </c>
      <c r="D752" t="s">
        <v>118</v>
      </c>
      <c r="E752" t="s">
        <v>339</v>
      </c>
      <c r="F752">
        <v>7</v>
      </c>
      <c r="G752">
        <v>1100.8800000000001</v>
      </c>
      <c r="H752">
        <v>0.09</v>
      </c>
      <c r="I752" s="4">
        <v>7012.61</v>
      </c>
      <c r="J752" t="s">
        <v>16</v>
      </c>
      <c r="K752" t="s">
        <v>35</v>
      </c>
      <c r="L752" s="4">
        <f>VLOOKUP(tblTransactions[[#This Row],[Product_ID]],tblProducts[],5,FALSE)</f>
        <v>761.53</v>
      </c>
      <c r="M752" s="4">
        <f>tblTransactions[[#This Row],[Total_Amount]]-(tblTransactions[[#This Row],[Cost_Prices]]*tblTransactions[[#This Row],[Quantity]]*(1-tblTransactions[[#This Row],[Discount]]))</f>
        <v>2161.6638999999996</v>
      </c>
      <c r="N752" s="3">
        <f>tblTransactions[[#This Row],[Profit]]/tblTransactions[[#This Row],[Total_Amount]]</f>
        <v>0.30825383131244993</v>
      </c>
      <c r="O752" t="str">
        <f>TEXT(tblTransactions[[#This Row],[Date]], "MMM-YYYY")</f>
        <v>Jun-2023</v>
      </c>
      <c r="P752" t="str">
        <f>"Q"&amp;ROUNDUP(MONTH(tblTransactions[[#This Row],[Date]])/3,0)&amp;"-"&amp;YEAR(tblTransactions[[#This Row],[Date]])</f>
        <v>Q2-2023</v>
      </c>
      <c r="Q752">
        <f>YEAR(tblTransactions[[#This Row],[Date]])</f>
        <v>2023</v>
      </c>
      <c r="R752" t="str">
        <f>TEXT(tblTransactions[[#This Row],[Date]],"DDDD")</f>
        <v>Monday</v>
      </c>
      <c r="S752">
        <f>MONTH(tblTransactions[[#This Row],[Date]])</f>
        <v>6</v>
      </c>
      <c r="T752" t="str">
        <f>VLOOKUP(E752, Products!$A:$B,2,0)</f>
        <v>Phones Ele-2</v>
      </c>
      <c r="U752" t="str">
        <f>VLOOKUP(E752,Products!$A:$C,3,0)</f>
        <v>Electronics</v>
      </c>
      <c r="V752" t="str">
        <f>VLOOKUP(E752,Products!$A:$D,4,0)</f>
        <v>Phones</v>
      </c>
      <c r="W752" t="str">
        <f>VLOOKUP(D752,Customers!$A:$C,3,0)</f>
        <v>B2C</v>
      </c>
      <c r="X752" t="str">
        <f>VLOOKUP(C752,Sales_Representatives!$A:$B,2,0)</f>
        <v>Jennifer Rodriguez</v>
      </c>
    </row>
    <row r="753" spans="1:24" x14ac:dyDescent="0.3">
      <c r="A753" t="s">
        <v>1069</v>
      </c>
      <c r="B753" t="s">
        <v>1066</v>
      </c>
      <c r="C753" t="s">
        <v>19</v>
      </c>
      <c r="D753" t="s">
        <v>228</v>
      </c>
      <c r="E753" t="s">
        <v>184</v>
      </c>
      <c r="F753">
        <v>7</v>
      </c>
      <c r="G753">
        <v>276.35000000000002</v>
      </c>
      <c r="H753">
        <v>0.15</v>
      </c>
      <c r="I753" s="4">
        <v>1644.28</v>
      </c>
      <c r="J753" t="s">
        <v>21</v>
      </c>
      <c r="K753" t="s">
        <v>48</v>
      </c>
      <c r="L753" s="4">
        <f>VLOOKUP(tblTransactions[[#This Row],[Product_ID]],tblProducts[],5,FALSE)</f>
        <v>130.15</v>
      </c>
      <c r="M753" s="4">
        <f>tblTransactions[[#This Row],[Total_Amount]]-(tblTransactions[[#This Row],[Cost_Prices]]*tblTransactions[[#This Row],[Quantity]]*(1-tblTransactions[[#This Row],[Discount]]))</f>
        <v>869.88749999999993</v>
      </c>
      <c r="N753" s="3">
        <f>tblTransactions[[#This Row],[Profit]]/tblTransactions[[#This Row],[Total_Amount]]</f>
        <v>0.52903854574646647</v>
      </c>
      <c r="O753" t="str">
        <f>TEXT(tblTransactions[[#This Row],[Date]], "MMM-YYYY")</f>
        <v>Jun-2023</v>
      </c>
      <c r="P753" t="str">
        <f>"Q"&amp;ROUNDUP(MONTH(tblTransactions[[#This Row],[Date]])/3,0)&amp;"-"&amp;YEAR(tblTransactions[[#This Row],[Date]])</f>
        <v>Q2-2023</v>
      </c>
      <c r="Q753">
        <f>YEAR(tblTransactions[[#This Row],[Date]])</f>
        <v>2023</v>
      </c>
      <c r="R753" t="str">
        <f>TEXT(tblTransactions[[#This Row],[Date]],"DDDD")</f>
        <v>Monday</v>
      </c>
      <c r="S753">
        <f>MONTH(tblTransactions[[#This Row],[Date]])</f>
        <v>6</v>
      </c>
      <c r="T753" t="str">
        <f>VLOOKUP(E753, Products!$A:$B,2,0)</f>
        <v>Binders Off-1</v>
      </c>
      <c r="U753" t="str">
        <f>VLOOKUP(E753,Products!$A:$C,3,0)</f>
        <v>Office Supplies</v>
      </c>
      <c r="V753" t="str">
        <f>VLOOKUP(E753,Products!$A:$D,4,0)</f>
        <v>Binders</v>
      </c>
      <c r="W753" t="str">
        <f>VLOOKUP(D753,Customers!$A:$C,3,0)</f>
        <v>Small Business</v>
      </c>
      <c r="X753" t="str">
        <f>VLOOKUP(C753,Sales_Representatives!$A:$B,2,0)</f>
        <v>Robert Jones</v>
      </c>
    </row>
    <row r="754" spans="1:24" x14ac:dyDescent="0.3">
      <c r="A754" t="s">
        <v>1070</v>
      </c>
      <c r="B754" t="s">
        <v>1066</v>
      </c>
      <c r="C754" t="s">
        <v>56</v>
      </c>
      <c r="D754" t="s">
        <v>136</v>
      </c>
      <c r="E754" t="s">
        <v>394</v>
      </c>
      <c r="F754">
        <v>18</v>
      </c>
      <c r="G754">
        <v>314.69</v>
      </c>
      <c r="H754">
        <v>0.14000000000000001</v>
      </c>
      <c r="I754" s="4">
        <v>4871.3999999999996</v>
      </c>
      <c r="J754" t="s">
        <v>34</v>
      </c>
      <c r="K754" t="s">
        <v>48</v>
      </c>
      <c r="L754" s="4">
        <f>VLOOKUP(tblTransactions[[#This Row],[Product_ID]],tblProducts[],5,FALSE)</f>
        <v>185.43</v>
      </c>
      <c r="M754" s="4">
        <f>tblTransactions[[#This Row],[Total_Amount]]-(tblTransactions[[#This Row],[Cost_Prices]]*tblTransactions[[#This Row],[Quantity]]*(1-tblTransactions[[#This Row],[Discount]]))</f>
        <v>2000.9435999999996</v>
      </c>
      <c r="N754" s="3">
        <f>tblTransactions[[#This Row],[Profit]]/tblTransactions[[#This Row],[Total_Amount]]</f>
        <v>0.41075329474073158</v>
      </c>
      <c r="O754" t="str">
        <f>TEXT(tblTransactions[[#This Row],[Date]], "MMM-YYYY")</f>
        <v>Jun-2023</v>
      </c>
      <c r="P754" t="str">
        <f>"Q"&amp;ROUNDUP(MONTH(tblTransactions[[#This Row],[Date]])/3,0)&amp;"-"&amp;YEAR(tblTransactions[[#This Row],[Date]])</f>
        <v>Q2-2023</v>
      </c>
      <c r="Q754">
        <f>YEAR(tblTransactions[[#This Row],[Date]])</f>
        <v>2023</v>
      </c>
      <c r="R754" t="str">
        <f>TEXT(tblTransactions[[#This Row],[Date]],"DDDD")</f>
        <v>Monday</v>
      </c>
      <c r="S754">
        <f>MONTH(tblTransactions[[#This Row],[Date]])</f>
        <v>6</v>
      </c>
      <c r="T754" t="str">
        <f>VLOOKUP(E754, Products!$A:$B,2,0)</f>
        <v>Desks Fur-1</v>
      </c>
      <c r="U754" t="str">
        <f>VLOOKUP(E754,Products!$A:$C,3,0)</f>
        <v>Furniture</v>
      </c>
      <c r="V754" t="str">
        <f>VLOOKUP(E754,Products!$A:$D,4,0)</f>
        <v>Desks</v>
      </c>
      <c r="W754" t="str">
        <f>VLOOKUP(D754,Customers!$A:$C,3,0)</f>
        <v>B2B</v>
      </c>
      <c r="X754" t="str">
        <f>VLOOKUP(C754,Sales_Representatives!$A:$B,2,0)</f>
        <v>Thomas Hernandez</v>
      </c>
    </row>
    <row r="755" spans="1:24" x14ac:dyDescent="0.3">
      <c r="A755" t="s">
        <v>1071</v>
      </c>
      <c r="B755" t="s">
        <v>1072</v>
      </c>
      <c r="C755" t="s">
        <v>59</v>
      </c>
      <c r="D755" t="s">
        <v>128</v>
      </c>
      <c r="E755" t="s">
        <v>99</v>
      </c>
      <c r="F755">
        <v>19</v>
      </c>
      <c r="G755">
        <v>325.14</v>
      </c>
      <c r="H755">
        <v>0.14000000000000001</v>
      </c>
      <c r="I755" s="4">
        <v>5312.79</v>
      </c>
      <c r="J755" t="s">
        <v>21</v>
      </c>
      <c r="K755" t="s">
        <v>22</v>
      </c>
      <c r="L755" s="4">
        <f>VLOOKUP(tblTransactions[[#This Row],[Product_ID]],tblProducts[],5,FALSE)</f>
        <v>209.04</v>
      </c>
      <c r="M755" s="4">
        <f>tblTransactions[[#This Row],[Total_Amount]]-(tblTransactions[[#This Row],[Cost_Prices]]*tblTransactions[[#This Row],[Quantity]]*(1-tblTransactions[[#This Row],[Discount]]))</f>
        <v>1897.0764000000004</v>
      </c>
      <c r="N755" s="3">
        <f>tblTransactions[[#This Row],[Profit]]/tblTransactions[[#This Row],[Total_Amount]]</f>
        <v>0.35707724190114803</v>
      </c>
      <c r="O755" t="str">
        <f>TEXT(tblTransactions[[#This Row],[Date]], "MMM-YYYY")</f>
        <v>Jun-2023</v>
      </c>
      <c r="P755" t="str">
        <f>"Q"&amp;ROUNDUP(MONTH(tblTransactions[[#This Row],[Date]])/3,0)&amp;"-"&amp;YEAR(tblTransactions[[#This Row],[Date]])</f>
        <v>Q2-2023</v>
      </c>
      <c r="Q755">
        <f>YEAR(tblTransactions[[#This Row],[Date]])</f>
        <v>2023</v>
      </c>
      <c r="R755" t="str">
        <f>TEXT(tblTransactions[[#This Row],[Date]],"DDDD")</f>
        <v>Tuesday</v>
      </c>
      <c r="S755">
        <f>MONTH(tblTransactions[[#This Row],[Date]])</f>
        <v>6</v>
      </c>
      <c r="T755" t="str">
        <f>VLOOKUP(E755, Products!$A:$B,2,0)</f>
        <v>Monitors Tec-1</v>
      </c>
      <c r="U755" t="str">
        <f>VLOOKUP(E755,Products!$A:$C,3,0)</f>
        <v>Technology</v>
      </c>
      <c r="V755" t="str">
        <f>VLOOKUP(E755,Products!$A:$D,4,0)</f>
        <v>Monitors</v>
      </c>
      <c r="W755" t="str">
        <f>VLOOKUP(D755,Customers!$A:$C,3,0)</f>
        <v>B2B</v>
      </c>
      <c r="X755" t="str">
        <f>VLOOKUP(C755,Sales_Representatives!$A:$B,2,0)</f>
        <v>Sarah Brown</v>
      </c>
    </row>
    <row r="756" spans="1:24" x14ac:dyDescent="0.3">
      <c r="A756" t="s">
        <v>1073</v>
      </c>
      <c r="B756" t="s">
        <v>1072</v>
      </c>
      <c r="C756" t="s">
        <v>127</v>
      </c>
      <c r="D756" t="s">
        <v>216</v>
      </c>
      <c r="E756" t="s">
        <v>264</v>
      </c>
      <c r="F756">
        <v>1</v>
      </c>
      <c r="G756">
        <v>607.29999999999995</v>
      </c>
      <c r="H756">
        <v>0.05</v>
      </c>
      <c r="I756" s="4">
        <v>576.92999999999995</v>
      </c>
      <c r="J756" t="s">
        <v>109</v>
      </c>
      <c r="K756" t="s">
        <v>39</v>
      </c>
      <c r="L756" s="4">
        <f>VLOOKUP(tblTransactions[[#This Row],[Product_ID]],tblProducts[],5,FALSE)</f>
        <v>436.37</v>
      </c>
      <c r="M756" s="4">
        <f>tblTransactions[[#This Row],[Total_Amount]]-(tblTransactions[[#This Row],[Cost_Prices]]*tblTransactions[[#This Row],[Quantity]]*(1-tblTransactions[[#This Row],[Discount]]))</f>
        <v>162.37849999999997</v>
      </c>
      <c r="N756" s="3">
        <f>tblTransactions[[#This Row],[Profit]]/tblTransactions[[#This Row],[Total_Amount]]</f>
        <v>0.28145268923439581</v>
      </c>
      <c r="O756" t="str">
        <f>TEXT(tblTransactions[[#This Row],[Date]], "MMM-YYYY")</f>
        <v>Jun-2023</v>
      </c>
      <c r="P756" t="str">
        <f>"Q"&amp;ROUNDUP(MONTH(tblTransactions[[#This Row],[Date]])/3,0)&amp;"-"&amp;YEAR(tblTransactions[[#This Row],[Date]])</f>
        <v>Q2-2023</v>
      </c>
      <c r="Q756">
        <f>YEAR(tblTransactions[[#This Row],[Date]])</f>
        <v>2023</v>
      </c>
      <c r="R756" t="str">
        <f>TEXT(tblTransactions[[#This Row],[Date]],"DDDD")</f>
        <v>Tuesday</v>
      </c>
      <c r="S756">
        <f>MONTH(tblTransactions[[#This Row],[Date]])</f>
        <v>6</v>
      </c>
      <c r="T756" t="str">
        <f>VLOOKUP(E756, Products!$A:$B,2,0)</f>
        <v>Tablets Ele-4</v>
      </c>
      <c r="U756" t="str">
        <f>VLOOKUP(E756,Products!$A:$C,3,0)</f>
        <v>Electronics</v>
      </c>
      <c r="V756" t="str">
        <f>VLOOKUP(E756,Products!$A:$D,4,0)</f>
        <v>Tablets</v>
      </c>
      <c r="W756" t="str">
        <f>VLOOKUP(D756,Customers!$A:$C,3,0)</f>
        <v>Small Business</v>
      </c>
      <c r="X756" t="str">
        <f>VLOOKUP(C756,Sales_Representatives!$A:$B,2,0)</f>
        <v>Emily Hernandez</v>
      </c>
    </row>
    <row r="757" spans="1:24" x14ac:dyDescent="0.3">
      <c r="A757" t="s">
        <v>1074</v>
      </c>
      <c r="B757" t="s">
        <v>1072</v>
      </c>
      <c r="C757" t="s">
        <v>127</v>
      </c>
      <c r="D757" t="s">
        <v>210</v>
      </c>
      <c r="E757" t="s">
        <v>204</v>
      </c>
      <c r="F757">
        <v>6</v>
      </c>
      <c r="G757">
        <v>715.62</v>
      </c>
      <c r="H757">
        <v>0.14000000000000001</v>
      </c>
      <c r="I757" s="4">
        <v>3692.6</v>
      </c>
      <c r="J757" t="s">
        <v>109</v>
      </c>
      <c r="K757" t="s">
        <v>22</v>
      </c>
      <c r="L757" s="4">
        <f>VLOOKUP(tblTransactions[[#This Row],[Product_ID]],tblProducts[],5,FALSE)</f>
        <v>459.58</v>
      </c>
      <c r="M757" s="4">
        <f>tblTransactions[[#This Row],[Total_Amount]]-(tblTransactions[[#This Row],[Cost_Prices]]*tblTransactions[[#This Row],[Quantity]]*(1-tblTransactions[[#This Row],[Discount]]))</f>
        <v>1321.1671999999999</v>
      </c>
      <c r="N757" s="3">
        <f>tblTransactions[[#This Row],[Profit]]/tblTransactions[[#This Row],[Total_Amount]]</f>
        <v>0.35778779179981585</v>
      </c>
      <c r="O757" t="str">
        <f>TEXT(tblTransactions[[#This Row],[Date]], "MMM-YYYY")</f>
        <v>Jun-2023</v>
      </c>
      <c r="P757" t="str">
        <f>"Q"&amp;ROUNDUP(MONTH(tblTransactions[[#This Row],[Date]])/3,0)&amp;"-"&amp;YEAR(tblTransactions[[#This Row],[Date]])</f>
        <v>Q2-2023</v>
      </c>
      <c r="Q757">
        <f>YEAR(tblTransactions[[#This Row],[Date]])</f>
        <v>2023</v>
      </c>
      <c r="R757" t="str">
        <f>TEXT(tblTransactions[[#This Row],[Date]],"DDDD")</f>
        <v>Tuesday</v>
      </c>
      <c r="S757">
        <f>MONTH(tblTransactions[[#This Row],[Date]])</f>
        <v>6</v>
      </c>
      <c r="T757" t="str">
        <f>VLOOKUP(E757, Products!$A:$B,2,0)</f>
        <v>Cameras Ele-2</v>
      </c>
      <c r="U757" t="str">
        <f>VLOOKUP(E757,Products!$A:$C,3,0)</f>
        <v>Electronics</v>
      </c>
      <c r="V757" t="str">
        <f>VLOOKUP(E757,Products!$A:$D,4,0)</f>
        <v>Cameras</v>
      </c>
      <c r="W757" t="str">
        <f>VLOOKUP(D757,Customers!$A:$C,3,0)</f>
        <v>B2B</v>
      </c>
      <c r="X757" t="str">
        <f>VLOOKUP(C757,Sales_Representatives!$A:$B,2,0)</f>
        <v>Emily Hernandez</v>
      </c>
    </row>
    <row r="758" spans="1:24" x14ac:dyDescent="0.3">
      <c r="A758" t="s">
        <v>1075</v>
      </c>
      <c r="B758" t="s">
        <v>1072</v>
      </c>
      <c r="C758" t="s">
        <v>41</v>
      </c>
      <c r="D758" t="s">
        <v>164</v>
      </c>
      <c r="E758" t="s">
        <v>217</v>
      </c>
      <c r="F758">
        <v>5</v>
      </c>
      <c r="G758">
        <v>145.51</v>
      </c>
      <c r="H758">
        <v>7.0000000000000007E-2</v>
      </c>
      <c r="I758" s="4">
        <v>676.62</v>
      </c>
      <c r="J758" t="s">
        <v>44</v>
      </c>
      <c r="K758" t="s">
        <v>17</v>
      </c>
      <c r="L758" s="4">
        <f>VLOOKUP(tblTransactions[[#This Row],[Product_ID]],tblProducts[],5,FALSE)</f>
        <v>64.510000000000005</v>
      </c>
      <c r="M758" s="4">
        <f>tblTransactions[[#This Row],[Total_Amount]]-(tblTransactions[[#This Row],[Cost_Prices]]*tblTransactions[[#This Row],[Quantity]]*(1-tblTransactions[[#This Row],[Discount]]))</f>
        <v>376.64850000000001</v>
      </c>
      <c r="N758" s="3">
        <f>tblTransactions[[#This Row],[Profit]]/tblTransactions[[#This Row],[Total_Amount]]</f>
        <v>0.55666178948301859</v>
      </c>
      <c r="O758" t="str">
        <f>TEXT(tblTransactions[[#This Row],[Date]], "MMM-YYYY")</f>
        <v>Jun-2023</v>
      </c>
      <c r="P758" t="str">
        <f>"Q"&amp;ROUNDUP(MONTH(tblTransactions[[#This Row],[Date]])/3,0)&amp;"-"&amp;YEAR(tblTransactions[[#This Row],[Date]])</f>
        <v>Q2-2023</v>
      </c>
      <c r="Q758">
        <f>YEAR(tblTransactions[[#This Row],[Date]])</f>
        <v>2023</v>
      </c>
      <c r="R758" t="str">
        <f>TEXT(tblTransactions[[#This Row],[Date]],"DDDD")</f>
        <v>Tuesday</v>
      </c>
      <c r="S758">
        <f>MONTH(tblTransactions[[#This Row],[Date]])</f>
        <v>6</v>
      </c>
      <c r="T758" t="str">
        <f>VLOOKUP(E758, Products!$A:$B,2,0)</f>
        <v>Cables Acc-2</v>
      </c>
      <c r="U758" t="str">
        <f>VLOOKUP(E758,Products!$A:$C,3,0)</f>
        <v>Accessories</v>
      </c>
      <c r="V758" t="str">
        <f>VLOOKUP(E758,Products!$A:$D,4,0)</f>
        <v>Cables</v>
      </c>
      <c r="W758" t="str">
        <f>VLOOKUP(D758,Customers!$A:$C,3,0)</f>
        <v>Small Business</v>
      </c>
      <c r="X758" t="str">
        <f>VLOOKUP(C758,Sales_Representatives!$A:$B,2,0)</f>
        <v>Robert Jones</v>
      </c>
    </row>
    <row r="759" spans="1:24" x14ac:dyDescent="0.3">
      <c r="A759" t="s">
        <v>1076</v>
      </c>
      <c r="B759" t="s">
        <v>1072</v>
      </c>
      <c r="C759" t="s">
        <v>31</v>
      </c>
      <c r="D759" t="s">
        <v>164</v>
      </c>
      <c r="E759" t="s">
        <v>89</v>
      </c>
      <c r="F759">
        <v>6</v>
      </c>
      <c r="G759">
        <v>555.08000000000004</v>
      </c>
      <c r="H759">
        <v>0.12</v>
      </c>
      <c r="I759" s="4">
        <v>2930.82</v>
      </c>
      <c r="J759" t="s">
        <v>34</v>
      </c>
      <c r="K759" t="s">
        <v>39</v>
      </c>
      <c r="L759" s="4">
        <f>VLOOKUP(tblTransactions[[#This Row],[Product_ID]],tblProducts[],5,FALSE)</f>
        <v>402.82</v>
      </c>
      <c r="M759" s="4">
        <f>tblTransactions[[#This Row],[Total_Amount]]-(tblTransactions[[#This Row],[Cost_Prices]]*tblTransactions[[#This Row],[Quantity]]*(1-tblTransactions[[#This Row],[Discount]]))</f>
        <v>803.93040000000019</v>
      </c>
      <c r="N759" s="3">
        <f>tblTransactions[[#This Row],[Profit]]/tblTransactions[[#This Row],[Total_Amount]]</f>
        <v>0.27430220893811291</v>
      </c>
      <c r="O759" t="str">
        <f>TEXT(tblTransactions[[#This Row],[Date]], "MMM-YYYY")</f>
        <v>Jun-2023</v>
      </c>
      <c r="P759" t="str">
        <f>"Q"&amp;ROUNDUP(MONTH(tblTransactions[[#This Row],[Date]])/3,0)&amp;"-"&amp;YEAR(tblTransactions[[#This Row],[Date]])</f>
        <v>Q2-2023</v>
      </c>
      <c r="Q759">
        <f>YEAR(tblTransactions[[#This Row],[Date]])</f>
        <v>2023</v>
      </c>
      <c r="R759" t="str">
        <f>TEXT(tblTransactions[[#This Row],[Date]],"DDDD")</f>
        <v>Tuesday</v>
      </c>
      <c r="S759">
        <f>MONTH(tblTransactions[[#This Row],[Date]])</f>
        <v>6</v>
      </c>
      <c r="T759" t="str">
        <f>VLOOKUP(E759, Products!$A:$B,2,0)</f>
        <v>Laptops Ele-3</v>
      </c>
      <c r="U759" t="str">
        <f>VLOOKUP(E759,Products!$A:$C,3,0)</f>
        <v>Electronics</v>
      </c>
      <c r="V759" t="str">
        <f>VLOOKUP(E759,Products!$A:$D,4,0)</f>
        <v>Laptops</v>
      </c>
      <c r="W759" t="str">
        <f>VLOOKUP(D759,Customers!$A:$C,3,0)</f>
        <v>Small Business</v>
      </c>
      <c r="X759" t="str">
        <f>VLOOKUP(C759,Sales_Representatives!$A:$B,2,0)</f>
        <v>Thomas Martinez</v>
      </c>
    </row>
    <row r="760" spans="1:24" x14ac:dyDescent="0.3">
      <c r="A760" t="s">
        <v>1077</v>
      </c>
      <c r="B760" t="s">
        <v>1072</v>
      </c>
      <c r="C760" t="s">
        <v>19</v>
      </c>
      <c r="D760" t="s">
        <v>139</v>
      </c>
      <c r="E760" t="s">
        <v>79</v>
      </c>
      <c r="F760">
        <v>4</v>
      </c>
      <c r="G760">
        <v>1452.36</v>
      </c>
      <c r="H760">
        <v>0.01</v>
      </c>
      <c r="I760" s="4">
        <v>5751.35</v>
      </c>
      <c r="J760" t="s">
        <v>21</v>
      </c>
      <c r="K760" t="s">
        <v>35</v>
      </c>
      <c r="L760" s="4">
        <f>VLOOKUP(tblTransactions[[#This Row],[Product_ID]],tblProducts[],5,FALSE)</f>
        <v>778.71</v>
      </c>
      <c r="M760" s="4">
        <f>tblTransactions[[#This Row],[Total_Amount]]-(tblTransactions[[#This Row],[Cost_Prices]]*tblTransactions[[#This Row],[Quantity]]*(1-tblTransactions[[#This Row],[Discount]]))</f>
        <v>2667.6584000000003</v>
      </c>
      <c r="N760" s="3">
        <f>tblTransactions[[#This Row],[Profit]]/tblTransactions[[#This Row],[Total_Amount]]</f>
        <v>0.46383169168977717</v>
      </c>
      <c r="O760" t="str">
        <f>TEXT(tblTransactions[[#This Row],[Date]], "MMM-YYYY")</f>
        <v>Jun-2023</v>
      </c>
      <c r="P760" t="str">
        <f>"Q"&amp;ROUNDUP(MONTH(tblTransactions[[#This Row],[Date]])/3,0)&amp;"-"&amp;YEAR(tblTransactions[[#This Row],[Date]])</f>
        <v>Q2-2023</v>
      </c>
      <c r="Q760">
        <f>YEAR(tblTransactions[[#This Row],[Date]])</f>
        <v>2023</v>
      </c>
      <c r="R760" t="str">
        <f>TEXT(tblTransactions[[#This Row],[Date]],"DDDD")</f>
        <v>Tuesday</v>
      </c>
      <c r="S760">
        <f>MONTH(tblTransactions[[#This Row],[Date]])</f>
        <v>6</v>
      </c>
      <c r="T760" t="str">
        <f>VLOOKUP(E760, Products!$A:$B,2,0)</f>
        <v>Tables Fur-2</v>
      </c>
      <c r="U760" t="str">
        <f>VLOOKUP(E760,Products!$A:$C,3,0)</f>
        <v>Furniture</v>
      </c>
      <c r="V760" t="str">
        <f>VLOOKUP(E760,Products!$A:$D,4,0)</f>
        <v>Tables</v>
      </c>
      <c r="W760" t="str">
        <f>VLOOKUP(D760,Customers!$A:$C,3,0)</f>
        <v>B2C</v>
      </c>
      <c r="X760" t="str">
        <f>VLOOKUP(C760,Sales_Representatives!$A:$B,2,0)</f>
        <v>Robert Jones</v>
      </c>
    </row>
    <row r="761" spans="1:24" x14ac:dyDescent="0.3">
      <c r="A761" t="s">
        <v>1078</v>
      </c>
      <c r="B761" t="s">
        <v>1079</v>
      </c>
      <c r="C761" t="s">
        <v>75</v>
      </c>
      <c r="D761" t="s">
        <v>210</v>
      </c>
      <c r="E761" t="s">
        <v>38</v>
      </c>
      <c r="F761">
        <v>6</v>
      </c>
      <c r="G761">
        <v>581.47</v>
      </c>
      <c r="H761">
        <v>0.13</v>
      </c>
      <c r="I761" s="4">
        <v>3035.27</v>
      </c>
      <c r="J761" t="s">
        <v>44</v>
      </c>
      <c r="K761" t="s">
        <v>39</v>
      </c>
      <c r="L761" s="4">
        <f>VLOOKUP(tblTransactions[[#This Row],[Product_ID]],tblProducts[],5,FALSE)</f>
        <v>372.07</v>
      </c>
      <c r="M761" s="4">
        <f>tblTransactions[[#This Row],[Total_Amount]]-(tblTransactions[[#This Row],[Cost_Prices]]*tblTransactions[[#This Row],[Quantity]]*(1-tblTransactions[[#This Row],[Discount]]))</f>
        <v>1093.0645999999999</v>
      </c>
      <c r="N761" s="3">
        <f>tblTransactions[[#This Row],[Profit]]/tblTransactions[[#This Row],[Total_Amount]]</f>
        <v>0.36012104359743941</v>
      </c>
      <c r="O761" t="str">
        <f>TEXT(tblTransactions[[#This Row],[Date]], "MMM-YYYY")</f>
        <v>Jun-2023</v>
      </c>
      <c r="P761" t="str">
        <f>"Q"&amp;ROUNDUP(MONTH(tblTransactions[[#This Row],[Date]])/3,0)&amp;"-"&amp;YEAR(tblTransactions[[#This Row],[Date]])</f>
        <v>Q2-2023</v>
      </c>
      <c r="Q761">
        <f>YEAR(tblTransactions[[#This Row],[Date]])</f>
        <v>2023</v>
      </c>
      <c r="R761" t="str">
        <f>TEXT(tblTransactions[[#This Row],[Date]],"DDDD")</f>
        <v>Wednesday</v>
      </c>
      <c r="S761">
        <f>MONTH(tblTransactions[[#This Row],[Date]])</f>
        <v>6</v>
      </c>
      <c r="T761" t="str">
        <f>VLOOKUP(E761, Products!$A:$B,2,0)</f>
        <v>Storage Fur-3</v>
      </c>
      <c r="U761" t="str">
        <f>VLOOKUP(E761,Products!$A:$C,3,0)</f>
        <v>Furniture</v>
      </c>
      <c r="V761" t="str">
        <f>VLOOKUP(E761,Products!$A:$D,4,0)</f>
        <v>Storage</v>
      </c>
      <c r="W761" t="str">
        <f>VLOOKUP(D761,Customers!$A:$C,3,0)</f>
        <v>B2B</v>
      </c>
      <c r="X761" t="str">
        <f>VLOOKUP(C761,Sales_Representatives!$A:$B,2,0)</f>
        <v>Jessica Anderson</v>
      </c>
    </row>
    <row r="762" spans="1:24" x14ac:dyDescent="0.3">
      <c r="A762" t="s">
        <v>1080</v>
      </c>
      <c r="B762" t="s">
        <v>1079</v>
      </c>
      <c r="C762" t="s">
        <v>27</v>
      </c>
      <c r="D762" t="s">
        <v>164</v>
      </c>
      <c r="E762" t="s">
        <v>152</v>
      </c>
      <c r="F762">
        <v>6</v>
      </c>
      <c r="G762">
        <v>859.93</v>
      </c>
      <c r="H762">
        <v>0.08</v>
      </c>
      <c r="I762" s="4">
        <v>4746.8100000000004</v>
      </c>
      <c r="J762" t="s">
        <v>16</v>
      </c>
      <c r="K762" t="s">
        <v>39</v>
      </c>
      <c r="L762" s="4">
        <f>VLOOKUP(tblTransactions[[#This Row],[Product_ID]],tblProducts[],5,FALSE)</f>
        <v>579.79</v>
      </c>
      <c r="M762" s="4">
        <f>tblTransactions[[#This Row],[Total_Amount]]-(tblTransactions[[#This Row],[Cost_Prices]]*tblTransactions[[#This Row],[Quantity]]*(1-tblTransactions[[#This Row],[Discount]]))</f>
        <v>1546.3692000000005</v>
      </c>
      <c r="N762" s="3">
        <f>tblTransactions[[#This Row],[Profit]]/tblTransactions[[#This Row],[Total_Amount]]</f>
        <v>0.32577019092822346</v>
      </c>
      <c r="O762" t="str">
        <f>TEXT(tblTransactions[[#This Row],[Date]], "MMM-YYYY")</f>
        <v>Jun-2023</v>
      </c>
      <c r="P762" t="str">
        <f>"Q"&amp;ROUNDUP(MONTH(tblTransactions[[#This Row],[Date]])/3,0)&amp;"-"&amp;YEAR(tblTransactions[[#This Row],[Date]])</f>
        <v>Q2-2023</v>
      </c>
      <c r="Q762">
        <f>YEAR(tblTransactions[[#This Row],[Date]])</f>
        <v>2023</v>
      </c>
      <c r="R762" t="str">
        <f>TEXT(tblTransactions[[#This Row],[Date]],"DDDD")</f>
        <v>Wednesday</v>
      </c>
      <c r="S762">
        <f>MONTH(tblTransactions[[#This Row],[Date]])</f>
        <v>6</v>
      </c>
      <c r="T762" t="str">
        <f>VLOOKUP(E762, Products!$A:$B,2,0)</f>
        <v>Phones Ele-4</v>
      </c>
      <c r="U762" t="str">
        <f>VLOOKUP(E762,Products!$A:$C,3,0)</f>
        <v>Electronics</v>
      </c>
      <c r="V762" t="str">
        <f>VLOOKUP(E762,Products!$A:$D,4,0)</f>
        <v>Phones</v>
      </c>
      <c r="W762" t="str">
        <f>VLOOKUP(D762,Customers!$A:$C,3,0)</f>
        <v>Small Business</v>
      </c>
      <c r="X762" t="str">
        <f>VLOOKUP(C762,Sales_Representatives!$A:$B,2,0)</f>
        <v>Thomas Lopez</v>
      </c>
    </row>
    <row r="763" spans="1:24" x14ac:dyDescent="0.3">
      <c r="A763" t="s">
        <v>1081</v>
      </c>
      <c r="B763" t="s">
        <v>1079</v>
      </c>
      <c r="C763" t="s">
        <v>19</v>
      </c>
      <c r="D763" t="s">
        <v>112</v>
      </c>
      <c r="E763" t="s">
        <v>157</v>
      </c>
      <c r="F763">
        <v>10</v>
      </c>
      <c r="G763">
        <v>1227.68</v>
      </c>
      <c r="H763">
        <v>0.11</v>
      </c>
      <c r="I763" s="4">
        <v>10926.35</v>
      </c>
      <c r="J763" t="s">
        <v>21</v>
      </c>
      <c r="K763" t="s">
        <v>39</v>
      </c>
      <c r="L763" s="4">
        <f>VLOOKUP(tblTransactions[[#This Row],[Product_ID]],tblProducts[],5,FALSE)</f>
        <v>846.42</v>
      </c>
      <c r="M763" s="4">
        <f>tblTransactions[[#This Row],[Total_Amount]]-(tblTransactions[[#This Row],[Cost_Prices]]*tblTransactions[[#This Row],[Quantity]]*(1-tblTransactions[[#This Row],[Discount]]))</f>
        <v>3393.2120000000014</v>
      </c>
      <c r="N763" s="3">
        <f>tblTransactions[[#This Row],[Profit]]/tblTransactions[[#This Row],[Total_Amount]]</f>
        <v>0.31055311243004308</v>
      </c>
      <c r="O763" t="str">
        <f>TEXT(tblTransactions[[#This Row],[Date]], "MMM-YYYY")</f>
        <v>Jun-2023</v>
      </c>
      <c r="P763" t="str">
        <f>"Q"&amp;ROUNDUP(MONTH(tblTransactions[[#This Row],[Date]])/3,0)&amp;"-"&amp;YEAR(tblTransactions[[#This Row],[Date]])</f>
        <v>Q2-2023</v>
      </c>
      <c r="Q763">
        <f>YEAR(tblTransactions[[#This Row],[Date]])</f>
        <v>2023</v>
      </c>
      <c r="R763" t="str">
        <f>TEXT(tblTransactions[[#This Row],[Date]],"DDDD")</f>
        <v>Wednesday</v>
      </c>
      <c r="S763">
        <f>MONTH(tblTransactions[[#This Row],[Date]])</f>
        <v>6</v>
      </c>
      <c r="T763" t="str">
        <f>VLOOKUP(E763, Products!$A:$B,2,0)</f>
        <v>Printers Tec-4</v>
      </c>
      <c r="U763" t="str">
        <f>VLOOKUP(E763,Products!$A:$C,3,0)</f>
        <v>Technology</v>
      </c>
      <c r="V763" t="str">
        <f>VLOOKUP(E763,Products!$A:$D,4,0)</f>
        <v>Printers</v>
      </c>
      <c r="W763" t="str">
        <f>VLOOKUP(D763,Customers!$A:$C,3,0)</f>
        <v>Enterprise</v>
      </c>
      <c r="X763" t="str">
        <f>VLOOKUP(C763,Sales_Representatives!$A:$B,2,0)</f>
        <v>Robert Jones</v>
      </c>
    </row>
    <row r="764" spans="1:24" x14ac:dyDescent="0.3">
      <c r="A764" t="s">
        <v>1082</v>
      </c>
      <c r="B764" t="s">
        <v>1079</v>
      </c>
      <c r="C764" t="s">
        <v>41</v>
      </c>
      <c r="D764" t="s">
        <v>60</v>
      </c>
      <c r="E764" t="s">
        <v>479</v>
      </c>
      <c r="F764">
        <v>3</v>
      </c>
      <c r="G764">
        <v>239.6</v>
      </c>
      <c r="H764">
        <v>0.05</v>
      </c>
      <c r="I764" s="4">
        <v>682.86</v>
      </c>
      <c r="J764" t="s">
        <v>44</v>
      </c>
      <c r="K764" t="s">
        <v>17</v>
      </c>
      <c r="L764" s="4">
        <f>VLOOKUP(tblTransactions[[#This Row],[Product_ID]],tblProducts[],5,FALSE)</f>
        <v>107.49</v>
      </c>
      <c r="M764" s="4">
        <f>tblTransactions[[#This Row],[Total_Amount]]-(tblTransactions[[#This Row],[Cost_Prices]]*tblTransactions[[#This Row],[Quantity]]*(1-tblTransactions[[#This Row],[Discount]]))</f>
        <v>376.51350000000008</v>
      </c>
      <c r="N764" s="3">
        <f>tblTransactions[[#This Row],[Profit]]/tblTransactions[[#This Row],[Total_Amount]]</f>
        <v>0.5513772954924876</v>
      </c>
      <c r="O764" t="str">
        <f>TEXT(tblTransactions[[#This Row],[Date]], "MMM-YYYY")</f>
        <v>Jun-2023</v>
      </c>
      <c r="P764" t="str">
        <f>"Q"&amp;ROUNDUP(MONTH(tblTransactions[[#This Row],[Date]])/3,0)&amp;"-"&amp;YEAR(tblTransactions[[#This Row],[Date]])</f>
        <v>Q2-2023</v>
      </c>
      <c r="Q764">
        <f>YEAR(tblTransactions[[#This Row],[Date]])</f>
        <v>2023</v>
      </c>
      <c r="R764" t="str">
        <f>TEXT(tblTransactions[[#This Row],[Date]],"DDDD")</f>
        <v>Wednesday</v>
      </c>
      <c r="S764">
        <f>MONTH(tblTransactions[[#This Row],[Date]])</f>
        <v>6</v>
      </c>
      <c r="T764" t="str">
        <f>VLOOKUP(E764, Products!$A:$B,2,0)</f>
        <v>Pens Off-2</v>
      </c>
      <c r="U764" t="str">
        <f>VLOOKUP(E764,Products!$A:$C,3,0)</f>
        <v>Office Supplies</v>
      </c>
      <c r="V764" t="str">
        <f>VLOOKUP(E764,Products!$A:$D,4,0)</f>
        <v>Pens</v>
      </c>
      <c r="W764" t="str">
        <f>VLOOKUP(D764,Customers!$A:$C,3,0)</f>
        <v>B2C</v>
      </c>
      <c r="X764" t="str">
        <f>VLOOKUP(C764,Sales_Representatives!$A:$B,2,0)</f>
        <v>Robert Jones</v>
      </c>
    </row>
    <row r="765" spans="1:24" x14ac:dyDescent="0.3">
      <c r="A765" t="s">
        <v>1083</v>
      </c>
      <c r="B765" t="s">
        <v>1079</v>
      </c>
      <c r="C765" t="s">
        <v>82</v>
      </c>
      <c r="D765" t="s">
        <v>396</v>
      </c>
      <c r="E765" t="s">
        <v>148</v>
      </c>
      <c r="F765">
        <v>6</v>
      </c>
      <c r="G765">
        <v>20.420000000000002</v>
      </c>
      <c r="H765">
        <v>0.09</v>
      </c>
      <c r="I765" s="4">
        <v>111.49</v>
      </c>
      <c r="J765" t="s">
        <v>34</v>
      </c>
      <c r="K765" t="s">
        <v>22</v>
      </c>
      <c r="L765" s="4">
        <f>VLOOKUP(tblTransactions[[#This Row],[Product_ID]],tblProducts[],5,FALSE)</f>
        <v>9.56</v>
      </c>
      <c r="M765" s="4">
        <f>tblTransactions[[#This Row],[Total_Amount]]-(tblTransactions[[#This Row],[Cost_Prices]]*tblTransactions[[#This Row],[Quantity]]*(1-tblTransactions[[#This Row],[Discount]]))</f>
        <v>59.292399999999994</v>
      </c>
      <c r="N765" s="3">
        <f>tblTransactions[[#This Row],[Profit]]/tblTransactions[[#This Row],[Total_Amount]]</f>
        <v>0.53181810027805176</v>
      </c>
      <c r="O765" t="str">
        <f>TEXT(tblTransactions[[#This Row],[Date]], "MMM-YYYY")</f>
        <v>Jun-2023</v>
      </c>
      <c r="P765" t="str">
        <f>"Q"&amp;ROUNDUP(MONTH(tblTransactions[[#This Row],[Date]])/3,0)&amp;"-"&amp;YEAR(tblTransactions[[#This Row],[Date]])</f>
        <v>Q2-2023</v>
      </c>
      <c r="Q765">
        <f>YEAR(tblTransactions[[#This Row],[Date]])</f>
        <v>2023</v>
      </c>
      <c r="R765" t="str">
        <f>TEXT(tblTransactions[[#This Row],[Date]],"DDDD")</f>
        <v>Wednesday</v>
      </c>
      <c r="S765">
        <f>MONTH(tblTransactions[[#This Row],[Date]])</f>
        <v>6</v>
      </c>
      <c r="T765" t="str">
        <f>VLOOKUP(E765, Products!$A:$B,2,0)</f>
        <v>Cases Acc-3</v>
      </c>
      <c r="U765" t="str">
        <f>VLOOKUP(E765,Products!$A:$C,3,0)</f>
        <v>Accessories</v>
      </c>
      <c r="V765" t="str">
        <f>VLOOKUP(E765,Products!$A:$D,4,0)</f>
        <v>Cases</v>
      </c>
      <c r="W765" t="str">
        <f>VLOOKUP(D765,Customers!$A:$C,3,0)</f>
        <v>Small Business</v>
      </c>
      <c r="X765" t="str">
        <f>VLOOKUP(C765,Sales_Representatives!$A:$B,2,0)</f>
        <v>John Brown</v>
      </c>
    </row>
    <row r="766" spans="1:24" x14ac:dyDescent="0.3">
      <c r="A766" t="s">
        <v>1084</v>
      </c>
      <c r="B766" t="s">
        <v>1085</v>
      </c>
      <c r="C766" t="s">
        <v>56</v>
      </c>
      <c r="D766" t="s">
        <v>228</v>
      </c>
      <c r="E766" t="s">
        <v>479</v>
      </c>
      <c r="F766">
        <v>1</v>
      </c>
      <c r="G766">
        <v>239.6</v>
      </c>
      <c r="H766">
        <v>7.0000000000000007E-2</v>
      </c>
      <c r="I766" s="4">
        <v>222.83</v>
      </c>
      <c r="J766" t="s">
        <v>34</v>
      </c>
      <c r="K766" t="s">
        <v>39</v>
      </c>
      <c r="L766" s="4">
        <f>VLOOKUP(tblTransactions[[#This Row],[Product_ID]],tblProducts[],5,FALSE)</f>
        <v>107.49</v>
      </c>
      <c r="M766" s="4">
        <f>tblTransactions[[#This Row],[Total_Amount]]-(tblTransactions[[#This Row],[Cost_Prices]]*tblTransactions[[#This Row],[Quantity]]*(1-tblTransactions[[#This Row],[Discount]]))</f>
        <v>122.86430000000003</v>
      </c>
      <c r="N766" s="3">
        <f>tblTransactions[[#This Row],[Profit]]/tblTransactions[[#This Row],[Total_Amount]]</f>
        <v>0.55138132208410007</v>
      </c>
      <c r="O766" t="str">
        <f>TEXT(tblTransactions[[#This Row],[Date]], "MMM-YYYY")</f>
        <v>Jun-2023</v>
      </c>
      <c r="P766" t="str">
        <f>"Q"&amp;ROUNDUP(MONTH(tblTransactions[[#This Row],[Date]])/3,0)&amp;"-"&amp;YEAR(tblTransactions[[#This Row],[Date]])</f>
        <v>Q2-2023</v>
      </c>
      <c r="Q766">
        <f>YEAR(tblTransactions[[#This Row],[Date]])</f>
        <v>2023</v>
      </c>
      <c r="R766" t="str">
        <f>TEXT(tblTransactions[[#This Row],[Date]],"DDDD")</f>
        <v>Thursday</v>
      </c>
      <c r="S766">
        <f>MONTH(tblTransactions[[#This Row],[Date]])</f>
        <v>6</v>
      </c>
      <c r="T766" t="str">
        <f>VLOOKUP(E766, Products!$A:$B,2,0)</f>
        <v>Pens Off-2</v>
      </c>
      <c r="U766" t="str">
        <f>VLOOKUP(E766,Products!$A:$C,3,0)</f>
        <v>Office Supplies</v>
      </c>
      <c r="V766" t="str">
        <f>VLOOKUP(E766,Products!$A:$D,4,0)</f>
        <v>Pens</v>
      </c>
      <c r="W766" t="str">
        <f>VLOOKUP(D766,Customers!$A:$C,3,0)</f>
        <v>Small Business</v>
      </c>
      <c r="X766" t="str">
        <f>VLOOKUP(C766,Sales_Representatives!$A:$B,2,0)</f>
        <v>Thomas Hernandez</v>
      </c>
    </row>
    <row r="767" spans="1:24" x14ac:dyDescent="0.3">
      <c r="A767" t="s">
        <v>1086</v>
      </c>
      <c r="B767" t="s">
        <v>1085</v>
      </c>
      <c r="C767" t="s">
        <v>75</v>
      </c>
      <c r="D767" t="s">
        <v>144</v>
      </c>
      <c r="E767" t="s">
        <v>38</v>
      </c>
      <c r="F767">
        <v>3</v>
      </c>
      <c r="G767">
        <v>581.47</v>
      </c>
      <c r="H767">
        <v>0.08</v>
      </c>
      <c r="I767" s="4">
        <v>1604.86</v>
      </c>
      <c r="J767" t="s">
        <v>44</v>
      </c>
      <c r="K767" t="s">
        <v>48</v>
      </c>
      <c r="L767" s="4">
        <f>VLOOKUP(tblTransactions[[#This Row],[Product_ID]],tblProducts[],5,FALSE)</f>
        <v>372.07</v>
      </c>
      <c r="M767" s="4">
        <f>tblTransactions[[#This Row],[Total_Amount]]-(tblTransactions[[#This Row],[Cost_Prices]]*tblTransactions[[#This Row],[Quantity]]*(1-tblTransactions[[#This Row],[Discount]]))</f>
        <v>577.94679999999971</v>
      </c>
      <c r="N767" s="3">
        <f>tblTransactions[[#This Row],[Profit]]/tblTransactions[[#This Row],[Total_Amount]]</f>
        <v>0.36012287676183574</v>
      </c>
      <c r="O767" t="str">
        <f>TEXT(tblTransactions[[#This Row],[Date]], "MMM-YYYY")</f>
        <v>Jun-2023</v>
      </c>
      <c r="P767" t="str">
        <f>"Q"&amp;ROUNDUP(MONTH(tblTransactions[[#This Row],[Date]])/3,0)&amp;"-"&amp;YEAR(tblTransactions[[#This Row],[Date]])</f>
        <v>Q2-2023</v>
      </c>
      <c r="Q767">
        <f>YEAR(tblTransactions[[#This Row],[Date]])</f>
        <v>2023</v>
      </c>
      <c r="R767" t="str">
        <f>TEXT(tblTransactions[[#This Row],[Date]],"DDDD")</f>
        <v>Thursday</v>
      </c>
      <c r="S767">
        <f>MONTH(tblTransactions[[#This Row],[Date]])</f>
        <v>6</v>
      </c>
      <c r="T767" t="str">
        <f>VLOOKUP(E767, Products!$A:$B,2,0)</f>
        <v>Storage Fur-3</v>
      </c>
      <c r="U767" t="str">
        <f>VLOOKUP(E767,Products!$A:$C,3,0)</f>
        <v>Furniture</v>
      </c>
      <c r="V767" t="str">
        <f>VLOOKUP(E767,Products!$A:$D,4,0)</f>
        <v>Storage</v>
      </c>
      <c r="W767" t="str">
        <f>VLOOKUP(D767,Customers!$A:$C,3,0)</f>
        <v>B2C</v>
      </c>
      <c r="X767" t="str">
        <f>VLOOKUP(C767,Sales_Representatives!$A:$B,2,0)</f>
        <v>Jessica Anderson</v>
      </c>
    </row>
    <row r="768" spans="1:24" x14ac:dyDescent="0.3">
      <c r="A768" t="s">
        <v>1087</v>
      </c>
      <c r="B768" t="s">
        <v>1085</v>
      </c>
      <c r="C768" t="s">
        <v>63</v>
      </c>
      <c r="D768" t="s">
        <v>132</v>
      </c>
      <c r="E768" t="s">
        <v>102</v>
      </c>
      <c r="F768">
        <v>10</v>
      </c>
      <c r="G768">
        <v>1097.75</v>
      </c>
      <c r="H768">
        <v>0.14000000000000001</v>
      </c>
      <c r="I768" s="4">
        <v>9440.65</v>
      </c>
      <c r="J768" t="s">
        <v>21</v>
      </c>
      <c r="K768" t="s">
        <v>39</v>
      </c>
      <c r="L768" s="4">
        <f>VLOOKUP(tblTransactions[[#This Row],[Product_ID]],tblProducts[],5,FALSE)</f>
        <v>680.12</v>
      </c>
      <c r="M768" s="4">
        <f>tblTransactions[[#This Row],[Total_Amount]]-(tblTransactions[[#This Row],[Cost_Prices]]*tblTransactions[[#This Row],[Quantity]]*(1-tblTransactions[[#This Row],[Discount]]))</f>
        <v>3591.6179999999995</v>
      </c>
      <c r="N768" s="3">
        <f>tblTransactions[[#This Row],[Profit]]/tblTransactions[[#This Row],[Total_Amount]]</f>
        <v>0.38044181279890682</v>
      </c>
      <c r="O768" t="str">
        <f>TEXT(tblTransactions[[#This Row],[Date]], "MMM-YYYY")</f>
        <v>Jun-2023</v>
      </c>
      <c r="P768" t="str">
        <f>"Q"&amp;ROUNDUP(MONTH(tblTransactions[[#This Row],[Date]])/3,0)&amp;"-"&amp;YEAR(tblTransactions[[#This Row],[Date]])</f>
        <v>Q2-2023</v>
      </c>
      <c r="Q768">
        <f>YEAR(tblTransactions[[#This Row],[Date]])</f>
        <v>2023</v>
      </c>
      <c r="R768" t="str">
        <f>TEXT(tblTransactions[[#This Row],[Date]],"DDDD")</f>
        <v>Thursday</v>
      </c>
      <c r="S768">
        <f>MONTH(tblTransactions[[#This Row],[Date]])</f>
        <v>6</v>
      </c>
      <c r="T768" t="str">
        <f>VLOOKUP(E768, Products!$A:$B,2,0)</f>
        <v>Storage Fur-4</v>
      </c>
      <c r="U768" t="str">
        <f>VLOOKUP(E768,Products!$A:$C,3,0)</f>
        <v>Furniture</v>
      </c>
      <c r="V768" t="str">
        <f>VLOOKUP(E768,Products!$A:$D,4,0)</f>
        <v>Storage</v>
      </c>
      <c r="W768" t="str">
        <f>VLOOKUP(D768,Customers!$A:$C,3,0)</f>
        <v>B2B</v>
      </c>
      <c r="X768" t="str">
        <f>VLOOKUP(C768,Sales_Representatives!$A:$B,2,0)</f>
        <v>Richard Wilson</v>
      </c>
    </row>
    <row r="769" spans="1:24" x14ac:dyDescent="0.3">
      <c r="A769" t="s">
        <v>1088</v>
      </c>
      <c r="B769" t="s">
        <v>1085</v>
      </c>
      <c r="C769" t="s">
        <v>41</v>
      </c>
      <c r="D769" t="s">
        <v>101</v>
      </c>
      <c r="E769" t="s">
        <v>258</v>
      </c>
      <c r="F769">
        <v>1</v>
      </c>
      <c r="G769">
        <v>73.33</v>
      </c>
      <c r="H769">
        <v>0</v>
      </c>
      <c r="I769" s="4">
        <v>73.33</v>
      </c>
      <c r="J769" t="s">
        <v>44</v>
      </c>
      <c r="K769" t="s">
        <v>22</v>
      </c>
      <c r="L769" s="4">
        <f>VLOOKUP(tblTransactions[[#This Row],[Product_ID]],tblProducts[],5,FALSE)</f>
        <v>38.049999999999997</v>
      </c>
      <c r="M769" s="4">
        <f>tblTransactions[[#This Row],[Total_Amount]]-(tblTransactions[[#This Row],[Cost_Prices]]*tblTransactions[[#This Row],[Quantity]]*(1-tblTransactions[[#This Row],[Discount]]))</f>
        <v>35.28</v>
      </c>
      <c r="N769" s="3">
        <f>tblTransactions[[#This Row],[Profit]]/tblTransactions[[#This Row],[Total_Amount]]</f>
        <v>0.48111277785353884</v>
      </c>
      <c r="O769" t="str">
        <f>TEXT(tblTransactions[[#This Row],[Date]], "MMM-YYYY")</f>
        <v>Jun-2023</v>
      </c>
      <c r="P769" t="str">
        <f>"Q"&amp;ROUNDUP(MONTH(tblTransactions[[#This Row],[Date]])/3,0)&amp;"-"&amp;YEAR(tblTransactions[[#This Row],[Date]])</f>
        <v>Q2-2023</v>
      </c>
      <c r="Q769">
        <f>YEAR(tblTransactions[[#This Row],[Date]])</f>
        <v>2023</v>
      </c>
      <c r="R769" t="str">
        <f>TEXT(tblTransactions[[#This Row],[Date]],"DDDD")</f>
        <v>Thursday</v>
      </c>
      <c r="S769">
        <f>MONTH(tblTransactions[[#This Row],[Date]])</f>
        <v>6</v>
      </c>
      <c r="T769" t="str">
        <f>VLOOKUP(E769, Products!$A:$B,2,0)</f>
        <v>Keyboards Acc-3</v>
      </c>
      <c r="U769" t="str">
        <f>VLOOKUP(E769,Products!$A:$C,3,0)</f>
        <v>Accessories</v>
      </c>
      <c r="V769" t="str">
        <f>VLOOKUP(E769,Products!$A:$D,4,0)</f>
        <v>Keyboards</v>
      </c>
      <c r="W769" t="str">
        <f>VLOOKUP(D769,Customers!$A:$C,3,0)</f>
        <v>B2C</v>
      </c>
      <c r="X769" t="str">
        <f>VLOOKUP(C769,Sales_Representatives!$A:$B,2,0)</f>
        <v>Robert Jones</v>
      </c>
    </row>
    <row r="770" spans="1:24" x14ac:dyDescent="0.3">
      <c r="A770" t="s">
        <v>1089</v>
      </c>
      <c r="B770" t="s">
        <v>1085</v>
      </c>
      <c r="C770" t="s">
        <v>75</v>
      </c>
      <c r="D770" t="s">
        <v>112</v>
      </c>
      <c r="E770" t="s">
        <v>191</v>
      </c>
      <c r="F770">
        <v>18</v>
      </c>
      <c r="G770">
        <v>1012.75</v>
      </c>
      <c r="H770">
        <v>0.15</v>
      </c>
      <c r="I770" s="4">
        <v>15495.08</v>
      </c>
      <c r="J770" t="s">
        <v>44</v>
      </c>
      <c r="K770" t="s">
        <v>35</v>
      </c>
      <c r="L770" s="4">
        <f>VLOOKUP(tblTransactions[[#This Row],[Product_ID]],tblProducts[],5,FALSE)</f>
        <v>518.53</v>
      </c>
      <c r="M770" s="4">
        <f>tblTransactions[[#This Row],[Total_Amount]]-(tblTransactions[[#This Row],[Cost_Prices]]*tblTransactions[[#This Row],[Quantity]]*(1-tblTransactions[[#This Row],[Discount]]))</f>
        <v>7561.5710000000008</v>
      </c>
      <c r="N770" s="3">
        <f>tblTransactions[[#This Row],[Profit]]/tblTransactions[[#This Row],[Total_Amount]]</f>
        <v>0.48799819039333781</v>
      </c>
      <c r="O770" t="str">
        <f>TEXT(tblTransactions[[#This Row],[Date]], "MMM-YYYY")</f>
        <v>Jun-2023</v>
      </c>
      <c r="P770" t="str">
        <f>"Q"&amp;ROUNDUP(MONTH(tblTransactions[[#This Row],[Date]])/3,0)&amp;"-"&amp;YEAR(tblTransactions[[#This Row],[Date]])</f>
        <v>Q2-2023</v>
      </c>
      <c r="Q770">
        <f>YEAR(tblTransactions[[#This Row],[Date]])</f>
        <v>2023</v>
      </c>
      <c r="R770" t="str">
        <f>TEXT(tblTransactions[[#This Row],[Date]],"DDDD")</f>
        <v>Thursday</v>
      </c>
      <c r="S770">
        <f>MONTH(tblTransactions[[#This Row],[Date]])</f>
        <v>6</v>
      </c>
      <c r="T770" t="str">
        <f>VLOOKUP(E770, Products!$A:$B,2,0)</f>
        <v>Tables Fur-4</v>
      </c>
      <c r="U770" t="str">
        <f>VLOOKUP(E770,Products!$A:$C,3,0)</f>
        <v>Furniture</v>
      </c>
      <c r="V770" t="str">
        <f>VLOOKUP(E770,Products!$A:$D,4,0)</f>
        <v>Tables</v>
      </c>
      <c r="W770" t="str">
        <f>VLOOKUP(D770,Customers!$A:$C,3,0)</f>
        <v>Enterprise</v>
      </c>
      <c r="X770" t="str">
        <f>VLOOKUP(C770,Sales_Representatives!$A:$B,2,0)</f>
        <v>Jessica Anderson</v>
      </c>
    </row>
    <row r="771" spans="1:24" x14ac:dyDescent="0.3">
      <c r="A771" t="s">
        <v>1090</v>
      </c>
      <c r="B771" t="s">
        <v>1091</v>
      </c>
      <c r="C771" t="s">
        <v>27</v>
      </c>
      <c r="D771" t="s">
        <v>83</v>
      </c>
      <c r="E771" t="s">
        <v>217</v>
      </c>
      <c r="F771">
        <v>2</v>
      </c>
      <c r="G771">
        <v>145.51</v>
      </c>
      <c r="H771">
        <v>0.1</v>
      </c>
      <c r="I771" s="4">
        <v>261.92</v>
      </c>
      <c r="J771" t="s">
        <v>16</v>
      </c>
      <c r="K771" t="s">
        <v>17</v>
      </c>
      <c r="L771" s="4">
        <f>VLOOKUP(tblTransactions[[#This Row],[Product_ID]],tblProducts[],5,FALSE)</f>
        <v>64.510000000000005</v>
      </c>
      <c r="M771" s="4">
        <f>tblTransactions[[#This Row],[Total_Amount]]-(tblTransactions[[#This Row],[Cost_Prices]]*tblTransactions[[#This Row],[Quantity]]*(1-tblTransactions[[#This Row],[Discount]]))</f>
        <v>145.80200000000002</v>
      </c>
      <c r="N771" s="3">
        <f>tblTransactions[[#This Row],[Profit]]/tblTransactions[[#This Row],[Total_Amount]]</f>
        <v>0.55666615760537574</v>
      </c>
      <c r="O771" t="str">
        <f>TEXT(tblTransactions[[#This Row],[Date]], "MMM-YYYY")</f>
        <v>Jun-2023</v>
      </c>
      <c r="P771" t="str">
        <f>"Q"&amp;ROUNDUP(MONTH(tblTransactions[[#This Row],[Date]])/3,0)&amp;"-"&amp;YEAR(tblTransactions[[#This Row],[Date]])</f>
        <v>Q2-2023</v>
      </c>
      <c r="Q771">
        <f>YEAR(tblTransactions[[#This Row],[Date]])</f>
        <v>2023</v>
      </c>
      <c r="R771" t="str">
        <f>TEXT(tblTransactions[[#This Row],[Date]],"DDDD")</f>
        <v>Friday</v>
      </c>
      <c r="S771">
        <f>MONTH(tblTransactions[[#This Row],[Date]])</f>
        <v>6</v>
      </c>
      <c r="T771" t="str">
        <f>VLOOKUP(E771, Products!$A:$B,2,0)</f>
        <v>Cables Acc-2</v>
      </c>
      <c r="U771" t="str">
        <f>VLOOKUP(E771,Products!$A:$C,3,0)</f>
        <v>Accessories</v>
      </c>
      <c r="V771" t="str">
        <f>VLOOKUP(E771,Products!$A:$D,4,0)</f>
        <v>Cables</v>
      </c>
      <c r="W771" t="str">
        <f>VLOOKUP(D771,Customers!$A:$C,3,0)</f>
        <v>Small Business</v>
      </c>
      <c r="X771" t="str">
        <f>VLOOKUP(C771,Sales_Representatives!$A:$B,2,0)</f>
        <v>Thomas Lopez</v>
      </c>
    </row>
    <row r="772" spans="1:24" x14ac:dyDescent="0.3">
      <c r="A772" t="s">
        <v>1092</v>
      </c>
      <c r="B772" t="s">
        <v>1091</v>
      </c>
      <c r="C772" t="s">
        <v>107</v>
      </c>
      <c r="D772" t="s">
        <v>93</v>
      </c>
      <c r="E772" t="s">
        <v>221</v>
      </c>
      <c r="F772">
        <v>2</v>
      </c>
      <c r="G772">
        <v>210.02</v>
      </c>
      <c r="H772">
        <v>0.09</v>
      </c>
      <c r="I772" s="4">
        <v>382.24</v>
      </c>
      <c r="J772" t="s">
        <v>109</v>
      </c>
      <c r="K772" t="s">
        <v>39</v>
      </c>
      <c r="L772" s="4">
        <f>VLOOKUP(tblTransactions[[#This Row],[Product_ID]],tblProducts[],5,FALSE)</f>
        <v>131.66</v>
      </c>
      <c r="M772" s="4">
        <f>tblTransactions[[#This Row],[Total_Amount]]-(tblTransactions[[#This Row],[Cost_Prices]]*tblTransactions[[#This Row],[Quantity]]*(1-tblTransactions[[#This Row],[Discount]]))</f>
        <v>142.61879999999999</v>
      </c>
      <c r="N772" s="3">
        <f>tblTransactions[[#This Row],[Profit]]/tblTransactions[[#This Row],[Total_Amount]]</f>
        <v>0.37311322729175384</v>
      </c>
      <c r="O772" t="str">
        <f>TEXT(tblTransactions[[#This Row],[Date]], "MMM-YYYY")</f>
        <v>Jun-2023</v>
      </c>
      <c r="P772" t="str">
        <f>"Q"&amp;ROUNDUP(MONTH(tblTransactions[[#This Row],[Date]])/3,0)&amp;"-"&amp;YEAR(tblTransactions[[#This Row],[Date]])</f>
        <v>Q2-2023</v>
      </c>
      <c r="Q772">
        <f>YEAR(tblTransactions[[#This Row],[Date]])</f>
        <v>2023</v>
      </c>
      <c r="R772" t="str">
        <f>TEXT(tblTransactions[[#This Row],[Date]],"DDDD")</f>
        <v>Friday</v>
      </c>
      <c r="S772">
        <f>MONTH(tblTransactions[[#This Row],[Date]])</f>
        <v>6</v>
      </c>
      <c r="T772" t="str">
        <f>VLOOKUP(E772, Products!$A:$B,2,0)</f>
        <v>Storage Fur-2</v>
      </c>
      <c r="U772" t="str">
        <f>VLOOKUP(E772,Products!$A:$C,3,0)</f>
        <v>Furniture</v>
      </c>
      <c r="V772" t="str">
        <f>VLOOKUP(E772,Products!$A:$D,4,0)</f>
        <v>Storage</v>
      </c>
      <c r="W772" t="str">
        <f>VLOOKUP(D772,Customers!$A:$C,3,0)</f>
        <v>B2C</v>
      </c>
      <c r="X772" t="str">
        <f>VLOOKUP(C772,Sales_Representatives!$A:$B,2,0)</f>
        <v>Jennifer Brown</v>
      </c>
    </row>
    <row r="773" spans="1:24" x14ac:dyDescent="0.3">
      <c r="A773" t="s">
        <v>1093</v>
      </c>
      <c r="B773" t="s">
        <v>1091</v>
      </c>
      <c r="C773" t="s">
        <v>127</v>
      </c>
      <c r="D773" t="s">
        <v>197</v>
      </c>
      <c r="E773" t="s">
        <v>450</v>
      </c>
      <c r="F773">
        <v>26</v>
      </c>
      <c r="G773">
        <v>2083.92</v>
      </c>
      <c r="H773">
        <v>0.24</v>
      </c>
      <c r="I773" s="4">
        <v>41178.26</v>
      </c>
      <c r="J773" t="s">
        <v>109</v>
      </c>
      <c r="K773" t="s">
        <v>39</v>
      </c>
      <c r="L773" s="4">
        <f>VLOOKUP(tblTransactions[[#This Row],[Product_ID]],tblProducts[],5,FALSE)</f>
        <v>1425.78</v>
      </c>
      <c r="M773" s="4">
        <f>tblTransactions[[#This Row],[Total_Amount]]-(tblTransactions[[#This Row],[Cost_Prices]]*tblTransactions[[#This Row],[Quantity]]*(1-tblTransactions[[#This Row],[Discount]]))</f>
        <v>13004.847200000004</v>
      </c>
      <c r="N773" s="3">
        <f>tblTransactions[[#This Row],[Profit]]/tblTransactions[[#This Row],[Total_Amount]]</f>
        <v>0.31581827886850983</v>
      </c>
      <c r="O773" t="str">
        <f>TEXT(tblTransactions[[#This Row],[Date]], "MMM-YYYY")</f>
        <v>Jun-2023</v>
      </c>
      <c r="P773" t="str">
        <f>"Q"&amp;ROUNDUP(MONTH(tblTransactions[[#This Row],[Date]])/3,0)&amp;"-"&amp;YEAR(tblTransactions[[#This Row],[Date]])</f>
        <v>Q2-2023</v>
      </c>
      <c r="Q773">
        <f>YEAR(tblTransactions[[#This Row],[Date]])</f>
        <v>2023</v>
      </c>
      <c r="R773" t="str">
        <f>TEXT(tblTransactions[[#This Row],[Date]],"DDDD")</f>
        <v>Friday</v>
      </c>
      <c r="S773">
        <f>MONTH(tblTransactions[[#This Row],[Date]])</f>
        <v>6</v>
      </c>
      <c r="T773" t="str">
        <f>VLOOKUP(E773, Products!$A:$B,2,0)</f>
        <v>Monitors Tec-4</v>
      </c>
      <c r="U773" t="str">
        <f>VLOOKUP(E773,Products!$A:$C,3,0)</f>
        <v>Technology</v>
      </c>
      <c r="V773" t="str">
        <f>VLOOKUP(E773,Products!$A:$D,4,0)</f>
        <v>Monitors</v>
      </c>
      <c r="W773" t="str">
        <f>VLOOKUP(D773,Customers!$A:$C,3,0)</f>
        <v>Enterprise</v>
      </c>
      <c r="X773" t="str">
        <f>VLOOKUP(C773,Sales_Representatives!$A:$B,2,0)</f>
        <v>Emily Hernandez</v>
      </c>
    </row>
    <row r="774" spans="1:24" x14ac:dyDescent="0.3">
      <c r="A774" t="s">
        <v>1094</v>
      </c>
      <c r="B774" t="s">
        <v>1091</v>
      </c>
      <c r="C774" t="s">
        <v>107</v>
      </c>
      <c r="D774" t="s">
        <v>197</v>
      </c>
      <c r="E774" t="s">
        <v>125</v>
      </c>
      <c r="F774">
        <v>49</v>
      </c>
      <c r="G774">
        <v>1201.4000000000001</v>
      </c>
      <c r="H774">
        <v>0.16</v>
      </c>
      <c r="I774" s="4">
        <v>49449.62</v>
      </c>
      <c r="J774" t="s">
        <v>109</v>
      </c>
      <c r="K774" t="s">
        <v>39</v>
      </c>
      <c r="L774" s="4">
        <f>VLOOKUP(tblTransactions[[#This Row],[Product_ID]],tblProducts[],5,FALSE)</f>
        <v>672.72</v>
      </c>
      <c r="M774" s="4">
        <f>tblTransactions[[#This Row],[Total_Amount]]-(tblTransactions[[#This Row],[Cost_Prices]]*tblTransactions[[#This Row],[Quantity]]*(1-tblTransactions[[#This Row],[Discount]]))</f>
        <v>21760.464800000005</v>
      </c>
      <c r="N774" s="3">
        <f>tblTransactions[[#This Row],[Profit]]/tblTransactions[[#This Row],[Total_Amount]]</f>
        <v>0.44005322588929913</v>
      </c>
      <c r="O774" t="str">
        <f>TEXT(tblTransactions[[#This Row],[Date]], "MMM-YYYY")</f>
        <v>Jun-2023</v>
      </c>
      <c r="P774" t="str">
        <f>"Q"&amp;ROUNDUP(MONTH(tblTransactions[[#This Row],[Date]])/3,0)&amp;"-"&amp;YEAR(tblTransactions[[#This Row],[Date]])</f>
        <v>Q2-2023</v>
      </c>
      <c r="Q774">
        <f>YEAR(tblTransactions[[#This Row],[Date]])</f>
        <v>2023</v>
      </c>
      <c r="R774" t="str">
        <f>TEXT(tblTransactions[[#This Row],[Date]],"DDDD")</f>
        <v>Friday</v>
      </c>
      <c r="S774">
        <f>MONTH(tblTransactions[[#This Row],[Date]])</f>
        <v>6</v>
      </c>
      <c r="T774" t="str">
        <f>VLOOKUP(E774, Products!$A:$B,2,0)</f>
        <v>Printers Tec-2</v>
      </c>
      <c r="U774" t="str">
        <f>VLOOKUP(E774,Products!$A:$C,3,0)</f>
        <v>Technology</v>
      </c>
      <c r="V774" t="str">
        <f>VLOOKUP(E774,Products!$A:$D,4,0)</f>
        <v>Printers</v>
      </c>
      <c r="W774" t="str">
        <f>VLOOKUP(D774,Customers!$A:$C,3,0)</f>
        <v>Enterprise</v>
      </c>
      <c r="X774" t="str">
        <f>VLOOKUP(C774,Sales_Representatives!$A:$B,2,0)</f>
        <v>Jennifer Brown</v>
      </c>
    </row>
    <row r="775" spans="1:24" x14ac:dyDescent="0.3">
      <c r="A775" t="s">
        <v>1095</v>
      </c>
      <c r="B775" t="s">
        <v>1096</v>
      </c>
      <c r="C775" t="s">
        <v>141</v>
      </c>
      <c r="D775" t="s">
        <v>156</v>
      </c>
      <c r="E775" t="s">
        <v>204</v>
      </c>
      <c r="F775">
        <v>16</v>
      </c>
      <c r="G775">
        <v>715.62</v>
      </c>
      <c r="H775">
        <v>0.11</v>
      </c>
      <c r="I775" s="4">
        <v>10190.43</v>
      </c>
      <c r="J775" t="s">
        <v>109</v>
      </c>
      <c r="K775" t="s">
        <v>48</v>
      </c>
      <c r="L775" s="4">
        <f>VLOOKUP(tblTransactions[[#This Row],[Product_ID]],tblProducts[],5,FALSE)</f>
        <v>459.58</v>
      </c>
      <c r="M775" s="4">
        <f>tblTransactions[[#This Row],[Total_Amount]]-(tblTransactions[[#This Row],[Cost_Prices]]*tblTransactions[[#This Row],[Quantity]]*(1-tblTransactions[[#This Row],[Discount]]))</f>
        <v>3646.0108</v>
      </c>
      <c r="N775" s="3">
        <f>tblTransactions[[#This Row],[Profit]]/tblTransactions[[#This Row],[Total_Amount]]</f>
        <v>0.3577877282901703</v>
      </c>
      <c r="O775" t="str">
        <f>TEXT(tblTransactions[[#This Row],[Date]], "MMM-YYYY")</f>
        <v>Jun-2023</v>
      </c>
      <c r="P775" t="str">
        <f>"Q"&amp;ROUNDUP(MONTH(tblTransactions[[#This Row],[Date]])/3,0)&amp;"-"&amp;YEAR(tblTransactions[[#This Row],[Date]])</f>
        <v>Q2-2023</v>
      </c>
      <c r="Q775">
        <f>YEAR(tblTransactions[[#This Row],[Date]])</f>
        <v>2023</v>
      </c>
      <c r="R775" t="str">
        <f>TEXT(tblTransactions[[#This Row],[Date]],"DDDD")</f>
        <v>Saturday</v>
      </c>
      <c r="S775">
        <f>MONTH(tblTransactions[[#This Row],[Date]])</f>
        <v>6</v>
      </c>
      <c r="T775" t="str">
        <f>VLOOKUP(E775, Products!$A:$B,2,0)</f>
        <v>Cameras Ele-2</v>
      </c>
      <c r="U775" t="str">
        <f>VLOOKUP(E775,Products!$A:$C,3,0)</f>
        <v>Electronics</v>
      </c>
      <c r="V775" t="str">
        <f>VLOOKUP(E775,Products!$A:$D,4,0)</f>
        <v>Cameras</v>
      </c>
      <c r="W775" t="str">
        <f>VLOOKUP(D775,Customers!$A:$C,3,0)</f>
        <v>B2B</v>
      </c>
      <c r="X775" t="str">
        <f>VLOOKUP(C775,Sales_Representatives!$A:$B,2,0)</f>
        <v>Richard Garcia</v>
      </c>
    </row>
    <row r="776" spans="1:24" x14ac:dyDescent="0.3">
      <c r="A776" t="s">
        <v>1097</v>
      </c>
      <c r="B776" t="s">
        <v>1096</v>
      </c>
      <c r="C776" t="s">
        <v>13</v>
      </c>
      <c r="D776" t="s">
        <v>237</v>
      </c>
      <c r="E776" t="s">
        <v>129</v>
      </c>
      <c r="F776">
        <v>11</v>
      </c>
      <c r="G776">
        <v>1283.71</v>
      </c>
      <c r="H776">
        <v>0.11</v>
      </c>
      <c r="I776" s="4">
        <v>12567.52</v>
      </c>
      <c r="J776" t="s">
        <v>16</v>
      </c>
      <c r="K776" t="s">
        <v>17</v>
      </c>
      <c r="L776" s="4">
        <f>VLOOKUP(tblTransactions[[#This Row],[Product_ID]],tblProducts[],5,FALSE)</f>
        <v>970.14</v>
      </c>
      <c r="M776" s="4">
        <f>tblTransactions[[#This Row],[Total_Amount]]-(tblTransactions[[#This Row],[Cost_Prices]]*tblTransactions[[#This Row],[Quantity]]*(1-tblTransactions[[#This Row],[Discount]]))</f>
        <v>3069.849400000001</v>
      </c>
      <c r="N776" s="3">
        <f>tblTransactions[[#This Row],[Profit]]/tblTransactions[[#This Row],[Total_Amount]]</f>
        <v>0.24426851120984894</v>
      </c>
      <c r="O776" t="str">
        <f>TEXT(tblTransactions[[#This Row],[Date]], "MMM-YYYY")</f>
        <v>Jun-2023</v>
      </c>
      <c r="P776" t="str">
        <f>"Q"&amp;ROUNDUP(MONTH(tblTransactions[[#This Row],[Date]])/3,0)&amp;"-"&amp;YEAR(tblTransactions[[#This Row],[Date]])</f>
        <v>Q2-2023</v>
      </c>
      <c r="Q776">
        <f>YEAR(tblTransactions[[#This Row],[Date]])</f>
        <v>2023</v>
      </c>
      <c r="R776" t="str">
        <f>TEXT(tblTransactions[[#This Row],[Date]],"DDDD")</f>
        <v>Saturday</v>
      </c>
      <c r="S776">
        <f>MONTH(tblTransactions[[#This Row],[Date]])</f>
        <v>6</v>
      </c>
      <c r="T776" t="str">
        <f>VLOOKUP(E776, Products!$A:$B,2,0)</f>
        <v>Cameras Ele-3</v>
      </c>
      <c r="U776" t="str">
        <f>VLOOKUP(E776,Products!$A:$C,3,0)</f>
        <v>Electronics</v>
      </c>
      <c r="V776" t="str">
        <f>VLOOKUP(E776,Products!$A:$D,4,0)</f>
        <v>Cameras</v>
      </c>
      <c r="W776" t="str">
        <f>VLOOKUP(D776,Customers!$A:$C,3,0)</f>
        <v>B2B</v>
      </c>
      <c r="X776" t="str">
        <f>VLOOKUP(C776,Sales_Representatives!$A:$B,2,0)</f>
        <v>Jennifer Rodriguez</v>
      </c>
    </row>
    <row r="777" spans="1:24" x14ac:dyDescent="0.3">
      <c r="A777" t="s">
        <v>1098</v>
      </c>
      <c r="B777" t="s">
        <v>1096</v>
      </c>
      <c r="C777" t="s">
        <v>63</v>
      </c>
      <c r="D777" t="s">
        <v>76</v>
      </c>
      <c r="E777" t="s">
        <v>87</v>
      </c>
      <c r="F777">
        <v>2</v>
      </c>
      <c r="G777">
        <v>1047.8900000000001</v>
      </c>
      <c r="H777">
        <v>0.08</v>
      </c>
      <c r="I777" s="4">
        <v>1928.12</v>
      </c>
      <c r="J777" t="s">
        <v>21</v>
      </c>
      <c r="K777" t="s">
        <v>48</v>
      </c>
      <c r="L777" s="4">
        <f>VLOOKUP(tblTransactions[[#This Row],[Product_ID]],tblProducts[],5,FALSE)</f>
        <v>742.63</v>
      </c>
      <c r="M777" s="4">
        <f>tblTransactions[[#This Row],[Total_Amount]]-(tblTransactions[[#This Row],[Cost_Prices]]*tblTransactions[[#This Row],[Quantity]]*(1-tblTransactions[[#This Row],[Discount]]))</f>
        <v>561.68079999999986</v>
      </c>
      <c r="N777" s="3">
        <f>tblTransactions[[#This Row],[Profit]]/tblTransactions[[#This Row],[Total_Amount]]</f>
        <v>0.29131008443457873</v>
      </c>
      <c r="O777" t="str">
        <f>TEXT(tblTransactions[[#This Row],[Date]], "MMM-YYYY")</f>
        <v>Jun-2023</v>
      </c>
      <c r="P777" t="str">
        <f>"Q"&amp;ROUNDUP(MONTH(tblTransactions[[#This Row],[Date]])/3,0)&amp;"-"&amp;YEAR(tblTransactions[[#This Row],[Date]])</f>
        <v>Q2-2023</v>
      </c>
      <c r="Q777">
        <f>YEAR(tblTransactions[[#This Row],[Date]])</f>
        <v>2023</v>
      </c>
      <c r="R777" t="str">
        <f>TEXT(tblTransactions[[#This Row],[Date]],"DDDD")</f>
        <v>Saturday</v>
      </c>
      <c r="S777">
        <f>MONTH(tblTransactions[[#This Row],[Date]])</f>
        <v>6</v>
      </c>
      <c r="T777" t="str">
        <f>VLOOKUP(E777, Products!$A:$B,2,0)</f>
        <v>Monitors Tec-2</v>
      </c>
      <c r="U777" t="str">
        <f>VLOOKUP(E777,Products!$A:$C,3,0)</f>
        <v>Technology</v>
      </c>
      <c r="V777" t="str">
        <f>VLOOKUP(E777,Products!$A:$D,4,0)</f>
        <v>Monitors</v>
      </c>
      <c r="W777" t="str">
        <f>VLOOKUP(D777,Customers!$A:$C,3,0)</f>
        <v>Small Business</v>
      </c>
      <c r="X777" t="str">
        <f>VLOOKUP(C777,Sales_Representatives!$A:$B,2,0)</f>
        <v>Richard Wilson</v>
      </c>
    </row>
    <row r="778" spans="1:24" x14ac:dyDescent="0.3">
      <c r="A778" t="s">
        <v>1099</v>
      </c>
      <c r="B778" t="s">
        <v>1096</v>
      </c>
      <c r="C778" t="s">
        <v>56</v>
      </c>
      <c r="D778" t="s">
        <v>95</v>
      </c>
      <c r="E778" t="s">
        <v>200</v>
      </c>
      <c r="F778">
        <v>42</v>
      </c>
      <c r="G778">
        <v>544.77</v>
      </c>
      <c r="H778">
        <v>0.17</v>
      </c>
      <c r="I778" s="4">
        <v>18990.68</v>
      </c>
      <c r="J778" t="s">
        <v>34</v>
      </c>
      <c r="K778" t="s">
        <v>22</v>
      </c>
      <c r="L778" s="4">
        <f>VLOOKUP(tblTransactions[[#This Row],[Product_ID]],tblProducts[],5,FALSE)</f>
        <v>318.2</v>
      </c>
      <c r="M778" s="4">
        <f>tblTransactions[[#This Row],[Total_Amount]]-(tblTransactions[[#This Row],[Cost_Prices]]*tblTransactions[[#This Row],[Quantity]]*(1-tblTransactions[[#This Row],[Discount]]))</f>
        <v>7898.228000000001</v>
      </c>
      <c r="N778" s="3">
        <f>tblTransactions[[#This Row],[Profit]]/tblTransactions[[#This Row],[Total_Amount]]</f>
        <v>0.41590022052922809</v>
      </c>
      <c r="O778" t="str">
        <f>TEXT(tblTransactions[[#This Row],[Date]], "MMM-YYYY")</f>
        <v>Jun-2023</v>
      </c>
      <c r="P778" t="str">
        <f>"Q"&amp;ROUNDUP(MONTH(tblTransactions[[#This Row],[Date]])/3,0)&amp;"-"&amp;YEAR(tblTransactions[[#This Row],[Date]])</f>
        <v>Q2-2023</v>
      </c>
      <c r="Q778">
        <f>YEAR(tblTransactions[[#This Row],[Date]])</f>
        <v>2023</v>
      </c>
      <c r="R778" t="str">
        <f>TEXT(tblTransactions[[#This Row],[Date]],"DDDD")</f>
        <v>Saturday</v>
      </c>
      <c r="S778">
        <f>MONTH(tblTransactions[[#This Row],[Date]])</f>
        <v>6</v>
      </c>
      <c r="T778" t="str">
        <f>VLOOKUP(E778, Products!$A:$B,2,0)</f>
        <v>Desks Fur-4</v>
      </c>
      <c r="U778" t="str">
        <f>VLOOKUP(E778,Products!$A:$C,3,0)</f>
        <v>Furniture</v>
      </c>
      <c r="V778" t="str">
        <f>VLOOKUP(E778,Products!$A:$D,4,0)</f>
        <v>Desks</v>
      </c>
      <c r="W778" t="str">
        <f>VLOOKUP(D778,Customers!$A:$C,3,0)</f>
        <v>Enterprise</v>
      </c>
      <c r="X778" t="str">
        <f>VLOOKUP(C778,Sales_Representatives!$A:$B,2,0)</f>
        <v>Thomas Hernandez</v>
      </c>
    </row>
    <row r="779" spans="1:24" x14ac:dyDescent="0.3">
      <c r="A779" t="s">
        <v>1100</v>
      </c>
      <c r="B779" t="s">
        <v>1101</v>
      </c>
      <c r="C779" t="s">
        <v>141</v>
      </c>
      <c r="D779" t="s">
        <v>190</v>
      </c>
      <c r="E779" t="s">
        <v>221</v>
      </c>
      <c r="F779">
        <v>18</v>
      </c>
      <c r="G779">
        <v>210.02</v>
      </c>
      <c r="H779">
        <v>0.14000000000000001</v>
      </c>
      <c r="I779" s="4">
        <v>3251.11</v>
      </c>
      <c r="J779" t="s">
        <v>109</v>
      </c>
      <c r="K779" t="s">
        <v>17</v>
      </c>
      <c r="L779" s="4">
        <f>VLOOKUP(tblTransactions[[#This Row],[Product_ID]],tblProducts[],5,FALSE)</f>
        <v>131.66</v>
      </c>
      <c r="M779" s="4">
        <f>tblTransactions[[#This Row],[Total_Amount]]-(tblTransactions[[#This Row],[Cost_Prices]]*tblTransactions[[#This Row],[Quantity]]*(1-tblTransactions[[#This Row],[Discount]]))</f>
        <v>1213.0132000000001</v>
      </c>
      <c r="N779" s="3">
        <f>tblTransactions[[#This Row],[Profit]]/tblTransactions[[#This Row],[Total_Amount]]</f>
        <v>0.37310740024176359</v>
      </c>
      <c r="O779" t="str">
        <f>TEXT(tblTransactions[[#This Row],[Date]], "MMM-YYYY")</f>
        <v>Jun-2023</v>
      </c>
      <c r="P779" t="str">
        <f>"Q"&amp;ROUNDUP(MONTH(tblTransactions[[#This Row],[Date]])/3,0)&amp;"-"&amp;YEAR(tblTransactions[[#This Row],[Date]])</f>
        <v>Q2-2023</v>
      </c>
      <c r="Q779">
        <f>YEAR(tblTransactions[[#This Row],[Date]])</f>
        <v>2023</v>
      </c>
      <c r="R779" t="str">
        <f>TEXT(tblTransactions[[#This Row],[Date]],"DDDD")</f>
        <v>Sunday</v>
      </c>
      <c r="S779">
        <f>MONTH(tblTransactions[[#This Row],[Date]])</f>
        <v>6</v>
      </c>
      <c r="T779" t="str">
        <f>VLOOKUP(E779, Products!$A:$B,2,0)</f>
        <v>Storage Fur-2</v>
      </c>
      <c r="U779" t="str">
        <f>VLOOKUP(E779,Products!$A:$C,3,0)</f>
        <v>Furniture</v>
      </c>
      <c r="V779" t="str">
        <f>VLOOKUP(E779,Products!$A:$D,4,0)</f>
        <v>Storage</v>
      </c>
      <c r="W779" t="str">
        <f>VLOOKUP(D779,Customers!$A:$C,3,0)</f>
        <v>B2B</v>
      </c>
      <c r="X779" t="str">
        <f>VLOOKUP(C779,Sales_Representatives!$A:$B,2,0)</f>
        <v>Richard Garcia</v>
      </c>
    </row>
    <row r="780" spans="1:24" x14ac:dyDescent="0.3">
      <c r="A780" t="s">
        <v>1102</v>
      </c>
      <c r="B780" t="s">
        <v>1101</v>
      </c>
      <c r="C780" t="s">
        <v>19</v>
      </c>
      <c r="D780" t="s">
        <v>42</v>
      </c>
      <c r="E780" t="s">
        <v>221</v>
      </c>
      <c r="F780">
        <v>7</v>
      </c>
      <c r="G780">
        <v>210.02</v>
      </c>
      <c r="H780">
        <v>0.13</v>
      </c>
      <c r="I780" s="4">
        <v>1279.02</v>
      </c>
      <c r="J780" t="s">
        <v>21</v>
      </c>
      <c r="K780" t="s">
        <v>39</v>
      </c>
      <c r="L780" s="4">
        <f>VLOOKUP(tblTransactions[[#This Row],[Product_ID]],tblProducts[],5,FALSE)</f>
        <v>131.66</v>
      </c>
      <c r="M780" s="4">
        <f>tblTransactions[[#This Row],[Total_Amount]]-(tblTransactions[[#This Row],[Cost_Prices]]*tblTransactions[[#This Row],[Quantity]]*(1-tblTransactions[[#This Row],[Discount]]))</f>
        <v>477.2106</v>
      </c>
      <c r="N780" s="3">
        <f>tblTransactions[[#This Row],[Profit]]/tblTransactions[[#This Row],[Total_Amount]]</f>
        <v>0.37310644086879019</v>
      </c>
      <c r="O780" t="str">
        <f>TEXT(tblTransactions[[#This Row],[Date]], "MMM-YYYY")</f>
        <v>Jun-2023</v>
      </c>
      <c r="P780" t="str">
        <f>"Q"&amp;ROUNDUP(MONTH(tblTransactions[[#This Row],[Date]])/3,0)&amp;"-"&amp;YEAR(tblTransactions[[#This Row],[Date]])</f>
        <v>Q2-2023</v>
      </c>
      <c r="Q780">
        <f>YEAR(tblTransactions[[#This Row],[Date]])</f>
        <v>2023</v>
      </c>
      <c r="R780" t="str">
        <f>TEXT(tblTransactions[[#This Row],[Date]],"DDDD")</f>
        <v>Sunday</v>
      </c>
      <c r="S780">
        <f>MONTH(tblTransactions[[#This Row],[Date]])</f>
        <v>6</v>
      </c>
      <c r="T780" t="str">
        <f>VLOOKUP(E780, Products!$A:$B,2,0)</f>
        <v>Storage Fur-2</v>
      </c>
      <c r="U780" t="str">
        <f>VLOOKUP(E780,Products!$A:$C,3,0)</f>
        <v>Furniture</v>
      </c>
      <c r="V780" t="str">
        <f>VLOOKUP(E780,Products!$A:$D,4,0)</f>
        <v>Storage</v>
      </c>
      <c r="W780" t="str">
        <f>VLOOKUP(D780,Customers!$A:$C,3,0)</f>
        <v>B2C</v>
      </c>
      <c r="X780" t="str">
        <f>VLOOKUP(C780,Sales_Representatives!$A:$B,2,0)</f>
        <v>Robert Jones</v>
      </c>
    </row>
    <row r="781" spans="1:24" x14ac:dyDescent="0.3">
      <c r="A781" t="s">
        <v>1103</v>
      </c>
      <c r="B781" t="s">
        <v>1104</v>
      </c>
      <c r="C781" t="s">
        <v>82</v>
      </c>
      <c r="D781" t="s">
        <v>76</v>
      </c>
      <c r="E781" t="s">
        <v>84</v>
      </c>
      <c r="F781">
        <v>6</v>
      </c>
      <c r="G781">
        <v>1841.77</v>
      </c>
      <c r="H781">
        <v>7.0000000000000007E-2</v>
      </c>
      <c r="I781" s="4">
        <v>10277.08</v>
      </c>
      <c r="J781" t="s">
        <v>34</v>
      </c>
      <c r="K781" t="s">
        <v>17</v>
      </c>
      <c r="L781" s="4">
        <f>VLOOKUP(tblTransactions[[#This Row],[Product_ID]],tblProducts[],5,FALSE)</f>
        <v>1151.5899999999999</v>
      </c>
      <c r="M781" s="4">
        <f>tblTransactions[[#This Row],[Total_Amount]]-(tblTransactions[[#This Row],[Cost_Prices]]*tblTransactions[[#This Row],[Quantity]]*(1-tblTransactions[[#This Row],[Discount]]))</f>
        <v>3851.207800000001</v>
      </c>
      <c r="N781" s="3">
        <f>tblTransactions[[#This Row],[Profit]]/tblTransactions[[#This Row],[Total_Amount]]</f>
        <v>0.3747375519116326</v>
      </c>
      <c r="O781" t="str">
        <f>TEXT(tblTransactions[[#This Row],[Date]], "MMM-YYYY")</f>
        <v>Jun-2023</v>
      </c>
      <c r="P781" t="str">
        <f>"Q"&amp;ROUNDUP(MONTH(tblTransactions[[#This Row],[Date]])/3,0)&amp;"-"&amp;YEAR(tblTransactions[[#This Row],[Date]])</f>
        <v>Q2-2023</v>
      </c>
      <c r="Q781">
        <f>YEAR(tblTransactions[[#This Row],[Date]])</f>
        <v>2023</v>
      </c>
      <c r="R781" t="str">
        <f>TEXT(tblTransactions[[#This Row],[Date]],"DDDD")</f>
        <v>Monday</v>
      </c>
      <c r="S781">
        <f>MONTH(tblTransactions[[#This Row],[Date]])</f>
        <v>6</v>
      </c>
      <c r="T781" t="str">
        <f>VLOOKUP(E781, Products!$A:$B,2,0)</f>
        <v>Laptops Ele-2</v>
      </c>
      <c r="U781" t="str">
        <f>VLOOKUP(E781,Products!$A:$C,3,0)</f>
        <v>Electronics</v>
      </c>
      <c r="V781" t="str">
        <f>VLOOKUP(E781,Products!$A:$D,4,0)</f>
        <v>Laptops</v>
      </c>
      <c r="W781" t="str">
        <f>VLOOKUP(D781,Customers!$A:$C,3,0)</f>
        <v>Small Business</v>
      </c>
      <c r="X781" t="str">
        <f>VLOOKUP(C781,Sales_Representatives!$A:$B,2,0)</f>
        <v>John Brown</v>
      </c>
    </row>
    <row r="782" spans="1:24" x14ac:dyDescent="0.3">
      <c r="A782" t="s">
        <v>1105</v>
      </c>
      <c r="B782" t="s">
        <v>1104</v>
      </c>
      <c r="C782" t="s">
        <v>19</v>
      </c>
      <c r="D782" t="s">
        <v>64</v>
      </c>
      <c r="E782" t="s">
        <v>394</v>
      </c>
      <c r="F782">
        <v>3</v>
      </c>
      <c r="G782">
        <v>314.69</v>
      </c>
      <c r="H782">
        <v>0.09</v>
      </c>
      <c r="I782" s="4">
        <v>859.1</v>
      </c>
      <c r="J782" t="s">
        <v>21</v>
      </c>
      <c r="K782" t="s">
        <v>39</v>
      </c>
      <c r="L782" s="4">
        <f>VLOOKUP(tblTransactions[[#This Row],[Product_ID]],tblProducts[],5,FALSE)</f>
        <v>185.43</v>
      </c>
      <c r="M782" s="4">
        <f>tblTransactions[[#This Row],[Total_Amount]]-(tblTransactions[[#This Row],[Cost_Prices]]*tblTransactions[[#This Row],[Quantity]]*(1-tblTransactions[[#This Row],[Discount]]))</f>
        <v>352.87610000000006</v>
      </c>
      <c r="N782" s="3">
        <f>tblTransactions[[#This Row],[Profit]]/tblTransactions[[#This Row],[Total_Amount]]</f>
        <v>0.41075090210685605</v>
      </c>
      <c r="O782" t="str">
        <f>TEXT(tblTransactions[[#This Row],[Date]], "MMM-YYYY")</f>
        <v>Jun-2023</v>
      </c>
      <c r="P782" t="str">
        <f>"Q"&amp;ROUNDUP(MONTH(tblTransactions[[#This Row],[Date]])/3,0)&amp;"-"&amp;YEAR(tblTransactions[[#This Row],[Date]])</f>
        <v>Q2-2023</v>
      </c>
      <c r="Q782">
        <f>YEAR(tblTransactions[[#This Row],[Date]])</f>
        <v>2023</v>
      </c>
      <c r="R782" t="str">
        <f>TEXT(tblTransactions[[#This Row],[Date]],"DDDD")</f>
        <v>Monday</v>
      </c>
      <c r="S782">
        <f>MONTH(tblTransactions[[#This Row],[Date]])</f>
        <v>6</v>
      </c>
      <c r="T782" t="str">
        <f>VLOOKUP(E782, Products!$A:$B,2,0)</f>
        <v>Desks Fur-1</v>
      </c>
      <c r="U782" t="str">
        <f>VLOOKUP(E782,Products!$A:$C,3,0)</f>
        <v>Furniture</v>
      </c>
      <c r="V782" t="str">
        <f>VLOOKUP(E782,Products!$A:$D,4,0)</f>
        <v>Desks</v>
      </c>
      <c r="W782" t="str">
        <f>VLOOKUP(D782,Customers!$A:$C,3,0)</f>
        <v>Small Business</v>
      </c>
      <c r="X782" t="str">
        <f>VLOOKUP(C782,Sales_Representatives!$A:$B,2,0)</f>
        <v>Robert Jones</v>
      </c>
    </row>
    <row r="783" spans="1:24" x14ac:dyDescent="0.3">
      <c r="A783" t="s">
        <v>1106</v>
      </c>
      <c r="B783" t="s">
        <v>1104</v>
      </c>
      <c r="C783" t="s">
        <v>141</v>
      </c>
      <c r="D783" t="s">
        <v>351</v>
      </c>
      <c r="E783" t="s">
        <v>99</v>
      </c>
      <c r="F783">
        <v>3</v>
      </c>
      <c r="G783">
        <v>325.14</v>
      </c>
      <c r="H783">
        <v>0.02</v>
      </c>
      <c r="I783" s="4">
        <v>955.91</v>
      </c>
      <c r="J783" t="s">
        <v>109</v>
      </c>
      <c r="K783" t="s">
        <v>22</v>
      </c>
      <c r="L783" s="4">
        <f>VLOOKUP(tblTransactions[[#This Row],[Product_ID]],tblProducts[],5,FALSE)</f>
        <v>209.04</v>
      </c>
      <c r="M783" s="4">
        <f>tblTransactions[[#This Row],[Total_Amount]]-(tblTransactions[[#This Row],[Cost_Prices]]*tblTransactions[[#This Row],[Quantity]]*(1-tblTransactions[[#This Row],[Discount]]))</f>
        <v>341.33240000000001</v>
      </c>
      <c r="N783" s="3">
        <f>tblTransactions[[#This Row],[Profit]]/tblTransactions[[#This Row],[Total_Amount]]</f>
        <v>0.35707587534391316</v>
      </c>
      <c r="O783" t="str">
        <f>TEXT(tblTransactions[[#This Row],[Date]], "MMM-YYYY")</f>
        <v>Jun-2023</v>
      </c>
      <c r="P783" t="str">
        <f>"Q"&amp;ROUNDUP(MONTH(tblTransactions[[#This Row],[Date]])/3,0)&amp;"-"&amp;YEAR(tblTransactions[[#This Row],[Date]])</f>
        <v>Q2-2023</v>
      </c>
      <c r="Q783">
        <f>YEAR(tblTransactions[[#This Row],[Date]])</f>
        <v>2023</v>
      </c>
      <c r="R783" t="str">
        <f>TEXT(tblTransactions[[#This Row],[Date]],"DDDD")</f>
        <v>Monday</v>
      </c>
      <c r="S783">
        <f>MONTH(tblTransactions[[#This Row],[Date]])</f>
        <v>6</v>
      </c>
      <c r="T783" t="str">
        <f>VLOOKUP(E783, Products!$A:$B,2,0)</f>
        <v>Monitors Tec-1</v>
      </c>
      <c r="U783" t="str">
        <f>VLOOKUP(E783,Products!$A:$C,3,0)</f>
        <v>Technology</v>
      </c>
      <c r="V783" t="str">
        <f>VLOOKUP(E783,Products!$A:$D,4,0)</f>
        <v>Monitors</v>
      </c>
      <c r="W783" t="str">
        <f>VLOOKUP(D783,Customers!$A:$C,3,0)</f>
        <v>B2C</v>
      </c>
      <c r="X783" t="str">
        <f>VLOOKUP(C783,Sales_Representatives!$A:$B,2,0)</f>
        <v>Richard Garcia</v>
      </c>
    </row>
    <row r="784" spans="1:24" x14ac:dyDescent="0.3">
      <c r="A784" t="s">
        <v>1107</v>
      </c>
      <c r="B784" t="s">
        <v>1104</v>
      </c>
      <c r="C784" t="s">
        <v>75</v>
      </c>
      <c r="D784" t="s">
        <v>76</v>
      </c>
      <c r="E784" t="s">
        <v>324</v>
      </c>
      <c r="F784">
        <v>3</v>
      </c>
      <c r="G784">
        <v>245.76</v>
      </c>
      <c r="H784">
        <v>0.04</v>
      </c>
      <c r="I784" s="4">
        <v>707.79</v>
      </c>
      <c r="J784" t="s">
        <v>44</v>
      </c>
      <c r="K784" t="s">
        <v>39</v>
      </c>
      <c r="L784" s="4">
        <f>VLOOKUP(tblTransactions[[#This Row],[Product_ID]],tblProducts[],5,FALSE)</f>
        <v>161.94</v>
      </c>
      <c r="M784" s="4">
        <f>tblTransactions[[#This Row],[Total_Amount]]-(tblTransactions[[#This Row],[Cost_Prices]]*tblTransactions[[#This Row],[Quantity]]*(1-tblTransactions[[#This Row],[Discount]]))</f>
        <v>241.40280000000001</v>
      </c>
      <c r="N784" s="3">
        <f>tblTransactions[[#This Row],[Profit]]/tblTransactions[[#This Row],[Total_Amount]]</f>
        <v>0.34106557029627438</v>
      </c>
      <c r="O784" t="str">
        <f>TEXT(tblTransactions[[#This Row],[Date]], "MMM-YYYY")</f>
        <v>Jun-2023</v>
      </c>
      <c r="P784" t="str">
        <f>"Q"&amp;ROUNDUP(MONTH(tblTransactions[[#This Row],[Date]])/3,0)&amp;"-"&amp;YEAR(tblTransactions[[#This Row],[Date]])</f>
        <v>Q2-2023</v>
      </c>
      <c r="Q784">
        <f>YEAR(tblTransactions[[#This Row],[Date]])</f>
        <v>2023</v>
      </c>
      <c r="R784" t="str">
        <f>TEXT(tblTransactions[[#This Row],[Date]],"DDDD")</f>
        <v>Monday</v>
      </c>
      <c r="S784">
        <f>MONTH(tblTransactions[[#This Row],[Date]])</f>
        <v>6</v>
      </c>
      <c r="T784" t="str">
        <f>VLOOKUP(E784, Products!$A:$B,2,0)</f>
        <v>Storage Fur-1</v>
      </c>
      <c r="U784" t="str">
        <f>VLOOKUP(E784,Products!$A:$C,3,0)</f>
        <v>Furniture</v>
      </c>
      <c r="V784" t="str">
        <f>VLOOKUP(E784,Products!$A:$D,4,0)</f>
        <v>Storage</v>
      </c>
      <c r="W784" t="str">
        <f>VLOOKUP(D784,Customers!$A:$C,3,0)</f>
        <v>Small Business</v>
      </c>
      <c r="X784" t="str">
        <f>VLOOKUP(C784,Sales_Representatives!$A:$B,2,0)</f>
        <v>Jessica Anderson</v>
      </c>
    </row>
    <row r="785" spans="1:24" x14ac:dyDescent="0.3">
      <c r="A785" t="s">
        <v>1108</v>
      </c>
      <c r="B785" t="s">
        <v>1104</v>
      </c>
      <c r="C785" t="s">
        <v>63</v>
      </c>
      <c r="D785" t="s">
        <v>164</v>
      </c>
      <c r="E785" t="s">
        <v>20</v>
      </c>
      <c r="F785">
        <v>5</v>
      </c>
      <c r="G785">
        <v>1219.49</v>
      </c>
      <c r="H785">
        <v>0.04</v>
      </c>
      <c r="I785" s="4">
        <v>5853.55</v>
      </c>
      <c r="J785" t="s">
        <v>21</v>
      </c>
      <c r="K785" t="s">
        <v>39</v>
      </c>
      <c r="L785" s="4">
        <f>VLOOKUP(tblTransactions[[#This Row],[Product_ID]],tblProducts[],5,FALSE)</f>
        <v>686.9</v>
      </c>
      <c r="M785" s="4">
        <f>tblTransactions[[#This Row],[Total_Amount]]-(tblTransactions[[#This Row],[Cost_Prices]]*tblTransactions[[#This Row],[Quantity]]*(1-tblTransactions[[#This Row],[Discount]]))</f>
        <v>2556.4300000000003</v>
      </c>
      <c r="N785" s="3">
        <f>tblTransactions[[#This Row],[Profit]]/tblTransactions[[#This Row],[Total_Amount]]</f>
        <v>0.43673155606426872</v>
      </c>
      <c r="O785" t="str">
        <f>TEXT(tblTransactions[[#This Row],[Date]], "MMM-YYYY")</f>
        <v>Jun-2023</v>
      </c>
      <c r="P785" t="str">
        <f>"Q"&amp;ROUNDUP(MONTH(tblTransactions[[#This Row],[Date]])/3,0)&amp;"-"&amp;YEAR(tblTransactions[[#This Row],[Date]])</f>
        <v>Q2-2023</v>
      </c>
      <c r="Q785">
        <f>YEAR(tblTransactions[[#This Row],[Date]])</f>
        <v>2023</v>
      </c>
      <c r="R785" t="str">
        <f>TEXT(tblTransactions[[#This Row],[Date]],"DDDD")</f>
        <v>Monday</v>
      </c>
      <c r="S785">
        <f>MONTH(tblTransactions[[#This Row],[Date]])</f>
        <v>6</v>
      </c>
      <c r="T785" t="str">
        <f>VLOOKUP(E785, Products!$A:$B,2,0)</f>
        <v>Laptops Ele-1</v>
      </c>
      <c r="U785" t="str">
        <f>VLOOKUP(E785,Products!$A:$C,3,0)</f>
        <v>Electronics</v>
      </c>
      <c r="V785" t="str">
        <f>VLOOKUP(E785,Products!$A:$D,4,0)</f>
        <v>Laptops</v>
      </c>
      <c r="W785" t="str">
        <f>VLOOKUP(D785,Customers!$A:$C,3,0)</f>
        <v>Small Business</v>
      </c>
      <c r="X785" t="str">
        <f>VLOOKUP(C785,Sales_Representatives!$A:$B,2,0)</f>
        <v>Richard Wilson</v>
      </c>
    </row>
    <row r="786" spans="1:24" x14ac:dyDescent="0.3">
      <c r="A786" t="s">
        <v>1109</v>
      </c>
      <c r="B786" t="s">
        <v>1104</v>
      </c>
      <c r="C786" t="s">
        <v>75</v>
      </c>
      <c r="D786" t="s">
        <v>212</v>
      </c>
      <c r="E786" t="s">
        <v>176</v>
      </c>
      <c r="F786">
        <v>5</v>
      </c>
      <c r="G786">
        <v>1462.68</v>
      </c>
      <c r="H786">
        <v>0.06</v>
      </c>
      <c r="I786" s="4">
        <v>6874.6</v>
      </c>
      <c r="J786" t="s">
        <v>44</v>
      </c>
      <c r="K786" t="s">
        <v>35</v>
      </c>
      <c r="L786" s="4">
        <f>VLOOKUP(tblTransactions[[#This Row],[Product_ID]],tblProducts[],5,FALSE)</f>
        <v>775.94</v>
      </c>
      <c r="M786" s="4">
        <f>tblTransactions[[#This Row],[Total_Amount]]-(tblTransactions[[#This Row],[Cost_Prices]]*tblTransactions[[#This Row],[Quantity]]*(1-tblTransactions[[#This Row],[Discount]]))</f>
        <v>3227.6820000000002</v>
      </c>
      <c r="N786" s="3">
        <f>tblTransactions[[#This Row],[Profit]]/tblTransactions[[#This Row],[Total_Amount]]</f>
        <v>0.46950833503040179</v>
      </c>
      <c r="O786" t="str">
        <f>TEXT(tblTransactions[[#This Row],[Date]], "MMM-YYYY")</f>
        <v>Jun-2023</v>
      </c>
      <c r="P786" t="str">
        <f>"Q"&amp;ROUNDUP(MONTH(tblTransactions[[#This Row],[Date]])/3,0)&amp;"-"&amp;YEAR(tblTransactions[[#This Row],[Date]])</f>
        <v>Q2-2023</v>
      </c>
      <c r="Q786">
        <f>YEAR(tblTransactions[[#This Row],[Date]])</f>
        <v>2023</v>
      </c>
      <c r="R786" t="str">
        <f>TEXT(tblTransactions[[#This Row],[Date]],"DDDD")</f>
        <v>Monday</v>
      </c>
      <c r="S786">
        <f>MONTH(tblTransactions[[#This Row],[Date]])</f>
        <v>6</v>
      </c>
      <c r="T786" t="str">
        <f>VLOOKUP(E786, Products!$A:$B,2,0)</f>
        <v>Chairs Fur-2</v>
      </c>
      <c r="U786" t="str">
        <f>VLOOKUP(E786,Products!$A:$C,3,0)</f>
        <v>Furniture</v>
      </c>
      <c r="V786" t="str">
        <f>VLOOKUP(E786,Products!$A:$D,4,0)</f>
        <v>Chairs</v>
      </c>
      <c r="W786" t="str">
        <f>VLOOKUP(D786,Customers!$A:$C,3,0)</f>
        <v>B2C</v>
      </c>
      <c r="X786" t="str">
        <f>VLOOKUP(C786,Sales_Representatives!$A:$B,2,0)</f>
        <v>Jessica Anderson</v>
      </c>
    </row>
    <row r="787" spans="1:24" x14ac:dyDescent="0.3">
      <c r="A787" t="s">
        <v>1110</v>
      </c>
      <c r="B787" t="s">
        <v>1111</v>
      </c>
      <c r="C787" t="s">
        <v>70</v>
      </c>
      <c r="D787" t="s">
        <v>351</v>
      </c>
      <c r="E787" t="s">
        <v>339</v>
      </c>
      <c r="F787">
        <v>1</v>
      </c>
      <c r="G787">
        <v>1100.8800000000001</v>
      </c>
      <c r="H787">
        <v>0.02</v>
      </c>
      <c r="I787" s="4">
        <v>1078.8599999999999</v>
      </c>
      <c r="J787" t="s">
        <v>16</v>
      </c>
      <c r="K787" t="s">
        <v>22</v>
      </c>
      <c r="L787" s="4">
        <f>VLOOKUP(tblTransactions[[#This Row],[Product_ID]],tblProducts[],5,FALSE)</f>
        <v>761.53</v>
      </c>
      <c r="M787" s="4">
        <f>tblTransactions[[#This Row],[Total_Amount]]-(tblTransactions[[#This Row],[Cost_Prices]]*tblTransactions[[#This Row],[Quantity]]*(1-tblTransactions[[#This Row],[Discount]]))</f>
        <v>332.56059999999991</v>
      </c>
      <c r="N787" s="3">
        <f>tblTransactions[[#This Row],[Profit]]/tblTransactions[[#This Row],[Total_Amount]]</f>
        <v>0.30825185844317143</v>
      </c>
      <c r="O787" t="str">
        <f>TEXT(tblTransactions[[#This Row],[Date]], "MMM-YYYY")</f>
        <v>Jun-2023</v>
      </c>
      <c r="P787" t="str">
        <f>"Q"&amp;ROUNDUP(MONTH(tblTransactions[[#This Row],[Date]])/3,0)&amp;"-"&amp;YEAR(tblTransactions[[#This Row],[Date]])</f>
        <v>Q2-2023</v>
      </c>
      <c r="Q787">
        <f>YEAR(tblTransactions[[#This Row],[Date]])</f>
        <v>2023</v>
      </c>
      <c r="R787" t="str">
        <f>TEXT(tblTransactions[[#This Row],[Date]],"DDDD")</f>
        <v>Tuesday</v>
      </c>
      <c r="S787">
        <f>MONTH(tblTransactions[[#This Row],[Date]])</f>
        <v>6</v>
      </c>
      <c r="T787" t="str">
        <f>VLOOKUP(E787, Products!$A:$B,2,0)</f>
        <v>Phones Ele-2</v>
      </c>
      <c r="U787" t="str">
        <f>VLOOKUP(E787,Products!$A:$C,3,0)</f>
        <v>Electronics</v>
      </c>
      <c r="V787" t="str">
        <f>VLOOKUP(E787,Products!$A:$D,4,0)</f>
        <v>Phones</v>
      </c>
      <c r="W787" t="str">
        <f>VLOOKUP(D787,Customers!$A:$C,3,0)</f>
        <v>B2C</v>
      </c>
      <c r="X787" t="str">
        <f>VLOOKUP(C787,Sales_Representatives!$A:$B,2,0)</f>
        <v>Linda Smith</v>
      </c>
    </row>
    <row r="788" spans="1:24" x14ac:dyDescent="0.3">
      <c r="A788" t="s">
        <v>1112</v>
      </c>
      <c r="B788" t="s">
        <v>1111</v>
      </c>
      <c r="C788" t="s">
        <v>31</v>
      </c>
      <c r="D788" t="s">
        <v>527</v>
      </c>
      <c r="E788" t="s">
        <v>178</v>
      </c>
      <c r="F788">
        <v>2</v>
      </c>
      <c r="G788">
        <v>1623.35</v>
      </c>
      <c r="H788">
        <v>0</v>
      </c>
      <c r="I788" s="4">
        <v>3246.7</v>
      </c>
      <c r="J788" t="s">
        <v>34</v>
      </c>
      <c r="K788" t="s">
        <v>48</v>
      </c>
      <c r="L788" s="4">
        <f>VLOOKUP(tblTransactions[[#This Row],[Product_ID]],tblProducts[],5,FALSE)</f>
        <v>981.45</v>
      </c>
      <c r="M788" s="4">
        <f>tblTransactions[[#This Row],[Total_Amount]]-(tblTransactions[[#This Row],[Cost_Prices]]*tblTransactions[[#This Row],[Quantity]]*(1-tblTransactions[[#This Row],[Discount]]))</f>
        <v>1283.7999999999997</v>
      </c>
      <c r="N788" s="3">
        <f>tblTransactions[[#This Row],[Profit]]/tblTransactions[[#This Row],[Total_Amount]]</f>
        <v>0.39541688483691129</v>
      </c>
      <c r="O788" t="str">
        <f>TEXT(tblTransactions[[#This Row],[Date]], "MMM-YYYY")</f>
        <v>Jun-2023</v>
      </c>
      <c r="P788" t="str">
        <f>"Q"&amp;ROUNDUP(MONTH(tblTransactions[[#This Row],[Date]])/3,0)&amp;"-"&amp;YEAR(tblTransactions[[#This Row],[Date]])</f>
        <v>Q2-2023</v>
      </c>
      <c r="Q788">
        <f>YEAR(tblTransactions[[#This Row],[Date]])</f>
        <v>2023</v>
      </c>
      <c r="R788" t="str">
        <f>TEXT(tblTransactions[[#This Row],[Date]],"DDDD")</f>
        <v>Tuesday</v>
      </c>
      <c r="S788">
        <f>MONTH(tblTransactions[[#This Row],[Date]])</f>
        <v>6</v>
      </c>
      <c r="T788" t="str">
        <f>VLOOKUP(E788, Products!$A:$B,2,0)</f>
        <v>Tablets Ele-1</v>
      </c>
      <c r="U788" t="str">
        <f>VLOOKUP(E788,Products!$A:$C,3,0)</f>
        <v>Electronics</v>
      </c>
      <c r="V788" t="str">
        <f>VLOOKUP(E788,Products!$A:$D,4,0)</f>
        <v>Tablets</v>
      </c>
      <c r="W788" t="str">
        <f>VLOOKUP(D788,Customers!$A:$C,3,0)</f>
        <v>B2C</v>
      </c>
      <c r="X788" t="str">
        <f>VLOOKUP(C788,Sales_Representatives!$A:$B,2,0)</f>
        <v>Thomas Martinez</v>
      </c>
    </row>
    <row r="789" spans="1:24" x14ac:dyDescent="0.3">
      <c r="A789" t="s">
        <v>1113</v>
      </c>
      <c r="B789" t="s">
        <v>1111</v>
      </c>
      <c r="C789" t="s">
        <v>19</v>
      </c>
      <c r="D789" t="s">
        <v>42</v>
      </c>
      <c r="E789" t="s">
        <v>99</v>
      </c>
      <c r="F789">
        <v>1</v>
      </c>
      <c r="G789">
        <v>325.14</v>
      </c>
      <c r="H789">
        <v>0.04</v>
      </c>
      <c r="I789" s="4">
        <v>312.13</v>
      </c>
      <c r="J789" t="s">
        <v>21</v>
      </c>
      <c r="K789" t="s">
        <v>48</v>
      </c>
      <c r="L789" s="4">
        <f>VLOOKUP(tblTransactions[[#This Row],[Product_ID]],tblProducts[],5,FALSE)</f>
        <v>209.04</v>
      </c>
      <c r="M789" s="4">
        <f>tblTransactions[[#This Row],[Total_Amount]]-(tblTransactions[[#This Row],[Cost_Prices]]*tblTransactions[[#This Row],[Quantity]]*(1-tblTransactions[[#This Row],[Discount]]))</f>
        <v>111.45160000000001</v>
      </c>
      <c r="N789" s="3">
        <f>tblTransactions[[#This Row],[Profit]]/tblTransactions[[#This Row],[Total_Amount]]</f>
        <v>0.35706788837984177</v>
      </c>
      <c r="O789" t="str">
        <f>TEXT(tblTransactions[[#This Row],[Date]], "MMM-YYYY")</f>
        <v>Jun-2023</v>
      </c>
      <c r="P789" t="str">
        <f>"Q"&amp;ROUNDUP(MONTH(tblTransactions[[#This Row],[Date]])/3,0)&amp;"-"&amp;YEAR(tblTransactions[[#This Row],[Date]])</f>
        <v>Q2-2023</v>
      </c>
      <c r="Q789">
        <f>YEAR(tblTransactions[[#This Row],[Date]])</f>
        <v>2023</v>
      </c>
      <c r="R789" t="str">
        <f>TEXT(tblTransactions[[#This Row],[Date]],"DDDD")</f>
        <v>Tuesday</v>
      </c>
      <c r="S789">
        <f>MONTH(tblTransactions[[#This Row],[Date]])</f>
        <v>6</v>
      </c>
      <c r="T789" t="str">
        <f>VLOOKUP(E789, Products!$A:$B,2,0)</f>
        <v>Monitors Tec-1</v>
      </c>
      <c r="U789" t="str">
        <f>VLOOKUP(E789,Products!$A:$C,3,0)</f>
        <v>Technology</v>
      </c>
      <c r="V789" t="str">
        <f>VLOOKUP(E789,Products!$A:$D,4,0)</f>
        <v>Monitors</v>
      </c>
      <c r="W789" t="str">
        <f>VLOOKUP(D789,Customers!$A:$C,3,0)</f>
        <v>B2C</v>
      </c>
      <c r="X789" t="str">
        <f>VLOOKUP(C789,Sales_Representatives!$A:$B,2,0)</f>
        <v>Robert Jones</v>
      </c>
    </row>
    <row r="790" spans="1:24" x14ac:dyDescent="0.3">
      <c r="A790" t="s">
        <v>1114</v>
      </c>
      <c r="B790" t="s">
        <v>1115</v>
      </c>
      <c r="C790" t="s">
        <v>56</v>
      </c>
      <c r="D790" t="s">
        <v>247</v>
      </c>
      <c r="E790" t="s">
        <v>43</v>
      </c>
      <c r="F790">
        <v>6</v>
      </c>
      <c r="G790">
        <v>39.32</v>
      </c>
      <c r="H790">
        <v>0.08</v>
      </c>
      <c r="I790" s="4">
        <v>217.05</v>
      </c>
      <c r="J790" t="s">
        <v>34</v>
      </c>
      <c r="K790" t="s">
        <v>39</v>
      </c>
      <c r="L790" s="4">
        <f>VLOOKUP(tblTransactions[[#This Row],[Product_ID]],tblProducts[],5,FALSE)</f>
        <v>15.81</v>
      </c>
      <c r="M790" s="4">
        <f>tblTransactions[[#This Row],[Total_Amount]]-(tblTransactions[[#This Row],[Cost_Prices]]*tblTransactions[[#This Row],[Quantity]]*(1-tblTransactions[[#This Row],[Discount]]))</f>
        <v>129.77879999999999</v>
      </c>
      <c r="N790" s="3">
        <f>tblTransactions[[#This Row],[Profit]]/tblTransactions[[#This Row],[Total_Amount]]</f>
        <v>0.59792121630960604</v>
      </c>
      <c r="O790" t="str">
        <f>TEXT(tblTransactions[[#This Row],[Date]], "MMM-YYYY")</f>
        <v>Jun-2023</v>
      </c>
      <c r="P790" t="str">
        <f>"Q"&amp;ROUNDUP(MONTH(tblTransactions[[#This Row],[Date]])/3,0)&amp;"-"&amp;YEAR(tblTransactions[[#This Row],[Date]])</f>
        <v>Q2-2023</v>
      </c>
      <c r="Q790">
        <f>YEAR(tblTransactions[[#This Row],[Date]])</f>
        <v>2023</v>
      </c>
      <c r="R790" t="str">
        <f>TEXT(tblTransactions[[#This Row],[Date]],"DDDD")</f>
        <v>Wednesday</v>
      </c>
      <c r="S790">
        <f>MONTH(tblTransactions[[#This Row],[Date]])</f>
        <v>6</v>
      </c>
      <c r="T790" t="str">
        <f>VLOOKUP(E790, Products!$A:$B,2,0)</f>
        <v>Paper Off-3</v>
      </c>
      <c r="U790" t="str">
        <f>VLOOKUP(E790,Products!$A:$C,3,0)</f>
        <v>Office Supplies</v>
      </c>
      <c r="V790" t="str">
        <f>VLOOKUP(E790,Products!$A:$D,4,0)</f>
        <v>Paper</v>
      </c>
      <c r="W790" t="str">
        <f>VLOOKUP(D790,Customers!$A:$C,3,0)</f>
        <v>B2C</v>
      </c>
      <c r="X790" t="str">
        <f>VLOOKUP(C790,Sales_Representatives!$A:$B,2,0)</f>
        <v>Thomas Hernandez</v>
      </c>
    </row>
    <row r="791" spans="1:24" x14ac:dyDescent="0.3">
      <c r="A791" t="s">
        <v>1116</v>
      </c>
      <c r="B791" t="s">
        <v>1115</v>
      </c>
      <c r="C791" t="s">
        <v>131</v>
      </c>
      <c r="D791" t="s">
        <v>50</v>
      </c>
      <c r="E791" t="s">
        <v>20</v>
      </c>
      <c r="F791">
        <v>2</v>
      </c>
      <c r="G791">
        <v>1219.49</v>
      </c>
      <c r="H791">
        <v>0</v>
      </c>
      <c r="I791" s="4">
        <v>2438.98</v>
      </c>
      <c r="J791" t="s">
        <v>44</v>
      </c>
      <c r="K791" t="s">
        <v>22</v>
      </c>
      <c r="L791" s="4">
        <f>VLOOKUP(tblTransactions[[#This Row],[Product_ID]],tblProducts[],5,FALSE)</f>
        <v>686.9</v>
      </c>
      <c r="M791" s="4">
        <f>tblTransactions[[#This Row],[Total_Amount]]-(tblTransactions[[#This Row],[Cost_Prices]]*tblTransactions[[#This Row],[Quantity]]*(1-tblTransactions[[#This Row],[Discount]]))</f>
        <v>1065.18</v>
      </c>
      <c r="N791" s="3">
        <f>tblTransactions[[#This Row],[Profit]]/tblTransactions[[#This Row],[Total_Amount]]</f>
        <v>0.43673174851782304</v>
      </c>
      <c r="O791" t="str">
        <f>TEXT(tblTransactions[[#This Row],[Date]], "MMM-YYYY")</f>
        <v>Jun-2023</v>
      </c>
      <c r="P791" t="str">
        <f>"Q"&amp;ROUNDUP(MONTH(tblTransactions[[#This Row],[Date]])/3,0)&amp;"-"&amp;YEAR(tblTransactions[[#This Row],[Date]])</f>
        <v>Q2-2023</v>
      </c>
      <c r="Q791">
        <f>YEAR(tblTransactions[[#This Row],[Date]])</f>
        <v>2023</v>
      </c>
      <c r="R791" t="str">
        <f>TEXT(tblTransactions[[#This Row],[Date]],"DDDD")</f>
        <v>Wednesday</v>
      </c>
      <c r="S791">
        <f>MONTH(tblTransactions[[#This Row],[Date]])</f>
        <v>6</v>
      </c>
      <c r="T791" t="str">
        <f>VLOOKUP(E791, Products!$A:$B,2,0)</f>
        <v>Laptops Ele-1</v>
      </c>
      <c r="U791" t="str">
        <f>VLOOKUP(E791,Products!$A:$C,3,0)</f>
        <v>Electronics</v>
      </c>
      <c r="V791" t="str">
        <f>VLOOKUP(E791,Products!$A:$D,4,0)</f>
        <v>Laptops</v>
      </c>
      <c r="W791" t="str">
        <f>VLOOKUP(D791,Customers!$A:$C,3,0)</f>
        <v>Small Business</v>
      </c>
      <c r="X791" t="str">
        <f>VLOOKUP(C791,Sales_Representatives!$A:$B,2,0)</f>
        <v>Michael Davis</v>
      </c>
    </row>
    <row r="792" spans="1:24" x14ac:dyDescent="0.3">
      <c r="A792" t="s">
        <v>1117</v>
      </c>
      <c r="B792" t="s">
        <v>1115</v>
      </c>
      <c r="C792" t="s">
        <v>27</v>
      </c>
      <c r="D792" t="s">
        <v>154</v>
      </c>
      <c r="E792" t="s">
        <v>137</v>
      </c>
      <c r="F792">
        <v>5</v>
      </c>
      <c r="G792">
        <v>241.39</v>
      </c>
      <c r="H792">
        <v>0.01</v>
      </c>
      <c r="I792" s="4">
        <v>1194.8800000000001</v>
      </c>
      <c r="J792" t="s">
        <v>16</v>
      </c>
      <c r="K792" t="s">
        <v>17</v>
      </c>
      <c r="L792" s="4">
        <f>VLOOKUP(tblTransactions[[#This Row],[Product_ID]],tblProducts[],5,FALSE)</f>
        <v>124.07</v>
      </c>
      <c r="M792" s="4">
        <f>tblTransactions[[#This Row],[Total_Amount]]-(tblTransactions[[#This Row],[Cost_Prices]]*tblTransactions[[#This Row],[Quantity]]*(1-tblTransactions[[#This Row],[Discount]]))</f>
        <v>580.73350000000016</v>
      </c>
      <c r="N792" s="3">
        <f>tblTransactions[[#This Row],[Profit]]/tblTransactions[[#This Row],[Total_Amount]]</f>
        <v>0.48601826124799152</v>
      </c>
      <c r="O792" t="str">
        <f>TEXT(tblTransactions[[#This Row],[Date]], "MMM-YYYY")</f>
        <v>Jun-2023</v>
      </c>
      <c r="P792" t="str">
        <f>"Q"&amp;ROUNDUP(MONTH(tblTransactions[[#This Row],[Date]])/3,0)&amp;"-"&amp;YEAR(tblTransactions[[#This Row],[Date]])</f>
        <v>Q2-2023</v>
      </c>
      <c r="Q792">
        <f>YEAR(tblTransactions[[#This Row],[Date]])</f>
        <v>2023</v>
      </c>
      <c r="R792" t="str">
        <f>TEXT(tblTransactions[[#This Row],[Date]],"DDDD")</f>
        <v>Wednesday</v>
      </c>
      <c r="S792">
        <f>MONTH(tblTransactions[[#This Row],[Date]])</f>
        <v>6</v>
      </c>
      <c r="T792" t="str">
        <f>VLOOKUP(E792, Products!$A:$B,2,0)</f>
        <v>Desks Fur-2</v>
      </c>
      <c r="U792" t="str">
        <f>VLOOKUP(E792,Products!$A:$C,3,0)</f>
        <v>Furniture</v>
      </c>
      <c r="V792" t="str">
        <f>VLOOKUP(E792,Products!$A:$D,4,0)</f>
        <v>Desks</v>
      </c>
      <c r="W792" t="str">
        <f>VLOOKUP(D792,Customers!$A:$C,3,0)</f>
        <v>B2B</v>
      </c>
      <c r="X792" t="str">
        <f>VLOOKUP(C792,Sales_Representatives!$A:$B,2,0)</f>
        <v>Thomas Lopez</v>
      </c>
    </row>
    <row r="793" spans="1:24" x14ac:dyDescent="0.3">
      <c r="A793" t="s">
        <v>1118</v>
      </c>
      <c r="B793" t="s">
        <v>1115</v>
      </c>
      <c r="C793" t="s">
        <v>131</v>
      </c>
      <c r="D793" t="s">
        <v>95</v>
      </c>
      <c r="E793" t="s">
        <v>198</v>
      </c>
      <c r="F793">
        <v>30</v>
      </c>
      <c r="G793">
        <v>1802.96</v>
      </c>
      <c r="H793">
        <v>0.22</v>
      </c>
      <c r="I793" s="4">
        <v>42189.26</v>
      </c>
      <c r="J793" t="s">
        <v>44</v>
      </c>
      <c r="K793" t="s">
        <v>35</v>
      </c>
      <c r="L793" s="4">
        <f>VLOOKUP(tblTransactions[[#This Row],[Product_ID]],tblProducts[],5,FALSE)</f>
        <v>1282.18</v>
      </c>
      <c r="M793" s="4">
        <f>tblTransactions[[#This Row],[Total_Amount]]-(tblTransactions[[#This Row],[Cost_Prices]]*tblTransactions[[#This Row],[Quantity]]*(1-tblTransactions[[#This Row],[Discount]]))</f>
        <v>12186.248</v>
      </c>
      <c r="N793" s="3">
        <f>tblTransactions[[#This Row],[Profit]]/tblTransactions[[#This Row],[Total_Amount]]</f>
        <v>0.28884716157619261</v>
      </c>
      <c r="O793" t="str">
        <f>TEXT(tblTransactions[[#This Row],[Date]], "MMM-YYYY")</f>
        <v>Jun-2023</v>
      </c>
      <c r="P793" t="str">
        <f>"Q"&amp;ROUNDUP(MONTH(tblTransactions[[#This Row],[Date]])/3,0)&amp;"-"&amp;YEAR(tblTransactions[[#This Row],[Date]])</f>
        <v>Q2-2023</v>
      </c>
      <c r="Q793">
        <f>YEAR(tblTransactions[[#This Row],[Date]])</f>
        <v>2023</v>
      </c>
      <c r="R793" t="str">
        <f>TEXT(tblTransactions[[#This Row],[Date]],"DDDD")</f>
        <v>Wednesday</v>
      </c>
      <c r="S793">
        <f>MONTH(tblTransactions[[#This Row],[Date]])</f>
        <v>6</v>
      </c>
      <c r="T793" t="str">
        <f>VLOOKUP(E793, Products!$A:$B,2,0)</f>
        <v>Tablets Ele-3</v>
      </c>
      <c r="U793" t="str">
        <f>VLOOKUP(E793,Products!$A:$C,3,0)</f>
        <v>Electronics</v>
      </c>
      <c r="V793" t="str">
        <f>VLOOKUP(E793,Products!$A:$D,4,0)</f>
        <v>Tablets</v>
      </c>
      <c r="W793" t="str">
        <f>VLOOKUP(D793,Customers!$A:$C,3,0)</f>
        <v>Enterprise</v>
      </c>
      <c r="X793" t="str">
        <f>VLOOKUP(C793,Sales_Representatives!$A:$B,2,0)</f>
        <v>Michael Davis</v>
      </c>
    </row>
    <row r="794" spans="1:24" x14ac:dyDescent="0.3">
      <c r="A794" t="s">
        <v>1119</v>
      </c>
      <c r="B794" t="s">
        <v>1115</v>
      </c>
      <c r="C794" t="s">
        <v>27</v>
      </c>
      <c r="D794" t="s">
        <v>288</v>
      </c>
      <c r="E794" t="s">
        <v>113</v>
      </c>
      <c r="F794">
        <v>4</v>
      </c>
      <c r="G794">
        <v>930.41</v>
      </c>
      <c r="H794">
        <v>0.03</v>
      </c>
      <c r="I794" s="4">
        <v>3609.99</v>
      </c>
      <c r="J794" t="s">
        <v>16</v>
      </c>
      <c r="K794" t="s">
        <v>39</v>
      </c>
      <c r="L794" s="4">
        <f>VLOOKUP(tblTransactions[[#This Row],[Product_ID]],tblProducts[],5,FALSE)</f>
        <v>595.51</v>
      </c>
      <c r="M794" s="4">
        <f>tblTransactions[[#This Row],[Total_Amount]]-(tblTransactions[[#This Row],[Cost_Prices]]*tblTransactions[[#This Row],[Quantity]]*(1-tblTransactions[[#This Row],[Discount]]))</f>
        <v>1299.4112</v>
      </c>
      <c r="N794" s="3">
        <f>tblTransactions[[#This Row],[Profit]]/tblTransactions[[#This Row],[Total_Amount]]</f>
        <v>0.35994869791883083</v>
      </c>
      <c r="O794" t="str">
        <f>TEXT(tblTransactions[[#This Row],[Date]], "MMM-YYYY")</f>
        <v>Jun-2023</v>
      </c>
      <c r="P794" t="str">
        <f>"Q"&amp;ROUNDUP(MONTH(tblTransactions[[#This Row],[Date]])/3,0)&amp;"-"&amp;YEAR(tblTransactions[[#This Row],[Date]])</f>
        <v>Q2-2023</v>
      </c>
      <c r="Q794">
        <f>YEAR(tblTransactions[[#This Row],[Date]])</f>
        <v>2023</v>
      </c>
      <c r="R794" t="str">
        <f>TEXT(tblTransactions[[#This Row],[Date]],"DDDD")</f>
        <v>Wednesday</v>
      </c>
      <c r="S794">
        <f>MONTH(tblTransactions[[#This Row],[Date]])</f>
        <v>6</v>
      </c>
      <c r="T794" t="str">
        <f>VLOOKUP(E794, Products!$A:$B,2,0)</f>
        <v>Phones Ele-1</v>
      </c>
      <c r="U794" t="str">
        <f>VLOOKUP(E794,Products!$A:$C,3,0)</f>
        <v>Electronics</v>
      </c>
      <c r="V794" t="str">
        <f>VLOOKUP(E794,Products!$A:$D,4,0)</f>
        <v>Phones</v>
      </c>
      <c r="W794" t="str">
        <f>VLOOKUP(D794,Customers!$A:$C,3,0)</f>
        <v>B2C</v>
      </c>
      <c r="X794" t="str">
        <f>VLOOKUP(C794,Sales_Representatives!$A:$B,2,0)</f>
        <v>Thomas Lopez</v>
      </c>
    </row>
    <row r="795" spans="1:24" x14ac:dyDescent="0.3">
      <c r="A795" t="s">
        <v>1120</v>
      </c>
      <c r="B795" t="s">
        <v>1121</v>
      </c>
      <c r="C795" t="s">
        <v>107</v>
      </c>
      <c r="D795" t="s">
        <v>237</v>
      </c>
      <c r="E795" t="s">
        <v>96</v>
      </c>
      <c r="F795">
        <v>4</v>
      </c>
      <c r="G795">
        <v>751.9</v>
      </c>
      <c r="H795">
        <v>0.03</v>
      </c>
      <c r="I795" s="4">
        <v>2917.37</v>
      </c>
      <c r="J795" t="s">
        <v>109</v>
      </c>
      <c r="K795" t="s">
        <v>17</v>
      </c>
      <c r="L795" s="4">
        <f>VLOOKUP(tblTransactions[[#This Row],[Product_ID]],tblProducts[],5,FALSE)</f>
        <v>570.29</v>
      </c>
      <c r="M795" s="4">
        <f>tblTransactions[[#This Row],[Total_Amount]]-(tblTransactions[[#This Row],[Cost_Prices]]*tblTransactions[[#This Row],[Quantity]]*(1-tblTransactions[[#This Row],[Discount]]))</f>
        <v>704.64480000000003</v>
      </c>
      <c r="N795" s="3">
        <f>tblTransactions[[#This Row],[Profit]]/tblTransactions[[#This Row],[Total_Amount]]</f>
        <v>0.24153425859592717</v>
      </c>
      <c r="O795" t="str">
        <f>TEXT(tblTransactions[[#This Row],[Date]], "MMM-YYYY")</f>
        <v>Jun-2023</v>
      </c>
      <c r="P795" t="str">
        <f>"Q"&amp;ROUNDUP(MONTH(tblTransactions[[#This Row],[Date]])/3,0)&amp;"-"&amp;YEAR(tblTransactions[[#This Row],[Date]])</f>
        <v>Q2-2023</v>
      </c>
      <c r="Q795">
        <f>YEAR(tblTransactions[[#This Row],[Date]])</f>
        <v>2023</v>
      </c>
      <c r="R795" t="str">
        <f>TEXT(tblTransactions[[#This Row],[Date]],"DDDD")</f>
        <v>Thursday</v>
      </c>
      <c r="S795">
        <f>MONTH(tblTransactions[[#This Row],[Date]])</f>
        <v>6</v>
      </c>
      <c r="T795" t="str">
        <f>VLOOKUP(E795, Products!$A:$B,2,0)</f>
        <v>Routers Tec-1</v>
      </c>
      <c r="U795" t="str">
        <f>VLOOKUP(E795,Products!$A:$C,3,0)</f>
        <v>Technology</v>
      </c>
      <c r="V795" t="str">
        <f>VLOOKUP(E795,Products!$A:$D,4,0)</f>
        <v>Routers</v>
      </c>
      <c r="W795" t="str">
        <f>VLOOKUP(D795,Customers!$A:$C,3,0)</f>
        <v>B2B</v>
      </c>
      <c r="X795" t="str">
        <f>VLOOKUP(C795,Sales_Representatives!$A:$B,2,0)</f>
        <v>Jennifer Brown</v>
      </c>
    </row>
    <row r="796" spans="1:24" x14ac:dyDescent="0.3">
      <c r="A796" t="s">
        <v>1122</v>
      </c>
      <c r="B796" t="s">
        <v>1121</v>
      </c>
      <c r="C796" t="s">
        <v>31</v>
      </c>
      <c r="D796" t="s">
        <v>136</v>
      </c>
      <c r="E796" t="s">
        <v>89</v>
      </c>
      <c r="F796">
        <v>4</v>
      </c>
      <c r="G796">
        <v>555.08000000000004</v>
      </c>
      <c r="H796">
        <v>0.01</v>
      </c>
      <c r="I796" s="4">
        <v>2198.12</v>
      </c>
      <c r="J796" t="s">
        <v>34</v>
      </c>
      <c r="K796" t="s">
        <v>17</v>
      </c>
      <c r="L796" s="4">
        <f>VLOOKUP(tblTransactions[[#This Row],[Product_ID]],tblProducts[],5,FALSE)</f>
        <v>402.82</v>
      </c>
      <c r="M796" s="4">
        <f>tblTransactions[[#This Row],[Total_Amount]]-(tblTransactions[[#This Row],[Cost_Prices]]*tblTransactions[[#This Row],[Quantity]]*(1-tblTransactions[[#This Row],[Discount]]))</f>
        <v>602.95280000000002</v>
      </c>
      <c r="N796" s="3">
        <f>tblTransactions[[#This Row],[Profit]]/tblTransactions[[#This Row],[Total_Amount]]</f>
        <v>0.27430385966189291</v>
      </c>
      <c r="O796" t="str">
        <f>TEXT(tblTransactions[[#This Row],[Date]], "MMM-YYYY")</f>
        <v>Jun-2023</v>
      </c>
      <c r="P796" t="str">
        <f>"Q"&amp;ROUNDUP(MONTH(tblTransactions[[#This Row],[Date]])/3,0)&amp;"-"&amp;YEAR(tblTransactions[[#This Row],[Date]])</f>
        <v>Q2-2023</v>
      </c>
      <c r="Q796">
        <f>YEAR(tblTransactions[[#This Row],[Date]])</f>
        <v>2023</v>
      </c>
      <c r="R796" t="str">
        <f>TEXT(tblTransactions[[#This Row],[Date]],"DDDD")</f>
        <v>Thursday</v>
      </c>
      <c r="S796">
        <f>MONTH(tblTransactions[[#This Row],[Date]])</f>
        <v>6</v>
      </c>
      <c r="T796" t="str">
        <f>VLOOKUP(E796, Products!$A:$B,2,0)</f>
        <v>Laptops Ele-3</v>
      </c>
      <c r="U796" t="str">
        <f>VLOOKUP(E796,Products!$A:$C,3,0)</f>
        <v>Electronics</v>
      </c>
      <c r="V796" t="str">
        <f>VLOOKUP(E796,Products!$A:$D,4,0)</f>
        <v>Laptops</v>
      </c>
      <c r="W796" t="str">
        <f>VLOOKUP(D796,Customers!$A:$C,3,0)</f>
        <v>B2B</v>
      </c>
      <c r="X796" t="str">
        <f>VLOOKUP(C796,Sales_Representatives!$A:$B,2,0)</f>
        <v>Thomas Martinez</v>
      </c>
    </row>
    <row r="797" spans="1:24" x14ac:dyDescent="0.3">
      <c r="A797" t="s">
        <v>1123</v>
      </c>
      <c r="B797" t="s">
        <v>1121</v>
      </c>
      <c r="C797" t="s">
        <v>41</v>
      </c>
      <c r="D797" t="s">
        <v>57</v>
      </c>
      <c r="E797" t="s">
        <v>29</v>
      </c>
      <c r="F797">
        <v>4</v>
      </c>
      <c r="G797">
        <v>1363.46</v>
      </c>
      <c r="H797">
        <v>7.0000000000000007E-2</v>
      </c>
      <c r="I797" s="4">
        <v>5072.07</v>
      </c>
      <c r="J797" t="s">
        <v>44</v>
      </c>
      <c r="K797" t="s">
        <v>22</v>
      </c>
      <c r="L797" s="4">
        <f>VLOOKUP(tblTransactions[[#This Row],[Product_ID]],tblProducts[],5,FALSE)</f>
        <v>995.41</v>
      </c>
      <c r="M797" s="4">
        <f>tblTransactions[[#This Row],[Total_Amount]]-(tblTransactions[[#This Row],[Cost_Prices]]*tblTransactions[[#This Row],[Quantity]]*(1-tblTransactions[[#This Row],[Discount]]))</f>
        <v>1369.1448</v>
      </c>
      <c r="N797" s="3">
        <f>tblTransactions[[#This Row],[Profit]]/tblTransactions[[#This Row],[Total_Amount]]</f>
        <v>0.26993807262123748</v>
      </c>
      <c r="O797" t="str">
        <f>TEXT(tblTransactions[[#This Row],[Date]], "MMM-YYYY")</f>
        <v>Jun-2023</v>
      </c>
      <c r="P797" t="str">
        <f>"Q"&amp;ROUNDUP(MONTH(tblTransactions[[#This Row],[Date]])/3,0)&amp;"-"&amp;YEAR(tblTransactions[[#This Row],[Date]])</f>
        <v>Q2-2023</v>
      </c>
      <c r="Q797">
        <f>YEAR(tblTransactions[[#This Row],[Date]])</f>
        <v>2023</v>
      </c>
      <c r="R797" t="str">
        <f>TEXT(tblTransactions[[#This Row],[Date]],"DDDD")</f>
        <v>Thursday</v>
      </c>
      <c r="S797">
        <f>MONTH(tblTransactions[[#This Row],[Date]])</f>
        <v>6</v>
      </c>
      <c r="T797" t="str">
        <f>VLOOKUP(E797, Products!$A:$B,2,0)</f>
        <v>Phones Ele-3</v>
      </c>
      <c r="U797" t="str">
        <f>VLOOKUP(E797,Products!$A:$C,3,0)</f>
        <v>Electronics</v>
      </c>
      <c r="V797" t="str">
        <f>VLOOKUP(E797,Products!$A:$D,4,0)</f>
        <v>Phones</v>
      </c>
      <c r="W797" t="str">
        <f>VLOOKUP(D797,Customers!$A:$C,3,0)</f>
        <v>Small Business</v>
      </c>
      <c r="X797" t="str">
        <f>VLOOKUP(C797,Sales_Representatives!$A:$B,2,0)</f>
        <v>Robert Jones</v>
      </c>
    </row>
    <row r="798" spans="1:24" x14ac:dyDescent="0.3">
      <c r="A798" t="s">
        <v>1124</v>
      </c>
      <c r="B798" t="s">
        <v>1121</v>
      </c>
      <c r="C798" t="s">
        <v>127</v>
      </c>
      <c r="D798" t="s">
        <v>50</v>
      </c>
      <c r="E798" t="s">
        <v>194</v>
      </c>
      <c r="F798">
        <v>6</v>
      </c>
      <c r="G798">
        <v>82.84</v>
      </c>
      <c r="H798">
        <v>0.14000000000000001</v>
      </c>
      <c r="I798" s="4">
        <v>427.45</v>
      </c>
      <c r="J798" t="s">
        <v>109</v>
      </c>
      <c r="K798" t="s">
        <v>39</v>
      </c>
      <c r="L798" s="4">
        <f>VLOOKUP(tblTransactions[[#This Row],[Product_ID]],tblProducts[],5,FALSE)</f>
        <v>52.98</v>
      </c>
      <c r="M798" s="4">
        <f>tblTransactions[[#This Row],[Total_Amount]]-(tblTransactions[[#This Row],[Cost_Prices]]*tblTransactions[[#This Row],[Quantity]]*(1-tblTransactions[[#This Row],[Discount]]))</f>
        <v>154.07319999999999</v>
      </c>
      <c r="N798" s="3">
        <f>tblTransactions[[#This Row],[Profit]]/tblTransactions[[#This Row],[Total_Amount]]</f>
        <v>0.36044730377821965</v>
      </c>
      <c r="O798" t="str">
        <f>TEXT(tblTransactions[[#This Row],[Date]], "MMM-YYYY")</f>
        <v>Jun-2023</v>
      </c>
      <c r="P798" t="str">
        <f>"Q"&amp;ROUNDUP(MONTH(tblTransactions[[#This Row],[Date]])/3,0)&amp;"-"&amp;YEAR(tblTransactions[[#This Row],[Date]])</f>
        <v>Q2-2023</v>
      </c>
      <c r="Q798">
        <f>YEAR(tblTransactions[[#This Row],[Date]])</f>
        <v>2023</v>
      </c>
      <c r="R798" t="str">
        <f>TEXT(tblTransactions[[#This Row],[Date]],"DDDD")</f>
        <v>Thursday</v>
      </c>
      <c r="S798">
        <f>MONTH(tblTransactions[[#This Row],[Date]])</f>
        <v>6</v>
      </c>
      <c r="T798" t="str">
        <f>VLOOKUP(E798, Products!$A:$B,2,0)</f>
        <v>Binders Off-2</v>
      </c>
      <c r="U798" t="str">
        <f>VLOOKUP(E798,Products!$A:$C,3,0)</f>
        <v>Office Supplies</v>
      </c>
      <c r="V798" t="str">
        <f>VLOOKUP(E798,Products!$A:$D,4,0)</f>
        <v>Binders</v>
      </c>
      <c r="W798" t="str">
        <f>VLOOKUP(D798,Customers!$A:$C,3,0)</f>
        <v>Small Business</v>
      </c>
      <c r="X798" t="str">
        <f>VLOOKUP(C798,Sales_Representatives!$A:$B,2,0)</f>
        <v>Emily Hernandez</v>
      </c>
    </row>
    <row r="799" spans="1:24" x14ac:dyDescent="0.3">
      <c r="A799" t="s">
        <v>1125</v>
      </c>
      <c r="B799" t="s">
        <v>1121</v>
      </c>
      <c r="C799" t="s">
        <v>75</v>
      </c>
      <c r="D799" t="s">
        <v>47</v>
      </c>
      <c r="E799" t="s">
        <v>198</v>
      </c>
      <c r="F799">
        <v>5</v>
      </c>
      <c r="G799">
        <v>1802.96</v>
      </c>
      <c r="H799">
        <v>0.04</v>
      </c>
      <c r="I799" s="4">
        <v>8654.2099999999991</v>
      </c>
      <c r="J799" t="s">
        <v>44</v>
      </c>
      <c r="K799" t="s">
        <v>35</v>
      </c>
      <c r="L799" s="4">
        <f>VLOOKUP(tblTransactions[[#This Row],[Product_ID]],tblProducts[],5,FALSE)</f>
        <v>1282.18</v>
      </c>
      <c r="M799" s="4">
        <f>tblTransactions[[#This Row],[Total_Amount]]-(tblTransactions[[#This Row],[Cost_Prices]]*tblTransactions[[#This Row],[Quantity]]*(1-tblTransactions[[#This Row],[Discount]]))</f>
        <v>2499.7459999999992</v>
      </c>
      <c r="N799" s="3">
        <f>tblTransactions[[#This Row],[Profit]]/tblTransactions[[#This Row],[Total_Amount]]</f>
        <v>0.28884739334959508</v>
      </c>
      <c r="O799" t="str">
        <f>TEXT(tblTransactions[[#This Row],[Date]], "MMM-YYYY")</f>
        <v>Jun-2023</v>
      </c>
      <c r="P799" t="str">
        <f>"Q"&amp;ROUNDUP(MONTH(tblTransactions[[#This Row],[Date]])/3,0)&amp;"-"&amp;YEAR(tblTransactions[[#This Row],[Date]])</f>
        <v>Q2-2023</v>
      </c>
      <c r="Q799">
        <f>YEAR(tblTransactions[[#This Row],[Date]])</f>
        <v>2023</v>
      </c>
      <c r="R799" t="str">
        <f>TEXT(tblTransactions[[#This Row],[Date]],"DDDD")</f>
        <v>Thursday</v>
      </c>
      <c r="S799">
        <f>MONTH(tblTransactions[[#This Row],[Date]])</f>
        <v>6</v>
      </c>
      <c r="T799" t="str">
        <f>VLOOKUP(E799, Products!$A:$B,2,0)</f>
        <v>Tablets Ele-3</v>
      </c>
      <c r="U799" t="str">
        <f>VLOOKUP(E799,Products!$A:$C,3,0)</f>
        <v>Electronics</v>
      </c>
      <c r="V799" t="str">
        <f>VLOOKUP(E799,Products!$A:$D,4,0)</f>
        <v>Tablets</v>
      </c>
      <c r="W799" t="str">
        <f>VLOOKUP(D799,Customers!$A:$C,3,0)</f>
        <v>B2C</v>
      </c>
      <c r="X799" t="str">
        <f>VLOOKUP(C799,Sales_Representatives!$A:$B,2,0)</f>
        <v>Jessica Anderson</v>
      </c>
    </row>
    <row r="800" spans="1:24" x14ac:dyDescent="0.3">
      <c r="A800" t="s">
        <v>1126</v>
      </c>
      <c r="B800" t="s">
        <v>1121</v>
      </c>
      <c r="C800" t="s">
        <v>82</v>
      </c>
      <c r="D800" t="s">
        <v>154</v>
      </c>
      <c r="E800" t="s">
        <v>200</v>
      </c>
      <c r="F800">
        <v>8</v>
      </c>
      <c r="G800">
        <v>544.77</v>
      </c>
      <c r="H800">
        <v>0.08</v>
      </c>
      <c r="I800" s="4">
        <v>4009.51</v>
      </c>
      <c r="J800" t="s">
        <v>34</v>
      </c>
      <c r="K800" t="s">
        <v>48</v>
      </c>
      <c r="L800" s="4">
        <f>VLOOKUP(tblTransactions[[#This Row],[Product_ID]],tblProducts[],5,FALSE)</f>
        <v>318.2</v>
      </c>
      <c r="M800" s="4">
        <f>tblTransactions[[#This Row],[Total_Amount]]-(tblTransactions[[#This Row],[Cost_Prices]]*tblTransactions[[#This Row],[Quantity]]*(1-tblTransactions[[#This Row],[Discount]]))</f>
        <v>1667.558</v>
      </c>
      <c r="N800" s="3">
        <f>tblTransactions[[#This Row],[Profit]]/tblTransactions[[#This Row],[Total_Amount]]</f>
        <v>0.41590069609503405</v>
      </c>
      <c r="O800" t="str">
        <f>TEXT(tblTransactions[[#This Row],[Date]], "MMM-YYYY")</f>
        <v>Jun-2023</v>
      </c>
      <c r="P800" t="str">
        <f>"Q"&amp;ROUNDUP(MONTH(tblTransactions[[#This Row],[Date]])/3,0)&amp;"-"&amp;YEAR(tblTransactions[[#This Row],[Date]])</f>
        <v>Q2-2023</v>
      </c>
      <c r="Q800">
        <f>YEAR(tblTransactions[[#This Row],[Date]])</f>
        <v>2023</v>
      </c>
      <c r="R800" t="str">
        <f>TEXT(tblTransactions[[#This Row],[Date]],"DDDD")</f>
        <v>Thursday</v>
      </c>
      <c r="S800">
        <f>MONTH(tblTransactions[[#This Row],[Date]])</f>
        <v>6</v>
      </c>
      <c r="T800" t="str">
        <f>VLOOKUP(E800, Products!$A:$B,2,0)</f>
        <v>Desks Fur-4</v>
      </c>
      <c r="U800" t="str">
        <f>VLOOKUP(E800,Products!$A:$C,3,0)</f>
        <v>Furniture</v>
      </c>
      <c r="V800" t="str">
        <f>VLOOKUP(E800,Products!$A:$D,4,0)</f>
        <v>Desks</v>
      </c>
      <c r="W800" t="str">
        <f>VLOOKUP(D800,Customers!$A:$C,3,0)</f>
        <v>B2B</v>
      </c>
      <c r="X800" t="str">
        <f>VLOOKUP(C800,Sales_Representatives!$A:$B,2,0)</f>
        <v>John Brown</v>
      </c>
    </row>
    <row r="801" spans="1:24" x14ac:dyDescent="0.3">
      <c r="A801" t="s">
        <v>1127</v>
      </c>
      <c r="B801" t="s">
        <v>1128</v>
      </c>
      <c r="C801" t="s">
        <v>75</v>
      </c>
      <c r="D801" t="s">
        <v>190</v>
      </c>
      <c r="E801" t="s">
        <v>20</v>
      </c>
      <c r="F801">
        <v>7</v>
      </c>
      <c r="G801">
        <v>1219.49</v>
      </c>
      <c r="H801">
        <v>0.11</v>
      </c>
      <c r="I801" s="4">
        <v>7597.42</v>
      </c>
      <c r="J801" t="s">
        <v>44</v>
      </c>
      <c r="K801" t="s">
        <v>48</v>
      </c>
      <c r="L801" s="4">
        <f>VLOOKUP(tblTransactions[[#This Row],[Product_ID]],tblProducts[],5,FALSE)</f>
        <v>686.9</v>
      </c>
      <c r="M801" s="4">
        <f>tblTransactions[[#This Row],[Total_Amount]]-(tblTransactions[[#This Row],[Cost_Prices]]*tblTransactions[[#This Row],[Quantity]]*(1-tblTransactions[[#This Row],[Discount]]))</f>
        <v>3318.0329999999994</v>
      </c>
      <c r="N801" s="3">
        <f>tblTransactions[[#This Row],[Profit]]/tblTransactions[[#This Row],[Total_Amount]]</f>
        <v>0.43673154834141054</v>
      </c>
      <c r="O801" t="str">
        <f>TEXT(tblTransactions[[#This Row],[Date]], "MMM-YYYY")</f>
        <v>Jun-2023</v>
      </c>
      <c r="P801" t="str">
        <f>"Q"&amp;ROUNDUP(MONTH(tblTransactions[[#This Row],[Date]])/3,0)&amp;"-"&amp;YEAR(tblTransactions[[#This Row],[Date]])</f>
        <v>Q2-2023</v>
      </c>
      <c r="Q801">
        <f>YEAR(tblTransactions[[#This Row],[Date]])</f>
        <v>2023</v>
      </c>
      <c r="R801" t="str">
        <f>TEXT(tblTransactions[[#This Row],[Date]],"DDDD")</f>
        <v>Friday</v>
      </c>
      <c r="S801">
        <f>MONTH(tblTransactions[[#This Row],[Date]])</f>
        <v>6</v>
      </c>
      <c r="T801" t="str">
        <f>VLOOKUP(E801, Products!$A:$B,2,0)</f>
        <v>Laptops Ele-1</v>
      </c>
      <c r="U801" t="str">
        <f>VLOOKUP(E801,Products!$A:$C,3,0)</f>
        <v>Electronics</v>
      </c>
      <c r="V801" t="str">
        <f>VLOOKUP(E801,Products!$A:$D,4,0)</f>
        <v>Laptops</v>
      </c>
      <c r="W801" t="str">
        <f>VLOOKUP(D801,Customers!$A:$C,3,0)</f>
        <v>B2B</v>
      </c>
      <c r="X801" t="str">
        <f>VLOOKUP(C801,Sales_Representatives!$A:$B,2,0)</f>
        <v>Jessica Anderson</v>
      </c>
    </row>
    <row r="802" spans="1:24" x14ac:dyDescent="0.3">
      <c r="A802" t="s">
        <v>1129</v>
      </c>
      <c r="B802" t="s">
        <v>1128</v>
      </c>
      <c r="C802" t="s">
        <v>131</v>
      </c>
      <c r="D802" t="s">
        <v>83</v>
      </c>
      <c r="E802" t="s">
        <v>65</v>
      </c>
      <c r="F802">
        <v>4</v>
      </c>
      <c r="G802">
        <v>49.44</v>
      </c>
      <c r="H802">
        <v>0.03</v>
      </c>
      <c r="I802" s="4">
        <v>191.83</v>
      </c>
      <c r="J802" t="s">
        <v>44</v>
      </c>
      <c r="K802" t="s">
        <v>48</v>
      </c>
      <c r="L802" s="4">
        <f>VLOOKUP(tblTransactions[[#This Row],[Product_ID]],tblProducts[],5,FALSE)</f>
        <v>22.34</v>
      </c>
      <c r="M802" s="4">
        <f>tblTransactions[[#This Row],[Total_Amount]]-(tblTransactions[[#This Row],[Cost_Prices]]*tblTransactions[[#This Row],[Quantity]]*(1-tblTransactions[[#This Row],[Discount]]))</f>
        <v>105.15080000000002</v>
      </c>
      <c r="N802" s="3">
        <f>tblTransactions[[#This Row],[Profit]]/tblTransactions[[#This Row],[Total_Amount]]</f>
        <v>0.54814575405306787</v>
      </c>
      <c r="O802" t="str">
        <f>TEXT(tblTransactions[[#This Row],[Date]], "MMM-YYYY")</f>
        <v>Jun-2023</v>
      </c>
      <c r="P802" t="str">
        <f>"Q"&amp;ROUNDUP(MONTH(tblTransactions[[#This Row],[Date]])/3,0)&amp;"-"&amp;YEAR(tblTransactions[[#This Row],[Date]])</f>
        <v>Q2-2023</v>
      </c>
      <c r="Q802">
        <f>YEAR(tblTransactions[[#This Row],[Date]])</f>
        <v>2023</v>
      </c>
      <c r="R802" t="str">
        <f>TEXT(tblTransactions[[#This Row],[Date]],"DDDD")</f>
        <v>Friday</v>
      </c>
      <c r="S802">
        <f>MONTH(tblTransactions[[#This Row],[Date]])</f>
        <v>6</v>
      </c>
      <c r="T802" t="str">
        <f>VLOOKUP(E802, Products!$A:$B,2,0)</f>
        <v>Folders Off-2</v>
      </c>
      <c r="U802" t="str">
        <f>VLOOKUP(E802,Products!$A:$C,3,0)</f>
        <v>Office Supplies</v>
      </c>
      <c r="V802" t="str">
        <f>VLOOKUP(E802,Products!$A:$D,4,0)</f>
        <v>Folders</v>
      </c>
      <c r="W802" t="str">
        <f>VLOOKUP(D802,Customers!$A:$C,3,0)</f>
        <v>Small Business</v>
      </c>
      <c r="X802" t="str">
        <f>VLOOKUP(C802,Sales_Representatives!$A:$B,2,0)</f>
        <v>Michael Davis</v>
      </c>
    </row>
    <row r="803" spans="1:24" x14ac:dyDescent="0.3">
      <c r="A803" t="s">
        <v>1130</v>
      </c>
      <c r="B803" t="s">
        <v>1131</v>
      </c>
      <c r="C803" t="s">
        <v>107</v>
      </c>
      <c r="D803" t="s">
        <v>52</v>
      </c>
      <c r="E803" t="s">
        <v>68</v>
      </c>
      <c r="F803">
        <v>5</v>
      </c>
      <c r="G803">
        <v>522.63</v>
      </c>
      <c r="H803">
        <v>0</v>
      </c>
      <c r="I803" s="4">
        <v>2613.15</v>
      </c>
      <c r="J803" t="s">
        <v>109</v>
      </c>
      <c r="K803" t="s">
        <v>39</v>
      </c>
      <c r="L803" s="4">
        <f>VLOOKUP(tblTransactions[[#This Row],[Product_ID]],tblProducts[],5,FALSE)</f>
        <v>355.82</v>
      </c>
      <c r="M803" s="4">
        <f>tblTransactions[[#This Row],[Total_Amount]]-(tblTransactions[[#This Row],[Cost_Prices]]*tblTransactions[[#This Row],[Quantity]]*(1-tblTransactions[[#This Row],[Discount]]))</f>
        <v>834.05000000000018</v>
      </c>
      <c r="N803" s="3">
        <f>tblTransactions[[#This Row],[Profit]]/tblTransactions[[#This Row],[Total_Amount]]</f>
        <v>0.31917417675984927</v>
      </c>
      <c r="O803" t="str">
        <f>TEXT(tblTransactions[[#This Row],[Date]], "MMM-YYYY")</f>
        <v>Jun-2023</v>
      </c>
      <c r="P803" t="str">
        <f>"Q"&amp;ROUNDUP(MONTH(tblTransactions[[#This Row],[Date]])/3,0)&amp;"-"&amp;YEAR(tblTransactions[[#This Row],[Date]])</f>
        <v>Q2-2023</v>
      </c>
      <c r="Q803">
        <f>YEAR(tblTransactions[[#This Row],[Date]])</f>
        <v>2023</v>
      </c>
      <c r="R803" t="str">
        <f>TEXT(tblTransactions[[#This Row],[Date]],"DDDD")</f>
        <v>Saturday</v>
      </c>
      <c r="S803">
        <f>MONTH(tblTransactions[[#This Row],[Date]])</f>
        <v>6</v>
      </c>
      <c r="T803" t="str">
        <f>VLOOKUP(E803, Products!$A:$B,2,0)</f>
        <v>Monitors Tec-3</v>
      </c>
      <c r="U803" t="str">
        <f>VLOOKUP(E803,Products!$A:$C,3,0)</f>
        <v>Technology</v>
      </c>
      <c r="V803" t="str">
        <f>VLOOKUP(E803,Products!$A:$D,4,0)</f>
        <v>Monitors</v>
      </c>
      <c r="W803" t="str">
        <f>VLOOKUP(D803,Customers!$A:$C,3,0)</f>
        <v>B2C</v>
      </c>
      <c r="X803" t="str">
        <f>VLOOKUP(C803,Sales_Representatives!$A:$B,2,0)</f>
        <v>Jennifer Brown</v>
      </c>
    </row>
    <row r="804" spans="1:24" x14ac:dyDescent="0.3">
      <c r="A804" t="s">
        <v>1132</v>
      </c>
      <c r="B804" t="s">
        <v>1131</v>
      </c>
      <c r="C804" t="s">
        <v>107</v>
      </c>
      <c r="D804" t="s">
        <v>362</v>
      </c>
      <c r="E804" t="s">
        <v>77</v>
      </c>
      <c r="F804">
        <v>6</v>
      </c>
      <c r="G804">
        <v>236.82</v>
      </c>
      <c r="H804">
        <v>0.05</v>
      </c>
      <c r="I804" s="4">
        <v>1349.87</v>
      </c>
      <c r="J804" t="s">
        <v>109</v>
      </c>
      <c r="K804" t="s">
        <v>35</v>
      </c>
      <c r="L804" s="4">
        <f>VLOOKUP(tblTransactions[[#This Row],[Product_ID]],tblProducts[],5,FALSE)</f>
        <v>110.79</v>
      </c>
      <c r="M804" s="4">
        <f>tblTransactions[[#This Row],[Total_Amount]]-(tblTransactions[[#This Row],[Cost_Prices]]*tblTransactions[[#This Row],[Quantity]]*(1-tblTransactions[[#This Row],[Discount]]))</f>
        <v>718.36699999999996</v>
      </c>
      <c r="N804" s="3">
        <f>tblTransactions[[#This Row],[Profit]]/tblTransactions[[#This Row],[Total_Amount]]</f>
        <v>0.53217495018038774</v>
      </c>
      <c r="O804" t="str">
        <f>TEXT(tblTransactions[[#This Row],[Date]], "MMM-YYYY")</f>
        <v>Jun-2023</v>
      </c>
      <c r="P804" t="str">
        <f>"Q"&amp;ROUNDUP(MONTH(tblTransactions[[#This Row],[Date]])/3,0)&amp;"-"&amp;YEAR(tblTransactions[[#This Row],[Date]])</f>
        <v>Q2-2023</v>
      </c>
      <c r="Q804">
        <f>YEAR(tblTransactions[[#This Row],[Date]])</f>
        <v>2023</v>
      </c>
      <c r="R804" t="str">
        <f>TEXT(tblTransactions[[#This Row],[Date]],"DDDD")</f>
        <v>Saturday</v>
      </c>
      <c r="S804">
        <f>MONTH(tblTransactions[[#This Row],[Date]])</f>
        <v>6</v>
      </c>
      <c r="T804" t="str">
        <f>VLOOKUP(E804, Products!$A:$B,2,0)</f>
        <v>Binders Off-4</v>
      </c>
      <c r="U804" t="str">
        <f>VLOOKUP(E804,Products!$A:$C,3,0)</f>
        <v>Office Supplies</v>
      </c>
      <c r="V804" t="str">
        <f>VLOOKUP(E804,Products!$A:$D,4,0)</f>
        <v>Binders</v>
      </c>
      <c r="W804" t="str">
        <f>VLOOKUP(D804,Customers!$A:$C,3,0)</f>
        <v>Small Business</v>
      </c>
      <c r="X804" t="str">
        <f>VLOOKUP(C804,Sales_Representatives!$A:$B,2,0)</f>
        <v>Jennifer Brown</v>
      </c>
    </row>
    <row r="805" spans="1:24" x14ac:dyDescent="0.3">
      <c r="A805" t="s">
        <v>1133</v>
      </c>
      <c r="B805" t="s">
        <v>1131</v>
      </c>
      <c r="C805" t="s">
        <v>75</v>
      </c>
      <c r="D805" t="s">
        <v>212</v>
      </c>
      <c r="E805" t="s">
        <v>116</v>
      </c>
      <c r="F805">
        <v>1</v>
      </c>
      <c r="G805">
        <v>232.86</v>
      </c>
      <c r="H805">
        <v>0</v>
      </c>
      <c r="I805" s="4">
        <v>232.86</v>
      </c>
      <c r="J805" t="s">
        <v>44</v>
      </c>
      <c r="K805" t="s">
        <v>48</v>
      </c>
      <c r="L805" s="4">
        <f>VLOOKUP(tblTransactions[[#This Row],[Product_ID]],tblProducts[],5,FALSE)</f>
        <v>116.79</v>
      </c>
      <c r="M805" s="4">
        <f>tblTransactions[[#This Row],[Total_Amount]]-(tblTransactions[[#This Row],[Cost_Prices]]*tblTransactions[[#This Row],[Quantity]]*(1-tblTransactions[[#This Row],[Discount]]))</f>
        <v>116.07000000000001</v>
      </c>
      <c r="N805" s="3">
        <f>tblTransactions[[#This Row],[Profit]]/tblTransactions[[#This Row],[Total_Amount]]</f>
        <v>0.49845400669930429</v>
      </c>
      <c r="O805" t="str">
        <f>TEXT(tblTransactions[[#This Row],[Date]], "MMM-YYYY")</f>
        <v>Jun-2023</v>
      </c>
      <c r="P805" t="str">
        <f>"Q"&amp;ROUNDUP(MONTH(tblTransactions[[#This Row],[Date]])/3,0)&amp;"-"&amp;YEAR(tblTransactions[[#This Row],[Date]])</f>
        <v>Q2-2023</v>
      </c>
      <c r="Q805">
        <f>YEAR(tblTransactions[[#This Row],[Date]])</f>
        <v>2023</v>
      </c>
      <c r="R805" t="str">
        <f>TEXT(tblTransactions[[#This Row],[Date]],"DDDD")</f>
        <v>Saturday</v>
      </c>
      <c r="S805">
        <f>MONTH(tblTransactions[[#This Row],[Date]])</f>
        <v>6</v>
      </c>
      <c r="T805" t="str">
        <f>VLOOKUP(E805, Products!$A:$B,2,0)</f>
        <v>Folders Off-4</v>
      </c>
      <c r="U805" t="str">
        <f>VLOOKUP(E805,Products!$A:$C,3,0)</f>
        <v>Office Supplies</v>
      </c>
      <c r="V805" t="str">
        <f>VLOOKUP(E805,Products!$A:$D,4,0)</f>
        <v>Folders</v>
      </c>
      <c r="W805" t="str">
        <f>VLOOKUP(D805,Customers!$A:$C,3,0)</f>
        <v>B2C</v>
      </c>
      <c r="X805" t="str">
        <f>VLOOKUP(C805,Sales_Representatives!$A:$B,2,0)</f>
        <v>Jessica Anderson</v>
      </c>
    </row>
    <row r="806" spans="1:24" x14ac:dyDescent="0.3">
      <c r="A806" t="s">
        <v>1134</v>
      </c>
      <c r="B806" t="s">
        <v>1131</v>
      </c>
      <c r="C806" t="s">
        <v>27</v>
      </c>
      <c r="D806" t="s">
        <v>144</v>
      </c>
      <c r="E806" t="s">
        <v>159</v>
      </c>
      <c r="F806">
        <v>7</v>
      </c>
      <c r="G806">
        <v>78.09</v>
      </c>
      <c r="H806">
        <v>0.15</v>
      </c>
      <c r="I806" s="4">
        <v>464.64</v>
      </c>
      <c r="J806" t="s">
        <v>16</v>
      </c>
      <c r="K806" t="s">
        <v>35</v>
      </c>
      <c r="L806" s="4">
        <f>VLOOKUP(tblTransactions[[#This Row],[Product_ID]],tblProducts[],5,FALSE)</f>
        <v>47.01</v>
      </c>
      <c r="M806" s="4">
        <f>tblTransactions[[#This Row],[Total_Amount]]-(tblTransactions[[#This Row],[Cost_Prices]]*tblTransactions[[#This Row],[Quantity]]*(1-tblTransactions[[#This Row],[Discount]]))</f>
        <v>184.93049999999999</v>
      </c>
      <c r="N806" s="3">
        <f>tblTransactions[[#This Row],[Profit]]/tblTransactions[[#This Row],[Total_Amount]]</f>
        <v>0.39800813533057849</v>
      </c>
      <c r="O806" t="str">
        <f>TEXT(tblTransactions[[#This Row],[Date]], "MMM-YYYY")</f>
        <v>Jun-2023</v>
      </c>
      <c r="P806" t="str">
        <f>"Q"&amp;ROUNDUP(MONTH(tblTransactions[[#This Row],[Date]])/3,0)&amp;"-"&amp;YEAR(tblTransactions[[#This Row],[Date]])</f>
        <v>Q2-2023</v>
      </c>
      <c r="Q806">
        <f>YEAR(tblTransactions[[#This Row],[Date]])</f>
        <v>2023</v>
      </c>
      <c r="R806" t="str">
        <f>TEXT(tblTransactions[[#This Row],[Date]],"DDDD")</f>
        <v>Saturday</v>
      </c>
      <c r="S806">
        <f>MONTH(tblTransactions[[#This Row],[Date]])</f>
        <v>6</v>
      </c>
      <c r="T806" t="str">
        <f>VLOOKUP(E806, Products!$A:$B,2,0)</f>
        <v>Cables Acc-4</v>
      </c>
      <c r="U806" t="str">
        <f>VLOOKUP(E806,Products!$A:$C,3,0)</f>
        <v>Accessories</v>
      </c>
      <c r="V806" t="str">
        <f>VLOOKUP(E806,Products!$A:$D,4,0)</f>
        <v>Cables</v>
      </c>
      <c r="W806" t="str">
        <f>VLOOKUP(D806,Customers!$A:$C,3,0)</f>
        <v>B2C</v>
      </c>
      <c r="X806" t="str">
        <f>VLOOKUP(C806,Sales_Representatives!$A:$B,2,0)</f>
        <v>Thomas Lopez</v>
      </c>
    </row>
    <row r="807" spans="1:24" x14ac:dyDescent="0.3">
      <c r="A807" t="s">
        <v>1135</v>
      </c>
      <c r="B807" t="s">
        <v>1131</v>
      </c>
      <c r="C807" t="s">
        <v>141</v>
      </c>
      <c r="D807" t="s">
        <v>101</v>
      </c>
      <c r="E807" t="s">
        <v>116</v>
      </c>
      <c r="F807">
        <v>1</v>
      </c>
      <c r="G807">
        <v>232.86</v>
      </c>
      <c r="H807">
        <v>0.08</v>
      </c>
      <c r="I807" s="4">
        <v>214.23</v>
      </c>
      <c r="J807" t="s">
        <v>109</v>
      </c>
      <c r="K807" t="s">
        <v>22</v>
      </c>
      <c r="L807" s="4">
        <f>VLOOKUP(tblTransactions[[#This Row],[Product_ID]],tblProducts[],5,FALSE)</f>
        <v>116.79</v>
      </c>
      <c r="M807" s="4">
        <f>tblTransactions[[#This Row],[Total_Amount]]-(tblTransactions[[#This Row],[Cost_Prices]]*tblTransactions[[#This Row],[Quantity]]*(1-tblTransactions[[#This Row],[Discount]]))</f>
        <v>106.78319999999998</v>
      </c>
      <c r="N807" s="3">
        <f>tblTransactions[[#This Row],[Profit]]/tblTransactions[[#This Row],[Total_Amount]]</f>
        <v>0.49845119731130089</v>
      </c>
      <c r="O807" t="str">
        <f>TEXT(tblTransactions[[#This Row],[Date]], "MMM-YYYY")</f>
        <v>Jun-2023</v>
      </c>
      <c r="P807" t="str">
        <f>"Q"&amp;ROUNDUP(MONTH(tblTransactions[[#This Row],[Date]])/3,0)&amp;"-"&amp;YEAR(tblTransactions[[#This Row],[Date]])</f>
        <v>Q2-2023</v>
      </c>
      <c r="Q807">
        <f>YEAR(tblTransactions[[#This Row],[Date]])</f>
        <v>2023</v>
      </c>
      <c r="R807" t="str">
        <f>TEXT(tblTransactions[[#This Row],[Date]],"DDDD")</f>
        <v>Saturday</v>
      </c>
      <c r="S807">
        <f>MONTH(tblTransactions[[#This Row],[Date]])</f>
        <v>6</v>
      </c>
      <c r="T807" t="str">
        <f>VLOOKUP(E807, Products!$A:$B,2,0)</f>
        <v>Folders Off-4</v>
      </c>
      <c r="U807" t="str">
        <f>VLOOKUP(E807,Products!$A:$C,3,0)</f>
        <v>Office Supplies</v>
      </c>
      <c r="V807" t="str">
        <f>VLOOKUP(E807,Products!$A:$D,4,0)</f>
        <v>Folders</v>
      </c>
      <c r="W807" t="str">
        <f>VLOOKUP(D807,Customers!$A:$C,3,0)</f>
        <v>B2C</v>
      </c>
      <c r="X807" t="str">
        <f>VLOOKUP(C807,Sales_Representatives!$A:$B,2,0)</f>
        <v>Richard Garcia</v>
      </c>
    </row>
    <row r="808" spans="1:24" x14ac:dyDescent="0.3">
      <c r="A808" t="s">
        <v>1136</v>
      </c>
      <c r="B808" t="s">
        <v>1137</v>
      </c>
      <c r="C808" t="s">
        <v>59</v>
      </c>
      <c r="D808" t="s">
        <v>57</v>
      </c>
      <c r="E808" t="s">
        <v>191</v>
      </c>
      <c r="F808">
        <v>7</v>
      </c>
      <c r="G808">
        <v>1012.75</v>
      </c>
      <c r="H808">
        <v>0.15</v>
      </c>
      <c r="I808" s="4">
        <v>6025.86</v>
      </c>
      <c r="J808" t="s">
        <v>21</v>
      </c>
      <c r="K808" t="s">
        <v>17</v>
      </c>
      <c r="L808" s="4">
        <f>VLOOKUP(tblTransactions[[#This Row],[Product_ID]],tblProducts[],5,FALSE)</f>
        <v>518.53</v>
      </c>
      <c r="M808" s="4">
        <f>tblTransactions[[#This Row],[Total_Amount]]-(tblTransactions[[#This Row],[Cost_Prices]]*tblTransactions[[#This Row],[Quantity]]*(1-tblTransactions[[#This Row],[Discount]]))</f>
        <v>2940.6064999999999</v>
      </c>
      <c r="N808" s="3">
        <f>tblTransactions[[#This Row],[Profit]]/tblTransactions[[#This Row],[Total_Amount]]</f>
        <v>0.48799781276033627</v>
      </c>
      <c r="O808" t="str">
        <f>TEXT(tblTransactions[[#This Row],[Date]], "MMM-YYYY")</f>
        <v>Jun-2023</v>
      </c>
      <c r="P808" t="str">
        <f>"Q"&amp;ROUNDUP(MONTH(tblTransactions[[#This Row],[Date]])/3,0)&amp;"-"&amp;YEAR(tblTransactions[[#This Row],[Date]])</f>
        <v>Q2-2023</v>
      </c>
      <c r="Q808">
        <f>YEAR(tblTransactions[[#This Row],[Date]])</f>
        <v>2023</v>
      </c>
      <c r="R808" t="str">
        <f>TEXT(tblTransactions[[#This Row],[Date]],"DDDD")</f>
        <v>Sunday</v>
      </c>
      <c r="S808">
        <f>MONTH(tblTransactions[[#This Row],[Date]])</f>
        <v>6</v>
      </c>
      <c r="T808" t="str">
        <f>VLOOKUP(E808, Products!$A:$B,2,0)</f>
        <v>Tables Fur-4</v>
      </c>
      <c r="U808" t="str">
        <f>VLOOKUP(E808,Products!$A:$C,3,0)</f>
        <v>Furniture</v>
      </c>
      <c r="V808" t="str">
        <f>VLOOKUP(E808,Products!$A:$D,4,0)</f>
        <v>Tables</v>
      </c>
      <c r="W808" t="str">
        <f>VLOOKUP(D808,Customers!$A:$C,3,0)</f>
        <v>Small Business</v>
      </c>
      <c r="X808" t="str">
        <f>VLOOKUP(C808,Sales_Representatives!$A:$B,2,0)</f>
        <v>Sarah Brown</v>
      </c>
    </row>
    <row r="809" spans="1:24" x14ac:dyDescent="0.3">
      <c r="A809" t="s">
        <v>1138</v>
      </c>
      <c r="B809" t="s">
        <v>1137</v>
      </c>
      <c r="C809" t="s">
        <v>31</v>
      </c>
      <c r="D809" t="s">
        <v>210</v>
      </c>
      <c r="E809" t="s">
        <v>255</v>
      </c>
      <c r="F809">
        <v>18</v>
      </c>
      <c r="G809">
        <v>1444.13</v>
      </c>
      <c r="H809">
        <v>0.2</v>
      </c>
      <c r="I809" s="4">
        <v>20795.47</v>
      </c>
      <c r="J809" t="s">
        <v>34</v>
      </c>
      <c r="K809" t="s">
        <v>48</v>
      </c>
      <c r="L809" s="4">
        <f>VLOOKUP(tblTransactions[[#This Row],[Product_ID]],tblProducts[],5,FALSE)</f>
        <v>874.43</v>
      </c>
      <c r="M809" s="4">
        <f>tblTransactions[[#This Row],[Total_Amount]]-(tblTransactions[[#This Row],[Cost_Prices]]*tblTransactions[[#This Row],[Quantity]]*(1-tblTransactions[[#This Row],[Discount]]))</f>
        <v>8203.6779999999999</v>
      </c>
      <c r="N809" s="3">
        <f>tblTransactions[[#This Row],[Profit]]/tblTransactions[[#This Row],[Total_Amount]]</f>
        <v>0.39449351228897445</v>
      </c>
      <c r="O809" t="str">
        <f>TEXT(tblTransactions[[#This Row],[Date]], "MMM-YYYY")</f>
        <v>Jun-2023</v>
      </c>
      <c r="P809" t="str">
        <f>"Q"&amp;ROUNDUP(MONTH(tblTransactions[[#This Row],[Date]])/3,0)&amp;"-"&amp;YEAR(tblTransactions[[#This Row],[Date]])</f>
        <v>Q2-2023</v>
      </c>
      <c r="Q809">
        <f>YEAR(tblTransactions[[#This Row],[Date]])</f>
        <v>2023</v>
      </c>
      <c r="R809" t="str">
        <f>TEXT(tblTransactions[[#This Row],[Date]],"DDDD")</f>
        <v>Sunday</v>
      </c>
      <c r="S809">
        <f>MONTH(tblTransactions[[#This Row],[Date]])</f>
        <v>6</v>
      </c>
      <c r="T809" t="str">
        <f>VLOOKUP(E809, Products!$A:$B,2,0)</f>
        <v>Printers Tec-1</v>
      </c>
      <c r="U809" t="str">
        <f>VLOOKUP(E809,Products!$A:$C,3,0)</f>
        <v>Technology</v>
      </c>
      <c r="V809" t="str">
        <f>VLOOKUP(E809,Products!$A:$D,4,0)</f>
        <v>Printers</v>
      </c>
      <c r="W809" t="str">
        <f>VLOOKUP(D809,Customers!$A:$C,3,0)</f>
        <v>B2B</v>
      </c>
      <c r="X809" t="str">
        <f>VLOOKUP(C809,Sales_Representatives!$A:$B,2,0)</f>
        <v>Thomas Martinez</v>
      </c>
    </row>
    <row r="810" spans="1:24" x14ac:dyDescent="0.3">
      <c r="A810" t="s">
        <v>1139</v>
      </c>
      <c r="B810" t="s">
        <v>1137</v>
      </c>
      <c r="C810" t="s">
        <v>127</v>
      </c>
      <c r="D810" t="s">
        <v>203</v>
      </c>
      <c r="E810" t="s">
        <v>137</v>
      </c>
      <c r="F810">
        <v>23</v>
      </c>
      <c r="G810">
        <v>241.39</v>
      </c>
      <c r="H810">
        <v>0.2</v>
      </c>
      <c r="I810" s="4">
        <v>4441.58</v>
      </c>
      <c r="J810" t="s">
        <v>109</v>
      </c>
      <c r="K810" t="s">
        <v>48</v>
      </c>
      <c r="L810" s="4">
        <f>VLOOKUP(tblTransactions[[#This Row],[Product_ID]],tblProducts[],5,FALSE)</f>
        <v>124.07</v>
      </c>
      <c r="M810" s="4">
        <f>tblTransactions[[#This Row],[Total_Amount]]-(tblTransactions[[#This Row],[Cost_Prices]]*tblTransactions[[#This Row],[Quantity]]*(1-tblTransactions[[#This Row],[Discount]]))</f>
        <v>2158.692</v>
      </c>
      <c r="N810" s="3">
        <f>tblTransactions[[#This Row],[Profit]]/tblTransactions[[#This Row],[Total_Amount]]</f>
        <v>0.4860189392063185</v>
      </c>
      <c r="O810" t="str">
        <f>TEXT(tblTransactions[[#This Row],[Date]], "MMM-YYYY")</f>
        <v>Jun-2023</v>
      </c>
      <c r="P810" t="str">
        <f>"Q"&amp;ROUNDUP(MONTH(tblTransactions[[#This Row],[Date]])/3,0)&amp;"-"&amp;YEAR(tblTransactions[[#This Row],[Date]])</f>
        <v>Q2-2023</v>
      </c>
      <c r="Q810">
        <f>YEAR(tblTransactions[[#This Row],[Date]])</f>
        <v>2023</v>
      </c>
      <c r="R810" t="str">
        <f>TEXT(tblTransactions[[#This Row],[Date]],"DDDD")</f>
        <v>Sunday</v>
      </c>
      <c r="S810">
        <f>MONTH(tblTransactions[[#This Row],[Date]])</f>
        <v>6</v>
      </c>
      <c r="T810" t="str">
        <f>VLOOKUP(E810, Products!$A:$B,2,0)</f>
        <v>Desks Fur-2</v>
      </c>
      <c r="U810" t="str">
        <f>VLOOKUP(E810,Products!$A:$C,3,0)</f>
        <v>Furniture</v>
      </c>
      <c r="V810" t="str">
        <f>VLOOKUP(E810,Products!$A:$D,4,0)</f>
        <v>Desks</v>
      </c>
      <c r="W810" t="str">
        <f>VLOOKUP(D810,Customers!$A:$C,3,0)</f>
        <v>Enterprise</v>
      </c>
      <c r="X810" t="str">
        <f>VLOOKUP(C810,Sales_Representatives!$A:$B,2,0)</f>
        <v>Emily Hernandez</v>
      </c>
    </row>
    <row r="811" spans="1:24" x14ac:dyDescent="0.3">
      <c r="A811" t="s">
        <v>1140</v>
      </c>
      <c r="B811" t="s">
        <v>1141</v>
      </c>
      <c r="C811" t="s">
        <v>70</v>
      </c>
      <c r="D811" t="s">
        <v>156</v>
      </c>
      <c r="E811" t="s">
        <v>87</v>
      </c>
      <c r="F811">
        <v>18</v>
      </c>
      <c r="G811">
        <v>1047.8900000000001</v>
      </c>
      <c r="H811">
        <v>0.17</v>
      </c>
      <c r="I811" s="4">
        <v>15655.48</v>
      </c>
      <c r="J811" t="s">
        <v>16</v>
      </c>
      <c r="K811" t="s">
        <v>39</v>
      </c>
      <c r="L811" s="4">
        <f>VLOOKUP(tblTransactions[[#This Row],[Product_ID]],tblProducts[],5,FALSE)</f>
        <v>742.63</v>
      </c>
      <c r="M811" s="4">
        <f>tblTransactions[[#This Row],[Total_Amount]]-(tblTransactions[[#This Row],[Cost_Prices]]*tblTransactions[[#This Row],[Quantity]]*(1-tblTransactions[[#This Row],[Discount]]))</f>
        <v>4560.5877999999993</v>
      </c>
      <c r="N811" s="3">
        <f>tblTransactions[[#This Row],[Profit]]/tblTransactions[[#This Row],[Total_Amount]]</f>
        <v>0.29130935621264881</v>
      </c>
      <c r="O811" t="str">
        <f>TEXT(tblTransactions[[#This Row],[Date]], "MMM-YYYY")</f>
        <v>Jun-2023</v>
      </c>
      <c r="P811" t="str">
        <f>"Q"&amp;ROUNDUP(MONTH(tblTransactions[[#This Row],[Date]])/3,0)&amp;"-"&amp;YEAR(tblTransactions[[#This Row],[Date]])</f>
        <v>Q2-2023</v>
      </c>
      <c r="Q811">
        <f>YEAR(tblTransactions[[#This Row],[Date]])</f>
        <v>2023</v>
      </c>
      <c r="R811" t="str">
        <f>TEXT(tblTransactions[[#This Row],[Date]],"DDDD")</f>
        <v>Monday</v>
      </c>
      <c r="S811">
        <f>MONTH(tblTransactions[[#This Row],[Date]])</f>
        <v>6</v>
      </c>
      <c r="T811" t="str">
        <f>VLOOKUP(E811, Products!$A:$B,2,0)</f>
        <v>Monitors Tec-2</v>
      </c>
      <c r="U811" t="str">
        <f>VLOOKUP(E811,Products!$A:$C,3,0)</f>
        <v>Technology</v>
      </c>
      <c r="V811" t="str">
        <f>VLOOKUP(E811,Products!$A:$D,4,0)</f>
        <v>Monitors</v>
      </c>
      <c r="W811" t="str">
        <f>VLOOKUP(D811,Customers!$A:$C,3,0)</f>
        <v>B2B</v>
      </c>
      <c r="X811" t="str">
        <f>VLOOKUP(C811,Sales_Representatives!$A:$B,2,0)</f>
        <v>Linda Smith</v>
      </c>
    </row>
    <row r="812" spans="1:24" x14ac:dyDescent="0.3">
      <c r="A812" t="s">
        <v>1142</v>
      </c>
      <c r="B812" t="s">
        <v>1141</v>
      </c>
      <c r="C812" t="s">
        <v>141</v>
      </c>
      <c r="D812" t="s">
        <v>24</v>
      </c>
      <c r="E812" t="s">
        <v>15</v>
      </c>
      <c r="F812">
        <v>4</v>
      </c>
      <c r="G812">
        <v>477.48</v>
      </c>
      <c r="H812">
        <v>0</v>
      </c>
      <c r="I812" s="4">
        <v>1909.92</v>
      </c>
      <c r="J812" t="s">
        <v>109</v>
      </c>
      <c r="K812" t="s">
        <v>17</v>
      </c>
      <c r="L812" s="4">
        <f>VLOOKUP(tblTransactions[[#This Row],[Product_ID]],tblProducts[],5,FALSE)</f>
        <v>275.51</v>
      </c>
      <c r="M812" s="4">
        <f>tblTransactions[[#This Row],[Total_Amount]]-(tblTransactions[[#This Row],[Cost_Prices]]*tblTransactions[[#This Row],[Quantity]]*(1-tblTransactions[[#This Row],[Discount]]))</f>
        <v>807.88000000000011</v>
      </c>
      <c r="N812" s="3">
        <f>tblTransactions[[#This Row],[Profit]]/tblTransactions[[#This Row],[Total_Amount]]</f>
        <v>0.42299153891262464</v>
      </c>
      <c r="O812" t="str">
        <f>TEXT(tblTransactions[[#This Row],[Date]], "MMM-YYYY")</f>
        <v>Jun-2023</v>
      </c>
      <c r="P812" t="str">
        <f>"Q"&amp;ROUNDUP(MONTH(tblTransactions[[#This Row],[Date]])/3,0)&amp;"-"&amp;YEAR(tblTransactions[[#This Row],[Date]])</f>
        <v>Q2-2023</v>
      </c>
      <c r="Q812">
        <f>YEAR(tblTransactions[[#This Row],[Date]])</f>
        <v>2023</v>
      </c>
      <c r="R812" t="str">
        <f>TEXT(tblTransactions[[#This Row],[Date]],"DDDD")</f>
        <v>Monday</v>
      </c>
      <c r="S812">
        <f>MONTH(tblTransactions[[#This Row],[Date]])</f>
        <v>6</v>
      </c>
      <c r="T812" t="str">
        <f>VLOOKUP(E812, Products!$A:$B,2,0)</f>
        <v>Laptops Ele-4</v>
      </c>
      <c r="U812" t="str">
        <f>VLOOKUP(E812,Products!$A:$C,3,0)</f>
        <v>Electronics</v>
      </c>
      <c r="V812" t="str">
        <f>VLOOKUP(E812,Products!$A:$D,4,0)</f>
        <v>Laptops</v>
      </c>
      <c r="W812" t="str">
        <f>VLOOKUP(D812,Customers!$A:$C,3,0)</f>
        <v>B2B</v>
      </c>
      <c r="X812" t="str">
        <f>VLOOKUP(C812,Sales_Representatives!$A:$B,2,0)</f>
        <v>Richard Garcia</v>
      </c>
    </row>
    <row r="813" spans="1:24" x14ac:dyDescent="0.3">
      <c r="A813" t="s">
        <v>1143</v>
      </c>
      <c r="B813" t="s">
        <v>1141</v>
      </c>
      <c r="C813" t="s">
        <v>63</v>
      </c>
      <c r="D813" t="s">
        <v>67</v>
      </c>
      <c r="E813" t="s">
        <v>125</v>
      </c>
      <c r="F813">
        <v>2</v>
      </c>
      <c r="G813">
        <v>1201.4000000000001</v>
      </c>
      <c r="H813">
        <v>0.03</v>
      </c>
      <c r="I813" s="4">
        <v>2330.7199999999998</v>
      </c>
      <c r="J813" t="s">
        <v>21</v>
      </c>
      <c r="K813" t="s">
        <v>35</v>
      </c>
      <c r="L813" s="4">
        <f>VLOOKUP(tblTransactions[[#This Row],[Product_ID]],tblProducts[],5,FALSE)</f>
        <v>672.72</v>
      </c>
      <c r="M813" s="4">
        <f>tblTransactions[[#This Row],[Total_Amount]]-(tblTransactions[[#This Row],[Cost_Prices]]*tblTransactions[[#This Row],[Quantity]]*(1-tblTransactions[[#This Row],[Discount]]))</f>
        <v>1025.6431999999998</v>
      </c>
      <c r="N813" s="3">
        <f>tblTransactions[[#This Row],[Profit]]/tblTransactions[[#This Row],[Total_Amount]]</f>
        <v>0.44005423216860018</v>
      </c>
      <c r="O813" t="str">
        <f>TEXT(tblTransactions[[#This Row],[Date]], "MMM-YYYY")</f>
        <v>Jun-2023</v>
      </c>
      <c r="P813" t="str">
        <f>"Q"&amp;ROUNDUP(MONTH(tblTransactions[[#This Row],[Date]])/3,0)&amp;"-"&amp;YEAR(tblTransactions[[#This Row],[Date]])</f>
        <v>Q2-2023</v>
      </c>
      <c r="Q813">
        <f>YEAR(tblTransactions[[#This Row],[Date]])</f>
        <v>2023</v>
      </c>
      <c r="R813" t="str">
        <f>TEXT(tblTransactions[[#This Row],[Date]],"DDDD")</f>
        <v>Monday</v>
      </c>
      <c r="S813">
        <f>MONTH(tblTransactions[[#This Row],[Date]])</f>
        <v>6</v>
      </c>
      <c r="T813" t="str">
        <f>VLOOKUP(E813, Products!$A:$B,2,0)</f>
        <v>Printers Tec-2</v>
      </c>
      <c r="U813" t="str">
        <f>VLOOKUP(E813,Products!$A:$C,3,0)</f>
        <v>Technology</v>
      </c>
      <c r="V813" t="str">
        <f>VLOOKUP(E813,Products!$A:$D,4,0)</f>
        <v>Printers</v>
      </c>
      <c r="W813" t="str">
        <f>VLOOKUP(D813,Customers!$A:$C,3,0)</f>
        <v>B2C</v>
      </c>
      <c r="X813" t="str">
        <f>VLOOKUP(C813,Sales_Representatives!$A:$B,2,0)</f>
        <v>Richard Wilson</v>
      </c>
    </row>
    <row r="814" spans="1:24" x14ac:dyDescent="0.3">
      <c r="A814" t="s">
        <v>1144</v>
      </c>
      <c r="B814" t="s">
        <v>1145</v>
      </c>
      <c r="C814" t="s">
        <v>41</v>
      </c>
      <c r="D814" t="s">
        <v>327</v>
      </c>
      <c r="E814" t="s">
        <v>172</v>
      </c>
      <c r="F814">
        <v>2</v>
      </c>
      <c r="G814">
        <v>1371.15</v>
      </c>
      <c r="H814">
        <v>7.0000000000000007E-2</v>
      </c>
      <c r="I814" s="4">
        <v>2550.34</v>
      </c>
      <c r="J814" t="s">
        <v>44</v>
      </c>
      <c r="K814" t="s">
        <v>35</v>
      </c>
      <c r="L814" s="4">
        <f>VLOOKUP(tblTransactions[[#This Row],[Product_ID]],tblProducts[],5,FALSE)</f>
        <v>989.81</v>
      </c>
      <c r="M814" s="4">
        <f>tblTransactions[[#This Row],[Total_Amount]]-(tblTransactions[[#This Row],[Cost_Prices]]*tblTransactions[[#This Row],[Quantity]]*(1-tblTransactions[[#This Row],[Discount]]))</f>
        <v>709.29340000000047</v>
      </c>
      <c r="N814" s="3">
        <f>tblTransactions[[#This Row],[Profit]]/tblTransactions[[#This Row],[Total_Amount]]</f>
        <v>0.27811719221750841</v>
      </c>
      <c r="O814" t="str">
        <f>TEXT(tblTransactions[[#This Row],[Date]], "MMM-YYYY")</f>
        <v>Jun-2023</v>
      </c>
      <c r="P814" t="str">
        <f>"Q"&amp;ROUNDUP(MONTH(tblTransactions[[#This Row],[Date]])/3,0)&amp;"-"&amp;YEAR(tblTransactions[[#This Row],[Date]])</f>
        <v>Q2-2023</v>
      </c>
      <c r="Q814">
        <f>YEAR(tblTransactions[[#This Row],[Date]])</f>
        <v>2023</v>
      </c>
      <c r="R814" t="str">
        <f>TEXT(tblTransactions[[#This Row],[Date]],"DDDD")</f>
        <v>Tuesday</v>
      </c>
      <c r="S814">
        <f>MONTH(tblTransactions[[#This Row],[Date]])</f>
        <v>6</v>
      </c>
      <c r="T814" t="str">
        <f>VLOOKUP(E814, Products!$A:$B,2,0)</f>
        <v>Cameras Ele-4</v>
      </c>
      <c r="U814" t="str">
        <f>VLOOKUP(E814,Products!$A:$C,3,0)</f>
        <v>Electronics</v>
      </c>
      <c r="V814" t="str">
        <f>VLOOKUP(E814,Products!$A:$D,4,0)</f>
        <v>Cameras</v>
      </c>
      <c r="W814" t="str">
        <f>VLOOKUP(D814,Customers!$A:$C,3,0)</f>
        <v>B2C</v>
      </c>
      <c r="X814" t="str">
        <f>VLOOKUP(C814,Sales_Representatives!$A:$B,2,0)</f>
        <v>Robert Jones</v>
      </c>
    </row>
    <row r="815" spans="1:24" x14ac:dyDescent="0.3">
      <c r="A815" t="s">
        <v>1146</v>
      </c>
      <c r="B815" t="s">
        <v>1145</v>
      </c>
      <c r="C815" t="s">
        <v>70</v>
      </c>
      <c r="D815" t="s">
        <v>396</v>
      </c>
      <c r="E815" t="s">
        <v>15</v>
      </c>
      <c r="F815">
        <v>5</v>
      </c>
      <c r="G815">
        <v>477.48</v>
      </c>
      <c r="H815">
        <v>0.01</v>
      </c>
      <c r="I815" s="4">
        <v>2363.5300000000002</v>
      </c>
      <c r="J815" t="s">
        <v>16</v>
      </c>
      <c r="K815" t="s">
        <v>22</v>
      </c>
      <c r="L815" s="4">
        <f>VLOOKUP(tblTransactions[[#This Row],[Product_ID]],tblProducts[],5,FALSE)</f>
        <v>275.51</v>
      </c>
      <c r="M815" s="4">
        <f>tblTransactions[[#This Row],[Total_Amount]]-(tblTransactions[[#This Row],[Cost_Prices]]*tblTransactions[[#This Row],[Quantity]]*(1-tblTransactions[[#This Row],[Discount]]))</f>
        <v>999.75550000000021</v>
      </c>
      <c r="N815" s="3">
        <f>tblTransactions[[#This Row],[Profit]]/tblTransactions[[#This Row],[Total_Amount]]</f>
        <v>0.42299251543242528</v>
      </c>
      <c r="O815" t="str">
        <f>TEXT(tblTransactions[[#This Row],[Date]], "MMM-YYYY")</f>
        <v>Jun-2023</v>
      </c>
      <c r="P815" t="str">
        <f>"Q"&amp;ROUNDUP(MONTH(tblTransactions[[#This Row],[Date]])/3,0)&amp;"-"&amp;YEAR(tblTransactions[[#This Row],[Date]])</f>
        <v>Q2-2023</v>
      </c>
      <c r="Q815">
        <f>YEAR(tblTransactions[[#This Row],[Date]])</f>
        <v>2023</v>
      </c>
      <c r="R815" t="str">
        <f>TEXT(tblTransactions[[#This Row],[Date]],"DDDD")</f>
        <v>Tuesday</v>
      </c>
      <c r="S815">
        <f>MONTH(tblTransactions[[#This Row],[Date]])</f>
        <v>6</v>
      </c>
      <c r="T815" t="str">
        <f>VLOOKUP(E815, Products!$A:$B,2,0)</f>
        <v>Laptops Ele-4</v>
      </c>
      <c r="U815" t="str">
        <f>VLOOKUP(E815,Products!$A:$C,3,0)</f>
        <v>Electronics</v>
      </c>
      <c r="V815" t="str">
        <f>VLOOKUP(E815,Products!$A:$D,4,0)</f>
        <v>Laptops</v>
      </c>
      <c r="W815" t="str">
        <f>VLOOKUP(D815,Customers!$A:$C,3,0)</f>
        <v>Small Business</v>
      </c>
      <c r="X815" t="str">
        <f>VLOOKUP(C815,Sales_Representatives!$A:$B,2,0)</f>
        <v>Linda Smith</v>
      </c>
    </row>
    <row r="816" spans="1:24" x14ac:dyDescent="0.3">
      <c r="A816" t="s">
        <v>1147</v>
      </c>
      <c r="B816" t="s">
        <v>1145</v>
      </c>
      <c r="C816" t="s">
        <v>19</v>
      </c>
      <c r="D816" t="s">
        <v>52</v>
      </c>
      <c r="E816" t="s">
        <v>84</v>
      </c>
      <c r="F816">
        <v>2</v>
      </c>
      <c r="G816">
        <v>1841.77</v>
      </c>
      <c r="H816">
        <v>0.03</v>
      </c>
      <c r="I816" s="4">
        <v>3573.03</v>
      </c>
      <c r="J816" t="s">
        <v>21</v>
      </c>
      <c r="K816" t="s">
        <v>48</v>
      </c>
      <c r="L816" s="4">
        <f>VLOOKUP(tblTransactions[[#This Row],[Product_ID]],tblProducts[],5,FALSE)</f>
        <v>1151.5899999999999</v>
      </c>
      <c r="M816" s="4">
        <f>tblTransactions[[#This Row],[Total_Amount]]-(tblTransactions[[#This Row],[Cost_Prices]]*tblTransactions[[#This Row],[Quantity]]*(1-tblTransactions[[#This Row],[Discount]]))</f>
        <v>1338.9454000000005</v>
      </c>
      <c r="N816" s="3">
        <f>tblTransactions[[#This Row],[Profit]]/tblTransactions[[#This Row],[Total_Amount]]</f>
        <v>0.37473668007265554</v>
      </c>
      <c r="O816" t="str">
        <f>TEXT(tblTransactions[[#This Row],[Date]], "MMM-YYYY")</f>
        <v>Jun-2023</v>
      </c>
      <c r="P816" t="str">
        <f>"Q"&amp;ROUNDUP(MONTH(tblTransactions[[#This Row],[Date]])/3,0)&amp;"-"&amp;YEAR(tblTransactions[[#This Row],[Date]])</f>
        <v>Q2-2023</v>
      </c>
      <c r="Q816">
        <f>YEAR(tblTransactions[[#This Row],[Date]])</f>
        <v>2023</v>
      </c>
      <c r="R816" t="str">
        <f>TEXT(tblTransactions[[#This Row],[Date]],"DDDD")</f>
        <v>Tuesday</v>
      </c>
      <c r="S816">
        <f>MONTH(tblTransactions[[#This Row],[Date]])</f>
        <v>6</v>
      </c>
      <c r="T816" t="str">
        <f>VLOOKUP(E816, Products!$A:$B,2,0)</f>
        <v>Laptops Ele-2</v>
      </c>
      <c r="U816" t="str">
        <f>VLOOKUP(E816,Products!$A:$C,3,0)</f>
        <v>Electronics</v>
      </c>
      <c r="V816" t="str">
        <f>VLOOKUP(E816,Products!$A:$D,4,0)</f>
        <v>Laptops</v>
      </c>
      <c r="W816" t="str">
        <f>VLOOKUP(D816,Customers!$A:$C,3,0)</f>
        <v>B2C</v>
      </c>
      <c r="X816" t="str">
        <f>VLOOKUP(C816,Sales_Representatives!$A:$B,2,0)</f>
        <v>Robert Jones</v>
      </c>
    </row>
    <row r="817" spans="1:24" x14ac:dyDescent="0.3">
      <c r="A817" t="s">
        <v>1148</v>
      </c>
      <c r="B817" t="s">
        <v>1145</v>
      </c>
      <c r="C817" t="s">
        <v>63</v>
      </c>
      <c r="D817" t="s">
        <v>183</v>
      </c>
      <c r="E817" t="s">
        <v>89</v>
      </c>
      <c r="F817">
        <v>6</v>
      </c>
      <c r="G817">
        <v>555.08000000000004</v>
      </c>
      <c r="H817">
        <v>0.1</v>
      </c>
      <c r="I817" s="4">
        <v>2997.43</v>
      </c>
      <c r="J817" t="s">
        <v>21</v>
      </c>
      <c r="K817" t="s">
        <v>48</v>
      </c>
      <c r="L817" s="4">
        <f>VLOOKUP(tblTransactions[[#This Row],[Product_ID]],tblProducts[],5,FALSE)</f>
        <v>402.82</v>
      </c>
      <c r="M817" s="4">
        <f>tblTransactions[[#This Row],[Total_Amount]]-(tblTransactions[[#This Row],[Cost_Prices]]*tblTransactions[[#This Row],[Quantity]]*(1-tblTransactions[[#This Row],[Discount]]))</f>
        <v>822.20199999999977</v>
      </c>
      <c r="N817" s="3">
        <f>tblTransactions[[#This Row],[Profit]]/tblTransactions[[#This Row],[Total_Amount]]</f>
        <v>0.27430231898659846</v>
      </c>
      <c r="O817" t="str">
        <f>TEXT(tblTransactions[[#This Row],[Date]], "MMM-YYYY")</f>
        <v>Jun-2023</v>
      </c>
      <c r="P817" t="str">
        <f>"Q"&amp;ROUNDUP(MONTH(tblTransactions[[#This Row],[Date]])/3,0)&amp;"-"&amp;YEAR(tblTransactions[[#This Row],[Date]])</f>
        <v>Q2-2023</v>
      </c>
      <c r="Q817">
        <f>YEAR(tblTransactions[[#This Row],[Date]])</f>
        <v>2023</v>
      </c>
      <c r="R817" t="str">
        <f>TEXT(tblTransactions[[#This Row],[Date]],"DDDD")</f>
        <v>Tuesday</v>
      </c>
      <c r="S817">
        <f>MONTH(tblTransactions[[#This Row],[Date]])</f>
        <v>6</v>
      </c>
      <c r="T817" t="str">
        <f>VLOOKUP(E817, Products!$A:$B,2,0)</f>
        <v>Laptops Ele-3</v>
      </c>
      <c r="U817" t="str">
        <f>VLOOKUP(E817,Products!$A:$C,3,0)</f>
        <v>Electronics</v>
      </c>
      <c r="V817" t="str">
        <f>VLOOKUP(E817,Products!$A:$D,4,0)</f>
        <v>Laptops</v>
      </c>
      <c r="W817" t="str">
        <f>VLOOKUP(D817,Customers!$A:$C,3,0)</f>
        <v>Small Business</v>
      </c>
      <c r="X817" t="str">
        <f>VLOOKUP(C817,Sales_Representatives!$A:$B,2,0)</f>
        <v>Richard Wilson</v>
      </c>
    </row>
    <row r="818" spans="1:24" x14ac:dyDescent="0.3">
      <c r="A818" t="s">
        <v>1149</v>
      </c>
      <c r="B818" t="s">
        <v>1145</v>
      </c>
      <c r="C818" t="s">
        <v>27</v>
      </c>
      <c r="D818" t="s">
        <v>95</v>
      </c>
      <c r="E818" t="s">
        <v>264</v>
      </c>
      <c r="F818">
        <v>26</v>
      </c>
      <c r="G818">
        <v>607.29999999999995</v>
      </c>
      <c r="H818">
        <v>0.25</v>
      </c>
      <c r="I818" s="4">
        <v>11842.35</v>
      </c>
      <c r="J818" t="s">
        <v>16</v>
      </c>
      <c r="K818" t="s">
        <v>48</v>
      </c>
      <c r="L818" s="4">
        <f>VLOOKUP(tblTransactions[[#This Row],[Product_ID]],tblProducts[],5,FALSE)</f>
        <v>436.37</v>
      </c>
      <c r="M818" s="4">
        <f>tblTransactions[[#This Row],[Total_Amount]]-(tblTransactions[[#This Row],[Cost_Prices]]*tblTransactions[[#This Row],[Quantity]]*(1-tblTransactions[[#This Row],[Discount]]))</f>
        <v>3333.1350000000002</v>
      </c>
      <c r="N818" s="3">
        <f>tblTransactions[[#This Row],[Profit]]/tblTransactions[[#This Row],[Total_Amount]]</f>
        <v>0.28145891651572535</v>
      </c>
      <c r="O818" t="str">
        <f>TEXT(tblTransactions[[#This Row],[Date]], "MMM-YYYY")</f>
        <v>Jun-2023</v>
      </c>
      <c r="P818" t="str">
        <f>"Q"&amp;ROUNDUP(MONTH(tblTransactions[[#This Row],[Date]])/3,0)&amp;"-"&amp;YEAR(tblTransactions[[#This Row],[Date]])</f>
        <v>Q2-2023</v>
      </c>
      <c r="Q818">
        <f>YEAR(tblTransactions[[#This Row],[Date]])</f>
        <v>2023</v>
      </c>
      <c r="R818" t="str">
        <f>TEXT(tblTransactions[[#This Row],[Date]],"DDDD")</f>
        <v>Tuesday</v>
      </c>
      <c r="S818">
        <f>MONTH(tblTransactions[[#This Row],[Date]])</f>
        <v>6</v>
      </c>
      <c r="T818" t="str">
        <f>VLOOKUP(E818, Products!$A:$B,2,0)</f>
        <v>Tablets Ele-4</v>
      </c>
      <c r="U818" t="str">
        <f>VLOOKUP(E818,Products!$A:$C,3,0)</f>
        <v>Electronics</v>
      </c>
      <c r="V818" t="str">
        <f>VLOOKUP(E818,Products!$A:$D,4,0)</f>
        <v>Tablets</v>
      </c>
      <c r="W818" t="str">
        <f>VLOOKUP(D818,Customers!$A:$C,3,0)</f>
        <v>Enterprise</v>
      </c>
      <c r="X818" t="str">
        <f>VLOOKUP(C818,Sales_Representatives!$A:$B,2,0)</f>
        <v>Thomas Lopez</v>
      </c>
    </row>
    <row r="819" spans="1:24" x14ac:dyDescent="0.3">
      <c r="A819" t="s">
        <v>1150</v>
      </c>
      <c r="B819" t="s">
        <v>1151</v>
      </c>
      <c r="C819" t="s">
        <v>56</v>
      </c>
      <c r="D819" t="s">
        <v>115</v>
      </c>
      <c r="E819" t="s">
        <v>61</v>
      </c>
      <c r="F819">
        <v>4</v>
      </c>
      <c r="G819">
        <v>92.07</v>
      </c>
      <c r="H819">
        <v>0.09</v>
      </c>
      <c r="I819" s="4">
        <v>335.13</v>
      </c>
      <c r="J819" t="s">
        <v>34</v>
      </c>
      <c r="K819" t="s">
        <v>39</v>
      </c>
      <c r="L819" s="4">
        <f>VLOOKUP(tblTransactions[[#This Row],[Product_ID]],tblProducts[],5,FALSE)</f>
        <v>56.98</v>
      </c>
      <c r="M819" s="4">
        <f>tblTransactions[[#This Row],[Total_Amount]]-(tblTransactions[[#This Row],[Cost_Prices]]*tblTransactions[[#This Row],[Quantity]]*(1-tblTransactions[[#This Row],[Discount]]))</f>
        <v>127.72280000000001</v>
      </c>
      <c r="N819" s="3">
        <f>tblTransactions[[#This Row],[Profit]]/tblTransactions[[#This Row],[Total_Amount]]</f>
        <v>0.38111419449168982</v>
      </c>
      <c r="O819" t="str">
        <f>TEXT(tblTransactions[[#This Row],[Date]], "MMM-YYYY")</f>
        <v>Jun-2023</v>
      </c>
      <c r="P819" t="str">
        <f>"Q"&amp;ROUNDUP(MONTH(tblTransactions[[#This Row],[Date]])/3,0)&amp;"-"&amp;YEAR(tblTransactions[[#This Row],[Date]])</f>
        <v>Q2-2023</v>
      </c>
      <c r="Q819">
        <f>YEAR(tblTransactions[[#This Row],[Date]])</f>
        <v>2023</v>
      </c>
      <c r="R819" t="str">
        <f>TEXT(tblTransactions[[#This Row],[Date]],"DDDD")</f>
        <v>Wednesday</v>
      </c>
      <c r="S819">
        <f>MONTH(tblTransactions[[#This Row],[Date]])</f>
        <v>6</v>
      </c>
      <c r="T819" t="str">
        <f>VLOOKUP(E819, Products!$A:$B,2,0)</f>
        <v>Pens Off-4</v>
      </c>
      <c r="U819" t="str">
        <f>VLOOKUP(E819,Products!$A:$C,3,0)</f>
        <v>Office Supplies</v>
      </c>
      <c r="V819" t="str">
        <f>VLOOKUP(E819,Products!$A:$D,4,0)</f>
        <v>Pens</v>
      </c>
      <c r="W819" t="str">
        <f>VLOOKUP(D819,Customers!$A:$C,3,0)</f>
        <v>B2C</v>
      </c>
      <c r="X819" t="str">
        <f>VLOOKUP(C819,Sales_Representatives!$A:$B,2,0)</f>
        <v>Thomas Hernandez</v>
      </c>
    </row>
    <row r="820" spans="1:24" x14ac:dyDescent="0.3">
      <c r="A820" t="s">
        <v>1152</v>
      </c>
      <c r="B820" t="s">
        <v>1151</v>
      </c>
      <c r="C820" t="s">
        <v>131</v>
      </c>
      <c r="D820" t="s">
        <v>212</v>
      </c>
      <c r="E820" t="s">
        <v>283</v>
      </c>
      <c r="F820">
        <v>6</v>
      </c>
      <c r="G820">
        <v>456.88</v>
      </c>
      <c r="H820">
        <v>0.09</v>
      </c>
      <c r="I820" s="4">
        <v>2494.56</v>
      </c>
      <c r="J820" t="s">
        <v>44</v>
      </c>
      <c r="K820" t="s">
        <v>39</v>
      </c>
      <c r="L820" s="4">
        <f>VLOOKUP(tblTransactions[[#This Row],[Product_ID]],tblProducts[],5,FALSE)</f>
        <v>313.23</v>
      </c>
      <c r="M820" s="4">
        <f>tblTransactions[[#This Row],[Total_Amount]]-(tblTransactions[[#This Row],[Cost_Prices]]*tblTransactions[[#This Row],[Quantity]]*(1-tblTransactions[[#This Row],[Discount]]))</f>
        <v>784.32419999999979</v>
      </c>
      <c r="N820" s="3">
        <f>tblTransactions[[#This Row],[Profit]]/tblTransactions[[#This Row],[Total_Amount]]</f>
        <v>0.31441384452568782</v>
      </c>
      <c r="O820" t="str">
        <f>TEXT(tblTransactions[[#This Row],[Date]], "MMM-YYYY")</f>
        <v>Jun-2023</v>
      </c>
      <c r="P820" t="str">
        <f>"Q"&amp;ROUNDUP(MONTH(tblTransactions[[#This Row],[Date]])/3,0)&amp;"-"&amp;YEAR(tblTransactions[[#This Row],[Date]])</f>
        <v>Q2-2023</v>
      </c>
      <c r="Q820">
        <f>YEAR(tblTransactions[[#This Row],[Date]])</f>
        <v>2023</v>
      </c>
      <c r="R820" t="str">
        <f>TEXT(tblTransactions[[#This Row],[Date]],"DDDD")</f>
        <v>Wednesday</v>
      </c>
      <c r="S820">
        <f>MONTH(tblTransactions[[#This Row],[Date]])</f>
        <v>6</v>
      </c>
      <c r="T820" t="str">
        <f>VLOOKUP(E820, Products!$A:$B,2,0)</f>
        <v>Chairs Fur-3</v>
      </c>
      <c r="U820" t="str">
        <f>VLOOKUP(E820,Products!$A:$C,3,0)</f>
        <v>Furniture</v>
      </c>
      <c r="V820" t="str">
        <f>VLOOKUP(E820,Products!$A:$D,4,0)</f>
        <v>Chairs</v>
      </c>
      <c r="W820" t="str">
        <f>VLOOKUP(D820,Customers!$A:$C,3,0)</f>
        <v>B2C</v>
      </c>
      <c r="X820" t="str">
        <f>VLOOKUP(C820,Sales_Representatives!$A:$B,2,0)</f>
        <v>Michael Davis</v>
      </c>
    </row>
    <row r="821" spans="1:24" x14ac:dyDescent="0.3">
      <c r="A821" t="s">
        <v>1153</v>
      </c>
      <c r="B821" t="s">
        <v>1151</v>
      </c>
      <c r="C821" t="s">
        <v>56</v>
      </c>
      <c r="D821" t="s">
        <v>71</v>
      </c>
      <c r="E821" t="s">
        <v>200</v>
      </c>
      <c r="F821">
        <v>10</v>
      </c>
      <c r="G821">
        <v>544.77</v>
      </c>
      <c r="H821">
        <v>0.06</v>
      </c>
      <c r="I821" s="4">
        <v>5120.84</v>
      </c>
      <c r="J821" t="s">
        <v>34</v>
      </c>
      <c r="K821" t="s">
        <v>48</v>
      </c>
      <c r="L821" s="4">
        <f>VLOOKUP(tblTransactions[[#This Row],[Product_ID]],tblProducts[],5,FALSE)</f>
        <v>318.2</v>
      </c>
      <c r="M821" s="4">
        <f>tblTransactions[[#This Row],[Total_Amount]]-(tblTransactions[[#This Row],[Cost_Prices]]*tblTransactions[[#This Row],[Quantity]]*(1-tblTransactions[[#This Row],[Discount]]))</f>
        <v>2129.7600000000002</v>
      </c>
      <c r="N821" s="3">
        <f>tblTransactions[[#This Row],[Profit]]/tblTransactions[[#This Row],[Total_Amount]]</f>
        <v>0.41590051632154101</v>
      </c>
      <c r="O821" t="str">
        <f>TEXT(tblTransactions[[#This Row],[Date]], "MMM-YYYY")</f>
        <v>Jun-2023</v>
      </c>
      <c r="P821" t="str">
        <f>"Q"&amp;ROUNDUP(MONTH(tblTransactions[[#This Row],[Date]])/3,0)&amp;"-"&amp;YEAR(tblTransactions[[#This Row],[Date]])</f>
        <v>Q2-2023</v>
      </c>
      <c r="Q821">
        <f>YEAR(tblTransactions[[#This Row],[Date]])</f>
        <v>2023</v>
      </c>
      <c r="R821" t="str">
        <f>TEXT(tblTransactions[[#This Row],[Date]],"DDDD")</f>
        <v>Wednesday</v>
      </c>
      <c r="S821">
        <f>MONTH(tblTransactions[[#This Row],[Date]])</f>
        <v>6</v>
      </c>
      <c r="T821" t="str">
        <f>VLOOKUP(E821, Products!$A:$B,2,0)</f>
        <v>Desks Fur-4</v>
      </c>
      <c r="U821" t="str">
        <f>VLOOKUP(E821,Products!$A:$C,3,0)</f>
        <v>Furniture</v>
      </c>
      <c r="V821" t="str">
        <f>VLOOKUP(E821,Products!$A:$D,4,0)</f>
        <v>Desks</v>
      </c>
      <c r="W821" t="str">
        <f>VLOOKUP(D821,Customers!$A:$C,3,0)</f>
        <v>B2B</v>
      </c>
      <c r="X821" t="str">
        <f>VLOOKUP(C821,Sales_Representatives!$A:$B,2,0)</f>
        <v>Thomas Hernandez</v>
      </c>
    </row>
    <row r="822" spans="1:24" x14ac:dyDescent="0.3">
      <c r="A822" t="s">
        <v>1154</v>
      </c>
      <c r="B822" t="s">
        <v>1155</v>
      </c>
      <c r="C822" t="s">
        <v>75</v>
      </c>
      <c r="D822" t="s">
        <v>95</v>
      </c>
      <c r="E822" t="s">
        <v>15</v>
      </c>
      <c r="F822">
        <v>35</v>
      </c>
      <c r="G822">
        <v>477.48</v>
      </c>
      <c r="H822">
        <v>0.24</v>
      </c>
      <c r="I822" s="4">
        <v>12700.97</v>
      </c>
      <c r="J822" t="s">
        <v>44</v>
      </c>
      <c r="K822" t="s">
        <v>48</v>
      </c>
      <c r="L822" s="4">
        <f>VLOOKUP(tblTransactions[[#This Row],[Product_ID]],tblProducts[],5,FALSE)</f>
        <v>275.51</v>
      </c>
      <c r="M822" s="4">
        <f>tblTransactions[[#This Row],[Total_Amount]]-(tblTransactions[[#This Row],[Cost_Prices]]*tblTransactions[[#This Row],[Quantity]]*(1-tblTransactions[[#This Row],[Discount]]))</f>
        <v>5372.4039999999986</v>
      </c>
      <c r="N822" s="3">
        <f>tblTransactions[[#This Row],[Profit]]/tblTransactions[[#This Row],[Total_Amount]]</f>
        <v>0.42299162977315896</v>
      </c>
      <c r="O822" t="str">
        <f>TEXT(tblTransactions[[#This Row],[Date]], "MMM-YYYY")</f>
        <v>Jun-2023</v>
      </c>
      <c r="P822" t="str">
        <f>"Q"&amp;ROUNDUP(MONTH(tblTransactions[[#This Row],[Date]])/3,0)&amp;"-"&amp;YEAR(tblTransactions[[#This Row],[Date]])</f>
        <v>Q2-2023</v>
      </c>
      <c r="Q822">
        <f>YEAR(tblTransactions[[#This Row],[Date]])</f>
        <v>2023</v>
      </c>
      <c r="R822" t="str">
        <f>TEXT(tblTransactions[[#This Row],[Date]],"DDDD")</f>
        <v>Thursday</v>
      </c>
      <c r="S822">
        <f>MONTH(tblTransactions[[#This Row],[Date]])</f>
        <v>6</v>
      </c>
      <c r="T822" t="str">
        <f>VLOOKUP(E822, Products!$A:$B,2,0)</f>
        <v>Laptops Ele-4</v>
      </c>
      <c r="U822" t="str">
        <f>VLOOKUP(E822,Products!$A:$C,3,0)</f>
        <v>Electronics</v>
      </c>
      <c r="V822" t="str">
        <f>VLOOKUP(E822,Products!$A:$D,4,0)</f>
        <v>Laptops</v>
      </c>
      <c r="W822" t="str">
        <f>VLOOKUP(D822,Customers!$A:$C,3,0)</f>
        <v>Enterprise</v>
      </c>
      <c r="X822" t="str">
        <f>VLOOKUP(C822,Sales_Representatives!$A:$B,2,0)</f>
        <v>Jessica Anderson</v>
      </c>
    </row>
    <row r="823" spans="1:24" x14ac:dyDescent="0.3">
      <c r="A823" t="s">
        <v>1156</v>
      </c>
      <c r="B823" t="s">
        <v>1155</v>
      </c>
      <c r="C823" t="s">
        <v>56</v>
      </c>
      <c r="D823" t="s">
        <v>139</v>
      </c>
      <c r="E823" t="s">
        <v>248</v>
      </c>
      <c r="F823">
        <v>5</v>
      </c>
      <c r="G823">
        <v>82.29</v>
      </c>
      <c r="H823">
        <v>0</v>
      </c>
      <c r="I823" s="4">
        <v>411.45</v>
      </c>
      <c r="J823" t="s">
        <v>34</v>
      </c>
      <c r="K823" t="s">
        <v>17</v>
      </c>
      <c r="L823" s="4">
        <f>VLOOKUP(tblTransactions[[#This Row],[Product_ID]],tblProducts[],5,FALSE)</f>
        <v>51.11</v>
      </c>
      <c r="M823" s="4">
        <f>tblTransactions[[#This Row],[Total_Amount]]-(tblTransactions[[#This Row],[Cost_Prices]]*tblTransactions[[#This Row],[Quantity]]*(1-tblTransactions[[#This Row],[Discount]]))</f>
        <v>155.89999999999998</v>
      </c>
      <c r="N823" s="3">
        <f>tblTransactions[[#This Row],[Profit]]/tblTransactions[[#This Row],[Total_Amount]]</f>
        <v>0.37890387653420826</v>
      </c>
      <c r="O823" t="str">
        <f>TEXT(tblTransactions[[#This Row],[Date]], "MMM-YYYY")</f>
        <v>Jun-2023</v>
      </c>
      <c r="P823" t="str">
        <f>"Q"&amp;ROUNDUP(MONTH(tblTransactions[[#This Row],[Date]])/3,0)&amp;"-"&amp;YEAR(tblTransactions[[#This Row],[Date]])</f>
        <v>Q2-2023</v>
      </c>
      <c r="Q823">
        <f>YEAR(tblTransactions[[#This Row],[Date]])</f>
        <v>2023</v>
      </c>
      <c r="R823" t="str">
        <f>TEXT(tblTransactions[[#This Row],[Date]],"DDDD")</f>
        <v>Thursday</v>
      </c>
      <c r="S823">
        <f>MONTH(tblTransactions[[#This Row],[Date]])</f>
        <v>6</v>
      </c>
      <c r="T823" t="str">
        <f>VLOOKUP(E823, Products!$A:$B,2,0)</f>
        <v>Keyboards Acc-2</v>
      </c>
      <c r="U823" t="str">
        <f>VLOOKUP(E823,Products!$A:$C,3,0)</f>
        <v>Accessories</v>
      </c>
      <c r="V823" t="str">
        <f>VLOOKUP(E823,Products!$A:$D,4,0)</f>
        <v>Keyboards</v>
      </c>
      <c r="W823" t="str">
        <f>VLOOKUP(D823,Customers!$A:$C,3,0)</f>
        <v>B2C</v>
      </c>
      <c r="X823" t="str">
        <f>VLOOKUP(C823,Sales_Representatives!$A:$B,2,0)</f>
        <v>Thomas Hernandez</v>
      </c>
    </row>
    <row r="824" spans="1:24" x14ac:dyDescent="0.3">
      <c r="A824" t="s">
        <v>1157</v>
      </c>
      <c r="B824" t="s">
        <v>1158</v>
      </c>
      <c r="C824" t="s">
        <v>70</v>
      </c>
      <c r="D824" t="s">
        <v>247</v>
      </c>
      <c r="E824" t="s">
        <v>61</v>
      </c>
      <c r="F824">
        <v>5</v>
      </c>
      <c r="G824">
        <v>92.07</v>
      </c>
      <c r="H824">
        <v>0.05</v>
      </c>
      <c r="I824" s="4">
        <v>437.33</v>
      </c>
      <c r="J824" t="s">
        <v>16</v>
      </c>
      <c r="K824" t="s">
        <v>39</v>
      </c>
      <c r="L824" s="4">
        <f>VLOOKUP(tblTransactions[[#This Row],[Product_ID]],tblProducts[],5,FALSE)</f>
        <v>56.98</v>
      </c>
      <c r="M824" s="4">
        <f>tblTransactions[[#This Row],[Total_Amount]]-(tblTransactions[[#This Row],[Cost_Prices]]*tblTransactions[[#This Row],[Quantity]]*(1-tblTransactions[[#This Row],[Discount]]))</f>
        <v>166.67500000000001</v>
      </c>
      <c r="N824" s="3">
        <f>tblTransactions[[#This Row],[Profit]]/tblTransactions[[#This Row],[Total_Amount]]</f>
        <v>0.38111952072805438</v>
      </c>
      <c r="O824" t="str">
        <f>TEXT(tblTransactions[[#This Row],[Date]], "MMM-YYYY")</f>
        <v>Jun-2023</v>
      </c>
      <c r="P824" t="str">
        <f>"Q"&amp;ROUNDUP(MONTH(tblTransactions[[#This Row],[Date]])/3,0)&amp;"-"&amp;YEAR(tblTransactions[[#This Row],[Date]])</f>
        <v>Q2-2023</v>
      </c>
      <c r="Q824">
        <f>YEAR(tblTransactions[[#This Row],[Date]])</f>
        <v>2023</v>
      </c>
      <c r="R824" t="str">
        <f>TEXT(tblTransactions[[#This Row],[Date]],"DDDD")</f>
        <v>Friday</v>
      </c>
      <c r="S824">
        <f>MONTH(tblTransactions[[#This Row],[Date]])</f>
        <v>6</v>
      </c>
      <c r="T824" t="str">
        <f>VLOOKUP(E824, Products!$A:$B,2,0)</f>
        <v>Pens Off-4</v>
      </c>
      <c r="U824" t="str">
        <f>VLOOKUP(E824,Products!$A:$C,3,0)</f>
        <v>Office Supplies</v>
      </c>
      <c r="V824" t="str">
        <f>VLOOKUP(E824,Products!$A:$D,4,0)</f>
        <v>Pens</v>
      </c>
      <c r="W824" t="str">
        <f>VLOOKUP(D824,Customers!$A:$C,3,0)</f>
        <v>B2C</v>
      </c>
      <c r="X824" t="str">
        <f>VLOOKUP(C824,Sales_Representatives!$A:$B,2,0)</f>
        <v>Linda Smith</v>
      </c>
    </row>
    <row r="825" spans="1:24" x14ac:dyDescent="0.3">
      <c r="A825" t="s">
        <v>1159</v>
      </c>
      <c r="B825" t="s">
        <v>1158</v>
      </c>
      <c r="C825" t="s">
        <v>13</v>
      </c>
      <c r="D825" t="s">
        <v>101</v>
      </c>
      <c r="E825" t="s">
        <v>299</v>
      </c>
      <c r="F825">
        <v>7</v>
      </c>
      <c r="G825">
        <v>963.44</v>
      </c>
      <c r="H825">
        <v>0.12</v>
      </c>
      <c r="I825" s="4">
        <v>5934.79</v>
      </c>
      <c r="J825" t="s">
        <v>16</v>
      </c>
      <c r="K825" t="s">
        <v>17</v>
      </c>
      <c r="L825" s="4">
        <f>VLOOKUP(tblTransactions[[#This Row],[Product_ID]],tblProducts[],5,FALSE)</f>
        <v>578.96</v>
      </c>
      <c r="M825" s="4">
        <f>tblTransactions[[#This Row],[Total_Amount]]-(tblTransactions[[#This Row],[Cost_Prices]]*tblTransactions[[#This Row],[Quantity]]*(1-tblTransactions[[#This Row],[Discount]]))</f>
        <v>2368.3963999999996</v>
      </c>
      <c r="N825" s="3">
        <f>tblTransactions[[#This Row],[Profit]]/tblTransactions[[#This Row],[Total_Amount]]</f>
        <v>0.39906995866745071</v>
      </c>
      <c r="O825" t="str">
        <f>TEXT(tblTransactions[[#This Row],[Date]], "MMM-YYYY")</f>
        <v>Jun-2023</v>
      </c>
      <c r="P825" t="str">
        <f>"Q"&amp;ROUNDUP(MONTH(tblTransactions[[#This Row],[Date]])/3,0)&amp;"-"&amp;YEAR(tblTransactions[[#This Row],[Date]])</f>
        <v>Q2-2023</v>
      </c>
      <c r="Q825">
        <f>YEAR(tblTransactions[[#This Row],[Date]])</f>
        <v>2023</v>
      </c>
      <c r="R825" t="str">
        <f>TEXT(tblTransactions[[#This Row],[Date]],"DDDD")</f>
        <v>Friday</v>
      </c>
      <c r="S825">
        <f>MONTH(tblTransactions[[#This Row],[Date]])</f>
        <v>6</v>
      </c>
      <c r="T825" t="str">
        <f>VLOOKUP(E825, Products!$A:$B,2,0)</f>
        <v>Chairs Fur-4</v>
      </c>
      <c r="U825" t="str">
        <f>VLOOKUP(E825,Products!$A:$C,3,0)</f>
        <v>Furniture</v>
      </c>
      <c r="V825" t="str">
        <f>VLOOKUP(E825,Products!$A:$D,4,0)</f>
        <v>Chairs</v>
      </c>
      <c r="W825" t="str">
        <f>VLOOKUP(D825,Customers!$A:$C,3,0)</f>
        <v>B2C</v>
      </c>
      <c r="X825" t="str">
        <f>VLOOKUP(C825,Sales_Representatives!$A:$B,2,0)</f>
        <v>Jennifer Rodriguez</v>
      </c>
    </row>
    <row r="826" spans="1:24" x14ac:dyDescent="0.3">
      <c r="A826" t="s">
        <v>1160</v>
      </c>
      <c r="B826" t="s">
        <v>1161</v>
      </c>
      <c r="C826" t="s">
        <v>131</v>
      </c>
      <c r="D826" t="s">
        <v>288</v>
      </c>
      <c r="E826" t="s">
        <v>200</v>
      </c>
      <c r="F826">
        <v>4</v>
      </c>
      <c r="G826">
        <v>544.77</v>
      </c>
      <c r="H826">
        <v>0.09</v>
      </c>
      <c r="I826" s="4">
        <v>1982.96</v>
      </c>
      <c r="J826" t="s">
        <v>44</v>
      </c>
      <c r="K826" t="s">
        <v>35</v>
      </c>
      <c r="L826" s="4">
        <f>VLOOKUP(tblTransactions[[#This Row],[Product_ID]],tblProducts[],5,FALSE)</f>
        <v>318.2</v>
      </c>
      <c r="M826" s="4">
        <f>tblTransactions[[#This Row],[Total_Amount]]-(tblTransactions[[#This Row],[Cost_Prices]]*tblTransactions[[#This Row],[Quantity]]*(1-tblTransactions[[#This Row],[Discount]]))</f>
        <v>824.71199999999999</v>
      </c>
      <c r="N826" s="3">
        <f>tblTransactions[[#This Row],[Profit]]/tblTransactions[[#This Row],[Total_Amount]]</f>
        <v>0.41589946342841005</v>
      </c>
      <c r="O826" t="str">
        <f>TEXT(tblTransactions[[#This Row],[Date]], "MMM-YYYY")</f>
        <v>Jul-2023</v>
      </c>
      <c r="P826" t="str">
        <f>"Q"&amp;ROUNDUP(MONTH(tblTransactions[[#This Row],[Date]])/3,0)&amp;"-"&amp;YEAR(tblTransactions[[#This Row],[Date]])</f>
        <v>Q3-2023</v>
      </c>
      <c r="Q826">
        <f>YEAR(tblTransactions[[#This Row],[Date]])</f>
        <v>2023</v>
      </c>
      <c r="R826" t="str">
        <f>TEXT(tblTransactions[[#This Row],[Date]],"DDDD")</f>
        <v>Saturday</v>
      </c>
      <c r="S826">
        <f>MONTH(tblTransactions[[#This Row],[Date]])</f>
        <v>7</v>
      </c>
      <c r="T826" t="str">
        <f>VLOOKUP(E826, Products!$A:$B,2,0)</f>
        <v>Desks Fur-4</v>
      </c>
      <c r="U826" t="str">
        <f>VLOOKUP(E826,Products!$A:$C,3,0)</f>
        <v>Furniture</v>
      </c>
      <c r="V826" t="str">
        <f>VLOOKUP(E826,Products!$A:$D,4,0)</f>
        <v>Desks</v>
      </c>
      <c r="W826" t="str">
        <f>VLOOKUP(D826,Customers!$A:$C,3,0)</f>
        <v>B2C</v>
      </c>
      <c r="X826" t="str">
        <f>VLOOKUP(C826,Sales_Representatives!$A:$B,2,0)</f>
        <v>Michael Davis</v>
      </c>
    </row>
    <row r="827" spans="1:24" x14ac:dyDescent="0.3">
      <c r="A827" t="s">
        <v>1162</v>
      </c>
      <c r="B827" t="s">
        <v>1161</v>
      </c>
      <c r="C827" t="s">
        <v>56</v>
      </c>
      <c r="D827" t="s">
        <v>32</v>
      </c>
      <c r="E827" t="s">
        <v>84</v>
      </c>
      <c r="F827">
        <v>3</v>
      </c>
      <c r="G827">
        <v>1841.77</v>
      </c>
      <c r="H827">
        <v>0.09</v>
      </c>
      <c r="I827" s="4">
        <v>5028.03</v>
      </c>
      <c r="J827" t="s">
        <v>34</v>
      </c>
      <c r="K827" t="s">
        <v>22</v>
      </c>
      <c r="L827" s="4">
        <f>VLOOKUP(tblTransactions[[#This Row],[Product_ID]],tblProducts[],5,FALSE)</f>
        <v>1151.5899999999999</v>
      </c>
      <c r="M827" s="4">
        <f>tblTransactions[[#This Row],[Total_Amount]]-(tblTransactions[[#This Row],[Cost_Prices]]*tblTransactions[[#This Row],[Quantity]]*(1-tblTransactions[[#This Row],[Discount]]))</f>
        <v>1884.1893</v>
      </c>
      <c r="N827" s="3">
        <f>tblTransactions[[#This Row],[Profit]]/tblTransactions[[#This Row],[Total_Amount]]</f>
        <v>0.37473708390761395</v>
      </c>
      <c r="O827" t="str">
        <f>TEXT(tblTransactions[[#This Row],[Date]], "MMM-YYYY")</f>
        <v>Jul-2023</v>
      </c>
      <c r="P827" t="str">
        <f>"Q"&amp;ROUNDUP(MONTH(tblTransactions[[#This Row],[Date]])/3,0)&amp;"-"&amp;YEAR(tblTransactions[[#This Row],[Date]])</f>
        <v>Q3-2023</v>
      </c>
      <c r="Q827">
        <f>YEAR(tblTransactions[[#This Row],[Date]])</f>
        <v>2023</v>
      </c>
      <c r="R827" t="str">
        <f>TEXT(tblTransactions[[#This Row],[Date]],"DDDD")</f>
        <v>Saturday</v>
      </c>
      <c r="S827">
        <f>MONTH(tblTransactions[[#This Row],[Date]])</f>
        <v>7</v>
      </c>
      <c r="T827" t="str">
        <f>VLOOKUP(E827, Products!$A:$B,2,0)</f>
        <v>Laptops Ele-2</v>
      </c>
      <c r="U827" t="str">
        <f>VLOOKUP(E827,Products!$A:$C,3,0)</f>
        <v>Electronics</v>
      </c>
      <c r="V827" t="str">
        <f>VLOOKUP(E827,Products!$A:$D,4,0)</f>
        <v>Laptops</v>
      </c>
      <c r="W827" t="str">
        <f>VLOOKUP(D827,Customers!$A:$C,3,0)</f>
        <v>B2C</v>
      </c>
      <c r="X827" t="str">
        <f>VLOOKUP(C827,Sales_Representatives!$A:$B,2,0)</f>
        <v>Thomas Hernandez</v>
      </c>
    </row>
    <row r="828" spans="1:24" x14ac:dyDescent="0.3">
      <c r="A828" t="s">
        <v>1163</v>
      </c>
      <c r="B828" t="s">
        <v>1161</v>
      </c>
      <c r="C828" t="s">
        <v>31</v>
      </c>
      <c r="D828" t="s">
        <v>134</v>
      </c>
      <c r="E828" t="s">
        <v>129</v>
      </c>
      <c r="F828">
        <v>19</v>
      </c>
      <c r="G828">
        <v>1283.71</v>
      </c>
      <c r="H828">
        <v>0.18</v>
      </c>
      <c r="I828" s="4">
        <v>20000.2</v>
      </c>
      <c r="J828" t="s">
        <v>34</v>
      </c>
      <c r="K828" t="s">
        <v>17</v>
      </c>
      <c r="L828" s="4">
        <f>VLOOKUP(tblTransactions[[#This Row],[Product_ID]],tblProducts[],5,FALSE)</f>
        <v>970.14</v>
      </c>
      <c r="M828" s="4">
        <f>tblTransactions[[#This Row],[Total_Amount]]-(tblTransactions[[#This Row],[Cost_Prices]]*tblTransactions[[#This Row],[Quantity]]*(1-tblTransactions[[#This Row],[Discount]]))</f>
        <v>4885.4187999999995</v>
      </c>
      <c r="N828" s="3">
        <f>tblTransactions[[#This Row],[Profit]]/tblTransactions[[#This Row],[Total_Amount]]</f>
        <v>0.24426849731502681</v>
      </c>
      <c r="O828" t="str">
        <f>TEXT(tblTransactions[[#This Row],[Date]], "MMM-YYYY")</f>
        <v>Jul-2023</v>
      </c>
      <c r="P828" t="str">
        <f>"Q"&amp;ROUNDUP(MONTH(tblTransactions[[#This Row],[Date]])/3,0)&amp;"-"&amp;YEAR(tblTransactions[[#This Row],[Date]])</f>
        <v>Q3-2023</v>
      </c>
      <c r="Q828">
        <f>YEAR(tblTransactions[[#This Row],[Date]])</f>
        <v>2023</v>
      </c>
      <c r="R828" t="str">
        <f>TEXT(tblTransactions[[#This Row],[Date]],"DDDD")</f>
        <v>Saturday</v>
      </c>
      <c r="S828">
        <f>MONTH(tblTransactions[[#This Row],[Date]])</f>
        <v>7</v>
      </c>
      <c r="T828" t="str">
        <f>VLOOKUP(E828, Products!$A:$B,2,0)</f>
        <v>Cameras Ele-3</v>
      </c>
      <c r="U828" t="str">
        <f>VLOOKUP(E828,Products!$A:$C,3,0)</f>
        <v>Electronics</v>
      </c>
      <c r="V828" t="str">
        <f>VLOOKUP(E828,Products!$A:$D,4,0)</f>
        <v>Cameras</v>
      </c>
      <c r="W828" t="str">
        <f>VLOOKUP(D828,Customers!$A:$C,3,0)</f>
        <v>B2B</v>
      </c>
      <c r="X828" t="str">
        <f>VLOOKUP(C828,Sales_Representatives!$A:$B,2,0)</f>
        <v>Thomas Martinez</v>
      </c>
    </row>
    <row r="829" spans="1:24" x14ac:dyDescent="0.3">
      <c r="A829" t="s">
        <v>1164</v>
      </c>
      <c r="B829" t="s">
        <v>1161</v>
      </c>
      <c r="C829" t="s">
        <v>56</v>
      </c>
      <c r="D829" t="s">
        <v>197</v>
      </c>
      <c r="E829" t="s">
        <v>53</v>
      </c>
      <c r="F829">
        <v>19</v>
      </c>
      <c r="G829">
        <v>2069.2199999999998</v>
      </c>
      <c r="H829">
        <v>0.11</v>
      </c>
      <c r="I829" s="4">
        <v>34990.51</v>
      </c>
      <c r="J829" t="s">
        <v>34</v>
      </c>
      <c r="K829" t="s">
        <v>39</v>
      </c>
      <c r="L829" s="4">
        <f>VLOOKUP(tblTransactions[[#This Row],[Product_ID]],tblProducts[],5,FALSE)</f>
        <v>1451.18</v>
      </c>
      <c r="M829" s="4">
        <f>tblTransactions[[#This Row],[Total_Amount]]-(tblTransactions[[#This Row],[Cost_Prices]]*tblTransactions[[#This Row],[Quantity]]*(1-tblTransactions[[#This Row],[Discount]]))</f>
        <v>10451.056199999999</v>
      </c>
      <c r="N829" s="3">
        <f>tblTransactions[[#This Row],[Profit]]/tblTransactions[[#This Row],[Total_Amount]]</f>
        <v>0.29868259136548736</v>
      </c>
      <c r="O829" t="str">
        <f>TEXT(tblTransactions[[#This Row],[Date]], "MMM-YYYY")</f>
        <v>Jul-2023</v>
      </c>
      <c r="P829" t="str">
        <f>"Q"&amp;ROUNDUP(MONTH(tblTransactions[[#This Row],[Date]])/3,0)&amp;"-"&amp;YEAR(tblTransactions[[#This Row],[Date]])</f>
        <v>Q3-2023</v>
      </c>
      <c r="Q829">
        <f>YEAR(tblTransactions[[#This Row],[Date]])</f>
        <v>2023</v>
      </c>
      <c r="R829" t="str">
        <f>TEXT(tblTransactions[[#This Row],[Date]],"DDDD")</f>
        <v>Saturday</v>
      </c>
      <c r="S829">
        <f>MONTH(tblTransactions[[#This Row],[Date]])</f>
        <v>7</v>
      </c>
      <c r="T829" t="str">
        <f>VLOOKUP(E829, Products!$A:$B,2,0)</f>
        <v>Printers Tec-3</v>
      </c>
      <c r="U829" t="str">
        <f>VLOOKUP(E829,Products!$A:$C,3,0)</f>
        <v>Technology</v>
      </c>
      <c r="V829" t="str">
        <f>VLOOKUP(E829,Products!$A:$D,4,0)</f>
        <v>Printers</v>
      </c>
      <c r="W829" t="str">
        <f>VLOOKUP(D829,Customers!$A:$C,3,0)</f>
        <v>Enterprise</v>
      </c>
      <c r="X829" t="str">
        <f>VLOOKUP(C829,Sales_Representatives!$A:$B,2,0)</f>
        <v>Thomas Hernandez</v>
      </c>
    </row>
    <row r="830" spans="1:24" x14ac:dyDescent="0.3">
      <c r="A830" t="s">
        <v>1165</v>
      </c>
      <c r="B830" t="s">
        <v>1161</v>
      </c>
      <c r="C830" t="s">
        <v>19</v>
      </c>
      <c r="D830" t="s">
        <v>14</v>
      </c>
      <c r="E830" t="s">
        <v>204</v>
      </c>
      <c r="F830">
        <v>12</v>
      </c>
      <c r="G830">
        <v>715.62</v>
      </c>
      <c r="H830">
        <v>0.18</v>
      </c>
      <c r="I830" s="4">
        <v>7041.7</v>
      </c>
      <c r="J830" t="s">
        <v>21</v>
      </c>
      <c r="K830" t="s">
        <v>48</v>
      </c>
      <c r="L830" s="4">
        <f>VLOOKUP(tblTransactions[[#This Row],[Product_ID]],tblProducts[],5,FALSE)</f>
        <v>459.58</v>
      </c>
      <c r="M830" s="4">
        <f>tblTransactions[[#This Row],[Total_Amount]]-(tblTransactions[[#This Row],[Cost_Prices]]*tblTransactions[[#This Row],[Quantity]]*(1-tblTransactions[[#This Row],[Discount]]))</f>
        <v>2519.4327999999996</v>
      </c>
      <c r="N830" s="3">
        <f>tblTransactions[[#This Row],[Profit]]/tblTransactions[[#This Row],[Total_Amount]]</f>
        <v>0.35778757970376468</v>
      </c>
      <c r="O830" t="str">
        <f>TEXT(tblTransactions[[#This Row],[Date]], "MMM-YYYY")</f>
        <v>Jul-2023</v>
      </c>
      <c r="P830" t="str">
        <f>"Q"&amp;ROUNDUP(MONTH(tblTransactions[[#This Row],[Date]])/3,0)&amp;"-"&amp;YEAR(tblTransactions[[#This Row],[Date]])</f>
        <v>Q3-2023</v>
      </c>
      <c r="Q830">
        <f>YEAR(tblTransactions[[#This Row],[Date]])</f>
        <v>2023</v>
      </c>
      <c r="R830" t="str">
        <f>TEXT(tblTransactions[[#This Row],[Date]],"DDDD")</f>
        <v>Saturday</v>
      </c>
      <c r="S830">
        <f>MONTH(tblTransactions[[#This Row],[Date]])</f>
        <v>7</v>
      </c>
      <c r="T830" t="str">
        <f>VLOOKUP(E830, Products!$A:$B,2,0)</f>
        <v>Cameras Ele-2</v>
      </c>
      <c r="U830" t="str">
        <f>VLOOKUP(E830,Products!$A:$C,3,0)</f>
        <v>Electronics</v>
      </c>
      <c r="V830" t="str">
        <f>VLOOKUP(E830,Products!$A:$D,4,0)</f>
        <v>Cameras</v>
      </c>
      <c r="W830" t="str">
        <f>VLOOKUP(D830,Customers!$A:$C,3,0)</f>
        <v>B2B</v>
      </c>
      <c r="X830" t="str">
        <f>VLOOKUP(C830,Sales_Representatives!$A:$B,2,0)</f>
        <v>Robert Jones</v>
      </c>
    </row>
    <row r="831" spans="1:24" x14ac:dyDescent="0.3">
      <c r="A831" t="s">
        <v>1166</v>
      </c>
      <c r="B831" t="s">
        <v>1161</v>
      </c>
      <c r="C831" t="s">
        <v>13</v>
      </c>
      <c r="D831" t="s">
        <v>190</v>
      </c>
      <c r="E831" t="s">
        <v>450</v>
      </c>
      <c r="F831">
        <v>3</v>
      </c>
      <c r="G831">
        <v>2083.92</v>
      </c>
      <c r="H831">
        <v>0.02</v>
      </c>
      <c r="I831" s="4">
        <v>6126.72</v>
      </c>
      <c r="J831" t="s">
        <v>16</v>
      </c>
      <c r="K831" t="s">
        <v>17</v>
      </c>
      <c r="L831" s="4">
        <f>VLOOKUP(tblTransactions[[#This Row],[Product_ID]],tblProducts[],5,FALSE)</f>
        <v>1425.78</v>
      </c>
      <c r="M831" s="4">
        <f>tblTransactions[[#This Row],[Total_Amount]]-(tblTransactions[[#This Row],[Cost_Prices]]*tblTransactions[[#This Row],[Quantity]]*(1-tblTransactions[[#This Row],[Discount]]))</f>
        <v>1934.9268000000002</v>
      </c>
      <c r="N831" s="3">
        <f>tblTransactions[[#This Row],[Profit]]/tblTransactions[[#This Row],[Total_Amount]]</f>
        <v>0.31581772955186466</v>
      </c>
      <c r="O831" t="str">
        <f>TEXT(tblTransactions[[#This Row],[Date]], "MMM-YYYY")</f>
        <v>Jul-2023</v>
      </c>
      <c r="P831" t="str">
        <f>"Q"&amp;ROUNDUP(MONTH(tblTransactions[[#This Row],[Date]])/3,0)&amp;"-"&amp;YEAR(tblTransactions[[#This Row],[Date]])</f>
        <v>Q3-2023</v>
      </c>
      <c r="Q831">
        <f>YEAR(tblTransactions[[#This Row],[Date]])</f>
        <v>2023</v>
      </c>
      <c r="R831" t="str">
        <f>TEXT(tblTransactions[[#This Row],[Date]],"DDDD")</f>
        <v>Saturday</v>
      </c>
      <c r="S831">
        <f>MONTH(tblTransactions[[#This Row],[Date]])</f>
        <v>7</v>
      </c>
      <c r="T831" t="str">
        <f>VLOOKUP(E831, Products!$A:$B,2,0)</f>
        <v>Monitors Tec-4</v>
      </c>
      <c r="U831" t="str">
        <f>VLOOKUP(E831,Products!$A:$C,3,0)</f>
        <v>Technology</v>
      </c>
      <c r="V831" t="str">
        <f>VLOOKUP(E831,Products!$A:$D,4,0)</f>
        <v>Monitors</v>
      </c>
      <c r="W831" t="str">
        <f>VLOOKUP(D831,Customers!$A:$C,3,0)</f>
        <v>B2B</v>
      </c>
      <c r="X831" t="str">
        <f>VLOOKUP(C831,Sales_Representatives!$A:$B,2,0)</f>
        <v>Jennifer Rodriguez</v>
      </c>
    </row>
    <row r="832" spans="1:24" x14ac:dyDescent="0.3">
      <c r="A832" t="s">
        <v>1167</v>
      </c>
      <c r="B832" t="s">
        <v>1168</v>
      </c>
      <c r="C832" t="s">
        <v>131</v>
      </c>
      <c r="D832" t="s">
        <v>190</v>
      </c>
      <c r="E832" t="s">
        <v>283</v>
      </c>
      <c r="F832">
        <v>2</v>
      </c>
      <c r="G832">
        <v>456.88</v>
      </c>
      <c r="H832">
        <v>0.04</v>
      </c>
      <c r="I832" s="4">
        <v>877.21</v>
      </c>
      <c r="J832" t="s">
        <v>44</v>
      </c>
      <c r="K832" t="s">
        <v>35</v>
      </c>
      <c r="L832" s="4">
        <f>VLOOKUP(tblTransactions[[#This Row],[Product_ID]],tblProducts[],5,FALSE)</f>
        <v>313.23</v>
      </c>
      <c r="M832" s="4">
        <f>tblTransactions[[#This Row],[Total_Amount]]-(tblTransactions[[#This Row],[Cost_Prices]]*tblTransactions[[#This Row],[Quantity]]*(1-tblTransactions[[#This Row],[Discount]]))</f>
        <v>275.80840000000001</v>
      </c>
      <c r="N832" s="3">
        <f>tblTransactions[[#This Row],[Profit]]/tblTransactions[[#This Row],[Total_Amount]]</f>
        <v>0.31441547633975903</v>
      </c>
      <c r="O832" t="str">
        <f>TEXT(tblTransactions[[#This Row],[Date]], "MMM-YYYY")</f>
        <v>Jul-2023</v>
      </c>
      <c r="P832" t="str">
        <f>"Q"&amp;ROUNDUP(MONTH(tblTransactions[[#This Row],[Date]])/3,0)&amp;"-"&amp;YEAR(tblTransactions[[#This Row],[Date]])</f>
        <v>Q3-2023</v>
      </c>
      <c r="Q832">
        <f>YEAR(tblTransactions[[#This Row],[Date]])</f>
        <v>2023</v>
      </c>
      <c r="R832" t="str">
        <f>TEXT(tblTransactions[[#This Row],[Date]],"DDDD")</f>
        <v>Sunday</v>
      </c>
      <c r="S832">
        <f>MONTH(tblTransactions[[#This Row],[Date]])</f>
        <v>7</v>
      </c>
      <c r="T832" t="str">
        <f>VLOOKUP(E832, Products!$A:$B,2,0)</f>
        <v>Chairs Fur-3</v>
      </c>
      <c r="U832" t="str">
        <f>VLOOKUP(E832,Products!$A:$C,3,0)</f>
        <v>Furniture</v>
      </c>
      <c r="V832" t="str">
        <f>VLOOKUP(E832,Products!$A:$D,4,0)</f>
        <v>Chairs</v>
      </c>
      <c r="W832" t="str">
        <f>VLOOKUP(D832,Customers!$A:$C,3,0)</f>
        <v>B2B</v>
      </c>
      <c r="X832" t="str">
        <f>VLOOKUP(C832,Sales_Representatives!$A:$B,2,0)</f>
        <v>Michael Davis</v>
      </c>
    </row>
    <row r="833" spans="1:24" x14ac:dyDescent="0.3">
      <c r="A833" t="s">
        <v>1169</v>
      </c>
      <c r="B833" t="s">
        <v>1168</v>
      </c>
      <c r="C833" t="s">
        <v>82</v>
      </c>
      <c r="D833" t="s">
        <v>154</v>
      </c>
      <c r="E833" t="s">
        <v>91</v>
      </c>
      <c r="F833">
        <v>13</v>
      </c>
      <c r="G833">
        <v>286.62</v>
      </c>
      <c r="H833">
        <v>0.16</v>
      </c>
      <c r="I833" s="4">
        <v>3129.89</v>
      </c>
      <c r="J833" t="s">
        <v>34</v>
      </c>
      <c r="K833" t="s">
        <v>39</v>
      </c>
      <c r="L833" s="4">
        <f>VLOOKUP(tblTransactions[[#This Row],[Product_ID]],tblProducts[],5,FALSE)</f>
        <v>145.54</v>
      </c>
      <c r="M833" s="4">
        <f>tblTransactions[[#This Row],[Total_Amount]]-(tblTransactions[[#This Row],[Cost_Prices]]*tblTransactions[[#This Row],[Quantity]]*(1-tblTransactions[[#This Row],[Discount]]))</f>
        <v>1540.5932</v>
      </c>
      <c r="N833" s="3">
        <f>tblTransactions[[#This Row],[Profit]]/tblTransactions[[#This Row],[Total_Amount]]</f>
        <v>0.49221959877184185</v>
      </c>
      <c r="O833" t="str">
        <f>TEXT(tblTransactions[[#This Row],[Date]], "MMM-YYYY")</f>
        <v>Jul-2023</v>
      </c>
      <c r="P833" t="str">
        <f>"Q"&amp;ROUNDUP(MONTH(tblTransactions[[#This Row],[Date]])/3,0)&amp;"-"&amp;YEAR(tblTransactions[[#This Row],[Date]])</f>
        <v>Q3-2023</v>
      </c>
      <c r="Q833">
        <f>YEAR(tblTransactions[[#This Row],[Date]])</f>
        <v>2023</v>
      </c>
      <c r="R833" t="str">
        <f>TEXT(tblTransactions[[#This Row],[Date]],"DDDD")</f>
        <v>Sunday</v>
      </c>
      <c r="S833">
        <f>MONTH(tblTransactions[[#This Row],[Date]])</f>
        <v>7</v>
      </c>
      <c r="T833" t="str">
        <f>VLOOKUP(E833, Products!$A:$B,2,0)</f>
        <v>Chairs Fur-1</v>
      </c>
      <c r="U833" t="str">
        <f>VLOOKUP(E833,Products!$A:$C,3,0)</f>
        <v>Furniture</v>
      </c>
      <c r="V833" t="str">
        <f>VLOOKUP(E833,Products!$A:$D,4,0)</f>
        <v>Chairs</v>
      </c>
      <c r="W833" t="str">
        <f>VLOOKUP(D833,Customers!$A:$C,3,0)</f>
        <v>B2B</v>
      </c>
      <c r="X833" t="str">
        <f>VLOOKUP(C833,Sales_Representatives!$A:$B,2,0)</f>
        <v>John Brown</v>
      </c>
    </row>
    <row r="834" spans="1:24" x14ac:dyDescent="0.3">
      <c r="A834" t="s">
        <v>1170</v>
      </c>
      <c r="B834" t="s">
        <v>1168</v>
      </c>
      <c r="C834" t="s">
        <v>59</v>
      </c>
      <c r="D834" t="s">
        <v>76</v>
      </c>
      <c r="E834" t="s">
        <v>314</v>
      </c>
      <c r="F834">
        <v>5</v>
      </c>
      <c r="G834">
        <v>204.97</v>
      </c>
      <c r="H834">
        <v>0.06</v>
      </c>
      <c r="I834" s="4">
        <v>963.36</v>
      </c>
      <c r="J834" t="s">
        <v>21</v>
      </c>
      <c r="K834" t="s">
        <v>35</v>
      </c>
      <c r="L834" s="4">
        <f>VLOOKUP(tblTransactions[[#This Row],[Product_ID]],tblProducts[],5,FALSE)</f>
        <v>121.53</v>
      </c>
      <c r="M834" s="4">
        <f>tblTransactions[[#This Row],[Total_Amount]]-(tblTransactions[[#This Row],[Cost_Prices]]*tblTransactions[[#This Row],[Quantity]]*(1-tblTransactions[[#This Row],[Discount]]))</f>
        <v>392.1690000000001</v>
      </c>
      <c r="N834" s="3">
        <f>tblTransactions[[#This Row],[Profit]]/tblTransactions[[#This Row],[Total_Amount]]</f>
        <v>0.40708457897359251</v>
      </c>
      <c r="O834" t="str">
        <f>TEXT(tblTransactions[[#This Row],[Date]], "MMM-YYYY")</f>
        <v>Jul-2023</v>
      </c>
      <c r="P834" t="str">
        <f>"Q"&amp;ROUNDUP(MONTH(tblTransactions[[#This Row],[Date]])/3,0)&amp;"-"&amp;YEAR(tblTransactions[[#This Row],[Date]])</f>
        <v>Q3-2023</v>
      </c>
      <c r="Q834">
        <f>YEAR(tblTransactions[[#This Row],[Date]])</f>
        <v>2023</v>
      </c>
      <c r="R834" t="str">
        <f>TEXT(tblTransactions[[#This Row],[Date]],"DDDD")</f>
        <v>Sunday</v>
      </c>
      <c r="S834">
        <f>MONTH(tblTransactions[[#This Row],[Date]])</f>
        <v>7</v>
      </c>
      <c r="T834" t="str">
        <f>VLOOKUP(E834, Products!$A:$B,2,0)</f>
        <v>Adapters Acc-3</v>
      </c>
      <c r="U834" t="str">
        <f>VLOOKUP(E834,Products!$A:$C,3,0)</f>
        <v>Accessories</v>
      </c>
      <c r="V834" t="str">
        <f>VLOOKUP(E834,Products!$A:$D,4,0)</f>
        <v>Adapters</v>
      </c>
      <c r="W834" t="str">
        <f>VLOOKUP(D834,Customers!$A:$C,3,0)</f>
        <v>Small Business</v>
      </c>
      <c r="X834" t="str">
        <f>VLOOKUP(C834,Sales_Representatives!$A:$B,2,0)</f>
        <v>Sarah Brown</v>
      </c>
    </row>
    <row r="835" spans="1:24" x14ac:dyDescent="0.3">
      <c r="A835" t="s">
        <v>1171</v>
      </c>
      <c r="B835" t="s">
        <v>1168</v>
      </c>
      <c r="C835" t="s">
        <v>63</v>
      </c>
      <c r="D835" t="s">
        <v>112</v>
      </c>
      <c r="E835" t="s">
        <v>125</v>
      </c>
      <c r="F835">
        <v>13</v>
      </c>
      <c r="G835">
        <v>1201.4000000000001</v>
      </c>
      <c r="H835">
        <v>0.16</v>
      </c>
      <c r="I835" s="4">
        <v>13119.29</v>
      </c>
      <c r="J835" t="s">
        <v>21</v>
      </c>
      <c r="K835" t="s">
        <v>35</v>
      </c>
      <c r="L835" s="4">
        <f>VLOOKUP(tblTransactions[[#This Row],[Product_ID]],tblProducts[],5,FALSE)</f>
        <v>672.72</v>
      </c>
      <c r="M835" s="4">
        <f>tblTransactions[[#This Row],[Total_Amount]]-(tblTransactions[[#This Row],[Cost_Prices]]*tblTransactions[[#This Row],[Quantity]]*(1-tblTransactions[[#This Row],[Discount]]))</f>
        <v>5773.1876000000002</v>
      </c>
      <c r="N835" s="3">
        <f>tblTransactions[[#This Row],[Profit]]/tblTransactions[[#This Row],[Total_Amount]]</f>
        <v>0.44005335654597161</v>
      </c>
      <c r="O835" t="str">
        <f>TEXT(tblTransactions[[#This Row],[Date]], "MMM-YYYY")</f>
        <v>Jul-2023</v>
      </c>
      <c r="P835" t="str">
        <f>"Q"&amp;ROUNDUP(MONTH(tblTransactions[[#This Row],[Date]])/3,0)&amp;"-"&amp;YEAR(tblTransactions[[#This Row],[Date]])</f>
        <v>Q3-2023</v>
      </c>
      <c r="Q835">
        <f>YEAR(tblTransactions[[#This Row],[Date]])</f>
        <v>2023</v>
      </c>
      <c r="R835" t="str">
        <f>TEXT(tblTransactions[[#This Row],[Date]],"DDDD")</f>
        <v>Sunday</v>
      </c>
      <c r="S835">
        <f>MONTH(tblTransactions[[#This Row],[Date]])</f>
        <v>7</v>
      </c>
      <c r="T835" t="str">
        <f>VLOOKUP(E835, Products!$A:$B,2,0)</f>
        <v>Printers Tec-2</v>
      </c>
      <c r="U835" t="str">
        <f>VLOOKUP(E835,Products!$A:$C,3,0)</f>
        <v>Technology</v>
      </c>
      <c r="V835" t="str">
        <f>VLOOKUP(E835,Products!$A:$D,4,0)</f>
        <v>Printers</v>
      </c>
      <c r="W835" t="str">
        <f>VLOOKUP(D835,Customers!$A:$C,3,0)</f>
        <v>Enterprise</v>
      </c>
      <c r="X835" t="str">
        <f>VLOOKUP(C835,Sales_Representatives!$A:$B,2,0)</f>
        <v>Richard Wilson</v>
      </c>
    </row>
    <row r="836" spans="1:24" x14ac:dyDescent="0.3">
      <c r="A836" t="s">
        <v>1172</v>
      </c>
      <c r="B836" t="s">
        <v>1168</v>
      </c>
      <c r="C836" t="s">
        <v>27</v>
      </c>
      <c r="D836" t="s">
        <v>50</v>
      </c>
      <c r="E836" t="s">
        <v>258</v>
      </c>
      <c r="F836">
        <v>4</v>
      </c>
      <c r="G836">
        <v>73.33</v>
      </c>
      <c r="H836">
        <v>0.01</v>
      </c>
      <c r="I836" s="4">
        <v>290.39</v>
      </c>
      <c r="J836" t="s">
        <v>16</v>
      </c>
      <c r="K836" t="s">
        <v>35</v>
      </c>
      <c r="L836" s="4">
        <f>VLOOKUP(tblTransactions[[#This Row],[Product_ID]],tblProducts[],5,FALSE)</f>
        <v>38.049999999999997</v>
      </c>
      <c r="M836" s="4">
        <f>tblTransactions[[#This Row],[Total_Amount]]-(tblTransactions[[#This Row],[Cost_Prices]]*tblTransactions[[#This Row],[Quantity]]*(1-tblTransactions[[#This Row],[Discount]]))</f>
        <v>139.71199999999999</v>
      </c>
      <c r="N836" s="3">
        <f>tblTransactions[[#This Row],[Profit]]/tblTransactions[[#This Row],[Total_Amount]]</f>
        <v>0.4811184958159716</v>
      </c>
      <c r="O836" t="str">
        <f>TEXT(tblTransactions[[#This Row],[Date]], "MMM-YYYY")</f>
        <v>Jul-2023</v>
      </c>
      <c r="P836" t="str">
        <f>"Q"&amp;ROUNDUP(MONTH(tblTransactions[[#This Row],[Date]])/3,0)&amp;"-"&amp;YEAR(tblTransactions[[#This Row],[Date]])</f>
        <v>Q3-2023</v>
      </c>
      <c r="Q836">
        <f>YEAR(tblTransactions[[#This Row],[Date]])</f>
        <v>2023</v>
      </c>
      <c r="R836" t="str">
        <f>TEXT(tblTransactions[[#This Row],[Date]],"DDDD")</f>
        <v>Sunday</v>
      </c>
      <c r="S836">
        <f>MONTH(tblTransactions[[#This Row],[Date]])</f>
        <v>7</v>
      </c>
      <c r="T836" t="str">
        <f>VLOOKUP(E836, Products!$A:$B,2,0)</f>
        <v>Keyboards Acc-3</v>
      </c>
      <c r="U836" t="str">
        <f>VLOOKUP(E836,Products!$A:$C,3,0)</f>
        <v>Accessories</v>
      </c>
      <c r="V836" t="str">
        <f>VLOOKUP(E836,Products!$A:$D,4,0)</f>
        <v>Keyboards</v>
      </c>
      <c r="W836" t="str">
        <f>VLOOKUP(D836,Customers!$A:$C,3,0)</f>
        <v>Small Business</v>
      </c>
      <c r="X836" t="str">
        <f>VLOOKUP(C836,Sales_Representatives!$A:$B,2,0)</f>
        <v>Thomas Lopez</v>
      </c>
    </row>
    <row r="837" spans="1:24" x14ac:dyDescent="0.3">
      <c r="A837" t="s">
        <v>1173</v>
      </c>
      <c r="B837" t="s">
        <v>1168</v>
      </c>
      <c r="C837" t="s">
        <v>56</v>
      </c>
      <c r="D837" t="s">
        <v>247</v>
      </c>
      <c r="E837" t="s">
        <v>116</v>
      </c>
      <c r="F837">
        <v>5</v>
      </c>
      <c r="G837">
        <v>232.86</v>
      </c>
      <c r="H837">
        <v>0.01</v>
      </c>
      <c r="I837" s="4">
        <v>1152.6600000000001</v>
      </c>
      <c r="J837" t="s">
        <v>34</v>
      </c>
      <c r="K837" t="s">
        <v>17</v>
      </c>
      <c r="L837" s="4">
        <f>VLOOKUP(tblTransactions[[#This Row],[Product_ID]],tblProducts[],5,FALSE)</f>
        <v>116.79</v>
      </c>
      <c r="M837" s="4">
        <f>tblTransactions[[#This Row],[Total_Amount]]-(tblTransactions[[#This Row],[Cost_Prices]]*tblTransactions[[#This Row],[Quantity]]*(1-tblTransactions[[#This Row],[Discount]]))</f>
        <v>574.54950000000008</v>
      </c>
      <c r="N837" s="3">
        <f>tblTransactions[[#This Row],[Profit]]/tblTransactions[[#This Row],[Total_Amount]]</f>
        <v>0.49845531206079852</v>
      </c>
      <c r="O837" t="str">
        <f>TEXT(tblTransactions[[#This Row],[Date]], "MMM-YYYY")</f>
        <v>Jul-2023</v>
      </c>
      <c r="P837" t="str">
        <f>"Q"&amp;ROUNDUP(MONTH(tblTransactions[[#This Row],[Date]])/3,0)&amp;"-"&amp;YEAR(tblTransactions[[#This Row],[Date]])</f>
        <v>Q3-2023</v>
      </c>
      <c r="Q837">
        <f>YEAR(tblTransactions[[#This Row],[Date]])</f>
        <v>2023</v>
      </c>
      <c r="R837" t="str">
        <f>TEXT(tblTransactions[[#This Row],[Date]],"DDDD")</f>
        <v>Sunday</v>
      </c>
      <c r="S837">
        <f>MONTH(tblTransactions[[#This Row],[Date]])</f>
        <v>7</v>
      </c>
      <c r="T837" t="str">
        <f>VLOOKUP(E837, Products!$A:$B,2,0)</f>
        <v>Folders Off-4</v>
      </c>
      <c r="U837" t="str">
        <f>VLOOKUP(E837,Products!$A:$C,3,0)</f>
        <v>Office Supplies</v>
      </c>
      <c r="V837" t="str">
        <f>VLOOKUP(E837,Products!$A:$D,4,0)</f>
        <v>Folders</v>
      </c>
      <c r="W837" t="str">
        <f>VLOOKUP(D837,Customers!$A:$C,3,0)</f>
        <v>B2C</v>
      </c>
      <c r="X837" t="str">
        <f>VLOOKUP(C837,Sales_Representatives!$A:$B,2,0)</f>
        <v>Thomas Hernandez</v>
      </c>
    </row>
    <row r="838" spans="1:24" x14ac:dyDescent="0.3">
      <c r="A838" t="s">
        <v>1174</v>
      </c>
      <c r="B838" t="s">
        <v>1168</v>
      </c>
      <c r="C838" t="s">
        <v>56</v>
      </c>
      <c r="D838" t="s">
        <v>156</v>
      </c>
      <c r="E838" t="s">
        <v>157</v>
      </c>
      <c r="F838">
        <v>13</v>
      </c>
      <c r="G838">
        <v>1227.68</v>
      </c>
      <c r="H838">
        <v>0.15</v>
      </c>
      <c r="I838" s="4">
        <v>13565.86</v>
      </c>
      <c r="J838" t="s">
        <v>34</v>
      </c>
      <c r="K838" t="s">
        <v>35</v>
      </c>
      <c r="L838" s="4">
        <f>VLOOKUP(tblTransactions[[#This Row],[Product_ID]],tblProducts[],5,FALSE)</f>
        <v>846.42</v>
      </c>
      <c r="M838" s="4">
        <f>tblTransactions[[#This Row],[Total_Amount]]-(tblTransactions[[#This Row],[Cost_Prices]]*tblTransactions[[#This Row],[Quantity]]*(1-tblTransactions[[#This Row],[Discount]]))</f>
        <v>4212.9190000000017</v>
      </c>
      <c r="N838" s="3">
        <f>tblTransactions[[#This Row],[Profit]]/tblTransactions[[#This Row],[Total_Amount]]</f>
        <v>0.31055303534018497</v>
      </c>
      <c r="O838" t="str">
        <f>TEXT(tblTransactions[[#This Row],[Date]], "MMM-YYYY")</f>
        <v>Jul-2023</v>
      </c>
      <c r="P838" t="str">
        <f>"Q"&amp;ROUNDUP(MONTH(tblTransactions[[#This Row],[Date]])/3,0)&amp;"-"&amp;YEAR(tblTransactions[[#This Row],[Date]])</f>
        <v>Q3-2023</v>
      </c>
      <c r="Q838">
        <f>YEAR(tblTransactions[[#This Row],[Date]])</f>
        <v>2023</v>
      </c>
      <c r="R838" t="str">
        <f>TEXT(tblTransactions[[#This Row],[Date]],"DDDD")</f>
        <v>Sunday</v>
      </c>
      <c r="S838">
        <f>MONTH(tblTransactions[[#This Row],[Date]])</f>
        <v>7</v>
      </c>
      <c r="T838" t="str">
        <f>VLOOKUP(E838, Products!$A:$B,2,0)</f>
        <v>Printers Tec-4</v>
      </c>
      <c r="U838" t="str">
        <f>VLOOKUP(E838,Products!$A:$C,3,0)</f>
        <v>Technology</v>
      </c>
      <c r="V838" t="str">
        <f>VLOOKUP(E838,Products!$A:$D,4,0)</f>
        <v>Printers</v>
      </c>
      <c r="W838" t="str">
        <f>VLOOKUP(D838,Customers!$A:$C,3,0)</f>
        <v>B2B</v>
      </c>
      <c r="X838" t="str">
        <f>VLOOKUP(C838,Sales_Representatives!$A:$B,2,0)</f>
        <v>Thomas Hernandez</v>
      </c>
    </row>
    <row r="839" spans="1:24" x14ac:dyDescent="0.3">
      <c r="A839" t="s">
        <v>1175</v>
      </c>
      <c r="B839" t="s">
        <v>1168</v>
      </c>
      <c r="C839" t="s">
        <v>19</v>
      </c>
      <c r="D839" t="s">
        <v>216</v>
      </c>
      <c r="E839" t="s">
        <v>102</v>
      </c>
      <c r="F839">
        <v>1</v>
      </c>
      <c r="G839">
        <v>1097.75</v>
      </c>
      <c r="H839">
        <v>0.02</v>
      </c>
      <c r="I839" s="4">
        <v>1075.8</v>
      </c>
      <c r="J839" t="s">
        <v>21</v>
      </c>
      <c r="K839" t="s">
        <v>22</v>
      </c>
      <c r="L839" s="4">
        <f>VLOOKUP(tblTransactions[[#This Row],[Product_ID]],tblProducts[],5,FALSE)</f>
        <v>680.12</v>
      </c>
      <c r="M839" s="4">
        <f>tblTransactions[[#This Row],[Total_Amount]]-(tblTransactions[[#This Row],[Cost_Prices]]*tblTransactions[[#This Row],[Quantity]]*(1-tblTransactions[[#This Row],[Discount]]))</f>
        <v>409.28239999999994</v>
      </c>
      <c r="N839" s="3">
        <f>tblTransactions[[#This Row],[Profit]]/tblTransactions[[#This Row],[Total_Amount]]</f>
        <v>0.38044469232199291</v>
      </c>
      <c r="O839" t="str">
        <f>TEXT(tblTransactions[[#This Row],[Date]], "MMM-YYYY")</f>
        <v>Jul-2023</v>
      </c>
      <c r="P839" t="str">
        <f>"Q"&amp;ROUNDUP(MONTH(tblTransactions[[#This Row],[Date]])/3,0)&amp;"-"&amp;YEAR(tblTransactions[[#This Row],[Date]])</f>
        <v>Q3-2023</v>
      </c>
      <c r="Q839">
        <f>YEAR(tblTransactions[[#This Row],[Date]])</f>
        <v>2023</v>
      </c>
      <c r="R839" t="str">
        <f>TEXT(tblTransactions[[#This Row],[Date]],"DDDD")</f>
        <v>Sunday</v>
      </c>
      <c r="S839">
        <f>MONTH(tblTransactions[[#This Row],[Date]])</f>
        <v>7</v>
      </c>
      <c r="T839" t="str">
        <f>VLOOKUP(E839, Products!$A:$B,2,0)</f>
        <v>Storage Fur-4</v>
      </c>
      <c r="U839" t="str">
        <f>VLOOKUP(E839,Products!$A:$C,3,0)</f>
        <v>Furniture</v>
      </c>
      <c r="V839" t="str">
        <f>VLOOKUP(E839,Products!$A:$D,4,0)</f>
        <v>Storage</v>
      </c>
      <c r="W839" t="str">
        <f>VLOOKUP(D839,Customers!$A:$C,3,0)</f>
        <v>Small Business</v>
      </c>
      <c r="X839" t="str">
        <f>VLOOKUP(C839,Sales_Representatives!$A:$B,2,0)</f>
        <v>Robert Jones</v>
      </c>
    </row>
    <row r="840" spans="1:24" x14ac:dyDescent="0.3">
      <c r="A840" t="s">
        <v>1176</v>
      </c>
      <c r="B840" t="s">
        <v>1168</v>
      </c>
      <c r="C840" t="s">
        <v>19</v>
      </c>
      <c r="D840" t="s">
        <v>64</v>
      </c>
      <c r="E840" t="s">
        <v>258</v>
      </c>
      <c r="F840">
        <v>7</v>
      </c>
      <c r="G840">
        <v>73.33</v>
      </c>
      <c r="H840">
        <v>0.13</v>
      </c>
      <c r="I840" s="4">
        <v>446.58</v>
      </c>
      <c r="J840" t="s">
        <v>21</v>
      </c>
      <c r="K840" t="s">
        <v>22</v>
      </c>
      <c r="L840" s="4">
        <f>VLOOKUP(tblTransactions[[#This Row],[Product_ID]],tblProducts[],5,FALSE)</f>
        <v>38.049999999999997</v>
      </c>
      <c r="M840" s="4">
        <f>tblTransactions[[#This Row],[Total_Amount]]-(tblTransactions[[#This Row],[Cost_Prices]]*tblTransactions[[#This Row],[Quantity]]*(1-tblTransactions[[#This Row],[Discount]]))</f>
        <v>214.85550000000001</v>
      </c>
      <c r="N840" s="3">
        <f>tblTransactions[[#This Row],[Profit]]/tblTransactions[[#This Row],[Total_Amount]]</f>
        <v>0.4811131264275158</v>
      </c>
      <c r="O840" t="str">
        <f>TEXT(tblTransactions[[#This Row],[Date]], "MMM-YYYY")</f>
        <v>Jul-2023</v>
      </c>
      <c r="P840" t="str">
        <f>"Q"&amp;ROUNDUP(MONTH(tblTransactions[[#This Row],[Date]])/3,0)&amp;"-"&amp;YEAR(tblTransactions[[#This Row],[Date]])</f>
        <v>Q3-2023</v>
      </c>
      <c r="Q840">
        <f>YEAR(tblTransactions[[#This Row],[Date]])</f>
        <v>2023</v>
      </c>
      <c r="R840" t="str">
        <f>TEXT(tblTransactions[[#This Row],[Date]],"DDDD")</f>
        <v>Sunday</v>
      </c>
      <c r="S840">
        <f>MONTH(tblTransactions[[#This Row],[Date]])</f>
        <v>7</v>
      </c>
      <c r="T840" t="str">
        <f>VLOOKUP(E840, Products!$A:$B,2,0)</f>
        <v>Keyboards Acc-3</v>
      </c>
      <c r="U840" t="str">
        <f>VLOOKUP(E840,Products!$A:$C,3,0)</f>
        <v>Accessories</v>
      </c>
      <c r="V840" t="str">
        <f>VLOOKUP(E840,Products!$A:$D,4,0)</f>
        <v>Keyboards</v>
      </c>
      <c r="W840" t="str">
        <f>VLOOKUP(D840,Customers!$A:$C,3,0)</f>
        <v>Small Business</v>
      </c>
      <c r="X840" t="str">
        <f>VLOOKUP(C840,Sales_Representatives!$A:$B,2,0)</f>
        <v>Robert Jones</v>
      </c>
    </row>
    <row r="841" spans="1:24" x14ac:dyDescent="0.3">
      <c r="A841" t="s">
        <v>1177</v>
      </c>
      <c r="B841" t="s">
        <v>1178</v>
      </c>
      <c r="C841" t="s">
        <v>13</v>
      </c>
      <c r="D841" t="s">
        <v>128</v>
      </c>
      <c r="E841" t="s">
        <v>178</v>
      </c>
      <c r="F841">
        <v>12</v>
      </c>
      <c r="G841">
        <v>1623.35</v>
      </c>
      <c r="H841">
        <v>0.12</v>
      </c>
      <c r="I841" s="4">
        <v>17142.580000000002</v>
      </c>
      <c r="J841" t="s">
        <v>16</v>
      </c>
      <c r="K841" t="s">
        <v>22</v>
      </c>
      <c r="L841" s="4">
        <f>VLOOKUP(tblTransactions[[#This Row],[Product_ID]],tblProducts[],5,FALSE)</f>
        <v>981.45</v>
      </c>
      <c r="M841" s="4">
        <f>tblTransactions[[#This Row],[Total_Amount]]-(tblTransactions[[#This Row],[Cost_Prices]]*tblTransactions[[#This Row],[Quantity]]*(1-tblTransactions[[#This Row],[Discount]]))</f>
        <v>6778.4680000000008</v>
      </c>
      <c r="N841" s="3">
        <f>tblTransactions[[#This Row],[Profit]]/tblTransactions[[#This Row],[Total_Amount]]</f>
        <v>0.39541702590858552</v>
      </c>
      <c r="O841" t="str">
        <f>TEXT(tblTransactions[[#This Row],[Date]], "MMM-YYYY")</f>
        <v>Jul-2023</v>
      </c>
      <c r="P841" t="str">
        <f>"Q"&amp;ROUNDUP(MONTH(tblTransactions[[#This Row],[Date]])/3,0)&amp;"-"&amp;YEAR(tblTransactions[[#This Row],[Date]])</f>
        <v>Q3-2023</v>
      </c>
      <c r="Q841">
        <f>YEAR(tblTransactions[[#This Row],[Date]])</f>
        <v>2023</v>
      </c>
      <c r="R841" t="str">
        <f>TEXT(tblTransactions[[#This Row],[Date]],"DDDD")</f>
        <v>Monday</v>
      </c>
      <c r="S841">
        <f>MONTH(tblTransactions[[#This Row],[Date]])</f>
        <v>7</v>
      </c>
      <c r="T841" t="str">
        <f>VLOOKUP(E841, Products!$A:$B,2,0)</f>
        <v>Tablets Ele-1</v>
      </c>
      <c r="U841" t="str">
        <f>VLOOKUP(E841,Products!$A:$C,3,0)</f>
        <v>Electronics</v>
      </c>
      <c r="V841" t="str">
        <f>VLOOKUP(E841,Products!$A:$D,4,0)</f>
        <v>Tablets</v>
      </c>
      <c r="W841" t="str">
        <f>VLOOKUP(D841,Customers!$A:$C,3,0)</f>
        <v>B2B</v>
      </c>
      <c r="X841" t="str">
        <f>VLOOKUP(C841,Sales_Representatives!$A:$B,2,0)</f>
        <v>Jennifer Rodriguez</v>
      </c>
    </row>
    <row r="842" spans="1:24" x14ac:dyDescent="0.3">
      <c r="A842" t="s">
        <v>1179</v>
      </c>
      <c r="B842" t="s">
        <v>1178</v>
      </c>
      <c r="C842" t="s">
        <v>141</v>
      </c>
      <c r="D842" t="s">
        <v>183</v>
      </c>
      <c r="E842" t="s">
        <v>704</v>
      </c>
      <c r="F842">
        <v>7</v>
      </c>
      <c r="G842">
        <v>291.81</v>
      </c>
      <c r="H842">
        <v>0.06</v>
      </c>
      <c r="I842" s="4">
        <v>1920.11</v>
      </c>
      <c r="J842" t="s">
        <v>109</v>
      </c>
      <c r="K842" t="s">
        <v>22</v>
      </c>
      <c r="L842" s="4">
        <f>VLOOKUP(tblTransactions[[#This Row],[Product_ID]],tblProducts[],5,FALSE)</f>
        <v>123.61</v>
      </c>
      <c r="M842" s="4">
        <f>tblTransactions[[#This Row],[Total_Amount]]-(tblTransactions[[#This Row],[Cost_Prices]]*tblTransactions[[#This Row],[Quantity]]*(1-tblTransactions[[#This Row],[Discount]]))</f>
        <v>1106.7561999999998</v>
      </c>
      <c r="N842" s="3">
        <f>tblTransactions[[#This Row],[Profit]]/tblTransactions[[#This Row],[Total_Amount]]</f>
        <v>0.576402497773565</v>
      </c>
      <c r="O842" t="str">
        <f>TEXT(tblTransactions[[#This Row],[Date]], "MMM-YYYY")</f>
        <v>Jul-2023</v>
      </c>
      <c r="P842" t="str">
        <f>"Q"&amp;ROUNDUP(MONTH(tblTransactions[[#This Row],[Date]])/3,0)&amp;"-"&amp;YEAR(tblTransactions[[#This Row],[Date]])</f>
        <v>Q3-2023</v>
      </c>
      <c r="Q842">
        <f>YEAR(tblTransactions[[#This Row],[Date]])</f>
        <v>2023</v>
      </c>
      <c r="R842" t="str">
        <f>TEXT(tblTransactions[[#This Row],[Date]],"DDDD")</f>
        <v>Monday</v>
      </c>
      <c r="S842">
        <f>MONTH(tblTransactions[[#This Row],[Date]])</f>
        <v>7</v>
      </c>
      <c r="T842" t="str">
        <f>VLOOKUP(E842, Products!$A:$B,2,0)</f>
        <v>Keyboards Acc-4</v>
      </c>
      <c r="U842" t="str">
        <f>VLOOKUP(E842,Products!$A:$C,3,0)</f>
        <v>Accessories</v>
      </c>
      <c r="V842" t="str">
        <f>VLOOKUP(E842,Products!$A:$D,4,0)</f>
        <v>Keyboards</v>
      </c>
      <c r="W842" t="str">
        <f>VLOOKUP(D842,Customers!$A:$C,3,0)</f>
        <v>Small Business</v>
      </c>
      <c r="X842" t="str">
        <f>VLOOKUP(C842,Sales_Representatives!$A:$B,2,0)</f>
        <v>Richard Garcia</v>
      </c>
    </row>
    <row r="843" spans="1:24" x14ac:dyDescent="0.3">
      <c r="A843" t="s">
        <v>1180</v>
      </c>
      <c r="B843" t="s">
        <v>1178</v>
      </c>
      <c r="C843" t="s">
        <v>41</v>
      </c>
      <c r="D843" t="s">
        <v>197</v>
      </c>
      <c r="E843" t="s">
        <v>15</v>
      </c>
      <c r="F843">
        <v>9</v>
      </c>
      <c r="G843">
        <v>477.48</v>
      </c>
      <c r="H843">
        <v>0.05</v>
      </c>
      <c r="I843" s="4">
        <v>4082.45</v>
      </c>
      <c r="J843" t="s">
        <v>44</v>
      </c>
      <c r="K843" t="s">
        <v>48</v>
      </c>
      <c r="L843" s="4">
        <f>VLOOKUP(tblTransactions[[#This Row],[Product_ID]],tblProducts[],5,FALSE)</f>
        <v>275.51</v>
      </c>
      <c r="M843" s="4">
        <f>tblTransactions[[#This Row],[Total_Amount]]-(tblTransactions[[#This Row],[Cost_Prices]]*tblTransactions[[#This Row],[Quantity]]*(1-tblTransactions[[#This Row],[Discount]]))</f>
        <v>1726.8394999999996</v>
      </c>
      <c r="N843" s="3">
        <f>tblTransactions[[#This Row],[Profit]]/tblTransactions[[#This Row],[Total_Amount]]</f>
        <v>0.422990973557545</v>
      </c>
      <c r="O843" t="str">
        <f>TEXT(tblTransactions[[#This Row],[Date]], "MMM-YYYY")</f>
        <v>Jul-2023</v>
      </c>
      <c r="P843" t="str">
        <f>"Q"&amp;ROUNDUP(MONTH(tblTransactions[[#This Row],[Date]])/3,0)&amp;"-"&amp;YEAR(tblTransactions[[#This Row],[Date]])</f>
        <v>Q3-2023</v>
      </c>
      <c r="Q843">
        <f>YEAR(tblTransactions[[#This Row],[Date]])</f>
        <v>2023</v>
      </c>
      <c r="R843" t="str">
        <f>TEXT(tblTransactions[[#This Row],[Date]],"DDDD")</f>
        <v>Monday</v>
      </c>
      <c r="S843">
        <f>MONTH(tblTransactions[[#This Row],[Date]])</f>
        <v>7</v>
      </c>
      <c r="T843" t="str">
        <f>VLOOKUP(E843, Products!$A:$B,2,0)</f>
        <v>Laptops Ele-4</v>
      </c>
      <c r="U843" t="str">
        <f>VLOOKUP(E843,Products!$A:$C,3,0)</f>
        <v>Electronics</v>
      </c>
      <c r="V843" t="str">
        <f>VLOOKUP(E843,Products!$A:$D,4,0)</f>
        <v>Laptops</v>
      </c>
      <c r="W843" t="str">
        <f>VLOOKUP(D843,Customers!$A:$C,3,0)</f>
        <v>Enterprise</v>
      </c>
      <c r="X843" t="str">
        <f>VLOOKUP(C843,Sales_Representatives!$A:$B,2,0)</f>
        <v>Robert Jones</v>
      </c>
    </row>
    <row r="844" spans="1:24" x14ac:dyDescent="0.3">
      <c r="A844" t="s">
        <v>1181</v>
      </c>
      <c r="B844" t="s">
        <v>1182</v>
      </c>
      <c r="C844" t="s">
        <v>127</v>
      </c>
      <c r="D844" t="s">
        <v>67</v>
      </c>
      <c r="E844" t="s">
        <v>20</v>
      </c>
      <c r="F844">
        <v>5</v>
      </c>
      <c r="G844">
        <v>1219.49</v>
      </c>
      <c r="H844">
        <v>0.05</v>
      </c>
      <c r="I844" s="4">
        <v>5792.58</v>
      </c>
      <c r="J844" t="s">
        <v>109</v>
      </c>
      <c r="K844" t="s">
        <v>39</v>
      </c>
      <c r="L844" s="4">
        <f>VLOOKUP(tblTransactions[[#This Row],[Product_ID]],tblProducts[],5,FALSE)</f>
        <v>686.9</v>
      </c>
      <c r="M844" s="4">
        <f>tblTransactions[[#This Row],[Total_Amount]]-(tblTransactions[[#This Row],[Cost_Prices]]*tblTransactions[[#This Row],[Quantity]]*(1-tblTransactions[[#This Row],[Discount]]))</f>
        <v>2529.8050000000003</v>
      </c>
      <c r="N844" s="3">
        <f>tblTransactions[[#This Row],[Profit]]/tblTransactions[[#This Row],[Total_Amount]]</f>
        <v>0.4367319916168616</v>
      </c>
      <c r="O844" t="str">
        <f>TEXT(tblTransactions[[#This Row],[Date]], "MMM-YYYY")</f>
        <v>Jul-2023</v>
      </c>
      <c r="P844" t="str">
        <f>"Q"&amp;ROUNDUP(MONTH(tblTransactions[[#This Row],[Date]])/3,0)&amp;"-"&amp;YEAR(tblTransactions[[#This Row],[Date]])</f>
        <v>Q3-2023</v>
      </c>
      <c r="Q844">
        <f>YEAR(tblTransactions[[#This Row],[Date]])</f>
        <v>2023</v>
      </c>
      <c r="R844" t="str">
        <f>TEXT(tblTransactions[[#This Row],[Date]],"DDDD")</f>
        <v>Tuesday</v>
      </c>
      <c r="S844">
        <f>MONTH(tblTransactions[[#This Row],[Date]])</f>
        <v>7</v>
      </c>
      <c r="T844" t="str">
        <f>VLOOKUP(E844, Products!$A:$B,2,0)</f>
        <v>Laptops Ele-1</v>
      </c>
      <c r="U844" t="str">
        <f>VLOOKUP(E844,Products!$A:$C,3,0)</f>
        <v>Electronics</v>
      </c>
      <c r="V844" t="str">
        <f>VLOOKUP(E844,Products!$A:$D,4,0)</f>
        <v>Laptops</v>
      </c>
      <c r="W844" t="str">
        <f>VLOOKUP(D844,Customers!$A:$C,3,0)</f>
        <v>B2C</v>
      </c>
      <c r="X844" t="str">
        <f>VLOOKUP(C844,Sales_Representatives!$A:$B,2,0)</f>
        <v>Emily Hernandez</v>
      </c>
    </row>
    <row r="845" spans="1:24" x14ac:dyDescent="0.3">
      <c r="A845" t="s">
        <v>1183</v>
      </c>
      <c r="B845" t="s">
        <v>1182</v>
      </c>
      <c r="C845" t="s">
        <v>31</v>
      </c>
      <c r="D845" t="s">
        <v>115</v>
      </c>
      <c r="E845" t="s">
        <v>370</v>
      </c>
      <c r="F845">
        <v>1</v>
      </c>
      <c r="G845">
        <v>238.95</v>
      </c>
      <c r="H845">
        <v>0.02</v>
      </c>
      <c r="I845" s="4">
        <v>234.17</v>
      </c>
      <c r="J845" t="s">
        <v>34</v>
      </c>
      <c r="K845" t="s">
        <v>39</v>
      </c>
      <c r="L845" s="4">
        <f>VLOOKUP(tblTransactions[[#This Row],[Product_ID]],tblProducts[],5,FALSE)</f>
        <v>136.6</v>
      </c>
      <c r="M845" s="4">
        <f>tblTransactions[[#This Row],[Total_Amount]]-(tblTransactions[[#This Row],[Cost_Prices]]*tblTransactions[[#This Row],[Quantity]]*(1-tblTransactions[[#This Row],[Discount]]))</f>
        <v>100.30199999999999</v>
      </c>
      <c r="N845" s="3">
        <f>tblTransactions[[#This Row],[Profit]]/tblTransactions[[#This Row],[Total_Amount]]</f>
        <v>0.42832984583849337</v>
      </c>
      <c r="O845" t="str">
        <f>TEXT(tblTransactions[[#This Row],[Date]], "MMM-YYYY")</f>
        <v>Jul-2023</v>
      </c>
      <c r="P845" t="str">
        <f>"Q"&amp;ROUNDUP(MONTH(tblTransactions[[#This Row],[Date]])/3,0)&amp;"-"&amp;YEAR(tblTransactions[[#This Row],[Date]])</f>
        <v>Q3-2023</v>
      </c>
      <c r="Q845">
        <f>YEAR(tblTransactions[[#This Row],[Date]])</f>
        <v>2023</v>
      </c>
      <c r="R845" t="str">
        <f>TEXT(tblTransactions[[#This Row],[Date]],"DDDD")</f>
        <v>Tuesday</v>
      </c>
      <c r="S845">
        <f>MONTH(tblTransactions[[#This Row],[Date]])</f>
        <v>7</v>
      </c>
      <c r="T845" t="str">
        <f>VLOOKUP(E845, Products!$A:$B,2,0)</f>
        <v>Cables Acc-1</v>
      </c>
      <c r="U845" t="str">
        <f>VLOOKUP(E845,Products!$A:$C,3,0)</f>
        <v>Accessories</v>
      </c>
      <c r="V845" t="str">
        <f>VLOOKUP(E845,Products!$A:$D,4,0)</f>
        <v>Cables</v>
      </c>
      <c r="W845" t="str">
        <f>VLOOKUP(D845,Customers!$A:$C,3,0)</f>
        <v>B2C</v>
      </c>
      <c r="X845" t="str">
        <f>VLOOKUP(C845,Sales_Representatives!$A:$B,2,0)</f>
        <v>Thomas Martinez</v>
      </c>
    </row>
    <row r="846" spans="1:24" x14ac:dyDescent="0.3">
      <c r="A846" t="s">
        <v>1184</v>
      </c>
      <c r="B846" t="s">
        <v>1185</v>
      </c>
      <c r="C846" t="s">
        <v>31</v>
      </c>
      <c r="D846" t="s">
        <v>124</v>
      </c>
      <c r="E846" t="s">
        <v>38</v>
      </c>
      <c r="F846">
        <v>14</v>
      </c>
      <c r="G846">
        <v>581.47</v>
      </c>
      <c r="H846">
        <v>0.17</v>
      </c>
      <c r="I846" s="4">
        <v>6756.68</v>
      </c>
      <c r="J846" t="s">
        <v>34</v>
      </c>
      <c r="K846" t="s">
        <v>22</v>
      </c>
      <c r="L846" s="4">
        <f>VLOOKUP(tblTransactions[[#This Row],[Product_ID]],tblProducts[],5,FALSE)</f>
        <v>372.07</v>
      </c>
      <c r="M846" s="4">
        <f>tblTransactions[[#This Row],[Total_Amount]]-(tblTransactions[[#This Row],[Cost_Prices]]*tblTransactions[[#This Row],[Quantity]]*(1-tblTransactions[[#This Row],[Discount]]))</f>
        <v>2433.2266000000009</v>
      </c>
      <c r="N846" s="3">
        <f>tblTransactions[[#This Row],[Profit]]/tblTransactions[[#This Row],[Total_Amount]]</f>
        <v>0.36012162778169171</v>
      </c>
      <c r="O846" t="str">
        <f>TEXT(tblTransactions[[#This Row],[Date]], "MMM-YYYY")</f>
        <v>Jul-2023</v>
      </c>
      <c r="P846" t="str">
        <f>"Q"&amp;ROUNDUP(MONTH(tblTransactions[[#This Row],[Date]])/3,0)&amp;"-"&amp;YEAR(tblTransactions[[#This Row],[Date]])</f>
        <v>Q3-2023</v>
      </c>
      <c r="Q846">
        <f>YEAR(tblTransactions[[#This Row],[Date]])</f>
        <v>2023</v>
      </c>
      <c r="R846" t="str">
        <f>TEXT(tblTransactions[[#This Row],[Date]],"DDDD")</f>
        <v>Wednesday</v>
      </c>
      <c r="S846">
        <f>MONTH(tblTransactions[[#This Row],[Date]])</f>
        <v>7</v>
      </c>
      <c r="T846" t="str">
        <f>VLOOKUP(E846, Products!$A:$B,2,0)</f>
        <v>Storage Fur-3</v>
      </c>
      <c r="U846" t="str">
        <f>VLOOKUP(E846,Products!$A:$C,3,0)</f>
        <v>Furniture</v>
      </c>
      <c r="V846" t="str">
        <f>VLOOKUP(E846,Products!$A:$D,4,0)</f>
        <v>Storage</v>
      </c>
      <c r="W846" t="str">
        <f>VLOOKUP(D846,Customers!$A:$C,3,0)</f>
        <v>B2B</v>
      </c>
      <c r="X846" t="str">
        <f>VLOOKUP(C846,Sales_Representatives!$A:$B,2,0)</f>
        <v>Thomas Martinez</v>
      </c>
    </row>
    <row r="847" spans="1:24" x14ac:dyDescent="0.3">
      <c r="A847" t="s">
        <v>1186</v>
      </c>
      <c r="B847" t="s">
        <v>1185</v>
      </c>
      <c r="C847" t="s">
        <v>107</v>
      </c>
      <c r="D847" t="s">
        <v>42</v>
      </c>
      <c r="E847" t="s">
        <v>102</v>
      </c>
      <c r="F847">
        <v>5</v>
      </c>
      <c r="G847">
        <v>1097.75</v>
      </c>
      <c r="H847">
        <v>0.02</v>
      </c>
      <c r="I847" s="4">
        <v>5378.98</v>
      </c>
      <c r="J847" t="s">
        <v>109</v>
      </c>
      <c r="K847" t="s">
        <v>39</v>
      </c>
      <c r="L847" s="4">
        <f>VLOOKUP(tblTransactions[[#This Row],[Product_ID]],tblProducts[],5,FALSE)</f>
        <v>680.12</v>
      </c>
      <c r="M847" s="4">
        <f>tblTransactions[[#This Row],[Total_Amount]]-(tblTransactions[[#This Row],[Cost_Prices]]*tblTransactions[[#This Row],[Quantity]]*(1-tblTransactions[[#This Row],[Discount]]))</f>
        <v>2046.3919999999998</v>
      </c>
      <c r="N847" s="3">
        <f>tblTransactions[[#This Row],[Profit]]/tblTransactions[[#This Row],[Total_Amount]]</f>
        <v>0.38044238870566538</v>
      </c>
      <c r="O847" t="str">
        <f>TEXT(tblTransactions[[#This Row],[Date]], "MMM-YYYY")</f>
        <v>Jul-2023</v>
      </c>
      <c r="P847" t="str">
        <f>"Q"&amp;ROUNDUP(MONTH(tblTransactions[[#This Row],[Date]])/3,0)&amp;"-"&amp;YEAR(tblTransactions[[#This Row],[Date]])</f>
        <v>Q3-2023</v>
      </c>
      <c r="Q847">
        <f>YEAR(tblTransactions[[#This Row],[Date]])</f>
        <v>2023</v>
      </c>
      <c r="R847" t="str">
        <f>TEXT(tblTransactions[[#This Row],[Date]],"DDDD")</f>
        <v>Wednesday</v>
      </c>
      <c r="S847">
        <f>MONTH(tblTransactions[[#This Row],[Date]])</f>
        <v>7</v>
      </c>
      <c r="T847" t="str">
        <f>VLOOKUP(E847, Products!$A:$B,2,0)</f>
        <v>Storage Fur-4</v>
      </c>
      <c r="U847" t="str">
        <f>VLOOKUP(E847,Products!$A:$C,3,0)</f>
        <v>Furniture</v>
      </c>
      <c r="V847" t="str">
        <f>VLOOKUP(E847,Products!$A:$D,4,0)</f>
        <v>Storage</v>
      </c>
      <c r="W847" t="str">
        <f>VLOOKUP(D847,Customers!$A:$C,3,0)</f>
        <v>B2C</v>
      </c>
      <c r="X847" t="str">
        <f>VLOOKUP(C847,Sales_Representatives!$A:$B,2,0)</f>
        <v>Jennifer Brown</v>
      </c>
    </row>
    <row r="848" spans="1:24" x14ac:dyDescent="0.3">
      <c r="A848" t="s">
        <v>1187</v>
      </c>
      <c r="B848" t="s">
        <v>1188</v>
      </c>
      <c r="C848" t="s">
        <v>127</v>
      </c>
      <c r="D848" t="s">
        <v>83</v>
      </c>
      <c r="E848" t="s">
        <v>148</v>
      </c>
      <c r="F848">
        <v>4</v>
      </c>
      <c r="G848">
        <v>20.420000000000002</v>
      </c>
      <c r="H848">
        <v>0.02</v>
      </c>
      <c r="I848" s="4">
        <v>80.05</v>
      </c>
      <c r="J848" t="s">
        <v>109</v>
      </c>
      <c r="K848" t="s">
        <v>35</v>
      </c>
      <c r="L848" s="4">
        <f>VLOOKUP(tblTransactions[[#This Row],[Product_ID]],tblProducts[],5,FALSE)</f>
        <v>9.56</v>
      </c>
      <c r="M848" s="4">
        <f>tblTransactions[[#This Row],[Total_Amount]]-(tblTransactions[[#This Row],[Cost_Prices]]*tblTransactions[[#This Row],[Quantity]]*(1-tblTransactions[[#This Row],[Discount]]))</f>
        <v>42.574799999999996</v>
      </c>
      <c r="N848" s="3">
        <f>tblTransactions[[#This Row],[Profit]]/tblTransactions[[#This Row],[Total_Amount]]</f>
        <v>0.53185259212991876</v>
      </c>
      <c r="O848" t="str">
        <f>TEXT(tblTransactions[[#This Row],[Date]], "MMM-YYYY")</f>
        <v>Jul-2023</v>
      </c>
      <c r="P848" t="str">
        <f>"Q"&amp;ROUNDUP(MONTH(tblTransactions[[#This Row],[Date]])/3,0)&amp;"-"&amp;YEAR(tblTransactions[[#This Row],[Date]])</f>
        <v>Q3-2023</v>
      </c>
      <c r="Q848">
        <f>YEAR(tblTransactions[[#This Row],[Date]])</f>
        <v>2023</v>
      </c>
      <c r="R848" t="str">
        <f>TEXT(tblTransactions[[#This Row],[Date]],"DDDD")</f>
        <v>Thursday</v>
      </c>
      <c r="S848">
        <f>MONTH(tblTransactions[[#This Row],[Date]])</f>
        <v>7</v>
      </c>
      <c r="T848" t="str">
        <f>VLOOKUP(E848, Products!$A:$B,2,0)</f>
        <v>Cases Acc-3</v>
      </c>
      <c r="U848" t="str">
        <f>VLOOKUP(E848,Products!$A:$C,3,0)</f>
        <v>Accessories</v>
      </c>
      <c r="V848" t="str">
        <f>VLOOKUP(E848,Products!$A:$D,4,0)</f>
        <v>Cases</v>
      </c>
      <c r="W848" t="str">
        <f>VLOOKUP(D848,Customers!$A:$C,3,0)</f>
        <v>Small Business</v>
      </c>
      <c r="X848" t="str">
        <f>VLOOKUP(C848,Sales_Representatives!$A:$B,2,0)</f>
        <v>Emily Hernandez</v>
      </c>
    </row>
    <row r="849" spans="1:24" x14ac:dyDescent="0.3">
      <c r="A849" t="s">
        <v>1189</v>
      </c>
      <c r="B849" t="s">
        <v>1188</v>
      </c>
      <c r="C849" t="s">
        <v>63</v>
      </c>
      <c r="D849" t="s">
        <v>64</v>
      </c>
      <c r="E849" t="s">
        <v>587</v>
      </c>
      <c r="F849">
        <v>5</v>
      </c>
      <c r="G849">
        <v>58.54</v>
      </c>
      <c r="H849">
        <v>0.06</v>
      </c>
      <c r="I849" s="4">
        <v>275.14</v>
      </c>
      <c r="J849" t="s">
        <v>21</v>
      </c>
      <c r="K849" t="s">
        <v>48</v>
      </c>
      <c r="L849" s="4">
        <f>VLOOKUP(tblTransactions[[#This Row],[Product_ID]],tblProducts[],5,FALSE)</f>
        <v>25.43</v>
      </c>
      <c r="M849" s="4">
        <f>tblTransactions[[#This Row],[Total_Amount]]-(tblTransactions[[#This Row],[Cost_Prices]]*tblTransactions[[#This Row],[Quantity]]*(1-tblTransactions[[#This Row],[Discount]]))</f>
        <v>155.61899999999997</v>
      </c>
      <c r="N849" s="3">
        <f>tblTransactions[[#This Row],[Profit]]/tblTransactions[[#This Row],[Total_Amount]]</f>
        <v>0.56559933124954564</v>
      </c>
      <c r="O849" t="str">
        <f>TEXT(tblTransactions[[#This Row],[Date]], "MMM-YYYY")</f>
        <v>Jul-2023</v>
      </c>
      <c r="P849" t="str">
        <f>"Q"&amp;ROUNDUP(MONTH(tblTransactions[[#This Row],[Date]])/3,0)&amp;"-"&amp;YEAR(tblTransactions[[#This Row],[Date]])</f>
        <v>Q3-2023</v>
      </c>
      <c r="Q849">
        <f>YEAR(tblTransactions[[#This Row],[Date]])</f>
        <v>2023</v>
      </c>
      <c r="R849" t="str">
        <f>TEXT(tblTransactions[[#This Row],[Date]],"DDDD")</f>
        <v>Thursday</v>
      </c>
      <c r="S849">
        <f>MONTH(tblTransactions[[#This Row],[Date]])</f>
        <v>7</v>
      </c>
      <c r="T849" t="str">
        <f>VLOOKUP(E849, Products!$A:$B,2,0)</f>
        <v>Paper Off-2</v>
      </c>
      <c r="U849" t="str">
        <f>VLOOKUP(E849,Products!$A:$C,3,0)</f>
        <v>Office Supplies</v>
      </c>
      <c r="V849" t="str">
        <f>VLOOKUP(E849,Products!$A:$D,4,0)</f>
        <v>Paper</v>
      </c>
      <c r="W849" t="str">
        <f>VLOOKUP(D849,Customers!$A:$C,3,0)</f>
        <v>Small Business</v>
      </c>
      <c r="X849" t="str">
        <f>VLOOKUP(C849,Sales_Representatives!$A:$B,2,0)</f>
        <v>Richard Wilson</v>
      </c>
    </row>
    <row r="850" spans="1:24" x14ac:dyDescent="0.3">
      <c r="A850" t="s">
        <v>1190</v>
      </c>
      <c r="B850" t="s">
        <v>1188</v>
      </c>
      <c r="C850" t="s">
        <v>31</v>
      </c>
      <c r="D850" t="s">
        <v>132</v>
      </c>
      <c r="E850" t="s">
        <v>152</v>
      </c>
      <c r="F850">
        <v>3</v>
      </c>
      <c r="G850">
        <v>859.93</v>
      </c>
      <c r="H850">
        <v>0.05</v>
      </c>
      <c r="I850" s="4">
        <v>2450.8000000000002</v>
      </c>
      <c r="J850" t="s">
        <v>34</v>
      </c>
      <c r="K850" t="s">
        <v>39</v>
      </c>
      <c r="L850" s="4">
        <f>VLOOKUP(tblTransactions[[#This Row],[Product_ID]],tblProducts[],5,FALSE)</f>
        <v>579.79</v>
      </c>
      <c r="M850" s="4">
        <f>tblTransactions[[#This Row],[Total_Amount]]-(tblTransactions[[#This Row],[Cost_Prices]]*tblTransactions[[#This Row],[Quantity]]*(1-tblTransactions[[#This Row],[Discount]]))</f>
        <v>798.39850000000047</v>
      </c>
      <c r="N850" s="3">
        <f>tblTransactions[[#This Row],[Profit]]/tblTransactions[[#This Row],[Total_Amount]]</f>
        <v>0.32577056471356308</v>
      </c>
      <c r="O850" t="str">
        <f>TEXT(tblTransactions[[#This Row],[Date]], "MMM-YYYY")</f>
        <v>Jul-2023</v>
      </c>
      <c r="P850" t="str">
        <f>"Q"&amp;ROUNDUP(MONTH(tblTransactions[[#This Row],[Date]])/3,0)&amp;"-"&amp;YEAR(tblTransactions[[#This Row],[Date]])</f>
        <v>Q3-2023</v>
      </c>
      <c r="Q850">
        <f>YEAR(tblTransactions[[#This Row],[Date]])</f>
        <v>2023</v>
      </c>
      <c r="R850" t="str">
        <f>TEXT(tblTransactions[[#This Row],[Date]],"DDDD")</f>
        <v>Thursday</v>
      </c>
      <c r="S850">
        <f>MONTH(tblTransactions[[#This Row],[Date]])</f>
        <v>7</v>
      </c>
      <c r="T850" t="str">
        <f>VLOOKUP(E850, Products!$A:$B,2,0)</f>
        <v>Phones Ele-4</v>
      </c>
      <c r="U850" t="str">
        <f>VLOOKUP(E850,Products!$A:$C,3,0)</f>
        <v>Electronics</v>
      </c>
      <c r="V850" t="str">
        <f>VLOOKUP(E850,Products!$A:$D,4,0)</f>
        <v>Phones</v>
      </c>
      <c r="W850" t="str">
        <f>VLOOKUP(D850,Customers!$A:$C,3,0)</f>
        <v>B2B</v>
      </c>
      <c r="X850" t="str">
        <f>VLOOKUP(C850,Sales_Representatives!$A:$B,2,0)</f>
        <v>Thomas Martinez</v>
      </c>
    </row>
    <row r="851" spans="1:24" x14ac:dyDescent="0.3">
      <c r="A851" t="s">
        <v>1191</v>
      </c>
      <c r="B851" t="s">
        <v>1192</v>
      </c>
      <c r="C851" t="s">
        <v>75</v>
      </c>
      <c r="D851" t="s">
        <v>527</v>
      </c>
      <c r="E851" t="s">
        <v>159</v>
      </c>
      <c r="F851">
        <v>1</v>
      </c>
      <c r="G851">
        <v>78.09</v>
      </c>
      <c r="H851">
        <v>0.04</v>
      </c>
      <c r="I851" s="4">
        <v>74.97</v>
      </c>
      <c r="J851" t="s">
        <v>44</v>
      </c>
      <c r="K851" t="s">
        <v>39</v>
      </c>
      <c r="L851" s="4">
        <f>VLOOKUP(tblTransactions[[#This Row],[Product_ID]],tblProducts[],5,FALSE)</f>
        <v>47.01</v>
      </c>
      <c r="M851" s="4">
        <f>tblTransactions[[#This Row],[Total_Amount]]-(tblTransactions[[#This Row],[Cost_Prices]]*tblTransactions[[#This Row],[Quantity]]*(1-tblTransactions[[#This Row],[Discount]]))</f>
        <v>29.840400000000002</v>
      </c>
      <c r="N851" s="3">
        <f>tblTransactions[[#This Row],[Profit]]/tblTransactions[[#This Row],[Total_Amount]]</f>
        <v>0.39803121248499401</v>
      </c>
      <c r="O851" t="str">
        <f>TEXT(tblTransactions[[#This Row],[Date]], "MMM-YYYY")</f>
        <v>Jul-2023</v>
      </c>
      <c r="P851" t="str">
        <f>"Q"&amp;ROUNDUP(MONTH(tblTransactions[[#This Row],[Date]])/3,0)&amp;"-"&amp;YEAR(tblTransactions[[#This Row],[Date]])</f>
        <v>Q3-2023</v>
      </c>
      <c r="Q851">
        <f>YEAR(tblTransactions[[#This Row],[Date]])</f>
        <v>2023</v>
      </c>
      <c r="R851" t="str">
        <f>TEXT(tblTransactions[[#This Row],[Date]],"DDDD")</f>
        <v>Friday</v>
      </c>
      <c r="S851">
        <f>MONTH(tblTransactions[[#This Row],[Date]])</f>
        <v>7</v>
      </c>
      <c r="T851" t="str">
        <f>VLOOKUP(E851, Products!$A:$B,2,0)</f>
        <v>Cables Acc-4</v>
      </c>
      <c r="U851" t="str">
        <f>VLOOKUP(E851,Products!$A:$C,3,0)</f>
        <v>Accessories</v>
      </c>
      <c r="V851" t="str">
        <f>VLOOKUP(E851,Products!$A:$D,4,0)</f>
        <v>Cables</v>
      </c>
      <c r="W851" t="str">
        <f>VLOOKUP(D851,Customers!$A:$C,3,0)</f>
        <v>B2C</v>
      </c>
      <c r="X851" t="str">
        <f>VLOOKUP(C851,Sales_Representatives!$A:$B,2,0)</f>
        <v>Jessica Anderson</v>
      </c>
    </row>
    <row r="852" spans="1:24" x14ac:dyDescent="0.3">
      <c r="A852" t="s">
        <v>1193</v>
      </c>
      <c r="B852" t="s">
        <v>1192</v>
      </c>
      <c r="C852" t="s">
        <v>41</v>
      </c>
      <c r="D852" t="s">
        <v>47</v>
      </c>
      <c r="E852" t="s">
        <v>704</v>
      </c>
      <c r="F852">
        <v>3</v>
      </c>
      <c r="G852">
        <v>291.81</v>
      </c>
      <c r="H852">
        <v>0.08</v>
      </c>
      <c r="I852" s="4">
        <v>805.4</v>
      </c>
      <c r="J852" t="s">
        <v>44</v>
      </c>
      <c r="K852" t="s">
        <v>35</v>
      </c>
      <c r="L852" s="4">
        <f>VLOOKUP(tblTransactions[[#This Row],[Product_ID]],tblProducts[],5,FALSE)</f>
        <v>123.61</v>
      </c>
      <c r="M852" s="4">
        <f>tblTransactions[[#This Row],[Total_Amount]]-(tblTransactions[[#This Row],[Cost_Prices]]*tblTransactions[[#This Row],[Quantity]]*(1-tblTransactions[[#This Row],[Discount]]))</f>
        <v>464.2364</v>
      </c>
      <c r="N852" s="3">
        <f>tblTransactions[[#This Row],[Profit]]/tblTransactions[[#This Row],[Total_Amount]]</f>
        <v>0.57640476781723371</v>
      </c>
      <c r="O852" t="str">
        <f>TEXT(tblTransactions[[#This Row],[Date]], "MMM-YYYY")</f>
        <v>Jul-2023</v>
      </c>
      <c r="P852" t="str">
        <f>"Q"&amp;ROUNDUP(MONTH(tblTransactions[[#This Row],[Date]])/3,0)&amp;"-"&amp;YEAR(tblTransactions[[#This Row],[Date]])</f>
        <v>Q3-2023</v>
      </c>
      <c r="Q852">
        <f>YEAR(tblTransactions[[#This Row],[Date]])</f>
        <v>2023</v>
      </c>
      <c r="R852" t="str">
        <f>TEXT(tblTransactions[[#This Row],[Date]],"DDDD")</f>
        <v>Friday</v>
      </c>
      <c r="S852">
        <f>MONTH(tblTransactions[[#This Row],[Date]])</f>
        <v>7</v>
      </c>
      <c r="T852" t="str">
        <f>VLOOKUP(E852, Products!$A:$B,2,0)</f>
        <v>Keyboards Acc-4</v>
      </c>
      <c r="U852" t="str">
        <f>VLOOKUP(E852,Products!$A:$C,3,0)</f>
        <v>Accessories</v>
      </c>
      <c r="V852" t="str">
        <f>VLOOKUP(E852,Products!$A:$D,4,0)</f>
        <v>Keyboards</v>
      </c>
      <c r="W852" t="str">
        <f>VLOOKUP(D852,Customers!$A:$C,3,0)</f>
        <v>B2C</v>
      </c>
      <c r="X852" t="str">
        <f>VLOOKUP(C852,Sales_Representatives!$A:$B,2,0)</f>
        <v>Robert Jones</v>
      </c>
    </row>
    <row r="853" spans="1:24" x14ac:dyDescent="0.3">
      <c r="A853" t="s">
        <v>1194</v>
      </c>
      <c r="B853" t="s">
        <v>1192</v>
      </c>
      <c r="C853" t="s">
        <v>19</v>
      </c>
      <c r="D853" t="s">
        <v>50</v>
      </c>
      <c r="E853" t="s">
        <v>299</v>
      </c>
      <c r="F853">
        <v>5</v>
      </c>
      <c r="G853">
        <v>963.44</v>
      </c>
      <c r="H853">
        <v>0.05</v>
      </c>
      <c r="I853" s="4">
        <v>4576.34</v>
      </c>
      <c r="J853" t="s">
        <v>21</v>
      </c>
      <c r="K853" t="s">
        <v>22</v>
      </c>
      <c r="L853" s="4">
        <f>VLOOKUP(tblTransactions[[#This Row],[Product_ID]],tblProducts[],5,FALSE)</f>
        <v>578.96</v>
      </c>
      <c r="M853" s="4">
        <f>tblTransactions[[#This Row],[Total_Amount]]-(tblTransactions[[#This Row],[Cost_Prices]]*tblTransactions[[#This Row],[Quantity]]*(1-tblTransactions[[#This Row],[Discount]]))</f>
        <v>1826.2800000000002</v>
      </c>
      <c r="N853" s="3">
        <f>tblTransactions[[#This Row],[Profit]]/tblTransactions[[#This Row],[Total_Amount]]</f>
        <v>0.39906999916964214</v>
      </c>
      <c r="O853" t="str">
        <f>TEXT(tblTransactions[[#This Row],[Date]], "MMM-YYYY")</f>
        <v>Jul-2023</v>
      </c>
      <c r="P853" t="str">
        <f>"Q"&amp;ROUNDUP(MONTH(tblTransactions[[#This Row],[Date]])/3,0)&amp;"-"&amp;YEAR(tblTransactions[[#This Row],[Date]])</f>
        <v>Q3-2023</v>
      </c>
      <c r="Q853">
        <f>YEAR(tblTransactions[[#This Row],[Date]])</f>
        <v>2023</v>
      </c>
      <c r="R853" t="str">
        <f>TEXT(tblTransactions[[#This Row],[Date]],"DDDD")</f>
        <v>Friday</v>
      </c>
      <c r="S853">
        <f>MONTH(tblTransactions[[#This Row],[Date]])</f>
        <v>7</v>
      </c>
      <c r="T853" t="str">
        <f>VLOOKUP(E853, Products!$A:$B,2,0)</f>
        <v>Chairs Fur-4</v>
      </c>
      <c r="U853" t="str">
        <f>VLOOKUP(E853,Products!$A:$C,3,0)</f>
        <v>Furniture</v>
      </c>
      <c r="V853" t="str">
        <f>VLOOKUP(E853,Products!$A:$D,4,0)</f>
        <v>Chairs</v>
      </c>
      <c r="W853" t="str">
        <f>VLOOKUP(D853,Customers!$A:$C,3,0)</f>
        <v>Small Business</v>
      </c>
      <c r="X853" t="str">
        <f>VLOOKUP(C853,Sales_Representatives!$A:$B,2,0)</f>
        <v>Robert Jones</v>
      </c>
    </row>
    <row r="854" spans="1:24" x14ac:dyDescent="0.3">
      <c r="A854" t="s">
        <v>1195</v>
      </c>
      <c r="B854" t="s">
        <v>1192</v>
      </c>
      <c r="C854" t="s">
        <v>13</v>
      </c>
      <c r="D854" t="s">
        <v>14</v>
      </c>
      <c r="E854" t="s">
        <v>96</v>
      </c>
      <c r="F854">
        <v>2</v>
      </c>
      <c r="G854">
        <v>751.9</v>
      </c>
      <c r="H854">
        <v>0.04</v>
      </c>
      <c r="I854" s="4">
        <v>1443.65</v>
      </c>
      <c r="J854" t="s">
        <v>16</v>
      </c>
      <c r="K854" t="s">
        <v>17</v>
      </c>
      <c r="L854" s="4">
        <f>VLOOKUP(tblTransactions[[#This Row],[Product_ID]],tblProducts[],5,FALSE)</f>
        <v>570.29</v>
      </c>
      <c r="M854" s="4">
        <f>tblTransactions[[#This Row],[Total_Amount]]-(tblTransactions[[#This Row],[Cost_Prices]]*tblTransactions[[#This Row],[Quantity]]*(1-tblTransactions[[#This Row],[Discount]]))</f>
        <v>348.69320000000016</v>
      </c>
      <c r="N854" s="3">
        <f>tblTransactions[[#This Row],[Profit]]/tblTransactions[[#This Row],[Total_Amount]]</f>
        <v>0.24153582932151155</v>
      </c>
      <c r="O854" t="str">
        <f>TEXT(tblTransactions[[#This Row],[Date]], "MMM-YYYY")</f>
        <v>Jul-2023</v>
      </c>
      <c r="P854" t="str">
        <f>"Q"&amp;ROUNDUP(MONTH(tblTransactions[[#This Row],[Date]])/3,0)&amp;"-"&amp;YEAR(tblTransactions[[#This Row],[Date]])</f>
        <v>Q3-2023</v>
      </c>
      <c r="Q854">
        <f>YEAR(tblTransactions[[#This Row],[Date]])</f>
        <v>2023</v>
      </c>
      <c r="R854" t="str">
        <f>TEXT(tblTransactions[[#This Row],[Date]],"DDDD")</f>
        <v>Friday</v>
      </c>
      <c r="S854">
        <f>MONTH(tblTransactions[[#This Row],[Date]])</f>
        <v>7</v>
      </c>
      <c r="T854" t="str">
        <f>VLOOKUP(E854, Products!$A:$B,2,0)</f>
        <v>Routers Tec-1</v>
      </c>
      <c r="U854" t="str">
        <f>VLOOKUP(E854,Products!$A:$C,3,0)</f>
        <v>Technology</v>
      </c>
      <c r="V854" t="str">
        <f>VLOOKUP(E854,Products!$A:$D,4,0)</f>
        <v>Routers</v>
      </c>
      <c r="W854" t="str">
        <f>VLOOKUP(D854,Customers!$A:$C,3,0)</f>
        <v>B2B</v>
      </c>
      <c r="X854" t="str">
        <f>VLOOKUP(C854,Sales_Representatives!$A:$B,2,0)</f>
        <v>Jennifer Rodriguez</v>
      </c>
    </row>
    <row r="855" spans="1:24" x14ac:dyDescent="0.3">
      <c r="A855" t="s">
        <v>1196</v>
      </c>
      <c r="B855" t="s">
        <v>1192</v>
      </c>
      <c r="C855" t="s">
        <v>63</v>
      </c>
      <c r="D855" t="s">
        <v>24</v>
      </c>
      <c r="E855" t="s">
        <v>450</v>
      </c>
      <c r="F855">
        <v>6</v>
      </c>
      <c r="G855">
        <v>2083.92</v>
      </c>
      <c r="H855">
        <v>0.1</v>
      </c>
      <c r="I855" s="4">
        <v>11253.17</v>
      </c>
      <c r="J855" t="s">
        <v>21</v>
      </c>
      <c r="K855" t="s">
        <v>35</v>
      </c>
      <c r="L855" s="4">
        <f>VLOOKUP(tblTransactions[[#This Row],[Product_ID]],tblProducts[],5,FALSE)</f>
        <v>1425.78</v>
      </c>
      <c r="M855" s="4">
        <f>tblTransactions[[#This Row],[Total_Amount]]-(tblTransactions[[#This Row],[Cost_Prices]]*tblTransactions[[#This Row],[Quantity]]*(1-tblTransactions[[#This Row],[Discount]]))</f>
        <v>3553.9579999999996</v>
      </c>
      <c r="N855" s="3">
        <f>tblTransactions[[#This Row],[Profit]]/tblTransactions[[#This Row],[Total_Amount]]</f>
        <v>0.31581838717445837</v>
      </c>
      <c r="O855" t="str">
        <f>TEXT(tblTransactions[[#This Row],[Date]], "MMM-YYYY")</f>
        <v>Jul-2023</v>
      </c>
      <c r="P855" t="str">
        <f>"Q"&amp;ROUNDUP(MONTH(tblTransactions[[#This Row],[Date]])/3,0)&amp;"-"&amp;YEAR(tblTransactions[[#This Row],[Date]])</f>
        <v>Q3-2023</v>
      </c>
      <c r="Q855">
        <f>YEAR(tblTransactions[[#This Row],[Date]])</f>
        <v>2023</v>
      </c>
      <c r="R855" t="str">
        <f>TEXT(tblTransactions[[#This Row],[Date]],"DDDD")</f>
        <v>Friday</v>
      </c>
      <c r="S855">
        <f>MONTH(tblTransactions[[#This Row],[Date]])</f>
        <v>7</v>
      </c>
      <c r="T855" t="str">
        <f>VLOOKUP(E855, Products!$A:$B,2,0)</f>
        <v>Monitors Tec-4</v>
      </c>
      <c r="U855" t="str">
        <f>VLOOKUP(E855,Products!$A:$C,3,0)</f>
        <v>Technology</v>
      </c>
      <c r="V855" t="str">
        <f>VLOOKUP(E855,Products!$A:$D,4,0)</f>
        <v>Monitors</v>
      </c>
      <c r="W855" t="str">
        <f>VLOOKUP(D855,Customers!$A:$C,3,0)</f>
        <v>B2B</v>
      </c>
      <c r="X855" t="str">
        <f>VLOOKUP(C855,Sales_Representatives!$A:$B,2,0)</f>
        <v>Richard Wilson</v>
      </c>
    </row>
    <row r="856" spans="1:24" x14ac:dyDescent="0.3">
      <c r="A856" t="s">
        <v>1197</v>
      </c>
      <c r="B856" t="s">
        <v>1192</v>
      </c>
      <c r="C856" t="s">
        <v>41</v>
      </c>
      <c r="D856" t="s">
        <v>351</v>
      </c>
      <c r="E856" t="s">
        <v>283</v>
      </c>
      <c r="F856">
        <v>5</v>
      </c>
      <c r="G856">
        <v>456.88</v>
      </c>
      <c r="H856">
        <v>0.02</v>
      </c>
      <c r="I856" s="4">
        <v>2238.71</v>
      </c>
      <c r="J856" t="s">
        <v>44</v>
      </c>
      <c r="K856" t="s">
        <v>35</v>
      </c>
      <c r="L856" s="4">
        <f>VLOOKUP(tblTransactions[[#This Row],[Product_ID]],tblProducts[],5,FALSE)</f>
        <v>313.23</v>
      </c>
      <c r="M856" s="4">
        <f>tblTransactions[[#This Row],[Total_Amount]]-(tblTransactions[[#This Row],[Cost_Prices]]*tblTransactions[[#This Row],[Quantity]]*(1-tblTransactions[[#This Row],[Discount]]))</f>
        <v>703.88300000000004</v>
      </c>
      <c r="N856" s="3">
        <f>tblTransactions[[#This Row],[Profit]]/tblTransactions[[#This Row],[Total_Amount]]</f>
        <v>0.31441455123709638</v>
      </c>
      <c r="O856" t="str">
        <f>TEXT(tblTransactions[[#This Row],[Date]], "MMM-YYYY")</f>
        <v>Jul-2023</v>
      </c>
      <c r="P856" t="str">
        <f>"Q"&amp;ROUNDUP(MONTH(tblTransactions[[#This Row],[Date]])/3,0)&amp;"-"&amp;YEAR(tblTransactions[[#This Row],[Date]])</f>
        <v>Q3-2023</v>
      </c>
      <c r="Q856">
        <f>YEAR(tblTransactions[[#This Row],[Date]])</f>
        <v>2023</v>
      </c>
      <c r="R856" t="str">
        <f>TEXT(tblTransactions[[#This Row],[Date]],"DDDD")</f>
        <v>Friday</v>
      </c>
      <c r="S856">
        <f>MONTH(tblTransactions[[#This Row],[Date]])</f>
        <v>7</v>
      </c>
      <c r="T856" t="str">
        <f>VLOOKUP(E856, Products!$A:$B,2,0)</f>
        <v>Chairs Fur-3</v>
      </c>
      <c r="U856" t="str">
        <f>VLOOKUP(E856,Products!$A:$C,3,0)</f>
        <v>Furniture</v>
      </c>
      <c r="V856" t="str">
        <f>VLOOKUP(E856,Products!$A:$D,4,0)</f>
        <v>Chairs</v>
      </c>
      <c r="W856" t="str">
        <f>VLOOKUP(D856,Customers!$A:$C,3,0)</f>
        <v>B2C</v>
      </c>
      <c r="X856" t="str">
        <f>VLOOKUP(C856,Sales_Representatives!$A:$B,2,0)</f>
        <v>Robert Jones</v>
      </c>
    </row>
    <row r="857" spans="1:24" x14ac:dyDescent="0.3">
      <c r="A857" t="s">
        <v>1198</v>
      </c>
      <c r="B857" t="s">
        <v>1192</v>
      </c>
      <c r="C857" t="s">
        <v>141</v>
      </c>
      <c r="D857" t="s">
        <v>362</v>
      </c>
      <c r="E857" t="s">
        <v>304</v>
      </c>
      <c r="F857">
        <v>6</v>
      </c>
      <c r="G857">
        <v>13.43</v>
      </c>
      <c r="H857">
        <v>0.06</v>
      </c>
      <c r="I857" s="4">
        <v>75.75</v>
      </c>
      <c r="J857" t="s">
        <v>109</v>
      </c>
      <c r="K857" t="s">
        <v>22</v>
      </c>
      <c r="L857" s="4">
        <f>VLOOKUP(tblTransactions[[#This Row],[Product_ID]],tblProducts[],5,FALSE)</f>
        <v>5.8</v>
      </c>
      <c r="M857" s="4">
        <f>tblTransactions[[#This Row],[Total_Amount]]-(tblTransactions[[#This Row],[Cost_Prices]]*tblTransactions[[#This Row],[Quantity]]*(1-tblTransactions[[#This Row],[Discount]]))</f>
        <v>43.038000000000004</v>
      </c>
      <c r="N857" s="3">
        <f>tblTransactions[[#This Row],[Profit]]/tblTransactions[[#This Row],[Total_Amount]]</f>
        <v>0.56815841584158422</v>
      </c>
      <c r="O857" t="str">
        <f>TEXT(tblTransactions[[#This Row],[Date]], "MMM-YYYY")</f>
        <v>Jul-2023</v>
      </c>
      <c r="P857" t="str">
        <f>"Q"&amp;ROUNDUP(MONTH(tblTransactions[[#This Row],[Date]])/3,0)&amp;"-"&amp;YEAR(tblTransactions[[#This Row],[Date]])</f>
        <v>Q3-2023</v>
      </c>
      <c r="Q857">
        <f>YEAR(tblTransactions[[#This Row],[Date]])</f>
        <v>2023</v>
      </c>
      <c r="R857" t="str">
        <f>TEXT(tblTransactions[[#This Row],[Date]],"DDDD")</f>
        <v>Friday</v>
      </c>
      <c r="S857">
        <f>MONTH(tblTransactions[[#This Row],[Date]])</f>
        <v>7</v>
      </c>
      <c r="T857" t="str">
        <f>VLOOKUP(E857, Products!$A:$B,2,0)</f>
        <v>Pens Off-1</v>
      </c>
      <c r="U857" t="str">
        <f>VLOOKUP(E857,Products!$A:$C,3,0)</f>
        <v>Office Supplies</v>
      </c>
      <c r="V857" t="str">
        <f>VLOOKUP(E857,Products!$A:$D,4,0)</f>
        <v>Pens</v>
      </c>
      <c r="W857" t="str">
        <f>VLOOKUP(D857,Customers!$A:$C,3,0)</f>
        <v>Small Business</v>
      </c>
      <c r="X857" t="str">
        <f>VLOOKUP(C857,Sales_Representatives!$A:$B,2,0)</f>
        <v>Richard Garcia</v>
      </c>
    </row>
    <row r="858" spans="1:24" x14ac:dyDescent="0.3">
      <c r="A858" t="s">
        <v>1199</v>
      </c>
      <c r="B858" t="s">
        <v>1192</v>
      </c>
      <c r="C858" t="s">
        <v>27</v>
      </c>
      <c r="D858" t="s">
        <v>212</v>
      </c>
      <c r="E858" t="s">
        <v>310</v>
      </c>
      <c r="F858">
        <v>6</v>
      </c>
      <c r="G858">
        <v>274.13</v>
      </c>
      <c r="H858">
        <v>7.0000000000000007E-2</v>
      </c>
      <c r="I858" s="4">
        <v>1529.65</v>
      </c>
      <c r="J858" t="s">
        <v>16</v>
      </c>
      <c r="K858" t="s">
        <v>17</v>
      </c>
      <c r="L858" s="4">
        <f>VLOOKUP(tblTransactions[[#This Row],[Product_ID]],tblProducts[],5,FALSE)</f>
        <v>134.41999999999999</v>
      </c>
      <c r="M858" s="4">
        <f>tblTransactions[[#This Row],[Total_Amount]]-(tblTransactions[[#This Row],[Cost_Prices]]*tblTransactions[[#This Row],[Quantity]]*(1-tblTransactions[[#This Row],[Discount]]))</f>
        <v>779.58640000000014</v>
      </c>
      <c r="N858" s="3">
        <f>tblTransactions[[#This Row],[Profit]]/tblTransactions[[#This Row],[Total_Amount]]</f>
        <v>0.50965018141404905</v>
      </c>
      <c r="O858" t="str">
        <f>TEXT(tblTransactions[[#This Row],[Date]], "MMM-YYYY")</f>
        <v>Jul-2023</v>
      </c>
      <c r="P858" t="str">
        <f>"Q"&amp;ROUNDUP(MONTH(tblTransactions[[#This Row],[Date]])/3,0)&amp;"-"&amp;YEAR(tblTransactions[[#This Row],[Date]])</f>
        <v>Q3-2023</v>
      </c>
      <c r="Q858">
        <f>YEAR(tblTransactions[[#This Row],[Date]])</f>
        <v>2023</v>
      </c>
      <c r="R858" t="str">
        <f>TEXT(tblTransactions[[#This Row],[Date]],"DDDD")</f>
        <v>Friday</v>
      </c>
      <c r="S858">
        <f>MONTH(tblTransactions[[#This Row],[Date]])</f>
        <v>7</v>
      </c>
      <c r="T858" t="str">
        <f>VLOOKUP(E858, Products!$A:$B,2,0)</f>
        <v>Adapters Acc-4</v>
      </c>
      <c r="U858" t="str">
        <f>VLOOKUP(E858,Products!$A:$C,3,0)</f>
        <v>Accessories</v>
      </c>
      <c r="V858" t="str">
        <f>VLOOKUP(E858,Products!$A:$D,4,0)</f>
        <v>Adapters</v>
      </c>
      <c r="W858" t="str">
        <f>VLOOKUP(D858,Customers!$A:$C,3,0)</f>
        <v>B2C</v>
      </c>
      <c r="X858" t="str">
        <f>VLOOKUP(C858,Sales_Representatives!$A:$B,2,0)</f>
        <v>Thomas Lopez</v>
      </c>
    </row>
    <row r="859" spans="1:24" x14ac:dyDescent="0.3">
      <c r="A859" t="s">
        <v>1200</v>
      </c>
      <c r="B859" t="s">
        <v>1192</v>
      </c>
      <c r="C859" t="s">
        <v>75</v>
      </c>
      <c r="D859" t="s">
        <v>132</v>
      </c>
      <c r="E859" t="s">
        <v>347</v>
      </c>
      <c r="F859">
        <v>5</v>
      </c>
      <c r="G859">
        <v>1539.6</v>
      </c>
      <c r="H859">
        <v>0.1</v>
      </c>
      <c r="I859" s="4">
        <v>6928.2</v>
      </c>
      <c r="J859" t="s">
        <v>44</v>
      </c>
      <c r="K859" t="s">
        <v>39</v>
      </c>
      <c r="L859" s="4">
        <f>VLOOKUP(tblTransactions[[#This Row],[Product_ID]],tblProducts[],5,FALSE)</f>
        <v>992.43</v>
      </c>
      <c r="M859" s="4">
        <f>tblTransactions[[#This Row],[Total_Amount]]-(tblTransactions[[#This Row],[Cost_Prices]]*tblTransactions[[#This Row],[Quantity]]*(1-tblTransactions[[#This Row],[Discount]]))</f>
        <v>2462.2650000000003</v>
      </c>
      <c r="N859" s="3">
        <f>tblTransactions[[#This Row],[Profit]]/tblTransactions[[#This Row],[Total_Amount]]</f>
        <v>0.35539750584567426</v>
      </c>
      <c r="O859" t="str">
        <f>TEXT(tblTransactions[[#This Row],[Date]], "MMM-YYYY")</f>
        <v>Jul-2023</v>
      </c>
      <c r="P859" t="str">
        <f>"Q"&amp;ROUNDUP(MONTH(tblTransactions[[#This Row],[Date]])/3,0)&amp;"-"&amp;YEAR(tblTransactions[[#This Row],[Date]])</f>
        <v>Q3-2023</v>
      </c>
      <c r="Q859">
        <f>YEAR(tblTransactions[[#This Row],[Date]])</f>
        <v>2023</v>
      </c>
      <c r="R859" t="str">
        <f>TEXT(tblTransactions[[#This Row],[Date]],"DDDD")</f>
        <v>Friday</v>
      </c>
      <c r="S859">
        <f>MONTH(tblTransactions[[#This Row],[Date]])</f>
        <v>7</v>
      </c>
      <c r="T859" t="str">
        <f>VLOOKUP(E859, Products!$A:$B,2,0)</f>
        <v>Routers Tec-2</v>
      </c>
      <c r="U859" t="str">
        <f>VLOOKUP(E859,Products!$A:$C,3,0)</f>
        <v>Technology</v>
      </c>
      <c r="V859" t="str">
        <f>VLOOKUP(E859,Products!$A:$D,4,0)</f>
        <v>Routers</v>
      </c>
      <c r="W859" t="str">
        <f>VLOOKUP(D859,Customers!$A:$C,3,0)</f>
        <v>B2B</v>
      </c>
      <c r="X859" t="str">
        <f>VLOOKUP(C859,Sales_Representatives!$A:$B,2,0)</f>
        <v>Jessica Anderson</v>
      </c>
    </row>
    <row r="860" spans="1:24" x14ac:dyDescent="0.3">
      <c r="A860" t="s">
        <v>1201</v>
      </c>
      <c r="B860" t="s">
        <v>1202</v>
      </c>
      <c r="C860" t="s">
        <v>41</v>
      </c>
      <c r="D860" t="s">
        <v>32</v>
      </c>
      <c r="E860" t="s">
        <v>194</v>
      </c>
      <c r="F860">
        <v>2</v>
      </c>
      <c r="G860">
        <v>82.84</v>
      </c>
      <c r="H860">
        <v>0.04</v>
      </c>
      <c r="I860" s="4">
        <v>159.05000000000001</v>
      </c>
      <c r="J860" t="s">
        <v>44</v>
      </c>
      <c r="K860" t="s">
        <v>17</v>
      </c>
      <c r="L860" s="4">
        <f>VLOOKUP(tblTransactions[[#This Row],[Product_ID]],tblProducts[],5,FALSE)</f>
        <v>52.98</v>
      </c>
      <c r="M860" s="4">
        <f>tblTransactions[[#This Row],[Total_Amount]]-(tblTransactions[[#This Row],[Cost_Prices]]*tblTransactions[[#This Row],[Quantity]]*(1-tblTransactions[[#This Row],[Discount]]))</f>
        <v>57.328400000000016</v>
      </c>
      <c r="N860" s="3">
        <f>tblTransactions[[#This Row],[Profit]]/tblTransactions[[#This Row],[Total_Amount]]</f>
        <v>0.36044262810436978</v>
      </c>
      <c r="O860" t="str">
        <f>TEXT(tblTransactions[[#This Row],[Date]], "MMM-YYYY")</f>
        <v>Jul-2023</v>
      </c>
      <c r="P860" t="str">
        <f>"Q"&amp;ROUNDUP(MONTH(tblTransactions[[#This Row],[Date]])/3,0)&amp;"-"&amp;YEAR(tblTransactions[[#This Row],[Date]])</f>
        <v>Q3-2023</v>
      </c>
      <c r="Q860">
        <f>YEAR(tblTransactions[[#This Row],[Date]])</f>
        <v>2023</v>
      </c>
      <c r="R860" t="str">
        <f>TEXT(tblTransactions[[#This Row],[Date]],"DDDD")</f>
        <v>Saturday</v>
      </c>
      <c r="S860">
        <f>MONTH(tblTransactions[[#This Row],[Date]])</f>
        <v>7</v>
      </c>
      <c r="T860" t="str">
        <f>VLOOKUP(E860, Products!$A:$B,2,0)</f>
        <v>Binders Off-2</v>
      </c>
      <c r="U860" t="str">
        <f>VLOOKUP(E860,Products!$A:$C,3,0)</f>
        <v>Office Supplies</v>
      </c>
      <c r="V860" t="str">
        <f>VLOOKUP(E860,Products!$A:$D,4,0)</f>
        <v>Binders</v>
      </c>
      <c r="W860" t="str">
        <f>VLOOKUP(D860,Customers!$A:$C,3,0)</f>
        <v>B2C</v>
      </c>
      <c r="X860" t="str">
        <f>VLOOKUP(C860,Sales_Representatives!$A:$B,2,0)</f>
        <v>Robert Jones</v>
      </c>
    </row>
    <row r="861" spans="1:24" x14ac:dyDescent="0.3">
      <c r="A861" t="s">
        <v>1203</v>
      </c>
      <c r="B861" t="s">
        <v>1204</v>
      </c>
      <c r="C861" t="s">
        <v>13</v>
      </c>
      <c r="D861" t="s">
        <v>57</v>
      </c>
      <c r="E861" t="s">
        <v>15</v>
      </c>
      <c r="F861">
        <v>1</v>
      </c>
      <c r="G861">
        <v>477.48</v>
      </c>
      <c r="H861">
        <v>0.02</v>
      </c>
      <c r="I861" s="4">
        <v>467.93</v>
      </c>
      <c r="J861" t="s">
        <v>16</v>
      </c>
      <c r="K861" t="s">
        <v>39</v>
      </c>
      <c r="L861" s="4">
        <f>VLOOKUP(tblTransactions[[#This Row],[Product_ID]],tblProducts[],5,FALSE)</f>
        <v>275.51</v>
      </c>
      <c r="M861" s="4">
        <f>tblTransactions[[#This Row],[Total_Amount]]-(tblTransactions[[#This Row],[Cost_Prices]]*tblTransactions[[#This Row],[Quantity]]*(1-tblTransactions[[#This Row],[Discount]]))</f>
        <v>197.93020000000001</v>
      </c>
      <c r="N861" s="3">
        <f>tblTransactions[[#This Row],[Profit]]/tblTransactions[[#This Row],[Total_Amount]]</f>
        <v>0.42299104566922407</v>
      </c>
      <c r="O861" t="str">
        <f>TEXT(tblTransactions[[#This Row],[Date]], "MMM-YYYY")</f>
        <v>Jul-2023</v>
      </c>
      <c r="P861" t="str">
        <f>"Q"&amp;ROUNDUP(MONTH(tblTransactions[[#This Row],[Date]])/3,0)&amp;"-"&amp;YEAR(tblTransactions[[#This Row],[Date]])</f>
        <v>Q3-2023</v>
      </c>
      <c r="Q861">
        <f>YEAR(tblTransactions[[#This Row],[Date]])</f>
        <v>2023</v>
      </c>
      <c r="R861" t="str">
        <f>TEXT(tblTransactions[[#This Row],[Date]],"DDDD")</f>
        <v>Sunday</v>
      </c>
      <c r="S861">
        <f>MONTH(tblTransactions[[#This Row],[Date]])</f>
        <v>7</v>
      </c>
      <c r="T861" t="str">
        <f>VLOOKUP(E861, Products!$A:$B,2,0)</f>
        <v>Laptops Ele-4</v>
      </c>
      <c r="U861" t="str">
        <f>VLOOKUP(E861,Products!$A:$C,3,0)</f>
        <v>Electronics</v>
      </c>
      <c r="V861" t="str">
        <f>VLOOKUP(E861,Products!$A:$D,4,0)</f>
        <v>Laptops</v>
      </c>
      <c r="W861" t="str">
        <f>VLOOKUP(D861,Customers!$A:$C,3,0)</f>
        <v>Small Business</v>
      </c>
      <c r="X861" t="str">
        <f>VLOOKUP(C861,Sales_Representatives!$A:$B,2,0)</f>
        <v>Jennifer Rodriguez</v>
      </c>
    </row>
    <row r="862" spans="1:24" x14ac:dyDescent="0.3">
      <c r="A862" t="s">
        <v>1205</v>
      </c>
      <c r="B862" t="s">
        <v>1204</v>
      </c>
      <c r="C862" t="s">
        <v>27</v>
      </c>
      <c r="D862" t="s">
        <v>128</v>
      </c>
      <c r="E862" t="s">
        <v>25</v>
      </c>
      <c r="F862">
        <v>4</v>
      </c>
      <c r="G862">
        <v>1467.49</v>
      </c>
      <c r="H862">
        <v>0.05</v>
      </c>
      <c r="I862" s="4">
        <v>5576.46</v>
      </c>
      <c r="J862" t="s">
        <v>16</v>
      </c>
      <c r="K862" t="s">
        <v>17</v>
      </c>
      <c r="L862" s="4">
        <f>VLOOKUP(tblTransactions[[#This Row],[Product_ID]],tblProducts[],5,FALSE)</f>
        <v>757.65</v>
      </c>
      <c r="M862" s="4">
        <f>tblTransactions[[#This Row],[Total_Amount]]-(tblTransactions[[#This Row],[Cost_Prices]]*tblTransactions[[#This Row],[Quantity]]*(1-tblTransactions[[#This Row],[Discount]]))</f>
        <v>2697.3900000000003</v>
      </c>
      <c r="N862" s="3">
        <f>tblTransactions[[#This Row],[Profit]]/tblTransactions[[#This Row],[Total_Amount]]</f>
        <v>0.4837100956520804</v>
      </c>
      <c r="O862" t="str">
        <f>TEXT(tblTransactions[[#This Row],[Date]], "MMM-YYYY")</f>
        <v>Jul-2023</v>
      </c>
      <c r="P862" t="str">
        <f>"Q"&amp;ROUNDUP(MONTH(tblTransactions[[#This Row],[Date]])/3,0)&amp;"-"&amp;YEAR(tblTransactions[[#This Row],[Date]])</f>
        <v>Q3-2023</v>
      </c>
      <c r="Q862">
        <f>YEAR(tblTransactions[[#This Row],[Date]])</f>
        <v>2023</v>
      </c>
      <c r="R862" t="str">
        <f>TEXT(tblTransactions[[#This Row],[Date]],"DDDD")</f>
        <v>Sunday</v>
      </c>
      <c r="S862">
        <f>MONTH(tblTransactions[[#This Row],[Date]])</f>
        <v>7</v>
      </c>
      <c r="T862" t="str">
        <f>VLOOKUP(E862, Products!$A:$B,2,0)</f>
        <v>Tables Fur-3</v>
      </c>
      <c r="U862" t="str">
        <f>VLOOKUP(E862,Products!$A:$C,3,0)</f>
        <v>Furniture</v>
      </c>
      <c r="V862" t="str">
        <f>VLOOKUP(E862,Products!$A:$D,4,0)</f>
        <v>Tables</v>
      </c>
      <c r="W862" t="str">
        <f>VLOOKUP(D862,Customers!$A:$C,3,0)</f>
        <v>B2B</v>
      </c>
      <c r="X862" t="str">
        <f>VLOOKUP(C862,Sales_Representatives!$A:$B,2,0)</f>
        <v>Thomas Lopez</v>
      </c>
    </row>
    <row r="863" spans="1:24" x14ac:dyDescent="0.3">
      <c r="A863" t="s">
        <v>1206</v>
      </c>
      <c r="B863" t="s">
        <v>1204</v>
      </c>
      <c r="C863" t="s">
        <v>107</v>
      </c>
      <c r="D863" t="s">
        <v>144</v>
      </c>
      <c r="E863" t="s">
        <v>129</v>
      </c>
      <c r="F863">
        <v>5</v>
      </c>
      <c r="G863">
        <v>1283.71</v>
      </c>
      <c r="H863">
        <v>0.04</v>
      </c>
      <c r="I863" s="4">
        <v>6161.81</v>
      </c>
      <c r="J863" t="s">
        <v>109</v>
      </c>
      <c r="K863" t="s">
        <v>39</v>
      </c>
      <c r="L863" s="4">
        <f>VLOOKUP(tblTransactions[[#This Row],[Product_ID]],tblProducts[],5,FALSE)</f>
        <v>970.14</v>
      </c>
      <c r="M863" s="4">
        <f>tblTransactions[[#This Row],[Total_Amount]]-(tblTransactions[[#This Row],[Cost_Prices]]*tblTransactions[[#This Row],[Quantity]]*(1-tblTransactions[[#This Row],[Discount]]))</f>
        <v>1505.1380000000008</v>
      </c>
      <c r="N863" s="3">
        <f>tblTransactions[[#This Row],[Profit]]/tblTransactions[[#This Row],[Total_Amount]]</f>
        <v>0.24426881062544947</v>
      </c>
      <c r="O863" t="str">
        <f>TEXT(tblTransactions[[#This Row],[Date]], "MMM-YYYY")</f>
        <v>Jul-2023</v>
      </c>
      <c r="P863" t="str">
        <f>"Q"&amp;ROUNDUP(MONTH(tblTransactions[[#This Row],[Date]])/3,0)&amp;"-"&amp;YEAR(tblTransactions[[#This Row],[Date]])</f>
        <v>Q3-2023</v>
      </c>
      <c r="Q863">
        <f>YEAR(tblTransactions[[#This Row],[Date]])</f>
        <v>2023</v>
      </c>
      <c r="R863" t="str">
        <f>TEXT(tblTransactions[[#This Row],[Date]],"DDDD")</f>
        <v>Sunday</v>
      </c>
      <c r="S863">
        <f>MONTH(tblTransactions[[#This Row],[Date]])</f>
        <v>7</v>
      </c>
      <c r="T863" t="str">
        <f>VLOOKUP(E863, Products!$A:$B,2,0)</f>
        <v>Cameras Ele-3</v>
      </c>
      <c r="U863" t="str">
        <f>VLOOKUP(E863,Products!$A:$C,3,0)</f>
        <v>Electronics</v>
      </c>
      <c r="V863" t="str">
        <f>VLOOKUP(E863,Products!$A:$D,4,0)</f>
        <v>Cameras</v>
      </c>
      <c r="W863" t="str">
        <f>VLOOKUP(D863,Customers!$A:$C,3,0)</f>
        <v>B2C</v>
      </c>
      <c r="X863" t="str">
        <f>VLOOKUP(C863,Sales_Representatives!$A:$B,2,0)</f>
        <v>Jennifer Brown</v>
      </c>
    </row>
    <row r="864" spans="1:24" x14ac:dyDescent="0.3">
      <c r="A864" t="s">
        <v>1207</v>
      </c>
      <c r="B864" t="s">
        <v>1204</v>
      </c>
      <c r="C864" t="s">
        <v>13</v>
      </c>
      <c r="D864" t="s">
        <v>93</v>
      </c>
      <c r="E864" t="s">
        <v>79</v>
      </c>
      <c r="F864">
        <v>7</v>
      </c>
      <c r="G864">
        <v>1452.36</v>
      </c>
      <c r="H864">
        <v>0.14000000000000001</v>
      </c>
      <c r="I864" s="4">
        <v>8743.2099999999991</v>
      </c>
      <c r="J864" t="s">
        <v>16</v>
      </c>
      <c r="K864" t="s">
        <v>39</v>
      </c>
      <c r="L864" s="4">
        <f>VLOOKUP(tblTransactions[[#This Row],[Product_ID]],tblProducts[],5,FALSE)</f>
        <v>778.71</v>
      </c>
      <c r="M864" s="4">
        <f>tblTransactions[[#This Row],[Total_Amount]]-(tblTransactions[[#This Row],[Cost_Prices]]*tblTransactions[[#This Row],[Quantity]]*(1-tblTransactions[[#This Row],[Discount]]))</f>
        <v>4055.3757999999989</v>
      </c>
      <c r="N864" s="3">
        <f>tblTransactions[[#This Row],[Profit]]/tblTransactions[[#This Row],[Total_Amount]]</f>
        <v>0.46383145320768909</v>
      </c>
      <c r="O864" t="str">
        <f>TEXT(tblTransactions[[#This Row],[Date]], "MMM-YYYY")</f>
        <v>Jul-2023</v>
      </c>
      <c r="P864" t="str">
        <f>"Q"&amp;ROUNDUP(MONTH(tblTransactions[[#This Row],[Date]])/3,0)&amp;"-"&amp;YEAR(tblTransactions[[#This Row],[Date]])</f>
        <v>Q3-2023</v>
      </c>
      <c r="Q864">
        <f>YEAR(tblTransactions[[#This Row],[Date]])</f>
        <v>2023</v>
      </c>
      <c r="R864" t="str">
        <f>TEXT(tblTransactions[[#This Row],[Date]],"DDDD")</f>
        <v>Sunday</v>
      </c>
      <c r="S864">
        <f>MONTH(tblTransactions[[#This Row],[Date]])</f>
        <v>7</v>
      </c>
      <c r="T864" t="str">
        <f>VLOOKUP(E864, Products!$A:$B,2,0)</f>
        <v>Tables Fur-2</v>
      </c>
      <c r="U864" t="str">
        <f>VLOOKUP(E864,Products!$A:$C,3,0)</f>
        <v>Furniture</v>
      </c>
      <c r="V864" t="str">
        <f>VLOOKUP(E864,Products!$A:$D,4,0)</f>
        <v>Tables</v>
      </c>
      <c r="W864" t="str">
        <f>VLOOKUP(D864,Customers!$A:$C,3,0)</f>
        <v>B2C</v>
      </c>
      <c r="X864" t="str">
        <f>VLOOKUP(C864,Sales_Representatives!$A:$B,2,0)</f>
        <v>Jennifer Rodriguez</v>
      </c>
    </row>
    <row r="865" spans="1:24" x14ac:dyDescent="0.3">
      <c r="A865" t="s">
        <v>1208</v>
      </c>
      <c r="B865" t="s">
        <v>1209</v>
      </c>
      <c r="C865" t="s">
        <v>63</v>
      </c>
      <c r="D865" t="s">
        <v>527</v>
      </c>
      <c r="E865" t="s">
        <v>84</v>
      </c>
      <c r="F865">
        <v>6</v>
      </c>
      <c r="G865">
        <v>1841.77</v>
      </c>
      <c r="H865">
        <v>0.05</v>
      </c>
      <c r="I865" s="4">
        <v>10498.09</v>
      </c>
      <c r="J865" t="s">
        <v>21</v>
      </c>
      <c r="K865" t="s">
        <v>35</v>
      </c>
      <c r="L865" s="4">
        <f>VLOOKUP(tblTransactions[[#This Row],[Product_ID]],tblProducts[],5,FALSE)</f>
        <v>1151.5899999999999</v>
      </c>
      <c r="M865" s="4">
        <f>tblTransactions[[#This Row],[Total_Amount]]-(tblTransactions[[#This Row],[Cost_Prices]]*tblTransactions[[#This Row],[Quantity]]*(1-tblTransactions[[#This Row],[Discount]]))</f>
        <v>3934.027000000001</v>
      </c>
      <c r="N865" s="3">
        <f>tblTransactions[[#This Row],[Profit]]/tblTransactions[[#This Row],[Total_Amount]]</f>
        <v>0.37473740461360122</v>
      </c>
      <c r="O865" t="str">
        <f>TEXT(tblTransactions[[#This Row],[Date]], "MMM-YYYY")</f>
        <v>Jul-2023</v>
      </c>
      <c r="P865" t="str">
        <f>"Q"&amp;ROUNDUP(MONTH(tblTransactions[[#This Row],[Date]])/3,0)&amp;"-"&amp;YEAR(tblTransactions[[#This Row],[Date]])</f>
        <v>Q3-2023</v>
      </c>
      <c r="Q865">
        <f>YEAR(tblTransactions[[#This Row],[Date]])</f>
        <v>2023</v>
      </c>
      <c r="R865" t="str">
        <f>TEXT(tblTransactions[[#This Row],[Date]],"DDDD")</f>
        <v>Monday</v>
      </c>
      <c r="S865">
        <f>MONTH(tblTransactions[[#This Row],[Date]])</f>
        <v>7</v>
      </c>
      <c r="T865" t="str">
        <f>VLOOKUP(E865, Products!$A:$B,2,0)</f>
        <v>Laptops Ele-2</v>
      </c>
      <c r="U865" t="str">
        <f>VLOOKUP(E865,Products!$A:$C,3,0)</f>
        <v>Electronics</v>
      </c>
      <c r="V865" t="str">
        <f>VLOOKUP(E865,Products!$A:$D,4,0)</f>
        <v>Laptops</v>
      </c>
      <c r="W865" t="str">
        <f>VLOOKUP(D865,Customers!$A:$C,3,0)</f>
        <v>B2C</v>
      </c>
      <c r="X865" t="str">
        <f>VLOOKUP(C865,Sales_Representatives!$A:$B,2,0)</f>
        <v>Richard Wilson</v>
      </c>
    </row>
    <row r="866" spans="1:24" x14ac:dyDescent="0.3">
      <c r="A866" t="s">
        <v>1210</v>
      </c>
      <c r="B866" t="s">
        <v>1209</v>
      </c>
      <c r="C866" t="s">
        <v>63</v>
      </c>
      <c r="D866" t="s">
        <v>134</v>
      </c>
      <c r="E866" t="s">
        <v>68</v>
      </c>
      <c r="F866">
        <v>15</v>
      </c>
      <c r="G866">
        <v>522.63</v>
      </c>
      <c r="H866">
        <v>0.14000000000000001</v>
      </c>
      <c r="I866" s="4">
        <v>6741.93</v>
      </c>
      <c r="J866" t="s">
        <v>21</v>
      </c>
      <c r="K866" t="s">
        <v>17</v>
      </c>
      <c r="L866" s="4">
        <f>VLOOKUP(tblTransactions[[#This Row],[Product_ID]],tblProducts[],5,FALSE)</f>
        <v>355.82</v>
      </c>
      <c r="M866" s="4">
        <f>tblTransactions[[#This Row],[Total_Amount]]-(tblTransactions[[#This Row],[Cost_Prices]]*tblTransactions[[#This Row],[Quantity]]*(1-tblTransactions[[#This Row],[Discount]]))</f>
        <v>2151.8519999999999</v>
      </c>
      <c r="N866" s="3">
        <f>tblTransactions[[#This Row],[Profit]]/tblTransactions[[#This Row],[Total_Amount]]</f>
        <v>0.31917447971129925</v>
      </c>
      <c r="O866" t="str">
        <f>TEXT(tblTransactions[[#This Row],[Date]], "MMM-YYYY")</f>
        <v>Jul-2023</v>
      </c>
      <c r="P866" t="str">
        <f>"Q"&amp;ROUNDUP(MONTH(tblTransactions[[#This Row],[Date]])/3,0)&amp;"-"&amp;YEAR(tblTransactions[[#This Row],[Date]])</f>
        <v>Q3-2023</v>
      </c>
      <c r="Q866">
        <f>YEAR(tblTransactions[[#This Row],[Date]])</f>
        <v>2023</v>
      </c>
      <c r="R866" t="str">
        <f>TEXT(tblTransactions[[#This Row],[Date]],"DDDD")</f>
        <v>Monday</v>
      </c>
      <c r="S866">
        <f>MONTH(tblTransactions[[#This Row],[Date]])</f>
        <v>7</v>
      </c>
      <c r="T866" t="str">
        <f>VLOOKUP(E866, Products!$A:$B,2,0)</f>
        <v>Monitors Tec-3</v>
      </c>
      <c r="U866" t="str">
        <f>VLOOKUP(E866,Products!$A:$C,3,0)</f>
        <v>Technology</v>
      </c>
      <c r="V866" t="str">
        <f>VLOOKUP(E866,Products!$A:$D,4,0)</f>
        <v>Monitors</v>
      </c>
      <c r="W866" t="str">
        <f>VLOOKUP(D866,Customers!$A:$C,3,0)</f>
        <v>B2B</v>
      </c>
      <c r="X866" t="str">
        <f>VLOOKUP(C866,Sales_Representatives!$A:$B,2,0)</f>
        <v>Richard Wilson</v>
      </c>
    </row>
    <row r="867" spans="1:24" x14ac:dyDescent="0.3">
      <c r="A867" t="s">
        <v>1211</v>
      </c>
      <c r="B867" t="s">
        <v>1209</v>
      </c>
      <c r="C867" t="s">
        <v>141</v>
      </c>
      <c r="D867" t="s">
        <v>71</v>
      </c>
      <c r="E867" t="s">
        <v>20</v>
      </c>
      <c r="F867">
        <v>3</v>
      </c>
      <c r="G867">
        <v>1219.49</v>
      </c>
      <c r="H867">
        <v>0.06</v>
      </c>
      <c r="I867" s="4">
        <v>3438.96</v>
      </c>
      <c r="J867" t="s">
        <v>109</v>
      </c>
      <c r="K867" t="s">
        <v>48</v>
      </c>
      <c r="L867" s="4">
        <f>VLOOKUP(tblTransactions[[#This Row],[Product_ID]],tblProducts[],5,FALSE)</f>
        <v>686.9</v>
      </c>
      <c r="M867" s="4">
        <f>tblTransactions[[#This Row],[Total_Amount]]-(tblTransactions[[#This Row],[Cost_Prices]]*tblTransactions[[#This Row],[Quantity]]*(1-tblTransactions[[#This Row],[Discount]]))</f>
        <v>1501.9020000000003</v>
      </c>
      <c r="N867" s="3">
        <f>tblTransactions[[#This Row],[Profit]]/tblTransactions[[#This Row],[Total_Amount]]</f>
        <v>0.43673145369530331</v>
      </c>
      <c r="O867" t="str">
        <f>TEXT(tblTransactions[[#This Row],[Date]], "MMM-YYYY")</f>
        <v>Jul-2023</v>
      </c>
      <c r="P867" t="str">
        <f>"Q"&amp;ROUNDUP(MONTH(tblTransactions[[#This Row],[Date]])/3,0)&amp;"-"&amp;YEAR(tblTransactions[[#This Row],[Date]])</f>
        <v>Q3-2023</v>
      </c>
      <c r="Q867">
        <f>YEAR(tblTransactions[[#This Row],[Date]])</f>
        <v>2023</v>
      </c>
      <c r="R867" t="str">
        <f>TEXT(tblTransactions[[#This Row],[Date]],"DDDD")</f>
        <v>Monday</v>
      </c>
      <c r="S867">
        <f>MONTH(tblTransactions[[#This Row],[Date]])</f>
        <v>7</v>
      </c>
      <c r="T867" t="str">
        <f>VLOOKUP(E867, Products!$A:$B,2,0)</f>
        <v>Laptops Ele-1</v>
      </c>
      <c r="U867" t="str">
        <f>VLOOKUP(E867,Products!$A:$C,3,0)</f>
        <v>Electronics</v>
      </c>
      <c r="V867" t="str">
        <f>VLOOKUP(E867,Products!$A:$D,4,0)</f>
        <v>Laptops</v>
      </c>
      <c r="W867" t="str">
        <f>VLOOKUP(D867,Customers!$A:$C,3,0)</f>
        <v>B2B</v>
      </c>
      <c r="X867" t="str">
        <f>VLOOKUP(C867,Sales_Representatives!$A:$B,2,0)</f>
        <v>Richard Garcia</v>
      </c>
    </row>
    <row r="868" spans="1:24" x14ac:dyDescent="0.3">
      <c r="A868" t="s">
        <v>1212</v>
      </c>
      <c r="B868" t="s">
        <v>1209</v>
      </c>
      <c r="C868" t="s">
        <v>31</v>
      </c>
      <c r="D868" t="s">
        <v>42</v>
      </c>
      <c r="E868" t="s">
        <v>217</v>
      </c>
      <c r="F868">
        <v>7</v>
      </c>
      <c r="G868">
        <v>145.51</v>
      </c>
      <c r="H868">
        <v>0.12</v>
      </c>
      <c r="I868" s="4">
        <v>896.34</v>
      </c>
      <c r="J868" t="s">
        <v>34</v>
      </c>
      <c r="K868" t="s">
        <v>17</v>
      </c>
      <c r="L868" s="4">
        <f>VLOOKUP(tblTransactions[[#This Row],[Product_ID]],tblProducts[],5,FALSE)</f>
        <v>64.510000000000005</v>
      </c>
      <c r="M868" s="4">
        <f>tblTransactions[[#This Row],[Total_Amount]]-(tblTransactions[[#This Row],[Cost_Prices]]*tblTransactions[[#This Row],[Quantity]]*(1-tblTransactions[[#This Row],[Discount]]))</f>
        <v>498.95839999999998</v>
      </c>
      <c r="N868" s="3">
        <f>tblTransactions[[#This Row],[Profit]]/tblTransactions[[#This Row],[Total_Amount]]</f>
        <v>0.55666198094473074</v>
      </c>
      <c r="O868" t="str">
        <f>TEXT(tblTransactions[[#This Row],[Date]], "MMM-YYYY")</f>
        <v>Jul-2023</v>
      </c>
      <c r="P868" t="str">
        <f>"Q"&amp;ROUNDUP(MONTH(tblTransactions[[#This Row],[Date]])/3,0)&amp;"-"&amp;YEAR(tblTransactions[[#This Row],[Date]])</f>
        <v>Q3-2023</v>
      </c>
      <c r="Q868">
        <f>YEAR(tblTransactions[[#This Row],[Date]])</f>
        <v>2023</v>
      </c>
      <c r="R868" t="str">
        <f>TEXT(tblTransactions[[#This Row],[Date]],"DDDD")</f>
        <v>Monday</v>
      </c>
      <c r="S868">
        <f>MONTH(tblTransactions[[#This Row],[Date]])</f>
        <v>7</v>
      </c>
      <c r="T868" t="str">
        <f>VLOOKUP(E868, Products!$A:$B,2,0)</f>
        <v>Cables Acc-2</v>
      </c>
      <c r="U868" t="str">
        <f>VLOOKUP(E868,Products!$A:$C,3,0)</f>
        <v>Accessories</v>
      </c>
      <c r="V868" t="str">
        <f>VLOOKUP(E868,Products!$A:$D,4,0)</f>
        <v>Cables</v>
      </c>
      <c r="W868" t="str">
        <f>VLOOKUP(D868,Customers!$A:$C,3,0)</f>
        <v>B2C</v>
      </c>
      <c r="X868" t="str">
        <f>VLOOKUP(C868,Sales_Representatives!$A:$B,2,0)</f>
        <v>Thomas Martinez</v>
      </c>
    </row>
    <row r="869" spans="1:24" x14ac:dyDescent="0.3">
      <c r="A869" t="s">
        <v>1213</v>
      </c>
      <c r="B869" t="s">
        <v>1214</v>
      </c>
      <c r="C869" t="s">
        <v>41</v>
      </c>
      <c r="D869" t="s">
        <v>93</v>
      </c>
      <c r="E869" t="s">
        <v>113</v>
      </c>
      <c r="F869">
        <v>1</v>
      </c>
      <c r="G869">
        <v>930.41</v>
      </c>
      <c r="H869">
        <v>0.1</v>
      </c>
      <c r="I869" s="4">
        <v>837.37</v>
      </c>
      <c r="J869" t="s">
        <v>44</v>
      </c>
      <c r="K869" t="s">
        <v>48</v>
      </c>
      <c r="L869" s="4">
        <f>VLOOKUP(tblTransactions[[#This Row],[Product_ID]],tblProducts[],5,FALSE)</f>
        <v>595.51</v>
      </c>
      <c r="M869" s="4">
        <f>tblTransactions[[#This Row],[Total_Amount]]-(tblTransactions[[#This Row],[Cost_Prices]]*tblTransactions[[#This Row],[Quantity]]*(1-tblTransactions[[#This Row],[Discount]]))</f>
        <v>301.41099999999994</v>
      </c>
      <c r="N869" s="3">
        <f>tblTransactions[[#This Row],[Profit]]/tblTransactions[[#This Row],[Total_Amount]]</f>
        <v>0.35994960411765403</v>
      </c>
      <c r="O869" t="str">
        <f>TEXT(tblTransactions[[#This Row],[Date]], "MMM-YYYY")</f>
        <v>Jul-2023</v>
      </c>
      <c r="P869" t="str">
        <f>"Q"&amp;ROUNDUP(MONTH(tblTransactions[[#This Row],[Date]])/3,0)&amp;"-"&amp;YEAR(tblTransactions[[#This Row],[Date]])</f>
        <v>Q3-2023</v>
      </c>
      <c r="Q869">
        <f>YEAR(tblTransactions[[#This Row],[Date]])</f>
        <v>2023</v>
      </c>
      <c r="R869" t="str">
        <f>TEXT(tblTransactions[[#This Row],[Date]],"DDDD")</f>
        <v>Tuesday</v>
      </c>
      <c r="S869">
        <f>MONTH(tblTransactions[[#This Row],[Date]])</f>
        <v>7</v>
      </c>
      <c r="T869" t="str">
        <f>VLOOKUP(E869, Products!$A:$B,2,0)</f>
        <v>Phones Ele-1</v>
      </c>
      <c r="U869" t="str">
        <f>VLOOKUP(E869,Products!$A:$C,3,0)</f>
        <v>Electronics</v>
      </c>
      <c r="V869" t="str">
        <f>VLOOKUP(E869,Products!$A:$D,4,0)</f>
        <v>Phones</v>
      </c>
      <c r="W869" t="str">
        <f>VLOOKUP(D869,Customers!$A:$C,3,0)</f>
        <v>B2C</v>
      </c>
      <c r="X869" t="str">
        <f>VLOOKUP(C869,Sales_Representatives!$A:$B,2,0)</f>
        <v>Robert Jones</v>
      </c>
    </row>
    <row r="870" spans="1:24" x14ac:dyDescent="0.3">
      <c r="A870" t="s">
        <v>1215</v>
      </c>
      <c r="B870" t="s">
        <v>1214</v>
      </c>
      <c r="C870" t="s">
        <v>41</v>
      </c>
      <c r="D870" t="s">
        <v>98</v>
      </c>
      <c r="E870" t="s">
        <v>264</v>
      </c>
      <c r="F870">
        <v>1</v>
      </c>
      <c r="G870">
        <v>607.29999999999995</v>
      </c>
      <c r="H870">
        <v>0.06</v>
      </c>
      <c r="I870" s="4">
        <v>570.86</v>
      </c>
      <c r="J870" t="s">
        <v>44</v>
      </c>
      <c r="K870" t="s">
        <v>22</v>
      </c>
      <c r="L870" s="4">
        <f>VLOOKUP(tblTransactions[[#This Row],[Product_ID]],tblProducts[],5,FALSE)</f>
        <v>436.37</v>
      </c>
      <c r="M870" s="4">
        <f>tblTransactions[[#This Row],[Total_Amount]]-(tblTransactions[[#This Row],[Cost_Prices]]*tblTransactions[[#This Row],[Quantity]]*(1-tblTransactions[[#This Row],[Discount]]))</f>
        <v>160.67220000000003</v>
      </c>
      <c r="N870" s="3">
        <f>tblTransactions[[#This Row],[Profit]]/tblTransactions[[#This Row],[Total_Amount]]</f>
        <v>0.28145639911712156</v>
      </c>
      <c r="O870" t="str">
        <f>TEXT(tblTransactions[[#This Row],[Date]], "MMM-YYYY")</f>
        <v>Jul-2023</v>
      </c>
      <c r="P870" t="str">
        <f>"Q"&amp;ROUNDUP(MONTH(tblTransactions[[#This Row],[Date]])/3,0)&amp;"-"&amp;YEAR(tblTransactions[[#This Row],[Date]])</f>
        <v>Q3-2023</v>
      </c>
      <c r="Q870">
        <f>YEAR(tblTransactions[[#This Row],[Date]])</f>
        <v>2023</v>
      </c>
      <c r="R870" t="str">
        <f>TEXT(tblTransactions[[#This Row],[Date]],"DDDD")</f>
        <v>Tuesday</v>
      </c>
      <c r="S870">
        <f>MONTH(tblTransactions[[#This Row],[Date]])</f>
        <v>7</v>
      </c>
      <c r="T870" t="str">
        <f>VLOOKUP(E870, Products!$A:$B,2,0)</f>
        <v>Tablets Ele-4</v>
      </c>
      <c r="U870" t="str">
        <f>VLOOKUP(E870,Products!$A:$C,3,0)</f>
        <v>Electronics</v>
      </c>
      <c r="V870" t="str">
        <f>VLOOKUP(E870,Products!$A:$D,4,0)</f>
        <v>Tablets</v>
      </c>
      <c r="W870" t="str">
        <f>VLOOKUP(D870,Customers!$A:$C,3,0)</f>
        <v>B2C</v>
      </c>
      <c r="X870" t="str">
        <f>VLOOKUP(C870,Sales_Representatives!$A:$B,2,0)</f>
        <v>Robert Jones</v>
      </c>
    </row>
    <row r="871" spans="1:24" x14ac:dyDescent="0.3">
      <c r="A871" t="s">
        <v>1216</v>
      </c>
      <c r="B871" t="s">
        <v>1214</v>
      </c>
      <c r="C871" t="s">
        <v>127</v>
      </c>
      <c r="D871" t="s">
        <v>76</v>
      </c>
      <c r="E871" t="s">
        <v>105</v>
      </c>
      <c r="F871">
        <v>5</v>
      </c>
      <c r="G871">
        <v>1342.04</v>
      </c>
      <c r="H871">
        <v>0.03</v>
      </c>
      <c r="I871" s="4">
        <v>6508.89</v>
      </c>
      <c r="J871" t="s">
        <v>109</v>
      </c>
      <c r="K871" t="s">
        <v>35</v>
      </c>
      <c r="L871" s="4">
        <f>VLOOKUP(tblTransactions[[#This Row],[Product_ID]],tblProducts[],5,FALSE)</f>
        <v>792.89</v>
      </c>
      <c r="M871" s="4">
        <f>tblTransactions[[#This Row],[Total_Amount]]-(tblTransactions[[#This Row],[Cost_Prices]]*tblTransactions[[#This Row],[Quantity]]*(1-tblTransactions[[#This Row],[Discount]]))</f>
        <v>2663.3735000000006</v>
      </c>
      <c r="N871" s="3">
        <f>tblTransactions[[#This Row],[Profit]]/tblTransactions[[#This Row],[Total_Amount]]</f>
        <v>0.40919012304709412</v>
      </c>
      <c r="O871" t="str">
        <f>TEXT(tblTransactions[[#This Row],[Date]], "MMM-YYYY")</f>
        <v>Jul-2023</v>
      </c>
      <c r="P871" t="str">
        <f>"Q"&amp;ROUNDUP(MONTH(tblTransactions[[#This Row],[Date]])/3,0)&amp;"-"&amp;YEAR(tblTransactions[[#This Row],[Date]])</f>
        <v>Q3-2023</v>
      </c>
      <c r="Q871">
        <f>YEAR(tblTransactions[[#This Row],[Date]])</f>
        <v>2023</v>
      </c>
      <c r="R871" t="str">
        <f>TEXT(tblTransactions[[#This Row],[Date]],"DDDD")</f>
        <v>Tuesday</v>
      </c>
      <c r="S871">
        <f>MONTH(tblTransactions[[#This Row],[Date]])</f>
        <v>7</v>
      </c>
      <c r="T871" t="str">
        <f>VLOOKUP(E871, Products!$A:$B,2,0)</f>
        <v>Cameras Ele-1</v>
      </c>
      <c r="U871" t="str">
        <f>VLOOKUP(E871,Products!$A:$C,3,0)</f>
        <v>Electronics</v>
      </c>
      <c r="V871" t="str">
        <f>VLOOKUP(E871,Products!$A:$D,4,0)</f>
        <v>Cameras</v>
      </c>
      <c r="W871" t="str">
        <f>VLOOKUP(D871,Customers!$A:$C,3,0)</f>
        <v>Small Business</v>
      </c>
      <c r="X871" t="str">
        <f>VLOOKUP(C871,Sales_Representatives!$A:$B,2,0)</f>
        <v>Emily Hernandez</v>
      </c>
    </row>
    <row r="872" spans="1:24" x14ac:dyDescent="0.3">
      <c r="A872" t="s">
        <v>1217</v>
      </c>
      <c r="B872" t="s">
        <v>1218</v>
      </c>
      <c r="C872" t="s">
        <v>27</v>
      </c>
      <c r="D872" t="s">
        <v>136</v>
      </c>
      <c r="E872" t="s">
        <v>198</v>
      </c>
      <c r="F872">
        <v>4</v>
      </c>
      <c r="G872">
        <v>1802.96</v>
      </c>
      <c r="H872">
        <v>0.09</v>
      </c>
      <c r="I872" s="4">
        <v>6562.77</v>
      </c>
      <c r="J872" t="s">
        <v>16</v>
      </c>
      <c r="K872" t="s">
        <v>17</v>
      </c>
      <c r="L872" s="4">
        <f>VLOOKUP(tblTransactions[[#This Row],[Product_ID]],tblProducts[],5,FALSE)</f>
        <v>1282.18</v>
      </c>
      <c r="M872" s="4">
        <f>tblTransactions[[#This Row],[Total_Amount]]-(tblTransactions[[#This Row],[Cost_Prices]]*tblTransactions[[#This Row],[Quantity]]*(1-tblTransactions[[#This Row],[Discount]]))</f>
        <v>1895.6347999999998</v>
      </c>
      <c r="N872" s="3">
        <f>tblTransactions[[#This Row],[Profit]]/tblTransactions[[#This Row],[Total_Amount]]</f>
        <v>0.28884675220981382</v>
      </c>
      <c r="O872" t="str">
        <f>TEXT(tblTransactions[[#This Row],[Date]], "MMM-YYYY")</f>
        <v>Jul-2023</v>
      </c>
      <c r="P872" t="str">
        <f>"Q"&amp;ROUNDUP(MONTH(tblTransactions[[#This Row],[Date]])/3,0)&amp;"-"&amp;YEAR(tblTransactions[[#This Row],[Date]])</f>
        <v>Q3-2023</v>
      </c>
      <c r="Q872">
        <f>YEAR(tblTransactions[[#This Row],[Date]])</f>
        <v>2023</v>
      </c>
      <c r="R872" t="str">
        <f>TEXT(tblTransactions[[#This Row],[Date]],"DDDD")</f>
        <v>Wednesday</v>
      </c>
      <c r="S872">
        <f>MONTH(tblTransactions[[#This Row],[Date]])</f>
        <v>7</v>
      </c>
      <c r="T872" t="str">
        <f>VLOOKUP(E872, Products!$A:$B,2,0)</f>
        <v>Tablets Ele-3</v>
      </c>
      <c r="U872" t="str">
        <f>VLOOKUP(E872,Products!$A:$C,3,0)</f>
        <v>Electronics</v>
      </c>
      <c r="V872" t="str">
        <f>VLOOKUP(E872,Products!$A:$D,4,0)</f>
        <v>Tablets</v>
      </c>
      <c r="W872" t="str">
        <f>VLOOKUP(D872,Customers!$A:$C,3,0)</f>
        <v>B2B</v>
      </c>
      <c r="X872" t="str">
        <f>VLOOKUP(C872,Sales_Representatives!$A:$B,2,0)</f>
        <v>Thomas Lopez</v>
      </c>
    </row>
    <row r="873" spans="1:24" x14ac:dyDescent="0.3">
      <c r="A873" t="s">
        <v>1219</v>
      </c>
      <c r="B873" t="s">
        <v>1218</v>
      </c>
      <c r="C873" t="s">
        <v>107</v>
      </c>
      <c r="D873" t="s">
        <v>32</v>
      </c>
      <c r="E873" t="s">
        <v>68</v>
      </c>
      <c r="F873">
        <v>4</v>
      </c>
      <c r="G873">
        <v>522.63</v>
      </c>
      <c r="H873">
        <v>0.06</v>
      </c>
      <c r="I873" s="4">
        <v>1965.09</v>
      </c>
      <c r="J873" t="s">
        <v>109</v>
      </c>
      <c r="K873" t="s">
        <v>22</v>
      </c>
      <c r="L873" s="4">
        <f>VLOOKUP(tblTransactions[[#This Row],[Product_ID]],tblProducts[],5,FALSE)</f>
        <v>355.82</v>
      </c>
      <c r="M873" s="4">
        <f>tblTransactions[[#This Row],[Total_Amount]]-(tblTransactions[[#This Row],[Cost_Prices]]*tblTransactions[[#This Row],[Quantity]]*(1-tblTransactions[[#This Row],[Discount]]))</f>
        <v>627.20679999999993</v>
      </c>
      <c r="N873" s="3">
        <f>tblTransactions[[#This Row],[Profit]]/tblTransactions[[#This Row],[Total_Amount]]</f>
        <v>0.31917459251230224</v>
      </c>
      <c r="O873" t="str">
        <f>TEXT(tblTransactions[[#This Row],[Date]], "MMM-YYYY")</f>
        <v>Jul-2023</v>
      </c>
      <c r="P873" t="str">
        <f>"Q"&amp;ROUNDUP(MONTH(tblTransactions[[#This Row],[Date]])/3,0)&amp;"-"&amp;YEAR(tblTransactions[[#This Row],[Date]])</f>
        <v>Q3-2023</v>
      </c>
      <c r="Q873">
        <f>YEAR(tblTransactions[[#This Row],[Date]])</f>
        <v>2023</v>
      </c>
      <c r="R873" t="str">
        <f>TEXT(tblTransactions[[#This Row],[Date]],"DDDD")</f>
        <v>Wednesday</v>
      </c>
      <c r="S873">
        <f>MONTH(tblTransactions[[#This Row],[Date]])</f>
        <v>7</v>
      </c>
      <c r="T873" t="str">
        <f>VLOOKUP(E873, Products!$A:$B,2,0)</f>
        <v>Monitors Tec-3</v>
      </c>
      <c r="U873" t="str">
        <f>VLOOKUP(E873,Products!$A:$C,3,0)</f>
        <v>Technology</v>
      </c>
      <c r="V873" t="str">
        <f>VLOOKUP(E873,Products!$A:$D,4,0)</f>
        <v>Monitors</v>
      </c>
      <c r="W873" t="str">
        <f>VLOOKUP(D873,Customers!$A:$C,3,0)</f>
        <v>B2C</v>
      </c>
      <c r="X873" t="str">
        <f>VLOOKUP(C873,Sales_Representatives!$A:$B,2,0)</f>
        <v>Jennifer Brown</v>
      </c>
    </row>
    <row r="874" spans="1:24" x14ac:dyDescent="0.3">
      <c r="A874" t="s">
        <v>1220</v>
      </c>
      <c r="B874" t="s">
        <v>1218</v>
      </c>
      <c r="C874" t="s">
        <v>75</v>
      </c>
      <c r="D874" t="s">
        <v>212</v>
      </c>
      <c r="E874" t="s">
        <v>145</v>
      </c>
      <c r="F874">
        <v>3</v>
      </c>
      <c r="G874">
        <v>93.43</v>
      </c>
      <c r="H874">
        <v>0.04</v>
      </c>
      <c r="I874" s="4">
        <v>269.08</v>
      </c>
      <c r="J874" t="s">
        <v>44</v>
      </c>
      <c r="K874" t="s">
        <v>22</v>
      </c>
      <c r="L874" s="4">
        <f>VLOOKUP(tblTransactions[[#This Row],[Product_ID]],tblProducts[],5,FALSE)</f>
        <v>45.74</v>
      </c>
      <c r="M874" s="4">
        <f>tblTransactions[[#This Row],[Total_Amount]]-(tblTransactions[[#This Row],[Cost_Prices]]*tblTransactions[[#This Row],[Quantity]]*(1-tblTransactions[[#This Row],[Discount]]))</f>
        <v>137.34879999999998</v>
      </c>
      <c r="N874" s="3">
        <f>tblTransactions[[#This Row],[Profit]]/tblTransactions[[#This Row],[Total_Amount]]</f>
        <v>0.51043853129180905</v>
      </c>
      <c r="O874" t="str">
        <f>TEXT(tblTransactions[[#This Row],[Date]], "MMM-YYYY")</f>
        <v>Jul-2023</v>
      </c>
      <c r="P874" t="str">
        <f>"Q"&amp;ROUNDUP(MONTH(tblTransactions[[#This Row],[Date]])/3,0)&amp;"-"&amp;YEAR(tblTransactions[[#This Row],[Date]])</f>
        <v>Q3-2023</v>
      </c>
      <c r="Q874">
        <f>YEAR(tblTransactions[[#This Row],[Date]])</f>
        <v>2023</v>
      </c>
      <c r="R874" t="str">
        <f>TEXT(tblTransactions[[#This Row],[Date]],"DDDD")</f>
        <v>Wednesday</v>
      </c>
      <c r="S874">
        <f>MONTH(tblTransactions[[#This Row],[Date]])</f>
        <v>7</v>
      </c>
      <c r="T874" t="str">
        <f>VLOOKUP(E874, Products!$A:$B,2,0)</f>
        <v>Paper Off-1</v>
      </c>
      <c r="U874" t="str">
        <f>VLOOKUP(E874,Products!$A:$C,3,0)</f>
        <v>Office Supplies</v>
      </c>
      <c r="V874" t="str">
        <f>VLOOKUP(E874,Products!$A:$D,4,0)</f>
        <v>Paper</v>
      </c>
      <c r="W874" t="str">
        <f>VLOOKUP(D874,Customers!$A:$C,3,0)</f>
        <v>B2C</v>
      </c>
      <c r="X874" t="str">
        <f>VLOOKUP(C874,Sales_Representatives!$A:$B,2,0)</f>
        <v>Jessica Anderson</v>
      </c>
    </row>
    <row r="875" spans="1:24" x14ac:dyDescent="0.3">
      <c r="A875" t="s">
        <v>1221</v>
      </c>
      <c r="B875" t="s">
        <v>1218</v>
      </c>
      <c r="C875" t="s">
        <v>19</v>
      </c>
      <c r="D875" t="s">
        <v>52</v>
      </c>
      <c r="E875" t="s">
        <v>200</v>
      </c>
      <c r="F875">
        <v>2</v>
      </c>
      <c r="G875">
        <v>544.77</v>
      </c>
      <c r="H875">
        <v>0.04</v>
      </c>
      <c r="I875" s="4">
        <v>1045.96</v>
      </c>
      <c r="J875" t="s">
        <v>21</v>
      </c>
      <c r="K875" t="s">
        <v>39</v>
      </c>
      <c r="L875" s="4">
        <f>VLOOKUP(tblTransactions[[#This Row],[Product_ID]],tblProducts[],5,FALSE)</f>
        <v>318.2</v>
      </c>
      <c r="M875" s="4">
        <f>tblTransactions[[#This Row],[Total_Amount]]-(tblTransactions[[#This Row],[Cost_Prices]]*tblTransactions[[#This Row],[Quantity]]*(1-tblTransactions[[#This Row],[Discount]]))</f>
        <v>435.01600000000008</v>
      </c>
      <c r="N875" s="3">
        <f>tblTransactions[[#This Row],[Profit]]/tblTransactions[[#This Row],[Total_Amount]]</f>
        <v>0.41590118168954843</v>
      </c>
      <c r="O875" t="str">
        <f>TEXT(tblTransactions[[#This Row],[Date]], "MMM-YYYY")</f>
        <v>Jul-2023</v>
      </c>
      <c r="P875" t="str">
        <f>"Q"&amp;ROUNDUP(MONTH(tblTransactions[[#This Row],[Date]])/3,0)&amp;"-"&amp;YEAR(tblTransactions[[#This Row],[Date]])</f>
        <v>Q3-2023</v>
      </c>
      <c r="Q875">
        <f>YEAR(tblTransactions[[#This Row],[Date]])</f>
        <v>2023</v>
      </c>
      <c r="R875" t="str">
        <f>TEXT(tblTransactions[[#This Row],[Date]],"DDDD")</f>
        <v>Wednesday</v>
      </c>
      <c r="S875">
        <f>MONTH(tblTransactions[[#This Row],[Date]])</f>
        <v>7</v>
      </c>
      <c r="T875" t="str">
        <f>VLOOKUP(E875, Products!$A:$B,2,0)</f>
        <v>Desks Fur-4</v>
      </c>
      <c r="U875" t="str">
        <f>VLOOKUP(E875,Products!$A:$C,3,0)</f>
        <v>Furniture</v>
      </c>
      <c r="V875" t="str">
        <f>VLOOKUP(E875,Products!$A:$D,4,0)</f>
        <v>Desks</v>
      </c>
      <c r="W875" t="str">
        <f>VLOOKUP(D875,Customers!$A:$C,3,0)</f>
        <v>B2C</v>
      </c>
      <c r="X875" t="str">
        <f>VLOOKUP(C875,Sales_Representatives!$A:$B,2,0)</f>
        <v>Robert Jones</v>
      </c>
    </row>
    <row r="876" spans="1:24" x14ac:dyDescent="0.3">
      <c r="A876" t="s">
        <v>1222</v>
      </c>
      <c r="B876" t="s">
        <v>1223</v>
      </c>
      <c r="C876" t="s">
        <v>27</v>
      </c>
      <c r="D876" t="s">
        <v>288</v>
      </c>
      <c r="E876" t="s">
        <v>152</v>
      </c>
      <c r="F876">
        <v>3</v>
      </c>
      <c r="G876">
        <v>859.93</v>
      </c>
      <c r="H876">
        <v>7.0000000000000007E-2</v>
      </c>
      <c r="I876" s="4">
        <v>2399.1999999999998</v>
      </c>
      <c r="J876" t="s">
        <v>16</v>
      </c>
      <c r="K876" t="s">
        <v>48</v>
      </c>
      <c r="L876" s="4">
        <f>VLOOKUP(tblTransactions[[#This Row],[Product_ID]],tblProducts[],5,FALSE)</f>
        <v>579.79</v>
      </c>
      <c r="M876" s="4">
        <f>tblTransactions[[#This Row],[Total_Amount]]-(tblTransactions[[#This Row],[Cost_Prices]]*tblTransactions[[#This Row],[Quantity]]*(1-tblTransactions[[#This Row],[Discount]]))</f>
        <v>781.58590000000004</v>
      </c>
      <c r="N876" s="3">
        <f>tblTransactions[[#This Row],[Profit]]/tblTransactions[[#This Row],[Total_Amount]]</f>
        <v>0.3257693814604869</v>
      </c>
      <c r="O876" t="str">
        <f>TEXT(tblTransactions[[#This Row],[Date]], "MMM-YYYY")</f>
        <v>Jul-2023</v>
      </c>
      <c r="P876" t="str">
        <f>"Q"&amp;ROUNDUP(MONTH(tblTransactions[[#This Row],[Date]])/3,0)&amp;"-"&amp;YEAR(tblTransactions[[#This Row],[Date]])</f>
        <v>Q3-2023</v>
      </c>
      <c r="Q876">
        <f>YEAR(tblTransactions[[#This Row],[Date]])</f>
        <v>2023</v>
      </c>
      <c r="R876" t="str">
        <f>TEXT(tblTransactions[[#This Row],[Date]],"DDDD")</f>
        <v>Thursday</v>
      </c>
      <c r="S876">
        <f>MONTH(tblTransactions[[#This Row],[Date]])</f>
        <v>7</v>
      </c>
      <c r="T876" t="str">
        <f>VLOOKUP(E876, Products!$A:$B,2,0)</f>
        <v>Phones Ele-4</v>
      </c>
      <c r="U876" t="str">
        <f>VLOOKUP(E876,Products!$A:$C,3,0)</f>
        <v>Electronics</v>
      </c>
      <c r="V876" t="str">
        <f>VLOOKUP(E876,Products!$A:$D,4,0)</f>
        <v>Phones</v>
      </c>
      <c r="W876" t="str">
        <f>VLOOKUP(D876,Customers!$A:$C,3,0)</f>
        <v>B2C</v>
      </c>
      <c r="X876" t="str">
        <f>VLOOKUP(C876,Sales_Representatives!$A:$B,2,0)</f>
        <v>Thomas Lopez</v>
      </c>
    </row>
    <row r="877" spans="1:24" x14ac:dyDescent="0.3">
      <c r="A877" t="s">
        <v>1224</v>
      </c>
      <c r="B877" t="s">
        <v>1223</v>
      </c>
      <c r="C877" t="s">
        <v>70</v>
      </c>
      <c r="D877" t="s">
        <v>237</v>
      </c>
      <c r="E877" t="s">
        <v>290</v>
      </c>
      <c r="F877">
        <v>6</v>
      </c>
      <c r="G877">
        <v>729.32</v>
      </c>
      <c r="H877">
        <v>0.08</v>
      </c>
      <c r="I877" s="4">
        <v>4025.85</v>
      </c>
      <c r="J877" t="s">
        <v>16</v>
      </c>
      <c r="K877" t="s">
        <v>48</v>
      </c>
      <c r="L877" s="4">
        <f>VLOOKUP(tblTransactions[[#This Row],[Product_ID]],tblProducts[],5,FALSE)</f>
        <v>482.7</v>
      </c>
      <c r="M877" s="4">
        <f>tblTransactions[[#This Row],[Total_Amount]]-(tblTransactions[[#This Row],[Cost_Prices]]*tblTransactions[[#This Row],[Quantity]]*(1-tblTransactions[[#This Row],[Discount]]))</f>
        <v>1361.346</v>
      </c>
      <c r="N877" s="3">
        <f>tblTransactions[[#This Row],[Profit]]/tblTransactions[[#This Row],[Total_Amount]]</f>
        <v>0.33815119788367676</v>
      </c>
      <c r="O877" t="str">
        <f>TEXT(tblTransactions[[#This Row],[Date]], "MMM-YYYY")</f>
        <v>Jul-2023</v>
      </c>
      <c r="P877" t="str">
        <f>"Q"&amp;ROUNDUP(MONTH(tblTransactions[[#This Row],[Date]])/3,0)&amp;"-"&amp;YEAR(tblTransactions[[#This Row],[Date]])</f>
        <v>Q3-2023</v>
      </c>
      <c r="Q877">
        <f>YEAR(tblTransactions[[#This Row],[Date]])</f>
        <v>2023</v>
      </c>
      <c r="R877" t="str">
        <f>TEXT(tblTransactions[[#This Row],[Date]],"DDDD")</f>
        <v>Thursday</v>
      </c>
      <c r="S877">
        <f>MONTH(tblTransactions[[#This Row],[Date]])</f>
        <v>7</v>
      </c>
      <c r="T877" t="str">
        <f>VLOOKUP(E877, Products!$A:$B,2,0)</f>
        <v>Tables Fur-1</v>
      </c>
      <c r="U877" t="str">
        <f>VLOOKUP(E877,Products!$A:$C,3,0)</f>
        <v>Furniture</v>
      </c>
      <c r="V877" t="str">
        <f>VLOOKUP(E877,Products!$A:$D,4,0)</f>
        <v>Tables</v>
      </c>
      <c r="W877" t="str">
        <f>VLOOKUP(D877,Customers!$A:$C,3,0)</f>
        <v>B2B</v>
      </c>
      <c r="X877" t="str">
        <f>VLOOKUP(C877,Sales_Representatives!$A:$B,2,0)</f>
        <v>Linda Smith</v>
      </c>
    </row>
    <row r="878" spans="1:24" x14ac:dyDescent="0.3">
      <c r="A878" t="s">
        <v>1225</v>
      </c>
      <c r="B878" t="s">
        <v>1223</v>
      </c>
      <c r="C878" t="s">
        <v>13</v>
      </c>
      <c r="D878" t="s">
        <v>47</v>
      </c>
      <c r="E878" t="s">
        <v>304</v>
      </c>
      <c r="F878">
        <v>4</v>
      </c>
      <c r="G878">
        <v>13.43</v>
      </c>
      <c r="H878">
        <v>7.0000000000000007E-2</v>
      </c>
      <c r="I878" s="4">
        <v>49.96</v>
      </c>
      <c r="J878" t="s">
        <v>16</v>
      </c>
      <c r="K878" t="s">
        <v>39</v>
      </c>
      <c r="L878" s="4">
        <f>VLOOKUP(tblTransactions[[#This Row],[Product_ID]],tblProducts[],5,FALSE)</f>
        <v>5.8</v>
      </c>
      <c r="M878" s="4">
        <f>tblTransactions[[#This Row],[Total_Amount]]-(tblTransactions[[#This Row],[Cost_Prices]]*tblTransactions[[#This Row],[Quantity]]*(1-tblTransactions[[#This Row],[Discount]]))</f>
        <v>28.384000000000004</v>
      </c>
      <c r="N878" s="3">
        <f>tblTransactions[[#This Row],[Profit]]/tblTransactions[[#This Row],[Total_Amount]]</f>
        <v>0.56813450760608497</v>
      </c>
      <c r="O878" t="str">
        <f>TEXT(tblTransactions[[#This Row],[Date]], "MMM-YYYY")</f>
        <v>Jul-2023</v>
      </c>
      <c r="P878" t="str">
        <f>"Q"&amp;ROUNDUP(MONTH(tblTransactions[[#This Row],[Date]])/3,0)&amp;"-"&amp;YEAR(tblTransactions[[#This Row],[Date]])</f>
        <v>Q3-2023</v>
      </c>
      <c r="Q878">
        <f>YEAR(tblTransactions[[#This Row],[Date]])</f>
        <v>2023</v>
      </c>
      <c r="R878" t="str">
        <f>TEXT(tblTransactions[[#This Row],[Date]],"DDDD")</f>
        <v>Thursday</v>
      </c>
      <c r="S878">
        <f>MONTH(tblTransactions[[#This Row],[Date]])</f>
        <v>7</v>
      </c>
      <c r="T878" t="str">
        <f>VLOOKUP(E878, Products!$A:$B,2,0)</f>
        <v>Pens Off-1</v>
      </c>
      <c r="U878" t="str">
        <f>VLOOKUP(E878,Products!$A:$C,3,0)</f>
        <v>Office Supplies</v>
      </c>
      <c r="V878" t="str">
        <f>VLOOKUP(E878,Products!$A:$D,4,0)</f>
        <v>Pens</v>
      </c>
      <c r="W878" t="str">
        <f>VLOOKUP(D878,Customers!$A:$C,3,0)</f>
        <v>B2C</v>
      </c>
      <c r="X878" t="str">
        <f>VLOOKUP(C878,Sales_Representatives!$A:$B,2,0)</f>
        <v>Jennifer Rodriguez</v>
      </c>
    </row>
    <row r="879" spans="1:24" x14ac:dyDescent="0.3">
      <c r="A879" t="s">
        <v>1226</v>
      </c>
      <c r="B879" t="s">
        <v>1223</v>
      </c>
      <c r="C879" t="s">
        <v>82</v>
      </c>
      <c r="D879" t="s">
        <v>42</v>
      </c>
      <c r="E879" t="s">
        <v>450</v>
      </c>
      <c r="F879">
        <v>7</v>
      </c>
      <c r="G879">
        <v>2083.92</v>
      </c>
      <c r="H879">
        <v>0.11</v>
      </c>
      <c r="I879" s="4">
        <v>12982.82</v>
      </c>
      <c r="J879" t="s">
        <v>34</v>
      </c>
      <c r="K879" t="s">
        <v>39</v>
      </c>
      <c r="L879" s="4">
        <f>VLOOKUP(tblTransactions[[#This Row],[Product_ID]],tblProducts[],5,FALSE)</f>
        <v>1425.78</v>
      </c>
      <c r="M879" s="4">
        <f>tblTransactions[[#This Row],[Total_Amount]]-(tblTransactions[[#This Row],[Cost_Prices]]*tblTransactions[[#This Row],[Quantity]]*(1-tblTransactions[[#This Row],[Discount]]))</f>
        <v>4100.2106000000003</v>
      </c>
      <c r="N879" s="3">
        <f>tblTransactions[[#This Row],[Profit]]/tblTransactions[[#This Row],[Total_Amount]]</f>
        <v>0.31581818125800099</v>
      </c>
      <c r="O879" t="str">
        <f>TEXT(tblTransactions[[#This Row],[Date]], "MMM-YYYY")</f>
        <v>Jul-2023</v>
      </c>
      <c r="P879" t="str">
        <f>"Q"&amp;ROUNDUP(MONTH(tblTransactions[[#This Row],[Date]])/3,0)&amp;"-"&amp;YEAR(tblTransactions[[#This Row],[Date]])</f>
        <v>Q3-2023</v>
      </c>
      <c r="Q879">
        <f>YEAR(tblTransactions[[#This Row],[Date]])</f>
        <v>2023</v>
      </c>
      <c r="R879" t="str">
        <f>TEXT(tblTransactions[[#This Row],[Date]],"DDDD")</f>
        <v>Thursday</v>
      </c>
      <c r="S879">
        <f>MONTH(tblTransactions[[#This Row],[Date]])</f>
        <v>7</v>
      </c>
      <c r="T879" t="str">
        <f>VLOOKUP(E879, Products!$A:$B,2,0)</f>
        <v>Monitors Tec-4</v>
      </c>
      <c r="U879" t="str">
        <f>VLOOKUP(E879,Products!$A:$C,3,0)</f>
        <v>Technology</v>
      </c>
      <c r="V879" t="str">
        <f>VLOOKUP(E879,Products!$A:$D,4,0)</f>
        <v>Monitors</v>
      </c>
      <c r="W879" t="str">
        <f>VLOOKUP(D879,Customers!$A:$C,3,0)</f>
        <v>B2C</v>
      </c>
      <c r="X879" t="str">
        <f>VLOOKUP(C879,Sales_Representatives!$A:$B,2,0)</f>
        <v>John Brown</v>
      </c>
    </row>
    <row r="880" spans="1:24" x14ac:dyDescent="0.3">
      <c r="A880" t="s">
        <v>1227</v>
      </c>
      <c r="B880" t="s">
        <v>1223</v>
      </c>
      <c r="C880" t="s">
        <v>127</v>
      </c>
      <c r="D880" t="s">
        <v>124</v>
      </c>
      <c r="E880" t="s">
        <v>176</v>
      </c>
      <c r="F880">
        <v>4</v>
      </c>
      <c r="G880">
        <v>1462.68</v>
      </c>
      <c r="H880">
        <v>0.05</v>
      </c>
      <c r="I880" s="4">
        <v>5558.18</v>
      </c>
      <c r="J880" t="s">
        <v>109</v>
      </c>
      <c r="K880" t="s">
        <v>48</v>
      </c>
      <c r="L880" s="4">
        <f>VLOOKUP(tblTransactions[[#This Row],[Product_ID]],tblProducts[],5,FALSE)</f>
        <v>775.94</v>
      </c>
      <c r="M880" s="4">
        <f>tblTransactions[[#This Row],[Total_Amount]]-(tblTransactions[[#This Row],[Cost_Prices]]*tblTransactions[[#This Row],[Quantity]]*(1-tblTransactions[[#This Row],[Discount]]))</f>
        <v>2609.6080000000002</v>
      </c>
      <c r="N880" s="3">
        <f>tblTransactions[[#This Row],[Profit]]/tblTransactions[[#This Row],[Total_Amount]]</f>
        <v>0.46950764458869632</v>
      </c>
      <c r="O880" t="str">
        <f>TEXT(tblTransactions[[#This Row],[Date]], "MMM-YYYY")</f>
        <v>Jul-2023</v>
      </c>
      <c r="P880" t="str">
        <f>"Q"&amp;ROUNDUP(MONTH(tblTransactions[[#This Row],[Date]])/3,0)&amp;"-"&amp;YEAR(tblTransactions[[#This Row],[Date]])</f>
        <v>Q3-2023</v>
      </c>
      <c r="Q880">
        <f>YEAR(tblTransactions[[#This Row],[Date]])</f>
        <v>2023</v>
      </c>
      <c r="R880" t="str">
        <f>TEXT(tblTransactions[[#This Row],[Date]],"DDDD")</f>
        <v>Thursday</v>
      </c>
      <c r="S880">
        <f>MONTH(tblTransactions[[#This Row],[Date]])</f>
        <v>7</v>
      </c>
      <c r="T880" t="str">
        <f>VLOOKUP(E880, Products!$A:$B,2,0)</f>
        <v>Chairs Fur-2</v>
      </c>
      <c r="U880" t="str">
        <f>VLOOKUP(E880,Products!$A:$C,3,0)</f>
        <v>Furniture</v>
      </c>
      <c r="V880" t="str">
        <f>VLOOKUP(E880,Products!$A:$D,4,0)</f>
        <v>Chairs</v>
      </c>
      <c r="W880" t="str">
        <f>VLOOKUP(D880,Customers!$A:$C,3,0)</f>
        <v>B2B</v>
      </c>
      <c r="X880" t="str">
        <f>VLOOKUP(C880,Sales_Representatives!$A:$B,2,0)</f>
        <v>Emily Hernandez</v>
      </c>
    </row>
    <row r="881" spans="1:24" x14ac:dyDescent="0.3">
      <c r="A881" t="s">
        <v>1228</v>
      </c>
      <c r="B881" t="s">
        <v>1223</v>
      </c>
      <c r="C881" t="s">
        <v>63</v>
      </c>
      <c r="D881" t="s">
        <v>95</v>
      </c>
      <c r="E881" t="s">
        <v>89</v>
      </c>
      <c r="F881">
        <v>27</v>
      </c>
      <c r="G881">
        <v>555.08000000000004</v>
      </c>
      <c r="H881">
        <v>0.19</v>
      </c>
      <c r="I881" s="4">
        <v>12139.6</v>
      </c>
      <c r="J881" t="s">
        <v>21</v>
      </c>
      <c r="K881" t="s">
        <v>22</v>
      </c>
      <c r="L881" s="4">
        <f>VLOOKUP(tblTransactions[[#This Row],[Product_ID]],tblProducts[],5,FALSE)</f>
        <v>402.82</v>
      </c>
      <c r="M881" s="4">
        <f>tblTransactions[[#This Row],[Total_Amount]]-(tblTransactions[[#This Row],[Cost_Prices]]*tblTransactions[[#This Row],[Quantity]]*(1-tblTransactions[[#This Row],[Discount]]))</f>
        <v>3329.9266000000007</v>
      </c>
      <c r="N881" s="3">
        <f>tblTransactions[[#This Row],[Profit]]/tblTransactions[[#This Row],[Total_Amount]]</f>
        <v>0.27430282711127224</v>
      </c>
      <c r="O881" t="str">
        <f>TEXT(tblTransactions[[#This Row],[Date]], "MMM-YYYY")</f>
        <v>Jul-2023</v>
      </c>
      <c r="P881" t="str">
        <f>"Q"&amp;ROUNDUP(MONTH(tblTransactions[[#This Row],[Date]])/3,0)&amp;"-"&amp;YEAR(tblTransactions[[#This Row],[Date]])</f>
        <v>Q3-2023</v>
      </c>
      <c r="Q881">
        <f>YEAR(tblTransactions[[#This Row],[Date]])</f>
        <v>2023</v>
      </c>
      <c r="R881" t="str">
        <f>TEXT(tblTransactions[[#This Row],[Date]],"DDDD")</f>
        <v>Thursday</v>
      </c>
      <c r="S881">
        <f>MONTH(tblTransactions[[#This Row],[Date]])</f>
        <v>7</v>
      </c>
      <c r="T881" t="str">
        <f>VLOOKUP(E881, Products!$A:$B,2,0)</f>
        <v>Laptops Ele-3</v>
      </c>
      <c r="U881" t="str">
        <f>VLOOKUP(E881,Products!$A:$C,3,0)</f>
        <v>Electronics</v>
      </c>
      <c r="V881" t="str">
        <f>VLOOKUP(E881,Products!$A:$D,4,0)</f>
        <v>Laptops</v>
      </c>
      <c r="W881" t="str">
        <f>VLOOKUP(D881,Customers!$A:$C,3,0)</f>
        <v>Enterprise</v>
      </c>
      <c r="X881" t="str">
        <f>VLOOKUP(C881,Sales_Representatives!$A:$B,2,0)</f>
        <v>Richard Wilson</v>
      </c>
    </row>
    <row r="882" spans="1:24" x14ac:dyDescent="0.3">
      <c r="A882" t="s">
        <v>1229</v>
      </c>
      <c r="B882" t="s">
        <v>1230</v>
      </c>
      <c r="C882" t="s">
        <v>107</v>
      </c>
      <c r="D882" t="s">
        <v>183</v>
      </c>
      <c r="E882" t="s">
        <v>316</v>
      </c>
      <c r="F882">
        <v>7</v>
      </c>
      <c r="G882">
        <v>91.42</v>
      </c>
      <c r="H882">
        <v>0.09</v>
      </c>
      <c r="I882" s="4">
        <v>582.35</v>
      </c>
      <c r="J882" t="s">
        <v>109</v>
      </c>
      <c r="K882" t="s">
        <v>22</v>
      </c>
      <c r="L882" s="4">
        <f>VLOOKUP(tblTransactions[[#This Row],[Product_ID]],tblProducts[],5,FALSE)</f>
        <v>50.09</v>
      </c>
      <c r="M882" s="4">
        <f>tblTransactions[[#This Row],[Total_Amount]]-(tblTransactions[[#This Row],[Cost_Prices]]*tblTransactions[[#This Row],[Quantity]]*(1-tblTransactions[[#This Row],[Discount]]))</f>
        <v>263.27670000000001</v>
      </c>
      <c r="N882" s="3">
        <f>tblTransactions[[#This Row],[Profit]]/tblTransactions[[#This Row],[Total_Amount]]</f>
        <v>0.45209358633124408</v>
      </c>
      <c r="O882" t="str">
        <f>TEXT(tblTransactions[[#This Row],[Date]], "MMM-YYYY")</f>
        <v>Jul-2023</v>
      </c>
      <c r="P882" t="str">
        <f>"Q"&amp;ROUNDUP(MONTH(tblTransactions[[#This Row],[Date]])/3,0)&amp;"-"&amp;YEAR(tblTransactions[[#This Row],[Date]])</f>
        <v>Q3-2023</v>
      </c>
      <c r="Q882">
        <f>YEAR(tblTransactions[[#This Row],[Date]])</f>
        <v>2023</v>
      </c>
      <c r="R882" t="str">
        <f>TEXT(tblTransactions[[#This Row],[Date]],"DDDD")</f>
        <v>Friday</v>
      </c>
      <c r="S882">
        <f>MONTH(tblTransactions[[#This Row],[Date]])</f>
        <v>7</v>
      </c>
      <c r="T882" t="str">
        <f>VLOOKUP(E882, Products!$A:$B,2,0)</f>
        <v>Binders Off-3</v>
      </c>
      <c r="U882" t="str">
        <f>VLOOKUP(E882,Products!$A:$C,3,0)</f>
        <v>Office Supplies</v>
      </c>
      <c r="V882" t="str">
        <f>VLOOKUP(E882,Products!$A:$D,4,0)</f>
        <v>Binders</v>
      </c>
      <c r="W882" t="str">
        <f>VLOOKUP(D882,Customers!$A:$C,3,0)</f>
        <v>Small Business</v>
      </c>
      <c r="X882" t="str">
        <f>VLOOKUP(C882,Sales_Representatives!$A:$B,2,0)</f>
        <v>Jennifer Brown</v>
      </c>
    </row>
    <row r="883" spans="1:24" x14ac:dyDescent="0.3">
      <c r="A883" t="s">
        <v>1231</v>
      </c>
      <c r="B883" t="s">
        <v>1230</v>
      </c>
      <c r="C883" t="s">
        <v>27</v>
      </c>
      <c r="D883" t="s">
        <v>37</v>
      </c>
      <c r="E883" t="s">
        <v>255</v>
      </c>
      <c r="F883">
        <v>11</v>
      </c>
      <c r="G883">
        <v>1444.13</v>
      </c>
      <c r="H883">
        <v>0.17</v>
      </c>
      <c r="I883" s="4">
        <v>13184.91</v>
      </c>
      <c r="J883" t="s">
        <v>16</v>
      </c>
      <c r="K883" t="s">
        <v>17</v>
      </c>
      <c r="L883" s="4">
        <f>VLOOKUP(tblTransactions[[#This Row],[Product_ID]],tblProducts[],5,FALSE)</f>
        <v>874.43</v>
      </c>
      <c r="M883" s="4">
        <f>tblTransactions[[#This Row],[Total_Amount]]-(tblTransactions[[#This Row],[Cost_Prices]]*tblTransactions[[#This Row],[Quantity]]*(1-tblTransactions[[#This Row],[Discount]]))</f>
        <v>5201.3641000000007</v>
      </c>
      <c r="N883" s="3">
        <f>tblTransactions[[#This Row],[Profit]]/tblTransactions[[#This Row],[Total_Amount]]</f>
        <v>0.39449371288844604</v>
      </c>
      <c r="O883" t="str">
        <f>TEXT(tblTransactions[[#This Row],[Date]], "MMM-YYYY")</f>
        <v>Jul-2023</v>
      </c>
      <c r="P883" t="str">
        <f>"Q"&amp;ROUNDUP(MONTH(tblTransactions[[#This Row],[Date]])/3,0)&amp;"-"&amp;YEAR(tblTransactions[[#This Row],[Date]])</f>
        <v>Q3-2023</v>
      </c>
      <c r="Q883">
        <f>YEAR(tblTransactions[[#This Row],[Date]])</f>
        <v>2023</v>
      </c>
      <c r="R883" t="str">
        <f>TEXT(tblTransactions[[#This Row],[Date]],"DDDD")</f>
        <v>Friday</v>
      </c>
      <c r="S883">
        <f>MONTH(tblTransactions[[#This Row],[Date]])</f>
        <v>7</v>
      </c>
      <c r="T883" t="str">
        <f>VLOOKUP(E883, Products!$A:$B,2,0)</f>
        <v>Printers Tec-1</v>
      </c>
      <c r="U883" t="str">
        <f>VLOOKUP(E883,Products!$A:$C,3,0)</f>
        <v>Technology</v>
      </c>
      <c r="V883" t="str">
        <f>VLOOKUP(E883,Products!$A:$D,4,0)</f>
        <v>Printers</v>
      </c>
      <c r="W883" t="str">
        <f>VLOOKUP(D883,Customers!$A:$C,3,0)</f>
        <v>Enterprise</v>
      </c>
      <c r="X883" t="str">
        <f>VLOOKUP(C883,Sales_Representatives!$A:$B,2,0)</f>
        <v>Thomas Lopez</v>
      </c>
    </row>
    <row r="884" spans="1:24" x14ac:dyDescent="0.3">
      <c r="A884" t="s">
        <v>1232</v>
      </c>
      <c r="B884" t="s">
        <v>1230</v>
      </c>
      <c r="C884" t="s">
        <v>70</v>
      </c>
      <c r="D884" t="s">
        <v>237</v>
      </c>
      <c r="E884" t="s">
        <v>29</v>
      </c>
      <c r="F884">
        <v>6</v>
      </c>
      <c r="G884">
        <v>1363.46</v>
      </c>
      <c r="H884">
        <v>0.09</v>
      </c>
      <c r="I884" s="4">
        <v>7444.49</v>
      </c>
      <c r="J884" t="s">
        <v>16</v>
      </c>
      <c r="K884" t="s">
        <v>22</v>
      </c>
      <c r="L884" s="4">
        <f>VLOOKUP(tblTransactions[[#This Row],[Product_ID]],tblProducts[],5,FALSE)</f>
        <v>995.41</v>
      </c>
      <c r="M884" s="4">
        <f>tblTransactions[[#This Row],[Total_Amount]]-(tblTransactions[[#This Row],[Cost_Prices]]*tblTransactions[[#This Row],[Quantity]]*(1-tblTransactions[[#This Row],[Discount]]))</f>
        <v>2009.5513999999994</v>
      </c>
      <c r="N884" s="3">
        <f>tblTransactions[[#This Row],[Profit]]/tblTransactions[[#This Row],[Total_Amount]]</f>
        <v>0.26993808843856321</v>
      </c>
      <c r="O884" t="str">
        <f>TEXT(tblTransactions[[#This Row],[Date]], "MMM-YYYY")</f>
        <v>Jul-2023</v>
      </c>
      <c r="P884" t="str">
        <f>"Q"&amp;ROUNDUP(MONTH(tblTransactions[[#This Row],[Date]])/3,0)&amp;"-"&amp;YEAR(tblTransactions[[#This Row],[Date]])</f>
        <v>Q3-2023</v>
      </c>
      <c r="Q884">
        <f>YEAR(tblTransactions[[#This Row],[Date]])</f>
        <v>2023</v>
      </c>
      <c r="R884" t="str">
        <f>TEXT(tblTransactions[[#This Row],[Date]],"DDDD")</f>
        <v>Friday</v>
      </c>
      <c r="S884">
        <f>MONTH(tblTransactions[[#This Row],[Date]])</f>
        <v>7</v>
      </c>
      <c r="T884" t="str">
        <f>VLOOKUP(E884, Products!$A:$B,2,0)</f>
        <v>Phones Ele-3</v>
      </c>
      <c r="U884" t="str">
        <f>VLOOKUP(E884,Products!$A:$C,3,0)</f>
        <v>Electronics</v>
      </c>
      <c r="V884" t="str">
        <f>VLOOKUP(E884,Products!$A:$D,4,0)</f>
        <v>Phones</v>
      </c>
      <c r="W884" t="str">
        <f>VLOOKUP(D884,Customers!$A:$C,3,0)</f>
        <v>B2B</v>
      </c>
      <c r="X884" t="str">
        <f>VLOOKUP(C884,Sales_Representatives!$A:$B,2,0)</f>
        <v>Linda Smith</v>
      </c>
    </row>
    <row r="885" spans="1:24" x14ac:dyDescent="0.3">
      <c r="A885" t="s">
        <v>1233</v>
      </c>
      <c r="B885" t="s">
        <v>1234</v>
      </c>
      <c r="C885" t="s">
        <v>31</v>
      </c>
      <c r="D885" t="s">
        <v>76</v>
      </c>
      <c r="E885" t="s">
        <v>394</v>
      </c>
      <c r="F885">
        <v>4</v>
      </c>
      <c r="G885">
        <v>314.69</v>
      </c>
      <c r="H885">
        <v>0.03</v>
      </c>
      <c r="I885" s="4">
        <v>1221</v>
      </c>
      <c r="J885" t="s">
        <v>34</v>
      </c>
      <c r="K885" t="s">
        <v>39</v>
      </c>
      <c r="L885" s="4">
        <f>VLOOKUP(tblTransactions[[#This Row],[Product_ID]],tblProducts[],5,FALSE)</f>
        <v>185.43</v>
      </c>
      <c r="M885" s="4">
        <f>tblTransactions[[#This Row],[Total_Amount]]-(tblTransactions[[#This Row],[Cost_Prices]]*tblTransactions[[#This Row],[Quantity]]*(1-tblTransactions[[#This Row],[Discount]]))</f>
        <v>501.53160000000003</v>
      </c>
      <c r="N885" s="3">
        <f>tblTransactions[[#This Row],[Profit]]/tblTransactions[[#This Row],[Total_Amount]]</f>
        <v>0.41075479115479119</v>
      </c>
      <c r="O885" t="str">
        <f>TEXT(tblTransactions[[#This Row],[Date]], "MMM-YYYY")</f>
        <v>Jul-2023</v>
      </c>
      <c r="P885" t="str">
        <f>"Q"&amp;ROUNDUP(MONTH(tblTransactions[[#This Row],[Date]])/3,0)&amp;"-"&amp;YEAR(tblTransactions[[#This Row],[Date]])</f>
        <v>Q3-2023</v>
      </c>
      <c r="Q885">
        <f>YEAR(tblTransactions[[#This Row],[Date]])</f>
        <v>2023</v>
      </c>
      <c r="R885" t="str">
        <f>TEXT(tblTransactions[[#This Row],[Date]],"DDDD")</f>
        <v>Saturday</v>
      </c>
      <c r="S885">
        <f>MONTH(tblTransactions[[#This Row],[Date]])</f>
        <v>7</v>
      </c>
      <c r="T885" t="str">
        <f>VLOOKUP(E885, Products!$A:$B,2,0)</f>
        <v>Desks Fur-1</v>
      </c>
      <c r="U885" t="str">
        <f>VLOOKUP(E885,Products!$A:$C,3,0)</f>
        <v>Furniture</v>
      </c>
      <c r="V885" t="str">
        <f>VLOOKUP(E885,Products!$A:$D,4,0)</f>
        <v>Desks</v>
      </c>
      <c r="W885" t="str">
        <f>VLOOKUP(D885,Customers!$A:$C,3,0)</f>
        <v>Small Business</v>
      </c>
      <c r="X885" t="str">
        <f>VLOOKUP(C885,Sales_Representatives!$A:$B,2,0)</f>
        <v>Thomas Martinez</v>
      </c>
    </row>
    <row r="886" spans="1:24" x14ac:dyDescent="0.3">
      <c r="A886" t="s">
        <v>1235</v>
      </c>
      <c r="B886" t="s">
        <v>1234</v>
      </c>
      <c r="C886" t="s">
        <v>13</v>
      </c>
      <c r="D886" t="s">
        <v>93</v>
      </c>
      <c r="E886" t="s">
        <v>176</v>
      </c>
      <c r="F886">
        <v>3</v>
      </c>
      <c r="G886">
        <v>1462.68</v>
      </c>
      <c r="H886">
        <v>0.04</v>
      </c>
      <c r="I886" s="4">
        <v>4212.5200000000004</v>
      </c>
      <c r="J886" t="s">
        <v>16</v>
      </c>
      <c r="K886" t="s">
        <v>35</v>
      </c>
      <c r="L886" s="4">
        <f>VLOOKUP(tblTransactions[[#This Row],[Product_ID]],tblProducts[],5,FALSE)</f>
        <v>775.94</v>
      </c>
      <c r="M886" s="4">
        <f>tblTransactions[[#This Row],[Total_Amount]]-(tblTransactions[[#This Row],[Cost_Prices]]*tblTransactions[[#This Row],[Quantity]]*(1-tblTransactions[[#This Row],[Discount]]))</f>
        <v>1977.8128000000002</v>
      </c>
      <c r="N886" s="3">
        <f>tblTransactions[[#This Row],[Profit]]/tblTransactions[[#This Row],[Total_Amount]]</f>
        <v>0.46950822785411106</v>
      </c>
      <c r="O886" t="str">
        <f>TEXT(tblTransactions[[#This Row],[Date]], "MMM-YYYY")</f>
        <v>Jul-2023</v>
      </c>
      <c r="P886" t="str">
        <f>"Q"&amp;ROUNDUP(MONTH(tblTransactions[[#This Row],[Date]])/3,0)&amp;"-"&amp;YEAR(tblTransactions[[#This Row],[Date]])</f>
        <v>Q3-2023</v>
      </c>
      <c r="Q886">
        <f>YEAR(tblTransactions[[#This Row],[Date]])</f>
        <v>2023</v>
      </c>
      <c r="R886" t="str">
        <f>TEXT(tblTransactions[[#This Row],[Date]],"DDDD")</f>
        <v>Saturday</v>
      </c>
      <c r="S886">
        <f>MONTH(tblTransactions[[#This Row],[Date]])</f>
        <v>7</v>
      </c>
      <c r="T886" t="str">
        <f>VLOOKUP(E886, Products!$A:$B,2,0)</f>
        <v>Chairs Fur-2</v>
      </c>
      <c r="U886" t="str">
        <f>VLOOKUP(E886,Products!$A:$C,3,0)</f>
        <v>Furniture</v>
      </c>
      <c r="V886" t="str">
        <f>VLOOKUP(E886,Products!$A:$D,4,0)</f>
        <v>Chairs</v>
      </c>
      <c r="W886" t="str">
        <f>VLOOKUP(D886,Customers!$A:$C,3,0)</f>
        <v>B2C</v>
      </c>
      <c r="X886" t="str">
        <f>VLOOKUP(C886,Sales_Representatives!$A:$B,2,0)</f>
        <v>Jennifer Rodriguez</v>
      </c>
    </row>
    <row r="887" spans="1:24" x14ac:dyDescent="0.3">
      <c r="A887" t="s">
        <v>1236</v>
      </c>
      <c r="B887" t="s">
        <v>1234</v>
      </c>
      <c r="C887" t="s">
        <v>127</v>
      </c>
      <c r="D887" t="s">
        <v>134</v>
      </c>
      <c r="E887" t="s">
        <v>264</v>
      </c>
      <c r="F887">
        <v>11</v>
      </c>
      <c r="G887">
        <v>607.29999999999995</v>
      </c>
      <c r="H887">
        <v>0.19</v>
      </c>
      <c r="I887" s="4">
        <v>5411.04</v>
      </c>
      <c r="J887" t="s">
        <v>109</v>
      </c>
      <c r="K887" t="s">
        <v>35</v>
      </c>
      <c r="L887" s="4">
        <f>VLOOKUP(tblTransactions[[#This Row],[Product_ID]],tblProducts[],5,FALSE)</f>
        <v>436.37</v>
      </c>
      <c r="M887" s="4">
        <f>tblTransactions[[#This Row],[Total_Amount]]-(tblTransactions[[#This Row],[Cost_Prices]]*tblTransactions[[#This Row],[Quantity]]*(1-tblTransactions[[#This Row],[Discount]]))</f>
        <v>1522.9832999999999</v>
      </c>
      <c r="N887" s="3">
        <f>tblTransactions[[#This Row],[Profit]]/tblTransactions[[#This Row],[Total_Amount]]</f>
        <v>0.28145851814069012</v>
      </c>
      <c r="O887" t="str">
        <f>TEXT(tblTransactions[[#This Row],[Date]], "MMM-YYYY")</f>
        <v>Jul-2023</v>
      </c>
      <c r="P887" t="str">
        <f>"Q"&amp;ROUNDUP(MONTH(tblTransactions[[#This Row],[Date]])/3,0)&amp;"-"&amp;YEAR(tblTransactions[[#This Row],[Date]])</f>
        <v>Q3-2023</v>
      </c>
      <c r="Q887">
        <f>YEAR(tblTransactions[[#This Row],[Date]])</f>
        <v>2023</v>
      </c>
      <c r="R887" t="str">
        <f>TEXT(tblTransactions[[#This Row],[Date]],"DDDD")</f>
        <v>Saturday</v>
      </c>
      <c r="S887">
        <f>MONTH(tblTransactions[[#This Row],[Date]])</f>
        <v>7</v>
      </c>
      <c r="T887" t="str">
        <f>VLOOKUP(E887, Products!$A:$B,2,0)</f>
        <v>Tablets Ele-4</v>
      </c>
      <c r="U887" t="str">
        <f>VLOOKUP(E887,Products!$A:$C,3,0)</f>
        <v>Electronics</v>
      </c>
      <c r="V887" t="str">
        <f>VLOOKUP(E887,Products!$A:$D,4,0)</f>
        <v>Tablets</v>
      </c>
      <c r="W887" t="str">
        <f>VLOOKUP(D887,Customers!$A:$C,3,0)</f>
        <v>B2B</v>
      </c>
      <c r="X887" t="str">
        <f>VLOOKUP(C887,Sales_Representatives!$A:$B,2,0)</f>
        <v>Emily Hernandez</v>
      </c>
    </row>
    <row r="888" spans="1:24" x14ac:dyDescent="0.3">
      <c r="A888" t="s">
        <v>1237</v>
      </c>
      <c r="B888" t="s">
        <v>1234</v>
      </c>
      <c r="C888" t="s">
        <v>75</v>
      </c>
      <c r="D888" t="s">
        <v>37</v>
      </c>
      <c r="E888" t="s">
        <v>157</v>
      </c>
      <c r="F888">
        <v>48</v>
      </c>
      <c r="G888">
        <v>1227.68</v>
      </c>
      <c r="H888">
        <v>0.15</v>
      </c>
      <c r="I888" s="4">
        <v>50089.34</v>
      </c>
      <c r="J888" t="s">
        <v>44</v>
      </c>
      <c r="K888" t="s">
        <v>22</v>
      </c>
      <c r="L888" s="4">
        <f>VLOOKUP(tblTransactions[[#This Row],[Product_ID]],tblProducts[],5,FALSE)</f>
        <v>846.42</v>
      </c>
      <c r="M888" s="4">
        <f>tblTransactions[[#This Row],[Total_Amount]]-(tblTransactions[[#This Row],[Cost_Prices]]*tblTransactions[[#This Row],[Quantity]]*(1-tblTransactions[[#This Row],[Discount]]))</f>
        <v>15555.404000000002</v>
      </c>
      <c r="N888" s="3">
        <f>tblTransactions[[#This Row],[Profit]]/tblTransactions[[#This Row],[Total_Amount]]</f>
        <v>0.31055318357159434</v>
      </c>
      <c r="O888" t="str">
        <f>TEXT(tblTransactions[[#This Row],[Date]], "MMM-YYYY")</f>
        <v>Jul-2023</v>
      </c>
      <c r="P888" t="str">
        <f>"Q"&amp;ROUNDUP(MONTH(tblTransactions[[#This Row],[Date]])/3,0)&amp;"-"&amp;YEAR(tblTransactions[[#This Row],[Date]])</f>
        <v>Q3-2023</v>
      </c>
      <c r="Q888">
        <f>YEAR(tblTransactions[[#This Row],[Date]])</f>
        <v>2023</v>
      </c>
      <c r="R888" t="str">
        <f>TEXT(tblTransactions[[#This Row],[Date]],"DDDD")</f>
        <v>Saturday</v>
      </c>
      <c r="S888">
        <f>MONTH(tblTransactions[[#This Row],[Date]])</f>
        <v>7</v>
      </c>
      <c r="T888" t="str">
        <f>VLOOKUP(E888, Products!$A:$B,2,0)</f>
        <v>Printers Tec-4</v>
      </c>
      <c r="U888" t="str">
        <f>VLOOKUP(E888,Products!$A:$C,3,0)</f>
        <v>Technology</v>
      </c>
      <c r="V888" t="str">
        <f>VLOOKUP(E888,Products!$A:$D,4,0)</f>
        <v>Printers</v>
      </c>
      <c r="W888" t="str">
        <f>VLOOKUP(D888,Customers!$A:$C,3,0)</f>
        <v>Enterprise</v>
      </c>
      <c r="X888" t="str">
        <f>VLOOKUP(C888,Sales_Representatives!$A:$B,2,0)</f>
        <v>Jessica Anderson</v>
      </c>
    </row>
    <row r="889" spans="1:24" x14ac:dyDescent="0.3">
      <c r="A889" t="s">
        <v>1238</v>
      </c>
      <c r="B889" t="s">
        <v>1234</v>
      </c>
      <c r="C889" t="s">
        <v>75</v>
      </c>
      <c r="D889" t="s">
        <v>132</v>
      </c>
      <c r="E889" t="s">
        <v>79</v>
      </c>
      <c r="F889">
        <v>14</v>
      </c>
      <c r="G889">
        <v>1452.36</v>
      </c>
      <c r="H889">
        <v>0.17</v>
      </c>
      <c r="I889" s="4">
        <v>16876.419999999998</v>
      </c>
      <c r="J889" t="s">
        <v>44</v>
      </c>
      <c r="K889" t="s">
        <v>39</v>
      </c>
      <c r="L889" s="4">
        <f>VLOOKUP(tblTransactions[[#This Row],[Product_ID]],tblProducts[],5,FALSE)</f>
        <v>778.71</v>
      </c>
      <c r="M889" s="4">
        <f>tblTransactions[[#This Row],[Total_Amount]]-(tblTransactions[[#This Row],[Cost_Prices]]*tblTransactions[[#This Row],[Quantity]]*(1-tblTransactions[[#This Row],[Discount]]))</f>
        <v>7827.8097999999991</v>
      </c>
      <c r="N889" s="3">
        <f>tblTransactions[[#This Row],[Profit]]/tblTransactions[[#This Row],[Total_Amount]]</f>
        <v>0.46383117983553385</v>
      </c>
      <c r="O889" t="str">
        <f>TEXT(tblTransactions[[#This Row],[Date]], "MMM-YYYY")</f>
        <v>Jul-2023</v>
      </c>
      <c r="P889" t="str">
        <f>"Q"&amp;ROUNDUP(MONTH(tblTransactions[[#This Row],[Date]])/3,0)&amp;"-"&amp;YEAR(tblTransactions[[#This Row],[Date]])</f>
        <v>Q3-2023</v>
      </c>
      <c r="Q889">
        <f>YEAR(tblTransactions[[#This Row],[Date]])</f>
        <v>2023</v>
      </c>
      <c r="R889" t="str">
        <f>TEXT(tblTransactions[[#This Row],[Date]],"DDDD")</f>
        <v>Saturday</v>
      </c>
      <c r="S889">
        <f>MONTH(tblTransactions[[#This Row],[Date]])</f>
        <v>7</v>
      </c>
      <c r="T889" t="str">
        <f>VLOOKUP(E889, Products!$A:$B,2,0)</f>
        <v>Tables Fur-2</v>
      </c>
      <c r="U889" t="str">
        <f>VLOOKUP(E889,Products!$A:$C,3,0)</f>
        <v>Furniture</v>
      </c>
      <c r="V889" t="str">
        <f>VLOOKUP(E889,Products!$A:$D,4,0)</f>
        <v>Tables</v>
      </c>
      <c r="W889" t="str">
        <f>VLOOKUP(D889,Customers!$A:$C,3,0)</f>
        <v>B2B</v>
      </c>
      <c r="X889" t="str">
        <f>VLOOKUP(C889,Sales_Representatives!$A:$B,2,0)</f>
        <v>Jessica Anderson</v>
      </c>
    </row>
    <row r="890" spans="1:24" x14ac:dyDescent="0.3">
      <c r="A890" t="s">
        <v>1239</v>
      </c>
      <c r="B890" t="s">
        <v>1240</v>
      </c>
      <c r="C890" t="s">
        <v>13</v>
      </c>
      <c r="D890" t="s">
        <v>183</v>
      </c>
      <c r="E890" t="s">
        <v>113</v>
      </c>
      <c r="F890">
        <v>6</v>
      </c>
      <c r="G890">
        <v>930.41</v>
      </c>
      <c r="H890">
        <v>0.09</v>
      </c>
      <c r="I890" s="4">
        <v>5080.04</v>
      </c>
      <c r="J890" t="s">
        <v>16</v>
      </c>
      <c r="K890" t="s">
        <v>48</v>
      </c>
      <c r="L890" s="4">
        <f>VLOOKUP(tblTransactions[[#This Row],[Product_ID]],tblProducts[],5,FALSE)</f>
        <v>595.51</v>
      </c>
      <c r="M890" s="4">
        <f>tblTransactions[[#This Row],[Total_Amount]]-(tblTransactions[[#This Row],[Cost_Prices]]*tblTransactions[[#This Row],[Quantity]]*(1-tblTransactions[[#This Row],[Discount]]))</f>
        <v>1828.5553999999997</v>
      </c>
      <c r="N890" s="3">
        <f>tblTransactions[[#This Row],[Profit]]/tblTransactions[[#This Row],[Total_Amount]]</f>
        <v>0.35994901614947911</v>
      </c>
      <c r="O890" t="str">
        <f>TEXT(tblTransactions[[#This Row],[Date]], "MMM-YYYY")</f>
        <v>Jul-2023</v>
      </c>
      <c r="P890" t="str">
        <f>"Q"&amp;ROUNDUP(MONTH(tblTransactions[[#This Row],[Date]])/3,0)&amp;"-"&amp;YEAR(tblTransactions[[#This Row],[Date]])</f>
        <v>Q3-2023</v>
      </c>
      <c r="Q890">
        <f>YEAR(tblTransactions[[#This Row],[Date]])</f>
        <v>2023</v>
      </c>
      <c r="R890" t="str">
        <f>TEXT(tblTransactions[[#This Row],[Date]],"DDDD")</f>
        <v>Sunday</v>
      </c>
      <c r="S890">
        <f>MONTH(tblTransactions[[#This Row],[Date]])</f>
        <v>7</v>
      </c>
      <c r="T890" t="str">
        <f>VLOOKUP(E890, Products!$A:$B,2,0)</f>
        <v>Phones Ele-1</v>
      </c>
      <c r="U890" t="str">
        <f>VLOOKUP(E890,Products!$A:$C,3,0)</f>
        <v>Electronics</v>
      </c>
      <c r="V890" t="str">
        <f>VLOOKUP(E890,Products!$A:$D,4,0)</f>
        <v>Phones</v>
      </c>
      <c r="W890" t="str">
        <f>VLOOKUP(D890,Customers!$A:$C,3,0)</f>
        <v>Small Business</v>
      </c>
      <c r="X890" t="str">
        <f>VLOOKUP(C890,Sales_Representatives!$A:$B,2,0)</f>
        <v>Jennifer Rodriguez</v>
      </c>
    </row>
    <row r="891" spans="1:24" x14ac:dyDescent="0.3">
      <c r="A891" t="s">
        <v>1241</v>
      </c>
      <c r="B891" t="s">
        <v>1242</v>
      </c>
      <c r="C891" t="s">
        <v>59</v>
      </c>
      <c r="D891" t="s">
        <v>156</v>
      </c>
      <c r="E891" t="s">
        <v>53</v>
      </c>
      <c r="F891">
        <v>19</v>
      </c>
      <c r="G891">
        <v>2069.2199999999998</v>
      </c>
      <c r="H891">
        <v>0.2</v>
      </c>
      <c r="I891" s="4">
        <v>31452.14</v>
      </c>
      <c r="J891" t="s">
        <v>21</v>
      </c>
      <c r="K891" t="s">
        <v>39</v>
      </c>
      <c r="L891" s="4">
        <f>VLOOKUP(tblTransactions[[#This Row],[Product_ID]],tblProducts[],5,FALSE)</f>
        <v>1451.18</v>
      </c>
      <c r="M891" s="4">
        <f>tblTransactions[[#This Row],[Total_Amount]]-(tblTransactions[[#This Row],[Cost_Prices]]*tblTransactions[[#This Row],[Quantity]]*(1-tblTransactions[[#This Row],[Discount]]))</f>
        <v>9394.2039999999979</v>
      </c>
      <c r="N891" s="3">
        <f>tblTransactions[[#This Row],[Profit]]/tblTransactions[[#This Row],[Total_Amount]]</f>
        <v>0.29868250618240916</v>
      </c>
      <c r="O891" t="str">
        <f>TEXT(tblTransactions[[#This Row],[Date]], "MMM-YYYY")</f>
        <v>Jul-2023</v>
      </c>
      <c r="P891" t="str">
        <f>"Q"&amp;ROUNDUP(MONTH(tblTransactions[[#This Row],[Date]])/3,0)&amp;"-"&amp;YEAR(tblTransactions[[#This Row],[Date]])</f>
        <v>Q3-2023</v>
      </c>
      <c r="Q891">
        <f>YEAR(tblTransactions[[#This Row],[Date]])</f>
        <v>2023</v>
      </c>
      <c r="R891" t="str">
        <f>TEXT(tblTransactions[[#This Row],[Date]],"DDDD")</f>
        <v>Monday</v>
      </c>
      <c r="S891">
        <f>MONTH(tblTransactions[[#This Row],[Date]])</f>
        <v>7</v>
      </c>
      <c r="T891" t="str">
        <f>VLOOKUP(E891, Products!$A:$B,2,0)</f>
        <v>Printers Tec-3</v>
      </c>
      <c r="U891" t="str">
        <f>VLOOKUP(E891,Products!$A:$C,3,0)</f>
        <v>Technology</v>
      </c>
      <c r="V891" t="str">
        <f>VLOOKUP(E891,Products!$A:$D,4,0)</f>
        <v>Printers</v>
      </c>
      <c r="W891" t="str">
        <f>VLOOKUP(D891,Customers!$A:$C,3,0)</f>
        <v>B2B</v>
      </c>
      <c r="X891" t="str">
        <f>VLOOKUP(C891,Sales_Representatives!$A:$B,2,0)</f>
        <v>Sarah Brown</v>
      </c>
    </row>
    <row r="892" spans="1:24" x14ac:dyDescent="0.3">
      <c r="A892" t="s">
        <v>1243</v>
      </c>
      <c r="B892" t="s">
        <v>1242</v>
      </c>
      <c r="C892" t="s">
        <v>41</v>
      </c>
      <c r="D892" t="s">
        <v>288</v>
      </c>
      <c r="E892" t="s">
        <v>224</v>
      </c>
      <c r="F892">
        <v>4</v>
      </c>
      <c r="G892">
        <v>505.37</v>
      </c>
      <c r="H892">
        <v>0.01</v>
      </c>
      <c r="I892" s="4">
        <v>2001.27</v>
      </c>
      <c r="J892" t="s">
        <v>44</v>
      </c>
      <c r="K892" t="s">
        <v>39</v>
      </c>
      <c r="L892" s="4">
        <f>VLOOKUP(tblTransactions[[#This Row],[Product_ID]],tblProducts[],5,FALSE)</f>
        <v>281.14999999999998</v>
      </c>
      <c r="M892" s="4">
        <f>tblTransactions[[#This Row],[Total_Amount]]-(tblTransactions[[#This Row],[Cost_Prices]]*tblTransactions[[#This Row],[Quantity]]*(1-tblTransactions[[#This Row],[Discount]]))</f>
        <v>887.91600000000017</v>
      </c>
      <c r="N892" s="3">
        <f>tblTransactions[[#This Row],[Profit]]/tblTransactions[[#This Row],[Total_Amount]]</f>
        <v>0.44367626557136225</v>
      </c>
      <c r="O892" t="str">
        <f>TEXT(tblTransactions[[#This Row],[Date]], "MMM-YYYY")</f>
        <v>Jul-2023</v>
      </c>
      <c r="P892" t="str">
        <f>"Q"&amp;ROUNDUP(MONTH(tblTransactions[[#This Row],[Date]])/3,0)&amp;"-"&amp;YEAR(tblTransactions[[#This Row],[Date]])</f>
        <v>Q3-2023</v>
      </c>
      <c r="Q892">
        <f>YEAR(tblTransactions[[#This Row],[Date]])</f>
        <v>2023</v>
      </c>
      <c r="R892" t="str">
        <f>TEXT(tblTransactions[[#This Row],[Date]],"DDDD")</f>
        <v>Monday</v>
      </c>
      <c r="S892">
        <f>MONTH(tblTransactions[[#This Row],[Date]])</f>
        <v>7</v>
      </c>
      <c r="T892" t="str">
        <f>VLOOKUP(E892, Products!$A:$B,2,0)</f>
        <v>Desks Fur-3</v>
      </c>
      <c r="U892" t="str">
        <f>VLOOKUP(E892,Products!$A:$C,3,0)</f>
        <v>Furniture</v>
      </c>
      <c r="V892" t="str">
        <f>VLOOKUP(E892,Products!$A:$D,4,0)</f>
        <v>Desks</v>
      </c>
      <c r="W892" t="str">
        <f>VLOOKUP(D892,Customers!$A:$C,3,0)</f>
        <v>B2C</v>
      </c>
      <c r="X892" t="str">
        <f>VLOOKUP(C892,Sales_Representatives!$A:$B,2,0)</f>
        <v>Robert Jones</v>
      </c>
    </row>
    <row r="893" spans="1:24" x14ac:dyDescent="0.3">
      <c r="A893" t="s">
        <v>1244</v>
      </c>
      <c r="B893" t="s">
        <v>1242</v>
      </c>
      <c r="C893" t="s">
        <v>127</v>
      </c>
      <c r="D893" t="s">
        <v>288</v>
      </c>
      <c r="E893" t="s">
        <v>15</v>
      </c>
      <c r="F893">
        <v>6</v>
      </c>
      <c r="G893">
        <v>477.48</v>
      </c>
      <c r="H893">
        <v>0.06</v>
      </c>
      <c r="I893" s="4">
        <v>2692.99</v>
      </c>
      <c r="J893" t="s">
        <v>109</v>
      </c>
      <c r="K893" t="s">
        <v>39</v>
      </c>
      <c r="L893" s="4">
        <f>VLOOKUP(tblTransactions[[#This Row],[Product_ID]],tblProducts[],5,FALSE)</f>
        <v>275.51</v>
      </c>
      <c r="M893" s="4">
        <f>tblTransactions[[#This Row],[Total_Amount]]-(tblTransactions[[#This Row],[Cost_Prices]]*tblTransactions[[#This Row],[Quantity]]*(1-tblTransactions[[#This Row],[Discount]]))</f>
        <v>1139.1135999999999</v>
      </c>
      <c r="N893" s="3">
        <f>tblTransactions[[#This Row],[Profit]]/tblTransactions[[#This Row],[Total_Amount]]</f>
        <v>0.42299213884938303</v>
      </c>
      <c r="O893" t="str">
        <f>TEXT(tblTransactions[[#This Row],[Date]], "MMM-YYYY")</f>
        <v>Jul-2023</v>
      </c>
      <c r="P893" t="str">
        <f>"Q"&amp;ROUNDUP(MONTH(tblTransactions[[#This Row],[Date]])/3,0)&amp;"-"&amp;YEAR(tblTransactions[[#This Row],[Date]])</f>
        <v>Q3-2023</v>
      </c>
      <c r="Q893">
        <f>YEAR(tblTransactions[[#This Row],[Date]])</f>
        <v>2023</v>
      </c>
      <c r="R893" t="str">
        <f>TEXT(tblTransactions[[#This Row],[Date]],"DDDD")</f>
        <v>Monday</v>
      </c>
      <c r="S893">
        <f>MONTH(tblTransactions[[#This Row],[Date]])</f>
        <v>7</v>
      </c>
      <c r="T893" t="str">
        <f>VLOOKUP(E893, Products!$A:$B,2,0)</f>
        <v>Laptops Ele-4</v>
      </c>
      <c r="U893" t="str">
        <f>VLOOKUP(E893,Products!$A:$C,3,0)</f>
        <v>Electronics</v>
      </c>
      <c r="V893" t="str">
        <f>VLOOKUP(E893,Products!$A:$D,4,0)</f>
        <v>Laptops</v>
      </c>
      <c r="W893" t="str">
        <f>VLOOKUP(D893,Customers!$A:$C,3,0)</f>
        <v>B2C</v>
      </c>
      <c r="X893" t="str">
        <f>VLOOKUP(C893,Sales_Representatives!$A:$B,2,0)</f>
        <v>Emily Hernandez</v>
      </c>
    </row>
    <row r="894" spans="1:24" x14ac:dyDescent="0.3">
      <c r="A894" t="s">
        <v>1245</v>
      </c>
      <c r="B894" t="s">
        <v>1242</v>
      </c>
      <c r="C894" t="s">
        <v>13</v>
      </c>
      <c r="D894" t="s">
        <v>37</v>
      </c>
      <c r="E894" t="s">
        <v>15</v>
      </c>
      <c r="F894">
        <v>19</v>
      </c>
      <c r="G894">
        <v>477.48</v>
      </c>
      <c r="H894">
        <v>0.13</v>
      </c>
      <c r="I894" s="4">
        <v>7892.74</v>
      </c>
      <c r="J894" t="s">
        <v>16</v>
      </c>
      <c r="K894" t="s">
        <v>22</v>
      </c>
      <c r="L894" s="4">
        <f>VLOOKUP(tblTransactions[[#This Row],[Product_ID]],tblProducts[],5,FALSE)</f>
        <v>275.51</v>
      </c>
      <c r="M894" s="4">
        <f>tblTransactions[[#This Row],[Total_Amount]]-(tblTransactions[[#This Row],[Cost_Prices]]*tblTransactions[[#This Row],[Quantity]]*(1-tblTransactions[[#This Row],[Discount]]))</f>
        <v>3338.5596999999998</v>
      </c>
      <c r="N894" s="3">
        <f>tblTransactions[[#This Row],[Profit]]/tblTransactions[[#This Row],[Total_Amount]]</f>
        <v>0.42299121724521521</v>
      </c>
      <c r="O894" t="str">
        <f>TEXT(tblTransactions[[#This Row],[Date]], "MMM-YYYY")</f>
        <v>Jul-2023</v>
      </c>
      <c r="P894" t="str">
        <f>"Q"&amp;ROUNDUP(MONTH(tblTransactions[[#This Row],[Date]])/3,0)&amp;"-"&amp;YEAR(tblTransactions[[#This Row],[Date]])</f>
        <v>Q3-2023</v>
      </c>
      <c r="Q894">
        <f>YEAR(tblTransactions[[#This Row],[Date]])</f>
        <v>2023</v>
      </c>
      <c r="R894" t="str">
        <f>TEXT(tblTransactions[[#This Row],[Date]],"DDDD")</f>
        <v>Monday</v>
      </c>
      <c r="S894">
        <f>MONTH(tblTransactions[[#This Row],[Date]])</f>
        <v>7</v>
      </c>
      <c r="T894" t="str">
        <f>VLOOKUP(E894, Products!$A:$B,2,0)</f>
        <v>Laptops Ele-4</v>
      </c>
      <c r="U894" t="str">
        <f>VLOOKUP(E894,Products!$A:$C,3,0)</f>
        <v>Electronics</v>
      </c>
      <c r="V894" t="str">
        <f>VLOOKUP(E894,Products!$A:$D,4,0)</f>
        <v>Laptops</v>
      </c>
      <c r="W894" t="str">
        <f>VLOOKUP(D894,Customers!$A:$C,3,0)</f>
        <v>Enterprise</v>
      </c>
      <c r="X894" t="str">
        <f>VLOOKUP(C894,Sales_Representatives!$A:$B,2,0)</f>
        <v>Jennifer Rodriguez</v>
      </c>
    </row>
    <row r="895" spans="1:24" x14ac:dyDescent="0.3">
      <c r="A895" t="s">
        <v>1246</v>
      </c>
      <c r="B895" t="s">
        <v>1242</v>
      </c>
      <c r="C895" t="s">
        <v>70</v>
      </c>
      <c r="D895" t="s">
        <v>98</v>
      </c>
      <c r="E895" t="s">
        <v>283</v>
      </c>
      <c r="F895">
        <v>6</v>
      </c>
      <c r="G895">
        <v>456.88</v>
      </c>
      <c r="H895">
        <v>0.11</v>
      </c>
      <c r="I895" s="4">
        <v>2439.7399999999998</v>
      </c>
      <c r="J895" t="s">
        <v>16</v>
      </c>
      <c r="K895" t="s">
        <v>48</v>
      </c>
      <c r="L895" s="4">
        <f>VLOOKUP(tblTransactions[[#This Row],[Product_ID]],tblProducts[],5,FALSE)</f>
        <v>313.23</v>
      </c>
      <c r="M895" s="4">
        <f>tblTransactions[[#This Row],[Total_Amount]]-(tblTransactions[[#This Row],[Cost_Prices]]*tblTransactions[[#This Row],[Quantity]]*(1-tblTransactions[[#This Row],[Discount]]))</f>
        <v>767.09179999999969</v>
      </c>
      <c r="N895" s="3">
        <f>tblTransactions[[#This Row],[Profit]]/tblTransactions[[#This Row],[Total_Amount]]</f>
        <v>0.31441538852500667</v>
      </c>
      <c r="O895" t="str">
        <f>TEXT(tblTransactions[[#This Row],[Date]], "MMM-YYYY")</f>
        <v>Jul-2023</v>
      </c>
      <c r="P895" t="str">
        <f>"Q"&amp;ROUNDUP(MONTH(tblTransactions[[#This Row],[Date]])/3,0)&amp;"-"&amp;YEAR(tblTransactions[[#This Row],[Date]])</f>
        <v>Q3-2023</v>
      </c>
      <c r="Q895">
        <f>YEAR(tblTransactions[[#This Row],[Date]])</f>
        <v>2023</v>
      </c>
      <c r="R895" t="str">
        <f>TEXT(tblTransactions[[#This Row],[Date]],"DDDD")</f>
        <v>Monday</v>
      </c>
      <c r="S895">
        <f>MONTH(tblTransactions[[#This Row],[Date]])</f>
        <v>7</v>
      </c>
      <c r="T895" t="str">
        <f>VLOOKUP(E895, Products!$A:$B,2,0)</f>
        <v>Chairs Fur-3</v>
      </c>
      <c r="U895" t="str">
        <f>VLOOKUP(E895,Products!$A:$C,3,0)</f>
        <v>Furniture</v>
      </c>
      <c r="V895" t="str">
        <f>VLOOKUP(E895,Products!$A:$D,4,0)</f>
        <v>Chairs</v>
      </c>
      <c r="W895" t="str">
        <f>VLOOKUP(D895,Customers!$A:$C,3,0)</f>
        <v>B2C</v>
      </c>
      <c r="X895" t="str">
        <f>VLOOKUP(C895,Sales_Representatives!$A:$B,2,0)</f>
        <v>Linda Smith</v>
      </c>
    </row>
    <row r="896" spans="1:24" x14ac:dyDescent="0.3">
      <c r="A896" t="s">
        <v>1247</v>
      </c>
      <c r="B896" t="s">
        <v>1248</v>
      </c>
      <c r="C896" t="s">
        <v>131</v>
      </c>
      <c r="D896" t="s">
        <v>247</v>
      </c>
      <c r="E896" t="s">
        <v>25</v>
      </c>
      <c r="F896">
        <v>6</v>
      </c>
      <c r="G896">
        <v>1467.49</v>
      </c>
      <c r="H896">
        <v>0.08</v>
      </c>
      <c r="I896" s="4">
        <v>8100.54</v>
      </c>
      <c r="J896" t="s">
        <v>44</v>
      </c>
      <c r="K896" t="s">
        <v>22</v>
      </c>
      <c r="L896" s="4">
        <f>VLOOKUP(tblTransactions[[#This Row],[Product_ID]],tblProducts[],5,FALSE)</f>
        <v>757.65</v>
      </c>
      <c r="M896" s="4">
        <f>tblTransactions[[#This Row],[Total_Amount]]-(tblTransactions[[#This Row],[Cost_Prices]]*tblTransactions[[#This Row],[Quantity]]*(1-tblTransactions[[#This Row],[Discount]]))</f>
        <v>3918.3119999999999</v>
      </c>
      <c r="N896" s="3">
        <f>tblTransactions[[#This Row],[Profit]]/tblTransactions[[#This Row],[Total_Amount]]</f>
        <v>0.48370997489056283</v>
      </c>
      <c r="O896" t="str">
        <f>TEXT(tblTransactions[[#This Row],[Date]], "MMM-YYYY")</f>
        <v>Jul-2023</v>
      </c>
      <c r="P896" t="str">
        <f>"Q"&amp;ROUNDUP(MONTH(tblTransactions[[#This Row],[Date]])/3,0)&amp;"-"&amp;YEAR(tblTransactions[[#This Row],[Date]])</f>
        <v>Q3-2023</v>
      </c>
      <c r="Q896">
        <f>YEAR(tblTransactions[[#This Row],[Date]])</f>
        <v>2023</v>
      </c>
      <c r="R896" t="str">
        <f>TEXT(tblTransactions[[#This Row],[Date]],"DDDD")</f>
        <v>Tuesday</v>
      </c>
      <c r="S896">
        <f>MONTH(tblTransactions[[#This Row],[Date]])</f>
        <v>7</v>
      </c>
      <c r="T896" t="str">
        <f>VLOOKUP(E896, Products!$A:$B,2,0)</f>
        <v>Tables Fur-3</v>
      </c>
      <c r="U896" t="str">
        <f>VLOOKUP(E896,Products!$A:$C,3,0)</f>
        <v>Furniture</v>
      </c>
      <c r="V896" t="str">
        <f>VLOOKUP(E896,Products!$A:$D,4,0)</f>
        <v>Tables</v>
      </c>
      <c r="W896" t="str">
        <f>VLOOKUP(D896,Customers!$A:$C,3,0)</f>
        <v>B2C</v>
      </c>
      <c r="X896" t="str">
        <f>VLOOKUP(C896,Sales_Representatives!$A:$B,2,0)</f>
        <v>Michael Davis</v>
      </c>
    </row>
    <row r="897" spans="1:24" x14ac:dyDescent="0.3">
      <c r="A897" t="s">
        <v>1249</v>
      </c>
      <c r="B897" t="s">
        <v>1248</v>
      </c>
      <c r="C897" t="s">
        <v>131</v>
      </c>
      <c r="D897" t="s">
        <v>28</v>
      </c>
      <c r="E897" t="s">
        <v>20</v>
      </c>
      <c r="F897">
        <v>13</v>
      </c>
      <c r="G897">
        <v>1219.49</v>
      </c>
      <c r="H897">
        <v>0.13</v>
      </c>
      <c r="I897" s="4">
        <v>13792.43</v>
      </c>
      <c r="J897" t="s">
        <v>44</v>
      </c>
      <c r="K897" t="s">
        <v>35</v>
      </c>
      <c r="L897" s="4">
        <f>VLOOKUP(tblTransactions[[#This Row],[Product_ID]],tblProducts[],5,FALSE)</f>
        <v>686.9</v>
      </c>
      <c r="M897" s="4">
        <f>tblTransactions[[#This Row],[Total_Amount]]-(tblTransactions[[#This Row],[Cost_Prices]]*tblTransactions[[#This Row],[Quantity]]*(1-tblTransactions[[#This Row],[Discount]]))</f>
        <v>6023.5910000000013</v>
      </c>
      <c r="N897" s="3">
        <f>tblTransactions[[#This Row],[Profit]]/tblTransactions[[#This Row],[Total_Amount]]</f>
        <v>0.43673167092383292</v>
      </c>
      <c r="O897" t="str">
        <f>TEXT(tblTransactions[[#This Row],[Date]], "MMM-YYYY")</f>
        <v>Jul-2023</v>
      </c>
      <c r="P897" t="str">
        <f>"Q"&amp;ROUNDUP(MONTH(tblTransactions[[#This Row],[Date]])/3,0)&amp;"-"&amp;YEAR(tblTransactions[[#This Row],[Date]])</f>
        <v>Q3-2023</v>
      </c>
      <c r="Q897">
        <f>YEAR(tblTransactions[[#This Row],[Date]])</f>
        <v>2023</v>
      </c>
      <c r="R897" t="str">
        <f>TEXT(tblTransactions[[#This Row],[Date]],"DDDD")</f>
        <v>Tuesday</v>
      </c>
      <c r="S897">
        <f>MONTH(tblTransactions[[#This Row],[Date]])</f>
        <v>7</v>
      </c>
      <c r="T897" t="str">
        <f>VLOOKUP(E897, Products!$A:$B,2,0)</f>
        <v>Laptops Ele-1</v>
      </c>
      <c r="U897" t="str">
        <f>VLOOKUP(E897,Products!$A:$C,3,0)</f>
        <v>Electronics</v>
      </c>
      <c r="V897" t="str">
        <f>VLOOKUP(E897,Products!$A:$D,4,0)</f>
        <v>Laptops</v>
      </c>
      <c r="W897" t="str">
        <f>VLOOKUP(D897,Customers!$A:$C,3,0)</f>
        <v>B2B</v>
      </c>
      <c r="X897" t="str">
        <f>VLOOKUP(C897,Sales_Representatives!$A:$B,2,0)</f>
        <v>Michael Davis</v>
      </c>
    </row>
    <row r="898" spans="1:24" x14ac:dyDescent="0.3">
      <c r="A898" t="s">
        <v>1250</v>
      </c>
      <c r="B898" t="s">
        <v>1248</v>
      </c>
      <c r="C898" t="s">
        <v>107</v>
      </c>
      <c r="D898" t="s">
        <v>164</v>
      </c>
      <c r="E898" t="s">
        <v>217</v>
      </c>
      <c r="F898">
        <v>5</v>
      </c>
      <c r="G898">
        <v>145.51</v>
      </c>
      <c r="H898">
        <v>0.04</v>
      </c>
      <c r="I898" s="4">
        <v>698.45</v>
      </c>
      <c r="J898" t="s">
        <v>109</v>
      </c>
      <c r="K898" t="s">
        <v>22</v>
      </c>
      <c r="L898" s="4">
        <f>VLOOKUP(tblTransactions[[#This Row],[Product_ID]],tblProducts[],5,FALSE)</f>
        <v>64.510000000000005</v>
      </c>
      <c r="M898" s="4">
        <f>tblTransactions[[#This Row],[Total_Amount]]-(tblTransactions[[#This Row],[Cost_Prices]]*tblTransactions[[#This Row],[Quantity]]*(1-tblTransactions[[#This Row],[Discount]]))</f>
        <v>388.80200000000002</v>
      </c>
      <c r="N898" s="3">
        <f>tblTransactions[[#This Row],[Profit]]/tblTransactions[[#This Row],[Total_Amount]]</f>
        <v>0.55666404180685802</v>
      </c>
      <c r="O898" t="str">
        <f>TEXT(tblTransactions[[#This Row],[Date]], "MMM-YYYY")</f>
        <v>Jul-2023</v>
      </c>
      <c r="P898" t="str">
        <f>"Q"&amp;ROUNDUP(MONTH(tblTransactions[[#This Row],[Date]])/3,0)&amp;"-"&amp;YEAR(tblTransactions[[#This Row],[Date]])</f>
        <v>Q3-2023</v>
      </c>
      <c r="Q898">
        <f>YEAR(tblTransactions[[#This Row],[Date]])</f>
        <v>2023</v>
      </c>
      <c r="R898" t="str">
        <f>TEXT(tblTransactions[[#This Row],[Date]],"DDDD")</f>
        <v>Tuesday</v>
      </c>
      <c r="S898">
        <f>MONTH(tblTransactions[[#This Row],[Date]])</f>
        <v>7</v>
      </c>
      <c r="T898" t="str">
        <f>VLOOKUP(E898, Products!$A:$B,2,0)</f>
        <v>Cables Acc-2</v>
      </c>
      <c r="U898" t="str">
        <f>VLOOKUP(E898,Products!$A:$C,3,0)</f>
        <v>Accessories</v>
      </c>
      <c r="V898" t="str">
        <f>VLOOKUP(E898,Products!$A:$D,4,0)</f>
        <v>Cables</v>
      </c>
      <c r="W898" t="str">
        <f>VLOOKUP(D898,Customers!$A:$C,3,0)</f>
        <v>Small Business</v>
      </c>
      <c r="X898" t="str">
        <f>VLOOKUP(C898,Sales_Representatives!$A:$B,2,0)</f>
        <v>Jennifer Brown</v>
      </c>
    </row>
    <row r="899" spans="1:24" x14ac:dyDescent="0.3">
      <c r="A899" t="s">
        <v>1251</v>
      </c>
      <c r="B899" t="s">
        <v>1248</v>
      </c>
      <c r="C899" t="s">
        <v>56</v>
      </c>
      <c r="D899" t="s">
        <v>362</v>
      </c>
      <c r="E899" t="s">
        <v>435</v>
      </c>
      <c r="F899">
        <v>1</v>
      </c>
      <c r="G899">
        <v>198.72</v>
      </c>
      <c r="H899">
        <v>0.09</v>
      </c>
      <c r="I899" s="4">
        <v>180.84</v>
      </c>
      <c r="J899" t="s">
        <v>34</v>
      </c>
      <c r="K899" t="s">
        <v>17</v>
      </c>
      <c r="L899" s="4">
        <f>VLOOKUP(tblTransactions[[#This Row],[Product_ID]],tblProducts[],5,FALSE)</f>
        <v>116.98</v>
      </c>
      <c r="M899" s="4">
        <f>tblTransactions[[#This Row],[Total_Amount]]-(tblTransactions[[#This Row],[Cost_Prices]]*tblTransactions[[#This Row],[Quantity]]*(1-tblTransactions[[#This Row],[Discount]]))</f>
        <v>74.388199999999998</v>
      </c>
      <c r="N899" s="3">
        <f>tblTransactions[[#This Row],[Profit]]/tblTransactions[[#This Row],[Total_Amount]]</f>
        <v>0.41134815306348149</v>
      </c>
      <c r="O899" t="str">
        <f>TEXT(tblTransactions[[#This Row],[Date]], "MMM-YYYY")</f>
        <v>Jul-2023</v>
      </c>
      <c r="P899" t="str">
        <f>"Q"&amp;ROUNDUP(MONTH(tblTransactions[[#This Row],[Date]])/3,0)&amp;"-"&amp;YEAR(tblTransactions[[#This Row],[Date]])</f>
        <v>Q3-2023</v>
      </c>
      <c r="Q899">
        <f>YEAR(tblTransactions[[#This Row],[Date]])</f>
        <v>2023</v>
      </c>
      <c r="R899" t="str">
        <f>TEXT(tblTransactions[[#This Row],[Date]],"DDDD")</f>
        <v>Tuesday</v>
      </c>
      <c r="S899">
        <f>MONTH(tblTransactions[[#This Row],[Date]])</f>
        <v>7</v>
      </c>
      <c r="T899" t="str">
        <f>VLOOKUP(E899, Products!$A:$B,2,0)</f>
        <v>Paper Off-4</v>
      </c>
      <c r="U899" t="str">
        <f>VLOOKUP(E899,Products!$A:$C,3,0)</f>
        <v>Office Supplies</v>
      </c>
      <c r="V899" t="str">
        <f>VLOOKUP(E899,Products!$A:$D,4,0)</f>
        <v>Paper</v>
      </c>
      <c r="W899" t="str">
        <f>VLOOKUP(D899,Customers!$A:$C,3,0)</f>
        <v>Small Business</v>
      </c>
      <c r="X899" t="str">
        <f>VLOOKUP(C899,Sales_Representatives!$A:$B,2,0)</f>
        <v>Thomas Hernandez</v>
      </c>
    </row>
    <row r="900" spans="1:24" x14ac:dyDescent="0.3">
      <c r="A900" t="s">
        <v>1252</v>
      </c>
      <c r="B900" t="s">
        <v>1253</v>
      </c>
      <c r="C900" t="s">
        <v>70</v>
      </c>
      <c r="D900" t="s">
        <v>210</v>
      </c>
      <c r="E900" t="s">
        <v>283</v>
      </c>
      <c r="F900">
        <v>11</v>
      </c>
      <c r="G900">
        <v>456.88</v>
      </c>
      <c r="H900">
        <v>0.18</v>
      </c>
      <c r="I900" s="4">
        <v>4121.0600000000004</v>
      </c>
      <c r="J900" t="s">
        <v>16</v>
      </c>
      <c r="K900" t="s">
        <v>39</v>
      </c>
      <c r="L900" s="4">
        <f>VLOOKUP(tblTransactions[[#This Row],[Product_ID]],tblProducts[],5,FALSE)</f>
        <v>313.23</v>
      </c>
      <c r="M900" s="4">
        <f>tblTransactions[[#This Row],[Total_Amount]]-(tblTransactions[[#This Row],[Cost_Prices]]*tblTransactions[[#This Row],[Quantity]]*(1-tblTransactions[[#This Row],[Discount]]))</f>
        <v>1295.7253999999998</v>
      </c>
      <c r="N900" s="3">
        <f>tblTransactions[[#This Row],[Profit]]/tblTransactions[[#This Row],[Total_Amount]]</f>
        <v>0.31441556298622192</v>
      </c>
      <c r="O900" t="str">
        <f>TEXT(tblTransactions[[#This Row],[Date]], "MMM-YYYY")</f>
        <v>Jul-2023</v>
      </c>
      <c r="P900" t="str">
        <f>"Q"&amp;ROUNDUP(MONTH(tblTransactions[[#This Row],[Date]])/3,0)&amp;"-"&amp;YEAR(tblTransactions[[#This Row],[Date]])</f>
        <v>Q3-2023</v>
      </c>
      <c r="Q900">
        <f>YEAR(tblTransactions[[#This Row],[Date]])</f>
        <v>2023</v>
      </c>
      <c r="R900" t="str">
        <f>TEXT(tblTransactions[[#This Row],[Date]],"DDDD")</f>
        <v>Wednesday</v>
      </c>
      <c r="S900">
        <f>MONTH(tblTransactions[[#This Row],[Date]])</f>
        <v>7</v>
      </c>
      <c r="T900" t="str">
        <f>VLOOKUP(E900, Products!$A:$B,2,0)</f>
        <v>Chairs Fur-3</v>
      </c>
      <c r="U900" t="str">
        <f>VLOOKUP(E900,Products!$A:$C,3,0)</f>
        <v>Furniture</v>
      </c>
      <c r="V900" t="str">
        <f>VLOOKUP(E900,Products!$A:$D,4,0)</f>
        <v>Chairs</v>
      </c>
      <c r="W900" t="str">
        <f>VLOOKUP(D900,Customers!$A:$C,3,0)</f>
        <v>B2B</v>
      </c>
      <c r="X900" t="str">
        <f>VLOOKUP(C900,Sales_Representatives!$A:$B,2,0)</f>
        <v>Linda Smith</v>
      </c>
    </row>
    <row r="901" spans="1:24" x14ac:dyDescent="0.3">
      <c r="A901" t="s">
        <v>1254</v>
      </c>
      <c r="B901" t="s">
        <v>1253</v>
      </c>
      <c r="C901" t="s">
        <v>19</v>
      </c>
      <c r="D901" t="s">
        <v>351</v>
      </c>
      <c r="E901" t="s">
        <v>243</v>
      </c>
      <c r="F901">
        <v>1</v>
      </c>
      <c r="G901">
        <v>384.18</v>
      </c>
      <c r="H901">
        <v>7.0000000000000007E-2</v>
      </c>
      <c r="I901" s="4">
        <v>357.29</v>
      </c>
      <c r="J901" t="s">
        <v>21</v>
      </c>
      <c r="K901" t="s">
        <v>39</v>
      </c>
      <c r="L901" s="4">
        <f>VLOOKUP(tblTransactions[[#This Row],[Product_ID]],tblProducts[],5,FALSE)</f>
        <v>266.92</v>
      </c>
      <c r="M901" s="4">
        <f>tblTransactions[[#This Row],[Total_Amount]]-(tblTransactions[[#This Row],[Cost_Prices]]*tblTransactions[[#This Row],[Quantity]]*(1-tblTransactions[[#This Row],[Discount]]))</f>
        <v>109.05440000000002</v>
      </c>
      <c r="N901" s="3">
        <f>tblTransactions[[#This Row],[Profit]]/tblTransactions[[#This Row],[Total_Amount]]</f>
        <v>0.30522656665453834</v>
      </c>
      <c r="O901" t="str">
        <f>TEXT(tblTransactions[[#This Row],[Date]], "MMM-YYYY")</f>
        <v>Jul-2023</v>
      </c>
      <c r="P901" t="str">
        <f>"Q"&amp;ROUNDUP(MONTH(tblTransactions[[#This Row],[Date]])/3,0)&amp;"-"&amp;YEAR(tblTransactions[[#This Row],[Date]])</f>
        <v>Q3-2023</v>
      </c>
      <c r="Q901">
        <f>YEAR(tblTransactions[[#This Row],[Date]])</f>
        <v>2023</v>
      </c>
      <c r="R901" t="str">
        <f>TEXT(tblTransactions[[#This Row],[Date]],"DDDD")</f>
        <v>Wednesday</v>
      </c>
      <c r="S901">
        <f>MONTH(tblTransactions[[#This Row],[Date]])</f>
        <v>7</v>
      </c>
      <c r="T901" t="str">
        <f>VLOOKUP(E901, Products!$A:$B,2,0)</f>
        <v>Routers Tec-3</v>
      </c>
      <c r="U901" t="str">
        <f>VLOOKUP(E901,Products!$A:$C,3,0)</f>
        <v>Technology</v>
      </c>
      <c r="V901" t="str">
        <f>VLOOKUP(E901,Products!$A:$D,4,0)</f>
        <v>Routers</v>
      </c>
      <c r="W901" t="str">
        <f>VLOOKUP(D901,Customers!$A:$C,3,0)</f>
        <v>B2C</v>
      </c>
      <c r="X901" t="str">
        <f>VLOOKUP(C901,Sales_Representatives!$A:$B,2,0)</f>
        <v>Robert Jones</v>
      </c>
    </row>
    <row r="902" spans="1:24" x14ac:dyDescent="0.3">
      <c r="A902" t="s">
        <v>1255</v>
      </c>
      <c r="B902" t="s">
        <v>1253</v>
      </c>
      <c r="C902" t="s">
        <v>41</v>
      </c>
      <c r="D902" t="s">
        <v>183</v>
      </c>
      <c r="E902" t="s">
        <v>508</v>
      </c>
      <c r="F902">
        <v>7</v>
      </c>
      <c r="G902">
        <v>237.69</v>
      </c>
      <c r="H902">
        <v>0.06</v>
      </c>
      <c r="I902" s="4">
        <v>1564</v>
      </c>
      <c r="J902" t="s">
        <v>44</v>
      </c>
      <c r="K902" t="s">
        <v>48</v>
      </c>
      <c r="L902" s="4">
        <f>VLOOKUP(tblTransactions[[#This Row],[Product_ID]],tblProducts[],5,FALSE)</f>
        <v>115.31</v>
      </c>
      <c r="M902" s="4">
        <f>tblTransactions[[#This Row],[Total_Amount]]-(tblTransactions[[#This Row],[Cost_Prices]]*tblTransactions[[#This Row],[Quantity]]*(1-tblTransactions[[#This Row],[Discount]]))</f>
        <v>805.26019999999994</v>
      </c>
      <c r="N902" s="3">
        <f>tblTransactions[[#This Row],[Profit]]/tblTransactions[[#This Row],[Total_Amount]]</f>
        <v>0.51487225063938613</v>
      </c>
      <c r="O902" t="str">
        <f>TEXT(tblTransactions[[#This Row],[Date]], "MMM-YYYY")</f>
        <v>Jul-2023</v>
      </c>
      <c r="P902" t="str">
        <f>"Q"&amp;ROUNDUP(MONTH(tblTransactions[[#This Row],[Date]])/3,0)&amp;"-"&amp;YEAR(tblTransactions[[#This Row],[Date]])</f>
        <v>Q3-2023</v>
      </c>
      <c r="Q902">
        <f>YEAR(tblTransactions[[#This Row],[Date]])</f>
        <v>2023</v>
      </c>
      <c r="R902" t="str">
        <f>TEXT(tblTransactions[[#This Row],[Date]],"DDDD")</f>
        <v>Wednesday</v>
      </c>
      <c r="S902">
        <f>MONTH(tblTransactions[[#This Row],[Date]])</f>
        <v>7</v>
      </c>
      <c r="T902" t="str">
        <f>VLOOKUP(E902, Products!$A:$B,2,0)</f>
        <v>Folders Off-3</v>
      </c>
      <c r="U902" t="str">
        <f>VLOOKUP(E902,Products!$A:$C,3,0)</f>
        <v>Office Supplies</v>
      </c>
      <c r="V902" t="str">
        <f>VLOOKUP(E902,Products!$A:$D,4,0)</f>
        <v>Folders</v>
      </c>
      <c r="W902" t="str">
        <f>VLOOKUP(D902,Customers!$A:$C,3,0)</f>
        <v>Small Business</v>
      </c>
      <c r="X902" t="str">
        <f>VLOOKUP(C902,Sales_Representatives!$A:$B,2,0)</f>
        <v>Robert Jones</v>
      </c>
    </row>
    <row r="903" spans="1:24" x14ac:dyDescent="0.3">
      <c r="A903" t="s">
        <v>1256</v>
      </c>
      <c r="B903" t="s">
        <v>1257</v>
      </c>
      <c r="C903" t="s">
        <v>41</v>
      </c>
      <c r="D903" t="s">
        <v>32</v>
      </c>
      <c r="E903" t="s">
        <v>339</v>
      </c>
      <c r="F903">
        <v>6</v>
      </c>
      <c r="G903">
        <v>1100.8800000000001</v>
      </c>
      <c r="H903">
        <v>0.14000000000000001</v>
      </c>
      <c r="I903" s="4">
        <v>5680.54</v>
      </c>
      <c r="J903" t="s">
        <v>44</v>
      </c>
      <c r="K903" t="s">
        <v>48</v>
      </c>
      <c r="L903" s="4">
        <f>VLOOKUP(tblTransactions[[#This Row],[Product_ID]],tblProducts[],5,FALSE)</f>
        <v>761.53</v>
      </c>
      <c r="M903" s="4">
        <f>tblTransactions[[#This Row],[Total_Amount]]-(tblTransactions[[#This Row],[Cost_Prices]]*tblTransactions[[#This Row],[Quantity]]*(1-tblTransactions[[#This Row],[Discount]]))</f>
        <v>1751.0451999999996</v>
      </c>
      <c r="N903" s="3">
        <f>tblTransactions[[#This Row],[Profit]]/tblTransactions[[#This Row],[Total_Amount]]</f>
        <v>0.30825329986233696</v>
      </c>
      <c r="O903" t="str">
        <f>TEXT(tblTransactions[[#This Row],[Date]], "MMM-YYYY")</f>
        <v>Jul-2023</v>
      </c>
      <c r="P903" t="str">
        <f>"Q"&amp;ROUNDUP(MONTH(tblTransactions[[#This Row],[Date]])/3,0)&amp;"-"&amp;YEAR(tblTransactions[[#This Row],[Date]])</f>
        <v>Q3-2023</v>
      </c>
      <c r="Q903">
        <f>YEAR(tblTransactions[[#This Row],[Date]])</f>
        <v>2023</v>
      </c>
      <c r="R903" t="str">
        <f>TEXT(tblTransactions[[#This Row],[Date]],"DDDD")</f>
        <v>Thursday</v>
      </c>
      <c r="S903">
        <f>MONTH(tblTransactions[[#This Row],[Date]])</f>
        <v>7</v>
      </c>
      <c r="T903" t="str">
        <f>VLOOKUP(E903, Products!$A:$B,2,0)</f>
        <v>Phones Ele-2</v>
      </c>
      <c r="U903" t="str">
        <f>VLOOKUP(E903,Products!$A:$C,3,0)</f>
        <v>Electronics</v>
      </c>
      <c r="V903" t="str">
        <f>VLOOKUP(E903,Products!$A:$D,4,0)</f>
        <v>Phones</v>
      </c>
      <c r="W903" t="str">
        <f>VLOOKUP(D903,Customers!$A:$C,3,0)</f>
        <v>B2C</v>
      </c>
      <c r="X903" t="str">
        <f>VLOOKUP(C903,Sales_Representatives!$A:$B,2,0)</f>
        <v>Robert Jones</v>
      </c>
    </row>
    <row r="904" spans="1:24" x14ac:dyDescent="0.3">
      <c r="A904" t="s">
        <v>1258</v>
      </c>
      <c r="B904" t="s">
        <v>1257</v>
      </c>
      <c r="C904" t="s">
        <v>27</v>
      </c>
      <c r="D904" t="s">
        <v>32</v>
      </c>
      <c r="E904" t="s">
        <v>314</v>
      </c>
      <c r="F904">
        <v>1</v>
      </c>
      <c r="G904">
        <v>204.97</v>
      </c>
      <c r="H904">
        <v>0.05</v>
      </c>
      <c r="I904" s="4">
        <v>194.72</v>
      </c>
      <c r="J904" t="s">
        <v>16</v>
      </c>
      <c r="K904" t="s">
        <v>17</v>
      </c>
      <c r="L904" s="4">
        <f>VLOOKUP(tblTransactions[[#This Row],[Product_ID]],tblProducts[],5,FALSE)</f>
        <v>121.53</v>
      </c>
      <c r="M904" s="4">
        <f>tblTransactions[[#This Row],[Total_Amount]]-(tblTransactions[[#This Row],[Cost_Prices]]*tblTransactions[[#This Row],[Quantity]]*(1-tblTransactions[[#This Row],[Discount]]))</f>
        <v>79.266500000000008</v>
      </c>
      <c r="N904" s="3">
        <f>tblTransactions[[#This Row],[Profit]]/tblTransactions[[#This Row],[Total_Amount]]</f>
        <v>0.40707939605587512</v>
      </c>
      <c r="O904" t="str">
        <f>TEXT(tblTransactions[[#This Row],[Date]], "MMM-YYYY")</f>
        <v>Jul-2023</v>
      </c>
      <c r="P904" t="str">
        <f>"Q"&amp;ROUNDUP(MONTH(tblTransactions[[#This Row],[Date]])/3,0)&amp;"-"&amp;YEAR(tblTransactions[[#This Row],[Date]])</f>
        <v>Q3-2023</v>
      </c>
      <c r="Q904">
        <f>YEAR(tblTransactions[[#This Row],[Date]])</f>
        <v>2023</v>
      </c>
      <c r="R904" t="str">
        <f>TEXT(tblTransactions[[#This Row],[Date]],"DDDD")</f>
        <v>Thursday</v>
      </c>
      <c r="S904">
        <f>MONTH(tblTransactions[[#This Row],[Date]])</f>
        <v>7</v>
      </c>
      <c r="T904" t="str">
        <f>VLOOKUP(E904, Products!$A:$B,2,0)</f>
        <v>Adapters Acc-3</v>
      </c>
      <c r="U904" t="str">
        <f>VLOOKUP(E904,Products!$A:$C,3,0)</f>
        <v>Accessories</v>
      </c>
      <c r="V904" t="str">
        <f>VLOOKUP(E904,Products!$A:$D,4,0)</f>
        <v>Adapters</v>
      </c>
      <c r="W904" t="str">
        <f>VLOOKUP(D904,Customers!$A:$C,3,0)</f>
        <v>B2C</v>
      </c>
      <c r="X904" t="str">
        <f>VLOOKUP(C904,Sales_Representatives!$A:$B,2,0)</f>
        <v>Thomas Lopez</v>
      </c>
    </row>
    <row r="905" spans="1:24" x14ac:dyDescent="0.3">
      <c r="A905" t="s">
        <v>1259</v>
      </c>
      <c r="B905" t="s">
        <v>1257</v>
      </c>
      <c r="C905" t="s">
        <v>31</v>
      </c>
      <c r="D905" t="s">
        <v>118</v>
      </c>
      <c r="E905" t="s">
        <v>304</v>
      </c>
      <c r="F905">
        <v>7</v>
      </c>
      <c r="G905">
        <v>13.43</v>
      </c>
      <c r="H905">
        <v>7.0000000000000007E-2</v>
      </c>
      <c r="I905" s="4">
        <v>87.43</v>
      </c>
      <c r="J905" t="s">
        <v>34</v>
      </c>
      <c r="K905" t="s">
        <v>48</v>
      </c>
      <c r="L905" s="4">
        <f>VLOOKUP(tblTransactions[[#This Row],[Product_ID]],tblProducts[],5,FALSE)</f>
        <v>5.8</v>
      </c>
      <c r="M905" s="4">
        <f>tblTransactions[[#This Row],[Total_Amount]]-(tblTransactions[[#This Row],[Cost_Prices]]*tblTransactions[[#This Row],[Quantity]]*(1-tblTransactions[[#This Row],[Discount]]))</f>
        <v>49.672000000000011</v>
      </c>
      <c r="N905" s="3">
        <f>tblTransactions[[#This Row],[Profit]]/tblTransactions[[#This Row],[Total_Amount]]</f>
        <v>0.56813450760608497</v>
      </c>
      <c r="O905" t="str">
        <f>TEXT(tblTransactions[[#This Row],[Date]], "MMM-YYYY")</f>
        <v>Jul-2023</v>
      </c>
      <c r="P905" t="str">
        <f>"Q"&amp;ROUNDUP(MONTH(tblTransactions[[#This Row],[Date]])/3,0)&amp;"-"&amp;YEAR(tblTransactions[[#This Row],[Date]])</f>
        <v>Q3-2023</v>
      </c>
      <c r="Q905">
        <f>YEAR(tblTransactions[[#This Row],[Date]])</f>
        <v>2023</v>
      </c>
      <c r="R905" t="str">
        <f>TEXT(tblTransactions[[#This Row],[Date]],"DDDD")</f>
        <v>Thursday</v>
      </c>
      <c r="S905">
        <f>MONTH(tblTransactions[[#This Row],[Date]])</f>
        <v>7</v>
      </c>
      <c r="T905" t="str">
        <f>VLOOKUP(E905, Products!$A:$B,2,0)</f>
        <v>Pens Off-1</v>
      </c>
      <c r="U905" t="str">
        <f>VLOOKUP(E905,Products!$A:$C,3,0)</f>
        <v>Office Supplies</v>
      </c>
      <c r="V905" t="str">
        <f>VLOOKUP(E905,Products!$A:$D,4,0)</f>
        <v>Pens</v>
      </c>
      <c r="W905" t="str">
        <f>VLOOKUP(D905,Customers!$A:$C,3,0)</f>
        <v>B2C</v>
      </c>
      <c r="X905" t="str">
        <f>VLOOKUP(C905,Sales_Representatives!$A:$B,2,0)</f>
        <v>Thomas Martinez</v>
      </c>
    </row>
    <row r="906" spans="1:24" x14ac:dyDescent="0.3">
      <c r="A906" t="s">
        <v>1260</v>
      </c>
      <c r="B906" t="s">
        <v>1257</v>
      </c>
      <c r="C906" t="s">
        <v>63</v>
      </c>
      <c r="D906" t="s">
        <v>212</v>
      </c>
      <c r="E906" t="s">
        <v>176</v>
      </c>
      <c r="F906">
        <v>4</v>
      </c>
      <c r="G906">
        <v>1462.68</v>
      </c>
      <c r="H906">
        <v>0.02</v>
      </c>
      <c r="I906" s="4">
        <v>5733.71</v>
      </c>
      <c r="J906" t="s">
        <v>21</v>
      </c>
      <c r="K906" t="s">
        <v>48</v>
      </c>
      <c r="L906" s="4">
        <f>VLOOKUP(tblTransactions[[#This Row],[Product_ID]],tblProducts[],5,FALSE)</f>
        <v>775.94</v>
      </c>
      <c r="M906" s="4">
        <f>tblTransactions[[#This Row],[Total_Amount]]-(tblTransactions[[#This Row],[Cost_Prices]]*tblTransactions[[#This Row],[Quantity]]*(1-tblTransactions[[#This Row],[Discount]]))</f>
        <v>2692.0252</v>
      </c>
      <c r="N906" s="3">
        <f>tblTransactions[[#This Row],[Profit]]/tblTransactions[[#This Row],[Total_Amount]]</f>
        <v>0.46950843345756937</v>
      </c>
      <c r="O906" t="str">
        <f>TEXT(tblTransactions[[#This Row],[Date]], "MMM-YYYY")</f>
        <v>Jul-2023</v>
      </c>
      <c r="P906" t="str">
        <f>"Q"&amp;ROUNDUP(MONTH(tblTransactions[[#This Row],[Date]])/3,0)&amp;"-"&amp;YEAR(tblTransactions[[#This Row],[Date]])</f>
        <v>Q3-2023</v>
      </c>
      <c r="Q906">
        <f>YEAR(tblTransactions[[#This Row],[Date]])</f>
        <v>2023</v>
      </c>
      <c r="R906" t="str">
        <f>TEXT(tblTransactions[[#This Row],[Date]],"DDDD")</f>
        <v>Thursday</v>
      </c>
      <c r="S906">
        <f>MONTH(tblTransactions[[#This Row],[Date]])</f>
        <v>7</v>
      </c>
      <c r="T906" t="str">
        <f>VLOOKUP(E906, Products!$A:$B,2,0)</f>
        <v>Chairs Fur-2</v>
      </c>
      <c r="U906" t="str">
        <f>VLOOKUP(E906,Products!$A:$C,3,0)</f>
        <v>Furniture</v>
      </c>
      <c r="V906" t="str">
        <f>VLOOKUP(E906,Products!$A:$D,4,0)</f>
        <v>Chairs</v>
      </c>
      <c r="W906" t="str">
        <f>VLOOKUP(D906,Customers!$A:$C,3,0)</f>
        <v>B2C</v>
      </c>
      <c r="X906" t="str">
        <f>VLOOKUP(C906,Sales_Representatives!$A:$B,2,0)</f>
        <v>Richard Wilson</v>
      </c>
    </row>
    <row r="907" spans="1:24" x14ac:dyDescent="0.3">
      <c r="A907" t="s">
        <v>1261</v>
      </c>
      <c r="B907" t="s">
        <v>1257</v>
      </c>
      <c r="C907" t="s">
        <v>59</v>
      </c>
      <c r="D907" t="s">
        <v>24</v>
      </c>
      <c r="E907" t="s">
        <v>72</v>
      </c>
      <c r="F907">
        <v>18</v>
      </c>
      <c r="G907">
        <v>404.76</v>
      </c>
      <c r="H907">
        <v>0.12</v>
      </c>
      <c r="I907" s="4">
        <v>6411.4</v>
      </c>
      <c r="J907" t="s">
        <v>21</v>
      </c>
      <c r="K907" t="s">
        <v>35</v>
      </c>
      <c r="L907" s="4">
        <f>VLOOKUP(tblTransactions[[#This Row],[Product_ID]],tblProducts[],5,FALSE)</f>
        <v>226.76</v>
      </c>
      <c r="M907" s="4">
        <f>tblTransactions[[#This Row],[Total_Amount]]-(tblTransactions[[#This Row],[Cost_Prices]]*tblTransactions[[#This Row],[Quantity]]*(1-tblTransactions[[#This Row],[Discount]]))</f>
        <v>2819.5215999999996</v>
      </c>
      <c r="N907" s="3">
        <f>tblTransactions[[#This Row],[Profit]]/tblTransactions[[#This Row],[Total_Amount]]</f>
        <v>0.43976691518233141</v>
      </c>
      <c r="O907" t="str">
        <f>TEXT(tblTransactions[[#This Row],[Date]], "MMM-YYYY")</f>
        <v>Jul-2023</v>
      </c>
      <c r="P907" t="str">
        <f>"Q"&amp;ROUNDUP(MONTH(tblTransactions[[#This Row],[Date]])/3,0)&amp;"-"&amp;YEAR(tblTransactions[[#This Row],[Date]])</f>
        <v>Q3-2023</v>
      </c>
      <c r="Q907">
        <f>YEAR(tblTransactions[[#This Row],[Date]])</f>
        <v>2023</v>
      </c>
      <c r="R907" t="str">
        <f>TEXT(tblTransactions[[#This Row],[Date]],"DDDD")</f>
        <v>Thursday</v>
      </c>
      <c r="S907">
        <f>MONTH(tblTransactions[[#This Row],[Date]])</f>
        <v>7</v>
      </c>
      <c r="T907" t="str">
        <f>VLOOKUP(E907, Products!$A:$B,2,0)</f>
        <v>Tablets Ele-2</v>
      </c>
      <c r="U907" t="str">
        <f>VLOOKUP(E907,Products!$A:$C,3,0)</f>
        <v>Electronics</v>
      </c>
      <c r="V907" t="str">
        <f>VLOOKUP(E907,Products!$A:$D,4,0)</f>
        <v>Tablets</v>
      </c>
      <c r="W907" t="str">
        <f>VLOOKUP(D907,Customers!$A:$C,3,0)</f>
        <v>B2B</v>
      </c>
      <c r="X907" t="str">
        <f>VLOOKUP(C907,Sales_Representatives!$A:$B,2,0)</f>
        <v>Sarah Brown</v>
      </c>
    </row>
    <row r="908" spans="1:24" x14ac:dyDescent="0.3">
      <c r="A908" t="s">
        <v>1262</v>
      </c>
      <c r="B908" t="s">
        <v>1257</v>
      </c>
      <c r="C908" t="s">
        <v>75</v>
      </c>
      <c r="D908" t="s">
        <v>24</v>
      </c>
      <c r="E908" t="s">
        <v>178</v>
      </c>
      <c r="F908">
        <v>7</v>
      </c>
      <c r="G908">
        <v>1623.35</v>
      </c>
      <c r="H908">
        <v>7.0000000000000007E-2</v>
      </c>
      <c r="I908" s="4">
        <v>10568.01</v>
      </c>
      <c r="J908" t="s">
        <v>44</v>
      </c>
      <c r="K908" t="s">
        <v>39</v>
      </c>
      <c r="L908" s="4">
        <f>VLOOKUP(tblTransactions[[#This Row],[Product_ID]],tblProducts[],5,FALSE)</f>
        <v>981.45</v>
      </c>
      <c r="M908" s="4">
        <f>tblTransactions[[#This Row],[Total_Amount]]-(tblTransactions[[#This Row],[Cost_Prices]]*tblTransactions[[#This Row],[Quantity]]*(1-tblTransactions[[#This Row],[Discount]]))</f>
        <v>4178.7705000000005</v>
      </c>
      <c r="N908" s="3">
        <f>tblTransactions[[#This Row],[Profit]]/tblTransactions[[#This Row],[Total_Amount]]</f>
        <v>0.39541697065010351</v>
      </c>
      <c r="O908" t="str">
        <f>TEXT(tblTransactions[[#This Row],[Date]], "MMM-YYYY")</f>
        <v>Jul-2023</v>
      </c>
      <c r="P908" t="str">
        <f>"Q"&amp;ROUNDUP(MONTH(tblTransactions[[#This Row],[Date]])/3,0)&amp;"-"&amp;YEAR(tblTransactions[[#This Row],[Date]])</f>
        <v>Q3-2023</v>
      </c>
      <c r="Q908">
        <f>YEAR(tblTransactions[[#This Row],[Date]])</f>
        <v>2023</v>
      </c>
      <c r="R908" t="str">
        <f>TEXT(tblTransactions[[#This Row],[Date]],"DDDD")</f>
        <v>Thursday</v>
      </c>
      <c r="S908">
        <f>MONTH(tblTransactions[[#This Row],[Date]])</f>
        <v>7</v>
      </c>
      <c r="T908" t="str">
        <f>VLOOKUP(E908, Products!$A:$B,2,0)</f>
        <v>Tablets Ele-1</v>
      </c>
      <c r="U908" t="str">
        <f>VLOOKUP(E908,Products!$A:$C,3,0)</f>
        <v>Electronics</v>
      </c>
      <c r="V908" t="str">
        <f>VLOOKUP(E908,Products!$A:$D,4,0)</f>
        <v>Tablets</v>
      </c>
      <c r="W908" t="str">
        <f>VLOOKUP(D908,Customers!$A:$C,3,0)</f>
        <v>B2B</v>
      </c>
      <c r="X908" t="str">
        <f>VLOOKUP(C908,Sales_Representatives!$A:$B,2,0)</f>
        <v>Jessica Anderson</v>
      </c>
    </row>
    <row r="909" spans="1:24" x14ac:dyDescent="0.3">
      <c r="A909" t="s">
        <v>1263</v>
      </c>
      <c r="B909" t="s">
        <v>1264</v>
      </c>
      <c r="C909" t="s">
        <v>131</v>
      </c>
      <c r="D909" t="s">
        <v>362</v>
      </c>
      <c r="E909" t="s">
        <v>508</v>
      </c>
      <c r="F909">
        <v>3</v>
      </c>
      <c r="G909">
        <v>237.69</v>
      </c>
      <c r="H909">
        <v>0.02</v>
      </c>
      <c r="I909" s="4">
        <v>698.81</v>
      </c>
      <c r="J909" t="s">
        <v>44</v>
      </c>
      <c r="K909" t="s">
        <v>22</v>
      </c>
      <c r="L909" s="4">
        <f>VLOOKUP(tblTransactions[[#This Row],[Product_ID]],tblProducts[],5,FALSE)</f>
        <v>115.31</v>
      </c>
      <c r="M909" s="4">
        <f>tblTransactions[[#This Row],[Total_Amount]]-(tblTransactions[[#This Row],[Cost_Prices]]*tblTransactions[[#This Row],[Quantity]]*(1-tblTransactions[[#This Row],[Discount]]))</f>
        <v>359.79859999999996</v>
      </c>
      <c r="N909" s="3">
        <f>tblTransactions[[#This Row],[Profit]]/tblTransactions[[#This Row],[Total_Amount]]</f>
        <v>0.51487328458379245</v>
      </c>
      <c r="O909" t="str">
        <f>TEXT(tblTransactions[[#This Row],[Date]], "MMM-YYYY")</f>
        <v>Jul-2023</v>
      </c>
      <c r="P909" t="str">
        <f>"Q"&amp;ROUNDUP(MONTH(tblTransactions[[#This Row],[Date]])/3,0)&amp;"-"&amp;YEAR(tblTransactions[[#This Row],[Date]])</f>
        <v>Q3-2023</v>
      </c>
      <c r="Q909">
        <f>YEAR(tblTransactions[[#This Row],[Date]])</f>
        <v>2023</v>
      </c>
      <c r="R909" t="str">
        <f>TEXT(tblTransactions[[#This Row],[Date]],"DDDD")</f>
        <v>Friday</v>
      </c>
      <c r="S909">
        <f>MONTH(tblTransactions[[#This Row],[Date]])</f>
        <v>7</v>
      </c>
      <c r="T909" t="str">
        <f>VLOOKUP(E909, Products!$A:$B,2,0)</f>
        <v>Folders Off-3</v>
      </c>
      <c r="U909" t="str">
        <f>VLOOKUP(E909,Products!$A:$C,3,0)</f>
        <v>Office Supplies</v>
      </c>
      <c r="V909" t="str">
        <f>VLOOKUP(E909,Products!$A:$D,4,0)</f>
        <v>Folders</v>
      </c>
      <c r="W909" t="str">
        <f>VLOOKUP(D909,Customers!$A:$C,3,0)</f>
        <v>Small Business</v>
      </c>
      <c r="X909" t="str">
        <f>VLOOKUP(C909,Sales_Representatives!$A:$B,2,0)</f>
        <v>Michael Davis</v>
      </c>
    </row>
    <row r="910" spans="1:24" x14ac:dyDescent="0.3">
      <c r="A910" t="s">
        <v>1265</v>
      </c>
      <c r="B910" t="s">
        <v>1264</v>
      </c>
      <c r="C910" t="s">
        <v>82</v>
      </c>
      <c r="D910" t="s">
        <v>67</v>
      </c>
      <c r="E910" t="s">
        <v>33</v>
      </c>
      <c r="F910">
        <v>4</v>
      </c>
      <c r="G910">
        <v>322.7</v>
      </c>
      <c r="H910">
        <v>0.02</v>
      </c>
      <c r="I910" s="4">
        <v>1264.98</v>
      </c>
      <c r="J910" t="s">
        <v>34</v>
      </c>
      <c r="K910" t="s">
        <v>35</v>
      </c>
      <c r="L910" s="4">
        <f>VLOOKUP(tblTransactions[[#This Row],[Product_ID]],tblProducts[],5,FALSE)</f>
        <v>139.81</v>
      </c>
      <c r="M910" s="4">
        <f>tblTransactions[[#This Row],[Total_Amount]]-(tblTransactions[[#This Row],[Cost_Prices]]*tblTransactions[[#This Row],[Quantity]]*(1-tblTransactions[[#This Row],[Discount]]))</f>
        <v>716.9248</v>
      </c>
      <c r="N910" s="3">
        <f>tblTransactions[[#This Row],[Profit]]/tblTransactions[[#This Row],[Total_Amount]]</f>
        <v>0.56674793277364066</v>
      </c>
      <c r="O910" t="str">
        <f>TEXT(tblTransactions[[#This Row],[Date]], "MMM-YYYY")</f>
        <v>Jul-2023</v>
      </c>
      <c r="P910" t="str">
        <f>"Q"&amp;ROUNDUP(MONTH(tblTransactions[[#This Row],[Date]])/3,0)&amp;"-"&amp;YEAR(tblTransactions[[#This Row],[Date]])</f>
        <v>Q3-2023</v>
      </c>
      <c r="Q910">
        <f>YEAR(tblTransactions[[#This Row],[Date]])</f>
        <v>2023</v>
      </c>
      <c r="R910" t="str">
        <f>TEXT(tblTransactions[[#This Row],[Date]],"DDDD")</f>
        <v>Friday</v>
      </c>
      <c r="S910">
        <f>MONTH(tblTransactions[[#This Row],[Date]])</f>
        <v>7</v>
      </c>
      <c r="T910" t="str">
        <f>VLOOKUP(E910, Products!$A:$B,2,0)</f>
        <v>Adapters Acc-1</v>
      </c>
      <c r="U910" t="str">
        <f>VLOOKUP(E910,Products!$A:$C,3,0)</f>
        <v>Accessories</v>
      </c>
      <c r="V910" t="str">
        <f>VLOOKUP(E910,Products!$A:$D,4,0)</f>
        <v>Adapters</v>
      </c>
      <c r="W910" t="str">
        <f>VLOOKUP(D910,Customers!$A:$C,3,0)</f>
        <v>B2C</v>
      </c>
      <c r="X910" t="str">
        <f>VLOOKUP(C910,Sales_Representatives!$A:$B,2,0)</f>
        <v>John Brown</v>
      </c>
    </row>
    <row r="911" spans="1:24" x14ac:dyDescent="0.3">
      <c r="A911" t="s">
        <v>1266</v>
      </c>
      <c r="B911" t="s">
        <v>1264</v>
      </c>
      <c r="C911" t="s">
        <v>31</v>
      </c>
      <c r="D911" t="s">
        <v>64</v>
      </c>
      <c r="E911" t="s">
        <v>394</v>
      </c>
      <c r="F911">
        <v>4</v>
      </c>
      <c r="G911">
        <v>314.69</v>
      </c>
      <c r="H911">
        <v>0.03</v>
      </c>
      <c r="I911" s="4">
        <v>1221</v>
      </c>
      <c r="J911" t="s">
        <v>34</v>
      </c>
      <c r="K911" t="s">
        <v>22</v>
      </c>
      <c r="L911" s="4">
        <f>VLOOKUP(tblTransactions[[#This Row],[Product_ID]],tblProducts[],5,FALSE)</f>
        <v>185.43</v>
      </c>
      <c r="M911" s="4">
        <f>tblTransactions[[#This Row],[Total_Amount]]-(tblTransactions[[#This Row],[Cost_Prices]]*tblTransactions[[#This Row],[Quantity]]*(1-tblTransactions[[#This Row],[Discount]]))</f>
        <v>501.53160000000003</v>
      </c>
      <c r="N911" s="3">
        <f>tblTransactions[[#This Row],[Profit]]/tblTransactions[[#This Row],[Total_Amount]]</f>
        <v>0.41075479115479119</v>
      </c>
      <c r="O911" t="str">
        <f>TEXT(tblTransactions[[#This Row],[Date]], "MMM-YYYY")</f>
        <v>Jul-2023</v>
      </c>
      <c r="P911" t="str">
        <f>"Q"&amp;ROUNDUP(MONTH(tblTransactions[[#This Row],[Date]])/3,0)&amp;"-"&amp;YEAR(tblTransactions[[#This Row],[Date]])</f>
        <v>Q3-2023</v>
      </c>
      <c r="Q911">
        <f>YEAR(tblTransactions[[#This Row],[Date]])</f>
        <v>2023</v>
      </c>
      <c r="R911" t="str">
        <f>TEXT(tblTransactions[[#This Row],[Date]],"DDDD")</f>
        <v>Friday</v>
      </c>
      <c r="S911">
        <f>MONTH(tblTransactions[[#This Row],[Date]])</f>
        <v>7</v>
      </c>
      <c r="T911" t="str">
        <f>VLOOKUP(E911, Products!$A:$B,2,0)</f>
        <v>Desks Fur-1</v>
      </c>
      <c r="U911" t="str">
        <f>VLOOKUP(E911,Products!$A:$C,3,0)</f>
        <v>Furniture</v>
      </c>
      <c r="V911" t="str">
        <f>VLOOKUP(E911,Products!$A:$D,4,0)</f>
        <v>Desks</v>
      </c>
      <c r="W911" t="str">
        <f>VLOOKUP(D911,Customers!$A:$C,3,0)</f>
        <v>Small Business</v>
      </c>
      <c r="X911" t="str">
        <f>VLOOKUP(C911,Sales_Representatives!$A:$B,2,0)</f>
        <v>Thomas Martinez</v>
      </c>
    </row>
    <row r="912" spans="1:24" x14ac:dyDescent="0.3">
      <c r="A912" t="s">
        <v>1267</v>
      </c>
      <c r="B912" t="s">
        <v>1264</v>
      </c>
      <c r="C912" t="s">
        <v>107</v>
      </c>
      <c r="D912" t="s">
        <v>112</v>
      </c>
      <c r="E912" t="s">
        <v>198</v>
      </c>
      <c r="F912">
        <v>19</v>
      </c>
      <c r="G912">
        <v>1802.96</v>
      </c>
      <c r="H912">
        <v>0.17</v>
      </c>
      <c r="I912" s="4">
        <v>28432.68</v>
      </c>
      <c r="J912" t="s">
        <v>109</v>
      </c>
      <c r="K912" t="s">
        <v>35</v>
      </c>
      <c r="L912" s="4">
        <f>VLOOKUP(tblTransactions[[#This Row],[Product_ID]],tblProducts[],5,FALSE)</f>
        <v>1282.18</v>
      </c>
      <c r="M912" s="4">
        <f>tblTransactions[[#This Row],[Total_Amount]]-(tblTransactions[[#This Row],[Cost_Prices]]*tblTransactions[[#This Row],[Quantity]]*(1-tblTransactions[[#This Row],[Discount]]))</f>
        <v>8212.7013999999981</v>
      </c>
      <c r="N912" s="3">
        <f>tblTransactions[[#This Row],[Profit]]/tblTransactions[[#This Row],[Total_Amount]]</f>
        <v>0.2888472490106454</v>
      </c>
      <c r="O912" t="str">
        <f>TEXT(tblTransactions[[#This Row],[Date]], "MMM-YYYY")</f>
        <v>Jul-2023</v>
      </c>
      <c r="P912" t="str">
        <f>"Q"&amp;ROUNDUP(MONTH(tblTransactions[[#This Row],[Date]])/3,0)&amp;"-"&amp;YEAR(tblTransactions[[#This Row],[Date]])</f>
        <v>Q3-2023</v>
      </c>
      <c r="Q912">
        <f>YEAR(tblTransactions[[#This Row],[Date]])</f>
        <v>2023</v>
      </c>
      <c r="R912" t="str">
        <f>TEXT(tblTransactions[[#This Row],[Date]],"DDDD")</f>
        <v>Friday</v>
      </c>
      <c r="S912">
        <f>MONTH(tblTransactions[[#This Row],[Date]])</f>
        <v>7</v>
      </c>
      <c r="T912" t="str">
        <f>VLOOKUP(E912, Products!$A:$B,2,0)</f>
        <v>Tablets Ele-3</v>
      </c>
      <c r="U912" t="str">
        <f>VLOOKUP(E912,Products!$A:$C,3,0)</f>
        <v>Electronics</v>
      </c>
      <c r="V912" t="str">
        <f>VLOOKUP(E912,Products!$A:$D,4,0)</f>
        <v>Tablets</v>
      </c>
      <c r="W912" t="str">
        <f>VLOOKUP(D912,Customers!$A:$C,3,0)</f>
        <v>Enterprise</v>
      </c>
      <c r="X912" t="str">
        <f>VLOOKUP(C912,Sales_Representatives!$A:$B,2,0)</f>
        <v>Jennifer Brown</v>
      </c>
    </row>
    <row r="913" spans="1:24" x14ac:dyDescent="0.3">
      <c r="A913" t="s">
        <v>1268</v>
      </c>
      <c r="B913" t="s">
        <v>1264</v>
      </c>
      <c r="C913" t="s">
        <v>59</v>
      </c>
      <c r="D913" t="s">
        <v>154</v>
      </c>
      <c r="E913" t="s">
        <v>224</v>
      </c>
      <c r="F913">
        <v>2</v>
      </c>
      <c r="G913">
        <v>505.37</v>
      </c>
      <c r="H913">
        <v>0.09</v>
      </c>
      <c r="I913" s="4">
        <v>919.77</v>
      </c>
      <c r="J913" t="s">
        <v>21</v>
      </c>
      <c r="K913" t="s">
        <v>17</v>
      </c>
      <c r="L913" s="4">
        <f>VLOOKUP(tblTransactions[[#This Row],[Product_ID]],tblProducts[],5,FALSE)</f>
        <v>281.14999999999998</v>
      </c>
      <c r="M913" s="4">
        <f>tblTransactions[[#This Row],[Total_Amount]]-(tblTransactions[[#This Row],[Cost_Prices]]*tblTransactions[[#This Row],[Quantity]]*(1-tblTransactions[[#This Row],[Discount]]))</f>
        <v>408.077</v>
      </c>
      <c r="N913" s="3">
        <f>tblTransactions[[#This Row],[Profit]]/tblTransactions[[#This Row],[Total_Amount]]</f>
        <v>0.44367287474042422</v>
      </c>
      <c r="O913" t="str">
        <f>TEXT(tblTransactions[[#This Row],[Date]], "MMM-YYYY")</f>
        <v>Jul-2023</v>
      </c>
      <c r="P913" t="str">
        <f>"Q"&amp;ROUNDUP(MONTH(tblTransactions[[#This Row],[Date]])/3,0)&amp;"-"&amp;YEAR(tblTransactions[[#This Row],[Date]])</f>
        <v>Q3-2023</v>
      </c>
      <c r="Q913">
        <f>YEAR(tblTransactions[[#This Row],[Date]])</f>
        <v>2023</v>
      </c>
      <c r="R913" t="str">
        <f>TEXT(tblTransactions[[#This Row],[Date]],"DDDD")</f>
        <v>Friday</v>
      </c>
      <c r="S913">
        <f>MONTH(tblTransactions[[#This Row],[Date]])</f>
        <v>7</v>
      </c>
      <c r="T913" t="str">
        <f>VLOOKUP(E913, Products!$A:$B,2,0)</f>
        <v>Desks Fur-3</v>
      </c>
      <c r="U913" t="str">
        <f>VLOOKUP(E913,Products!$A:$C,3,0)</f>
        <v>Furniture</v>
      </c>
      <c r="V913" t="str">
        <f>VLOOKUP(E913,Products!$A:$D,4,0)</f>
        <v>Desks</v>
      </c>
      <c r="W913" t="str">
        <f>VLOOKUP(D913,Customers!$A:$C,3,0)</f>
        <v>B2B</v>
      </c>
      <c r="X913" t="str">
        <f>VLOOKUP(C913,Sales_Representatives!$A:$B,2,0)</f>
        <v>Sarah Brown</v>
      </c>
    </row>
    <row r="914" spans="1:24" x14ac:dyDescent="0.3">
      <c r="A914" t="s">
        <v>1269</v>
      </c>
      <c r="B914" t="s">
        <v>1264</v>
      </c>
      <c r="C914" t="s">
        <v>82</v>
      </c>
      <c r="D914" t="s">
        <v>134</v>
      </c>
      <c r="E914" t="s">
        <v>290</v>
      </c>
      <c r="F914">
        <v>13</v>
      </c>
      <c r="G914">
        <v>729.32</v>
      </c>
      <c r="H914">
        <v>0.15</v>
      </c>
      <c r="I914" s="4">
        <v>8058.99</v>
      </c>
      <c r="J914" t="s">
        <v>34</v>
      </c>
      <c r="K914" t="s">
        <v>35</v>
      </c>
      <c r="L914" s="4">
        <f>VLOOKUP(tblTransactions[[#This Row],[Product_ID]],tblProducts[],5,FALSE)</f>
        <v>482.7</v>
      </c>
      <c r="M914" s="4">
        <f>tblTransactions[[#This Row],[Total_Amount]]-(tblTransactions[[#This Row],[Cost_Prices]]*tblTransactions[[#This Row],[Quantity]]*(1-tblTransactions[[#This Row],[Discount]]))</f>
        <v>2725.1550000000007</v>
      </c>
      <c r="N914" s="3">
        <f>tblTransactions[[#This Row],[Profit]]/tblTransactions[[#This Row],[Total_Amount]]</f>
        <v>0.33815093454638867</v>
      </c>
      <c r="O914" t="str">
        <f>TEXT(tblTransactions[[#This Row],[Date]], "MMM-YYYY")</f>
        <v>Jul-2023</v>
      </c>
      <c r="P914" t="str">
        <f>"Q"&amp;ROUNDUP(MONTH(tblTransactions[[#This Row],[Date]])/3,0)&amp;"-"&amp;YEAR(tblTransactions[[#This Row],[Date]])</f>
        <v>Q3-2023</v>
      </c>
      <c r="Q914">
        <f>YEAR(tblTransactions[[#This Row],[Date]])</f>
        <v>2023</v>
      </c>
      <c r="R914" t="str">
        <f>TEXT(tblTransactions[[#This Row],[Date]],"DDDD")</f>
        <v>Friday</v>
      </c>
      <c r="S914">
        <f>MONTH(tblTransactions[[#This Row],[Date]])</f>
        <v>7</v>
      </c>
      <c r="T914" t="str">
        <f>VLOOKUP(E914, Products!$A:$B,2,0)</f>
        <v>Tables Fur-1</v>
      </c>
      <c r="U914" t="str">
        <f>VLOOKUP(E914,Products!$A:$C,3,0)</f>
        <v>Furniture</v>
      </c>
      <c r="V914" t="str">
        <f>VLOOKUP(E914,Products!$A:$D,4,0)</f>
        <v>Tables</v>
      </c>
      <c r="W914" t="str">
        <f>VLOOKUP(D914,Customers!$A:$C,3,0)</f>
        <v>B2B</v>
      </c>
      <c r="X914" t="str">
        <f>VLOOKUP(C914,Sales_Representatives!$A:$B,2,0)</f>
        <v>John Brown</v>
      </c>
    </row>
    <row r="915" spans="1:24" x14ac:dyDescent="0.3">
      <c r="A915" t="s">
        <v>1270</v>
      </c>
      <c r="B915" t="s">
        <v>1264</v>
      </c>
      <c r="C915" t="s">
        <v>41</v>
      </c>
      <c r="D915" t="s">
        <v>154</v>
      </c>
      <c r="E915" t="s">
        <v>347</v>
      </c>
      <c r="F915">
        <v>16</v>
      </c>
      <c r="G915">
        <v>1539.6</v>
      </c>
      <c r="H915">
        <v>0.11</v>
      </c>
      <c r="I915" s="4">
        <v>21923.9</v>
      </c>
      <c r="J915" t="s">
        <v>44</v>
      </c>
      <c r="K915" t="s">
        <v>35</v>
      </c>
      <c r="L915" s="4">
        <f>VLOOKUP(tblTransactions[[#This Row],[Product_ID]],tblProducts[],5,FALSE)</f>
        <v>992.43</v>
      </c>
      <c r="M915" s="4">
        <f>tblTransactions[[#This Row],[Total_Amount]]-(tblTransactions[[#This Row],[Cost_Prices]]*tblTransactions[[#This Row],[Quantity]]*(1-tblTransactions[[#This Row],[Discount]]))</f>
        <v>7791.6968000000015</v>
      </c>
      <c r="N915" s="3">
        <f>tblTransactions[[#This Row],[Profit]]/tblTransactions[[#This Row],[Total_Amount]]</f>
        <v>0.35539738823840655</v>
      </c>
      <c r="O915" t="str">
        <f>TEXT(tblTransactions[[#This Row],[Date]], "MMM-YYYY")</f>
        <v>Jul-2023</v>
      </c>
      <c r="P915" t="str">
        <f>"Q"&amp;ROUNDUP(MONTH(tblTransactions[[#This Row],[Date]])/3,0)&amp;"-"&amp;YEAR(tblTransactions[[#This Row],[Date]])</f>
        <v>Q3-2023</v>
      </c>
      <c r="Q915">
        <f>YEAR(tblTransactions[[#This Row],[Date]])</f>
        <v>2023</v>
      </c>
      <c r="R915" t="str">
        <f>TEXT(tblTransactions[[#This Row],[Date]],"DDDD")</f>
        <v>Friday</v>
      </c>
      <c r="S915">
        <f>MONTH(tblTransactions[[#This Row],[Date]])</f>
        <v>7</v>
      </c>
      <c r="T915" t="str">
        <f>VLOOKUP(E915, Products!$A:$B,2,0)</f>
        <v>Routers Tec-2</v>
      </c>
      <c r="U915" t="str">
        <f>VLOOKUP(E915,Products!$A:$C,3,0)</f>
        <v>Technology</v>
      </c>
      <c r="V915" t="str">
        <f>VLOOKUP(E915,Products!$A:$D,4,0)</f>
        <v>Routers</v>
      </c>
      <c r="W915" t="str">
        <f>VLOOKUP(D915,Customers!$A:$C,3,0)</f>
        <v>B2B</v>
      </c>
      <c r="X915" t="str">
        <f>VLOOKUP(C915,Sales_Representatives!$A:$B,2,0)</f>
        <v>Robert Jones</v>
      </c>
    </row>
    <row r="916" spans="1:24" x14ac:dyDescent="0.3">
      <c r="A916" t="s">
        <v>1271</v>
      </c>
      <c r="B916" t="s">
        <v>1272</v>
      </c>
      <c r="C916" t="s">
        <v>13</v>
      </c>
      <c r="D916" t="s">
        <v>118</v>
      </c>
      <c r="E916" t="s">
        <v>159</v>
      </c>
      <c r="F916">
        <v>4</v>
      </c>
      <c r="G916">
        <v>78.09</v>
      </c>
      <c r="H916">
        <v>0</v>
      </c>
      <c r="I916" s="4">
        <v>312.36</v>
      </c>
      <c r="J916" t="s">
        <v>16</v>
      </c>
      <c r="K916" t="s">
        <v>22</v>
      </c>
      <c r="L916" s="4">
        <f>VLOOKUP(tblTransactions[[#This Row],[Product_ID]],tblProducts[],5,FALSE)</f>
        <v>47.01</v>
      </c>
      <c r="M916" s="4">
        <f>tblTransactions[[#This Row],[Total_Amount]]-(tblTransactions[[#This Row],[Cost_Prices]]*tblTransactions[[#This Row],[Quantity]]*(1-tblTransactions[[#This Row],[Discount]]))</f>
        <v>124.32000000000002</v>
      </c>
      <c r="N916" s="3">
        <f>tblTransactions[[#This Row],[Profit]]/tblTransactions[[#This Row],[Total_Amount]]</f>
        <v>0.39800230503265466</v>
      </c>
      <c r="O916" t="str">
        <f>TEXT(tblTransactions[[#This Row],[Date]], "MMM-YYYY")</f>
        <v>Jul-2023</v>
      </c>
      <c r="P916" t="str">
        <f>"Q"&amp;ROUNDUP(MONTH(tblTransactions[[#This Row],[Date]])/3,0)&amp;"-"&amp;YEAR(tblTransactions[[#This Row],[Date]])</f>
        <v>Q3-2023</v>
      </c>
      <c r="Q916">
        <f>YEAR(tblTransactions[[#This Row],[Date]])</f>
        <v>2023</v>
      </c>
      <c r="R916" t="str">
        <f>TEXT(tblTransactions[[#This Row],[Date]],"DDDD")</f>
        <v>Saturday</v>
      </c>
      <c r="S916">
        <f>MONTH(tblTransactions[[#This Row],[Date]])</f>
        <v>7</v>
      </c>
      <c r="T916" t="str">
        <f>VLOOKUP(E916, Products!$A:$B,2,0)</f>
        <v>Cables Acc-4</v>
      </c>
      <c r="U916" t="str">
        <f>VLOOKUP(E916,Products!$A:$C,3,0)</f>
        <v>Accessories</v>
      </c>
      <c r="V916" t="str">
        <f>VLOOKUP(E916,Products!$A:$D,4,0)</f>
        <v>Cables</v>
      </c>
      <c r="W916" t="str">
        <f>VLOOKUP(D916,Customers!$A:$C,3,0)</f>
        <v>B2C</v>
      </c>
      <c r="X916" t="str">
        <f>VLOOKUP(C916,Sales_Representatives!$A:$B,2,0)</f>
        <v>Jennifer Rodriguez</v>
      </c>
    </row>
    <row r="917" spans="1:24" x14ac:dyDescent="0.3">
      <c r="A917" t="s">
        <v>1273</v>
      </c>
      <c r="B917" t="s">
        <v>1272</v>
      </c>
      <c r="C917" t="s">
        <v>141</v>
      </c>
      <c r="D917" t="s">
        <v>14</v>
      </c>
      <c r="E917" t="s">
        <v>25</v>
      </c>
      <c r="F917">
        <v>10</v>
      </c>
      <c r="G917">
        <v>1467.49</v>
      </c>
      <c r="H917">
        <v>0.11</v>
      </c>
      <c r="I917" s="4">
        <v>13060.66</v>
      </c>
      <c r="J917" t="s">
        <v>109</v>
      </c>
      <c r="K917" t="s">
        <v>48</v>
      </c>
      <c r="L917" s="4">
        <f>VLOOKUP(tblTransactions[[#This Row],[Product_ID]],tblProducts[],5,FALSE)</f>
        <v>757.65</v>
      </c>
      <c r="M917" s="4">
        <f>tblTransactions[[#This Row],[Total_Amount]]-(tblTransactions[[#This Row],[Cost_Prices]]*tblTransactions[[#This Row],[Quantity]]*(1-tblTransactions[[#This Row],[Discount]]))</f>
        <v>6317.5749999999998</v>
      </c>
      <c r="N917" s="3">
        <f>tblTransactions[[#This Row],[Profit]]/tblTransactions[[#This Row],[Total_Amount]]</f>
        <v>0.48371024128949069</v>
      </c>
      <c r="O917" t="str">
        <f>TEXT(tblTransactions[[#This Row],[Date]], "MMM-YYYY")</f>
        <v>Jul-2023</v>
      </c>
      <c r="P917" t="str">
        <f>"Q"&amp;ROUNDUP(MONTH(tblTransactions[[#This Row],[Date]])/3,0)&amp;"-"&amp;YEAR(tblTransactions[[#This Row],[Date]])</f>
        <v>Q3-2023</v>
      </c>
      <c r="Q917">
        <f>YEAR(tblTransactions[[#This Row],[Date]])</f>
        <v>2023</v>
      </c>
      <c r="R917" t="str">
        <f>TEXT(tblTransactions[[#This Row],[Date]],"DDDD")</f>
        <v>Saturday</v>
      </c>
      <c r="S917">
        <f>MONTH(tblTransactions[[#This Row],[Date]])</f>
        <v>7</v>
      </c>
      <c r="T917" t="str">
        <f>VLOOKUP(E917, Products!$A:$B,2,0)</f>
        <v>Tables Fur-3</v>
      </c>
      <c r="U917" t="str">
        <f>VLOOKUP(E917,Products!$A:$C,3,0)</f>
        <v>Furniture</v>
      </c>
      <c r="V917" t="str">
        <f>VLOOKUP(E917,Products!$A:$D,4,0)</f>
        <v>Tables</v>
      </c>
      <c r="W917" t="str">
        <f>VLOOKUP(D917,Customers!$A:$C,3,0)</f>
        <v>B2B</v>
      </c>
      <c r="X917" t="str">
        <f>VLOOKUP(C917,Sales_Representatives!$A:$B,2,0)</f>
        <v>Richard Garcia</v>
      </c>
    </row>
    <row r="918" spans="1:24" x14ac:dyDescent="0.3">
      <c r="A918" t="s">
        <v>1274</v>
      </c>
      <c r="B918" t="s">
        <v>1272</v>
      </c>
      <c r="C918" t="s">
        <v>59</v>
      </c>
      <c r="D918" t="s">
        <v>95</v>
      </c>
      <c r="E918" t="s">
        <v>172</v>
      </c>
      <c r="F918">
        <v>15</v>
      </c>
      <c r="G918">
        <v>1371.15</v>
      </c>
      <c r="H918">
        <v>0.16</v>
      </c>
      <c r="I918" s="4">
        <v>17276.490000000002</v>
      </c>
      <c r="J918" t="s">
        <v>21</v>
      </c>
      <c r="K918" t="s">
        <v>17</v>
      </c>
      <c r="L918" s="4">
        <f>VLOOKUP(tblTransactions[[#This Row],[Product_ID]],tblProducts[],5,FALSE)</f>
        <v>989.81</v>
      </c>
      <c r="M918" s="4">
        <f>tblTransactions[[#This Row],[Total_Amount]]-(tblTransactions[[#This Row],[Cost_Prices]]*tblTransactions[[#This Row],[Quantity]]*(1-tblTransactions[[#This Row],[Discount]]))</f>
        <v>4804.8840000000018</v>
      </c>
      <c r="N918" s="3">
        <f>tblTransactions[[#This Row],[Profit]]/tblTransactions[[#This Row],[Total_Amount]]</f>
        <v>0.27811690916384063</v>
      </c>
      <c r="O918" t="str">
        <f>TEXT(tblTransactions[[#This Row],[Date]], "MMM-YYYY")</f>
        <v>Jul-2023</v>
      </c>
      <c r="P918" t="str">
        <f>"Q"&amp;ROUNDUP(MONTH(tblTransactions[[#This Row],[Date]])/3,0)&amp;"-"&amp;YEAR(tblTransactions[[#This Row],[Date]])</f>
        <v>Q3-2023</v>
      </c>
      <c r="Q918">
        <f>YEAR(tblTransactions[[#This Row],[Date]])</f>
        <v>2023</v>
      </c>
      <c r="R918" t="str">
        <f>TEXT(tblTransactions[[#This Row],[Date]],"DDDD")</f>
        <v>Saturday</v>
      </c>
      <c r="S918">
        <f>MONTH(tblTransactions[[#This Row],[Date]])</f>
        <v>7</v>
      </c>
      <c r="T918" t="str">
        <f>VLOOKUP(E918, Products!$A:$B,2,0)</f>
        <v>Cameras Ele-4</v>
      </c>
      <c r="U918" t="str">
        <f>VLOOKUP(E918,Products!$A:$C,3,0)</f>
        <v>Electronics</v>
      </c>
      <c r="V918" t="str">
        <f>VLOOKUP(E918,Products!$A:$D,4,0)</f>
        <v>Cameras</v>
      </c>
      <c r="W918" t="str">
        <f>VLOOKUP(D918,Customers!$A:$C,3,0)</f>
        <v>Enterprise</v>
      </c>
      <c r="X918" t="str">
        <f>VLOOKUP(C918,Sales_Representatives!$A:$B,2,0)</f>
        <v>Sarah Brown</v>
      </c>
    </row>
    <row r="919" spans="1:24" x14ac:dyDescent="0.3">
      <c r="A919" t="s">
        <v>1275</v>
      </c>
      <c r="B919" t="s">
        <v>1272</v>
      </c>
      <c r="C919" t="s">
        <v>19</v>
      </c>
      <c r="D919" t="s">
        <v>50</v>
      </c>
      <c r="E919" t="s">
        <v>15</v>
      </c>
      <c r="F919">
        <v>6</v>
      </c>
      <c r="G919">
        <v>477.48</v>
      </c>
      <c r="H919">
        <v>0.13</v>
      </c>
      <c r="I919" s="4">
        <v>2492.4499999999998</v>
      </c>
      <c r="J919" t="s">
        <v>21</v>
      </c>
      <c r="K919" t="s">
        <v>48</v>
      </c>
      <c r="L919" s="4">
        <f>VLOOKUP(tblTransactions[[#This Row],[Product_ID]],tblProducts[],5,FALSE)</f>
        <v>275.51</v>
      </c>
      <c r="M919" s="4">
        <f>tblTransactions[[#This Row],[Total_Amount]]-(tblTransactions[[#This Row],[Cost_Prices]]*tblTransactions[[#This Row],[Quantity]]*(1-tblTransactions[[#This Row],[Discount]]))</f>
        <v>1054.2877999999998</v>
      </c>
      <c r="N919" s="3">
        <f>tblTransactions[[#This Row],[Profit]]/tblTransactions[[#This Row],[Total_Amount]]</f>
        <v>0.42299255752372161</v>
      </c>
      <c r="O919" t="str">
        <f>TEXT(tblTransactions[[#This Row],[Date]], "MMM-YYYY")</f>
        <v>Jul-2023</v>
      </c>
      <c r="P919" t="str">
        <f>"Q"&amp;ROUNDUP(MONTH(tblTransactions[[#This Row],[Date]])/3,0)&amp;"-"&amp;YEAR(tblTransactions[[#This Row],[Date]])</f>
        <v>Q3-2023</v>
      </c>
      <c r="Q919">
        <f>YEAR(tblTransactions[[#This Row],[Date]])</f>
        <v>2023</v>
      </c>
      <c r="R919" t="str">
        <f>TEXT(tblTransactions[[#This Row],[Date]],"DDDD")</f>
        <v>Saturday</v>
      </c>
      <c r="S919">
        <f>MONTH(tblTransactions[[#This Row],[Date]])</f>
        <v>7</v>
      </c>
      <c r="T919" t="str">
        <f>VLOOKUP(E919, Products!$A:$B,2,0)</f>
        <v>Laptops Ele-4</v>
      </c>
      <c r="U919" t="str">
        <f>VLOOKUP(E919,Products!$A:$C,3,0)</f>
        <v>Electronics</v>
      </c>
      <c r="V919" t="str">
        <f>VLOOKUP(E919,Products!$A:$D,4,0)</f>
        <v>Laptops</v>
      </c>
      <c r="W919" t="str">
        <f>VLOOKUP(D919,Customers!$A:$C,3,0)</f>
        <v>Small Business</v>
      </c>
      <c r="X919" t="str">
        <f>VLOOKUP(C919,Sales_Representatives!$A:$B,2,0)</f>
        <v>Robert Jones</v>
      </c>
    </row>
    <row r="920" spans="1:24" x14ac:dyDescent="0.3">
      <c r="A920" t="s">
        <v>1276</v>
      </c>
      <c r="B920" t="s">
        <v>1277</v>
      </c>
      <c r="C920" t="s">
        <v>75</v>
      </c>
      <c r="D920" t="s">
        <v>124</v>
      </c>
      <c r="E920" t="s">
        <v>394</v>
      </c>
      <c r="F920">
        <v>13</v>
      </c>
      <c r="G920">
        <v>314.69</v>
      </c>
      <c r="H920">
        <v>0.12</v>
      </c>
      <c r="I920" s="4">
        <v>3600.05</v>
      </c>
      <c r="J920" t="s">
        <v>44</v>
      </c>
      <c r="K920" t="s">
        <v>39</v>
      </c>
      <c r="L920" s="4">
        <f>VLOOKUP(tblTransactions[[#This Row],[Product_ID]],tblProducts[],5,FALSE)</f>
        <v>185.43</v>
      </c>
      <c r="M920" s="4">
        <f>tblTransactions[[#This Row],[Total_Amount]]-(tblTransactions[[#This Row],[Cost_Prices]]*tblTransactions[[#This Row],[Quantity]]*(1-tblTransactions[[#This Row],[Discount]]))</f>
        <v>1478.7307999999998</v>
      </c>
      <c r="N920" s="3">
        <f>tblTransactions[[#This Row],[Profit]]/tblTransactions[[#This Row],[Total_Amount]]</f>
        <v>0.41075285065485195</v>
      </c>
      <c r="O920" t="str">
        <f>TEXT(tblTransactions[[#This Row],[Date]], "MMM-YYYY")</f>
        <v>Jul-2023</v>
      </c>
      <c r="P920" t="str">
        <f>"Q"&amp;ROUNDUP(MONTH(tblTransactions[[#This Row],[Date]])/3,0)&amp;"-"&amp;YEAR(tblTransactions[[#This Row],[Date]])</f>
        <v>Q3-2023</v>
      </c>
      <c r="Q920">
        <f>YEAR(tblTransactions[[#This Row],[Date]])</f>
        <v>2023</v>
      </c>
      <c r="R920" t="str">
        <f>TEXT(tblTransactions[[#This Row],[Date]],"DDDD")</f>
        <v>Sunday</v>
      </c>
      <c r="S920">
        <f>MONTH(tblTransactions[[#This Row],[Date]])</f>
        <v>7</v>
      </c>
      <c r="T920" t="str">
        <f>VLOOKUP(E920, Products!$A:$B,2,0)</f>
        <v>Desks Fur-1</v>
      </c>
      <c r="U920" t="str">
        <f>VLOOKUP(E920,Products!$A:$C,3,0)</f>
        <v>Furniture</v>
      </c>
      <c r="V920" t="str">
        <f>VLOOKUP(E920,Products!$A:$D,4,0)</f>
        <v>Desks</v>
      </c>
      <c r="W920" t="str">
        <f>VLOOKUP(D920,Customers!$A:$C,3,0)</f>
        <v>B2B</v>
      </c>
      <c r="X920" t="str">
        <f>VLOOKUP(C920,Sales_Representatives!$A:$B,2,0)</f>
        <v>Jessica Anderson</v>
      </c>
    </row>
    <row r="921" spans="1:24" x14ac:dyDescent="0.3">
      <c r="A921" t="s">
        <v>1278</v>
      </c>
      <c r="B921" t="s">
        <v>1277</v>
      </c>
      <c r="C921" t="s">
        <v>70</v>
      </c>
      <c r="D921" t="s">
        <v>210</v>
      </c>
      <c r="E921" t="s">
        <v>339</v>
      </c>
      <c r="F921">
        <v>18</v>
      </c>
      <c r="G921">
        <v>1100.8800000000001</v>
      </c>
      <c r="H921">
        <v>0.12</v>
      </c>
      <c r="I921" s="4">
        <v>17437.939999999999</v>
      </c>
      <c r="J921" t="s">
        <v>16</v>
      </c>
      <c r="K921" t="s">
        <v>48</v>
      </c>
      <c r="L921" s="4">
        <f>VLOOKUP(tblTransactions[[#This Row],[Product_ID]],tblProducts[],5,FALSE)</f>
        <v>761.53</v>
      </c>
      <c r="M921" s="4">
        <f>tblTransactions[[#This Row],[Total_Amount]]-(tblTransactions[[#This Row],[Cost_Prices]]*tblTransactions[[#This Row],[Quantity]]*(1-tblTransactions[[#This Row],[Discount]]))</f>
        <v>5375.3047999999999</v>
      </c>
      <c r="N921" s="3">
        <f>tblTransactions[[#This Row],[Profit]]/tblTransactions[[#This Row],[Total_Amount]]</f>
        <v>0.30825342901741837</v>
      </c>
      <c r="O921" t="str">
        <f>TEXT(tblTransactions[[#This Row],[Date]], "MMM-YYYY")</f>
        <v>Jul-2023</v>
      </c>
      <c r="P921" t="str">
        <f>"Q"&amp;ROUNDUP(MONTH(tblTransactions[[#This Row],[Date]])/3,0)&amp;"-"&amp;YEAR(tblTransactions[[#This Row],[Date]])</f>
        <v>Q3-2023</v>
      </c>
      <c r="Q921">
        <f>YEAR(tblTransactions[[#This Row],[Date]])</f>
        <v>2023</v>
      </c>
      <c r="R921" t="str">
        <f>TEXT(tblTransactions[[#This Row],[Date]],"DDDD")</f>
        <v>Sunday</v>
      </c>
      <c r="S921">
        <f>MONTH(tblTransactions[[#This Row],[Date]])</f>
        <v>7</v>
      </c>
      <c r="T921" t="str">
        <f>VLOOKUP(E921, Products!$A:$B,2,0)</f>
        <v>Phones Ele-2</v>
      </c>
      <c r="U921" t="str">
        <f>VLOOKUP(E921,Products!$A:$C,3,0)</f>
        <v>Electronics</v>
      </c>
      <c r="V921" t="str">
        <f>VLOOKUP(E921,Products!$A:$D,4,0)</f>
        <v>Phones</v>
      </c>
      <c r="W921" t="str">
        <f>VLOOKUP(D921,Customers!$A:$C,3,0)</f>
        <v>B2B</v>
      </c>
      <c r="X921" t="str">
        <f>VLOOKUP(C921,Sales_Representatives!$A:$B,2,0)</f>
        <v>Linda Smith</v>
      </c>
    </row>
    <row r="922" spans="1:24" x14ac:dyDescent="0.3">
      <c r="A922" t="s">
        <v>1279</v>
      </c>
      <c r="B922" t="s">
        <v>1277</v>
      </c>
      <c r="C922" t="s">
        <v>59</v>
      </c>
      <c r="D922" t="s">
        <v>237</v>
      </c>
      <c r="E922" t="s">
        <v>200</v>
      </c>
      <c r="F922">
        <v>16</v>
      </c>
      <c r="G922">
        <v>544.77</v>
      </c>
      <c r="H922">
        <v>0.1</v>
      </c>
      <c r="I922" s="4">
        <v>7844.69</v>
      </c>
      <c r="J922" t="s">
        <v>21</v>
      </c>
      <c r="K922" t="s">
        <v>22</v>
      </c>
      <c r="L922" s="4">
        <f>VLOOKUP(tblTransactions[[#This Row],[Product_ID]],tblProducts[],5,FALSE)</f>
        <v>318.2</v>
      </c>
      <c r="M922" s="4">
        <f>tblTransactions[[#This Row],[Total_Amount]]-(tblTransactions[[#This Row],[Cost_Prices]]*tblTransactions[[#This Row],[Quantity]]*(1-tblTransactions[[#This Row],[Discount]]))</f>
        <v>3262.6099999999997</v>
      </c>
      <c r="N922" s="3">
        <f>tblTransactions[[#This Row],[Profit]]/tblTransactions[[#This Row],[Total_Amount]]</f>
        <v>0.41590043711096292</v>
      </c>
      <c r="O922" t="str">
        <f>TEXT(tblTransactions[[#This Row],[Date]], "MMM-YYYY")</f>
        <v>Jul-2023</v>
      </c>
      <c r="P922" t="str">
        <f>"Q"&amp;ROUNDUP(MONTH(tblTransactions[[#This Row],[Date]])/3,0)&amp;"-"&amp;YEAR(tblTransactions[[#This Row],[Date]])</f>
        <v>Q3-2023</v>
      </c>
      <c r="Q922">
        <f>YEAR(tblTransactions[[#This Row],[Date]])</f>
        <v>2023</v>
      </c>
      <c r="R922" t="str">
        <f>TEXT(tblTransactions[[#This Row],[Date]],"DDDD")</f>
        <v>Sunday</v>
      </c>
      <c r="S922">
        <f>MONTH(tblTransactions[[#This Row],[Date]])</f>
        <v>7</v>
      </c>
      <c r="T922" t="str">
        <f>VLOOKUP(E922, Products!$A:$B,2,0)</f>
        <v>Desks Fur-4</v>
      </c>
      <c r="U922" t="str">
        <f>VLOOKUP(E922,Products!$A:$C,3,0)</f>
        <v>Furniture</v>
      </c>
      <c r="V922" t="str">
        <f>VLOOKUP(E922,Products!$A:$D,4,0)</f>
        <v>Desks</v>
      </c>
      <c r="W922" t="str">
        <f>VLOOKUP(D922,Customers!$A:$C,3,0)</f>
        <v>B2B</v>
      </c>
      <c r="X922" t="str">
        <f>VLOOKUP(C922,Sales_Representatives!$A:$B,2,0)</f>
        <v>Sarah Brown</v>
      </c>
    </row>
    <row r="923" spans="1:24" x14ac:dyDescent="0.3">
      <c r="A923" t="s">
        <v>1280</v>
      </c>
      <c r="B923" t="s">
        <v>1277</v>
      </c>
      <c r="C923" t="s">
        <v>13</v>
      </c>
      <c r="D923" t="s">
        <v>14</v>
      </c>
      <c r="E923" t="s">
        <v>20</v>
      </c>
      <c r="F923">
        <v>13</v>
      </c>
      <c r="G923">
        <v>1219.49</v>
      </c>
      <c r="H923">
        <v>0.17</v>
      </c>
      <c r="I923" s="4">
        <v>13158.3</v>
      </c>
      <c r="J923" t="s">
        <v>16</v>
      </c>
      <c r="K923" t="s">
        <v>35</v>
      </c>
      <c r="L923" s="4">
        <f>VLOOKUP(tblTransactions[[#This Row],[Product_ID]],tblProducts[],5,FALSE)</f>
        <v>686.9</v>
      </c>
      <c r="M923" s="4">
        <f>tblTransactions[[#This Row],[Total_Amount]]-(tblTransactions[[#This Row],[Cost_Prices]]*tblTransactions[[#This Row],[Quantity]]*(1-tblTransactions[[#This Row],[Discount]]))</f>
        <v>5746.6490000000003</v>
      </c>
      <c r="N923" s="3">
        <f>tblTransactions[[#This Row],[Profit]]/tblTransactions[[#This Row],[Total_Amount]]</f>
        <v>0.4367318726583222</v>
      </c>
      <c r="O923" t="str">
        <f>TEXT(tblTransactions[[#This Row],[Date]], "MMM-YYYY")</f>
        <v>Jul-2023</v>
      </c>
      <c r="P923" t="str">
        <f>"Q"&amp;ROUNDUP(MONTH(tblTransactions[[#This Row],[Date]])/3,0)&amp;"-"&amp;YEAR(tblTransactions[[#This Row],[Date]])</f>
        <v>Q3-2023</v>
      </c>
      <c r="Q923">
        <f>YEAR(tblTransactions[[#This Row],[Date]])</f>
        <v>2023</v>
      </c>
      <c r="R923" t="str">
        <f>TEXT(tblTransactions[[#This Row],[Date]],"DDDD")</f>
        <v>Sunday</v>
      </c>
      <c r="S923">
        <f>MONTH(tblTransactions[[#This Row],[Date]])</f>
        <v>7</v>
      </c>
      <c r="T923" t="str">
        <f>VLOOKUP(E923, Products!$A:$B,2,0)</f>
        <v>Laptops Ele-1</v>
      </c>
      <c r="U923" t="str">
        <f>VLOOKUP(E923,Products!$A:$C,3,0)</f>
        <v>Electronics</v>
      </c>
      <c r="V923" t="str">
        <f>VLOOKUP(E923,Products!$A:$D,4,0)</f>
        <v>Laptops</v>
      </c>
      <c r="W923" t="str">
        <f>VLOOKUP(D923,Customers!$A:$C,3,0)</f>
        <v>B2B</v>
      </c>
      <c r="X923" t="str">
        <f>VLOOKUP(C923,Sales_Representatives!$A:$B,2,0)</f>
        <v>Jennifer Rodriguez</v>
      </c>
    </row>
    <row r="924" spans="1:24" x14ac:dyDescent="0.3">
      <c r="A924" t="s">
        <v>1281</v>
      </c>
      <c r="B924" t="s">
        <v>1282</v>
      </c>
      <c r="C924" t="s">
        <v>131</v>
      </c>
      <c r="D924" t="s">
        <v>351</v>
      </c>
      <c r="E924" t="s">
        <v>168</v>
      </c>
      <c r="F924">
        <v>3</v>
      </c>
      <c r="G924">
        <v>101.59</v>
      </c>
      <c r="H924">
        <v>0.04</v>
      </c>
      <c r="I924" s="4">
        <v>292.58</v>
      </c>
      <c r="J924" t="s">
        <v>44</v>
      </c>
      <c r="K924" t="s">
        <v>17</v>
      </c>
      <c r="L924" s="4">
        <f>VLOOKUP(tblTransactions[[#This Row],[Product_ID]],tblProducts[],5,FALSE)</f>
        <v>50.58</v>
      </c>
      <c r="M924" s="4">
        <f>tblTransactions[[#This Row],[Total_Amount]]-(tblTransactions[[#This Row],[Cost_Prices]]*tblTransactions[[#This Row],[Quantity]]*(1-tblTransactions[[#This Row],[Discount]]))</f>
        <v>146.90959999999998</v>
      </c>
      <c r="N924" s="3">
        <f>tblTransactions[[#This Row],[Profit]]/tblTransactions[[#This Row],[Total_Amount]]</f>
        <v>0.50211771139517392</v>
      </c>
      <c r="O924" t="str">
        <f>TEXT(tblTransactions[[#This Row],[Date]], "MMM-YYYY")</f>
        <v>Jul-2023</v>
      </c>
      <c r="P924" t="str">
        <f>"Q"&amp;ROUNDUP(MONTH(tblTransactions[[#This Row],[Date]])/3,0)&amp;"-"&amp;YEAR(tblTransactions[[#This Row],[Date]])</f>
        <v>Q3-2023</v>
      </c>
      <c r="Q924">
        <f>YEAR(tblTransactions[[#This Row],[Date]])</f>
        <v>2023</v>
      </c>
      <c r="R924" t="str">
        <f>TEXT(tblTransactions[[#This Row],[Date]],"DDDD")</f>
        <v>Monday</v>
      </c>
      <c r="S924">
        <f>MONTH(tblTransactions[[#This Row],[Date]])</f>
        <v>7</v>
      </c>
      <c r="T924" t="str">
        <f>VLOOKUP(E924, Products!$A:$B,2,0)</f>
        <v>Cases Acc-4</v>
      </c>
      <c r="U924" t="str">
        <f>VLOOKUP(E924,Products!$A:$C,3,0)</f>
        <v>Accessories</v>
      </c>
      <c r="V924" t="str">
        <f>VLOOKUP(E924,Products!$A:$D,4,0)</f>
        <v>Cases</v>
      </c>
      <c r="W924" t="str">
        <f>VLOOKUP(D924,Customers!$A:$C,3,0)</f>
        <v>B2C</v>
      </c>
      <c r="X924" t="str">
        <f>VLOOKUP(C924,Sales_Representatives!$A:$B,2,0)</f>
        <v>Michael Davis</v>
      </c>
    </row>
    <row r="925" spans="1:24" x14ac:dyDescent="0.3">
      <c r="A925" t="s">
        <v>1283</v>
      </c>
      <c r="B925" t="s">
        <v>1282</v>
      </c>
      <c r="C925" t="s">
        <v>70</v>
      </c>
      <c r="D925" t="s">
        <v>362</v>
      </c>
      <c r="E925" t="s">
        <v>157</v>
      </c>
      <c r="F925">
        <v>3</v>
      </c>
      <c r="G925">
        <v>1227.68</v>
      </c>
      <c r="H925">
        <v>0.05</v>
      </c>
      <c r="I925" s="4">
        <v>3498.89</v>
      </c>
      <c r="J925" t="s">
        <v>16</v>
      </c>
      <c r="K925" t="s">
        <v>17</v>
      </c>
      <c r="L925" s="4">
        <f>VLOOKUP(tblTransactions[[#This Row],[Product_ID]],tblProducts[],5,FALSE)</f>
        <v>846.42</v>
      </c>
      <c r="M925" s="4">
        <f>tblTransactions[[#This Row],[Total_Amount]]-(tblTransactions[[#This Row],[Cost_Prices]]*tblTransactions[[#This Row],[Quantity]]*(1-tblTransactions[[#This Row],[Discount]]))</f>
        <v>1086.5930000000003</v>
      </c>
      <c r="N925" s="3">
        <f>tblTransactions[[#This Row],[Profit]]/tblTransactions[[#This Row],[Total_Amount]]</f>
        <v>0.31055363272352099</v>
      </c>
      <c r="O925" t="str">
        <f>TEXT(tblTransactions[[#This Row],[Date]], "MMM-YYYY")</f>
        <v>Jul-2023</v>
      </c>
      <c r="P925" t="str">
        <f>"Q"&amp;ROUNDUP(MONTH(tblTransactions[[#This Row],[Date]])/3,0)&amp;"-"&amp;YEAR(tblTransactions[[#This Row],[Date]])</f>
        <v>Q3-2023</v>
      </c>
      <c r="Q925">
        <f>YEAR(tblTransactions[[#This Row],[Date]])</f>
        <v>2023</v>
      </c>
      <c r="R925" t="str">
        <f>TEXT(tblTransactions[[#This Row],[Date]],"DDDD")</f>
        <v>Monday</v>
      </c>
      <c r="S925">
        <f>MONTH(tblTransactions[[#This Row],[Date]])</f>
        <v>7</v>
      </c>
      <c r="T925" t="str">
        <f>VLOOKUP(E925, Products!$A:$B,2,0)</f>
        <v>Printers Tec-4</v>
      </c>
      <c r="U925" t="str">
        <f>VLOOKUP(E925,Products!$A:$C,3,0)</f>
        <v>Technology</v>
      </c>
      <c r="V925" t="str">
        <f>VLOOKUP(E925,Products!$A:$D,4,0)</f>
        <v>Printers</v>
      </c>
      <c r="W925" t="str">
        <f>VLOOKUP(D925,Customers!$A:$C,3,0)</f>
        <v>Small Business</v>
      </c>
      <c r="X925" t="str">
        <f>VLOOKUP(C925,Sales_Representatives!$A:$B,2,0)</f>
        <v>Linda Smith</v>
      </c>
    </row>
    <row r="926" spans="1:24" x14ac:dyDescent="0.3">
      <c r="A926" t="s">
        <v>1284</v>
      </c>
      <c r="B926" t="s">
        <v>1282</v>
      </c>
      <c r="C926" t="s">
        <v>59</v>
      </c>
      <c r="D926" t="s">
        <v>144</v>
      </c>
      <c r="E926" t="s">
        <v>191</v>
      </c>
      <c r="F926">
        <v>6</v>
      </c>
      <c r="G926">
        <v>1012.75</v>
      </c>
      <c r="H926">
        <v>0.11</v>
      </c>
      <c r="I926" s="4">
        <v>5408.08</v>
      </c>
      <c r="J926" t="s">
        <v>21</v>
      </c>
      <c r="K926" t="s">
        <v>48</v>
      </c>
      <c r="L926" s="4">
        <f>VLOOKUP(tblTransactions[[#This Row],[Product_ID]],tblProducts[],5,FALSE)</f>
        <v>518.53</v>
      </c>
      <c r="M926" s="4">
        <f>tblTransactions[[#This Row],[Total_Amount]]-(tblTransactions[[#This Row],[Cost_Prices]]*tblTransactions[[#This Row],[Quantity]]*(1-tblTransactions[[#This Row],[Discount]]))</f>
        <v>2639.1298000000002</v>
      </c>
      <c r="N926" s="3">
        <f>tblTransactions[[#This Row],[Profit]]/tblTransactions[[#This Row],[Total_Amount]]</f>
        <v>0.48799755181136378</v>
      </c>
      <c r="O926" t="str">
        <f>TEXT(tblTransactions[[#This Row],[Date]], "MMM-YYYY")</f>
        <v>Jul-2023</v>
      </c>
      <c r="P926" t="str">
        <f>"Q"&amp;ROUNDUP(MONTH(tblTransactions[[#This Row],[Date]])/3,0)&amp;"-"&amp;YEAR(tblTransactions[[#This Row],[Date]])</f>
        <v>Q3-2023</v>
      </c>
      <c r="Q926">
        <f>YEAR(tblTransactions[[#This Row],[Date]])</f>
        <v>2023</v>
      </c>
      <c r="R926" t="str">
        <f>TEXT(tblTransactions[[#This Row],[Date]],"DDDD")</f>
        <v>Monday</v>
      </c>
      <c r="S926">
        <f>MONTH(tblTransactions[[#This Row],[Date]])</f>
        <v>7</v>
      </c>
      <c r="T926" t="str">
        <f>VLOOKUP(E926, Products!$A:$B,2,0)</f>
        <v>Tables Fur-4</v>
      </c>
      <c r="U926" t="str">
        <f>VLOOKUP(E926,Products!$A:$C,3,0)</f>
        <v>Furniture</v>
      </c>
      <c r="V926" t="str">
        <f>VLOOKUP(E926,Products!$A:$D,4,0)</f>
        <v>Tables</v>
      </c>
      <c r="W926" t="str">
        <f>VLOOKUP(D926,Customers!$A:$C,3,0)</f>
        <v>B2C</v>
      </c>
      <c r="X926" t="str">
        <f>VLOOKUP(C926,Sales_Representatives!$A:$B,2,0)</f>
        <v>Sarah Brown</v>
      </c>
    </row>
    <row r="927" spans="1:24" x14ac:dyDescent="0.3">
      <c r="A927" t="s">
        <v>1285</v>
      </c>
      <c r="B927" t="s">
        <v>1286</v>
      </c>
      <c r="C927" t="s">
        <v>70</v>
      </c>
      <c r="D927" t="s">
        <v>210</v>
      </c>
      <c r="E927" t="s">
        <v>25</v>
      </c>
      <c r="F927">
        <v>4</v>
      </c>
      <c r="G927">
        <v>1467.49</v>
      </c>
      <c r="H927">
        <v>7.0000000000000007E-2</v>
      </c>
      <c r="I927" s="4">
        <v>5459.06</v>
      </c>
      <c r="J927" t="s">
        <v>16</v>
      </c>
      <c r="K927" t="s">
        <v>17</v>
      </c>
      <c r="L927" s="4">
        <f>VLOOKUP(tblTransactions[[#This Row],[Product_ID]],tblProducts[],5,FALSE)</f>
        <v>757.65</v>
      </c>
      <c r="M927" s="4">
        <f>tblTransactions[[#This Row],[Total_Amount]]-(tblTransactions[[#This Row],[Cost_Prices]]*tblTransactions[[#This Row],[Quantity]]*(1-tblTransactions[[#This Row],[Discount]]))</f>
        <v>2640.6020000000008</v>
      </c>
      <c r="N927" s="3">
        <f>tblTransactions[[#This Row],[Profit]]/tblTransactions[[#This Row],[Total_Amount]]</f>
        <v>0.48371001601008246</v>
      </c>
      <c r="O927" t="str">
        <f>TEXT(tblTransactions[[#This Row],[Date]], "MMM-YYYY")</f>
        <v>Jul-2023</v>
      </c>
      <c r="P927" t="str">
        <f>"Q"&amp;ROUNDUP(MONTH(tblTransactions[[#This Row],[Date]])/3,0)&amp;"-"&amp;YEAR(tblTransactions[[#This Row],[Date]])</f>
        <v>Q3-2023</v>
      </c>
      <c r="Q927">
        <f>YEAR(tblTransactions[[#This Row],[Date]])</f>
        <v>2023</v>
      </c>
      <c r="R927" t="str">
        <f>TEXT(tblTransactions[[#This Row],[Date]],"DDDD")</f>
        <v>Tuesday</v>
      </c>
      <c r="S927">
        <f>MONTH(tblTransactions[[#This Row],[Date]])</f>
        <v>7</v>
      </c>
      <c r="T927" t="str">
        <f>VLOOKUP(E927, Products!$A:$B,2,0)</f>
        <v>Tables Fur-3</v>
      </c>
      <c r="U927" t="str">
        <f>VLOOKUP(E927,Products!$A:$C,3,0)</f>
        <v>Furniture</v>
      </c>
      <c r="V927" t="str">
        <f>VLOOKUP(E927,Products!$A:$D,4,0)</f>
        <v>Tables</v>
      </c>
      <c r="W927" t="str">
        <f>VLOOKUP(D927,Customers!$A:$C,3,0)</f>
        <v>B2B</v>
      </c>
      <c r="X927" t="str">
        <f>VLOOKUP(C927,Sales_Representatives!$A:$B,2,0)</f>
        <v>Linda Smith</v>
      </c>
    </row>
    <row r="928" spans="1:24" x14ac:dyDescent="0.3">
      <c r="A928" t="s">
        <v>1287</v>
      </c>
      <c r="B928" t="s">
        <v>1286</v>
      </c>
      <c r="C928" t="s">
        <v>56</v>
      </c>
      <c r="D928" t="s">
        <v>50</v>
      </c>
      <c r="E928" t="s">
        <v>339</v>
      </c>
      <c r="F928">
        <v>3</v>
      </c>
      <c r="G928">
        <v>1100.8800000000001</v>
      </c>
      <c r="H928">
        <v>0.08</v>
      </c>
      <c r="I928" s="4">
        <v>3038.43</v>
      </c>
      <c r="J928" t="s">
        <v>34</v>
      </c>
      <c r="K928" t="s">
        <v>17</v>
      </c>
      <c r="L928" s="4">
        <f>VLOOKUP(tblTransactions[[#This Row],[Product_ID]],tblProducts[],5,FALSE)</f>
        <v>761.53</v>
      </c>
      <c r="M928" s="4">
        <f>tblTransactions[[#This Row],[Total_Amount]]-(tblTransactions[[#This Row],[Cost_Prices]]*tblTransactions[[#This Row],[Quantity]]*(1-tblTransactions[[#This Row],[Discount]]))</f>
        <v>936.60719999999947</v>
      </c>
      <c r="N928" s="3">
        <f>tblTransactions[[#This Row],[Profit]]/tblTransactions[[#This Row],[Total_Amount]]</f>
        <v>0.3082536704811365</v>
      </c>
      <c r="O928" t="str">
        <f>TEXT(tblTransactions[[#This Row],[Date]], "MMM-YYYY")</f>
        <v>Jul-2023</v>
      </c>
      <c r="P928" t="str">
        <f>"Q"&amp;ROUNDUP(MONTH(tblTransactions[[#This Row],[Date]])/3,0)&amp;"-"&amp;YEAR(tblTransactions[[#This Row],[Date]])</f>
        <v>Q3-2023</v>
      </c>
      <c r="Q928">
        <f>YEAR(tblTransactions[[#This Row],[Date]])</f>
        <v>2023</v>
      </c>
      <c r="R928" t="str">
        <f>TEXT(tblTransactions[[#This Row],[Date]],"DDDD")</f>
        <v>Tuesday</v>
      </c>
      <c r="S928">
        <f>MONTH(tblTransactions[[#This Row],[Date]])</f>
        <v>7</v>
      </c>
      <c r="T928" t="str">
        <f>VLOOKUP(E928, Products!$A:$B,2,0)</f>
        <v>Phones Ele-2</v>
      </c>
      <c r="U928" t="str">
        <f>VLOOKUP(E928,Products!$A:$C,3,0)</f>
        <v>Electronics</v>
      </c>
      <c r="V928" t="str">
        <f>VLOOKUP(E928,Products!$A:$D,4,0)</f>
        <v>Phones</v>
      </c>
      <c r="W928" t="str">
        <f>VLOOKUP(D928,Customers!$A:$C,3,0)</f>
        <v>Small Business</v>
      </c>
      <c r="X928" t="str">
        <f>VLOOKUP(C928,Sales_Representatives!$A:$B,2,0)</f>
        <v>Thomas Hernandez</v>
      </c>
    </row>
    <row r="929" spans="1:24" x14ac:dyDescent="0.3">
      <c r="A929" t="s">
        <v>1288</v>
      </c>
      <c r="B929" t="s">
        <v>1286</v>
      </c>
      <c r="C929" t="s">
        <v>31</v>
      </c>
      <c r="D929" t="s">
        <v>28</v>
      </c>
      <c r="E929" t="s">
        <v>347</v>
      </c>
      <c r="F929">
        <v>13</v>
      </c>
      <c r="G929">
        <v>1539.6</v>
      </c>
      <c r="H929">
        <v>0.15</v>
      </c>
      <c r="I929" s="4">
        <v>17012.580000000002</v>
      </c>
      <c r="J929" t="s">
        <v>34</v>
      </c>
      <c r="K929" t="s">
        <v>48</v>
      </c>
      <c r="L929" s="4">
        <f>VLOOKUP(tblTransactions[[#This Row],[Product_ID]],tblProducts[],5,FALSE)</f>
        <v>992.43</v>
      </c>
      <c r="M929" s="4">
        <f>tblTransactions[[#This Row],[Total_Amount]]-(tblTransactions[[#This Row],[Cost_Prices]]*tblTransactions[[#This Row],[Quantity]]*(1-tblTransactions[[#This Row],[Discount]]))</f>
        <v>6046.2285000000011</v>
      </c>
      <c r="N929" s="3">
        <f>tblTransactions[[#This Row],[Profit]]/tblTransactions[[#This Row],[Total_Amount]]</f>
        <v>0.35539750584567426</v>
      </c>
      <c r="O929" t="str">
        <f>TEXT(tblTransactions[[#This Row],[Date]], "MMM-YYYY")</f>
        <v>Jul-2023</v>
      </c>
      <c r="P929" t="str">
        <f>"Q"&amp;ROUNDUP(MONTH(tblTransactions[[#This Row],[Date]])/3,0)&amp;"-"&amp;YEAR(tblTransactions[[#This Row],[Date]])</f>
        <v>Q3-2023</v>
      </c>
      <c r="Q929">
        <f>YEAR(tblTransactions[[#This Row],[Date]])</f>
        <v>2023</v>
      </c>
      <c r="R929" t="str">
        <f>TEXT(tblTransactions[[#This Row],[Date]],"DDDD")</f>
        <v>Tuesday</v>
      </c>
      <c r="S929">
        <f>MONTH(tblTransactions[[#This Row],[Date]])</f>
        <v>7</v>
      </c>
      <c r="T929" t="str">
        <f>VLOOKUP(E929, Products!$A:$B,2,0)</f>
        <v>Routers Tec-2</v>
      </c>
      <c r="U929" t="str">
        <f>VLOOKUP(E929,Products!$A:$C,3,0)</f>
        <v>Technology</v>
      </c>
      <c r="V929" t="str">
        <f>VLOOKUP(E929,Products!$A:$D,4,0)</f>
        <v>Routers</v>
      </c>
      <c r="W929" t="str">
        <f>VLOOKUP(D929,Customers!$A:$C,3,0)</f>
        <v>B2B</v>
      </c>
      <c r="X929" t="str">
        <f>VLOOKUP(C929,Sales_Representatives!$A:$B,2,0)</f>
        <v>Thomas Martinez</v>
      </c>
    </row>
    <row r="930" spans="1:24" x14ac:dyDescent="0.3">
      <c r="A930" t="s">
        <v>1289</v>
      </c>
      <c r="B930" t="s">
        <v>1286</v>
      </c>
      <c r="C930" t="s">
        <v>59</v>
      </c>
      <c r="D930" t="s">
        <v>164</v>
      </c>
      <c r="E930" t="s">
        <v>129</v>
      </c>
      <c r="F930">
        <v>1</v>
      </c>
      <c r="G930">
        <v>1283.71</v>
      </c>
      <c r="H930">
        <v>0.08</v>
      </c>
      <c r="I930" s="4">
        <v>1181.01</v>
      </c>
      <c r="J930" t="s">
        <v>21</v>
      </c>
      <c r="K930" t="s">
        <v>48</v>
      </c>
      <c r="L930" s="4">
        <f>VLOOKUP(tblTransactions[[#This Row],[Product_ID]],tblProducts[],5,FALSE)</f>
        <v>970.14</v>
      </c>
      <c r="M930" s="4">
        <f>tblTransactions[[#This Row],[Total_Amount]]-(tblTransactions[[#This Row],[Cost_Prices]]*tblTransactions[[#This Row],[Quantity]]*(1-tblTransactions[[#This Row],[Discount]]))</f>
        <v>288.48119999999994</v>
      </c>
      <c r="N930" s="3">
        <f>tblTransactions[[#This Row],[Profit]]/tblTransactions[[#This Row],[Total_Amount]]</f>
        <v>0.24426651764167953</v>
      </c>
      <c r="O930" t="str">
        <f>TEXT(tblTransactions[[#This Row],[Date]], "MMM-YYYY")</f>
        <v>Jul-2023</v>
      </c>
      <c r="P930" t="str">
        <f>"Q"&amp;ROUNDUP(MONTH(tblTransactions[[#This Row],[Date]])/3,0)&amp;"-"&amp;YEAR(tblTransactions[[#This Row],[Date]])</f>
        <v>Q3-2023</v>
      </c>
      <c r="Q930">
        <f>YEAR(tblTransactions[[#This Row],[Date]])</f>
        <v>2023</v>
      </c>
      <c r="R930" t="str">
        <f>TEXT(tblTransactions[[#This Row],[Date]],"DDDD")</f>
        <v>Tuesday</v>
      </c>
      <c r="S930">
        <f>MONTH(tblTransactions[[#This Row],[Date]])</f>
        <v>7</v>
      </c>
      <c r="T930" t="str">
        <f>VLOOKUP(E930, Products!$A:$B,2,0)</f>
        <v>Cameras Ele-3</v>
      </c>
      <c r="U930" t="str">
        <f>VLOOKUP(E930,Products!$A:$C,3,0)</f>
        <v>Electronics</v>
      </c>
      <c r="V930" t="str">
        <f>VLOOKUP(E930,Products!$A:$D,4,0)</f>
        <v>Cameras</v>
      </c>
      <c r="W930" t="str">
        <f>VLOOKUP(D930,Customers!$A:$C,3,0)</f>
        <v>Small Business</v>
      </c>
      <c r="X930" t="str">
        <f>VLOOKUP(C930,Sales_Representatives!$A:$B,2,0)</f>
        <v>Sarah Brown</v>
      </c>
    </row>
    <row r="931" spans="1:24" x14ac:dyDescent="0.3">
      <c r="A931" t="s">
        <v>1290</v>
      </c>
      <c r="B931" t="s">
        <v>1286</v>
      </c>
      <c r="C931" t="s">
        <v>63</v>
      </c>
      <c r="D931" t="s">
        <v>216</v>
      </c>
      <c r="E931" t="s">
        <v>116</v>
      </c>
      <c r="F931">
        <v>4</v>
      </c>
      <c r="G931">
        <v>232.86</v>
      </c>
      <c r="H931">
        <v>0.08</v>
      </c>
      <c r="I931" s="4">
        <v>856.92</v>
      </c>
      <c r="J931" t="s">
        <v>21</v>
      </c>
      <c r="K931" t="s">
        <v>35</v>
      </c>
      <c r="L931" s="4">
        <f>VLOOKUP(tblTransactions[[#This Row],[Product_ID]],tblProducts[],5,FALSE)</f>
        <v>116.79</v>
      </c>
      <c r="M931" s="4">
        <f>tblTransactions[[#This Row],[Total_Amount]]-(tblTransactions[[#This Row],[Cost_Prices]]*tblTransactions[[#This Row],[Quantity]]*(1-tblTransactions[[#This Row],[Discount]]))</f>
        <v>427.13279999999992</v>
      </c>
      <c r="N931" s="3">
        <f>tblTransactions[[#This Row],[Profit]]/tblTransactions[[#This Row],[Total_Amount]]</f>
        <v>0.49845119731130089</v>
      </c>
      <c r="O931" t="str">
        <f>TEXT(tblTransactions[[#This Row],[Date]], "MMM-YYYY")</f>
        <v>Jul-2023</v>
      </c>
      <c r="P931" t="str">
        <f>"Q"&amp;ROUNDUP(MONTH(tblTransactions[[#This Row],[Date]])/3,0)&amp;"-"&amp;YEAR(tblTransactions[[#This Row],[Date]])</f>
        <v>Q3-2023</v>
      </c>
      <c r="Q931">
        <f>YEAR(tblTransactions[[#This Row],[Date]])</f>
        <v>2023</v>
      </c>
      <c r="R931" t="str">
        <f>TEXT(tblTransactions[[#This Row],[Date]],"DDDD")</f>
        <v>Tuesday</v>
      </c>
      <c r="S931">
        <f>MONTH(tblTransactions[[#This Row],[Date]])</f>
        <v>7</v>
      </c>
      <c r="T931" t="str">
        <f>VLOOKUP(E931, Products!$A:$B,2,0)</f>
        <v>Folders Off-4</v>
      </c>
      <c r="U931" t="str">
        <f>VLOOKUP(E931,Products!$A:$C,3,0)</f>
        <v>Office Supplies</v>
      </c>
      <c r="V931" t="str">
        <f>VLOOKUP(E931,Products!$A:$D,4,0)</f>
        <v>Folders</v>
      </c>
      <c r="W931" t="str">
        <f>VLOOKUP(D931,Customers!$A:$C,3,0)</f>
        <v>Small Business</v>
      </c>
      <c r="X931" t="str">
        <f>VLOOKUP(C931,Sales_Representatives!$A:$B,2,0)</f>
        <v>Richard Wilson</v>
      </c>
    </row>
    <row r="932" spans="1:24" x14ac:dyDescent="0.3">
      <c r="A932" t="s">
        <v>1291</v>
      </c>
      <c r="B932" t="s">
        <v>1292</v>
      </c>
      <c r="C932" t="s">
        <v>13</v>
      </c>
      <c r="D932" t="s">
        <v>237</v>
      </c>
      <c r="E932" t="s">
        <v>125</v>
      </c>
      <c r="F932">
        <v>19</v>
      </c>
      <c r="G932">
        <v>1201.4000000000001</v>
      </c>
      <c r="H932">
        <v>0.11</v>
      </c>
      <c r="I932" s="4">
        <v>20315.669999999998</v>
      </c>
      <c r="J932" t="s">
        <v>16</v>
      </c>
      <c r="K932" t="s">
        <v>39</v>
      </c>
      <c r="L932" s="4">
        <f>VLOOKUP(tblTransactions[[#This Row],[Product_ID]],tblProducts[],5,FALSE)</f>
        <v>672.72</v>
      </c>
      <c r="M932" s="4">
        <f>tblTransactions[[#This Row],[Total_Amount]]-(tblTransactions[[#This Row],[Cost_Prices]]*tblTransactions[[#This Row],[Quantity]]*(1-tblTransactions[[#This Row],[Discount]]))</f>
        <v>8939.9747999999981</v>
      </c>
      <c r="N932" s="3">
        <f>tblTransactions[[#This Row],[Profit]]/tblTransactions[[#This Row],[Total_Amount]]</f>
        <v>0.44005316093439195</v>
      </c>
      <c r="O932" t="str">
        <f>TEXT(tblTransactions[[#This Row],[Date]], "MMM-YYYY")</f>
        <v>Jul-2023</v>
      </c>
      <c r="P932" t="str">
        <f>"Q"&amp;ROUNDUP(MONTH(tblTransactions[[#This Row],[Date]])/3,0)&amp;"-"&amp;YEAR(tblTransactions[[#This Row],[Date]])</f>
        <v>Q3-2023</v>
      </c>
      <c r="Q932">
        <f>YEAR(tblTransactions[[#This Row],[Date]])</f>
        <v>2023</v>
      </c>
      <c r="R932" t="str">
        <f>TEXT(tblTransactions[[#This Row],[Date]],"DDDD")</f>
        <v>Wednesday</v>
      </c>
      <c r="S932">
        <f>MONTH(tblTransactions[[#This Row],[Date]])</f>
        <v>7</v>
      </c>
      <c r="T932" t="str">
        <f>VLOOKUP(E932, Products!$A:$B,2,0)</f>
        <v>Printers Tec-2</v>
      </c>
      <c r="U932" t="str">
        <f>VLOOKUP(E932,Products!$A:$C,3,0)</f>
        <v>Technology</v>
      </c>
      <c r="V932" t="str">
        <f>VLOOKUP(E932,Products!$A:$D,4,0)</f>
        <v>Printers</v>
      </c>
      <c r="W932" t="str">
        <f>VLOOKUP(D932,Customers!$A:$C,3,0)</f>
        <v>B2B</v>
      </c>
      <c r="X932" t="str">
        <f>VLOOKUP(C932,Sales_Representatives!$A:$B,2,0)</f>
        <v>Jennifer Rodriguez</v>
      </c>
    </row>
    <row r="933" spans="1:24" x14ac:dyDescent="0.3">
      <c r="A933" t="s">
        <v>1293</v>
      </c>
      <c r="B933" t="s">
        <v>1292</v>
      </c>
      <c r="C933" t="s">
        <v>59</v>
      </c>
      <c r="D933" t="s">
        <v>166</v>
      </c>
      <c r="E933" t="s">
        <v>65</v>
      </c>
      <c r="F933">
        <v>4</v>
      </c>
      <c r="G933">
        <v>49.44</v>
      </c>
      <c r="H933">
        <v>0.04</v>
      </c>
      <c r="I933" s="4">
        <v>189.85</v>
      </c>
      <c r="J933" t="s">
        <v>21</v>
      </c>
      <c r="K933" t="s">
        <v>17</v>
      </c>
      <c r="L933" s="4">
        <f>VLOOKUP(tblTransactions[[#This Row],[Product_ID]],tblProducts[],5,FALSE)</f>
        <v>22.34</v>
      </c>
      <c r="M933" s="4">
        <f>tblTransactions[[#This Row],[Total_Amount]]-(tblTransactions[[#This Row],[Cost_Prices]]*tblTransactions[[#This Row],[Quantity]]*(1-tblTransactions[[#This Row],[Discount]]))</f>
        <v>104.06439999999999</v>
      </c>
      <c r="N933" s="3">
        <f>tblTransactions[[#This Row],[Profit]]/tblTransactions[[#This Row],[Total_Amount]]</f>
        <v>0.54814011061364232</v>
      </c>
      <c r="O933" t="str">
        <f>TEXT(tblTransactions[[#This Row],[Date]], "MMM-YYYY")</f>
        <v>Jul-2023</v>
      </c>
      <c r="P933" t="str">
        <f>"Q"&amp;ROUNDUP(MONTH(tblTransactions[[#This Row],[Date]])/3,0)&amp;"-"&amp;YEAR(tblTransactions[[#This Row],[Date]])</f>
        <v>Q3-2023</v>
      </c>
      <c r="Q933">
        <f>YEAR(tblTransactions[[#This Row],[Date]])</f>
        <v>2023</v>
      </c>
      <c r="R933" t="str">
        <f>TEXT(tblTransactions[[#This Row],[Date]],"DDDD")</f>
        <v>Wednesday</v>
      </c>
      <c r="S933">
        <f>MONTH(tblTransactions[[#This Row],[Date]])</f>
        <v>7</v>
      </c>
      <c r="T933" t="str">
        <f>VLOOKUP(E933, Products!$A:$B,2,0)</f>
        <v>Folders Off-2</v>
      </c>
      <c r="U933" t="str">
        <f>VLOOKUP(E933,Products!$A:$C,3,0)</f>
        <v>Office Supplies</v>
      </c>
      <c r="V933" t="str">
        <f>VLOOKUP(E933,Products!$A:$D,4,0)</f>
        <v>Folders</v>
      </c>
      <c r="W933" t="str">
        <f>VLOOKUP(D933,Customers!$A:$C,3,0)</f>
        <v>B2C</v>
      </c>
      <c r="X933" t="str">
        <f>VLOOKUP(C933,Sales_Representatives!$A:$B,2,0)</f>
        <v>Sarah Brown</v>
      </c>
    </row>
    <row r="934" spans="1:24" x14ac:dyDescent="0.3">
      <c r="A934" t="s">
        <v>1294</v>
      </c>
      <c r="B934" t="s">
        <v>1295</v>
      </c>
      <c r="C934" t="s">
        <v>63</v>
      </c>
      <c r="D934" t="s">
        <v>156</v>
      </c>
      <c r="E934" t="s">
        <v>38</v>
      </c>
      <c r="F934">
        <v>3</v>
      </c>
      <c r="G934">
        <v>581.47</v>
      </c>
      <c r="H934">
        <v>7.0000000000000007E-2</v>
      </c>
      <c r="I934" s="4">
        <v>1622.3</v>
      </c>
      <c r="J934" t="s">
        <v>21</v>
      </c>
      <c r="K934" t="s">
        <v>22</v>
      </c>
      <c r="L934" s="4">
        <f>VLOOKUP(tblTransactions[[#This Row],[Product_ID]],tblProducts[],5,FALSE)</f>
        <v>372.07</v>
      </c>
      <c r="M934" s="4">
        <f>tblTransactions[[#This Row],[Total_Amount]]-(tblTransactions[[#This Row],[Cost_Prices]]*tblTransactions[[#This Row],[Quantity]]*(1-tblTransactions[[#This Row],[Discount]]))</f>
        <v>584.22469999999998</v>
      </c>
      <c r="N934" s="3">
        <f>tblTransactions[[#This Row],[Profit]]/tblTransactions[[#This Row],[Total_Amount]]</f>
        <v>0.3601212476114159</v>
      </c>
      <c r="O934" t="str">
        <f>TEXT(tblTransactions[[#This Row],[Date]], "MMM-YYYY")</f>
        <v>Jul-2023</v>
      </c>
      <c r="P934" t="str">
        <f>"Q"&amp;ROUNDUP(MONTH(tblTransactions[[#This Row],[Date]])/3,0)&amp;"-"&amp;YEAR(tblTransactions[[#This Row],[Date]])</f>
        <v>Q3-2023</v>
      </c>
      <c r="Q934">
        <f>YEAR(tblTransactions[[#This Row],[Date]])</f>
        <v>2023</v>
      </c>
      <c r="R934" t="str">
        <f>TEXT(tblTransactions[[#This Row],[Date]],"DDDD")</f>
        <v>Thursday</v>
      </c>
      <c r="S934">
        <f>MONTH(tblTransactions[[#This Row],[Date]])</f>
        <v>7</v>
      </c>
      <c r="T934" t="str">
        <f>VLOOKUP(E934, Products!$A:$B,2,0)</f>
        <v>Storage Fur-3</v>
      </c>
      <c r="U934" t="str">
        <f>VLOOKUP(E934,Products!$A:$C,3,0)</f>
        <v>Furniture</v>
      </c>
      <c r="V934" t="str">
        <f>VLOOKUP(E934,Products!$A:$D,4,0)</f>
        <v>Storage</v>
      </c>
      <c r="W934" t="str">
        <f>VLOOKUP(D934,Customers!$A:$C,3,0)</f>
        <v>B2B</v>
      </c>
      <c r="X934" t="str">
        <f>VLOOKUP(C934,Sales_Representatives!$A:$B,2,0)</f>
        <v>Richard Wilson</v>
      </c>
    </row>
    <row r="935" spans="1:24" x14ac:dyDescent="0.3">
      <c r="A935" t="s">
        <v>1296</v>
      </c>
      <c r="B935" t="s">
        <v>1295</v>
      </c>
      <c r="C935" t="s">
        <v>70</v>
      </c>
      <c r="D935" t="s">
        <v>95</v>
      </c>
      <c r="E935" t="s">
        <v>125</v>
      </c>
      <c r="F935">
        <v>17</v>
      </c>
      <c r="G935">
        <v>1201.4000000000001</v>
      </c>
      <c r="H935">
        <v>0.14000000000000001</v>
      </c>
      <c r="I935" s="4">
        <v>17564.47</v>
      </c>
      <c r="J935" t="s">
        <v>16</v>
      </c>
      <c r="K935" t="s">
        <v>22</v>
      </c>
      <c r="L935" s="4">
        <f>VLOOKUP(tblTransactions[[#This Row],[Product_ID]],tblProducts[],5,FALSE)</f>
        <v>672.72</v>
      </c>
      <c r="M935" s="4">
        <f>tblTransactions[[#This Row],[Total_Amount]]-(tblTransactions[[#This Row],[Cost_Prices]]*tblTransactions[[#This Row],[Quantity]]*(1-tblTransactions[[#This Row],[Discount]]))</f>
        <v>7729.3036000000011</v>
      </c>
      <c r="N935" s="3">
        <f>tblTransactions[[#This Row],[Profit]]/tblTransactions[[#This Row],[Total_Amount]]</f>
        <v>0.44005333494264276</v>
      </c>
      <c r="O935" t="str">
        <f>TEXT(tblTransactions[[#This Row],[Date]], "MMM-YYYY")</f>
        <v>Jul-2023</v>
      </c>
      <c r="P935" t="str">
        <f>"Q"&amp;ROUNDUP(MONTH(tblTransactions[[#This Row],[Date]])/3,0)&amp;"-"&amp;YEAR(tblTransactions[[#This Row],[Date]])</f>
        <v>Q3-2023</v>
      </c>
      <c r="Q935">
        <f>YEAR(tblTransactions[[#This Row],[Date]])</f>
        <v>2023</v>
      </c>
      <c r="R935" t="str">
        <f>TEXT(tblTransactions[[#This Row],[Date]],"DDDD")</f>
        <v>Thursday</v>
      </c>
      <c r="S935">
        <f>MONTH(tblTransactions[[#This Row],[Date]])</f>
        <v>7</v>
      </c>
      <c r="T935" t="str">
        <f>VLOOKUP(E935, Products!$A:$B,2,0)</f>
        <v>Printers Tec-2</v>
      </c>
      <c r="U935" t="str">
        <f>VLOOKUP(E935,Products!$A:$C,3,0)</f>
        <v>Technology</v>
      </c>
      <c r="V935" t="str">
        <f>VLOOKUP(E935,Products!$A:$D,4,0)</f>
        <v>Printers</v>
      </c>
      <c r="W935" t="str">
        <f>VLOOKUP(D935,Customers!$A:$C,3,0)</f>
        <v>Enterprise</v>
      </c>
      <c r="X935" t="str">
        <f>VLOOKUP(C935,Sales_Representatives!$A:$B,2,0)</f>
        <v>Linda Smith</v>
      </c>
    </row>
    <row r="936" spans="1:24" x14ac:dyDescent="0.3">
      <c r="A936" t="s">
        <v>1297</v>
      </c>
      <c r="B936" t="s">
        <v>1295</v>
      </c>
      <c r="C936" t="s">
        <v>82</v>
      </c>
      <c r="D936" t="s">
        <v>136</v>
      </c>
      <c r="E936" t="s">
        <v>157</v>
      </c>
      <c r="F936">
        <v>14</v>
      </c>
      <c r="G936">
        <v>1227.68</v>
      </c>
      <c r="H936">
        <v>0.19</v>
      </c>
      <c r="I936" s="4">
        <v>13921.89</v>
      </c>
      <c r="J936" t="s">
        <v>34</v>
      </c>
      <c r="K936" t="s">
        <v>22</v>
      </c>
      <c r="L936" s="4">
        <f>VLOOKUP(tblTransactions[[#This Row],[Product_ID]],tblProducts[],5,FALSE)</f>
        <v>846.42</v>
      </c>
      <c r="M936" s="4">
        <f>tblTransactions[[#This Row],[Total_Amount]]-(tblTransactions[[#This Row],[Cost_Prices]]*tblTransactions[[#This Row],[Quantity]]*(1-tblTransactions[[#This Row],[Discount]]))</f>
        <v>4323.4871999999996</v>
      </c>
      <c r="N936" s="3">
        <f>tblTransactions[[#This Row],[Profit]]/tblTransactions[[#This Row],[Total_Amount]]</f>
        <v>0.31055317920196179</v>
      </c>
      <c r="O936" t="str">
        <f>TEXT(tblTransactions[[#This Row],[Date]], "MMM-YYYY")</f>
        <v>Jul-2023</v>
      </c>
      <c r="P936" t="str">
        <f>"Q"&amp;ROUNDUP(MONTH(tblTransactions[[#This Row],[Date]])/3,0)&amp;"-"&amp;YEAR(tblTransactions[[#This Row],[Date]])</f>
        <v>Q3-2023</v>
      </c>
      <c r="Q936">
        <f>YEAR(tblTransactions[[#This Row],[Date]])</f>
        <v>2023</v>
      </c>
      <c r="R936" t="str">
        <f>TEXT(tblTransactions[[#This Row],[Date]],"DDDD")</f>
        <v>Thursday</v>
      </c>
      <c r="S936">
        <f>MONTH(tblTransactions[[#This Row],[Date]])</f>
        <v>7</v>
      </c>
      <c r="T936" t="str">
        <f>VLOOKUP(E936, Products!$A:$B,2,0)</f>
        <v>Printers Tec-4</v>
      </c>
      <c r="U936" t="str">
        <f>VLOOKUP(E936,Products!$A:$C,3,0)</f>
        <v>Technology</v>
      </c>
      <c r="V936" t="str">
        <f>VLOOKUP(E936,Products!$A:$D,4,0)</f>
        <v>Printers</v>
      </c>
      <c r="W936" t="str">
        <f>VLOOKUP(D936,Customers!$A:$C,3,0)</f>
        <v>B2B</v>
      </c>
      <c r="X936" t="str">
        <f>VLOOKUP(C936,Sales_Representatives!$A:$B,2,0)</f>
        <v>John Brown</v>
      </c>
    </row>
    <row r="937" spans="1:24" x14ac:dyDescent="0.3">
      <c r="A937" t="s">
        <v>1298</v>
      </c>
      <c r="B937" t="s">
        <v>1295</v>
      </c>
      <c r="C937" t="s">
        <v>56</v>
      </c>
      <c r="D937" t="s">
        <v>50</v>
      </c>
      <c r="E937" t="s">
        <v>176</v>
      </c>
      <c r="F937">
        <v>6</v>
      </c>
      <c r="G937">
        <v>1462.68</v>
      </c>
      <c r="H937">
        <v>0.09</v>
      </c>
      <c r="I937" s="4">
        <v>7986.23</v>
      </c>
      <c r="J937" t="s">
        <v>34</v>
      </c>
      <c r="K937" t="s">
        <v>17</v>
      </c>
      <c r="L937" s="4">
        <f>VLOOKUP(tblTransactions[[#This Row],[Product_ID]],tblProducts[],5,FALSE)</f>
        <v>775.94</v>
      </c>
      <c r="M937" s="4">
        <f>tblTransactions[[#This Row],[Total_Amount]]-(tblTransactions[[#This Row],[Cost_Prices]]*tblTransactions[[#This Row],[Quantity]]*(1-tblTransactions[[#This Row],[Discount]]))</f>
        <v>3749.5975999999991</v>
      </c>
      <c r="N937" s="3">
        <f>tblTransactions[[#This Row],[Profit]]/tblTransactions[[#This Row],[Total_Amount]]</f>
        <v>0.46950784037023718</v>
      </c>
      <c r="O937" t="str">
        <f>TEXT(tblTransactions[[#This Row],[Date]], "MMM-YYYY")</f>
        <v>Jul-2023</v>
      </c>
      <c r="P937" t="str">
        <f>"Q"&amp;ROUNDUP(MONTH(tblTransactions[[#This Row],[Date]])/3,0)&amp;"-"&amp;YEAR(tblTransactions[[#This Row],[Date]])</f>
        <v>Q3-2023</v>
      </c>
      <c r="Q937">
        <f>YEAR(tblTransactions[[#This Row],[Date]])</f>
        <v>2023</v>
      </c>
      <c r="R937" t="str">
        <f>TEXT(tblTransactions[[#This Row],[Date]],"DDDD")</f>
        <v>Thursday</v>
      </c>
      <c r="S937">
        <f>MONTH(tblTransactions[[#This Row],[Date]])</f>
        <v>7</v>
      </c>
      <c r="T937" t="str">
        <f>VLOOKUP(E937, Products!$A:$B,2,0)</f>
        <v>Chairs Fur-2</v>
      </c>
      <c r="U937" t="str">
        <f>VLOOKUP(E937,Products!$A:$C,3,0)</f>
        <v>Furniture</v>
      </c>
      <c r="V937" t="str">
        <f>VLOOKUP(E937,Products!$A:$D,4,0)</f>
        <v>Chairs</v>
      </c>
      <c r="W937" t="str">
        <f>VLOOKUP(D937,Customers!$A:$C,3,0)</f>
        <v>Small Business</v>
      </c>
      <c r="X937" t="str">
        <f>VLOOKUP(C937,Sales_Representatives!$A:$B,2,0)</f>
        <v>Thomas Hernandez</v>
      </c>
    </row>
    <row r="938" spans="1:24" x14ac:dyDescent="0.3">
      <c r="A938" t="s">
        <v>1299</v>
      </c>
      <c r="B938" t="s">
        <v>1300</v>
      </c>
      <c r="C938" t="s">
        <v>107</v>
      </c>
      <c r="D938" t="s">
        <v>136</v>
      </c>
      <c r="E938" t="s">
        <v>198</v>
      </c>
      <c r="F938">
        <v>18</v>
      </c>
      <c r="G938">
        <v>1802.96</v>
      </c>
      <c r="H938">
        <v>0.15</v>
      </c>
      <c r="I938" s="4">
        <v>27585.29</v>
      </c>
      <c r="J938" t="s">
        <v>109</v>
      </c>
      <c r="K938" t="s">
        <v>39</v>
      </c>
      <c r="L938" s="4">
        <f>VLOOKUP(tblTransactions[[#This Row],[Product_ID]],tblProducts[],5,FALSE)</f>
        <v>1282.18</v>
      </c>
      <c r="M938" s="4">
        <f>tblTransactions[[#This Row],[Total_Amount]]-(tblTransactions[[#This Row],[Cost_Prices]]*tblTransactions[[#This Row],[Quantity]]*(1-tblTransactions[[#This Row],[Discount]]))</f>
        <v>7967.9360000000015</v>
      </c>
      <c r="N938" s="3">
        <f>tblTransactions[[#This Row],[Profit]]/tblTransactions[[#This Row],[Total_Amount]]</f>
        <v>0.28884728056148773</v>
      </c>
      <c r="O938" t="str">
        <f>TEXT(tblTransactions[[#This Row],[Date]], "MMM-YYYY")</f>
        <v>Jul-2023</v>
      </c>
      <c r="P938" t="str">
        <f>"Q"&amp;ROUNDUP(MONTH(tblTransactions[[#This Row],[Date]])/3,0)&amp;"-"&amp;YEAR(tblTransactions[[#This Row],[Date]])</f>
        <v>Q3-2023</v>
      </c>
      <c r="Q938">
        <f>YEAR(tblTransactions[[#This Row],[Date]])</f>
        <v>2023</v>
      </c>
      <c r="R938" t="str">
        <f>TEXT(tblTransactions[[#This Row],[Date]],"DDDD")</f>
        <v>Friday</v>
      </c>
      <c r="S938">
        <f>MONTH(tblTransactions[[#This Row],[Date]])</f>
        <v>7</v>
      </c>
      <c r="T938" t="str">
        <f>VLOOKUP(E938, Products!$A:$B,2,0)</f>
        <v>Tablets Ele-3</v>
      </c>
      <c r="U938" t="str">
        <f>VLOOKUP(E938,Products!$A:$C,3,0)</f>
        <v>Electronics</v>
      </c>
      <c r="V938" t="str">
        <f>VLOOKUP(E938,Products!$A:$D,4,0)</f>
        <v>Tablets</v>
      </c>
      <c r="W938" t="str">
        <f>VLOOKUP(D938,Customers!$A:$C,3,0)</f>
        <v>B2B</v>
      </c>
      <c r="X938" t="str">
        <f>VLOOKUP(C938,Sales_Representatives!$A:$B,2,0)</f>
        <v>Jennifer Brown</v>
      </c>
    </row>
    <row r="939" spans="1:24" x14ac:dyDescent="0.3">
      <c r="A939" t="s">
        <v>1301</v>
      </c>
      <c r="B939" t="s">
        <v>1300</v>
      </c>
      <c r="C939" t="s">
        <v>19</v>
      </c>
      <c r="D939" t="s">
        <v>37</v>
      </c>
      <c r="E939" t="s">
        <v>450</v>
      </c>
      <c r="F939">
        <v>39</v>
      </c>
      <c r="G939">
        <v>2083.92</v>
      </c>
      <c r="H939">
        <v>0.21</v>
      </c>
      <c r="I939" s="4">
        <v>64205.58</v>
      </c>
      <c r="J939" t="s">
        <v>21</v>
      </c>
      <c r="K939" t="s">
        <v>22</v>
      </c>
      <c r="L939" s="4">
        <f>VLOOKUP(tblTransactions[[#This Row],[Product_ID]],tblProducts[],5,FALSE)</f>
        <v>1425.78</v>
      </c>
      <c r="M939" s="4">
        <f>tblTransactions[[#This Row],[Total_Amount]]-(tblTransactions[[#This Row],[Cost_Prices]]*tblTransactions[[#This Row],[Quantity]]*(1-tblTransactions[[#This Row],[Discount]]))</f>
        <v>20277.298200000005</v>
      </c>
      <c r="N939" s="3">
        <f>tblTransactions[[#This Row],[Profit]]/tblTransactions[[#This Row],[Total_Amount]]</f>
        <v>0.31581831672574262</v>
      </c>
      <c r="O939" t="str">
        <f>TEXT(tblTransactions[[#This Row],[Date]], "MMM-YYYY")</f>
        <v>Jul-2023</v>
      </c>
      <c r="P939" t="str">
        <f>"Q"&amp;ROUNDUP(MONTH(tblTransactions[[#This Row],[Date]])/3,0)&amp;"-"&amp;YEAR(tblTransactions[[#This Row],[Date]])</f>
        <v>Q3-2023</v>
      </c>
      <c r="Q939">
        <f>YEAR(tblTransactions[[#This Row],[Date]])</f>
        <v>2023</v>
      </c>
      <c r="R939" t="str">
        <f>TEXT(tblTransactions[[#This Row],[Date]],"DDDD")</f>
        <v>Friday</v>
      </c>
      <c r="S939">
        <f>MONTH(tblTransactions[[#This Row],[Date]])</f>
        <v>7</v>
      </c>
      <c r="T939" t="str">
        <f>VLOOKUP(E939, Products!$A:$B,2,0)</f>
        <v>Monitors Tec-4</v>
      </c>
      <c r="U939" t="str">
        <f>VLOOKUP(E939,Products!$A:$C,3,0)</f>
        <v>Technology</v>
      </c>
      <c r="V939" t="str">
        <f>VLOOKUP(E939,Products!$A:$D,4,0)</f>
        <v>Monitors</v>
      </c>
      <c r="W939" t="str">
        <f>VLOOKUP(D939,Customers!$A:$C,3,0)</f>
        <v>Enterprise</v>
      </c>
      <c r="X939" t="str">
        <f>VLOOKUP(C939,Sales_Representatives!$A:$B,2,0)</f>
        <v>Robert Jones</v>
      </c>
    </row>
    <row r="940" spans="1:24" x14ac:dyDescent="0.3">
      <c r="A940" t="s">
        <v>1302</v>
      </c>
      <c r="B940" t="s">
        <v>1300</v>
      </c>
      <c r="C940" t="s">
        <v>70</v>
      </c>
      <c r="D940" t="s">
        <v>351</v>
      </c>
      <c r="E940" t="s">
        <v>376</v>
      </c>
      <c r="F940">
        <v>1</v>
      </c>
      <c r="G940">
        <v>229.65</v>
      </c>
      <c r="H940">
        <v>0.02</v>
      </c>
      <c r="I940" s="4">
        <v>225.06</v>
      </c>
      <c r="J940" t="s">
        <v>16</v>
      </c>
      <c r="K940" t="s">
        <v>17</v>
      </c>
      <c r="L940" s="4">
        <f>VLOOKUP(tblTransactions[[#This Row],[Product_ID]],tblProducts[],5,FALSE)</f>
        <v>96.84</v>
      </c>
      <c r="M940" s="4">
        <f>tblTransactions[[#This Row],[Total_Amount]]-(tblTransactions[[#This Row],[Cost_Prices]]*tblTransactions[[#This Row],[Quantity]]*(1-tblTransactions[[#This Row],[Discount]]))</f>
        <v>130.1568</v>
      </c>
      <c r="N940" s="3">
        <f>tblTransactions[[#This Row],[Profit]]/tblTransactions[[#This Row],[Total_Amount]]</f>
        <v>0.57832044788056525</v>
      </c>
      <c r="O940" t="str">
        <f>TEXT(tblTransactions[[#This Row],[Date]], "MMM-YYYY")</f>
        <v>Jul-2023</v>
      </c>
      <c r="P940" t="str">
        <f>"Q"&amp;ROUNDUP(MONTH(tblTransactions[[#This Row],[Date]])/3,0)&amp;"-"&amp;YEAR(tblTransactions[[#This Row],[Date]])</f>
        <v>Q3-2023</v>
      </c>
      <c r="Q940">
        <f>YEAR(tblTransactions[[#This Row],[Date]])</f>
        <v>2023</v>
      </c>
      <c r="R940" t="str">
        <f>TEXT(tblTransactions[[#This Row],[Date]],"DDDD")</f>
        <v>Friday</v>
      </c>
      <c r="S940">
        <f>MONTH(tblTransactions[[#This Row],[Date]])</f>
        <v>7</v>
      </c>
      <c r="T940" t="str">
        <f>VLOOKUP(E940, Products!$A:$B,2,0)</f>
        <v>Adapters Acc-2</v>
      </c>
      <c r="U940" t="str">
        <f>VLOOKUP(E940,Products!$A:$C,3,0)</f>
        <v>Accessories</v>
      </c>
      <c r="V940" t="str">
        <f>VLOOKUP(E940,Products!$A:$D,4,0)</f>
        <v>Adapters</v>
      </c>
      <c r="W940" t="str">
        <f>VLOOKUP(D940,Customers!$A:$C,3,0)</f>
        <v>B2C</v>
      </c>
      <c r="X940" t="str">
        <f>VLOOKUP(C940,Sales_Representatives!$A:$B,2,0)</f>
        <v>Linda Smith</v>
      </c>
    </row>
    <row r="941" spans="1:24" x14ac:dyDescent="0.3">
      <c r="A941" t="s">
        <v>1303</v>
      </c>
      <c r="B941" t="s">
        <v>1300</v>
      </c>
      <c r="C941" t="s">
        <v>19</v>
      </c>
      <c r="D941" t="s">
        <v>124</v>
      </c>
      <c r="E941" t="s">
        <v>25</v>
      </c>
      <c r="F941">
        <v>13</v>
      </c>
      <c r="G941">
        <v>1467.49</v>
      </c>
      <c r="H941">
        <v>0.13</v>
      </c>
      <c r="I941" s="4">
        <v>16597.310000000001</v>
      </c>
      <c r="J941" t="s">
        <v>21</v>
      </c>
      <c r="K941" t="s">
        <v>39</v>
      </c>
      <c r="L941" s="4">
        <f>VLOOKUP(tblTransactions[[#This Row],[Product_ID]],tblProducts[],5,FALSE)</f>
        <v>757.65</v>
      </c>
      <c r="M941" s="4">
        <f>tblTransactions[[#This Row],[Total_Amount]]-(tblTransactions[[#This Row],[Cost_Prices]]*tblTransactions[[#This Row],[Quantity]]*(1-tblTransactions[[#This Row],[Discount]]))</f>
        <v>8028.2885000000024</v>
      </c>
      <c r="N941" s="3">
        <f>tblTransactions[[#This Row],[Profit]]/tblTransactions[[#This Row],[Total_Amount]]</f>
        <v>0.48371022171665179</v>
      </c>
      <c r="O941" t="str">
        <f>TEXT(tblTransactions[[#This Row],[Date]], "MMM-YYYY")</f>
        <v>Jul-2023</v>
      </c>
      <c r="P941" t="str">
        <f>"Q"&amp;ROUNDUP(MONTH(tblTransactions[[#This Row],[Date]])/3,0)&amp;"-"&amp;YEAR(tblTransactions[[#This Row],[Date]])</f>
        <v>Q3-2023</v>
      </c>
      <c r="Q941">
        <f>YEAR(tblTransactions[[#This Row],[Date]])</f>
        <v>2023</v>
      </c>
      <c r="R941" t="str">
        <f>TEXT(tblTransactions[[#This Row],[Date]],"DDDD")</f>
        <v>Friday</v>
      </c>
      <c r="S941">
        <f>MONTH(tblTransactions[[#This Row],[Date]])</f>
        <v>7</v>
      </c>
      <c r="T941" t="str">
        <f>VLOOKUP(E941, Products!$A:$B,2,0)</f>
        <v>Tables Fur-3</v>
      </c>
      <c r="U941" t="str">
        <f>VLOOKUP(E941,Products!$A:$C,3,0)</f>
        <v>Furniture</v>
      </c>
      <c r="V941" t="str">
        <f>VLOOKUP(E941,Products!$A:$D,4,0)</f>
        <v>Tables</v>
      </c>
      <c r="W941" t="str">
        <f>VLOOKUP(D941,Customers!$A:$C,3,0)</f>
        <v>B2B</v>
      </c>
      <c r="X941" t="str">
        <f>VLOOKUP(C941,Sales_Representatives!$A:$B,2,0)</f>
        <v>Robert Jones</v>
      </c>
    </row>
    <row r="942" spans="1:24" x14ac:dyDescent="0.3">
      <c r="A942" t="s">
        <v>1304</v>
      </c>
      <c r="B942" t="s">
        <v>1305</v>
      </c>
      <c r="C942" t="s">
        <v>59</v>
      </c>
      <c r="D942" t="s">
        <v>47</v>
      </c>
      <c r="E942" t="s">
        <v>102</v>
      </c>
      <c r="F942">
        <v>6</v>
      </c>
      <c r="G942">
        <v>1097.75</v>
      </c>
      <c r="H942">
        <v>0.12</v>
      </c>
      <c r="I942" s="4">
        <v>5796.12</v>
      </c>
      <c r="J942" t="s">
        <v>21</v>
      </c>
      <c r="K942" t="s">
        <v>39</v>
      </c>
      <c r="L942" s="4">
        <f>VLOOKUP(tblTransactions[[#This Row],[Product_ID]],tblProducts[],5,FALSE)</f>
        <v>680.12</v>
      </c>
      <c r="M942" s="4">
        <f>tblTransactions[[#This Row],[Total_Amount]]-(tblTransactions[[#This Row],[Cost_Prices]]*tblTransactions[[#This Row],[Quantity]]*(1-tblTransactions[[#This Row],[Discount]]))</f>
        <v>2205.0863999999997</v>
      </c>
      <c r="N942" s="3">
        <f>tblTransactions[[#This Row],[Profit]]/tblTransactions[[#This Row],[Total_Amount]]</f>
        <v>0.38044181279890682</v>
      </c>
      <c r="O942" t="str">
        <f>TEXT(tblTransactions[[#This Row],[Date]], "MMM-YYYY")</f>
        <v>Jul-2023</v>
      </c>
      <c r="P942" t="str">
        <f>"Q"&amp;ROUNDUP(MONTH(tblTransactions[[#This Row],[Date]])/3,0)&amp;"-"&amp;YEAR(tblTransactions[[#This Row],[Date]])</f>
        <v>Q3-2023</v>
      </c>
      <c r="Q942">
        <f>YEAR(tblTransactions[[#This Row],[Date]])</f>
        <v>2023</v>
      </c>
      <c r="R942" t="str">
        <f>TEXT(tblTransactions[[#This Row],[Date]],"DDDD")</f>
        <v>Saturday</v>
      </c>
      <c r="S942">
        <f>MONTH(tblTransactions[[#This Row],[Date]])</f>
        <v>7</v>
      </c>
      <c r="T942" t="str">
        <f>VLOOKUP(E942, Products!$A:$B,2,0)</f>
        <v>Storage Fur-4</v>
      </c>
      <c r="U942" t="str">
        <f>VLOOKUP(E942,Products!$A:$C,3,0)</f>
        <v>Furniture</v>
      </c>
      <c r="V942" t="str">
        <f>VLOOKUP(E942,Products!$A:$D,4,0)</f>
        <v>Storage</v>
      </c>
      <c r="W942" t="str">
        <f>VLOOKUP(D942,Customers!$A:$C,3,0)</f>
        <v>B2C</v>
      </c>
      <c r="X942" t="str">
        <f>VLOOKUP(C942,Sales_Representatives!$A:$B,2,0)</f>
        <v>Sarah Brown</v>
      </c>
    </row>
    <row r="943" spans="1:24" x14ac:dyDescent="0.3">
      <c r="A943" t="s">
        <v>1306</v>
      </c>
      <c r="B943" t="s">
        <v>1305</v>
      </c>
      <c r="C943" t="s">
        <v>75</v>
      </c>
      <c r="D943" t="s">
        <v>60</v>
      </c>
      <c r="E943" t="s">
        <v>508</v>
      </c>
      <c r="F943">
        <v>2</v>
      </c>
      <c r="G943">
        <v>237.69</v>
      </c>
      <c r="H943">
        <v>0.08</v>
      </c>
      <c r="I943" s="4">
        <v>437.35</v>
      </c>
      <c r="J943" t="s">
        <v>44</v>
      </c>
      <c r="K943" t="s">
        <v>35</v>
      </c>
      <c r="L943" s="4">
        <f>VLOOKUP(tblTransactions[[#This Row],[Product_ID]],tblProducts[],5,FALSE)</f>
        <v>115.31</v>
      </c>
      <c r="M943" s="4">
        <f>tblTransactions[[#This Row],[Total_Amount]]-(tblTransactions[[#This Row],[Cost_Prices]]*tblTransactions[[#This Row],[Quantity]]*(1-tblTransactions[[#This Row],[Discount]]))</f>
        <v>225.17960000000002</v>
      </c>
      <c r="N943" s="3">
        <f>tblTransactions[[#This Row],[Profit]]/tblTransactions[[#This Row],[Total_Amount]]</f>
        <v>0.51487275637361385</v>
      </c>
      <c r="O943" t="str">
        <f>TEXT(tblTransactions[[#This Row],[Date]], "MMM-YYYY")</f>
        <v>Jul-2023</v>
      </c>
      <c r="P943" t="str">
        <f>"Q"&amp;ROUNDUP(MONTH(tblTransactions[[#This Row],[Date]])/3,0)&amp;"-"&amp;YEAR(tblTransactions[[#This Row],[Date]])</f>
        <v>Q3-2023</v>
      </c>
      <c r="Q943">
        <f>YEAR(tblTransactions[[#This Row],[Date]])</f>
        <v>2023</v>
      </c>
      <c r="R943" t="str">
        <f>TEXT(tblTransactions[[#This Row],[Date]],"DDDD")</f>
        <v>Saturday</v>
      </c>
      <c r="S943">
        <f>MONTH(tblTransactions[[#This Row],[Date]])</f>
        <v>7</v>
      </c>
      <c r="T943" t="str">
        <f>VLOOKUP(E943, Products!$A:$B,2,0)</f>
        <v>Folders Off-3</v>
      </c>
      <c r="U943" t="str">
        <f>VLOOKUP(E943,Products!$A:$C,3,0)</f>
        <v>Office Supplies</v>
      </c>
      <c r="V943" t="str">
        <f>VLOOKUP(E943,Products!$A:$D,4,0)</f>
        <v>Folders</v>
      </c>
      <c r="W943" t="str">
        <f>VLOOKUP(D943,Customers!$A:$C,3,0)</f>
        <v>B2C</v>
      </c>
      <c r="X943" t="str">
        <f>VLOOKUP(C943,Sales_Representatives!$A:$B,2,0)</f>
        <v>Jessica Anderson</v>
      </c>
    </row>
    <row r="944" spans="1:24" x14ac:dyDescent="0.3">
      <c r="A944" t="s">
        <v>1307</v>
      </c>
      <c r="B944" t="s">
        <v>1305</v>
      </c>
      <c r="C944" t="s">
        <v>75</v>
      </c>
      <c r="D944" t="s">
        <v>83</v>
      </c>
      <c r="E944" t="s">
        <v>102</v>
      </c>
      <c r="F944">
        <v>4</v>
      </c>
      <c r="G944">
        <v>1097.75</v>
      </c>
      <c r="H944">
        <v>0.02</v>
      </c>
      <c r="I944" s="4">
        <v>4303.18</v>
      </c>
      <c r="J944" t="s">
        <v>44</v>
      </c>
      <c r="K944" t="s">
        <v>48</v>
      </c>
      <c r="L944" s="4">
        <f>VLOOKUP(tblTransactions[[#This Row],[Product_ID]],tblProducts[],5,FALSE)</f>
        <v>680.12</v>
      </c>
      <c r="M944" s="4">
        <f>tblTransactions[[#This Row],[Total_Amount]]-(tblTransactions[[#This Row],[Cost_Prices]]*tblTransactions[[#This Row],[Quantity]]*(1-tblTransactions[[#This Row],[Discount]]))</f>
        <v>1637.1096000000002</v>
      </c>
      <c r="N944" s="3">
        <f>tblTransactions[[#This Row],[Profit]]/tblTransactions[[#This Row],[Total_Amount]]</f>
        <v>0.38044181279890688</v>
      </c>
      <c r="O944" t="str">
        <f>TEXT(tblTransactions[[#This Row],[Date]], "MMM-YYYY")</f>
        <v>Jul-2023</v>
      </c>
      <c r="P944" t="str">
        <f>"Q"&amp;ROUNDUP(MONTH(tblTransactions[[#This Row],[Date]])/3,0)&amp;"-"&amp;YEAR(tblTransactions[[#This Row],[Date]])</f>
        <v>Q3-2023</v>
      </c>
      <c r="Q944">
        <f>YEAR(tblTransactions[[#This Row],[Date]])</f>
        <v>2023</v>
      </c>
      <c r="R944" t="str">
        <f>TEXT(tblTransactions[[#This Row],[Date]],"DDDD")</f>
        <v>Saturday</v>
      </c>
      <c r="S944">
        <f>MONTH(tblTransactions[[#This Row],[Date]])</f>
        <v>7</v>
      </c>
      <c r="T944" t="str">
        <f>VLOOKUP(E944, Products!$A:$B,2,0)</f>
        <v>Storage Fur-4</v>
      </c>
      <c r="U944" t="str">
        <f>VLOOKUP(E944,Products!$A:$C,3,0)</f>
        <v>Furniture</v>
      </c>
      <c r="V944" t="str">
        <f>VLOOKUP(E944,Products!$A:$D,4,0)</f>
        <v>Storage</v>
      </c>
      <c r="W944" t="str">
        <f>VLOOKUP(D944,Customers!$A:$C,3,0)</f>
        <v>Small Business</v>
      </c>
      <c r="X944" t="str">
        <f>VLOOKUP(C944,Sales_Representatives!$A:$B,2,0)</f>
        <v>Jessica Anderson</v>
      </c>
    </row>
    <row r="945" spans="1:24" x14ac:dyDescent="0.3">
      <c r="A945" t="s">
        <v>1308</v>
      </c>
      <c r="B945" t="s">
        <v>1305</v>
      </c>
      <c r="C945" t="s">
        <v>70</v>
      </c>
      <c r="D945" t="s">
        <v>64</v>
      </c>
      <c r="E945" t="s">
        <v>84</v>
      </c>
      <c r="F945">
        <v>3</v>
      </c>
      <c r="G945">
        <v>1841.77</v>
      </c>
      <c r="H945">
        <v>0.09</v>
      </c>
      <c r="I945" s="4">
        <v>5028.03</v>
      </c>
      <c r="J945" t="s">
        <v>16</v>
      </c>
      <c r="K945" t="s">
        <v>17</v>
      </c>
      <c r="L945" s="4">
        <f>VLOOKUP(tblTransactions[[#This Row],[Product_ID]],tblProducts[],5,FALSE)</f>
        <v>1151.5899999999999</v>
      </c>
      <c r="M945" s="4">
        <f>tblTransactions[[#This Row],[Total_Amount]]-(tblTransactions[[#This Row],[Cost_Prices]]*tblTransactions[[#This Row],[Quantity]]*(1-tblTransactions[[#This Row],[Discount]]))</f>
        <v>1884.1893</v>
      </c>
      <c r="N945" s="3">
        <f>tblTransactions[[#This Row],[Profit]]/tblTransactions[[#This Row],[Total_Amount]]</f>
        <v>0.37473708390761395</v>
      </c>
      <c r="O945" t="str">
        <f>TEXT(tblTransactions[[#This Row],[Date]], "MMM-YYYY")</f>
        <v>Jul-2023</v>
      </c>
      <c r="P945" t="str">
        <f>"Q"&amp;ROUNDUP(MONTH(tblTransactions[[#This Row],[Date]])/3,0)&amp;"-"&amp;YEAR(tblTransactions[[#This Row],[Date]])</f>
        <v>Q3-2023</v>
      </c>
      <c r="Q945">
        <f>YEAR(tblTransactions[[#This Row],[Date]])</f>
        <v>2023</v>
      </c>
      <c r="R945" t="str">
        <f>TEXT(tblTransactions[[#This Row],[Date]],"DDDD")</f>
        <v>Saturday</v>
      </c>
      <c r="S945">
        <f>MONTH(tblTransactions[[#This Row],[Date]])</f>
        <v>7</v>
      </c>
      <c r="T945" t="str">
        <f>VLOOKUP(E945, Products!$A:$B,2,0)</f>
        <v>Laptops Ele-2</v>
      </c>
      <c r="U945" t="str">
        <f>VLOOKUP(E945,Products!$A:$C,3,0)</f>
        <v>Electronics</v>
      </c>
      <c r="V945" t="str">
        <f>VLOOKUP(E945,Products!$A:$D,4,0)</f>
        <v>Laptops</v>
      </c>
      <c r="W945" t="str">
        <f>VLOOKUP(D945,Customers!$A:$C,3,0)</f>
        <v>Small Business</v>
      </c>
      <c r="X945" t="str">
        <f>VLOOKUP(C945,Sales_Representatives!$A:$B,2,0)</f>
        <v>Linda Smith</v>
      </c>
    </row>
    <row r="946" spans="1:24" x14ac:dyDescent="0.3">
      <c r="A946" t="s">
        <v>1309</v>
      </c>
      <c r="B946" t="s">
        <v>1305</v>
      </c>
      <c r="C946" t="s">
        <v>59</v>
      </c>
      <c r="D946" t="s">
        <v>95</v>
      </c>
      <c r="E946" t="s">
        <v>191</v>
      </c>
      <c r="F946">
        <v>45</v>
      </c>
      <c r="G946">
        <v>1012.75</v>
      </c>
      <c r="H946">
        <v>0.21</v>
      </c>
      <c r="I946" s="4">
        <v>36003.26</v>
      </c>
      <c r="J946" t="s">
        <v>21</v>
      </c>
      <c r="K946" t="s">
        <v>17</v>
      </c>
      <c r="L946" s="4">
        <f>VLOOKUP(tblTransactions[[#This Row],[Product_ID]],tblProducts[],5,FALSE)</f>
        <v>518.53</v>
      </c>
      <c r="M946" s="4">
        <f>tblTransactions[[#This Row],[Total_Amount]]-(tblTransactions[[#This Row],[Cost_Prices]]*tblTransactions[[#This Row],[Quantity]]*(1-tblTransactions[[#This Row],[Discount]]))</f>
        <v>17569.518500000002</v>
      </c>
      <c r="N946" s="3">
        <f>tblTransactions[[#This Row],[Profit]]/tblTransactions[[#This Row],[Total_Amount]]</f>
        <v>0.48799798962649499</v>
      </c>
      <c r="O946" t="str">
        <f>TEXT(tblTransactions[[#This Row],[Date]], "MMM-YYYY")</f>
        <v>Jul-2023</v>
      </c>
      <c r="P946" t="str">
        <f>"Q"&amp;ROUNDUP(MONTH(tblTransactions[[#This Row],[Date]])/3,0)&amp;"-"&amp;YEAR(tblTransactions[[#This Row],[Date]])</f>
        <v>Q3-2023</v>
      </c>
      <c r="Q946">
        <f>YEAR(tblTransactions[[#This Row],[Date]])</f>
        <v>2023</v>
      </c>
      <c r="R946" t="str">
        <f>TEXT(tblTransactions[[#This Row],[Date]],"DDDD")</f>
        <v>Saturday</v>
      </c>
      <c r="S946">
        <f>MONTH(tblTransactions[[#This Row],[Date]])</f>
        <v>7</v>
      </c>
      <c r="T946" t="str">
        <f>VLOOKUP(E946, Products!$A:$B,2,0)</f>
        <v>Tables Fur-4</v>
      </c>
      <c r="U946" t="str">
        <f>VLOOKUP(E946,Products!$A:$C,3,0)</f>
        <v>Furniture</v>
      </c>
      <c r="V946" t="str">
        <f>VLOOKUP(E946,Products!$A:$D,4,0)</f>
        <v>Tables</v>
      </c>
      <c r="W946" t="str">
        <f>VLOOKUP(D946,Customers!$A:$C,3,0)</f>
        <v>Enterprise</v>
      </c>
      <c r="X946" t="str">
        <f>VLOOKUP(C946,Sales_Representatives!$A:$B,2,0)</f>
        <v>Sarah Brown</v>
      </c>
    </row>
    <row r="947" spans="1:24" x14ac:dyDescent="0.3">
      <c r="A947" t="s">
        <v>1310</v>
      </c>
      <c r="B947" t="s">
        <v>1305</v>
      </c>
      <c r="C947" t="s">
        <v>141</v>
      </c>
      <c r="D947" t="s">
        <v>71</v>
      </c>
      <c r="E947" t="s">
        <v>200</v>
      </c>
      <c r="F947">
        <v>5</v>
      </c>
      <c r="G947">
        <v>544.77</v>
      </c>
      <c r="H947">
        <v>0.06</v>
      </c>
      <c r="I947" s="4">
        <v>2560.42</v>
      </c>
      <c r="J947" t="s">
        <v>109</v>
      </c>
      <c r="K947" t="s">
        <v>39</v>
      </c>
      <c r="L947" s="4">
        <f>VLOOKUP(tblTransactions[[#This Row],[Product_ID]],tblProducts[],5,FALSE)</f>
        <v>318.2</v>
      </c>
      <c r="M947" s="4">
        <f>tblTransactions[[#This Row],[Total_Amount]]-(tblTransactions[[#This Row],[Cost_Prices]]*tblTransactions[[#This Row],[Quantity]]*(1-tblTransactions[[#This Row],[Discount]]))</f>
        <v>1064.8800000000001</v>
      </c>
      <c r="N947" s="3">
        <f>tblTransactions[[#This Row],[Profit]]/tblTransactions[[#This Row],[Total_Amount]]</f>
        <v>0.41590051632154101</v>
      </c>
      <c r="O947" t="str">
        <f>TEXT(tblTransactions[[#This Row],[Date]], "MMM-YYYY")</f>
        <v>Jul-2023</v>
      </c>
      <c r="P947" t="str">
        <f>"Q"&amp;ROUNDUP(MONTH(tblTransactions[[#This Row],[Date]])/3,0)&amp;"-"&amp;YEAR(tblTransactions[[#This Row],[Date]])</f>
        <v>Q3-2023</v>
      </c>
      <c r="Q947">
        <f>YEAR(tblTransactions[[#This Row],[Date]])</f>
        <v>2023</v>
      </c>
      <c r="R947" t="str">
        <f>TEXT(tblTransactions[[#This Row],[Date]],"DDDD")</f>
        <v>Saturday</v>
      </c>
      <c r="S947">
        <f>MONTH(tblTransactions[[#This Row],[Date]])</f>
        <v>7</v>
      </c>
      <c r="T947" t="str">
        <f>VLOOKUP(E947, Products!$A:$B,2,0)</f>
        <v>Desks Fur-4</v>
      </c>
      <c r="U947" t="str">
        <f>VLOOKUP(E947,Products!$A:$C,3,0)</f>
        <v>Furniture</v>
      </c>
      <c r="V947" t="str">
        <f>VLOOKUP(E947,Products!$A:$D,4,0)</f>
        <v>Desks</v>
      </c>
      <c r="W947" t="str">
        <f>VLOOKUP(D947,Customers!$A:$C,3,0)</f>
        <v>B2B</v>
      </c>
      <c r="X947" t="str">
        <f>VLOOKUP(C947,Sales_Representatives!$A:$B,2,0)</f>
        <v>Richard Garcia</v>
      </c>
    </row>
    <row r="948" spans="1:24" x14ac:dyDescent="0.3">
      <c r="A948" t="s">
        <v>1311</v>
      </c>
      <c r="B948" t="s">
        <v>1305</v>
      </c>
      <c r="C948" t="s">
        <v>127</v>
      </c>
      <c r="D948" t="s">
        <v>76</v>
      </c>
      <c r="E948" t="s">
        <v>68</v>
      </c>
      <c r="F948">
        <v>4</v>
      </c>
      <c r="G948">
        <v>522.63</v>
      </c>
      <c r="H948">
        <v>0.1</v>
      </c>
      <c r="I948" s="4">
        <v>1881.47</v>
      </c>
      <c r="J948" t="s">
        <v>109</v>
      </c>
      <c r="K948" t="s">
        <v>48</v>
      </c>
      <c r="L948" s="4">
        <f>VLOOKUP(tblTransactions[[#This Row],[Product_ID]],tblProducts[],5,FALSE)</f>
        <v>355.82</v>
      </c>
      <c r="M948" s="4">
        <f>tblTransactions[[#This Row],[Total_Amount]]-(tblTransactions[[#This Row],[Cost_Prices]]*tblTransactions[[#This Row],[Quantity]]*(1-tblTransactions[[#This Row],[Discount]]))</f>
        <v>600.51800000000003</v>
      </c>
      <c r="N948" s="3">
        <f>tblTransactions[[#This Row],[Profit]]/tblTransactions[[#This Row],[Total_Amount]]</f>
        <v>0.3191749004767549</v>
      </c>
      <c r="O948" t="str">
        <f>TEXT(tblTransactions[[#This Row],[Date]], "MMM-YYYY")</f>
        <v>Jul-2023</v>
      </c>
      <c r="P948" t="str">
        <f>"Q"&amp;ROUNDUP(MONTH(tblTransactions[[#This Row],[Date]])/3,0)&amp;"-"&amp;YEAR(tblTransactions[[#This Row],[Date]])</f>
        <v>Q3-2023</v>
      </c>
      <c r="Q948">
        <f>YEAR(tblTransactions[[#This Row],[Date]])</f>
        <v>2023</v>
      </c>
      <c r="R948" t="str">
        <f>TEXT(tblTransactions[[#This Row],[Date]],"DDDD")</f>
        <v>Saturday</v>
      </c>
      <c r="S948">
        <f>MONTH(tblTransactions[[#This Row],[Date]])</f>
        <v>7</v>
      </c>
      <c r="T948" t="str">
        <f>VLOOKUP(E948, Products!$A:$B,2,0)</f>
        <v>Monitors Tec-3</v>
      </c>
      <c r="U948" t="str">
        <f>VLOOKUP(E948,Products!$A:$C,3,0)</f>
        <v>Technology</v>
      </c>
      <c r="V948" t="str">
        <f>VLOOKUP(E948,Products!$A:$D,4,0)</f>
        <v>Monitors</v>
      </c>
      <c r="W948" t="str">
        <f>VLOOKUP(D948,Customers!$A:$C,3,0)</f>
        <v>Small Business</v>
      </c>
      <c r="X948" t="str">
        <f>VLOOKUP(C948,Sales_Representatives!$A:$B,2,0)</f>
        <v>Emily Hernandez</v>
      </c>
    </row>
    <row r="949" spans="1:24" x14ac:dyDescent="0.3">
      <c r="A949" t="s">
        <v>1312</v>
      </c>
      <c r="B949" t="s">
        <v>1305</v>
      </c>
      <c r="C949" t="s">
        <v>27</v>
      </c>
      <c r="D949" t="s">
        <v>327</v>
      </c>
      <c r="E949" t="s">
        <v>316</v>
      </c>
      <c r="F949">
        <v>3</v>
      </c>
      <c r="G949">
        <v>91.42</v>
      </c>
      <c r="H949">
        <v>0.06</v>
      </c>
      <c r="I949" s="4">
        <v>257.8</v>
      </c>
      <c r="J949" t="s">
        <v>16</v>
      </c>
      <c r="K949" t="s">
        <v>35</v>
      </c>
      <c r="L949" s="4">
        <f>VLOOKUP(tblTransactions[[#This Row],[Product_ID]],tblProducts[],5,FALSE)</f>
        <v>50.09</v>
      </c>
      <c r="M949" s="4">
        <f>tblTransactions[[#This Row],[Total_Amount]]-(tblTransactions[[#This Row],[Cost_Prices]]*tblTransactions[[#This Row],[Quantity]]*(1-tblTransactions[[#This Row],[Discount]]))</f>
        <v>116.5462</v>
      </c>
      <c r="N949" s="3">
        <f>tblTransactions[[#This Row],[Profit]]/tblTransactions[[#This Row],[Total_Amount]]</f>
        <v>0.45207990690457717</v>
      </c>
      <c r="O949" t="str">
        <f>TEXT(tblTransactions[[#This Row],[Date]], "MMM-YYYY")</f>
        <v>Jul-2023</v>
      </c>
      <c r="P949" t="str">
        <f>"Q"&amp;ROUNDUP(MONTH(tblTransactions[[#This Row],[Date]])/3,0)&amp;"-"&amp;YEAR(tblTransactions[[#This Row],[Date]])</f>
        <v>Q3-2023</v>
      </c>
      <c r="Q949">
        <f>YEAR(tblTransactions[[#This Row],[Date]])</f>
        <v>2023</v>
      </c>
      <c r="R949" t="str">
        <f>TEXT(tblTransactions[[#This Row],[Date]],"DDDD")</f>
        <v>Saturday</v>
      </c>
      <c r="S949">
        <f>MONTH(tblTransactions[[#This Row],[Date]])</f>
        <v>7</v>
      </c>
      <c r="T949" t="str">
        <f>VLOOKUP(E949, Products!$A:$B,2,0)</f>
        <v>Binders Off-3</v>
      </c>
      <c r="U949" t="str">
        <f>VLOOKUP(E949,Products!$A:$C,3,0)</f>
        <v>Office Supplies</v>
      </c>
      <c r="V949" t="str">
        <f>VLOOKUP(E949,Products!$A:$D,4,0)</f>
        <v>Binders</v>
      </c>
      <c r="W949" t="str">
        <f>VLOOKUP(D949,Customers!$A:$C,3,0)</f>
        <v>B2C</v>
      </c>
      <c r="X949" t="str">
        <f>VLOOKUP(C949,Sales_Representatives!$A:$B,2,0)</f>
        <v>Thomas Lopez</v>
      </c>
    </row>
    <row r="950" spans="1:24" x14ac:dyDescent="0.3">
      <c r="A950" t="s">
        <v>1313</v>
      </c>
      <c r="B950" t="s">
        <v>1305</v>
      </c>
      <c r="C950" t="s">
        <v>19</v>
      </c>
      <c r="D950" t="s">
        <v>228</v>
      </c>
      <c r="E950" t="s">
        <v>248</v>
      </c>
      <c r="F950">
        <v>6</v>
      </c>
      <c r="G950">
        <v>82.29</v>
      </c>
      <c r="H950">
        <v>0.14000000000000001</v>
      </c>
      <c r="I950" s="4">
        <v>424.62</v>
      </c>
      <c r="J950" t="s">
        <v>21</v>
      </c>
      <c r="K950" t="s">
        <v>39</v>
      </c>
      <c r="L950" s="4">
        <f>VLOOKUP(tblTransactions[[#This Row],[Product_ID]],tblProducts[],5,FALSE)</f>
        <v>51.11</v>
      </c>
      <c r="M950" s="4">
        <f>tblTransactions[[#This Row],[Total_Amount]]-(tblTransactions[[#This Row],[Cost_Prices]]*tblTransactions[[#This Row],[Quantity]]*(1-tblTransactions[[#This Row],[Discount]]))</f>
        <v>160.89240000000001</v>
      </c>
      <c r="N950" s="3">
        <f>tblTransactions[[#This Row],[Profit]]/tblTransactions[[#This Row],[Total_Amount]]</f>
        <v>0.37890914229193162</v>
      </c>
      <c r="O950" t="str">
        <f>TEXT(tblTransactions[[#This Row],[Date]], "MMM-YYYY")</f>
        <v>Jul-2023</v>
      </c>
      <c r="P950" t="str">
        <f>"Q"&amp;ROUNDUP(MONTH(tblTransactions[[#This Row],[Date]])/3,0)&amp;"-"&amp;YEAR(tblTransactions[[#This Row],[Date]])</f>
        <v>Q3-2023</v>
      </c>
      <c r="Q950">
        <f>YEAR(tblTransactions[[#This Row],[Date]])</f>
        <v>2023</v>
      </c>
      <c r="R950" t="str">
        <f>TEXT(tblTransactions[[#This Row],[Date]],"DDDD")</f>
        <v>Saturday</v>
      </c>
      <c r="S950">
        <f>MONTH(tblTransactions[[#This Row],[Date]])</f>
        <v>7</v>
      </c>
      <c r="T950" t="str">
        <f>VLOOKUP(E950, Products!$A:$B,2,0)</f>
        <v>Keyboards Acc-2</v>
      </c>
      <c r="U950" t="str">
        <f>VLOOKUP(E950,Products!$A:$C,3,0)</f>
        <v>Accessories</v>
      </c>
      <c r="V950" t="str">
        <f>VLOOKUP(E950,Products!$A:$D,4,0)</f>
        <v>Keyboards</v>
      </c>
      <c r="W950" t="str">
        <f>VLOOKUP(D950,Customers!$A:$C,3,0)</f>
        <v>Small Business</v>
      </c>
      <c r="X950" t="str">
        <f>VLOOKUP(C950,Sales_Representatives!$A:$B,2,0)</f>
        <v>Robert Jones</v>
      </c>
    </row>
    <row r="951" spans="1:24" x14ac:dyDescent="0.3">
      <c r="A951" t="s">
        <v>1314</v>
      </c>
      <c r="B951" t="s">
        <v>1315</v>
      </c>
      <c r="C951" t="s">
        <v>19</v>
      </c>
      <c r="D951" t="s">
        <v>124</v>
      </c>
      <c r="E951" t="s">
        <v>283</v>
      </c>
      <c r="F951">
        <v>14</v>
      </c>
      <c r="G951">
        <v>456.88</v>
      </c>
      <c r="H951">
        <v>0.11</v>
      </c>
      <c r="I951" s="4">
        <v>5692.72</v>
      </c>
      <c r="J951" t="s">
        <v>21</v>
      </c>
      <c r="K951" t="s">
        <v>17</v>
      </c>
      <c r="L951" s="4">
        <f>VLOOKUP(tblTransactions[[#This Row],[Product_ID]],tblProducts[],5,FALSE)</f>
        <v>313.23</v>
      </c>
      <c r="M951" s="4">
        <f>tblTransactions[[#This Row],[Total_Amount]]-(tblTransactions[[#This Row],[Cost_Prices]]*tblTransactions[[#This Row],[Quantity]]*(1-tblTransactions[[#This Row],[Discount]]))</f>
        <v>1789.8741999999997</v>
      </c>
      <c r="N951" s="3">
        <f>tblTransactions[[#This Row],[Profit]]/tblTransactions[[#This Row],[Total_Amount]]</f>
        <v>0.31441458564622882</v>
      </c>
      <c r="O951" t="str">
        <f>TEXT(tblTransactions[[#This Row],[Date]], "MMM-YYYY")</f>
        <v>Jul-2023</v>
      </c>
      <c r="P951" t="str">
        <f>"Q"&amp;ROUNDUP(MONTH(tblTransactions[[#This Row],[Date]])/3,0)&amp;"-"&amp;YEAR(tblTransactions[[#This Row],[Date]])</f>
        <v>Q3-2023</v>
      </c>
      <c r="Q951">
        <f>YEAR(tblTransactions[[#This Row],[Date]])</f>
        <v>2023</v>
      </c>
      <c r="R951" t="str">
        <f>TEXT(tblTransactions[[#This Row],[Date]],"DDDD")</f>
        <v>Sunday</v>
      </c>
      <c r="S951">
        <f>MONTH(tblTransactions[[#This Row],[Date]])</f>
        <v>7</v>
      </c>
      <c r="T951" t="str">
        <f>VLOOKUP(E951, Products!$A:$B,2,0)</f>
        <v>Chairs Fur-3</v>
      </c>
      <c r="U951" t="str">
        <f>VLOOKUP(E951,Products!$A:$C,3,0)</f>
        <v>Furniture</v>
      </c>
      <c r="V951" t="str">
        <f>VLOOKUP(E951,Products!$A:$D,4,0)</f>
        <v>Chairs</v>
      </c>
      <c r="W951" t="str">
        <f>VLOOKUP(D951,Customers!$A:$C,3,0)</f>
        <v>B2B</v>
      </c>
      <c r="X951" t="str">
        <f>VLOOKUP(C951,Sales_Representatives!$A:$B,2,0)</f>
        <v>Robert Jones</v>
      </c>
    </row>
    <row r="952" spans="1:24" x14ac:dyDescent="0.3">
      <c r="A952" t="s">
        <v>1316</v>
      </c>
      <c r="B952" t="s">
        <v>1315</v>
      </c>
      <c r="C952" t="s">
        <v>70</v>
      </c>
      <c r="D952" t="s">
        <v>60</v>
      </c>
      <c r="E952" t="s">
        <v>125</v>
      </c>
      <c r="F952">
        <v>5</v>
      </c>
      <c r="G952">
        <v>1201.4000000000001</v>
      </c>
      <c r="H952">
        <v>0.09</v>
      </c>
      <c r="I952" s="4">
        <v>5466.37</v>
      </c>
      <c r="J952" t="s">
        <v>16</v>
      </c>
      <c r="K952" t="s">
        <v>48</v>
      </c>
      <c r="L952" s="4">
        <f>VLOOKUP(tblTransactions[[#This Row],[Product_ID]],tblProducts[],5,FALSE)</f>
        <v>672.72</v>
      </c>
      <c r="M952" s="4">
        <f>tblTransactions[[#This Row],[Total_Amount]]-(tblTransactions[[#This Row],[Cost_Prices]]*tblTransactions[[#This Row],[Quantity]]*(1-tblTransactions[[#This Row],[Discount]]))</f>
        <v>2405.4939999999992</v>
      </c>
      <c r="N952" s="3">
        <f>tblTransactions[[#This Row],[Profit]]/tblTransactions[[#This Row],[Total_Amount]]</f>
        <v>0.44005327118361898</v>
      </c>
      <c r="O952" t="str">
        <f>TEXT(tblTransactions[[#This Row],[Date]], "MMM-YYYY")</f>
        <v>Jul-2023</v>
      </c>
      <c r="P952" t="str">
        <f>"Q"&amp;ROUNDUP(MONTH(tblTransactions[[#This Row],[Date]])/3,0)&amp;"-"&amp;YEAR(tblTransactions[[#This Row],[Date]])</f>
        <v>Q3-2023</v>
      </c>
      <c r="Q952">
        <f>YEAR(tblTransactions[[#This Row],[Date]])</f>
        <v>2023</v>
      </c>
      <c r="R952" t="str">
        <f>TEXT(tblTransactions[[#This Row],[Date]],"DDDD")</f>
        <v>Sunday</v>
      </c>
      <c r="S952">
        <f>MONTH(tblTransactions[[#This Row],[Date]])</f>
        <v>7</v>
      </c>
      <c r="T952" t="str">
        <f>VLOOKUP(E952, Products!$A:$B,2,0)</f>
        <v>Printers Tec-2</v>
      </c>
      <c r="U952" t="str">
        <f>VLOOKUP(E952,Products!$A:$C,3,0)</f>
        <v>Technology</v>
      </c>
      <c r="V952" t="str">
        <f>VLOOKUP(E952,Products!$A:$D,4,0)</f>
        <v>Printers</v>
      </c>
      <c r="W952" t="str">
        <f>VLOOKUP(D952,Customers!$A:$C,3,0)</f>
        <v>B2C</v>
      </c>
      <c r="X952" t="str">
        <f>VLOOKUP(C952,Sales_Representatives!$A:$B,2,0)</f>
        <v>Linda Smith</v>
      </c>
    </row>
    <row r="953" spans="1:24" x14ac:dyDescent="0.3">
      <c r="A953" t="s">
        <v>1317</v>
      </c>
      <c r="B953" t="s">
        <v>1315</v>
      </c>
      <c r="C953" t="s">
        <v>141</v>
      </c>
      <c r="D953" t="s">
        <v>83</v>
      </c>
      <c r="E953" t="s">
        <v>314</v>
      </c>
      <c r="F953">
        <v>4</v>
      </c>
      <c r="G953">
        <v>204.97</v>
      </c>
      <c r="H953">
        <v>0</v>
      </c>
      <c r="I953" s="4">
        <v>819.88</v>
      </c>
      <c r="J953" t="s">
        <v>109</v>
      </c>
      <c r="K953" t="s">
        <v>22</v>
      </c>
      <c r="L953" s="4">
        <f>VLOOKUP(tblTransactions[[#This Row],[Product_ID]],tblProducts[],5,FALSE)</f>
        <v>121.53</v>
      </c>
      <c r="M953" s="4">
        <f>tblTransactions[[#This Row],[Total_Amount]]-(tblTransactions[[#This Row],[Cost_Prices]]*tblTransactions[[#This Row],[Quantity]]*(1-tblTransactions[[#This Row],[Discount]]))</f>
        <v>333.76</v>
      </c>
      <c r="N953" s="3">
        <f>tblTransactions[[#This Row],[Profit]]/tblTransactions[[#This Row],[Total_Amount]]</f>
        <v>0.40708396350685466</v>
      </c>
      <c r="O953" t="str">
        <f>TEXT(tblTransactions[[#This Row],[Date]], "MMM-YYYY")</f>
        <v>Jul-2023</v>
      </c>
      <c r="P953" t="str">
        <f>"Q"&amp;ROUNDUP(MONTH(tblTransactions[[#This Row],[Date]])/3,0)&amp;"-"&amp;YEAR(tblTransactions[[#This Row],[Date]])</f>
        <v>Q3-2023</v>
      </c>
      <c r="Q953">
        <f>YEAR(tblTransactions[[#This Row],[Date]])</f>
        <v>2023</v>
      </c>
      <c r="R953" t="str">
        <f>TEXT(tblTransactions[[#This Row],[Date]],"DDDD")</f>
        <v>Sunday</v>
      </c>
      <c r="S953">
        <f>MONTH(tblTransactions[[#This Row],[Date]])</f>
        <v>7</v>
      </c>
      <c r="T953" t="str">
        <f>VLOOKUP(E953, Products!$A:$B,2,0)</f>
        <v>Adapters Acc-3</v>
      </c>
      <c r="U953" t="str">
        <f>VLOOKUP(E953,Products!$A:$C,3,0)</f>
        <v>Accessories</v>
      </c>
      <c r="V953" t="str">
        <f>VLOOKUP(E953,Products!$A:$D,4,0)</f>
        <v>Adapters</v>
      </c>
      <c r="W953" t="str">
        <f>VLOOKUP(D953,Customers!$A:$C,3,0)</f>
        <v>Small Business</v>
      </c>
      <c r="X953" t="str">
        <f>VLOOKUP(C953,Sales_Representatives!$A:$B,2,0)</f>
        <v>Richard Garcia</v>
      </c>
    </row>
    <row r="954" spans="1:24" x14ac:dyDescent="0.3">
      <c r="A954" t="s">
        <v>1318</v>
      </c>
      <c r="B954" t="s">
        <v>1315</v>
      </c>
      <c r="C954" t="s">
        <v>41</v>
      </c>
      <c r="D954" t="s">
        <v>67</v>
      </c>
      <c r="E954" t="s">
        <v>113</v>
      </c>
      <c r="F954">
        <v>2</v>
      </c>
      <c r="G954">
        <v>930.41</v>
      </c>
      <c r="H954">
        <v>0.04</v>
      </c>
      <c r="I954" s="4">
        <v>1786.39</v>
      </c>
      <c r="J954" t="s">
        <v>44</v>
      </c>
      <c r="K954" t="s">
        <v>22</v>
      </c>
      <c r="L954" s="4">
        <f>VLOOKUP(tblTransactions[[#This Row],[Product_ID]],tblProducts[],5,FALSE)</f>
        <v>595.51</v>
      </c>
      <c r="M954" s="4">
        <f>tblTransactions[[#This Row],[Total_Amount]]-(tblTransactions[[#This Row],[Cost_Prices]]*tblTransactions[[#This Row],[Quantity]]*(1-tblTransactions[[#This Row],[Discount]]))</f>
        <v>643.01080000000024</v>
      </c>
      <c r="N954" s="3">
        <f>tblTransactions[[#This Row],[Profit]]/tblTransactions[[#This Row],[Total_Amount]]</f>
        <v>0.35994984297941668</v>
      </c>
      <c r="O954" t="str">
        <f>TEXT(tblTransactions[[#This Row],[Date]], "MMM-YYYY")</f>
        <v>Jul-2023</v>
      </c>
      <c r="P954" t="str">
        <f>"Q"&amp;ROUNDUP(MONTH(tblTransactions[[#This Row],[Date]])/3,0)&amp;"-"&amp;YEAR(tblTransactions[[#This Row],[Date]])</f>
        <v>Q3-2023</v>
      </c>
      <c r="Q954">
        <f>YEAR(tblTransactions[[#This Row],[Date]])</f>
        <v>2023</v>
      </c>
      <c r="R954" t="str">
        <f>TEXT(tblTransactions[[#This Row],[Date]],"DDDD")</f>
        <v>Sunday</v>
      </c>
      <c r="S954">
        <f>MONTH(tblTransactions[[#This Row],[Date]])</f>
        <v>7</v>
      </c>
      <c r="T954" t="str">
        <f>VLOOKUP(E954, Products!$A:$B,2,0)</f>
        <v>Phones Ele-1</v>
      </c>
      <c r="U954" t="str">
        <f>VLOOKUP(E954,Products!$A:$C,3,0)</f>
        <v>Electronics</v>
      </c>
      <c r="V954" t="str">
        <f>VLOOKUP(E954,Products!$A:$D,4,0)</f>
        <v>Phones</v>
      </c>
      <c r="W954" t="str">
        <f>VLOOKUP(D954,Customers!$A:$C,3,0)</f>
        <v>B2C</v>
      </c>
      <c r="X954" t="str">
        <f>VLOOKUP(C954,Sales_Representatives!$A:$B,2,0)</f>
        <v>Robert Jones</v>
      </c>
    </row>
    <row r="955" spans="1:24" x14ac:dyDescent="0.3">
      <c r="A955" t="s">
        <v>1319</v>
      </c>
      <c r="B955" t="s">
        <v>1320</v>
      </c>
      <c r="C955" t="s">
        <v>127</v>
      </c>
      <c r="D955" t="s">
        <v>37</v>
      </c>
      <c r="E955" t="s">
        <v>84</v>
      </c>
      <c r="F955">
        <v>23</v>
      </c>
      <c r="G955">
        <v>1841.77</v>
      </c>
      <c r="H955">
        <v>0.22</v>
      </c>
      <c r="I955" s="4">
        <v>33041.35</v>
      </c>
      <c r="J955" t="s">
        <v>109</v>
      </c>
      <c r="K955" t="s">
        <v>17</v>
      </c>
      <c r="L955" s="4">
        <f>VLOOKUP(tblTransactions[[#This Row],[Product_ID]],tblProducts[],5,FALSE)</f>
        <v>1151.5899999999999</v>
      </c>
      <c r="M955" s="4">
        <f>tblTransactions[[#This Row],[Total_Amount]]-(tblTransactions[[#This Row],[Cost_Prices]]*tblTransactions[[#This Row],[Quantity]]*(1-tblTransactions[[#This Row],[Discount]]))</f>
        <v>12381.825399999998</v>
      </c>
      <c r="N955" s="3">
        <f>tblTransactions[[#This Row],[Profit]]/tblTransactions[[#This Row],[Total_Amount]]</f>
        <v>0.37473727314410576</v>
      </c>
      <c r="O955" t="str">
        <f>TEXT(tblTransactions[[#This Row],[Date]], "MMM-YYYY")</f>
        <v>Jul-2023</v>
      </c>
      <c r="P955" t="str">
        <f>"Q"&amp;ROUNDUP(MONTH(tblTransactions[[#This Row],[Date]])/3,0)&amp;"-"&amp;YEAR(tblTransactions[[#This Row],[Date]])</f>
        <v>Q3-2023</v>
      </c>
      <c r="Q955">
        <f>YEAR(tblTransactions[[#This Row],[Date]])</f>
        <v>2023</v>
      </c>
      <c r="R955" t="str">
        <f>TEXT(tblTransactions[[#This Row],[Date]],"DDDD")</f>
        <v>Monday</v>
      </c>
      <c r="S955">
        <f>MONTH(tblTransactions[[#This Row],[Date]])</f>
        <v>7</v>
      </c>
      <c r="T955" t="str">
        <f>VLOOKUP(E955, Products!$A:$B,2,0)</f>
        <v>Laptops Ele-2</v>
      </c>
      <c r="U955" t="str">
        <f>VLOOKUP(E955,Products!$A:$C,3,0)</f>
        <v>Electronics</v>
      </c>
      <c r="V955" t="str">
        <f>VLOOKUP(E955,Products!$A:$D,4,0)</f>
        <v>Laptops</v>
      </c>
      <c r="W955" t="str">
        <f>VLOOKUP(D955,Customers!$A:$C,3,0)</f>
        <v>Enterprise</v>
      </c>
      <c r="X955" t="str">
        <f>VLOOKUP(C955,Sales_Representatives!$A:$B,2,0)</f>
        <v>Emily Hernandez</v>
      </c>
    </row>
    <row r="956" spans="1:24" x14ac:dyDescent="0.3">
      <c r="A956" t="s">
        <v>1321</v>
      </c>
      <c r="B956" t="s">
        <v>1320</v>
      </c>
      <c r="C956" t="s">
        <v>70</v>
      </c>
      <c r="D956" t="s">
        <v>76</v>
      </c>
      <c r="E956" t="s">
        <v>116</v>
      </c>
      <c r="F956">
        <v>1</v>
      </c>
      <c r="G956">
        <v>232.86</v>
      </c>
      <c r="H956">
        <v>0</v>
      </c>
      <c r="I956" s="4">
        <v>232.86</v>
      </c>
      <c r="J956" t="s">
        <v>16</v>
      </c>
      <c r="K956" t="s">
        <v>17</v>
      </c>
      <c r="L956" s="4">
        <f>VLOOKUP(tblTransactions[[#This Row],[Product_ID]],tblProducts[],5,FALSE)</f>
        <v>116.79</v>
      </c>
      <c r="M956" s="4">
        <f>tblTransactions[[#This Row],[Total_Amount]]-(tblTransactions[[#This Row],[Cost_Prices]]*tblTransactions[[#This Row],[Quantity]]*(1-tblTransactions[[#This Row],[Discount]]))</f>
        <v>116.07000000000001</v>
      </c>
      <c r="N956" s="3">
        <f>tblTransactions[[#This Row],[Profit]]/tblTransactions[[#This Row],[Total_Amount]]</f>
        <v>0.49845400669930429</v>
      </c>
      <c r="O956" t="str">
        <f>TEXT(tblTransactions[[#This Row],[Date]], "MMM-YYYY")</f>
        <v>Jul-2023</v>
      </c>
      <c r="P956" t="str">
        <f>"Q"&amp;ROUNDUP(MONTH(tblTransactions[[#This Row],[Date]])/3,0)&amp;"-"&amp;YEAR(tblTransactions[[#This Row],[Date]])</f>
        <v>Q3-2023</v>
      </c>
      <c r="Q956">
        <f>YEAR(tblTransactions[[#This Row],[Date]])</f>
        <v>2023</v>
      </c>
      <c r="R956" t="str">
        <f>TEXT(tblTransactions[[#This Row],[Date]],"DDDD")</f>
        <v>Monday</v>
      </c>
      <c r="S956">
        <f>MONTH(tblTransactions[[#This Row],[Date]])</f>
        <v>7</v>
      </c>
      <c r="T956" t="str">
        <f>VLOOKUP(E956, Products!$A:$B,2,0)</f>
        <v>Folders Off-4</v>
      </c>
      <c r="U956" t="str">
        <f>VLOOKUP(E956,Products!$A:$C,3,0)</f>
        <v>Office Supplies</v>
      </c>
      <c r="V956" t="str">
        <f>VLOOKUP(E956,Products!$A:$D,4,0)</f>
        <v>Folders</v>
      </c>
      <c r="W956" t="str">
        <f>VLOOKUP(D956,Customers!$A:$C,3,0)</f>
        <v>Small Business</v>
      </c>
      <c r="X956" t="str">
        <f>VLOOKUP(C956,Sales_Representatives!$A:$B,2,0)</f>
        <v>Linda Smith</v>
      </c>
    </row>
    <row r="957" spans="1:24" x14ac:dyDescent="0.3">
      <c r="A957" t="s">
        <v>1322</v>
      </c>
      <c r="B957" t="s">
        <v>1323</v>
      </c>
      <c r="C957" t="s">
        <v>107</v>
      </c>
      <c r="D957" t="s">
        <v>197</v>
      </c>
      <c r="E957" t="s">
        <v>200</v>
      </c>
      <c r="F957">
        <v>36</v>
      </c>
      <c r="G957">
        <v>544.77</v>
      </c>
      <c r="H957">
        <v>0.22</v>
      </c>
      <c r="I957" s="4">
        <v>15297.14</v>
      </c>
      <c r="J957" t="s">
        <v>109</v>
      </c>
      <c r="K957" t="s">
        <v>48</v>
      </c>
      <c r="L957" s="4">
        <f>VLOOKUP(tblTransactions[[#This Row],[Product_ID]],tblProducts[],5,FALSE)</f>
        <v>318.2</v>
      </c>
      <c r="M957" s="4">
        <f>tblTransactions[[#This Row],[Total_Amount]]-(tblTransactions[[#This Row],[Cost_Prices]]*tblTransactions[[#This Row],[Quantity]]*(1-tblTransactions[[#This Row],[Discount]]))</f>
        <v>6362.0840000000007</v>
      </c>
      <c r="N957" s="3">
        <f>tblTransactions[[#This Row],[Profit]]/tblTransactions[[#This Row],[Total_Amount]]</f>
        <v>0.41590022710127522</v>
      </c>
      <c r="O957" t="str">
        <f>TEXT(tblTransactions[[#This Row],[Date]], "MMM-YYYY")</f>
        <v>Aug-2023</v>
      </c>
      <c r="P957" t="str">
        <f>"Q"&amp;ROUNDUP(MONTH(tblTransactions[[#This Row],[Date]])/3,0)&amp;"-"&amp;YEAR(tblTransactions[[#This Row],[Date]])</f>
        <v>Q3-2023</v>
      </c>
      <c r="Q957">
        <f>YEAR(tblTransactions[[#This Row],[Date]])</f>
        <v>2023</v>
      </c>
      <c r="R957" t="str">
        <f>TEXT(tblTransactions[[#This Row],[Date]],"DDDD")</f>
        <v>Tuesday</v>
      </c>
      <c r="S957">
        <f>MONTH(tblTransactions[[#This Row],[Date]])</f>
        <v>8</v>
      </c>
      <c r="T957" t="str">
        <f>VLOOKUP(E957, Products!$A:$B,2,0)</f>
        <v>Desks Fur-4</v>
      </c>
      <c r="U957" t="str">
        <f>VLOOKUP(E957,Products!$A:$C,3,0)</f>
        <v>Furniture</v>
      </c>
      <c r="V957" t="str">
        <f>VLOOKUP(E957,Products!$A:$D,4,0)</f>
        <v>Desks</v>
      </c>
      <c r="W957" t="str">
        <f>VLOOKUP(D957,Customers!$A:$C,3,0)</f>
        <v>Enterprise</v>
      </c>
      <c r="X957" t="str">
        <f>VLOOKUP(C957,Sales_Representatives!$A:$B,2,0)</f>
        <v>Jennifer Brown</v>
      </c>
    </row>
    <row r="958" spans="1:24" x14ac:dyDescent="0.3">
      <c r="A958" t="s">
        <v>1324</v>
      </c>
      <c r="B958" t="s">
        <v>1323</v>
      </c>
      <c r="C958" t="s">
        <v>27</v>
      </c>
      <c r="D958" t="s">
        <v>351</v>
      </c>
      <c r="E958" t="s">
        <v>304</v>
      </c>
      <c r="F958">
        <v>6</v>
      </c>
      <c r="G958">
        <v>13.43</v>
      </c>
      <c r="H958">
        <v>0.15</v>
      </c>
      <c r="I958" s="4">
        <v>68.489999999999995</v>
      </c>
      <c r="J958" t="s">
        <v>16</v>
      </c>
      <c r="K958" t="s">
        <v>22</v>
      </c>
      <c r="L958" s="4">
        <f>VLOOKUP(tblTransactions[[#This Row],[Product_ID]],tblProducts[],5,FALSE)</f>
        <v>5.8</v>
      </c>
      <c r="M958" s="4">
        <f>tblTransactions[[#This Row],[Total_Amount]]-(tblTransactions[[#This Row],[Cost_Prices]]*tblTransactions[[#This Row],[Quantity]]*(1-tblTransactions[[#This Row],[Discount]]))</f>
        <v>38.909999999999997</v>
      </c>
      <c r="N958" s="3">
        <f>tblTransactions[[#This Row],[Profit]]/tblTransactions[[#This Row],[Total_Amount]]</f>
        <v>0.56811213315812525</v>
      </c>
      <c r="O958" t="str">
        <f>TEXT(tblTransactions[[#This Row],[Date]], "MMM-YYYY")</f>
        <v>Aug-2023</v>
      </c>
      <c r="P958" t="str">
        <f>"Q"&amp;ROUNDUP(MONTH(tblTransactions[[#This Row],[Date]])/3,0)&amp;"-"&amp;YEAR(tblTransactions[[#This Row],[Date]])</f>
        <v>Q3-2023</v>
      </c>
      <c r="Q958">
        <f>YEAR(tblTransactions[[#This Row],[Date]])</f>
        <v>2023</v>
      </c>
      <c r="R958" t="str">
        <f>TEXT(tblTransactions[[#This Row],[Date]],"DDDD")</f>
        <v>Tuesday</v>
      </c>
      <c r="S958">
        <f>MONTH(tblTransactions[[#This Row],[Date]])</f>
        <v>8</v>
      </c>
      <c r="T958" t="str">
        <f>VLOOKUP(E958, Products!$A:$B,2,0)</f>
        <v>Pens Off-1</v>
      </c>
      <c r="U958" t="str">
        <f>VLOOKUP(E958,Products!$A:$C,3,0)</f>
        <v>Office Supplies</v>
      </c>
      <c r="V958" t="str">
        <f>VLOOKUP(E958,Products!$A:$D,4,0)</f>
        <v>Pens</v>
      </c>
      <c r="W958" t="str">
        <f>VLOOKUP(D958,Customers!$A:$C,3,0)</f>
        <v>B2C</v>
      </c>
      <c r="X958" t="str">
        <f>VLOOKUP(C958,Sales_Representatives!$A:$B,2,0)</f>
        <v>Thomas Lopez</v>
      </c>
    </row>
    <row r="959" spans="1:24" x14ac:dyDescent="0.3">
      <c r="A959" t="s">
        <v>1325</v>
      </c>
      <c r="B959" t="s">
        <v>1323</v>
      </c>
      <c r="C959" t="s">
        <v>13</v>
      </c>
      <c r="D959" t="s">
        <v>351</v>
      </c>
      <c r="E959" t="s">
        <v>38</v>
      </c>
      <c r="F959">
        <v>5</v>
      </c>
      <c r="G959">
        <v>581.47</v>
      </c>
      <c r="H959">
        <v>0.08</v>
      </c>
      <c r="I959" s="4">
        <v>2674.76</v>
      </c>
      <c r="J959" t="s">
        <v>16</v>
      </c>
      <c r="K959" t="s">
        <v>39</v>
      </c>
      <c r="L959" s="4">
        <f>VLOOKUP(tblTransactions[[#This Row],[Product_ID]],tblProducts[],5,FALSE)</f>
        <v>372.07</v>
      </c>
      <c r="M959" s="4">
        <f>tblTransactions[[#This Row],[Total_Amount]]-(tblTransactions[[#This Row],[Cost_Prices]]*tblTransactions[[#This Row],[Quantity]]*(1-tblTransactions[[#This Row],[Discount]]))</f>
        <v>963.23800000000028</v>
      </c>
      <c r="N959" s="3">
        <f>tblTransactions[[#This Row],[Profit]]/tblTransactions[[#This Row],[Total_Amount]]</f>
        <v>0.36012128190940501</v>
      </c>
      <c r="O959" t="str">
        <f>TEXT(tblTransactions[[#This Row],[Date]], "MMM-YYYY")</f>
        <v>Aug-2023</v>
      </c>
      <c r="P959" t="str">
        <f>"Q"&amp;ROUNDUP(MONTH(tblTransactions[[#This Row],[Date]])/3,0)&amp;"-"&amp;YEAR(tblTransactions[[#This Row],[Date]])</f>
        <v>Q3-2023</v>
      </c>
      <c r="Q959">
        <f>YEAR(tblTransactions[[#This Row],[Date]])</f>
        <v>2023</v>
      </c>
      <c r="R959" t="str">
        <f>TEXT(tblTransactions[[#This Row],[Date]],"DDDD")</f>
        <v>Tuesday</v>
      </c>
      <c r="S959">
        <f>MONTH(tblTransactions[[#This Row],[Date]])</f>
        <v>8</v>
      </c>
      <c r="T959" t="str">
        <f>VLOOKUP(E959, Products!$A:$B,2,0)</f>
        <v>Storage Fur-3</v>
      </c>
      <c r="U959" t="str">
        <f>VLOOKUP(E959,Products!$A:$C,3,0)</f>
        <v>Furniture</v>
      </c>
      <c r="V959" t="str">
        <f>VLOOKUP(E959,Products!$A:$D,4,0)</f>
        <v>Storage</v>
      </c>
      <c r="W959" t="str">
        <f>VLOOKUP(D959,Customers!$A:$C,3,0)</f>
        <v>B2C</v>
      </c>
      <c r="X959" t="str">
        <f>VLOOKUP(C959,Sales_Representatives!$A:$B,2,0)</f>
        <v>Jennifer Rodriguez</v>
      </c>
    </row>
    <row r="960" spans="1:24" x14ac:dyDescent="0.3">
      <c r="A960" t="s">
        <v>1326</v>
      </c>
      <c r="B960" t="s">
        <v>1323</v>
      </c>
      <c r="C960" t="s">
        <v>131</v>
      </c>
      <c r="D960" t="s">
        <v>197</v>
      </c>
      <c r="E960" t="s">
        <v>200</v>
      </c>
      <c r="F960">
        <v>18</v>
      </c>
      <c r="G960">
        <v>544.77</v>
      </c>
      <c r="H960">
        <v>0.14000000000000001</v>
      </c>
      <c r="I960" s="4">
        <v>8433.0400000000009</v>
      </c>
      <c r="J960" t="s">
        <v>44</v>
      </c>
      <c r="K960" t="s">
        <v>35</v>
      </c>
      <c r="L960" s="4">
        <f>VLOOKUP(tblTransactions[[#This Row],[Product_ID]],tblProducts[],5,FALSE)</f>
        <v>318.2</v>
      </c>
      <c r="M960" s="4">
        <f>tblTransactions[[#This Row],[Total_Amount]]-(tblTransactions[[#This Row],[Cost_Prices]]*tblTransactions[[#This Row],[Quantity]]*(1-tblTransactions[[#This Row],[Discount]]))</f>
        <v>3507.304000000001</v>
      </c>
      <c r="N960" s="3">
        <f>tblTransactions[[#This Row],[Profit]]/tblTransactions[[#This Row],[Total_Amount]]</f>
        <v>0.41590031590031595</v>
      </c>
      <c r="O960" t="str">
        <f>TEXT(tblTransactions[[#This Row],[Date]], "MMM-YYYY")</f>
        <v>Aug-2023</v>
      </c>
      <c r="P960" t="str">
        <f>"Q"&amp;ROUNDUP(MONTH(tblTransactions[[#This Row],[Date]])/3,0)&amp;"-"&amp;YEAR(tblTransactions[[#This Row],[Date]])</f>
        <v>Q3-2023</v>
      </c>
      <c r="Q960">
        <f>YEAR(tblTransactions[[#This Row],[Date]])</f>
        <v>2023</v>
      </c>
      <c r="R960" t="str">
        <f>TEXT(tblTransactions[[#This Row],[Date]],"DDDD")</f>
        <v>Tuesday</v>
      </c>
      <c r="S960">
        <f>MONTH(tblTransactions[[#This Row],[Date]])</f>
        <v>8</v>
      </c>
      <c r="T960" t="str">
        <f>VLOOKUP(E960, Products!$A:$B,2,0)</f>
        <v>Desks Fur-4</v>
      </c>
      <c r="U960" t="str">
        <f>VLOOKUP(E960,Products!$A:$C,3,0)</f>
        <v>Furniture</v>
      </c>
      <c r="V960" t="str">
        <f>VLOOKUP(E960,Products!$A:$D,4,0)</f>
        <v>Desks</v>
      </c>
      <c r="W960" t="str">
        <f>VLOOKUP(D960,Customers!$A:$C,3,0)</f>
        <v>Enterprise</v>
      </c>
      <c r="X960" t="str">
        <f>VLOOKUP(C960,Sales_Representatives!$A:$B,2,0)</f>
        <v>Michael Davis</v>
      </c>
    </row>
    <row r="961" spans="1:24" x14ac:dyDescent="0.3">
      <c r="A961" t="s">
        <v>1327</v>
      </c>
      <c r="B961" t="s">
        <v>1323</v>
      </c>
      <c r="C961" t="s">
        <v>31</v>
      </c>
      <c r="D961" t="s">
        <v>203</v>
      </c>
      <c r="E961" t="s">
        <v>152</v>
      </c>
      <c r="F961">
        <v>24</v>
      </c>
      <c r="G961">
        <v>859.93</v>
      </c>
      <c r="H961">
        <v>0.17</v>
      </c>
      <c r="I961" s="4">
        <v>17129.810000000001</v>
      </c>
      <c r="J961" t="s">
        <v>34</v>
      </c>
      <c r="K961" t="s">
        <v>35</v>
      </c>
      <c r="L961" s="4">
        <f>VLOOKUP(tblTransactions[[#This Row],[Product_ID]],tblProducts[],5,FALSE)</f>
        <v>579.79</v>
      </c>
      <c r="M961" s="4">
        <f>tblTransactions[[#This Row],[Total_Amount]]-(tblTransactions[[#This Row],[Cost_Prices]]*tblTransactions[[#This Row],[Quantity]]*(1-tblTransactions[[#This Row],[Discount]]))</f>
        <v>5580.3932000000023</v>
      </c>
      <c r="N961" s="3">
        <f>tblTransactions[[#This Row],[Profit]]/tblTransactions[[#This Row],[Total_Amount]]</f>
        <v>0.32577087545045752</v>
      </c>
      <c r="O961" t="str">
        <f>TEXT(tblTransactions[[#This Row],[Date]], "MMM-YYYY")</f>
        <v>Aug-2023</v>
      </c>
      <c r="P961" t="str">
        <f>"Q"&amp;ROUNDUP(MONTH(tblTransactions[[#This Row],[Date]])/3,0)&amp;"-"&amp;YEAR(tblTransactions[[#This Row],[Date]])</f>
        <v>Q3-2023</v>
      </c>
      <c r="Q961">
        <f>YEAR(tblTransactions[[#This Row],[Date]])</f>
        <v>2023</v>
      </c>
      <c r="R961" t="str">
        <f>TEXT(tblTransactions[[#This Row],[Date]],"DDDD")</f>
        <v>Tuesday</v>
      </c>
      <c r="S961">
        <f>MONTH(tblTransactions[[#This Row],[Date]])</f>
        <v>8</v>
      </c>
      <c r="T961" t="str">
        <f>VLOOKUP(E961, Products!$A:$B,2,0)</f>
        <v>Phones Ele-4</v>
      </c>
      <c r="U961" t="str">
        <f>VLOOKUP(E961,Products!$A:$C,3,0)</f>
        <v>Electronics</v>
      </c>
      <c r="V961" t="str">
        <f>VLOOKUP(E961,Products!$A:$D,4,0)</f>
        <v>Phones</v>
      </c>
      <c r="W961" t="str">
        <f>VLOOKUP(D961,Customers!$A:$C,3,0)</f>
        <v>Enterprise</v>
      </c>
      <c r="X961" t="str">
        <f>VLOOKUP(C961,Sales_Representatives!$A:$B,2,0)</f>
        <v>Thomas Martinez</v>
      </c>
    </row>
    <row r="962" spans="1:24" x14ac:dyDescent="0.3">
      <c r="A962" t="s">
        <v>1328</v>
      </c>
      <c r="B962" t="s">
        <v>1323</v>
      </c>
      <c r="C962" t="s">
        <v>141</v>
      </c>
      <c r="D962" t="s">
        <v>124</v>
      </c>
      <c r="E962" t="s">
        <v>89</v>
      </c>
      <c r="F962">
        <v>19</v>
      </c>
      <c r="G962">
        <v>555.08000000000004</v>
      </c>
      <c r="H962">
        <v>0.17</v>
      </c>
      <c r="I962" s="4">
        <v>8753.61</v>
      </c>
      <c r="J962" t="s">
        <v>109</v>
      </c>
      <c r="K962" t="s">
        <v>39</v>
      </c>
      <c r="L962" s="4">
        <f>VLOOKUP(tblTransactions[[#This Row],[Product_ID]],tblProducts[],5,FALSE)</f>
        <v>402.82</v>
      </c>
      <c r="M962" s="4">
        <f>tblTransactions[[#This Row],[Total_Amount]]-(tblTransactions[[#This Row],[Cost_Prices]]*tblTransactions[[#This Row],[Quantity]]*(1-tblTransactions[[#This Row],[Discount]]))</f>
        <v>2401.1386000000011</v>
      </c>
      <c r="N962" s="3">
        <f>tblTransactions[[#This Row],[Profit]]/tblTransactions[[#This Row],[Total_Amount]]</f>
        <v>0.27430267055534813</v>
      </c>
      <c r="O962" t="str">
        <f>TEXT(tblTransactions[[#This Row],[Date]], "MMM-YYYY")</f>
        <v>Aug-2023</v>
      </c>
      <c r="P962" t="str">
        <f>"Q"&amp;ROUNDUP(MONTH(tblTransactions[[#This Row],[Date]])/3,0)&amp;"-"&amp;YEAR(tblTransactions[[#This Row],[Date]])</f>
        <v>Q3-2023</v>
      </c>
      <c r="Q962">
        <f>YEAR(tblTransactions[[#This Row],[Date]])</f>
        <v>2023</v>
      </c>
      <c r="R962" t="str">
        <f>TEXT(tblTransactions[[#This Row],[Date]],"DDDD")</f>
        <v>Tuesday</v>
      </c>
      <c r="S962">
        <f>MONTH(tblTransactions[[#This Row],[Date]])</f>
        <v>8</v>
      </c>
      <c r="T962" t="str">
        <f>VLOOKUP(E962, Products!$A:$B,2,0)</f>
        <v>Laptops Ele-3</v>
      </c>
      <c r="U962" t="str">
        <f>VLOOKUP(E962,Products!$A:$C,3,0)</f>
        <v>Electronics</v>
      </c>
      <c r="V962" t="str">
        <f>VLOOKUP(E962,Products!$A:$D,4,0)</f>
        <v>Laptops</v>
      </c>
      <c r="W962" t="str">
        <f>VLOOKUP(D962,Customers!$A:$C,3,0)</f>
        <v>B2B</v>
      </c>
      <c r="X962" t="str">
        <f>VLOOKUP(C962,Sales_Representatives!$A:$B,2,0)</f>
        <v>Richard Garcia</v>
      </c>
    </row>
    <row r="963" spans="1:24" x14ac:dyDescent="0.3">
      <c r="A963" t="s">
        <v>1329</v>
      </c>
      <c r="B963" t="s">
        <v>1330</v>
      </c>
      <c r="C963" t="s">
        <v>31</v>
      </c>
      <c r="D963" t="s">
        <v>247</v>
      </c>
      <c r="E963" t="s">
        <v>168</v>
      </c>
      <c r="F963">
        <v>5</v>
      </c>
      <c r="G963">
        <v>101.59</v>
      </c>
      <c r="H963">
        <v>0.04</v>
      </c>
      <c r="I963" s="4">
        <v>487.63</v>
      </c>
      <c r="J963" t="s">
        <v>34</v>
      </c>
      <c r="K963" t="s">
        <v>35</v>
      </c>
      <c r="L963" s="4">
        <f>VLOOKUP(tblTransactions[[#This Row],[Product_ID]],tblProducts[],5,FALSE)</f>
        <v>50.58</v>
      </c>
      <c r="M963" s="4">
        <f>tblTransactions[[#This Row],[Total_Amount]]-(tblTransactions[[#This Row],[Cost_Prices]]*tblTransactions[[#This Row],[Quantity]]*(1-tblTransactions[[#This Row],[Discount]]))</f>
        <v>244.84600000000003</v>
      </c>
      <c r="N963" s="3">
        <f>tblTransactions[[#This Row],[Profit]]/tblTransactions[[#This Row],[Total_Amount]]</f>
        <v>0.5021143079794107</v>
      </c>
      <c r="O963" t="str">
        <f>TEXT(tblTransactions[[#This Row],[Date]], "MMM-YYYY")</f>
        <v>Aug-2023</v>
      </c>
      <c r="P963" t="str">
        <f>"Q"&amp;ROUNDUP(MONTH(tblTransactions[[#This Row],[Date]])/3,0)&amp;"-"&amp;YEAR(tblTransactions[[#This Row],[Date]])</f>
        <v>Q3-2023</v>
      </c>
      <c r="Q963">
        <f>YEAR(tblTransactions[[#This Row],[Date]])</f>
        <v>2023</v>
      </c>
      <c r="R963" t="str">
        <f>TEXT(tblTransactions[[#This Row],[Date]],"DDDD")</f>
        <v>Wednesday</v>
      </c>
      <c r="S963">
        <f>MONTH(tblTransactions[[#This Row],[Date]])</f>
        <v>8</v>
      </c>
      <c r="T963" t="str">
        <f>VLOOKUP(E963, Products!$A:$B,2,0)</f>
        <v>Cases Acc-4</v>
      </c>
      <c r="U963" t="str">
        <f>VLOOKUP(E963,Products!$A:$C,3,0)</f>
        <v>Accessories</v>
      </c>
      <c r="V963" t="str">
        <f>VLOOKUP(E963,Products!$A:$D,4,0)</f>
        <v>Cases</v>
      </c>
      <c r="W963" t="str">
        <f>VLOOKUP(D963,Customers!$A:$C,3,0)</f>
        <v>B2C</v>
      </c>
      <c r="X963" t="str">
        <f>VLOOKUP(C963,Sales_Representatives!$A:$B,2,0)</f>
        <v>Thomas Martinez</v>
      </c>
    </row>
    <row r="964" spans="1:24" x14ac:dyDescent="0.3">
      <c r="A964" t="s">
        <v>1331</v>
      </c>
      <c r="B964" t="s">
        <v>1330</v>
      </c>
      <c r="C964" t="s">
        <v>127</v>
      </c>
      <c r="D964" t="s">
        <v>210</v>
      </c>
      <c r="E964" t="s">
        <v>178</v>
      </c>
      <c r="F964">
        <v>10</v>
      </c>
      <c r="G964">
        <v>1623.35</v>
      </c>
      <c r="H964">
        <v>0.1</v>
      </c>
      <c r="I964" s="4">
        <v>14610.15</v>
      </c>
      <c r="J964" t="s">
        <v>109</v>
      </c>
      <c r="K964" t="s">
        <v>39</v>
      </c>
      <c r="L964" s="4">
        <f>VLOOKUP(tblTransactions[[#This Row],[Product_ID]],tblProducts[],5,FALSE)</f>
        <v>981.45</v>
      </c>
      <c r="M964" s="4">
        <f>tblTransactions[[#This Row],[Total_Amount]]-(tblTransactions[[#This Row],[Cost_Prices]]*tblTransactions[[#This Row],[Quantity]]*(1-tblTransactions[[#This Row],[Discount]]))</f>
        <v>5777.0999999999985</v>
      </c>
      <c r="N964" s="3">
        <f>tblTransactions[[#This Row],[Profit]]/tblTransactions[[#This Row],[Total_Amount]]</f>
        <v>0.39541688483691123</v>
      </c>
      <c r="O964" t="str">
        <f>TEXT(tblTransactions[[#This Row],[Date]], "MMM-YYYY")</f>
        <v>Aug-2023</v>
      </c>
      <c r="P964" t="str">
        <f>"Q"&amp;ROUNDUP(MONTH(tblTransactions[[#This Row],[Date]])/3,0)&amp;"-"&amp;YEAR(tblTransactions[[#This Row],[Date]])</f>
        <v>Q3-2023</v>
      </c>
      <c r="Q964">
        <f>YEAR(tblTransactions[[#This Row],[Date]])</f>
        <v>2023</v>
      </c>
      <c r="R964" t="str">
        <f>TEXT(tblTransactions[[#This Row],[Date]],"DDDD")</f>
        <v>Wednesday</v>
      </c>
      <c r="S964">
        <f>MONTH(tblTransactions[[#This Row],[Date]])</f>
        <v>8</v>
      </c>
      <c r="T964" t="str">
        <f>VLOOKUP(E964, Products!$A:$B,2,0)</f>
        <v>Tablets Ele-1</v>
      </c>
      <c r="U964" t="str">
        <f>VLOOKUP(E964,Products!$A:$C,3,0)</f>
        <v>Electronics</v>
      </c>
      <c r="V964" t="str">
        <f>VLOOKUP(E964,Products!$A:$D,4,0)</f>
        <v>Tablets</v>
      </c>
      <c r="W964" t="str">
        <f>VLOOKUP(D964,Customers!$A:$C,3,0)</f>
        <v>B2B</v>
      </c>
      <c r="X964" t="str">
        <f>VLOOKUP(C964,Sales_Representatives!$A:$B,2,0)</f>
        <v>Emily Hernandez</v>
      </c>
    </row>
    <row r="965" spans="1:24" x14ac:dyDescent="0.3">
      <c r="A965" t="s">
        <v>1332</v>
      </c>
      <c r="B965" t="s">
        <v>1330</v>
      </c>
      <c r="C965" t="s">
        <v>127</v>
      </c>
      <c r="D965" t="s">
        <v>71</v>
      </c>
      <c r="E965" t="s">
        <v>96</v>
      </c>
      <c r="F965">
        <v>19</v>
      </c>
      <c r="G965">
        <v>751.9</v>
      </c>
      <c r="H965">
        <v>0.18</v>
      </c>
      <c r="I965" s="4">
        <v>11714.6</v>
      </c>
      <c r="J965" t="s">
        <v>109</v>
      </c>
      <c r="K965" t="s">
        <v>35</v>
      </c>
      <c r="L965" s="4">
        <f>VLOOKUP(tblTransactions[[#This Row],[Product_ID]],tblProducts[],5,FALSE)</f>
        <v>570.29</v>
      </c>
      <c r="M965" s="4">
        <f>tblTransactions[[#This Row],[Total_Amount]]-(tblTransactions[[#This Row],[Cost_Prices]]*tblTransactions[[#This Row],[Quantity]]*(1-tblTransactions[[#This Row],[Discount]]))</f>
        <v>2829.4818000000014</v>
      </c>
      <c r="N965" s="3">
        <f>tblTransactions[[#This Row],[Profit]]/tblTransactions[[#This Row],[Total_Amount]]</f>
        <v>0.24153464907039091</v>
      </c>
      <c r="O965" t="str">
        <f>TEXT(tblTransactions[[#This Row],[Date]], "MMM-YYYY")</f>
        <v>Aug-2023</v>
      </c>
      <c r="P965" t="str">
        <f>"Q"&amp;ROUNDUP(MONTH(tblTransactions[[#This Row],[Date]])/3,0)&amp;"-"&amp;YEAR(tblTransactions[[#This Row],[Date]])</f>
        <v>Q3-2023</v>
      </c>
      <c r="Q965">
        <f>YEAR(tblTransactions[[#This Row],[Date]])</f>
        <v>2023</v>
      </c>
      <c r="R965" t="str">
        <f>TEXT(tblTransactions[[#This Row],[Date]],"DDDD")</f>
        <v>Wednesday</v>
      </c>
      <c r="S965">
        <f>MONTH(tblTransactions[[#This Row],[Date]])</f>
        <v>8</v>
      </c>
      <c r="T965" t="str">
        <f>VLOOKUP(E965, Products!$A:$B,2,0)</f>
        <v>Routers Tec-1</v>
      </c>
      <c r="U965" t="str">
        <f>VLOOKUP(E965,Products!$A:$C,3,0)</f>
        <v>Technology</v>
      </c>
      <c r="V965" t="str">
        <f>VLOOKUP(E965,Products!$A:$D,4,0)</f>
        <v>Routers</v>
      </c>
      <c r="W965" t="str">
        <f>VLOOKUP(D965,Customers!$A:$C,3,0)</f>
        <v>B2B</v>
      </c>
      <c r="X965" t="str">
        <f>VLOOKUP(C965,Sales_Representatives!$A:$B,2,0)</f>
        <v>Emily Hernandez</v>
      </c>
    </row>
    <row r="966" spans="1:24" x14ac:dyDescent="0.3">
      <c r="A966" t="s">
        <v>1333</v>
      </c>
      <c r="B966" t="s">
        <v>1330</v>
      </c>
      <c r="C966" t="s">
        <v>13</v>
      </c>
      <c r="D966" t="s">
        <v>67</v>
      </c>
      <c r="E966" t="s">
        <v>79</v>
      </c>
      <c r="F966">
        <v>7</v>
      </c>
      <c r="G966">
        <v>1452.36</v>
      </c>
      <c r="H966">
        <v>0.1</v>
      </c>
      <c r="I966" s="4">
        <v>9149.8700000000008</v>
      </c>
      <c r="J966" t="s">
        <v>16</v>
      </c>
      <c r="K966" t="s">
        <v>22</v>
      </c>
      <c r="L966" s="4">
        <f>VLOOKUP(tblTransactions[[#This Row],[Product_ID]],tblProducts[],5,FALSE)</f>
        <v>778.71</v>
      </c>
      <c r="M966" s="4">
        <f>tblTransactions[[#This Row],[Total_Amount]]-(tblTransactions[[#This Row],[Cost_Prices]]*tblTransactions[[#This Row],[Quantity]]*(1-tblTransactions[[#This Row],[Discount]]))</f>
        <v>4243.9970000000003</v>
      </c>
      <c r="N966" s="3">
        <f>tblTransactions[[#This Row],[Profit]]/tblTransactions[[#This Row],[Total_Amount]]</f>
        <v>0.46383139869746781</v>
      </c>
      <c r="O966" t="str">
        <f>TEXT(tblTransactions[[#This Row],[Date]], "MMM-YYYY")</f>
        <v>Aug-2023</v>
      </c>
      <c r="P966" t="str">
        <f>"Q"&amp;ROUNDUP(MONTH(tblTransactions[[#This Row],[Date]])/3,0)&amp;"-"&amp;YEAR(tblTransactions[[#This Row],[Date]])</f>
        <v>Q3-2023</v>
      </c>
      <c r="Q966">
        <f>YEAR(tblTransactions[[#This Row],[Date]])</f>
        <v>2023</v>
      </c>
      <c r="R966" t="str">
        <f>TEXT(tblTransactions[[#This Row],[Date]],"DDDD")</f>
        <v>Wednesday</v>
      </c>
      <c r="S966">
        <f>MONTH(tblTransactions[[#This Row],[Date]])</f>
        <v>8</v>
      </c>
      <c r="T966" t="str">
        <f>VLOOKUP(E966, Products!$A:$B,2,0)</f>
        <v>Tables Fur-2</v>
      </c>
      <c r="U966" t="str">
        <f>VLOOKUP(E966,Products!$A:$C,3,0)</f>
        <v>Furniture</v>
      </c>
      <c r="V966" t="str">
        <f>VLOOKUP(E966,Products!$A:$D,4,0)</f>
        <v>Tables</v>
      </c>
      <c r="W966" t="str">
        <f>VLOOKUP(D966,Customers!$A:$C,3,0)</f>
        <v>B2C</v>
      </c>
      <c r="X966" t="str">
        <f>VLOOKUP(C966,Sales_Representatives!$A:$B,2,0)</f>
        <v>Jennifer Rodriguez</v>
      </c>
    </row>
    <row r="967" spans="1:24" x14ac:dyDescent="0.3">
      <c r="A967" t="s">
        <v>1334</v>
      </c>
      <c r="B967" t="s">
        <v>1330</v>
      </c>
      <c r="C967" t="s">
        <v>19</v>
      </c>
      <c r="D967" t="s">
        <v>95</v>
      </c>
      <c r="E967" t="s">
        <v>72</v>
      </c>
      <c r="F967">
        <v>35</v>
      </c>
      <c r="G967">
        <v>404.76</v>
      </c>
      <c r="H967">
        <v>0.16</v>
      </c>
      <c r="I967" s="4">
        <v>11899.94</v>
      </c>
      <c r="J967" t="s">
        <v>21</v>
      </c>
      <c r="K967" t="s">
        <v>22</v>
      </c>
      <c r="L967" s="4">
        <f>VLOOKUP(tblTransactions[[#This Row],[Product_ID]],tblProducts[],5,FALSE)</f>
        <v>226.76</v>
      </c>
      <c r="M967" s="4">
        <f>tblTransactions[[#This Row],[Total_Amount]]-(tblTransactions[[#This Row],[Cost_Prices]]*tblTransactions[[#This Row],[Quantity]]*(1-tblTransactions[[#This Row],[Discount]]))</f>
        <v>5233.1960000000008</v>
      </c>
      <c r="N967" s="3">
        <f>tblTransactions[[#This Row],[Profit]]/tblTransactions[[#This Row],[Total_Amount]]</f>
        <v>0.4397665870584222</v>
      </c>
      <c r="O967" t="str">
        <f>TEXT(tblTransactions[[#This Row],[Date]], "MMM-YYYY")</f>
        <v>Aug-2023</v>
      </c>
      <c r="P967" t="str">
        <f>"Q"&amp;ROUNDUP(MONTH(tblTransactions[[#This Row],[Date]])/3,0)&amp;"-"&amp;YEAR(tblTransactions[[#This Row],[Date]])</f>
        <v>Q3-2023</v>
      </c>
      <c r="Q967">
        <f>YEAR(tblTransactions[[#This Row],[Date]])</f>
        <v>2023</v>
      </c>
      <c r="R967" t="str">
        <f>TEXT(tblTransactions[[#This Row],[Date]],"DDDD")</f>
        <v>Wednesday</v>
      </c>
      <c r="S967">
        <f>MONTH(tblTransactions[[#This Row],[Date]])</f>
        <v>8</v>
      </c>
      <c r="T967" t="str">
        <f>VLOOKUP(E967, Products!$A:$B,2,0)</f>
        <v>Tablets Ele-2</v>
      </c>
      <c r="U967" t="str">
        <f>VLOOKUP(E967,Products!$A:$C,3,0)</f>
        <v>Electronics</v>
      </c>
      <c r="V967" t="str">
        <f>VLOOKUP(E967,Products!$A:$D,4,0)</f>
        <v>Tablets</v>
      </c>
      <c r="W967" t="str">
        <f>VLOOKUP(D967,Customers!$A:$C,3,0)</f>
        <v>Enterprise</v>
      </c>
      <c r="X967" t="str">
        <f>VLOOKUP(C967,Sales_Representatives!$A:$B,2,0)</f>
        <v>Robert Jones</v>
      </c>
    </row>
    <row r="968" spans="1:24" x14ac:dyDescent="0.3">
      <c r="A968" t="s">
        <v>1335</v>
      </c>
      <c r="B968" t="s">
        <v>1336</v>
      </c>
      <c r="C968" t="s">
        <v>75</v>
      </c>
      <c r="D968" t="s">
        <v>156</v>
      </c>
      <c r="E968" t="s">
        <v>87</v>
      </c>
      <c r="F968">
        <v>13</v>
      </c>
      <c r="G968">
        <v>1047.8900000000001</v>
      </c>
      <c r="H968">
        <v>0.2</v>
      </c>
      <c r="I968" s="4">
        <v>10898.06</v>
      </c>
      <c r="J968" t="s">
        <v>44</v>
      </c>
      <c r="K968" t="s">
        <v>17</v>
      </c>
      <c r="L968" s="4">
        <f>VLOOKUP(tblTransactions[[#This Row],[Product_ID]],tblProducts[],5,FALSE)</f>
        <v>742.63</v>
      </c>
      <c r="M968" s="4">
        <f>tblTransactions[[#This Row],[Total_Amount]]-(tblTransactions[[#This Row],[Cost_Prices]]*tblTransactions[[#This Row],[Quantity]]*(1-tblTransactions[[#This Row],[Discount]]))</f>
        <v>3174.7079999999987</v>
      </c>
      <c r="N968" s="3">
        <f>tblTransactions[[#This Row],[Profit]]/tblTransactions[[#This Row],[Total_Amount]]</f>
        <v>0.29130946241808164</v>
      </c>
      <c r="O968" t="str">
        <f>TEXT(tblTransactions[[#This Row],[Date]], "MMM-YYYY")</f>
        <v>Aug-2023</v>
      </c>
      <c r="P968" t="str">
        <f>"Q"&amp;ROUNDUP(MONTH(tblTransactions[[#This Row],[Date]])/3,0)&amp;"-"&amp;YEAR(tblTransactions[[#This Row],[Date]])</f>
        <v>Q3-2023</v>
      </c>
      <c r="Q968">
        <f>YEAR(tblTransactions[[#This Row],[Date]])</f>
        <v>2023</v>
      </c>
      <c r="R968" t="str">
        <f>TEXT(tblTransactions[[#This Row],[Date]],"DDDD")</f>
        <v>Thursday</v>
      </c>
      <c r="S968">
        <f>MONTH(tblTransactions[[#This Row],[Date]])</f>
        <v>8</v>
      </c>
      <c r="T968" t="str">
        <f>VLOOKUP(E968, Products!$A:$B,2,0)</f>
        <v>Monitors Tec-2</v>
      </c>
      <c r="U968" t="str">
        <f>VLOOKUP(E968,Products!$A:$C,3,0)</f>
        <v>Technology</v>
      </c>
      <c r="V968" t="str">
        <f>VLOOKUP(E968,Products!$A:$D,4,0)</f>
        <v>Monitors</v>
      </c>
      <c r="W968" t="str">
        <f>VLOOKUP(D968,Customers!$A:$C,3,0)</f>
        <v>B2B</v>
      </c>
      <c r="X968" t="str">
        <f>VLOOKUP(C968,Sales_Representatives!$A:$B,2,0)</f>
        <v>Jessica Anderson</v>
      </c>
    </row>
    <row r="969" spans="1:24" x14ac:dyDescent="0.3">
      <c r="A969" t="s">
        <v>1337</v>
      </c>
      <c r="B969" t="s">
        <v>1336</v>
      </c>
      <c r="C969" t="s">
        <v>63</v>
      </c>
      <c r="D969" t="s">
        <v>210</v>
      </c>
      <c r="E969" t="s">
        <v>221</v>
      </c>
      <c r="F969">
        <v>13</v>
      </c>
      <c r="G969">
        <v>210.02</v>
      </c>
      <c r="H969">
        <v>0.12</v>
      </c>
      <c r="I969" s="4">
        <v>2402.63</v>
      </c>
      <c r="J969" t="s">
        <v>21</v>
      </c>
      <c r="K969" t="s">
        <v>17</v>
      </c>
      <c r="L969" s="4">
        <f>VLOOKUP(tblTransactions[[#This Row],[Product_ID]],tblProducts[],5,FALSE)</f>
        <v>131.66</v>
      </c>
      <c r="M969" s="4">
        <f>tblTransactions[[#This Row],[Total_Amount]]-(tblTransactions[[#This Row],[Cost_Prices]]*tblTransactions[[#This Row],[Quantity]]*(1-tblTransactions[[#This Row],[Discount]]))</f>
        <v>896.43960000000015</v>
      </c>
      <c r="N969" s="3">
        <f>tblTransactions[[#This Row],[Profit]]/tblTransactions[[#This Row],[Total_Amount]]</f>
        <v>0.37310763621531412</v>
      </c>
      <c r="O969" t="str">
        <f>TEXT(tblTransactions[[#This Row],[Date]], "MMM-YYYY")</f>
        <v>Aug-2023</v>
      </c>
      <c r="P969" t="str">
        <f>"Q"&amp;ROUNDUP(MONTH(tblTransactions[[#This Row],[Date]])/3,0)&amp;"-"&amp;YEAR(tblTransactions[[#This Row],[Date]])</f>
        <v>Q3-2023</v>
      </c>
      <c r="Q969">
        <f>YEAR(tblTransactions[[#This Row],[Date]])</f>
        <v>2023</v>
      </c>
      <c r="R969" t="str">
        <f>TEXT(tblTransactions[[#This Row],[Date]],"DDDD")</f>
        <v>Thursday</v>
      </c>
      <c r="S969">
        <f>MONTH(tblTransactions[[#This Row],[Date]])</f>
        <v>8</v>
      </c>
      <c r="T969" t="str">
        <f>VLOOKUP(E969, Products!$A:$B,2,0)</f>
        <v>Storage Fur-2</v>
      </c>
      <c r="U969" t="str">
        <f>VLOOKUP(E969,Products!$A:$C,3,0)</f>
        <v>Furniture</v>
      </c>
      <c r="V969" t="str">
        <f>VLOOKUP(E969,Products!$A:$D,4,0)</f>
        <v>Storage</v>
      </c>
      <c r="W969" t="str">
        <f>VLOOKUP(D969,Customers!$A:$C,3,0)</f>
        <v>B2B</v>
      </c>
      <c r="X969" t="str">
        <f>VLOOKUP(C969,Sales_Representatives!$A:$B,2,0)</f>
        <v>Richard Wilson</v>
      </c>
    </row>
    <row r="970" spans="1:24" x14ac:dyDescent="0.3">
      <c r="A970" t="s">
        <v>1338</v>
      </c>
      <c r="B970" t="s">
        <v>1336</v>
      </c>
      <c r="C970" t="s">
        <v>31</v>
      </c>
      <c r="D970" t="s">
        <v>98</v>
      </c>
      <c r="E970" t="s">
        <v>137</v>
      </c>
      <c r="F970">
        <v>7</v>
      </c>
      <c r="G970">
        <v>241.39</v>
      </c>
      <c r="H970">
        <v>0.1</v>
      </c>
      <c r="I970" s="4">
        <v>1520.76</v>
      </c>
      <c r="J970" t="s">
        <v>34</v>
      </c>
      <c r="K970" t="s">
        <v>17</v>
      </c>
      <c r="L970" s="4">
        <f>VLOOKUP(tblTransactions[[#This Row],[Product_ID]],tblProducts[],5,FALSE)</f>
        <v>124.07</v>
      </c>
      <c r="M970" s="4">
        <f>tblTransactions[[#This Row],[Total_Amount]]-(tblTransactions[[#This Row],[Cost_Prices]]*tblTransactions[[#This Row],[Quantity]]*(1-tblTransactions[[#This Row],[Discount]]))</f>
        <v>739.11899999999991</v>
      </c>
      <c r="N970" s="3">
        <f>tblTransactions[[#This Row],[Profit]]/tblTransactions[[#This Row],[Total_Amount]]</f>
        <v>0.48601949025487251</v>
      </c>
      <c r="O970" t="str">
        <f>TEXT(tblTransactions[[#This Row],[Date]], "MMM-YYYY")</f>
        <v>Aug-2023</v>
      </c>
      <c r="P970" t="str">
        <f>"Q"&amp;ROUNDUP(MONTH(tblTransactions[[#This Row],[Date]])/3,0)&amp;"-"&amp;YEAR(tblTransactions[[#This Row],[Date]])</f>
        <v>Q3-2023</v>
      </c>
      <c r="Q970">
        <f>YEAR(tblTransactions[[#This Row],[Date]])</f>
        <v>2023</v>
      </c>
      <c r="R970" t="str">
        <f>TEXT(tblTransactions[[#This Row],[Date]],"DDDD")</f>
        <v>Thursday</v>
      </c>
      <c r="S970">
        <f>MONTH(tblTransactions[[#This Row],[Date]])</f>
        <v>8</v>
      </c>
      <c r="T970" t="str">
        <f>VLOOKUP(E970, Products!$A:$B,2,0)</f>
        <v>Desks Fur-2</v>
      </c>
      <c r="U970" t="str">
        <f>VLOOKUP(E970,Products!$A:$C,3,0)</f>
        <v>Furniture</v>
      </c>
      <c r="V970" t="str">
        <f>VLOOKUP(E970,Products!$A:$D,4,0)</f>
        <v>Desks</v>
      </c>
      <c r="W970" t="str">
        <f>VLOOKUP(D970,Customers!$A:$C,3,0)</f>
        <v>B2C</v>
      </c>
      <c r="X970" t="str">
        <f>VLOOKUP(C970,Sales_Representatives!$A:$B,2,0)</f>
        <v>Thomas Martinez</v>
      </c>
    </row>
    <row r="971" spans="1:24" x14ac:dyDescent="0.3">
      <c r="A971" t="s">
        <v>1339</v>
      </c>
      <c r="B971" t="s">
        <v>1336</v>
      </c>
      <c r="C971" t="s">
        <v>59</v>
      </c>
      <c r="D971" t="s">
        <v>396</v>
      </c>
      <c r="E971" t="s">
        <v>224</v>
      </c>
      <c r="F971">
        <v>4</v>
      </c>
      <c r="G971">
        <v>505.37</v>
      </c>
      <c r="H971">
        <v>0.04</v>
      </c>
      <c r="I971" s="4">
        <v>1940.62</v>
      </c>
      <c r="J971" t="s">
        <v>21</v>
      </c>
      <c r="K971" t="s">
        <v>35</v>
      </c>
      <c r="L971" s="4">
        <f>VLOOKUP(tblTransactions[[#This Row],[Product_ID]],tblProducts[],5,FALSE)</f>
        <v>281.14999999999998</v>
      </c>
      <c r="M971" s="4">
        <f>tblTransactions[[#This Row],[Total_Amount]]-(tblTransactions[[#This Row],[Cost_Prices]]*tblTransactions[[#This Row],[Quantity]]*(1-tblTransactions[[#This Row],[Discount]]))</f>
        <v>861.00399999999991</v>
      </c>
      <c r="N971" s="3">
        <f>tblTransactions[[#This Row],[Profit]]/tblTransactions[[#This Row],[Total_Amount]]</f>
        <v>0.44367470189939295</v>
      </c>
      <c r="O971" t="str">
        <f>TEXT(tblTransactions[[#This Row],[Date]], "MMM-YYYY")</f>
        <v>Aug-2023</v>
      </c>
      <c r="P971" t="str">
        <f>"Q"&amp;ROUNDUP(MONTH(tblTransactions[[#This Row],[Date]])/3,0)&amp;"-"&amp;YEAR(tblTransactions[[#This Row],[Date]])</f>
        <v>Q3-2023</v>
      </c>
      <c r="Q971">
        <f>YEAR(tblTransactions[[#This Row],[Date]])</f>
        <v>2023</v>
      </c>
      <c r="R971" t="str">
        <f>TEXT(tblTransactions[[#This Row],[Date]],"DDDD")</f>
        <v>Thursday</v>
      </c>
      <c r="S971">
        <f>MONTH(tblTransactions[[#This Row],[Date]])</f>
        <v>8</v>
      </c>
      <c r="T971" t="str">
        <f>VLOOKUP(E971, Products!$A:$B,2,0)</f>
        <v>Desks Fur-3</v>
      </c>
      <c r="U971" t="str">
        <f>VLOOKUP(E971,Products!$A:$C,3,0)</f>
        <v>Furniture</v>
      </c>
      <c r="V971" t="str">
        <f>VLOOKUP(E971,Products!$A:$D,4,0)</f>
        <v>Desks</v>
      </c>
      <c r="W971" t="str">
        <f>VLOOKUP(D971,Customers!$A:$C,3,0)</f>
        <v>Small Business</v>
      </c>
      <c r="X971" t="str">
        <f>VLOOKUP(C971,Sales_Representatives!$A:$B,2,0)</f>
        <v>Sarah Brown</v>
      </c>
    </row>
    <row r="972" spans="1:24" x14ac:dyDescent="0.3">
      <c r="A972" t="s">
        <v>1340</v>
      </c>
      <c r="B972" t="s">
        <v>1341</v>
      </c>
      <c r="C972" t="s">
        <v>63</v>
      </c>
      <c r="D972" t="s">
        <v>212</v>
      </c>
      <c r="E972" t="s">
        <v>53</v>
      </c>
      <c r="F972">
        <v>1</v>
      </c>
      <c r="G972">
        <v>2069.2199999999998</v>
      </c>
      <c r="H972">
        <v>0.06</v>
      </c>
      <c r="I972" s="4">
        <v>1945.07</v>
      </c>
      <c r="J972" t="s">
        <v>21</v>
      </c>
      <c r="K972" t="s">
        <v>22</v>
      </c>
      <c r="L972" s="4">
        <f>VLOOKUP(tblTransactions[[#This Row],[Product_ID]],tblProducts[],5,FALSE)</f>
        <v>1451.18</v>
      </c>
      <c r="M972" s="4">
        <f>tblTransactions[[#This Row],[Total_Amount]]-(tblTransactions[[#This Row],[Cost_Prices]]*tblTransactions[[#This Row],[Quantity]]*(1-tblTransactions[[#This Row],[Discount]]))</f>
        <v>580.96080000000006</v>
      </c>
      <c r="N972" s="3">
        <f>tblTransactions[[#This Row],[Profit]]/tblTransactions[[#This Row],[Total_Amount]]</f>
        <v>0.29868374917098106</v>
      </c>
      <c r="O972" t="str">
        <f>TEXT(tblTransactions[[#This Row],[Date]], "MMM-YYYY")</f>
        <v>Aug-2023</v>
      </c>
      <c r="P972" t="str">
        <f>"Q"&amp;ROUNDUP(MONTH(tblTransactions[[#This Row],[Date]])/3,0)&amp;"-"&amp;YEAR(tblTransactions[[#This Row],[Date]])</f>
        <v>Q3-2023</v>
      </c>
      <c r="Q972">
        <f>YEAR(tblTransactions[[#This Row],[Date]])</f>
        <v>2023</v>
      </c>
      <c r="R972" t="str">
        <f>TEXT(tblTransactions[[#This Row],[Date]],"DDDD")</f>
        <v>Friday</v>
      </c>
      <c r="S972">
        <f>MONTH(tblTransactions[[#This Row],[Date]])</f>
        <v>8</v>
      </c>
      <c r="T972" t="str">
        <f>VLOOKUP(E972, Products!$A:$B,2,0)</f>
        <v>Printers Tec-3</v>
      </c>
      <c r="U972" t="str">
        <f>VLOOKUP(E972,Products!$A:$C,3,0)</f>
        <v>Technology</v>
      </c>
      <c r="V972" t="str">
        <f>VLOOKUP(E972,Products!$A:$D,4,0)</f>
        <v>Printers</v>
      </c>
      <c r="W972" t="str">
        <f>VLOOKUP(D972,Customers!$A:$C,3,0)</f>
        <v>B2C</v>
      </c>
      <c r="X972" t="str">
        <f>VLOOKUP(C972,Sales_Representatives!$A:$B,2,0)</f>
        <v>Richard Wilson</v>
      </c>
    </row>
    <row r="973" spans="1:24" x14ac:dyDescent="0.3">
      <c r="A973" t="s">
        <v>1342</v>
      </c>
      <c r="B973" t="s">
        <v>1341</v>
      </c>
      <c r="C973" t="s">
        <v>13</v>
      </c>
      <c r="D973" t="s">
        <v>166</v>
      </c>
      <c r="E973" t="s">
        <v>168</v>
      </c>
      <c r="F973">
        <v>6</v>
      </c>
      <c r="G973">
        <v>101.59</v>
      </c>
      <c r="H973">
        <v>0.14000000000000001</v>
      </c>
      <c r="I973" s="4">
        <v>524.20000000000005</v>
      </c>
      <c r="J973" t="s">
        <v>16</v>
      </c>
      <c r="K973" t="s">
        <v>39</v>
      </c>
      <c r="L973" s="4">
        <f>VLOOKUP(tblTransactions[[#This Row],[Product_ID]],tblProducts[],5,FALSE)</f>
        <v>50.58</v>
      </c>
      <c r="M973" s="4">
        <f>tblTransactions[[#This Row],[Total_Amount]]-(tblTransactions[[#This Row],[Cost_Prices]]*tblTransactions[[#This Row],[Quantity]]*(1-tblTransactions[[#This Row],[Discount]]))</f>
        <v>263.20720000000006</v>
      </c>
      <c r="N973" s="3">
        <f>tblTransactions[[#This Row],[Profit]]/tblTransactions[[#This Row],[Total_Amount]]</f>
        <v>0.50211217092712712</v>
      </c>
      <c r="O973" t="str">
        <f>TEXT(tblTransactions[[#This Row],[Date]], "MMM-YYYY")</f>
        <v>Aug-2023</v>
      </c>
      <c r="P973" t="str">
        <f>"Q"&amp;ROUNDUP(MONTH(tblTransactions[[#This Row],[Date]])/3,0)&amp;"-"&amp;YEAR(tblTransactions[[#This Row],[Date]])</f>
        <v>Q3-2023</v>
      </c>
      <c r="Q973">
        <f>YEAR(tblTransactions[[#This Row],[Date]])</f>
        <v>2023</v>
      </c>
      <c r="R973" t="str">
        <f>TEXT(tblTransactions[[#This Row],[Date]],"DDDD")</f>
        <v>Friday</v>
      </c>
      <c r="S973">
        <f>MONTH(tblTransactions[[#This Row],[Date]])</f>
        <v>8</v>
      </c>
      <c r="T973" t="str">
        <f>VLOOKUP(E973, Products!$A:$B,2,0)</f>
        <v>Cases Acc-4</v>
      </c>
      <c r="U973" t="str">
        <f>VLOOKUP(E973,Products!$A:$C,3,0)</f>
        <v>Accessories</v>
      </c>
      <c r="V973" t="str">
        <f>VLOOKUP(E973,Products!$A:$D,4,0)</f>
        <v>Cases</v>
      </c>
      <c r="W973" t="str">
        <f>VLOOKUP(D973,Customers!$A:$C,3,0)</f>
        <v>B2C</v>
      </c>
      <c r="X973" t="str">
        <f>VLOOKUP(C973,Sales_Representatives!$A:$B,2,0)</f>
        <v>Jennifer Rodriguez</v>
      </c>
    </row>
    <row r="974" spans="1:24" x14ac:dyDescent="0.3">
      <c r="A974" t="s">
        <v>1343</v>
      </c>
      <c r="B974" t="s">
        <v>1341</v>
      </c>
      <c r="C974" t="s">
        <v>127</v>
      </c>
      <c r="D974" t="s">
        <v>124</v>
      </c>
      <c r="E974" t="s">
        <v>129</v>
      </c>
      <c r="F974">
        <v>16</v>
      </c>
      <c r="G974">
        <v>1283.71</v>
      </c>
      <c r="H974">
        <v>0.17</v>
      </c>
      <c r="I974" s="4">
        <v>17047.669999999998</v>
      </c>
      <c r="J974" t="s">
        <v>109</v>
      </c>
      <c r="K974" t="s">
        <v>17</v>
      </c>
      <c r="L974" s="4">
        <f>VLOOKUP(tblTransactions[[#This Row],[Product_ID]],tblProducts[],5,FALSE)</f>
        <v>970.14</v>
      </c>
      <c r="M974" s="4">
        <f>tblTransactions[[#This Row],[Total_Amount]]-(tblTransactions[[#This Row],[Cost_Prices]]*tblTransactions[[#This Row],[Quantity]]*(1-tblTransactions[[#This Row],[Discount]]))</f>
        <v>4164.2107999999989</v>
      </c>
      <c r="N974" s="3">
        <f>tblTransactions[[#This Row],[Profit]]/tblTransactions[[#This Row],[Total_Amount]]</f>
        <v>0.24426861852675463</v>
      </c>
      <c r="O974" t="str">
        <f>TEXT(tblTransactions[[#This Row],[Date]], "MMM-YYYY")</f>
        <v>Aug-2023</v>
      </c>
      <c r="P974" t="str">
        <f>"Q"&amp;ROUNDUP(MONTH(tblTransactions[[#This Row],[Date]])/3,0)&amp;"-"&amp;YEAR(tblTransactions[[#This Row],[Date]])</f>
        <v>Q3-2023</v>
      </c>
      <c r="Q974">
        <f>YEAR(tblTransactions[[#This Row],[Date]])</f>
        <v>2023</v>
      </c>
      <c r="R974" t="str">
        <f>TEXT(tblTransactions[[#This Row],[Date]],"DDDD")</f>
        <v>Friday</v>
      </c>
      <c r="S974">
        <f>MONTH(tblTransactions[[#This Row],[Date]])</f>
        <v>8</v>
      </c>
      <c r="T974" t="str">
        <f>VLOOKUP(E974, Products!$A:$B,2,0)</f>
        <v>Cameras Ele-3</v>
      </c>
      <c r="U974" t="str">
        <f>VLOOKUP(E974,Products!$A:$C,3,0)</f>
        <v>Electronics</v>
      </c>
      <c r="V974" t="str">
        <f>VLOOKUP(E974,Products!$A:$D,4,0)</f>
        <v>Cameras</v>
      </c>
      <c r="W974" t="str">
        <f>VLOOKUP(D974,Customers!$A:$C,3,0)</f>
        <v>B2B</v>
      </c>
      <c r="X974" t="str">
        <f>VLOOKUP(C974,Sales_Representatives!$A:$B,2,0)</f>
        <v>Emily Hernandez</v>
      </c>
    </row>
    <row r="975" spans="1:24" x14ac:dyDescent="0.3">
      <c r="A975" t="s">
        <v>1344</v>
      </c>
      <c r="B975" t="s">
        <v>1341</v>
      </c>
      <c r="C975" t="s">
        <v>127</v>
      </c>
      <c r="D975" t="s">
        <v>228</v>
      </c>
      <c r="E975" t="s">
        <v>191</v>
      </c>
      <c r="F975">
        <v>4</v>
      </c>
      <c r="G975">
        <v>1012.75</v>
      </c>
      <c r="H975">
        <v>0.02</v>
      </c>
      <c r="I975" s="4">
        <v>3969.98</v>
      </c>
      <c r="J975" t="s">
        <v>109</v>
      </c>
      <c r="K975" t="s">
        <v>22</v>
      </c>
      <c r="L975" s="4">
        <f>VLOOKUP(tblTransactions[[#This Row],[Product_ID]],tblProducts[],5,FALSE)</f>
        <v>518.53</v>
      </c>
      <c r="M975" s="4">
        <f>tblTransactions[[#This Row],[Total_Amount]]-(tblTransactions[[#This Row],[Cost_Prices]]*tblTransactions[[#This Row],[Quantity]]*(1-tblTransactions[[#This Row],[Discount]]))</f>
        <v>1937.3424000000002</v>
      </c>
      <c r="N975" s="3">
        <f>tblTransactions[[#This Row],[Profit]]/tblTransactions[[#This Row],[Total_Amount]]</f>
        <v>0.48799802517896823</v>
      </c>
      <c r="O975" t="str">
        <f>TEXT(tblTransactions[[#This Row],[Date]], "MMM-YYYY")</f>
        <v>Aug-2023</v>
      </c>
      <c r="P975" t="str">
        <f>"Q"&amp;ROUNDUP(MONTH(tblTransactions[[#This Row],[Date]])/3,0)&amp;"-"&amp;YEAR(tblTransactions[[#This Row],[Date]])</f>
        <v>Q3-2023</v>
      </c>
      <c r="Q975">
        <f>YEAR(tblTransactions[[#This Row],[Date]])</f>
        <v>2023</v>
      </c>
      <c r="R975" t="str">
        <f>TEXT(tblTransactions[[#This Row],[Date]],"DDDD")</f>
        <v>Friday</v>
      </c>
      <c r="S975">
        <f>MONTH(tblTransactions[[#This Row],[Date]])</f>
        <v>8</v>
      </c>
      <c r="T975" t="str">
        <f>VLOOKUP(E975, Products!$A:$B,2,0)</f>
        <v>Tables Fur-4</v>
      </c>
      <c r="U975" t="str">
        <f>VLOOKUP(E975,Products!$A:$C,3,0)</f>
        <v>Furniture</v>
      </c>
      <c r="V975" t="str">
        <f>VLOOKUP(E975,Products!$A:$D,4,0)</f>
        <v>Tables</v>
      </c>
      <c r="W975" t="str">
        <f>VLOOKUP(D975,Customers!$A:$C,3,0)</f>
        <v>Small Business</v>
      </c>
      <c r="X975" t="str">
        <f>VLOOKUP(C975,Sales_Representatives!$A:$B,2,0)</f>
        <v>Emily Hernandez</v>
      </c>
    </row>
    <row r="976" spans="1:24" x14ac:dyDescent="0.3">
      <c r="A976" t="s">
        <v>1345</v>
      </c>
      <c r="B976" t="s">
        <v>1341</v>
      </c>
      <c r="C976" t="s">
        <v>27</v>
      </c>
      <c r="D976" t="s">
        <v>67</v>
      </c>
      <c r="E976" t="s">
        <v>232</v>
      </c>
      <c r="F976">
        <v>2</v>
      </c>
      <c r="G976">
        <v>60.21</v>
      </c>
      <c r="H976">
        <v>0.09</v>
      </c>
      <c r="I976" s="4">
        <v>109.58</v>
      </c>
      <c r="J976" t="s">
        <v>16</v>
      </c>
      <c r="K976" t="s">
        <v>35</v>
      </c>
      <c r="L976" s="4">
        <f>VLOOKUP(tblTransactions[[#This Row],[Product_ID]],tblProducts[],5,FALSE)</f>
        <v>38.18</v>
      </c>
      <c r="M976" s="4">
        <f>tblTransactions[[#This Row],[Total_Amount]]-(tblTransactions[[#This Row],[Cost_Prices]]*tblTransactions[[#This Row],[Quantity]]*(1-tblTransactions[[#This Row],[Discount]]))</f>
        <v>40.092399999999998</v>
      </c>
      <c r="N976" s="3">
        <f>tblTransactions[[#This Row],[Profit]]/tblTransactions[[#This Row],[Total_Amount]]</f>
        <v>0.36587333455010035</v>
      </c>
      <c r="O976" t="str">
        <f>TEXT(tblTransactions[[#This Row],[Date]], "MMM-YYYY")</f>
        <v>Aug-2023</v>
      </c>
      <c r="P976" t="str">
        <f>"Q"&amp;ROUNDUP(MONTH(tblTransactions[[#This Row],[Date]])/3,0)&amp;"-"&amp;YEAR(tblTransactions[[#This Row],[Date]])</f>
        <v>Q3-2023</v>
      </c>
      <c r="Q976">
        <f>YEAR(tblTransactions[[#This Row],[Date]])</f>
        <v>2023</v>
      </c>
      <c r="R976" t="str">
        <f>TEXT(tblTransactions[[#This Row],[Date]],"DDDD")</f>
        <v>Friday</v>
      </c>
      <c r="S976">
        <f>MONTH(tblTransactions[[#This Row],[Date]])</f>
        <v>8</v>
      </c>
      <c r="T976" t="str">
        <f>VLOOKUP(E976, Products!$A:$B,2,0)</f>
        <v>Cables Acc-3</v>
      </c>
      <c r="U976" t="str">
        <f>VLOOKUP(E976,Products!$A:$C,3,0)</f>
        <v>Accessories</v>
      </c>
      <c r="V976" t="str">
        <f>VLOOKUP(E976,Products!$A:$D,4,0)</f>
        <v>Cables</v>
      </c>
      <c r="W976" t="str">
        <f>VLOOKUP(D976,Customers!$A:$C,3,0)</f>
        <v>B2C</v>
      </c>
      <c r="X976" t="str">
        <f>VLOOKUP(C976,Sales_Representatives!$A:$B,2,0)</f>
        <v>Thomas Lopez</v>
      </c>
    </row>
    <row r="977" spans="1:24" x14ac:dyDescent="0.3">
      <c r="A977" t="s">
        <v>1346</v>
      </c>
      <c r="B977" t="s">
        <v>1341</v>
      </c>
      <c r="C977" t="s">
        <v>107</v>
      </c>
      <c r="D977" t="s">
        <v>50</v>
      </c>
      <c r="E977" t="s">
        <v>194</v>
      </c>
      <c r="F977">
        <v>3</v>
      </c>
      <c r="G977">
        <v>82.84</v>
      </c>
      <c r="H977">
        <v>0.08</v>
      </c>
      <c r="I977" s="4">
        <v>228.64</v>
      </c>
      <c r="J977" t="s">
        <v>109</v>
      </c>
      <c r="K977" t="s">
        <v>35</v>
      </c>
      <c r="L977" s="4">
        <f>VLOOKUP(tblTransactions[[#This Row],[Product_ID]],tblProducts[],5,FALSE)</f>
        <v>52.98</v>
      </c>
      <c r="M977" s="4">
        <f>tblTransactions[[#This Row],[Total_Amount]]-(tblTransactions[[#This Row],[Cost_Prices]]*tblTransactions[[#This Row],[Quantity]]*(1-tblTransactions[[#This Row],[Discount]]))</f>
        <v>82.41519999999997</v>
      </c>
      <c r="N977" s="3">
        <f>tblTransactions[[#This Row],[Profit]]/tblTransactions[[#This Row],[Total_Amount]]</f>
        <v>0.36045836249125252</v>
      </c>
      <c r="O977" t="str">
        <f>TEXT(tblTransactions[[#This Row],[Date]], "MMM-YYYY")</f>
        <v>Aug-2023</v>
      </c>
      <c r="P977" t="str">
        <f>"Q"&amp;ROUNDUP(MONTH(tblTransactions[[#This Row],[Date]])/3,0)&amp;"-"&amp;YEAR(tblTransactions[[#This Row],[Date]])</f>
        <v>Q3-2023</v>
      </c>
      <c r="Q977">
        <f>YEAR(tblTransactions[[#This Row],[Date]])</f>
        <v>2023</v>
      </c>
      <c r="R977" t="str">
        <f>TEXT(tblTransactions[[#This Row],[Date]],"DDDD")</f>
        <v>Friday</v>
      </c>
      <c r="S977">
        <f>MONTH(tblTransactions[[#This Row],[Date]])</f>
        <v>8</v>
      </c>
      <c r="T977" t="str">
        <f>VLOOKUP(E977, Products!$A:$B,2,0)</f>
        <v>Binders Off-2</v>
      </c>
      <c r="U977" t="str">
        <f>VLOOKUP(E977,Products!$A:$C,3,0)</f>
        <v>Office Supplies</v>
      </c>
      <c r="V977" t="str">
        <f>VLOOKUP(E977,Products!$A:$D,4,0)</f>
        <v>Binders</v>
      </c>
      <c r="W977" t="str">
        <f>VLOOKUP(D977,Customers!$A:$C,3,0)</f>
        <v>Small Business</v>
      </c>
      <c r="X977" t="str">
        <f>VLOOKUP(C977,Sales_Representatives!$A:$B,2,0)</f>
        <v>Jennifer Brown</v>
      </c>
    </row>
    <row r="978" spans="1:24" x14ac:dyDescent="0.3">
      <c r="A978" t="s">
        <v>1347</v>
      </c>
      <c r="B978" t="s">
        <v>1341</v>
      </c>
      <c r="C978" t="s">
        <v>13</v>
      </c>
      <c r="D978" t="s">
        <v>327</v>
      </c>
      <c r="E978" t="s">
        <v>314</v>
      </c>
      <c r="F978">
        <v>6</v>
      </c>
      <c r="G978">
        <v>204.97</v>
      </c>
      <c r="H978">
        <v>0.05</v>
      </c>
      <c r="I978" s="4">
        <v>1168.33</v>
      </c>
      <c r="J978" t="s">
        <v>16</v>
      </c>
      <c r="K978" t="s">
        <v>22</v>
      </c>
      <c r="L978" s="4">
        <f>VLOOKUP(tblTransactions[[#This Row],[Product_ID]],tblProducts[],5,FALSE)</f>
        <v>121.53</v>
      </c>
      <c r="M978" s="4">
        <f>tblTransactions[[#This Row],[Total_Amount]]-(tblTransactions[[#This Row],[Cost_Prices]]*tblTransactions[[#This Row],[Quantity]]*(1-tblTransactions[[#This Row],[Discount]]))</f>
        <v>475.60899999999992</v>
      </c>
      <c r="N978" s="3">
        <f>tblTransactions[[#This Row],[Profit]]/tblTransactions[[#This Row],[Total_Amount]]</f>
        <v>0.40708447099706413</v>
      </c>
      <c r="O978" t="str">
        <f>TEXT(tblTransactions[[#This Row],[Date]], "MMM-YYYY")</f>
        <v>Aug-2023</v>
      </c>
      <c r="P978" t="str">
        <f>"Q"&amp;ROUNDUP(MONTH(tblTransactions[[#This Row],[Date]])/3,0)&amp;"-"&amp;YEAR(tblTransactions[[#This Row],[Date]])</f>
        <v>Q3-2023</v>
      </c>
      <c r="Q978">
        <f>YEAR(tblTransactions[[#This Row],[Date]])</f>
        <v>2023</v>
      </c>
      <c r="R978" t="str">
        <f>TEXT(tblTransactions[[#This Row],[Date]],"DDDD")</f>
        <v>Friday</v>
      </c>
      <c r="S978">
        <f>MONTH(tblTransactions[[#This Row],[Date]])</f>
        <v>8</v>
      </c>
      <c r="T978" t="str">
        <f>VLOOKUP(E978, Products!$A:$B,2,0)</f>
        <v>Adapters Acc-3</v>
      </c>
      <c r="U978" t="str">
        <f>VLOOKUP(E978,Products!$A:$C,3,0)</f>
        <v>Accessories</v>
      </c>
      <c r="V978" t="str">
        <f>VLOOKUP(E978,Products!$A:$D,4,0)</f>
        <v>Adapters</v>
      </c>
      <c r="W978" t="str">
        <f>VLOOKUP(D978,Customers!$A:$C,3,0)</f>
        <v>B2C</v>
      </c>
      <c r="X978" t="str">
        <f>VLOOKUP(C978,Sales_Representatives!$A:$B,2,0)</f>
        <v>Jennifer Rodriguez</v>
      </c>
    </row>
    <row r="979" spans="1:24" x14ac:dyDescent="0.3">
      <c r="A979" t="s">
        <v>1348</v>
      </c>
      <c r="B979" t="s">
        <v>1341</v>
      </c>
      <c r="C979" t="s">
        <v>19</v>
      </c>
      <c r="D979" t="s">
        <v>190</v>
      </c>
      <c r="E979" t="s">
        <v>243</v>
      </c>
      <c r="F979">
        <v>15</v>
      </c>
      <c r="G979">
        <v>384.18</v>
      </c>
      <c r="H979">
        <v>0.18</v>
      </c>
      <c r="I979" s="4">
        <v>4725.41</v>
      </c>
      <c r="J979" t="s">
        <v>21</v>
      </c>
      <c r="K979" t="s">
        <v>35</v>
      </c>
      <c r="L979" s="4">
        <f>VLOOKUP(tblTransactions[[#This Row],[Product_ID]],tblProducts[],5,FALSE)</f>
        <v>266.92</v>
      </c>
      <c r="M979" s="4">
        <f>tblTransactions[[#This Row],[Total_Amount]]-(tblTransactions[[#This Row],[Cost_Prices]]*tblTransactions[[#This Row],[Quantity]]*(1-tblTransactions[[#This Row],[Discount]]))</f>
        <v>1442.2939999999994</v>
      </c>
      <c r="N979" s="3">
        <f>tblTransactions[[#This Row],[Profit]]/tblTransactions[[#This Row],[Total_Amount]]</f>
        <v>0.3052209226289358</v>
      </c>
      <c r="O979" t="str">
        <f>TEXT(tblTransactions[[#This Row],[Date]], "MMM-YYYY")</f>
        <v>Aug-2023</v>
      </c>
      <c r="P979" t="str">
        <f>"Q"&amp;ROUNDUP(MONTH(tblTransactions[[#This Row],[Date]])/3,0)&amp;"-"&amp;YEAR(tblTransactions[[#This Row],[Date]])</f>
        <v>Q3-2023</v>
      </c>
      <c r="Q979">
        <f>YEAR(tblTransactions[[#This Row],[Date]])</f>
        <v>2023</v>
      </c>
      <c r="R979" t="str">
        <f>TEXT(tblTransactions[[#This Row],[Date]],"DDDD")</f>
        <v>Friday</v>
      </c>
      <c r="S979">
        <f>MONTH(tblTransactions[[#This Row],[Date]])</f>
        <v>8</v>
      </c>
      <c r="T979" t="str">
        <f>VLOOKUP(E979, Products!$A:$B,2,0)</f>
        <v>Routers Tec-3</v>
      </c>
      <c r="U979" t="str">
        <f>VLOOKUP(E979,Products!$A:$C,3,0)</f>
        <v>Technology</v>
      </c>
      <c r="V979" t="str">
        <f>VLOOKUP(E979,Products!$A:$D,4,0)</f>
        <v>Routers</v>
      </c>
      <c r="W979" t="str">
        <f>VLOOKUP(D979,Customers!$A:$C,3,0)</f>
        <v>B2B</v>
      </c>
      <c r="X979" t="str">
        <f>VLOOKUP(C979,Sales_Representatives!$A:$B,2,0)</f>
        <v>Robert Jones</v>
      </c>
    </row>
    <row r="980" spans="1:24" x14ac:dyDescent="0.3">
      <c r="A980" t="s">
        <v>1349</v>
      </c>
      <c r="B980" t="s">
        <v>1350</v>
      </c>
      <c r="C980" t="s">
        <v>131</v>
      </c>
      <c r="D980" t="s">
        <v>237</v>
      </c>
      <c r="E980" t="s">
        <v>178</v>
      </c>
      <c r="F980">
        <v>16</v>
      </c>
      <c r="G980">
        <v>1623.35</v>
      </c>
      <c r="H980">
        <v>0.12</v>
      </c>
      <c r="I980" s="4">
        <v>22856.77</v>
      </c>
      <c r="J980" t="s">
        <v>44</v>
      </c>
      <c r="K980" t="s">
        <v>48</v>
      </c>
      <c r="L980" s="4">
        <f>VLOOKUP(tblTransactions[[#This Row],[Product_ID]],tblProducts[],5,FALSE)</f>
        <v>981.45</v>
      </c>
      <c r="M980" s="4">
        <f>tblTransactions[[#This Row],[Total_Amount]]-(tblTransactions[[#This Row],[Cost_Prices]]*tblTransactions[[#This Row],[Quantity]]*(1-tblTransactions[[#This Row],[Discount]]))</f>
        <v>9037.9539999999997</v>
      </c>
      <c r="N980" s="3">
        <f>tblTransactions[[#This Row],[Profit]]/tblTransactions[[#This Row],[Total_Amount]]</f>
        <v>0.39541693773879683</v>
      </c>
      <c r="O980" t="str">
        <f>TEXT(tblTransactions[[#This Row],[Date]], "MMM-YYYY")</f>
        <v>Aug-2023</v>
      </c>
      <c r="P980" t="str">
        <f>"Q"&amp;ROUNDUP(MONTH(tblTransactions[[#This Row],[Date]])/3,0)&amp;"-"&amp;YEAR(tblTransactions[[#This Row],[Date]])</f>
        <v>Q3-2023</v>
      </c>
      <c r="Q980">
        <f>YEAR(tblTransactions[[#This Row],[Date]])</f>
        <v>2023</v>
      </c>
      <c r="R980" t="str">
        <f>TEXT(tblTransactions[[#This Row],[Date]],"DDDD")</f>
        <v>Saturday</v>
      </c>
      <c r="S980">
        <f>MONTH(tblTransactions[[#This Row],[Date]])</f>
        <v>8</v>
      </c>
      <c r="T980" t="str">
        <f>VLOOKUP(E980, Products!$A:$B,2,0)</f>
        <v>Tablets Ele-1</v>
      </c>
      <c r="U980" t="str">
        <f>VLOOKUP(E980,Products!$A:$C,3,0)</f>
        <v>Electronics</v>
      </c>
      <c r="V980" t="str">
        <f>VLOOKUP(E980,Products!$A:$D,4,0)</f>
        <v>Tablets</v>
      </c>
      <c r="W980" t="str">
        <f>VLOOKUP(D980,Customers!$A:$C,3,0)</f>
        <v>B2B</v>
      </c>
      <c r="X980" t="str">
        <f>VLOOKUP(C980,Sales_Representatives!$A:$B,2,0)</f>
        <v>Michael Davis</v>
      </c>
    </row>
    <row r="981" spans="1:24" x14ac:dyDescent="0.3">
      <c r="A981" t="s">
        <v>1351</v>
      </c>
      <c r="B981" t="s">
        <v>1350</v>
      </c>
      <c r="C981" t="s">
        <v>131</v>
      </c>
      <c r="D981" t="s">
        <v>115</v>
      </c>
      <c r="E981" t="s">
        <v>89</v>
      </c>
      <c r="F981">
        <v>3</v>
      </c>
      <c r="G981">
        <v>555.08000000000004</v>
      </c>
      <c r="H981">
        <v>0.03</v>
      </c>
      <c r="I981" s="4">
        <v>1615.28</v>
      </c>
      <c r="J981" t="s">
        <v>44</v>
      </c>
      <c r="K981" t="s">
        <v>48</v>
      </c>
      <c r="L981" s="4">
        <f>VLOOKUP(tblTransactions[[#This Row],[Product_ID]],tblProducts[],5,FALSE)</f>
        <v>402.82</v>
      </c>
      <c r="M981" s="4">
        <f>tblTransactions[[#This Row],[Total_Amount]]-(tblTransactions[[#This Row],[Cost_Prices]]*tblTransactions[[#This Row],[Quantity]]*(1-tblTransactions[[#This Row],[Discount]]))</f>
        <v>443.07379999999989</v>
      </c>
      <c r="N981" s="3">
        <f>tblTransactions[[#This Row],[Profit]]/tblTransactions[[#This Row],[Total_Amount]]</f>
        <v>0.27430154524292993</v>
      </c>
      <c r="O981" t="str">
        <f>TEXT(tblTransactions[[#This Row],[Date]], "MMM-YYYY")</f>
        <v>Aug-2023</v>
      </c>
      <c r="P981" t="str">
        <f>"Q"&amp;ROUNDUP(MONTH(tblTransactions[[#This Row],[Date]])/3,0)&amp;"-"&amp;YEAR(tblTransactions[[#This Row],[Date]])</f>
        <v>Q3-2023</v>
      </c>
      <c r="Q981">
        <f>YEAR(tblTransactions[[#This Row],[Date]])</f>
        <v>2023</v>
      </c>
      <c r="R981" t="str">
        <f>TEXT(tblTransactions[[#This Row],[Date]],"DDDD")</f>
        <v>Saturday</v>
      </c>
      <c r="S981">
        <f>MONTH(tblTransactions[[#This Row],[Date]])</f>
        <v>8</v>
      </c>
      <c r="T981" t="str">
        <f>VLOOKUP(E981, Products!$A:$B,2,0)</f>
        <v>Laptops Ele-3</v>
      </c>
      <c r="U981" t="str">
        <f>VLOOKUP(E981,Products!$A:$C,3,0)</f>
        <v>Electronics</v>
      </c>
      <c r="V981" t="str">
        <f>VLOOKUP(E981,Products!$A:$D,4,0)</f>
        <v>Laptops</v>
      </c>
      <c r="W981" t="str">
        <f>VLOOKUP(D981,Customers!$A:$C,3,0)</f>
        <v>B2C</v>
      </c>
      <c r="X981" t="str">
        <f>VLOOKUP(C981,Sales_Representatives!$A:$B,2,0)</f>
        <v>Michael Davis</v>
      </c>
    </row>
    <row r="982" spans="1:24" x14ac:dyDescent="0.3">
      <c r="A982" t="s">
        <v>1352</v>
      </c>
      <c r="B982" t="s">
        <v>1350</v>
      </c>
      <c r="C982" t="s">
        <v>82</v>
      </c>
      <c r="D982" t="s">
        <v>216</v>
      </c>
      <c r="E982" t="s">
        <v>310</v>
      </c>
      <c r="F982">
        <v>1</v>
      </c>
      <c r="G982">
        <v>274.13</v>
      </c>
      <c r="H982">
        <v>0.08</v>
      </c>
      <c r="I982" s="4">
        <v>252.2</v>
      </c>
      <c r="J982" t="s">
        <v>34</v>
      </c>
      <c r="K982" t="s">
        <v>39</v>
      </c>
      <c r="L982" s="4">
        <f>VLOOKUP(tblTransactions[[#This Row],[Product_ID]],tblProducts[],5,FALSE)</f>
        <v>134.41999999999999</v>
      </c>
      <c r="M982" s="4">
        <f>tblTransactions[[#This Row],[Total_Amount]]-(tblTransactions[[#This Row],[Cost_Prices]]*tblTransactions[[#This Row],[Quantity]]*(1-tblTransactions[[#This Row],[Discount]]))</f>
        <v>128.53359999999998</v>
      </c>
      <c r="N982" s="3">
        <f>tblTransactions[[#This Row],[Profit]]/tblTransactions[[#This Row],[Total_Amount]]</f>
        <v>0.50964948453608239</v>
      </c>
      <c r="O982" t="str">
        <f>TEXT(tblTransactions[[#This Row],[Date]], "MMM-YYYY")</f>
        <v>Aug-2023</v>
      </c>
      <c r="P982" t="str">
        <f>"Q"&amp;ROUNDUP(MONTH(tblTransactions[[#This Row],[Date]])/3,0)&amp;"-"&amp;YEAR(tblTransactions[[#This Row],[Date]])</f>
        <v>Q3-2023</v>
      </c>
      <c r="Q982">
        <f>YEAR(tblTransactions[[#This Row],[Date]])</f>
        <v>2023</v>
      </c>
      <c r="R982" t="str">
        <f>TEXT(tblTransactions[[#This Row],[Date]],"DDDD")</f>
        <v>Saturday</v>
      </c>
      <c r="S982">
        <f>MONTH(tblTransactions[[#This Row],[Date]])</f>
        <v>8</v>
      </c>
      <c r="T982" t="str">
        <f>VLOOKUP(E982, Products!$A:$B,2,0)</f>
        <v>Adapters Acc-4</v>
      </c>
      <c r="U982" t="str">
        <f>VLOOKUP(E982,Products!$A:$C,3,0)</f>
        <v>Accessories</v>
      </c>
      <c r="V982" t="str">
        <f>VLOOKUP(E982,Products!$A:$D,4,0)</f>
        <v>Adapters</v>
      </c>
      <c r="W982" t="str">
        <f>VLOOKUP(D982,Customers!$A:$C,3,0)</f>
        <v>Small Business</v>
      </c>
      <c r="X982" t="str">
        <f>VLOOKUP(C982,Sales_Representatives!$A:$B,2,0)</f>
        <v>John Brown</v>
      </c>
    </row>
    <row r="983" spans="1:24" x14ac:dyDescent="0.3">
      <c r="A983" t="s">
        <v>1353</v>
      </c>
      <c r="B983" t="s">
        <v>1354</v>
      </c>
      <c r="C983" t="s">
        <v>27</v>
      </c>
      <c r="D983" t="s">
        <v>327</v>
      </c>
      <c r="E983" t="s">
        <v>96</v>
      </c>
      <c r="F983">
        <v>6</v>
      </c>
      <c r="G983">
        <v>751.9</v>
      </c>
      <c r="H983">
        <v>0.11</v>
      </c>
      <c r="I983" s="4">
        <v>4015.15</v>
      </c>
      <c r="J983" t="s">
        <v>16</v>
      </c>
      <c r="K983" t="s">
        <v>35</v>
      </c>
      <c r="L983" s="4">
        <f>VLOOKUP(tblTransactions[[#This Row],[Product_ID]],tblProducts[],5,FALSE)</f>
        <v>570.29</v>
      </c>
      <c r="M983" s="4">
        <f>tblTransactions[[#This Row],[Total_Amount]]-(tblTransactions[[#This Row],[Cost_Prices]]*tblTransactions[[#This Row],[Quantity]]*(1-tblTransactions[[#This Row],[Discount]]))</f>
        <v>969.80140000000029</v>
      </c>
      <c r="N983" s="3">
        <f>tblTransactions[[#This Row],[Profit]]/tblTransactions[[#This Row],[Total_Amount]]</f>
        <v>0.24153553416435258</v>
      </c>
      <c r="O983" t="str">
        <f>TEXT(tblTransactions[[#This Row],[Date]], "MMM-YYYY")</f>
        <v>Aug-2023</v>
      </c>
      <c r="P983" t="str">
        <f>"Q"&amp;ROUNDUP(MONTH(tblTransactions[[#This Row],[Date]])/3,0)&amp;"-"&amp;YEAR(tblTransactions[[#This Row],[Date]])</f>
        <v>Q3-2023</v>
      </c>
      <c r="Q983">
        <f>YEAR(tblTransactions[[#This Row],[Date]])</f>
        <v>2023</v>
      </c>
      <c r="R983" t="str">
        <f>TEXT(tblTransactions[[#This Row],[Date]],"DDDD")</f>
        <v>Sunday</v>
      </c>
      <c r="S983">
        <f>MONTH(tblTransactions[[#This Row],[Date]])</f>
        <v>8</v>
      </c>
      <c r="T983" t="str">
        <f>VLOOKUP(E983, Products!$A:$B,2,0)</f>
        <v>Routers Tec-1</v>
      </c>
      <c r="U983" t="str">
        <f>VLOOKUP(E983,Products!$A:$C,3,0)</f>
        <v>Technology</v>
      </c>
      <c r="V983" t="str">
        <f>VLOOKUP(E983,Products!$A:$D,4,0)</f>
        <v>Routers</v>
      </c>
      <c r="W983" t="str">
        <f>VLOOKUP(D983,Customers!$A:$C,3,0)</f>
        <v>B2C</v>
      </c>
      <c r="X983" t="str">
        <f>VLOOKUP(C983,Sales_Representatives!$A:$B,2,0)</f>
        <v>Thomas Lopez</v>
      </c>
    </row>
    <row r="984" spans="1:24" x14ac:dyDescent="0.3">
      <c r="A984" t="s">
        <v>1355</v>
      </c>
      <c r="B984" t="s">
        <v>1354</v>
      </c>
      <c r="C984" t="s">
        <v>56</v>
      </c>
      <c r="D984" t="s">
        <v>95</v>
      </c>
      <c r="E984" t="s">
        <v>176</v>
      </c>
      <c r="F984">
        <v>46</v>
      </c>
      <c r="G984">
        <v>1462.68</v>
      </c>
      <c r="H984">
        <v>0.16</v>
      </c>
      <c r="I984" s="4">
        <v>56517.96</v>
      </c>
      <c r="J984" t="s">
        <v>34</v>
      </c>
      <c r="K984" t="s">
        <v>17</v>
      </c>
      <c r="L984" s="4">
        <f>VLOOKUP(tblTransactions[[#This Row],[Product_ID]],tblProducts[],5,FALSE)</f>
        <v>775.94</v>
      </c>
      <c r="M984" s="4">
        <f>tblTransactions[[#This Row],[Total_Amount]]-(tblTransactions[[#This Row],[Cost_Prices]]*tblTransactions[[#This Row],[Quantity]]*(1-tblTransactions[[#This Row],[Discount]]))</f>
        <v>26535.638399999996</v>
      </c>
      <c r="N984" s="3">
        <f>tblTransactions[[#This Row],[Profit]]/tblTransactions[[#This Row],[Total_Amount]]</f>
        <v>0.46950807141659034</v>
      </c>
      <c r="O984" t="str">
        <f>TEXT(tblTransactions[[#This Row],[Date]], "MMM-YYYY")</f>
        <v>Aug-2023</v>
      </c>
      <c r="P984" t="str">
        <f>"Q"&amp;ROUNDUP(MONTH(tblTransactions[[#This Row],[Date]])/3,0)&amp;"-"&amp;YEAR(tblTransactions[[#This Row],[Date]])</f>
        <v>Q3-2023</v>
      </c>
      <c r="Q984">
        <f>YEAR(tblTransactions[[#This Row],[Date]])</f>
        <v>2023</v>
      </c>
      <c r="R984" t="str">
        <f>TEXT(tblTransactions[[#This Row],[Date]],"DDDD")</f>
        <v>Sunday</v>
      </c>
      <c r="S984">
        <f>MONTH(tblTransactions[[#This Row],[Date]])</f>
        <v>8</v>
      </c>
      <c r="T984" t="str">
        <f>VLOOKUP(E984, Products!$A:$B,2,0)</f>
        <v>Chairs Fur-2</v>
      </c>
      <c r="U984" t="str">
        <f>VLOOKUP(E984,Products!$A:$C,3,0)</f>
        <v>Furniture</v>
      </c>
      <c r="V984" t="str">
        <f>VLOOKUP(E984,Products!$A:$D,4,0)</f>
        <v>Chairs</v>
      </c>
      <c r="W984" t="str">
        <f>VLOOKUP(D984,Customers!$A:$C,3,0)</f>
        <v>Enterprise</v>
      </c>
      <c r="X984" t="str">
        <f>VLOOKUP(C984,Sales_Representatives!$A:$B,2,0)</f>
        <v>Thomas Hernandez</v>
      </c>
    </row>
    <row r="985" spans="1:24" x14ac:dyDescent="0.3">
      <c r="A985" t="s">
        <v>1356</v>
      </c>
      <c r="B985" t="s">
        <v>1354</v>
      </c>
      <c r="C985" t="s">
        <v>19</v>
      </c>
      <c r="D985" t="s">
        <v>32</v>
      </c>
      <c r="E985" t="s">
        <v>159</v>
      </c>
      <c r="F985">
        <v>7</v>
      </c>
      <c r="G985">
        <v>78.09</v>
      </c>
      <c r="H985">
        <v>0.12</v>
      </c>
      <c r="I985" s="4">
        <v>481.03</v>
      </c>
      <c r="J985" t="s">
        <v>21</v>
      </c>
      <c r="K985" t="s">
        <v>39</v>
      </c>
      <c r="L985" s="4">
        <f>VLOOKUP(tblTransactions[[#This Row],[Product_ID]],tblProducts[],5,FALSE)</f>
        <v>47.01</v>
      </c>
      <c r="M985" s="4">
        <f>tblTransactions[[#This Row],[Total_Amount]]-(tblTransactions[[#This Row],[Cost_Prices]]*tblTransactions[[#This Row],[Quantity]]*(1-tblTransactions[[#This Row],[Discount]]))</f>
        <v>191.44839999999999</v>
      </c>
      <c r="N985" s="3">
        <f>tblTransactions[[#This Row],[Profit]]/tblTransactions[[#This Row],[Total_Amount]]</f>
        <v>0.39799679853647385</v>
      </c>
      <c r="O985" t="str">
        <f>TEXT(tblTransactions[[#This Row],[Date]], "MMM-YYYY")</f>
        <v>Aug-2023</v>
      </c>
      <c r="P985" t="str">
        <f>"Q"&amp;ROUNDUP(MONTH(tblTransactions[[#This Row],[Date]])/3,0)&amp;"-"&amp;YEAR(tblTransactions[[#This Row],[Date]])</f>
        <v>Q3-2023</v>
      </c>
      <c r="Q985">
        <f>YEAR(tblTransactions[[#This Row],[Date]])</f>
        <v>2023</v>
      </c>
      <c r="R985" t="str">
        <f>TEXT(tblTransactions[[#This Row],[Date]],"DDDD")</f>
        <v>Sunday</v>
      </c>
      <c r="S985">
        <f>MONTH(tblTransactions[[#This Row],[Date]])</f>
        <v>8</v>
      </c>
      <c r="T985" t="str">
        <f>VLOOKUP(E985, Products!$A:$B,2,0)</f>
        <v>Cables Acc-4</v>
      </c>
      <c r="U985" t="str">
        <f>VLOOKUP(E985,Products!$A:$C,3,0)</f>
        <v>Accessories</v>
      </c>
      <c r="V985" t="str">
        <f>VLOOKUP(E985,Products!$A:$D,4,0)</f>
        <v>Cables</v>
      </c>
      <c r="W985" t="str">
        <f>VLOOKUP(D985,Customers!$A:$C,3,0)</f>
        <v>B2C</v>
      </c>
      <c r="X985" t="str">
        <f>VLOOKUP(C985,Sales_Representatives!$A:$B,2,0)</f>
        <v>Robert Jones</v>
      </c>
    </row>
    <row r="986" spans="1:24" x14ac:dyDescent="0.3">
      <c r="A986" t="s">
        <v>1357</v>
      </c>
      <c r="B986" t="s">
        <v>1354</v>
      </c>
      <c r="C986" t="s">
        <v>63</v>
      </c>
      <c r="D986" t="s">
        <v>95</v>
      </c>
      <c r="E986" t="s">
        <v>129</v>
      </c>
      <c r="F986">
        <v>5</v>
      </c>
      <c r="G986">
        <v>1283.71</v>
      </c>
      <c r="H986">
        <v>0.01</v>
      </c>
      <c r="I986" s="4">
        <v>6354.36</v>
      </c>
      <c r="J986" t="s">
        <v>21</v>
      </c>
      <c r="K986" t="s">
        <v>22</v>
      </c>
      <c r="L986" s="4">
        <f>VLOOKUP(tblTransactions[[#This Row],[Product_ID]],tblProducts[],5,FALSE)</f>
        <v>970.14</v>
      </c>
      <c r="M986" s="4">
        <f>tblTransactions[[#This Row],[Total_Amount]]-(tblTransactions[[#This Row],[Cost_Prices]]*tblTransactions[[#This Row],[Quantity]]*(1-tblTransactions[[#This Row],[Discount]]))</f>
        <v>1552.1669999999995</v>
      </c>
      <c r="N986" s="3">
        <f>tblTransactions[[#This Row],[Profit]]/tblTransactions[[#This Row],[Total_Amount]]</f>
        <v>0.24426803013993534</v>
      </c>
      <c r="O986" t="str">
        <f>TEXT(tblTransactions[[#This Row],[Date]], "MMM-YYYY")</f>
        <v>Aug-2023</v>
      </c>
      <c r="P986" t="str">
        <f>"Q"&amp;ROUNDUP(MONTH(tblTransactions[[#This Row],[Date]])/3,0)&amp;"-"&amp;YEAR(tblTransactions[[#This Row],[Date]])</f>
        <v>Q3-2023</v>
      </c>
      <c r="Q986">
        <f>YEAR(tblTransactions[[#This Row],[Date]])</f>
        <v>2023</v>
      </c>
      <c r="R986" t="str">
        <f>TEXT(tblTransactions[[#This Row],[Date]],"DDDD")</f>
        <v>Sunday</v>
      </c>
      <c r="S986">
        <f>MONTH(tblTransactions[[#This Row],[Date]])</f>
        <v>8</v>
      </c>
      <c r="T986" t="str">
        <f>VLOOKUP(E986, Products!$A:$B,2,0)</f>
        <v>Cameras Ele-3</v>
      </c>
      <c r="U986" t="str">
        <f>VLOOKUP(E986,Products!$A:$C,3,0)</f>
        <v>Electronics</v>
      </c>
      <c r="V986" t="str">
        <f>VLOOKUP(E986,Products!$A:$D,4,0)</f>
        <v>Cameras</v>
      </c>
      <c r="W986" t="str">
        <f>VLOOKUP(D986,Customers!$A:$C,3,0)</f>
        <v>Enterprise</v>
      </c>
      <c r="X986" t="str">
        <f>VLOOKUP(C986,Sales_Representatives!$A:$B,2,0)</f>
        <v>Richard Wilson</v>
      </c>
    </row>
    <row r="987" spans="1:24" x14ac:dyDescent="0.3">
      <c r="A987" t="s">
        <v>1358</v>
      </c>
      <c r="B987" t="s">
        <v>1354</v>
      </c>
      <c r="C987" t="s">
        <v>19</v>
      </c>
      <c r="D987" t="s">
        <v>190</v>
      </c>
      <c r="E987" t="s">
        <v>394</v>
      </c>
      <c r="F987">
        <v>6</v>
      </c>
      <c r="G987">
        <v>314.69</v>
      </c>
      <c r="H987">
        <v>0.14000000000000001</v>
      </c>
      <c r="I987" s="4">
        <v>1623.8</v>
      </c>
      <c r="J987" t="s">
        <v>21</v>
      </c>
      <c r="K987" t="s">
        <v>35</v>
      </c>
      <c r="L987" s="4">
        <f>VLOOKUP(tblTransactions[[#This Row],[Product_ID]],tblProducts[],5,FALSE)</f>
        <v>185.43</v>
      </c>
      <c r="M987" s="4">
        <f>tblTransactions[[#This Row],[Total_Amount]]-(tblTransactions[[#This Row],[Cost_Prices]]*tblTransactions[[#This Row],[Quantity]]*(1-tblTransactions[[#This Row],[Discount]]))</f>
        <v>666.98120000000006</v>
      </c>
      <c r="N987" s="3">
        <f>tblTransactions[[#This Row],[Profit]]/tblTransactions[[#This Row],[Total_Amount]]</f>
        <v>0.41075329474073169</v>
      </c>
      <c r="O987" t="str">
        <f>TEXT(tblTransactions[[#This Row],[Date]], "MMM-YYYY")</f>
        <v>Aug-2023</v>
      </c>
      <c r="P987" t="str">
        <f>"Q"&amp;ROUNDUP(MONTH(tblTransactions[[#This Row],[Date]])/3,0)&amp;"-"&amp;YEAR(tblTransactions[[#This Row],[Date]])</f>
        <v>Q3-2023</v>
      </c>
      <c r="Q987">
        <f>YEAR(tblTransactions[[#This Row],[Date]])</f>
        <v>2023</v>
      </c>
      <c r="R987" t="str">
        <f>TEXT(tblTransactions[[#This Row],[Date]],"DDDD")</f>
        <v>Sunday</v>
      </c>
      <c r="S987">
        <f>MONTH(tblTransactions[[#This Row],[Date]])</f>
        <v>8</v>
      </c>
      <c r="T987" t="str">
        <f>VLOOKUP(E987, Products!$A:$B,2,0)</f>
        <v>Desks Fur-1</v>
      </c>
      <c r="U987" t="str">
        <f>VLOOKUP(E987,Products!$A:$C,3,0)</f>
        <v>Furniture</v>
      </c>
      <c r="V987" t="str">
        <f>VLOOKUP(E987,Products!$A:$D,4,0)</f>
        <v>Desks</v>
      </c>
      <c r="W987" t="str">
        <f>VLOOKUP(D987,Customers!$A:$C,3,0)</f>
        <v>B2B</v>
      </c>
      <c r="X987" t="str">
        <f>VLOOKUP(C987,Sales_Representatives!$A:$B,2,0)</f>
        <v>Robert Jones</v>
      </c>
    </row>
    <row r="988" spans="1:24" x14ac:dyDescent="0.3">
      <c r="A988" t="s">
        <v>1359</v>
      </c>
      <c r="B988" t="s">
        <v>1354</v>
      </c>
      <c r="C988" t="s">
        <v>56</v>
      </c>
      <c r="D988" t="s">
        <v>115</v>
      </c>
      <c r="E988" t="s">
        <v>65</v>
      </c>
      <c r="F988">
        <v>1</v>
      </c>
      <c r="G988">
        <v>49.44</v>
      </c>
      <c r="H988">
        <v>0.09</v>
      </c>
      <c r="I988" s="4">
        <v>44.99</v>
      </c>
      <c r="J988" t="s">
        <v>34</v>
      </c>
      <c r="K988" t="s">
        <v>39</v>
      </c>
      <c r="L988" s="4">
        <f>VLOOKUP(tblTransactions[[#This Row],[Product_ID]],tblProducts[],5,FALSE)</f>
        <v>22.34</v>
      </c>
      <c r="M988" s="4">
        <f>tblTransactions[[#This Row],[Total_Amount]]-(tblTransactions[[#This Row],[Cost_Prices]]*tblTransactions[[#This Row],[Quantity]]*(1-tblTransactions[[#This Row],[Discount]]))</f>
        <v>24.660600000000002</v>
      </c>
      <c r="N988" s="3">
        <f>tblTransactions[[#This Row],[Profit]]/tblTransactions[[#This Row],[Total_Amount]]</f>
        <v>0.54813514114247608</v>
      </c>
      <c r="O988" t="str">
        <f>TEXT(tblTransactions[[#This Row],[Date]], "MMM-YYYY")</f>
        <v>Aug-2023</v>
      </c>
      <c r="P988" t="str">
        <f>"Q"&amp;ROUNDUP(MONTH(tblTransactions[[#This Row],[Date]])/3,0)&amp;"-"&amp;YEAR(tblTransactions[[#This Row],[Date]])</f>
        <v>Q3-2023</v>
      </c>
      <c r="Q988">
        <f>YEAR(tblTransactions[[#This Row],[Date]])</f>
        <v>2023</v>
      </c>
      <c r="R988" t="str">
        <f>TEXT(tblTransactions[[#This Row],[Date]],"DDDD")</f>
        <v>Sunday</v>
      </c>
      <c r="S988">
        <f>MONTH(tblTransactions[[#This Row],[Date]])</f>
        <v>8</v>
      </c>
      <c r="T988" t="str">
        <f>VLOOKUP(E988, Products!$A:$B,2,0)</f>
        <v>Folders Off-2</v>
      </c>
      <c r="U988" t="str">
        <f>VLOOKUP(E988,Products!$A:$C,3,0)</f>
        <v>Office Supplies</v>
      </c>
      <c r="V988" t="str">
        <f>VLOOKUP(E988,Products!$A:$D,4,0)</f>
        <v>Folders</v>
      </c>
      <c r="W988" t="str">
        <f>VLOOKUP(D988,Customers!$A:$C,3,0)</f>
        <v>B2C</v>
      </c>
      <c r="X988" t="str">
        <f>VLOOKUP(C988,Sales_Representatives!$A:$B,2,0)</f>
        <v>Thomas Hernandez</v>
      </c>
    </row>
    <row r="989" spans="1:24" x14ac:dyDescent="0.3">
      <c r="A989" t="s">
        <v>1360</v>
      </c>
      <c r="B989" t="s">
        <v>1354</v>
      </c>
      <c r="C989" t="s">
        <v>70</v>
      </c>
      <c r="D989" t="s">
        <v>98</v>
      </c>
      <c r="E989" t="s">
        <v>394</v>
      </c>
      <c r="F989">
        <v>2</v>
      </c>
      <c r="G989">
        <v>314.69</v>
      </c>
      <c r="H989">
        <v>0.08</v>
      </c>
      <c r="I989" s="4">
        <v>579.03</v>
      </c>
      <c r="J989" t="s">
        <v>16</v>
      </c>
      <c r="K989" t="s">
        <v>35</v>
      </c>
      <c r="L989" s="4">
        <f>VLOOKUP(tblTransactions[[#This Row],[Product_ID]],tblProducts[],5,FALSE)</f>
        <v>185.43</v>
      </c>
      <c r="M989" s="4">
        <f>tblTransactions[[#This Row],[Total_Amount]]-(tblTransactions[[#This Row],[Cost_Prices]]*tblTransactions[[#This Row],[Quantity]]*(1-tblTransactions[[#This Row],[Discount]]))</f>
        <v>237.83879999999994</v>
      </c>
      <c r="N989" s="3">
        <f>tblTransactions[[#This Row],[Profit]]/tblTransactions[[#This Row],[Total_Amount]]</f>
        <v>0.41075384695093509</v>
      </c>
      <c r="O989" t="str">
        <f>TEXT(tblTransactions[[#This Row],[Date]], "MMM-YYYY")</f>
        <v>Aug-2023</v>
      </c>
      <c r="P989" t="str">
        <f>"Q"&amp;ROUNDUP(MONTH(tblTransactions[[#This Row],[Date]])/3,0)&amp;"-"&amp;YEAR(tblTransactions[[#This Row],[Date]])</f>
        <v>Q3-2023</v>
      </c>
      <c r="Q989">
        <f>YEAR(tblTransactions[[#This Row],[Date]])</f>
        <v>2023</v>
      </c>
      <c r="R989" t="str">
        <f>TEXT(tblTransactions[[#This Row],[Date]],"DDDD")</f>
        <v>Sunday</v>
      </c>
      <c r="S989">
        <f>MONTH(tblTransactions[[#This Row],[Date]])</f>
        <v>8</v>
      </c>
      <c r="T989" t="str">
        <f>VLOOKUP(E989, Products!$A:$B,2,0)</f>
        <v>Desks Fur-1</v>
      </c>
      <c r="U989" t="str">
        <f>VLOOKUP(E989,Products!$A:$C,3,0)</f>
        <v>Furniture</v>
      </c>
      <c r="V989" t="str">
        <f>VLOOKUP(E989,Products!$A:$D,4,0)</f>
        <v>Desks</v>
      </c>
      <c r="W989" t="str">
        <f>VLOOKUP(D989,Customers!$A:$C,3,0)</f>
        <v>B2C</v>
      </c>
      <c r="X989" t="str">
        <f>VLOOKUP(C989,Sales_Representatives!$A:$B,2,0)</f>
        <v>Linda Smith</v>
      </c>
    </row>
    <row r="990" spans="1:24" x14ac:dyDescent="0.3">
      <c r="A990" t="s">
        <v>1361</v>
      </c>
      <c r="B990" t="s">
        <v>1354</v>
      </c>
      <c r="C990" t="s">
        <v>59</v>
      </c>
      <c r="D990" t="s">
        <v>101</v>
      </c>
      <c r="E990" t="s">
        <v>91</v>
      </c>
      <c r="F990">
        <v>2</v>
      </c>
      <c r="G990">
        <v>286.62</v>
      </c>
      <c r="H990">
        <v>0.02</v>
      </c>
      <c r="I990" s="4">
        <v>561.78</v>
      </c>
      <c r="J990" t="s">
        <v>21</v>
      </c>
      <c r="K990" t="s">
        <v>17</v>
      </c>
      <c r="L990" s="4">
        <f>VLOOKUP(tblTransactions[[#This Row],[Product_ID]],tblProducts[],5,FALSE)</f>
        <v>145.54</v>
      </c>
      <c r="M990" s="4">
        <f>tblTransactions[[#This Row],[Total_Amount]]-(tblTransactions[[#This Row],[Cost_Prices]]*tblTransactions[[#This Row],[Quantity]]*(1-tblTransactions[[#This Row],[Discount]]))</f>
        <v>276.52159999999998</v>
      </c>
      <c r="N990" s="3">
        <f>tblTransactions[[#This Row],[Profit]]/tblTransactions[[#This Row],[Total_Amount]]</f>
        <v>0.49222400227847196</v>
      </c>
      <c r="O990" t="str">
        <f>TEXT(tblTransactions[[#This Row],[Date]], "MMM-YYYY")</f>
        <v>Aug-2023</v>
      </c>
      <c r="P990" t="str">
        <f>"Q"&amp;ROUNDUP(MONTH(tblTransactions[[#This Row],[Date]])/3,0)&amp;"-"&amp;YEAR(tblTransactions[[#This Row],[Date]])</f>
        <v>Q3-2023</v>
      </c>
      <c r="Q990">
        <f>YEAR(tblTransactions[[#This Row],[Date]])</f>
        <v>2023</v>
      </c>
      <c r="R990" t="str">
        <f>TEXT(tblTransactions[[#This Row],[Date]],"DDDD")</f>
        <v>Sunday</v>
      </c>
      <c r="S990">
        <f>MONTH(tblTransactions[[#This Row],[Date]])</f>
        <v>8</v>
      </c>
      <c r="T990" t="str">
        <f>VLOOKUP(E990, Products!$A:$B,2,0)</f>
        <v>Chairs Fur-1</v>
      </c>
      <c r="U990" t="str">
        <f>VLOOKUP(E990,Products!$A:$C,3,0)</f>
        <v>Furniture</v>
      </c>
      <c r="V990" t="str">
        <f>VLOOKUP(E990,Products!$A:$D,4,0)</f>
        <v>Chairs</v>
      </c>
      <c r="W990" t="str">
        <f>VLOOKUP(D990,Customers!$A:$C,3,0)</f>
        <v>B2C</v>
      </c>
      <c r="X990" t="str">
        <f>VLOOKUP(C990,Sales_Representatives!$A:$B,2,0)</f>
        <v>Sarah Brown</v>
      </c>
    </row>
    <row r="991" spans="1:24" x14ac:dyDescent="0.3">
      <c r="A991" t="s">
        <v>1362</v>
      </c>
      <c r="B991" t="s">
        <v>1363</v>
      </c>
      <c r="C991" t="s">
        <v>59</v>
      </c>
      <c r="D991" t="s">
        <v>212</v>
      </c>
      <c r="E991" t="s">
        <v>178</v>
      </c>
      <c r="F991">
        <v>6</v>
      </c>
      <c r="G991">
        <v>1623.35</v>
      </c>
      <c r="H991">
        <v>0.13</v>
      </c>
      <c r="I991" s="4">
        <v>8473.89</v>
      </c>
      <c r="J991" t="s">
        <v>21</v>
      </c>
      <c r="K991" t="s">
        <v>17</v>
      </c>
      <c r="L991" s="4">
        <f>VLOOKUP(tblTransactions[[#This Row],[Product_ID]],tblProducts[],5,FALSE)</f>
        <v>981.45</v>
      </c>
      <c r="M991" s="4">
        <f>tblTransactions[[#This Row],[Total_Amount]]-(tblTransactions[[#This Row],[Cost_Prices]]*tblTransactions[[#This Row],[Quantity]]*(1-tblTransactions[[#This Row],[Discount]]))</f>
        <v>3350.7209999999986</v>
      </c>
      <c r="N991" s="3">
        <f>tblTransactions[[#This Row],[Profit]]/tblTransactions[[#This Row],[Total_Amount]]</f>
        <v>0.39541709887666687</v>
      </c>
      <c r="O991" t="str">
        <f>TEXT(tblTransactions[[#This Row],[Date]], "MMM-YYYY")</f>
        <v>Aug-2023</v>
      </c>
      <c r="P991" t="str">
        <f>"Q"&amp;ROUNDUP(MONTH(tblTransactions[[#This Row],[Date]])/3,0)&amp;"-"&amp;YEAR(tblTransactions[[#This Row],[Date]])</f>
        <v>Q3-2023</v>
      </c>
      <c r="Q991">
        <f>YEAR(tblTransactions[[#This Row],[Date]])</f>
        <v>2023</v>
      </c>
      <c r="R991" t="str">
        <f>TEXT(tblTransactions[[#This Row],[Date]],"DDDD")</f>
        <v>Monday</v>
      </c>
      <c r="S991">
        <f>MONTH(tblTransactions[[#This Row],[Date]])</f>
        <v>8</v>
      </c>
      <c r="T991" t="str">
        <f>VLOOKUP(E991, Products!$A:$B,2,0)</f>
        <v>Tablets Ele-1</v>
      </c>
      <c r="U991" t="str">
        <f>VLOOKUP(E991,Products!$A:$C,3,0)</f>
        <v>Electronics</v>
      </c>
      <c r="V991" t="str">
        <f>VLOOKUP(E991,Products!$A:$D,4,0)</f>
        <v>Tablets</v>
      </c>
      <c r="W991" t="str">
        <f>VLOOKUP(D991,Customers!$A:$C,3,0)</f>
        <v>B2C</v>
      </c>
      <c r="X991" t="str">
        <f>VLOOKUP(C991,Sales_Representatives!$A:$B,2,0)</f>
        <v>Sarah Brown</v>
      </c>
    </row>
    <row r="992" spans="1:24" x14ac:dyDescent="0.3">
      <c r="A992" t="s">
        <v>1364</v>
      </c>
      <c r="B992" t="s">
        <v>1363</v>
      </c>
      <c r="C992" t="s">
        <v>41</v>
      </c>
      <c r="D992" t="s">
        <v>237</v>
      </c>
      <c r="E992" t="s">
        <v>113</v>
      </c>
      <c r="F992">
        <v>6</v>
      </c>
      <c r="G992">
        <v>930.41</v>
      </c>
      <c r="H992">
        <v>0.11</v>
      </c>
      <c r="I992" s="4">
        <v>4968.3900000000003</v>
      </c>
      <c r="J992" t="s">
        <v>44</v>
      </c>
      <c r="K992" t="s">
        <v>39</v>
      </c>
      <c r="L992" s="4">
        <f>VLOOKUP(tblTransactions[[#This Row],[Product_ID]],tblProducts[],5,FALSE)</f>
        <v>595.51</v>
      </c>
      <c r="M992" s="4">
        <f>tblTransactions[[#This Row],[Total_Amount]]-(tblTransactions[[#This Row],[Cost_Prices]]*tblTransactions[[#This Row],[Quantity]]*(1-tblTransactions[[#This Row],[Discount]]))</f>
        <v>1788.3666000000003</v>
      </c>
      <c r="N992" s="3">
        <f>tblTransactions[[#This Row],[Profit]]/tblTransactions[[#This Row],[Total_Amount]]</f>
        <v>0.35994891705361298</v>
      </c>
      <c r="O992" t="str">
        <f>TEXT(tblTransactions[[#This Row],[Date]], "MMM-YYYY")</f>
        <v>Aug-2023</v>
      </c>
      <c r="P992" t="str">
        <f>"Q"&amp;ROUNDUP(MONTH(tblTransactions[[#This Row],[Date]])/3,0)&amp;"-"&amp;YEAR(tblTransactions[[#This Row],[Date]])</f>
        <v>Q3-2023</v>
      </c>
      <c r="Q992">
        <f>YEAR(tblTransactions[[#This Row],[Date]])</f>
        <v>2023</v>
      </c>
      <c r="R992" t="str">
        <f>TEXT(tblTransactions[[#This Row],[Date]],"DDDD")</f>
        <v>Monday</v>
      </c>
      <c r="S992">
        <f>MONTH(tblTransactions[[#This Row],[Date]])</f>
        <v>8</v>
      </c>
      <c r="T992" t="str">
        <f>VLOOKUP(E992, Products!$A:$B,2,0)</f>
        <v>Phones Ele-1</v>
      </c>
      <c r="U992" t="str">
        <f>VLOOKUP(E992,Products!$A:$C,3,0)</f>
        <v>Electronics</v>
      </c>
      <c r="V992" t="str">
        <f>VLOOKUP(E992,Products!$A:$D,4,0)</f>
        <v>Phones</v>
      </c>
      <c r="W992" t="str">
        <f>VLOOKUP(D992,Customers!$A:$C,3,0)</f>
        <v>B2B</v>
      </c>
      <c r="X992" t="str">
        <f>VLOOKUP(C992,Sales_Representatives!$A:$B,2,0)</f>
        <v>Robert Jones</v>
      </c>
    </row>
    <row r="993" spans="1:24" x14ac:dyDescent="0.3">
      <c r="A993" t="s">
        <v>1365</v>
      </c>
      <c r="B993" t="s">
        <v>1366</v>
      </c>
      <c r="C993" t="s">
        <v>56</v>
      </c>
      <c r="D993" t="s">
        <v>118</v>
      </c>
      <c r="E993" t="s">
        <v>53</v>
      </c>
      <c r="F993">
        <v>6</v>
      </c>
      <c r="G993">
        <v>2069.2199999999998</v>
      </c>
      <c r="H993">
        <v>0.06</v>
      </c>
      <c r="I993" s="4">
        <v>11670.4</v>
      </c>
      <c r="J993" t="s">
        <v>34</v>
      </c>
      <c r="K993" t="s">
        <v>22</v>
      </c>
      <c r="L993" s="4">
        <f>VLOOKUP(tblTransactions[[#This Row],[Product_ID]],tblProducts[],5,FALSE)</f>
        <v>1451.18</v>
      </c>
      <c r="M993" s="4">
        <f>tblTransactions[[#This Row],[Total_Amount]]-(tblTransactions[[#This Row],[Cost_Prices]]*tblTransactions[[#This Row],[Quantity]]*(1-tblTransactions[[#This Row],[Discount]]))</f>
        <v>3485.7448000000004</v>
      </c>
      <c r="N993" s="3">
        <f>tblTransactions[[#This Row],[Profit]]/tblTransactions[[#This Row],[Total_Amount]]</f>
        <v>0.29868254729915</v>
      </c>
      <c r="O993" t="str">
        <f>TEXT(tblTransactions[[#This Row],[Date]], "MMM-YYYY")</f>
        <v>Aug-2023</v>
      </c>
      <c r="P993" t="str">
        <f>"Q"&amp;ROUNDUP(MONTH(tblTransactions[[#This Row],[Date]])/3,0)&amp;"-"&amp;YEAR(tblTransactions[[#This Row],[Date]])</f>
        <v>Q3-2023</v>
      </c>
      <c r="Q993">
        <f>YEAR(tblTransactions[[#This Row],[Date]])</f>
        <v>2023</v>
      </c>
      <c r="R993" t="str">
        <f>TEXT(tblTransactions[[#This Row],[Date]],"DDDD")</f>
        <v>Tuesday</v>
      </c>
      <c r="S993">
        <f>MONTH(tblTransactions[[#This Row],[Date]])</f>
        <v>8</v>
      </c>
      <c r="T993" t="str">
        <f>VLOOKUP(E993, Products!$A:$B,2,0)</f>
        <v>Printers Tec-3</v>
      </c>
      <c r="U993" t="str">
        <f>VLOOKUP(E993,Products!$A:$C,3,0)</f>
        <v>Technology</v>
      </c>
      <c r="V993" t="str">
        <f>VLOOKUP(E993,Products!$A:$D,4,0)</f>
        <v>Printers</v>
      </c>
      <c r="W993" t="str">
        <f>VLOOKUP(D993,Customers!$A:$C,3,0)</f>
        <v>B2C</v>
      </c>
      <c r="X993" t="str">
        <f>VLOOKUP(C993,Sales_Representatives!$A:$B,2,0)</f>
        <v>Thomas Hernandez</v>
      </c>
    </row>
    <row r="994" spans="1:24" x14ac:dyDescent="0.3">
      <c r="A994" t="s">
        <v>1367</v>
      </c>
      <c r="B994" t="s">
        <v>1366</v>
      </c>
      <c r="C994" t="s">
        <v>70</v>
      </c>
      <c r="D994" t="s">
        <v>156</v>
      </c>
      <c r="E994" t="s">
        <v>15</v>
      </c>
      <c r="F994">
        <v>17</v>
      </c>
      <c r="G994">
        <v>477.48</v>
      </c>
      <c r="H994">
        <v>0.19</v>
      </c>
      <c r="I994" s="4">
        <v>6574.9</v>
      </c>
      <c r="J994" t="s">
        <v>16</v>
      </c>
      <c r="K994" t="s">
        <v>22</v>
      </c>
      <c r="L994" s="4">
        <f>VLOOKUP(tblTransactions[[#This Row],[Product_ID]],tblProducts[],5,FALSE)</f>
        <v>275.51</v>
      </c>
      <c r="M994" s="4">
        <f>tblTransactions[[#This Row],[Total_Amount]]-(tblTransactions[[#This Row],[Cost_Prices]]*tblTransactions[[#This Row],[Quantity]]*(1-tblTransactions[[#This Row],[Discount]]))</f>
        <v>2781.1272999999992</v>
      </c>
      <c r="N994" s="3">
        <f>tblTransactions[[#This Row],[Profit]]/tblTransactions[[#This Row],[Total_Amount]]</f>
        <v>0.42299157401633475</v>
      </c>
      <c r="O994" t="str">
        <f>TEXT(tblTransactions[[#This Row],[Date]], "MMM-YYYY")</f>
        <v>Aug-2023</v>
      </c>
      <c r="P994" t="str">
        <f>"Q"&amp;ROUNDUP(MONTH(tblTransactions[[#This Row],[Date]])/3,0)&amp;"-"&amp;YEAR(tblTransactions[[#This Row],[Date]])</f>
        <v>Q3-2023</v>
      </c>
      <c r="Q994">
        <f>YEAR(tblTransactions[[#This Row],[Date]])</f>
        <v>2023</v>
      </c>
      <c r="R994" t="str">
        <f>TEXT(tblTransactions[[#This Row],[Date]],"DDDD")</f>
        <v>Tuesday</v>
      </c>
      <c r="S994">
        <f>MONTH(tblTransactions[[#This Row],[Date]])</f>
        <v>8</v>
      </c>
      <c r="T994" t="str">
        <f>VLOOKUP(E994, Products!$A:$B,2,0)</f>
        <v>Laptops Ele-4</v>
      </c>
      <c r="U994" t="str">
        <f>VLOOKUP(E994,Products!$A:$C,3,0)</f>
        <v>Electronics</v>
      </c>
      <c r="V994" t="str">
        <f>VLOOKUP(E994,Products!$A:$D,4,0)</f>
        <v>Laptops</v>
      </c>
      <c r="W994" t="str">
        <f>VLOOKUP(D994,Customers!$A:$C,3,0)</f>
        <v>B2B</v>
      </c>
      <c r="X994" t="str">
        <f>VLOOKUP(C994,Sales_Representatives!$A:$B,2,0)</f>
        <v>Linda Smith</v>
      </c>
    </row>
    <row r="995" spans="1:24" x14ac:dyDescent="0.3">
      <c r="A995" t="s">
        <v>1368</v>
      </c>
      <c r="B995" t="s">
        <v>1366</v>
      </c>
      <c r="C995" t="s">
        <v>131</v>
      </c>
      <c r="D995" t="s">
        <v>60</v>
      </c>
      <c r="E995" t="s">
        <v>304</v>
      </c>
      <c r="F995">
        <v>7</v>
      </c>
      <c r="G995">
        <v>13.43</v>
      </c>
      <c r="H995">
        <v>0.1</v>
      </c>
      <c r="I995" s="4">
        <v>84.61</v>
      </c>
      <c r="J995" t="s">
        <v>44</v>
      </c>
      <c r="K995" t="s">
        <v>48</v>
      </c>
      <c r="L995" s="4">
        <f>VLOOKUP(tblTransactions[[#This Row],[Product_ID]],tblProducts[],5,FALSE)</f>
        <v>5.8</v>
      </c>
      <c r="M995" s="4">
        <f>tblTransactions[[#This Row],[Total_Amount]]-(tblTransactions[[#This Row],[Cost_Prices]]*tblTransactions[[#This Row],[Quantity]]*(1-tblTransactions[[#This Row],[Discount]]))</f>
        <v>48.07</v>
      </c>
      <c r="N995" s="3">
        <f>tblTransactions[[#This Row],[Profit]]/tblTransactions[[#This Row],[Total_Amount]]</f>
        <v>0.56813615411889851</v>
      </c>
      <c r="O995" t="str">
        <f>TEXT(tblTransactions[[#This Row],[Date]], "MMM-YYYY")</f>
        <v>Aug-2023</v>
      </c>
      <c r="P995" t="str">
        <f>"Q"&amp;ROUNDUP(MONTH(tblTransactions[[#This Row],[Date]])/3,0)&amp;"-"&amp;YEAR(tblTransactions[[#This Row],[Date]])</f>
        <v>Q3-2023</v>
      </c>
      <c r="Q995">
        <f>YEAR(tblTransactions[[#This Row],[Date]])</f>
        <v>2023</v>
      </c>
      <c r="R995" t="str">
        <f>TEXT(tblTransactions[[#This Row],[Date]],"DDDD")</f>
        <v>Tuesday</v>
      </c>
      <c r="S995">
        <f>MONTH(tblTransactions[[#This Row],[Date]])</f>
        <v>8</v>
      </c>
      <c r="T995" t="str">
        <f>VLOOKUP(E995, Products!$A:$B,2,0)</f>
        <v>Pens Off-1</v>
      </c>
      <c r="U995" t="str">
        <f>VLOOKUP(E995,Products!$A:$C,3,0)</f>
        <v>Office Supplies</v>
      </c>
      <c r="V995" t="str">
        <f>VLOOKUP(E995,Products!$A:$D,4,0)</f>
        <v>Pens</v>
      </c>
      <c r="W995" t="str">
        <f>VLOOKUP(D995,Customers!$A:$C,3,0)</f>
        <v>B2C</v>
      </c>
      <c r="X995" t="str">
        <f>VLOOKUP(C995,Sales_Representatives!$A:$B,2,0)</f>
        <v>Michael Davis</v>
      </c>
    </row>
    <row r="996" spans="1:24" x14ac:dyDescent="0.3">
      <c r="A996" t="s">
        <v>1369</v>
      </c>
      <c r="B996" t="s">
        <v>1366</v>
      </c>
      <c r="C996" t="s">
        <v>27</v>
      </c>
      <c r="D996" t="s">
        <v>351</v>
      </c>
      <c r="E996" t="s">
        <v>25</v>
      </c>
      <c r="F996">
        <v>7</v>
      </c>
      <c r="G996">
        <v>1467.49</v>
      </c>
      <c r="H996">
        <v>0.12</v>
      </c>
      <c r="I996" s="4">
        <v>9039.74</v>
      </c>
      <c r="J996" t="s">
        <v>16</v>
      </c>
      <c r="K996" t="s">
        <v>35</v>
      </c>
      <c r="L996" s="4">
        <f>VLOOKUP(tblTransactions[[#This Row],[Product_ID]],tblProducts[],5,FALSE)</f>
        <v>757.65</v>
      </c>
      <c r="M996" s="4">
        <f>tblTransactions[[#This Row],[Total_Amount]]-(tblTransactions[[#This Row],[Cost_Prices]]*tblTransactions[[#This Row],[Quantity]]*(1-tblTransactions[[#This Row],[Discount]]))</f>
        <v>4372.616</v>
      </c>
      <c r="N996" s="3">
        <f>tblTransactions[[#This Row],[Profit]]/tblTransactions[[#This Row],[Total_Amount]]</f>
        <v>0.48371037220097041</v>
      </c>
      <c r="O996" t="str">
        <f>TEXT(tblTransactions[[#This Row],[Date]], "MMM-YYYY")</f>
        <v>Aug-2023</v>
      </c>
      <c r="P996" t="str">
        <f>"Q"&amp;ROUNDUP(MONTH(tblTransactions[[#This Row],[Date]])/3,0)&amp;"-"&amp;YEAR(tblTransactions[[#This Row],[Date]])</f>
        <v>Q3-2023</v>
      </c>
      <c r="Q996">
        <f>YEAR(tblTransactions[[#This Row],[Date]])</f>
        <v>2023</v>
      </c>
      <c r="R996" t="str">
        <f>TEXT(tblTransactions[[#This Row],[Date]],"DDDD")</f>
        <v>Tuesday</v>
      </c>
      <c r="S996">
        <f>MONTH(tblTransactions[[#This Row],[Date]])</f>
        <v>8</v>
      </c>
      <c r="T996" t="str">
        <f>VLOOKUP(E996, Products!$A:$B,2,0)</f>
        <v>Tables Fur-3</v>
      </c>
      <c r="U996" t="str">
        <f>VLOOKUP(E996,Products!$A:$C,3,0)</f>
        <v>Furniture</v>
      </c>
      <c r="V996" t="str">
        <f>VLOOKUP(E996,Products!$A:$D,4,0)</f>
        <v>Tables</v>
      </c>
      <c r="W996" t="str">
        <f>VLOOKUP(D996,Customers!$A:$C,3,0)</f>
        <v>B2C</v>
      </c>
      <c r="X996" t="str">
        <f>VLOOKUP(C996,Sales_Representatives!$A:$B,2,0)</f>
        <v>Thomas Lopez</v>
      </c>
    </row>
    <row r="997" spans="1:24" x14ac:dyDescent="0.3">
      <c r="A997" t="s">
        <v>1370</v>
      </c>
      <c r="B997" t="s">
        <v>1366</v>
      </c>
      <c r="C997" t="s">
        <v>75</v>
      </c>
      <c r="D997" t="s">
        <v>93</v>
      </c>
      <c r="E997" t="s">
        <v>176</v>
      </c>
      <c r="F997">
        <v>4</v>
      </c>
      <c r="G997">
        <v>1462.68</v>
      </c>
      <c r="H997">
        <v>0.08</v>
      </c>
      <c r="I997" s="4">
        <v>5382.66</v>
      </c>
      <c r="J997" t="s">
        <v>44</v>
      </c>
      <c r="K997" t="s">
        <v>22</v>
      </c>
      <c r="L997" s="4">
        <f>VLOOKUP(tblTransactions[[#This Row],[Product_ID]],tblProducts[],5,FALSE)</f>
        <v>775.94</v>
      </c>
      <c r="M997" s="4">
        <f>tblTransactions[[#This Row],[Total_Amount]]-(tblTransactions[[#This Row],[Cost_Prices]]*tblTransactions[[#This Row],[Quantity]]*(1-tblTransactions[[#This Row],[Discount]]))</f>
        <v>2527.2007999999996</v>
      </c>
      <c r="N997" s="3">
        <f>tblTransactions[[#This Row],[Profit]]/tblTransactions[[#This Row],[Total_Amount]]</f>
        <v>0.46950778982882063</v>
      </c>
      <c r="O997" t="str">
        <f>TEXT(tblTransactions[[#This Row],[Date]], "MMM-YYYY")</f>
        <v>Aug-2023</v>
      </c>
      <c r="P997" t="str">
        <f>"Q"&amp;ROUNDUP(MONTH(tblTransactions[[#This Row],[Date]])/3,0)&amp;"-"&amp;YEAR(tblTransactions[[#This Row],[Date]])</f>
        <v>Q3-2023</v>
      </c>
      <c r="Q997">
        <f>YEAR(tblTransactions[[#This Row],[Date]])</f>
        <v>2023</v>
      </c>
      <c r="R997" t="str">
        <f>TEXT(tblTransactions[[#This Row],[Date]],"DDDD")</f>
        <v>Tuesday</v>
      </c>
      <c r="S997">
        <f>MONTH(tblTransactions[[#This Row],[Date]])</f>
        <v>8</v>
      </c>
      <c r="T997" t="str">
        <f>VLOOKUP(E997, Products!$A:$B,2,0)</f>
        <v>Chairs Fur-2</v>
      </c>
      <c r="U997" t="str">
        <f>VLOOKUP(E997,Products!$A:$C,3,0)</f>
        <v>Furniture</v>
      </c>
      <c r="V997" t="str">
        <f>VLOOKUP(E997,Products!$A:$D,4,0)</f>
        <v>Chairs</v>
      </c>
      <c r="W997" t="str">
        <f>VLOOKUP(D997,Customers!$A:$C,3,0)</f>
        <v>B2C</v>
      </c>
      <c r="X997" t="str">
        <f>VLOOKUP(C997,Sales_Representatives!$A:$B,2,0)</f>
        <v>Jessica Anderson</v>
      </c>
    </row>
    <row r="998" spans="1:24" x14ac:dyDescent="0.3">
      <c r="A998" t="s">
        <v>1371</v>
      </c>
      <c r="B998" t="s">
        <v>1366</v>
      </c>
      <c r="C998" t="s">
        <v>13</v>
      </c>
      <c r="D998" t="s">
        <v>154</v>
      </c>
      <c r="E998" t="s">
        <v>290</v>
      </c>
      <c r="F998">
        <v>5</v>
      </c>
      <c r="G998">
        <v>729.32</v>
      </c>
      <c r="H998">
        <v>0.06</v>
      </c>
      <c r="I998" s="4">
        <v>3427.8</v>
      </c>
      <c r="J998" t="s">
        <v>16</v>
      </c>
      <c r="K998" t="s">
        <v>17</v>
      </c>
      <c r="L998" s="4">
        <f>VLOOKUP(tblTransactions[[#This Row],[Product_ID]],tblProducts[],5,FALSE)</f>
        <v>482.7</v>
      </c>
      <c r="M998" s="4">
        <f>tblTransactions[[#This Row],[Total_Amount]]-(tblTransactions[[#This Row],[Cost_Prices]]*tblTransactions[[#This Row],[Quantity]]*(1-tblTransactions[[#This Row],[Discount]]))</f>
        <v>1159.1100000000001</v>
      </c>
      <c r="N998" s="3">
        <f>tblTransactions[[#This Row],[Profit]]/tblTransactions[[#This Row],[Total_Amount]]</f>
        <v>0.33814983371258533</v>
      </c>
      <c r="O998" t="str">
        <f>TEXT(tblTransactions[[#This Row],[Date]], "MMM-YYYY")</f>
        <v>Aug-2023</v>
      </c>
      <c r="P998" t="str">
        <f>"Q"&amp;ROUNDUP(MONTH(tblTransactions[[#This Row],[Date]])/3,0)&amp;"-"&amp;YEAR(tblTransactions[[#This Row],[Date]])</f>
        <v>Q3-2023</v>
      </c>
      <c r="Q998">
        <f>YEAR(tblTransactions[[#This Row],[Date]])</f>
        <v>2023</v>
      </c>
      <c r="R998" t="str">
        <f>TEXT(tblTransactions[[#This Row],[Date]],"DDDD")</f>
        <v>Tuesday</v>
      </c>
      <c r="S998">
        <f>MONTH(tblTransactions[[#This Row],[Date]])</f>
        <v>8</v>
      </c>
      <c r="T998" t="str">
        <f>VLOOKUP(E998, Products!$A:$B,2,0)</f>
        <v>Tables Fur-1</v>
      </c>
      <c r="U998" t="str">
        <f>VLOOKUP(E998,Products!$A:$C,3,0)</f>
        <v>Furniture</v>
      </c>
      <c r="V998" t="str">
        <f>VLOOKUP(E998,Products!$A:$D,4,0)</f>
        <v>Tables</v>
      </c>
      <c r="W998" t="str">
        <f>VLOOKUP(D998,Customers!$A:$C,3,0)</f>
        <v>B2B</v>
      </c>
      <c r="X998" t="str">
        <f>VLOOKUP(C998,Sales_Representatives!$A:$B,2,0)</f>
        <v>Jennifer Rodriguez</v>
      </c>
    </row>
    <row r="999" spans="1:24" x14ac:dyDescent="0.3">
      <c r="A999" t="s">
        <v>1372</v>
      </c>
      <c r="B999" t="s">
        <v>1373</v>
      </c>
      <c r="C999" t="s">
        <v>63</v>
      </c>
      <c r="D999" t="s">
        <v>228</v>
      </c>
      <c r="E999" t="s">
        <v>347</v>
      </c>
      <c r="F999">
        <v>7</v>
      </c>
      <c r="G999">
        <v>1539.6</v>
      </c>
      <c r="H999">
        <v>0.12</v>
      </c>
      <c r="I999" s="4">
        <v>9483.94</v>
      </c>
      <c r="J999" t="s">
        <v>21</v>
      </c>
      <c r="K999" t="s">
        <v>22</v>
      </c>
      <c r="L999" s="4">
        <f>VLOOKUP(tblTransactions[[#This Row],[Product_ID]],tblProducts[],5,FALSE)</f>
        <v>992.43</v>
      </c>
      <c r="M999" s="4">
        <f>tblTransactions[[#This Row],[Total_Amount]]-(tblTransactions[[#This Row],[Cost_Prices]]*tblTransactions[[#This Row],[Quantity]]*(1-tblTransactions[[#This Row],[Discount]]))</f>
        <v>3370.5712000000012</v>
      </c>
      <c r="N999" s="3">
        <f>tblTransactions[[#This Row],[Profit]]/tblTransactions[[#This Row],[Total_Amount]]</f>
        <v>0.35539777771685621</v>
      </c>
      <c r="O999" t="str">
        <f>TEXT(tblTransactions[[#This Row],[Date]], "MMM-YYYY")</f>
        <v>Aug-2023</v>
      </c>
      <c r="P999" t="str">
        <f>"Q"&amp;ROUNDUP(MONTH(tblTransactions[[#This Row],[Date]])/3,0)&amp;"-"&amp;YEAR(tblTransactions[[#This Row],[Date]])</f>
        <v>Q3-2023</v>
      </c>
      <c r="Q999">
        <f>YEAR(tblTransactions[[#This Row],[Date]])</f>
        <v>2023</v>
      </c>
      <c r="R999" t="str">
        <f>TEXT(tblTransactions[[#This Row],[Date]],"DDDD")</f>
        <v>Wednesday</v>
      </c>
      <c r="S999">
        <f>MONTH(tblTransactions[[#This Row],[Date]])</f>
        <v>8</v>
      </c>
      <c r="T999" t="str">
        <f>VLOOKUP(E999, Products!$A:$B,2,0)</f>
        <v>Routers Tec-2</v>
      </c>
      <c r="U999" t="str">
        <f>VLOOKUP(E999,Products!$A:$C,3,0)</f>
        <v>Technology</v>
      </c>
      <c r="V999" t="str">
        <f>VLOOKUP(E999,Products!$A:$D,4,0)</f>
        <v>Routers</v>
      </c>
      <c r="W999" t="str">
        <f>VLOOKUP(D999,Customers!$A:$C,3,0)</f>
        <v>Small Business</v>
      </c>
      <c r="X999" t="str">
        <f>VLOOKUP(C999,Sales_Representatives!$A:$B,2,0)</f>
        <v>Richard Wilson</v>
      </c>
    </row>
    <row r="1000" spans="1:24" x14ac:dyDescent="0.3">
      <c r="A1000" t="s">
        <v>1374</v>
      </c>
      <c r="B1000" t="s">
        <v>1373</v>
      </c>
      <c r="C1000" t="s">
        <v>75</v>
      </c>
      <c r="D1000" t="s">
        <v>124</v>
      </c>
      <c r="E1000" t="s">
        <v>450</v>
      </c>
      <c r="F1000">
        <v>17</v>
      </c>
      <c r="G1000">
        <v>2083.92</v>
      </c>
      <c r="H1000">
        <v>0.14000000000000001</v>
      </c>
      <c r="I1000" s="4">
        <v>30466.91</v>
      </c>
      <c r="J1000" t="s">
        <v>44</v>
      </c>
      <c r="K1000" t="s">
        <v>22</v>
      </c>
      <c r="L1000" s="4">
        <f>VLOOKUP(tblTransactions[[#This Row],[Product_ID]],tblProducts[],5,FALSE)</f>
        <v>1425.78</v>
      </c>
      <c r="M1000" s="4">
        <f>tblTransactions[[#This Row],[Total_Amount]]-(tblTransactions[[#This Row],[Cost_Prices]]*tblTransactions[[#This Row],[Quantity]]*(1-tblTransactions[[#This Row],[Discount]]))</f>
        <v>9622.006400000002</v>
      </c>
      <c r="N1000" s="3">
        <f>tblTransactions[[#This Row],[Profit]]/tblTransactions[[#This Row],[Total_Amount]]</f>
        <v>0.31581825659379315</v>
      </c>
      <c r="O1000" t="str">
        <f>TEXT(tblTransactions[[#This Row],[Date]], "MMM-YYYY")</f>
        <v>Aug-2023</v>
      </c>
      <c r="P1000" t="str">
        <f>"Q"&amp;ROUNDUP(MONTH(tblTransactions[[#This Row],[Date]])/3,0)&amp;"-"&amp;YEAR(tblTransactions[[#This Row],[Date]])</f>
        <v>Q3-2023</v>
      </c>
      <c r="Q1000">
        <f>YEAR(tblTransactions[[#This Row],[Date]])</f>
        <v>2023</v>
      </c>
      <c r="R1000" t="str">
        <f>TEXT(tblTransactions[[#This Row],[Date]],"DDDD")</f>
        <v>Wednesday</v>
      </c>
      <c r="S1000">
        <f>MONTH(tblTransactions[[#This Row],[Date]])</f>
        <v>8</v>
      </c>
      <c r="T1000" t="str">
        <f>VLOOKUP(E1000, Products!$A:$B,2,0)</f>
        <v>Monitors Tec-4</v>
      </c>
      <c r="U1000" t="str">
        <f>VLOOKUP(E1000,Products!$A:$C,3,0)</f>
        <v>Technology</v>
      </c>
      <c r="V1000" t="str">
        <f>VLOOKUP(E1000,Products!$A:$D,4,0)</f>
        <v>Monitors</v>
      </c>
      <c r="W1000" t="str">
        <f>VLOOKUP(D1000,Customers!$A:$C,3,0)</f>
        <v>B2B</v>
      </c>
      <c r="X1000" t="str">
        <f>VLOOKUP(C1000,Sales_Representatives!$A:$B,2,0)</f>
        <v>Jessica Anderson</v>
      </c>
    </row>
    <row r="1001" spans="1:24" x14ac:dyDescent="0.3">
      <c r="A1001" t="s">
        <v>1375</v>
      </c>
      <c r="B1001" t="s">
        <v>1373</v>
      </c>
      <c r="C1001" t="s">
        <v>127</v>
      </c>
      <c r="D1001" t="s">
        <v>288</v>
      </c>
      <c r="E1001" t="s">
        <v>243</v>
      </c>
      <c r="F1001">
        <v>4</v>
      </c>
      <c r="G1001">
        <v>384.18</v>
      </c>
      <c r="H1001">
        <v>0.04</v>
      </c>
      <c r="I1001" s="4">
        <v>1475.25</v>
      </c>
      <c r="J1001" t="s">
        <v>109</v>
      </c>
      <c r="K1001" t="s">
        <v>48</v>
      </c>
      <c r="L1001" s="4">
        <f>VLOOKUP(tblTransactions[[#This Row],[Product_ID]],tblProducts[],5,FALSE)</f>
        <v>266.92</v>
      </c>
      <c r="M1001" s="4">
        <f>tblTransactions[[#This Row],[Total_Amount]]-(tblTransactions[[#This Row],[Cost_Prices]]*tblTransactions[[#This Row],[Quantity]]*(1-tblTransactions[[#This Row],[Discount]]))</f>
        <v>450.27719999999999</v>
      </c>
      <c r="N1001" s="3">
        <f>tblTransactions[[#This Row],[Profit]]/tblTransactions[[#This Row],[Total_Amount]]</f>
        <v>0.30522094560244029</v>
      </c>
      <c r="O1001" t="str">
        <f>TEXT(tblTransactions[[#This Row],[Date]], "MMM-YYYY")</f>
        <v>Aug-2023</v>
      </c>
      <c r="P1001" t="str">
        <f>"Q"&amp;ROUNDUP(MONTH(tblTransactions[[#This Row],[Date]])/3,0)&amp;"-"&amp;YEAR(tblTransactions[[#This Row],[Date]])</f>
        <v>Q3-2023</v>
      </c>
      <c r="Q1001">
        <f>YEAR(tblTransactions[[#This Row],[Date]])</f>
        <v>2023</v>
      </c>
      <c r="R1001" t="str">
        <f>TEXT(tblTransactions[[#This Row],[Date]],"DDDD")</f>
        <v>Wednesday</v>
      </c>
      <c r="S1001">
        <f>MONTH(tblTransactions[[#This Row],[Date]])</f>
        <v>8</v>
      </c>
      <c r="T1001" t="str">
        <f>VLOOKUP(E1001, Products!$A:$B,2,0)</f>
        <v>Routers Tec-3</v>
      </c>
      <c r="U1001" t="str">
        <f>VLOOKUP(E1001,Products!$A:$C,3,0)</f>
        <v>Technology</v>
      </c>
      <c r="V1001" t="str">
        <f>VLOOKUP(E1001,Products!$A:$D,4,0)</f>
        <v>Routers</v>
      </c>
      <c r="W1001" t="str">
        <f>VLOOKUP(D1001,Customers!$A:$C,3,0)</f>
        <v>B2C</v>
      </c>
      <c r="X1001" t="str">
        <f>VLOOKUP(C1001,Sales_Representatives!$A:$B,2,0)</f>
        <v>Emily Hernandez</v>
      </c>
    </row>
    <row r="1002" spans="1:24" x14ac:dyDescent="0.3">
      <c r="A1002" t="s">
        <v>1376</v>
      </c>
      <c r="B1002" t="s">
        <v>1373</v>
      </c>
      <c r="C1002" t="s">
        <v>56</v>
      </c>
      <c r="D1002" t="s">
        <v>216</v>
      </c>
      <c r="E1002" t="s">
        <v>77</v>
      </c>
      <c r="F1002">
        <v>7</v>
      </c>
      <c r="G1002">
        <v>236.82</v>
      </c>
      <c r="H1002">
        <v>0.05</v>
      </c>
      <c r="I1002" s="4">
        <v>1574.85</v>
      </c>
      <c r="J1002" t="s">
        <v>34</v>
      </c>
      <c r="K1002" t="s">
        <v>39</v>
      </c>
      <c r="L1002" s="4">
        <f>VLOOKUP(tblTransactions[[#This Row],[Product_ID]],tblProducts[],5,FALSE)</f>
        <v>110.79</v>
      </c>
      <c r="M1002" s="4">
        <f>tblTransactions[[#This Row],[Total_Amount]]-(tblTransactions[[#This Row],[Cost_Prices]]*tblTransactions[[#This Row],[Quantity]]*(1-tblTransactions[[#This Row],[Discount]]))</f>
        <v>838.09649999999988</v>
      </c>
      <c r="N1002" s="3">
        <f>tblTransactions[[#This Row],[Profit]]/tblTransactions[[#This Row],[Total_Amount]]</f>
        <v>0.53217544528050287</v>
      </c>
      <c r="O1002" t="str">
        <f>TEXT(tblTransactions[[#This Row],[Date]], "MMM-YYYY")</f>
        <v>Aug-2023</v>
      </c>
      <c r="P1002" t="str">
        <f>"Q"&amp;ROUNDUP(MONTH(tblTransactions[[#This Row],[Date]])/3,0)&amp;"-"&amp;YEAR(tblTransactions[[#This Row],[Date]])</f>
        <v>Q3-2023</v>
      </c>
      <c r="Q1002">
        <f>YEAR(tblTransactions[[#This Row],[Date]])</f>
        <v>2023</v>
      </c>
      <c r="R1002" t="str">
        <f>TEXT(tblTransactions[[#This Row],[Date]],"DDDD")</f>
        <v>Wednesday</v>
      </c>
      <c r="S1002">
        <f>MONTH(tblTransactions[[#This Row],[Date]])</f>
        <v>8</v>
      </c>
      <c r="T1002" t="str">
        <f>VLOOKUP(E1002, Products!$A:$B,2,0)</f>
        <v>Binders Off-4</v>
      </c>
      <c r="U1002" t="str">
        <f>VLOOKUP(E1002,Products!$A:$C,3,0)</f>
        <v>Office Supplies</v>
      </c>
      <c r="V1002" t="str">
        <f>VLOOKUP(E1002,Products!$A:$D,4,0)</f>
        <v>Binders</v>
      </c>
      <c r="W1002" t="str">
        <f>VLOOKUP(D1002,Customers!$A:$C,3,0)</f>
        <v>Small Business</v>
      </c>
      <c r="X1002" t="str">
        <f>VLOOKUP(C1002,Sales_Representatives!$A:$B,2,0)</f>
        <v>Thomas Hernandez</v>
      </c>
    </row>
    <row r="1003" spans="1:24" x14ac:dyDescent="0.3">
      <c r="A1003" t="s">
        <v>1377</v>
      </c>
      <c r="B1003" t="s">
        <v>1378</v>
      </c>
      <c r="C1003" t="s">
        <v>31</v>
      </c>
      <c r="D1003" t="s">
        <v>14</v>
      </c>
      <c r="E1003" t="s">
        <v>87</v>
      </c>
      <c r="F1003">
        <v>10</v>
      </c>
      <c r="G1003">
        <v>1047.8900000000001</v>
      </c>
      <c r="H1003">
        <v>7.0000000000000007E-2</v>
      </c>
      <c r="I1003" s="4">
        <v>9745.3799999999992</v>
      </c>
      <c r="J1003" t="s">
        <v>34</v>
      </c>
      <c r="K1003" t="s">
        <v>35</v>
      </c>
      <c r="L1003" s="4">
        <f>VLOOKUP(tblTransactions[[#This Row],[Product_ID]],tblProducts[],5,FALSE)</f>
        <v>742.63</v>
      </c>
      <c r="M1003" s="4">
        <f>tblTransactions[[#This Row],[Total_Amount]]-(tblTransactions[[#This Row],[Cost_Prices]]*tblTransactions[[#This Row],[Quantity]]*(1-tblTransactions[[#This Row],[Discount]]))</f>
        <v>2838.9209999999994</v>
      </c>
      <c r="N1003" s="3">
        <f>tblTransactions[[#This Row],[Profit]]/tblTransactions[[#This Row],[Total_Amount]]</f>
        <v>0.2913094204638505</v>
      </c>
      <c r="O1003" t="str">
        <f>TEXT(tblTransactions[[#This Row],[Date]], "MMM-YYYY")</f>
        <v>Aug-2023</v>
      </c>
      <c r="P1003" t="str">
        <f>"Q"&amp;ROUNDUP(MONTH(tblTransactions[[#This Row],[Date]])/3,0)&amp;"-"&amp;YEAR(tblTransactions[[#This Row],[Date]])</f>
        <v>Q3-2023</v>
      </c>
      <c r="Q1003">
        <f>YEAR(tblTransactions[[#This Row],[Date]])</f>
        <v>2023</v>
      </c>
      <c r="R1003" t="str">
        <f>TEXT(tblTransactions[[#This Row],[Date]],"DDDD")</f>
        <v>Thursday</v>
      </c>
      <c r="S1003">
        <f>MONTH(tblTransactions[[#This Row],[Date]])</f>
        <v>8</v>
      </c>
      <c r="T1003" t="str">
        <f>VLOOKUP(E1003, Products!$A:$B,2,0)</f>
        <v>Monitors Tec-2</v>
      </c>
      <c r="U1003" t="str">
        <f>VLOOKUP(E1003,Products!$A:$C,3,0)</f>
        <v>Technology</v>
      </c>
      <c r="V1003" t="str">
        <f>VLOOKUP(E1003,Products!$A:$D,4,0)</f>
        <v>Monitors</v>
      </c>
      <c r="W1003" t="str">
        <f>VLOOKUP(D1003,Customers!$A:$C,3,0)</f>
        <v>B2B</v>
      </c>
      <c r="X1003" t="str">
        <f>VLOOKUP(C1003,Sales_Representatives!$A:$B,2,0)</f>
        <v>Thomas Martinez</v>
      </c>
    </row>
    <row r="1004" spans="1:24" x14ac:dyDescent="0.3">
      <c r="A1004" t="s">
        <v>1379</v>
      </c>
      <c r="B1004" t="s">
        <v>1378</v>
      </c>
      <c r="C1004" t="s">
        <v>41</v>
      </c>
      <c r="D1004" t="s">
        <v>101</v>
      </c>
      <c r="E1004" t="s">
        <v>20</v>
      </c>
      <c r="F1004">
        <v>3</v>
      </c>
      <c r="G1004">
        <v>1219.49</v>
      </c>
      <c r="H1004">
        <v>0.03</v>
      </c>
      <c r="I1004" s="4">
        <v>3548.72</v>
      </c>
      <c r="J1004" t="s">
        <v>44</v>
      </c>
      <c r="K1004" t="s">
        <v>22</v>
      </c>
      <c r="L1004" s="4">
        <f>VLOOKUP(tblTransactions[[#This Row],[Product_ID]],tblProducts[],5,FALSE)</f>
        <v>686.9</v>
      </c>
      <c r="M1004" s="4">
        <f>tblTransactions[[#This Row],[Total_Amount]]-(tblTransactions[[#This Row],[Cost_Prices]]*tblTransactions[[#This Row],[Quantity]]*(1-tblTransactions[[#This Row],[Discount]]))</f>
        <v>1549.8410000000001</v>
      </c>
      <c r="N1004" s="3">
        <f>tblTransactions[[#This Row],[Profit]]/tblTransactions[[#This Row],[Total_Amount]]</f>
        <v>0.43673239928763052</v>
      </c>
      <c r="O1004" t="str">
        <f>TEXT(tblTransactions[[#This Row],[Date]], "MMM-YYYY")</f>
        <v>Aug-2023</v>
      </c>
      <c r="P1004" t="str">
        <f>"Q"&amp;ROUNDUP(MONTH(tblTransactions[[#This Row],[Date]])/3,0)&amp;"-"&amp;YEAR(tblTransactions[[#This Row],[Date]])</f>
        <v>Q3-2023</v>
      </c>
      <c r="Q1004">
        <f>YEAR(tblTransactions[[#This Row],[Date]])</f>
        <v>2023</v>
      </c>
      <c r="R1004" t="str">
        <f>TEXT(tblTransactions[[#This Row],[Date]],"DDDD")</f>
        <v>Thursday</v>
      </c>
      <c r="S1004">
        <f>MONTH(tblTransactions[[#This Row],[Date]])</f>
        <v>8</v>
      </c>
      <c r="T1004" t="str">
        <f>VLOOKUP(E1004, Products!$A:$B,2,0)</f>
        <v>Laptops Ele-1</v>
      </c>
      <c r="U1004" t="str">
        <f>VLOOKUP(E1004,Products!$A:$C,3,0)</f>
        <v>Electronics</v>
      </c>
      <c r="V1004" t="str">
        <f>VLOOKUP(E1004,Products!$A:$D,4,0)</f>
        <v>Laptops</v>
      </c>
      <c r="W1004" t="str">
        <f>VLOOKUP(D1004,Customers!$A:$C,3,0)</f>
        <v>B2C</v>
      </c>
      <c r="X1004" t="str">
        <f>VLOOKUP(C1004,Sales_Representatives!$A:$B,2,0)</f>
        <v>Robert Jones</v>
      </c>
    </row>
    <row r="1005" spans="1:24" x14ac:dyDescent="0.3">
      <c r="A1005" t="s">
        <v>1380</v>
      </c>
      <c r="B1005" t="s">
        <v>1378</v>
      </c>
      <c r="C1005" t="s">
        <v>13</v>
      </c>
      <c r="D1005" t="s">
        <v>24</v>
      </c>
      <c r="E1005" t="s">
        <v>68</v>
      </c>
      <c r="F1005">
        <v>7</v>
      </c>
      <c r="G1005">
        <v>522.63</v>
      </c>
      <c r="H1005">
        <v>0.15</v>
      </c>
      <c r="I1005" s="4">
        <v>3109.65</v>
      </c>
      <c r="J1005" t="s">
        <v>16</v>
      </c>
      <c r="K1005" t="s">
        <v>35</v>
      </c>
      <c r="L1005" s="4">
        <f>VLOOKUP(tblTransactions[[#This Row],[Product_ID]],tblProducts[],5,FALSE)</f>
        <v>355.82</v>
      </c>
      <c r="M1005" s="4">
        <f>tblTransactions[[#This Row],[Total_Amount]]-(tblTransactions[[#This Row],[Cost_Prices]]*tblTransactions[[#This Row],[Quantity]]*(1-tblTransactions[[#This Row],[Discount]]))</f>
        <v>992.52100000000019</v>
      </c>
      <c r="N1005" s="3">
        <f>tblTransactions[[#This Row],[Profit]]/tblTransactions[[#This Row],[Total_Amount]]</f>
        <v>0.31917450516939211</v>
      </c>
      <c r="O1005" t="str">
        <f>TEXT(tblTransactions[[#This Row],[Date]], "MMM-YYYY")</f>
        <v>Aug-2023</v>
      </c>
      <c r="P1005" t="str">
        <f>"Q"&amp;ROUNDUP(MONTH(tblTransactions[[#This Row],[Date]])/3,0)&amp;"-"&amp;YEAR(tblTransactions[[#This Row],[Date]])</f>
        <v>Q3-2023</v>
      </c>
      <c r="Q1005">
        <f>YEAR(tblTransactions[[#This Row],[Date]])</f>
        <v>2023</v>
      </c>
      <c r="R1005" t="str">
        <f>TEXT(tblTransactions[[#This Row],[Date]],"DDDD")</f>
        <v>Thursday</v>
      </c>
      <c r="S1005">
        <f>MONTH(tblTransactions[[#This Row],[Date]])</f>
        <v>8</v>
      </c>
      <c r="T1005" t="str">
        <f>VLOOKUP(E1005, Products!$A:$B,2,0)</f>
        <v>Monitors Tec-3</v>
      </c>
      <c r="U1005" t="str">
        <f>VLOOKUP(E1005,Products!$A:$C,3,0)</f>
        <v>Technology</v>
      </c>
      <c r="V1005" t="str">
        <f>VLOOKUP(E1005,Products!$A:$D,4,0)</f>
        <v>Monitors</v>
      </c>
      <c r="W1005" t="str">
        <f>VLOOKUP(D1005,Customers!$A:$C,3,0)</f>
        <v>B2B</v>
      </c>
      <c r="X1005" t="str">
        <f>VLOOKUP(C1005,Sales_Representatives!$A:$B,2,0)</f>
        <v>Jennifer Rodriguez</v>
      </c>
    </row>
    <row r="1006" spans="1:24" x14ac:dyDescent="0.3">
      <c r="A1006" t="s">
        <v>1381</v>
      </c>
      <c r="B1006" t="s">
        <v>1378</v>
      </c>
      <c r="C1006" t="s">
        <v>107</v>
      </c>
      <c r="D1006" t="s">
        <v>527</v>
      </c>
      <c r="E1006" t="s">
        <v>65</v>
      </c>
      <c r="F1006">
        <v>3</v>
      </c>
      <c r="G1006">
        <v>49.44</v>
      </c>
      <c r="H1006">
        <v>0.05</v>
      </c>
      <c r="I1006" s="4">
        <v>140.9</v>
      </c>
      <c r="J1006" t="s">
        <v>109</v>
      </c>
      <c r="K1006" t="s">
        <v>39</v>
      </c>
      <c r="L1006" s="4">
        <f>VLOOKUP(tblTransactions[[#This Row],[Product_ID]],tblProducts[],5,FALSE)</f>
        <v>22.34</v>
      </c>
      <c r="M1006" s="4">
        <f>tblTransactions[[#This Row],[Total_Amount]]-(tblTransactions[[#This Row],[Cost_Prices]]*tblTransactions[[#This Row],[Quantity]]*(1-tblTransactions[[#This Row],[Discount]]))</f>
        <v>77.231000000000023</v>
      </c>
      <c r="N1006" s="3">
        <f>tblTransactions[[#This Row],[Profit]]/tblTransactions[[#This Row],[Total_Amount]]</f>
        <v>0.54812633073101502</v>
      </c>
      <c r="O1006" t="str">
        <f>TEXT(tblTransactions[[#This Row],[Date]], "MMM-YYYY")</f>
        <v>Aug-2023</v>
      </c>
      <c r="P1006" t="str">
        <f>"Q"&amp;ROUNDUP(MONTH(tblTransactions[[#This Row],[Date]])/3,0)&amp;"-"&amp;YEAR(tblTransactions[[#This Row],[Date]])</f>
        <v>Q3-2023</v>
      </c>
      <c r="Q1006">
        <f>YEAR(tblTransactions[[#This Row],[Date]])</f>
        <v>2023</v>
      </c>
      <c r="R1006" t="str">
        <f>TEXT(tblTransactions[[#This Row],[Date]],"DDDD")</f>
        <v>Thursday</v>
      </c>
      <c r="S1006">
        <f>MONTH(tblTransactions[[#This Row],[Date]])</f>
        <v>8</v>
      </c>
      <c r="T1006" t="str">
        <f>VLOOKUP(E1006, Products!$A:$B,2,0)</f>
        <v>Folders Off-2</v>
      </c>
      <c r="U1006" t="str">
        <f>VLOOKUP(E1006,Products!$A:$C,3,0)</f>
        <v>Office Supplies</v>
      </c>
      <c r="V1006" t="str">
        <f>VLOOKUP(E1006,Products!$A:$D,4,0)</f>
        <v>Folders</v>
      </c>
      <c r="W1006" t="str">
        <f>VLOOKUP(D1006,Customers!$A:$C,3,0)</f>
        <v>B2C</v>
      </c>
      <c r="X1006" t="str">
        <f>VLOOKUP(C1006,Sales_Representatives!$A:$B,2,0)</f>
        <v>Jennifer Brown</v>
      </c>
    </row>
    <row r="1007" spans="1:24" x14ac:dyDescent="0.3">
      <c r="A1007" t="s">
        <v>1382</v>
      </c>
      <c r="B1007" t="s">
        <v>1383</v>
      </c>
      <c r="C1007" t="s">
        <v>31</v>
      </c>
      <c r="D1007" t="s">
        <v>134</v>
      </c>
      <c r="E1007" t="s">
        <v>224</v>
      </c>
      <c r="F1007">
        <v>13</v>
      </c>
      <c r="G1007">
        <v>505.37</v>
      </c>
      <c r="H1007">
        <v>0.19</v>
      </c>
      <c r="I1007" s="4">
        <v>5321.55</v>
      </c>
      <c r="J1007" t="s">
        <v>34</v>
      </c>
      <c r="K1007" t="s">
        <v>39</v>
      </c>
      <c r="L1007" s="4">
        <f>VLOOKUP(tblTransactions[[#This Row],[Product_ID]],tblProducts[],5,FALSE)</f>
        <v>281.14999999999998</v>
      </c>
      <c r="M1007" s="4">
        <f>tblTransactions[[#This Row],[Total_Amount]]-(tblTransactions[[#This Row],[Cost_Prices]]*tblTransactions[[#This Row],[Quantity]]*(1-tblTransactions[[#This Row],[Discount]]))</f>
        <v>2361.0405000000001</v>
      </c>
      <c r="N1007" s="3">
        <f>tblTransactions[[#This Row],[Profit]]/tblTransactions[[#This Row],[Total_Amount]]</f>
        <v>0.44367533895199707</v>
      </c>
      <c r="O1007" t="str">
        <f>TEXT(tblTransactions[[#This Row],[Date]], "MMM-YYYY")</f>
        <v>Aug-2023</v>
      </c>
      <c r="P1007" t="str">
        <f>"Q"&amp;ROUNDUP(MONTH(tblTransactions[[#This Row],[Date]])/3,0)&amp;"-"&amp;YEAR(tblTransactions[[#This Row],[Date]])</f>
        <v>Q3-2023</v>
      </c>
      <c r="Q1007">
        <f>YEAR(tblTransactions[[#This Row],[Date]])</f>
        <v>2023</v>
      </c>
      <c r="R1007" t="str">
        <f>TEXT(tblTransactions[[#This Row],[Date]],"DDDD")</f>
        <v>Friday</v>
      </c>
      <c r="S1007">
        <f>MONTH(tblTransactions[[#This Row],[Date]])</f>
        <v>8</v>
      </c>
      <c r="T1007" t="str">
        <f>VLOOKUP(E1007, Products!$A:$B,2,0)</f>
        <v>Desks Fur-3</v>
      </c>
      <c r="U1007" t="str">
        <f>VLOOKUP(E1007,Products!$A:$C,3,0)</f>
        <v>Furniture</v>
      </c>
      <c r="V1007" t="str">
        <f>VLOOKUP(E1007,Products!$A:$D,4,0)</f>
        <v>Desks</v>
      </c>
      <c r="W1007" t="str">
        <f>VLOOKUP(D1007,Customers!$A:$C,3,0)</f>
        <v>B2B</v>
      </c>
      <c r="X1007" t="str">
        <f>VLOOKUP(C1007,Sales_Representatives!$A:$B,2,0)</f>
        <v>Thomas Martinez</v>
      </c>
    </row>
    <row r="1008" spans="1:24" x14ac:dyDescent="0.3">
      <c r="A1008" t="s">
        <v>1384</v>
      </c>
      <c r="B1008" t="s">
        <v>1383</v>
      </c>
      <c r="C1008" t="s">
        <v>31</v>
      </c>
      <c r="D1008" t="s">
        <v>76</v>
      </c>
      <c r="E1008" t="s">
        <v>172</v>
      </c>
      <c r="F1008">
        <v>2</v>
      </c>
      <c r="G1008">
        <v>1371.15</v>
      </c>
      <c r="H1008">
        <v>0.04</v>
      </c>
      <c r="I1008" s="4">
        <v>2632.61</v>
      </c>
      <c r="J1008" t="s">
        <v>34</v>
      </c>
      <c r="K1008" t="s">
        <v>22</v>
      </c>
      <c r="L1008" s="4">
        <f>VLOOKUP(tblTransactions[[#This Row],[Product_ID]],tblProducts[],5,FALSE)</f>
        <v>989.81</v>
      </c>
      <c r="M1008" s="4">
        <f>tblTransactions[[#This Row],[Total_Amount]]-(tblTransactions[[#This Row],[Cost_Prices]]*tblTransactions[[#This Row],[Quantity]]*(1-tblTransactions[[#This Row],[Discount]]))</f>
        <v>732.17480000000023</v>
      </c>
      <c r="N1008" s="3">
        <f>tblTransactions[[#This Row],[Profit]]/tblTransactions[[#This Row],[Total_Amount]]</f>
        <v>0.27811745758012019</v>
      </c>
      <c r="O1008" t="str">
        <f>TEXT(tblTransactions[[#This Row],[Date]], "MMM-YYYY")</f>
        <v>Aug-2023</v>
      </c>
      <c r="P1008" t="str">
        <f>"Q"&amp;ROUNDUP(MONTH(tblTransactions[[#This Row],[Date]])/3,0)&amp;"-"&amp;YEAR(tblTransactions[[#This Row],[Date]])</f>
        <v>Q3-2023</v>
      </c>
      <c r="Q1008">
        <f>YEAR(tblTransactions[[#This Row],[Date]])</f>
        <v>2023</v>
      </c>
      <c r="R1008" t="str">
        <f>TEXT(tblTransactions[[#This Row],[Date]],"DDDD")</f>
        <v>Friday</v>
      </c>
      <c r="S1008">
        <f>MONTH(tblTransactions[[#This Row],[Date]])</f>
        <v>8</v>
      </c>
      <c r="T1008" t="str">
        <f>VLOOKUP(E1008, Products!$A:$B,2,0)</f>
        <v>Cameras Ele-4</v>
      </c>
      <c r="U1008" t="str">
        <f>VLOOKUP(E1008,Products!$A:$C,3,0)</f>
        <v>Electronics</v>
      </c>
      <c r="V1008" t="str">
        <f>VLOOKUP(E1008,Products!$A:$D,4,0)</f>
        <v>Cameras</v>
      </c>
      <c r="W1008" t="str">
        <f>VLOOKUP(D1008,Customers!$A:$C,3,0)</f>
        <v>Small Business</v>
      </c>
      <c r="X1008" t="str">
        <f>VLOOKUP(C1008,Sales_Representatives!$A:$B,2,0)</f>
        <v>Thomas Martinez</v>
      </c>
    </row>
    <row r="1009" spans="1:24" x14ac:dyDescent="0.3">
      <c r="A1009" t="s">
        <v>1385</v>
      </c>
      <c r="B1009" t="s">
        <v>1383</v>
      </c>
      <c r="C1009" t="s">
        <v>31</v>
      </c>
      <c r="D1009" t="s">
        <v>136</v>
      </c>
      <c r="E1009" t="s">
        <v>255</v>
      </c>
      <c r="F1009">
        <v>16</v>
      </c>
      <c r="G1009">
        <v>1444.13</v>
      </c>
      <c r="H1009">
        <v>0.12</v>
      </c>
      <c r="I1009" s="4">
        <v>20333.349999999999</v>
      </c>
      <c r="J1009" t="s">
        <v>34</v>
      </c>
      <c r="K1009" t="s">
        <v>17</v>
      </c>
      <c r="L1009" s="4">
        <f>VLOOKUP(tblTransactions[[#This Row],[Product_ID]],tblProducts[],5,FALSE)</f>
        <v>874.43</v>
      </c>
      <c r="M1009" s="4">
        <f>tblTransactions[[#This Row],[Total_Amount]]-(tblTransactions[[#This Row],[Cost_Prices]]*tblTransactions[[#This Row],[Quantity]]*(1-tblTransactions[[#This Row],[Discount]]))</f>
        <v>8021.3755999999994</v>
      </c>
      <c r="N1009" s="3">
        <f>tblTransactions[[#This Row],[Profit]]/tblTransactions[[#This Row],[Total_Amount]]</f>
        <v>0.39449355861183721</v>
      </c>
      <c r="O1009" t="str">
        <f>TEXT(tblTransactions[[#This Row],[Date]], "MMM-YYYY")</f>
        <v>Aug-2023</v>
      </c>
      <c r="P1009" t="str">
        <f>"Q"&amp;ROUNDUP(MONTH(tblTransactions[[#This Row],[Date]])/3,0)&amp;"-"&amp;YEAR(tblTransactions[[#This Row],[Date]])</f>
        <v>Q3-2023</v>
      </c>
      <c r="Q1009">
        <f>YEAR(tblTransactions[[#This Row],[Date]])</f>
        <v>2023</v>
      </c>
      <c r="R1009" t="str">
        <f>TEXT(tblTransactions[[#This Row],[Date]],"DDDD")</f>
        <v>Friday</v>
      </c>
      <c r="S1009">
        <f>MONTH(tblTransactions[[#This Row],[Date]])</f>
        <v>8</v>
      </c>
      <c r="T1009" t="str">
        <f>VLOOKUP(E1009, Products!$A:$B,2,0)</f>
        <v>Printers Tec-1</v>
      </c>
      <c r="U1009" t="str">
        <f>VLOOKUP(E1009,Products!$A:$C,3,0)</f>
        <v>Technology</v>
      </c>
      <c r="V1009" t="str">
        <f>VLOOKUP(E1009,Products!$A:$D,4,0)</f>
        <v>Printers</v>
      </c>
      <c r="W1009" t="str">
        <f>VLOOKUP(D1009,Customers!$A:$C,3,0)</f>
        <v>B2B</v>
      </c>
      <c r="X1009" t="str">
        <f>VLOOKUP(C1009,Sales_Representatives!$A:$B,2,0)</f>
        <v>Thomas Martinez</v>
      </c>
    </row>
    <row r="1010" spans="1:24" x14ac:dyDescent="0.3">
      <c r="A1010" t="s">
        <v>1386</v>
      </c>
      <c r="B1010" t="s">
        <v>1383</v>
      </c>
      <c r="C1010" t="s">
        <v>59</v>
      </c>
      <c r="D1010" t="s">
        <v>156</v>
      </c>
      <c r="E1010" t="s">
        <v>290</v>
      </c>
      <c r="F1010">
        <v>5</v>
      </c>
      <c r="G1010">
        <v>729.32</v>
      </c>
      <c r="H1010">
        <v>0.02</v>
      </c>
      <c r="I1010" s="4">
        <v>3573.67</v>
      </c>
      <c r="J1010" t="s">
        <v>21</v>
      </c>
      <c r="K1010" t="s">
        <v>35</v>
      </c>
      <c r="L1010" s="4">
        <f>VLOOKUP(tblTransactions[[#This Row],[Product_ID]],tblProducts[],5,FALSE)</f>
        <v>482.7</v>
      </c>
      <c r="M1010" s="4">
        <f>tblTransactions[[#This Row],[Total_Amount]]-(tblTransactions[[#This Row],[Cost_Prices]]*tblTransactions[[#This Row],[Quantity]]*(1-tblTransactions[[#This Row],[Discount]]))</f>
        <v>1208.44</v>
      </c>
      <c r="N1010" s="3">
        <f>tblTransactions[[#This Row],[Profit]]/tblTransactions[[#This Row],[Total_Amount]]</f>
        <v>0.33815097644718178</v>
      </c>
      <c r="O1010" t="str">
        <f>TEXT(tblTransactions[[#This Row],[Date]], "MMM-YYYY")</f>
        <v>Aug-2023</v>
      </c>
      <c r="P1010" t="str">
        <f>"Q"&amp;ROUNDUP(MONTH(tblTransactions[[#This Row],[Date]])/3,0)&amp;"-"&amp;YEAR(tblTransactions[[#This Row],[Date]])</f>
        <v>Q3-2023</v>
      </c>
      <c r="Q1010">
        <f>YEAR(tblTransactions[[#This Row],[Date]])</f>
        <v>2023</v>
      </c>
      <c r="R1010" t="str">
        <f>TEXT(tblTransactions[[#This Row],[Date]],"DDDD")</f>
        <v>Friday</v>
      </c>
      <c r="S1010">
        <f>MONTH(tblTransactions[[#This Row],[Date]])</f>
        <v>8</v>
      </c>
      <c r="T1010" t="str">
        <f>VLOOKUP(E1010, Products!$A:$B,2,0)</f>
        <v>Tables Fur-1</v>
      </c>
      <c r="U1010" t="str">
        <f>VLOOKUP(E1010,Products!$A:$C,3,0)</f>
        <v>Furniture</v>
      </c>
      <c r="V1010" t="str">
        <f>VLOOKUP(E1010,Products!$A:$D,4,0)</f>
        <v>Tables</v>
      </c>
      <c r="W1010" t="str">
        <f>VLOOKUP(D1010,Customers!$A:$C,3,0)</f>
        <v>B2B</v>
      </c>
      <c r="X1010" t="str">
        <f>VLOOKUP(C1010,Sales_Representatives!$A:$B,2,0)</f>
        <v>Sarah Brown</v>
      </c>
    </row>
    <row r="1011" spans="1:24" x14ac:dyDescent="0.3">
      <c r="A1011" t="s">
        <v>1387</v>
      </c>
      <c r="B1011" t="s">
        <v>1383</v>
      </c>
      <c r="C1011" t="s">
        <v>127</v>
      </c>
      <c r="D1011" t="s">
        <v>136</v>
      </c>
      <c r="E1011" t="s">
        <v>91</v>
      </c>
      <c r="F1011">
        <v>6</v>
      </c>
      <c r="G1011">
        <v>286.62</v>
      </c>
      <c r="H1011">
        <v>0.06</v>
      </c>
      <c r="I1011" s="4">
        <v>1616.54</v>
      </c>
      <c r="J1011" t="s">
        <v>109</v>
      </c>
      <c r="K1011" t="s">
        <v>48</v>
      </c>
      <c r="L1011" s="4">
        <f>VLOOKUP(tblTransactions[[#This Row],[Product_ID]],tblProducts[],5,FALSE)</f>
        <v>145.54</v>
      </c>
      <c r="M1011" s="4">
        <f>tblTransactions[[#This Row],[Total_Amount]]-(tblTransactions[[#This Row],[Cost_Prices]]*tblTransactions[[#This Row],[Quantity]]*(1-tblTransactions[[#This Row],[Discount]]))</f>
        <v>795.69439999999997</v>
      </c>
      <c r="N1011" s="3">
        <f>tblTransactions[[#This Row],[Profit]]/tblTransactions[[#This Row],[Total_Amount]]</f>
        <v>0.49222066883590881</v>
      </c>
      <c r="O1011" t="str">
        <f>TEXT(tblTransactions[[#This Row],[Date]], "MMM-YYYY")</f>
        <v>Aug-2023</v>
      </c>
      <c r="P1011" t="str">
        <f>"Q"&amp;ROUNDUP(MONTH(tblTransactions[[#This Row],[Date]])/3,0)&amp;"-"&amp;YEAR(tblTransactions[[#This Row],[Date]])</f>
        <v>Q3-2023</v>
      </c>
      <c r="Q1011">
        <f>YEAR(tblTransactions[[#This Row],[Date]])</f>
        <v>2023</v>
      </c>
      <c r="R1011" t="str">
        <f>TEXT(tblTransactions[[#This Row],[Date]],"DDDD")</f>
        <v>Friday</v>
      </c>
      <c r="S1011">
        <f>MONTH(tblTransactions[[#This Row],[Date]])</f>
        <v>8</v>
      </c>
      <c r="T1011" t="str">
        <f>VLOOKUP(E1011, Products!$A:$B,2,0)</f>
        <v>Chairs Fur-1</v>
      </c>
      <c r="U1011" t="str">
        <f>VLOOKUP(E1011,Products!$A:$C,3,0)</f>
        <v>Furniture</v>
      </c>
      <c r="V1011" t="str">
        <f>VLOOKUP(E1011,Products!$A:$D,4,0)</f>
        <v>Chairs</v>
      </c>
      <c r="W1011" t="str">
        <f>VLOOKUP(D1011,Customers!$A:$C,3,0)</f>
        <v>B2B</v>
      </c>
      <c r="X1011" t="str">
        <f>VLOOKUP(C1011,Sales_Representatives!$A:$B,2,0)</f>
        <v>Emily Hernandez</v>
      </c>
    </row>
    <row r="1012" spans="1:24" x14ac:dyDescent="0.3">
      <c r="A1012" t="s">
        <v>1388</v>
      </c>
      <c r="B1012" t="s">
        <v>1383</v>
      </c>
      <c r="C1012" t="s">
        <v>70</v>
      </c>
      <c r="D1012" t="s">
        <v>144</v>
      </c>
      <c r="E1012" t="s">
        <v>87</v>
      </c>
      <c r="F1012">
        <v>3</v>
      </c>
      <c r="G1012">
        <v>1047.8900000000001</v>
      </c>
      <c r="H1012">
        <v>0.03</v>
      </c>
      <c r="I1012" s="4">
        <v>3049.36</v>
      </c>
      <c r="J1012" t="s">
        <v>16</v>
      </c>
      <c r="K1012" t="s">
        <v>48</v>
      </c>
      <c r="L1012" s="4">
        <f>VLOOKUP(tblTransactions[[#This Row],[Product_ID]],tblProducts[],5,FALSE)</f>
        <v>742.63</v>
      </c>
      <c r="M1012" s="4">
        <f>tblTransactions[[#This Row],[Total_Amount]]-(tblTransactions[[#This Row],[Cost_Prices]]*tblTransactions[[#This Row],[Quantity]]*(1-tblTransactions[[#This Row],[Discount]]))</f>
        <v>888.30670000000009</v>
      </c>
      <c r="N1012" s="3">
        <f>tblTransactions[[#This Row],[Profit]]/tblTransactions[[#This Row],[Total_Amount]]</f>
        <v>0.2913092255424089</v>
      </c>
      <c r="O1012" t="str">
        <f>TEXT(tblTransactions[[#This Row],[Date]], "MMM-YYYY")</f>
        <v>Aug-2023</v>
      </c>
      <c r="P1012" t="str">
        <f>"Q"&amp;ROUNDUP(MONTH(tblTransactions[[#This Row],[Date]])/3,0)&amp;"-"&amp;YEAR(tblTransactions[[#This Row],[Date]])</f>
        <v>Q3-2023</v>
      </c>
      <c r="Q1012">
        <f>YEAR(tblTransactions[[#This Row],[Date]])</f>
        <v>2023</v>
      </c>
      <c r="R1012" t="str">
        <f>TEXT(tblTransactions[[#This Row],[Date]],"DDDD")</f>
        <v>Friday</v>
      </c>
      <c r="S1012">
        <f>MONTH(tblTransactions[[#This Row],[Date]])</f>
        <v>8</v>
      </c>
      <c r="T1012" t="str">
        <f>VLOOKUP(E1012, Products!$A:$B,2,0)</f>
        <v>Monitors Tec-2</v>
      </c>
      <c r="U1012" t="str">
        <f>VLOOKUP(E1012,Products!$A:$C,3,0)</f>
        <v>Technology</v>
      </c>
      <c r="V1012" t="str">
        <f>VLOOKUP(E1012,Products!$A:$D,4,0)</f>
        <v>Monitors</v>
      </c>
      <c r="W1012" t="str">
        <f>VLOOKUP(D1012,Customers!$A:$C,3,0)</f>
        <v>B2C</v>
      </c>
      <c r="X1012" t="str">
        <f>VLOOKUP(C1012,Sales_Representatives!$A:$B,2,0)</f>
        <v>Linda Smith</v>
      </c>
    </row>
    <row r="1013" spans="1:24" x14ac:dyDescent="0.3">
      <c r="A1013" t="s">
        <v>1389</v>
      </c>
      <c r="B1013" t="s">
        <v>1383</v>
      </c>
      <c r="C1013" t="s">
        <v>70</v>
      </c>
      <c r="D1013" t="s">
        <v>228</v>
      </c>
      <c r="E1013" t="s">
        <v>38</v>
      </c>
      <c r="F1013">
        <v>5</v>
      </c>
      <c r="G1013">
        <v>581.47</v>
      </c>
      <c r="H1013">
        <v>0.05</v>
      </c>
      <c r="I1013" s="4">
        <v>2761.98</v>
      </c>
      <c r="J1013" t="s">
        <v>16</v>
      </c>
      <c r="K1013" t="s">
        <v>48</v>
      </c>
      <c r="L1013" s="4">
        <f>VLOOKUP(tblTransactions[[#This Row],[Product_ID]],tblProducts[],5,FALSE)</f>
        <v>372.07</v>
      </c>
      <c r="M1013" s="4">
        <f>tblTransactions[[#This Row],[Total_Amount]]-(tblTransactions[[#This Row],[Cost_Prices]]*tblTransactions[[#This Row],[Quantity]]*(1-tblTransactions[[#This Row],[Discount]]))</f>
        <v>994.64750000000026</v>
      </c>
      <c r="N1013" s="3">
        <f>tblTransactions[[#This Row],[Profit]]/tblTransactions[[#This Row],[Total_Amount]]</f>
        <v>0.36012118118161618</v>
      </c>
      <c r="O1013" t="str">
        <f>TEXT(tblTransactions[[#This Row],[Date]], "MMM-YYYY")</f>
        <v>Aug-2023</v>
      </c>
      <c r="P1013" t="str">
        <f>"Q"&amp;ROUNDUP(MONTH(tblTransactions[[#This Row],[Date]])/3,0)&amp;"-"&amp;YEAR(tblTransactions[[#This Row],[Date]])</f>
        <v>Q3-2023</v>
      </c>
      <c r="Q1013">
        <f>YEAR(tblTransactions[[#This Row],[Date]])</f>
        <v>2023</v>
      </c>
      <c r="R1013" t="str">
        <f>TEXT(tblTransactions[[#This Row],[Date]],"DDDD")</f>
        <v>Friday</v>
      </c>
      <c r="S1013">
        <f>MONTH(tblTransactions[[#This Row],[Date]])</f>
        <v>8</v>
      </c>
      <c r="T1013" t="str">
        <f>VLOOKUP(E1013, Products!$A:$B,2,0)</f>
        <v>Storage Fur-3</v>
      </c>
      <c r="U1013" t="str">
        <f>VLOOKUP(E1013,Products!$A:$C,3,0)</f>
        <v>Furniture</v>
      </c>
      <c r="V1013" t="str">
        <f>VLOOKUP(E1013,Products!$A:$D,4,0)</f>
        <v>Storage</v>
      </c>
      <c r="W1013" t="str">
        <f>VLOOKUP(D1013,Customers!$A:$C,3,0)</f>
        <v>Small Business</v>
      </c>
      <c r="X1013" t="str">
        <f>VLOOKUP(C1013,Sales_Representatives!$A:$B,2,0)</f>
        <v>Linda Smith</v>
      </c>
    </row>
    <row r="1014" spans="1:24" x14ac:dyDescent="0.3">
      <c r="A1014" t="s">
        <v>1390</v>
      </c>
      <c r="B1014" t="s">
        <v>1391</v>
      </c>
      <c r="C1014" t="s">
        <v>131</v>
      </c>
      <c r="D1014" t="s">
        <v>28</v>
      </c>
      <c r="E1014" t="s">
        <v>68</v>
      </c>
      <c r="F1014">
        <v>12</v>
      </c>
      <c r="G1014">
        <v>522.63</v>
      </c>
      <c r="H1014">
        <v>0.12</v>
      </c>
      <c r="I1014" s="4">
        <v>5518.97</v>
      </c>
      <c r="J1014" t="s">
        <v>44</v>
      </c>
      <c r="K1014" t="s">
        <v>35</v>
      </c>
      <c r="L1014" s="4">
        <f>VLOOKUP(tblTransactions[[#This Row],[Product_ID]],tblProducts[],5,FALSE)</f>
        <v>355.82</v>
      </c>
      <c r="M1014" s="4">
        <f>tblTransactions[[#This Row],[Total_Amount]]-(tblTransactions[[#This Row],[Cost_Prices]]*tblTransactions[[#This Row],[Quantity]]*(1-tblTransactions[[#This Row],[Discount]]))</f>
        <v>1761.5108</v>
      </c>
      <c r="N1014" s="3">
        <f>tblTransactions[[#This Row],[Profit]]/tblTransactions[[#This Row],[Total_Amount]]</f>
        <v>0.31917383134896549</v>
      </c>
      <c r="O1014" t="str">
        <f>TEXT(tblTransactions[[#This Row],[Date]], "MMM-YYYY")</f>
        <v>Aug-2023</v>
      </c>
      <c r="P1014" t="str">
        <f>"Q"&amp;ROUNDUP(MONTH(tblTransactions[[#This Row],[Date]])/3,0)&amp;"-"&amp;YEAR(tblTransactions[[#This Row],[Date]])</f>
        <v>Q3-2023</v>
      </c>
      <c r="Q1014">
        <f>YEAR(tblTransactions[[#This Row],[Date]])</f>
        <v>2023</v>
      </c>
      <c r="R1014" t="str">
        <f>TEXT(tblTransactions[[#This Row],[Date]],"DDDD")</f>
        <v>Saturday</v>
      </c>
      <c r="S1014">
        <f>MONTH(tblTransactions[[#This Row],[Date]])</f>
        <v>8</v>
      </c>
      <c r="T1014" t="str">
        <f>VLOOKUP(E1014, Products!$A:$B,2,0)</f>
        <v>Monitors Tec-3</v>
      </c>
      <c r="U1014" t="str">
        <f>VLOOKUP(E1014,Products!$A:$C,3,0)</f>
        <v>Technology</v>
      </c>
      <c r="V1014" t="str">
        <f>VLOOKUP(E1014,Products!$A:$D,4,0)</f>
        <v>Monitors</v>
      </c>
      <c r="W1014" t="str">
        <f>VLOOKUP(D1014,Customers!$A:$C,3,0)</f>
        <v>B2B</v>
      </c>
      <c r="X1014" t="str">
        <f>VLOOKUP(C1014,Sales_Representatives!$A:$B,2,0)</f>
        <v>Michael Davis</v>
      </c>
    </row>
    <row r="1015" spans="1:24" x14ac:dyDescent="0.3">
      <c r="A1015" t="s">
        <v>1392</v>
      </c>
      <c r="B1015" t="s">
        <v>1391</v>
      </c>
      <c r="C1015" t="s">
        <v>70</v>
      </c>
      <c r="D1015" t="s">
        <v>57</v>
      </c>
      <c r="E1015" t="s">
        <v>394</v>
      </c>
      <c r="F1015">
        <v>1</v>
      </c>
      <c r="G1015">
        <v>314.69</v>
      </c>
      <c r="H1015">
        <v>0.06</v>
      </c>
      <c r="I1015" s="4">
        <v>295.81</v>
      </c>
      <c r="J1015" t="s">
        <v>16</v>
      </c>
      <c r="K1015" t="s">
        <v>17</v>
      </c>
      <c r="L1015" s="4">
        <f>VLOOKUP(tblTransactions[[#This Row],[Product_ID]],tblProducts[],5,FALSE)</f>
        <v>185.43</v>
      </c>
      <c r="M1015" s="4">
        <f>tblTransactions[[#This Row],[Total_Amount]]-(tblTransactions[[#This Row],[Cost_Prices]]*tblTransactions[[#This Row],[Quantity]]*(1-tblTransactions[[#This Row],[Discount]]))</f>
        <v>121.50579999999999</v>
      </c>
      <c r="N1015" s="3">
        <f>tblTransactions[[#This Row],[Profit]]/tblTransactions[[#This Row],[Total_Amount]]</f>
        <v>0.41075622866028866</v>
      </c>
      <c r="O1015" t="str">
        <f>TEXT(tblTransactions[[#This Row],[Date]], "MMM-YYYY")</f>
        <v>Aug-2023</v>
      </c>
      <c r="P1015" t="str">
        <f>"Q"&amp;ROUNDUP(MONTH(tblTransactions[[#This Row],[Date]])/3,0)&amp;"-"&amp;YEAR(tblTransactions[[#This Row],[Date]])</f>
        <v>Q3-2023</v>
      </c>
      <c r="Q1015">
        <f>YEAR(tblTransactions[[#This Row],[Date]])</f>
        <v>2023</v>
      </c>
      <c r="R1015" t="str">
        <f>TEXT(tblTransactions[[#This Row],[Date]],"DDDD")</f>
        <v>Saturday</v>
      </c>
      <c r="S1015">
        <f>MONTH(tblTransactions[[#This Row],[Date]])</f>
        <v>8</v>
      </c>
      <c r="T1015" t="str">
        <f>VLOOKUP(E1015, Products!$A:$B,2,0)</f>
        <v>Desks Fur-1</v>
      </c>
      <c r="U1015" t="str">
        <f>VLOOKUP(E1015,Products!$A:$C,3,0)</f>
        <v>Furniture</v>
      </c>
      <c r="V1015" t="str">
        <f>VLOOKUP(E1015,Products!$A:$D,4,0)</f>
        <v>Desks</v>
      </c>
      <c r="W1015" t="str">
        <f>VLOOKUP(D1015,Customers!$A:$C,3,0)</f>
        <v>Small Business</v>
      </c>
      <c r="X1015" t="str">
        <f>VLOOKUP(C1015,Sales_Representatives!$A:$B,2,0)</f>
        <v>Linda Smith</v>
      </c>
    </row>
    <row r="1016" spans="1:24" x14ac:dyDescent="0.3">
      <c r="A1016" t="s">
        <v>1393</v>
      </c>
      <c r="B1016" t="s">
        <v>1391</v>
      </c>
      <c r="C1016" t="s">
        <v>59</v>
      </c>
      <c r="D1016" t="s">
        <v>14</v>
      </c>
      <c r="E1016" t="s">
        <v>157</v>
      </c>
      <c r="F1016">
        <v>13</v>
      </c>
      <c r="G1016">
        <v>1227.68</v>
      </c>
      <c r="H1016">
        <v>0.18</v>
      </c>
      <c r="I1016" s="4">
        <v>13087.07</v>
      </c>
      <c r="J1016" t="s">
        <v>21</v>
      </c>
      <c r="K1016" t="s">
        <v>48</v>
      </c>
      <c r="L1016" s="4">
        <f>VLOOKUP(tblTransactions[[#This Row],[Product_ID]],tblProducts[],5,FALSE)</f>
        <v>846.42</v>
      </c>
      <c r="M1016" s="4">
        <f>tblTransactions[[#This Row],[Total_Amount]]-(tblTransactions[[#This Row],[Cost_Prices]]*tblTransactions[[#This Row],[Quantity]]*(1-tblTransactions[[#This Row],[Discount]]))</f>
        <v>4064.2327999999998</v>
      </c>
      <c r="N1016" s="3">
        <f>tblTransactions[[#This Row],[Profit]]/tblTransactions[[#This Row],[Total_Amount]]</f>
        <v>0.31055330184678465</v>
      </c>
      <c r="O1016" t="str">
        <f>TEXT(tblTransactions[[#This Row],[Date]], "MMM-YYYY")</f>
        <v>Aug-2023</v>
      </c>
      <c r="P1016" t="str">
        <f>"Q"&amp;ROUNDUP(MONTH(tblTransactions[[#This Row],[Date]])/3,0)&amp;"-"&amp;YEAR(tblTransactions[[#This Row],[Date]])</f>
        <v>Q3-2023</v>
      </c>
      <c r="Q1016">
        <f>YEAR(tblTransactions[[#This Row],[Date]])</f>
        <v>2023</v>
      </c>
      <c r="R1016" t="str">
        <f>TEXT(tblTransactions[[#This Row],[Date]],"DDDD")</f>
        <v>Saturday</v>
      </c>
      <c r="S1016">
        <f>MONTH(tblTransactions[[#This Row],[Date]])</f>
        <v>8</v>
      </c>
      <c r="T1016" t="str">
        <f>VLOOKUP(E1016, Products!$A:$B,2,0)</f>
        <v>Printers Tec-4</v>
      </c>
      <c r="U1016" t="str">
        <f>VLOOKUP(E1016,Products!$A:$C,3,0)</f>
        <v>Technology</v>
      </c>
      <c r="V1016" t="str">
        <f>VLOOKUP(E1016,Products!$A:$D,4,0)</f>
        <v>Printers</v>
      </c>
      <c r="W1016" t="str">
        <f>VLOOKUP(D1016,Customers!$A:$C,3,0)</f>
        <v>B2B</v>
      </c>
      <c r="X1016" t="str">
        <f>VLOOKUP(C1016,Sales_Representatives!$A:$B,2,0)</f>
        <v>Sarah Brown</v>
      </c>
    </row>
    <row r="1017" spans="1:24" x14ac:dyDescent="0.3">
      <c r="A1017" t="s">
        <v>1394</v>
      </c>
      <c r="B1017" t="s">
        <v>1391</v>
      </c>
      <c r="C1017" t="s">
        <v>127</v>
      </c>
      <c r="D1017" t="s">
        <v>144</v>
      </c>
      <c r="E1017" t="s">
        <v>587</v>
      </c>
      <c r="F1017">
        <v>7</v>
      </c>
      <c r="G1017">
        <v>58.54</v>
      </c>
      <c r="H1017">
        <v>0.06</v>
      </c>
      <c r="I1017" s="4">
        <v>385.19</v>
      </c>
      <c r="J1017" t="s">
        <v>109</v>
      </c>
      <c r="K1017" t="s">
        <v>48</v>
      </c>
      <c r="L1017" s="4">
        <f>VLOOKUP(tblTransactions[[#This Row],[Product_ID]],tblProducts[],5,FALSE)</f>
        <v>25.43</v>
      </c>
      <c r="M1017" s="4">
        <f>tblTransactions[[#This Row],[Total_Amount]]-(tblTransactions[[#This Row],[Cost_Prices]]*tblTransactions[[#This Row],[Quantity]]*(1-tblTransactions[[#This Row],[Discount]]))</f>
        <v>217.86060000000001</v>
      </c>
      <c r="N1017" s="3">
        <f>tblTransactions[[#This Row],[Profit]]/tblTransactions[[#This Row],[Total_Amount]]</f>
        <v>0.56559256470832575</v>
      </c>
      <c r="O1017" t="str">
        <f>TEXT(tblTransactions[[#This Row],[Date]], "MMM-YYYY")</f>
        <v>Aug-2023</v>
      </c>
      <c r="P1017" t="str">
        <f>"Q"&amp;ROUNDUP(MONTH(tblTransactions[[#This Row],[Date]])/3,0)&amp;"-"&amp;YEAR(tblTransactions[[#This Row],[Date]])</f>
        <v>Q3-2023</v>
      </c>
      <c r="Q1017">
        <f>YEAR(tblTransactions[[#This Row],[Date]])</f>
        <v>2023</v>
      </c>
      <c r="R1017" t="str">
        <f>TEXT(tblTransactions[[#This Row],[Date]],"DDDD")</f>
        <v>Saturday</v>
      </c>
      <c r="S1017">
        <f>MONTH(tblTransactions[[#This Row],[Date]])</f>
        <v>8</v>
      </c>
      <c r="T1017" t="str">
        <f>VLOOKUP(E1017, Products!$A:$B,2,0)</f>
        <v>Paper Off-2</v>
      </c>
      <c r="U1017" t="str">
        <f>VLOOKUP(E1017,Products!$A:$C,3,0)</f>
        <v>Office Supplies</v>
      </c>
      <c r="V1017" t="str">
        <f>VLOOKUP(E1017,Products!$A:$D,4,0)</f>
        <v>Paper</v>
      </c>
      <c r="W1017" t="str">
        <f>VLOOKUP(D1017,Customers!$A:$C,3,0)</f>
        <v>B2C</v>
      </c>
      <c r="X1017" t="str">
        <f>VLOOKUP(C1017,Sales_Representatives!$A:$B,2,0)</f>
        <v>Emily Hernandez</v>
      </c>
    </row>
    <row r="1018" spans="1:24" x14ac:dyDescent="0.3">
      <c r="A1018" t="s">
        <v>1395</v>
      </c>
      <c r="B1018" t="s">
        <v>1396</v>
      </c>
      <c r="C1018" t="s">
        <v>82</v>
      </c>
      <c r="D1018" t="s">
        <v>132</v>
      </c>
      <c r="E1018" t="s">
        <v>91</v>
      </c>
      <c r="F1018">
        <v>14</v>
      </c>
      <c r="G1018">
        <v>286.62</v>
      </c>
      <c r="H1018">
        <v>0.17</v>
      </c>
      <c r="I1018" s="4">
        <v>3330.52</v>
      </c>
      <c r="J1018" t="s">
        <v>34</v>
      </c>
      <c r="K1018" t="s">
        <v>39</v>
      </c>
      <c r="L1018" s="4">
        <f>VLOOKUP(tblTransactions[[#This Row],[Product_ID]],tblProducts[],5,FALSE)</f>
        <v>145.54</v>
      </c>
      <c r="M1018" s="4">
        <f>tblTransactions[[#This Row],[Total_Amount]]-(tblTransactions[[#This Row],[Cost_Prices]]*tblTransactions[[#This Row],[Quantity]]*(1-tblTransactions[[#This Row],[Discount]]))</f>
        <v>1639.3452000000002</v>
      </c>
      <c r="N1018" s="3">
        <f>tblTransactions[[#This Row],[Profit]]/tblTransactions[[#This Row],[Total_Amount]]</f>
        <v>0.49221899282994852</v>
      </c>
      <c r="O1018" t="str">
        <f>TEXT(tblTransactions[[#This Row],[Date]], "MMM-YYYY")</f>
        <v>Aug-2023</v>
      </c>
      <c r="P1018" t="str">
        <f>"Q"&amp;ROUNDUP(MONTH(tblTransactions[[#This Row],[Date]])/3,0)&amp;"-"&amp;YEAR(tblTransactions[[#This Row],[Date]])</f>
        <v>Q3-2023</v>
      </c>
      <c r="Q1018">
        <f>YEAR(tblTransactions[[#This Row],[Date]])</f>
        <v>2023</v>
      </c>
      <c r="R1018" t="str">
        <f>TEXT(tblTransactions[[#This Row],[Date]],"DDDD")</f>
        <v>Sunday</v>
      </c>
      <c r="S1018">
        <f>MONTH(tblTransactions[[#This Row],[Date]])</f>
        <v>8</v>
      </c>
      <c r="T1018" t="str">
        <f>VLOOKUP(E1018, Products!$A:$B,2,0)</f>
        <v>Chairs Fur-1</v>
      </c>
      <c r="U1018" t="str">
        <f>VLOOKUP(E1018,Products!$A:$C,3,0)</f>
        <v>Furniture</v>
      </c>
      <c r="V1018" t="str">
        <f>VLOOKUP(E1018,Products!$A:$D,4,0)</f>
        <v>Chairs</v>
      </c>
      <c r="W1018" t="str">
        <f>VLOOKUP(D1018,Customers!$A:$C,3,0)</f>
        <v>B2B</v>
      </c>
      <c r="X1018" t="str">
        <f>VLOOKUP(C1018,Sales_Representatives!$A:$B,2,0)</f>
        <v>John Brown</v>
      </c>
    </row>
    <row r="1019" spans="1:24" x14ac:dyDescent="0.3">
      <c r="A1019" t="s">
        <v>1397</v>
      </c>
      <c r="B1019" t="s">
        <v>1396</v>
      </c>
      <c r="C1019" t="s">
        <v>70</v>
      </c>
      <c r="D1019" t="s">
        <v>28</v>
      </c>
      <c r="E1019" t="s">
        <v>72</v>
      </c>
      <c r="F1019">
        <v>13</v>
      </c>
      <c r="G1019">
        <v>404.76</v>
      </c>
      <c r="H1019">
        <v>0.18</v>
      </c>
      <c r="I1019" s="4">
        <v>4314.74</v>
      </c>
      <c r="J1019" t="s">
        <v>16</v>
      </c>
      <c r="K1019" t="s">
        <v>35</v>
      </c>
      <c r="L1019" s="4">
        <f>VLOOKUP(tblTransactions[[#This Row],[Product_ID]],tblProducts[],5,FALSE)</f>
        <v>226.76</v>
      </c>
      <c r="M1019" s="4">
        <f>tblTransactions[[#This Row],[Total_Amount]]-(tblTransactions[[#This Row],[Cost_Prices]]*tblTransactions[[#This Row],[Quantity]]*(1-tblTransactions[[#This Row],[Discount]]))</f>
        <v>1897.4783999999995</v>
      </c>
      <c r="N1019" s="3">
        <f>tblTransactions[[#This Row],[Profit]]/tblTransactions[[#This Row],[Total_Amount]]</f>
        <v>0.43976656762632271</v>
      </c>
      <c r="O1019" t="str">
        <f>TEXT(tblTransactions[[#This Row],[Date]], "MMM-YYYY")</f>
        <v>Aug-2023</v>
      </c>
      <c r="P1019" t="str">
        <f>"Q"&amp;ROUNDUP(MONTH(tblTransactions[[#This Row],[Date]])/3,0)&amp;"-"&amp;YEAR(tblTransactions[[#This Row],[Date]])</f>
        <v>Q3-2023</v>
      </c>
      <c r="Q1019">
        <f>YEAR(tblTransactions[[#This Row],[Date]])</f>
        <v>2023</v>
      </c>
      <c r="R1019" t="str">
        <f>TEXT(tblTransactions[[#This Row],[Date]],"DDDD")</f>
        <v>Sunday</v>
      </c>
      <c r="S1019">
        <f>MONTH(tblTransactions[[#This Row],[Date]])</f>
        <v>8</v>
      </c>
      <c r="T1019" t="str">
        <f>VLOOKUP(E1019, Products!$A:$B,2,0)</f>
        <v>Tablets Ele-2</v>
      </c>
      <c r="U1019" t="str">
        <f>VLOOKUP(E1019,Products!$A:$C,3,0)</f>
        <v>Electronics</v>
      </c>
      <c r="V1019" t="str">
        <f>VLOOKUP(E1019,Products!$A:$D,4,0)</f>
        <v>Tablets</v>
      </c>
      <c r="W1019" t="str">
        <f>VLOOKUP(D1019,Customers!$A:$C,3,0)</f>
        <v>B2B</v>
      </c>
      <c r="X1019" t="str">
        <f>VLOOKUP(C1019,Sales_Representatives!$A:$B,2,0)</f>
        <v>Linda Smith</v>
      </c>
    </row>
    <row r="1020" spans="1:24" x14ac:dyDescent="0.3">
      <c r="A1020" t="s">
        <v>1398</v>
      </c>
      <c r="B1020" t="s">
        <v>1399</v>
      </c>
      <c r="C1020" t="s">
        <v>19</v>
      </c>
      <c r="D1020" t="s">
        <v>136</v>
      </c>
      <c r="E1020" t="s">
        <v>264</v>
      </c>
      <c r="F1020">
        <v>18</v>
      </c>
      <c r="G1020">
        <v>607.29999999999995</v>
      </c>
      <c r="H1020">
        <v>0.12</v>
      </c>
      <c r="I1020" s="4">
        <v>9619.6299999999992</v>
      </c>
      <c r="J1020" t="s">
        <v>21</v>
      </c>
      <c r="K1020" t="s">
        <v>39</v>
      </c>
      <c r="L1020" s="4">
        <f>VLOOKUP(tblTransactions[[#This Row],[Product_ID]],tblProducts[],5,FALSE)</f>
        <v>436.37</v>
      </c>
      <c r="M1020" s="4">
        <f>tblTransactions[[#This Row],[Total_Amount]]-(tblTransactions[[#This Row],[Cost_Prices]]*tblTransactions[[#This Row],[Quantity]]*(1-tblTransactions[[#This Row],[Discount]]))</f>
        <v>2707.529199999999</v>
      </c>
      <c r="N1020" s="3">
        <f>tblTransactions[[#This Row],[Profit]]/tblTransactions[[#This Row],[Total_Amount]]</f>
        <v>0.28145876712513884</v>
      </c>
      <c r="O1020" t="str">
        <f>TEXT(tblTransactions[[#This Row],[Date]], "MMM-YYYY")</f>
        <v>Aug-2023</v>
      </c>
      <c r="P1020" t="str">
        <f>"Q"&amp;ROUNDUP(MONTH(tblTransactions[[#This Row],[Date]])/3,0)&amp;"-"&amp;YEAR(tblTransactions[[#This Row],[Date]])</f>
        <v>Q3-2023</v>
      </c>
      <c r="Q1020">
        <f>YEAR(tblTransactions[[#This Row],[Date]])</f>
        <v>2023</v>
      </c>
      <c r="R1020" t="str">
        <f>TEXT(tblTransactions[[#This Row],[Date]],"DDDD")</f>
        <v>Monday</v>
      </c>
      <c r="S1020">
        <f>MONTH(tblTransactions[[#This Row],[Date]])</f>
        <v>8</v>
      </c>
      <c r="T1020" t="str">
        <f>VLOOKUP(E1020, Products!$A:$B,2,0)</f>
        <v>Tablets Ele-4</v>
      </c>
      <c r="U1020" t="str">
        <f>VLOOKUP(E1020,Products!$A:$C,3,0)</f>
        <v>Electronics</v>
      </c>
      <c r="V1020" t="str">
        <f>VLOOKUP(E1020,Products!$A:$D,4,0)</f>
        <v>Tablets</v>
      </c>
      <c r="W1020" t="str">
        <f>VLOOKUP(D1020,Customers!$A:$C,3,0)</f>
        <v>B2B</v>
      </c>
      <c r="X1020" t="str">
        <f>VLOOKUP(C1020,Sales_Representatives!$A:$B,2,0)</f>
        <v>Robert Jones</v>
      </c>
    </row>
    <row r="1021" spans="1:24" x14ac:dyDescent="0.3">
      <c r="A1021" t="s">
        <v>1400</v>
      </c>
      <c r="B1021" t="s">
        <v>1399</v>
      </c>
      <c r="C1021" t="s">
        <v>127</v>
      </c>
      <c r="D1021" t="s">
        <v>47</v>
      </c>
      <c r="E1021" t="s">
        <v>77</v>
      </c>
      <c r="F1021">
        <v>2</v>
      </c>
      <c r="G1021">
        <v>236.82</v>
      </c>
      <c r="H1021">
        <v>0.02</v>
      </c>
      <c r="I1021" s="4">
        <v>464.17</v>
      </c>
      <c r="J1021" t="s">
        <v>109</v>
      </c>
      <c r="K1021" t="s">
        <v>35</v>
      </c>
      <c r="L1021" s="4">
        <f>VLOOKUP(tblTransactions[[#This Row],[Product_ID]],tblProducts[],5,FALSE)</f>
        <v>110.79</v>
      </c>
      <c r="M1021" s="4">
        <f>tblTransactions[[#This Row],[Total_Amount]]-(tblTransactions[[#This Row],[Cost_Prices]]*tblTransactions[[#This Row],[Quantity]]*(1-tblTransactions[[#This Row],[Discount]]))</f>
        <v>247.02160000000001</v>
      </c>
      <c r="N1021" s="3">
        <f>tblTransactions[[#This Row],[Profit]]/tblTransactions[[#This Row],[Total_Amount]]</f>
        <v>0.53217915849796416</v>
      </c>
      <c r="O1021" t="str">
        <f>TEXT(tblTransactions[[#This Row],[Date]], "MMM-YYYY")</f>
        <v>Aug-2023</v>
      </c>
      <c r="P1021" t="str">
        <f>"Q"&amp;ROUNDUP(MONTH(tblTransactions[[#This Row],[Date]])/3,0)&amp;"-"&amp;YEAR(tblTransactions[[#This Row],[Date]])</f>
        <v>Q3-2023</v>
      </c>
      <c r="Q1021">
        <f>YEAR(tblTransactions[[#This Row],[Date]])</f>
        <v>2023</v>
      </c>
      <c r="R1021" t="str">
        <f>TEXT(tblTransactions[[#This Row],[Date]],"DDDD")</f>
        <v>Monday</v>
      </c>
      <c r="S1021">
        <f>MONTH(tblTransactions[[#This Row],[Date]])</f>
        <v>8</v>
      </c>
      <c r="T1021" t="str">
        <f>VLOOKUP(E1021, Products!$A:$B,2,0)</f>
        <v>Binders Off-4</v>
      </c>
      <c r="U1021" t="str">
        <f>VLOOKUP(E1021,Products!$A:$C,3,0)</f>
        <v>Office Supplies</v>
      </c>
      <c r="V1021" t="str">
        <f>VLOOKUP(E1021,Products!$A:$D,4,0)</f>
        <v>Binders</v>
      </c>
      <c r="W1021" t="str">
        <f>VLOOKUP(D1021,Customers!$A:$C,3,0)</f>
        <v>B2C</v>
      </c>
      <c r="X1021" t="str">
        <f>VLOOKUP(C1021,Sales_Representatives!$A:$B,2,0)</f>
        <v>Emily Hernandez</v>
      </c>
    </row>
    <row r="1022" spans="1:24" x14ac:dyDescent="0.3">
      <c r="A1022" t="s">
        <v>1401</v>
      </c>
      <c r="B1022" t="s">
        <v>1399</v>
      </c>
      <c r="C1022" t="s">
        <v>107</v>
      </c>
      <c r="D1022" t="s">
        <v>136</v>
      </c>
      <c r="E1022" t="s">
        <v>283</v>
      </c>
      <c r="F1022">
        <v>6</v>
      </c>
      <c r="G1022">
        <v>456.88</v>
      </c>
      <c r="H1022">
        <v>0.14000000000000001</v>
      </c>
      <c r="I1022" s="4">
        <v>2357.5</v>
      </c>
      <c r="J1022" t="s">
        <v>109</v>
      </c>
      <c r="K1022" t="s">
        <v>39</v>
      </c>
      <c r="L1022" s="4">
        <f>VLOOKUP(tblTransactions[[#This Row],[Product_ID]],tblProducts[],5,FALSE)</f>
        <v>313.23</v>
      </c>
      <c r="M1022" s="4">
        <f>tblTransactions[[#This Row],[Total_Amount]]-(tblTransactions[[#This Row],[Cost_Prices]]*tblTransactions[[#This Row],[Quantity]]*(1-tblTransactions[[#This Row],[Discount]]))</f>
        <v>741.2331999999999</v>
      </c>
      <c r="N1022" s="3">
        <f>tblTransactions[[#This Row],[Profit]]/tblTransactions[[#This Row],[Total_Amount]]</f>
        <v>0.31441493107104979</v>
      </c>
      <c r="O1022" t="str">
        <f>TEXT(tblTransactions[[#This Row],[Date]], "MMM-YYYY")</f>
        <v>Aug-2023</v>
      </c>
      <c r="P1022" t="str">
        <f>"Q"&amp;ROUNDUP(MONTH(tblTransactions[[#This Row],[Date]])/3,0)&amp;"-"&amp;YEAR(tblTransactions[[#This Row],[Date]])</f>
        <v>Q3-2023</v>
      </c>
      <c r="Q1022">
        <f>YEAR(tblTransactions[[#This Row],[Date]])</f>
        <v>2023</v>
      </c>
      <c r="R1022" t="str">
        <f>TEXT(tblTransactions[[#This Row],[Date]],"DDDD")</f>
        <v>Monday</v>
      </c>
      <c r="S1022">
        <f>MONTH(tblTransactions[[#This Row],[Date]])</f>
        <v>8</v>
      </c>
      <c r="T1022" t="str">
        <f>VLOOKUP(E1022, Products!$A:$B,2,0)</f>
        <v>Chairs Fur-3</v>
      </c>
      <c r="U1022" t="str">
        <f>VLOOKUP(E1022,Products!$A:$C,3,0)</f>
        <v>Furniture</v>
      </c>
      <c r="V1022" t="str">
        <f>VLOOKUP(E1022,Products!$A:$D,4,0)</f>
        <v>Chairs</v>
      </c>
      <c r="W1022" t="str">
        <f>VLOOKUP(D1022,Customers!$A:$C,3,0)</f>
        <v>B2B</v>
      </c>
      <c r="X1022" t="str">
        <f>VLOOKUP(C1022,Sales_Representatives!$A:$B,2,0)</f>
        <v>Jennifer Brown</v>
      </c>
    </row>
    <row r="1023" spans="1:24" x14ac:dyDescent="0.3">
      <c r="A1023" t="s">
        <v>1402</v>
      </c>
      <c r="B1023" t="s">
        <v>1399</v>
      </c>
      <c r="C1023" t="s">
        <v>131</v>
      </c>
      <c r="D1023" t="s">
        <v>124</v>
      </c>
      <c r="E1023" t="s">
        <v>191</v>
      </c>
      <c r="F1023">
        <v>14</v>
      </c>
      <c r="G1023">
        <v>1012.75</v>
      </c>
      <c r="H1023">
        <v>0.17</v>
      </c>
      <c r="I1023" s="4">
        <v>11768.16</v>
      </c>
      <c r="J1023" t="s">
        <v>44</v>
      </c>
      <c r="K1023" t="s">
        <v>48</v>
      </c>
      <c r="L1023" s="4">
        <f>VLOOKUP(tblTransactions[[#This Row],[Product_ID]],tblProducts[],5,FALSE)</f>
        <v>518.53</v>
      </c>
      <c r="M1023" s="4">
        <f>tblTransactions[[#This Row],[Total_Amount]]-(tblTransactions[[#This Row],[Cost_Prices]]*tblTransactions[[#This Row],[Quantity]]*(1-tblTransactions[[#This Row],[Discount]]))</f>
        <v>5742.8414000000002</v>
      </c>
      <c r="N1023" s="3">
        <f>tblTransactions[[#This Row],[Profit]]/tblTransactions[[#This Row],[Total_Amount]]</f>
        <v>0.48799824271593861</v>
      </c>
      <c r="O1023" t="str">
        <f>TEXT(tblTransactions[[#This Row],[Date]], "MMM-YYYY")</f>
        <v>Aug-2023</v>
      </c>
      <c r="P1023" t="str">
        <f>"Q"&amp;ROUNDUP(MONTH(tblTransactions[[#This Row],[Date]])/3,0)&amp;"-"&amp;YEAR(tblTransactions[[#This Row],[Date]])</f>
        <v>Q3-2023</v>
      </c>
      <c r="Q1023">
        <f>YEAR(tblTransactions[[#This Row],[Date]])</f>
        <v>2023</v>
      </c>
      <c r="R1023" t="str">
        <f>TEXT(tblTransactions[[#This Row],[Date]],"DDDD")</f>
        <v>Monday</v>
      </c>
      <c r="S1023">
        <f>MONTH(tblTransactions[[#This Row],[Date]])</f>
        <v>8</v>
      </c>
      <c r="T1023" t="str">
        <f>VLOOKUP(E1023, Products!$A:$B,2,0)</f>
        <v>Tables Fur-4</v>
      </c>
      <c r="U1023" t="str">
        <f>VLOOKUP(E1023,Products!$A:$C,3,0)</f>
        <v>Furniture</v>
      </c>
      <c r="V1023" t="str">
        <f>VLOOKUP(E1023,Products!$A:$D,4,0)</f>
        <v>Tables</v>
      </c>
      <c r="W1023" t="str">
        <f>VLOOKUP(D1023,Customers!$A:$C,3,0)</f>
        <v>B2B</v>
      </c>
      <c r="X1023" t="str">
        <f>VLOOKUP(C1023,Sales_Representatives!$A:$B,2,0)</f>
        <v>Michael Davis</v>
      </c>
    </row>
    <row r="1024" spans="1:24" x14ac:dyDescent="0.3">
      <c r="A1024" t="s">
        <v>1403</v>
      </c>
      <c r="B1024" t="s">
        <v>1399</v>
      </c>
      <c r="C1024" t="s">
        <v>56</v>
      </c>
      <c r="D1024" t="s">
        <v>60</v>
      </c>
      <c r="E1024" t="s">
        <v>172</v>
      </c>
      <c r="F1024">
        <v>7</v>
      </c>
      <c r="G1024">
        <v>1371.15</v>
      </c>
      <c r="H1024">
        <v>0.14000000000000001</v>
      </c>
      <c r="I1024" s="4">
        <v>8254.32</v>
      </c>
      <c r="J1024" t="s">
        <v>34</v>
      </c>
      <c r="K1024" t="s">
        <v>48</v>
      </c>
      <c r="L1024" s="4">
        <f>VLOOKUP(tblTransactions[[#This Row],[Product_ID]],tblProducts[],5,FALSE)</f>
        <v>989.81</v>
      </c>
      <c r="M1024" s="4">
        <f>tblTransactions[[#This Row],[Total_Amount]]-(tblTransactions[[#This Row],[Cost_Prices]]*tblTransactions[[#This Row],[Quantity]]*(1-tblTransactions[[#This Row],[Discount]]))</f>
        <v>2295.6637999999994</v>
      </c>
      <c r="N1024" s="3">
        <f>tblTransactions[[#This Row],[Profit]]/tblTransactions[[#This Row],[Total_Amount]]</f>
        <v>0.27811664679828252</v>
      </c>
      <c r="O1024" t="str">
        <f>TEXT(tblTransactions[[#This Row],[Date]], "MMM-YYYY")</f>
        <v>Aug-2023</v>
      </c>
      <c r="P1024" t="str">
        <f>"Q"&amp;ROUNDUP(MONTH(tblTransactions[[#This Row],[Date]])/3,0)&amp;"-"&amp;YEAR(tblTransactions[[#This Row],[Date]])</f>
        <v>Q3-2023</v>
      </c>
      <c r="Q1024">
        <f>YEAR(tblTransactions[[#This Row],[Date]])</f>
        <v>2023</v>
      </c>
      <c r="R1024" t="str">
        <f>TEXT(tblTransactions[[#This Row],[Date]],"DDDD")</f>
        <v>Monday</v>
      </c>
      <c r="S1024">
        <f>MONTH(tblTransactions[[#This Row],[Date]])</f>
        <v>8</v>
      </c>
      <c r="T1024" t="str">
        <f>VLOOKUP(E1024, Products!$A:$B,2,0)</f>
        <v>Cameras Ele-4</v>
      </c>
      <c r="U1024" t="str">
        <f>VLOOKUP(E1024,Products!$A:$C,3,0)</f>
        <v>Electronics</v>
      </c>
      <c r="V1024" t="str">
        <f>VLOOKUP(E1024,Products!$A:$D,4,0)</f>
        <v>Cameras</v>
      </c>
      <c r="W1024" t="str">
        <f>VLOOKUP(D1024,Customers!$A:$C,3,0)</f>
        <v>B2C</v>
      </c>
      <c r="X1024" t="str">
        <f>VLOOKUP(C1024,Sales_Representatives!$A:$B,2,0)</f>
        <v>Thomas Hernandez</v>
      </c>
    </row>
    <row r="1025" spans="1:24" x14ac:dyDescent="0.3">
      <c r="A1025" t="s">
        <v>1404</v>
      </c>
      <c r="B1025" t="s">
        <v>1399</v>
      </c>
      <c r="C1025" t="s">
        <v>13</v>
      </c>
      <c r="D1025" t="s">
        <v>327</v>
      </c>
      <c r="E1025" t="s">
        <v>232</v>
      </c>
      <c r="F1025">
        <v>3</v>
      </c>
      <c r="G1025">
        <v>60.21</v>
      </c>
      <c r="H1025">
        <v>7.0000000000000007E-2</v>
      </c>
      <c r="I1025" s="4">
        <v>167.99</v>
      </c>
      <c r="J1025" t="s">
        <v>16</v>
      </c>
      <c r="K1025" t="s">
        <v>17</v>
      </c>
      <c r="L1025" s="4">
        <f>VLOOKUP(tblTransactions[[#This Row],[Product_ID]],tblProducts[],5,FALSE)</f>
        <v>38.18</v>
      </c>
      <c r="M1025" s="4">
        <f>tblTransactions[[#This Row],[Total_Amount]]-(tblTransactions[[#This Row],[Cost_Prices]]*tblTransactions[[#This Row],[Quantity]]*(1-tblTransactions[[#This Row],[Discount]]))</f>
        <v>61.467800000000025</v>
      </c>
      <c r="N1025" s="3">
        <f>tblTransactions[[#This Row],[Profit]]/tblTransactions[[#This Row],[Total_Amount]]</f>
        <v>0.36590154175843814</v>
      </c>
      <c r="O1025" t="str">
        <f>TEXT(tblTransactions[[#This Row],[Date]], "MMM-YYYY")</f>
        <v>Aug-2023</v>
      </c>
      <c r="P1025" t="str">
        <f>"Q"&amp;ROUNDUP(MONTH(tblTransactions[[#This Row],[Date]])/3,0)&amp;"-"&amp;YEAR(tblTransactions[[#This Row],[Date]])</f>
        <v>Q3-2023</v>
      </c>
      <c r="Q1025">
        <f>YEAR(tblTransactions[[#This Row],[Date]])</f>
        <v>2023</v>
      </c>
      <c r="R1025" t="str">
        <f>TEXT(tblTransactions[[#This Row],[Date]],"DDDD")</f>
        <v>Monday</v>
      </c>
      <c r="S1025">
        <f>MONTH(tblTransactions[[#This Row],[Date]])</f>
        <v>8</v>
      </c>
      <c r="T1025" t="str">
        <f>VLOOKUP(E1025, Products!$A:$B,2,0)</f>
        <v>Cables Acc-3</v>
      </c>
      <c r="U1025" t="str">
        <f>VLOOKUP(E1025,Products!$A:$C,3,0)</f>
        <v>Accessories</v>
      </c>
      <c r="V1025" t="str">
        <f>VLOOKUP(E1025,Products!$A:$D,4,0)</f>
        <v>Cables</v>
      </c>
      <c r="W1025" t="str">
        <f>VLOOKUP(D1025,Customers!$A:$C,3,0)</f>
        <v>B2C</v>
      </c>
      <c r="X1025" t="str">
        <f>VLOOKUP(C1025,Sales_Representatives!$A:$B,2,0)</f>
        <v>Jennifer Rodriguez</v>
      </c>
    </row>
    <row r="1026" spans="1:24" x14ac:dyDescent="0.3">
      <c r="A1026" t="s">
        <v>1405</v>
      </c>
      <c r="B1026" t="s">
        <v>1399</v>
      </c>
      <c r="C1026" t="s">
        <v>41</v>
      </c>
      <c r="D1026" t="s">
        <v>76</v>
      </c>
      <c r="E1026" t="s">
        <v>121</v>
      </c>
      <c r="F1026">
        <v>5</v>
      </c>
      <c r="G1026">
        <v>183.9</v>
      </c>
      <c r="H1026">
        <v>7.0000000000000007E-2</v>
      </c>
      <c r="I1026" s="4">
        <v>855.14</v>
      </c>
      <c r="J1026" t="s">
        <v>44</v>
      </c>
      <c r="K1026" t="s">
        <v>22</v>
      </c>
      <c r="L1026" s="4">
        <f>VLOOKUP(tblTransactions[[#This Row],[Product_ID]],tblProducts[],5,FALSE)</f>
        <v>116.83</v>
      </c>
      <c r="M1026" s="4">
        <f>tblTransactions[[#This Row],[Total_Amount]]-(tblTransactions[[#This Row],[Cost_Prices]]*tblTransactions[[#This Row],[Quantity]]*(1-tblTransactions[[#This Row],[Discount]]))</f>
        <v>311.8805000000001</v>
      </c>
      <c r="N1026" s="3">
        <f>tblTransactions[[#This Row],[Profit]]/tblTransactions[[#This Row],[Total_Amount]]</f>
        <v>0.36471279556563851</v>
      </c>
      <c r="O1026" t="str">
        <f>TEXT(tblTransactions[[#This Row],[Date]], "MMM-YYYY")</f>
        <v>Aug-2023</v>
      </c>
      <c r="P1026" t="str">
        <f>"Q"&amp;ROUNDUP(MONTH(tblTransactions[[#This Row],[Date]])/3,0)&amp;"-"&amp;YEAR(tblTransactions[[#This Row],[Date]])</f>
        <v>Q3-2023</v>
      </c>
      <c r="Q1026">
        <f>YEAR(tblTransactions[[#This Row],[Date]])</f>
        <v>2023</v>
      </c>
      <c r="R1026" t="str">
        <f>TEXT(tblTransactions[[#This Row],[Date]],"DDDD")</f>
        <v>Monday</v>
      </c>
      <c r="S1026">
        <f>MONTH(tblTransactions[[#This Row],[Date]])</f>
        <v>8</v>
      </c>
      <c r="T1026" t="str">
        <f>VLOOKUP(E1026, Products!$A:$B,2,0)</f>
        <v>Pens Off-3</v>
      </c>
      <c r="U1026" t="str">
        <f>VLOOKUP(E1026,Products!$A:$C,3,0)</f>
        <v>Office Supplies</v>
      </c>
      <c r="V1026" t="str">
        <f>VLOOKUP(E1026,Products!$A:$D,4,0)</f>
        <v>Pens</v>
      </c>
      <c r="W1026" t="str">
        <f>VLOOKUP(D1026,Customers!$A:$C,3,0)</f>
        <v>Small Business</v>
      </c>
      <c r="X1026" t="str">
        <f>VLOOKUP(C1026,Sales_Representatives!$A:$B,2,0)</f>
        <v>Robert Jones</v>
      </c>
    </row>
    <row r="1027" spans="1:24" x14ac:dyDescent="0.3">
      <c r="A1027" t="s">
        <v>1406</v>
      </c>
      <c r="B1027" t="s">
        <v>1399</v>
      </c>
      <c r="C1027" t="s">
        <v>56</v>
      </c>
      <c r="D1027" t="s">
        <v>47</v>
      </c>
      <c r="E1027" t="s">
        <v>704</v>
      </c>
      <c r="F1027">
        <v>2</v>
      </c>
      <c r="G1027">
        <v>291.81</v>
      </c>
      <c r="H1027">
        <v>0.08</v>
      </c>
      <c r="I1027" s="4">
        <v>536.92999999999995</v>
      </c>
      <c r="J1027" t="s">
        <v>34</v>
      </c>
      <c r="K1027" t="s">
        <v>48</v>
      </c>
      <c r="L1027" s="4">
        <f>VLOOKUP(tblTransactions[[#This Row],[Product_ID]],tblProducts[],5,FALSE)</f>
        <v>123.61</v>
      </c>
      <c r="M1027" s="4">
        <f>tblTransactions[[#This Row],[Total_Amount]]-(tblTransactions[[#This Row],[Cost_Prices]]*tblTransactions[[#This Row],[Quantity]]*(1-tblTransactions[[#This Row],[Discount]]))</f>
        <v>309.48759999999993</v>
      </c>
      <c r="N1027" s="3">
        <f>tblTransactions[[#This Row],[Profit]]/tblTransactions[[#This Row],[Total_Amount]]</f>
        <v>0.57640213808131402</v>
      </c>
      <c r="O1027" t="str">
        <f>TEXT(tblTransactions[[#This Row],[Date]], "MMM-YYYY")</f>
        <v>Aug-2023</v>
      </c>
      <c r="P1027" t="str">
        <f>"Q"&amp;ROUNDUP(MONTH(tblTransactions[[#This Row],[Date]])/3,0)&amp;"-"&amp;YEAR(tblTransactions[[#This Row],[Date]])</f>
        <v>Q3-2023</v>
      </c>
      <c r="Q1027">
        <f>YEAR(tblTransactions[[#This Row],[Date]])</f>
        <v>2023</v>
      </c>
      <c r="R1027" t="str">
        <f>TEXT(tblTransactions[[#This Row],[Date]],"DDDD")</f>
        <v>Monday</v>
      </c>
      <c r="S1027">
        <f>MONTH(tblTransactions[[#This Row],[Date]])</f>
        <v>8</v>
      </c>
      <c r="T1027" t="str">
        <f>VLOOKUP(E1027, Products!$A:$B,2,0)</f>
        <v>Keyboards Acc-4</v>
      </c>
      <c r="U1027" t="str">
        <f>VLOOKUP(E1027,Products!$A:$C,3,0)</f>
        <v>Accessories</v>
      </c>
      <c r="V1027" t="str">
        <f>VLOOKUP(E1027,Products!$A:$D,4,0)</f>
        <v>Keyboards</v>
      </c>
      <c r="W1027" t="str">
        <f>VLOOKUP(D1027,Customers!$A:$C,3,0)</f>
        <v>B2C</v>
      </c>
      <c r="X1027" t="str">
        <f>VLOOKUP(C1027,Sales_Representatives!$A:$B,2,0)</f>
        <v>Thomas Hernandez</v>
      </c>
    </row>
    <row r="1028" spans="1:24" x14ac:dyDescent="0.3">
      <c r="A1028" t="s">
        <v>1407</v>
      </c>
      <c r="B1028" t="s">
        <v>1408</v>
      </c>
      <c r="C1028" t="s">
        <v>70</v>
      </c>
      <c r="D1028" t="s">
        <v>288</v>
      </c>
      <c r="E1028" t="s">
        <v>77</v>
      </c>
      <c r="F1028">
        <v>6</v>
      </c>
      <c r="G1028">
        <v>236.82</v>
      </c>
      <c r="H1028">
        <v>0.11</v>
      </c>
      <c r="I1028" s="4">
        <v>1264.6199999999999</v>
      </c>
      <c r="J1028" t="s">
        <v>16</v>
      </c>
      <c r="K1028" t="s">
        <v>17</v>
      </c>
      <c r="L1028" s="4">
        <f>VLOOKUP(tblTransactions[[#This Row],[Product_ID]],tblProducts[],5,FALSE)</f>
        <v>110.79</v>
      </c>
      <c r="M1028" s="4">
        <f>tblTransactions[[#This Row],[Total_Amount]]-(tblTransactions[[#This Row],[Cost_Prices]]*tblTransactions[[#This Row],[Quantity]]*(1-tblTransactions[[#This Row],[Discount]]))</f>
        <v>673.00139999999988</v>
      </c>
      <c r="N1028" s="3">
        <f>tblTransactions[[#This Row],[Profit]]/tblTransactions[[#This Row],[Total_Amount]]</f>
        <v>0.5321767803767139</v>
      </c>
      <c r="O1028" t="str">
        <f>TEXT(tblTransactions[[#This Row],[Date]], "MMM-YYYY")</f>
        <v>Aug-2023</v>
      </c>
      <c r="P1028" t="str">
        <f>"Q"&amp;ROUNDUP(MONTH(tblTransactions[[#This Row],[Date]])/3,0)&amp;"-"&amp;YEAR(tblTransactions[[#This Row],[Date]])</f>
        <v>Q3-2023</v>
      </c>
      <c r="Q1028">
        <f>YEAR(tblTransactions[[#This Row],[Date]])</f>
        <v>2023</v>
      </c>
      <c r="R1028" t="str">
        <f>TEXT(tblTransactions[[#This Row],[Date]],"DDDD")</f>
        <v>Tuesday</v>
      </c>
      <c r="S1028">
        <f>MONTH(tblTransactions[[#This Row],[Date]])</f>
        <v>8</v>
      </c>
      <c r="T1028" t="str">
        <f>VLOOKUP(E1028, Products!$A:$B,2,0)</f>
        <v>Binders Off-4</v>
      </c>
      <c r="U1028" t="str">
        <f>VLOOKUP(E1028,Products!$A:$C,3,0)</f>
        <v>Office Supplies</v>
      </c>
      <c r="V1028" t="str">
        <f>VLOOKUP(E1028,Products!$A:$D,4,0)</f>
        <v>Binders</v>
      </c>
      <c r="W1028" t="str">
        <f>VLOOKUP(D1028,Customers!$A:$C,3,0)</f>
        <v>B2C</v>
      </c>
      <c r="X1028" t="str">
        <f>VLOOKUP(C1028,Sales_Representatives!$A:$B,2,0)</f>
        <v>Linda Smith</v>
      </c>
    </row>
    <row r="1029" spans="1:24" x14ac:dyDescent="0.3">
      <c r="A1029" t="s">
        <v>1409</v>
      </c>
      <c r="B1029" t="s">
        <v>1408</v>
      </c>
      <c r="C1029" t="s">
        <v>131</v>
      </c>
      <c r="D1029" t="s">
        <v>362</v>
      </c>
      <c r="E1029" t="s">
        <v>137</v>
      </c>
      <c r="F1029">
        <v>7</v>
      </c>
      <c r="G1029">
        <v>241.39</v>
      </c>
      <c r="H1029">
        <v>0.1</v>
      </c>
      <c r="I1029" s="4">
        <v>1520.76</v>
      </c>
      <c r="J1029" t="s">
        <v>44</v>
      </c>
      <c r="K1029" t="s">
        <v>22</v>
      </c>
      <c r="L1029" s="4">
        <f>VLOOKUP(tblTransactions[[#This Row],[Product_ID]],tblProducts[],5,FALSE)</f>
        <v>124.07</v>
      </c>
      <c r="M1029" s="4">
        <f>tblTransactions[[#This Row],[Total_Amount]]-(tblTransactions[[#This Row],[Cost_Prices]]*tblTransactions[[#This Row],[Quantity]]*(1-tblTransactions[[#This Row],[Discount]]))</f>
        <v>739.11899999999991</v>
      </c>
      <c r="N1029" s="3">
        <f>tblTransactions[[#This Row],[Profit]]/tblTransactions[[#This Row],[Total_Amount]]</f>
        <v>0.48601949025487251</v>
      </c>
      <c r="O1029" t="str">
        <f>TEXT(tblTransactions[[#This Row],[Date]], "MMM-YYYY")</f>
        <v>Aug-2023</v>
      </c>
      <c r="P1029" t="str">
        <f>"Q"&amp;ROUNDUP(MONTH(tblTransactions[[#This Row],[Date]])/3,0)&amp;"-"&amp;YEAR(tblTransactions[[#This Row],[Date]])</f>
        <v>Q3-2023</v>
      </c>
      <c r="Q1029">
        <f>YEAR(tblTransactions[[#This Row],[Date]])</f>
        <v>2023</v>
      </c>
      <c r="R1029" t="str">
        <f>TEXT(tblTransactions[[#This Row],[Date]],"DDDD")</f>
        <v>Tuesday</v>
      </c>
      <c r="S1029">
        <f>MONTH(tblTransactions[[#This Row],[Date]])</f>
        <v>8</v>
      </c>
      <c r="T1029" t="str">
        <f>VLOOKUP(E1029, Products!$A:$B,2,0)</f>
        <v>Desks Fur-2</v>
      </c>
      <c r="U1029" t="str">
        <f>VLOOKUP(E1029,Products!$A:$C,3,0)</f>
        <v>Furniture</v>
      </c>
      <c r="V1029" t="str">
        <f>VLOOKUP(E1029,Products!$A:$D,4,0)</f>
        <v>Desks</v>
      </c>
      <c r="W1029" t="str">
        <f>VLOOKUP(D1029,Customers!$A:$C,3,0)</f>
        <v>Small Business</v>
      </c>
      <c r="X1029" t="str">
        <f>VLOOKUP(C1029,Sales_Representatives!$A:$B,2,0)</f>
        <v>Michael Davis</v>
      </c>
    </row>
    <row r="1030" spans="1:24" x14ac:dyDescent="0.3">
      <c r="A1030" t="s">
        <v>1410</v>
      </c>
      <c r="B1030" t="s">
        <v>1408</v>
      </c>
      <c r="C1030" t="s">
        <v>127</v>
      </c>
      <c r="D1030" t="s">
        <v>24</v>
      </c>
      <c r="E1030" t="s">
        <v>72</v>
      </c>
      <c r="F1030">
        <v>18</v>
      </c>
      <c r="G1030">
        <v>404.76</v>
      </c>
      <c r="H1030">
        <v>0.19</v>
      </c>
      <c r="I1030" s="4">
        <v>5901.4</v>
      </c>
      <c r="J1030" t="s">
        <v>109</v>
      </c>
      <c r="K1030" t="s">
        <v>39</v>
      </c>
      <c r="L1030" s="4">
        <f>VLOOKUP(tblTransactions[[#This Row],[Product_ID]],tblProducts[],5,FALSE)</f>
        <v>226.76</v>
      </c>
      <c r="M1030" s="4">
        <f>tblTransactions[[#This Row],[Total_Amount]]-(tblTransactions[[#This Row],[Cost_Prices]]*tblTransactions[[#This Row],[Quantity]]*(1-tblTransactions[[#This Row],[Discount]]))</f>
        <v>2595.2391999999995</v>
      </c>
      <c r="N1030" s="3">
        <f>tblTransactions[[#This Row],[Profit]]/tblTransactions[[#This Row],[Total_Amount]]</f>
        <v>0.43976669942725449</v>
      </c>
      <c r="O1030" t="str">
        <f>TEXT(tblTransactions[[#This Row],[Date]], "MMM-YYYY")</f>
        <v>Aug-2023</v>
      </c>
      <c r="P1030" t="str">
        <f>"Q"&amp;ROUNDUP(MONTH(tblTransactions[[#This Row],[Date]])/3,0)&amp;"-"&amp;YEAR(tblTransactions[[#This Row],[Date]])</f>
        <v>Q3-2023</v>
      </c>
      <c r="Q1030">
        <f>YEAR(tblTransactions[[#This Row],[Date]])</f>
        <v>2023</v>
      </c>
      <c r="R1030" t="str">
        <f>TEXT(tblTransactions[[#This Row],[Date]],"DDDD")</f>
        <v>Tuesday</v>
      </c>
      <c r="S1030">
        <f>MONTH(tblTransactions[[#This Row],[Date]])</f>
        <v>8</v>
      </c>
      <c r="T1030" t="str">
        <f>VLOOKUP(E1030, Products!$A:$B,2,0)</f>
        <v>Tablets Ele-2</v>
      </c>
      <c r="U1030" t="str">
        <f>VLOOKUP(E1030,Products!$A:$C,3,0)</f>
        <v>Electronics</v>
      </c>
      <c r="V1030" t="str">
        <f>VLOOKUP(E1030,Products!$A:$D,4,0)</f>
        <v>Tablets</v>
      </c>
      <c r="W1030" t="str">
        <f>VLOOKUP(D1030,Customers!$A:$C,3,0)</f>
        <v>B2B</v>
      </c>
      <c r="X1030" t="str">
        <f>VLOOKUP(C1030,Sales_Representatives!$A:$B,2,0)</f>
        <v>Emily Hernandez</v>
      </c>
    </row>
    <row r="1031" spans="1:24" x14ac:dyDescent="0.3">
      <c r="A1031" t="s">
        <v>1411</v>
      </c>
      <c r="B1031" t="s">
        <v>1408</v>
      </c>
      <c r="C1031" t="s">
        <v>131</v>
      </c>
      <c r="D1031" t="s">
        <v>118</v>
      </c>
      <c r="E1031" t="s">
        <v>255</v>
      </c>
      <c r="F1031">
        <v>6</v>
      </c>
      <c r="G1031">
        <v>1444.13</v>
      </c>
      <c r="H1031">
        <v>0.08</v>
      </c>
      <c r="I1031" s="4">
        <v>7971.6</v>
      </c>
      <c r="J1031" t="s">
        <v>44</v>
      </c>
      <c r="K1031" t="s">
        <v>35</v>
      </c>
      <c r="L1031" s="4">
        <f>VLOOKUP(tblTransactions[[#This Row],[Product_ID]],tblProducts[],5,FALSE)</f>
        <v>874.43</v>
      </c>
      <c r="M1031" s="4">
        <f>tblTransactions[[#This Row],[Total_Amount]]-(tblTransactions[[#This Row],[Cost_Prices]]*tblTransactions[[#This Row],[Quantity]]*(1-tblTransactions[[#This Row],[Discount]]))</f>
        <v>3144.7464</v>
      </c>
      <c r="N1031" s="3">
        <f>tblTransactions[[#This Row],[Profit]]/tblTransactions[[#This Row],[Total_Amount]]</f>
        <v>0.39449375282251992</v>
      </c>
      <c r="O1031" t="str">
        <f>TEXT(tblTransactions[[#This Row],[Date]], "MMM-YYYY")</f>
        <v>Aug-2023</v>
      </c>
      <c r="P1031" t="str">
        <f>"Q"&amp;ROUNDUP(MONTH(tblTransactions[[#This Row],[Date]])/3,0)&amp;"-"&amp;YEAR(tblTransactions[[#This Row],[Date]])</f>
        <v>Q3-2023</v>
      </c>
      <c r="Q1031">
        <f>YEAR(tblTransactions[[#This Row],[Date]])</f>
        <v>2023</v>
      </c>
      <c r="R1031" t="str">
        <f>TEXT(tblTransactions[[#This Row],[Date]],"DDDD")</f>
        <v>Tuesday</v>
      </c>
      <c r="S1031">
        <f>MONTH(tblTransactions[[#This Row],[Date]])</f>
        <v>8</v>
      </c>
      <c r="T1031" t="str">
        <f>VLOOKUP(E1031, Products!$A:$B,2,0)</f>
        <v>Printers Tec-1</v>
      </c>
      <c r="U1031" t="str">
        <f>VLOOKUP(E1031,Products!$A:$C,3,0)</f>
        <v>Technology</v>
      </c>
      <c r="V1031" t="str">
        <f>VLOOKUP(E1031,Products!$A:$D,4,0)</f>
        <v>Printers</v>
      </c>
      <c r="W1031" t="str">
        <f>VLOOKUP(D1031,Customers!$A:$C,3,0)</f>
        <v>B2C</v>
      </c>
      <c r="X1031" t="str">
        <f>VLOOKUP(C1031,Sales_Representatives!$A:$B,2,0)</f>
        <v>Michael Davis</v>
      </c>
    </row>
    <row r="1032" spans="1:24" x14ac:dyDescent="0.3">
      <c r="A1032" t="s">
        <v>1412</v>
      </c>
      <c r="B1032" t="s">
        <v>1408</v>
      </c>
      <c r="C1032" t="s">
        <v>56</v>
      </c>
      <c r="D1032" t="s">
        <v>247</v>
      </c>
      <c r="E1032" t="s">
        <v>105</v>
      </c>
      <c r="F1032">
        <v>1</v>
      </c>
      <c r="G1032">
        <v>1342.04</v>
      </c>
      <c r="H1032">
        <v>0.03</v>
      </c>
      <c r="I1032" s="4">
        <v>1301.78</v>
      </c>
      <c r="J1032" t="s">
        <v>34</v>
      </c>
      <c r="K1032" t="s">
        <v>48</v>
      </c>
      <c r="L1032" s="4">
        <f>VLOOKUP(tblTransactions[[#This Row],[Product_ID]],tblProducts[],5,FALSE)</f>
        <v>792.89</v>
      </c>
      <c r="M1032" s="4">
        <f>tblTransactions[[#This Row],[Total_Amount]]-(tblTransactions[[#This Row],[Cost_Prices]]*tblTransactions[[#This Row],[Quantity]]*(1-tblTransactions[[#This Row],[Discount]]))</f>
        <v>532.67669999999998</v>
      </c>
      <c r="N1032" s="3">
        <f>tblTransactions[[#This Row],[Profit]]/tblTransactions[[#This Row],[Total_Amount]]</f>
        <v>0.40919103074252178</v>
      </c>
      <c r="O1032" t="str">
        <f>TEXT(tblTransactions[[#This Row],[Date]], "MMM-YYYY")</f>
        <v>Aug-2023</v>
      </c>
      <c r="P1032" t="str">
        <f>"Q"&amp;ROUNDUP(MONTH(tblTransactions[[#This Row],[Date]])/3,0)&amp;"-"&amp;YEAR(tblTransactions[[#This Row],[Date]])</f>
        <v>Q3-2023</v>
      </c>
      <c r="Q1032">
        <f>YEAR(tblTransactions[[#This Row],[Date]])</f>
        <v>2023</v>
      </c>
      <c r="R1032" t="str">
        <f>TEXT(tblTransactions[[#This Row],[Date]],"DDDD")</f>
        <v>Tuesday</v>
      </c>
      <c r="S1032">
        <f>MONTH(tblTransactions[[#This Row],[Date]])</f>
        <v>8</v>
      </c>
      <c r="T1032" t="str">
        <f>VLOOKUP(E1032, Products!$A:$B,2,0)</f>
        <v>Cameras Ele-1</v>
      </c>
      <c r="U1032" t="str">
        <f>VLOOKUP(E1032,Products!$A:$C,3,0)</f>
        <v>Electronics</v>
      </c>
      <c r="V1032" t="str">
        <f>VLOOKUP(E1032,Products!$A:$D,4,0)</f>
        <v>Cameras</v>
      </c>
      <c r="W1032" t="str">
        <f>VLOOKUP(D1032,Customers!$A:$C,3,0)</f>
        <v>B2C</v>
      </c>
      <c r="X1032" t="str">
        <f>VLOOKUP(C1032,Sales_Representatives!$A:$B,2,0)</f>
        <v>Thomas Hernandez</v>
      </c>
    </row>
    <row r="1033" spans="1:24" x14ac:dyDescent="0.3">
      <c r="A1033" t="s">
        <v>1413</v>
      </c>
      <c r="B1033" t="s">
        <v>1408</v>
      </c>
      <c r="C1033" t="s">
        <v>59</v>
      </c>
      <c r="D1033" t="s">
        <v>60</v>
      </c>
      <c r="E1033" t="s">
        <v>217</v>
      </c>
      <c r="F1033">
        <v>5</v>
      </c>
      <c r="G1033">
        <v>145.51</v>
      </c>
      <c r="H1033">
        <v>0.05</v>
      </c>
      <c r="I1033" s="4">
        <v>691.17</v>
      </c>
      <c r="J1033" t="s">
        <v>21</v>
      </c>
      <c r="K1033" t="s">
        <v>35</v>
      </c>
      <c r="L1033" s="4">
        <f>VLOOKUP(tblTransactions[[#This Row],[Product_ID]],tblProducts[],5,FALSE)</f>
        <v>64.510000000000005</v>
      </c>
      <c r="M1033" s="4">
        <f>tblTransactions[[#This Row],[Total_Amount]]-(tblTransactions[[#This Row],[Cost_Prices]]*tblTransactions[[#This Row],[Quantity]]*(1-tblTransactions[[#This Row],[Discount]]))</f>
        <v>384.74749999999995</v>
      </c>
      <c r="N1033" s="3">
        <f>tblTransactions[[#This Row],[Profit]]/tblTransactions[[#This Row],[Total_Amount]]</f>
        <v>0.55666116874285632</v>
      </c>
      <c r="O1033" t="str">
        <f>TEXT(tblTransactions[[#This Row],[Date]], "MMM-YYYY")</f>
        <v>Aug-2023</v>
      </c>
      <c r="P1033" t="str">
        <f>"Q"&amp;ROUNDUP(MONTH(tblTransactions[[#This Row],[Date]])/3,0)&amp;"-"&amp;YEAR(tblTransactions[[#This Row],[Date]])</f>
        <v>Q3-2023</v>
      </c>
      <c r="Q1033">
        <f>YEAR(tblTransactions[[#This Row],[Date]])</f>
        <v>2023</v>
      </c>
      <c r="R1033" t="str">
        <f>TEXT(tblTransactions[[#This Row],[Date]],"DDDD")</f>
        <v>Tuesday</v>
      </c>
      <c r="S1033">
        <f>MONTH(tblTransactions[[#This Row],[Date]])</f>
        <v>8</v>
      </c>
      <c r="T1033" t="str">
        <f>VLOOKUP(E1033, Products!$A:$B,2,0)</f>
        <v>Cables Acc-2</v>
      </c>
      <c r="U1033" t="str">
        <f>VLOOKUP(E1033,Products!$A:$C,3,0)</f>
        <v>Accessories</v>
      </c>
      <c r="V1033" t="str">
        <f>VLOOKUP(E1033,Products!$A:$D,4,0)</f>
        <v>Cables</v>
      </c>
      <c r="W1033" t="str">
        <f>VLOOKUP(D1033,Customers!$A:$C,3,0)</f>
        <v>B2C</v>
      </c>
      <c r="X1033" t="str">
        <f>VLOOKUP(C1033,Sales_Representatives!$A:$B,2,0)</f>
        <v>Sarah Brown</v>
      </c>
    </row>
    <row r="1034" spans="1:24" x14ac:dyDescent="0.3">
      <c r="A1034" t="s">
        <v>1414</v>
      </c>
      <c r="B1034" t="s">
        <v>1408</v>
      </c>
      <c r="C1034" t="s">
        <v>56</v>
      </c>
      <c r="D1034" t="s">
        <v>396</v>
      </c>
      <c r="E1034" t="s">
        <v>87</v>
      </c>
      <c r="F1034">
        <v>7</v>
      </c>
      <c r="G1034">
        <v>1047.8900000000001</v>
      </c>
      <c r="H1034">
        <v>7.0000000000000007E-2</v>
      </c>
      <c r="I1034" s="4">
        <v>6821.76</v>
      </c>
      <c r="J1034" t="s">
        <v>34</v>
      </c>
      <c r="K1034" t="s">
        <v>22</v>
      </c>
      <c r="L1034" s="4">
        <f>VLOOKUP(tblTransactions[[#This Row],[Product_ID]],tblProducts[],5,FALSE)</f>
        <v>742.63</v>
      </c>
      <c r="M1034" s="4">
        <f>tblTransactions[[#This Row],[Total_Amount]]-(tblTransactions[[#This Row],[Cost_Prices]]*tblTransactions[[#This Row],[Quantity]]*(1-tblTransactions[[#This Row],[Discount]]))</f>
        <v>1987.2387000000008</v>
      </c>
      <c r="N1034" s="3">
        <f>tblTransactions[[#This Row],[Profit]]/tblTransactions[[#This Row],[Total_Amount]]</f>
        <v>0.2913087971432593</v>
      </c>
      <c r="O1034" t="str">
        <f>TEXT(tblTransactions[[#This Row],[Date]], "MMM-YYYY")</f>
        <v>Aug-2023</v>
      </c>
      <c r="P1034" t="str">
        <f>"Q"&amp;ROUNDUP(MONTH(tblTransactions[[#This Row],[Date]])/3,0)&amp;"-"&amp;YEAR(tblTransactions[[#This Row],[Date]])</f>
        <v>Q3-2023</v>
      </c>
      <c r="Q1034">
        <f>YEAR(tblTransactions[[#This Row],[Date]])</f>
        <v>2023</v>
      </c>
      <c r="R1034" t="str">
        <f>TEXT(tblTransactions[[#This Row],[Date]],"DDDD")</f>
        <v>Tuesday</v>
      </c>
      <c r="S1034">
        <f>MONTH(tblTransactions[[#This Row],[Date]])</f>
        <v>8</v>
      </c>
      <c r="T1034" t="str">
        <f>VLOOKUP(E1034, Products!$A:$B,2,0)</f>
        <v>Monitors Tec-2</v>
      </c>
      <c r="U1034" t="str">
        <f>VLOOKUP(E1034,Products!$A:$C,3,0)</f>
        <v>Technology</v>
      </c>
      <c r="V1034" t="str">
        <f>VLOOKUP(E1034,Products!$A:$D,4,0)</f>
        <v>Monitors</v>
      </c>
      <c r="W1034" t="str">
        <f>VLOOKUP(D1034,Customers!$A:$C,3,0)</f>
        <v>Small Business</v>
      </c>
      <c r="X1034" t="str">
        <f>VLOOKUP(C1034,Sales_Representatives!$A:$B,2,0)</f>
        <v>Thomas Hernandez</v>
      </c>
    </row>
    <row r="1035" spans="1:24" x14ac:dyDescent="0.3">
      <c r="A1035" t="s">
        <v>1415</v>
      </c>
      <c r="B1035" t="s">
        <v>1408</v>
      </c>
      <c r="C1035" t="s">
        <v>56</v>
      </c>
      <c r="D1035" t="s">
        <v>203</v>
      </c>
      <c r="E1035" t="s">
        <v>29</v>
      </c>
      <c r="F1035">
        <v>30</v>
      </c>
      <c r="G1035">
        <v>1363.46</v>
      </c>
      <c r="H1035">
        <v>0.18</v>
      </c>
      <c r="I1035" s="4">
        <v>33541.120000000003</v>
      </c>
      <c r="J1035" t="s">
        <v>34</v>
      </c>
      <c r="K1035" t="s">
        <v>35</v>
      </c>
      <c r="L1035" s="4">
        <f>VLOOKUP(tblTransactions[[#This Row],[Product_ID]],tblProducts[],5,FALSE)</f>
        <v>995.41</v>
      </c>
      <c r="M1035" s="4">
        <f>tblTransactions[[#This Row],[Total_Amount]]-(tblTransactions[[#This Row],[Cost_Prices]]*tblTransactions[[#This Row],[Quantity]]*(1-tblTransactions[[#This Row],[Discount]]))</f>
        <v>9054.0339999999997</v>
      </c>
      <c r="N1035" s="3">
        <f>tblTransactions[[#This Row],[Profit]]/tblTransactions[[#This Row],[Total_Amount]]</f>
        <v>0.26993833241108223</v>
      </c>
      <c r="O1035" t="str">
        <f>TEXT(tblTransactions[[#This Row],[Date]], "MMM-YYYY")</f>
        <v>Aug-2023</v>
      </c>
      <c r="P1035" t="str">
        <f>"Q"&amp;ROUNDUP(MONTH(tblTransactions[[#This Row],[Date]])/3,0)&amp;"-"&amp;YEAR(tblTransactions[[#This Row],[Date]])</f>
        <v>Q3-2023</v>
      </c>
      <c r="Q1035">
        <f>YEAR(tblTransactions[[#This Row],[Date]])</f>
        <v>2023</v>
      </c>
      <c r="R1035" t="str">
        <f>TEXT(tblTransactions[[#This Row],[Date]],"DDDD")</f>
        <v>Tuesday</v>
      </c>
      <c r="S1035">
        <f>MONTH(tblTransactions[[#This Row],[Date]])</f>
        <v>8</v>
      </c>
      <c r="T1035" t="str">
        <f>VLOOKUP(E1035, Products!$A:$B,2,0)</f>
        <v>Phones Ele-3</v>
      </c>
      <c r="U1035" t="str">
        <f>VLOOKUP(E1035,Products!$A:$C,3,0)</f>
        <v>Electronics</v>
      </c>
      <c r="V1035" t="str">
        <f>VLOOKUP(E1035,Products!$A:$D,4,0)</f>
        <v>Phones</v>
      </c>
      <c r="W1035" t="str">
        <f>VLOOKUP(D1035,Customers!$A:$C,3,0)</f>
        <v>Enterprise</v>
      </c>
      <c r="X1035" t="str">
        <f>VLOOKUP(C1035,Sales_Representatives!$A:$B,2,0)</f>
        <v>Thomas Hernandez</v>
      </c>
    </row>
    <row r="1036" spans="1:24" x14ac:dyDescent="0.3">
      <c r="A1036" t="s">
        <v>1416</v>
      </c>
      <c r="B1036" t="s">
        <v>1408</v>
      </c>
      <c r="C1036" t="s">
        <v>31</v>
      </c>
      <c r="D1036" t="s">
        <v>83</v>
      </c>
      <c r="E1036" t="s">
        <v>184</v>
      </c>
      <c r="F1036">
        <v>2</v>
      </c>
      <c r="G1036">
        <v>276.35000000000002</v>
      </c>
      <c r="H1036">
        <v>0.1</v>
      </c>
      <c r="I1036" s="4">
        <v>497.43</v>
      </c>
      <c r="J1036" t="s">
        <v>34</v>
      </c>
      <c r="K1036" t="s">
        <v>48</v>
      </c>
      <c r="L1036" s="4">
        <f>VLOOKUP(tblTransactions[[#This Row],[Product_ID]],tblProducts[],5,FALSE)</f>
        <v>130.15</v>
      </c>
      <c r="M1036" s="4">
        <f>tblTransactions[[#This Row],[Total_Amount]]-(tblTransactions[[#This Row],[Cost_Prices]]*tblTransactions[[#This Row],[Quantity]]*(1-tblTransactions[[#This Row],[Discount]]))</f>
        <v>263.15999999999997</v>
      </c>
      <c r="N1036" s="3">
        <f>tblTransactions[[#This Row],[Profit]]/tblTransactions[[#This Row],[Total_Amount]]</f>
        <v>0.52903926180568117</v>
      </c>
      <c r="O1036" t="str">
        <f>TEXT(tblTransactions[[#This Row],[Date]], "MMM-YYYY")</f>
        <v>Aug-2023</v>
      </c>
      <c r="P1036" t="str">
        <f>"Q"&amp;ROUNDUP(MONTH(tblTransactions[[#This Row],[Date]])/3,0)&amp;"-"&amp;YEAR(tblTransactions[[#This Row],[Date]])</f>
        <v>Q3-2023</v>
      </c>
      <c r="Q1036">
        <f>YEAR(tblTransactions[[#This Row],[Date]])</f>
        <v>2023</v>
      </c>
      <c r="R1036" t="str">
        <f>TEXT(tblTransactions[[#This Row],[Date]],"DDDD")</f>
        <v>Tuesday</v>
      </c>
      <c r="S1036">
        <f>MONTH(tblTransactions[[#This Row],[Date]])</f>
        <v>8</v>
      </c>
      <c r="T1036" t="str">
        <f>VLOOKUP(E1036, Products!$A:$B,2,0)</f>
        <v>Binders Off-1</v>
      </c>
      <c r="U1036" t="str">
        <f>VLOOKUP(E1036,Products!$A:$C,3,0)</f>
        <v>Office Supplies</v>
      </c>
      <c r="V1036" t="str">
        <f>VLOOKUP(E1036,Products!$A:$D,4,0)</f>
        <v>Binders</v>
      </c>
      <c r="W1036" t="str">
        <f>VLOOKUP(D1036,Customers!$A:$C,3,0)</f>
        <v>Small Business</v>
      </c>
      <c r="X1036" t="str">
        <f>VLOOKUP(C1036,Sales_Representatives!$A:$B,2,0)</f>
        <v>Thomas Martinez</v>
      </c>
    </row>
    <row r="1037" spans="1:24" x14ac:dyDescent="0.3">
      <c r="A1037" t="s">
        <v>1417</v>
      </c>
      <c r="B1037" t="s">
        <v>1418</v>
      </c>
      <c r="C1037" t="s">
        <v>56</v>
      </c>
      <c r="D1037" t="s">
        <v>28</v>
      </c>
      <c r="E1037" t="s">
        <v>125</v>
      </c>
      <c r="F1037">
        <v>13</v>
      </c>
      <c r="G1037">
        <v>1201.4000000000001</v>
      </c>
      <c r="H1037">
        <v>0.14000000000000001</v>
      </c>
      <c r="I1037" s="4">
        <v>13431.65</v>
      </c>
      <c r="J1037" t="s">
        <v>34</v>
      </c>
      <c r="K1037" t="s">
        <v>48</v>
      </c>
      <c r="L1037" s="4">
        <f>VLOOKUP(tblTransactions[[#This Row],[Product_ID]],tblProducts[],5,FALSE)</f>
        <v>672.72</v>
      </c>
      <c r="M1037" s="4">
        <f>tblTransactions[[#This Row],[Total_Amount]]-(tblTransactions[[#This Row],[Cost_Prices]]*tblTransactions[[#This Row],[Quantity]]*(1-tblTransactions[[#This Row],[Discount]]))</f>
        <v>5910.6403999999993</v>
      </c>
      <c r="N1037" s="3">
        <f>tblTransactions[[#This Row],[Profit]]/tblTransactions[[#This Row],[Total_Amount]]</f>
        <v>0.44005318780641245</v>
      </c>
      <c r="O1037" t="str">
        <f>TEXT(tblTransactions[[#This Row],[Date]], "MMM-YYYY")</f>
        <v>Aug-2023</v>
      </c>
      <c r="P1037" t="str">
        <f>"Q"&amp;ROUNDUP(MONTH(tblTransactions[[#This Row],[Date]])/3,0)&amp;"-"&amp;YEAR(tblTransactions[[#This Row],[Date]])</f>
        <v>Q3-2023</v>
      </c>
      <c r="Q1037">
        <f>YEAR(tblTransactions[[#This Row],[Date]])</f>
        <v>2023</v>
      </c>
      <c r="R1037" t="str">
        <f>TEXT(tblTransactions[[#This Row],[Date]],"DDDD")</f>
        <v>Wednesday</v>
      </c>
      <c r="S1037">
        <f>MONTH(tblTransactions[[#This Row],[Date]])</f>
        <v>8</v>
      </c>
      <c r="T1037" t="str">
        <f>VLOOKUP(E1037, Products!$A:$B,2,0)</f>
        <v>Printers Tec-2</v>
      </c>
      <c r="U1037" t="str">
        <f>VLOOKUP(E1037,Products!$A:$C,3,0)</f>
        <v>Technology</v>
      </c>
      <c r="V1037" t="str">
        <f>VLOOKUP(E1037,Products!$A:$D,4,0)</f>
        <v>Printers</v>
      </c>
      <c r="W1037" t="str">
        <f>VLOOKUP(D1037,Customers!$A:$C,3,0)</f>
        <v>B2B</v>
      </c>
      <c r="X1037" t="str">
        <f>VLOOKUP(C1037,Sales_Representatives!$A:$B,2,0)</f>
        <v>Thomas Hernandez</v>
      </c>
    </row>
    <row r="1038" spans="1:24" x14ac:dyDescent="0.3">
      <c r="A1038" t="s">
        <v>1419</v>
      </c>
      <c r="B1038" t="s">
        <v>1418</v>
      </c>
      <c r="C1038" t="s">
        <v>19</v>
      </c>
      <c r="D1038" t="s">
        <v>118</v>
      </c>
      <c r="E1038" t="s">
        <v>105</v>
      </c>
      <c r="F1038">
        <v>3</v>
      </c>
      <c r="G1038">
        <v>1342.04</v>
      </c>
      <c r="H1038">
        <v>0.09</v>
      </c>
      <c r="I1038" s="4">
        <v>3663.77</v>
      </c>
      <c r="J1038" t="s">
        <v>21</v>
      </c>
      <c r="K1038" t="s">
        <v>39</v>
      </c>
      <c r="L1038" s="4">
        <f>VLOOKUP(tblTransactions[[#This Row],[Product_ID]],tblProducts[],5,FALSE)</f>
        <v>792.89</v>
      </c>
      <c r="M1038" s="4">
        <f>tblTransactions[[#This Row],[Total_Amount]]-(tblTransactions[[#This Row],[Cost_Prices]]*tblTransactions[[#This Row],[Quantity]]*(1-tblTransactions[[#This Row],[Discount]]))</f>
        <v>1499.1803</v>
      </c>
      <c r="N1038" s="3">
        <f>tblTransactions[[#This Row],[Profit]]/tblTransactions[[#This Row],[Total_Amount]]</f>
        <v>0.40919061513140836</v>
      </c>
      <c r="O1038" t="str">
        <f>TEXT(tblTransactions[[#This Row],[Date]], "MMM-YYYY")</f>
        <v>Aug-2023</v>
      </c>
      <c r="P1038" t="str">
        <f>"Q"&amp;ROUNDUP(MONTH(tblTransactions[[#This Row],[Date]])/3,0)&amp;"-"&amp;YEAR(tblTransactions[[#This Row],[Date]])</f>
        <v>Q3-2023</v>
      </c>
      <c r="Q1038">
        <f>YEAR(tblTransactions[[#This Row],[Date]])</f>
        <v>2023</v>
      </c>
      <c r="R1038" t="str">
        <f>TEXT(tblTransactions[[#This Row],[Date]],"DDDD")</f>
        <v>Wednesday</v>
      </c>
      <c r="S1038">
        <f>MONTH(tblTransactions[[#This Row],[Date]])</f>
        <v>8</v>
      </c>
      <c r="T1038" t="str">
        <f>VLOOKUP(E1038, Products!$A:$B,2,0)</f>
        <v>Cameras Ele-1</v>
      </c>
      <c r="U1038" t="str">
        <f>VLOOKUP(E1038,Products!$A:$C,3,0)</f>
        <v>Electronics</v>
      </c>
      <c r="V1038" t="str">
        <f>VLOOKUP(E1038,Products!$A:$D,4,0)</f>
        <v>Cameras</v>
      </c>
      <c r="W1038" t="str">
        <f>VLOOKUP(D1038,Customers!$A:$C,3,0)</f>
        <v>B2C</v>
      </c>
      <c r="X1038" t="str">
        <f>VLOOKUP(C1038,Sales_Representatives!$A:$B,2,0)</f>
        <v>Robert Jones</v>
      </c>
    </row>
    <row r="1039" spans="1:24" x14ac:dyDescent="0.3">
      <c r="A1039" t="s">
        <v>1420</v>
      </c>
      <c r="B1039" t="s">
        <v>1418</v>
      </c>
      <c r="C1039" t="s">
        <v>31</v>
      </c>
      <c r="D1039" t="s">
        <v>67</v>
      </c>
      <c r="E1039" t="s">
        <v>310</v>
      </c>
      <c r="F1039">
        <v>3</v>
      </c>
      <c r="G1039">
        <v>274.13</v>
      </c>
      <c r="H1039">
        <v>0.03</v>
      </c>
      <c r="I1039" s="4">
        <v>797.72</v>
      </c>
      <c r="J1039" t="s">
        <v>34</v>
      </c>
      <c r="K1039" t="s">
        <v>39</v>
      </c>
      <c r="L1039" s="4">
        <f>VLOOKUP(tblTransactions[[#This Row],[Product_ID]],tblProducts[],5,FALSE)</f>
        <v>134.41999999999999</v>
      </c>
      <c r="M1039" s="4">
        <f>tblTransactions[[#This Row],[Total_Amount]]-(tblTransactions[[#This Row],[Cost_Prices]]*tblTransactions[[#This Row],[Quantity]]*(1-tblTransactions[[#This Row],[Discount]]))</f>
        <v>406.55780000000004</v>
      </c>
      <c r="N1039" s="3">
        <f>tblTransactions[[#This Row],[Profit]]/tblTransactions[[#This Row],[Total_Amount]]</f>
        <v>0.50964975179260896</v>
      </c>
      <c r="O1039" t="str">
        <f>TEXT(tblTransactions[[#This Row],[Date]], "MMM-YYYY")</f>
        <v>Aug-2023</v>
      </c>
      <c r="P1039" t="str">
        <f>"Q"&amp;ROUNDUP(MONTH(tblTransactions[[#This Row],[Date]])/3,0)&amp;"-"&amp;YEAR(tblTransactions[[#This Row],[Date]])</f>
        <v>Q3-2023</v>
      </c>
      <c r="Q1039">
        <f>YEAR(tblTransactions[[#This Row],[Date]])</f>
        <v>2023</v>
      </c>
      <c r="R1039" t="str">
        <f>TEXT(tblTransactions[[#This Row],[Date]],"DDDD")</f>
        <v>Wednesday</v>
      </c>
      <c r="S1039">
        <f>MONTH(tblTransactions[[#This Row],[Date]])</f>
        <v>8</v>
      </c>
      <c r="T1039" t="str">
        <f>VLOOKUP(E1039, Products!$A:$B,2,0)</f>
        <v>Adapters Acc-4</v>
      </c>
      <c r="U1039" t="str">
        <f>VLOOKUP(E1039,Products!$A:$C,3,0)</f>
        <v>Accessories</v>
      </c>
      <c r="V1039" t="str">
        <f>VLOOKUP(E1039,Products!$A:$D,4,0)</f>
        <v>Adapters</v>
      </c>
      <c r="W1039" t="str">
        <f>VLOOKUP(D1039,Customers!$A:$C,3,0)</f>
        <v>B2C</v>
      </c>
      <c r="X1039" t="str">
        <f>VLOOKUP(C1039,Sales_Representatives!$A:$B,2,0)</f>
        <v>Thomas Martinez</v>
      </c>
    </row>
    <row r="1040" spans="1:24" x14ac:dyDescent="0.3">
      <c r="A1040" t="s">
        <v>1421</v>
      </c>
      <c r="B1040" t="s">
        <v>1418</v>
      </c>
      <c r="C1040" t="s">
        <v>63</v>
      </c>
      <c r="D1040" t="s">
        <v>98</v>
      </c>
      <c r="E1040" t="s">
        <v>137</v>
      </c>
      <c r="F1040">
        <v>7</v>
      </c>
      <c r="G1040">
        <v>241.39</v>
      </c>
      <c r="H1040">
        <v>0.1</v>
      </c>
      <c r="I1040" s="4">
        <v>1520.76</v>
      </c>
      <c r="J1040" t="s">
        <v>21</v>
      </c>
      <c r="K1040" t="s">
        <v>48</v>
      </c>
      <c r="L1040" s="4">
        <f>VLOOKUP(tblTransactions[[#This Row],[Product_ID]],tblProducts[],5,FALSE)</f>
        <v>124.07</v>
      </c>
      <c r="M1040" s="4">
        <f>tblTransactions[[#This Row],[Total_Amount]]-(tblTransactions[[#This Row],[Cost_Prices]]*tblTransactions[[#This Row],[Quantity]]*(1-tblTransactions[[#This Row],[Discount]]))</f>
        <v>739.11899999999991</v>
      </c>
      <c r="N1040" s="3">
        <f>tblTransactions[[#This Row],[Profit]]/tblTransactions[[#This Row],[Total_Amount]]</f>
        <v>0.48601949025487251</v>
      </c>
      <c r="O1040" t="str">
        <f>TEXT(tblTransactions[[#This Row],[Date]], "MMM-YYYY")</f>
        <v>Aug-2023</v>
      </c>
      <c r="P1040" t="str">
        <f>"Q"&amp;ROUNDUP(MONTH(tblTransactions[[#This Row],[Date]])/3,0)&amp;"-"&amp;YEAR(tblTransactions[[#This Row],[Date]])</f>
        <v>Q3-2023</v>
      </c>
      <c r="Q1040">
        <f>YEAR(tblTransactions[[#This Row],[Date]])</f>
        <v>2023</v>
      </c>
      <c r="R1040" t="str">
        <f>TEXT(tblTransactions[[#This Row],[Date]],"DDDD")</f>
        <v>Wednesday</v>
      </c>
      <c r="S1040">
        <f>MONTH(tblTransactions[[#This Row],[Date]])</f>
        <v>8</v>
      </c>
      <c r="T1040" t="str">
        <f>VLOOKUP(E1040, Products!$A:$B,2,0)</f>
        <v>Desks Fur-2</v>
      </c>
      <c r="U1040" t="str">
        <f>VLOOKUP(E1040,Products!$A:$C,3,0)</f>
        <v>Furniture</v>
      </c>
      <c r="V1040" t="str">
        <f>VLOOKUP(E1040,Products!$A:$D,4,0)</f>
        <v>Desks</v>
      </c>
      <c r="W1040" t="str">
        <f>VLOOKUP(D1040,Customers!$A:$C,3,0)</f>
        <v>B2C</v>
      </c>
      <c r="X1040" t="str">
        <f>VLOOKUP(C1040,Sales_Representatives!$A:$B,2,0)</f>
        <v>Richard Wilson</v>
      </c>
    </row>
    <row r="1041" spans="1:24" x14ac:dyDescent="0.3">
      <c r="A1041" t="s">
        <v>1422</v>
      </c>
      <c r="B1041" t="s">
        <v>1418</v>
      </c>
      <c r="C1041" t="s">
        <v>41</v>
      </c>
      <c r="D1041" t="s">
        <v>362</v>
      </c>
      <c r="E1041" t="s">
        <v>89</v>
      </c>
      <c r="F1041">
        <v>4</v>
      </c>
      <c r="G1041">
        <v>555.08000000000004</v>
      </c>
      <c r="H1041">
        <v>0.05</v>
      </c>
      <c r="I1041" s="4">
        <v>2109.3000000000002</v>
      </c>
      <c r="J1041" t="s">
        <v>44</v>
      </c>
      <c r="K1041" t="s">
        <v>48</v>
      </c>
      <c r="L1041" s="4">
        <f>VLOOKUP(tblTransactions[[#This Row],[Product_ID]],tblProducts[],5,FALSE)</f>
        <v>402.82</v>
      </c>
      <c r="M1041" s="4">
        <f>tblTransactions[[#This Row],[Total_Amount]]-(tblTransactions[[#This Row],[Cost_Prices]]*tblTransactions[[#This Row],[Quantity]]*(1-tblTransactions[[#This Row],[Discount]]))</f>
        <v>578.58400000000029</v>
      </c>
      <c r="N1041" s="3">
        <f>tblTransactions[[#This Row],[Profit]]/tblTransactions[[#This Row],[Total_Amount]]</f>
        <v>0.27430142701370136</v>
      </c>
      <c r="O1041" t="str">
        <f>TEXT(tblTransactions[[#This Row],[Date]], "MMM-YYYY")</f>
        <v>Aug-2023</v>
      </c>
      <c r="P1041" t="str">
        <f>"Q"&amp;ROUNDUP(MONTH(tblTransactions[[#This Row],[Date]])/3,0)&amp;"-"&amp;YEAR(tblTransactions[[#This Row],[Date]])</f>
        <v>Q3-2023</v>
      </c>
      <c r="Q1041">
        <f>YEAR(tblTransactions[[#This Row],[Date]])</f>
        <v>2023</v>
      </c>
      <c r="R1041" t="str">
        <f>TEXT(tblTransactions[[#This Row],[Date]],"DDDD")</f>
        <v>Wednesday</v>
      </c>
      <c r="S1041">
        <f>MONTH(tblTransactions[[#This Row],[Date]])</f>
        <v>8</v>
      </c>
      <c r="T1041" t="str">
        <f>VLOOKUP(E1041, Products!$A:$B,2,0)</f>
        <v>Laptops Ele-3</v>
      </c>
      <c r="U1041" t="str">
        <f>VLOOKUP(E1041,Products!$A:$C,3,0)</f>
        <v>Electronics</v>
      </c>
      <c r="V1041" t="str">
        <f>VLOOKUP(E1041,Products!$A:$D,4,0)</f>
        <v>Laptops</v>
      </c>
      <c r="W1041" t="str">
        <f>VLOOKUP(D1041,Customers!$A:$C,3,0)</f>
        <v>Small Business</v>
      </c>
      <c r="X1041" t="str">
        <f>VLOOKUP(C1041,Sales_Representatives!$A:$B,2,0)</f>
        <v>Robert Jones</v>
      </c>
    </row>
    <row r="1042" spans="1:24" x14ac:dyDescent="0.3">
      <c r="A1042" t="s">
        <v>1423</v>
      </c>
      <c r="B1042" t="s">
        <v>1424</v>
      </c>
      <c r="C1042" t="s">
        <v>19</v>
      </c>
      <c r="D1042" t="s">
        <v>139</v>
      </c>
      <c r="E1042" t="s">
        <v>172</v>
      </c>
      <c r="F1042">
        <v>2</v>
      </c>
      <c r="G1042">
        <v>1371.15</v>
      </c>
      <c r="H1042">
        <v>0.05</v>
      </c>
      <c r="I1042" s="4">
        <v>2605.19</v>
      </c>
      <c r="J1042" t="s">
        <v>21</v>
      </c>
      <c r="K1042" t="s">
        <v>17</v>
      </c>
      <c r="L1042" s="4">
        <f>VLOOKUP(tblTransactions[[#This Row],[Product_ID]],tblProducts[],5,FALSE)</f>
        <v>989.81</v>
      </c>
      <c r="M1042" s="4">
        <f>tblTransactions[[#This Row],[Total_Amount]]-(tblTransactions[[#This Row],[Cost_Prices]]*tblTransactions[[#This Row],[Quantity]]*(1-tblTransactions[[#This Row],[Discount]]))</f>
        <v>724.55100000000016</v>
      </c>
      <c r="N1042" s="3">
        <f>tblTransactions[[#This Row],[Profit]]/tblTransactions[[#This Row],[Total_Amount]]</f>
        <v>0.27811829463494031</v>
      </c>
      <c r="O1042" t="str">
        <f>TEXT(tblTransactions[[#This Row],[Date]], "MMM-YYYY")</f>
        <v>Aug-2023</v>
      </c>
      <c r="P1042" t="str">
        <f>"Q"&amp;ROUNDUP(MONTH(tblTransactions[[#This Row],[Date]])/3,0)&amp;"-"&amp;YEAR(tblTransactions[[#This Row],[Date]])</f>
        <v>Q3-2023</v>
      </c>
      <c r="Q1042">
        <f>YEAR(tblTransactions[[#This Row],[Date]])</f>
        <v>2023</v>
      </c>
      <c r="R1042" t="str">
        <f>TEXT(tblTransactions[[#This Row],[Date]],"DDDD")</f>
        <v>Thursday</v>
      </c>
      <c r="S1042">
        <f>MONTH(tblTransactions[[#This Row],[Date]])</f>
        <v>8</v>
      </c>
      <c r="T1042" t="str">
        <f>VLOOKUP(E1042, Products!$A:$B,2,0)</f>
        <v>Cameras Ele-4</v>
      </c>
      <c r="U1042" t="str">
        <f>VLOOKUP(E1042,Products!$A:$C,3,0)</f>
        <v>Electronics</v>
      </c>
      <c r="V1042" t="str">
        <f>VLOOKUP(E1042,Products!$A:$D,4,0)</f>
        <v>Cameras</v>
      </c>
      <c r="W1042" t="str">
        <f>VLOOKUP(D1042,Customers!$A:$C,3,0)</f>
        <v>B2C</v>
      </c>
      <c r="X1042" t="str">
        <f>VLOOKUP(C1042,Sales_Representatives!$A:$B,2,0)</f>
        <v>Robert Jones</v>
      </c>
    </row>
    <row r="1043" spans="1:24" x14ac:dyDescent="0.3">
      <c r="A1043" t="s">
        <v>1425</v>
      </c>
      <c r="B1043" t="s">
        <v>1424</v>
      </c>
      <c r="C1043" t="s">
        <v>63</v>
      </c>
      <c r="D1043" t="s">
        <v>98</v>
      </c>
      <c r="E1043" t="s">
        <v>68</v>
      </c>
      <c r="F1043">
        <v>7</v>
      </c>
      <c r="G1043">
        <v>522.63</v>
      </c>
      <c r="H1043">
        <v>0.11</v>
      </c>
      <c r="I1043" s="4">
        <v>3255.98</v>
      </c>
      <c r="J1043" t="s">
        <v>21</v>
      </c>
      <c r="K1043" t="s">
        <v>17</v>
      </c>
      <c r="L1043" s="4">
        <f>VLOOKUP(tblTransactions[[#This Row],[Product_ID]],tblProducts[],5,FALSE)</f>
        <v>355.82</v>
      </c>
      <c r="M1043" s="4">
        <f>tblTransactions[[#This Row],[Total_Amount]]-(tblTransactions[[#This Row],[Cost_Prices]]*tblTransactions[[#This Row],[Quantity]]*(1-tblTransactions[[#This Row],[Discount]]))</f>
        <v>1039.2214000000004</v>
      </c>
      <c r="N1043" s="3">
        <f>tblTransactions[[#This Row],[Profit]]/tblTransactions[[#This Row],[Total_Amount]]</f>
        <v>0.31917315216923947</v>
      </c>
      <c r="O1043" t="str">
        <f>TEXT(tblTransactions[[#This Row],[Date]], "MMM-YYYY")</f>
        <v>Aug-2023</v>
      </c>
      <c r="P1043" t="str">
        <f>"Q"&amp;ROUNDUP(MONTH(tblTransactions[[#This Row],[Date]])/3,0)&amp;"-"&amp;YEAR(tblTransactions[[#This Row],[Date]])</f>
        <v>Q3-2023</v>
      </c>
      <c r="Q1043">
        <f>YEAR(tblTransactions[[#This Row],[Date]])</f>
        <v>2023</v>
      </c>
      <c r="R1043" t="str">
        <f>TEXT(tblTransactions[[#This Row],[Date]],"DDDD")</f>
        <v>Thursday</v>
      </c>
      <c r="S1043">
        <f>MONTH(tblTransactions[[#This Row],[Date]])</f>
        <v>8</v>
      </c>
      <c r="T1043" t="str">
        <f>VLOOKUP(E1043, Products!$A:$B,2,0)</f>
        <v>Monitors Tec-3</v>
      </c>
      <c r="U1043" t="str">
        <f>VLOOKUP(E1043,Products!$A:$C,3,0)</f>
        <v>Technology</v>
      </c>
      <c r="V1043" t="str">
        <f>VLOOKUP(E1043,Products!$A:$D,4,0)</f>
        <v>Monitors</v>
      </c>
      <c r="W1043" t="str">
        <f>VLOOKUP(D1043,Customers!$A:$C,3,0)</f>
        <v>B2C</v>
      </c>
      <c r="X1043" t="str">
        <f>VLOOKUP(C1043,Sales_Representatives!$A:$B,2,0)</f>
        <v>Richard Wilson</v>
      </c>
    </row>
    <row r="1044" spans="1:24" x14ac:dyDescent="0.3">
      <c r="A1044" t="s">
        <v>1426</v>
      </c>
      <c r="B1044" t="s">
        <v>1424</v>
      </c>
      <c r="C1044" t="s">
        <v>59</v>
      </c>
      <c r="D1044" t="s">
        <v>98</v>
      </c>
      <c r="E1044" t="s">
        <v>89</v>
      </c>
      <c r="F1044">
        <v>7</v>
      </c>
      <c r="G1044">
        <v>555.08000000000004</v>
      </c>
      <c r="H1044">
        <v>0.14000000000000001</v>
      </c>
      <c r="I1044" s="4">
        <v>3341.58</v>
      </c>
      <c r="J1044" t="s">
        <v>21</v>
      </c>
      <c r="K1044" t="s">
        <v>48</v>
      </c>
      <c r="L1044" s="4">
        <f>VLOOKUP(tblTransactions[[#This Row],[Product_ID]],tblProducts[],5,FALSE)</f>
        <v>402.82</v>
      </c>
      <c r="M1044" s="4">
        <f>tblTransactions[[#This Row],[Total_Amount]]-(tblTransactions[[#This Row],[Cost_Prices]]*tblTransactions[[#This Row],[Quantity]]*(1-tblTransactions[[#This Row],[Discount]]))</f>
        <v>916.60360000000037</v>
      </c>
      <c r="N1044" s="3">
        <f>tblTransactions[[#This Row],[Profit]]/tblTransactions[[#This Row],[Total_Amount]]</f>
        <v>0.2743024557245376</v>
      </c>
      <c r="O1044" t="str">
        <f>TEXT(tblTransactions[[#This Row],[Date]], "MMM-YYYY")</f>
        <v>Aug-2023</v>
      </c>
      <c r="P1044" t="str">
        <f>"Q"&amp;ROUNDUP(MONTH(tblTransactions[[#This Row],[Date]])/3,0)&amp;"-"&amp;YEAR(tblTransactions[[#This Row],[Date]])</f>
        <v>Q3-2023</v>
      </c>
      <c r="Q1044">
        <f>YEAR(tblTransactions[[#This Row],[Date]])</f>
        <v>2023</v>
      </c>
      <c r="R1044" t="str">
        <f>TEXT(tblTransactions[[#This Row],[Date]],"DDDD")</f>
        <v>Thursday</v>
      </c>
      <c r="S1044">
        <f>MONTH(tblTransactions[[#This Row],[Date]])</f>
        <v>8</v>
      </c>
      <c r="T1044" t="str">
        <f>VLOOKUP(E1044, Products!$A:$B,2,0)</f>
        <v>Laptops Ele-3</v>
      </c>
      <c r="U1044" t="str">
        <f>VLOOKUP(E1044,Products!$A:$C,3,0)</f>
        <v>Electronics</v>
      </c>
      <c r="V1044" t="str">
        <f>VLOOKUP(E1044,Products!$A:$D,4,0)</f>
        <v>Laptops</v>
      </c>
      <c r="W1044" t="str">
        <f>VLOOKUP(D1044,Customers!$A:$C,3,0)</f>
        <v>B2C</v>
      </c>
      <c r="X1044" t="str">
        <f>VLOOKUP(C1044,Sales_Representatives!$A:$B,2,0)</f>
        <v>Sarah Brown</v>
      </c>
    </row>
    <row r="1045" spans="1:24" x14ac:dyDescent="0.3">
      <c r="A1045" t="s">
        <v>1427</v>
      </c>
      <c r="B1045" t="s">
        <v>1424</v>
      </c>
      <c r="C1045" t="s">
        <v>59</v>
      </c>
      <c r="D1045" t="s">
        <v>14</v>
      </c>
      <c r="E1045" t="s">
        <v>191</v>
      </c>
      <c r="F1045">
        <v>6</v>
      </c>
      <c r="G1045">
        <v>1012.75</v>
      </c>
      <c r="H1045">
        <v>0.06</v>
      </c>
      <c r="I1045" s="4">
        <v>5711.91</v>
      </c>
      <c r="J1045" t="s">
        <v>21</v>
      </c>
      <c r="K1045" t="s">
        <v>22</v>
      </c>
      <c r="L1045" s="4">
        <f>VLOOKUP(tblTransactions[[#This Row],[Product_ID]],tblProducts[],5,FALSE)</f>
        <v>518.53</v>
      </c>
      <c r="M1045" s="4">
        <f>tblTransactions[[#This Row],[Total_Amount]]-(tblTransactions[[#This Row],[Cost_Prices]]*tblTransactions[[#This Row],[Quantity]]*(1-tblTransactions[[#This Row],[Discount]]))</f>
        <v>2787.4008000000003</v>
      </c>
      <c r="N1045" s="3">
        <f>tblTransactions[[#This Row],[Profit]]/tblTransactions[[#This Row],[Total_Amount]]</f>
        <v>0.48799802517896823</v>
      </c>
      <c r="O1045" t="str">
        <f>TEXT(tblTransactions[[#This Row],[Date]], "MMM-YYYY")</f>
        <v>Aug-2023</v>
      </c>
      <c r="P1045" t="str">
        <f>"Q"&amp;ROUNDUP(MONTH(tblTransactions[[#This Row],[Date]])/3,0)&amp;"-"&amp;YEAR(tblTransactions[[#This Row],[Date]])</f>
        <v>Q3-2023</v>
      </c>
      <c r="Q1045">
        <f>YEAR(tblTransactions[[#This Row],[Date]])</f>
        <v>2023</v>
      </c>
      <c r="R1045" t="str">
        <f>TEXT(tblTransactions[[#This Row],[Date]],"DDDD")</f>
        <v>Thursday</v>
      </c>
      <c r="S1045">
        <f>MONTH(tblTransactions[[#This Row],[Date]])</f>
        <v>8</v>
      </c>
      <c r="T1045" t="str">
        <f>VLOOKUP(E1045, Products!$A:$B,2,0)</f>
        <v>Tables Fur-4</v>
      </c>
      <c r="U1045" t="str">
        <f>VLOOKUP(E1045,Products!$A:$C,3,0)</f>
        <v>Furniture</v>
      </c>
      <c r="V1045" t="str">
        <f>VLOOKUP(E1045,Products!$A:$D,4,0)</f>
        <v>Tables</v>
      </c>
      <c r="W1045" t="str">
        <f>VLOOKUP(D1045,Customers!$A:$C,3,0)</f>
        <v>B2B</v>
      </c>
      <c r="X1045" t="str">
        <f>VLOOKUP(C1045,Sales_Representatives!$A:$B,2,0)</f>
        <v>Sarah Brown</v>
      </c>
    </row>
    <row r="1046" spans="1:24" x14ac:dyDescent="0.3">
      <c r="A1046" t="s">
        <v>1428</v>
      </c>
      <c r="B1046" t="s">
        <v>1429</v>
      </c>
      <c r="C1046" t="s">
        <v>107</v>
      </c>
      <c r="D1046" t="s">
        <v>362</v>
      </c>
      <c r="E1046" t="s">
        <v>310</v>
      </c>
      <c r="F1046">
        <v>3</v>
      </c>
      <c r="G1046">
        <v>274.13</v>
      </c>
      <c r="H1046">
        <v>0.05</v>
      </c>
      <c r="I1046" s="4">
        <v>781.27</v>
      </c>
      <c r="J1046" t="s">
        <v>109</v>
      </c>
      <c r="K1046" t="s">
        <v>17</v>
      </c>
      <c r="L1046" s="4">
        <f>VLOOKUP(tblTransactions[[#This Row],[Product_ID]],tblProducts[],5,FALSE)</f>
        <v>134.41999999999999</v>
      </c>
      <c r="M1046" s="4">
        <f>tblTransactions[[#This Row],[Total_Amount]]-(tblTransactions[[#This Row],[Cost_Prices]]*tblTransactions[[#This Row],[Quantity]]*(1-tblTransactions[[#This Row],[Discount]]))</f>
        <v>398.173</v>
      </c>
      <c r="N1046" s="3">
        <f>tblTransactions[[#This Row],[Profit]]/tblTransactions[[#This Row],[Total_Amount]]</f>
        <v>0.50964839300113918</v>
      </c>
      <c r="O1046" t="str">
        <f>TEXT(tblTransactions[[#This Row],[Date]], "MMM-YYYY")</f>
        <v>Aug-2023</v>
      </c>
      <c r="P1046" t="str">
        <f>"Q"&amp;ROUNDUP(MONTH(tblTransactions[[#This Row],[Date]])/3,0)&amp;"-"&amp;YEAR(tblTransactions[[#This Row],[Date]])</f>
        <v>Q3-2023</v>
      </c>
      <c r="Q1046">
        <f>YEAR(tblTransactions[[#This Row],[Date]])</f>
        <v>2023</v>
      </c>
      <c r="R1046" t="str">
        <f>TEXT(tblTransactions[[#This Row],[Date]],"DDDD")</f>
        <v>Friday</v>
      </c>
      <c r="S1046">
        <f>MONTH(tblTransactions[[#This Row],[Date]])</f>
        <v>8</v>
      </c>
      <c r="T1046" t="str">
        <f>VLOOKUP(E1046, Products!$A:$B,2,0)</f>
        <v>Adapters Acc-4</v>
      </c>
      <c r="U1046" t="str">
        <f>VLOOKUP(E1046,Products!$A:$C,3,0)</f>
        <v>Accessories</v>
      </c>
      <c r="V1046" t="str">
        <f>VLOOKUP(E1046,Products!$A:$D,4,0)</f>
        <v>Adapters</v>
      </c>
      <c r="W1046" t="str">
        <f>VLOOKUP(D1046,Customers!$A:$C,3,0)</f>
        <v>Small Business</v>
      </c>
      <c r="X1046" t="str">
        <f>VLOOKUP(C1046,Sales_Representatives!$A:$B,2,0)</f>
        <v>Jennifer Brown</v>
      </c>
    </row>
    <row r="1047" spans="1:24" x14ac:dyDescent="0.3">
      <c r="A1047" t="s">
        <v>1430</v>
      </c>
      <c r="B1047" t="s">
        <v>1429</v>
      </c>
      <c r="C1047" t="s">
        <v>131</v>
      </c>
      <c r="D1047" t="s">
        <v>83</v>
      </c>
      <c r="E1047" t="s">
        <v>77</v>
      </c>
      <c r="F1047">
        <v>1</v>
      </c>
      <c r="G1047">
        <v>236.82</v>
      </c>
      <c r="H1047">
        <v>0.01</v>
      </c>
      <c r="I1047" s="4">
        <v>234.45</v>
      </c>
      <c r="J1047" t="s">
        <v>44</v>
      </c>
      <c r="K1047" t="s">
        <v>48</v>
      </c>
      <c r="L1047" s="4">
        <f>VLOOKUP(tblTransactions[[#This Row],[Product_ID]],tblProducts[],5,FALSE)</f>
        <v>110.79</v>
      </c>
      <c r="M1047" s="4">
        <f>tblTransactions[[#This Row],[Total_Amount]]-(tblTransactions[[#This Row],[Cost_Prices]]*tblTransactions[[#This Row],[Quantity]]*(1-tblTransactions[[#This Row],[Discount]]))</f>
        <v>124.76789999999998</v>
      </c>
      <c r="N1047" s="3">
        <f>tblTransactions[[#This Row],[Profit]]/tblTransactions[[#This Row],[Total_Amount]]</f>
        <v>0.53217274472168896</v>
      </c>
      <c r="O1047" t="str">
        <f>TEXT(tblTransactions[[#This Row],[Date]], "MMM-YYYY")</f>
        <v>Aug-2023</v>
      </c>
      <c r="P1047" t="str">
        <f>"Q"&amp;ROUNDUP(MONTH(tblTransactions[[#This Row],[Date]])/3,0)&amp;"-"&amp;YEAR(tblTransactions[[#This Row],[Date]])</f>
        <v>Q3-2023</v>
      </c>
      <c r="Q1047">
        <f>YEAR(tblTransactions[[#This Row],[Date]])</f>
        <v>2023</v>
      </c>
      <c r="R1047" t="str">
        <f>TEXT(tblTransactions[[#This Row],[Date]],"DDDD")</f>
        <v>Friday</v>
      </c>
      <c r="S1047">
        <f>MONTH(tblTransactions[[#This Row],[Date]])</f>
        <v>8</v>
      </c>
      <c r="T1047" t="str">
        <f>VLOOKUP(E1047, Products!$A:$B,2,0)</f>
        <v>Binders Off-4</v>
      </c>
      <c r="U1047" t="str">
        <f>VLOOKUP(E1047,Products!$A:$C,3,0)</f>
        <v>Office Supplies</v>
      </c>
      <c r="V1047" t="str">
        <f>VLOOKUP(E1047,Products!$A:$D,4,0)</f>
        <v>Binders</v>
      </c>
      <c r="W1047" t="str">
        <f>VLOOKUP(D1047,Customers!$A:$C,3,0)</f>
        <v>Small Business</v>
      </c>
      <c r="X1047" t="str">
        <f>VLOOKUP(C1047,Sales_Representatives!$A:$B,2,0)</f>
        <v>Michael Davis</v>
      </c>
    </row>
    <row r="1048" spans="1:24" x14ac:dyDescent="0.3">
      <c r="A1048" t="s">
        <v>1431</v>
      </c>
      <c r="B1048" t="s">
        <v>1429</v>
      </c>
      <c r="C1048" t="s">
        <v>107</v>
      </c>
      <c r="D1048" t="s">
        <v>124</v>
      </c>
      <c r="E1048" t="s">
        <v>394</v>
      </c>
      <c r="F1048">
        <v>4</v>
      </c>
      <c r="G1048">
        <v>314.69</v>
      </c>
      <c r="H1048">
        <v>7.0000000000000007E-2</v>
      </c>
      <c r="I1048" s="4">
        <v>1170.6500000000001</v>
      </c>
      <c r="J1048" t="s">
        <v>109</v>
      </c>
      <c r="K1048" t="s">
        <v>35</v>
      </c>
      <c r="L1048" s="4">
        <f>VLOOKUP(tblTransactions[[#This Row],[Product_ID]],tblProducts[],5,FALSE)</f>
        <v>185.43</v>
      </c>
      <c r="M1048" s="4">
        <f>tblTransactions[[#This Row],[Total_Amount]]-(tblTransactions[[#This Row],[Cost_Prices]]*tblTransactions[[#This Row],[Quantity]]*(1-tblTransactions[[#This Row],[Discount]]))</f>
        <v>480.85040000000015</v>
      </c>
      <c r="N1048" s="3">
        <f>tblTransactions[[#This Row],[Profit]]/tblTransactions[[#This Row],[Total_Amount]]</f>
        <v>0.41075505061290746</v>
      </c>
      <c r="O1048" t="str">
        <f>TEXT(tblTransactions[[#This Row],[Date]], "MMM-YYYY")</f>
        <v>Aug-2023</v>
      </c>
      <c r="P1048" t="str">
        <f>"Q"&amp;ROUNDUP(MONTH(tblTransactions[[#This Row],[Date]])/3,0)&amp;"-"&amp;YEAR(tblTransactions[[#This Row],[Date]])</f>
        <v>Q3-2023</v>
      </c>
      <c r="Q1048">
        <f>YEAR(tblTransactions[[#This Row],[Date]])</f>
        <v>2023</v>
      </c>
      <c r="R1048" t="str">
        <f>TEXT(tblTransactions[[#This Row],[Date]],"DDDD")</f>
        <v>Friday</v>
      </c>
      <c r="S1048">
        <f>MONTH(tblTransactions[[#This Row],[Date]])</f>
        <v>8</v>
      </c>
      <c r="T1048" t="str">
        <f>VLOOKUP(E1048, Products!$A:$B,2,0)</f>
        <v>Desks Fur-1</v>
      </c>
      <c r="U1048" t="str">
        <f>VLOOKUP(E1048,Products!$A:$C,3,0)</f>
        <v>Furniture</v>
      </c>
      <c r="V1048" t="str">
        <f>VLOOKUP(E1048,Products!$A:$D,4,0)</f>
        <v>Desks</v>
      </c>
      <c r="W1048" t="str">
        <f>VLOOKUP(D1048,Customers!$A:$C,3,0)</f>
        <v>B2B</v>
      </c>
      <c r="X1048" t="str">
        <f>VLOOKUP(C1048,Sales_Representatives!$A:$B,2,0)</f>
        <v>Jennifer Brown</v>
      </c>
    </row>
    <row r="1049" spans="1:24" x14ac:dyDescent="0.3">
      <c r="A1049" t="s">
        <v>1432</v>
      </c>
      <c r="B1049" t="s">
        <v>1433</v>
      </c>
      <c r="C1049" t="s">
        <v>19</v>
      </c>
      <c r="D1049" t="s">
        <v>112</v>
      </c>
      <c r="E1049" t="s">
        <v>394</v>
      </c>
      <c r="F1049">
        <v>24</v>
      </c>
      <c r="G1049">
        <v>314.69</v>
      </c>
      <c r="H1049">
        <v>0.17</v>
      </c>
      <c r="I1049" s="4">
        <v>6268.62</v>
      </c>
      <c r="J1049" t="s">
        <v>21</v>
      </c>
      <c r="K1049" t="s">
        <v>39</v>
      </c>
      <c r="L1049" s="4">
        <f>VLOOKUP(tblTransactions[[#This Row],[Product_ID]],tblProducts[],5,FALSE)</f>
        <v>185.43</v>
      </c>
      <c r="M1049" s="4">
        <f>tblTransactions[[#This Row],[Total_Amount]]-(tblTransactions[[#This Row],[Cost_Prices]]*tblTransactions[[#This Row],[Quantity]]*(1-tblTransactions[[#This Row],[Discount]]))</f>
        <v>2574.8544000000002</v>
      </c>
      <c r="N1049" s="3">
        <f>tblTransactions[[#This Row],[Profit]]/tblTransactions[[#This Row],[Total_Amount]]</f>
        <v>0.41075298869607668</v>
      </c>
      <c r="O1049" t="str">
        <f>TEXT(tblTransactions[[#This Row],[Date]], "MMM-YYYY")</f>
        <v>Aug-2023</v>
      </c>
      <c r="P1049" t="str">
        <f>"Q"&amp;ROUNDUP(MONTH(tblTransactions[[#This Row],[Date]])/3,0)&amp;"-"&amp;YEAR(tblTransactions[[#This Row],[Date]])</f>
        <v>Q3-2023</v>
      </c>
      <c r="Q1049">
        <f>YEAR(tblTransactions[[#This Row],[Date]])</f>
        <v>2023</v>
      </c>
      <c r="R1049" t="str">
        <f>TEXT(tblTransactions[[#This Row],[Date]],"DDDD")</f>
        <v>Saturday</v>
      </c>
      <c r="S1049">
        <f>MONTH(tblTransactions[[#This Row],[Date]])</f>
        <v>8</v>
      </c>
      <c r="T1049" t="str">
        <f>VLOOKUP(E1049, Products!$A:$B,2,0)</f>
        <v>Desks Fur-1</v>
      </c>
      <c r="U1049" t="str">
        <f>VLOOKUP(E1049,Products!$A:$C,3,0)</f>
        <v>Furniture</v>
      </c>
      <c r="V1049" t="str">
        <f>VLOOKUP(E1049,Products!$A:$D,4,0)</f>
        <v>Desks</v>
      </c>
      <c r="W1049" t="str">
        <f>VLOOKUP(D1049,Customers!$A:$C,3,0)</f>
        <v>Enterprise</v>
      </c>
      <c r="X1049" t="str">
        <f>VLOOKUP(C1049,Sales_Representatives!$A:$B,2,0)</f>
        <v>Robert Jones</v>
      </c>
    </row>
    <row r="1050" spans="1:24" x14ac:dyDescent="0.3">
      <c r="A1050" t="s">
        <v>1434</v>
      </c>
      <c r="B1050" t="s">
        <v>1433</v>
      </c>
      <c r="C1050" t="s">
        <v>56</v>
      </c>
      <c r="D1050" t="s">
        <v>228</v>
      </c>
      <c r="E1050" t="s">
        <v>91</v>
      </c>
      <c r="F1050">
        <v>1</v>
      </c>
      <c r="G1050">
        <v>286.62</v>
      </c>
      <c r="H1050">
        <v>0.04</v>
      </c>
      <c r="I1050" s="4">
        <v>275.16000000000003</v>
      </c>
      <c r="J1050" t="s">
        <v>34</v>
      </c>
      <c r="K1050" t="s">
        <v>22</v>
      </c>
      <c r="L1050" s="4">
        <f>VLOOKUP(tblTransactions[[#This Row],[Product_ID]],tblProducts[],5,FALSE)</f>
        <v>145.54</v>
      </c>
      <c r="M1050" s="4">
        <f>tblTransactions[[#This Row],[Total_Amount]]-(tblTransactions[[#This Row],[Cost_Prices]]*tblTransactions[[#This Row],[Quantity]]*(1-tblTransactions[[#This Row],[Discount]]))</f>
        <v>135.44160000000005</v>
      </c>
      <c r="N1050" s="3">
        <f>tblTransactions[[#This Row],[Profit]]/tblTransactions[[#This Row],[Total_Amount]]</f>
        <v>0.49222852158744018</v>
      </c>
      <c r="O1050" t="str">
        <f>TEXT(tblTransactions[[#This Row],[Date]], "MMM-YYYY")</f>
        <v>Aug-2023</v>
      </c>
      <c r="P1050" t="str">
        <f>"Q"&amp;ROUNDUP(MONTH(tblTransactions[[#This Row],[Date]])/3,0)&amp;"-"&amp;YEAR(tblTransactions[[#This Row],[Date]])</f>
        <v>Q3-2023</v>
      </c>
      <c r="Q1050">
        <f>YEAR(tblTransactions[[#This Row],[Date]])</f>
        <v>2023</v>
      </c>
      <c r="R1050" t="str">
        <f>TEXT(tblTransactions[[#This Row],[Date]],"DDDD")</f>
        <v>Saturday</v>
      </c>
      <c r="S1050">
        <f>MONTH(tblTransactions[[#This Row],[Date]])</f>
        <v>8</v>
      </c>
      <c r="T1050" t="str">
        <f>VLOOKUP(E1050, Products!$A:$B,2,0)</f>
        <v>Chairs Fur-1</v>
      </c>
      <c r="U1050" t="str">
        <f>VLOOKUP(E1050,Products!$A:$C,3,0)</f>
        <v>Furniture</v>
      </c>
      <c r="V1050" t="str">
        <f>VLOOKUP(E1050,Products!$A:$D,4,0)</f>
        <v>Chairs</v>
      </c>
      <c r="W1050" t="str">
        <f>VLOOKUP(D1050,Customers!$A:$C,3,0)</f>
        <v>Small Business</v>
      </c>
      <c r="X1050" t="str">
        <f>VLOOKUP(C1050,Sales_Representatives!$A:$B,2,0)</f>
        <v>Thomas Hernandez</v>
      </c>
    </row>
    <row r="1051" spans="1:24" x14ac:dyDescent="0.3">
      <c r="A1051" t="s">
        <v>1435</v>
      </c>
      <c r="B1051" t="s">
        <v>1433</v>
      </c>
      <c r="C1051" t="s">
        <v>75</v>
      </c>
      <c r="D1051" t="s">
        <v>166</v>
      </c>
      <c r="E1051" t="s">
        <v>102</v>
      </c>
      <c r="F1051">
        <v>5</v>
      </c>
      <c r="G1051">
        <v>1097.75</v>
      </c>
      <c r="H1051">
        <v>0.09</v>
      </c>
      <c r="I1051" s="4">
        <v>4994.76</v>
      </c>
      <c r="J1051" t="s">
        <v>44</v>
      </c>
      <c r="K1051" t="s">
        <v>22</v>
      </c>
      <c r="L1051" s="4">
        <f>VLOOKUP(tblTransactions[[#This Row],[Product_ID]],tblProducts[],5,FALSE)</f>
        <v>680.12</v>
      </c>
      <c r="M1051" s="4">
        <f>tblTransactions[[#This Row],[Total_Amount]]-(tblTransactions[[#This Row],[Cost_Prices]]*tblTransactions[[#This Row],[Quantity]]*(1-tblTransactions[[#This Row],[Discount]]))</f>
        <v>1900.2140000000004</v>
      </c>
      <c r="N1051" s="3">
        <f>tblTransactions[[#This Row],[Profit]]/tblTransactions[[#This Row],[Total_Amount]]</f>
        <v>0.38044150269482424</v>
      </c>
      <c r="O1051" t="str">
        <f>TEXT(tblTransactions[[#This Row],[Date]], "MMM-YYYY")</f>
        <v>Aug-2023</v>
      </c>
      <c r="P1051" t="str">
        <f>"Q"&amp;ROUNDUP(MONTH(tblTransactions[[#This Row],[Date]])/3,0)&amp;"-"&amp;YEAR(tblTransactions[[#This Row],[Date]])</f>
        <v>Q3-2023</v>
      </c>
      <c r="Q1051">
        <f>YEAR(tblTransactions[[#This Row],[Date]])</f>
        <v>2023</v>
      </c>
      <c r="R1051" t="str">
        <f>TEXT(tblTransactions[[#This Row],[Date]],"DDDD")</f>
        <v>Saturday</v>
      </c>
      <c r="S1051">
        <f>MONTH(tblTransactions[[#This Row],[Date]])</f>
        <v>8</v>
      </c>
      <c r="T1051" t="str">
        <f>VLOOKUP(E1051, Products!$A:$B,2,0)</f>
        <v>Storage Fur-4</v>
      </c>
      <c r="U1051" t="str">
        <f>VLOOKUP(E1051,Products!$A:$C,3,0)</f>
        <v>Furniture</v>
      </c>
      <c r="V1051" t="str">
        <f>VLOOKUP(E1051,Products!$A:$D,4,0)</f>
        <v>Storage</v>
      </c>
      <c r="W1051" t="str">
        <f>VLOOKUP(D1051,Customers!$A:$C,3,0)</f>
        <v>B2C</v>
      </c>
      <c r="X1051" t="str">
        <f>VLOOKUP(C1051,Sales_Representatives!$A:$B,2,0)</f>
        <v>Jessica Anderson</v>
      </c>
    </row>
    <row r="1052" spans="1:24" x14ac:dyDescent="0.3">
      <c r="A1052" t="s">
        <v>1436</v>
      </c>
      <c r="B1052" t="s">
        <v>1433</v>
      </c>
      <c r="C1052" t="s">
        <v>56</v>
      </c>
      <c r="D1052" t="s">
        <v>95</v>
      </c>
      <c r="E1052" t="s">
        <v>105</v>
      </c>
      <c r="F1052">
        <v>19</v>
      </c>
      <c r="G1052">
        <v>1342.04</v>
      </c>
      <c r="H1052">
        <v>0.17</v>
      </c>
      <c r="I1052" s="4">
        <v>21163.97</v>
      </c>
      <c r="J1052" t="s">
        <v>34</v>
      </c>
      <c r="K1052" t="s">
        <v>39</v>
      </c>
      <c r="L1052" s="4">
        <f>VLOOKUP(tblTransactions[[#This Row],[Product_ID]],tblProducts[],5,FALSE)</f>
        <v>792.89</v>
      </c>
      <c r="M1052" s="4">
        <f>tblTransactions[[#This Row],[Total_Amount]]-(tblTransactions[[#This Row],[Cost_Prices]]*tblTransactions[[#This Row],[Quantity]]*(1-tblTransactions[[#This Row],[Discount]]))</f>
        <v>8660.0947000000015</v>
      </c>
      <c r="N1052" s="3">
        <f>tblTransactions[[#This Row],[Profit]]/tblTransactions[[#This Row],[Total_Amount]]</f>
        <v>0.40919046379294627</v>
      </c>
      <c r="O1052" t="str">
        <f>TEXT(tblTransactions[[#This Row],[Date]], "MMM-YYYY")</f>
        <v>Aug-2023</v>
      </c>
      <c r="P1052" t="str">
        <f>"Q"&amp;ROUNDUP(MONTH(tblTransactions[[#This Row],[Date]])/3,0)&amp;"-"&amp;YEAR(tblTransactions[[#This Row],[Date]])</f>
        <v>Q3-2023</v>
      </c>
      <c r="Q1052">
        <f>YEAR(tblTransactions[[#This Row],[Date]])</f>
        <v>2023</v>
      </c>
      <c r="R1052" t="str">
        <f>TEXT(tblTransactions[[#This Row],[Date]],"DDDD")</f>
        <v>Saturday</v>
      </c>
      <c r="S1052">
        <f>MONTH(tblTransactions[[#This Row],[Date]])</f>
        <v>8</v>
      </c>
      <c r="T1052" t="str">
        <f>VLOOKUP(E1052, Products!$A:$B,2,0)</f>
        <v>Cameras Ele-1</v>
      </c>
      <c r="U1052" t="str">
        <f>VLOOKUP(E1052,Products!$A:$C,3,0)</f>
        <v>Electronics</v>
      </c>
      <c r="V1052" t="str">
        <f>VLOOKUP(E1052,Products!$A:$D,4,0)</f>
        <v>Cameras</v>
      </c>
      <c r="W1052" t="str">
        <f>VLOOKUP(D1052,Customers!$A:$C,3,0)</f>
        <v>Enterprise</v>
      </c>
      <c r="X1052" t="str">
        <f>VLOOKUP(C1052,Sales_Representatives!$A:$B,2,0)</f>
        <v>Thomas Hernandez</v>
      </c>
    </row>
    <row r="1053" spans="1:24" x14ac:dyDescent="0.3">
      <c r="A1053" t="s">
        <v>1437</v>
      </c>
      <c r="B1053" t="s">
        <v>1438</v>
      </c>
      <c r="C1053" t="s">
        <v>82</v>
      </c>
      <c r="D1053" t="s">
        <v>1439</v>
      </c>
      <c r="E1053" t="s">
        <v>91</v>
      </c>
      <c r="F1053">
        <v>1</v>
      </c>
      <c r="G1053">
        <v>286.62</v>
      </c>
      <c r="H1053">
        <v>0.02</v>
      </c>
      <c r="I1053" s="4">
        <v>280.89</v>
      </c>
      <c r="J1053" t="s">
        <v>34</v>
      </c>
      <c r="K1053" t="s">
        <v>39</v>
      </c>
      <c r="L1053" s="4">
        <f>VLOOKUP(tblTransactions[[#This Row],[Product_ID]],tblProducts[],5,FALSE)</f>
        <v>145.54</v>
      </c>
      <c r="M1053" s="4">
        <f>tblTransactions[[#This Row],[Total_Amount]]-(tblTransactions[[#This Row],[Cost_Prices]]*tblTransactions[[#This Row],[Quantity]]*(1-tblTransactions[[#This Row],[Discount]]))</f>
        <v>138.26079999999999</v>
      </c>
      <c r="N1053" s="3">
        <f>tblTransactions[[#This Row],[Profit]]/tblTransactions[[#This Row],[Total_Amount]]</f>
        <v>0.49222400227847196</v>
      </c>
      <c r="O1053" t="str">
        <f>TEXT(tblTransactions[[#This Row],[Date]], "MMM-YYYY")</f>
        <v>Aug-2023</v>
      </c>
      <c r="P1053" t="str">
        <f>"Q"&amp;ROUNDUP(MONTH(tblTransactions[[#This Row],[Date]])/3,0)&amp;"-"&amp;YEAR(tblTransactions[[#This Row],[Date]])</f>
        <v>Q3-2023</v>
      </c>
      <c r="Q1053">
        <f>YEAR(tblTransactions[[#This Row],[Date]])</f>
        <v>2023</v>
      </c>
      <c r="R1053" t="str">
        <f>TEXT(tblTransactions[[#This Row],[Date]],"DDDD")</f>
        <v>Sunday</v>
      </c>
      <c r="S1053">
        <f>MONTH(tblTransactions[[#This Row],[Date]])</f>
        <v>8</v>
      </c>
      <c r="T1053" t="str">
        <f>VLOOKUP(E1053, Products!$A:$B,2,0)</f>
        <v>Chairs Fur-1</v>
      </c>
      <c r="U1053" t="str">
        <f>VLOOKUP(E1053,Products!$A:$C,3,0)</f>
        <v>Furniture</v>
      </c>
      <c r="V1053" t="str">
        <f>VLOOKUP(E1053,Products!$A:$D,4,0)</f>
        <v>Chairs</v>
      </c>
      <c r="W1053" t="str">
        <f>VLOOKUP(D1053,Customers!$A:$C,3,0)</f>
        <v>B2C</v>
      </c>
      <c r="X1053" t="str">
        <f>VLOOKUP(C1053,Sales_Representatives!$A:$B,2,0)</f>
        <v>John Brown</v>
      </c>
    </row>
    <row r="1054" spans="1:24" x14ac:dyDescent="0.3">
      <c r="A1054" t="s">
        <v>1440</v>
      </c>
      <c r="B1054" t="s">
        <v>1438</v>
      </c>
      <c r="C1054" t="s">
        <v>63</v>
      </c>
      <c r="D1054" t="s">
        <v>1441</v>
      </c>
      <c r="E1054" t="s">
        <v>125</v>
      </c>
      <c r="F1054">
        <v>5</v>
      </c>
      <c r="G1054">
        <v>1201.4000000000001</v>
      </c>
      <c r="H1054">
        <v>0.04</v>
      </c>
      <c r="I1054" s="4">
        <v>5766.72</v>
      </c>
      <c r="J1054" t="s">
        <v>21</v>
      </c>
      <c r="K1054" t="s">
        <v>48</v>
      </c>
      <c r="L1054" s="4">
        <f>VLOOKUP(tblTransactions[[#This Row],[Product_ID]],tblProducts[],5,FALSE)</f>
        <v>672.72</v>
      </c>
      <c r="M1054" s="4">
        <f>tblTransactions[[#This Row],[Total_Amount]]-(tblTransactions[[#This Row],[Cost_Prices]]*tblTransactions[[#This Row],[Quantity]]*(1-tblTransactions[[#This Row],[Discount]]))</f>
        <v>2537.6640000000002</v>
      </c>
      <c r="N1054" s="3">
        <f>tblTransactions[[#This Row],[Profit]]/tblTransactions[[#This Row],[Total_Amount]]</f>
        <v>0.44005327118361914</v>
      </c>
      <c r="O1054" t="str">
        <f>TEXT(tblTransactions[[#This Row],[Date]], "MMM-YYYY")</f>
        <v>Aug-2023</v>
      </c>
      <c r="P1054" t="str">
        <f>"Q"&amp;ROUNDUP(MONTH(tblTransactions[[#This Row],[Date]])/3,0)&amp;"-"&amp;YEAR(tblTransactions[[#This Row],[Date]])</f>
        <v>Q3-2023</v>
      </c>
      <c r="Q1054">
        <f>YEAR(tblTransactions[[#This Row],[Date]])</f>
        <v>2023</v>
      </c>
      <c r="R1054" t="str">
        <f>TEXT(tblTransactions[[#This Row],[Date]],"DDDD")</f>
        <v>Sunday</v>
      </c>
      <c r="S1054">
        <f>MONTH(tblTransactions[[#This Row],[Date]])</f>
        <v>8</v>
      </c>
      <c r="T1054" t="str">
        <f>VLOOKUP(E1054, Products!$A:$B,2,0)</f>
        <v>Printers Tec-2</v>
      </c>
      <c r="U1054" t="str">
        <f>VLOOKUP(E1054,Products!$A:$C,3,0)</f>
        <v>Technology</v>
      </c>
      <c r="V1054" t="str">
        <f>VLOOKUP(E1054,Products!$A:$D,4,0)</f>
        <v>Printers</v>
      </c>
      <c r="W1054" t="str">
        <f>VLOOKUP(D1054,Customers!$A:$C,3,0)</f>
        <v>Small Business</v>
      </c>
      <c r="X1054" t="str">
        <f>VLOOKUP(C1054,Sales_Representatives!$A:$B,2,0)</f>
        <v>Richard Wilson</v>
      </c>
    </row>
    <row r="1055" spans="1:24" x14ac:dyDescent="0.3">
      <c r="A1055" t="s">
        <v>1442</v>
      </c>
      <c r="B1055" t="s">
        <v>1438</v>
      </c>
      <c r="C1055" t="s">
        <v>107</v>
      </c>
      <c r="D1055" t="s">
        <v>154</v>
      </c>
      <c r="E1055" t="s">
        <v>113</v>
      </c>
      <c r="F1055">
        <v>12</v>
      </c>
      <c r="G1055">
        <v>930.41</v>
      </c>
      <c r="H1055">
        <v>0.2</v>
      </c>
      <c r="I1055" s="4">
        <v>8931.94</v>
      </c>
      <c r="J1055" t="s">
        <v>109</v>
      </c>
      <c r="K1055" t="s">
        <v>17</v>
      </c>
      <c r="L1055" s="4">
        <f>VLOOKUP(tblTransactions[[#This Row],[Product_ID]],tblProducts[],5,FALSE)</f>
        <v>595.51</v>
      </c>
      <c r="M1055" s="4">
        <f>tblTransactions[[#This Row],[Total_Amount]]-(tblTransactions[[#This Row],[Cost_Prices]]*tblTransactions[[#This Row],[Quantity]]*(1-tblTransactions[[#This Row],[Discount]]))</f>
        <v>3215.0439999999999</v>
      </c>
      <c r="N1055" s="3">
        <f>tblTransactions[[#This Row],[Profit]]/tblTransactions[[#This Row],[Total_Amount]]</f>
        <v>0.35994912639359417</v>
      </c>
      <c r="O1055" t="str">
        <f>TEXT(tblTransactions[[#This Row],[Date]], "MMM-YYYY")</f>
        <v>Aug-2023</v>
      </c>
      <c r="P1055" t="str">
        <f>"Q"&amp;ROUNDUP(MONTH(tblTransactions[[#This Row],[Date]])/3,0)&amp;"-"&amp;YEAR(tblTransactions[[#This Row],[Date]])</f>
        <v>Q3-2023</v>
      </c>
      <c r="Q1055">
        <f>YEAR(tblTransactions[[#This Row],[Date]])</f>
        <v>2023</v>
      </c>
      <c r="R1055" t="str">
        <f>TEXT(tblTransactions[[#This Row],[Date]],"DDDD")</f>
        <v>Sunday</v>
      </c>
      <c r="S1055">
        <f>MONTH(tblTransactions[[#This Row],[Date]])</f>
        <v>8</v>
      </c>
      <c r="T1055" t="str">
        <f>VLOOKUP(E1055, Products!$A:$B,2,0)</f>
        <v>Phones Ele-1</v>
      </c>
      <c r="U1055" t="str">
        <f>VLOOKUP(E1055,Products!$A:$C,3,0)</f>
        <v>Electronics</v>
      </c>
      <c r="V1055" t="str">
        <f>VLOOKUP(E1055,Products!$A:$D,4,0)</f>
        <v>Phones</v>
      </c>
      <c r="W1055" t="str">
        <f>VLOOKUP(D1055,Customers!$A:$C,3,0)</f>
        <v>B2B</v>
      </c>
      <c r="X1055" t="str">
        <f>VLOOKUP(C1055,Sales_Representatives!$A:$B,2,0)</f>
        <v>Jennifer Brown</v>
      </c>
    </row>
    <row r="1056" spans="1:24" x14ac:dyDescent="0.3">
      <c r="A1056" t="s">
        <v>1443</v>
      </c>
      <c r="B1056" t="s">
        <v>1444</v>
      </c>
      <c r="C1056" t="s">
        <v>107</v>
      </c>
      <c r="D1056" t="s">
        <v>1445</v>
      </c>
      <c r="E1056" t="s">
        <v>105</v>
      </c>
      <c r="F1056">
        <v>2</v>
      </c>
      <c r="G1056">
        <v>1342.04</v>
      </c>
      <c r="H1056">
        <v>0.09</v>
      </c>
      <c r="I1056" s="4">
        <v>2442.5100000000002</v>
      </c>
      <c r="J1056" t="s">
        <v>109</v>
      </c>
      <c r="K1056" t="s">
        <v>22</v>
      </c>
      <c r="L1056" s="4">
        <f>VLOOKUP(tblTransactions[[#This Row],[Product_ID]],tblProducts[],5,FALSE)</f>
        <v>792.89</v>
      </c>
      <c r="M1056" s="4">
        <f>tblTransactions[[#This Row],[Total_Amount]]-(tblTransactions[[#This Row],[Cost_Prices]]*tblTransactions[[#This Row],[Quantity]]*(1-tblTransactions[[#This Row],[Discount]]))</f>
        <v>999.45020000000022</v>
      </c>
      <c r="N1056" s="3">
        <f>tblTransactions[[#This Row],[Profit]]/tblTransactions[[#This Row],[Total_Amount]]</f>
        <v>0.40918980884418082</v>
      </c>
      <c r="O1056" t="str">
        <f>TEXT(tblTransactions[[#This Row],[Date]], "MMM-YYYY")</f>
        <v>Aug-2023</v>
      </c>
      <c r="P1056" t="str">
        <f>"Q"&amp;ROUNDUP(MONTH(tblTransactions[[#This Row],[Date]])/3,0)&amp;"-"&amp;YEAR(tblTransactions[[#This Row],[Date]])</f>
        <v>Q3-2023</v>
      </c>
      <c r="Q1056">
        <f>YEAR(tblTransactions[[#This Row],[Date]])</f>
        <v>2023</v>
      </c>
      <c r="R1056" t="str">
        <f>TEXT(tblTransactions[[#This Row],[Date]],"DDDD")</f>
        <v>Monday</v>
      </c>
      <c r="S1056">
        <f>MONTH(tblTransactions[[#This Row],[Date]])</f>
        <v>8</v>
      </c>
      <c r="T1056" t="str">
        <f>VLOOKUP(E1056, Products!$A:$B,2,0)</f>
        <v>Cameras Ele-1</v>
      </c>
      <c r="U1056" t="str">
        <f>VLOOKUP(E1056,Products!$A:$C,3,0)</f>
        <v>Electronics</v>
      </c>
      <c r="V1056" t="str">
        <f>VLOOKUP(E1056,Products!$A:$D,4,0)</f>
        <v>Cameras</v>
      </c>
      <c r="W1056" t="str">
        <f>VLOOKUP(D1056,Customers!$A:$C,3,0)</f>
        <v>B2C</v>
      </c>
      <c r="X1056" t="str">
        <f>VLOOKUP(C1056,Sales_Representatives!$A:$B,2,0)</f>
        <v>Jennifer Brown</v>
      </c>
    </row>
    <row r="1057" spans="1:24" x14ac:dyDescent="0.3">
      <c r="A1057" t="s">
        <v>1446</v>
      </c>
      <c r="B1057" t="s">
        <v>1444</v>
      </c>
      <c r="C1057" t="s">
        <v>131</v>
      </c>
      <c r="D1057" t="s">
        <v>1447</v>
      </c>
      <c r="E1057" t="s">
        <v>347</v>
      </c>
      <c r="F1057">
        <v>5</v>
      </c>
      <c r="G1057">
        <v>1539.6</v>
      </c>
      <c r="H1057">
        <v>0.08</v>
      </c>
      <c r="I1057" s="4">
        <v>7082.16</v>
      </c>
      <c r="J1057" t="s">
        <v>44</v>
      </c>
      <c r="K1057" t="s">
        <v>35</v>
      </c>
      <c r="L1057" s="4">
        <f>VLOOKUP(tblTransactions[[#This Row],[Product_ID]],tblProducts[],5,FALSE)</f>
        <v>992.43</v>
      </c>
      <c r="M1057" s="4">
        <f>tblTransactions[[#This Row],[Total_Amount]]-(tblTransactions[[#This Row],[Cost_Prices]]*tblTransactions[[#This Row],[Quantity]]*(1-tblTransactions[[#This Row],[Discount]]))</f>
        <v>2516.982</v>
      </c>
      <c r="N1057" s="3">
        <f>tblTransactions[[#This Row],[Profit]]/tblTransactions[[#This Row],[Total_Amount]]</f>
        <v>0.3553975058456742</v>
      </c>
      <c r="O1057" t="str">
        <f>TEXT(tblTransactions[[#This Row],[Date]], "MMM-YYYY")</f>
        <v>Aug-2023</v>
      </c>
      <c r="P1057" t="str">
        <f>"Q"&amp;ROUNDUP(MONTH(tblTransactions[[#This Row],[Date]])/3,0)&amp;"-"&amp;YEAR(tblTransactions[[#This Row],[Date]])</f>
        <v>Q3-2023</v>
      </c>
      <c r="Q1057">
        <f>YEAR(tblTransactions[[#This Row],[Date]])</f>
        <v>2023</v>
      </c>
      <c r="R1057" t="str">
        <f>TEXT(tblTransactions[[#This Row],[Date]],"DDDD")</f>
        <v>Monday</v>
      </c>
      <c r="S1057">
        <f>MONTH(tblTransactions[[#This Row],[Date]])</f>
        <v>8</v>
      </c>
      <c r="T1057" t="str">
        <f>VLOOKUP(E1057, Products!$A:$B,2,0)</f>
        <v>Routers Tec-2</v>
      </c>
      <c r="U1057" t="str">
        <f>VLOOKUP(E1057,Products!$A:$C,3,0)</f>
        <v>Technology</v>
      </c>
      <c r="V1057" t="str">
        <f>VLOOKUP(E1057,Products!$A:$D,4,0)</f>
        <v>Routers</v>
      </c>
      <c r="W1057" t="str">
        <f>VLOOKUP(D1057,Customers!$A:$C,3,0)</f>
        <v>B2B</v>
      </c>
      <c r="X1057" t="str">
        <f>VLOOKUP(C1057,Sales_Representatives!$A:$B,2,0)</f>
        <v>Michael Davis</v>
      </c>
    </row>
    <row r="1058" spans="1:24" x14ac:dyDescent="0.3">
      <c r="A1058" t="s">
        <v>1448</v>
      </c>
      <c r="B1058" t="s">
        <v>1444</v>
      </c>
      <c r="C1058" t="s">
        <v>75</v>
      </c>
      <c r="D1058" t="s">
        <v>1449</v>
      </c>
      <c r="E1058" t="s">
        <v>137</v>
      </c>
      <c r="F1058">
        <v>16</v>
      </c>
      <c r="G1058">
        <v>241.39</v>
      </c>
      <c r="H1058">
        <v>0.19</v>
      </c>
      <c r="I1058" s="4">
        <v>3128.41</v>
      </c>
      <c r="J1058" t="s">
        <v>44</v>
      </c>
      <c r="K1058" t="s">
        <v>35</v>
      </c>
      <c r="L1058" s="4">
        <f>VLOOKUP(tblTransactions[[#This Row],[Product_ID]],tblProducts[],5,FALSE)</f>
        <v>124.07</v>
      </c>
      <c r="M1058" s="4">
        <f>tblTransactions[[#This Row],[Total_Amount]]-(tblTransactions[[#This Row],[Cost_Prices]]*tblTransactions[[#This Row],[Quantity]]*(1-tblTransactions[[#This Row],[Discount]]))</f>
        <v>1520.4627999999998</v>
      </c>
      <c r="N1058" s="3">
        <f>tblTransactions[[#This Row],[Profit]]/tblTransactions[[#This Row],[Total_Amount]]</f>
        <v>0.4860177534274599</v>
      </c>
      <c r="O1058" t="str">
        <f>TEXT(tblTransactions[[#This Row],[Date]], "MMM-YYYY")</f>
        <v>Aug-2023</v>
      </c>
      <c r="P1058" t="str">
        <f>"Q"&amp;ROUNDUP(MONTH(tblTransactions[[#This Row],[Date]])/3,0)&amp;"-"&amp;YEAR(tblTransactions[[#This Row],[Date]])</f>
        <v>Q3-2023</v>
      </c>
      <c r="Q1058">
        <f>YEAR(tblTransactions[[#This Row],[Date]])</f>
        <v>2023</v>
      </c>
      <c r="R1058" t="str">
        <f>TEXT(tblTransactions[[#This Row],[Date]],"DDDD")</f>
        <v>Monday</v>
      </c>
      <c r="S1058">
        <f>MONTH(tblTransactions[[#This Row],[Date]])</f>
        <v>8</v>
      </c>
      <c r="T1058" t="str">
        <f>VLOOKUP(E1058, Products!$A:$B,2,0)</f>
        <v>Desks Fur-2</v>
      </c>
      <c r="U1058" t="str">
        <f>VLOOKUP(E1058,Products!$A:$C,3,0)</f>
        <v>Furniture</v>
      </c>
      <c r="V1058" t="str">
        <f>VLOOKUP(E1058,Products!$A:$D,4,0)</f>
        <v>Desks</v>
      </c>
      <c r="W1058" t="str">
        <f>VLOOKUP(D1058,Customers!$A:$C,3,0)</f>
        <v>B2B</v>
      </c>
      <c r="X1058" t="str">
        <f>VLOOKUP(C1058,Sales_Representatives!$A:$B,2,0)</f>
        <v>Jessica Anderson</v>
      </c>
    </row>
    <row r="1059" spans="1:24" x14ac:dyDescent="0.3">
      <c r="A1059" t="s">
        <v>1450</v>
      </c>
      <c r="B1059" t="s">
        <v>1444</v>
      </c>
      <c r="C1059" t="s">
        <v>141</v>
      </c>
      <c r="D1059" t="s">
        <v>1451</v>
      </c>
      <c r="E1059" t="s">
        <v>84</v>
      </c>
      <c r="F1059">
        <v>6</v>
      </c>
      <c r="G1059">
        <v>1841.77</v>
      </c>
      <c r="H1059">
        <v>0.11</v>
      </c>
      <c r="I1059" s="4">
        <v>9835.0499999999993</v>
      </c>
      <c r="J1059" t="s">
        <v>109</v>
      </c>
      <c r="K1059" t="s">
        <v>39</v>
      </c>
      <c r="L1059" s="4">
        <f>VLOOKUP(tblTransactions[[#This Row],[Product_ID]],tblProducts[],5,FALSE)</f>
        <v>1151.5899999999999</v>
      </c>
      <c r="M1059" s="4">
        <f>tblTransactions[[#This Row],[Total_Amount]]-(tblTransactions[[#This Row],[Cost_Prices]]*tblTransactions[[#This Row],[Quantity]]*(1-tblTransactions[[#This Row],[Discount]]))</f>
        <v>3685.5594000000001</v>
      </c>
      <c r="N1059" s="3">
        <f>tblTransactions[[#This Row],[Profit]]/tblTransactions[[#This Row],[Total_Amount]]</f>
        <v>0.37473723061906145</v>
      </c>
      <c r="O1059" t="str">
        <f>TEXT(tblTransactions[[#This Row],[Date]], "MMM-YYYY")</f>
        <v>Aug-2023</v>
      </c>
      <c r="P1059" t="str">
        <f>"Q"&amp;ROUNDUP(MONTH(tblTransactions[[#This Row],[Date]])/3,0)&amp;"-"&amp;YEAR(tblTransactions[[#This Row],[Date]])</f>
        <v>Q3-2023</v>
      </c>
      <c r="Q1059">
        <f>YEAR(tblTransactions[[#This Row],[Date]])</f>
        <v>2023</v>
      </c>
      <c r="R1059" t="str">
        <f>TEXT(tblTransactions[[#This Row],[Date]],"DDDD")</f>
        <v>Monday</v>
      </c>
      <c r="S1059">
        <f>MONTH(tblTransactions[[#This Row],[Date]])</f>
        <v>8</v>
      </c>
      <c r="T1059" t="str">
        <f>VLOOKUP(E1059, Products!$A:$B,2,0)</f>
        <v>Laptops Ele-2</v>
      </c>
      <c r="U1059" t="str">
        <f>VLOOKUP(E1059,Products!$A:$C,3,0)</f>
        <v>Electronics</v>
      </c>
      <c r="V1059" t="str">
        <f>VLOOKUP(E1059,Products!$A:$D,4,0)</f>
        <v>Laptops</v>
      </c>
      <c r="W1059" t="str">
        <f>VLOOKUP(D1059,Customers!$A:$C,3,0)</f>
        <v>B2B</v>
      </c>
      <c r="X1059" t="str">
        <f>VLOOKUP(C1059,Sales_Representatives!$A:$B,2,0)</f>
        <v>Richard Garcia</v>
      </c>
    </row>
    <row r="1060" spans="1:24" x14ac:dyDescent="0.3">
      <c r="A1060" t="s">
        <v>1452</v>
      </c>
      <c r="B1060" t="s">
        <v>1444</v>
      </c>
      <c r="C1060" t="s">
        <v>13</v>
      </c>
      <c r="D1060" t="s">
        <v>1453</v>
      </c>
      <c r="E1060" t="s">
        <v>129</v>
      </c>
      <c r="F1060">
        <v>13</v>
      </c>
      <c r="G1060">
        <v>1283.71</v>
      </c>
      <c r="H1060">
        <v>0.17</v>
      </c>
      <c r="I1060" s="4">
        <v>13851.23</v>
      </c>
      <c r="J1060" t="s">
        <v>16</v>
      </c>
      <c r="K1060" t="s">
        <v>48</v>
      </c>
      <c r="L1060" s="4">
        <f>VLOOKUP(tblTransactions[[#This Row],[Product_ID]],tblProducts[],5,FALSE)</f>
        <v>970.14</v>
      </c>
      <c r="M1060" s="4">
        <f>tblTransactions[[#This Row],[Total_Amount]]-(tblTransactions[[#This Row],[Cost_Prices]]*tblTransactions[[#This Row],[Quantity]]*(1-tblTransactions[[#This Row],[Discount]]))</f>
        <v>3383.4194000000007</v>
      </c>
      <c r="N1060" s="3">
        <f>tblTransactions[[#This Row],[Profit]]/tblTransactions[[#This Row],[Total_Amount]]</f>
        <v>0.24426851622563489</v>
      </c>
      <c r="O1060" t="str">
        <f>TEXT(tblTransactions[[#This Row],[Date]], "MMM-YYYY")</f>
        <v>Aug-2023</v>
      </c>
      <c r="P1060" t="str">
        <f>"Q"&amp;ROUNDUP(MONTH(tblTransactions[[#This Row],[Date]])/3,0)&amp;"-"&amp;YEAR(tblTransactions[[#This Row],[Date]])</f>
        <v>Q3-2023</v>
      </c>
      <c r="Q1060">
        <f>YEAR(tblTransactions[[#This Row],[Date]])</f>
        <v>2023</v>
      </c>
      <c r="R1060" t="str">
        <f>TEXT(tblTransactions[[#This Row],[Date]],"DDDD")</f>
        <v>Monday</v>
      </c>
      <c r="S1060">
        <f>MONTH(tblTransactions[[#This Row],[Date]])</f>
        <v>8</v>
      </c>
      <c r="T1060" t="str">
        <f>VLOOKUP(E1060, Products!$A:$B,2,0)</f>
        <v>Cameras Ele-3</v>
      </c>
      <c r="U1060" t="str">
        <f>VLOOKUP(E1060,Products!$A:$C,3,0)</f>
        <v>Electronics</v>
      </c>
      <c r="V1060" t="str">
        <f>VLOOKUP(E1060,Products!$A:$D,4,0)</f>
        <v>Cameras</v>
      </c>
      <c r="W1060" t="str">
        <f>VLOOKUP(D1060,Customers!$A:$C,3,0)</f>
        <v>B2B</v>
      </c>
      <c r="X1060" t="str">
        <f>VLOOKUP(C1060,Sales_Representatives!$A:$B,2,0)</f>
        <v>Jennifer Rodriguez</v>
      </c>
    </row>
    <row r="1061" spans="1:24" x14ac:dyDescent="0.3">
      <c r="A1061" t="s">
        <v>1454</v>
      </c>
      <c r="B1061" t="s">
        <v>1444</v>
      </c>
      <c r="C1061" t="s">
        <v>27</v>
      </c>
      <c r="D1061" t="s">
        <v>1455</v>
      </c>
      <c r="E1061" t="s">
        <v>200</v>
      </c>
      <c r="F1061">
        <v>5</v>
      </c>
      <c r="G1061">
        <v>544.77</v>
      </c>
      <c r="H1061">
        <v>0.08</v>
      </c>
      <c r="I1061" s="4">
        <v>2505.94</v>
      </c>
      <c r="J1061" t="s">
        <v>16</v>
      </c>
      <c r="K1061" t="s">
        <v>17</v>
      </c>
      <c r="L1061" s="4">
        <f>VLOOKUP(tblTransactions[[#This Row],[Product_ID]],tblProducts[],5,FALSE)</f>
        <v>318.2</v>
      </c>
      <c r="M1061" s="4">
        <f>tblTransactions[[#This Row],[Total_Amount]]-(tblTransactions[[#This Row],[Cost_Prices]]*tblTransactions[[#This Row],[Quantity]]*(1-tblTransactions[[#This Row],[Discount]]))</f>
        <v>1042.22</v>
      </c>
      <c r="N1061" s="3">
        <f>tblTransactions[[#This Row],[Profit]]/tblTransactions[[#This Row],[Total_Amount]]</f>
        <v>0.41589982202287368</v>
      </c>
      <c r="O1061" t="str">
        <f>TEXT(tblTransactions[[#This Row],[Date]], "MMM-YYYY")</f>
        <v>Aug-2023</v>
      </c>
      <c r="P1061" t="str">
        <f>"Q"&amp;ROUNDUP(MONTH(tblTransactions[[#This Row],[Date]])/3,0)&amp;"-"&amp;YEAR(tblTransactions[[#This Row],[Date]])</f>
        <v>Q3-2023</v>
      </c>
      <c r="Q1061">
        <f>YEAR(tblTransactions[[#This Row],[Date]])</f>
        <v>2023</v>
      </c>
      <c r="R1061" t="str">
        <f>TEXT(tblTransactions[[#This Row],[Date]],"DDDD")</f>
        <v>Monday</v>
      </c>
      <c r="S1061">
        <f>MONTH(tblTransactions[[#This Row],[Date]])</f>
        <v>8</v>
      </c>
      <c r="T1061" t="str">
        <f>VLOOKUP(E1061, Products!$A:$B,2,0)</f>
        <v>Desks Fur-4</v>
      </c>
      <c r="U1061" t="str">
        <f>VLOOKUP(E1061,Products!$A:$C,3,0)</f>
        <v>Furniture</v>
      </c>
      <c r="V1061" t="str">
        <f>VLOOKUP(E1061,Products!$A:$D,4,0)</f>
        <v>Desks</v>
      </c>
      <c r="W1061" t="str">
        <f>VLOOKUP(D1061,Customers!$A:$C,3,0)</f>
        <v>Small Business</v>
      </c>
      <c r="X1061" t="str">
        <f>VLOOKUP(C1061,Sales_Representatives!$A:$B,2,0)</f>
        <v>Thomas Lopez</v>
      </c>
    </row>
    <row r="1062" spans="1:24" x14ac:dyDescent="0.3">
      <c r="A1062" t="s">
        <v>1456</v>
      </c>
      <c r="B1062" t="s">
        <v>1457</v>
      </c>
      <c r="C1062" t="s">
        <v>141</v>
      </c>
      <c r="D1062" t="s">
        <v>1458</v>
      </c>
      <c r="E1062" t="s">
        <v>283</v>
      </c>
      <c r="F1062">
        <v>22</v>
      </c>
      <c r="G1062">
        <v>456.88</v>
      </c>
      <c r="H1062">
        <v>0.19</v>
      </c>
      <c r="I1062" s="4">
        <v>8141.6</v>
      </c>
      <c r="J1062" t="s">
        <v>109</v>
      </c>
      <c r="K1062" t="s">
        <v>17</v>
      </c>
      <c r="L1062" s="4">
        <f>VLOOKUP(tblTransactions[[#This Row],[Product_ID]],tblProducts[],5,FALSE)</f>
        <v>313.23</v>
      </c>
      <c r="M1062" s="4">
        <f>tblTransactions[[#This Row],[Total_Amount]]-(tblTransactions[[#This Row],[Cost_Prices]]*tblTransactions[[#This Row],[Quantity]]*(1-tblTransactions[[#This Row],[Discount]]))</f>
        <v>2559.8413999999993</v>
      </c>
      <c r="N1062" s="3">
        <f>tblTransactions[[#This Row],[Profit]]/tblTransactions[[#This Row],[Total_Amount]]</f>
        <v>0.31441502898693124</v>
      </c>
      <c r="O1062" t="str">
        <f>TEXT(tblTransactions[[#This Row],[Date]], "MMM-YYYY")</f>
        <v>Aug-2023</v>
      </c>
      <c r="P1062" t="str">
        <f>"Q"&amp;ROUNDUP(MONTH(tblTransactions[[#This Row],[Date]])/3,0)&amp;"-"&amp;YEAR(tblTransactions[[#This Row],[Date]])</f>
        <v>Q3-2023</v>
      </c>
      <c r="Q1062">
        <f>YEAR(tblTransactions[[#This Row],[Date]])</f>
        <v>2023</v>
      </c>
      <c r="R1062" t="str">
        <f>TEXT(tblTransactions[[#This Row],[Date]],"DDDD")</f>
        <v>Tuesday</v>
      </c>
      <c r="S1062">
        <f>MONTH(tblTransactions[[#This Row],[Date]])</f>
        <v>8</v>
      </c>
      <c r="T1062" t="str">
        <f>VLOOKUP(E1062, Products!$A:$B,2,0)</f>
        <v>Chairs Fur-3</v>
      </c>
      <c r="U1062" t="str">
        <f>VLOOKUP(E1062,Products!$A:$C,3,0)</f>
        <v>Furniture</v>
      </c>
      <c r="V1062" t="str">
        <f>VLOOKUP(E1062,Products!$A:$D,4,0)</f>
        <v>Chairs</v>
      </c>
      <c r="W1062" t="str">
        <f>VLOOKUP(D1062,Customers!$A:$C,3,0)</f>
        <v>Enterprise</v>
      </c>
      <c r="X1062" t="str">
        <f>VLOOKUP(C1062,Sales_Representatives!$A:$B,2,0)</f>
        <v>Richard Garcia</v>
      </c>
    </row>
    <row r="1063" spans="1:24" x14ac:dyDescent="0.3">
      <c r="A1063" t="s">
        <v>1459</v>
      </c>
      <c r="B1063" t="s">
        <v>1457</v>
      </c>
      <c r="C1063" t="s">
        <v>19</v>
      </c>
      <c r="D1063" t="s">
        <v>1460</v>
      </c>
      <c r="E1063" t="s">
        <v>91</v>
      </c>
      <c r="F1063">
        <v>6</v>
      </c>
      <c r="G1063">
        <v>286.62</v>
      </c>
      <c r="H1063">
        <v>0.06</v>
      </c>
      <c r="I1063" s="4">
        <v>1616.54</v>
      </c>
      <c r="J1063" t="s">
        <v>21</v>
      </c>
      <c r="K1063" t="s">
        <v>17</v>
      </c>
      <c r="L1063" s="4">
        <f>VLOOKUP(tblTransactions[[#This Row],[Product_ID]],tblProducts[],5,FALSE)</f>
        <v>145.54</v>
      </c>
      <c r="M1063" s="4">
        <f>tblTransactions[[#This Row],[Total_Amount]]-(tblTransactions[[#This Row],[Cost_Prices]]*tblTransactions[[#This Row],[Quantity]]*(1-tblTransactions[[#This Row],[Discount]]))</f>
        <v>795.69439999999997</v>
      </c>
      <c r="N1063" s="3">
        <f>tblTransactions[[#This Row],[Profit]]/tblTransactions[[#This Row],[Total_Amount]]</f>
        <v>0.49222066883590881</v>
      </c>
      <c r="O1063" t="str">
        <f>TEXT(tblTransactions[[#This Row],[Date]], "MMM-YYYY")</f>
        <v>Aug-2023</v>
      </c>
      <c r="P1063" t="str">
        <f>"Q"&amp;ROUNDUP(MONTH(tblTransactions[[#This Row],[Date]])/3,0)&amp;"-"&amp;YEAR(tblTransactions[[#This Row],[Date]])</f>
        <v>Q3-2023</v>
      </c>
      <c r="Q1063">
        <f>YEAR(tblTransactions[[#This Row],[Date]])</f>
        <v>2023</v>
      </c>
      <c r="R1063" t="str">
        <f>TEXT(tblTransactions[[#This Row],[Date]],"DDDD")</f>
        <v>Tuesday</v>
      </c>
      <c r="S1063">
        <f>MONTH(tblTransactions[[#This Row],[Date]])</f>
        <v>8</v>
      </c>
      <c r="T1063" t="str">
        <f>VLOOKUP(E1063, Products!$A:$B,2,0)</f>
        <v>Chairs Fur-1</v>
      </c>
      <c r="U1063" t="str">
        <f>VLOOKUP(E1063,Products!$A:$C,3,0)</f>
        <v>Furniture</v>
      </c>
      <c r="V1063" t="str">
        <f>VLOOKUP(E1063,Products!$A:$D,4,0)</f>
        <v>Chairs</v>
      </c>
      <c r="W1063" t="str">
        <f>VLOOKUP(D1063,Customers!$A:$C,3,0)</f>
        <v>Small Business</v>
      </c>
      <c r="X1063" t="str">
        <f>VLOOKUP(C1063,Sales_Representatives!$A:$B,2,0)</f>
        <v>Robert Jones</v>
      </c>
    </row>
    <row r="1064" spans="1:24" x14ac:dyDescent="0.3">
      <c r="A1064" t="s">
        <v>1461</v>
      </c>
      <c r="B1064" t="s">
        <v>1462</v>
      </c>
      <c r="C1064" t="s">
        <v>75</v>
      </c>
      <c r="D1064" t="s">
        <v>1463</v>
      </c>
      <c r="E1064" t="s">
        <v>394</v>
      </c>
      <c r="F1064">
        <v>2</v>
      </c>
      <c r="G1064">
        <v>314.69</v>
      </c>
      <c r="H1064">
        <v>0.06</v>
      </c>
      <c r="I1064" s="4">
        <v>591.62</v>
      </c>
      <c r="J1064" t="s">
        <v>44</v>
      </c>
      <c r="K1064" t="s">
        <v>35</v>
      </c>
      <c r="L1064" s="4">
        <f>VLOOKUP(tblTransactions[[#This Row],[Product_ID]],tblProducts[],5,FALSE)</f>
        <v>185.43</v>
      </c>
      <c r="M1064" s="4">
        <f>tblTransactions[[#This Row],[Total_Amount]]-(tblTransactions[[#This Row],[Cost_Prices]]*tblTransactions[[#This Row],[Quantity]]*(1-tblTransactions[[#This Row],[Discount]]))</f>
        <v>243.01159999999999</v>
      </c>
      <c r="N1064" s="3">
        <f>tblTransactions[[#This Row],[Profit]]/tblTransactions[[#This Row],[Total_Amount]]</f>
        <v>0.41075622866028866</v>
      </c>
      <c r="O1064" t="str">
        <f>TEXT(tblTransactions[[#This Row],[Date]], "MMM-YYYY")</f>
        <v>Aug-2023</v>
      </c>
      <c r="P1064" t="str">
        <f>"Q"&amp;ROUNDUP(MONTH(tblTransactions[[#This Row],[Date]])/3,0)&amp;"-"&amp;YEAR(tblTransactions[[#This Row],[Date]])</f>
        <v>Q3-2023</v>
      </c>
      <c r="Q1064">
        <f>YEAR(tblTransactions[[#This Row],[Date]])</f>
        <v>2023</v>
      </c>
      <c r="R1064" t="str">
        <f>TEXT(tblTransactions[[#This Row],[Date]],"DDDD")</f>
        <v>Wednesday</v>
      </c>
      <c r="S1064">
        <f>MONTH(tblTransactions[[#This Row],[Date]])</f>
        <v>8</v>
      </c>
      <c r="T1064" t="str">
        <f>VLOOKUP(E1064, Products!$A:$B,2,0)</f>
        <v>Desks Fur-1</v>
      </c>
      <c r="U1064" t="str">
        <f>VLOOKUP(E1064,Products!$A:$C,3,0)</f>
        <v>Furniture</v>
      </c>
      <c r="V1064" t="str">
        <f>VLOOKUP(E1064,Products!$A:$D,4,0)</f>
        <v>Desks</v>
      </c>
      <c r="W1064" t="str">
        <f>VLOOKUP(D1064,Customers!$A:$C,3,0)</f>
        <v>Small Business</v>
      </c>
      <c r="X1064" t="str">
        <f>VLOOKUP(C1064,Sales_Representatives!$A:$B,2,0)</f>
        <v>Jessica Anderson</v>
      </c>
    </row>
    <row r="1065" spans="1:24" x14ac:dyDescent="0.3">
      <c r="A1065" t="s">
        <v>1464</v>
      </c>
      <c r="B1065" t="s">
        <v>1462</v>
      </c>
      <c r="C1065" t="s">
        <v>141</v>
      </c>
      <c r="D1065" t="s">
        <v>1465</v>
      </c>
      <c r="E1065" t="s">
        <v>89</v>
      </c>
      <c r="F1065">
        <v>5</v>
      </c>
      <c r="G1065">
        <v>555.08000000000004</v>
      </c>
      <c r="H1065">
        <v>0.02</v>
      </c>
      <c r="I1065" s="4">
        <v>2719.89</v>
      </c>
      <c r="J1065" t="s">
        <v>109</v>
      </c>
      <c r="K1065" t="s">
        <v>39</v>
      </c>
      <c r="L1065" s="4">
        <f>VLOOKUP(tblTransactions[[#This Row],[Product_ID]],tblProducts[],5,FALSE)</f>
        <v>402.82</v>
      </c>
      <c r="M1065" s="4">
        <f>tblTransactions[[#This Row],[Total_Amount]]-(tblTransactions[[#This Row],[Cost_Prices]]*tblTransactions[[#This Row],[Quantity]]*(1-tblTransactions[[#This Row],[Discount]]))</f>
        <v>746.07199999999989</v>
      </c>
      <c r="N1065" s="3">
        <f>tblTransactions[[#This Row],[Profit]]/tblTransactions[[#This Row],[Total_Amount]]</f>
        <v>0.27430226957707848</v>
      </c>
      <c r="O1065" t="str">
        <f>TEXT(tblTransactions[[#This Row],[Date]], "MMM-YYYY")</f>
        <v>Aug-2023</v>
      </c>
      <c r="P1065" t="str">
        <f>"Q"&amp;ROUNDUP(MONTH(tblTransactions[[#This Row],[Date]])/3,0)&amp;"-"&amp;YEAR(tblTransactions[[#This Row],[Date]])</f>
        <v>Q3-2023</v>
      </c>
      <c r="Q1065">
        <f>YEAR(tblTransactions[[#This Row],[Date]])</f>
        <v>2023</v>
      </c>
      <c r="R1065" t="str">
        <f>TEXT(tblTransactions[[#This Row],[Date]],"DDDD")</f>
        <v>Wednesday</v>
      </c>
      <c r="S1065">
        <f>MONTH(tblTransactions[[#This Row],[Date]])</f>
        <v>8</v>
      </c>
      <c r="T1065" t="str">
        <f>VLOOKUP(E1065, Products!$A:$B,2,0)</f>
        <v>Laptops Ele-3</v>
      </c>
      <c r="U1065" t="str">
        <f>VLOOKUP(E1065,Products!$A:$C,3,0)</f>
        <v>Electronics</v>
      </c>
      <c r="V1065" t="str">
        <f>VLOOKUP(E1065,Products!$A:$D,4,0)</f>
        <v>Laptops</v>
      </c>
      <c r="W1065" t="str">
        <f>VLOOKUP(D1065,Customers!$A:$C,3,0)</f>
        <v>Small Business</v>
      </c>
      <c r="X1065" t="str">
        <f>VLOOKUP(C1065,Sales_Representatives!$A:$B,2,0)</f>
        <v>Richard Garcia</v>
      </c>
    </row>
    <row r="1066" spans="1:24" x14ac:dyDescent="0.3">
      <c r="A1066" t="s">
        <v>1466</v>
      </c>
      <c r="B1066" t="s">
        <v>1462</v>
      </c>
      <c r="C1066" t="s">
        <v>141</v>
      </c>
      <c r="D1066" t="s">
        <v>1467</v>
      </c>
      <c r="E1066" t="s">
        <v>339</v>
      </c>
      <c r="F1066">
        <v>7</v>
      </c>
      <c r="G1066">
        <v>1100.8800000000001</v>
      </c>
      <c r="H1066">
        <v>0.13</v>
      </c>
      <c r="I1066" s="4">
        <v>6704.36</v>
      </c>
      <c r="J1066" t="s">
        <v>109</v>
      </c>
      <c r="K1066" t="s">
        <v>48</v>
      </c>
      <c r="L1066" s="4">
        <f>VLOOKUP(tblTransactions[[#This Row],[Product_ID]],tblProducts[],5,FALSE)</f>
        <v>761.53</v>
      </c>
      <c r="M1066" s="4">
        <f>tblTransactions[[#This Row],[Total_Amount]]-(tblTransactions[[#This Row],[Cost_Prices]]*tblTransactions[[#This Row],[Quantity]]*(1-tblTransactions[[#This Row],[Discount]]))</f>
        <v>2066.6422999999995</v>
      </c>
      <c r="N1066" s="3">
        <f>tblTransactions[[#This Row],[Profit]]/tblTransactions[[#This Row],[Total_Amount]]</f>
        <v>0.30825347982506901</v>
      </c>
      <c r="O1066" t="str">
        <f>TEXT(tblTransactions[[#This Row],[Date]], "MMM-YYYY")</f>
        <v>Aug-2023</v>
      </c>
      <c r="P1066" t="str">
        <f>"Q"&amp;ROUNDUP(MONTH(tblTransactions[[#This Row],[Date]])/3,0)&amp;"-"&amp;YEAR(tblTransactions[[#This Row],[Date]])</f>
        <v>Q3-2023</v>
      </c>
      <c r="Q1066">
        <f>YEAR(tblTransactions[[#This Row],[Date]])</f>
        <v>2023</v>
      </c>
      <c r="R1066" t="str">
        <f>TEXT(tblTransactions[[#This Row],[Date]],"DDDD")</f>
        <v>Wednesday</v>
      </c>
      <c r="S1066">
        <f>MONTH(tblTransactions[[#This Row],[Date]])</f>
        <v>8</v>
      </c>
      <c r="T1066" t="str">
        <f>VLOOKUP(E1066, Products!$A:$B,2,0)</f>
        <v>Phones Ele-2</v>
      </c>
      <c r="U1066" t="str">
        <f>VLOOKUP(E1066,Products!$A:$C,3,0)</f>
        <v>Electronics</v>
      </c>
      <c r="V1066" t="str">
        <f>VLOOKUP(E1066,Products!$A:$D,4,0)</f>
        <v>Phones</v>
      </c>
      <c r="W1066" t="str">
        <f>VLOOKUP(D1066,Customers!$A:$C,3,0)</f>
        <v>B2C</v>
      </c>
      <c r="X1066" t="str">
        <f>VLOOKUP(C1066,Sales_Representatives!$A:$B,2,0)</f>
        <v>Richard Garcia</v>
      </c>
    </row>
    <row r="1067" spans="1:24" x14ac:dyDescent="0.3">
      <c r="A1067" t="s">
        <v>1468</v>
      </c>
      <c r="B1067" t="s">
        <v>1462</v>
      </c>
      <c r="C1067" t="s">
        <v>75</v>
      </c>
      <c r="D1067" t="s">
        <v>52</v>
      </c>
      <c r="E1067" t="s">
        <v>159</v>
      </c>
      <c r="F1067">
        <v>1</v>
      </c>
      <c r="G1067">
        <v>78.09</v>
      </c>
      <c r="H1067">
        <v>0.09</v>
      </c>
      <c r="I1067" s="4">
        <v>71.06</v>
      </c>
      <c r="J1067" t="s">
        <v>44</v>
      </c>
      <c r="K1067" t="s">
        <v>17</v>
      </c>
      <c r="L1067" s="4">
        <f>VLOOKUP(tblTransactions[[#This Row],[Product_ID]],tblProducts[],5,FALSE)</f>
        <v>47.01</v>
      </c>
      <c r="M1067" s="4">
        <f>tblTransactions[[#This Row],[Total_Amount]]-(tblTransactions[[#This Row],[Cost_Prices]]*tblTransactions[[#This Row],[Quantity]]*(1-tblTransactions[[#This Row],[Discount]]))</f>
        <v>28.280900000000003</v>
      </c>
      <c r="N1067" s="3">
        <f>tblTransactions[[#This Row],[Profit]]/tblTransactions[[#This Row],[Total_Amount]]</f>
        <v>0.39798620883760205</v>
      </c>
      <c r="O1067" t="str">
        <f>TEXT(tblTransactions[[#This Row],[Date]], "MMM-YYYY")</f>
        <v>Aug-2023</v>
      </c>
      <c r="P1067" t="str">
        <f>"Q"&amp;ROUNDUP(MONTH(tblTransactions[[#This Row],[Date]])/3,0)&amp;"-"&amp;YEAR(tblTransactions[[#This Row],[Date]])</f>
        <v>Q3-2023</v>
      </c>
      <c r="Q1067">
        <f>YEAR(tblTransactions[[#This Row],[Date]])</f>
        <v>2023</v>
      </c>
      <c r="R1067" t="str">
        <f>TEXT(tblTransactions[[#This Row],[Date]],"DDDD")</f>
        <v>Wednesday</v>
      </c>
      <c r="S1067">
        <f>MONTH(tblTransactions[[#This Row],[Date]])</f>
        <v>8</v>
      </c>
      <c r="T1067" t="str">
        <f>VLOOKUP(E1067, Products!$A:$B,2,0)</f>
        <v>Cables Acc-4</v>
      </c>
      <c r="U1067" t="str">
        <f>VLOOKUP(E1067,Products!$A:$C,3,0)</f>
        <v>Accessories</v>
      </c>
      <c r="V1067" t="str">
        <f>VLOOKUP(E1067,Products!$A:$D,4,0)</f>
        <v>Cables</v>
      </c>
      <c r="W1067" t="str">
        <f>VLOOKUP(D1067,Customers!$A:$C,3,0)</f>
        <v>B2C</v>
      </c>
      <c r="X1067" t="str">
        <f>VLOOKUP(C1067,Sales_Representatives!$A:$B,2,0)</f>
        <v>Jessica Anderson</v>
      </c>
    </row>
    <row r="1068" spans="1:24" x14ac:dyDescent="0.3">
      <c r="A1068" t="s">
        <v>1469</v>
      </c>
      <c r="B1068" t="s">
        <v>1462</v>
      </c>
      <c r="C1068" t="s">
        <v>27</v>
      </c>
      <c r="D1068" t="s">
        <v>1470</v>
      </c>
      <c r="E1068" t="s">
        <v>204</v>
      </c>
      <c r="F1068">
        <v>6</v>
      </c>
      <c r="G1068">
        <v>715.62</v>
      </c>
      <c r="H1068">
        <v>0.12</v>
      </c>
      <c r="I1068" s="4">
        <v>3778.47</v>
      </c>
      <c r="J1068" t="s">
        <v>16</v>
      </c>
      <c r="K1068" t="s">
        <v>35</v>
      </c>
      <c r="L1068" s="4">
        <f>VLOOKUP(tblTransactions[[#This Row],[Product_ID]],tblProducts[],5,FALSE)</f>
        <v>459.58</v>
      </c>
      <c r="M1068" s="4">
        <f>tblTransactions[[#This Row],[Total_Amount]]-(tblTransactions[[#This Row],[Cost_Prices]]*tblTransactions[[#This Row],[Quantity]]*(1-tblTransactions[[#This Row],[Discount]]))</f>
        <v>1351.8875999999996</v>
      </c>
      <c r="N1068" s="3">
        <f>tblTransactions[[#This Row],[Profit]]/tblTransactions[[#This Row],[Total_Amount]]</f>
        <v>0.35778704078634993</v>
      </c>
      <c r="O1068" t="str">
        <f>TEXT(tblTransactions[[#This Row],[Date]], "MMM-YYYY")</f>
        <v>Aug-2023</v>
      </c>
      <c r="P1068" t="str">
        <f>"Q"&amp;ROUNDUP(MONTH(tblTransactions[[#This Row],[Date]])/3,0)&amp;"-"&amp;YEAR(tblTransactions[[#This Row],[Date]])</f>
        <v>Q3-2023</v>
      </c>
      <c r="Q1068">
        <f>YEAR(tblTransactions[[#This Row],[Date]])</f>
        <v>2023</v>
      </c>
      <c r="R1068" t="str">
        <f>TEXT(tblTransactions[[#This Row],[Date]],"DDDD")</f>
        <v>Wednesday</v>
      </c>
      <c r="S1068">
        <f>MONTH(tblTransactions[[#This Row],[Date]])</f>
        <v>8</v>
      </c>
      <c r="T1068" t="str">
        <f>VLOOKUP(E1068, Products!$A:$B,2,0)</f>
        <v>Cameras Ele-2</v>
      </c>
      <c r="U1068" t="str">
        <f>VLOOKUP(E1068,Products!$A:$C,3,0)</f>
        <v>Electronics</v>
      </c>
      <c r="V1068" t="str">
        <f>VLOOKUP(E1068,Products!$A:$D,4,0)</f>
        <v>Cameras</v>
      </c>
      <c r="W1068" t="str">
        <f>VLOOKUP(D1068,Customers!$A:$C,3,0)</f>
        <v>Small Business</v>
      </c>
      <c r="X1068" t="str">
        <f>VLOOKUP(C1068,Sales_Representatives!$A:$B,2,0)</f>
        <v>Thomas Lopez</v>
      </c>
    </row>
    <row r="1069" spans="1:24" x14ac:dyDescent="0.3">
      <c r="A1069" t="s">
        <v>1471</v>
      </c>
      <c r="B1069" t="s">
        <v>1462</v>
      </c>
      <c r="C1069" t="s">
        <v>56</v>
      </c>
      <c r="D1069" t="s">
        <v>1472</v>
      </c>
      <c r="E1069" t="s">
        <v>20</v>
      </c>
      <c r="F1069">
        <v>7</v>
      </c>
      <c r="G1069">
        <v>1219.49</v>
      </c>
      <c r="H1069">
        <v>0.09</v>
      </c>
      <c r="I1069" s="4">
        <v>7768.15</v>
      </c>
      <c r="J1069" t="s">
        <v>34</v>
      </c>
      <c r="K1069" t="s">
        <v>39</v>
      </c>
      <c r="L1069" s="4">
        <f>VLOOKUP(tblTransactions[[#This Row],[Product_ID]],tblProducts[],5,FALSE)</f>
        <v>686.9</v>
      </c>
      <c r="M1069" s="4">
        <f>tblTransactions[[#This Row],[Total_Amount]]-(tblTransactions[[#This Row],[Cost_Prices]]*tblTransactions[[#This Row],[Quantity]]*(1-tblTransactions[[#This Row],[Discount]]))</f>
        <v>3392.5969999999998</v>
      </c>
      <c r="N1069" s="3">
        <f>tblTransactions[[#This Row],[Profit]]/tblTransactions[[#This Row],[Total_Amount]]</f>
        <v>0.43673165425487404</v>
      </c>
      <c r="O1069" t="str">
        <f>TEXT(tblTransactions[[#This Row],[Date]], "MMM-YYYY")</f>
        <v>Aug-2023</v>
      </c>
      <c r="P1069" t="str">
        <f>"Q"&amp;ROUNDUP(MONTH(tblTransactions[[#This Row],[Date]])/3,0)&amp;"-"&amp;YEAR(tblTransactions[[#This Row],[Date]])</f>
        <v>Q3-2023</v>
      </c>
      <c r="Q1069">
        <f>YEAR(tblTransactions[[#This Row],[Date]])</f>
        <v>2023</v>
      </c>
      <c r="R1069" t="str">
        <f>TEXT(tblTransactions[[#This Row],[Date]],"DDDD")</f>
        <v>Wednesday</v>
      </c>
      <c r="S1069">
        <f>MONTH(tblTransactions[[#This Row],[Date]])</f>
        <v>8</v>
      </c>
      <c r="T1069" t="str">
        <f>VLOOKUP(E1069, Products!$A:$B,2,0)</f>
        <v>Laptops Ele-1</v>
      </c>
      <c r="U1069" t="str">
        <f>VLOOKUP(E1069,Products!$A:$C,3,0)</f>
        <v>Electronics</v>
      </c>
      <c r="V1069" t="str">
        <f>VLOOKUP(E1069,Products!$A:$D,4,0)</f>
        <v>Laptops</v>
      </c>
      <c r="W1069" t="str">
        <f>VLOOKUP(D1069,Customers!$A:$C,3,0)</f>
        <v>B2B</v>
      </c>
      <c r="X1069" t="str">
        <f>VLOOKUP(C1069,Sales_Representatives!$A:$B,2,0)</f>
        <v>Thomas Hernandez</v>
      </c>
    </row>
    <row r="1070" spans="1:24" x14ac:dyDescent="0.3">
      <c r="A1070" t="s">
        <v>1473</v>
      </c>
      <c r="B1070" t="s">
        <v>1474</v>
      </c>
      <c r="C1070" t="s">
        <v>107</v>
      </c>
      <c r="D1070" t="s">
        <v>1475</v>
      </c>
      <c r="E1070" t="s">
        <v>102</v>
      </c>
      <c r="F1070">
        <v>15</v>
      </c>
      <c r="G1070">
        <v>1097.75</v>
      </c>
      <c r="H1070">
        <v>0.15</v>
      </c>
      <c r="I1070" s="4">
        <v>13996.31</v>
      </c>
      <c r="J1070" t="s">
        <v>109</v>
      </c>
      <c r="K1070" t="s">
        <v>17</v>
      </c>
      <c r="L1070" s="4">
        <f>VLOOKUP(tblTransactions[[#This Row],[Product_ID]],tblProducts[],5,FALSE)</f>
        <v>680.12</v>
      </c>
      <c r="M1070" s="4">
        <f>tblTransactions[[#This Row],[Total_Amount]]-(tblTransactions[[#This Row],[Cost_Prices]]*tblTransactions[[#This Row],[Quantity]]*(1-tblTransactions[[#This Row],[Discount]]))</f>
        <v>5324.7800000000007</v>
      </c>
      <c r="N1070" s="3">
        <f>tblTransactions[[#This Row],[Profit]]/tblTransactions[[#This Row],[Total_Amount]]</f>
        <v>0.3804417021343483</v>
      </c>
      <c r="O1070" t="str">
        <f>TEXT(tblTransactions[[#This Row],[Date]], "MMM-YYYY")</f>
        <v>Aug-2023</v>
      </c>
      <c r="P1070" t="str">
        <f>"Q"&amp;ROUNDUP(MONTH(tblTransactions[[#This Row],[Date]])/3,0)&amp;"-"&amp;YEAR(tblTransactions[[#This Row],[Date]])</f>
        <v>Q3-2023</v>
      </c>
      <c r="Q1070">
        <f>YEAR(tblTransactions[[#This Row],[Date]])</f>
        <v>2023</v>
      </c>
      <c r="R1070" t="str">
        <f>TEXT(tblTransactions[[#This Row],[Date]],"DDDD")</f>
        <v>Thursday</v>
      </c>
      <c r="S1070">
        <f>MONTH(tblTransactions[[#This Row],[Date]])</f>
        <v>8</v>
      </c>
      <c r="T1070" t="str">
        <f>VLOOKUP(E1070, Products!$A:$B,2,0)</f>
        <v>Storage Fur-4</v>
      </c>
      <c r="U1070" t="str">
        <f>VLOOKUP(E1070,Products!$A:$C,3,0)</f>
        <v>Furniture</v>
      </c>
      <c r="V1070" t="str">
        <f>VLOOKUP(E1070,Products!$A:$D,4,0)</f>
        <v>Storage</v>
      </c>
      <c r="W1070" t="str">
        <f>VLOOKUP(D1070,Customers!$A:$C,3,0)</f>
        <v>Enterprise</v>
      </c>
      <c r="X1070" t="str">
        <f>VLOOKUP(C1070,Sales_Representatives!$A:$B,2,0)</f>
        <v>Jennifer Brown</v>
      </c>
    </row>
    <row r="1071" spans="1:24" x14ac:dyDescent="0.3">
      <c r="A1071" t="s">
        <v>1476</v>
      </c>
      <c r="B1071" t="s">
        <v>1474</v>
      </c>
      <c r="C1071" t="s">
        <v>59</v>
      </c>
      <c r="D1071" t="s">
        <v>154</v>
      </c>
      <c r="E1071" t="s">
        <v>89</v>
      </c>
      <c r="F1071">
        <v>8</v>
      </c>
      <c r="G1071">
        <v>555.08000000000004</v>
      </c>
      <c r="H1071">
        <v>0.08</v>
      </c>
      <c r="I1071" s="4">
        <v>4085.39</v>
      </c>
      <c r="J1071" t="s">
        <v>21</v>
      </c>
      <c r="K1071" t="s">
        <v>39</v>
      </c>
      <c r="L1071" s="4">
        <f>VLOOKUP(tblTransactions[[#This Row],[Product_ID]],tblProducts[],5,FALSE)</f>
        <v>402.82</v>
      </c>
      <c r="M1071" s="4">
        <f>tblTransactions[[#This Row],[Total_Amount]]-(tblTransactions[[#This Row],[Cost_Prices]]*tblTransactions[[#This Row],[Quantity]]*(1-tblTransactions[[#This Row],[Discount]]))</f>
        <v>1120.6347999999998</v>
      </c>
      <c r="N1071" s="3">
        <f>tblTransactions[[#This Row],[Profit]]/tblTransactions[[#This Row],[Total_Amount]]</f>
        <v>0.27430301635829135</v>
      </c>
      <c r="O1071" t="str">
        <f>TEXT(tblTransactions[[#This Row],[Date]], "MMM-YYYY")</f>
        <v>Aug-2023</v>
      </c>
      <c r="P1071" t="str">
        <f>"Q"&amp;ROUNDUP(MONTH(tblTransactions[[#This Row],[Date]])/3,0)&amp;"-"&amp;YEAR(tblTransactions[[#This Row],[Date]])</f>
        <v>Q3-2023</v>
      </c>
      <c r="Q1071">
        <f>YEAR(tblTransactions[[#This Row],[Date]])</f>
        <v>2023</v>
      </c>
      <c r="R1071" t="str">
        <f>TEXT(tblTransactions[[#This Row],[Date]],"DDDD")</f>
        <v>Thursday</v>
      </c>
      <c r="S1071">
        <f>MONTH(tblTransactions[[#This Row],[Date]])</f>
        <v>8</v>
      </c>
      <c r="T1071" t="str">
        <f>VLOOKUP(E1071, Products!$A:$B,2,0)</f>
        <v>Laptops Ele-3</v>
      </c>
      <c r="U1071" t="str">
        <f>VLOOKUP(E1071,Products!$A:$C,3,0)</f>
        <v>Electronics</v>
      </c>
      <c r="V1071" t="str">
        <f>VLOOKUP(E1071,Products!$A:$D,4,0)</f>
        <v>Laptops</v>
      </c>
      <c r="W1071" t="str">
        <f>VLOOKUP(D1071,Customers!$A:$C,3,0)</f>
        <v>B2B</v>
      </c>
      <c r="X1071" t="str">
        <f>VLOOKUP(C1071,Sales_Representatives!$A:$B,2,0)</f>
        <v>Sarah Brown</v>
      </c>
    </row>
    <row r="1072" spans="1:24" x14ac:dyDescent="0.3">
      <c r="A1072" t="s">
        <v>1477</v>
      </c>
      <c r="B1072" t="s">
        <v>1474</v>
      </c>
      <c r="C1072" t="s">
        <v>59</v>
      </c>
      <c r="D1072" t="s">
        <v>1478</v>
      </c>
      <c r="E1072" t="s">
        <v>176</v>
      </c>
      <c r="F1072">
        <v>7</v>
      </c>
      <c r="G1072">
        <v>1462.68</v>
      </c>
      <c r="H1072">
        <v>0.13</v>
      </c>
      <c r="I1072" s="4">
        <v>8907.7199999999993</v>
      </c>
      <c r="J1072" t="s">
        <v>21</v>
      </c>
      <c r="K1072" t="s">
        <v>22</v>
      </c>
      <c r="L1072" s="4">
        <f>VLOOKUP(tblTransactions[[#This Row],[Product_ID]],tblProducts[],5,FALSE)</f>
        <v>775.94</v>
      </c>
      <c r="M1072" s="4">
        <f>tblTransactions[[#This Row],[Total_Amount]]-(tblTransactions[[#This Row],[Cost_Prices]]*tblTransactions[[#This Row],[Quantity]]*(1-tblTransactions[[#This Row],[Discount]]))</f>
        <v>4182.2453999999998</v>
      </c>
      <c r="N1072" s="3">
        <f>tblTransactions[[#This Row],[Profit]]/tblTransactions[[#This Row],[Total_Amount]]</f>
        <v>0.46950795489754954</v>
      </c>
      <c r="O1072" t="str">
        <f>TEXT(tblTransactions[[#This Row],[Date]], "MMM-YYYY")</f>
        <v>Aug-2023</v>
      </c>
      <c r="P1072" t="str">
        <f>"Q"&amp;ROUNDUP(MONTH(tblTransactions[[#This Row],[Date]])/3,0)&amp;"-"&amp;YEAR(tblTransactions[[#This Row],[Date]])</f>
        <v>Q3-2023</v>
      </c>
      <c r="Q1072">
        <f>YEAR(tblTransactions[[#This Row],[Date]])</f>
        <v>2023</v>
      </c>
      <c r="R1072" t="str">
        <f>TEXT(tblTransactions[[#This Row],[Date]],"DDDD")</f>
        <v>Thursday</v>
      </c>
      <c r="S1072">
        <f>MONTH(tblTransactions[[#This Row],[Date]])</f>
        <v>8</v>
      </c>
      <c r="T1072" t="str">
        <f>VLOOKUP(E1072, Products!$A:$B,2,0)</f>
        <v>Chairs Fur-2</v>
      </c>
      <c r="U1072" t="str">
        <f>VLOOKUP(E1072,Products!$A:$C,3,0)</f>
        <v>Furniture</v>
      </c>
      <c r="V1072" t="str">
        <f>VLOOKUP(E1072,Products!$A:$D,4,0)</f>
        <v>Chairs</v>
      </c>
      <c r="W1072" t="str">
        <f>VLOOKUP(D1072,Customers!$A:$C,3,0)</f>
        <v>Small Business</v>
      </c>
      <c r="X1072" t="str">
        <f>VLOOKUP(C1072,Sales_Representatives!$A:$B,2,0)</f>
        <v>Sarah Brown</v>
      </c>
    </row>
    <row r="1073" spans="1:24" x14ac:dyDescent="0.3">
      <c r="A1073" t="s">
        <v>1479</v>
      </c>
      <c r="B1073" t="s">
        <v>1480</v>
      </c>
      <c r="C1073" t="s">
        <v>59</v>
      </c>
      <c r="D1073" t="s">
        <v>1481</v>
      </c>
      <c r="E1073" t="s">
        <v>25</v>
      </c>
      <c r="F1073">
        <v>2</v>
      </c>
      <c r="G1073">
        <v>1467.49</v>
      </c>
      <c r="H1073">
        <v>0.05</v>
      </c>
      <c r="I1073" s="4">
        <v>2788.23</v>
      </c>
      <c r="J1073" t="s">
        <v>21</v>
      </c>
      <c r="K1073" t="s">
        <v>22</v>
      </c>
      <c r="L1073" s="4">
        <f>VLOOKUP(tblTransactions[[#This Row],[Product_ID]],tblProducts[],5,FALSE)</f>
        <v>757.65</v>
      </c>
      <c r="M1073" s="4">
        <f>tblTransactions[[#This Row],[Total_Amount]]-(tblTransactions[[#This Row],[Cost_Prices]]*tblTransactions[[#This Row],[Quantity]]*(1-tblTransactions[[#This Row],[Discount]]))</f>
        <v>1348.6950000000002</v>
      </c>
      <c r="N1073" s="3">
        <f>tblTransactions[[#This Row],[Profit]]/tblTransactions[[#This Row],[Total_Amount]]</f>
        <v>0.4837100956520804</v>
      </c>
      <c r="O1073" t="str">
        <f>TEXT(tblTransactions[[#This Row],[Date]], "MMM-YYYY")</f>
        <v>Aug-2023</v>
      </c>
      <c r="P1073" t="str">
        <f>"Q"&amp;ROUNDUP(MONTH(tblTransactions[[#This Row],[Date]])/3,0)&amp;"-"&amp;YEAR(tblTransactions[[#This Row],[Date]])</f>
        <v>Q3-2023</v>
      </c>
      <c r="Q1073">
        <f>YEAR(tblTransactions[[#This Row],[Date]])</f>
        <v>2023</v>
      </c>
      <c r="R1073" t="str">
        <f>TEXT(tblTransactions[[#This Row],[Date]],"DDDD")</f>
        <v>Friday</v>
      </c>
      <c r="S1073">
        <f>MONTH(tblTransactions[[#This Row],[Date]])</f>
        <v>8</v>
      </c>
      <c r="T1073" t="str">
        <f>VLOOKUP(E1073, Products!$A:$B,2,0)</f>
        <v>Tables Fur-3</v>
      </c>
      <c r="U1073" t="str">
        <f>VLOOKUP(E1073,Products!$A:$C,3,0)</f>
        <v>Furniture</v>
      </c>
      <c r="V1073" t="str">
        <f>VLOOKUP(E1073,Products!$A:$D,4,0)</f>
        <v>Tables</v>
      </c>
      <c r="W1073" t="str">
        <f>VLOOKUP(D1073,Customers!$A:$C,3,0)</f>
        <v>B2B</v>
      </c>
      <c r="X1073" t="str">
        <f>VLOOKUP(C1073,Sales_Representatives!$A:$B,2,0)</f>
        <v>Sarah Brown</v>
      </c>
    </row>
    <row r="1074" spans="1:24" x14ac:dyDescent="0.3">
      <c r="A1074" t="s">
        <v>1482</v>
      </c>
      <c r="B1074" t="s">
        <v>1480</v>
      </c>
      <c r="C1074" t="s">
        <v>41</v>
      </c>
      <c r="D1074" t="s">
        <v>1483</v>
      </c>
      <c r="E1074" t="s">
        <v>283</v>
      </c>
      <c r="F1074">
        <v>5</v>
      </c>
      <c r="G1074">
        <v>456.88</v>
      </c>
      <c r="H1074">
        <v>0.01</v>
      </c>
      <c r="I1074" s="4">
        <v>2261.56</v>
      </c>
      <c r="J1074" t="s">
        <v>44</v>
      </c>
      <c r="K1074" t="s">
        <v>35</v>
      </c>
      <c r="L1074" s="4">
        <f>VLOOKUP(tblTransactions[[#This Row],[Product_ID]],tblProducts[],5,FALSE)</f>
        <v>313.23</v>
      </c>
      <c r="M1074" s="4">
        <f>tblTransactions[[#This Row],[Total_Amount]]-(tblTransactions[[#This Row],[Cost_Prices]]*tblTransactions[[#This Row],[Quantity]]*(1-tblTransactions[[#This Row],[Discount]]))</f>
        <v>711.07149999999979</v>
      </c>
      <c r="N1074" s="3">
        <f>tblTransactions[[#This Row],[Profit]]/tblTransactions[[#This Row],[Total_Amount]]</f>
        <v>0.31441637630662012</v>
      </c>
      <c r="O1074" t="str">
        <f>TEXT(tblTransactions[[#This Row],[Date]], "MMM-YYYY")</f>
        <v>Aug-2023</v>
      </c>
      <c r="P1074" t="str">
        <f>"Q"&amp;ROUNDUP(MONTH(tblTransactions[[#This Row],[Date]])/3,0)&amp;"-"&amp;YEAR(tblTransactions[[#This Row],[Date]])</f>
        <v>Q3-2023</v>
      </c>
      <c r="Q1074">
        <f>YEAR(tblTransactions[[#This Row],[Date]])</f>
        <v>2023</v>
      </c>
      <c r="R1074" t="str">
        <f>TEXT(tblTransactions[[#This Row],[Date]],"DDDD")</f>
        <v>Friday</v>
      </c>
      <c r="S1074">
        <f>MONTH(tblTransactions[[#This Row],[Date]])</f>
        <v>8</v>
      </c>
      <c r="T1074" t="str">
        <f>VLOOKUP(E1074, Products!$A:$B,2,0)</f>
        <v>Chairs Fur-3</v>
      </c>
      <c r="U1074" t="str">
        <f>VLOOKUP(E1074,Products!$A:$C,3,0)</f>
        <v>Furniture</v>
      </c>
      <c r="V1074" t="str">
        <f>VLOOKUP(E1074,Products!$A:$D,4,0)</f>
        <v>Chairs</v>
      </c>
      <c r="W1074" t="str">
        <f>VLOOKUP(D1074,Customers!$A:$C,3,0)</f>
        <v>B2C</v>
      </c>
      <c r="X1074" t="str">
        <f>VLOOKUP(C1074,Sales_Representatives!$A:$B,2,0)</f>
        <v>Robert Jones</v>
      </c>
    </row>
    <row r="1075" spans="1:24" x14ac:dyDescent="0.3">
      <c r="A1075" t="s">
        <v>1484</v>
      </c>
      <c r="B1075" t="s">
        <v>1480</v>
      </c>
      <c r="C1075" t="s">
        <v>82</v>
      </c>
      <c r="D1075" t="s">
        <v>1485</v>
      </c>
      <c r="E1075" t="s">
        <v>283</v>
      </c>
      <c r="F1075">
        <v>12</v>
      </c>
      <c r="G1075">
        <v>456.88</v>
      </c>
      <c r="H1075">
        <v>0.13</v>
      </c>
      <c r="I1075" s="4">
        <v>4769.83</v>
      </c>
      <c r="J1075" t="s">
        <v>34</v>
      </c>
      <c r="K1075" t="s">
        <v>35</v>
      </c>
      <c r="L1075" s="4">
        <f>VLOOKUP(tblTransactions[[#This Row],[Product_ID]],tblProducts[],5,FALSE)</f>
        <v>313.23</v>
      </c>
      <c r="M1075" s="4">
        <f>tblTransactions[[#This Row],[Total_Amount]]-(tblTransactions[[#This Row],[Cost_Prices]]*tblTransactions[[#This Row],[Quantity]]*(1-tblTransactions[[#This Row],[Discount]]))</f>
        <v>1499.7087999999999</v>
      </c>
      <c r="N1075" s="3">
        <f>tblTransactions[[#This Row],[Profit]]/tblTransactions[[#This Row],[Total_Amount]]</f>
        <v>0.31441556617321792</v>
      </c>
      <c r="O1075" t="str">
        <f>TEXT(tblTransactions[[#This Row],[Date]], "MMM-YYYY")</f>
        <v>Aug-2023</v>
      </c>
      <c r="P1075" t="str">
        <f>"Q"&amp;ROUNDUP(MONTH(tblTransactions[[#This Row],[Date]])/3,0)&amp;"-"&amp;YEAR(tblTransactions[[#This Row],[Date]])</f>
        <v>Q3-2023</v>
      </c>
      <c r="Q1075">
        <f>YEAR(tblTransactions[[#This Row],[Date]])</f>
        <v>2023</v>
      </c>
      <c r="R1075" t="str">
        <f>TEXT(tblTransactions[[#This Row],[Date]],"DDDD")</f>
        <v>Friday</v>
      </c>
      <c r="S1075">
        <f>MONTH(tblTransactions[[#This Row],[Date]])</f>
        <v>8</v>
      </c>
      <c r="T1075" t="str">
        <f>VLOOKUP(E1075, Products!$A:$B,2,0)</f>
        <v>Chairs Fur-3</v>
      </c>
      <c r="U1075" t="str">
        <f>VLOOKUP(E1075,Products!$A:$C,3,0)</f>
        <v>Furniture</v>
      </c>
      <c r="V1075" t="str">
        <f>VLOOKUP(E1075,Products!$A:$D,4,0)</f>
        <v>Chairs</v>
      </c>
      <c r="W1075" t="str">
        <f>VLOOKUP(D1075,Customers!$A:$C,3,0)</f>
        <v>B2B</v>
      </c>
      <c r="X1075" t="str">
        <f>VLOOKUP(C1075,Sales_Representatives!$A:$B,2,0)</f>
        <v>John Brown</v>
      </c>
    </row>
    <row r="1076" spans="1:24" x14ac:dyDescent="0.3">
      <c r="A1076" t="s">
        <v>1486</v>
      </c>
      <c r="B1076" t="s">
        <v>1480</v>
      </c>
      <c r="C1076" t="s">
        <v>56</v>
      </c>
      <c r="D1076" t="s">
        <v>1487</v>
      </c>
      <c r="E1076" t="s">
        <v>283</v>
      </c>
      <c r="F1076">
        <v>13</v>
      </c>
      <c r="G1076">
        <v>456.88</v>
      </c>
      <c r="H1076">
        <v>0.17</v>
      </c>
      <c r="I1076" s="4">
        <v>4929.74</v>
      </c>
      <c r="J1076" t="s">
        <v>34</v>
      </c>
      <c r="K1076" t="s">
        <v>48</v>
      </c>
      <c r="L1076" s="4">
        <f>VLOOKUP(tblTransactions[[#This Row],[Product_ID]],tblProducts[],5,FALSE)</f>
        <v>313.23</v>
      </c>
      <c r="M1076" s="4">
        <f>tblTransactions[[#This Row],[Total_Amount]]-(tblTransactions[[#This Row],[Cost_Prices]]*tblTransactions[[#This Row],[Quantity]]*(1-tblTransactions[[#This Row],[Discount]]))</f>
        <v>1549.9882999999995</v>
      </c>
      <c r="N1076" s="3">
        <f>tblTransactions[[#This Row],[Profit]]/tblTransactions[[#This Row],[Total_Amount]]</f>
        <v>0.3144158312608778</v>
      </c>
      <c r="O1076" t="str">
        <f>TEXT(tblTransactions[[#This Row],[Date]], "MMM-YYYY")</f>
        <v>Aug-2023</v>
      </c>
      <c r="P1076" t="str">
        <f>"Q"&amp;ROUNDUP(MONTH(tblTransactions[[#This Row],[Date]])/3,0)&amp;"-"&amp;YEAR(tblTransactions[[#This Row],[Date]])</f>
        <v>Q3-2023</v>
      </c>
      <c r="Q1076">
        <f>YEAR(tblTransactions[[#This Row],[Date]])</f>
        <v>2023</v>
      </c>
      <c r="R1076" t="str">
        <f>TEXT(tblTransactions[[#This Row],[Date]],"DDDD")</f>
        <v>Friday</v>
      </c>
      <c r="S1076">
        <f>MONTH(tblTransactions[[#This Row],[Date]])</f>
        <v>8</v>
      </c>
      <c r="T1076" t="str">
        <f>VLOOKUP(E1076, Products!$A:$B,2,0)</f>
        <v>Chairs Fur-3</v>
      </c>
      <c r="U1076" t="str">
        <f>VLOOKUP(E1076,Products!$A:$C,3,0)</f>
        <v>Furniture</v>
      </c>
      <c r="V1076" t="str">
        <f>VLOOKUP(E1076,Products!$A:$D,4,0)</f>
        <v>Chairs</v>
      </c>
      <c r="W1076" t="str">
        <f>VLOOKUP(D1076,Customers!$A:$C,3,0)</f>
        <v>B2B</v>
      </c>
      <c r="X1076" t="str">
        <f>VLOOKUP(C1076,Sales_Representatives!$A:$B,2,0)</f>
        <v>Thomas Hernandez</v>
      </c>
    </row>
    <row r="1077" spans="1:24" x14ac:dyDescent="0.3">
      <c r="A1077" t="s">
        <v>1488</v>
      </c>
      <c r="B1077" t="s">
        <v>1489</v>
      </c>
      <c r="C1077" t="s">
        <v>107</v>
      </c>
      <c r="D1077" t="s">
        <v>247</v>
      </c>
      <c r="E1077" t="s">
        <v>221</v>
      </c>
      <c r="F1077">
        <v>4</v>
      </c>
      <c r="G1077">
        <v>210.02</v>
      </c>
      <c r="H1077">
        <v>0.05</v>
      </c>
      <c r="I1077" s="4">
        <v>798.08</v>
      </c>
      <c r="J1077" t="s">
        <v>109</v>
      </c>
      <c r="K1077" t="s">
        <v>35</v>
      </c>
      <c r="L1077" s="4">
        <f>VLOOKUP(tblTransactions[[#This Row],[Product_ID]],tblProducts[],5,FALSE)</f>
        <v>131.66</v>
      </c>
      <c r="M1077" s="4">
        <f>tblTransactions[[#This Row],[Total_Amount]]-(tblTransactions[[#This Row],[Cost_Prices]]*tblTransactions[[#This Row],[Quantity]]*(1-tblTransactions[[#This Row],[Discount]]))</f>
        <v>297.77200000000011</v>
      </c>
      <c r="N1077" s="3">
        <f>tblTransactions[[#This Row],[Profit]]/tblTransactions[[#This Row],[Total_Amount]]</f>
        <v>0.37311046511627916</v>
      </c>
      <c r="O1077" t="str">
        <f>TEXT(tblTransactions[[#This Row],[Date]], "MMM-YYYY")</f>
        <v>Aug-2023</v>
      </c>
      <c r="P1077" t="str">
        <f>"Q"&amp;ROUNDUP(MONTH(tblTransactions[[#This Row],[Date]])/3,0)&amp;"-"&amp;YEAR(tblTransactions[[#This Row],[Date]])</f>
        <v>Q3-2023</v>
      </c>
      <c r="Q1077">
        <f>YEAR(tblTransactions[[#This Row],[Date]])</f>
        <v>2023</v>
      </c>
      <c r="R1077" t="str">
        <f>TEXT(tblTransactions[[#This Row],[Date]],"DDDD")</f>
        <v>Saturday</v>
      </c>
      <c r="S1077">
        <f>MONTH(tblTransactions[[#This Row],[Date]])</f>
        <v>8</v>
      </c>
      <c r="T1077" t="str">
        <f>VLOOKUP(E1077, Products!$A:$B,2,0)</f>
        <v>Storage Fur-2</v>
      </c>
      <c r="U1077" t="str">
        <f>VLOOKUP(E1077,Products!$A:$C,3,0)</f>
        <v>Furniture</v>
      </c>
      <c r="V1077" t="str">
        <f>VLOOKUP(E1077,Products!$A:$D,4,0)</f>
        <v>Storage</v>
      </c>
      <c r="W1077" t="str">
        <f>VLOOKUP(D1077,Customers!$A:$C,3,0)</f>
        <v>B2C</v>
      </c>
      <c r="X1077" t="str">
        <f>VLOOKUP(C1077,Sales_Representatives!$A:$B,2,0)</f>
        <v>Jennifer Brown</v>
      </c>
    </row>
    <row r="1078" spans="1:24" x14ac:dyDescent="0.3">
      <c r="A1078" t="s">
        <v>1490</v>
      </c>
      <c r="B1078" t="s">
        <v>1489</v>
      </c>
      <c r="C1078" t="s">
        <v>27</v>
      </c>
      <c r="D1078" t="s">
        <v>101</v>
      </c>
      <c r="E1078" t="s">
        <v>316</v>
      </c>
      <c r="F1078">
        <v>4</v>
      </c>
      <c r="G1078">
        <v>91.42</v>
      </c>
      <c r="H1078">
        <v>0.05</v>
      </c>
      <c r="I1078" s="4">
        <v>347.4</v>
      </c>
      <c r="J1078" t="s">
        <v>16</v>
      </c>
      <c r="K1078" t="s">
        <v>22</v>
      </c>
      <c r="L1078" s="4">
        <f>VLOOKUP(tblTransactions[[#This Row],[Product_ID]],tblProducts[],5,FALSE)</f>
        <v>50.09</v>
      </c>
      <c r="M1078" s="4">
        <f>tblTransactions[[#This Row],[Total_Amount]]-(tblTransactions[[#This Row],[Cost_Prices]]*tblTransactions[[#This Row],[Quantity]]*(1-tblTransactions[[#This Row],[Discount]]))</f>
        <v>157.05799999999996</v>
      </c>
      <c r="N1078" s="3">
        <f>tblTransactions[[#This Row],[Profit]]/tblTransactions[[#This Row],[Total_Amount]]</f>
        <v>0.45209556706966025</v>
      </c>
      <c r="O1078" t="str">
        <f>TEXT(tblTransactions[[#This Row],[Date]], "MMM-YYYY")</f>
        <v>Aug-2023</v>
      </c>
      <c r="P1078" t="str">
        <f>"Q"&amp;ROUNDUP(MONTH(tblTransactions[[#This Row],[Date]])/3,0)&amp;"-"&amp;YEAR(tblTransactions[[#This Row],[Date]])</f>
        <v>Q3-2023</v>
      </c>
      <c r="Q1078">
        <f>YEAR(tblTransactions[[#This Row],[Date]])</f>
        <v>2023</v>
      </c>
      <c r="R1078" t="str">
        <f>TEXT(tblTransactions[[#This Row],[Date]],"DDDD")</f>
        <v>Saturday</v>
      </c>
      <c r="S1078">
        <f>MONTH(tblTransactions[[#This Row],[Date]])</f>
        <v>8</v>
      </c>
      <c r="T1078" t="str">
        <f>VLOOKUP(E1078, Products!$A:$B,2,0)</f>
        <v>Binders Off-3</v>
      </c>
      <c r="U1078" t="str">
        <f>VLOOKUP(E1078,Products!$A:$C,3,0)</f>
        <v>Office Supplies</v>
      </c>
      <c r="V1078" t="str">
        <f>VLOOKUP(E1078,Products!$A:$D,4,0)</f>
        <v>Binders</v>
      </c>
      <c r="W1078" t="str">
        <f>VLOOKUP(D1078,Customers!$A:$C,3,0)</f>
        <v>B2C</v>
      </c>
      <c r="X1078" t="str">
        <f>VLOOKUP(C1078,Sales_Representatives!$A:$B,2,0)</f>
        <v>Thomas Lopez</v>
      </c>
    </row>
    <row r="1079" spans="1:24" x14ac:dyDescent="0.3">
      <c r="A1079" t="s">
        <v>1491</v>
      </c>
      <c r="B1079" t="s">
        <v>1489</v>
      </c>
      <c r="C1079" t="s">
        <v>141</v>
      </c>
      <c r="D1079" t="s">
        <v>212</v>
      </c>
      <c r="E1079" t="s">
        <v>450</v>
      </c>
      <c r="F1079">
        <v>4</v>
      </c>
      <c r="G1079">
        <v>2083.92</v>
      </c>
      <c r="H1079">
        <v>0.03</v>
      </c>
      <c r="I1079" s="4">
        <v>8085.61</v>
      </c>
      <c r="J1079" t="s">
        <v>109</v>
      </c>
      <c r="K1079" t="s">
        <v>39</v>
      </c>
      <c r="L1079" s="4">
        <f>VLOOKUP(tblTransactions[[#This Row],[Product_ID]],tblProducts[],5,FALSE)</f>
        <v>1425.78</v>
      </c>
      <c r="M1079" s="4">
        <f>tblTransactions[[#This Row],[Total_Amount]]-(tblTransactions[[#This Row],[Cost_Prices]]*tblTransactions[[#This Row],[Quantity]]*(1-tblTransactions[[#This Row],[Discount]]))</f>
        <v>2553.5835999999999</v>
      </c>
      <c r="N1079" s="3">
        <f>tblTransactions[[#This Row],[Profit]]/tblTransactions[[#This Row],[Total_Amount]]</f>
        <v>0.31581829942329648</v>
      </c>
      <c r="O1079" t="str">
        <f>TEXT(tblTransactions[[#This Row],[Date]], "MMM-YYYY")</f>
        <v>Aug-2023</v>
      </c>
      <c r="P1079" t="str">
        <f>"Q"&amp;ROUNDUP(MONTH(tblTransactions[[#This Row],[Date]])/3,0)&amp;"-"&amp;YEAR(tblTransactions[[#This Row],[Date]])</f>
        <v>Q3-2023</v>
      </c>
      <c r="Q1079">
        <f>YEAR(tblTransactions[[#This Row],[Date]])</f>
        <v>2023</v>
      </c>
      <c r="R1079" t="str">
        <f>TEXT(tblTransactions[[#This Row],[Date]],"DDDD")</f>
        <v>Saturday</v>
      </c>
      <c r="S1079">
        <f>MONTH(tblTransactions[[#This Row],[Date]])</f>
        <v>8</v>
      </c>
      <c r="T1079" t="str">
        <f>VLOOKUP(E1079, Products!$A:$B,2,0)</f>
        <v>Monitors Tec-4</v>
      </c>
      <c r="U1079" t="str">
        <f>VLOOKUP(E1079,Products!$A:$C,3,0)</f>
        <v>Technology</v>
      </c>
      <c r="V1079" t="str">
        <f>VLOOKUP(E1079,Products!$A:$D,4,0)</f>
        <v>Monitors</v>
      </c>
      <c r="W1079" t="str">
        <f>VLOOKUP(D1079,Customers!$A:$C,3,0)</f>
        <v>B2C</v>
      </c>
      <c r="X1079" t="str">
        <f>VLOOKUP(C1079,Sales_Representatives!$A:$B,2,0)</f>
        <v>Richard Garcia</v>
      </c>
    </row>
    <row r="1080" spans="1:24" x14ac:dyDescent="0.3">
      <c r="A1080" t="s">
        <v>1492</v>
      </c>
      <c r="B1080" t="s">
        <v>1493</v>
      </c>
      <c r="C1080" t="s">
        <v>75</v>
      </c>
      <c r="D1080" t="s">
        <v>1494</v>
      </c>
      <c r="E1080" t="s">
        <v>191</v>
      </c>
      <c r="F1080">
        <v>4</v>
      </c>
      <c r="G1080">
        <v>1012.75</v>
      </c>
      <c r="H1080">
        <v>0.02</v>
      </c>
      <c r="I1080" s="4">
        <v>3969.98</v>
      </c>
      <c r="J1080" t="s">
        <v>44</v>
      </c>
      <c r="K1080" t="s">
        <v>39</v>
      </c>
      <c r="L1080" s="4">
        <f>VLOOKUP(tblTransactions[[#This Row],[Product_ID]],tblProducts[],5,FALSE)</f>
        <v>518.53</v>
      </c>
      <c r="M1080" s="4">
        <f>tblTransactions[[#This Row],[Total_Amount]]-(tblTransactions[[#This Row],[Cost_Prices]]*tblTransactions[[#This Row],[Quantity]]*(1-tblTransactions[[#This Row],[Discount]]))</f>
        <v>1937.3424000000002</v>
      </c>
      <c r="N1080" s="3">
        <f>tblTransactions[[#This Row],[Profit]]/tblTransactions[[#This Row],[Total_Amount]]</f>
        <v>0.48799802517896823</v>
      </c>
      <c r="O1080" t="str">
        <f>TEXT(tblTransactions[[#This Row],[Date]], "MMM-YYYY")</f>
        <v>Aug-2023</v>
      </c>
      <c r="P1080" t="str">
        <f>"Q"&amp;ROUNDUP(MONTH(tblTransactions[[#This Row],[Date]])/3,0)&amp;"-"&amp;YEAR(tblTransactions[[#This Row],[Date]])</f>
        <v>Q3-2023</v>
      </c>
      <c r="Q1080">
        <f>YEAR(tblTransactions[[#This Row],[Date]])</f>
        <v>2023</v>
      </c>
      <c r="R1080" t="str">
        <f>TEXT(tblTransactions[[#This Row],[Date]],"DDDD")</f>
        <v>Sunday</v>
      </c>
      <c r="S1080">
        <f>MONTH(tblTransactions[[#This Row],[Date]])</f>
        <v>8</v>
      </c>
      <c r="T1080" t="str">
        <f>VLOOKUP(E1080, Products!$A:$B,2,0)</f>
        <v>Tables Fur-4</v>
      </c>
      <c r="U1080" t="str">
        <f>VLOOKUP(E1080,Products!$A:$C,3,0)</f>
        <v>Furniture</v>
      </c>
      <c r="V1080" t="str">
        <f>VLOOKUP(E1080,Products!$A:$D,4,0)</f>
        <v>Tables</v>
      </c>
      <c r="W1080" t="str">
        <f>VLOOKUP(D1080,Customers!$A:$C,3,0)</f>
        <v>Small Business</v>
      </c>
      <c r="X1080" t="str">
        <f>VLOOKUP(C1080,Sales_Representatives!$A:$B,2,0)</f>
        <v>Jessica Anderson</v>
      </c>
    </row>
    <row r="1081" spans="1:24" x14ac:dyDescent="0.3">
      <c r="A1081" t="s">
        <v>1495</v>
      </c>
      <c r="B1081" t="s">
        <v>1493</v>
      </c>
      <c r="C1081" t="s">
        <v>70</v>
      </c>
      <c r="D1081" t="s">
        <v>1496</v>
      </c>
      <c r="E1081" t="s">
        <v>68</v>
      </c>
      <c r="F1081">
        <v>35</v>
      </c>
      <c r="G1081">
        <v>522.63</v>
      </c>
      <c r="H1081">
        <v>0.22</v>
      </c>
      <c r="I1081" s="4">
        <v>14267.8</v>
      </c>
      <c r="J1081" t="s">
        <v>16</v>
      </c>
      <c r="K1081" t="s">
        <v>22</v>
      </c>
      <c r="L1081" s="4">
        <f>VLOOKUP(tblTransactions[[#This Row],[Product_ID]],tblProducts[],5,FALSE)</f>
        <v>355.82</v>
      </c>
      <c r="M1081" s="4">
        <f>tblTransactions[[#This Row],[Total_Amount]]-(tblTransactions[[#This Row],[Cost_Prices]]*tblTransactions[[#This Row],[Quantity]]*(1-tblTransactions[[#This Row],[Discount]]))</f>
        <v>4553.9140000000007</v>
      </c>
      <c r="N1081" s="3">
        <f>tblTransactions[[#This Row],[Profit]]/tblTransactions[[#This Row],[Total_Amount]]</f>
        <v>0.31917422447749483</v>
      </c>
      <c r="O1081" t="str">
        <f>TEXT(tblTransactions[[#This Row],[Date]], "MMM-YYYY")</f>
        <v>Aug-2023</v>
      </c>
      <c r="P1081" t="str">
        <f>"Q"&amp;ROUNDUP(MONTH(tblTransactions[[#This Row],[Date]])/3,0)&amp;"-"&amp;YEAR(tblTransactions[[#This Row],[Date]])</f>
        <v>Q3-2023</v>
      </c>
      <c r="Q1081">
        <f>YEAR(tblTransactions[[#This Row],[Date]])</f>
        <v>2023</v>
      </c>
      <c r="R1081" t="str">
        <f>TEXT(tblTransactions[[#This Row],[Date]],"DDDD")</f>
        <v>Sunday</v>
      </c>
      <c r="S1081">
        <f>MONTH(tblTransactions[[#This Row],[Date]])</f>
        <v>8</v>
      </c>
      <c r="T1081" t="str">
        <f>VLOOKUP(E1081, Products!$A:$B,2,0)</f>
        <v>Monitors Tec-3</v>
      </c>
      <c r="U1081" t="str">
        <f>VLOOKUP(E1081,Products!$A:$C,3,0)</f>
        <v>Technology</v>
      </c>
      <c r="V1081" t="str">
        <f>VLOOKUP(E1081,Products!$A:$D,4,0)</f>
        <v>Monitors</v>
      </c>
      <c r="W1081" t="str">
        <f>VLOOKUP(D1081,Customers!$A:$C,3,0)</f>
        <v>Enterprise</v>
      </c>
      <c r="X1081" t="str">
        <f>VLOOKUP(C1081,Sales_Representatives!$A:$B,2,0)</f>
        <v>Linda Smith</v>
      </c>
    </row>
    <row r="1082" spans="1:24" x14ac:dyDescent="0.3">
      <c r="A1082" t="s">
        <v>1497</v>
      </c>
      <c r="B1082" t="s">
        <v>1493</v>
      </c>
      <c r="C1082" t="s">
        <v>127</v>
      </c>
      <c r="D1082" t="s">
        <v>28</v>
      </c>
      <c r="E1082" t="s">
        <v>25</v>
      </c>
      <c r="F1082">
        <v>15</v>
      </c>
      <c r="G1082">
        <v>1467.49</v>
      </c>
      <c r="H1082">
        <v>0.18</v>
      </c>
      <c r="I1082" s="4">
        <v>18050.13</v>
      </c>
      <c r="J1082" t="s">
        <v>109</v>
      </c>
      <c r="K1082" t="s">
        <v>48</v>
      </c>
      <c r="L1082" s="4">
        <f>VLOOKUP(tblTransactions[[#This Row],[Product_ID]],tblProducts[],5,FALSE)</f>
        <v>757.65</v>
      </c>
      <c r="M1082" s="4">
        <f>tblTransactions[[#This Row],[Total_Amount]]-(tblTransactions[[#This Row],[Cost_Prices]]*tblTransactions[[#This Row],[Quantity]]*(1-tblTransactions[[#This Row],[Discount]]))</f>
        <v>8731.0349999999999</v>
      </c>
      <c r="N1082" s="3">
        <f>tblTransactions[[#This Row],[Profit]]/tblTransactions[[#This Row],[Total_Amount]]</f>
        <v>0.48371036662893835</v>
      </c>
      <c r="O1082" t="str">
        <f>TEXT(tblTransactions[[#This Row],[Date]], "MMM-YYYY")</f>
        <v>Aug-2023</v>
      </c>
      <c r="P1082" t="str">
        <f>"Q"&amp;ROUNDUP(MONTH(tblTransactions[[#This Row],[Date]])/3,0)&amp;"-"&amp;YEAR(tblTransactions[[#This Row],[Date]])</f>
        <v>Q3-2023</v>
      </c>
      <c r="Q1082">
        <f>YEAR(tblTransactions[[#This Row],[Date]])</f>
        <v>2023</v>
      </c>
      <c r="R1082" t="str">
        <f>TEXT(tblTransactions[[#This Row],[Date]],"DDDD")</f>
        <v>Sunday</v>
      </c>
      <c r="S1082">
        <f>MONTH(tblTransactions[[#This Row],[Date]])</f>
        <v>8</v>
      </c>
      <c r="T1082" t="str">
        <f>VLOOKUP(E1082, Products!$A:$B,2,0)</f>
        <v>Tables Fur-3</v>
      </c>
      <c r="U1082" t="str">
        <f>VLOOKUP(E1082,Products!$A:$C,3,0)</f>
        <v>Furniture</v>
      </c>
      <c r="V1082" t="str">
        <f>VLOOKUP(E1082,Products!$A:$D,4,0)</f>
        <v>Tables</v>
      </c>
      <c r="W1082" t="str">
        <f>VLOOKUP(D1082,Customers!$A:$C,3,0)</f>
        <v>B2B</v>
      </c>
      <c r="X1082" t="str">
        <f>VLOOKUP(C1082,Sales_Representatives!$A:$B,2,0)</f>
        <v>Emily Hernandez</v>
      </c>
    </row>
    <row r="1083" spans="1:24" x14ac:dyDescent="0.3">
      <c r="A1083" t="s">
        <v>1498</v>
      </c>
      <c r="B1083" t="s">
        <v>1499</v>
      </c>
      <c r="C1083" t="s">
        <v>13</v>
      </c>
      <c r="D1083" t="s">
        <v>1500</v>
      </c>
      <c r="E1083" t="s">
        <v>84</v>
      </c>
      <c r="F1083">
        <v>7</v>
      </c>
      <c r="G1083">
        <v>1841.77</v>
      </c>
      <c r="H1083">
        <v>0.09</v>
      </c>
      <c r="I1083" s="4">
        <v>11732.07</v>
      </c>
      <c r="J1083" t="s">
        <v>16</v>
      </c>
      <c r="K1083" t="s">
        <v>39</v>
      </c>
      <c r="L1083" s="4">
        <f>VLOOKUP(tblTransactions[[#This Row],[Product_ID]],tblProducts[],5,FALSE)</f>
        <v>1151.5899999999999</v>
      </c>
      <c r="M1083" s="4">
        <f>tblTransactions[[#This Row],[Total_Amount]]-(tblTransactions[[#This Row],[Cost_Prices]]*tblTransactions[[#This Row],[Quantity]]*(1-tblTransactions[[#This Row],[Discount]]))</f>
        <v>4396.4417000000003</v>
      </c>
      <c r="N1083" s="3">
        <f>tblTransactions[[#This Row],[Profit]]/tblTransactions[[#This Row],[Total_Amount]]</f>
        <v>0.37473708390761395</v>
      </c>
      <c r="O1083" t="str">
        <f>TEXT(tblTransactions[[#This Row],[Date]], "MMM-YYYY")</f>
        <v>Aug-2023</v>
      </c>
      <c r="P1083" t="str">
        <f>"Q"&amp;ROUNDUP(MONTH(tblTransactions[[#This Row],[Date]])/3,0)&amp;"-"&amp;YEAR(tblTransactions[[#This Row],[Date]])</f>
        <v>Q3-2023</v>
      </c>
      <c r="Q1083">
        <f>YEAR(tblTransactions[[#This Row],[Date]])</f>
        <v>2023</v>
      </c>
      <c r="R1083" t="str">
        <f>TEXT(tblTransactions[[#This Row],[Date]],"DDDD")</f>
        <v>Monday</v>
      </c>
      <c r="S1083">
        <f>MONTH(tblTransactions[[#This Row],[Date]])</f>
        <v>8</v>
      </c>
      <c r="T1083" t="str">
        <f>VLOOKUP(E1083, Products!$A:$B,2,0)</f>
        <v>Laptops Ele-2</v>
      </c>
      <c r="U1083" t="str">
        <f>VLOOKUP(E1083,Products!$A:$C,3,0)</f>
        <v>Electronics</v>
      </c>
      <c r="V1083" t="str">
        <f>VLOOKUP(E1083,Products!$A:$D,4,0)</f>
        <v>Laptops</v>
      </c>
      <c r="W1083" t="str">
        <f>VLOOKUP(D1083,Customers!$A:$C,3,0)</f>
        <v>B2C</v>
      </c>
      <c r="X1083" t="str">
        <f>VLOOKUP(C1083,Sales_Representatives!$A:$B,2,0)</f>
        <v>Jennifer Rodriguez</v>
      </c>
    </row>
    <row r="1084" spans="1:24" x14ac:dyDescent="0.3">
      <c r="A1084" t="s">
        <v>1501</v>
      </c>
      <c r="B1084" t="s">
        <v>1499</v>
      </c>
      <c r="C1084" t="s">
        <v>107</v>
      </c>
      <c r="D1084" t="s">
        <v>1502</v>
      </c>
      <c r="E1084" t="s">
        <v>33</v>
      </c>
      <c r="F1084">
        <v>4</v>
      </c>
      <c r="G1084">
        <v>322.7</v>
      </c>
      <c r="H1084">
        <v>0.01</v>
      </c>
      <c r="I1084" s="4">
        <v>1277.8900000000001</v>
      </c>
      <c r="J1084" t="s">
        <v>109</v>
      </c>
      <c r="K1084" t="s">
        <v>17</v>
      </c>
      <c r="L1084" s="4">
        <f>VLOOKUP(tblTransactions[[#This Row],[Product_ID]],tblProducts[],5,FALSE)</f>
        <v>139.81</v>
      </c>
      <c r="M1084" s="4">
        <f>tblTransactions[[#This Row],[Total_Amount]]-(tblTransactions[[#This Row],[Cost_Prices]]*tblTransactions[[#This Row],[Quantity]]*(1-tblTransactions[[#This Row],[Discount]]))</f>
        <v>724.24240000000009</v>
      </c>
      <c r="N1084" s="3">
        <f>tblTransactions[[#This Row],[Profit]]/tblTransactions[[#This Row],[Total_Amount]]</f>
        <v>0.56674862468600584</v>
      </c>
      <c r="O1084" t="str">
        <f>TEXT(tblTransactions[[#This Row],[Date]], "MMM-YYYY")</f>
        <v>Aug-2023</v>
      </c>
      <c r="P1084" t="str">
        <f>"Q"&amp;ROUNDUP(MONTH(tblTransactions[[#This Row],[Date]])/3,0)&amp;"-"&amp;YEAR(tblTransactions[[#This Row],[Date]])</f>
        <v>Q3-2023</v>
      </c>
      <c r="Q1084">
        <f>YEAR(tblTransactions[[#This Row],[Date]])</f>
        <v>2023</v>
      </c>
      <c r="R1084" t="str">
        <f>TEXT(tblTransactions[[#This Row],[Date]],"DDDD")</f>
        <v>Monday</v>
      </c>
      <c r="S1084">
        <f>MONTH(tblTransactions[[#This Row],[Date]])</f>
        <v>8</v>
      </c>
      <c r="T1084" t="str">
        <f>VLOOKUP(E1084, Products!$A:$B,2,0)</f>
        <v>Adapters Acc-1</v>
      </c>
      <c r="U1084" t="str">
        <f>VLOOKUP(E1084,Products!$A:$C,3,0)</f>
        <v>Accessories</v>
      </c>
      <c r="V1084" t="str">
        <f>VLOOKUP(E1084,Products!$A:$D,4,0)</f>
        <v>Adapters</v>
      </c>
      <c r="W1084" t="str">
        <f>VLOOKUP(D1084,Customers!$A:$C,3,0)</f>
        <v>Small Business</v>
      </c>
      <c r="X1084" t="str">
        <f>VLOOKUP(C1084,Sales_Representatives!$A:$B,2,0)</f>
        <v>Jennifer Brown</v>
      </c>
    </row>
    <row r="1085" spans="1:24" x14ac:dyDescent="0.3">
      <c r="A1085" t="s">
        <v>1503</v>
      </c>
      <c r="B1085" t="s">
        <v>1504</v>
      </c>
      <c r="C1085" t="s">
        <v>41</v>
      </c>
      <c r="D1085" t="s">
        <v>1505</v>
      </c>
      <c r="E1085" t="s">
        <v>38</v>
      </c>
      <c r="F1085">
        <v>4</v>
      </c>
      <c r="G1085">
        <v>581.47</v>
      </c>
      <c r="H1085">
        <v>0.03</v>
      </c>
      <c r="I1085" s="4">
        <v>2256.1</v>
      </c>
      <c r="J1085" t="s">
        <v>44</v>
      </c>
      <c r="K1085" t="s">
        <v>39</v>
      </c>
      <c r="L1085" s="4">
        <f>VLOOKUP(tblTransactions[[#This Row],[Product_ID]],tblProducts[],5,FALSE)</f>
        <v>372.07</v>
      </c>
      <c r="M1085" s="4">
        <f>tblTransactions[[#This Row],[Total_Amount]]-(tblTransactions[[#This Row],[Cost_Prices]]*tblTransactions[[#This Row],[Quantity]]*(1-tblTransactions[[#This Row],[Discount]]))</f>
        <v>812.46839999999997</v>
      </c>
      <c r="N1085" s="3">
        <f>tblTransactions[[#This Row],[Profit]]/tblTransactions[[#This Row],[Total_Amount]]</f>
        <v>0.36012073932893046</v>
      </c>
      <c r="O1085" t="str">
        <f>TEXT(tblTransactions[[#This Row],[Date]], "MMM-YYYY")</f>
        <v>Aug-2023</v>
      </c>
      <c r="P1085" t="str">
        <f>"Q"&amp;ROUNDUP(MONTH(tblTransactions[[#This Row],[Date]])/3,0)&amp;"-"&amp;YEAR(tblTransactions[[#This Row],[Date]])</f>
        <v>Q3-2023</v>
      </c>
      <c r="Q1085">
        <f>YEAR(tblTransactions[[#This Row],[Date]])</f>
        <v>2023</v>
      </c>
      <c r="R1085" t="str">
        <f>TEXT(tblTransactions[[#This Row],[Date]],"DDDD")</f>
        <v>Tuesday</v>
      </c>
      <c r="S1085">
        <f>MONTH(tblTransactions[[#This Row],[Date]])</f>
        <v>8</v>
      </c>
      <c r="T1085" t="str">
        <f>VLOOKUP(E1085, Products!$A:$B,2,0)</f>
        <v>Storage Fur-3</v>
      </c>
      <c r="U1085" t="str">
        <f>VLOOKUP(E1085,Products!$A:$C,3,0)</f>
        <v>Furniture</v>
      </c>
      <c r="V1085" t="str">
        <f>VLOOKUP(E1085,Products!$A:$D,4,0)</f>
        <v>Storage</v>
      </c>
      <c r="W1085" t="str">
        <f>VLOOKUP(D1085,Customers!$A:$C,3,0)</f>
        <v>B2C</v>
      </c>
      <c r="X1085" t="str">
        <f>VLOOKUP(C1085,Sales_Representatives!$A:$B,2,0)</f>
        <v>Robert Jones</v>
      </c>
    </row>
    <row r="1086" spans="1:24" x14ac:dyDescent="0.3">
      <c r="A1086" t="s">
        <v>1506</v>
      </c>
      <c r="B1086" t="s">
        <v>1504</v>
      </c>
      <c r="C1086" t="s">
        <v>70</v>
      </c>
      <c r="D1086" t="s">
        <v>1507</v>
      </c>
      <c r="E1086" t="s">
        <v>15</v>
      </c>
      <c r="F1086">
        <v>11</v>
      </c>
      <c r="G1086">
        <v>477.48</v>
      </c>
      <c r="H1086">
        <v>0.18</v>
      </c>
      <c r="I1086" s="4">
        <v>4306.87</v>
      </c>
      <c r="J1086" t="s">
        <v>16</v>
      </c>
      <c r="K1086" t="s">
        <v>17</v>
      </c>
      <c r="L1086" s="4">
        <f>VLOOKUP(tblTransactions[[#This Row],[Product_ID]],tblProducts[],5,FALSE)</f>
        <v>275.51</v>
      </c>
      <c r="M1086" s="4">
        <f>tblTransactions[[#This Row],[Total_Amount]]-(tblTransactions[[#This Row],[Cost_Prices]]*tblTransactions[[#This Row],[Quantity]]*(1-tblTransactions[[#This Row],[Discount]]))</f>
        <v>1821.7698</v>
      </c>
      <c r="N1086" s="3">
        <f>tblTransactions[[#This Row],[Profit]]/tblTransactions[[#This Row],[Total_Amount]]</f>
        <v>0.42299159250221158</v>
      </c>
      <c r="O1086" t="str">
        <f>TEXT(tblTransactions[[#This Row],[Date]], "MMM-YYYY")</f>
        <v>Aug-2023</v>
      </c>
      <c r="P1086" t="str">
        <f>"Q"&amp;ROUNDUP(MONTH(tblTransactions[[#This Row],[Date]])/3,0)&amp;"-"&amp;YEAR(tblTransactions[[#This Row],[Date]])</f>
        <v>Q3-2023</v>
      </c>
      <c r="Q1086">
        <f>YEAR(tblTransactions[[#This Row],[Date]])</f>
        <v>2023</v>
      </c>
      <c r="R1086" t="str">
        <f>TEXT(tblTransactions[[#This Row],[Date]],"DDDD")</f>
        <v>Tuesday</v>
      </c>
      <c r="S1086">
        <f>MONTH(tblTransactions[[#This Row],[Date]])</f>
        <v>8</v>
      </c>
      <c r="T1086" t="str">
        <f>VLOOKUP(E1086, Products!$A:$B,2,0)</f>
        <v>Laptops Ele-4</v>
      </c>
      <c r="U1086" t="str">
        <f>VLOOKUP(E1086,Products!$A:$C,3,0)</f>
        <v>Electronics</v>
      </c>
      <c r="V1086" t="str">
        <f>VLOOKUP(E1086,Products!$A:$D,4,0)</f>
        <v>Laptops</v>
      </c>
      <c r="W1086" t="str">
        <f>VLOOKUP(D1086,Customers!$A:$C,3,0)</f>
        <v>Enterprise</v>
      </c>
      <c r="X1086" t="str">
        <f>VLOOKUP(C1086,Sales_Representatives!$A:$B,2,0)</f>
        <v>Linda Smith</v>
      </c>
    </row>
    <row r="1087" spans="1:24" x14ac:dyDescent="0.3">
      <c r="A1087" t="s">
        <v>1508</v>
      </c>
      <c r="B1087" t="s">
        <v>1509</v>
      </c>
      <c r="C1087" t="s">
        <v>141</v>
      </c>
      <c r="D1087" t="s">
        <v>93</v>
      </c>
      <c r="E1087" t="s">
        <v>89</v>
      </c>
      <c r="F1087">
        <v>7</v>
      </c>
      <c r="G1087">
        <v>555.08000000000004</v>
      </c>
      <c r="H1087">
        <v>0.05</v>
      </c>
      <c r="I1087" s="4">
        <v>3691.28</v>
      </c>
      <c r="J1087" t="s">
        <v>109</v>
      </c>
      <c r="K1087" t="s">
        <v>48</v>
      </c>
      <c r="L1087" s="4">
        <f>VLOOKUP(tblTransactions[[#This Row],[Product_ID]],tblProducts[],5,FALSE)</f>
        <v>402.82</v>
      </c>
      <c r="M1087" s="4">
        <f>tblTransactions[[#This Row],[Total_Amount]]-(tblTransactions[[#This Row],[Cost_Prices]]*tblTransactions[[#This Row],[Quantity]]*(1-tblTransactions[[#This Row],[Discount]]))</f>
        <v>1012.5270000000005</v>
      </c>
      <c r="N1087" s="3">
        <f>tblTransactions[[#This Row],[Profit]]/tblTransactions[[#This Row],[Total_Amount]]</f>
        <v>0.27430241000411792</v>
      </c>
      <c r="O1087" t="str">
        <f>TEXT(tblTransactions[[#This Row],[Date]], "MMM-YYYY")</f>
        <v>Aug-2023</v>
      </c>
      <c r="P1087" t="str">
        <f>"Q"&amp;ROUNDUP(MONTH(tblTransactions[[#This Row],[Date]])/3,0)&amp;"-"&amp;YEAR(tblTransactions[[#This Row],[Date]])</f>
        <v>Q3-2023</v>
      </c>
      <c r="Q1087">
        <f>YEAR(tblTransactions[[#This Row],[Date]])</f>
        <v>2023</v>
      </c>
      <c r="R1087" t="str">
        <f>TEXT(tblTransactions[[#This Row],[Date]],"DDDD")</f>
        <v>Wednesday</v>
      </c>
      <c r="S1087">
        <f>MONTH(tblTransactions[[#This Row],[Date]])</f>
        <v>8</v>
      </c>
      <c r="T1087" t="str">
        <f>VLOOKUP(E1087, Products!$A:$B,2,0)</f>
        <v>Laptops Ele-3</v>
      </c>
      <c r="U1087" t="str">
        <f>VLOOKUP(E1087,Products!$A:$C,3,0)</f>
        <v>Electronics</v>
      </c>
      <c r="V1087" t="str">
        <f>VLOOKUP(E1087,Products!$A:$D,4,0)</f>
        <v>Laptops</v>
      </c>
      <c r="W1087" t="str">
        <f>VLOOKUP(D1087,Customers!$A:$C,3,0)</f>
        <v>B2C</v>
      </c>
      <c r="X1087" t="str">
        <f>VLOOKUP(C1087,Sales_Representatives!$A:$B,2,0)</f>
        <v>Richard Garcia</v>
      </c>
    </row>
    <row r="1088" spans="1:24" x14ac:dyDescent="0.3">
      <c r="A1088" t="s">
        <v>1510</v>
      </c>
      <c r="B1088" t="s">
        <v>1509</v>
      </c>
      <c r="C1088" t="s">
        <v>141</v>
      </c>
      <c r="D1088" t="s">
        <v>1511</v>
      </c>
      <c r="E1088" t="s">
        <v>248</v>
      </c>
      <c r="F1088">
        <v>6</v>
      </c>
      <c r="G1088">
        <v>82.29</v>
      </c>
      <c r="H1088">
        <v>0.1</v>
      </c>
      <c r="I1088" s="4">
        <v>444.37</v>
      </c>
      <c r="J1088" t="s">
        <v>109</v>
      </c>
      <c r="K1088" t="s">
        <v>35</v>
      </c>
      <c r="L1088" s="4">
        <f>VLOOKUP(tblTransactions[[#This Row],[Product_ID]],tblProducts[],5,FALSE)</f>
        <v>51.11</v>
      </c>
      <c r="M1088" s="4">
        <f>tblTransactions[[#This Row],[Total_Amount]]-(tblTransactions[[#This Row],[Cost_Prices]]*tblTransactions[[#This Row],[Quantity]]*(1-tblTransactions[[#This Row],[Discount]]))</f>
        <v>168.37600000000003</v>
      </c>
      <c r="N1088" s="3">
        <f>tblTransactions[[#This Row],[Profit]]/tblTransactions[[#This Row],[Total_Amount]]</f>
        <v>0.37890946733577879</v>
      </c>
      <c r="O1088" t="str">
        <f>TEXT(tblTransactions[[#This Row],[Date]], "MMM-YYYY")</f>
        <v>Aug-2023</v>
      </c>
      <c r="P1088" t="str">
        <f>"Q"&amp;ROUNDUP(MONTH(tblTransactions[[#This Row],[Date]])/3,0)&amp;"-"&amp;YEAR(tblTransactions[[#This Row],[Date]])</f>
        <v>Q3-2023</v>
      </c>
      <c r="Q1088">
        <f>YEAR(tblTransactions[[#This Row],[Date]])</f>
        <v>2023</v>
      </c>
      <c r="R1088" t="str">
        <f>TEXT(tblTransactions[[#This Row],[Date]],"DDDD")</f>
        <v>Wednesday</v>
      </c>
      <c r="S1088">
        <f>MONTH(tblTransactions[[#This Row],[Date]])</f>
        <v>8</v>
      </c>
      <c r="T1088" t="str">
        <f>VLOOKUP(E1088, Products!$A:$B,2,0)</f>
        <v>Keyboards Acc-2</v>
      </c>
      <c r="U1088" t="str">
        <f>VLOOKUP(E1088,Products!$A:$C,3,0)</f>
        <v>Accessories</v>
      </c>
      <c r="V1088" t="str">
        <f>VLOOKUP(E1088,Products!$A:$D,4,0)</f>
        <v>Keyboards</v>
      </c>
      <c r="W1088" t="str">
        <f>VLOOKUP(D1088,Customers!$A:$C,3,0)</f>
        <v>B2C</v>
      </c>
      <c r="X1088" t="str">
        <f>VLOOKUP(C1088,Sales_Representatives!$A:$B,2,0)</f>
        <v>Richard Garcia</v>
      </c>
    </row>
    <row r="1089" spans="1:24" x14ac:dyDescent="0.3">
      <c r="A1089" t="s">
        <v>1512</v>
      </c>
      <c r="B1089" t="s">
        <v>1509</v>
      </c>
      <c r="C1089" t="s">
        <v>107</v>
      </c>
      <c r="D1089" t="s">
        <v>1513</v>
      </c>
      <c r="E1089" t="s">
        <v>184</v>
      </c>
      <c r="F1089">
        <v>5</v>
      </c>
      <c r="G1089">
        <v>276.35000000000002</v>
      </c>
      <c r="H1089">
        <v>0.08</v>
      </c>
      <c r="I1089" s="4">
        <v>1271.21</v>
      </c>
      <c r="J1089" t="s">
        <v>109</v>
      </c>
      <c r="K1089" t="s">
        <v>35</v>
      </c>
      <c r="L1089" s="4">
        <f>VLOOKUP(tblTransactions[[#This Row],[Product_ID]],tblProducts[],5,FALSE)</f>
        <v>130.15</v>
      </c>
      <c r="M1089" s="4">
        <f>tblTransactions[[#This Row],[Total_Amount]]-(tblTransactions[[#This Row],[Cost_Prices]]*tblTransactions[[#This Row],[Quantity]]*(1-tblTransactions[[#This Row],[Discount]]))</f>
        <v>672.52</v>
      </c>
      <c r="N1089" s="3">
        <f>tblTransactions[[#This Row],[Profit]]/tblTransactions[[#This Row],[Total_Amount]]</f>
        <v>0.52903926180568117</v>
      </c>
      <c r="O1089" t="str">
        <f>TEXT(tblTransactions[[#This Row],[Date]], "MMM-YYYY")</f>
        <v>Aug-2023</v>
      </c>
      <c r="P1089" t="str">
        <f>"Q"&amp;ROUNDUP(MONTH(tblTransactions[[#This Row],[Date]])/3,0)&amp;"-"&amp;YEAR(tblTransactions[[#This Row],[Date]])</f>
        <v>Q3-2023</v>
      </c>
      <c r="Q1089">
        <f>YEAR(tblTransactions[[#This Row],[Date]])</f>
        <v>2023</v>
      </c>
      <c r="R1089" t="str">
        <f>TEXT(tblTransactions[[#This Row],[Date]],"DDDD")</f>
        <v>Wednesday</v>
      </c>
      <c r="S1089">
        <f>MONTH(tblTransactions[[#This Row],[Date]])</f>
        <v>8</v>
      </c>
      <c r="T1089" t="str">
        <f>VLOOKUP(E1089, Products!$A:$B,2,0)</f>
        <v>Binders Off-1</v>
      </c>
      <c r="U1089" t="str">
        <f>VLOOKUP(E1089,Products!$A:$C,3,0)</f>
        <v>Office Supplies</v>
      </c>
      <c r="V1089" t="str">
        <f>VLOOKUP(E1089,Products!$A:$D,4,0)</f>
        <v>Binders</v>
      </c>
      <c r="W1089" t="str">
        <f>VLOOKUP(D1089,Customers!$A:$C,3,0)</f>
        <v>B2C</v>
      </c>
      <c r="X1089" t="str">
        <f>VLOOKUP(C1089,Sales_Representatives!$A:$B,2,0)</f>
        <v>Jennifer Brown</v>
      </c>
    </row>
    <row r="1090" spans="1:24" x14ac:dyDescent="0.3">
      <c r="A1090" t="s">
        <v>1514</v>
      </c>
      <c r="B1090" t="s">
        <v>1509</v>
      </c>
      <c r="C1090" t="s">
        <v>31</v>
      </c>
      <c r="D1090" t="s">
        <v>1515</v>
      </c>
      <c r="E1090" t="s">
        <v>129</v>
      </c>
      <c r="F1090">
        <v>1</v>
      </c>
      <c r="G1090">
        <v>1283.71</v>
      </c>
      <c r="H1090">
        <v>0.08</v>
      </c>
      <c r="I1090" s="4">
        <v>1181.01</v>
      </c>
      <c r="J1090" t="s">
        <v>34</v>
      </c>
      <c r="K1090" t="s">
        <v>22</v>
      </c>
      <c r="L1090" s="4">
        <f>VLOOKUP(tblTransactions[[#This Row],[Product_ID]],tblProducts[],5,FALSE)</f>
        <v>970.14</v>
      </c>
      <c r="M1090" s="4">
        <f>tblTransactions[[#This Row],[Total_Amount]]-(tblTransactions[[#This Row],[Cost_Prices]]*tblTransactions[[#This Row],[Quantity]]*(1-tblTransactions[[#This Row],[Discount]]))</f>
        <v>288.48119999999994</v>
      </c>
      <c r="N1090" s="3">
        <f>tblTransactions[[#This Row],[Profit]]/tblTransactions[[#This Row],[Total_Amount]]</f>
        <v>0.24426651764167953</v>
      </c>
      <c r="O1090" t="str">
        <f>TEXT(tblTransactions[[#This Row],[Date]], "MMM-YYYY")</f>
        <v>Aug-2023</v>
      </c>
      <c r="P1090" t="str">
        <f>"Q"&amp;ROUNDUP(MONTH(tblTransactions[[#This Row],[Date]])/3,0)&amp;"-"&amp;YEAR(tblTransactions[[#This Row],[Date]])</f>
        <v>Q3-2023</v>
      </c>
      <c r="Q1090">
        <f>YEAR(tblTransactions[[#This Row],[Date]])</f>
        <v>2023</v>
      </c>
      <c r="R1090" t="str">
        <f>TEXT(tblTransactions[[#This Row],[Date]],"DDDD")</f>
        <v>Wednesday</v>
      </c>
      <c r="S1090">
        <f>MONTH(tblTransactions[[#This Row],[Date]])</f>
        <v>8</v>
      </c>
      <c r="T1090" t="str">
        <f>VLOOKUP(E1090, Products!$A:$B,2,0)</f>
        <v>Cameras Ele-3</v>
      </c>
      <c r="U1090" t="str">
        <f>VLOOKUP(E1090,Products!$A:$C,3,0)</f>
        <v>Electronics</v>
      </c>
      <c r="V1090" t="str">
        <f>VLOOKUP(E1090,Products!$A:$D,4,0)</f>
        <v>Cameras</v>
      </c>
      <c r="W1090" t="str">
        <f>VLOOKUP(D1090,Customers!$A:$C,3,0)</f>
        <v>B2C</v>
      </c>
      <c r="X1090" t="str">
        <f>VLOOKUP(C1090,Sales_Representatives!$A:$B,2,0)</f>
        <v>Thomas Martinez</v>
      </c>
    </row>
    <row r="1091" spans="1:24" x14ac:dyDescent="0.3">
      <c r="A1091" t="s">
        <v>1516</v>
      </c>
      <c r="B1091" t="s">
        <v>1509</v>
      </c>
      <c r="C1091" t="s">
        <v>107</v>
      </c>
      <c r="D1091" t="s">
        <v>1455</v>
      </c>
      <c r="E1091" t="s">
        <v>217</v>
      </c>
      <c r="F1091">
        <v>1</v>
      </c>
      <c r="G1091">
        <v>145.51</v>
      </c>
      <c r="H1091">
        <v>0.03</v>
      </c>
      <c r="I1091" s="4">
        <v>141.13999999999999</v>
      </c>
      <c r="J1091" t="s">
        <v>109</v>
      </c>
      <c r="K1091" t="s">
        <v>35</v>
      </c>
      <c r="L1091" s="4">
        <f>VLOOKUP(tblTransactions[[#This Row],[Product_ID]],tblProducts[],5,FALSE)</f>
        <v>64.510000000000005</v>
      </c>
      <c r="M1091" s="4">
        <f>tblTransactions[[#This Row],[Total_Amount]]-(tblTransactions[[#This Row],[Cost_Prices]]*tblTransactions[[#This Row],[Quantity]]*(1-tblTransactions[[#This Row],[Discount]]))</f>
        <v>78.565299999999979</v>
      </c>
      <c r="N1091" s="3">
        <f>tblTransactions[[#This Row],[Profit]]/tblTransactions[[#This Row],[Total_Amount]]</f>
        <v>0.55664800906900935</v>
      </c>
      <c r="O1091" t="str">
        <f>TEXT(tblTransactions[[#This Row],[Date]], "MMM-YYYY")</f>
        <v>Aug-2023</v>
      </c>
      <c r="P1091" t="str">
        <f>"Q"&amp;ROUNDUP(MONTH(tblTransactions[[#This Row],[Date]])/3,0)&amp;"-"&amp;YEAR(tblTransactions[[#This Row],[Date]])</f>
        <v>Q3-2023</v>
      </c>
      <c r="Q1091">
        <f>YEAR(tblTransactions[[#This Row],[Date]])</f>
        <v>2023</v>
      </c>
      <c r="R1091" t="str">
        <f>TEXT(tblTransactions[[#This Row],[Date]],"DDDD")</f>
        <v>Wednesday</v>
      </c>
      <c r="S1091">
        <f>MONTH(tblTransactions[[#This Row],[Date]])</f>
        <v>8</v>
      </c>
      <c r="T1091" t="str">
        <f>VLOOKUP(E1091, Products!$A:$B,2,0)</f>
        <v>Cables Acc-2</v>
      </c>
      <c r="U1091" t="str">
        <f>VLOOKUP(E1091,Products!$A:$C,3,0)</f>
        <v>Accessories</v>
      </c>
      <c r="V1091" t="str">
        <f>VLOOKUP(E1091,Products!$A:$D,4,0)</f>
        <v>Cables</v>
      </c>
      <c r="W1091" t="str">
        <f>VLOOKUP(D1091,Customers!$A:$C,3,0)</f>
        <v>Small Business</v>
      </c>
      <c r="X1091" t="str">
        <f>VLOOKUP(C1091,Sales_Representatives!$A:$B,2,0)</f>
        <v>Jennifer Brown</v>
      </c>
    </row>
    <row r="1092" spans="1:24" x14ac:dyDescent="0.3">
      <c r="A1092" t="s">
        <v>1517</v>
      </c>
      <c r="B1092" t="s">
        <v>1509</v>
      </c>
      <c r="C1092" t="s">
        <v>27</v>
      </c>
      <c r="D1092" t="s">
        <v>1518</v>
      </c>
      <c r="E1092" t="s">
        <v>96</v>
      </c>
      <c r="F1092">
        <v>2</v>
      </c>
      <c r="G1092">
        <v>751.9</v>
      </c>
      <c r="H1092">
        <v>0.04</v>
      </c>
      <c r="I1092" s="4">
        <v>1443.65</v>
      </c>
      <c r="J1092" t="s">
        <v>16</v>
      </c>
      <c r="K1092" t="s">
        <v>35</v>
      </c>
      <c r="L1092" s="4">
        <f>VLOOKUP(tblTransactions[[#This Row],[Product_ID]],tblProducts[],5,FALSE)</f>
        <v>570.29</v>
      </c>
      <c r="M1092" s="4">
        <f>tblTransactions[[#This Row],[Total_Amount]]-(tblTransactions[[#This Row],[Cost_Prices]]*tblTransactions[[#This Row],[Quantity]]*(1-tblTransactions[[#This Row],[Discount]]))</f>
        <v>348.69320000000016</v>
      </c>
      <c r="N1092" s="3">
        <f>tblTransactions[[#This Row],[Profit]]/tblTransactions[[#This Row],[Total_Amount]]</f>
        <v>0.24153582932151155</v>
      </c>
      <c r="O1092" t="str">
        <f>TEXT(tblTransactions[[#This Row],[Date]], "MMM-YYYY")</f>
        <v>Aug-2023</v>
      </c>
      <c r="P1092" t="str">
        <f>"Q"&amp;ROUNDUP(MONTH(tblTransactions[[#This Row],[Date]])/3,0)&amp;"-"&amp;YEAR(tblTransactions[[#This Row],[Date]])</f>
        <v>Q3-2023</v>
      </c>
      <c r="Q1092">
        <f>YEAR(tblTransactions[[#This Row],[Date]])</f>
        <v>2023</v>
      </c>
      <c r="R1092" t="str">
        <f>TEXT(tblTransactions[[#This Row],[Date]],"DDDD")</f>
        <v>Wednesday</v>
      </c>
      <c r="S1092">
        <f>MONTH(tblTransactions[[#This Row],[Date]])</f>
        <v>8</v>
      </c>
      <c r="T1092" t="str">
        <f>VLOOKUP(E1092, Products!$A:$B,2,0)</f>
        <v>Routers Tec-1</v>
      </c>
      <c r="U1092" t="str">
        <f>VLOOKUP(E1092,Products!$A:$C,3,0)</f>
        <v>Technology</v>
      </c>
      <c r="V1092" t="str">
        <f>VLOOKUP(E1092,Products!$A:$D,4,0)</f>
        <v>Routers</v>
      </c>
      <c r="W1092" t="str">
        <f>VLOOKUP(D1092,Customers!$A:$C,3,0)</f>
        <v>B2C</v>
      </c>
      <c r="X1092" t="str">
        <f>VLOOKUP(C1092,Sales_Representatives!$A:$B,2,0)</f>
        <v>Thomas Lopez</v>
      </c>
    </row>
    <row r="1093" spans="1:24" x14ac:dyDescent="0.3">
      <c r="A1093" t="s">
        <v>1519</v>
      </c>
      <c r="B1093" t="s">
        <v>1509</v>
      </c>
      <c r="C1093" t="s">
        <v>41</v>
      </c>
      <c r="D1093" t="s">
        <v>1520</v>
      </c>
      <c r="E1093" t="s">
        <v>248</v>
      </c>
      <c r="F1093">
        <v>2</v>
      </c>
      <c r="G1093">
        <v>82.29</v>
      </c>
      <c r="H1093">
        <v>0.03</v>
      </c>
      <c r="I1093" s="4">
        <v>159.63999999999999</v>
      </c>
      <c r="J1093" t="s">
        <v>44</v>
      </c>
      <c r="K1093" t="s">
        <v>17</v>
      </c>
      <c r="L1093" s="4">
        <f>VLOOKUP(tblTransactions[[#This Row],[Product_ID]],tblProducts[],5,FALSE)</f>
        <v>51.11</v>
      </c>
      <c r="M1093" s="4">
        <f>tblTransactions[[#This Row],[Total_Amount]]-(tblTransactions[[#This Row],[Cost_Prices]]*tblTransactions[[#This Row],[Quantity]]*(1-tblTransactions[[#This Row],[Discount]]))</f>
        <v>60.486599999999996</v>
      </c>
      <c r="N1093" s="3">
        <f>tblTransactions[[#This Row],[Profit]]/tblTransactions[[#This Row],[Total_Amount]]</f>
        <v>0.37889376096216487</v>
      </c>
      <c r="O1093" t="str">
        <f>TEXT(tblTransactions[[#This Row],[Date]], "MMM-YYYY")</f>
        <v>Aug-2023</v>
      </c>
      <c r="P1093" t="str">
        <f>"Q"&amp;ROUNDUP(MONTH(tblTransactions[[#This Row],[Date]])/3,0)&amp;"-"&amp;YEAR(tblTransactions[[#This Row],[Date]])</f>
        <v>Q3-2023</v>
      </c>
      <c r="Q1093">
        <f>YEAR(tblTransactions[[#This Row],[Date]])</f>
        <v>2023</v>
      </c>
      <c r="R1093" t="str">
        <f>TEXT(tblTransactions[[#This Row],[Date]],"DDDD")</f>
        <v>Wednesday</v>
      </c>
      <c r="S1093">
        <f>MONTH(tblTransactions[[#This Row],[Date]])</f>
        <v>8</v>
      </c>
      <c r="T1093" t="str">
        <f>VLOOKUP(E1093, Products!$A:$B,2,0)</f>
        <v>Keyboards Acc-2</v>
      </c>
      <c r="U1093" t="str">
        <f>VLOOKUP(E1093,Products!$A:$C,3,0)</f>
        <v>Accessories</v>
      </c>
      <c r="V1093" t="str">
        <f>VLOOKUP(E1093,Products!$A:$D,4,0)</f>
        <v>Keyboards</v>
      </c>
      <c r="W1093" t="str">
        <f>VLOOKUP(D1093,Customers!$A:$C,3,0)</f>
        <v>B2C</v>
      </c>
      <c r="X1093" t="str">
        <f>VLOOKUP(C1093,Sales_Representatives!$A:$B,2,0)</f>
        <v>Robert Jones</v>
      </c>
    </row>
    <row r="1094" spans="1:24" x14ac:dyDescent="0.3">
      <c r="A1094" t="s">
        <v>1521</v>
      </c>
      <c r="B1094" t="s">
        <v>1522</v>
      </c>
      <c r="C1094" t="s">
        <v>19</v>
      </c>
      <c r="D1094" t="s">
        <v>1523</v>
      </c>
      <c r="E1094" t="s">
        <v>224</v>
      </c>
      <c r="F1094">
        <v>5</v>
      </c>
      <c r="G1094">
        <v>505.37</v>
      </c>
      <c r="H1094">
        <v>0.01</v>
      </c>
      <c r="I1094" s="4">
        <v>2501.58</v>
      </c>
      <c r="J1094" t="s">
        <v>21</v>
      </c>
      <c r="K1094" t="s">
        <v>17</v>
      </c>
      <c r="L1094" s="4">
        <f>VLOOKUP(tblTransactions[[#This Row],[Product_ID]],tblProducts[],5,FALSE)</f>
        <v>281.14999999999998</v>
      </c>
      <c r="M1094" s="4">
        <f>tblTransactions[[#This Row],[Total_Amount]]-(tblTransactions[[#This Row],[Cost_Prices]]*tblTransactions[[#This Row],[Quantity]]*(1-tblTransactions[[#This Row],[Discount]]))</f>
        <v>1109.8875</v>
      </c>
      <c r="N1094" s="3">
        <f>tblTransactions[[#This Row],[Profit]]/tblTransactions[[#This Row],[Total_Amount]]</f>
        <v>0.44367459765428252</v>
      </c>
      <c r="O1094" t="str">
        <f>TEXT(tblTransactions[[#This Row],[Date]], "MMM-YYYY")</f>
        <v>Aug-2023</v>
      </c>
      <c r="P1094" t="str">
        <f>"Q"&amp;ROUNDUP(MONTH(tblTransactions[[#This Row],[Date]])/3,0)&amp;"-"&amp;YEAR(tblTransactions[[#This Row],[Date]])</f>
        <v>Q3-2023</v>
      </c>
      <c r="Q1094">
        <f>YEAR(tblTransactions[[#This Row],[Date]])</f>
        <v>2023</v>
      </c>
      <c r="R1094" t="str">
        <f>TEXT(tblTransactions[[#This Row],[Date]],"DDDD")</f>
        <v>Thursday</v>
      </c>
      <c r="S1094">
        <f>MONTH(tblTransactions[[#This Row],[Date]])</f>
        <v>8</v>
      </c>
      <c r="T1094" t="str">
        <f>VLOOKUP(E1094, Products!$A:$B,2,0)</f>
        <v>Desks Fur-3</v>
      </c>
      <c r="U1094" t="str">
        <f>VLOOKUP(E1094,Products!$A:$C,3,0)</f>
        <v>Furniture</v>
      </c>
      <c r="V1094" t="str">
        <f>VLOOKUP(E1094,Products!$A:$D,4,0)</f>
        <v>Desks</v>
      </c>
      <c r="W1094" t="str">
        <f>VLOOKUP(D1094,Customers!$A:$C,3,0)</f>
        <v>Small Business</v>
      </c>
      <c r="X1094" t="str">
        <f>VLOOKUP(C1094,Sales_Representatives!$A:$B,2,0)</f>
        <v>Robert Jones</v>
      </c>
    </row>
    <row r="1095" spans="1:24" x14ac:dyDescent="0.3">
      <c r="A1095" t="s">
        <v>1524</v>
      </c>
      <c r="B1095" t="s">
        <v>1522</v>
      </c>
      <c r="C1095" t="s">
        <v>131</v>
      </c>
      <c r="D1095" t="s">
        <v>95</v>
      </c>
      <c r="E1095" t="s">
        <v>129</v>
      </c>
      <c r="F1095">
        <v>7</v>
      </c>
      <c r="G1095">
        <v>1283.71</v>
      </c>
      <c r="H1095">
        <v>0.11</v>
      </c>
      <c r="I1095" s="4">
        <v>7997.51</v>
      </c>
      <c r="J1095" t="s">
        <v>44</v>
      </c>
      <c r="K1095" t="s">
        <v>48</v>
      </c>
      <c r="L1095" s="4">
        <f>VLOOKUP(tblTransactions[[#This Row],[Product_ID]],tblProducts[],5,FALSE)</f>
        <v>970.14</v>
      </c>
      <c r="M1095" s="4">
        <f>tblTransactions[[#This Row],[Total_Amount]]-(tblTransactions[[#This Row],[Cost_Prices]]*tblTransactions[[#This Row],[Quantity]]*(1-tblTransactions[[#This Row],[Discount]]))</f>
        <v>1953.537800000001</v>
      </c>
      <c r="N1095" s="3">
        <f>tblTransactions[[#This Row],[Profit]]/tblTransactions[[#This Row],[Total_Amount]]</f>
        <v>0.24426825349390008</v>
      </c>
      <c r="O1095" t="str">
        <f>TEXT(tblTransactions[[#This Row],[Date]], "MMM-YYYY")</f>
        <v>Aug-2023</v>
      </c>
      <c r="P1095" t="str">
        <f>"Q"&amp;ROUNDUP(MONTH(tblTransactions[[#This Row],[Date]])/3,0)&amp;"-"&amp;YEAR(tblTransactions[[#This Row],[Date]])</f>
        <v>Q3-2023</v>
      </c>
      <c r="Q1095">
        <f>YEAR(tblTransactions[[#This Row],[Date]])</f>
        <v>2023</v>
      </c>
      <c r="R1095" t="str">
        <f>TEXT(tblTransactions[[#This Row],[Date]],"DDDD")</f>
        <v>Thursday</v>
      </c>
      <c r="S1095">
        <f>MONTH(tblTransactions[[#This Row],[Date]])</f>
        <v>8</v>
      </c>
      <c r="T1095" t="str">
        <f>VLOOKUP(E1095, Products!$A:$B,2,0)</f>
        <v>Cameras Ele-3</v>
      </c>
      <c r="U1095" t="str">
        <f>VLOOKUP(E1095,Products!$A:$C,3,0)</f>
        <v>Electronics</v>
      </c>
      <c r="V1095" t="str">
        <f>VLOOKUP(E1095,Products!$A:$D,4,0)</f>
        <v>Cameras</v>
      </c>
      <c r="W1095" t="str">
        <f>VLOOKUP(D1095,Customers!$A:$C,3,0)</f>
        <v>Enterprise</v>
      </c>
      <c r="X1095" t="str">
        <f>VLOOKUP(C1095,Sales_Representatives!$A:$B,2,0)</f>
        <v>Michael Davis</v>
      </c>
    </row>
    <row r="1096" spans="1:24" x14ac:dyDescent="0.3">
      <c r="A1096" t="s">
        <v>1525</v>
      </c>
      <c r="B1096" t="s">
        <v>1522</v>
      </c>
      <c r="C1096" t="s">
        <v>75</v>
      </c>
      <c r="D1096" t="s">
        <v>1526</v>
      </c>
      <c r="E1096" t="s">
        <v>172</v>
      </c>
      <c r="F1096">
        <v>7</v>
      </c>
      <c r="G1096">
        <v>1371.15</v>
      </c>
      <c r="H1096">
        <v>0.09</v>
      </c>
      <c r="I1096" s="4">
        <v>8734.23</v>
      </c>
      <c r="J1096" t="s">
        <v>44</v>
      </c>
      <c r="K1096" t="s">
        <v>35</v>
      </c>
      <c r="L1096" s="4">
        <f>VLOOKUP(tblTransactions[[#This Row],[Product_ID]],tblProducts[],5,FALSE)</f>
        <v>989.81</v>
      </c>
      <c r="M1096" s="4">
        <f>tblTransactions[[#This Row],[Total_Amount]]-(tblTransactions[[#This Row],[Cost_Prices]]*tblTransactions[[#This Row],[Quantity]]*(1-tblTransactions[[#This Row],[Discount]]))</f>
        <v>2429.1402999999991</v>
      </c>
      <c r="N1096" s="3">
        <f>tblTransactions[[#This Row],[Profit]]/tblTransactions[[#This Row],[Total_Amount]]</f>
        <v>0.27811728108831563</v>
      </c>
      <c r="O1096" t="str">
        <f>TEXT(tblTransactions[[#This Row],[Date]], "MMM-YYYY")</f>
        <v>Aug-2023</v>
      </c>
      <c r="P1096" t="str">
        <f>"Q"&amp;ROUNDUP(MONTH(tblTransactions[[#This Row],[Date]])/3,0)&amp;"-"&amp;YEAR(tblTransactions[[#This Row],[Date]])</f>
        <v>Q3-2023</v>
      </c>
      <c r="Q1096">
        <f>YEAR(tblTransactions[[#This Row],[Date]])</f>
        <v>2023</v>
      </c>
      <c r="R1096" t="str">
        <f>TEXT(tblTransactions[[#This Row],[Date]],"DDDD")</f>
        <v>Thursday</v>
      </c>
      <c r="S1096">
        <f>MONTH(tblTransactions[[#This Row],[Date]])</f>
        <v>8</v>
      </c>
      <c r="T1096" t="str">
        <f>VLOOKUP(E1096, Products!$A:$B,2,0)</f>
        <v>Cameras Ele-4</v>
      </c>
      <c r="U1096" t="str">
        <f>VLOOKUP(E1096,Products!$A:$C,3,0)</f>
        <v>Electronics</v>
      </c>
      <c r="V1096" t="str">
        <f>VLOOKUP(E1096,Products!$A:$D,4,0)</f>
        <v>Cameras</v>
      </c>
      <c r="W1096" t="str">
        <f>VLOOKUP(D1096,Customers!$A:$C,3,0)</f>
        <v>B2C</v>
      </c>
      <c r="X1096" t="str">
        <f>VLOOKUP(C1096,Sales_Representatives!$A:$B,2,0)</f>
        <v>Jessica Anderson</v>
      </c>
    </row>
    <row r="1097" spans="1:24" x14ac:dyDescent="0.3">
      <c r="A1097" t="s">
        <v>1527</v>
      </c>
      <c r="B1097" t="s">
        <v>1528</v>
      </c>
      <c r="C1097" t="s">
        <v>41</v>
      </c>
      <c r="D1097" t="s">
        <v>1481</v>
      </c>
      <c r="E1097" t="s">
        <v>290</v>
      </c>
      <c r="F1097">
        <v>8</v>
      </c>
      <c r="G1097">
        <v>729.32</v>
      </c>
      <c r="H1097">
        <v>0.15</v>
      </c>
      <c r="I1097" s="4">
        <v>4959.38</v>
      </c>
      <c r="J1097" t="s">
        <v>44</v>
      </c>
      <c r="K1097" t="s">
        <v>22</v>
      </c>
      <c r="L1097" s="4">
        <f>VLOOKUP(tblTransactions[[#This Row],[Product_ID]],tblProducts[],5,FALSE)</f>
        <v>482.7</v>
      </c>
      <c r="M1097" s="4">
        <f>tblTransactions[[#This Row],[Total_Amount]]-(tblTransactions[[#This Row],[Cost_Prices]]*tblTransactions[[#This Row],[Quantity]]*(1-tblTransactions[[#This Row],[Discount]]))</f>
        <v>1677.0200000000004</v>
      </c>
      <c r="N1097" s="3">
        <f>tblTransactions[[#This Row],[Profit]]/tblTransactions[[#This Row],[Total_Amount]]</f>
        <v>0.33815113986022455</v>
      </c>
      <c r="O1097" t="str">
        <f>TEXT(tblTransactions[[#This Row],[Date]], "MMM-YYYY")</f>
        <v>Sep-2023</v>
      </c>
      <c r="P1097" t="str">
        <f>"Q"&amp;ROUNDUP(MONTH(tblTransactions[[#This Row],[Date]])/3,0)&amp;"-"&amp;YEAR(tblTransactions[[#This Row],[Date]])</f>
        <v>Q3-2023</v>
      </c>
      <c r="Q1097">
        <f>YEAR(tblTransactions[[#This Row],[Date]])</f>
        <v>2023</v>
      </c>
      <c r="R1097" t="str">
        <f>TEXT(tblTransactions[[#This Row],[Date]],"DDDD")</f>
        <v>Friday</v>
      </c>
      <c r="S1097">
        <f>MONTH(tblTransactions[[#This Row],[Date]])</f>
        <v>9</v>
      </c>
      <c r="T1097" t="str">
        <f>VLOOKUP(E1097, Products!$A:$B,2,0)</f>
        <v>Tables Fur-1</v>
      </c>
      <c r="U1097" t="str">
        <f>VLOOKUP(E1097,Products!$A:$C,3,0)</f>
        <v>Furniture</v>
      </c>
      <c r="V1097" t="str">
        <f>VLOOKUP(E1097,Products!$A:$D,4,0)</f>
        <v>Tables</v>
      </c>
      <c r="W1097" t="str">
        <f>VLOOKUP(D1097,Customers!$A:$C,3,0)</f>
        <v>B2B</v>
      </c>
      <c r="X1097" t="str">
        <f>VLOOKUP(C1097,Sales_Representatives!$A:$B,2,0)</f>
        <v>Robert Jones</v>
      </c>
    </row>
    <row r="1098" spans="1:24" x14ac:dyDescent="0.3">
      <c r="A1098" t="s">
        <v>1529</v>
      </c>
      <c r="B1098" t="s">
        <v>1528</v>
      </c>
      <c r="C1098" t="s">
        <v>127</v>
      </c>
      <c r="D1098" t="s">
        <v>1530</v>
      </c>
      <c r="E1098" t="s">
        <v>224</v>
      </c>
      <c r="F1098">
        <v>29</v>
      </c>
      <c r="G1098">
        <v>505.37</v>
      </c>
      <c r="H1098">
        <v>0.23</v>
      </c>
      <c r="I1098" s="4">
        <v>11284.91</v>
      </c>
      <c r="J1098" t="s">
        <v>109</v>
      </c>
      <c r="K1098" t="s">
        <v>48</v>
      </c>
      <c r="L1098" s="4">
        <f>VLOOKUP(tblTransactions[[#This Row],[Product_ID]],tblProducts[],5,FALSE)</f>
        <v>281.14999999999998</v>
      </c>
      <c r="M1098" s="4">
        <f>tblTransactions[[#This Row],[Total_Amount]]-(tblTransactions[[#This Row],[Cost_Prices]]*tblTransactions[[#This Row],[Quantity]]*(1-tblTransactions[[#This Row],[Discount]]))</f>
        <v>5006.8305</v>
      </c>
      <c r="N1098" s="3">
        <f>tblTransactions[[#This Row],[Profit]]/tblTransactions[[#This Row],[Total_Amount]]</f>
        <v>0.44367482771240535</v>
      </c>
      <c r="O1098" t="str">
        <f>TEXT(tblTransactions[[#This Row],[Date]], "MMM-YYYY")</f>
        <v>Sep-2023</v>
      </c>
      <c r="P1098" t="str">
        <f>"Q"&amp;ROUNDUP(MONTH(tblTransactions[[#This Row],[Date]])/3,0)&amp;"-"&amp;YEAR(tblTransactions[[#This Row],[Date]])</f>
        <v>Q3-2023</v>
      </c>
      <c r="Q1098">
        <f>YEAR(tblTransactions[[#This Row],[Date]])</f>
        <v>2023</v>
      </c>
      <c r="R1098" t="str">
        <f>TEXT(tblTransactions[[#This Row],[Date]],"DDDD")</f>
        <v>Friday</v>
      </c>
      <c r="S1098">
        <f>MONTH(tblTransactions[[#This Row],[Date]])</f>
        <v>9</v>
      </c>
      <c r="T1098" t="str">
        <f>VLOOKUP(E1098, Products!$A:$B,2,0)</f>
        <v>Desks Fur-3</v>
      </c>
      <c r="U1098" t="str">
        <f>VLOOKUP(E1098,Products!$A:$C,3,0)</f>
        <v>Furniture</v>
      </c>
      <c r="V1098" t="str">
        <f>VLOOKUP(E1098,Products!$A:$D,4,0)</f>
        <v>Desks</v>
      </c>
      <c r="W1098" t="str">
        <f>VLOOKUP(D1098,Customers!$A:$C,3,0)</f>
        <v>Enterprise</v>
      </c>
      <c r="X1098" t="str">
        <f>VLOOKUP(C1098,Sales_Representatives!$A:$B,2,0)</f>
        <v>Emily Hernandez</v>
      </c>
    </row>
    <row r="1099" spans="1:24" x14ac:dyDescent="0.3">
      <c r="A1099" t="s">
        <v>1531</v>
      </c>
      <c r="B1099" t="s">
        <v>1528</v>
      </c>
      <c r="C1099" t="s">
        <v>13</v>
      </c>
      <c r="D1099" t="s">
        <v>1532</v>
      </c>
      <c r="E1099" t="s">
        <v>299</v>
      </c>
      <c r="F1099">
        <v>45</v>
      </c>
      <c r="G1099">
        <v>963.44</v>
      </c>
      <c r="H1099">
        <v>0.24</v>
      </c>
      <c r="I1099" s="4">
        <v>32949.65</v>
      </c>
      <c r="J1099" t="s">
        <v>16</v>
      </c>
      <c r="K1099" t="s">
        <v>48</v>
      </c>
      <c r="L1099" s="4">
        <f>VLOOKUP(tblTransactions[[#This Row],[Product_ID]],tblProducts[],5,FALSE)</f>
        <v>578.96</v>
      </c>
      <c r="M1099" s="4">
        <f>tblTransactions[[#This Row],[Total_Amount]]-(tblTransactions[[#This Row],[Cost_Prices]]*tblTransactions[[#This Row],[Quantity]]*(1-tblTransactions[[#This Row],[Discount]]))</f>
        <v>13149.218000000001</v>
      </c>
      <c r="N1099" s="3">
        <f>tblTransactions[[#This Row],[Profit]]/tblTransactions[[#This Row],[Total_Amount]]</f>
        <v>0.3990700356452952</v>
      </c>
      <c r="O1099" t="str">
        <f>TEXT(tblTransactions[[#This Row],[Date]], "MMM-YYYY")</f>
        <v>Sep-2023</v>
      </c>
      <c r="P1099" t="str">
        <f>"Q"&amp;ROUNDUP(MONTH(tblTransactions[[#This Row],[Date]])/3,0)&amp;"-"&amp;YEAR(tblTransactions[[#This Row],[Date]])</f>
        <v>Q3-2023</v>
      </c>
      <c r="Q1099">
        <f>YEAR(tblTransactions[[#This Row],[Date]])</f>
        <v>2023</v>
      </c>
      <c r="R1099" t="str">
        <f>TEXT(tblTransactions[[#This Row],[Date]],"DDDD")</f>
        <v>Friday</v>
      </c>
      <c r="S1099">
        <f>MONTH(tblTransactions[[#This Row],[Date]])</f>
        <v>9</v>
      </c>
      <c r="T1099" t="str">
        <f>VLOOKUP(E1099, Products!$A:$B,2,0)</f>
        <v>Chairs Fur-4</v>
      </c>
      <c r="U1099" t="str">
        <f>VLOOKUP(E1099,Products!$A:$C,3,0)</f>
        <v>Furniture</v>
      </c>
      <c r="V1099" t="str">
        <f>VLOOKUP(E1099,Products!$A:$D,4,0)</f>
        <v>Chairs</v>
      </c>
      <c r="W1099" t="str">
        <f>VLOOKUP(D1099,Customers!$A:$C,3,0)</f>
        <v>Enterprise</v>
      </c>
      <c r="X1099" t="str">
        <f>VLOOKUP(C1099,Sales_Representatives!$A:$B,2,0)</f>
        <v>Jennifer Rodriguez</v>
      </c>
    </row>
    <row r="1100" spans="1:24" x14ac:dyDescent="0.3">
      <c r="A1100" t="s">
        <v>1533</v>
      </c>
      <c r="B1100" t="s">
        <v>1534</v>
      </c>
      <c r="C1100" t="s">
        <v>141</v>
      </c>
      <c r="D1100" t="s">
        <v>1535</v>
      </c>
      <c r="E1100" t="s">
        <v>204</v>
      </c>
      <c r="F1100">
        <v>38</v>
      </c>
      <c r="G1100">
        <v>715.62</v>
      </c>
      <c r="H1100">
        <v>0.18</v>
      </c>
      <c r="I1100" s="4">
        <v>22298.720000000001</v>
      </c>
      <c r="J1100" t="s">
        <v>109</v>
      </c>
      <c r="K1100" t="s">
        <v>39</v>
      </c>
      <c r="L1100" s="4">
        <f>VLOOKUP(tblTransactions[[#This Row],[Product_ID]],tblProducts[],5,FALSE)</f>
        <v>459.58</v>
      </c>
      <c r="M1100" s="4">
        <f>tblTransactions[[#This Row],[Total_Amount]]-(tblTransactions[[#This Row],[Cost_Prices]]*tblTransactions[[#This Row],[Quantity]]*(1-tblTransactions[[#This Row],[Discount]]))</f>
        <v>7978.2071999999989</v>
      </c>
      <c r="N1100" s="3">
        <f>tblTransactions[[#This Row],[Profit]]/tblTransactions[[#This Row],[Total_Amount]]</f>
        <v>0.35778767570515252</v>
      </c>
      <c r="O1100" t="str">
        <f>TEXT(tblTransactions[[#This Row],[Date]], "MMM-YYYY")</f>
        <v>Sep-2023</v>
      </c>
      <c r="P1100" t="str">
        <f>"Q"&amp;ROUNDUP(MONTH(tblTransactions[[#This Row],[Date]])/3,0)&amp;"-"&amp;YEAR(tblTransactions[[#This Row],[Date]])</f>
        <v>Q3-2023</v>
      </c>
      <c r="Q1100">
        <f>YEAR(tblTransactions[[#This Row],[Date]])</f>
        <v>2023</v>
      </c>
      <c r="R1100" t="str">
        <f>TEXT(tblTransactions[[#This Row],[Date]],"DDDD")</f>
        <v>Saturday</v>
      </c>
      <c r="S1100">
        <f>MONTH(tblTransactions[[#This Row],[Date]])</f>
        <v>9</v>
      </c>
      <c r="T1100" t="str">
        <f>VLOOKUP(E1100, Products!$A:$B,2,0)</f>
        <v>Cameras Ele-2</v>
      </c>
      <c r="U1100" t="str">
        <f>VLOOKUP(E1100,Products!$A:$C,3,0)</f>
        <v>Electronics</v>
      </c>
      <c r="V1100" t="str">
        <f>VLOOKUP(E1100,Products!$A:$D,4,0)</f>
        <v>Cameras</v>
      </c>
      <c r="W1100" t="str">
        <f>VLOOKUP(D1100,Customers!$A:$C,3,0)</f>
        <v>Enterprise</v>
      </c>
      <c r="X1100" t="str">
        <f>VLOOKUP(C1100,Sales_Representatives!$A:$B,2,0)</f>
        <v>Richard Garcia</v>
      </c>
    </row>
    <row r="1101" spans="1:24" x14ac:dyDescent="0.3">
      <c r="A1101" t="s">
        <v>1536</v>
      </c>
      <c r="B1101" t="s">
        <v>1534</v>
      </c>
      <c r="C1101" t="s">
        <v>63</v>
      </c>
      <c r="D1101" t="s">
        <v>1481</v>
      </c>
      <c r="E1101" t="s">
        <v>68</v>
      </c>
      <c r="F1101">
        <v>13</v>
      </c>
      <c r="G1101">
        <v>522.63</v>
      </c>
      <c r="H1101">
        <v>0.12</v>
      </c>
      <c r="I1101" s="4">
        <v>5978.89</v>
      </c>
      <c r="J1101" t="s">
        <v>21</v>
      </c>
      <c r="K1101" t="s">
        <v>48</v>
      </c>
      <c r="L1101" s="4">
        <f>VLOOKUP(tblTransactions[[#This Row],[Product_ID]],tblProducts[],5,FALSE)</f>
        <v>355.82</v>
      </c>
      <c r="M1101" s="4">
        <f>tblTransactions[[#This Row],[Total_Amount]]-(tblTransactions[[#This Row],[Cost_Prices]]*tblTransactions[[#This Row],[Quantity]]*(1-tblTransactions[[#This Row],[Discount]]))</f>
        <v>1908.3092000000006</v>
      </c>
      <c r="N1101" s="3">
        <f>tblTransactions[[#This Row],[Profit]]/tblTransactions[[#This Row],[Total_Amount]]</f>
        <v>0.31917449560035399</v>
      </c>
      <c r="O1101" t="str">
        <f>TEXT(tblTransactions[[#This Row],[Date]], "MMM-YYYY")</f>
        <v>Sep-2023</v>
      </c>
      <c r="P1101" t="str">
        <f>"Q"&amp;ROUNDUP(MONTH(tblTransactions[[#This Row],[Date]])/3,0)&amp;"-"&amp;YEAR(tblTransactions[[#This Row],[Date]])</f>
        <v>Q3-2023</v>
      </c>
      <c r="Q1101">
        <f>YEAR(tblTransactions[[#This Row],[Date]])</f>
        <v>2023</v>
      </c>
      <c r="R1101" t="str">
        <f>TEXT(tblTransactions[[#This Row],[Date]],"DDDD")</f>
        <v>Saturday</v>
      </c>
      <c r="S1101">
        <f>MONTH(tblTransactions[[#This Row],[Date]])</f>
        <v>9</v>
      </c>
      <c r="T1101" t="str">
        <f>VLOOKUP(E1101, Products!$A:$B,2,0)</f>
        <v>Monitors Tec-3</v>
      </c>
      <c r="U1101" t="str">
        <f>VLOOKUP(E1101,Products!$A:$C,3,0)</f>
        <v>Technology</v>
      </c>
      <c r="V1101" t="str">
        <f>VLOOKUP(E1101,Products!$A:$D,4,0)</f>
        <v>Monitors</v>
      </c>
      <c r="W1101" t="str">
        <f>VLOOKUP(D1101,Customers!$A:$C,3,0)</f>
        <v>B2B</v>
      </c>
      <c r="X1101" t="str">
        <f>VLOOKUP(C1101,Sales_Representatives!$A:$B,2,0)</f>
        <v>Richard Wilson</v>
      </c>
    </row>
    <row r="1102" spans="1:24" x14ac:dyDescent="0.3">
      <c r="A1102" t="s">
        <v>1537</v>
      </c>
      <c r="B1102" t="s">
        <v>1534</v>
      </c>
      <c r="C1102" t="s">
        <v>70</v>
      </c>
      <c r="D1102" t="s">
        <v>1538</v>
      </c>
      <c r="E1102" t="s">
        <v>376</v>
      </c>
      <c r="F1102">
        <v>3</v>
      </c>
      <c r="G1102">
        <v>229.65</v>
      </c>
      <c r="H1102">
        <v>0.06</v>
      </c>
      <c r="I1102" s="4">
        <v>647.61</v>
      </c>
      <c r="J1102" t="s">
        <v>16</v>
      </c>
      <c r="K1102" t="s">
        <v>22</v>
      </c>
      <c r="L1102" s="4">
        <f>VLOOKUP(tblTransactions[[#This Row],[Product_ID]],tblProducts[],5,FALSE)</f>
        <v>96.84</v>
      </c>
      <c r="M1102" s="4">
        <f>tblTransactions[[#This Row],[Total_Amount]]-(tblTransactions[[#This Row],[Cost_Prices]]*tblTransactions[[#This Row],[Quantity]]*(1-tblTransactions[[#This Row],[Discount]]))</f>
        <v>374.52120000000002</v>
      </c>
      <c r="N1102" s="3">
        <f>tblTransactions[[#This Row],[Profit]]/tblTransactions[[#This Row],[Total_Amount]]</f>
        <v>0.57831287348867377</v>
      </c>
      <c r="O1102" t="str">
        <f>TEXT(tblTransactions[[#This Row],[Date]], "MMM-YYYY")</f>
        <v>Sep-2023</v>
      </c>
      <c r="P1102" t="str">
        <f>"Q"&amp;ROUNDUP(MONTH(tblTransactions[[#This Row],[Date]])/3,0)&amp;"-"&amp;YEAR(tblTransactions[[#This Row],[Date]])</f>
        <v>Q3-2023</v>
      </c>
      <c r="Q1102">
        <f>YEAR(tblTransactions[[#This Row],[Date]])</f>
        <v>2023</v>
      </c>
      <c r="R1102" t="str">
        <f>TEXT(tblTransactions[[#This Row],[Date]],"DDDD")</f>
        <v>Saturday</v>
      </c>
      <c r="S1102">
        <f>MONTH(tblTransactions[[#This Row],[Date]])</f>
        <v>9</v>
      </c>
      <c r="T1102" t="str">
        <f>VLOOKUP(E1102, Products!$A:$B,2,0)</f>
        <v>Adapters Acc-2</v>
      </c>
      <c r="U1102" t="str">
        <f>VLOOKUP(E1102,Products!$A:$C,3,0)</f>
        <v>Accessories</v>
      </c>
      <c r="V1102" t="str">
        <f>VLOOKUP(E1102,Products!$A:$D,4,0)</f>
        <v>Adapters</v>
      </c>
      <c r="W1102" t="str">
        <f>VLOOKUP(D1102,Customers!$A:$C,3,0)</f>
        <v>B2C</v>
      </c>
      <c r="X1102" t="str">
        <f>VLOOKUP(C1102,Sales_Representatives!$A:$B,2,0)</f>
        <v>Linda Smith</v>
      </c>
    </row>
    <row r="1103" spans="1:24" x14ac:dyDescent="0.3">
      <c r="A1103" t="s">
        <v>1539</v>
      </c>
      <c r="B1103" t="s">
        <v>1534</v>
      </c>
      <c r="C1103" t="s">
        <v>127</v>
      </c>
      <c r="D1103" t="s">
        <v>1540</v>
      </c>
      <c r="E1103" t="s">
        <v>116</v>
      </c>
      <c r="F1103">
        <v>1</v>
      </c>
      <c r="G1103">
        <v>232.86</v>
      </c>
      <c r="H1103">
        <v>0.08</v>
      </c>
      <c r="I1103" s="4">
        <v>214.23</v>
      </c>
      <c r="J1103" t="s">
        <v>109</v>
      </c>
      <c r="K1103" t="s">
        <v>22</v>
      </c>
      <c r="L1103" s="4">
        <f>VLOOKUP(tblTransactions[[#This Row],[Product_ID]],tblProducts[],5,FALSE)</f>
        <v>116.79</v>
      </c>
      <c r="M1103" s="4">
        <f>tblTransactions[[#This Row],[Total_Amount]]-(tblTransactions[[#This Row],[Cost_Prices]]*tblTransactions[[#This Row],[Quantity]]*(1-tblTransactions[[#This Row],[Discount]]))</f>
        <v>106.78319999999998</v>
      </c>
      <c r="N1103" s="3">
        <f>tblTransactions[[#This Row],[Profit]]/tblTransactions[[#This Row],[Total_Amount]]</f>
        <v>0.49845119731130089</v>
      </c>
      <c r="O1103" t="str">
        <f>TEXT(tblTransactions[[#This Row],[Date]], "MMM-YYYY")</f>
        <v>Sep-2023</v>
      </c>
      <c r="P1103" t="str">
        <f>"Q"&amp;ROUNDUP(MONTH(tblTransactions[[#This Row],[Date]])/3,0)&amp;"-"&amp;YEAR(tblTransactions[[#This Row],[Date]])</f>
        <v>Q3-2023</v>
      </c>
      <c r="Q1103">
        <f>YEAR(tblTransactions[[#This Row],[Date]])</f>
        <v>2023</v>
      </c>
      <c r="R1103" t="str">
        <f>TEXT(tblTransactions[[#This Row],[Date]],"DDDD")</f>
        <v>Saturday</v>
      </c>
      <c r="S1103">
        <f>MONTH(tblTransactions[[#This Row],[Date]])</f>
        <v>9</v>
      </c>
      <c r="T1103" t="str">
        <f>VLOOKUP(E1103, Products!$A:$B,2,0)</f>
        <v>Folders Off-4</v>
      </c>
      <c r="U1103" t="str">
        <f>VLOOKUP(E1103,Products!$A:$C,3,0)</f>
        <v>Office Supplies</v>
      </c>
      <c r="V1103" t="str">
        <f>VLOOKUP(E1103,Products!$A:$D,4,0)</f>
        <v>Folders</v>
      </c>
      <c r="W1103" t="str">
        <f>VLOOKUP(D1103,Customers!$A:$C,3,0)</f>
        <v>B2C</v>
      </c>
      <c r="X1103" t="str">
        <f>VLOOKUP(C1103,Sales_Representatives!$A:$B,2,0)</f>
        <v>Emily Hernandez</v>
      </c>
    </row>
    <row r="1104" spans="1:24" x14ac:dyDescent="0.3">
      <c r="A1104" t="s">
        <v>1541</v>
      </c>
      <c r="B1104" t="s">
        <v>1542</v>
      </c>
      <c r="C1104" t="s">
        <v>31</v>
      </c>
      <c r="D1104" t="s">
        <v>1543</v>
      </c>
      <c r="E1104" t="s">
        <v>194</v>
      </c>
      <c r="F1104">
        <v>3</v>
      </c>
      <c r="G1104">
        <v>82.84</v>
      </c>
      <c r="H1104">
        <v>0.03</v>
      </c>
      <c r="I1104" s="4">
        <v>241.06</v>
      </c>
      <c r="J1104" t="s">
        <v>34</v>
      </c>
      <c r="K1104" t="s">
        <v>35</v>
      </c>
      <c r="L1104" s="4">
        <f>VLOOKUP(tblTransactions[[#This Row],[Product_ID]],tblProducts[],5,FALSE)</f>
        <v>52.98</v>
      </c>
      <c r="M1104" s="4">
        <f>tblTransactions[[#This Row],[Total_Amount]]-(tblTransactions[[#This Row],[Cost_Prices]]*tblTransactions[[#This Row],[Quantity]]*(1-tblTransactions[[#This Row],[Discount]]))</f>
        <v>86.888200000000012</v>
      </c>
      <c r="N1104" s="3">
        <f>tblTransactions[[#This Row],[Profit]]/tblTransactions[[#This Row],[Total_Amount]]</f>
        <v>0.3604422135567909</v>
      </c>
      <c r="O1104" t="str">
        <f>TEXT(tblTransactions[[#This Row],[Date]], "MMM-YYYY")</f>
        <v>Sep-2023</v>
      </c>
      <c r="P1104" t="str">
        <f>"Q"&amp;ROUNDUP(MONTH(tblTransactions[[#This Row],[Date]])/3,0)&amp;"-"&amp;YEAR(tblTransactions[[#This Row],[Date]])</f>
        <v>Q3-2023</v>
      </c>
      <c r="Q1104">
        <f>YEAR(tblTransactions[[#This Row],[Date]])</f>
        <v>2023</v>
      </c>
      <c r="R1104" t="str">
        <f>TEXT(tblTransactions[[#This Row],[Date]],"DDDD")</f>
        <v>Sunday</v>
      </c>
      <c r="S1104">
        <f>MONTH(tblTransactions[[#This Row],[Date]])</f>
        <v>9</v>
      </c>
      <c r="T1104" t="str">
        <f>VLOOKUP(E1104, Products!$A:$B,2,0)</f>
        <v>Binders Off-2</v>
      </c>
      <c r="U1104" t="str">
        <f>VLOOKUP(E1104,Products!$A:$C,3,0)</f>
        <v>Office Supplies</v>
      </c>
      <c r="V1104" t="str">
        <f>VLOOKUP(E1104,Products!$A:$D,4,0)</f>
        <v>Binders</v>
      </c>
      <c r="W1104" t="str">
        <f>VLOOKUP(D1104,Customers!$A:$C,3,0)</f>
        <v>B2C</v>
      </c>
      <c r="X1104" t="str">
        <f>VLOOKUP(C1104,Sales_Representatives!$A:$B,2,0)</f>
        <v>Thomas Martinez</v>
      </c>
    </row>
    <row r="1105" spans="1:24" x14ac:dyDescent="0.3">
      <c r="A1105" t="s">
        <v>1544</v>
      </c>
      <c r="B1105" t="s">
        <v>1542</v>
      </c>
      <c r="C1105" t="s">
        <v>19</v>
      </c>
      <c r="D1105" t="s">
        <v>1545</v>
      </c>
      <c r="E1105" t="s">
        <v>243</v>
      </c>
      <c r="F1105">
        <v>4</v>
      </c>
      <c r="G1105">
        <v>384.18</v>
      </c>
      <c r="H1105">
        <v>0.03</v>
      </c>
      <c r="I1105" s="4">
        <v>1490.62</v>
      </c>
      <c r="J1105" t="s">
        <v>21</v>
      </c>
      <c r="K1105" t="s">
        <v>35</v>
      </c>
      <c r="L1105" s="4">
        <f>VLOOKUP(tblTransactions[[#This Row],[Product_ID]],tblProducts[],5,FALSE)</f>
        <v>266.92</v>
      </c>
      <c r="M1105" s="4">
        <f>tblTransactions[[#This Row],[Total_Amount]]-(tblTransactions[[#This Row],[Cost_Prices]]*tblTransactions[[#This Row],[Quantity]]*(1-tblTransactions[[#This Row],[Discount]]))</f>
        <v>454.97039999999993</v>
      </c>
      <c r="N1105" s="3">
        <f>tblTransactions[[#This Row],[Profit]]/tblTransactions[[#This Row],[Total_Amount]]</f>
        <v>0.30522225651071366</v>
      </c>
      <c r="O1105" t="str">
        <f>TEXT(tblTransactions[[#This Row],[Date]], "MMM-YYYY")</f>
        <v>Sep-2023</v>
      </c>
      <c r="P1105" t="str">
        <f>"Q"&amp;ROUNDUP(MONTH(tblTransactions[[#This Row],[Date]])/3,0)&amp;"-"&amp;YEAR(tblTransactions[[#This Row],[Date]])</f>
        <v>Q3-2023</v>
      </c>
      <c r="Q1105">
        <f>YEAR(tblTransactions[[#This Row],[Date]])</f>
        <v>2023</v>
      </c>
      <c r="R1105" t="str">
        <f>TEXT(tblTransactions[[#This Row],[Date]],"DDDD")</f>
        <v>Sunday</v>
      </c>
      <c r="S1105">
        <f>MONTH(tblTransactions[[#This Row],[Date]])</f>
        <v>9</v>
      </c>
      <c r="T1105" t="str">
        <f>VLOOKUP(E1105, Products!$A:$B,2,0)</f>
        <v>Routers Tec-3</v>
      </c>
      <c r="U1105" t="str">
        <f>VLOOKUP(E1105,Products!$A:$C,3,0)</f>
        <v>Technology</v>
      </c>
      <c r="V1105" t="str">
        <f>VLOOKUP(E1105,Products!$A:$D,4,0)</f>
        <v>Routers</v>
      </c>
      <c r="W1105" t="str">
        <f>VLOOKUP(D1105,Customers!$A:$C,3,0)</f>
        <v>Small Business</v>
      </c>
      <c r="X1105" t="str">
        <f>VLOOKUP(C1105,Sales_Representatives!$A:$B,2,0)</f>
        <v>Robert Jones</v>
      </c>
    </row>
    <row r="1106" spans="1:24" x14ac:dyDescent="0.3">
      <c r="A1106" t="s">
        <v>1546</v>
      </c>
      <c r="B1106" t="s">
        <v>1542</v>
      </c>
      <c r="C1106" t="s">
        <v>82</v>
      </c>
      <c r="D1106" t="s">
        <v>1547</v>
      </c>
      <c r="E1106" t="s">
        <v>370</v>
      </c>
      <c r="F1106">
        <v>2</v>
      </c>
      <c r="G1106">
        <v>238.95</v>
      </c>
      <c r="H1106">
        <v>0.01</v>
      </c>
      <c r="I1106" s="4">
        <v>473.12</v>
      </c>
      <c r="J1106" t="s">
        <v>34</v>
      </c>
      <c r="K1106" t="s">
        <v>48</v>
      </c>
      <c r="L1106" s="4">
        <f>VLOOKUP(tblTransactions[[#This Row],[Product_ID]],tblProducts[],5,FALSE)</f>
        <v>136.6</v>
      </c>
      <c r="M1106" s="4">
        <f>tblTransactions[[#This Row],[Total_Amount]]-(tblTransactions[[#This Row],[Cost_Prices]]*tblTransactions[[#This Row],[Quantity]]*(1-tblTransactions[[#This Row],[Discount]]))</f>
        <v>202.65200000000004</v>
      </c>
      <c r="N1106" s="3">
        <f>tblTransactions[[#This Row],[Profit]]/tblTransactions[[#This Row],[Total_Amount]]</f>
        <v>0.42833107879607718</v>
      </c>
      <c r="O1106" t="str">
        <f>TEXT(tblTransactions[[#This Row],[Date]], "MMM-YYYY")</f>
        <v>Sep-2023</v>
      </c>
      <c r="P1106" t="str">
        <f>"Q"&amp;ROUNDUP(MONTH(tblTransactions[[#This Row],[Date]])/3,0)&amp;"-"&amp;YEAR(tblTransactions[[#This Row],[Date]])</f>
        <v>Q3-2023</v>
      </c>
      <c r="Q1106">
        <f>YEAR(tblTransactions[[#This Row],[Date]])</f>
        <v>2023</v>
      </c>
      <c r="R1106" t="str">
        <f>TEXT(tblTransactions[[#This Row],[Date]],"DDDD")</f>
        <v>Sunday</v>
      </c>
      <c r="S1106">
        <f>MONTH(tblTransactions[[#This Row],[Date]])</f>
        <v>9</v>
      </c>
      <c r="T1106" t="str">
        <f>VLOOKUP(E1106, Products!$A:$B,2,0)</f>
        <v>Cables Acc-1</v>
      </c>
      <c r="U1106" t="str">
        <f>VLOOKUP(E1106,Products!$A:$C,3,0)</f>
        <v>Accessories</v>
      </c>
      <c r="V1106" t="str">
        <f>VLOOKUP(E1106,Products!$A:$D,4,0)</f>
        <v>Cables</v>
      </c>
      <c r="W1106" t="str">
        <f>VLOOKUP(D1106,Customers!$A:$C,3,0)</f>
        <v>B2C</v>
      </c>
      <c r="X1106" t="str">
        <f>VLOOKUP(C1106,Sales_Representatives!$A:$B,2,0)</f>
        <v>John Brown</v>
      </c>
    </row>
    <row r="1107" spans="1:24" x14ac:dyDescent="0.3">
      <c r="A1107" t="s">
        <v>1548</v>
      </c>
      <c r="B1107" t="s">
        <v>1549</v>
      </c>
      <c r="C1107" t="s">
        <v>131</v>
      </c>
      <c r="D1107" t="s">
        <v>1453</v>
      </c>
      <c r="E1107" t="s">
        <v>394</v>
      </c>
      <c r="F1107">
        <v>11</v>
      </c>
      <c r="G1107">
        <v>314.69</v>
      </c>
      <c r="H1107">
        <v>0.1</v>
      </c>
      <c r="I1107" s="4">
        <v>3115.43</v>
      </c>
      <c r="J1107" t="s">
        <v>44</v>
      </c>
      <c r="K1107" t="s">
        <v>35</v>
      </c>
      <c r="L1107" s="4">
        <f>VLOOKUP(tblTransactions[[#This Row],[Product_ID]],tblProducts[],5,FALSE)</f>
        <v>185.43</v>
      </c>
      <c r="M1107" s="4">
        <f>tblTransactions[[#This Row],[Total_Amount]]-(tblTransactions[[#This Row],[Cost_Prices]]*tblTransactions[[#This Row],[Quantity]]*(1-tblTransactions[[#This Row],[Discount]]))</f>
        <v>1279.6729999999998</v>
      </c>
      <c r="N1107" s="3">
        <f>tblTransactions[[#This Row],[Profit]]/tblTransactions[[#This Row],[Total_Amount]]</f>
        <v>0.41075325075511243</v>
      </c>
      <c r="O1107" t="str">
        <f>TEXT(tblTransactions[[#This Row],[Date]], "MMM-YYYY")</f>
        <v>Sep-2023</v>
      </c>
      <c r="P1107" t="str">
        <f>"Q"&amp;ROUNDUP(MONTH(tblTransactions[[#This Row],[Date]])/3,0)&amp;"-"&amp;YEAR(tblTransactions[[#This Row],[Date]])</f>
        <v>Q3-2023</v>
      </c>
      <c r="Q1107">
        <f>YEAR(tblTransactions[[#This Row],[Date]])</f>
        <v>2023</v>
      </c>
      <c r="R1107" t="str">
        <f>TEXT(tblTransactions[[#This Row],[Date]],"DDDD")</f>
        <v>Monday</v>
      </c>
      <c r="S1107">
        <f>MONTH(tblTransactions[[#This Row],[Date]])</f>
        <v>9</v>
      </c>
      <c r="T1107" t="str">
        <f>VLOOKUP(E1107, Products!$A:$B,2,0)</f>
        <v>Desks Fur-1</v>
      </c>
      <c r="U1107" t="str">
        <f>VLOOKUP(E1107,Products!$A:$C,3,0)</f>
        <v>Furniture</v>
      </c>
      <c r="V1107" t="str">
        <f>VLOOKUP(E1107,Products!$A:$D,4,0)</f>
        <v>Desks</v>
      </c>
      <c r="W1107" t="str">
        <f>VLOOKUP(D1107,Customers!$A:$C,3,0)</f>
        <v>B2B</v>
      </c>
      <c r="X1107" t="str">
        <f>VLOOKUP(C1107,Sales_Representatives!$A:$B,2,0)</f>
        <v>Michael Davis</v>
      </c>
    </row>
    <row r="1108" spans="1:24" x14ac:dyDescent="0.3">
      <c r="A1108" t="s">
        <v>1550</v>
      </c>
      <c r="B1108" t="s">
        <v>1549</v>
      </c>
      <c r="C1108" t="s">
        <v>107</v>
      </c>
      <c r="D1108" t="s">
        <v>1465</v>
      </c>
      <c r="E1108" t="s">
        <v>137</v>
      </c>
      <c r="F1108">
        <v>2</v>
      </c>
      <c r="G1108">
        <v>241.39</v>
      </c>
      <c r="H1108">
        <v>0.09</v>
      </c>
      <c r="I1108" s="4">
        <v>439.33</v>
      </c>
      <c r="J1108" t="s">
        <v>109</v>
      </c>
      <c r="K1108" t="s">
        <v>35</v>
      </c>
      <c r="L1108" s="4">
        <f>VLOOKUP(tblTransactions[[#This Row],[Product_ID]],tblProducts[],5,FALSE)</f>
        <v>124.07</v>
      </c>
      <c r="M1108" s="4">
        <f>tblTransactions[[#This Row],[Total_Amount]]-(tblTransactions[[#This Row],[Cost_Prices]]*tblTransactions[[#This Row],[Quantity]]*(1-tblTransactions[[#This Row],[Discount]]))</f>
        <v>213.52259999999998</v>
      </c>
      <c r="N1108" s="3">
        <f>tblTransactions[[#This Row],[Profit]]/tblTransactions[[#This Row],[Total_Amount]]</f>
        <v>0.48601871030887939</v>
      </c>
      <c r="O1108" t="str">
        <f>TEXT(tblTransactions[[#This Row],[Date]], "MMM-YYYY")</f>
        <v>Sep-2023</v>
      </c>
      <c r="P1108" t="str">
        <f>"Q"&amp;ROUNDUP(MONTH(tblTransactions[[#This Row],[Date]])/3,0)&amp;"-"&amp;YEAR(tblTransactions[[#This Row],[Date]])</f>
        <v>Q3-2023</v>
      </c>
      <c r="Q1108">
        <f>YEAR(tblTransactions[[#This Row],[Date]])</f>
        <v>2023</v>
      </c>
      <c r="R1108" t="str">
        <f>TEXT(tblTransactions[[#This Row],[Date]],"DDDD")</f>
        <v>Monday</v>
      </c>
      <c r="S1108">
        <f>MONTH(tblTransactions[[#This Row],[Date]])</f>
        <v>9</v>
      </c>
      <c r="T1108" t="str">
        <f>VLOOKUP(E1108, Products!$A:$B,2,0)</f>
        <v>Desks Fur-2</v>
      </c>
      <c r="U1108" t="str">
        <f>VLOOKUP(E1108,Products!$A:$C,3,0)</f>
        <v>Furniture</v>
      </c>
      <c r="V1108" t="str">
        <f>VLOOKUP(E1108,Products!$A:$D,4,0)</f>
        <v>Desks</v>
      </c>
      <c r="W1108" t="str">
        <f>VLOOKUP(D1108,Customers!$A:$C,3,0)</f>
        <v>Small Business</v>
      </c>
      <c r="X1108" t="str">
        <f>VLOOKUP(C1108,Sales_Representatives!$A:$B,2,0)</f>
        <v>Jennifer Brown</v>
      </c>
    </row>
    <row r="1109" spans="1:24" x14ac:dyDescent="0.3">
      <c r="A1109" t="s">
        <v>1551</v>
      </c>
      <c r="B1109" t="s">
        <v>1549</v>
      </c>
      <c r="C1109" t="s">
        <v>27</v>
      </c>
      <c r="D1109" t="s">
        <v>1552</v>
      </c>
      <c r="E1109" t="s">
        <v>178</v>
      </c>
      <c r="F1109">
        <v>41</v>
      </c>
      <c r="G1109">
        <v>1623.35</v>
      </c>
      <c r="H1109">
        <v>0.18</v>
      </c>
      <c r="I1109" s="4">
        <v>54577.03</v>
      </c>
      <c r="J1109" t="s">
        <v>16</v>
      </c>
      <c r="K1109" t="s">
        <v>39</v>
      </c>
      <c r="L1109" s="4">
        <f>VLOOKUP(tblTransactions[[#This Row],[Product_ID]],tblProducts[],5,FALSE)</f>
        <v>981.45</v>
      </c>
      <c r="M1109" s="4">
        <f>tblTransactions[[#This Row],[Total_Amount]]-(tblTransactions[[#This Row],[Cost_Prices]]*tblTransactions[[#This Row],[Quantity]]*(1-tblTransactions[[#This Row],[Discount]]))</f>
        <v>21580.68099999999</v>
      </c>
      <c r="N1109" s="3">
        <f>tblTransactions[[#This Row],[Profit]]/tblTransactions[[#This Row],[Total_Amount]]</f>
        <v>0.39541691806974455</v>
      </c>
      <c r="O1109" t="str">
        <f>TEXT(tblTransactions[[#This Row],[Date]], "MMM-YYYY")</f>
        <v>Sep-2023</v>
      </c>
      <c r="P1109" t="str">
        <f>"Q"&amp;ROUNDUP(MONTH(tblTransactions[[#This Row],[Date]])/3,0)&amp;"-"&amp;YEAR(tblTransactions[[#This Row],[Date]])</f>
        <v>Q3-2023</v>
      </c>
      <c r="Q1109">
        <f>YEAR(tblTransactions[[#This Row],[Date]])</f>
        <v>2023</v>
      </c>
      <c r="R1109" t="str">
        <f>TEXT(tblTransactions[[#This Row],[Date]],"DDDD")</f>
        <v>Monday</v>
      </c>
      <c r="S1109">
        <f>MONTH(tblTransactions[[#This Row],[Date]])</f>
        <v>9</v>
      </c>
      <c r="T1109" t="str">
        <f>VLOOKUP(E1109, Products!$A:$B,2,0)</f>
        <v>Tablets Ele-1</v>
      </c>
      <c r="U1109" t="str">
        <f>VLOOKUP(E1109,Products!$A:$C,3,0)</f>
        <v>Electronics</v>
      </c>
      <c r="V1109" t="str">
        <f>VLOOKUP(E1109,Products!$A:$D,4,0)</f>
        <v>Tablets</v>
      </c>
      <c r="W1109" t="str">
        <f>VLOOKUP(D1109,Customers!$A:$C,3,0)</f>
        <v>Enterprise</v>
      </c>
      <c r="X1109" t="str">
        <f>VLOOKUP(C1109,Sales_Representatives!$A:$B,2,0)</f>
        <v>Thomas Lopez</v>
      </c>
    </row>
    <row r="1110" spans="1:24" x14ac:dyDescent="0.3">
      <c r="A1110" t="s">
        <v>1553</v>
      </c>
      <c r="B1110" t="s">
        <v>1554</v>
      </c>
      <c r="C1110" t="s">
        <v>70</v>
      </c>
      <c r="D1110" t="s">
        <v>1555</v>
      </c>
      <c r="E1110" t="s">
        <v>79</v>
      </c>
      <c r="F1110">
        <v>5</v>
      </c>
      <c r="G1110">
        <v>1452.36</v>
      </c>
      <c r="H1110">
        <v>0.01</v>
      </c>
      <c r="I1110" s="4">
        <v>7189.18</v>
      </c>
      <c r="J1110" t="s">
        <v>16</v>
      </c>
      <c r="K1110" t="s">
        <v>35</v>
      </c>
      <c r="L1110" s="4">
        <f>VLOOKUP(tblTransactions[[#This Row],[Product_ID]],tblProducts[],5,FALSE)</f>
        <v>778.71</v>
      </c>
      <c r="M1110" s="4">
        <f>tblTransactions[[#This Row],[Total_Amount]]-(tblTransactions[[#This Row],[Cost_Prices]]*tblTransactions[[#This Row],[Quantity]]*(1-tblTransactions[[#This Row],[Discount]]))</f>
        <v>3334.5655000000002</v>
      </c>
      <c r="N1110" s="3">
        <f>tblTransactions[[#This Row],[Profit]]/tblTransactions[[#This Row],[Total_Amount]]</f>
        <v>0.46383113234054513</v>
      </c>
      <c r="O1110" t="str">
        <f>TEXT(tblTransactions[[#This Row],[Date]], "MMM-YYYY")</f>
        <v>Sep-2023</v>
      </c>
      <c r="P1110" t="str">
        <f>"Q"&amp;ROUNDUP(MONTH(tblTransactions[[#This Row],[Date]])/3,0)&amp;"-"&amp;YEAR(tblTransactions[[#This Row],[Date]])</f>
        <v>Q3-2023</v>
      </c>
      <c r="Q1110">
        <f>YEAR(tblTransactions[[#This Row],[Date]])</f>
        <v>2023</v>
      </c>
      <c r="R1110" t="str">
        <f>TEXT(tblTransactions[[#This Row],[Date]],"DDDD")</f>
        <v>Tuesday</v>
      </c>
      <c r="S1110">
        <f>MONTH(tblTransactions[[#This Row],[Date]])</f>
        <v>9</v>
      </c>
      <c r="T1110" t="str">
        <f>VLOOKUP(E1110, Products!$A:$B,2,0)</f>
        <v>Tables Fur-2</v>
      </c>
      <c r="U1110" t="str">
        <f>VLOOKUP(E1110,Products!$A:$C,3,0)</f>
        <v>Furniture</v>
      </c>
      <c r="V1110" t="str">
        <f>VLOOKUP(E1110,Products!$A:$D,4,0)</f>
        <v>Tables</v>
      </c>
      <c r="W1110" t="str">
        <f>VLOOKUP(D1110,Customers!$A:$C,3,0)</f>
        <v>B2C</v>
      </c>
      <c r="X1110" t="str">
        <f>VLOOKUP(C1110,Sales_Representatives!$A:$B,2,0)</f>
        <v>Linda Smith</v>
      </c>
    </row>
    <row r="1111" spans="1:24" x14ac:dyDescent="0.3">
      <c r="A1111" t="s">
        <v>1556</v>
      </c>
      <c r="B1111" t="s">
        <v>1554</v>
      </c>
      <c r="C1111" t="s">
        <v>131</v>
      </c>
      <c r="D1111" t="s">
        <v>1557</v>
      </c>
      <c r="E1111" t="s">
        <v>68</v>
      </c>
      <c r="F1111">
        <v>4</v>
      </c>
      <c r="G1111">
        <v>522.63</v>
      </c>
      <c r="H1111">
        <v>0.02</v>
      </c>
      <c r="I1111" s="4">
        <v>2048.71</v>
      </c>
      <c r="J1111" t="s">
        <v>44</v>
      </c>
      <c r="K1111" t="s">
        <v>48</v>
      </c>
      <c r="L1111" s="4">
        <f>VLOOKUP(tblTransactions[[#This Row],[Product_ID]],tblProducts[],5,FALSE)</f>
        <v>355.82</v>
      </c>
      <c r="M1111" s="4">
        <f>tblTransactions[[#This Row],[Total_Amount]]-(tblTransactions[[#This Row],[Cost_Prices]]*tblTransactions[[#This Row],[Quantity]]*(1-tblTransactions[[#This Row],[Discount]]))</f>
        <v>653.89560000000006</v>
      </c>
      <c r="N1111" s="3">
        <f>tblTransactions[[#This Row],[Profit]]/tblTransactions[[#This Row],[Total_Amount]]</f>
        <v>0.3191743096875595</v>
      </c>
      <c r="O1111" t="str">
        <f>TEXT(tblTransactions[[#This Row],[Date]], "MMM-YYYY")</f>
        <v>Sep-2023</v>
      </c>
      <c r="P1111" t="str">
        <f>"Q"&amp;ROUNDUP(MONTH(tblTransactions[[#This Row],[Date]])/3,0)&amp;"-"&amp;YEAR(tblTransactions[[#This Row],[Date]])</f>
        <v>Q3-2023</v>
      </c>
      <c r="Q1111">
        <f>YEAR(tblTransactions[[#This Row],[Date]])</f>
        <v>2023</v>
      </c>
      <c r="R1111" t="str">
        <f>TEXT(tblTransactions[[#This Row],[Date]],"DDDD")</f>
        <v>Tuesday</v>
      </c>
      <c r="S1111">
        <f>MONTH(tblTransactions[[#This Row],[Date]])</f>
        <v>9</v>
      </c>
      <c r="T1111" t="str">
        <f>VLOOKUP(E1111, Products!$A:$B,2,0)</f>
        <v>Monitors Tec-3</v>
      </c>
      <c r="U1111" t="str">
        <f>VLOOKUP(E1111,Products!$A:$C,3,0)</f>
        <v>Technology</v>
      </c>
      <c r="V1111" t="str">
        <f>VLOOKUP(E1111,Products!$A:$D,4,0)</f>
        <v>Monitors</v>
      </c>
      <c r="W1111" t="str">
        <f>VLOOKUP(D1111,Customers!$A:$C,3,0)</f>
        <v>B2C</v>
      </c>
      <c r="X1111" t="str">
        <f>VLOOKUP(C1111,Sales_Representatives!$A:$B,2,0)</f>
        <v>Michael Davis</v>
      </c>
    </row>
    <row r="1112" spans="1:24" x14ac:dyDescent="0.3">
      <c r="A1112" t="s">
        <v>1558</v>
      </c>
      <c r="B1112" t="s">
        <v>1554</v>
      </c>
      <c r="C1112" t="s">
        <v>19</v>
      </c>
      <c r="D1112" t="s">
        <v>1559</v>
      </c>
      <c r="E1112" t="s">
        <v>125</v>
      </c>
      <c r="F1112">
        <v>12</v>
      </c>
      <c r="G1112">
        <v>1201.4000000000001</v>
      </c>
      <c r="H1112">
        <v>0.15</v>
      </c>
      <c r="I1112" s="4">
        <v>12254.28</v>
      </c>
      <c r="J1112" t="s">
        <v>21</v>
      </c>
      <c r="K1112" t="s">
        <v>39</v>
      </c>
      <c r="L1112" s="4">
        <f>VLOOKUP(tblTransactions[[#This Row],[Product_ID]],tblProducts[],5,FALSE)</f>
        <v>672.72</v>
      </c>
      <c r="M1112" s="4">
        <f>tblTransactions[[#This Row],[Total_Amount]]-(tblTransactions[[#This Row],[Cost_Prices]]*tblTransactions[[#This Row],[Quantity]]*(1-tblTransactions[[#This Row],[Discount]]))</f>
        <v>5392.536000000001</v>
      </c>
      <c r="N1112" s="3">
        <f>tblTransactions[[#This Row],[Profit]]/tblTransactions[[#This Row],[Total_Amount]]</f>
        <v>0.44005327118361914</v>
      </c>
      <c r="O1112" t="str">
        <f>TEXT(tblTransactions[[#This Row],[Date]], "MMM-YYYY")</f>
        <v>Sep-2023</v>
      </c>
      <c r="P1112" t="str">
        <f>"Q"&amp;ROUNDUP(MONTH(tblTransactions[[#This Row],[Date]])/3,0)&amp;"-"&amp;YEAR(tblTransactions[[#This Row],[Date]])</f>
        <v>Q3-2023</v>
      </c>
      <c r="Q1112">
        <f>YEAR(tblTransactions[[#This Row],[Date]])</f>
        <v>2023</v>
      </c>
      <c r="R1112" t="str">
        <f>TEXT(tblTransactions[[#This Row],[Date]],"DDDD")</f>
        <v>Tuesday</v>
      </c>
      <c r="S1112">
        <f>MONTH(tblTransactions[[#This Row],[Date]])</f>
        <v>9</v>
      </c>
      <c r="T1112" t="str">
        <f>VLOOKUP(E1112, Products!$A:$B,2,0)</f>
        <v>Printers Tec-2</v>
      </c>
      <c r="U1112" t="str">
        <f>VLOOKUP(E1112,Products!$A:$C,3,0)</f>
        <v>Technology</v>
      </c>
      <c r="V1112" t="str">
        <f>VLOOKUP(E1112,Products!$A:$D,4,0)</f>
        <v>Printers</v>
      </c>
      <c r="W1112" t="str">
        <f>VLOOKUP(D1112,Customers!$A:$C,3,0)</f>
        <v>B2B</v>
      </c>
      <c r="X1112" t="str">
        <f>VLOOKUP(C1112,Sales_Representatives!$A:$B,2,0)</f>
        <v>Robert Jones</v>
      </c>
    </row>
    <row r="1113" spans="1:24" x14ac:dyDescent="0.3">
      <c r="A1113" t="s">
        <v>1560</v>
      </c>
      <c r="B1113" t="s">
        <v>1554</v>
      </c>
      <c r="C1113" t="s">
        <v>27</v>
      </c>
      <c r="D1113" t="s">
        <v>1561</v>
      </c>
      <c r="E1113" t="s">
        <v>72</v>
      </c>
      <c r="F1113">
        <v>13</v>
      </c>
      <c r="G1113">
        <v>404.76</v>
      </c>
      <c r="H1113">
        <v>0.16</v>
      </c>
      <c r="I1113" s="4">
        <v>4419.9799999999996</v>
      </c>
      <c r="J1113" t="s">
        <v>16</v>
      </c>
      <c r="K1113" t="s">
        <v>35</v>
      </c>
      <c r="L1113" s="4">
        <f>VLOOKUP(tblTransactions[[#This Row],[Product_ID]],tblProducts[],5,FALSE)</f>
        <v>226.76</v>
      </c>
      <c r="M1113" s="4">
        <f>tblTransactions[[#This Row],[Total_Amount]]-(tblTransactions[[#This Row],[Cost_Prices]]*tblTransactions[[#This Row],[Quantity]]*(1-tblTransactions[[#This Row],[Discount]]))</f>
        <v>1943.7607999999996</v>
      </c>
      <c r="N1113" s="3">
        <f>tblTransactions[[#This Row],[Profit]]/tblTransactions[[#This Row],[Total_Amount]]</f>
        <v>0.43976687677319803</v>
      </c>
      <c r="O1113" t="str">
        <f>TEXT(tblTransactions[[#This Row],[Date]], "MMM-YYYY")</f>
        <v>Sep-2023</v>
      </c>
      <c r="P1113" t="str">
        <f>"Q"&amp;ROUNDUP(MONTH(tblTransactions[[#This Row],[Date]])/3,0)&amp;"-"&amp;YEAR(tblTransactions[[#This Row],[Date]])</f>
        <v>Q3-2023</v>
      </c>
      <c r="Q1113">
        <f>YEAR(tblTransactions[[#This Row],[Date]])</f>
        <v>2023</v>
      </c>
      <c r="R1113" t="str">
        <f>TEXT(tblTransactions[[#This Row],[Date]],"DDDD")</f>
        <v>Tuesday</v>
      </c>
      <c r="S1113">
        <f>MONTH(tblTransactions[[#This Row],[Date]])</f>
        <v>9</v>
      </c>
      <c r="T1113" t="str">
        <f>VLOOKUP(E1113, Products!$A:$B,2,0)</f>
        <v>Tablets Ele-2</v>
      </c>
      <c r="U1113" t="str">
        <f>VLOOKUP(E1113,Products!$A:$C,3,0)</f>
        <v>Electronics</v>
      </c>
      <c r="V1113" t="str">
        <f>VLOOKUP(E1113,Products!$A:$D,4,0)</f>
        <v>Tablets</v>
      </c>
      <c r="W1113" t="str">
        <f>VLOOKUP(D1113,Customers!$A:$C,3,0)</f>
        <v>B2B</v>
      </c>
      <c r="X1113" t="str">
        <f>VLOOKUP(C1113,Sales_Representatives!$A:$B,2,0)</f>
        <v>Thomas Lopez</v>
      </c>
    </row>
    <row r="1114" spans="1:24" x14ac:dyDescent="0.3">
      <c r="A1114" t="s">
        <v>1562</v>
      </c>
      <c r="B1114" t="s">
        <v>1554</v>
      </c>
      <c r="C1114" t="s">
        <v>75</v>
      </c>
      <c r="D1114" t="s">
        <v>1563</v>
      </c>
      <c r="E1114" t="s">
        <v>25</v>
      </c>
      <c r="F1114">
        <v>4</v>
      </c>
      <c r="G1114">
        <v>1467.49</v>
      </c>
      <c r="H1114">
        <v>0.04</v>
      </c>
      <c r="I1114" s="4">
        <v>5635.16</v>
      </c>
      <c r="J1114" t="s">
        <v>44</v>
      </c>
      <c r="K1114" t="s">
        <v>17</v>
      </c>
      <c r="L1114" s="4">
        <f>VLOOKUP(tblTransactions[[#This Row],[Product_ID]],tblProducts[],5,FALSE)</f>
        <v>757.65</v>
      </c>
      <c r="M1114" s="4">
        <f>tblTransactions[[#This Row],[Total_Amount]]-(tblTransactions[[#This Row],[Cost_Prices]]*tblTransactions[[#This Row],[Quantity]]*(1-tblTransactions[[#This Row],[Discount]]))</f>
        <v>2725.7840000000001</v>
      </c>
      <c r="N1114" s="3">
        <f>tblTransactions[[#This Row],[Profit]]/tblTransactions[[#This Row],[Total_Amount]]</f>
        <v>0.48371013422866432</v>
      </c>
      <c r="O1114" t="str">
        <f>TEXT(tblTransactions[[#This Row],[Date]], "MMM-YYYY")</f>
        <v>Sep-2023</v>
      </c>
      <c r="P1114" t="str">
        <f>"Q"&amp;ROUNDUP(MONTH(tblTransactions[[#This Row],[Date]])/3,0)&amp;"-"&amp;YEAR(tblTransactions[[#This Row],[Date]])</f>
        <v>Q3-2023</v>
      </c>
      <c r="Q1114">
        <f>YEAR(tblTransactions[[#This Row],[Date]])</f>
        <v>2023</v>
      </c>
      <c r="R1114" t="str">
        <f>TEXT(tblTransactions[[#This Row],[Date]],"DDDD")</f>
        <v>Tuesday</v>
      </c>
      <c r="S1114">
        <f>MONTH(tblTransactions[[#This Row],[Date]])</f>
        <v>9</v>
      </c>
      <c r="T1114" t="str">
        <f>VLOOKUP(E1114, Products!$A:$B,2,0)</f>
        <v>Tables Fur-3</v>
      </c>
      <c r="U1114" t="str">
        <f>VLOOKUP(E1114,Products!$A:$C,3,0)</f>
        <v>Furniture</v>
      </c>
      <c r="V1114" t="str">
        <f>VLOOKUP(E1114,Products!$A:$D,4,0)</f>
        <v>Tables</v>
      </c>
      <c r="W1114" t="str">
        <f>VLOOKUP(D1114,Customers!$A:$C,3,0)</f>
        <v>B2C</v>
      </c>
      <c r="X1114" t="str">
        <f>VLOOKUP(C1114,Sales_Representatives!$A:$B,2,0)</f>
        <v>Jessica Anderson</v>
      </c>
    </row>
    <row r="1115" spans="1:24" x14ac:dyDescent="0.3">
      <c r="A1115" t="s">
        <v>1564</v>
      </c>
      <c r="B1115" t="s">
        <v>1554</v>
      </c>
      <c r="C1115" t="s">
        <v>127</v>
      </c>
      <c r="D1115" t="s">
        <v>64</v>
      </c>
      <c r="E1115" t="s">
        <v>61</v>
      </c>
      <c r="F1115">
        <v>6</v>
      </c>
      <c r="G1115">
        <v>92.07</v>
      </c>
      <c r="H1115">
        <v>0.09</v>
      </c>
      <c r="I1115" s="4">
        <v>502.7</v>
      </c>
      <c r="J1115" t="s">
        <v>109</v>
      </c>
      <c r="K1115" t="s">
        <v>35</v>
      </c>
      <c r="L1115" s="4">
        <f>VLOOKUP(tblTransactions[[#This Row],[Product_ID]],tblProducts[],5,FALSE)</f>
        <v>56.98</v>
      </c>
      <c r="M1115" s="4">
        <f>tblTransactions[[#This Row],[Total_Amount]]-(tblTransactions[[#This Row],[Cost_Prices]]*tblTransactions[[#This Row],[Quantity]]*(1-tblTransactions[[#This Row],[Discount]]))</f>
        <v>191.58920000000001</v>
      </c>
      <c r="N1115" s="3">
        <f>tblTransactions[[#This Row],[Profit]]/tblTransactions[[#This Row],[Total_Amount]]</f>
        <v>0.3811203501094092</v>
      </c>
      <c r="O1115" t="str">
        <f>TEXT(tblTransactions[[#This Row],[Date]], "MMM-YYYY")</f>
        <v>Sep-2023</v>
      </c>
      <c r="P1115" t="str">
        <f>"Q"&amp;ROUNDUP(MONTH(tblTransactions[[#This Row],[Date]])/3,0)&amp;"-"&amp;YEAR(tblTransactions[[#This Row],[Date]])</f>
        <v>Q3-2023</v>
      </c>
      <c r="Q1115">
        <f>YEAR(tblTransactions[[#This Row],[Date]])</f>
        <v>2023</v>
      </c>
      <c r="R1115" t="str">
        <f>TEXT(tblTransactions[[#This Row],[Date]],"DDDD")</f>
        <v>Tuesday</v>
      </c>
      <c r="S1115">
        <f>MONTH(tblTransactions[[#This Row],[Date]])</f>
        <v>9</v>
      </c>
      <c r="T1115" t="str">
        <f>VLOOKUP(E1115, Products!$A:$B,2,0)</f>
        <v>Pens Off-4</v>
      </c>
      <c r="U1115" t="str">
        <f>VLOOKUP(E1115,Products!$A:$C,3,0)</f>
        <v>Office Supplies</v>
      </c>
      <c r="V1115" t="str">
        <f>VLOOKUP(E1115,Products!$A:$D,4,0)</f>
        <v>Pens</v>
      </c>
      <c r="W1115" t="str">
        <f>VLOOKUP(D1115,Customers!$A:$C,3,0)</f>
        <v>Small Business</v>
      </c>
      <c r="X1115" t="str">
        <f>VLOOKUP(C1115,Sales_Representatives!$A:$B,2,0)</f>
        <v>Emily Hernandez</v>
      </c>
    </row>
    <row r="1116" spans="1:24" x14ac:dyDescent="0.3">
      <c r="A1116" t="s">
        <v>1565</v>
      </c>
      <c r="B1116" t="s">
        <v>1566</v>
      </c>
      <c r="C1116" t="s">
        <v>56</v>
      </c>
      <c r="D1116" t="s">
        <v>1567</v>
      </c>
      <c r="E1116" t="s">
        <v>314</v>
      </c>
      <c r="F1116">
        <v>1</v>
      </c>
      <c r="G1116">
        <v>204.97</v>
      </c>
      <c r="H1116">
        <v>0.09</v>
      </c>
      <c r="I1116" s="4">
        <v>186.52</v>
      </c>
      <c r="J1116" t="s">
        <v>34</v>
      </c>
      <c r="K1116" t="s">
        <v>48</v>
      </c>
      <c r="L1116" s="4">
        <f>VLOOKUP(tblTransactions[[#This Row],[Product_ID]],tblProducts[],5,FALSE)</f>
        <v>121.53</v>
      </c>
      <c r="M1116" s="4">
        <f>tblTransactions[[#This Row],[Total_Amount]]-(tblTransactions[[#This Row],[Cost_Prices]]*tblTransactions[[#This Row],[Quantity]]*(1-tblTransactions[[#This Row],[Discount]]))</f>
        <v>75.927700000000002</v>
      </c>
      <c r="N1116" s="3">
        <f>tblTransactions[[#This Row],[Profit]]/tblTransactions[[#This Row],[Total_Amount]]</f>
        <v>0.40707538065622989</v>
      </c>
      <c r="O1116" t="str">
        <f>TEXT(tblTransactions[[#This Row],[Date]], "MMM-YYYY")</f>
        <v>Sep-2023</v>
      </c>
      <c r="P1116" t="str">
        <f>"Q"&amp;ROUNDUP(MONTH(tblTransactions[[#This Row],[Date]])/3,0)&amp;"-"&amp;YEAR(tblTransactions[[#This Row],[Date]])</f>
        <v>Q3-2023</v>
      </c>
      <c r="Q1116">
        <f>YEAR(tblTransactions[[#This Row],[Date]])</f>
        <v>2023</v>
      </c>
      <c r="R1116" t="str">
        <f>TEXT(tblTransactions[[#This Row],[Date]],"DDDD")</f>
        <v>Thursday</v>
      </c>
      <c r="S1116">
        <f>MONTH(tblTransactions[[#This Row],[Date]])</f>
        <v>9</v>
      </c>
      <c r="T1116" t="str">
        <f>VLOOKUP(E1116, Products!$A:$B,2,0)</f>
        <v>Adapters Acc-3</v>
      </c>
      <c r="U1116" t="str">
        <f>VLOOKUP(E1116,Products!$A:$C,3,0)</f>
        <v>Accessories</v>
      </c>
      <c r="V1116" t="str">
        <f>VLOOKUP(E1116,Products!$A:$D,4,0)</f>
        <v>Adapters</v>
      </c>
      <c r="W1116" t="str">
        <f>VLOOKUP(D1116,Customers!$A:$C,3,0)</f>
        <v>B2C</v>
      </c>
      <c r="X1116" t="str">
        <f>VLOOKUP(C1116,Sales_Representatives!$A:$B,2,0)</f>
        <v>Thomas Hernandez</v>
      </c>
    </row>
    <row r="1117" spans="1:24" x14ac:dyDescent="0.3">
      <c r="A1117" t="s">
        <v>1568</v>
      </c>
      <c r="B1117" t="s">
        <v>1566</v>
      </c>
      <c r="C1117" t="s">
        <v>75</v>
      </c>
      <c r="D1117" t="s">
        <v>1569</v>
      </c>
      <c r="E1117" t="s">
        <v>15</v>
      </c>
      <c r="F1117">
        <v>3</v>
      </c>
      <c r="G1117">
        <v>477.48</v>
      </c>
      <c r="H1117">
        <v>0.1</v>
      </c>
      <c r="I1117" s="4">
        <v>1289.2</v>
      </c>
      <c r="J1117" t="s">
        <v>44</v>
      </c>
      <c r="K1117" t="s">
        <v>17</v>
      </c>
      <c r="L1117" s="4">
        <f>VLOOKUP(tblTransactions[[#This Row],[Product_ID]],tblProducts[],5,FALSE)</f>
        <v>275.51</v>
      </c>
      <c r="M1117" s="4">
        <f>tblTransactions[[#This Row],[Total_Amount]]-(tblTransactions[[#This Row],[Cost_Prices]]*tblTransactions[[#This Row],[Quantity]]*(1-tblTransactions[[#This Row],[Discount]]))</f>
        <v>545.32300000000009</v>
      </c>
      <c r="N1117" s="3">
        <f>tblTransactions[[#This Row],[Profit]]/tblTransactions[[#This Row],[Total_Amount]]</f>
        <v>0.42299332919640092</v>
      </c>
      <c r="O1117" t="str">
        <f>TEXT(tblTransactions[[#This Row],[Date]], "MMM-YYYY")</f>
        <v>Sep-2023</v>
      </c>
      <c r="P1117" t="str">
        <f>"Q"&amp;ROUNDUP(MONTH(tblTransactions[[#This Row],[Date]])/3,0)&amp;"-"&amp;YEAR(tblTransactions[[#This Row],[Date]])</f>
        <v>Q3-2023</v>
      </c>
      <c r="Q1117">
        <f>YEAR(tblTransactions[[#This Row],[Date]])</f>
        <v>2023</v>
      </c>
      <c r="R1117" t="str">
        <f>TEXT(tblTransactions[[#This Row],[Date]],"DDDD")</f>
        <v>Thursday</v>
      </c>
      <c r="S1117">
        <f>MONTH(tblTransactions[[#This Row],[Date]])</f>
        <v>9</v>
      </c>
      <c r="T1117" t="str">
        <f>VLOOKUP(E1117, Products!$A:$B,2,0)</f>
        <v>Laptops Ele-4</v>
      </c>
      <c r="U1117" t="str">
        <f>VLOOKUP(E1117,Products!$A:$C,3,0)</f>
        <v>Electronics</v>
      </c>
      <c r="V1117" t="str">
        <f>VLOOKUP(E1117,Products!$A:$D,4,0)</f>
        <v>Laptops</v>
      </c>
      <c r="W1117" t="str">
        <f>VLOOKUP(D1117,Customers!$A:$C,3,0)</f>
        <v>Small Business</v>
      </c>
      <c r="X1117" t="str">
        <f>VLOOKUP(C1117,Sales_Representatives!$A:$B,2,0)</f>
        <v>Jessica Anderson</v>
      </c>
    </row>
    <row r="1118" spans="1:24" x14ac:dyDescent="0.3">
      <c r="A1118" t="s">
        <v>1570</v>
      </c>
      <c r="B1118" t="s">
        <v>1566</v>
      </c>
      <c r="C1118" t="s">
        <v>107</v>
      </c>
      <c r="D1118" t="s">
        <v>1571</v>
      </c>
      <c r="E1118" t="s">
        <v>172</v>
      </c>
      <c r="F1118">
        <v>5</v>
      </c>
      <c r="G1118">
        <v>1371.15</v>
      </c>
      <c r="H1118">
        <v>7.0000000000000007E-2</v>
      </c>
      <c r="I1118" s="4">
        <v>6375.85</v>
      </c>
      <c r="J1118" t="s">
        <v>109</v>
      </c>
      <c r="K1118" t="s">
        <v>35</v>
      </c>
      <c r="L1118" s="4">
        <f>VLOOKUP(tblTransactions[[#This Row],[Product_ID]],tblProducts[],5,FALSE)</f>
        <v>989.81</v>
      </c>
      <c r="M1118" s="4">
        <f>tblTransactions[[#This Row],[Total_Amount]]-(tblTransactions[[#This Row],[Cost_Prices]]*tblTransactions[[#This Row],[Quantity]]*(1-tblTransactions[[#This Row],[Discount]]))</f>
        <v>1773.2335000000012</v>
      </c>
      <c r="N1118" s="3">
        <f>tblTransactions[[#This Row],[Profit]]/tblTransactions[[#This Row],[Total_Amount]]</f>
        <v>0.27811719221750841</v>
      </c>
      <c r="O1118" t="str">
        <f>TEXT(tblTransactions[[#This Row],[Date]], "MMM-YYYY")</f>
        <v>Sep-2023</v>
      </c>
      <c r="P1118" t="str">
        <f>"Q"&amp;ROUNDUP(MONTH(tblTransactions[[#This Row],[Date]])/3,0)&amp;"-"&amp;YEAR(tblTransactions[[#This Row],[Date]])</f>
        <v>Q3-2023</v>
      </c>
      <c r="Q1118">
        <f>YEAR(tblTransactions[[#This Row],[Date]])</f>
        <v>2023</v>
      </c>
      <c r="R1118" t="str">
        <f>TEXT(tblTransactions[[#This Row],[Date]],"DDDD")</f>
        <v>Thursday</v>
      </c>
      <c r="S1118">
        <f>MONTH(tblTransactions[[#This Row],[Date]])</f>
        <v>9</v>
      </c>
      <c r="T1118" t="str">
        <f>VLOOKUP(E1118, Products!$A:$B,2,0)</f>
        <v>Cameras Ele-4</v>
      </c>
      <c r="U1118" t="str">
        <f>VLOOKUP(E1118,Products!$A:$C,3,0)</f>
        <v>Electronics</v>
      </c>
      <c r="V1118" t="str">
        <f>VLOOKUP(E1118,Products!$A:$D,4,0)</f>
        <v>Cameras</v>
      </c>
      <c r="W1118" t="str">
        <f>VLOOKUP(D1118,Customers!$A:$C,3,0)</f>
        <v>B2C</v>
      </c>
      <c r="X1118" t="str">
        <f>VLOOKUP(C1118,Sales_Representatives!$A:$B,2,0)</f>
        <v>Jennifer Brown</v>
      </c>
    </row>
    <row r="1119" spans="1:24" x14ac:dyDescent="0.3">
      <c r="A1119" t="s">
        <v>1572</v>
      </c>
      <c r="B1119" t="s">
        <v>1566</v>
      </c>
      <c r="C1119" t="s">
        <v>82</v>
      </c>
      <c r="D1119" t="s">
        <v>1573</v>
      </c>
      <c r="E1119" t="s">
        <v>316</v>
      </c>
      <c r="F1119">
        <v>7</v>
      </c>
      <c r="G1119">
        <v>91.42</v>
      </c>
      <c r="H1119">
        <v>0.1</v>
      </c>
      <c r="I1119" s="4">
        <v>575.95000000000005</v>
      </c>
      <c r="J1119" t="s">
        <v>34</v>
      </c>
      <c r="K1119" t="s">
        <v>35</v>
      </c>
      <c r="L1119" s="4">
        <f>VLOOKUP(tblTransactions[[#This Row],[Product_ID]],tblProducts[],5,FALSE)</f>
        <v>50.09</v>
      </c>
      <c r="M1119" s="4">
        <f>tblTransactions[[#This Row],[Total_Amount]]-(tblTransactions[[#This Row],[Cost_Prices]]*tblTransactions[[#This Row],[Quantity]]*(1-tblTransactions[[#This Row],[Discount]]))</f>
        <v>260.38300000000004</v>
      </c>
      <c r="N1119" s="3">
        <f>tblTransactions[[#This Row],[Profit]]/tblTransactions[[#This Row],[Total_Amount]]</f>
        <v>0.45209306363399604</v>
      </c>
      <c r="O1119" t="str">
        <f>TEXT(tblTransactions[[#This Row],[Date]], "MMM-YYYY")</f>
        <v>Sep-2023</v>
      </c>
      <c r="P1119" t="str">
        <f>"Q"&amp;ROUNDUP(MONTH(tblTransactions[[#This Row],[Date]])/3,0)&amp;"-"&amp;YEAR(tblTransactions[[#This Row],[Date]])</f>
        <v>Q3-2023</v>
      </c>
      <c r="Q1119">
        <f>YEAR(tblTransactions[[#This Row],[Date]])</f>
        <v>2023</v>
      </c>
      <c r="R1119" t="str">
        <f>TEXT(tblTransactions[[#This Row],[Date]],"DDDD")</f>
        <v>Thursday</v>
      </c>
      <c r="S1119">
        <f>MONTH(tblTransactions[[#This Row],[Date]])</f>
        <v>9</v>
      </c>
      <c r="T1119" t="str">
        <f>VLOOKUP(E1119, Products!$A:$B,2,0)</f>
        <v>Binders Off-3</v>
      </c>
      <c r="U1119" t="str">
        <f>VLOOKUP(E1119,Products!$A:$C,3,0)</f>
        <v>Office Supplies</v>
      </c>
      <c r="V1119" t="str">
        <f>VLOOKUP(E1119,Products!$A:$D,4,0)</f>
        <v>Binders</v>
      </c>
      <c r="W1119" t="str">
        <f>VLOOKUP(D1119,Customers!$A:$C,3,0)</f>
        <v>Small Business</v>
      </c>
      <c r="X1119" t="str">
        <f>VLOOKUP(C1119,Sales_Representatives!$A:$B,2,0)</f>
        <v>John Brown</v>
      </c>
    </row>
    <row r="1120" spans="1:24" x14ac:dyDescent="0.3">
      <c r="A1120" t="s">
        <v>1574</v>
      </c>
      <c r="B1120" t="s">
        <v>1575</v>
      </c>
      <c r="C1120" t="s">
        <v>31</v>
      </c>
      <c r="D1120" t="s">
        <v>1576</v>
      </c>
      <c r="E1120" t="s">
        <v>304</v>
      </c>
      <c r="F1120">
        <v>1</v>
      </c>
      <c r="G1120">
        <v>13.43</v>
      </c>
      <c r="H1120">
        <v>0.03</v>
      </c>
      <c r="I1120" s="4">
        <v>13.03</v>
      </c>
      <c r="J1120" t="s">
        <v>34</v>
      </c>
      <c r="K1120" t="s">
        <v>22</v>
      </c>
      <c r="L1120" s="4">
        <f>VLOOKUP(tblTransactions[[#This Row],[Product_ID]],tblProducts[],5,FALSE)</f>
        <v>5.8</v>
      </c>
      <c r="M1120" s="4">
        <f>tblTransactions[[#This Row],[Total_Amount]]-(tblTransactions[[#This Row],[Cost_Prices]]*tblTransactions[[#This Row],[Quantity]]*(1-tblTransactions[[#This Row],[Discount]]))</f>
        <v>7.4039999999999999</v>
      </c>
      <c r="N1120" s="3">
        <f>tblTransactions[[#This Row],[Profit]]/tblTransactions[[#This Row],[Total_Amount]]</f>
        <v>0.56822716807367613</v>
      </c>
      <c r="O1120" t="str">
        <f>TEXT(tblTransactions[[#This Row],[Date]], "MMM-YYYY")</f>
        <v>Sep-2023</v>
      </c>
      <c r="P1120" t="str">
        <f>"Q"&amp;ROUNDUP(MONTH(tblTransactions[[#This Row],[Date]])/3,0)&amp;"-"&amp;YEAR(tblTransactions[[#This Row],[Date]])</f>
        <v>Q3-2023</v>
      </c>
      <c r="Q1120">
        <f>YEAR(tblTransactions[[#This Row],[Date]])</f>
        <v>2023</v>
      </c>
      <c r="R1120" t="str">
        <f>TEXT(tblTransactions[[#This Row],[Date]],"DDDD")</f>
        <v>Friday</v>
      </c>
      <c r="S1120">
        <f>MONTH(tblTransactions[[#This Row],[Date]])</f>
        <v>9</v>
      </c>
      <c r="T1120" t="str">
        <f>VLOOKUP(E1120, Products!$A:$B,2,0)</f>
        <v>Pens Off-1</v>
      </c>
      <c r="U1120" t="str">
        <f>VLOOKUP(E1120,Products!$A:$C,3,0)</f>
        <v>Office Supplies</v>
      </c>
      <c r="V1120" t="str">
        <f>VLOOKUP(E1120,Products!$A:$D,4,0)</f>
        <v>Pens</v>
      </c>
      <c r="W1120" t="str">
        <f>VLOOKUP(D1120,Customers!$A:$C,3,0)</f>
        <v>B2C</v>
      </c>
      <c r="X1120" t="str">
        <f>VLOOKUP(C1120,Sales_Representatives!$A:$B,2,0)</f>
        <v>Thomas Martinez</v>
      </c>
    </row>
    <row r="1121" spans="1:24" x14ac:dyDescent="0.3">
      <c r="A1121" t="s">
        <v>1577</v>
      </c>
      <c r="B1121" t="s">
        <v>1575</v>
      </c>
      <c r="C1121" t="s">
        <v>59</v>
      </c>
      <c r="D1121" t="s">
        <v>1578</v>
      </c>
      <c r="E1121" t="s">
        <v>221</v>
      </c>
      <c r="F1121">
        <v>8</v>
      </c>
      <c r="G1121">
        <v>210.02</v>
      </c>
      <c r="H1121">
        <v>0.06</v>
      </c>
      <c r="I1121" s="4">
        <v>1579.35</v>
      </c>
      <c r="J1121" t="s">
        <v>21</v>
      </c>
      <c r="K1121" t="s">
        <v>39</v>
      </c>
      <c r="L1121" s="4">
        <f>VLOOKUP(tblTransactions[[#This Row],[Product_ID]],tblProducts[],5,FALSE)</f>
        <v>131.66</v>
      </c>
      <c r="M1121" s="4">
        <f>tblTransactions[[#This Row],[Total_Amount]]-(tblTransactions[[#This Row],[Cost_Prices]]*tblTransactions[[#This Row],[Quantity]]*(1-tblTransactions[[#This Row],[Discount]]))</f>
        <v>589.26679999999999</v>
      </c>
      <c r="N1121" s="3">
        <f>tblTransactions[[#This Row],[Profit]]/tblTransactions[[#This Row],[Total_Amount]]</f>
        <v>0.37310716433976004</v>
      </c>
      <c r="O1121" t="str">
        <f>TEXT(tblTransactions[[#This Row],[Date]], "MMM-YYYY")</f>
        <v>Sep-2023</v>
      </c>
      <c r="P1121" t="str">
        <f>"Q"&amp;ROUNDUP(MONTH(tblTransactions[[#This Row],[Date]])/3,0)&amp;"-"&amp;YEAR(tblTransactions[[#This Row],[Date]])</f>
        <v>Q3-2023</v>
      </c>
      <c r="Q1121">
        <f>YEAR(tblTransactions[[#This Row],[Date]])</f>
        <v>2023</v>
      </c>
      <c r="R1121" t="str">
        <f>TEXT(tblTransactions[[#This Row],[Date]],"DDDD")</f>
        <v>Friday</v>
      </c>
      <c r="S1121">
        <f>MONTH(tblTransactions[[#This Row],[Date]])</f>
        <v>9</v>
      </c>
      <c r="T1121" t="str">
        <f>VLOOKUP(E1121, Products!$A:$B,2,0)</f>
        <v>Storage Fur-2</v>
      </c>
      <c r="U1121" t="str">
        <f>VLOOKUP(E1121,Products!$A:$C,3,0)</f>
        <v>Furniture</v>
      </c>
      <c r="V1121" t="str">
        <f>VLOOKUP(E1121,Products!$A:$D,4,0)</f>
        <v>Storage</v>
      </c>
      <c r="W1121" t="str">
        <f>VLOOKUP(D1121,Customers!$A:$C,3,0)</f>
        <v>Enterprise</v>
      </c>
      <c r="X1121" t="str">
        <f>VLOOKUP(C1121,Sales_Representatives!$A:$B,2,0)</f>
        <v>Sarah Brown</v>
      </c>
    </row>
    <row r="1122" spans="1:24" x14ac:dyDescent="0.3">
      <c r="A1122" t="s">
        <v>1579</v>
      </c>
      <c r="B1122" t="s">
        <v>1575</v>
      </c>
      <c r="C1122" t="s">
        <v>13</v>
      </c>
      <c r="D1122" t="s">
        <v>144</v>
      </c>
      <c r="E1122" t="s">
        <v>232</v>
      </c>
      <c r="F1122">
        <v>4</v>
      </c>
      <c r="G1122">
        <v>60.21</v>
      </c>
      <c r="H1122">
        <v>0.02</v>
      </c>
      <c r="I1122" s="4">
        <v>236.02</v>
      </c>
      <c r="J1122" t="s">
        <v>16</v>
      </c>
      <c r="K1122" t="s">
        <v>48</v>
      </c>
      <c r="L1122" s="4">
        <f>VLOOKUP(tblTransactions[[#This Row],[Product_ID]],tblProducts[],5,FALSE)</f>
        <v>38.18</v>
      </c>
      <c r="M1122" s="4">
        <f>tblTransactions[[#This Row],[Total_Amount]]-(tblTransactions[[#This Row],[Cost_Prices]]*tblTransactions[[#This Row],[Quantity]]*(1-tblTransactions[[#This Row],[Discount]]))</f>
        <v>86.354400000000027</v>
      </c>
      <c r="N1122" s="3">
        <f>tblTransactions[[#This Row],[Profit]]/tblTransactions[[#This Row],[Total_Amount]]</f>
        <v>0.36587746801118559</v>
      </c>
      <c r="O1122" t="str">
        <f>TEXT(tblTransactions[[#This Row],[Date]], "MMM-YYYY")</f>
        <v>Sep-2023</v>
      </c>
      <c r="P1122" t="str">
        <f>"Q"&amp;ROUNDUP(MONTH(tblTransactions[[#This Row],[Date]])/3,0)&amp;"-"&amp;YEAR(tblTransactions[[#This Row],[Date]])</f>
        <v>Q3-2023</v>
      </c>
      <c r="Q1122">
        <f>YEAR(tblTransactions[[#This Row],[Date]])</f>
        <v>2023</v>
      </c>
      <c r="R1122" t="str">
        <f>TEXT(tblTransactions[[#This Row],[Date]],"DDDD")</f>
        <v>Friday</v>
      </c>
      <c r="S1122">
        <f>MONTH(tblTransactions[[#This Row],[Date]])</f>
        <v>9</v>
      </c>
      <c r="T1122" t="str">
        <f>VLOOKUP(E1122, Products!$A:$B,2,0)</f>
        <v>Cables Acc-3</v>
      </c>
      <c r="U1122" t="str">
        <f>VLOOKUP(E1122,Products!$A:$C,3,0)</f>
        <v>Accessories</v>
      </c>
      <c r="V1122" t="str">
        <f>VLOOKUP(E1122,Products!$A:$D,4,0)</f>
        <v>Cables</v>
      </c>
      <c r="W1122" t="str">
        <f>VLOOKUP(D1122,Customers!$A:$C,3,0)</f>
        <v>B2C</v>
      </c>
      <c r="X1122" t="str">
        <f>VLOOKUP(C1122,Sales_Representatives!$A:$B,2,0)</f>
        <v>Jennifer Rodriguez</v>
      </c>
    </row>
    <row r="1123" spans="1:24" x14ac:dyDescent="0.3">
      <c r="A1123" t="s">
        <v>1580</v>
      </c>
      <c r="B1123" t="s">
        <v>1575</v>
      </c>
      <c r="C1123" t="s">
        <v>82</v>
      </c>
      <c r="D1123" t="s">
        <v>1478</v>
      </c>
      <c r="E1123" t="s">
        <v>152</v>
      </c>
      <c r="F1123">
        <v>4</v>
      </c>
      <c r="G1123">
        <v>859.93</v>
      </c>
      <c r="H1123">
        <v>0.1</v>
      </c>
      <c r="I1123" s="4">
        <v>3095.75</v>
      </c>
      <c r="J1123" t="s">
        <v>34</v>
      </c>
      <c r="K1123" t="s">
        <v>35</v>
      </c>
      <c r="L1123" s="4">
        <f>VLOOKUP(tblTransactions[[#This Row],[Product_ID]],tblProducts[],5,FALSE)</f>
        <v>579.79</v>
      </c>
      <c r="M1123" s="4">
        <f>tblTransactions[[#This Row],[Total_Amount]]-(tblTransactions[[#This Row],[Cost_Prices]]*tblTransactions[[#This Row],[Quantity]]*(1-tblTransactions[[#This Row],[Discount]]))</f>
        <v>1008.5059999999999</v>
      </c>
      <c r="N1123" s="3">
        <f>tblTransactions[[#This Row],[Profit]]/tblTransactions[[#This Row],[Total_Amount]]</f>
        <v>0.32577113785027856</v>
      </c>
      <c r="O1123" t="str">
        <f>TEXT(tblTransactions[[#This Row],[Date]], "MMM-YYYY")</f>
        <v>Sep-2023</v>
      </c>
      <c r="P1123" t="str">
        <f>"Q"&amp;ROUNDUP(MONTH(tblTransactions[[#This Row],[Date]])/3,0)&amp;"-"&amp;YEAR(tblTransactions[[#This Row],[Date]])</f>
        <v>Q3-2023</v>
      </c>
      <c r="Q1123">
        <f>YEAR(tblTransactions[[#This Row],[Date]])</f>
        <v>2023</v>
      </c>
      <c r="R1123" t="str">
        <f>TEXT(tblTransactions[[#This Row],[Date]],"DDDD")</f>
        <v>Friday</v>
      </c>
      <c r="S1123">
        <f>MONTH(tblTransactions[[#This Row],[Date]])</f>
        <v>9</v>
      </c>
      <c r="T1123" t="str">
        <f>VLOOKUP(E1123, Products!$A:$B,2,0)</f>
        <v>Phones Ele-4</v>
      </c>
      <c r="U1123" t="str">
        <f>VLOOKUP(E1123,Products!$A:$C,3,0)</f>
        <v>Electronics</v>
      </c>
      <c r="V1123" t="str">
        <f>VLOOKUP(E1123,Products!$A:$D,4,0)</f>
        <v>Phones</v>
      </c>
      <c r="W1123" t="str">
        <f>VLOOKUP(D1123,Customers!$A:$C,3,0)</f>
        <v>Small Business</v>
      </c>
      <c r="X1123" t="str">
        <f>VLOOKUP(C1123,Sales_Representatives!$A:$B,2,0)</f>
        <v>John Brown</v>
      </c>
    </row>
    <row r="1124" spans="1:24" x14ac:dyDescent="0.3">
      <c r="A1124" t="s">
        <v>1581</v>
      </c>
      <c r="B1124" t="s">
        <v>1575</v>
      </c>
      <c r="C1124" t="s">
        <v>107</v>
      </c>
      <c r="D1124" t="s">
        <v>1582</v>
      </c>
      <c r="E1124" t="s">
        <v>290</v>
      </c>
      <c r="F1124">
        <v>1</v>
      </c>
      <c r="G1124">
        <v>729.32</v>
      </c>
      <c r="H1124">
        <v>0.01</v>
      </c>
      <c r="I1124" s="4">
        <v>722.03</v>
      </c>
      <c r="J1124" t="s">
        <v>109</v>
      </c>
      <c r="K1124" t="s">
        <v>22</v>
      </c>
      <c r="L1124" s="4">
        <f>VLOOKUP(tblTransactions[[#This Row],[Product_ID]],tblProducts[],5,FALSE)</f>
        <v>482.7</v>
      </c>
      <c r="M1124" s="4">
        <f>tblTransactions[[#This Row],[Total_Amount]]-(tblTransactions[[#This Row],[Cost_Prices]]*tblTransactions[[#This Row],[Quantity]]*(1-tblTransactions[[#This Row],[Discount]]))</f>
        <v>244.15699999999998</v>
      </c>
      <c r="N1124" s="3">
        <f>tblTransactions[[#This Row],[Profit]]/tblTransactions[[#This Row],[Total_Amount]]</f>
        <v>0.33815353932662079</v>
      </c>
      <c r="O1124" t="str">
        <f>TEXT(tblTransactions[[#This Row],[Date]], "MMM-YYYY")</f>
        <v>Sep-2023</v>
      </c>
      <c r="P1124" t="str">
        <f>"Q"&amp;ROUNDUP(MONTH(tblTransactions[[#This Row],[Date]])/3,0)&amp;"-"&amp;YEAR(tblTransactions[[#This Row],[Date]])</f>
        <v>Q3-2023</v>
      </c>
      <c r="Q1124">
        <f>YEAR(tblTransactions[[#This Row],[Date]])</f>
        <v>2023</v>
      </c>
      <c r="R1124" t="str">
        <f>TEXT(tblTransactions[[#This Row],[Date]],"DDDD")</f>
        <v>Friday</v>
      </c>
      <c r="S1124">
        <f>MONTH(tblTransactions[[#This Row],[Date]])</f>
        <v>9</v>
      </c>
      <c r="T1124" t="str">
        <f>VLOOKUP(E1124, Products!$A:$B,2,0)</f>
        <v>Tables Fur-1</v>
      </c>
      <c r="U1124" t="str">
        <f>VLOOKUP(E1124,Products!$A:$C,3,0)</f>
        <v>Furniture</v>
      </c>
      <c r="V1124" t="str">
        <f>VLOOKUP(E1124,Products!$A:$D,4,0)</f>
        <v>Tables</v>
      </c>
      <c r="W1124" t="str">
        <f>VLOOKUP(D1124,Customers!$A:$C,3,0)</f>
        <v>Small Business</v>
      </c>
      <c r="X1124" t="str">
        <f>VLOOKUP(C1124,Sales_Representatives!$A:$B,2,0)</f>
        <v>Jennifer Brown</v>
      </c>
    </row>
    <row r="1125" spans="1:24" x14ac:dyDescent="0.3">
      <c r="A1125" t="s">
        <v>1583</v>
      </c>
      <c r="B1125" t="s">
        <v>1575</v>
      </c>
      <c r="C1125" t="s">
        <v>31</v>
      </c>
      <c r="D1125" t="s">
        <v>1559</v>
      </c>
      <c r="E1125" t="s">
        <v>198</v>
      </c>
      <c r="F1125">
        <v>3</v>
      </c>
      <c r="G1125">
        <v>1802.96</v>
      </c>
      <c r="H1125">
        <v>0.1</v>
      </c>
      <c r="I1125" s="4">
        <v>4867.99</v>
      </c>
      <c r="J1125" t="s">
        <v>34</v>
      </c>
      <c r="K1125" t="s">
        <v>17</v>
      </c>
      <c r="L1125" s="4">
        <f>VLOOKUP(tblTransactions[[#This Row],[Product_ID]],tblProducts[],5,FALSE)</f>
        <v>1282.18</v>
      </c>
      <c r="M1125" s="4">
        <f>tblTransactions[[#This Row],[Total_Amount]]-(tblTransactions[[#This Row],[Cost_Prices]]*tblTransactions[[#This Row],[Quantity]]*(1-tblTransactions[[#This Row],[Discount]]))</f>
        <v>1406.1039999999998</v>
      </c>
      <c r="N1125" s="3">
        <f>tblTransactions[[#This Row],[Profit]]/tblTransactions[[#This Row],[Total_Amount]]</f>
        <v>0.2888469368260822</v>
      </c>
      <c r="O1125" t="str">
        <f>TEXT(tblTransactions[[#This Row],[Date]], "MMM-YYYY")</f>
        <v>Sep-2023</v>
      </c>
      <c r="P1125" t="str">
        <f>"Q"&amp;ROUNDUP(MONTH(tblTransactions[[#This Row],[Date]])/3,0)&amp;"-"&amp;YEAR(tblTransactions[[#This Row],[Date]])</f>
        <v>Q3-2023</v>
      </c>
      <c r="Q1125">
        <f>YEAR(tblTransactions[[#This Row],[Date]])</f>
        <v>2023</v>
      </c>
      <c r="R1125" t="str">
        <f>TEXT(tblTransactions[[#This Row],[Date]],"DDDD")</f>
        <v>Friday</v>
      </c>
      <c r="S1125">
        <f>MONTH(tblTransactions[[#This Row],[Date]])</f>
        <v>9</v>
      </c>
      <c r="T1125" t="str">
        <f>VLOOKUP(E1125, Products!$A:$B,2,0)</f>
        <v>Tablets Ele-3</v>
      </c>
      <c r="U1125" t="str">
        <f>VLOOKUP(E1125,Products!$A:$C,3,0)</f>
        <v>Electronics</v>
      </c>
      <c r="V1125" t="str">
        <f>VLOOKUP(E1125,Products!$A:$D,4,0)</f>
        <v>Tablets</v>
      </c>
      <c r="W1125" t="str">
        <f>VLOOKUP(D1125,Customers!$A:$C,3,0)</f>
        <v>B2B</v>
      </c>
      <c r="X1125" t="str">
        <f>VLOOKUP(C1125,Sales_Representatives!$A:$B,2,0)</f>
        <v>Thomas Martinez</v>
      </c>
    </row>
    <row r="1126" spans="1:24" x14ac:dyDescent="0.3">
      <c r="A1126" t="s">
        <v>1584</v>
      </c>
      <c r="B1126" t="s">
        <v>1585</v>
      </c>
      <c r="C1126" t="s">
        <v>56</v>
      </c>
      <c r="D1126" t="s">
        <v>1586</v>
      </c>
      <c r="E1126" t="s">
        <v>198</v>
      </c>
      <c r="F1126">
        <v>14</v>
      </c>
      <c r="G1126">
        <v>1802.96</v>
      </c>
      <c r="H1126">
        <v>0.18</v>
      </c>
      <c r="I1126" s="4">
        <v>20697.98</v>
      </c>
      <c r="J1126" t="s">
        <v>34</v>
      </c>
      <c r="K1126" t="s">
        <v>17</v>
      </c>
      <c r="L1126" s="4">
        <f>VLOOKUP(tblTransactions[[#This Row],[Product_ID]],tblProducts[],5,FALSE)</f>
        <v>1282.18</v>
      </c>
      <c r="M1126" s="4">
        <f>tblTransactions[[#This Row],[Total_Amount]]-(tblTransactions[[#This Row],[Cost_Prices]]*tblTransactions[[#This Row],[Quantity]]*(1-tblTransactions[[#This Row],[Discount]]))</f>
        <v>5978.5535999999975</v>
      </c>
      <c r="N1126" s="3">
        <f>tblTransactions[[#This Row],[Profit]]/tblTransactions[[#This Row],[Total_Amount]]</f>
        <v>0.28884720151435056</v>
      </c>
      <c r="O1126" t="str">
        <f>TEXT(tblTransactions[[#This Row],[Date]], "MMM-YYYY")</f>
        <v>Sep-2023</v>
      </c>
      <c r="P1126" t="str">
        <f>"Q"&amp;ROUNDUP(MONTH(tblTransactions[[#This Row],[Date]])/3,0)&amp;"-"&amp;YEAR(tblTransactions[[#This Row],[Date]])</f>
        <v>Q3-2023</v>
      </c>
      <c r="Q1126">
        <f>YEAR(tblTransactions[[#This Row],[Date]])</f>
        <v>2023</v>
      </c>
      <c r="R1126" t="str">
        <f>TEXT(tblTransactions[[#This Row],[Date]],"DDDD")</f>
        <v>Saturday</v>
      </c>
      <c r="S1126">
        <f>MONTH(tblTransactions[[#This Row],[Date]])</f>
        <v>9</v>
      </c>
      <c r="T1126" t="str">
        <f>VLOOKUP(E1126, Products!$A:$B,2,0)</f>
        <v>Tablets Ele-3</v>
      </c>
      <c r="U1126" t="str">
        <f>VLOOKUP(E1126,Products!$A:$C,3,0)</f>
        <v>Electronics</v>
      </c>
      <c r="V1126" t="str">
        <f>VLOOKUP(E1126,Products!$A:$D,4,0)</f>
        <v>Tablets</v>
      </c>
      <c r="W1126" t="str">
        <f>VLOOKUP(D1126,Customers!$A:$C,3,0)</f>
        <v>B2B</v>
      </c>
      <c r="X1126" t="str">
        <f>VLOOKUP(C1126,Sales_Representatives!$A:$B,2,0)</f>
        <v>Thomas Hernandez</v>
      </c>
    </row>
    <row r="1127" spans="1:24" x14ac:dyDescent="0.3">
      <c r="A1127" t="s">
        <v>1587</v>
      </c>
      <c r="B1127" t="s">
        <v>1585</v>
      </c>
      <c r="C1127" t="s">
        <v>82</v>
      </c>
      <c r="D1127" t="s">
        <v>1588</v>
      </c>
      <c r="E1127" t="s">
        <v>25</v>
      </c>
      <c r="F1127">
        <v>9</v>
      </c>
      <c r="G1127">
        <v>1467.49</v>
      </c>
      <c r="H1127">
        <v>0.12</v>
      </c>
      <c r="I1127" s="4">
        <v>11622.52</v>
      </c>
      <c r="J1127" t="s">
        <v>34</v>
      </c>
      <c r="K1127" t="s">
        <v>17</v>
      </c>
      <c r="L1127" s="4">
        <f>VLOOKUP(tblTransactions[[#This Row],[Product_ID]],tblProducts[],5,FALSE)</f>
        <v>757.65</v>
      </c>
      <c r="M1127" s="4">
        <f>tblTransactions[[#This Row],[Total_Amount]]-(tblTransactions[[#This Row],[Cost_Prices]]*tblTransactions[[#This Row],[Quantity]]*(1-tblTransactions[[#This Row],[Discount]]))</f>
        <v>5621.9320000000007</v>
      </c>
      <c r="N1127" s="3">
        <f>tblTransactions[[#This Row],[Profit]]/tblTransactions[[#This Row],[Total_Amount]]</f>
        <v>0.4837102452824345</v>
      </c>
      <c r="O1127" t="str">
        <f>TEXT(tblTransactions[[#This Row],[Date]], "MMM-YYYY")</f>
        <v>Sep-2023</v>
      </c>
      <c r="P1127" t="str">
        <f>"Q"&amp;ROUNDUP(MONTH(tblTransactions[[#This Row],[Date]])/3,0)&amp;"-"&amp;YEAR(tblTransactions[[#This Row],[Date]])</f>
        <v>Q3-2023</v>
      </c>
      <c r="Q1127">
        <f>YEAR(tblTransactions[[#This Row],[Date]])</f>
        <v>2023</v>
      </c>
      <c r="R1127" t="str">
        <f>TEXT(tblTransactions[[#This Row],[Date]],"DDDD")</f>
        <v>Saturday</v>
      </c>
      <c r="S1127">
        <f>MONTH(tblTransactions[[#This Row],[Date]])</f>
        <v>9</v>
      </c>
      <c r="T1127" t="str">
        <f>VLOOKUP(E1127, Products!$A:$B,2,0)</f>
        <v>Tables Fur-3</v>
      </c>
      <c r="U1127" t="str">
        <f>VLOOKUP(E1127,Products!$A:$C,3,0)</f>
        <v>Furniture</v>
      </c>
      <c r="V1127" t="str">
        <f>VLOOKUP(E1127,Products!$A:$D,4,0)</f>
        <v>Tables</v>
      </c>
      <c r="W1127" t="str">
        <f>VLOOKUP(D1127,Customers!$A:$C,3,0)</f>
        <v>B2B</v>
      </c>
      <c r="X1127" t="str">
        <f>VLOOKUP(C1127,Sales_Representatives!$A:$B,2,0)</f>
        <v>John Brown</v>
      </c>
    </row>
    <row r="1128" spans="1:24" x14ac:dyDescent="0.3">
      <c r="A1128" t="s">
        <v>1589</v>
      </c>
      <c r="B1128" t="s">
        <v>1590</v>
      </c>
      <c r="C1128" t="s">
        <v>56</v>
      </c>
      <c r="D1128" t="s">
        <v>1591</v>
      </c>
      <c r="E1128" t="s">
        <v>84</v>
      </c>
      <c r="F1128">
        <v>35</v>
      </c>
      <c r="G1128">
        <v>1841.77</v>
      </c>
      <c r="H1128">
        <v>0.16</v>
      </c>
      <c r="I1128" s="4">
        <v>54148.04</v>
      </c>
      <c r="J1128" t="s">
        <v>34</v>
      </c>
      <c r="K1128" t="s">
        <v>39</v>
      </c>
      <c r="L1128" s="4">
        <f>VLOOKUP(tblTransactions[[#This Row],[Product_ID]],tblProducts[],5,FALSE)</f>
        <v>1151.5899999999999</v>
      </c>
      <c r="M1128" s="4">
        <f>tblTransactions[[#This Row],[Total_Amount]]-(tblTransactions[[#This Row],[Cost_Prices]]*tblTransactions[[#This Row],[Quantity]]*(1-tblTransactions[[#This Row],[Discount]]))</f>
        <v>20291.294000000009</v>
      </c>
      <c r="N1128" s="3">
        <f>tblTransactions[[#This Row],[Profit]]/tblTransactions[[#This Row],[Total_Amount]]</f>
        <v>0.37473736814850561</v>
      </c>
      <c r="O1128" t="str">
        <f>TEXT(tblTransactions[[#This Row],[Date]], "MMM-YYYY")</f>
        <v>Sep-2023</v>
      </c>
      <c r="P1128" t="str">
        <f>"Q"&amp;ROUNDUP(MONTH(tblTransactions[[#This Row],[Date]])/3,0)&amp;"-"&amp;YEAR(tblTransactions[[#This Row],[Date]])</f>
        <v>Q3-2023</v>
      </c>
      <c r="Q1128">
        <f>YEAR(tblTransactions[[#This Row],[Date]])</f>
        <v>2023</v>
      </c>
      <c r="R1128" t="str">
        <f>TEXT(tblTransactions[[#This Row],[Date]],"DDDD")</f>
        <v>Sunday</v>
      </c>
      <c r="S1128">
        <f>MONTH(tblTransactions[[#This Row],[Date]])</f>
        <v>9</v>
      </c>
      <c r="T1128" t="str">
        <f>VLOOKUP(E1128, Products!$A:$B,2,0)</f>
        <v>Laptops Ele-2</v>
      </c>
      <c r="U1128" t="str">
        <f>VLOOKUP(E1128,Products!$A:$C,3,0)</f>
        <v>Electronics</v>
      </c>
      <c r="V1128" t="str">
        <f>VLOOKUP(E1128,Products!$A:$D,4,0)</f>
        <v>Laptops</v>
      </c>
      <c r="W1128" t="str">
        <f>VLOOKUP(D1128,Customers!$A:$C,3,0)</f>
        <v>Enterprise</v>
      </c>
      <c r="X1128" t="str">
        <f>VLOOKUP(C1128,Sales_Representatives!$A:$B,2,0)</f>
        <v>Thomas Hernandez</v>
      </c>
    </row>
    <row r="1129" spans="1:24" x14ac:dyDescent="0.3">
      <c r="A1129" t="s">
        <v>1592</v>
      </c>
      <c r="B1129" t="s">
        <v>1590</v>
      </c>
      <c r="C1129" t="s">
        <v>19</v>
      </c>
      <c r="D1129" t="s">
        <v>1467</v>
      </c>
      <c r="E1129" t="s">
        <v>206</v>
      </c>
      <c r="F1129">
        <v>6</v>
      </c>
      <c r="G1129">
        <v>292.51</v>
      </c>
      <c r="H1129">
        <v>0.12</v>
      </c>
      <c r="I1129" s="4">
        <v>1544.45</v>
      </c>
      <c r="J1129" t="s">
        <v>21</v>
      </c>
      <c r="K1129" t="s">
        <v>22</v>
      </c>
      <c r="L1129" s="4">
        <f>VLOOKUP(tblTransactions[[#This Row],[Product_ID]],tblProducts[],5,FALSE)</f>
        <v>122.08</v>
      </c>
      <c r="M1129" s="4">
        <f>tblTransactions[[#This Row],[Total_Amount]]-(tblTransactions[[#This Row],[Cost_Prices]]*tblTransactions[[#This Row],[Quantity]]*(1-tblTransactions[[#This Row],[Discount]]))</f>
        <v>899.86760000000004</v>
      </c>
      <c r="N1129" s="3">
        <f>tblTransactions[[#This Row],[Profit]]/tblTransactions[[#This Row],[Total_Amount]]</f>
        <v>0.58264599048204868</v>
      </c>
      <c r="O1129" t="str">
        <f>TEXT(tblTransactions[[#This Row],[Date]], "MMM-YYYY")</f>
        <v>Sep-2023</v>
      </c>
      <c r="P1129" t="str">
        <f>"Q"&amp;ROUNDUP(MONTH(tblTransactions[[#This Row],[Date]])/3,0)&amp;"-"&amp;YEAR(tblTransactions[[#This Row],[Date]])</f>
        <v>Q3-2023</v>
      </c>
      <c r="Q1129">
        <f>YEAR(tblTransactions[[#This Row],[Date]])</f>
        <v>2023</v>
      </c>
      <c r="R1129" t="str">
        <f>TEXT(tblTransactions[[#This Row],[Date]],"DDDD")</f>
        <v>Sunday</v>
      </c>
      <c r="S1129">
        <f>MONTH(tblTransactions[[#This Row],[Date]])</f>
        <v>9</v>
      </c>
      <c r="T1129" t="str">
        <f>VLOOKUP(E1129, Products!$A:$B,2,0)</f>
        <v>Keyboards Acc-1</v>
      </c>
      <c r="U1129" t="str">
        <f>VLOOKUP(E1129,Products!$A:$C,3,0)</f>
        <v>Accessories</v>
      </c>
      <c r="V1129" t="str">
        <f>VLOOKUP(E1129,Products!$A:$D,4,0)</f>
        <v>Keyboards</v>
      </c>
      <c r="W1129" t="str">
        <f>VLOOKUP(D1129,Customers!$A:$C,3,0)</f>
        <v>B2C</v>
      </c>
      <c r="X1129" t="str">
        <f>VLOOKUP(C1129,Sales_Representatives!$A:$B,2,0)</f>
        <v>Robert Jones</v>
      </c>
    </row>
    <row r="1130" spans="1:24" x14ac:dyDescent="0.3">
      <c r="A1130" t="s">
        <v>1593</v>
      </c>
      <c r="B1130" t="s">
        <v>1594</v>
      </c>
      <c r="C1130" t="s">
        <v>127</v>
      </c>
      <c r="D1130" t="s">
        <v>144</v>
      </c>
      <c r="E1130" t="s">
        <v>198</v>
      </c>
      <c r="F1130">
        <v>2</v>
      </c>
      <c r="G1130">
        <v>1802.96</v>
      </c>
      <c r="H1130">
        <v>0.09</v>
      </c>
      <c r="I1130" s="4">
        <v>3281.39</v>
      </c>
      <c r="J1130" t="s">
        <v>109</v>
      </c>
      <c r="K1130" t="s">
        <v>22</v>
      </c>
      <c r="L1130" s="4">
        <f>VLOOKUP(tblTransactions[[#This Row],[Product_ID]],tblProducts[],5,FALSE)</f>
        <v>1282.18</v>
      </c>
      <c r="M1130" s="4">
        <f>tblTransactions[[#This Row],[Total_Amount]]-(tblTransactions[[#This Row],[Cost_Prices]]*tblTransactions[[#This Row],[Quantity]]*(1-tblTransactions[[#This Row],[Discount]]))</f>
        <v>947.82239999999956</v>
      </c>
      <c r="N1130" s="3">
        <f>tblTransactions[[#This Row],[Profit]]/tblTransactions[[#This Row],[Total_Amount]]</f>
        <v>0.28884783582567131</v>
      </c>
      <c r="O1130" t="str">
        <f>TEXT(tblTransactions[[#This Row],[Date]], "MMM-YYYY")</f>
        <v>Sep-2023</v>
      </c>
      <c r="P1130" t="str">
        <f>"Q"&amp;ROUNDUP(MONTH(tblTransactions[[#This Row],[Date]])/3,0)&amp;"-"&amp;YEAR(tblTransactions[[#This Row],[Date]])</f>
        <v>Q3-2023</v>
      </c>
      <c r="Q1130">
        <f>YEAR(tblTransactions[[#This Row],[Date]])</f>
        <v>2023</v>
      </c>
      <c r="R1130" t="str">
        <f>TEXT(tblTransactions[[#This Row],[Date]],"DDDD")</f>
        <v>Monday</v>
      </c>
      <c r="S1130">
        <f>MONTH(tblTransactions[[#This Row],[Date]])</f>
        <v>9</v>
      </c>
      <c r="T1130" t="str">
        <f>VLOOKUP(E1130, Products!$A:$B,2,0)</f>
        <v>Tablets Ele-3</v>
      </c>
      <c r="U1130" t="str">
        <f>VLOOKUP(E1130,Products!$A:$C,3,0)</f>
        <v>Electronics</v>
      </c>
      <c r="V1130" t="str">
        <f>VLOOKUP(E1130,Products!$A:$D,4,0)</f>
        <v>Tablets</v>
      </c>
      <c r="W1130" t="str">
        <f>VLOOKUP(D1130,Customers!$A:$C,3,0)</f>
        <v>B2C</v>
      </c>
      <c r="X1130" t="str">
        <f>VLOOKUP(C1130,Sales_Representatives!$A:$B,2,0)</f>
        <v>Emily Hernandez</v>
      </c>
    </row>
    <row r="1131" spans="1:24" x14ac:dyDescent="0.3">
      <c r="A1131" t="s">
        <v>1595</v>
      </c>
      <c r="B1131" t="s">
        <v>1594</v>
      </c>
      <c r="C1131" t="s">
        <v>82</v>
      </c>
      <c r="D1131" t="s">
        <v>1596</v>
      </c>
      <c r="E1131" t="s">
        <v>178</v>
      </c>
      <c r="F1131">
        <v>27</v>
      </c>
      <c r="G1131">
        <v>1623.35</v>
      </c>
      <c r="H1131">
        <v>0.19</v>
      </c>
      <c r="I1131" s="4">
        <v>35502.660000000003</v>
      </c>
      <c r="J1131" t="s">
        <v>34</v>
      </c>
      <c r="K1131" t="s">
        <v>48</v>
      </c>
      <c r="L1131" s="4">
        <f>VLOOKUP(tblTransactions[[#This Row],[Product_ID]],tblProducts[],5,FALSE)</f>
        <v>981.45</v>
      </c>
      <c r="M1131" s="4">
        <f>tblTransactions[[#This Row],[Total_Amount]]-(tblTransactions[[#This Row],[Cost_Prices]]*tblTransactions[[#This Row],[Quantity]]*(1-tblTransactions[[#This Row],[Discount]]))</f>
        <v>14038.3485</v>
      </c>
      <c r="N1131" s="3">
        <f>tblTransactions[[#This Row],[Profit]]/tblTransactions[[#This Row],[Total_Amount]]</f>
        <v>0.39541680820535696</v>
      </c>
      <c r="O1131" t="str">
        <f>TEXT(tblTransactions[[#This Row],[Date]], "MMM-YYYY")</f>
        <v>Sep-2023</v>
      </c>
      <c r="P1131" t="str">
        <f>"Q"&amp;ROUNDUP(MONTH(tblTransactions[[#This Row],[Date]])/3,0)&amp;"-"&amp;YEAR(tblTransactions[[#This Row],[Date]])</f>
        <v>Q3-2023</v>
      </c>
      <c r="Q1131">
        <f>YEAR(tblTransactions[[#This Row],[Date]])</f>
        <v>2023</v>
      </c>
      <c r="R1131" t="str">
        <f>TEXT(tblTransactions[[#This Row],[Date]],"DDDD")</f>
        <v>Monday</v>
      </c>
      <c r="S1131">
        <f>MONTH(tblTransactions[[#This Row],[Date]])</f>
        <v>9</v>
      </c>
      <c r="T1131" t="str">
        <f>VLOOKUP(E1131, Products!$A:$B,2,0)</f>
        <v>Tablets Ele-1</v>
      </c>
      <c r="U1131" t="str">
        <f>VLOOKUP(E1131,Products!$A:$C,3,0)</f>
        <v>Electronics</v>
      </c>
      <c r="V1131" t="str">
        <f>VLOOKUP(E1131,Products!$A:$D,4,0)</f>
        <v>Tablets</v>
      </c>
      <c r="W1131" t="str">
        <f>VLOOKUP(D1131,Customers!$A:$C,3,0)</f>
        <v>Enterprise</v>
      </c>
      <c r="X1131" t="str">
        <f>VLOOKUP(C1131,Sales_Representatives!$A:$B,2,0)</f>
        <v>John Brown</v>
      </c>
    </row>
    <row r="1132" spans="1:24" x14ac:dyDescent="0.3">
      <c r="A1132" t="s">
        <v>1597</v>
      </c>
      <c r="B1132" t="s">
        <v>1594</v>
      </c>
      <c r="C1132" t="s">
        <v>63</v>
      </c>
      <c r="D1132" t="s">
        <v>1598</v>
      </c>
      <c r="E1132" t="s">
        <v>29</v>
      </c>
      <c r="F1132">
        <v>1</v>
      </c>
      <c r="G1132">
        <v>1363.46</v>
      </c>
      <c r="H1132">
        <v>0.1</v>
      </c>
      <c r="I1132" s="4">
        <v>1227.1099999999999</v>
      </c>
      <c r="J1132" t="s">
        <v>21</v>
      </c>
      <c r="K1132" t="s">
        <v>22</v>
      </c>
      <c r="L1132" s="4">
        <f>VLOOKUP(tblTransactions[[#This Row],[Product_ID]],tblProducts[],5,FALSE)</f>
        <v>995.41</v>
      </c>
      <c r="M1132" s="4">
        <f>tblTransactions[[#This Row],[Total_Amount]]-(tblTransactions[[#This Row],[Cost_Prices]]*tblTransactions[[#This Row],[Quantity]]*(1-tblTransactions[[#This Row],[Discount]]))</f>
        <v>331.24099999999987</v>
      </c>
      <c r="N1132" s="3">
        <f>tblTransactions[[#This Row],[Profit]]/tblTransactions[[#This Row],[Total_Amount]]</f>
        <v>0.26993586557032367</v>
      </c>
      <c r="O1132" t="str">
        <f>TEXT(tblTransactions[[#This Row],[Date]], "MMM-YYYY")</f>
        <v>Sep-2023</v>
      </c>
      <c r="P1132" t="str">
        <f>"Q"&amp;ROUNDUP(MONTH(tblTransactions[[#This Row],[Date]])/3,0)&amp;"-"&amp;YEAR(tblTransactions[[#This Row],[Date]])</f>
        <v>Q3-2023</v>
      </c>
      <c r="Q1132">
        <f>YEAR(tblTransactions[[#This Row],[Date]])</f>
        <v>2023</v>
      </c>
      <c r="R1132" t="str">
        <f>TEXT(tblTransactions[[#This Row],[Date]],"DDDD")</f>
        <v>Monday</v>
      </c>
      <c r="S1132">
        <f>MONTH(tblTransactions[[#This Row],[Date]])</f>
        <v>9</v>
      </c>
      <c r="T1132" t="str">
        <f>VLOOKUP(E1132, Products!$A:$B,2,0)</f>
        <v>Phones Ele-3</v>
      </c>
      <c r="U1132" t="str">
        <f>VLOOKUP(E1132,Products!$A:$C,3,0)</f>
        <v>Electronics</v>
      </c>
      <c r="V1132" t="str">
        <f>VLOOKUP(E1132,Products!$A:$D,4,0)</f>
        <v>Phones</v>
      </c>
      <c r="W1132" t="str">
        <f>VLOOKUP(D1132,Customers!$A:$C,3,0)</f>
        <v>B2C</v>
      </c>
      <c r="X1132" t="str">
        <f>VLOOKUP(C1132,Sales_Representatives!$A:$B,2,0)</f>
        <v>Richard Wilson</v>
      </c>
    </row>
    <row r="1133" spans="1:24" x14ac:dyDescent="0.3">
      <c r="A1133" t="s">
        <v>1599</v>
      </c>
      <c r="B1133" t="s">
        <v>1594</v>
      </c>
      <c r="C1133" t="s">
        <v>19</v>
      </c>
      <c r="D1133" t="s">
        <v>1600</v>
      </c>
      <c r="E1133" t="s">
        <v>394</v>
      </c>
      <c r="F1133">
        <v>3</v>
      </c>
      <c r="G1133">
        <v>314.69</v>
      </c>
      <c r="H1133">
        <v>0.06</v>
      </c>
      <c r="I1133" s="4">
        <v>887.43</v>
      </c>
      <c r="J1133" t="s">
        <v>21</v>
      </c>
      <c r="K1133" t="s">
        <v>22</v>
      </c>
      <c r="L1133" s="4">
        <f>VLOOKUP(tblTransactions[[#This Row],[Product_ID]],tblProducts[],5,FALSE)</f>
        <v>185.43</v>
      </c>
      <c r="M1133" s="4">
        <f>tblTransactions[[#This Row],[Total_Amount]]-(tblTransactions[[#This Row],[Cost_Prices]]*tblTransactions[[#This Row],[Quantity]]*(1-tblTransactions[[#This Row],[Discount]]))</f>
        <v>364.51740000000007</v>
      </c>
      <c r="N1133" s="3">
        <f>tblTransactions[[#This Row],[Profit]]/tblTransactions[[#This Row],[Total_Amount]]</f>
        <v>0.41075622866028877</v>
      </c>
      <c r="O1133" t="str">
        <f>TEXT(tblTransactions[[#This Row],[Date]], "MMM-YYYY")</f>
        <v>Sep-2023</v>
      </c>
      <c r="P1133" t="str">
        <f>"Q"&amp;ROUNDUP(MONTH(tblTransactions[[#This Row],[Date]])/3,0)&amp;"-"&amp;YEAR(tblTransactions[[#This Row],[Date]])</f>
        <v>Q3-2023</v>
      </c>
      <c r="Q1133">
        <f>YEAR(tblTransactions[[#This Row],[Date]])</f>
        <v>2023</v>
      </c>
      <c r="R1133" t="str">
        <f>TEXT(tblTransactions[[#This Row],[Date]],"DDDD")</f>
        <v>Monday</v>
      </c>
      <c r="S1133">
        <f>MONTH(tblTransactions[[#This Row],[Date]])</f>
        <v>9</v>
      </c>
      <c r="T1133" t="str">
        <f>VLOOKUP(E1133, Products!$A:$B,2,0)</f>
        <v>Desks Fur-1</v>
      </c>
      <c r="U1133" t="str">
        <f>VLOOKUP(E1133,Products!$A:$C,3,0)</f>
        <v>Furniture</v>
      </c>
      <c r="V1133" t="str">
        <f>VLOOKUP(E1133,Products!$A:$D,4,0)</f>
        <v>Desks</v>
      </c>
      <c r="W1133" t="str">
        <f>VLOOKUP(D1133,Customers!$A:$C,3,0)</f>
        <v>B2C</v>
      </c>
      <c r="X1133" t="str">
        <f>VLOOKUP(C1133,Sales_Representatives!$A:$B,2,0)</f>
        <v>Robert Jones</v>
      </c>
    </row>
    <row r="1134" spans="1:24" x14ac:dyDescent="0.3">
      <c r="A1134" t="s">
        <v>1601</v>
      </c>
      <c r="B1134" t="s">
        <v>1594</v>
      </c>
      <c r="C1134" t="s">
        <v>56</v>
      </c>
      <c r="D1134" t="s">
        <v>1602</v>
      </c>
      <c r="E1134" t="s">
        <v>184</v>
      </c>
      <c r="F1134">
        <v>1</v>
      </c>
      <c r="G1134">
        <v>276.35000000000002</v>
      </c>
      <c r="H1134">
        <v>0.03</v>
      </c>
      <c r="I1134" s="4">
        <v>268.06</v>
      </c>
      <c r="J1134" t="s">
        <v>34</v>
      </c>
      <c r="K1134" t="s">
        <v>39</v>
      </c>
      <c r="L1134" s="4">
        <f>VLOOKUP(tblTransactions[[#This Row],[Product_ID]],tblProducts[],5,FALSE)</f>
        <v>130.15</v>
      </c>
      <c r="M1134" s="4">
        <f>tblTransactions[[#This Row],[Total_Amount]]-(tblTransactions[[#This Row],[Cost_Prices]]*tblTransactions[[#This Row],[Quantity]]*(1-tblTransactions[[#This Row],[Discount]]))</f>
        <v>141.81450000000001</v>
      </c>
      <c r="N1134" s="3">
        <f>tblTransactions[[#This Row],[Profit]]/tblTransactions[[#This Row],[Total_Amount]]</f>
        <v>0.52904014026710444</v>
      </c>
      <c r="O1134" t="str">
        <f>TEXT(tblTransactions[[#This Row],[Date]], "MMM-YYYY")</f>
        <v>Sep-2023</v>
      </c>
      <c r="P1134" t="str">
        <f>"Q"&amp;ROUNDUP(MONTH(tblTransactions[[#This Row],[Date]])/3,0)&amp;"-"&amp;YEAR(tblTransactions[[#This Row],[Date]])</f>
        <v>Q3-2023</v>
      </c>
      <c r="Q1134">
        <f>YEAR(tblTransactions[[#This Row],[Date]])</f>
        <v>2023</v>
      </c>
      <c r="R1134" t="str">
        <f>TEXT(tblTransactions[[#This Row],[Date]],"DDDD")</f>
        <v>Monday</v>
      </c>
      <c r="S1134">
        <f>MONTH(tblTransactions[[#This Row],[Date]])</f>
        <v>9</v>
      </c>
      <c r="T1134" t="str">
        <f>VLOOKUP(E1134, Products!$A:$B,2,0)</f>
        <v>Binders Off-1</v>
      </c>
      <c r="U1134" t="str">
        <f>VLOOKUP(E1134,Products!$A:$C,3,0)</f>
        <v>Office Supplies</v>
      </c>
      <c r="V1134" t="str">
        <f>VLOOKUP(E1134,Products!$A:$D,4,0)</f>
        <v>Binders</v>
      </c>
      <c r="W1134" t="str">
        <f>VLOOKUP(D1134,Customers!$A:$C,3,0)</f>
        <v>B2C</v>
      </c>
      <c r="X1134" t="str">
        <f>VLOOKUP(C1134,Sales_Representatives!$A:$B,2,0)</f>
        <v>Thomas Hernandez</v>
      </c>
    </row>
    <row r="1135" spans="1:24" x14ac:dyDescent="0.3">
      <c r="A1135" t="s">
        <v>1603</v>
      </c>
      <c r="B1135" t="s">
        <v>1594</v>
      </c>
      <c r="C1135" t="s">
        <v>82</v>
      </c>
      <c r="D1135" t="s">
        <v>1604</v>
      </c>
      <c r="E1135" t="s">
        <v>481</v>
      </c>
      <c r="F1135">
        <v>4</v>
      </c>
      <c r="G1135">
        <v>263.58999999999997</v>
      </c>
      <c r="H1135">
        <v>0.1</v>
      </c>
      <c r="I1135" s="4">
        <v>948.92</v>
      </c>
      <c r="J1135" t="s">
        <v>34</v>
      </c>
      <c r="K1135" t="s">
        <v>39</v>
      </c>
      <c r="L1135" s="4">
        <f>VLOOKUP(tblTransactions[[#This Row],[Product_ID]],tblProducts[],5,FALSE)</f>
        <v>133.65</v>
      </c>
      <c r="M1135" s="4">
        <f>tblTransactions[[#This Row],[Total_Amount]]-(tblTransactions[[#This Row],[Cost_Prices]]*tblTransactions[[#This Row],[Quantity]]*(1-tblTransactions[[#This Row],[Discount]]))</f>
        <v>467.77999999999992</v>
      </c>
      <c r="N1135" s="3">
        <f>tblTransactions[[#This Row],[Profit]]/tblTransactions[[#This Row],[Total_Amount]]</f>
        <v>0.49296041815959191</v>
      </c>
      <c r="O1135" t="str">
        <f>TEXT(tblTransactions[[#This Row],[Date]], "MMM-YYYY")</f>
        <v>Sep-2023</v>
      </c>
      <c r="P1135" t="str">
        <f>"Q"&amp;ROUNDUP(MONTH(tblTransactions[[#This Row],[Date]])/3,0)&amp;"-"&amp;YEAR(tblTransactions[[#This Row],[Date]])</f>
        <v>Q3-2023</v>
      </c>
      <c r="Q1135">
        <f>YEAR(tblTransactions[[#This Row],[Date]])</f>
        <v>2023</v>
      </c>
      <c r="R1135" t="str">
        <f>TEXT(tblTransactions[[#This Row],[Date]],"DDDD")</f>
        <v>Monday</v>
      </c>
      <c r="S1135">
        <f>MONTH(tblTransactions[[#This Row],[Date]])</f>
        <v>9</v>
      </c>
      <c r="T1135" t="str">
        <f>VLOOKUP(E1135, Products!$A:$B,2,0)</f>
        <v>Folders Off-1</v>
      </c>
      <c r="U1135" t="str">
        <f>VLOOKUP(E1135,Products!$A:$C,3,0)</f>
        <v>Office Supplies</v>
      </c>
      <c r="V1135" t="str">
        <f>VLOOKUP(E1135,Products!$A:$D,4,0)</f>
        <v>Folders</v>
      </c>
      <c r="W1135" t="str">
        <f>VLOOKUP(D1135,Customers!$A:$C,3,0)</f>
        <v>B2C</v>
      </c>
      <c r="X1135" t="str">
        <f>VLOOKUP(C1135,Sales_Representatives!$A:$B,2,0)</f>
        <v>John Brown</v>
      </c>
    </row>
    <row r="1136" spans="1:24" x14ac:dyDescent="0.3">
      <c r="A1136" t="s">
        <v>1605</v>
      </c>
      <c r="B1136" t="s">
        <v>1594</v>
      </c>
      <c r="C1136" t="s">
        <v>31</v>
      </c>
      <c r="D1136" t="s">
        <v>1447</v>
      </c>
      <c r="E1136" t="s">
        <v>178</v>
      </c>
      <c r="F1136">
        <v>8</v>
      </c>
      <c r="G1136">
        <v>1623.35</v>
      </c>
      <c r="H1136">
        <v>0.14000000000000001</v>
      </c>
      <c r="I1136" s="4">
        <v>11168.65</v>
      </c>
      <c r="J1136" t="s">
        <v>34</v>
      </c>
      <c r="K1136" t="s">
        <v>48</v>
      </c>
      <c r="L1136" s="4">
        <f>VLOOKUP(tblTransactions[[#This Row],[Product_ID]],tblProducts[],5,FALSE)</f>
        <v>981.45</v>
      </c>
      <c r="M1136" s="4">
        <f>tblTransactions[[#This Row],[Total_Amount]]-(tblTransactions[[#This Row],[Cost_Prices]]*tblTransactions[[#This Row],[Quantity]]*(1-tblTransactions[[#This Row],[Discount]]))</f>
        <v>4416.2739999999994</v>
      </c>
      <c r="N1136" s="3">
        <f>tblTransactions[[#This Row],[Profit]]/tblTransactions[[#This Row],[Total_Amount]]</f>
        <v>0.39541699310122524</v>
      </c>
      <c r="O1136" t="str">
        <f>TEXT(tblTransactions[[#This Row],[Date]], "MMM-YYYY")</f>
        <v>Sep-2023</v>
      </c>
      <c r="P1136" t="str">
        <f>"Q"&amp;ROUNDUP(MONTH(tblTransactions[[#This Row],[Date]])/3,0)&amp;"-"&amp;YEAR(tblTransactions[[#This Row],[Date]])</f>
        <v>Q3-2023</v>
      </c>
      <c r="Q1136">
        <f>YEAR(tblTransactions[[#This Row],[Date]])</f>
        <v>2023</v>
      </c>
      <c r="R1136" t="str">
        <f>TEXT(tblTransactions[[#This Row],[Date]],"DDDD")</f>
        <v>Monday</v>
      </c>
      <c r="S1136">
        <f>MONTH(tblTransactions[[#This Row],[Date]])</f>
        <v>9</v>
      </c>
      <c r="T1136" t="str">
        <f>VLOOKUP(E1136, Products!$A:$B,2,0)</f>
        <v>Tablets Ele-1</v>
      </c>
      <c r="U1136" t="str">
        <f>VLOOKUP(E1136,Products!$A:$C,3,0)</f>
        <v>Electronics</v>
      </c>
      <c r="V1136" t="str">
        <f>VLOOKUP(E1136,Products!$A:$D,4,0)</f>
        <v>Tablets</v>
      </c>
      <c r="W1136" t="str">
        <f>VLOOKUP(D1136,Customers!$A:$C,3,0)</f>
        <v>B2B</v>
      </c>
      <c r="X1136" t="str">
        <f>VLOOKUP(C1136,Sales_Representatives!$A:$B,2,0)</f>
        <v>Thomas Martinez</v>
      </c>
    </row>
    <row r="1137" spans="1:24" x14ac:dyDescent="0.3">
      <c r="A1137" t="s">
        <v>1606</v>
      </c>
      <c r="B1137" t="s">
        <v>1607</v>
      </c>
      <c r="C1137" t="s">
        <v>56</v>
      </c>
      <c r="D1137" t="s">
        <v>1608</v>
      </c>
      <c r="E1137" t="s">
        <v>206</v>
      </c>
      <c r="F1137">
        <v>1</v>
      </c>
      <c r="G1137">
        <v>292.51</v>
      </c>
      <c r="H1137">
        <v>7.0000000000000007E-2</v>
      </c>
      <c r="I1137" s="4">
        <v>272.02999999999997</v>
      </c>
      <c r="J1137" t="s">
        <v>34</v>
      </c>
      <c r="K1137" t="s">
        <v>22</v>
      </c>
      <c r="L1137" s="4">
        <f>VLOOKUP(tblTransactions[[#This Row],[Product_ID]],tblProducts[],5,FALSE)</f>
        <v>122.08</v>
      </c>
      <c r="M1137" s="4">
        <f>tblTransactions[[#This Row],[Total_Amount]]-(tblTransactions[[#This Row],[Cost_Prices]]*tblTransactions[[#This Row],[Quantity]]*(1-tblTransactions[[#This Row],[Discount]]))</f>
        <v>158.49559999999997</v>
      </c>
      <c r="N1137" s="3">
        <f>tblTransactions[[#This Row],[Profit]]/tblTransactions[[#This Row],[Total_Amount]]</f>
        <v>0.5826401499834577</v>
      </c>
      <c r="O1137" t="str">
        <f>TEXT(tblTransactions[[#This Row],[Date]], "MMM-YYYY")</f>
        <v>Sep-2023</v>
      </c>
      <c r="P1137" t="str">
        <f>"Q"&amp;ROUNDUP(MONTH(tblTransactions[[#This Row],[Date]])/3,0)&amp;"-"&amp;YEAR(tblTransactions[[#This Row],[Date]])</f>
        <v>Q3-2023</v>
      </c>
      <c r="Q1137">
        <f>YEAR(tblTransactions[[#This Row],[Date]])</f>
        <v>2023</v>
      </c>
      <c r="R1137" t="str">
        <f>TEXT(tblTransactions[[#This Row],[Date]],"DDDD")</f>
        <v>Tuesday</v>
      </c>
      <c r="S1137">
        <f>MONTH(tblTransactions[[#This Row],[Date]])</f>
        <v>9</v>
      </c>
      <c r="T1137" t="str">
        <f>VLOOKUP(E1137, Products!$A:$B,2,0)</f>
        <v>Keyboards Acc-1</v>
      </c>
      <c r="U1137" t="str">
        <f>VLOOKUP(E1137,Products!$A:$C,3,0)</f>
        <v>Accessories</v>
      </c>
      <c r="V1137" t="str">
        <f>VLOOKUP(E1137,Products!$A:$D,4,0)</f>
        <v>Keyboards</v>
      </c>
      <c r="W1137" t="str">
        <f>VLOOKUP(D1137,Customers!$A:$C,3,0)</f>
        <v>B2C</v>
      </c>
      <c r="X1137" t="str">
        <f>VLOOKUP(C1137,Sales_Representatives!$A:$B,2,0)</f>
        <v>Thomas Hernandez</v>
      </c>
    </row>
    <row r="1138" spans="1:24" x14ac:dyDescent="0.3">
      <c r="A1138" t="s">
        <v>1609</v>
      </c>
      <c r="B1138" t="s">
        <v>1607</v>
      </c>
      <c r="C1138" t="s">
        <v>19</v>
      </c>
      <c r="D1138" t="s">
        <v>1610</v>
      </c>
      <c r="E1138" t="s">
        <v>264</v>
      </c>
      <c r="F1138">
        <v>7</v>
      </c>
      <c r="G1138">
        <v>607.29999999999995</v>
      </c>
      <c r="H1138">
        <v>0.11</v>
      </c>
      <c r="I1138" s="4">
        <v>3783.48</v>
      </c>
      <c r="J1138" t="s">
        <v>21</v>
      </c>
      <c r="K1138" t="s">
        <v>17</v>
      </c>
      <c r="L1138" s="4">
        <f>VLOOKUP(tblTransactions[[#This Row],[Product_ID]],tblProducts[],5,FALSE)</f>
        <v>436.37</v>
      </c>
      <c r="M1138" s="4">
        <f>tblTransactions[[#This Row],[Total_Amount]]-(tblTransactions[[#This Row],[Cost_Prices]]*tblTransactions[[#This Row],[Quantity]]*(1-tblTransactions[[#This Row],[Discount]]))</f>
        <v>1064.8948999999998</v>
      </c>
      <c r="N1138" s="3">
        <f>tblTransactions[[#This Row],[Profit]]/tblTransactions[[#This Row],[Total_Amount]]</f>
        <v>0.28145910643111627</v>
      </c>
      <c r="O1138" t="str">
        <f>TEXT(tblTransactions[[#This Row],[Date]], "MMM-YYYY")</f>
        <v>Sep-2023</v>
      </c>
      <c r="P1138" t="str">
        <f>"Q"&amp;ROUNDUP(MONTH(tblTransactions[[#This Row],[Date]])/3,0)&amp;"-"&amp;YEAR(tblTransactions[[#This Row],[Date]])</f>
        <v>Q3-2023</v>
      </c>
      <c r="Q1138">
        <f>YEAR(tblTransactions[[#This Row],[Date]])</f>
        <v>2023</v>
      </c>
      <c r="R1138" t="str">
        <f>TEXT(tblTransactions[[#This Row],[Date]],"DDDD")</f>
        <v>Tuesday</v>
      </c>
      <c r="S1138">
        <f>MONTH(tblTransactions[[#This Row],[Date]])</f>
        <v>9</v>
      </c>
      <c r="T1138" t="str">
        <f>VLOOKUP(E1138, Products!$A:$B,2,0)</f>
        <v>Tablets Ele-4</v>
      </c>
      <c r="U1138" t="str">
        <f>VLOOKUP(E1138,Products!$A:$C,3,0)</f>
        <v>Electronics</v>
      </c>
      <c r="V1138" t="str">
        <f>VLOOKUP(E1138,Products!$A:$D,4,0)</f>
        <v>Tablets</v>
      </c>
      <c r="W1138" t="str">
        <f>VLOOKUP(D1138,Customers!$A:$C,3,0)</f>
        <v>B2C</v>
      </c>
      <c r="X1138" t="str">
        <f>VLOOKUP(C1138,Sales_Representatives!$A:$B,2,0)</f>
        <v>Robert Jones</v>
      </c>
    </row>
    <row r="1139" spans="1:24" x14ac:dyDescent="0.3">
      <c r="A1139" t="s">
        <v>1611</v>
      </c>
      <c r="B1139" t="s">
        <v>1612</v>
      </c>
      <c r="C1139" t="s">
        <v>27</v>
      </c>
      <c r="D1139" t="s">
        <v>1613</v>
      </c>
      <c r="E1139" t="s">
        <v>25</v>
      </c>
      <c r="F1139">
        <v>29</v>
      </c>
      <c r="G1139">
        <v>1467.49</v>
      </c>
      <c r="H1139">
        <v>0.17</v>
      </c>
      <c r="I1139" s="4">
        <v>35322.480000000003</v>
      </c>
      <c r="J1139" t="s">
        <v>16</v>
      </c>
      <c r="K1139" t="s">
        <v>17</v>
      </c>
      <c r="L1139" s="4">
        <f>VLOOKUP(tblTransactions[[#This Row],[Product_ID]],tblProducts[],5,FALSE)</f>
        <v>757.65</v>
      </c>
      <c r="M1139" s="4">
        <f>tblTransactions[[#This Row],[Total_Amount]]-(tblTransactions[[#This Row],[Cost_Prices]]*tblTransactions[[#This Row],[Quantity]]*(1-tblTransactions[[#This Row],[Discount]]))</f>
        <v>17085.844500000007</v>
      </c>
      <c r="N1139" s="3">
        <f>tblTransactions[[#This Row],[Profit]]/tblTransactions[[#This Row],[Total_Amount]]</f>
        <v>0.48371021796884039</v>
      </c>
      <c r="O1139" t="str">
        <f>TEXT(tblTransactions[[#This Row],[Date]], "MMM-YYYY")</f>
        <v>Sep-2023</v>
      </c>
      <c r="P1139" t="str">
        <f>"Q"&amp;ROUNDUP(MONTH(tblTransactions[[#This Row],[Date]])/3,0)&amp;"-"&amp;YEAR(tblTransactions[[#This Row],[Date]])</f>
        <v>Q3-2023</v>
      </c>
      <c r="Q1139">
        <f>YEAR(tblTransactions[[#This Row],[Date]])</f>
        <v>2023</v>
      </c>
      <c r="R1139" t="str">
        <f>TEXT(tblTransactions[[#This Row],[Date]],"DDDD")</f>
        <v>Wednesday</v>
      </c>
      <c r="S1139">
        <f>MONTH(tblTransactions[[#This Row],[Date]])</f>
        <v>9</v>
      </c>
      <c r="T1139" t="str">
        <f>VLOOKUP(E1139, Products!$A:$B,2,0)</f>
        <v>Tables Fur-3</v>
      </c>
      <c r="U1139" t="str">
        <f>VLOOKUP(E1139,Products!$A:$C,3,0)</f>
        <v>Furniture</v>
      </c>
      <c r="V1139" t="str">
        <f>VLOOKUP(E1139,Products!$A:$D,4,0)</f>
        <v>Tables</v>
      </c>
      <c r="W1139" t="str">
        <f>VLOOKUP(D1139,Customers!$A:$C,3,0)</f>
        <v>Enterprise</v>
      </c>
      <c r="X1139" t="str">
        <f>VLOOKUP(C1139,Sales_Representatives!$A:$B,2,0)</f>
        <v>Thomas Lopez</v>
      </c>
    </row>
    <row r="1140" spans="1:24" x14ac:dyDescent="0.3">
      <c r="A1140" t="s">
        <v>1614</v>
      </c>
      <c r="B1140" t="s">
        <v>1612</v>
      </c>
      <c r="C1140" t="s">
        <v>41</v>
      </c>
      <c r="D1140" t="s">
        <v>1447</v>
      </c>
      <c r="E1140" t="s">
        <v>191</v>
      </c>
      <c r="F1140">
        <v>10</v>
      </c>
      <c r="G1140">
        <v>1012.75</v>
      </c>
      <c r="H1140">
        <v>0.1</v>
      </c>
      <c r="I1140" s="4">
        <v>9114.75</v>
      </c>
      <c r="J1140" t="s">
        <v>44</v>
      </c>
      <c r="K1140" t="s">
        <v>35</v>
      </c>
      <c r="L1140" s="4">
        <f>VLOOKUP(tblTransactions[[#This Row],[Product_ID]],tblProducts[],5,FALSE)</f>
        <v>518.53</v>
      </c>
      <c r="M1140" s="4">
        <f>tblTransactions[[#This Row],[Total_Amount]]-(tblTransactions[[#This Row],[Cost_Prices]]*tblTransactions[[#This Row],[Quantity]]*(1-tblTransactions[[#This Row],[Discount]]))</f>
        <v>4447.9800000000005</v>
      </c>
      <c r="N1140" s="3">
        <f>tblTransactions[[#This Row],[Profit]]/tblTransactions[[#This Row],[Total_Amount]]</f>
        <v>0.48799802517896823</v>
      </c>
      <c r="O1140" t="str">
        <f>TEXT(tblTransactions[[#This Row],[Date]], "MMM-YYYY")</f>
        <v>Sep-2023</v>
      </c>
      <c r="P1140" t="str">
        <f>"Q"&amp;ROUNDUP(MONTH(tblTransactions[[#This Row],[Date]])/3,0)&amp;"-"&amp;YEAR(tblTransactions[[#This Row],[Date]])</f>
        <v>Q3-2023</v>
      </c>
      <c r="Q1140">
        <f>YEAR(tblTransactions[[#This Row],[Date]])</f>
        <v>2023</v>
      </c>
      <c r="R1140" t="str">
        <f>TEXT(tblTransactions[[#This Row],[Date]],"DDDD")</f>
        <v>Wednesday</v>
      </c>
      <c r="S1140">
        <f>MONTH(tblTransactions[[#This Row],[Date]])</f>
        <v>9</v>
      </c>
      <c r="T1140" t="str">
        <f>VLOOKUP(E1140, Products!$A:$B,2,0)</f>
        <v>Tables Fur-4</v>
      </c>
      <c r="U1140" t="str">
        <f>VLOOKUP(E1140,Products!$A:$C,3,0)</f>
        <v>Furniture</v>
      </c>
      <c r="V1140" t="str">
        <f>VLOOKUP(E1140,Products!$A:$D,4,0)</f>
        <v>Tables</v>
      </c>
      <c r="W1140" t="str">
        <f>VLOOKUP(D1140,Customers!$A:$C,3,0)</f>
        <v>B2B</v>
      </c>
      <c r="X1140" t="str">
        <f>VLOOKUP(C1140,Sales_Representatives!$A:$B,2,0)</f>
        <v>Robert Jones</v>
      </c>
    </row>
    <row r="1141" spans="1:24" x14ac:dyDescent="0.3">
      <c r="A1141" t="s">
        <v>1615</v>
      </c>
      <c r="B1141" t="s">
        <v>1612</v>
      </c>
      <c r="C1141" t="s">
        <v>131</v>
      </c>
      <c r="D1141" t="s">
        <v>1616</v>
      </c>
      <c r="E1141" t="s">
        <v>15</v>
      </c>
      <c r="F1141">
        <v>7</v>
      </c>
      <c r="G1141">
        <v>477.48</v>
      </c>
      <c r="H1141">
        <v>0.05</v>
      </c>
      <c r="I1141" s="4">
        <v>3175.24</v>
      </c>
      <c r="J1141" t="s">
        <v>44</v>
      </c>
      <c r="K1141" t="s">
        <v>17</v>
      </c>
      <c r="L1141" s="4">
        <f>VLOOKUP(tblTransactions[[#This Row],[Product_ID]],tblProducts[],5,FALSE)</f>
        <v>275.51</v>
      </c>
      <c r="M1141" s="4">
        <f>tblTransactions[[#This Row],[Total_Amount]]-(tblTransactions[[#This Row],[Cost_Prices]]*tblTransactions[[#This Row],[Quantity]]*(1-tblTransactions[[#This Row],[Discount]]))</f>
        <v>1343.0984999999998</v>
      </c>
      <c r="N1141" s="3">
        <f>tblTransactions[[#This Row],[Profit]]/tblTransactions[[#This Row],[Total_Amount]]</f>
        <v>0.42299117547020065</v>
      </c>
      <c r="O1141" t="str">
        <f>TEXT(tblTransactions[[#This Row],[Date]], "MMM-YYYY")</f>
        <v>Sep-2023</v>
      </c>
      <c r="P1141" t="str">
        <f>"Q"&amp;ROUNDUP(MONTH(tblTransactions[[#This Row],[Date]])/3,0)&amp;"-"&amp;YEAR(tblTransactions[[#This Row],[Date]])</f>
        <v>Q3-2023</v>
      </c>
      <c r="Q1141">
        <f>YEAR(tblTransactions[[#This Row],[Date]])</f>
        <v>2023</v>
      </c>
      <c r="R1141" t="str">
        <f>TEXT(tblTransactions[[#This Row],[Date]],"DDDD")</f>
        <v>Wednesday</v>
      </c>
      <c r="S1141">
        <f>MONTH(tblTransactions[[#This Row],[Date]])</f>
        <v>9</v>
      </c>
      <c r="T1141" t="str">
        <f>VLOOKUP(E1141, Products!$A:$B,2,0)</f>
        <v>Laptops Ele-4</v>
      </c>
      <c r="U1141" t="str">
        <f>VLOOKUP(E1141,Products!$A:$C,3,0)</f>
        <v>Electronics</v>
      </c>
      <c r="V1141" t="str">
        <f>VLOOKUP(E1141,Products!$A:$D,4,0)</f>
        <v>Laptops</v>
      </c>
      <c r="W1141" t="str">
        <f>VLOOKUP(D1141,Customers!$A:$C,3,0)</f>
        <v>Enterprise</v>
      </c>
      <c r="X1141" t="str">
        <f>VLOOKUP(C1141,Sales_Representatives!$A:$B,2,0)</f>
        <v>Michael Davis</v>
      </c>
    </row>
    <row r="1142" spans="1:24" x14ac:dyDescent="0.3">
      <c r="A1142" t="s">
        <v>1617</v>
      </c>
      <c r="B1142" t="s">
        <v>1618</v>
      </c>
      <c r="C1142" t="s">
        <v>27</v>
      </c>
      <c r="D1142" t="s">
        <v>1619</v>
      </c>
      <c r="E1142" t="s">
        <v>79</v>
      </c>
      <c r="F1142">
        <v>19</v>
      </c>
      <c r="G1142">
        <v>1452.36</v>
      </c>
      <c r="H1142">
        <v>0.16</v>
      </c>
      <c r="I1142" s="4">
        <v>23179.67</v>
      </c>
      <c r="J1142" t="s">
        <v>16</v>
      </c>
      <c r="K1142" t="s">
        <v>35</v>
      </c>
      <c r="L1142" s="4">
        <f>VLOOKUP(tblTransactions[[#This Row],[Product_ID]],tblProducts[],5,FALSE)</f>
        <v>778.71</v>
      </c>
      <c r="M1142" s="4">
        <f>tblTransactions[[#This Row],[Total_Amount]]-(tblTransactions[[#This Row],[Cost_Prices]]*tblTransactions[[#This Row],[Quantity]]*(1-tblTransactions[[#This Row],[Discount]]))</f>
        <v>10751.458399999998</v>
      </c>
      <c r="N1142" s="3">
        <f>tblTransactions[[#This Row],[Profit]]/tblTransactions[[#This Row],[Total_Amount]]</f>
        <v>0.46383138327681106</v>
      </c>
      <c r="O1142" t="str">
        <f>TEXT(tblTransactions[[#This Row],[Date]], "MMM-YYYY")</f>
        <v>Sep-2023</v>
      </c>
      <c r="P1142" t="str">
        <f>"Q"&amp;ROUNDUP(MONTH(tblTransactions[[#This Row],[Date]])/3,0)&amp;"-"&amp;YEAR(tblTransactions[[#This Row],[Date]])</f>
        <v>Q3-2023</v>
      </c>
      <c r="Q1142">
        <f>YEAR(tblTransactions[[#This Row],[Date]])</f>
        <v>2023</v>
      </c>
      <c r="R1142" t="str">
        <f>TEXT(tblTransactions[[#This Row],[Date]],"DDDD")</f>
        <v>Thursday</v>
      </c>
      <c r="S1142">
        <f>MONTH(tblTransactions[[#This Row],[Date]])</f>
        <v>9</v>
      </c>
      <c r="T1142" t="str">
        <f>VLOOKUP(E1142, Products!$A:$B,2,0)</f>
        <v>Tables Fur-2</v>
      </c>
      <c r="U1142" t="str">
        <f>VLOOKUP(E1142,Products!$A:$C,3,0)</f>
        <v>Furniture</v>
      </c>
      <c r="V1142" t="str">
        <f>VLOOKUP(E1142,Products!$A:$D,4,0)</f>
        <v>Tables</v>
      </c>
      <c r="W1142" t="str">
        <f>VLOOKUP(D1142,Customers!$A:$C,3,0)</f>
        <v>B2B</v>
      </c>
      <c r="X1142" t="str">
        <f>VLOOKUP(C1142,Sales_Representatives!$A:$B,2,0)</f>
        <v>Thomas Lopez</v>
      </c>
    </row>
    <row r="1143" spans="1:24" x14ac:dyDescent="0.3">
      <c r="A1143" t="s">
        <v>1620</v>
      </c>
      <c r="B1143" t="s">
        <v>1618</v>
      </c>
      <c r="C1143" t="s">
        <v>131</v>
      </c>
      <c r="D1143" t="s">
        <v>1621</v>
      </c>
      <c r="E1143" t="s">
        <v>508</v>
      </c>
      <c r="F1143">
        <v>3</v>
      </c>
      <c r="G1143">
        <v>237.69</v>
      </c>
      <c r="H1143">
        <v>0.01</v>
      </c>
      <c r="I1143" s="4">
        <v>705.94</v>
      </c>
      <c r="J1143" t="s">
        <v>44</v>
      </c>
      <c r="K1143" t="s">
        <v>17</v>
      </c>
      <c r="L1143" s="4">
        <f>VLOOKUP(tblTransactions[[#This Row],[Product_ID]],tblProducts[],5,FALSE)</f>
        <v>115.31</v>
      </c>
      <c r="M1143" s="4">
        <f>tblTransactions[[#This Row],[Total_Amount]]-(tblTransactions[[#This Row],[Cost_Prices]]*tblTransactions[[#This Row],[Quantity]]*(1-tblTransactions[[#This Row],[Discount]]))</f>
        <v>363.46930000000003</v>
      </c>
      <c r="N1143" s="3">
        <f>tblTransactions[[#This Row],[Profit]]/tblTransactions[[#This Row],[Total_Amount]]</f>
        <v>0.51487279372184602</v>
      </c>
      <c r="O1143" t="str">
        <f>TEXT(tblTransactions[[#This Row],[Date]], "MMM-YYYY")</f>
        <v>Sep-2023</v>
      </c>
      <c r="P1143" t="str">
        <f>"Q"&amp;ROUNDUP(MONTH(tblTransactions[[#This Row],[Date]])/3,0)&amp;"-"&amp;YEAR(tblTransactions[[#This Row],[Date]])</f>
        <v>Q3-2023</v>
      </c>
      <c r="Q1143">
        <f>YEAR(tblTransactions[[#This Row],[Date]])</f>
        <v>2023</v>
      </c>
      <c r="R1143" t="str">
        <f>TEXT(tblTransactions[[#This Row],[Date]],"DDDD")</f>
        <v>Thursday</v>
      </c>
      <c r="S1143">
        <f>MONTH(tblTransactions[[#This Row],[Date]])</f>
        <v>9</v>
      </c>
      <c r="T1143" t="str">
        <f>VLOOKUP(E1143, Products!$A:$B,2,0)</f>
        <v>Folders Off-3</v>
      </c>
      <c r="U1143" t="str">
        <f>VLOOKUP(E1143,Products!$A:$C,3,0)</f>
        <v>Office Supplies</v>
      </c>
      <c r="V1143" t="str">
        <f>VLOOKUP(E1143,Products!$A:$D,4,0)</f>
        <v>Folders</v>
      </c>
      <c r="W1143" t="str">
        <f>VLOOKUP(D1143,Customers!$A:$C,3,0)</f>
        <v>B2C</v>
      </c>
      <c r="X1143" t="str">
        <f>VLOOKUP(C1143,Sales_Representatives!$A:$B,2,0)</f>
        <v>Michael Davis</v>
      </c>
    </row>
    <row r="1144" spans="1:24" x14ac:dyDescent="0.3">
      <c r="A1144" t="s">
        <v>1622</v>
      </c>
      <c r="B1144" t="s">
        <v>1618</v>
      </c>
      <c r="C1144" t="s">
        <v>31</v>
      </c>
      <c r="D1144" t="s">
        <v>1623</v>
      </c>
      <c r="E1144" t="s">
        <v>29</v>
      </c>
      <c r="F1144">
        <v>6</v>
      </c>
      <c r="G1144">
        <v>1363.46</v>
      </c>
      <c r="H1144">
        <v>0.11</v>
      </c>
      <c r="I1144" s="4">
        <v>7280.88</v>
      </c>
      <c r="J1144" t="s">
        <v>34</v>
      </c>
      <c r="K1144" t="s">
        <v>35</v>
      </c>
      <c r="L1144" s="4">
        <f>VLOOKUP(tblTransactions[[#This Row],[Product_ID]],tblProducts[],5,FALSE)</f>
        <v>995.41</v>
      </c>
      <c r="M1144" s="4">
        <f>tblTransactions[[#This Row],[Total_Amount]]-(tblTransactions[[#This Row],[Cost_Prices]]*tblTransactions[[#This Row],[Quantity]]*(1-tblTransactions[[#This Row],[Discount]]))</f>
        <v>1965.3905999999997</v>
      </c>
      <c r="N1144" s="3">
        <f>tblTransactions[[#This Row],[Profit]]/tblTransactions[[#This Row],[Total_Amount]]</f>
        <v>0.26993860632231265</v>
      </c>
      <c r="O1144" t="str">
        <f>TEXT(tblTransactions[[#This Row],[Date]], "MMM-YYYY")</f>
        <v>Sep-2023</v>
      </c>
      <c r="P1144" t="str">
        <f>"Q"&amp;ROUNDUP(MONTH(tblTransactions[[#This Row],[Date]])/3,0)&amp;"-"&amp;YEAR(tblTransactions[[#This Row],[Date]])</f>
        <v>Q3-2023</v>
      </c>
      <c r="Q1144">
        <f>YEAR(tblTransactions[[#This Row],[Date]])</f>
        <v>2023</v>
      </c>
      <c r="R1144" t="str">
        <f>TEXT(tblTransactions[[#This Row],[Date]],"DDDD")</f>
        <v>Thursday</v>
      </c>
      <c r="S1144">
        <f>MONTH(tblTransactions[[#This Row],[Date]])</f>
        <v>9</v>
      </c>
      <c r="T1144" t="str">
        <f>VLOOKUP(E1144, Products!$A:$B,2,0)</f>
        <v>Phones Ele-3</v>
      </c>
      <c r="U1144" t="str">
        <f>VLOOKUP(E1144,Products!$A:$C,3,0)</f>
        <v>Electronics</v>
      </c>
      <c r="V1144" t="str">
        <f>VLOOKUP(E1144,Products!$A:$D,4,0)</f>
        <v>Phones</v>
      </c>
      <c r="W1144" t="str">
        <f>VLOOKUP(D1144,Customers!$A:$C,3,0)</f>
        <v>B2C</v>
      </c>
      <c r="X1144" t="str">
        <f>VLOOKUP(C1144,Sales_Representatives!$A:$B,2,0)</f>
        <v>Thomas Martinez</v>
      </c>
    </row>
    <row r="1145" spans="1:24" x14ac:dyDescent="0.3">
      <c r="A1145" t="s">
        <v>1624</v>
      </c>
      <c r="B1145" t="s">
        <v>1625</v>
      </c>
      <c r="C1145" t="s">
        <v>131</v>
      </c>
      <c r="D1145" t="s">
        <v>1505</v>
      </c>
      <c r="E1145" t="s">
        <v>508</v>
      </c>
      <c r="F1145">
        <v>6</v>
      </c>
      <c r="G1145">
        <v>237.69</v>
      </c>
      <c r="H1145">
        <v>0.08</v>
      </c>
      <c r="I1145" s="4">
        <v>1312.05</v>
      </c>
      <c r="J1145" t="s">
        <v>44</v>
      </c>
      <c r="K1145" t="s">
        <v>17</v>
      </c>
      <c r="L1145" s="4">
        <f>VLOOKUP(tblTransactions[[#This Row],[Product_ID]],tblProducts[],5,FALSE)</f>
        <v>115.31</v>
      </c>
      <c r="M1145" s="4">
        <f>tblTransactions[[#This Row],[Total_Amount]]-(tblTransactions[[#This Row],[Cost_Prices]]*tblTransactions[[#This Row],[Quantity]]*(1-tblTransactions[[#This Row],[Discount]]))</f>
        <v>675.53879999999992</v>
      </c>
      <c r="N1145" s="3">
        <f>tblTransactions[[#This Row],[Profit]]/tblTransactions[[#This Row],[Total_Amount]]</f>
        <v>0.51487275637361374</v>
      </c>
      <c r="O1145" t="str">
        <f>TEXT(tblTransactions[[#This Row],[Date]], "MMM-YYYY")</f>
        <v>Sep-2023</v>
      </c>
      <c r="P1145" t="str">
        <f>"Q"&amp;ROUNDUP(MONTH(tblTransactions[[#This Row],[Date]])/3,0)&amp;"-"&amp;YEAR(tblTransactions[[#This Row],[Date]])</f>
        <v>Q3-2023</v>
      </c>
      <c r="Q1145">
        <f>YEAR(tblTransactions[[#This Row],[Date]])</f>
        <v>2023</v>
      </c>
      <c r="R1145" t="str">
        <f>TEXT(tblTransactions[[#This Row],[Date]],"DDDD")</f>
        <v>Friday</v>
      </c>
      <c r="S1145">
        <f>MONTH(tblTransactions[[#This Row],[Date]])</f>
        <v>9</v>
      </c>
      <c r="T1145" t="str">
        <f>VLOOKUP(E1145, Products!$A:$B,2,0)</f>
        <v>Folders Off-3</v>
      </c>
      <c r="U1145" t="str">
        <f>VLOOKUP(E1145,Products!$A:$C,3,0)</f>
        <v>Office Supplies</v>
      </c>
      <c r="V1145" t="str">
        <f>VLOOKUP(E1145,Products!$A:$D,4,0)</f>
        <v>Folders</v>
      </c>
      <c r="W1145" t="str">
        <f>VLOOKUP(D1145,Customers!$A:$C,3,0)</f>
        <v>B2C</v>
      </c>
      <c r="X1145" t="str">
        <f>VLOOKUP(C1145,Sales_Representatives!$A:$B,2,0)</f>
        <v>Michael Davis</v>
      </c>
    </row>
    <row r="1146" spans="1:24" x14ac:dyDescent="0.3">
      <c r="A1146" t="s">
        <v>1626</v>
      </c>
      <c r="B1146" t="s">
        <v>1625</v>
      </c>
      <c r="C1146" t="s">
        <v>141</v>
      </c>
      <c r="D1146" t="s">
        <v>1627</v>
      </c>
      <c r="E1146" t="s">
        <v>221</v>
      </c>
      <c r="F1146">
        <v>48</v>
      </c>
      <c r="G1146">
        <v>210.02</v>
      </c>
      <c r="H1146">
        <v>0.19</v>
      </c>
      <c r="I1146" s="4">
        <v>8165.58</v>
      </c>
      <c r="J1146" t="s">
        <v>109</v>
      </c>
      <c r="K1146" t="s">
        <v>48</v>
      </c>
      <c r="L1146" s="4">
        <f>VLOOKUP(tblTransactions[[#This Row],[Product_ID]],tblProducts[],5,FALSE)</f>
        <v>131.66</v>
      </c>
      <c r="M1146" s="4">
        <f>tblTransactions[[#This Row],[Total_Amount]]-(tblTransactions[[#This Row],[Cost_Prices]]*tblTransactions[[#This Row],[Quantity]]*(1-tblTransactions[[#This Row],[Discount]]))</f>
        <v>3046.6391999999996</v>
      </c>
      <c r="N1146" s="3">
        <f>tblTransactions[[#This Row],[Profit]]/tblTransactions[[#This Row],[Total_Amount]]</f>
        <v>0.37310750736628623</v>
      </c>
      <c r="O1146" t="str">
        <f>TEXT(tblTransactions[[#This Row],[Date]], "MMM-YYYY")</f>
        <v>Sep-2023</v>
      </c>
      <c r="P1146" t="str">
        <f>"Q"&amp;ROUNDUP(MONTH(tblTransactions[[#This Row],[Date]])/3,0)&amp;"-"&amp;YEAR(tblTransactions[[#This Row],[Date]])</f>
        <v>Q3-2023</v>
      </c>
      <c r="Q1146">
        <f>YEAR(tblTransactions[[#This Row],[Date]])</f>
        <v>2023</v>
      </c>
      <c r="R1146" t="str">
        <f>TEXT(tblTransactions[[#This Row],[Date]],"DDDD")</f>
        <v>Friday</v>
      </c>
      <c r="S1146">
        <f>MONTH(tblTransactions[[#This Row],[Date]])</f>
        <v>9</v>
      </c>
      <c r="T1146" t="str">
        <f>VLOOKUP(E1146, Products!$A:$B,2,0)</f>
        <v>Storage Fur-2</v>
      </c>
      <c r="U1146" t="str">
        <f>VLOOKUP(E1146,Products!$A:$C,3,0)</f>
        <v>Furniture</v>
      </c>
      <c r="V1146" t="str">
        <f>VLOOKUP(E1146,Products!$A:$D,4,0)</f>
        <v>Storage</v>
      </c>
      <c r="W1146" t="str">
        <f>VLOOKUP(D1146,Customers!$A:$C,3,0)</f>
        <v>Enterprise</v>
      </c>
      <c r="X1146" t="str">
        <f>VLOOKUP(C1146,Sales_Representatives!$A:$B,2,0)</f>
        <v>Richard Garcia</v>
      </c>
    </row>
    <row r="1147" spans="1:24" x14ac:dyDescent="0.3">
      <c r="A1147" t="s">
        <v>1628</v>
      </c>
      <c r="B1147" t="s">
        <v>1625</v>
      </c>
      <c r="C1147" t="s">
        <v>70</v>
      </c>
      <c r="D1147" t="s">
        <v>83</v>
      </c>
      <c r="E1147" t="s">
        <v>376</v>
      </c>
      <c r="F1147">
        <v>1</v>
      </c>
      <c r="G1147">
        <v>229.65</v>
      </c>
      <c r="H1147">
        <v>0.04</v>
      </c>
      <c r="I1147" s="4">
        <v>220.46</v>
      </c>
      <c r="J1147" t="s">
        <v>16</v>
      </c>
      <c r="K1147" t="s">
        <v>17</v>
      </c>
      <c r="L1147" s="4">
        <f>VLOOKUP(tblTransactions[[#This Row],[Product_ID]],tblProducts[],5,FALSE)</f>
        <v>96.84</v>
      </c>
      <c r="M1147" s="4">
        <f>tblTransactions[[#This Row],[Total_Amount]]-(tblTransactions[[#This Row],[Cost_Prices]]*tblTransactions[[#This Row],[Quantity]]*(1-tblTransactions[[#This Row],[Discount]]))</f>
        <v>127.49360000000001</v>
      </c>
      <c r="N1147" s="3">
        <f>tblTransactions[[#This Row],[Profit]]/tblTransactions[[#This Row],[Total_Amount]]</f>
        <v>0.57830717590492609</v>
      </c>
      <c r="O1147" t="str">
        <f>TEXT(tblTransactions[[#This Row],[Date]], "MMM-YYYY")</f>
        <v>Sep-2023</v>
      </c>
      <c r="P1147" t="str">
        <f>"Q"&amp;ROUNDUP(MONTH(tblTransactions[[#This Row],[Date]])/3,0)&amp;"-"&amp;YEAR(tblTransactions[[#This Row],[Date]])</f>
        <v>Q3-2023</v>
      </c>
      <c r="Q1147">
        <f>YEAR(tblTransactions[[#This Row],[Date]])</f>
        <v>2023</v>
      </c>
      <c r="R1147" t="str">
        <f>TEXT(tblTransactions[[#This Row],[Date]],"DDDD")</f>
        <v>Friday</v>
      </c>
      <c r="S1147">
        <f>MONTH(tblTransactions[[#This Row],[Date]])</f>
        <v>9</v>
      </c>
      <c r="T1147" t="str">
        <f>VLOOKUP(E1147, Products!$A:$B,2,0)</f>
        <v>Adapters Acc-2</v>
      </c>
      <c r="U1147" t="str">
        <f>VLOOKUP(E1147,Products!$A:$C,3,0)</f>
        <v>Accessories</v>
      </c>
      <c r="V1147" t="str">
        <f>VLOOKUP(E1147,Products!$A:$D,4,0)</f>
        <v>Adapters</v>
      </c>
      <c r="W1147" t="str">
        <f>VLOOKUP(D1147,Customers!$A:$C,3,0)</f>
        <v>Small Business</v>
      </c>
      <c r="X1147" t="str">
        <f>VLOOKUP(C1147,Sales_Representatives!$A:$B,2,0)</f>
        <v>Linda Smith</v>
      </c>
    </row>
    <row r="1148" spans="1:24" x14ac:dyDescent="0.3">
      <c r="A1148" t="s">
        <v>1629</v>
      </c>
      <c r="B1148" t="s">
        <v>1630</v>
      </c>
      <c r="C1148" t="s">
        <v>127</v>
      </c>
      <c r="D1148" t="s">
        <v>1586</v>
      </c>
      <c r="E1148" t="s">
        <v>200</v>
      </c>
      <c r="F1148">
        <v>5</v>
      </c>
      <c r="G1148">
        <v>544.77</v>
      </c>
      <c r="H1148">
        <v>0.02</v>
      </c>
      <c r="I1148" s="4">
        <v>2669.37</v>
      </c>
      <c r="J1148" t="s">
        <v>109</v>
      </c>
      <c r="K1148" t="s">
        <v>22</v>
      </c>
      <c r="L1148" s="4">
        <f>VLOOKUP(tblTransactions[[#This Row],[Product_ID]],tblProducts[],5,FALSE)</f>
        <v>318.2</v>
      </c>
      <c r="M1148" s="4">
        <f>tblTransactions[[#This Row],[Total_Amount]]-(tblTransactions[[#This Row],[Cost_Prices]]*tblTransactions[[#This Row],[Quantity]]*(1-tblTransactions[[#This Row],[Discount]]))</f>
        <v>1110.1899999999998</v>
      </c>
      <c r="N1148" s="3">
        <f>tblTransactions[[#This Row],[Profit]]/tblTransactions[[#This Row],[Total_Amount]]</f>
        <v>0.41589963174831512</v>
      </c>
      <c r="O1148" t="str">
        <f>TEXT(tblTransactions[[#This Row],[Date]], "MMM-YYYY")</f>
        <v>Sep-2023</v>
      </c>
      <c r="P1148" t="str">
        <f>"Q"&amp;ROUNDUP(MONTH(tblTransactions[[#This Row],[Date]])/3,0)&amp;"-"&amp;YEAR(tblTransactions[[#This Row],[Date]])</f>
        <v>Q3-2023</v>
      </c>
      <c r="Q1148">
        <f>YEAR(tblTransactions[[#This Row],[Date]])</f>
        <v>2023</v>
      </c>
      <c r="R1148" t="str">
        <f>TEXT(tblTransactions[[#This Row],[Date]],"DDDD")</f>
        <v>Saturday</v>
      </c>
      <c r="S1148">
        <f>MONTH(tblTransactions[[#This Row],[Date]])</f>
        <v>9</v>
      </c>
      <c r="T1148" t="str">
        <f>VLOOKUP(E1148, Products!$A:$B,2,0)</f>
        <v>Desks Fur-4</v>
      </c>
      <c r="U1148" t="str">
        <f>VLOOKUP(E1148,Products!$A:$C,3,0)</f>
        <v>Furniture</v>
      </c>
      <c r="V1148" t="str">
        <f>VLOOKUP(E1148,Products!$A:$D,4,0)</f>
        <v>Desks</v>
      </c>
      <c r="W1148" t="str">
        <f>VLOOKUP(D1148,Customers!$A:$C,3,0)</f>
        <v>B2B</v>
      </c>
      <c r="X1148" t="str">
        <f>VLOOKUP(C1148,Sales_Representatives!$A:$B,2,0)</f>
        <v>Emily Hernandez</v>
      </c>
    </row>
    <row r="1149" spans="1:24" x14ac:dyDescent="0.3">
      <c r="A1149" t="s">
        <v>1631</v>
      </c>
      <c r="B1149" t="s">
        <v>1630</v>
      </c>
      <c r="C1149" t="s">
        <v>59</v>
      </c>
      <c r="D1149" t="s">
        <v>136</v>
      </c>
      <c r="E1149" t="s">
        <v>87</v>
      </c>
      <c r="F1149">
        <v>8</v>
      </c>
      <c r="G1149">
        <v>1047.8900000000001</v>
      </c>
      <c r="H1149">
        <v>0.1</v>
      </c>
      <c r="I1149" s="4">
        <v>7544.81</v>
      </c>
      <c r="J1149" t="s">
        <v>21</v>
      </c>
      <c r="K1149" t="s">
        <v>39</v>
      </c>
      <c r="L1149" s="4">
        <f>VLOOKUP(tblTransactions[[#This Row],[Product_ID]],tblProducts[],5,FALSE)</f>
        <v>742.63</v>
      </c>
      <c r="M1149" s="4">
        <f>tblTransactions[[#This Row],[Total_Amount]]-(tblTransactions[[#This Row],[Cost_Prices]]*tblTransactions[[#This Row],[Quantity]]*(1-tblTransactions[[#This Row],[Discount]]))</f>
        <v>2197.8740000000007</v>
      </c>
      <c r="N1149" s="3">
        <f>tblTransactions[[#This Row],[Profit]]/tblTransactions[[#This Row],[Total_Amount]]</f>
        <v>0.29130939016356949</v>
      </c>
      <c r="O1149" t="str">
        <f>TEXT(tblTransactions[[#This Row],[Date]], "MMM-YYYY")</f>
        <v>Sep-2023</v>
      </c>
      <c r="P1149" t="str">
        <f>"Q"&amp;ROUNDUP(MONTH(tblTransactions[[#This Row],[Date]])/3,0)&amp;"-"&amp;YEAR(tblTransactions[[#This Row],[Date]])</f>
        <v>Q3-2023</v>
      </c>
      <c r="Q1149">
        <f>YEAR(tblTransactions[[#This Row],[Date]])</f>
        <v>2023</v>
      </c>
      <c r="R1149" t="str">
        <f>TEXT(tblTransactions[[#This Row],[Date]],"DDDD")</f>
        <v>Saturday</v>
      </c>
      <c r="S1149">
        <f>MONTH(tblTransactions[[#This Row],[Date]])</f>
        <v>9</v>
      </c>
      <c r="T1149" t="str">
        <f>VLOOKUP(E1149, Products!$A:$B,2,0)</f>
        <v>Monitors Tec-2</v>
      </c>
      <c r="U1149" t="str">
        <f>VLOOKUP(E1149,Products!$A:$C,3,0)</f>
        <v>Technology</v>
      </c>
      <c r="V1149" t="str">
        <f>VLOOKUP(E1149,Products!$A:$D,4,0)</f>
        <v>Monitors</v>
      </c>
      <c r="W1149" t="str">
        <f>VLOOKUP(D1149,Customers!$A:$C,3,0)</f>
        <v>B2B</v>
      </c>
      <c r="X1149" t="str">
        <f>VLOOKUP(C1149,Sales_Representatives!$A:$B,2,0)</f>
        <v>Sarah Brown</v>
      </c>
    </row>
    <row r="1150" spans="1:24" x14ac:dyDescent="0.3">
      <c r="A1150" t="s">
        <v>1632</v>
      </c>
      <c r="B1150" t="s">
        <v>1630</v>
      </c>
      <c r="C1150" t="s">
        <v>56</v>
      </c>
      <c r="D1150" t="s">
        <v>1610</v>
      </c>
      <c r="E1150" t="s">
        <v>310</v>
      </c>
      <c r="F1150">
        <v>7</v>
      </c>
      <c r="G1150">
        <v>274.13</v>
      </c>
      <c r="H1150">
        <v>0.08</v>
      </c>
      <c r="I1150" s="4">
        <v>1765.4</v>
      </c>
      <c r="J1150" t="s">
        <v>34</v>
      </c>
      <c r="K1150" t="s">
        <v>48</v>
      </c>
      <c r="L1150" s="4">
        <f>VLOOKUP(tblTransactions[[#This Row],[Product_ID]],tblProducts[],5,FALSE)</f>
        <v>134.41999999999999</v>
      </c>
      <c r="M1150" s="4">
        <f>tblTransactions[[#This Row],[Total_Amount]]-(tblTransactions[[#This Row],[Cost_Prices]]*tblTransactions[[#This Row],[Quantity]]*(1-tblTransactions[[#This Row],[Discount]]))</f>
        <v>899.73520000000008</v>
      </c>
      <c r="N1150" s="3">
        <f>tblTransactions[[#This Row],[Profit]]/tblTransactions[[#This Row],[Total_Amount]]</f>
        <v>0.5096494845360825</v>
      </c>
      <c r="O1150" t="str">
        <f>TEXT(tblTransactions[[#This Row],[Date]], "MMM-YYYY")</f>
        <v>Sep-2023</v>
      </c>
      <c r="P1150" t="str">
        <f>"Q"&amp;ROUNDUP(MONTH(tblTransactions[[#This Row],[Date]])/3,0)&amp;"-"&amp;YEAR(tblTransactions[[#This Row],[Date]])</f>
        <v>Q3-2023</v>
      </c>
      <c r="Q1150">
        <f>YEAR(tblTransactions[[#This Row],[Date]])</f>
        <v>2023</v>
      </c>
      <c r="R1150" t="str">
        <f>TEXT(tblTransactions[[#This Row],[Date]],"DDDD")</f>
        <v>Saturday</v>
      </c>
      <c r="S1150">
        <f>MONTH(tblTransactions[[#This Row],[Date]])</f>
        <v>9</v>
      </c>
      <c r="T1150" t="str">
        <f>VLOOKUP(E1150, Products!$A:$B,2,0)</f>
        <v>Adapters Acc-4</v>
      </c>
      <c r="U1150" t="str">
        <f>VLOOKUP(E1150,Products!$A:$C,3,0)</f>
        <v>Accessories</v>
      </c>
      <c r="V1150" t="str">
        <f>VLOOKUP(E1150,Products!$A:$D,4,0)</f>
        <v>Adapters</v>
      </c>
      <c r="W1150" t="str">
        <f>VLOOKUP(D1150,Customers!$A:$C,3,0)</f>
        <v>B2C</v>
      </c>
      <c r="X1150" t="str">
        <f>VLOOKUP(C1150,Sales_Representatives!$A:$B,2,0)</f>
        <v>Thomas Hernandez</v>
      </c>
    </row>
    <row r="1151" spans="1:24" x14ac:dyDescent="0.3">
      <c r="A1151" t="s">
        <v>1633</v>
      </c>
      <c r="B1151" t="s">
        <v>1634</v>
      </c>
      <c r="C1151" t="s">
        <v>82</v>
      </c>
      <c r="D1151" t="s">
        <v>1635</v>
      </c>
      <c r="E1151" t="s">
        <v>91</v>
      </c>
      <c r="F1151">
        <v>45</v>
      </c>
      <c r="G1151">
        <v>286.62</v>
      </c>
      <c r="H1151">
        <v>0.17</v>
      </c>
      <c r="I1151" s="4">
        <v>10705.26</v>
      </c>
      <c r="J1151" t="s">
        <v>34</v>
      </c>
      <c r="K1151" t="s">
        <v>22</v>
      </c>
      <c r="L1151" s="4">
        <f>VLOOKUP(tblTransactions[[#This Row],[Product_ID]],tblProducts[],5,FALSE)</f>
        <v>145.54</v>
      </c>
      <c r="M1151" s="4">
        <f>tblTransactions[[#This Row],[Total_Amount]]-(tblTransactions[[#This Row],[Cost_Prices]]*tblTransactions[[#This Row],[Quantity]]*(1-tblTransactions[[#This Row],[Discount]]))</f>
        <v>5269.3410000000013</v>
      </c>
      <c r="N1151" s="3">
        <f>tblTransactions[[#This Row],[Profit]]/tblTransactions[[#This Row],[Total_Amount]]</f>
        <v>0.49221980596454462</v>
      </c>
      <c r="O1151" t="str">
        <f>TEXT(tblTransactions[[#This Row],[Date]], "MMM-YYYY")</f>
        <v>Sep-2023</v>
      </c>
      <c r="P1151" t="str">
        <f>"Q"&amp;ROUNDUP(MONTH(tblTransactions[[#This Row],[Date]])/3,0)&amp;"-"&amp;YEAR(tblTransactions[[#This Row],[Date]])</f>
        <v>Q3-2023</v>
      </c>
      <c r="Q1151">
        <f>YEAR(tblTransactions[[#This Row],[Date]])</f>
        <v>2023</v>
      </c>
      <c r="R1151" t="str">
        <f>TEXT(tblTransactions[[#This Row],[Date]],"DDDD")</f>
        <v>Sunday</v>
      </c>
      <c r="S1151">
        <f>MONTH(tblTransactions[[#This Row],[Date]])</f>
        <v>9</v>
      </c>
      <c r="T1151" t="str">
        <f>VLOOKUP(E1151, Products!$A:$B,2,0)</f>
        <v>Chairs Fur-1</v>
      </c>
      <c r="U1151" t="str">
        <f>VLOOKUP(E1151,Products!$A:$C,3,0)</f>
        <v>Furniture</v>
      </c>
      <c r="V1151" t="str">
        <f>VLOOKUP(E1151,Products!$A:$D,4,0)</f>
        <v>Chairs</v>
      </c>
      <c r="W1151" t="str">
        <f>VLOOKUP(D1151,Customers!$A:$C,3,0)</f>
        <v>Enterprise</v>
      </c>
      <c r="X1151" t="str">
        <f>VLOOKUP(C1151,Sales_Representatives!$A:$B,2,0)</f>
        <v>John Brown</v>
      </c>
    </row>
    <row r="1152" spans="1:24" x14ac:dyDescent="0.3">
      <c r="A1152" t="s">
        <v>1636</v>
      </c>
      <c r="B1152" t="s">
        <v>1634</v>
      </c>
      <c r="C1152" t="s">
        <v>27</v>
      </c>
      <c r="D1152" t="s">
        <v>24</v>
      </c>
      <c r="E1152" t="s">
        <v>204</v>
      </c>
      <c r="F1152">
        <v>17</v>
      </c>
      <c r="G1152">
        <v>715.62</v>
      </c>
      <c r="H1152">
        <v>0.15</v>
      </c>
      <c r="I1152" s="4">
        <v>10340.709999999999</v>
      </c>
      <c r="J1152" t="s">
        <v>16</v>
      </c>
      <c r="K1152" t="s">
        <v>39</v>
      </c>
      <c r="L1152" s="4">
        <f>VLOOKUP(tblTransactions[[#This Row],[Product_ID]],tblProducts[],5,FALSE)</f>
        <v>459.58</v>
      </c>
      <c r="M1152" s="4">
        <f>tblTransactions[[#This Row],[Total_Amount]]-(tblTransactions[[#This Row],[Cost_Prices]]*tblTransactions[[#This Row],[Quantity]]*(1-tblTransactions[[#This Row],[Discount]]))</f>
        <v>3699.7789999999995</v>
      </c>
      <c r="N1152" s="3">
        <f>tblTransactions[[#This Row],[Profit]]/tblTransactions[[#This Row],[Total_Amount]]</f>
        <v>0.35778771477006899</v>
      </c>
      <c r="O1152" t="str">
        <f>TEXT(tblTransactions[[#This Row],[Date]], "MMM-YYYY")</f>
        <v>Sep-2023</v>
      </c>
      <c r="P1152" t="str">
        <f>"Q"&amp;ROUNDUP(MONTH(tblTransactions[[#This Row],[Date]])/3,0)&amp;"-"&amp;YEAR(tblTransactions[[#This Row],[Date]])</f>
        <v>Q3-2023</v>
      </c>
      <c r="Q1152">
        <f>YEAR(tblTransactions[[#This Row],[Date]])</f>
        <v>2023</v>
      </c>
      <c r="R1152" t="str">
        <f>TEXT(tblTransactions[[#This Row],[Date]],"DDDD")</f>
        <v>Sunday</v>
      </c>
      <c r="S1152">
        <f>MONTH(tblTransactions[[#This Row],[Date]])</f>
        <v>9</v>
      </c>
      <c r="T1152" t="str">
        <f>VLOOKUP(E1152, Products!$A:$B,2,0)</f>
        <v>Cameras Ele-2</v>
      </c>
      <c r="U1152" t="str">
        <f>VLOOKUP(E1152,Products!$A:$C,3,0)</f>
        <v>Electronics</v>
      </c>
      <c r="V1152" t="str">
        <f>VLOOKUP(E1152,Products!$A:$D,4,0)</f>
        <v>Cameras</v>
      </c>
      <c r="W1152" t="str">
        <f>VLOOKUP(D1152,Customers!$A:$C,3,0)</f>
        <v>B2B</v>
      </c>
      <c r="X1152" t="str">
        <f>VLOOKUP(C1152,Sales_Representatives!$A:$B,2,0)</f>
        <v>Thomas Lopez</v>
      </c>
    </row>
    <row r="1153" spans="1:24" x14ac:dyDescent="0.3">
      <c r="A1153" t="s">
        <v>1637</v>
      </c>
      <c r="B1153" t="s">
        <v>1634</v>
      </c>
      <c r="C1153" t="s">
        <v>70</v>
      </c>
      <c r="D1153" t="s">
        <v>1638</v>
      </c>
      <c r="E1153" t="s">
        <v>587</v>
      </c>
      <c r="F1153">
        <v>5</v>
      </c>
      <c r="G1153">
        <v>58.54</v>
      </c>
      <c r="H1153">
        <v>0.03</v>
      </c>
      <c r="I1153" s="4">
        <v>283.92</v>
      </c>
      <c r="J1153" t="s">
        <v>16</v>
      </c>
      <c r="K1153" t="s">
        <v>22</v>
      </c>
      <c r="L1153" s="4">
        <f>VLOOKUP(tblTransactions[[#This Row],[Product_ID]],tblProducts[],5,FALSE)</f>
        <v>25.43</v>
      </c>
      <c r="M1153" s="4">
        <f>tblTransactions[[#This Row],[Total_Amount]]-(tblTransactions[[#This Row],[Cost_Prices]]*tblTransactions[[#This Row],[Quantity]]*(1-tblTransactions[[#This Row],[Discount]]))</f>
        <v>160.58450000000002</v>
      </c>
      <c r="N1153" s="3">
        <f>tblTransactions[[#This Row],[Profit]]/tblTransactions[[#This Row],[Total_Amount]]</f>
        <v>0.56559770357847283</v>
      </c>
      <c r="O1153" t="str">
        <f>TEXT(tblTransactions[[#This Row],[Date]], "MMM-YYYY")</f>
        <v>Sep-2023</v>
      </c>
      <c r="P1153" t="str">
        <f>"Q"&amp;ROUNDUP(MONTH(tblTransactions[[#This Row],[Date]])/3,0)&amp;"-"&amp;YEAR(tblTransactions[[#This Row],[Date]])</f>
        <v>Q3-2023</v>
      </c>
      <c r="Q1153">
        <f>YEAR(tblTransactions[[#This Row],[Date]])</f>
        <v>2023</v>
      </c>
      <c r="R1153" t="str">
        <f>TEXT(tblTransactions[[#This Row],[Date]],"DDDD")</f>
        <v>Sunday</v>
      </c>
      <c r="S1153">
        <f>MONTH(tblTransactions[[#This Row],[Date]])</f>
        <v>9</v>
      </c>
      <c r="T1153" t="str">
        <f>VLOOKUP(E1153, Products!$A:$B,2,0)</f>
        <v>Paper Off-2</v>
      </c>
      <c r="U1153" t="str">
        <f>VLOOKUP(E1153,Products!$A:$C,3,0)</f>
        <v>Office Supplies</v>
      </c>
      <c r="V1153" t="str">
        <f>VLOOKUP(E1153,Products!$A:$D,4,0)</f>
        <v>Paper</v>
      </c>
      <c r="W1153" t="str">
        <f>VLOOKUP(D1153,Customers!$A:$C,3,0)</f>
        <v>B2C</v>
      </c>
      <c r="X1153" t="str">
        <f>VLOOKUP(C1153,Sales_Representatives!$A:$B,2,0)</f>
        <v>Linda Smith</v>
      </c>
    </row>
    <row r="1154" spans="1:24" x14ac:dyDescent="0.3">
      <c r="A1154" t="s">
        <v>1639</v>
      </c>
      <c r="B1154" t="s">
        <v>1634</v>
      </c>
      <c r="C1154" t="s">
        <v>127</v>
      </c>
      <c r="D1154" t="s">
        <v>1640</v>
      </c>
      <c r="E1154" t="s">
        <v>221</v>
      </c>
      <c r="F1154">
        <v>7</v>
      </c>
      <c r="G1154">
        <v>210.02</v>
      </c>
      <c r="H1154">
        <v>0.11</v>
      </c>
      <c r="I1154" s="4">
        <v>1308.42</v>
      </c>
      <c r="J1154" t="s">
        <v>109</v>
      </c>
      <c r="K1154" t="s">
        <v>35</v>
      </c>
      <c r="L1154" s="4">
        <f>VLOOKUP(tblTransactions[[#This Row],[Product_ID]],tblProducts[],5,FALSE)</f>
        <v>131.66</v>
      </c>
      <c r="M1154" s="4">
        <f>tblTransactions[[#This Row],[Total_Amount]]-(tblTransactions[[#This Row],[Cost_Prices]]*tblTransactions[[#This Row],[Quantity]]*(1-tblTransactions[[#This Row],[Discount]]))</f>
        <v>488.17820000000006</v>
      </c>
      <c r="N1154" s="3">
        <f>tblTransactions[[#This Row],[Profit]]/tblTransactions[[#This Row],[Total_Amount]]</f>
        <v>0.37310511915134287</v>
      </c>
      <c r="O1154" t="str">
        <f>TEXT(tblTransactions[[#This Row],[Date]], "MMM-YYYY")</f>
        <v>Sep-2023</v>
      </c>
      <c r="P1154" t="str">
        <f>"Q"&amp;ROUNDUP(MONTH(tblTransactions[[#This Row],[Date]])/3,0)&amp;"-"&amp;YEAR(tblTransactions[[#This Row],[Date]])</f>
        <v>Q3-2023</v>
      </c>
      <c r="Q1154">
        <f>YEAR(tblTransactions[[#This Row],[Date]])</f>
        <v>2023</v>
      </c>
      <c r="R1154" t="str">
        <f>TEXT(tblTransactions[[#This Row],[Date]],"DDDD")</f>
        <v>Sunday</v>
      </c>
      <c r="S1154">
        <f>MONTH(tblTransactions[[#This Row],[Date]])</f>
        <v>9</v>
      </c>
      <c r="T1154" t="str">
        <f>VLOOKUP(E1154, Products!$A:$B,2,0)</f>
        <v>Storage Fur-2</v>
      </c>
      <c r="U1154" t="str">
        <f>VLOOKUP(E1154,Products!$A:$C,3,0)</f>
        <v>Furniture</v>
      </c>
      <c r="V1154" t="str">
        <f>VLOOKUP(E1154,Products!$A:$D,4,0)</f>
        <v>Storage</v>
      </c>
      <c r="W1154" t="str">
        <f>VLOOKUP(D1154,Customers!$A:$C,3,0)</f>
        <v>B2C</v>
      </c>
      <c r="X1154" t="str">
        <f>VLOOKUP(C1154,Sales_Representatives!$A:$B,2,0)</f>
        <v>Emily Hernandez</v>
      </c>
    </row>
    <row r="1155" spans="1:24" x14ac:dyDescent="0.3">
      <c r="A1155" t="s">
        <v>1641</v>
      </c>
      <c r="B1155" t="s">
        <v>1634</v>
      </c>
      <c r="C1155" t="s">
        <v>31</v>
      </c>
      <c r="D1155" t="s">
        <v>37</v>
      </c>
      <c r="E1155" t="s">
        <v>99</v>
      </c>
      <c r="F1155">
        <v>27</v>
      </c>
      <c r="G1155">
        <v>325.14</v>
      </c>
      <c r="H1155">
        <v>0.17</v>
      </c>
      <c r="I1155" s="4">
        <v>7286.39</v>
      </c>
      <c r="J1155" t="s">
        <v>34</v>
      </c>
      <c r="K1155" t="s">
        <v>22</v>
      </c>
      <c r="L1155" s="4">
        <f>VLOOKUP(tblTransactions[[#This Row],[Product_ID]],tblProducts[],5,FALSE)</f>
        <v>209.04</v>
      </c>
      <c r="M1155" s="4">
        <f>tblTransactions[[#This Row],[Total_Amount]]-(tblTransactions[[#This Row],[Cost_Prices]]*tblTransactions[[#This Row],[Quantity]]*(1-tblTransactions[[#This Row],[Discount]]))</f>
        <v>2601.8036000000002</v>
      </c>
      <c r="N1155" s="3">
        <f>tblTransactions[[#This Row],[Profit]]/tblTransactions[[#This Row],[Total_Amount]]</f>
        <v>0.35707718088106732</v>
      </c>
      <c r="O1155" t="str">
        <f>TEXT(tblTransactions[[#This Row],[Date]], "MMM-YYYY")</f>
        <v>Sep-2023</v>
      </c>
      <c r="P1155" t="str">
        <f>"Q"&amp;ROUNDUP(MONTH(tblTransactions[[#This Row],[Date]])/3,0)&amp;"-"&amp;YEAR(tblTransactions[[#This Row],[Date]])</f>
        <v>Q3-2023</v>
      </c>
      <c r="Q1155">
        <f>YEAR(tblTransactions[[#This Row],[Date]])</f>
        <v>2023</v>
      </c>
      <c r="R1155" t="str">
        <f>TEXT(tblTransactions[[#This Row],[Date]],"DDDD")</f>
        <v>Sunday</v>
      </c>
      <c r="S1155">
        <f>MONTH(tblTransactions[[#This Row],[Date]])</f>
        <v>9</v>
      </c>
      <c r="T1155" t="str">
        <f>VLOOKUP(E1155, Products!$A:$B,2,0)</f>
        <v>Monitors Tec-1</v>
      </c>
      <c r="U1155" t="str">
        <f>VLOOKUP(E1155,Products!$A:$C,3,0)</f>
        <v>Technology</v>
      </c>
      <c r="V1155" t="str">
        <f>VLOOKUP(E1155,Products!$A:$D,4,0)</f>
        <v>Monitors</v>
      </c>
      <c r="W1155" t="str">
        <f>VLOOKUP(D1155,Customers!$A:$C,3,0)</f>
        <v>Enterprise</v>
      </c>
      <c r="X1155" t="str">
        <f>VLOOKUP(C1155,Sales_Representatives!$A:$B,2,0)</f>
        <v>Thomas Martinez</v>
      </c>
    </row>
    <row r="1156" spans="1:24" x14ac:dyDescent="0.3">
      <c r="A1156" t="s">
        <v>1642</v>
      </c>
      <c r="B1156" t="s">
        <v>1634</v>
      </c>
      <c r="C1156" t="s">
        <v>41</v>
      </c>
      <c r="D1156" t="s">
        <v>1643</v>
      </c>
      <c r="E1156" t="s">
        <v>53</v>
      </c>
      <c r="F1156">
        <v>6</v>
      </c>
      <c r="G1156">
        <v>2069.2199999999998</v>
      </c>
      <c r="H1156">
        <v>0.1</v>
      </c>
      <c r="I1156" s="4">
        <v>11173.79</v>
      </c>
      <c r="J1156" t="s">
        <v>44</v>
      </c>
      <c r="K1156" t="s">
        <v>22</v>
      </c>
      <c r="L1156" s="4">
        <f>VLOOKUP(tblTransactions[[#This Row],[Product_ID]],tblProducts[],5,FALSE)</f>
        <v>1451.18</v>
      </c>
      <c r="M1156" s="4">
        <f>tblTransactions[[#This Row],[Total_Amount]]-(tblTransactions[[#This Row],[Cost_Prices]]*tblTransactions[[#This Row],[Quantity]]*(1-tblTransactions[[#This Row],[Discount]]))</f>
        <v>3337.4180000000006</v>
      </c>
      <c r="N1156" s="3">
        <f>tblTransactions[[#This Row],[Profit]]/tblTransactions[[#This Row],[Total_Amount]]</f>
        <v>0.29868272090311349</v>
      </c>
      <c r="O1156" t="str">
        <f>TEXT(tblTransactions[[#This Row],[Date]], "MMM-YYYY")</f>
        <v>Sep-2023</v>
      </c>
      <c r="P1156" t="str">
        <f>"Q"&amp;ROUNDUP(MONTH(tblTransactions[[#This Row],[Date]])/3,0)&amp;"-"&amp;YEAR(tblTransactions[[#This Row],[Date]])</f>
        <v>Q3-2023</v>
      </c>
      <c r="Q1156">
        <f>YEAR(tblTransactions[[#This Row],[Date]])</f>
        <v>2023</v>
      </c>
      <c r="R1156" t="str">
        <f>TEXT(tblTransactions[[#This Row],[Date]],"DDDD")</f>
        <v>Sunday</v>
      </c>
      <c r="S1156">
        <f>MONTH(tblTransactions[[#This Row],[Date]])</f>
        <v>9</v>
      </c>
      <c r="T1156" t="str">
        <f>VLOOKUP(E1156, Products!$A:$B,2,0)</f>
        <v>Printers Tec-3</v>
      </c>
      <c r="U1156" t="str">
        <f>VLOOKUP(E1156,Products!$A:$C,3,0)</f>
        <v>Technology</v>
      </c>
      <c r="V1156" t="str">
        <f>VLOOKUP(E1156,Products!$A:$D,4,0)</f>
        <v>Printers</v>
      </c>
      <c r="W1156" t="str">
        <f>VLOOKUP(D1156,Customers!$A:$C,3,0)</f>
        <v>B2C</v>
      </c>
      <c r="X1156" t="str">
        <f>VLOOKUP(C1156,Sales_Representatives!$A:$B,2,0)</f>
        <v>Robert Jones</v>
      </c>
    </row>
    <row r="1157" spans="1:24" x14ac:dyDescent="0.3">
      <c r="A1157" t="s">
        <v>1644</v>
      </c>
      <c r="B1157" t="s">
        <v>1634</v>
      </c>
      <c r="C1157" t="s">
        <v>19</v>
      </c>
      <c r="D1157" t="s">
        <v>1518</v>
      </c>
      <c r="E1157" t="s">
        <v>148</v>
      </c>
      <c r="F1157">
        <v>4</v>
      </c>
      <c r="G1157">
        <v>20.420000000000002</v>
      </c>
      <c r="H1157">
        <v>0</v>
      </c>
      <c r="I1157" s="4">
        <v>81.680000000000007</v>
      </c>
      <c r="J1157" t="s">
        <v>21</v>
      </c>
      <c r="K1157" t="s">
        <v>17</v>
      </c>
      <c r="L1157" s="4">
        <f>VLOOKUP(tblTransactions[[#This Row],[Product_ID]],tblProducts[],5,FALSE)</f>
        <v>9.56</v>
      </c>
      <c r="M1157" s="4">
        <f>tblTransactions[[#This Row],[Total_Amount]]-(tblTransactions[[#This Row],[Cost_Prices]]*tblTransactions[[#This Row],[Quantity]]*(1-tblTransactions[[#This Row],[Discount]]))</f>
        <v>43.440000000000005</v>
      </c>
      <c r="N1157" s="3">
        <f>tblTransactions[[#This Row],[Profit]]/tblTransactions[[#This Row],[Total_Amount]]</f>
        <v>0.5318315377081293</v>
      </c>
      <c r="O1157" t="str">
        <f>TEXT(tblTransactions[[#This Row],[Date]], "MMM-YYYY")</f>
        <v>Sep-2023</v>
      </c>
      <c r="P1157" t="str">
        <f>"Q"&amp;ROUNDUP(MONTH(tblTransactions[[#This Row],[Date]])/3,0)&amp;"-"&amp;YEAR(tblTransactions[[#This Row],[Date]])</f>
        <v>Q3-2023</v>
      </c>
      <c r="Q1157">
        <f>YEAR(tblTransactions[[#This Row],[Date]])</f>
        <v>2023</v>
      </c>
      <c r="R1157" t="str">
        <f>TEXT(tblTransactions[[#This Row],[Date]],"DDDD")</f>
        <v>Sunday</v>
      </c>
      <c r="S1157">
        <f>MONTH(tblTransactions[[#This Row],[Date]])</f>
        <v>9</v>
      </c>
      <c r="T1157" t="str">
        <f>VLOOKUP(E1157, Products!$A:$B,2,0)</f>
        <v>Cases Acc-3</v>
      </c>
      <c r="U1157" t="str">
        <f>VLOOKUP(E1157,Products!$A:$C,3,0)</f>
        <v>Accessories</v>
      </c>
      <c r="V1157" t="str">
        <f>VLOOKUP(E1157,Products!$A:$D,4,0)</f>
        <v>Cases</v>
      </c>
      <c r="W1157" t="str">
        <f>VLOOKUP(D1157,Customers!$A:$C,3,0)</f>
        <v>B2C</v>
      </c>
      <c r="X1157" t="str">
        <f>VLOOKUP(C1157,Sales_Representatives!$A:$B,2,0)</f>
        <v>Robert Jones</v>
      </c>
    </row>
    <row r="1158" spans="1:24" x14ac:dyDescent="0.3">
      <c r="A1158" t="s">
        <v>1645</v>
      </c>
      <c r="B1158" t="s">
        <v>1634</v>
      </c>
      <c r="C1158" t="s">
        <v>131</v>
      </c>
      <c r="D1158" t="s">
        <v>1646</v>
      </c>
      <c r="E1158" t="s">
        <v>87</v>
      </c>
      <c r="F1158">
        <v>3</v>
      </c>
      <c r="G1158">
        <v>1047.8900000000001</v>
      </c>
      <c r="H1158">
        <v>0.01</v>
      </c>
      <c r="I1158" s="4">
        <v>3112.23</v>
      </c>
      <c r="J1158" t="s">
        <v>44</v>
      </c>
      <c r="K1158" t="s">
        <v>35</v>
      </c>
      <c r="L1158" s="4">
        <f>VLOOKUP(tblTransactions[[#This Row],[Product_ID]],tblProducts[],5,FALSE)</f>
        <v>742.63</v>
      </c>
      <c r="M1158" s="4">
        <f>tblTransactions[[#This Row],[Total_Amount]]-(tblTransactions[[#This Row],[Cost_Prices]]*tblTransactions[[#This Row],[Quantity]]*(1-tblTransactions[[#This Row],[Discount]]))</f>
        <v>906.61889999999994</v>
      </c>
      <c r="N1158" s="3">
        <f>tblTransactions[[#This Row],[Profit]]/tblTransactions[[#This Row],[Total_Amount]]</f>
        <v>0.29130845085356799</v>
      </c>
      <c r="O1158" t="str">
        <f>TEXT(tblTransactions[[#This Row],[Date]], "MMM-YYYY")</f>
        <v>Sep-2023</v>
      </c>
      <c r="P1158" t="str">
        <f>"Q"&amp;ROUNDUP(MONTH(tblTransactions[[#This Row],[Date]])/3,0)&amp;"-"&amp;YEAR(tblTransactions[[#This Row],[Date]])</f>
        <v>Q3-2023</v>
      </c>
      <c r="Q1158">
        <f>YEAR(tblTransactions[[#This Row],[Date]])</f>
        <v>2023</v>
      </c>
      <c r="R1158" t="str">
        <f>TEXT(tblTransactions[[#This Row],[Date]],"DDDD")</f>
        <v>Sunday</v>
      </c>
      <c r="S1158">
        <f>MONTH(tblTransactions[[#This Row],[Date]])</f>
        <v>9</v>
      </c>
      <c r="T1158" t="str">
        <f>VLOOKUP(E1158, Products!$A:$B,2,0)</f>
        <v>Monitors Tec-2</v>
      </c>
      <c r="U1158" t="str">
        <f>VLOOKUP(E1158,Products!$A:$C,3,0)</f>
        <v>Technology</v>
      </c>
      <c r="V1158" t="str">
        <f>VLOOKUP(E1158,Products!$A:$D,4,0)</f>
        <v>Monitors</v>
      </c>
      <c r="W1158" t="str">
        <f>VLOOKUP(D1158,Customers!$A:$C,3,0)</f>
        <v>B2B</v>
      </c>
      <c r="X1158" t="str">
        <f>VLOOKUP(C1158,Sales_Representatives!$A:$B,2,0)</f>
        <v>Michael Davis</v>
      </c>
    </row>
    <row r="1159" spans="1:24" x14ac:dyDescent="0.3">
      <c r="A1159" t="s">
        <v>1647</v>
      </c>
      <c r="B1159" t="s">
        <v>1648</v>
      </c>
      <c r="C1159" t="s">
        <v>56</v>
      </c>
      <c r="D1159" t="s">
        <v>1649</v>
      </c>
      <c r="E1159" t="s">
        <v>20</v>
      </c>
      <c r="F1159">
        <v>13</v>
      </c>
      <c r="G1159">
        <v>1219.49</v>
      </c>
      <c r="H1159">
        <v>0.15</v>
      </c>
      <c r="I1159" s="4">
        <v>13475.36</v>
      </c>
      <c r="J1159" t="s">
        <v>34</v>
      </c>
      <c r="K1159" t="s">
        <v>48</v>
      </c>
      <c r="L1159" s="4">
        <f>VLOOKUP(tblTransactions[[#This Row],[Product_ID]],tblProducts[],5,FALSE)</f>
        <v>686.9</v>
      </c>
      <c r="M1159" s="4">
        <f>tblTransactions[[#This Row],[Total_Amount]]-(tblTransactions[[#This Row],[Cost_Prices]]*tblTransactions[[#This Row],[Quantity]]*(1-tblTransactions[[#This Row],[Discount]]))</f>
        <v>5885.1150000000016</v>
      </c>
      <c r="N1159" s="3">
        <f>tblTransactions[[#This Row],[Profit]]/tblTransactions[[#This Row],[Total_Amount]]</f>
        <v>0.43673156041842304</v>
      </c>
      <c r="O1159" t="str">
        <f>TEXT(tblTransactions[[#This Row],[Date]], "MMM-YYYY")</f>
        <v>Sep-2023</v>
      </c>
      <c r="P1159" t="str">
        <f>"Q"&amp;ROUNDUP(MONTH(tblTransactions[[#This Row],[Date]])/3,0)&amp;"-"&amp;YEAR(tblTransactions[[#This Row],[Date]])</f>
        <v>Q3-2023</v>
      </c>
      <c r="Q1159">
        <f>YEAR(tblTransactions[[#This Row],[Date]])</f>
        <v>2023</v>
      </c>
      <c r="R1159" t="str">
        <f>TEXT(tblTransactions[[#This Row],[Date]],"DDDD")</f>
        <v>Monday</v>
      </c>
      <c r="S1159">
        <f>MONTH(tblTransactions[[#This Row],[Date]])</f>
        <v>9</v>
      </c>
      <c r="T1159" t="str">
        <f>VLOOKUP(E1159, Products!$A:$B,2,0)</f>
        <v>Laptops Ele-1</v>
      </c>
      <c r="U1159" t="str">
        <f>VLOOKUP(E1159,Products!$A:$C,3,0)</f>
        <v>Electronics</v>
      </c>
      <c r="V1159" t="str">
        <f>VLOOKUP(E1159,Products!$A:$D,4,0)</f>
        <v>Laptops</v>
      </c>
      <c r="W1159" t="str">
        <f>VLOOKUP(D1159,Customers!$A:$C,3,0)</f>
        <v>Enterprise</v>
      </c>
      <c r="X1159" t="str">
        <f>VLOOKUP(C1159,Sales_Representatives!$A:$B,2,0)</f>
        <v>Thomas Hernandez</v>
      </c>
    </row>
    <row r="1160" spans="1:24" x14ac:dyDescent="0.3">
      <c r="A1160" t="s">
        <v>1650</v>
      </c>
      <c r="B1160" t="s">
        <v>1648</v>
      </c>
      <c r="C1160" t="s">
        <v>31</v>
      </c>
      <c r="D1160" t="s">
        <v>1651</v>
      </c>
      <c r="E1160" t="s">
        <v>299</v>
      </c>
      <c r="F1160">
        <v>14</v>
      </c>
      <c r="G1160">
        <v>963.44</v>
      </c>
      <c r="H1160">
        <v>0.18</v>
      </c>
      <c r="I1160" s="4">
        <v>11060.29</v>
      </c>
      <c r="J1160" t="s">
        <v>34</v>
      </c>
      <c r="K1160" t="s">
        <v>35</v>
      </c>
      <c r="L1160" s="4">
        <f>VLOOKUP(tblTransactions[[#This Row],[Product_ID]],tblProducts[],5,FALSE)</f>
        <v>578.96</v>
      </c>
      <c r="M1160" s="4">
        <f>tblTransactions[[#This Row],[Total_Amount]]-(tblTransactions[[#This Row],[Cost_Prices]]*tblTransactions[[#This Row],[Quantity]]*(1-tblTransactions[[#This Row],[Discount]]))</f>
        <v>4413.8292000000001</v>
      </c>
      <c r="N1160" s="3">
        <f>tblTransactions[[#This Row],[Profit]]/tblTransactions[[#This Row],[Total_Amount]]</f>
        <v>0.39906993397098989</v>
      </c>
      <c r="O1160" t="str">
        <f>TEXT(tblTransactions[[#This Row],[Date]], "MMM-YYYY")</f>
        <v>Sep-2023</v>
      </c>
      <c r="P1160" t="str">
        <f>"Q"&amp;ROUNDUP(MONTH(tblTransactions[[#This Row],[Date]])/3,0)&amp;"-"&amp;YEAR(tblTransactions[[#This Row],[Date]])</f>
        <v>Q3-2023</v>
      </c>
      <c r="Q1160">
        <f>YEAR(tblTransactions[[#This Row],[Date]])</f>
        <v>2023</v>
      </c>
      <c r="R1160" t="str">
        <f>TEXT(tblTransactions[[#This Row],[Date]],"DDDD")</f>
        <v>Monday</v>
      </c>
      <c r="S1160">
        <f>MONTH(tblTransactions[[#This Row],[Date]])</f>
        <v>9</v>
      </c>
      <c r="T1160" t="str">
        <f>VLOOKUP(E1160, Products!$A:$B,2,0)</f>
        <v>Chairs Fur-4</v>
      </c>
      <c r="U1160" t="str">
        <f>VLOOKUP(E1160,Products!$A:$C,3,0)</f>
        <v>Furniture</v>
      </c>
      <c r="V1160" t="str">
        <f>VLOOKUP(E1160,Products!$A:$D,4,0)</f>
        <v>Chairs</v>
      </c>
      <c r="W1160" t="str">
        <f>VLOOKUP(D1160,Customers!$A:$C,3,0)</f>
        <v>Enterprise</v>
      </c>
      <c r="X1160" t="str">
        <f>VLOOKUP(C1160,Sales_Representatives!$A:$B,2,0)</f>
        <v>Thomas Martinez</v>
      </c>
    </row>
    <row r="1161" spans="1:24" x14ac:dyDescent="0.3">
      <c r="A1161" t="s">
        <v>1652</v>
      </c>
      <c r="B1161" t="s">
        <v>1648</v>
      </c>
      <c r="C1161" t="s">
        <v>59</v>
      </c>
      <c r="D1161" t="s">
        <v>42</v>
      </c>
      <c r="E1161" t="s">
        <v>20</v>
      </c>
      <c r="F1161">
        <v>3</v>
      </c>
      <c r="G1161">
        <v>1219.49</v>
      </c>
      <c r="H1161">
        <v>0.05</v>
      </c>
      <c r="I1161" s="4">
        <v>3475.55</v>
      </c>
      <c r="J1161" t="s">
        <v>21</v>
      </c>
      <c r="K1161" t="s">
        <v>35</v>
      </c>
      <c r="L1161" s="4">
        <f>VLOOKUP(tblTransactions[[#This Row],[Product_ID]],tblProducts[],5,FALSE)</f>
        <v>686.9</v>
      </c>
      <c r="M1161" s="4">
        <f>tblTransactions[[#This Row],[Total_Amount]]-(tblTransactions[[#This Row],[Cost_Prices]]*tblTransactions[[#This Row],[Quantity]]*(1-tblTransactions[[#This Row],[Discount]]))</f>
        <v>1517.8850000000004</v>
      </c>
      <c r="N1161" s="3">
        <f>tblTransactions[[#This Row],[Profit]]/tblTransactions[[#This Row],[Total_Amount]]</f>
        <v>0.43673231574858667</v>
      </c>
      <c r="O1161" t="str">
        <f>TEXT(tblTransactions[[#This Row],[Date]], "MMM-YYYY")</f>
        <v>Sep-2023</v>
      </c>
      <c r="P1161" t="str">
        <f>"Q"&amp;ROUNDUP(MONTH(tblTransactions[[#This Row],[Date]])/3,0)&amp;"-"&amp;YEAR(tblTransactions[[#This Row],[Date]])</f>
        <v>Q3-2023</v>
      </c>
      <c r="Q1161">
        <f>YEAR(tblTransactions[[#This Row],[Date]])</f>
        <v>2023</v>
      </c>
      <c r="R1161" t="str">
        <f>TEXT(tblTransactions[[#This Row],[Date]],"DDDD")</f>
        <v>Monday</v>
      </c>
      <c r="S1161">
        <f>MONTH(tblTransactions[[#This Row],[Date]])</f>
        <v>9</v>
      </c>
      <c r="T1161" t="str">
        <f>VLOOKUP(E1161, Products!$A:$B,2,0)</f>
        <v>Laptops Ele-1</v>
      </c>
      <c r="U1161" t="str">
        <f>VLOOKUP(E1161,Products!$A:$C,3,0)</f>
        <v>Electronics</v>
      </c>
      <c r="V1161" t="str">
        <f>VLOOKUP(E1161,Products!$A:$D,4,0)</f>
        <v>Laptops</v>
      </c>
      <c r="W1161" t="str">
        <f>VLOOKUP(D1161,Customers!$A:$C,3,0)</f>
        <v>B2C</v>
      </c>
      <c r="X1161" t="str">
        <f>VLOOKUP(C1161,Sales_Representatives!$A:$B,2,0)</f>
        <v>Sarah Brown</v>
      </c>
    </row>
    <row r="1162" spans="1:24" x14ac:dyDescent="0.3">
      <c r="A1162" t="s">
        <v>1653</v>
      </c>
      <c r="B1162" t="s">
        <v>1648</v>
      </c>
      <c r="C1162" t="s">
        <v>131</v>
      </c>
      <c r="D1162" t="s">
        <v>1654</v>
      </c>
      <c r="E1162" t="s">
        <v>310</v>
      </c>
      <c r="F1162">
        <v>5</v>
      </c>
      <c r="G1162">
        <v>274.13</v>
      </c>
      <c r="H1162">
        <v>0.05</v>
      </c>
      <c r="I1162" s="4">
        <v>1302.1199999999999</v>
      </c>
      <c r="J1162" t="s">
        <v>44</v>
      </c>
      <c r="K1162" t="s">
        <v>39</v>
      </c>
      <c r="L1162" s="4">
        <f>VLOOKUP(tblTransactions[[#This Row],[Product_ID]],tblProducts[],5,FALSE)</f>
        <v>134.41999999999999</v>
      </c>
      <c r="M1162" s="4">
        <f>tblTransactions[[#This Row],[Total_Amount]]-(tblTransactions[[#This Row],[Cost_Prices]]*tblTransactions[[#This Row],[Quantity]]*(1-tblTransactions[[#This Row],[Discount]]))</f>
        <v>663.625</v>
      </c>
      <c r="N1162" s="3">
        <f>tblTransactions[[#This Row],[Profit]]/tblTransactions[[#This Row],[Total_Amount]]</f>
        <v>0.50964964826590486</v>
      </c>
      <c r="O1162" t="str">
        <f>TEXT(tblTransactions[[#This Row],[Date]], "MMM-YYYY")</f>
        <v>Sep-2023</v>
      </c>
      <c r="P1162" t="str">
        <f>"Q"&amp;ROUNDUP(MONTH(tblTransactions[[#This Row],[Date]])/3,0)&amp;"-"&amp;YEAR(tblTransactions[[#This Row],[Date]])</f>
        <v>Q3-2023</v>
      </c>
      <c r="Q1162">
        <f>YEAR(tblTransactions[[#This Row],[Date]])</f>
        <v>2023</v>
      </c>
      <c r="R1162" t="str">
        <f>TEXT(tblTransactions[[#This Row],[Date]],"DDDD")</f>
        <v>Monday</v>
      </c>
      <c r="S1162">
        <f>MONTH(tblTransactions[[#This Row],[Date]])</f>
        <v>9</v>
      </c>
      <c r="T1162" t="str">
        <f>VLOOKUP(E1162, Products!$A:$B,2,0)</f>
        <v>Adapters Acc-4</v>
      </c>
      <c r="U1162" t="str">
        <f>VLOOKUP(E1162,Products!$A:$C,3,0)</f>
        <v>Accessories</v>
      </c>
      <c r="V1162" t="str">
        <f>VLOOKUP(E1162,Products!$A:$D,4,0)</f>
        <v>Adapters</v>
      </c>
      <c r="W1162" t="str">
        <f>VLOOKUP(D1162,Customers!$A:$C,3,0)</f>
        <v>B2C</v>
      </c>
      <c r="X1162" t="str">
        <f>VLOOKUP(C1162,Sales_Representatives!$A:$B,2,0)</f>
        <v>Michael Davis</v>
      </c>
    </row>
    <row r="1163" spans="1:24" x14ac:dyDescent="0.3">
      <c r="A1163" t="s">
        <v>1655</v>
      </c>
      <c r="B1163" t="s">
        <v>1648</v>
      </c>
      <c r="C1163" t="s">
        <v>75</v>
      </c>
      <c r="D1163" t="s">
        <v>1656</v>
      </c>
      <c r="E1163" t="s">
        <v>198</v>
      </c>
      <c r="F1163">
        <v>7</v>
      </c>
      <c r="G1163">
        <v>1802.96</v>
      </c>
      <c r="H1163">
        <v>0.1</v>
      </c>
      <c r="I1163" s="4">
        <v>11358.65</v>
      </c>
      <c r="J1163" t="s">
        <v>44</v>
      </c>
      <c r="K1163" t="s">
        <v>35</v>
      </c>
      <c r="L1163" s="4">
        <f>VLOOKUP(tblTransactions[[#This Row],[Product_ID]],tblProducts[],5,FALSE)</f>
        <v>1282.18</v>
      </c>
      <c r="M1163" s="4">
        <f>tblTransactions[[#This Row],[Total_Amount]]-(tblTransactions[[#This Row],[Cost_Prices]]*tblTransactions[[#This Row],[Quantity]]*(1-tblTransactions[[#This Row],[Discount]]))</f>
        <v>3280.9159999999993</v>
      </c>
      <c r="N1163" s="3">
        <f>tblTransactions[[#This Row],[Profit]]/tblTransactions[[#This Row],[Total_Amount]]</f>
        <v>0.28884735421903124</v>
      </c>
      <c r="O1163" t="str">
        <f>TEXT(tblTransactions[[#This Row],[Date]], "MMM-YYYY")</f>
        <v>Sep-2023</v>
      </c>
      <c r="P1163" t="str">
        <f>"Q"&amp;ROUNDUP(MONTH(tblTransactions[[#This Row],[Date]])/3,0)&amp;"-"&amp;YEAR(tblTransactions[[#This Row],[Date]])</f>
        <v>Q3-2023</v>
      </c>
      <c r="Q1163">
        <f>YEAR(tblTransactions[[#This Row],[Date]])</f>
        <v>2023</v>
      </c>
      <c r="R1163" t="str">
        <f>TEXT(tblTransactions[[#This Row],[Date]],"DDDD")</f>
        <v>Monday</v>
      </c>
      <c r="S1163">
        <f>MONTH(tblTransactions[[#This Row],[Date]])</f>
        <v>9</v>
      </c>
      <c r="T1163" t="str">
        <f>VLOOKUP(E1163, Products!$A:$B,2,0)</f>
        <v>Tablets Ele-3</v>
      </c>
      <c r="U1163" t="str">
        <f>VLOOKUP(E1163,Products!$A:$C,3,0)</f>
        <v>Electronics</v>
      </c>
      <c r="V1163" t="str">
        <f>VLOOKUP(E1163,Products!$A:$D,4,0)</f>
        <v>Tablets</v>
      </c>
      <c r="W1163" t="str">
        <f>VLOOKUP(D1163,Customers!$A:$C,3,0)</f>
        <v>B2C</v>
      </c>
      <c r="X1163" t="str">
        <f>VLOOKUP(C1163,Sales_Representatives!$A:$B,2,0)</f>
        <v>Jessica Anderson</v>
      </c>
    </row>
    <row r="1164" spans="1:24" x14ac:dyDescent="0.3">
      <c r="A1164" t="s">
        <v>1657</v>
      </c>
      <c r="B1164" t="s">
        <v>1648</v>
      </c>
      <c r="C1164" t="s">
        <v>131</v>
      </c>
      <c r="D1164" t="s">
        <v>1658</v>
      </c>
      <c r="E1164" t="s">
        <v>224</v>
      </c>
      <c r="F1164">
        <v>16</v>
      </c>
      <c r="G1164">
        <v>505.37</v>
      </c>
      <c r="H1164">
        <v>0.16</v>
      </c>
      <c r="I1164" s="4">
        <v>6792.17</v>
      </c>
      <c r="J1164" t="s">
        <v>44</v>
      </c>
      <c r="K1164" t="s">
        <v>35</v>
      </c>
      <c r="L1164" s="4">
        <f>VLOOKUP(tblTransactions[[#This Row],[Product_ID]],tblProducts[],5,FALSE)</f>
        <v>281.14999999999998</v>
      </c>
      <c r="M1164" s="4">
        <f>tblTransactions[[#This Row],[Total_Amount]]-(tblTransactions[[#This Row],[Cost_Prices]]*tblTransactions[[#This Row],[Quantity]]*(1-tblTransactions[[#This Row],[Discount]]))</f>
        <v>3013.5140000000006</v>
      </c>
      <c r="N1164" s="3">
        <f>tblTransactions[[#This Row],[Profit]]/tblTransactions[[#This Row],[Total_Amount]]</f>
        <v>0.44367470189939306</v>
      </c>
      <c r="O1164" t="str">
        <f>TEXT(tblTransactions[[#This Row],[Date]], "MMM-YYYY")</f>
        <v>Sep-2023</v>
      </c>
      <c r="P1164" t="str">
        <f>"Q"&amp;ROUNDUP(MONTH(tblTransactions[[#This Row],[Date]])/3,0)&amp;"-"&amp;YEAR(tblTransactions[[#This Row],[Date]])</f>
        <v>Q3-2023</v>
      </c>
      <c r="Q1164">
        <f>YEAR(tblTransactions[[#This Row],[Date]])</f>
        <v>2023</v>
      </c>
      <c r="R1164" t="str">
        <f>TEXT(tblTransactions[[#This Row],[Date]],"DDDD")</f>
        <v>Monday</v>
      </c>
      <c r="S1164">
        <f>MONTH(tblTransactions[[#This Row],[Date]])</f>
        <v>9</v>
      </c>
      <c r="T1164" t="str">
        <f>VLOOKUP(E1164, Products!$A:$B,2,0)</f>
        <v>Desks Fur-3</v>
      </c>
      <c r="U1164" t="str">
        <f>VLOOKUP(E1164,Products!$A:$C,3,0)</f>
        <v>Furniture</v>
      </c>
      <c r="V1164" t="str">
        <f>VLOOKUP(E1164,Products!$A:$D,4,0)</f>
        <v>Desks</v>
      </c>
      <c r="W1164" t="str">
        <f>VLOOKUP(D1164,Customers!$A:$C,3,0)</f>
        <v>Enterprise</v>
      </c>
      <c r="X1164" t="str">
        <f>VLOOKUP(C1164,Sales_Representatives!$A:$B,2,0)</f>
        <v>Michael Davis</v>
      </c>
    </row>
    <row r="1165" spans="1:24" x14ac:dyDescent="0.3">
      <c r="A1165" t="s">
        <v>1659</v>
      </c>
      <c r="B1165" t="s">
        <v>1648</v>
      </c>
      <c r="C1165" t="s">
        <v>56</v>
      </c>
      <c r="D1165" t="s">
        <v>197</v>
      </c>
      <c r="E1165" t="s">
        <v>91</v>
      </c>
      <c r="F1165">
        <v>19</v>
      </c>
      <c r="G1165">
        <v>286.62</v>
      </c>
      <c r="H1165">
        <v>0.18</v>
      </c>
      <c r="I1165" s="4">
        <v>4465.54</v>
      </c>
      <c r="J1165" t="s">
        <v>34</v>
      </c>
      <c r="K1165" t="s">
        <v>39</v>
      </c>
      <c r="L1165" s="4">
        <f>VLOOKUP(tblTransactions[[#This Row],[Product_ID]],tblProducts[],5,FALSE)</f>
        <v>145.54</v>
      </c>
      <c r="M1165" s="4">
        <f>tblTransactions[[#This Row],[Total_Amount]]-(tblTransactions[[#This Row],[Cost_Prices]]*tblTransactions[[#This Row],[Quantity]]*(1-tblTransactions[[#This Row],[Discount]]))</f>
        <v>2198.0268000000001</v>
      </c>
      <c r="N1165" s="3">
        <f>tblTransactions[[#This Row],[Profit]]/tblTransactions[[#This Row],[Total_Amount]]</f>
        <v>0.4922197091505171</v>
      </c>
      <c r="O1165" t="str">
        <f>TEXT(tblTransactions[[#This Row],[Date]], "MMM-YYYY")</f>
        <v>Sep-2023</v>
      </c>
      <c r="P1165" t="str">
        <f>"Q"&amp;ROUNDUP(MONTH(tblTransactions[[#This Row],[Date]])/3,0)&amp;"-"&amp;YEAR(tblTransactions[[#This Row],[Date]])</f>
        <v>Q3-2023</v>
      </c>
      <c r="Q1165">
        <f>YEAR(tblTransactions[[#This Row],[Date]])</f>
        <v>2023</v>
      </c>
      <c r="R1165" t="str">
        <f>TEXT(tblTransactions[[#This Row],[Date]],"DDDD")</f>
        <v>Monday</v>
      </c>
      <c r="S1165">
        <f>MONTH(tblTransactions[[#This Row],[Date]])</f>
        <v>9</v>
      </c>
      <c r="T1165" t="str">
        <f>VLOOKUP(E1165, Products!$A:$B,2,0)</f>
        <v>Chairs Fur-1</v>
      </c>
      <c r="U1165" t="str">
        <f>VLOOKUP(E1165,Products!$A:$C,3,0)</f>
        <v>Furniture</v>
      </c>
      <c r="V1165" t="str">
        <f>VLOOKUP(E1165,Products!$A:$D,4,0)</f>
        <v>Chairs</v>
      </c>
      <c r="W1165" t="str">
        <f>VLOOKUP(D1165,Customers!$A:$C,3,0)</f>
        <v>Enterprise</v>
      </c>
      <c r="X1165" t="str">
        <f>VLOOKUP(C1165,Sales_Representatives!$A:$B,2,0)</f>
        <v>Thomas Hernandez</v>
      </c>
    </row>
    <row r="1166" spans="1:24" x14ac:dyDescent="0.3">
      <c r="A1166" t="s">
        <v>1660</v>
      </c>
      <c r="B1166" t="s">
        <v>1661</v>
      </c>
      <c r="C1166" t="s">
        <v>131</v>
      </c>
      <c r="D1166" t="s">
        <v>83</v>
      </c>
      <c r="E1166" t="s">
        <v>172</v>
      </c>
      <c r="F1166">
        <v>2</v>
      </c>
      <c r="G1166">
        <v>1371.15</v>
      </c>
      <c r="H1166">
        <v>0.05</v>
      </c>
      <c r="I1166" s="4">
        <v>2605.19</v>
      </c>
      <c r="J1166" t="s">
        <v>44</v>
      </c>
      <c r="K1166" t="s">
        <v>22</v>
      </c>
      <c r="L1166" s="4">
        <f>VLOOKUP(tblTransactions[[#This Row],[Product_ID]],tblProducts[],5,FALSE)</f>
        <v>989.81</v>
      </c>
      <c r="M1166" s="4">
        <f>tblTransactions[[#This Row],[Total_Amount]]-(tblTransactions[[#This Row],[Cost_Prices]]*tblTransactions[[#This Row],[Quantity]]*(1-tblTransactions[[#This Row],[Discount]]))</f>
        <v>724.55100000000016</v>
      </c>
      <c r="N1166" s="3">
        <f>tblTransactions[[#This Row],[Profit]]/tblTransactions[[#This Row],[Total_Amount]]</f>
        <v>0.27811829463494031</v>
      </c>
      <c r="O1166" t="str">
        <f>TEXT(tblTransactions[[#This Row],[Date]], "MMM-YYYY")</f>
        <v>Sep-2023</v>
      </c>
      <c r="P1166" t="str">
        <f>"Q"&amp;ROUNDUP(MONTH(tblTransactions[[#This Row],[Date]])/3,0)&amp;"-"&amp;YEAR(tblTransactions[[#This Row],[Date]])</f>
        <v>Q3-2023</v>
      </c>
      <c r="Q1166">
        <f>YEAR(tblTransactions[[#This Row],[Date]])</f>
        <v>2023</v>
      </c>
      <c r="R1166" t="str">
        <f>TEXT(tblTransactions[[#This Row],[Date]],"DDDD")</f>
        <v>Tuesday</v>
      </c>
      <c r="S1166">
        <f>MONTH(tblTransactions[[#This Row],[Date]])</f>
        <v>9</v>
      </c>
      <c r="T1166" t="str">
        <f>VLOOKUP(E1166, Products!$A:$B,2,0)</f>
        <v>Cameras Ele-4</v>
      </c>
      <c r="U1166" t="str">
        <f>VLOOKUP(E1166,Products!$A:$C,3,0)</f>
        <v>Electronics</v>
      </c>
      <c r="V1166" t="str">
        <f>VLOOKUP(E1166,Products!$A:$D,4,0)</f>
        <v>Cameras</v>
      </c>
      <c r="W1166" t="str">
        <f>VLOOKUP(D1166,Customers!$A:$C,3,0)</f>
        <v>Small Business</v>
      </c>
      <c r="X1166" t="str">
        <f>VLOOKUP(C1166,Sales_Representatives!$A:$B,2,0)</f>
        <v>Michael Davis</v>
      </c>
    </row>
    <row r="1167" spans="1:24" x14ac:dyDescent="0.3">
      <c r="A1167" t="s">
        <v>1662</v>
      </c>
      <c r="B1167" t="s">
        <v>1661</v>
      </c>
      <c r="C1167" t="s">
        <v>31</v>
      </c>
      <c r="D1167" t="s">
        <v>1485</v>
      </c>
      <c r="E1167" t="s">
        <v>84</v>
      </c>
      <c r="F1167">
        <v>5</v>
      </c>
      <c r="G1167">
        <v>1841.77</v>
      </c>
      <c r="H1167">
        <v>0.01</v>
      </c>
      <c r="I1167" s="4">
        <v>9116.76</v>
      </c>
      <c r="J1167" t="s">
        <v>34</v>
      </c>
      <c r="K1167" t="s">
        <v>39</v>
      </c>
      <c r="L1167" s="4">
        <f>VLOOKUP(tblTransactions[[#This Row],[Product_ID]],tblProducts[],5,FALSE)</f>
        <v>1151.5899999999999</v>
      </c>
      <c r="M1167" s="4">
        <f>tblTransactions[[#This Row],[Total_Amount]]-(tblTransactions[[#This Row],[Cost_Prices]]*tblTransactions[[#This Row],[Quantity]]*(1-tblTransactions[[#This Row],[Discount]]))</f>
        <v>3416.3895000000002</v>
      </c>
      <c r="N1167" s="3">
        <f>tblTransactions[[#This Row],[Profit]]/tblTransactions[[#This Row],[Total_Amount]]</f>
        <v>0.37473724217814225</v>
      </c>
      <c r="O1167" t="str">
        <f>TEXT(tblTransactions[[#This Row],[Date]], "MMM-YYYY")</f>
        <v>Sep-2023</v>
      </c>
      <c r="P1167" t="str">
        <f>"Q"&amp;ROUNDUP(MONTH(tblTransactions[[#This Row],[Date]])/3,0)&amp;"-"&amp;YEAR(tblTransactions[[#This Row],[Date]])</f>
        <v>Q3-2023</v>
      </c>
      <c r="Q1167">
        <f>YEAR(tblTransactions[[#This Row],[Date]])</f>
        <v>2023</v>
      </c>
      <c r="R1167" t="str">
        <f>TEXT(tblTransactions[[#This Row],[Date]],"DDDD")</f>
        <v>Tuesday</v>
      </c>
      <c r="S1167">
        <f>MONTH(tblTransactions[[#This Row],[Date]])</f>
        <v>9</v>
      </c>
      <c r="T1167" t="str">
        <f>VLOOKUP(E1167, Products!$A:$B,2,0)</f>
        <v>Laptops Ele-2</v>
      </c>
      <c r="U1167" t="str">
        <f>VLOOKUP(E1167,Products!$A:$C,3,0)</f>
        <v>Electronics</v>
      </c>
      <c r="V1167" t="str">
        <f>VLOOKUP(E1167,Products!$A:$D,4,0)</f>
        <v>Laptops</v>
      </c>
      <c r="W1167" t="str">
        <f>VLOOKUP(D1167,Customers!$A:$C,3,0)</f>
        <v>B2B</v>
      </c>
      <c r="X1167" t="str">
        <f>VLOOKUP(C1167,Sales_Representatives!$A:$B,2,0)</f>
        <v>Thomas Martinez</v>
      </c>
    </row>
    <row r="1168" spans="1:24" x14ac:dyDescent="0.3">
      <c r="A1168" t="s">
        <v>1663</v>
      </c>
      <c r="B1168" t="s">
        <v>1661</v>
      </c>
      <c r="C1168" t="s">
        <v>75</v>
      </c>
      <c r="D1168" t="s">
        <v>1627</v>
      </c>
      <c r="E1168" t="s">
        <v>105</v>
      </c>
      <c r="F1168">
        <v>46</v>
      </c>
      <c r="G1168">
        <v>1342.04</v>
      </c>
      <c r="H1168">
        <v>0.2</v>
      </c>
      <c r="I1168" s="4">
        <v>49387.07</v>
      </c>
      <c r="J1168" t="s">
        <v>44</v>
      </c>
      <c r="K1168" t="s">
        <v>39</v>
      </c>
      <c r="L1168" s="4">
        <f>VLOOKUP(tblTransactions[[#This Row],[Product_ID]],tblProducts[],5,FALSE)</f>
        <v>792.89</v>
      </c>
      <c r="M1168" s="4">
        <f>tblTransactions[[#This Row],[Total_Amount]]-(tblTransactions[[#This Row],[Cost_Prices]]*tblTransactions[[#This Row],[Quantity]]*(1-tblTransactions[[#This Row],[Discount]]))</f>
        <v>20208.717999999997</v>
      </c>
      <c r="N1168" s="3">
        <f>tblTransactions[[#This Row],[Profit]]/tblTransactions[[#This Row],[Total_Amount]]</f>
        <v>0.40919046219992394</v>
      </c>
      <c r="O1168" t="str">
        <f>TEXT(tblTransactions[[#This Row],[Date]], "MMM-YYYY")</f>
        <v>Sep-2023</v>
      </c>
      <c r="P1168" t="str">
        <f>"Q"&amp;ROUNDUP(MONTH(tblTransactions[[#This Row],[Date]])/3,0)&amp;"-"&amp;YEAR(tblTransactions[[#This Row],[Date]])</f>
        <v>Q3-2023</v>
      </c>
      <c r="Q1168">
        <f>YEAR(tblTransactions[[#This Row],[Date]])</f>
        <v>2023</v>
      </c>
      <c r="R1168" t="str">
        <f>TEXT(tblTransactions[[#This Row],[Date]],"DDDD")</f>
        <v>Tuesday</v>
      </c>
      <c r="S1168">
        <f>MONTH(tblTransactions[[#This Row],[Date]])</f>
        <v>9</v>
      </c>
      <c r="T1168" t="str">
        <f>VLOOKUP(E1168, Products!$A:$B,2,0)</f>
        <v>Cameras Ele-1</v>
      </c>
      <c r="U1168" t="str">
        <f>VLOOKUP(E1168,Products!$A:$C,3,0)</f>
        <v>Electronics</v>
      </c>
      <c r="V1168" t="str">
        <f>VLOOKUP(E1168,Products!$A:$D,4,0)</f>
        <v>Cameras</v>
      </c>
      <c r="W1168" t="str">
        <f>VLOOKUP(D1168,Customers!$A:$C,3,0)</f>
        <v>Enterprise</v>
      </c>
      <c r="X1168" t="str">
        <f>VLOOKUP(C1168,Sales_Representatives!$A:$B,2,0)</f>
        <v>Jessica Anderson</v>
      </c>
    </row>
    <row r="1169" spans="1:24" x14ac:dyDescent="0.3">
      <c r="A1169" t="s">
        <v>1664</v>
      </c>
      <c r="B1169" t="s">
        <v>1661</v>
      </c>
      <c r="C1169" t="s">
        <v>70</v>
      </c>
      <c r="D1169" t="s">
        <v>136</v>
      </c>
      <c r="E1169" t="s">
        <v>105</v>
      </c>
      <c r="F1169">
        <v>16</v>
      </c>
      <c r="G1169">
        <v>1342.04</v>
      </c>
      <c r="H1169">
        <v>0.11</v>
      </c>
      <c r="I1169" s="4">
        <v>19110.650000000001</v>
      </c>
      <c r="J1169" t="s">
        <v>16</v>
      </c>
      <c r="K1169" t="s">
        <v>39</v>
      </c>
      <c r="L1169" s="4">
        <f>VLOOKUP(tblTransactions[[#This Row],[Product_ID]],tblProducts[],5,FALSE)</f>
        <v>792.89</v>
      </c>
      <c r="M1169" s="4">
        <f>tblTransactions[[#This Row],[Total_Amount]]-(tblTransactions[[#This Row],[Cost_Prices]]*tblTransactions[[#This Row],[Quantity]]*(1-tblTransactions[[#This Row],[Discount]]))</f>
        <v>7819.8964000000014</v>
      </c>
      <c r="N1169" s="3">
        <f>tblTransactions[[#This Row],[Profit]]/tblTransactions[[#This Row],[Total_Amount]]</f>
        <v>0.40919049849167877</v>
      </c>
      <c r="O1169" t="str">
        <f>TEXT(tblTransactions[[#This Row],[Date]], "MMM-YYYY")</f>
        <v>Sep-2023</v>
      </c>
      <c r="P1169" t="str">
        <f>"Q"&amp;ROUNDUP(MONTH(tblTransactions[[#This Row],[Date]])/3,0)&amp;"-"&amp;YEAR(tblTransactions[[#This Row],[Date]])</f>
        <v>Q3-2023</v>
      </c>
      <c r="Q1169">
        <f>YEAR(tblTransactions[[#This Row],[Date]])</f>
        <v>2023</v>
      </c>
      <c r="R1169" t="str">
        <f>TEXT(tblTransactions[[#This Row],[Date]],"DDDD")</f>
        <v>Tuesday</v>
      </c>
      <c r="S1169">
        <f>MONTH(tblTransactions[[#This Row],[Date]])</f>
        <v>9</v>
      </c>
      <c r="T1169" t="str">
        <f>VLOOKUP(E1169, Products!$A:$B,2,0)</f>
        <v>Cameras Ele-1</v>
      </c>
      <c r="U1169" t="str">
        <f>VLOOKUP(E1169,Products!$A:$C,3,0)</f>
        <v>Electronics</v>
      </c>
      <c r="V1169" t="str">
        <f>VLOOKUP(E1169,Products!$A:$D,4,0)</f>
        <v>Cameras</v>
      </c>
      <c r="W1169" t="str">
        <f>VLOOKUP(D1169,Customers!$A:$C,3,0)</f>
        <v>B2B</v>
      </c>
      <c r="X1169" t="str">
        <f>VLOOKUP(C1169,Sales_Representatives!$A:$B,2,0)</f>
        <v>Linda Smith</v>
      </c>
    </row>
    <row r="1170" spans="1:24" x14ac:dyDescent="0.3">
      <c r="A1170" t="s">
        <v>1665</v>
      </c>
      <c r="B1170" t="s">
        <v>1661</v>
      </c>
      <c r="C1170" t="s">
        <v>141</v>
      </c>
      <c r="D1170" t="s">
        <v>1666</v>
      </c>
      <c r="E1170" t="s">
        <v>29</v>
      </c>
      <c r="F1170">
        <v>44</v>
      </c>
      <c r="G1170">
        <v>1363.46</v>
      </c>
      <c r="H1170">
        <v>0.22</v>
      </c>
      <c r="I1170" s="4">
        <v>46793.95</v>
      </c>
      <c r="J1170" t="s">
        <v>109</v>
      </c>
      <c r="K1170" t="s">
        <v>39</v>
      </c>
      <c r="L1170" s="4">
        <f>VLOOKUP(tblTransactions[[#This Row],[Product_ID]],tblProducts[],5,FALSE)</f>
        <v>995.41</v>
      </c>
      <c r="M1170" s="4">
        <f>tblTransactions[[#This Row],[Total_Amount]]-(tblTransactions[[#This Row],[Cost_Prices]]*tblTransactions[[#This Row],[Quantity]]*(1-tblTransactions[[#This Row],[Discount]]))</f>
        <v>12631.478799999997</v>
      </c>
      <c r="N1170" s="3">
        <f>tblTransactions[[#This Row],[Profit]]/tblTransactions[[#This Row],[Total_Amount]]</f>
        <v>0.26993828903095374</v>
      </c>
      <c r="O1170" t="str">
        <f>TEXT(tblTransactions[[#This Row],[Date]], "MMM-YYYY")</f>
        <v>Sep-2023</v>
      </c>
      <c r="P1170" t="str">
        <f>"Q"&amp;ROUNDUP(MONTH(tblTransactions[[#This Row],[Date]])/3,0)&amp;"-"&amp;YEAR(tblTransactions[[#This Row],[Date]])</f>
        <v>Q3-2023</v>
      </c>
      <c r="Q1170">
        <f>YEAR(tblTransactions[[#This Row],[Date]])</f>
        <v>2023</v>
      </c>
      <c r="R1170" t="str">
        <f>TEXT(tblTransactions[[#This Row],[Date]],"DDDD")</f>
        <v>Tuesday</v>
      </c>
      <c r="S1170">
        <f>MONTH(tblTransactions[[#This Row],[Date]])</f>
        <v>9</v>
      </c>
      <c r="T1170" t="str">
        <f>VLOOKUP(E1170, Products!$A:$B,2,0)</f>
        <v>Phones Ele-3</v>
      </c>
      <c r="U1170" t="str">
        <f>VLOOKUP(E1170,Products!$A:$C,3,0)</f>
        <v>Electronics</v>
      </c>
      <c r="V1170" t="str">
        <f>VLOOKUP(E1170,Products!$A:$D,4,0)</f>
        <v>Phones</v>
      </c>
      <c r="W1170" t="str">
        <f>VLOOKUP(D1170,Customers!$A:$C,3,0)</f>
        <v>Enterprise</v>
      </c>
      <c r="X1170" t="str">
        <f>VLOOKUP(C1170,Sales_Representatives!$A:$B,2,0)</f>
        <v>Richard Garcia</v>
      </c>
    </row>
    <row r="1171" spans="1:24" x14ac:dyDescent="0.3">
      <c r="A1171" t="s">
        <v>1667</v>
      </c>
      <c r="B1171" t="s">
        <v>1661</v>
      </c>
      <c r="C1171" t="s">
        <v>63</v>
      </c>
      <c r="D1171" t="s">
        <v>1668</v>
      </c>
      <c r="E1171" t="s">
        <v>255</v>
      </c>
      <c r="F1171">
        <v>6</v>
      </c>
      <c r="G1171">
        <v>1444.13</v>
      </c>
      <c r="H1171">
        <v>0.14000000000000001</v>
      </c>
      <c r="I1171" s="4">
        <v>7451.71</v>
      </c>
      <c r="J1171" t="s">
        <v>21</v>
      </c>
      <c r="K1171" t="s">
        <v>17</v>
      </c>
      <c r="L1171" s="4">
        <f>VLOOKUP(tblTransactions[[#This Row],[Product_ID]],tblProducts[],5,FALSE)</f>
        <v>874.43</v>
      </c>
      <c r="M1171" s="4">
        <f>tblTransactions[[#This Row],[Total_Amount]]-(tblTransactions[[#This Row],[Cost_Prices]]*tblTransactions[[#This Row],[Quantity]]*(1-tblTransactions[[#This Row],[Discount]]))</f>
        <v>2939.6512000000002</v>
      </c>
      <c r="N1171" s="3">
        <f>tblTransactions[[#This Row],[Profit]]/tblTransactions[[#This Row],[Total_Amount]]</f>
        <v>0.39449350551752554</v>
      </c>
      <c r="O1171" t="str">
        <f>TEXT(tblTransactions[[#This Row],[Date]], "MMM-YYYY")</f>
        <v>Sep-2023</v>
      </c>
      <c r="P1171" t="str">
        <f>"Q"&amp;ROUNDUP(MONTH(tblTransactions[[#This Row],[Date]])/3,0)&amp;"-"&amp;YEAR(tblTransactions[[#This Row],[Date]])</f>
        <v>Q3-2023</v>
      </c>
      <c r="Q1171">
        <f>YEAR(tblTransactions[[#This Row],[Date]])</f>
        <v>2023</v>
      </c>
      <c r="R1171" t="str">
        <f>TEXT(tblTransactions[[#This Row],[Date]],"DDDD")</f>
        <v>Tuesday</v>
      </c>
      <c r="S1171">
        <f>MONTH(tblTransactions[[#This Row],[Date]])</f>
        <v>9</v>
      </c>
      <c r="T1171" t="str">
        <f>VLOOKUP(E1171, Products!$A:$B,2,0)</f>
        <v>Printers Tec-1</v>
      </c>
      <c r="U1171" t="str">
        <f>VLOOKUP(E1171,Products!$A:$C,3,0)</f>
        <v>Technology</v>
      </c>
      <c r="V1171" t="str">
        <f>VLOOKUP(E1171,Products!$A:$D,4,0)</f>
        <v>Printers</v>
      </c>
      <c r="W1171" t="str">
        <f>VLOOKUP(D1171,Customers!$A:$C,3,0)</f>
        <v>B2C</v>
      </c>
      <c r="X1171" t="str">
        <f>VLOOKUP(C1171,Sales_Representatives!$A:$B,2,0)</f>
        <v>Richard Wilson</v>
      </c>
    </row>
    <row r="1172" spans="1:24" x14ac:dyDescent="0.3">
      <c r="A1172" t="s">
        <v>1669</v>
      </c>
      <c r="B1172" t="s">
        <v>1661</v>
      </c>
      <c r="C1172" t="s">
        <v>27</v>
      </c>
      <c r="D1172" t="s">
        <v>1670</v>
      </c>
      <c r="E1172" t="s">
        <v>345</v>
      </c>
      <c r="F1172">
        <v>7</v>
      </c>
      <c r="G1172">
        <v>13.97</v>
      </c>
      <c r="H1172">
        <v>0.08</v>
      </c>
      <c r="I1172" s="4">
        <v>89.97</v>
      </c>
      <c r="J1172" t="s">
        <v>16</v>
      </c>
      <c r="K1172" t="s">
        <v>22</v>
      </c>
      <c r="L1172" s="4">
        <f>VLOOKUP(tblTransactions[[#This Row],[Product_ID]],tblProducts[],5,FALSE)</f>
        <v>8.69</v>
      </c>
      <c r="M1172" s="4">
        <f>tblTransactions[[#This Row],[Total_Amount]]-(tblTransactions[[#This Row],[Cost_Prices]]*tblTransactions[[#This Row],[Quantity]]*(1-tblTransactions[[#This Row],[Discount]]))</f>
        <v>34.006399999999999</v>
      </c>
      <c r="N1172" s="3">
        <f>tblTransactions[[#This Row],[Profit]]/tblTransactions[[#This Row],[Total_Amount]]</f>
        <v>0.37797488051572747</v>
      </c>
      <c r="O1172" t="str">
        <f>TEXT(tblTransactions[[#This Row],[Date]], "MMM-YYYY")</f>
        <v>Sep-2023</v>
      </c>
      <c r="P1172" t="str">
        <f>"Q"&amp;ROUNDUP(MONTH(tblTransactions[[#This Row],[Date]])/3,0)&amp;"-"&amp;YEAR(tblTransactions[[#This Row],[Date]])</f>
        <v>Q3-2023</v>
      </c>
      <c r="Q1172">
        <f>YEAR(tblTransactions[[#This Row],[Date]])</f>
        <v>2023</v>
      </c>
      <c r="R1172" t="str">
        <f>TEXT(tblTransactions[[#This Row],[Date]],"DDDD")</f>
        <v>Tuesday</v>
      </c>
      <c r="S1172">
        <f>MONTH(tblTransactions[[#This Row],[Date]])</f>
        <v>9</v>
      </c>
      <c r="T1172" t="str">
        <f>VLOOKUP(E1172, Products!$A:$B,2,0)</f>
        <v>Cases Acc-2</v>
      </c>
      <c r="U1172" t="str">
        <f>VLOOKUP(E1172,Products!$A:$C,3,0)</f>
        <v>Accessories</v>
      </c>
      <c r="V1172" t="str">
        <f>VLOOKUP(E1172,Products!$A:$D,4,0)</f>
        <v>Cases</v>
      </c>
      <c r="W1172" t="str">
        <f>VLOOKUP(D1172,Customers!$A:$C,3,0)</f>
        <v>Small Business</v>
      </c>
      <c r="X1172" t="str">
        <f>VLOOKUP(C1172,Sales_Representatives!$A:$B,2,0)</f>
        <v>Thomas Lopez</v>
      </c>
    </row>
    <row r="1173" spans="1:24" x14ac:dyDescent="0.3">
      <c r="A1173" t="s">
        <v>1671</v>
      </c>
      <c r="B1173" t="s">
        <v>1672</v>
      </c>
      <c r="C1173" t="s">
        <v>63</v>
      </c>
      <c r="D1173" t="s">
        <v>1673</v>
      </c>
      <c r="E1173" t="s">
        <v>43</v>
      </c>
      <c r="F1173">
        <v>2</v>
      </c>
      <c r="G1173">
        <v>39.32</v>
      </c>
      <c r="H1173">
        <v>0.02</v>
      </c>
      <c r="I1173" s="4">
        <v>77.069999999999993</v>
      </c>
      <c r="J1173" t="s">
        <v>21</v>
      </c>
      <c r="K1173" t="s">
        <v>17</v>
      </c>
      <c r="L1173" s="4">
        <f>VLOOKUP(tblTransactions[[#This Row],[Product_ID]],tblProducts[],5,FALSE)</f>
        <v>15.81</v>
      </c>
      <c r="M1173" s="4">
        <f>tblTransactions[[#This Row],[Total_Amount]]-(tblTransactions[[#This Row],[Cost_Prices]]*tblTransactions[[#This Row],[Quantity]]*(1-tblTransactions[[#This Row],[Discount]]))</f>
        <v>46.082399999999993</v>
      </c>
      <c r="N1173" s="3">
        <f>tblTransactions[[#This Row],[Profit]]/tblTransactions[[#This Row],[Total_Amount]]</f>
        <v>0.59792915531335145</v>
      </c>
      <c r="O1173" t="str">
        <f>TEXT(tblTransactions[[#This Row],[Date]], "MMM-YYYY")</f>
        <v>Sep-2023</v>
      </c>
      <c r="P1173" t="str">
        <f>"Q"&amp;ROUNDUP(MONTH(tblTransactions[[#This Row],[Date]])/3,0)&amp;"-"&amp;YEAR(tblTransactions[[#This Row],[Date]])</f>
        <v>Q3-2023</v>
      </c>
      <c r="Q1173">
        <f>YEAR(tblTransactions[[#This Row],[Date]])</f>
        <v>2023</v>
      </c>
      <c r="R1173" t="str">
        <f>TEXT(tblTransactions[[#This Row],[Date]],"DDDD")</f>
        <v>Wednesday</v>
      </c>
      <c r="S1173">
        <f>MONTH(tblTransactions[[#This Row],[Date]])</f>
        <v>9</v>
      </c>
      <c r="T1173" t="str">
        <f>VLOOKUP(E1173, Products!$A:$B,2,0)</f>
        <v>Paper Off-3</v>
      </c>
      <c r="U1173" t="str">
        <f>VLOOKUP(E1173,Products!$A:$C,3,0)</f>
        <v>Office Supplies</v>
      </c>
      <c r="V1173" t="str">
        <f>VLOOKUP(E1173,Products!$A:$D,4,0)</f>
        <v>Paper</v>
      </c>
      <c r="W1173" t="str">
        <f>VLOOKUP(D1173,Customers!$A:$C,3,0)</f>
        <v>B2C</v>
      </c>
      <c r="X1173" t="str">
        <f>VLOOKUP(C1173,Sales_Representatives!$A:$B,2,0)</f>
        <v>Richard Wilson</v>
      </c>
    </row>
    <row r="1174" spans="1:24" x14ac:dyDescent="0.3">
      <c r="A1174" t="s">
        <v>1674</v>
      </c>
      <c r="B1174" t="s">
        <v>1672</v>
      </c>
      <c r="C1174" t="s">
        <v>141</v>
      </c>
      <c r="D1174" t="s">
        <v>1675</v>
      </c>
      <c r="E1174" t="s">
        <v>38</v>
      </c>
      <c r="F1174">
        <v>10</v>
      </c>
      <c r="G1174">
        <v>581.47</v>
      </c>
      <c r="H1174">
        <v>0.15</v>
      </c>
      <c r="I1174" s="4">
        <v>4942.5</v>
      </c>
      <c r="J1174" t="s">
        <v>109</v>
      </c>
      <c r="K1174" t="s">
        <v>22</v>
      </c>
      <c r="L1174" s="4">
        <f>VLOOKUP(tblTransactions[[#This Row],[Product_ID]],tblProducts[],5,FALSE)</f>
        <v>372.07</v>
      </c>
      <c r="M1174" s="4">
        <f>tblTransactions[[#This Row],[Total_Amount]]-(tblTransactions[[#This Row],[Cost_Prices]]*tblTransactions[[#This Row],[Quantity]]*(1-tblTransactions[[#This Row],[Discount]]))</f>
        <v>1779.9050000000002</v>
      </c>
      <c r="N1174" s="3">
        <f>tblTransactions[[#This Row],[Profit]]/tblTransactions[[#This Row],[Total_Amount]]</f>
        <v>0.36012240768841686</v>
      </c>
      <c r="O1174" t="str">
        <f>TEXT(tblTransactions[[#This Row],[Date]], "MMM-YYYY")</f>
        <v>Sep-2023</v>
      </c>
      <c r="P1174" t="str">
        <f>"Q"&amp;ROUNDUP(MONTH(tblTransactions[[#This Row],[Date]])/3,0)&amp;"-"&amp;YEAR(tblTransactions[[#This Row],[Date]])</f>
        <v>Q3-2023</v>
      </c>
      <c r="Q1174">
        <f>YEAR(tblTransactions[[#This Row],[Date]])</f>
        <v>2023</v>
      </c>
      <c r="R1174" t="str">
        <f>TEXT(tblTransactions[[#This Row],[Date]],"DDDD")</f>
        <v>Wednesday</v>
      </c>
      <c r="S1174">
        <f>MONTH(tblTransactions[[#This Row],[Date]])</f>
        <v>9</v>
      </c>
      <c r="T1174" t="str">
        <f>VLOOKUP(E1174, Products!$A:$B,2,0)</f>
        <v>Storage Fur-3</v>
      </c>
      <c r="U1174" t="str">
        <f>VLOOKUP(E1174,Products!$A:$C,3,0)</f>
        <v>Furniture</v>
      </c>
      <c r="V1174" t="str">
        <f>VLOOKUP(E1174,Products!$A:$D,4,0)</f>
        <v>Storage</v>
      </c>
      <c r="W1174" t="str">
        <f>VLOOKUP(D1174,Customers!$A:$C,3,0)</f>
        <v>B2B</v>
      </c>
      <c r="X1174" t="str">
        <f>VLOOKUP(C1174,Sales_Representatives!$A:$B,2,0)</f>
        <v>Richard Garcia</v>
      </c>
    </row>
    <row r="1175" spans="1:24" x14ac:dyDescent="0.3">
      <c r="A1175" t="s">
        <v>1676</v>
      </c>
      <c r="B1175" t="s">
        <v>1672</v>
      </c>
      <c r="C1175" t="s">
        <v>56</v>
      </c>
      <c r="D1175" t="s">
        <v>164</v>
      </c>
      <c r="E1175" t="s">
        <v>96</v>
      </c>
      <c r="F1175">
        <v>3</v>
      </c>
      <c r="G1175">
        <v>751.9</v>
      </c>
      <c r="H1175">
        <v>0.03</v>
      </c>
      <c r="I1175" s="4">
        <v>2188.0300000000002</v>
      </c>
      <c r="J1175" t="s">
        <v>34</v>
      </c>
      <c r="K1175" t="s">
        <v>48</v>
      </c>
      <c r="L1175" s="4">
        <f>VLOOKUP(tblTransactions[[#This Row],[Product_ID]],tblProducts[],5,FALSE)</f>
        <v>570.29</v>
      </c>
      <c r="M1175" s="4">
        <f>tblTransactions[[#This Row],[Total_Amount]]-(tblTransactions[[#This Row],[Cost_Prices]]*tblTransactions[[#This Row],[Quantity]]*(1-tblTransactions[[#This Row],[Discount]]))</f>
        <v>528.48610000000031</v>
      </c>
      <c r="N1175" s="3">
        <f>tblTransactions[[#This Row],[Profit]]/tblTransactions[[#This Row],[Total_Amount]]</f>
        <v>0.24153512520395071</v>
      </c>
      <c r="O1175" t="str">
        <f>TEXT(tblTransactions[[#This Row],[Date]], "MMM-YYYY")</f>
        <v>Sep-2023</v>
      </c>
      <c r="P1175" t="str">
        <f>"Q"&amp;ROUNDUP(MONTH(tblTransactions[[#This Row],[Date]])/3,0)&amp;"-"&amp;YEAR(tblTransactions[[#This Row],[Date]])</f>
        <v>Q3-2023</v>
      </c>
      <c r="Q1175">
        <f>YEAR(tblTransactions[[#This Row],[Date]])</f>
        <v>2023</v>
      </c>
      <c r="R1175" t="str">
        <f>TEXT(tblTransactions[[#This Row],[Date]],"DDDD")</f>
        <v>Wednesday</v>
      </c>
      <c r="S1175">
        <f>MONTH(tblTransactions[[#This Row],[Date]])</f>
        <v>9</v>
      </c>
      <c r="T1175" t="str">
        <f>VLOOKUP(E1175, Products!$A:$B,2,0)</f>
        <v>Routers Tec-1</v>
      </c>
      <c r="U1175" t="str">
        <f>VLOOKUP(E1175,Products!$A:$C,3,0)</f>
        <v>Technology</v>
      </c>
      <c r="V1175" t="str">
        <f>VLOOKUP(E1175,Products!$A:$D,4,0)</f>
        <v>Routers</v>
      </c>
      <c r="W1175" t="str">
        <f>VLOOKUP(D1175,Customers!$A:$C,3,0)</f>
        <v>Small Business</v>
      </c>
      <c r="X1175" t="str">
        <f>VLOOKUP(C1175,Sales_Representatives!$A:$B,2,0)</f>
        <v>Thomas Hernandez</v>
      </c>
    </row>
    <row r="1176" spans="1:24" x14ac:dyDescent="0.3">
      <c r="A1176" t="s">
        <v>1677</v>
      </c>
      <c r="B1176" t="s">
        <v>1672</v>
      </c>
      <c r="C1176" t="s">
        <v>75</v>
      </c>
      <c r="D1176" t="s">
        <v>1678</v>
      </c>
      <c r="E1176" t="s">
        <v>84</v>
      </c>
      <c r="F1176">
        <v>7</v>
      </c>
      <c r="G1176">
        <v>1841.77</v>
      </c>
      <c r="H1176">
        <v>0.1</v>
      </c>
      <c r="I1176" s="4">
        <v>11603.15</v>
      </c>
      <c r="J1176" t="s">
        <v>44</v>
      </c>
      <c r="K1176" t="s">
        <v>48</v>
      </c>
      <c r="L1176" s="4">
        <f>VLOOKUP(tblTransactions[[#This Row],[Product_ID]],tblProducts[],5,FALSE)</f>
        <v>1151.5899999999999</v>
      </c>
      <c r="M1176" s="4">
        <f>tblTransactions[[#This Row],[Total_Amount]]-(tblTransactions[[#This Row],[Cost_Prices]]*tblTransactions[[#This Row],[Quantity]]*(1-tblTransactions[[#This Row],[Discount]]))</f>
        <v>4348.1329999999998</v>
      </c>
      <c r="N1176" s="3">
        <f>tblTransactions[[#This Row],[Profit]]/tblTransactions[[#This Row],[Total_Amount]]</f>
        <v>0.37473729116662285</v>
      </c>
      <c r="O1176" t="str">
        <f>TEXT(tblTransactions[[#This Row],[Date]], "MMM-YYYY")</f>
        <v>Sep-2023</v>
      </c>
      <c r="P1176" t="str">
        <f>"Q"&amp;ROUNDUP(MONTH(tblTransactions[[#This Row],[Date]])/3,0)&amp;"-"&amp;YEAR(tblTransactions[[#This Row],[Date]])</f>
        <v>Q3-2023</v>
      </c>
      <c r="Q1176">
        <f>YEAR(tblTransactions[[#This Row],[Date]])</f>
        <v>2023</v>
      </c>
      <c r="R1176" t="str">
        <f>TEXT(tblTransactions[[#This Row],[Date]],"DDDD")</f>
        <v>Wednesday</v>
      </c>
      <c r="S1176">
        <f>MONTH(tblTransactions[[#This Row],[Date]])</f>
        <v>9</v>
      </c>
      <c r="T1176" t="str">
        <f>VLOOKUP(E1176, Products!$A:$B,2,0)</f>
        <v>Laptops Ele-2</v>
      </c>
      <c r="U1176" t="str">
        <f>VLOOKUP(E1176,Products!$A:$C,3,0)</f>
        <v>Electronics</v>
      </c>
      <c r="V1176" t="str">
        <f>VLOOKUP(E1176,Products!$A:$D,4,0)</f>
        <v>Laptops</v>
      </c>
      <c r="W1176" t="str">
        <f>VLOOKUP(D1176,Customers!$A:$C,3,0)</f>
        <v>B2C</v>
      </c>
      <c r="X1176" t="str">
        <f>VLOOKUP(C1176,Sales_Representatives!$A:$B,2,0)</f>
        <v>Jessica Anderson</v>
      </c>
    </row>
    <row r="1177" spans="1:24" x14ac:dyDescent="0.3">
      <c r="A1177" t="s">
        <v>1679</v>
      </c>
      <c r="B1177" t="s">
        <v>1680</v>
      </c>
      <c r="C1177" t="s">
        <v>27</v>
      </c>
      <c r="D1177" t="s">
        <v>1681</v>
      </c>
      <c r="E1177" t="s">
        <v>587</v>
      </c>
      <c r="F1177">
        <v>7</v>
      </c>
      <c r="G1177">
        <v>58.54</v>
      </c>
      <c r="H1177">
        <v>0.06</v>
      </c>
      <c r="I1177" s="4">
        <v>385.19</v>
      </c>
      <c r="J1177" t="s">
        <v>16</v>
      </c>
      <c r="K1177" t="s">
        <v>17</v>
      </c>
      <c r="L1177" s="4">
        <f>VLOOKUP(tblTransactions[[#This Row],[Product_ID]],tblProducts[],5,FALSE)</f>
        <v>25.43</v>
      </c>
      <c r="M1177" s="4">
        <f>tblTransactions[[#This Row],[Total_Amount]]-(tblTransactions[[#This Row],[Cost_Prices]]*tblTransactions[[#This Row],[Quantity]]*(1-tblTransactions[[#This Row],[Discount]]))</f>
        <v>217.86060000000001</v>
      </c>
      <c r="N1177" s="3">
        <f>tblTransactions[[#This Row],[Profit]]/tblTransactions[[#This Row],[Total_Amount]]</f>
        <v>0.56559256470832575</v>
      </c>
      <c r="O1177" t="str">
        <f>TEXT(tblTransactions[[#This Row],[Date]], "MMM-YYYY")</f>
        <v>Sep-2023</v>
      </c>
      <c r="P1177" t="str">
        <f>"Q"&amp;ROUNDUP(MONTH(tblTransactions[[#This Row],[Date]])/3,0)&amp;"-"&amp;YEAR(tblTransactions[[#This Row],[Date]])</f>
        <v>Q3-2023</v>
      </c>
      <c r="Q1177">
        <f>YEAR(tblTransactions[[#This Row],[Date]])</f>
        <v>2023</v>
      </c>
      <c r="R1177" t="str">
        <f>TEXT(tblTransactions[[#This Row],[Date]],"DDDD")</f>
        <v>Thursday</v>
      </c>
      <c r="S1177">
        <f>MONTH(tblTransactions[[#This Row],[Date]])</f>
        <v>9</v>
      </c>
      <c r="T1177" t="str">
        <f>VLOOKUP(E1177, Products!$A:$B,2,0)</f>
        <v>Paper Off-2</v>
      </c>
      <c r="U1177" t="str">
        <f>VLOOKUP(E1177,Products!$A:$C,3,0)</f>
        <v>Office Supplies</v>
      </c>
      <c r="V1177" t="str">
        <f>VLOOKUP(E1177,Products!$A:$D,4,0)</f>
        <v>Paper</v>
      </c>
      <c r="W1177" t="str">
        <f>VLOOKUP(D1177,Customers!$A:$C,3,0)</f>
        <v>B2C</v>
      </c>
      <c r="X1177" t="str">
        <f>VLOOKUP(C1177,Sales_Representatives!$A:$B,2,0)</f>
        <v>Thomas Lopez</v>
      </c>
    </row>
    <row r="1178" spans="1:24" x14ac:dyDescent="0.3">
      <c r="A1178" t="s">
        <v>1682</v>
      </c>
      <c r="B1178" t="s">
        <v>1680</v>
      </c>
      <c r="C1178" t="s">
        <v>70</v>
      </c>
      <c r="D1178" t="s">
        <v>1683</v>
      </c>
      <c r="E1178" t="s">
        <v>479</v>
      </c>
      <c r="F1178">
        <v>3</v>
      </c>
      <c r="G1178">
        <v>239.6</v>
      </c>
      <c r="H1178">
        <v>0.08</v>
      </c>
      <c r="I1178" s="4">
        <v>661.3</v>
      </c>
      <c r="J1178" t="s">
        <v>16</v>
      </c>
      <c r="K1178" t="s">
        <v>39</v>
      </c>
      <c r="L1178" s="4">
        <f>VLOOKUP(tblTransactions[[#This Row],[Product_ID]],tblProducts[],5,FALSE)</f>
        <v>107.49</v>
      </c>
      <c r="M1178" s="4">
        <f>tblTransactions[[#This Row],[Total_Amount]]-(tblTransactions[[#This Row],[Cost_Prices]]*tblTransactions[[#This Row],[Quantity]]*(1-tblTransactions[[#This Row],[Discount]]))</f>
        <v>364.62759999999997</v>
      </c>
      <c r="N1178" s="3">
        <f>tblTransactions[[#This Row],[Profit]]/tblTransactions[[#This Row],[Total_Amount]]</f>
        <v>0.55138000907303797</v>
      </c>
      <c r="O1178" t="str">
        <f>TEXT(tblTransactions[[#This Row],[Date]], "MMM-YYYY")</f>
        <v>Sep-2023</v>
      </c>
      <c r="P1178" t="str">
        <f>"Q"&amp;ROUNDUP(MONTH(tblTransactions[[#This Row],[Date]])/3,0)&amp;"-"&amp;YEAR(tblTransactions[[#This Row],[Date]])</f>
        <v>Q3-2023</v>
      </c>
      <c r="Q1178">
        <f>YEAR(tblTransactions[[#This Row],[Date]])</f>
        <v>2023</v>
      </c>
      <c r="R1178" t="str">
        <f>TEXT(tblTransactions[[#This Row],[Date]],"DDDD")</f>
        <v>Thursday</v>
      </c>
      <c r="S1178">
        <f>MONTH(tblTransactions[[#This Row],[Date]])</f>
        <v>9</v>
      </c>
      <c r="T1178" t="str">
        <f>VLOOKUP(E1178, Products!$A:$B,2,0)</f>
        <v>Pens Off-2</v>
      </c>
      <c r="U1178" t="str">
        <f>VLOOKUP(E1178,Products!$A:$C,3,0)</f>
        <v>Office Supplies</v>
      </c>
      <c r="V1178" t="str">
        <f>VLOOKUP(E1178,Products!$A:$D,4,0)</f>
        <v>Pens</v>
      </c>
      <c r="W1178" t="str">
        <f>VLOOKUP(D1178,Customers!$A:$C,3,0)</f>
        <v>B2C</v>
      </c>
      <c r="X1178" t="str">
        <f>VLOOKUP(C1178,Sales_Representatives!$A:$B,2,0)</f>
        <v>Linda Smith</v>
      </c>
    </row>
    <row r="1179" spans="1:24" x14ac:dyDescent="0.3">
      <c r="A1179" t="s">
        <v>1684</v>
      </c>
      <c r="B1179" t="s">
        <v>1680</v>
      </c>
      <c r="C1179" t="s">
        <v>19</v>
      </c>
      <c r="D1179" t="s">
        <v>1635</v>
      </c>
      <c r="E1179" t="s">
        <v>290</v>
      </c>
      <c r="F1179">
        <v>15</v>
      </c>
      <c r="G1179">
        <v>729.32</v>
      </c>
      <c r="H1179">
        <v>0.14000000000000001</v>
      </c>
      <c r="I1179" s="4">
        <v>9408.23</v>
      </c>
      <c r="J1179" t="s">
        <v>21</v>
      </c>
      <c r="K1179" t="s">
        <v>39</v>
      </c>
      <c r="L1179" s="4">
        <f>VLOOKUP(tblTransactions[[#This Row],[Product_ID]],tblProducts[],5,FALSE)</f>
        <v>482.7</v>
      </c>
      <c r="M1179" s="4">
        <f>tblTransactions[[#This Row],[Total_Amount]]-(tblTransactions[[#This Row],[Cost_Prices]]*tblTransactions[[#This Row],[Quantity]]*(1-tblTransactions[[#This Row],[Discount]]))</f>
        <v>3181.3999999999996</v>
      </c>
      <c r="N1179" s="3">
        <f>tblTransactions[[#This Row],[Profit]]/tblTransactions[[#This Row],[Total_Amount]]</f>
        <v>0.33815074673982243</v>
      </c>
      <c r="O1179" t="str">
        <f>TEXT(tblTransactions[[#This Row],[Date]], "MMM-YYYY")</f>
        <v>Sep-2023</v>
      </c>
      <c r="P1179" t="str">
        <f>"Q"&amp;ROUNDUP(MONTH(tblTransactions[[#This Row],[Date]])/3,0)&amp;"-"&amp;YEAR(tblTransactions[[#This Row],[Date]])</f>
        <v>Q3-2023</v>
      </c>
      <c r="Q1179">
        <f>YEAR(tblTransactions[[#This Row],[Date]])</f>
        <v>2023</v>
      </c>
      <c r="R1179" t="str">
        <f>TEXT(tblTransactions[[#This Row],[Date]],"DDDD")</f>
        <v>Thursday</v>
      </c>
      <c r="S1179">
        <f>MONTH(tblTransactions[[#This Row],[Date]])</f>
        <v>9</v>
      </c>
      <c r="T1179" t="str">
        <f>VLOOKUP(E1179, Products!$A:$B,2,0)</f>
        <v>Tables Fur-1</v>
      </c>
      <c r="U1179" t="str">
        <f>VLOOKUP(E1179,Products!$A:$C,3,0)</f>
        <v>Furniture</v>
      </c>
      <c r="V1179" t="str">
        <f>VLOOKUP(E1179,Products!$A:$D,4,0)</f>
        <v>Tables</v>
      </c>
      <c r="W1179" t="str">
        <f>VLOOKUP(D1179,Customers!$A:$C,3,0)</f>
        <v>Enterprise</v>
      </c>
      <c r="X1179" t="str">
        <f>VLOOKUP(C1179,Sales_Representatives!$A:$B,2,0)</f>
        <v>Robert Jones</v>
      </c>
    </row>
    <row r="1180" spans="1:24" x14ac:dyDescent="0.3">
      <c r="A1180" t="s">
        <v>1685</v>
      </c>
      <c r="B1180" t="s">
        <v>1680</v>
      </c>
      <c r="C1180" t="s">
        <v>75</v>
      </c>
      <c r="D1180" t="s">
        <v>37</v>
      </c>
      <c r="E1180" t="s">
        <v>20</v>
      </c>
      <c r="F1180">
        <v>35</v>
      </c>
      <c r="G1180">
        <v>1219.49</v>
      </c>
      <c r="H1180">
        <v>0.24</v>
      </c>
      <c r="I1180" s="4">
        <v>32438.43</v>
      </c>
      <c r="J1180" t="s">
        <v>44</v>
      </c>
      <c r="K1180" t="s">
        <v>35</v>
      </c>
      <c r="L1180" s="4">
        <f>VLOOKUP(tblTransactions[[#This Row],[Product_ID]],tblProducts[],5,FALSE)</f>
        <v>686.9</v>
      </c>
      <c r="M1180" s="4">
        <f>tblTransactions[[#This Row],[Total_Amount]]-(tblTransactions[[#This Row],[Cost_Prices]]*tblTransactions[[#This Row],[Quantity]]*(1-tblTransactions[[#This Row],[Discount]]))</f>
        <v>14166.89</v>
      </c>
      <c r="N1180" s="3">
        <f>tblTransactions[[#This Row],[Profit]]/tblTransactions[[#This Row],[Total_Amount]]</f>
        <v>0.43673167906091631</v>
      </c>
      <c r="O1180" t="str">
        <f>TEXT(tblTransactions[[#This Row],[Date]], "MMM-YYYY")</f>
        <v>Sep-2023</v>
      </c>
      <c r="P1180" t="str">
        <f>"Q"&amp;ROUNDUP(MONTH(tblTransactions[[#This Row],[Date]])/3,0)&amp;"-"&amp;YEAR(tblTransactions[[#This Row],[Date]])</f>
        <v>Q3-2023</v>
      </c>
      <c r="Q1180">
        <f>YEAR(tblTransactions[[#This Row],[Date]])</f>
        <v>2023</v>
      </c>
      <c r="R1180" t="str">
        <f>TEXT(tblTransactions[[#This Row],[Date]],"DDDD")</f>
        <v>Thursday</v>
      </c>
      <c r="S1180">
        <f>MONTH(tblTransactions[[#This Row],[Date]])</f>
        <v>9</v>
      </c>
      <c r="T1180" t="str">
        <f>VLOOKUP(E1180, Products!$A:$B,2,0)</f>
        <v>Laptops Ele-1</v>
      </c>
      <c r="U1180" t="str">
        <f>VLOOKUP(E1180,Products!$A:$C,3,0)</f>
        <v>Electronics</v>
      </c>
      <c r="V1180" t="str">
        <f>VLOOKUP(E1180,Products!$A:$D,4,0)</f>
        <v>Laptops</v>
      </c>
      <c r="W1180" t="str">
        <f>VLOOKUP(D1180,Customers!$A:$C,3,0)</f>
        <v>Enterprise</v>
      </c>
      <c r="X1180" t="str">
        <f>VLOOKUP(C1180,Sales_Representatives!$A:$B,2,0)</f>
        <v>Jessica Anderson</v>
      </c>
    </row>
    <row r="1181" spans="1:24" x14ac:dyDescent="0.3">
      <c r="A1181" t="s">
        <v>1686</v>
      </c>
      <c r="B1181" t="s">
        <v>1680</v>
      </c>
      <c r="C1181" t="s">
        <v>82</v>
      </c>
      <c r="D1181" t="s">
        <v>1687</v>
      </c>
      <c r="E1181" t="s">
        <v>84</v>
      </c>
      <c r="F1181">
        <v>4</v>
      </c>
      <c r="G1181">
        <v>1841.77</v>
      </c>
      <c r="H1181">
        <v>0.09</v>
      </c>
      <c r="I1181" s="4">
        <v>6704.04</v>
      </c>
      <c r="J1181" t="s">
        <v>34</v>
      </c>
      <c r="K1181" t="s">
        <v>39</v>
      </c>
      <c r="L1181" s="4">
        <f>VLOOKUP(tblTransactions[[#This Row],[Product_ID]],tblProducts[],5,FALSE)</f>
        <v>1151.5899999999999</v>
      </c>
      <c r="M1181" s="4">
        <f>tblTransactions[[#This Row],[Total_Amount]]-(tblTransactions[[#This Row],[Cost_Prices]]*tblTransactions[[#This Row],[Quantity]]*(1-tblTransactions[[#This Row],[Discount]]))</f>
        <v>2512.2524000000003</v>
      </c>
      <c r="N1181" s="3">
        <f>tblTransactions[[#This Row],[Profit]]/tblTransactions[[#This Row],[Total_Amount]]</f>
        <v>0.37473708390761395</v>
      </c>
      <c r="O1181" t="str">
        <f>TEXT(tblTransactions[[#This Row],[Date]], "MMM-YYYY")</f>
        <v>Sep-2023</v>
      </c>
      <c r="P1181" t="str">
        <f>"Q"&amp;ROUNDUP(MONTH(tblTransactions[[#This Row],[Date]])/3,0)&amp;"-"&amp;YEAR(tblTransactions[[#This Row],[Date]])</f>
        <v>Q3-2023</v>
      </c>
      <c r="Q1181">
        <f>YEAR(tblTransactions[[#This Row],[Date]])</f>
        <v>2023</v>
      </c>
      <c r="R1181" t="str">
        <f>TEXT(tblTransactions[[#This Row],[Date]],"DDDD")</f>
        <v>Thursday</v>
      </c>
      <c r="S1181">
        <f>MONTH(tblTransactions[[#This Row],[Date]])</f>
        <v>9</v>
      </c>
      <c r="T1181" t="str">
        <f>VLOOKUP(E1181, Products!$A:$B,2,0)</f>
        <v>Laptops Ele-2</v>
      </c>
      <c r="U1181" t="str">
        <f>VLOOKUP(E1181,Products!$A:$C,3,0)</f>
        <v>Electronics</v>
      </c>
      <c r="V1181" t="str">
        <f>VLOOKUP(E1181,Products!$A:$D,4,0)</f>
        <v>Laptops</v>
      </c>
      <c r="W1181" t="str">
        <f>VLOOKUP(D1181,Customers!$A:$C,3,0)</f>
        <v>B2C</v>
      </c>
      <c r="X1181" t="str">
        <f>VLOOKUP(C1181,Sales_Representatives!$A:$B,2,0)</f>
        <v>John Brown</v>
      </c>
    </row>
    <row r="1182" spans="1:24" x14ac:dyDescent="0.3">
      <c r="A1182" t="s">
        <v>1688</v>
      </c>
      <c r="B1182" t="s">
        <v>1689</v>
      </c>
      <c r="C1182" t="s">
        <v>141</v>
      </c>
      <c r="D1182" t="s">
        <v>1449</v>
      </c>
      <c r="E1182" t="s">
        <v>191</v>
      </c>
      <c r="F1182">
        <v>12</v>
      </c>
      <c r="G1182">
        <v>1012.75</v>
      </c>
      <c r="H1182">
        <v>0.11</v>
      </c>
      <c r="I1182" s="4">
        <v>10816.17</v>
      </c>
      <c r="J1182" t="s">
        <v>109</v>
      </c>
      <c r="K1182" t="s">
        <v>39</v>
      </c>
      <c r="L1182" s="4">
        <f>VLOOKUP(tblTransactions[[#This Row],[Product_ID]],tblProducts[],5,FALSE)</f>
        <v>518.53</v>
      </c>
      <c r="M1182" s="4">
        <f>tblTransactions[[#This Row],[Total_Amount]]-(tblTransactions[[#This Row],[Cost_Prices]]*tblTransactions[[#This Row],[Quantity]]*(1-tblTransactions[[#This Row],[Discount]]))</f>
        <v>5278.2696000000005</v>
      </c>
      <c r="N1182" s="3">
        <f>tblTransactions[[#This Row],[Profit]]/tblTransactions[[#This Row],[Total_Amount]]</f>
        <v>0.48799802517896818</v>
      </c>
      <c r="O1182" t="str">
        <f>TEXT(tblTransactions[[#This Row],[Date]], "MMM-YYYY")</f>
        <v>Sep-2023</v>
      </c>
      <c r="P1182" t="str">
        <f>"Q"&amp;ROUNDUP(MONTH(tblTransactions[[#This Row],[Date]])/3,0)&amp;"-"&amp;YEAR(tblTransactions[[#This Row],[Date]])</f>
        <v>Q3-2023</v>
      </c>
      <c r="Q1182">
        <f>YEAR(tblTransactions[[#This Row],[Date]])</f>
        <v>2023</v>
      </c>
      <c r="R1182" t="str">
        <f>TEXT(tblTransactions[[#This Row],[Date]],"DDDD")</f>
        <v>Friday</v>
      </c>
      <c r="S1182">
        <f>MONTH(tblTransactions[[#This Row],[Date]])</f>
        <v>9</v>
      </c>
      <c r="T1182" t="str">
        <f>VLOOKUP(E1182, Products!$A:$B,2,0)</f>
        <v>Tables Fur-4</v>
      </c>
      <c r="U1182" t="str">
        <f>VLOOKUP(E1182,Products!$A:$C,3,0)</f>
        <v>Furniture</v>
      </c>
      <c r="V1182" t="str">
        <f>VLOOKUP(E1182,Products!$A:$D,4,0)</f>
        <v>Tables</v>
      </c>
      <c r="W1182" t="str">
        <f>VLOOKUP(D1182,Customers!$A:$C,3,0)</f>
        <v>B2B</v>
      </c>
      <c r="X1182" t="str">
        <f>VLOOKUP(C1182,Sales_Representatives!$A:$B,2,0)</f>
        <v>Richard Garcia</v>
      </c>
    </row>
    <row r="1183" spans="1:24" x14ac:dyDescent="0.3">
      <c r="A1183" t="s">
        <v>1690</v>
      </c>
      <c r="B1183" t="s">
        <v>1689</v>
      </c>
      <c r="C1183" t="s">
        <v>63</v>
      </c>
      <c r="D1183" t="s">
        <v>1691</v>
      </c>
      <c r="E1183" t="s">
        <v>65</v>
      </c>
      <c r="F1183">
        <v>3</v>
      </c>
      <c r="G1183">
        <v>49.44</v>
      </c>
      <c r="H1183">
        <v>0.05</v>
      </c>
      <c r="I1183" s="4">
        <v>140.9</v>
      </c>
      <c r="J1183" t="s">
        <v>21</v>
      </c>
      <c r="K1183" t="s">
        <v>48</v>
      </c>
      <c r="L1183" s="4">
        <f>VLOOKUP(tblTransactions[[#This Row],[Product_ID]],tblProducts[],5,FALSE)</f>
        <v>22.34</v>
      </c>
      <c r="M1183" s="4">
        <f>tblTransactions[[#This Row],[Total_Amount]]-(tblTransactions[[#This Row],[Cost_Prices]]*tblTransactions[[#This Row],[Quantity]]*(1-tblTransactions[[#This Row],[Discount]]))</f>
        <v>77.231000000000023</v>
      </c>
      <c r="N1183" s="3">
        <f>tblTransactions[[#This Row],[Profit]]/tblTransactions[[#This Row],[Total_Amount]]</f>
        <v>0.54812633073101502</v>
      </c>
      <c r="O1183" t="str">
        <f>TEXT(tblTransactions[[#This Row],[Date]], "MMM-YYYY")</f>
        <v>Sep-2023</v>
      </c>
      <c r="P1183" t="str">
        <f>"Q"&amp;ROUNDUP(MONTH(tblTransactions[[#This Row],[Date]])/3,0)&amp;"-"&amp;YEAR(tblTransactions[[#This Row],[Date]])</f>
        <v>Q3-2023</v>
      </c>
      <c r="Q1183">
        <f>YEAR(tblTransactions[[#This Row],[Date]])</f>
        <v>2023</v>
      </c>
      <c r="R1183" t="str">
        <f>TEXT(tblTransactions[[#This Row],[Date]],"DDDD")</f>
        <v>Friday</v>
      </c>
      <c r="S1183">
        <f>MONTH(tblTransactions[[#This Row],[Date]])</f>
        <v>9</v>
      </c>
      <c r="T1183" t="str">
        <f>VLOOKUP(E1183, Products!$A:$B,2,0)</f>
        <v>Folders Off-2</v>
      </c>
      <c r="U1183" t="str">
        <f>VLOOKUP(E1183,Products!$A:$C,3,0)</f>
        <v>Office Supplies</v>
      </c>
      <c r="V1183" t="str">
        <f>VLOOKUP(E1183,Products!$A:$D,4,0)</f>
        <v>Folders</v>
      </c>
      <c r="W1183" t="str">
        <f>VLOOKUP(D1183,Customers!$A:$C,3,0)</f>
        <v>Small Business</v>
      </c>
      <c r="X1183" t="str">
        <f>VLOOKUP(C1183,Sales_Representatives!$A:$B,2,0)</f>
        <v>Richard Wilson</v>
      </c>
    </row>
    <row r="1184" spans="1:24" x14ac:dyDescent="0.3">
      <c r="A1184" t="s">
        <v>1692</v>
      </c>
      <c r="B1184" t="s">
        <v>1689</v>
      </c>
      <c r="C1184" t="s">
        <v>41</v>
      </c>
      <c r="D1184" t="s">
        <v>1505</v>
      </c>
      <c r="E1184" t="s">
        <v>198</v>
      </c>
      <c r="F1184">
        <v>1</v>
      </c>
      <c r="G1184">
        <v>1802.96</v>
      </c>
      <c r="H1184">
        <v>0.08</v>
      </c>
      <c r="I1184" s="4">
        <v>1658.72</v>
      </c>
      <c r="J1184" t="s">
        <v>44</v>
      </c>
      <c r="K1184" t="s">
        <v>48</v>
      </c>
      <c r="L1184" s="4">
        <f>VLOOKUP(tblTransactions[[#This Row],[Product_ID]],tblProducts[],5,FALSE)</f>
        <v>1282.18</v>
      </c>
      <c r="M1184" s="4">
        <f>tblTransactions[[#This Row],[Total_Amount]]-(tblTransactions[[#This Row],[Cost_Prices]]*tblTransactions[[#This Row],[Quantity]]*(1-tblTransactions[[#This Row],[Discount]]))</f>
        <v>479.11439999999993</v>
      </c>
      <c r="N1184" s="3">
        <f>tblTransactions[[#This Row],[Profit]]/tblTransactions[[#This Row],[Total_Amount]]</f>
        <v>0.2888458570463972</v>
      </c>
      <c r="O1184" t="str">
        <f>TEXT(tblTransactions[[#This Row],[Date]], "MMM-YYYY")</f>
        <v>Sep-2023</v>
      </c>
      <c r="P1184" t="str">
        <f>"Q"&amp;ROUNDUP(MONTH(tblTransactions[[#This Row],[Date]])/3,0)&amp;"-"&amp;YEAR(tblTransactions[[#This Row],[Date]])</f>
        <v>Q3-2023</v>
      </c>
      <c r="Q1184">
        <f>YEAR(tblTransactions[[#This Row],[Date]])</f>
        <v>2023</v>
      </c>
      <c r="R1184" t="str">
        <f>TEXT(tblTransactions[[#This Row],[Date]],"DDDD")</f>
        <v>Friday</v>
      </c>
      <c r="S1184">
        <f>MONTH(tblTransactions[[#This Row],[Date]])</f>
        <v>9</v>
      </c>
      <c r="T1184" t="str">
        <f>VLOOKUP(E1184, Products!$A:$B,2,0)</f>
        <v>Tablets Ele-3</v>
      </c>
      <c r="U1184" t="str">
        <f>VLOOKUP(E1184,Products!$A:$C,3,0)</f>
        <v>Electronics</v>
      </c>
      <c r="V1184" t="str">
        <f>VLOOKUP(E1184,Products!$A:$D,4,0)</f>
        <v>Tablets</v>
      </c>
      <c r="W1184" t="str">
        <f>VLOOKUP(D1184,Customers!$A:$C,3,0)</f>
        <v>B2C</v>
      </c>
      <c r="X1184" t="str">
        <f>VLOOKUP(C1184,Sales_Representatives!$A:$B,2,0)</f>
        <v>Robert Jones</v>
      </c>
    </row>
    <row r="1185" spans="1:24" x14ac:dyDescent="0.3">
      <c r="A1185" t="s">
        <v>1693</v>
      </c>
      <c r="B1185" t="s">
        <v>1689</v>
      </c>
      <c r="C1185" t="s">
        <v>82</v>
      </c>
      <c r="D1185" t="s">
        <v>139</v>
      </c>
      <c r="E1185" t="s">
        <v>29</v>
      </c>
      <c r="F1185">
        <v>5</v>
      </c>
      <c r="G1185">
        <v>1363.46</v>
      </c>
      <c r="H1185">
        <v>0.09</v>
      </c>
      <c r="I1185" s="4">
        <v>6203.74</v>
      </c>
      <c r="J1185" t="s">
        <v>34</v>
      </c>
      <c r="K1185" t="s">
        <v>39</v>
      </c>
      <c r="L1185" s="4">
        <f>VLOOKUP(tblTransactions[[#This Row],[Product_ID]],tblProducts[],5,FALSE)</f>
        <v>995.41</v>
      </c>
      <c r="M1185" s="4">
        <f>tblTransactions[[#This Row],[Total_Amount]]-(tblTransactions[[#This Row],[Cost_Prices]]*tblTransactions[[#This Row],[Quantity]]*(1-tblTransactions[[#This Row],[Discount]]))</f>
        <v>1674.6244999999999</v>
      </c>
      <c r="N1185" s="3">
        <f>tblTransactions[[#This Row],[Profit]]/tblTransactions[[#This Row],[Total_Amount]]</f>
        <v>0.26993789230367488</v>
      </c>
      <c r="O1185" t="str">
        <f>TEXT(tblTransactions[[#This Row],[Date]], "MMM-YYYY")</f>
        <v>Sep-2023</v>
      </c>
      <c r="P1185" t="str">
        <f>"Q"&amp;ROUNDUP(MONTH(tblTransactions[[#This Row],[Date]])/3,0)&amp;"-"&amp;YEAR(tblTransactions[[#This Row],[Date]])</f>
        <v>Q3-2023</v>
      </c>
      <c r="Q1185">
        <f>YEAR(tblTransactions[[#This Row],[Date]])</f>
        <v>2023</v>
      </c>
      <c r="R1185" t="str">
        <f>TEXT(tblTransactions[[#This Row],[Date]],"DDDD")</f>
        <v>Friday</v>
      </c>
      <c r="S1185">
        <f>MONTH(tblTransactions[[#This Row],[Date]])</f>
        <v>9</v>
      </c>
      <c r="T1185" t="str">
        <f>VLOOKUP(E1185, Products!$A:$B,2,0)</f>
        <v>Phones Ele-3</v>
      </c>
      <c r="U1185" t="str">
        <f>VLOOKUP(E1185,Products!$A:$C,3,0)</f>
        <v>Electronics</v>
      </c>
      <c r="V1185" t="str">
        <f>VLOOKUP(E1185,Products!$A:$D,4,0)</f>
        <v>Phones</v>
      </c>
      <c r="W1185" t="str">
        <f>VLOOKUP(D1185,Customers!$A:$C,3,0)</f>
        <v>B2C</v>
      </c>
      <c r="X1185" t="str">
        <f>VLOOKUP(C1185,Sales_Representatives!$A:$B,2,0)</f>
        <v>John Brown</v>
      </c>
    </row>
    <row r="1186" spans="1:24" x14ac:dyDescent="0.3">
      <c r="A1186" t="s">
        <v>1694</v>
      </c>
      <c r="B1186" t="s">
        <v>1695</v>
      </c>
      <c r="C1186" t="s">
        <v>27</v>
      </c>
      <c r="D1186" t="s">
        <v>1608</v>
      </c>
      <c r="E1186" t="s">
        <v>481</v>
      </c>
      <c r="F1186">
        <v>6</v>
      </c>
      <c r="G1186">
        <v>263.58999999999997</v>
      </c>
      <c r="H1186">
        <v>0.08</v>
      </c>
      <c r="I1186" s="4">
        <v>1455.02</v>
      </c>
      <c r="J1186" t="s">
        <v>16</v>
      </c>
      <c r="K1186" t="s">
        <v>39</v>
      </c>
      <c r="L1186" s="4">
        <f>VLOOKUP(tblTransactions[[#This Row],[Product_ID]],tblProducts[],5,FALSE)</f>
        <v>133.65</v>
      </c>
      <c r="M1186" s="4">
        <f>tblTransactions[[#This Row],[Total_Amount]]-(tblTransactions[[#This Row],[Cost_Prices]]*tblTransactions[[#This Row],[Quantity]]*(1-tblTransactions[[#This Row],[Discount]]))</f>
        <v>717.27199999999982</v>
      </c>
      <c r="N1186" s="3">
        <f>tblTransactions[[#This Row],[Profit]]/tblTransactions[[#This Row],[Total_Amount]]</f>
        <v>0.49296367060246582</v>
      </c>
      <c r="O1186" t="str">
        <f>TEXT(tblTransactions[[#This Row],[Date]], "MMM-YYYY")</f>
        <v>Sep-2023</v>
      </c>
      <c r="P1186" t="str">
        <f>"Q"&amp;ROUNDUP(MONTH(tblTransactions[[#This Row],[Date]])/3,0)&amp;"-"&amp;YEAR(tblTransactions[[#This Row],[Date]])</f>
        <v>Q3-2023</v>
      </c>
      <c r="Q1186">
        <f>YEAR(tblTransactions[[#This Row],[Date]])</f>
        <v>2023</v>
      </c>
      <c r="R1186" t="str">
        <f>TEXT(tblTransactions[[#This Row],[Date]],"DDDD")</f>
        <v>Saturday</v>
      </c>
      <c r="S1186">
        <f>MONTH(tblTransactions[[#This Row],[Date]])</f>
        <v>9</v>
      </c>
      <c r="T1186" t="str">
        <f>VLOOKUP(E1186, Products!$A:$B,2,0)</f>
        <v>Folders Off-1</v>
      </c>
      <c r="U1186" t="str">
        <f>VLOOKUP(E1186,Products!$A:$C,3,0)</f>
        <v>Office Supplies</v>
      </c>
      <c r="V1186" t="str">
        <f>VLOOKUP(E1186,Products!$A:$D,4,0)</f>
        <v>Folders</v>
      </c>
      <c r="W1186" t="str">
        <f>VLOOKUP(D1186,Customers!$A:$C,3,0)</f>
        <v>B2C</v>
      </c>
      <c r="X1186" t="str">
        <f>VLOOKUP(C1186,Sales_Representatives!$A:$B,2,0)</f>
        <v>Thomas Lopez</v>
      </c>
    </row>
    <row r="1187" spans="1:24" x14ac:dyDescent="0.3">
      <c r="A1187" t="s">
        <v>1696</v>
      </c>
      <c r="B1187" t="s">
        <v>1695</v>
      </c>
      <c r="C1187" t="s">
        <v>141</v>
      </c>
      <c r="D1187" t="s">
        <v>1697</v>
      </c>
      <c r="E1187" t="s">
        <v>194</v>
      </c>
      <c r="F1187">
        <v>5</v>
      </c>
      <c r="G1187">
        <v>82.84</v>
      </c>
      <c r="H1187">
        <v>0.03</v>
      </c>
      <c r="I1187" s="4">
        <v>401.77</v>
      </c>
      <c r="J1187" t="s">
        <v>109</v>
      </c>
      <c r="K1187" t="s">
        <v>39</v>
      </c>
      <c r="L1187" s="4">
        <f>VLOOKUP(tblTransactions[[#This Row],[Product_ID]],tblProducts[],5,FALSE)</f>
        <v>52.98</v>
      </c>
      <c r="M1187" s="4">
        <f>tblTransactions[[#This Row],[Total_Amount]]-(tblTransactions[[#This Row],[Cost_Prices]]*tblTransactions[[#This Row],[Quantity]]*(1-tblTransactions[[#This Row],[Discount]]))</f>
        <v>144.81700000000001</v>
      </c>
      <c r="N1187" s="3">
        <f>tblTransactions[[#This Row],[Profit]]/tblTransactions[[#This Row],[Total_Amount]]</f>
        <v>0.36044751972521594</v>
      </c>
      <c r="O1187" t="str">
        <f>TEXT(tblTransactions[[#This Row],[Date]], "MMM-YYYY")</f>
        <v>Sep-2023</v>
      </c>
      <c r="P1187" t="str">
        <f>"Q"&amp;ROUNDUP(MONTH(tblTransactions[[#This Row],[Date]])/3,0)&amp;"-"&amp;YEAR(tblTransactions[[#This Row],[Date]])</f>
        <v>Q3-2023</v>
      </c>
      <c r="Q1187">
        <f>YEAR(tblTransactions[[#This Row],[Date]])</f>
        <v>2023</v>
      </c>
      <c r="R1187" t="str">
        <f>TEXT(tblTransactions[[#This Row],[Date]],"DDDD")</f>
        <v>Saturday</v>
      </c>
      <c r="S1187">
        <f>MONTH(tblTransactions[[#This Row],[Date]])</f>
        <v>9</v>
      </c>
      <c r="T1187" t="str">
        <f>VLOOKUP(E1187, Products!$A:$B,2,0)</f>
        <v>Binders Off-2</v>
      </c>
      <c r="U1187" t="str">
        <f>VLOOKUP(E1187,Products!$A:$C,3,0)</f>
        <v>Office Supplies</v>
      </c>
      <c r="V1187" t="str">
        <f>VLOOKUP(E1187,Products!$A:$D,4,0)</f>
        <v>Binders</v>
      </c>
      <c r="W1187" t="str">
        <f>VLOOKUP(D1187,Customers!$A:$C,3,0)</f>
        <v>B2C</v>
      </c>
      <c r="X1187" t="str">
        <f>VLOOKUP(C1187,Sales_Representatives!$A:$B,2,0)</f>
        <v>Richard Garcia</v>
      </c>
    </row>
    <row r="1188" spans="1:24" x14ac:dyDescent="0.3">
      <c r="A1188" t="s">
        <v>1698</v>
      </c>
      <c r="B1188" t="s">
        <v>1695</v>
      </c>
      <c r="C1188" t="s">
        <v>41</v>
      </c>
      <c r="D1188" t="s">
        <v>1699</v>
      </c>
      <c r="E1188" t="s">
        <v>79</v>
      </c>
      <c r="F1188">
        <v>4</v>
      </c>
      <c r="G1188">
        <v>1452.36</v>
      </c>
      <c r="H1188">
        <v>0.08</v>
      </c>
      <c r="I1188" s="4">
        <v>5344.68</v>
      </c>
      <c r="J1188" t="s">
        <v>44</v>
      </c>
      <c r="K1188" t="s">
        <v>48</v>
      </c>
      <c r="L1188" s="4">
        <f>VLOOKUP(tblTransactions[[#This Row],[Product_ID]],tblProducts[],5,FALSE)</f>
        <v>778.71</v>
      </c>
      <c r="M1188" s="4">
        <f>tblTransactions[[#This Row],[Total_Amount]]-(tblTransactions[[#This Row],[Cost_Prices]]*tblTransactions[[#This Row],[Quantity]]*(1-tblTransactions[[#This Row],[Discount]]))</f>
        <v>2479.0272</v>
      </c>
      <c r="N1188" s="3">
        <f>tblTransactions[[#This Row],[Profit]]/tblTransactions[[#This Row],[Total_Amount]]</f>
        <v>0.46383079997305732</v>
      </c>
      <c r="O1188" t="str">
        <f>TEXT(tblTransactions[[#This Row],[Date]], "MMM-YYYY")</f>
        <v>Sep-2023</v>
      </c>
      <c r="P1188" t="str">
        <f>"Q"&amp;ROUNDUP(MONTH(tblTransactions[[#This Row],[Date]])/3,0)&amp;"-"&amp;YEAR(tblTransactions[[#This Row],[Date]])</f>
        <v>Q3-2023</v>
      </c>
      <c r="Q1188">
        <f>YEAR(tblTransactions[[#This Row],[Date]])</f>
        <v>2023</v>
      </c>
      <c r="R1188" t="str">
        <f>TEXT(tblTransactions[[#This Row],[Date]],"DDDD")</f>
        <v>Saturday</v>
      </c>
      <c r="S1188">
        <f>MONTH(tblTransactions[[#This Row],[Date]])</f>
        <v>9</v>
      </c>
      <c r="T1188" t="str">
        <f>VLOOKUP(E1188, Products!$A:$B,2,0)</f>
        <v>Tables Fur-2</v>
      </c>
      <c r="U1188" t="str">
        <f>VLOOKUP(E1188,Products!$A:$C,3,0)</f>
        <v>Furniture</v>
      </c>
      <c r="V1188" t="str">
        <f>VLOOKUP(E1188,Products!$A:$D,4,0)</f>
        <v>Tables</v>
      </c>
      <c r="W1188" t="str">
        <f>VLOOKUP(D1188,Customers!$A:$C,3,0)</f>
        <v>B2B</v>
      </c>
      <c r="X1188" t="str">
        <f>VLOOKUP(C1188,Sales_Representatives!$A:$B,2,0)</f>
        <v>Robert Jones</v>
      </c>
    </row>
    <row r="1189" spans="1:24" x14ac:dyDescent="0.3">
      <c r="A1189" t="s">
        <v>1700</v>
      </c>
      <c r="B1189" t="s">
        <v>1695</v>
      </c>
      <c r="C1189" t="s">
        <v>59</v>
      </c>
      <c r="D1189" t="s">
        <v>1513</v>
      </c>
      <c r="E1189" t="s">
        <v>394</v>
      </c>
      <c r="F1189">
        <v>2</v>
      </c>
      <c r="G1189">
        <v>314.69</v>
      </c>
      <c r="H1189">
        <v>0.05</v>
      </c>
      <c r="I1189" s="4">
        <v>597.91</v>
      </c>
      <c r="J1189" t="s">
        <v>21</v>
      </c>
      <c r="K1189" t="s">
        <v>17</v>
      </c>
      <c r="L1189" s="4">
        <f>VLOOKUP(tblTransactions[[#This Row],[Product_ID]],tblProducts[],5,FALSE)</f>
        <v>185.43</v>
      </c>
      <c r="M1189" s="4">
        <f>tblTransactions[[#This Row],[Total_Amount]]-(tblTransactions[[#This Row],[Cost_Prices]]*tblTransactions[[#This Row],[Quantity]]*(1-tblTransactions[[#This Row],[Discount]]))</f>
        <v>245.59299999999996</v>
      </c>
      <c r="N1189" s="3">
        <f>tblTransactions[[#This Row],[Profit]]/tblTransactions[[#This Row],[Total_Amount]]</f>
        <v>0.41075245438276659</v>
      </c>
      <c r="O1189" t="str">
        <f>TEXT(tblTransactions[[#This Row],[Date]], "MMM-YYYY")</f>
        <v>Sep-2023</v>
      </c>
      <c r="P1189" t="str">
        <f>"Q"&amp;ROUNDUP(MONTH(tblTransactions[[#This Row],[Date]])/3,0)&amp;"-"&amp;YEAR(tblTransactions[[#This Row],[Date]])</f>
        <v>Q3-2023</v>
      </c>
      <c r="Q1189">
        <f>YEAR(tblTransactions[[#This Row],[Date]])</f>
        <v>2023</v>
      </c>
      <c r="R1189" t="str">
        <f>TEXT(tblTransactions[[#This Row],[Date]],"DDDD")</f>
        <v>Saturday</v>
      </c>
      <c r="S1189">
        <f>MONTH(tblTransactions[[#This Row],[Date]])</f>
        <v>9</v>
      </c>
      <c r="T1189" t="str">
        <f>VLOOKUP(E1189, Products!$A:$B,2,0)</f>
        <v>Desks Fur-1</v>
      </c>
      <c r="U1189" t="str">
        <f>VLOOKUP(E1189,Products!$A:$C,3,0)</f>
        <v>Furniture</v>
      </c>
      <c r="V1189" t="str">
        <f>VLOOKUP(E1189,Products!$A:$D,4,0)</f>
        <v>Desks</v>
      </c>
      <c r="W1189" t="str">
        <f>VLOOKUP(D1189,Customers!$A:$C,3,0)</f>
        <v>B2C</v>
      </c>
      <c r="X1189" t="str">
        <f>VLOOKUP(C1189,Sales_Representatives!$A:$B,2,0)</f>
        <v>Sarah Brown</v>
      </c>
    </row>
    <row r="1190" spans="1:24" x14ac:dyDescent="0.3">
      <c r="A1190" t="s">
        <v>1701</v>
      </c>
      <c r="B1190" t="s">
        <v>1695</v>
      </c>
      <c r="C1190" t="s">
        <v>141</v>
      </c>
      <c r="D1190" t="s">
        <v>1702</v>
      </c>
      <c r="E1190" t="s">
        <v>15</v>
      </c>
      <c r="F1190">
        <v>4</v>
      </c>
      <c r="G1190">
        <v>477.48</v>
      </c>
      <c r="H1190">
        <v>0.02</v>
      </c>
      <c r="I1190" s="4">
        <v>1871.72</v>
      </c>
      <c r="J1190" t="s">
        <v>109</v>
      </c>
      <c r="K1190" t="s">
        <v>17</v>
      </c>
      <c r="L1190" s="4">
        <f>VLOOKUP(tblTransactions[[#This Row],[Product_ID]],tblProducts[],5,FALSE)</f>
        <v>275.51</v>
      </c>
      <c r="M1190" s="4">
        <f>tblTransactions[[#This Row],[Total_Amount]]-(tblTransactions[[#This Row],[Cost_Prices]]*tblTransactions[[#This Row],[Quantity]]*(1-tblTransactions[[#This Row],[Discount]]))</f>
        <v>791.72080000000005</v>
      </c>
      <c r="N1190" s="3">
        <f>tblTransactions[[#This Row],[Profit]]/tblTransactions[[#This Row],[Total_Amount]]</f>
        <v>0.42299104566922407</v>
      </c>
      <c r="O1190" t="str">
        <f>TEXT(tblTransactions[[#This Row],[Date]], "MMM-YYYY")</f>
        <v>Sep-2023</v>
      </c>
      <c r="P1190" t="str">
        <f>"Q"&amp;ROUNDUP(MONTH(tblTransactions[[#This Row],[Date]])/3,0)&amp;"-"&amp;YEAR(tblTransactions[[#This Row],[Date]])</f>
        <v>Q3-2023</v>
      </c>
      <c r="Q1190">
        <f>YEAR(tblTransactions[[#This Row],[Date]])</f>
        <v>2023</v>
      </c>
      <c r="R1190" t="str">
        <f>TEXT(tblTransactions[[#This Row],[Date]],"DDDD")</f>
        <v>Saturday</v>
      </c>
      <c r="S1190">
        <f>MONTH(tblTransactions[[#This Row],[Date]])</f>
        <v>9</v>
      </c>
      <c r="T1190" t="str">
        <f>VLOOKUP(E1190, Products!$A:$B,2,0)</f>
        <v>Laptops Ele-4</v>
      </c>
      <c r="U1190" t="str">
        <f>VLOOKUP(E1190,Products!$A:$C,3,0)</f>
        <v>Electronics</v>
      </c>
      <c r="V1190" t="str">
        <f>VLOOKUP(E1190,Products!$A:$D,4,0)</f>
        <v>Laptops</v>
      </c>
      <c r="W1190" t="str">
        <f>VLOOKUP(D1190,Customers!$A:$C,3,0)</f>
        <v>B2C</v>
      </c>
      <c r="X1190" t="str">
        <f>VLOOKUP(C1190,Sales_Representatives!$A:$B,2,0)</f>
        <v>Richard Garcia</v>
      </c>
    </row>
    <row r="1191" spans="1:24" x14ac:dyDescent="0.3">
      <c r="A1191" t="s">
        <v>1703</v>
      </c>
      <c r="B1191" t="s">
        <v>1704</v>
      </c>
      <c r="C1191" t="s">
        <v>31</v>
      </c>
      <c r="D1191" t="s">
        <v>1705</v>
      </c>
      <c r="E1191" t="s">
        <v>304</v>
      </c>
      <c r="F1191">
        <v>1</v>
      </c>
      <c r="G1191">
        <v>13.43</v>
      </c>
      <c r="H1191">
        <v>0.03</v>
      </c>
      <c r="I1191" s="4">
        <v>13.03</v>
      </c>
      <c r="J1191" t="s">
        <v>34</v>
      </c>
      <c r="K1191" t="s">
        <v>35</v>
      </c>
      <c r="L1191" s="4">
        <f>VLOOKUP(tblTransactions[[#This Row],[Product_ID]],tblProducts[],5,FALSE)</f>
        <v>5.8</v>
      </c>
      <c r="M1191" s="4">
        <f>tblTransactions[[#This Row],[Total_Amount]]-(tblTransactions[[#This Row],[Cost_Prices]]*tblTransactions[[#This Row],[Quantity]]*(1-tblTransactions[[#This Row],[Discount]]))</f>
        <v>7.4039999999999999</v>
      </c>
      <c r="N1191" s="3">
        <f>tblTransactions[[#This Row],[Profit]]/tblTransactions[[#This Row],[Total_Amount]]</f>
        <v>0.56822716807367613</v>
      </c>
      <c r="O1191" t="str">
        <f>TEXT(tblTransactions[[#This Row],[Date]], "MMM-YYYY")</f>
        <v>Sep-2023</v>
      </c>
      <c r="P1191" t="str">
        <f>"Q"&amp;ROUNDUP(MONTH(tblTransactions[[#This Row],[Date]])/3,0)&amp;"-"&amp;YEAR(tblTransactions[[#This Row],[Date]])</f>
        <v>Q3-2023</v>
      </c>
      <c r="Q1191">
        <f>YEAR(tblTransactions[[#This Row],[Date]])</f>
        <v>2023</v>
      </c>
      <c r="R1191" t="str">
        <f>TEXT(tblTransactions[[#This Row],[Date]],"DDDD")</f>
        <v>Sunday</v>
      </c>
      <c r="S1191">
        <f>MONTH(tblTransactions[[#This Row],[Date]])</f>
        <v>9</v>
      </c>
      <c r="T1191" t="str">
        <f>VLOOKUP(E1191, Products!$A:$B,2,0)</f>
        <v>Pens Off-1</v>
      </c>
      <c r="U1191" t="str">
        <f>VLOOKUP(E1191,Products!$A:$C,3,0)</f>
        <v>Office Supplies</v>
      </c>
      <c r="V1191" t="str">
        <f>VLOOKUP(E1191,Products!$A:$D,4,0)</f>
        <v>Pens</v>
      </c>
      <c r="W1191" t="str">
        <f>VLOOKUP(D1191,Customers!$A:$C,3,0)</f>
        <v>B2C</v>
      </c>
      <c r="X1191" t="str">
        <f>VLOOKUP(C1191,Sales_Representatives!$A:$B,2,0)</f>
        <v>Thomas Martinez</v>
      </c>
    </row>
    <row r="1192" spans="1:24" x14ac:dyDescent="0.3">
      <c r="A1192" t="s">
        <v>1706</v>
      </c>
      <c r="B1192" t="s">
        <v>1704</v>
      </c>
      <c r="C1192" t="s">
        <v>82</v>
      </c>
      <c r="D1192" t="s">
        <v>1507</v>
      </c>
      <c r="E1192" t="s">
        <v>87</v>
      </c>
      <c r="F1192">
        <v>28</v>
      </c>
      <c r="G1192">
        <v>1047.8900000000001</v>
      </c>
      <c r="H1192">
        <v>0.21</v>
      </c>
      <c r="I1192" s="4">
        <v>23179.33</v>
      </c>
      <c r="J1192" t="s">
        <v>34</v>
      </c>
      <c r="K1192" t="s">
        <v>48</v>
      </c>
      <c r="L1192" s="4">
        <f>VLOOKUP(tblTransactions[[#This Row],[Product_ID]],tblProducts[],5,FALSE)</f>
        <v>742.63</v>
      </c>
      <c r="M1192" s="4">
        <f>tblTransactions[[#This Row],[Total_Amount]]-(tblTransactions[[#This Row],[Cost_Prices]]*tblTransactions[[#This Row],[Quantity]]*(1-tblTransactions[[#This Row],[Discount]]))</f>
        <v>6752.3544000000002</v>
      </c>
      <c r="N1192" s="3">
        <f>tblTransactions[[#This Row],[Profit]]/tblTransactions[[#This Row],[Total_Amount]]</f>
        <v>0.29130930013939144</v>
      </c>
      <c r="O1192" t="str">
        <f>TEXT(tblTransactions[[#This Row],[Date]], "MMM-YYYY")</f>
        <v>Sep-2023</v>
      </c>
      <c r="P1192" t="str">
        <f>"Q"&amp;ROUNDUP(MONTH(tblTransactions[[#This Row],[Date]])/3,0)&amp;"-"&amp;YEAR(tblTransactions[[#This Row],[Date]])</f>
        <v>Q3-2023</v>
      </c>
      <c r="Q1192">
        <f>YEAR(tblTransactions[[#This Row],[Date]])</f>
        <v>2023</v>
      </c>
      <c r="R1192" t="str">
        <f>TEXT(tblTransactions[[#This Row],[Date]],"DDDD")</f>
        <v>Sunday</v>
      </c>
      <c r="S1192">
        <f>MONTH(tblTransactions[[#This Row],[Date]])</f>
        <v>9</v>
      </c>
      <c r="T1192" t="str">
        <f>VLOOKUP(E1192, Products!$A:$B,2,0)</f>
        <v>Monitors Tec-2</v>
      </c>
      <c r="U1192" t="str">
        <f>VLOOKUP(E1192,Products!$A:$C,3,0)</f>
        <v>Technology</v>
      </c>
      <c r="V1192" t="str">
        <f>VLOOKUP(E1192,Products!$A:$D,4,0)</f>
        <v>Monitors</v>
      </c>
      <c r="W1192" t="str">
        <f>VLOOKUP(D1192,Customers!$A:$C,3,0)</f>
        <v>Enterprise</v>
      </c>
      <c r="X1192" t="str">
        <f>VLOOKUP(C1192,Sales_Representatives!$A:$B,2,0)</f>
        <v>John Brown</v>
      </c>
    </row>
    <row r="1193" spans="1:24" x14ac:dyDescent="0.3">
      <c r="A1193" t="s">
        <v>1707</v>
      </c>
      <c r="B1193" t="s">
        <v>1704</v>
      </c>
      <c r="C1193" t="s">
        <v>41</v>
      </c>
      <c r="D1193" t="s">
        <v>1708</v>
      </c>
      <c r="E1193" t="s">
        <v>105</v>
      </c>
      <c r="F1193">
        <v>46</v>
      </c>
      <c r="G1193">
        <v>1342.04</v>
      </c>
      <c r="H1193">
        <v>0.16</v>
      </c>
      <c r="I1193" s="4">
        <v>51856.43</v>
      </c>
      <c r="J1193" t="s">
        <v>44</v>
      </c>
      <c r="K1193" t="s">
        <v>35</v>
      </c>
      <c r="L1193" s="4">
        <f>VLOOKUP(tblTransactions[[#This Row],[Product_ID]],tblProducts[],5,FALSE)</f>
        <v>792.89</v>
      </c>
      <c r="M1193" s="4">
        <f>tblTransactions[[#This Row],[Total_Amount]]-(tblTransactions[[#This Row],[Cost_Prices]]*tblTransactions[[#This Row],[Quantity]]*(1-tblTransactions[[#This Row],[Discount]]))</f>
        <v>21219.160400000001</v>
      </c>
      <c r="N1193" s="3">
        <f>tblTransactions[[#This Row],[Profit]]/tblTransactions[[#This Row],[Total_Amount]]</f>
        <v>0.40919053625558105</v>
      </c>
      <c r="O1193" t="str">
        <f>TEXT(tblTransactions[[#This Row],[Date]], "MMM-YYYY")</f>
        <v>Sep-2023</v>
      </c>
      <c r="P1193" t="str">
        <f>"Q"&amp;ROUNDUP(MONTH(tblTransactions[[#This Row],[Date]])/3,0)&amp;"-"&amp;YEAR(tblTransactions[[#This Row],[Date]])</f>
        <v>Q3-2023</v>
      </c>
      <c r="Q1193">
        <f>YEAR(tblTransactions[[#This Row],[Date]])</f>
        <v>2023</v>
      </c>
      <c r="R1193" t="str">
        <f>TEXT(tblTransactions[[#This Row],[Date]],"DDDD")</f>
        <v>Sunday</v>
      </c>
      <c r="S1193">
        <f>MONTH(tblTransactions[[#This Row],[Date]])</f>
        <v>9</v>
      </c>
      <c r="T1193" t="str">
        <f>VLOOKUP(E1193, Products!$A:$B,2,0)</f>
        <v>Cameras Ele-1</v>
      </c>
      <c r="U1193" t="str">
        <f>VLOOKUP(E1193,Products!$A:$C,3,0)</f>
        <v>Electronics</v>
      </c>
      <c r="V1193" t="str">
        <f>VLOOKUP(E1193,Products!$A:$D,4,0)</f>
        <v>Cameras</v>
      </c>
      <c r="W1193" t="str">
        <f>VLOOKUP(D1193,Customers!$A:$C,3,0)</f>
        <v>Enterprise</v>
      </c>
      <c r="X1193" t="str">
        <f>VLOOKUP(C1193,Sales_Representatives!$A:$B,2,0)</f>
        <v>Robert Jones</v>
      </c>
    </row>
    <row r="1194" spans="1:24" x14ac:dyDescent="0.3">
      <c r="A1194" t="s">
        <v>1709</v>
      </c>
      <c r="B1194" t="s">
        <v>1704</v>
      </c>
      <c r="C1194" t="s">
        <v>70</v>
      </c>
      <c r="D1194" t="s">
        <v>1687</v>
      </c>
      <c r="E1194" t="s">
        <v>157</v>
      </c>
      <c r="F1194">
        <v>5</v>
      </c>
      <c r="G1194">
        <v>1227.68</v>
      </c>
      <c r="H1194">
        <v>0.09</v>
      </c>
      <c r="I1194" s="4">
        <v>5585.94</v>
      </c>
      <c r="J1194" t="s">
        <v>16</v>
      </c>
      <c r="K1194" t="s">
        <v>35</v>
      </c>
      <c r="L1194" s="4">
        <f>VLOOKUP(tblTransactions[[#This Row],[Product_ID]],tblProducts[],5,FALSE)</f>
        <v>846.42</v>
      </c>
      <c r="M1194" s="4">
        <f>tblTransactions[[#This Row],[Total_Amount]]-(tblTransactions[[#This Row],[Cost_Prices]]*tblTransactions[[#This Row],[Quantity]]*(1-tblTransactions[[#This Row],[Discount]]))</f>
        <v>1734.7289999999998</v>
      </c>
      <c r="N1194" s="3">
        <f>tblTransactions[[#This Row],[Profit]]/tblTransactions[[#This Row],[Total_Amount]]</f>
        <v>0.31055274492744284</v>
      </c>
      <c r="O1194" t="str">
        <f>TEXT(tblTransactions[[#This Row],[Date]], "MMM-YYYY")</f>
        <v>Sep-2023</v>
      </c>
      <c r="P1194" t="str">
        <f>"Q"&amp;ROUNDUP(MONTH(tblTransactions[[#This Row],[Date]])/3,0)&amp;"-"&amp;YEAR(tblTransactions[[#This Row],[Date]])</f>
        <v>Q3-2023</v>
      </c>
      <c r="Q1194">
        <f>YEAR(tblTransactions[[#This Row],[Date]])</f>
        <v>2023</v>
      </c>
      <c r="R1194" t="str">
        <f>TEXT(tblTransactions[[#This Row],[Date]],"DDDD")</f>
        <v>Sunday</v>
      </c>
      <c r="S1194">
        <f>MONTH(tblTransactions[[#This Row],[Date]])</f>
        <v>9</v>
      </c>
      <c r="T1194" t="str">
        <f>VLOOKUP(E1194, Products!$A:$B,2,0)</f>
        <v>Printers Tec-4</v>
      </c>
      <c r="U1194" t="str">
        <f>VLOOKUP(E1194,Products!$A:$C,3,0)</f>
        <v>Technology</v>
      </c>
      <c r="V1194" t="str">
        <f>VLOOKUP(E1194,Products!$A:$D,4,0)</f>
        <v>Printers</v>
      </c>
      <c r="W1194" t="str">
        <f>VLOOKUP(D1194,Customers!$A:$C,3,0)</f>
        <v>B2C</v>
      </c>
      <c r="X1194" t="str">
        <f>VLOOKUP(C1194,Sales_Representatives!$A:$B,2,0)</f>
        <v>Linda Smith</v>
      </c>
    </row>
    <row r="1195" spans="1:24" x14ac:dyDescent="0.3">
      <c r="A1195" t="s">
        <v>1710</v>
      </c>
      <c r="B1195" t="s">
        <v>1711</v>
      </c>
      <c r="C1195" t="s">
        <v>31</v>
      </c>
      <c r="D1195" t="s">
        <v>1712</v>
      </c>
      <c r="E1195" t="s">
        <v>129</v>
      </c>
      <c r="F1195">
        <v>14</v>
      </c>
      <c r="G1195">
        <v>1283.71</v>
      </c>
      <c r="H1195">
        <v>0.18</v>
      </c>
      <c r="I1195" s="4">
        <v>14736.99</v>
      </c>
      <c r="J1195" t="s">
        <v>34</v>
      </c>
      <c r="K1195" t="s">
        <v>48</v>
      </c>
      <c r="L1195" s="4">
        <f>VLOOKUP(tblTransactions[[#This Row],[Product_ID]],tblProducts[],5,FALSE)</f>
        <v>970.14</v>
      </c>
      <c r="M1195" s="4">
        <f>tblTransactions[[#This Row],[Total_Amount]]-(tblTransactions[[#This Row],[Cost_Prices]]*tblTransactions[[#This Row],[Quantity]]*(1-tblTransactions[[#This Row],[Discount]]))</f>
        <v>3599.782799999999</v>
      </c>
      <c r="N1195" s="3">
        <f>tblTransactions[[#This Row],[Profit]]/tblTransactions[[#This Row],[Total_Amount]]</f>
        <v>0.24426852430516674</v>
      </c>
      <c r="O1195" t="str">
        <f>TEXT(tblTransactions[[#This Row],[Date]], "MMM-YYYY")</f>
        <v>Sep-2023</v>
      </c>
      <c r="P1195" t="str">
        <f>"Q"&amp;ROUNDUP(MONTH(tblTransactions[[#This Row],[Date]])/3,0)&amp;"-"&amp;YEAR(tblTransactions[[#This Row],[Date]])</f>
        <v>Q3-2023</v>
      </c>
      <c r="Q1195">
        <f>YEAR(tblTransactions[[#This Row],[Date]])</f>
        <v>2023</v>
      </c>
      <c r="R1195" t="str">
        <f>TEXT(tblTransactions[[#This Row],[Date]],"DDDD")</f>
        <v>Monday</v>
      </c>
      <c r="S1195">
        <f>MONTH(tblTransactions[[#This Row],[Date]])</f>
        <v>9</v>
      </c>
      <c r="T1195" t="str">
        <f>VLOOKUP(E1195, Products!$A:$B,2,0)</f>
        <v>Cameras Ele-3</v>
      </c>
      <c r="U1195" t="str">
        <f>VLOOKUP(E1195,Products!$A:$C,3,0)</f>
        <v>Electronics</v>
      </c>
      <c r="V1195" t="str">
        <f>VLOOKUP(E1195,Products!$A:$D,4,0)</f>
        <v>Cameras</v>
      </c>
      <c r="W1195" t="str">
        <f>VLOOKUP(D1195,Customers!$A:$C,3,0)</f>
        <v>B2B</v>
      </c>
      <c r="X1195" t="str">
        <f>VLOOKUP(C1195,Sales_Representatives!$A:$B,2,0)</f>
        <v>Thomas Martinez</v>
      </c>
    </row>
    <row r="1196" spans="1:24" x14ac:dyDescent="0.3">
      <c r="A1196" t="s">
        <v>1713</v>
      </c>
      <c r="B1196" t="s">
        <v>1711</v>
      </c>
      <c r="C1196" t="s">
        <v>59</v>
      </c>
      <c r="D1196" t="s">
        <v>1608</v>
      </c>
      <c r="E1196" t="s">
        <v>316</v>
      </c>
      <c r="F1196">
        <v>1</v>
      </c>
      <c r="G1196">
        <v>91.42</v>
      </c>
      <c r="H1196">
        <v>7.0000000000000007E-2</v>
      </c>
      <c r="I1196" s="4">
        <v>85.02</v>
      </c>
      <c r="J1196" t="s">
        <v>21</v>
      </c>
      <c r="K1196" t="s">
        <v>48</v>
      </c>
      <c r="L1196" s="4">
        <f>VLOOKUP(tblTransactions[[#This Row],[Product_ID]],tblProducts[],5,FALSE)</f>
        <v>50.09</v>
      </c>
      <c r="M1196" s="4">
        <f>tblTransactions[[#This Row],[Total_Amount]]-(tblTransactions[[#This Row],[Cost_Prices]]*tblTransactions[[#This Row],[Quantity]]*(1-tblTransactions[[#This Row],[Discount]]))</f>
        <v>38.436299999999996</v>
      </c>
      <c r="N1196" s="3">
        <f>tblTransactions[[#This Row],[Profit]]/tblTransactions[[#This Row],[Total_Amount]]</f>
        <v>0.45208539167254763</v>
      </c>
      <c r="O1196" t="str">
        <f>TEXT(tblTransactions[[#This Row],[Date]], "MMM-YYYY")</f>
        <v>Sep-2023</v>
      </c>
      <c r="P1196" t="str">
        <f>"Q"&amp;ROUNDUP(MONTH(tblTransactions[[#This Row],[Date]])/3,0)&amp;"-"&amp;YEAR(tblTransactions[[#This Row],[Date]])</f>
        <v>Q3-2023</v>
      </c>
      <c r="Q1196">
        <f>YEAR(tblTransactions[[#This Row],[Date]])</f>
        <v>2023</v>
      </c>
      <c r="R1196" t="str">
        <f>TEXT(tblTransactions[[#This Row],[Date]],"DDDD")</f>
        <v>Monday</v>
      </c>
      <c r="S1196">
        <f>MONTH(tblTransactions[[#This Row],[Date]])</f>
        <v>9</v>
      </c>
      <c r="T1196" t="str">
        <f>VLOOKUP(E1196, Products!$A:$B,2,0)</f>
        <v>Binders Off-3</v>
      </c>
      <c r="U1196" t="str">
        <f>VLOOKUP(E1196,Products!$A:$C,3,0)</f>
        <v>Office Supplies</v>
      </c>
      <c r="V1196" t="str">
        <f>VLOOKUP(E1196,Products!$A:$D,4,0)</f>
        <v>Binders</v>
      </c>
      <c r="W1196" t="str">
        <f>VLOOKUP(D1196,Customers!$A:$C,3,0)</f>
        <v>B2C</v>
      </c>
      <c r="X1196" t="str">
        <f>VLOOKUP(C1196,Sales_Representatives!$A:$B,2,0)</f>
        <v>Sarah Brown</v>
      </c>
    </row>
    <row r="1197" spans="1:24" x14ac:dyDescent="0.3">
      <c r="A1197" t="s">
        <v>1714</v>
      </c>
      <c r="B1197" t="s">
        <v>1711</v>
      </c>
      <c r="C1197" t="s">
        <v>27</v>
      </c>
      <c r="D1197" t="s">
        <v>1547</v>
      </c>
      <c r="E1197" t="s">
        <v>370</v>
      </c>
      <c r="F1197">
        <v>5</v>
      </c>
      <c r="G1197">
        <v>238.95</v>
      </c>
      <c r="H1197">
        <v>0.01</v>
      </c>
      <c r="I1197" s="4">
        <v>1182.8</v>
      </c>
      <c r="J1197" t="s">
        <v>16</v>
      </c>
      <c r="K1197" t="s">
        <v>22</v>
      </c>
      <c r="L1197" s="4">
        <f>VLOOKUP(tblTransactions[[#This Row],[Product_ID]],tblProducts[],5,FALSE)</f>
        <v>136.6</v>
      </c>
      <c r="M1197" s="4">
        <f>tblTransactions[[#This Row],[Total_Amount]]-(tblTransactions[[#This Row],[Cost_Prices]]*tblTransactions[[#This Row],[Quantity]]*(1-tblTransactions[[#This Row],[Discount]]))</f>
        <v>506.63</v>
      </c>
      <c r="N1197" s="3">
        <f>tblTransactions[[#This Row],[Profit]]/tblTransactions[[#This Row],[Total_Amount]]</f>
        <v>0.42833107879607712</v>
      </c>
      <c r="O1197" t="str">
        <f>TEXT(tblTransactions[[#This Row],[Date]], "MMM-YYYY")</f>
        <v>Sep-2023</v>
      </c>
      <c r="P1197" t="str">
        <f>"Q"&amp;ROUNDUP(MONTH(tblTransactions[[#This Row],[Date]])/3,0)&amp;"-"&amp;YEAR(tblTransactions[[#This Row],[Date]])</f>
        <v>Q3-2023</v>
      </c>
      <c r="Q1197">
        <f>YEAR(tblTransactions[[#This Row],[Date]])</f>
        <v>2023</v>
      </c>
      <c r="R1197" t="str">
        <f>TEXT(tblTransactions[[#This Row],[Date]],"DDDD")</f>
        <v>Monday</v>
      </c>
      <c r="S1197">
        <f>MONTH(tblTransactions[[#This Row],[Date]])</f>
        <v>9</v>
      </c>
      <c r="T1197" t="str">
        <f>VLOOKUP(E1197, Products!$A:$B,2,0)</f>
        <v>Cables Acc-1</v>
      </c>
      <c r="U1197" t="str">
        <f>VLOOKUP(E1197,Products!$A:$C,3,0)</f>
        <v>Accessories</v>
      </c>
      <c r="V1197" t="str">
        <f>VLOOKUP(E1197,Products!$A:$D,4,0)</f>
        <v>Cables</v>
      </c>
      <c r="W1197" t="str">
        <f>VLOOKUP(D1197,Customers!$A:$C,3,0)</f>
        <v>B2C</v>
      </c>
      <c r="X1197" t="str">
        <f>VLOOKUP(C1197,Sales_Representatives!$A:$B,2,0)</f>
        <v>Thomas Lopez</v>
      </c>
    </row>
    <row r="1198" spans="1:24" x14ac:dyDescent="0.3">
      <c r="A1198" t="s">
        <v>1715</v>
      </c>
      <c r="B1198" t="s">
        <v>1711</v>
      </c>
      <c r="C1198" t="s">
        <v>56</v>
      </c>
      <c r="D1198" t="s">
        <v>1716</v>
      </c>
      <c r="E1198" t="s">
        <v>450</v>
      </c>
      <c r="F1198">
        <v>17</v>
      </c>
      <c r="G1198">
        <v>2083.92</v>
      </c>
      <c r="H1198">
        <v>0.13</v>
      </c>
      <c r="I1198" s="4">
        <v>30821.18</v>
      </c>
      <c r="J1198" t="s">
        <v>34</v>
      </c>
      <c r="K1198" t="s">
        <v>22</v>
      </c>
      <c r="L1198" s="4">
        <f>VLOOKUP(tblTransactions[[#This Row],[Product_ID]],tblProducts[],5,FALSE)</f>
        <v>1425.78</v>
      </c>
      <c r="M1198" s="4">
        <f>tblTransactions[[#This Row],[Total_Amount]]-(tblTransactions[[#This Row],[Cost_Prices]]*tblTransactions[[#This Row],[Quantity]]*(1-tblTransactions[[#This Row],[Discount]]))</f>
        <v>9733.8938000000016</v>
      </c>
      <c r="N1198" s="3">
        <f>tblTransactions[[#This Row],[Profit]]/tblTransactions[[#This Row],[Total_Amount]]</f>
        <v>0.3158183366113822</v>
      </c>
      <c r="O1198" t="str">
        <f>TEXT(tblTransactions[[#This Row],[Date]], "MMM-YYYY")</f>
        <v>Sep-2023</v>
      </c>
      <c r="P1198" t="str">
        <f>"Q"&amp;ROUNDUP(MONTH(tblTransactions[[#This Row],[Date]])/3,0)&amp;"-"&amp;YEAR(tblTransactions[[#This Row],[Date]])</f>
        <v>Q3-2023</v>
      </c>
      <c r="Q1198">
        <f>YEAR(tblTransactions[[#This Row],[Date]])</f>
        <v>2023</v>
      </c>
      <c r="R1198" t="str">
        <f>TEXT(tblTransactions[[#This Row],[Date]],"DDDD")</f>
        <v>Monday</v>
      </c>
      <c r="S1198">
        <f>MONTH(tblTransactions[[#This Row],[Date]])</f>
        <v>9</v>
      </c>
      <c r="T1198" t="str">
        <f>VLOOKUP(E1198, Products!$A:$B,2,0)</f>
        <v>Monitors Tec-4</v>
      </c>
      <c r="U1198" t="str">
        <f>VLOOKUP(E1198,Products!$A:$C,3,0)</f>
        <v>Technology</v>
      </c>
      <c r="V1198" t="str">
        <f>VLOOKUP(E1198,Products!$A:$D,4,0)</f>
        <v>Monitors</v>
      </c>
      <c r="W1198" t="str">
        <f>VLOOKUP(D1198,Customers!$A:$C,3,0)</f>
        <v>Enterprise</v>
      </c>
      <c r="X1198" t="str">
        <f>VLOOKUP(C1198,Sales_Representatives!$A:$B,2,0)</f>
        <v>Thomas Hernandez</v>
      </c>
    </row>
    <row r="1199" spans="1:24" x14ac:dyDescent="0.3">
      <c r="A1199" t="s">
        <v>1717</v>
      </c>
      <c r="B1199" t="s">
        <v>1711</v>
      </c>
      <c r="C1199" t="s">
        <v>31</v>
      </c>
      <c r="D1199" t="s">
        <v>1552</v>
      </c>
      <c r="E1199" t="s">
        <v>172</v>
      </c>
      <c r="F1199">
        <v>30</v>
      </c>
      <c r="G1199">
        <v>1371.15</v>
      </c>
      <c r="H1199">
        <v>0.24</v>
      </c>
      <c r="I1199" s="4">
        <v>31262.22</v>
      </c>
      <c r="J1199" t="s">
        <v>34</v>
      </c>
      <c r="K1199" t="s">
        <v>22</v>
      </c>
      <c r="L1199" s="4">
        <f>VLOOKUP(tblTransactions[[#This Row],[Product_ID]],tblProducts[],5,FALSE)</f>
        <v>989.81</v>
      </c>
      <c r="M1199" s="4">
        <f>tblTransactions[[#This Row],[Total_Amount]]-(tblTransactions[[#This Row],[Cost_Prices]]*tblTransactions[[#This Row],[Quantity]]*(1-tblTransactions[[#This Row],[Discount]]))</f>
        <v>8694.5519999999997</v>
      </c>
      <c r="N1199" s="3">
        <f>tblTransactions[[#This Row],[Profit]]/tblTransactions[[#This Row],[Total_Amount]]</f>
        <v>0.27811690916384058</v>
      </c>
      <c r="O1199" t="str">
        <f>TEXT(tblTransactions[[#This Row],[Date]], "MMM-YYYY")</f>
        <v>Sep-2023</v>
      </c>
      <c r="P1199" t="str">
        <f>"Q"&amp;ROUNDUP(MONTH(tblTransactions[[#This Row],[Date]])/3,0)&amp;"-"&amp;YEAR(tblTransactions[[#This Row],[Date]])</f>
        <v>Q3-2023</v>
      </c>
      <c r="Q1199">
        <f>YEAR(tblTransactions[[#This Row],[Date]])</f>
        <v>2023</v>
      </c>
      <c r="R1199" t="str">
        <f>TEXT(tblTransactions[[#This Row],[Date]],"DDDD")</f>
        <v>Monday</v>
      </c>
      <c r="S1199">
        <f>MONTH(tblTransactions[[#This Row],[Date]])</f>
        <v>9</v>
      </c>
      <c r="T1199" t="str">
        <f>VLOOKUP(E1199, Products!$A:$B,2,0)</f>
        <v>Cameras Ele-4</v>
      </c>
      <c r="U1199" t="str">
        <f>VLOOKUP(E1199,Products!$A:$C,3,0)</f>
        <v>Electronics</v>
      </c>
      <c r="V1199" t="str">
        <f>VLOOKUP(E1199,Products!$A:$D,4,0)</f>
        <v>Cameras</v>
      </c>
      <c r="W1199" t="str">
        <f>VLOOKUP(D1199,Customers!$A:$C,3,0)</f>
        <v>Enterprise</v>
      </c>
      <c r="X1199" t="str">
        <f>VLOOKUP(C1199,Sales_Representatives!$A:$B,2,0)</f>
        <v>Thomas Martinez</v>
      </c>
    </row>
    <row r="1200" spans="1:24" x14ac:dyDescent="0.3">
      <c r="A1200" t="s">
        <v>1718</v>
      </c>
      <c r="B1200" t="s">
        <v>1711</v>
      </c>
      <c r="C1200" t="s">
        <v>13</v>
      </c>
      <c r="D1200" t="s">
        <v>1719</v>
      </c>
      <c r="E1200" t="s">
        <v>290</v>
      </c>
      <c r="F1200">
        <v>11</v>
      </c>
      <c r="G1200">
        <v>729.32</v>
      </c>
      <c r="H1200">
        <v>0.11</v>
      </c>
      <c r="I1200" s="4">
        <v>7140.04</v>
      </c>
      <c r="J1200" t="s">
        <v>16</v>
      </c>
      <c r="K1200" t="s">
        <v>48</v>
      </c>
      <c r="L1200" s="4">
        <f>VLOOKUP(tblTransactions[[#This Row],[Product_ID]],tblProducts[],5,FALSE)</f>
        <v>482.7</v>
      </c>
      <c r="M1200" s="4">
        <f>tblTransactions[[#This Row],[Total_Amount]]-(tblTransactions[[#This Row],[Cost_Prices]]*tblTransactions[[#This Row],[Quantity]]*(1-tblTransactions[[#This Row],[Discount]]))</f>
        <v>2414.4070000000002</v>
      </c>
      <c r="N1200" s="3">
        <f>tblTransactions[[#This Row],[Profit]]/tblTransactions[[#This Row],[Total_Amount]]</f>
        <v>0.33815034649665832</v>
      </c>
      <c r="O1200" t="str">
        <f>TEXT(tblTransactions[[#This Row],[Date]], "MMM-YYYY")</f>
        <v>Sep-2023</v>
      </c>
      <c r="P1200" t="str">
        <f>"Q"&amp;ROUNDUP(MONTH(tblTransactions[[#This Row],[Date]])/3,0)&amp;"-"&amp;YEAR(tblTransactions[[#This Row],[Date]])</f>
        <v>Q3-2023</v>
      </c>
      <c r="Q1200">
        <f>YEAR(tblTransactions[[#This Row],[Date]])</f>
        <v>2023</v>
      </c>
      <c r="R1200" t="str">
        <f>TEXT(tblTransactions[[#This Row],[Date]],"DDDD")</f>
        <v>Monday</v>
      </c>
      <c r="S1200">
        <f>MONTH(tblTransactions[[#This Row],[Date]])</f>
        <v>9</v>
      </c>
      <c r="T1200" t="str">
        <f>VLOOKUP(E1200, Products!$A:$B,2,0)</f>
        <v>Tables Fur-1</v>
      </c>
      <c r="U1200" t="str">
        <f>VLOOKUP(E1200,Products!$A:$C,3,0)</f>
        <v>Furniture</v>
      </c>
      <c r="V1200" t="str">
        <f>VLOOKUP(E1200,Products!$A:$D,4,0)</f>
        <v>Tables</v>
      </c>
      <c r="W1200" t="str">
        <f>VLOOKUP(D1200,Customers!$A:$C,3,0)</f>
        <v>B2B</v>
      </c>
      <c r="X1200" t="str">
        <f>VLOOKUP(C1200,Sales_Representatives!$A:$B,2,0)</f>
        <v>Jennifer Rodriguez</v>
      </c>
    </row>
    <row r="1201" spans="1:24" x14ac:dyDescent="0.3">
      <c r="A1201" t="s">
        <v>1720</v>
      </c>
      <c r="B1201" t="s">
        <v>1711</v>
      </c>
      <c r="C1201" t="s">
        <v>82</v>
      </c>
      <c r="D1201" t="s">
        <v>154</v>
      </c>
      <c r="E1201" t="s">
        <v>25</v>
      </c>
      <c r="F1201">
        <v>16</v>
      </c>
      <c r="G1201">
        <v>1467.49</v>
      </c>
      <c r="H1201">
        <v>0.11</v>
      </c>
      <c r="I1201" s="4">
        <v>20897.060000000001</v>
      </c>
      <c r="J1201" t="s">
        <v>34</v>
      </c>
      <c r="K1201" t="s">
        <v>22</v>
      </c>
      <c r="L1201" s="4">
        <f>VLOOKUP(tblTransactions[[#This Row],[Product_ID]],tblProducts[],5,FALSE)</f>
        <v>757.65</v>
      </c>
      <c r="M1201" s="4">
        <f>tblTransactions[[#This Row],[Total_Amount]]-(tblTransactions[[#This Row],[Cost_Prices]]*tblTransactions[[#This Row],[Quantity]]*(1-tblTransactions[[#This Row],[Discount]]))</f>
        <v>10108.124000000002</v>
      </c>
      <c r="N1201" s="3">
        <f>tblTransactions[[#This Row],[Profit]]/tblTransactions[[#This Row],[Total_Amount]]</f>
        <v>0.48371034011482961</v>
      </c>
      <c r="O1201" t="str">
        <f>TEXT(tblTransactions[[#This Row],[Date]], "MMM-YYYY")</f>
        <v>Sep-2023</v>
      </c>
      <c r="P1201" t="str">
        <f>"Q"&amp;ROUNDUP(MONTH(tblTransactions[[#This Row],[Date]])/3,0)&amp;"-"&amp;YEAR(tblTransactions[[#This Row],[Date]])</f>
        <v>Q3-2023</v>
      </c>
      <c r="Q1201">
        <f>YEAR(tblTransactions[[#This Row],[Date]])</f>
        <v>2023</v>
      </c>
      <c r="R1201" t="str">
        <f>TEXT(tblTransactions[[#This Row],[Date]],"DDDD")</f>
        <v>Monday</v>
      </c>
      <c r="S1201">
        <f>MONTH(tblTransactions[[#This Row],[Date]])</f>
        <v>9</v>
      </c>
      <c r="T1201" t="str">
        <f>VLOOKUP(E1201, Products!$A:$B,2,0)</f>
        <v>Tables Fur-3</v>
      </c>
      <c r="U1201" t="str">
        <f>VLOOKUP(E1201,Products!$A:$C,3,0)</f>
        <v>Furniture</v>
      </c>
      <c r="V1201" t="str">
        <f>VLOOKUP(E1201,Products!$A:$D,4,0)</f>
        <v>Tables</v>
      </c>
      <c r="W1201" t="str">
        <f>VLOOKUP(D1201,Customers!$A:$C,3,0)</f>
        <v>B2B</v>
      </c>
      <c r="X1201" t="str">
        <f>VLOOKUP(C1201,Sales_Representatives!$A:$B,2,0)</f>
        <v>John Brown</v>
      </c>
    </row>
    <row r="1202" spans="1:24" x14ac:dyDescent="0.3">
      <c r="A1202" t="s">
        <v>1721</v>
      </c>
      <c r="B1202" t="s">
        <v>1711</v>
      </c>
      <c r="C1202" t="s">
        <v>131</v>
      </c>
      <c r="D1202" t="s">
        <v>1722</v>
      </c>
      <c r="E1202" t="s">
        <v>481</v>
      </c>
      <c r="F1202">
        <v>7</v>
      </c>
      <c r="G1202">
        <v>263.58999999999997</v>
      </c>
      <c r="H1202">
        <v>0.13</v>
      </c>
      <c r="I1202" s="4">
        <v>1605.26</v>
      </c>
      <c r="J1202" t="s">
        <v>44</v>
      </c>
      <c r="K1202" t="s">
        <v>39</v>
      </c>
      <c r="L1202" s="4">
        <f>VLOOKUP(tblTransactions[[#This Row],[Product_ID]],tblProducts[],5,FALSE)</f>
        <v>133.65</v>
      </c>
      <c r="M1202" s="4">
        <f>tblTransactions[[#This Row],[Total_Amount]]-(tblTransactions[[#This Row],[Cost_Prices]]*tblTransactions[[#This Row],[Quantity]]*(1-tblTransactions[[#This Row],[Discount]]))</f>
        <v>791.33149999999989</v>
      </c>
      <c r="N1202" s="3">
        <f>tblTransactions[[#This Row],[Profit]]/tblTransactions[[#This Row],[Total_Amount]]</f>
        <v>0.49296157631785498</v>
      </c>
      <c r="O1202" t="str">
        <f>TEXT(tblTransactions[[#This Row],[Date]], "MMM-YYYY")</f>
        <v>Sep-2023</v>
      </c>
      <c r="P1202" t="str">
        <f>"Q"&amp;ROUNDUP(MONTH(tblTransactions[[#This Row],[Date]])/3,0)&amp;"-"&amp;YEAR(tblTransactions[[#This Row],[Date]])</f>
        <v>Q3-2023</v>
      </c>
      <c r="Q1202">
        <f>YEAR(tblTransactions[[#This Row],[Date]])</f>
        <v>2023</v>
      </c>
      <c r="R1202" t="str">
        <f>TEXT(tblTransactions[[#This Row],[Date]],"DDDD")</f>
        <v>Monday</v>
      </c>
      <c r="S1202">
        <f>MONTH(tblTransactions[[#This Row],[Date]])</f>
        <v>9</v>
      </c>
      <c r="T1202" t="str">
        <f>VLOOKUP(E1202, Products!$A:$B,2,0)</f>
        <v>Folders Off-1</v>
      </c>
      <c r="U1202" t="str">
        <f>VLOOKUP(E1202,Products!$A:$C,3,0)</f>
        <v>Office Supplies</v>
      </c>
      <c r="V1202" t="str">
        <f>VLOOKUP(E1202,Products!$A:$D,4,0)</f>
        <v>Folders</v>
      </c>
      <c r="W1202" t="str">
        <f>VLOOKUP(D1202,Customers!$A:$C,3,0)</f>
        <v>B2C</v>
      </c>
      <c r="X1202" t="str">
        <f>VLOOKUP(C1202,Sales_Representatives!$A:$B,2,0)</f>
        <v>Michael Davis</v>
      </c>
    </row>
    <row r="1203" spans="1:24" x14ac:dyDescent="0.3">
      <c r="A1203" t="s">
        <v>1723</v>
      </c>
      <c r="B1203" t="s">
        <v>1724</v>
      </c>
      <c r="C1203" t="s">
        <v>63</v>
      </c>
      <c r="D1203" t="s">
        <v>1725</v>
      </c>
      <c r="E1203" t="s">
        <v>99</v>
      </c>
      <c r="F1203">
        <v>7</v>
      </c>
      <c r="G1203">
        <v>325.14</v>
      </c>
      <c r="H1203">
        <v>0.12</v>
      </c>
      <c r="I1203" s="4">
        <v>2002.86</v>
      </c>
      <c r="J1203" t="s">
        <v>21</v>
      </c>
      <c r="K1203" t="s">
        <v>22</v>
      </c>
      <c r="L1203" s="4">
        <f>VLOOKUP(tblTransactions[[#This Row],[Product_ID]],tblProducts[],5,FALSE)</f>
        <v>209.04</v>
      </c>
      <c r="M1203" s="4">
        <f>tblTransactions[[#This Row],[Total_Amount]]-(tblTransactions[[#This Row],[Cost_Prices]]*tblTransactions[[#This Row],[Quantity]]*(1-tblTransactions[[#This Row],[Discount]]))</f>
        <v>715.17359999999985</v>
      </c>
      <c r="N1203" s="3">
        <f>tblTransactions[[#This Row],[Profit]]/tblTransactions[[#This Row],[Total_Amount]]</f>
        <v>0.35707618106108258</v>
      </c>
      <c r="O1203" t="str">
        <f>TEXT(tblTransactions[[#This Row],[Date]], "MMM-YYYY")</f>
        <v>Sep-2023</v>
      </c>
      <c r="P1203" t="str">
        <f>"Q"&amp;ROUNDUP(MONTH(tblTransactions[[#This Row],[Date]])/3,0)&amp;"-"&amp;YEAR(tblTransactions[[#This Row],[Date]])</f>
        <v>Q3-2023</v>
      </c>
      <c r="Q1203">
        <f>YEAR(tblTransactions[[#This Row],[Date]])</f>
        <v>2023</v>
      </c>
      <c r="R1203" t="str">
        <f>TEXT(tblTransactions[[#This Row],[Date]],"DDDD")</f>
        <v>Tuesday</v>
      </c>
      <c r="S1203">
        <f>MONTH(tblTransactions[[#This Row],[Date]])</f>
        <v>9</v>
      </c>
      <c r="T1203" t="str">
        <f>VLOOKUP(E1203, Products!$A:$B,2,0)</f>
        <v>Monitors Tec-1</v>
      </c>
      <c r="U1203" t="str">
        <f>VLOOKUP(E1203,Products!$A:$C,3,0)</f>
        <v>Technology</v>
      </c>
      <c r="V1203" t="str">
        <f>VLOOKUP(E1203,Products!$A:$D,4,0)</f>
        <v>Monitors</v>
      </c>
      <c r="W1203" t="str">
        <f>VLOOKUP(D1203,Customers!$A:$C,3,0)</f>
        <v>B2C</v>
      </c>
      <c r="X1203" t="str">
        <f>VLOOKUP(C1203,Sales_Representatives!$A:$B,2,0)</f>
        <v>Richard Wilson</v>
      </c>
    </row>
    <row r="1204" spans="1:24" x14ac:dyDescent="0.3">
      <c r="A1204" t="s">
        <v>1726</v>
      </c>
      <c r="B1204" t="s">
        <v>1727</v>
      </c>
      <c r="C1204" t="s">
        <v>75</v>
      </c>
      <c r="D1204" t="s">
        <v>1728</v>
      </c>
      <c r="E1204" t="s">
        <v>191</v>
      </c>
      <c r="F1204">
        <v>18</v>
      </c>
      <c r="G1204">
        <v>1012.75</v>
      </c>
      <c r="H1204">
        <v>0.1</v>
      </c>
      <c r="I1204" s="4">
        <v>16406.55</v>
      </c>
      <c r="J1204" t="s">
        <v>44</v>
      </c>
      <c r="K1204" t="s">
        <v>22</v>
      </c>
      <c r="L1204" s="4">
        <f>VLOOKUP(tblTransactions[[#This Row],[Product_ID]],tblProducts[],5,FALSE)</f>
        <v>518.53</v>
      </c>
      <c r="M1204" s="4">
        <f>tblTransactions[[#This Row],[Total_Amount]]-(tblTransactions[[#This Row],[Cost_Prices]]*tblTransactions[[#This Row],[Quantity]]*(1-tblTransactions[[#This Row],[Discount]]))</f>
        <v>8006.3639999999996</v>
      </c>
      <c r="N1204" s="3">
        <f>tblTransactions[[#This Row],[Profit]]/tblTransactions[[#This Row],[Total_Amount]]</f>
        <v>0.48799802517896818</v>
      </c>
      <c r="O1204" t="str">
        <f>TEXT(tblTransactions[[#This Row],[Date]], "MMM-YYYY")</f>
        <v>Sep-2023</v>
      </c>
      <c r="P1204" t="str">
        <f>"Q"&amp;ROUNDUP(MONTH(tblTransactions[[#This Row],[Date]])/3,0)&amp;"-"&amp;YEAR(tblTransactions[[#This Row],[Date]])</f>
        <v>Q3-2023</v>
      </c>
      <c r="Q1204">
        <f>YEAR(tblTransactions[[#This Row],[Date]])</f>
        <v>2023</v>
      </c>
      <c r="R1204" t="str">
        <f>TEXT(tblTransactions[[#This Row],[Date]],"DDDD")</f>
        <v>Wednesday</v>
      </c>
      <c r="S1204">
        <f>MONTH(tblTransactions[[#This Row],[Date]])</f>
        <v>9</v>
      </c>
      <c r="T1204" t="str">
        <f>VLOOKUP(E1204, Products!$A:$B,2,0)</f>
        <v>Tables Fur-4</v>
      </c>
      <c r="U1204" t="str">
        <f>VLOOKUP(E1204,Products!$A:$C,3,0)</f>
        <v>Furniture</v>
      </c>
      <c r="V1204" t="str">
        <f>VLOOKUP(E1204,Products!$A:$D,4,0)</f>
        <v>Tables</v>
      </c>
      <c r="W1204" t="str">
        <f>VLOOKUP(D1204,Customers!$A:$C,3,0)</f>
        <v>B2B</v>
      </c>
      <c r="X1204" t="str">
        <f>VLOOKUP(C1204,Sales_Representatives!$A:$B,2,0)</f>
        <v>Jessica Anderson</v>
      </c>
    </row>
    <row r="1205" spans="1:24" x14ac:dyDescent="0.3">
      <c r="A1205" t="s">
        <v>1729</v>
      </c>
      <c r="B1205" t="s">
        <v>1727</v>
      </c>
      <c r="C1205" t="s">
        <v>82</v>
      </c>
      <c r="D1205" t="s">
        <v>1730</v>
      </c>
      <c r="E1205" t="s">
        <v>25</v>
      </c>
      <c r="F1205">
        <v>11</v>
      </c>
      <c r="G1205">
        <v>1467.49</v>
      </c>
      <c r="H1205">
        <v>0.17</v>
      </c>
      <c r="I1205" s="4">
        <v>13398.18</v>
      </c>
      <c r="J1205" t="s">
        <v>34</v>
      </c>
      <c r="K1205" t="s">
        <v>17</v>
      </c>
      <c r="L1205" s="4">
        <f>VLOOKUP(tblTransactions[[#This Row],[Product_ID]],tblProducts[],5,FALSE)</f>
        <v>757.65</v>
      </c>
      <c r="M1205" s="4">
        <f>tblTransactions[[#This Row],[Total_Amount]]-(tblTransactions[[#This Row],[Cost_Prices]]*tblTransactions[[#This Row],[Quantity]]*(1-tblTransactions[[#This Row],[Discount]]))</f>
        <v>6480.835500000001</v>
      </c>
      <c r="N1205" s="3">
        <f>tblTransactions[[#This Row],[Profit]]/tblTransactions[[#This Row],[Total_Amount]]</f>
        <v>0.48371013824265691</v>
      </c>
      <c r="O1205" t="str">
        <f>TEXT(tblTransactions[[#This Row],[Date]], "MMM-YYYY")</f>
        <v>Sep-2023</v>
      </c>
      <c r="P1205" t="str">
        <f>"Q"&amp;ROUNDUP(MONTH(tblTransactions[[#This Row],[Date]])/3,0)&amp;"-"&amp;YEAR(tblTransactions[[#This Row],[Date]])</f>
        <v>Q3-2023</v>
      </c>
      <c r="Q1205">
        <f>YEAR(tblTransactions[[#This Row],[Date]])</f>
        <v>2023</v>
      </c>
      <c r="R1205" t="str">
        <f>TEXT(tblTransactions[[#This Row],[Date]],"DDDD")</f>
        <v>Wednesday</v>
      </c>
      <c r="S1205">
        <f>MONTH(tblTransactions[[#This Row],[Date]])</f>
        <v>9</v>
      </c>
      <c r="T1205" t="str">
        <f>VLOOKUP(E1205, Products!$A:$B,2,0)</f>
        <v>Tables Fur-3</v>
      </c>
      <c r="U1205" t="str">
        <f>VLOOKUP(E1205,Products!$A:$C,3,0)</f>
        <v>Furniture</v>
      </c>
      <c r="V1205" t="str">
        <f>VLOOKUP(E1205,Products!$A:$D,4,0)</f>
        <v>Tables</v>
      </c>
      <c r="W1205" t="str">
        <f>VLOOKUP(D1205,Customers!$A:$C,3,0)</f>
        <v>B2B</v>
      </c>
      <c r="X1205" t="str">
        <f>VLOOKUP(C1205,Sales_Representatives!$A:$B,2,0)</f>
        <v>John Brown</v>
      </c>
    </row>
    <row r="1206" spans="1:24" x14ac:dyDescent="0.3">
      <c r="A1206" t="s">
        <v>1731</v>
      </c>
      <c r="B1206" t="s">
        <v>1727</v>
      </c>
      <c r="C1206" t="s">
        <v>82</v>
      </c>
      <c r="D1206" t="s">
        <v>1608</v>
      </c>
      <c r="E1206" t="s">
        <v>479</v>
      </c>
      <c r="F1206">
        <v>3</v>
      </c>
      <c r="G1206">
        <v>239.6</v>
      </c>
      <c r="H1206">
        <v>0.02</v>
      </c>
      <c r="I1206" s="4">
        <v>704.42</v>
      </c>
      <c r="J1206" t="s">
        <v>34</v>
      </c>
      <c r="K1206" t="s">
        <v>48</v>
      </c>
      <c r="L1206" s="4">
        <f>VLOOKUP(tblTransactions[[#This Row],[Product_ID]],tblProducts[],5,FALSE)</f>
        <v>107.49</v>
      </c>
      <c r="M1206" s="4">
        <f>tblTransactions[[#This Row],[Total_Amount]]-(tblTransactions[[#This Row],[Cost_Prices]]*tblTransactions[[#This Row],[Quantity]]*(1-tblTransactions[[#This Row],[Discount]]))</f>
        <v>388.39940000000001</v>
      </c>
      <c r="N1206" s="3">
        <f>tblTransactions[[#This Row],[Profit]]/tblTransactions[[#This Row],[Total_Amount]]</f>
        <v>0.55137474801964748</v>
      </c>
      <c r="O1206" t="str">
        <f>TEXT(tblTransactions[[#This Row],[Date]], "MMM-YYYY")</f>
        <v>Sep-2023</v>
      </c>
      <c r="P1206" t="str">
        <f>"Q"&amp;ROUNDUP(MONTH(tblTransactions[[#This Row],[Date]])/3,0)&amp;"-"&amp;YEAR(tblTransactions[[#This Row],[Date]])</f>
        <v>Q3-2023</v>
      </c>
      <c r="Q1206">
        <f>YEAR(tblTransactions[[#This Row],[Date]])</f>
        <v>2023</v>
      </c>
      <c r="R1206" t="str">
        <f>TEXT(tblTransactions[[#This Row],[Date]],"DDDD")</f>
        <v>Wednesday</v>
      </c>
      <c r="S1206">
        <f>MONTH(tblTransactions[[#This Row],[Date]])</f>
        <v>9</v>
      </c>
      <c r="T1206" t="str">
        <f>VLOOKUP(E1206, Products!$A:$B,2,0)</f>
        <v>Pens Off-2</v>
      </c>
      <c r="U1206" t="str">
        <f>VLOOKUP(E1206,Products!$A:$C,3,0)</f>
        <v>Office Supplies</v>
      </c>
      <c r="V1206" t="str">
        <f>VLOOKUP(E1206,Products!$A:$D,4,0)</f>
        <v>Pens</v>
      </c>
      <c r="W1206" t="str">
        <f>VLOOKUP(D1206,Customers!$A:$C,3,0)</f>
        <v>B2C</v>
      </c>
      <c r="X1206" t="str">
        <f>VLOOKUP(C1206,Sales_Representatives!$A:$B,2,0)</f>
        <v>John Brown</v>
      </c>
    </row>
    <row r="1207" spans="1:24" x14ac:dyDescent="0.3">
      <c r="A1207" t="s">
        <v>1732</v>
      </c>
      <c r="B1207" t="s">
        <v>1727</v>
      </c>
      <c r="C1207" t="s">
        <v>13</v>
      </c>
      <c r="D1207" t="s">
        <v>115</v>
      </c>
      <c r="E1207" t="s">
        <v>79</v>
      </c>
      <c r="F1207">
        <v>6</v>
      </c>
      <c r="G1207">
        <v>1452.36</v>
      </c>
      <c r="H1207">
        <v>0.05</v>
      </c>
      <c r="I1207" s="4">
        <v>8278.4500000000007</v>
      </c>
      <c r="J1207" t="s">
        <v>16</v>
      </c>
      <c r="K1207" t="s">
        <v>17</v>
      </c>
      <c r="L1207" s="4">
        <f>VLOOKUP(tblTransactions[[#This Row],[Product_ID]],tblProducts[],5,FALSE)</f>
        <v>778.71</v>
      </c>
      <c r="M1207" s="4">
        <f>tblTransactions[[#This Row],[Total_Amount]]-(tblTransactions[[#This Row],[Cost_Prices]]*tblTransactions[[#This Row],[Quantity]]*(1-tblTransactions[[#This Row],[Discount]]))</f>
        <v>3839.8030000000008</v>
      </c>
      <c r="N1207" s="3">
        <f>tblTransactions[[#This Row],[Profit]]/tblTransactions[[#This Row],[Total_Amount]]</f>
        <v>0.46383115196685376</v>
      </c>
      <c r="O1207" t="str">
        <f>TEXT(tblTransactions[[#This Row],[Date]], "MMM-YYYY")</f>
        <v>Sep-2023</v>
      </c>
      <c r="P1207" t="str">
        <f>"Q"&amp;ROUNDUP(MONTH(tblTransactions[[#This Row],[Date]])/3,0)&amp;"-"&amp;YEAR(tblTransactions[[#This Row],[Date]])</f>
        <v>Q3-2023</v>
      </c>
      <c r="Q1207">
        <f>YEAR(tblTransactions[[#This Row],[Date]])</f>
        <v>2023</v>
      </c>
      <c r="R1207" t="str">
        <f>TEXT(tblTransactions[[#This Row],[Date]],"DDDD")</f>
        <v>Wednesday</v>
      </c>
      <c r="S1207">
        <f>MONTH(tblTransactions[[#This Row],[Date]])</f>
        <v>9</v>
      </c>
      <c r="T1207" t="str">
        <f>VLOOKUP(E1207, Products!$A:$B,2,0)</f>
        <v>Tables Fur-2</v>
      </c>
      <c r="U1207" t="str">
        <f>VLOOKUP(E1207,Products!$A:$C,3,0)</f>
        <v>Furniture</v>
      </c>
      <c r="V1207" t="str">
        <f>VLOOKUP(E1207,Products!$A:$D,4,0)</f>
        <v>Tables</v>
      </c>
      <c r="W1207" t="str">
        <f>VLOOKUP(D1207,Customers!$A:$C,3,0)</f>
        <v>B2C</v>
      </c>
      <c r="X1207" t="str">
        <f>VLOOKUP(C1207,Sales_Representatives!$A:$B,2,0)</f>
        <v>Jennifer Rodriguez</v>
      </c>
    </row>
    <row r="1208" spans="1:24" x14ac:dyDescent="0.3">
      <c r="A1208" t="s">
        <v>1733</v>
      </c>
      <c r="B1208" t="s">
        <v>1727</v>
      </c>
      <c r="C1208" t="s">
        <v>13</v>
      </c>
      <c r="D1208" t="s">
        <v>1478</v>
      </c>
      <c r="E1208" t="s">
        <v>53</v>
      </c>
      <c r="F1208">
        <v>6</v>
      </c>
      <c r="G1208">
        <v>2069.2199999999998</v>
      </c>
      <c r="H1208">
        <v>0.09</v>
      </c>
      <c r="I1208" s="4">
        <v>11297.94</v>
      </c>
      <c r="J1208" t="s">
        <v>16</v>
      </c>
      <c r="K1208" t="s">
        <v>48</v>
      </c>
      <c r="L1208" s="4">
        <f>VLOOKUP(tblTransactions[[#This Row],[Product_ID]],tblProducts[],5,FALSE)</f>
        <v>1451.18</v>
      </c>
      <c r="M1208" s="4">
        <f>tblTransactions[[#This Row],[Total_Amount]]-(tblTransactions[[#This Row],[Cost_Prices]]*tblTransactions[[#This Row],[Quantity]]*(1-tblTransactions[[#This Row],[Discount]]))</f>
        <v>3374.4972000000007</v>
      </c>
      <c r="N1208" s="3">
        <f>tblTransactions[[#This Row],[Profit]]/tblTransactions[[#This Row],[Total_Amount]]</f>
        <v>0.29868252088433828</v>
      </c>
      <c r="O1208" t="str">
        <f>TEXT(tblTransactions[[#This Row],[Date]], "MMM-YYYY")</f>
        <v>Sep-2023</v>
      </c>
      <c r="P1208" t="str">
        <f>"Q"&amp;ROUNDUP(MONTH(tblTransactions[[#This Row],[Date]])/3,0)&amp;"-"&amp;YEAR(tblTransactions[[#This Row],[Date]])</f>
        <v>Q3-2023</v>
      </c>
      <c r="Q1208">
        <f>YEAR(tblTransactions[[#This Row],[Date]])</f>
        <v>2023</v>
      </c>
      <c r="R1208" t="str">
        <f>TEXT(tblTransactions[[#This Row],[Date]],"DDDD")</f>
        <v>Wednesday</v>
      </c>
      <c r="S1208">
        <f>MONTH(tblTransactions[[#This Row],[Date]])</f>
        <v>9</v>
      </c>
      <c r="T1208" t="str">
        <f>VLOOKUP(E1208, Products!$A:$B,2,0)</f>
        <v>Printers Tec-3</v>
      </c>
      <c r="U1208" t="str">
        <f>VLOOKUP(E1208,Products!$A:$C,3,0)</f>
        <v>Technology</v>
      </c>
      <c r="V1208" t="str">
        <f>VLOOKUP(E1208,Products!$A:$D,4,0)</f>
        <v>Printers</v>
      </c>
      <c r="W1208" t="str">
        <f>VLOOKUP(D1208,Customers!$A:$C,3,0)</f>
        <v>Small Business</v>
      </c>
      <c r="X1208" t="str">
        <f>VLOOKUP(C1208,Sales_Representatives!$A:$B,2,0)</f>
        <v>Jennifer Rodriguez</v>
      </c>
    </row>
    <row r="1209" spans="1:24" x14ac:dyDescent="0.3">
      <c r="A1209" t="s">
        <v>1734</v>
      </c>
      <c r="B1209" t="s">
        <v>1735</v>
      </c>
      <c r="C1209" t="s">
        <v>13</v>
      </c>
      <c r="D1209" t="s">
        <v>1563</v>
      </c>
      <c r="E1209" t="s">
        <v>339</v>
      </c>
      <c r="F1209">
        <v>1</v>
      </c>
      <c r="G1209">
        <v>1100.8800000000001</v>
      </c>
      <c r="H1209">
        <v>0.08</v>
      </c>
      <c r="I1209" s="4">
        <v>1012.81</v>
      </c>
      <c r="J1209" t="s">
        <v>16</v>
      </c>
      <c r="K1209" t="s">
        <v>48</v>
      </c>
      <c r="L1209" s="4">
        <f>VLOOKUP(tblTransactions[[#This Row],[Product_ID]],tblProducts[],5,FALSE)</f>
        <v>761.53</v>
      </c>
      <c r="M1209" s="4">
        <f>tblTransactions[[#This Row],[Total_Amount]]-(tblTransactions[[#This Row],[Cost_Prices]]*tblTransactions[[#This Row],[Quantity]]*(1-tblTransactions[[#This Row],[Discount]]))</f>
        <v>312.2023999999999</v>
      </c>
      <c r="N1209" s="3">
        <f>tblTransactions[[#This Row],[Profit]]/tblTransactions[[#This Row],[Total_Amount]]</f>
        <v>0.30825367048113655</v>
      </c>
      <c r="O1209" t="str">
        <f>TEXT(tblTransactions[[#This Row],[Date]], "MMM-YYYY")</f>
        <v>Sep-2023</v>
      </c>
      <c r="P1209" t="str">
        <f>"Q"&amp;ROUNDUP(MONTH(tblTransactions[[#This Row],[Date]])/3,0)&amp;"-"&amp;YEAR(tblTransactions[[#This Row],[Date]])</f>
        <v>Q3-2023</v>
      </c>
      <c r="Q1209">
        <f>YEAR(tblTransactions[[#This Row],[Date]])</f>
        <v>2023</v>
      </c>
      <c r="R1209" t="str">
        <f>TEXT(tblTransactions[[#This Row],[Date]],"DDDD")</f>
        <v>Thursday</v>
      </c>
      <c r="S1209">
        <f>MONTH(tblTransactions[[#This Row],[Date]])</f>
        <v>9</v>
      </c>
      <c r="T1209" t="str">
        <f>VLOOKUP(E1209, Products!$A:$B,2,0)</f>
        <v>Phones Ele-2</v>
      </c>
      <c r="U1209" t="str">
        <f>VLOOKUP(E1209,Products!$A:$C,3,0)</f>
        <v>Electronics</v>
      </c>
      <c r="V1209" t="str">
        <f>VLOOKUP(E1209,Products!$A:$D,4,0)</f>
        <v>Phones</v>
      </c>
      <c r="W1209" t="str">
        <f>VLOOKUP(D1209,Customers!$A:$C,3,0)</f>
        <v>B2C</v>
      </c>
      <c r="X1209" t="str">
        <f>VLOOKUP(C1209,Sales_Representatives!$A:$B,2,0)</f>
        <v>Jennifer Rodriguez</v>
      </c>
    </row>
    <row r="1210" spans="1:24" x14ac:dyDescent="0.3">
      <c r="A1210" t="s">
        <v>1736</v>
      </c>
      <c r="B1210" t="s">
        <v>1735</v>
      </c>
      <c r="C1210" t="s">
        <v>13</v>
      </c>
      <c r="D1210" t="s">
        <v>1737</v>
      </c>
      <c r="E1210" t="s">
        <v>99</v>
      </c>
      <c r="F1210">
        <v>11</v>
      </c>
      <c r="G1210">
        <v>325.14</v>
      </c>
      <c r="H1210">
        <v>0.18</v>
      </c>
      <c r="I1210" s="4">
        <v>2932.76</v>
      </c>
      <c r="J1210" t="s">
        <v>16</v>
      </c>
      <c r="K1210" t="s">
        <v>39</v>
      </c>
      <c r="L1210" s="4">
        <f>VLOOKUP(tblTransactions[[#This Row],[Product_ID]],tblProducts[],5,FALSE)</f>
        <v>209.04</v>
      </c>
      <c r="M1210" s="4">
        <f>tblTransactions[[#This Row],[Total_Amount]]-(tblTransactions[[#This Row],[Cost_Prices]]*tblTransactions[[#This Row],[Quantity]]*(1-tblTransactions[[#This Row],[Discount]]))</f>
        <v>1047.2192</v>
      </c>
      <c r="N1210" s="3">
        <f>tblTransactions[[#This Row],[Profit]]/tblTransactions[[#This Row],[Total_Amount]]</f>
        <v>0.35707633764781294</v>
      </c>
      <c r="O1210" t="str">
        <f>TEXT(tblTransactions[[#This Row],[Date]], "MMM-YYYY")</f>
        <v>Sep-2023</v>
      </c>
      <c r="P1210" t="str">
        <f>"Q"&amp;ROUNDUP(MONTH(tblTransactions[[#This Row],[Date]])/3,0)&amp;"-"&amp;YEAR(tblTransactions[[#This Row],[Date]])</f>
        <v>Q3-2023</v>
      </c>
      <c r="Q1210">
        <f>YEAR(tblTransactions[[#This Row],[Date]])</f>
        <v>2023</v>
      </c>
      <c r="R1210" t="str">
        <f>TEXT(tblTransactions[[#This Row],[Date]],"DDDD")</f>
        <v>Thursday</v>
      </c>
      <c r="S1210">
        <f>MONTH(tblTransactions[[#This Row],[Date]])</f>
        <v>9</v>
      </c>
      <c r="T1210" t="str">
        <f>VLOOKUP(E1210, Products!$A:$B,2,0)</f>
        <v>Monitors Tec-1</v>
      </c>
      <c r="U1210" t="str">
        <f>VLOOKUP(E1210,Products!$A:$C,3,0)</f>
        <v>Technology</v>
      </c>
      <c r="V1210" t="str">
        <f>VLOOKUP(E1210,Products!$A:$D,4,0)</f>
        <v>Monitors</v>
      </c>
      <c r="W1210" t="str">
        <f>VLOOKUP(D1210,Customers!$A:$C,3,0)</f>
        <v>B2B</v>
      </c>
      <c r="X1210" t="str">
        <f>VLOOKUP(C1210,Sales_Representatives!$A:$B,2,0)</f>
        <v>Jennifer Rodriguez</v>
      </c>
    </row>
    <row r="1211" spans="1:24" x14ac:dyDescent="0.3">
      <c r="A1211" t="s">
        <v>1738</v>
      </c>
      <c r="B1211" t="s">
        <v>1735</v>
      </c>
      <c r="C1211" t="s">
        <v>31</v>
      </c>
      <c r="D1211" t="s">
        <v>1739</v>
      </c>
      <c r="E1211" t="s">
        <v>206</v>
      </c>
      <c r="F1211">
        <v>1</v>
      </c>
      <c r="G1211">
        <v>292.51</v>
      </c>
      <c r="H1211">
        <v>0.02</v>
      </c>
      <c r="I1211" s="4">
        <v>286.66000000000003</v>
      </c>
      <c r="J1211" t="s">
        <v>34</v>
      </c>
      <c r="K1211" t="s">
        <v>17</v>
      </c>
      <c r="L1211" s="4">
        <f>VLOOKUP(tblTransactions[[#This Row],[Product_ID]],tblProducts[],5,FALSE)</f>
        <v>122.08</v>
      </c>
      <c r="M1211" s="4">
        <f>tblTransactions[[#This Row],[Total_Amount]]-(tblTransactions[[#This Row],[Cost_Prices]]*tblTransactions[[#This Row],[Quantity]]*(1-tblTransactions[[#This Row],[Discount]]))</f>
        <v>167.02160000000003</v>
      </c>
      <c r="N1211" s="3">
        <f>tblTransactions[[#This Row],[Profit]]/tblTransactions[[#This Row],[Total_Amount]]</f>
        <v>0.5826470383032164</v>
      </c>
      <c r="O1211" t="str">
        <f>TEXT(tblTransactions[[#This Row],[Date]], "MMM-YYYY")</f>
        <v>Sep-2023</v>
      </c>
      <c r="P1211" t="str">
        <f>"Q"&amp;ROUNDUP(MONTH(tblTransactions[[#This Row],[Date]])/3,0)&amp;"-"&amp;YEAR(tblTransactions[[#This Row],[Date]])</f>
        <v>Q3-2023</v>
      </c>
      <c r="Q1211">
        <f>YEAR(tblTransactions[[#This Row],[Date]])</f>
        <v>2023</v>
      </c>
      <c r="R1211" t="str">
        <f>TEXT(tblTransactions[[#This Row],[Date]],"DDDD")</f>
        <v>Thursday</v>
      </c>
      <c r="S1211">
        <f>MONTH(tblTransactions[[#This Row],[Date]])</f>
        <v>9</v>
      </c>
      <c r="T1211" t="str">
        <f>VLOOKUP(E1211, Products!$A:$B,2,0)</f>
        <v>Keyboards Acc-1</v>
      </c>
      <c r="U1211" t="str">
        <f>VLOOKUP(E1211,Products!$A:$C,3,0)</f>
        <v>Accessories</v>
      </c>
      <c r="V1211" t="str">
        <f>VLOOKUP(E1211,Products!$A:$D,4,0)</f>
        <v>Keyboards</v>
      </c>
      <c r="W1211" t="str">
        <f>VLOOKUP(D1211,Customers!$A:$C,3,0)</f>
        <v>B2C</v>
      </c>
      <c r="X1211" t="str">
        <f>VLOOKUP(C1211,Sales_Representatives!$A:$B,2,0)</f>
        <v>Thomas Martinez</v>
      </c>
    </row>
    <row r="1212" spans="1:24" x14ac:dyDescent="0.3">
      <c r="A1212" t="s">
        <v>1740</v>
      </c>
      <c r="B1212" t="s">
        <v>1735</v>
      </c>
      <c r="C1212" t="s">
        <v>131</v>
      </c>
      <c r="D1212" t="s">
        <v>1741</v>
      </c>
      <c r="E1212" t="s">
        <v>198</v>
      </c>
      <c r="F1212">
        <v>9</v>
      </c>
      <c r="G1212">
        <v>1802.96</v>
      </c>
      <c r="H1212">
        <v>0.09</v>
      </c>
      <c r="I1212" s="4">
        <v>14766.24</v>
      </c>
      <c r="J1212" t="s">
        <v>44</v>
      </c>
      <c r="K1212" t="s">
        <v>39</v>
      </c>
      <c r="L1212" s="4">
        <f>VLOOKUP(tblTransactions[[#This Row],[Product_ID]],tblProducts[],5,FALSE)</f>
        <v>1282.18</v>
      </c>
      <c r="M1212" s="4">
        <f>tblTransactions[[#This Row],[Total_Amount]]-(tblTransactions[[#This Row],[Cost_Prices]]*tblTransactions[[#This Row],[Quantity]]*(1-tblTransactions[[#This Row],[Discount]]))</f>
        <v>4265.1857999999993</v>
      </c>
      <c r="N1212" s="3">
        <f>tblTransactions[[#This Row],[Profit]]/tblTransactions[[#This Row],[Total_Amount]]</f>
        <v>0.28884711341546659</v>
      </c>
      <c r="O1212" t="str">
        <f>TEXT(tblTransactions[[#This Row],[Date]], "MMM-YYYY")</f>
        <v>Sep-2023</v>
      </c>
      <c r="P1212" t="str">
        <f>"Q"&amp;ROUNDUP(MONTH(tblTransactions[[#This Row],[Date]])/3,0)&amp;"-"&amp;YEAR(tblTransactions[[#This Row],[Date]])</f>
        <v>Q3-2023</v>
      </c>
      <c r="Q1212">
        <f>YEAR(tblTransactions[[#This Row],[Date]])</f>
        <v>2023</v>
      </c>
      <c r="R1212" t="str">
        <f>TEXT(tblTransactions[[#This Row],[Date]],"DDDD")</f>
        <v>Thursday</v>
      </c>
      <c r="S1212">
        <f>MONTH(tblTransactions[[#This Row],[Date]])</f>
        <v>9</v>
      </c>
      <c r="T1212" t="str">
        <f>VLOOKUP(E1212, Products!$A:$B,2,0)</f>
        <v>Tablets Ele-3</v>
      </c>
      <c r="U1212" t="str">
        <f>VLOOKUP(E1212,Products!$A:$C,3,0)</f>
        <v>Electronics</v>
      </c>
      <c r="V1212" t="str">
        <f>VLOOKUP(E1212,Products!$A:$D,4,0)</f>
        <v>Tablets</v>
      </c>
      <c r="W1212" t="str">
        <f>VLOOKUP(D1212,Customers!$A:$C,3,0)</f>
        <v>B2B</v>
      </c>
      <c r="X1212" t="str">
        <f>VLOOKUP(C1212,Sales_Representatives!$A:$B,2,0)</f>
        <v>Michael Davis</v>
      </c>
    </row>
    <row r="1213" spans="1:24" x14ac:dyDescent="0.3">
      <c r="A1213" t="s">
        <v>1742</v>
      </c>
      <c r="B1213" t="s">
        <v>1743</v>
      </c>
      <c r="C1213" t="s">
        <v>141</v>
      </c>
      <c r="D1213" t="s">
        <v>112</v>
      </c>
      <c r="E1213" t="s">
        <v>178</v>
      </c>
      <c r="F1213">
        <v>25</v>
      </c>
      <c r="G1213">
        <v>1623.35</v>
      </c>
      <c r="H1213">
        <v>0.23</v>
      </c>
      <c r="I1213" s="4">
        <v>31249.49</v>
      </c>
      <c r="J1213" t="s">
        <v>109</v>
      </c>
      <c r="K1213" t="s">
        <v>35</v>
      </c>
      <c r="L1213" s="4">
        <f>VLOOKUP(tblTransactions[[#This Row],[Product_ID]],tblProducts[],5,FALSE)</f>
        <v>981.45</v>
      </c>
      <c r="M1213" s="4">
        <f>tblTransactions[[#This Row],[Total_Amount]]-(tblTransactions[[#This Row],[Cost_Prices]]*tblTransactions[[#This Row],[Quantity]]*(1-tblTransactions[[#This Row],[Discount]]))</f>
        <v>12356.577499999999</v>
      </c>
      <c r="N1213" s="3">
        <f>tblTransactions[[#This Row],[Profit]]/tblTransactions[[#This Row],[Total_Amount]]</f>
        <v>0.39541693320434984</v>
      </c>
      <c r="O1213" t="str">
        <f>TEXT(tblTransactions[[#This Row],[Date]], "MMM-YYYY")</f>
        <v>Sep-2023</v>
      </c>
      <c r="P1213" t="str">
        <f>"Q"&amp;ROUNDUP(MONTH(tblTransactions[[#This Row],[Date]])/3,0)&amp;"-"&amp;YEAR(tblTransactions[[#This Row],[Date]])</f>
        <v>Q3-2023</v>
      </c>
      <c r="Q1213">
        <f>YEAR(tblTransactions[[#This Row],[Date]])</f>
        <v>2023</v>
      </c>
      <c r="R1213" t="str">
        <f>TEXT(tblTransactions[[#This Row],[Date]],"DDDD")</f>
        <v>Friday</v>
      </c>
      <c r="S1213">
        <f>MONTH(tblTransactions[[#This Row],[Date]])</f>
        <v>9</v>
      </c>
      <c r="T1213" t="str">
        <f>VLOOKUP(E1213, Products!$A:$B,2,0)</f>
        <v>Tablets Ele-1</v>
      </c>
      <c r="U1213" t="str">
        <f>VLOOKUP(E1213,Products!$A:$C,3,0)</f>
        <v>Electronics</v>
      </c>
      <c r="V1213" t="str">
        <f>VLOOKUP(E1213,Products!$A:$D,4,0)</f>
        <v>Tablets</v>
      </c>
      <c r="W1213" t="str">
        <f>VLOOKUP(D1213,Customers!$A:$C,3,0)</f>
        <v>Enterprise</v>
      </c>
      <c r="X1213" t="str">
        <f>VLOOKUP(C1213,Sales_Representatives!$A:$B,2,0)</f>
        <v>Richard Garcia</v>
      </c>
    </row>
    <row r="1214" spans="1:24" x14ac:dyDescent="0.3">
      <c r="A1214" t="s">
        <v>1744</v>
      </c>
      <c r="B1214" t="s">
        <v>1743</v>
      </c>
      <c r="C1214" t="s">
        <v>19</v>
      </c>
      <c r="D1214" t="s">
        <v>154</v>
      </c>
      <c r="E1214" t="s">
        <v>200</v>
      </c>
      <c r="F1214">
        <v>2</v>
      </c>
      <c r="G1214">
        <v>544.77</v>
      </c>
      <c r="H1214">
        <v>0.1</v>
      </c>
      <c r="I1214" s="4">
        <v>980.59</v>
      </c>
      <c r="J1214" t="s">
        <v>21</v>
      </c>
      <c r="K1214" t="s">
        <v>22</v>
      </c>
      <c r="L1214" s="4">
        <f>VLOOKUP(tblTransactions[[#This Row],[Product_ID]],tblProducts[],5,FALSE)</f>
        <v>318.2</v>
      </c>
      <c r="M1214" s="4">
        <f>tblTransactions[[#This Row],[Total_Amount]]-(tblTransactions[[#This Row],[Cost_Prices]]*tblTransactions[[#This Row],[Quantity]]*(1-tblTransactions[[#This Row],[Discount]]))</f>
        <v>407.83000000000004</v>
      </c>
      <c r="N1214" s="3">
        <f>tblTransactions[[#This Row],[Profit]]/tblTransactions[[#This Row],[Total_Amount]]</f>
        <v>0.41590267084102434</v>
      </c>
      <c r="O1214" t="str">
        <f>TEXT(tblTransactions[[#This Row],[Date]], "MMM-YYYY")</f>
        <v>Sep-2023</v>
      </c>
      <c r="P1214" t="str">
        <f>"Q"&amp;ROUNDUP(MONTH(tblTransactions[[#This Row],[Date]])/3,0)&amp;"-"&amp;YEAR(tblTransactions[[#This Row],[Date]])</f>
        <v>Q3-2023</v>
      </c>
      <c r="Q1214">
        <f>YEAR(tblTransactions[[#This Row],[Date]])</f>
        <v>2023</v>
      </c>
      <c r="R1214" t="str">
        <f>TEXT(tblTransactions[[#This Row],[Date]],"DDDD")</f>
        <v>Friday</v>
      </c>
      <c r="S1214">
        <f>MONTH(tblTransactions[[#This Row],[Date]])</f>
        <v>9</v>
      </c>
      <c r="T1214" t="str">
        <f>VLOOKUP(E1214, Products!$A:$B,2,0)</f>
        <v>Desks Fur-4</v>
      </c>
      <c r="U1214" t="str">
        <f>VLOOKUP(E1214,Products!$A:$C,3,0)</f>
        <v>Furniture</v>
      </c>
      <c r="V1214" t="str">
        <f>VLOOKUP(E1214,Products!$A:$D,4,0)</f>
        <v>Desks</v>
      </c>
      <c r="W1214" t="str">
        <f>VLOOKUP(D1214,Customers!$A:$C,3,0)</f>
        <v>B2B</v>
      </c>
      <c r="X1214" t="str">
        <f>VLOOKUP(C1214,Sales_Representatives!$A:$B,2,0)</f>
        <v>Robert Jones</v>
      </c>
    </row>
    <row r="1215" spans="1:24" x14ac:dyDescent="0.3">
      <c r="A1215" t="s">
        <v>1745</v>
      </c>
      <c r="B1215" t="s">
        <v>1743</v>
      </c>
      <c r="C1215" t="s">
        <v>141</v>
      </c>
      <c r="D1215" t="s">
        <v>1619</v>
      </c>
      <c r="E1215" t="s">
        <v>87</v>
      </c>
      <c r="F1215">
        <v>6</v>
      </c>
      <c r="G1215">
        <v>1047.8900000000001</v>
      </c>
      <c r="H1215">
        <v>0.14000000000000001</v>
      </c>
      <c r="I1215" s="4">
        <v>5407.11</v>
      </c>
      <c r="J1215" t="s">
        <v>109</v>
      </c>
      <c r="K1215" t="s">
        <v>22</v>
      </c>
      <c r="L1215" s="4">
        <f>VLOOKUP(tblTransactions[[#This Row],[Product_ID]],tblProducts[],5,FALSE)</f>
        <v>742.63</v>
      </c>
      <c r="M1215" s="4">
        <f>tblTransactions[[#This Row],[Total_Amount]]-(tblTransactions[[#This Row],[Cost_Prices]]*tblTransactions[[#This Row],[Quantity]]*(1-tblTransactions[[#This Row],[Discount]]))</f>
        <v>1575.1392000000001</v>
      </c>
      <c r="N1215" s="3">
        <f>tblTransactions[[#This Row],[Profit]]/tblTransactions[[#This Row],[Total_Amount]]</f>
        <v>0.2913088877422505</v>
      </c>
      <c r="O1215" t="str">
        <f>TEXT(tblTransactions[[#This Row],[Date]], "MMM-YYYY")</f>
        <v>Sep-2023</v>
      </c>
      <c r="P1215" t="str">
        <f>"Q"&amp;ROUNDUP(MONTH(tblTransactions[[#This Row],[Date]])/3,0)&amp;"-"&amp;YEAR(tblTransactions[[#This Row],[Date]])</f>
        <v>Q3-2023</v>
      </c>
      <c r="Q1215">
        <f>YEAR(tblTransactions[[#This Row],[Date]])</f>
        <v>2023</v>
      </c>
      <c r="R1215" t="str">
        <f>TEXT(tblTransactions[[#This Row],[Date]],"DDDD")</f>
        <v>Friday</v>
      </c>
      <c r="S1215">
        <f>MONTH(tblTransactions[[#This Row],[Date]])</f>
        <v>9</v>
      </c>
      <c r="T1215" t="str">
        <f>VLOOKUP(E1215, Products!$A:$B,2,0)</f>
        <v>Monitors Tec-2</v>
      </c>
      <c r="U1215" t="str">
        <f>VLOOKUP(E1215,Products!$A:$C,3,0)</f>
        <v>Technology</v>
      </c>
      <c r="V1215" t="str">
        <f>VLOOKUP(E1215,Products!$A:$D,4,0)</f>
        <v>Monitors</v>
      </c>
      <c r="W1215" t="str">
        <f>VLOOKUP(D1215,Customers!$A:$C,3,0)</f>
        <v>B2B</v>
      </c>
      <c r="X1215" t="str">
        <f>VLOOKUP(C1215,Sales_Representatives!$A:$B,2,0)</f>
        <v>Richard Garcia</v>
      </c>
    </row>
    <row r="1216" spans="1:24" x14ac:dyDescent="0.3">
      <c r="A1216" t="s">
        <v>1746</v>
      </c>
      <c r="B1216" t="s">
        <v>1743</v>
      </c>
      <c r="C1216" t="s">
        <v>127</v>
      </c>
      <c r="D1216" t="s">
        <v>210</v>
      </c>
      <c r="E1216" t="s">
        <v>87</v>
      </c>
      <c r="F1216">
        <v>2</v>
      </c>
      <c r="G1216">
        <v>1047.8900000000001</v>
      </c>
      <c r="H1216">
        <v>7.0000000000000007E-2</v>
      </c>
      <c r="I1216" s="4">
        <v>1949.08</v>
      </c>
      <c r="J1216" t="s">
        <v>109</v>
      </c>
      <c r="K1216" t="s">
        <v>48</v>
      </c>
      <c r="L1216" s="4">
        <f>VLOOKUP(tblTransactions[[#This Row],[Product_ID]],tblProducts[],5,FALSE)</f>
        <v>742.63</v>
      </c>
      <c r="M1216" s="4">
        <f>tblTransactions[[#This Row],[Total_Amount]]-(tblTransactions[[#This Row],[Cost_Prices]]*tblTransactions[[#This Row],[Quantity]]*(1-tblTransactions[[#This Row],[Discount]]))</f>
        <v>567.78819999999996</v>
      </c>
      <c r="N1216" s="3">
        <f>tblTransactions[[#This Row],[Profit]]/tblTransactions[[#This Row],[Total_Amount]]</f>
        <v>0.29131087487429969</v>
      </c>
      <c r="O1216" t="str">
        <f>TEXT(tblTransactions[[#This Row],[Date]], "MMM-YYYY")</f>
        <v>Sep-2023</v>
      </c>
      <c r="P1216" t="str">
        <f>"Q"&amp;ROUNDUP(MONTH(tblTransactions[[#This Row],[Date]])/3,0)&amp;"-"&amp;YEAR(tblTransactions[[#This Row],[Date]])</f>
        <v>Q3-2023</v>
      </c>
      <c r="Q1216">
        <f>YEAR(tblTransactions[[#This Row],[Date]])</f>
        <v>2023</v>
      </c>
      <c r="R1216" t="str">
        <f>TEXT(tblTransactions[[#This Row],[Date]],"DDDD")</f>
        <v>Friday</v>
      </c>
      <c r="S1216">
        <f>MONTH(tblTransactions[[#This Row],[Date]])</f>
        <v>9</v>
      </c>
      <c r="T1216" t="str">
        <f>VLOOKUP(E1216, Products!$A:$B,2,0)</f>
        <v>Monitors Tec-2</v>
      </c>
      <c r="U1216" t="str">
        <f>VLOOKUP(E1216,Products!$A:$C,3,0)</f>
        <v>Technology</v>
      </c>
      <c r="V1216" t="str">
        <f>VLOOKUP(E1216,Products!$A:$D,4,0)</f>
        <v>Monitors</v>
      </c>
      <c r="W1216" t="str">
        <f>VLOOKUP(D1216,Customers!$A:$C,3,0)</f>
        <v>B2B</v>
      </c>
      <c r="X1216" t="str">
        <f>VLOOKUP(C1216,Sales_Representatives!$A:$B,2,0)</f>
        <v>Emily Hernandez</v>
      </c>
    </row>
    <row r="1217" spans="1:24" x14ac:dyDescent="0.3">
      <c r="A1217" t="s">
        <v>1747</v>
      </c>
      <c r="B1217" t="s">
        <v>1748</v>
      </c>
      <c r="C1217" t="s">
        <v>70</v>
      </c>
      <c r="D1217" t="s">
        <v>1749</v>
      </c>
      <c r="E1217" t="s">
        <v>102</v>
      </c>
      <c r="F1217">
        <v>13</v>
      </c>
      <c r="G1217">
        <v>1097.75</v>
      </c>
      <c r="H1217">
        <v>0.13</v>
      </c>
      <c r="I1217" s="4">
        <v>12415.55</v>
      </c>
      <c r="J1217" t="s">
        <v>16</v>
      </c>
      <c r="K1217" t="s">
        <v>35</v>
      </c>
      <c r="L1217" s="4">
        <f>VLOOKUP(tblTransactions[[#This Row],[Product_ID]],tblProducts[],5,FALSE)</f>
        <v>680.12</v>
      </c>
      <c r="M1217" s="4">
        <f>tblTransactions[[#This Row],[Total_Amount]]-(tblTransactions[[#This Row],[Cost_Prices]]*tblTransactions[[#This Row],[Quantity]]*(1-tblTransactions[[#This Row],[Discount]]))</f>
        <v>4723.3927999999996</v>
      </c>
      <c r="N1217" s="3">
        <f>tblTransactions[[#This Row],[Profit]]/tblTransactions[[#This Row],[Total_Amount]]</f>
        <v>0.38044168804442813</v>
      </c>
      <c r="O1217" t="str">
        <f>TEXT(tblTransactions[[#This Row],[Date]], "MMM-YYYY")</f>
        <v>Sep-2023</v>
      </c>
      <c r="P1217" t="str">
        <f>"Q"&amp;ROUNDUP(MONTH(tblTransactions[[#This Row],[Date]])/3,0)&amp;"-"&amp;YEAR(tblTransactions[[#This Row],[Date]])</f>
        <v>Q3-2023</v>
      </c>
      <c r="Q1217">
        <f>YEAR(tblTransactions[[#This Row],[Date]])</f>
        <v>2023</v>
      </c>
      <c r="R1217" t="str">
        <f>TEXT(tblTransactions[[#This Row],[Date]],"DDDD")</f>
        <v>Saturday</v>
      </c>
      <c r="S1217">
        <f>MONTH(tblTransactions[[#This Row],[Date]])</f>
        <v>9</v>
      </c>
      <c r="T1217" t="str">
        <f>VLOOKUP(E1217, Products!$A:$B,2,0)</f>
        <v>Storage Fur-4</v>
      </c>
      <c r="U1217" t="str">
        <f>VLOOKUP(E1217,Products!$A:$C,3,0)</f>
        <v>Furniture</v>
      </c>
      <c r="V1217" t="str">
        <f>VLOOKUP(E1217,Products!$A:$D,4,0)</f>
        <v>Storage</v>
      </c>
      <c r="W1217" t="str">
        <f>VLOOKUP(D1217,Customers!$A:$C,3,0)</f>
        <v>B2B</v>
      </c>
      <c r="X1217" t="str">
        <f>VLOOKUP(C1217,Sales_Representatives!$A:$B,2,0)</f>
        <v>Linda Smith</v>
      </c>
    </row>
    <row r="1218" spans="1:24" x14ac:dyDescent="0.3">
      <c r="A1218" t="s">
        <v>1750</v>
      </c>
      <c r="B1218" t="s">
        <v>1748</v>
      </c>
      <c r="C1218" t="s">
        <v>63</v>
      </c>
      <c r="D1218" t="s">
        <v>1658</v>
      </c>
      <c r="E1218" t="s">
        <v>91</v>
      </c>
      <c r="F1218">
        <v>18</v>
      </c>
      <c r="G1218">
        <v>286.62</v>
      </c>
      <c r="H1218">
        <v>0.17</v>
      </c>
      <c r="I1218" s="4">
        <v>4282.1000000000004</v>
      </c>
      <c r="J1218" t="s">
        <v>21</v>
      </c>
      <c r="K1218" t="s">
        <v>48</v>
      </c>
      <c r="L1218" s="4">
        <f>VLOOKUP(tblTransactions[[#This Row],[Product_ID]],tblProducts[],5,FALSE)</f>
        <v>145.54</v>
      </c>
      <c r="M1218" s="4">
        <f>tblTransactions[[#This Row],[Total_Amount]]-(tblTransactions[[#This Row],[Cost_Prices]]*tblTransactions[[#This Row],[Quantity]]*(1-tblTransactions[[#This Row],[Discount]]))</f>
        <v>2107.7324000000008</v>
      </c>
      <c r="N1218" s="3">
        <f>tblTransactions[[#This Row],[Profit]]/tblTransactions[[#This Row],[Total_Amount]]</f>
        <v>0.49221933163634679</v>
      </c>
      <c r="O1218" t="str">
        <f>TEXT(tblTransactions[[#This Row],[Date]], "MMM-YYYY")</f>
        <v>Sep-2023</v>
      </c>
      <c r="P1218" t="str">
        <f>"Q"&amp;ROUNDUP(MONTH(tblTransactions[[#This Row],[Date]])/3,0)&amp;"-"&amp;YEAR(tblTransactions[[#This Row],[Date]])</f>
        <v>Q3-2023</v>
      </c>
      <c r="Q1218">
        <f>YEAR(tblTransactions[[#This Row],[Date]])</f>
        <v>2023</v>
      </c>
      <c r="R1218" t="str">
        <f>TEXT(tblTransactions[[#This Row],[Date]],"DDDD")</f>
        <v>Saturday</v>
      </c>
      <c r="S1218">
        <f>MONTH(tblTransactions[[#This Row],[Date]])</f>
        <v>9</v>
      </c>
      <c r="T1218" t="str">
        <f>VLOOKUP(E1218, Products!$A:$B,2,0)</f>
        <v>Chairs Fur-1</v>
      </c>
      <c r="U1218" t="str">
        <f>VLOOKUP(E1218,Products!$A:$C,3,0)</f>
        <v>Furniture</v>
      </c>
      <c r="V1218" t="str">
        <f>VLOOKUP(E1218,Products!$A:$D,4,0)</f>
        <v>Chairs</v>
      </c>
      <c r="W1218" t="str">
        <f>VLOOKUP(D1218,Customers!$A:$C,3,0)</f>
        <v>Enterprise</v>
      </c>
      <c r="X1218" t="str">
        <f>VLOOKUP(C1218,Sales_Representatives!$A:$B,2,0)</f>
        <v>Richard Wilson</v>
      </c>
    </row>
    <row r="1219" spans="1:24" x14ac:dyDescent="0.3">
      <c r="A1219" t="s">
        <v>1751</v>
      </c>
      <c r="B1219" t="s">
        <v>1748</v>
      </c>
      <c r="C1219" t="s">
        <v>59</v>
      </c>
      <c r="D1219" t="s">
        <v>1752</v>
      </c>
      <c r="E1219" t="s">
        <v>198</v>
      </c>
      <c r="F1219">
        <v>15</v>
      </c>
      <c r="G1219">
        <v>1802.96</v>
      </c>
      <c r="H1219">
        <v>0.16</v>
      </c>
      <c r="I1219" s="4">
        <v>22717.3</v>
      </c>
      <c r="J1219" t="s">
        <v>21</v>
      </c>
      <c r="K1219" t="s">
        <v>22</v>
      </c>
      <c r="L1219" s="4">
        <f>VLOOKUP(tblTransactions[[#This Row],[Product_ID]],tblProducts[],5,FALSE)</f>
        <v>1282.18</v>
      </c>
      <c r="M1219" s="4">
        <f>tblTransactions[[#This Row],[Total_Amount]]-(tblTransactions[[#This Row],[Cost_Prices]]*tblTransactions[[#This Row],[Quantity]]*(1-tblTransactions[[#This Row],[Discount]]))</f>
        <v>6561.8319999999985</v>
      </c>
      <c r="N1219" s="3">
        <f>tblTransactions[[#This Row],[Profit]]/tblTransactions[[#This Row],[Total_Amount]]</f>
        <v>0.28884735421903124</v>
      </c>
      <c r="O1219" t="str">
        <f>TEXT(tblTransactions[[#This Row],[Date]], "MMM-YYYY")</f>
        <v>Sep-2023</v>
      </c>
      <c r="P1219" t="str">
        <f>"Q"&amp;ROUNDUP(MONTH(tblTransactions[[#This Row],[Date]])/3,0)&amp;"-"&amp;YEAR(tblTransactions[[#This Row],[Date]])</f>
        <v>Q3-2023</v>
      </c>
      <c r="Q1219">
        <f>YEAR(tblTransactions[[#This Row],[Date]])</f>
        <v>2023</v>
      </c>
      <c r="R1219" t="str">
        <f>TEXT(tblTransactions[[#This Row],[Date]],"DDDD")</f>
        <v>Saturday</v>
      </c>
      <c r="S1219">
        <f>MONTH(tblTransactions[[#This Row],[Date]])</f>
        <v>9</v>
      </c>
      <c r="T1219" t="str">
        <f>VLOOKUP(E1219, Products!$A:$B,2,0)</f>
        <v>Tablets Ele-3</v>
      </c>
      <c r="U1219" t="str">
        <f>VLOOKUP(E1219,Products!$A:$C,3,0)</f>
        <v>Electronics</v>
      </c>
      <c r="V1219" t="str">
        <f>VLOOKUP(E1219,Products!$A:$D,4,0)</f>
        <v>Tablets</v>
      </c>
      <c r="W1219" t="str">
        <f>VLOOKUP(D1219,Customers!$A:$C,3,0)</f>
        <v>B2B</v>
      </c>
      <c r="X1219" t="str">
        <f>VLOOKUP(C1219,Sales_Representatives!$A:$B,2,0)</f>
        <v>Sarah Brown</v>
      </c>
    </row>
    <row r="1220" spans="1:24" x14ac:dyDescent="0.3">
      <c r="A1220" t="s">
        <v>1753</v>
      </c>
      <c r="B1220" t="s">
        <v>1748</v>
      </c>
      <c r="C1220" t="s">
        <v>31</v>
      </c>
      <c r="D1220" t="s">
        <v>1754</v>
      </c>
      <c r="E1220" t="s">
        <v>339</v>
      </c>
      <c r="F1220">
        <v>4</v>
      </c>
      <c r="G1220">
        <v>1100.8800000000001</v>
      </c>
      <c r="H1220">
        <v>7.0000000000000007E-2</v>
      </c>
      <c r="I1220" s="4">
        <v>4095.27</v>
      </c>
      <c r="J1220" t="s">
        <v>34</v>
      </c>
      <c r="K1220" t="s">
        <v>22</v>
      </c>
      <c r="L1220" s="4">
        <f>VLOOKUP(tblTransactions[[#This Row],[Product_ID]],tblProducts[],5,FALSE)</f>
        <v>761.53</v>
      </c>
      <c r="M1220" s="4">
        <f>tblTransactions[[#This Row],[Total_Amount]]-(tblTransactions[[#This Row],[Cost_Prices]]*tblTransactions[[#This Row],[Quantity]]*(1-tblTransactions[[#This Row],[Discount]]))</f>
        <v>1262.3784000000001</v>
      </c>
      <c r="N1220" s="3">
        <f>tblTransactions[[#This Row],[Profit]]/tblTransactions[[#This Row],[Total_Amount]]</f>
        <v>0.30825278919338656</v>
      </c>
      <c r="O1220" t="str">
        <f>TEXT(tblTransactions[[#This Row],[Date]], "MMM-YYYY")</f>
        <v>Sep-2023</v>
      </c>
      <c r="P1220" t="str">
        <f>"Q"&amp;ROUNDUP(MONTH(tblTransactions[[#This Row],[Date]])/3,0)&amp;"-"&amp;YEAR(tblTransactions[[#This Row],[Date]])</f>
        <v>Q3-2023</v>
      </c>
      <c r="Q1220">
        <f>YEAR(tblTransactions[[#This Row],[Date]])</f>
        <v>2023</v>
      </c>
      <c r="R1220" t="str">
        <f>TEXT(tblTransactions[[#This Row],[Date]],"DDDD")</f>
        <v>Saturday</v>
      </c>
      <c r="S1220">
        <f>MONTH(tblTransactions[[#This Row],[Date]])</f>
        <v>9</v>
      </c>
      <c r="T1220" t="str">
        <f>VLOOKUP(E1220, Products!$A:$B,2,0)</f>
        <v>Phones Ele-2</v>
      </c>
      <c r="U1220" t="str">
        <f>VLOOKUP(E1220,Products!$A:$C,3,0)</f>
        <v>Electronics</v>
      </c>
      <c r="V1220" t="str">
        <f>VLOOKUP(E1220,Products!$A:$D,4,0)</f>
        <v>Phones</v>
      </c>
      <c r="W1220" t="str">
        <f>VLOOKUP(D1220,Customers!$A:$C,3,0)</f>
        <v>Small Business</v>
      </c>
      <c r="X1220" t="str">
        <f>VLOOKUP(C1220,Sales_Representatives!$A:$B,2,0)</f>
        <v>Thomas Martinez</v>
      </c>
    </row>
    <row r="1221" spans="1:24" x14ac:dyDescent="0.3">
      <c r="A1221" t="s">
        <v>1755</v>
      </c>
      <c r="B1221" t="s">
        <v>1748</v>
      </c>
      <c r="C1221" t="s">
        <v>141</v>
      </c>
      <c r="D1221" t="s">
        <v>1756</v>
      </c>
      <c r="E1221" t="s">
        <v>176</v>
      </c>
      <c r="F1221">
        <v>3</v>
      </c>
      <c r="G1221">
        <v>1462.68</v>
      </c>
      <c r="H1221">
        <v>0.05</v>
      </c>
      <c r="I1221" s="4">
        <v>4168.6400000000003</v>
      </c>
      <c r="J1221" t="s">
        <v>109</v>
      </c>
      <c r="K1221" t="s">
        <v>35</v>
      </c>
      <c r="L1221" s="4">
        <f>VLOOKUP(tblTransactions[[#This Row],[Product_ID]],tblProducts[],5,FALSE)</f>
        <v>775.94</v>
      </c>
      <c r="M1221" s="4">
        <f>tblTransactions[[#This Row],[Total_Amount]]-(tblTransactions[[#This Row],[Cost_Prices]]*tblTransactions[[#This Row],[Quantity]]*(1-tblTransactions[[#This Row],[Discount]]))</f>
        <v>1957.2110000000002</v>
      </c>
      <c r="N1221" s="3">
        <f>tblTransactions[[#This Row],[Profit]]/tblTransactions[[#This Row],[Total_Amount]]</f>
        <v>0.46950828087817614</v>
      </c>
      <c r="O1221" t="str">
        <f>TEXT(tblTransactions[[#This Row],[Date]], "MMM-YYYY")</f>
        <v>Sep-2023</v>
      </c>
      <c r="P1221" t="str">
        <f>"Q"&amp;ROUNDUP(MONTH(tblTransactions[[#This Row],[Date]])/3,0)&amp;"-"&amp;YEAR(tblTransactions[[#This Row],[Date]])</f>
        <v>Q3-2023</v>
      </c>
      <c r="Q1221">
        <f>YEAR(tblTransactions[[#This Row],[Date]])</f>
        <v>2023</v>
      </c>
      <c r="R1221" t="str">
        <f>TEXT(tblTransactions[[#This Row],[Date]],"DDDD")</f>
        <v>Saturday</v>
      </c>
      <c r="S1221">
        <f>MONTH(tblTransactions[[#This Row],[Date]])</f>
        <v>9</v>
      </c>
      <c r="T1221" t="str">
        <f>VLOOKUP(E1221, Products!$A:$B,2,0)</f>
        <v>Chairs Fur-2</v>
      </c>
      <c r="U1221" t="str">
        <f>VLOOKUP(E1221,Products!$A:$C,3,0)</f>
        <v>Furniture</v>
      </c>
      <c r="V1221" t="str">
        <f>VLOOKUP(E1221,Products!$A:$D,4,0)</f>
        <v>Chairs</v>
      </c>
      <c r="W1221" t="str">
        <f>VLOOKUP(D1221,Customers!$A:$C,3,0)</f>
        <v>B2C</v>
      </c>
      <c r="X1221" t="str">
        <f>VLOOKUP(C1221,Sales_Representatives!$A:$B,2,0)</f>
        <v>Richard Garcia</v>
      </c>
    </row>
    <row r="1222" spans="1:24" x14ac:dyDescent="0.3">
      <c r="A1222" t="s">
        <v>1757</v>
      </c>
      <c r="B1222" t="s">
        <v>1748</v>
      </c>
      <c r="C1222" t="s">
        <v>63</v>
      </c>
      <c r="D1222" t="s">
        <v>42</v>
      </c>
      <c r="E1222" t="s">
        <v>29</v>
      </c>
      <c r="F1222">
        <v>2</v>
      </c>
      <c r="G1222">
        <v>1363.46</v>
      </c>
      <c r="H1222">
        <v>0.03</v>
      </c>
      <c r="I1222" s="4">
        <v>2645.11</v>
      </c>
      <c r="J1222" t="s">
        <v>21</v>
      </c>
      <c r="K1222" t="s">
        <v>22</v>
      </c>
      <c r="L1222" s="4">
        <f>VLOOKUP(tblTransactions[[#This Row],[Product_ID]],tblProducts[],5,FALSE)</f>
        <v>995.41</v>
      </c>
      <c r="M1222" s="4">
        <f>tblTransactions[[#This Row],[Total_Amount]]-(tblTransactions[[#This Row],[Cost_Prices]]*tblTransactions[[#This Row],[Quantity]]*(1-tblTransactions[[#This Row],[Discount]]))</f>
        <v>714.0146000000002</v>
      </c>
      <c r="N1222" s="3">
        <f>tblTransactions[[#This Row],[Profit]]/tblTransactions[[#This Row],[Total_Amount]]</f>
        <v>0.26993758293605941</v>
      </c>
      <c r="O1222" t="str">
        <f>TEXT(tblTransactions[[#This Row],[Date]], "MMM-YYYY")</f>
        <v>Sep-2023</v>
      </c>
      <c r="P1222" t="str">
        <f>"Q"&amp;ROUNDUP(MONTH(tblTransactions[[#This Row],[Date]])/3,0)&amp;"-"&amp;YEAR(tblTransactions[[#This Row],[Date]])</f>
        <v>Q3-2023</v>
      </c>
      <c r="Q1222">
        <f>YEAR(tblTransactions[[#This Row],[Date]])</f>
        <v>2023</v>
      </c>
      <c r="R1222" t="str">
        <f>TEXT(tblTransactions[[#This Row],[Date]],"DDDD")</f>
        <v>Saturday</v>
      </c>
      <c r="S1222">
        <f>MONTH(tblTransactions[[#This Row],[Date]])</f>
        <v>9</v>
      </c>
      <c r="T1222" t="str">
        <f>VLOOKUP(E1222, Products!$A:$B,2,0)</f>
        <v>Phones Ele-3</v>
      </c>
      <c r="U1222" t="str">
        <f>VLOOKUP(E1222,Products!$A:$C,3,0)</f>
        <v>Electronics</v>
      </c>
      <c r="V1222" t="str">
        <f>VLOOKUP(E1222,Products!$A:$D,4,0)</f>
        <v>Phones</v>
      </c>
      <c r="W1222" t="str">
        <f>VLOOKUP(D1222,Customers!$A:$C,3,0)</f>
        <v>B2C</v>
      </c>
      <c r="X1222" t="str">
        <f>VLOOKUP(C1222,Sales_Representatives!$A:$B,2,0)</f>
        <v>Richard Wilson</v>
      </c>
    </row>
    <row r="1223" spans="1:24" x14ac:dyDescent="0.3">
      <c r="A1223" t="s">
        <v>1758</v>
      </c>
      <c r="B1223" t="s">
        <v>1748</v>
      </c>
      <c r="C1223" t="s">
        <v>63</v>
      </c>
      <c r="D1223" t="s">
        <v>1759</v>
      </c>
      <c r="E1223" t="s">
        <v>99</v>
      </c>
      <c r="F1223">
        <v>5</v>
      </c>
      <c r="G1223">
        <v>325.14</v>
      </c>
      <c r="H1223">
        <v>0.02</v>
      </c>
      <c r="I1223" s="4">
        <v>1593.19</v>
      </c>
      <c r="J1223" t="s">
        <v>21</v>
      </c>
      <c r="K1223" t="s">
        <v>22</v>
      </c>
      <c r="L1223" s="4">
        <f>VLOOKUP(tblTransactions[[#This Row],[Product_ID]],tblProducts[],5,FALSE)</f>
        <v>209.04</v>
      </c>
      <c r="M1223" s="4">
        <f>tblTransactions[[#This Row],[Total_Amount]]-(tblTransactions[[#This Row],[Cost_Prices]]*tblTransactions[[#This Row],[Quantity]]*(1-tblTransactions[[#This Row],[Discount]]))</f>
        <v>568.89400000000001</v>
      </c>
      <c r="N1223" s="3">
        <f>tblTransactions[[#This Row],[Profit]]/tblTransactions[[#This Row],[Total_Amount]]</f>
        <v>0.35707856564502666</v>
      </c>
      <c r="O1223" t="str">
        <f>TEXT(tblTransactions[[#This Row],[Date]], "MMM-YYYY")</f>
        <v>Sep-2023</v>
      </c>
      <c r="P1223" t="str">
        <f>"Q"&amp;ROUNDUP(MONTH(tblTransactions[[#This Row],[Date]])/3,0)&amp;"-"&amp;YEAR(tblTransactions[[#This Row],[Date]])</f>
        <v>Q3-2023</v>
      </c>
      <c r="Q1223">
        <f>YEAR(tblTransactions[[#This Row],[Date]])</f>
        <v>2023</v>
      </c>
      <c r="R1223" t="str">
        <f>TEXT(tblTransactions[[#This Row],[Date]],"DDDD")</f>
        <v>Saturday</v>
      </c>
      <c r="S1223">
        <f>MONTH(tblTransactions[[#This Row],[Date]])</f>
        <v>9</v>
      </c>
      <c r="T1223" t="str">
        <f>VLOOKUP(E1223, Products!$A:$B,2,0)</f>
        <v>Monitors Tec-1</v>
      </c>
      <c r="U1223" t="str">
        <f>VLOOKUP(E1223,Products!$A:$C,3,0)</f>
        <v>Technology</v>
      </c>
      <c r="V1223" t="str">
        <f>VLOOKUP(E1223,Products!$A:$D,4,0)</f>
        <v>Monitors</v>
      </c>
      <c r="W1223" t="str">
        <f>VLOOKUP(D1223,Customers!$A:$C,3,0)</f>
        <v>Small Business</v>
      </c>
      <c r="X1223" t="str">
        <f>VLOOKUP(C1223,Sales_Representatives!$A:$B,2,0)</f>
        <v>Richard Wilson</v>
      </c>
    </row>
    <row r="1224" spans="1:24" x14ac:dyDescent="0.3">
      <c r="A1224" t="s">
        <v>1760</v>
      </c>
      <c r="B1224" t="s">
        <v>1761</v>
      </c>
      <c r="C1224" t="s">
        <v>127</v>
      </c>
      <c r="D1224" t="s">
        <v>1762</v>
      </c>
      <c r="E1224" t="s">
        <v>53</v>
      </c>
      <c r="F1224">
        <v>9</v>
      </c>
      <c r="G1224">
        <v>2069.2199999999998</v>
      </c>
      <c r="H1224">
        <v>0.08</v>
      </c>
      <c r="I1224" s="4">
        <v>17133.14</v>
      </c>
      <c r="J1224" t="s">
        <v>109</v>
      </c>
      <c r="K1224" t="s">
        <v>48</v>
      </c>
      <c r="L1224" s="4">
        <f>VLOOKUP(tblTransactions[[#This Row],[Product_ID]],tblProducts[],5,FALSE)</f>
        <v>1451.18</v>
      </c>
      <c r="M1224" s="4">
        <f>tblTransactions[[#This Row],[Total_Amount]]-(tblTransactions[[#This Row],[Cost_Prices]]*tblTransactions[[#This Row],[Quantity]]*(1-tblTransactions[[#This Row],[Discount]]))</f>
        <v>5117.3695999999982</v>
      </c>
      <c r="N1224" s="3">
        <f>tblTransactions[[#This Row],[Profit]]/tblTransactions[[#This Row],[Total_Amount]]</f>
        <v>0.29868252988068728</v>
      </c>
      <c r="O1224" t="str">
        <f>TEXT(tblTransactions[[#This Row],[Date]], "MMM-YYYY")</f>
        <v>Oct-2023</v>
      </c>
      <c r="P1224" t="str">
        <f>"Q"&amp;ROUNDUP(MONTH(tblTransactions[[#This Row],[Date]])/3,0)&amp;"-"&amp;YEAR(tblTransactions[[#This Row],[Date]])</f>
        <v>Q4-2023</v>
      </c>
      <c r="Q1224">
        <f>YEAR(tblTransactions[[#This Row],[Date]])</f>
        <v>2023</v>
      </c>
      <c r="R1224" t="str">
        <f>TEXT(tblTransactions[[#This Row],[Date]],"DDDD")</f>
        <v>Sunday</v>
      </c>
      <c r="S1224">
        <f>MONTH(tblTransactions[[#This Row],[Date]])</f>
        <v>10</v>
      </c>
      <c r="T1224" t="str">
        <f>VLOOKUP(E1224, Products!$A:$B,2,0)</f>
        <v>Printers Tec-3</v>
      </c>
      <c r="U1224" t="str">
        <f>VLOOKUP(E1224,Products!$A:$C,3,0)</f>
        <v>Technology</v>
      </c>
      <c r="V1224" t="str">
        <f>VLOOKUP(E1224,Products!$A:$D,4,0)</f>
        <v>Printers</v>
      </c>
      <c r="W1224" t="str">
        <f>VLOOKUP(D1224,Customers!$A:$C,3,0)</f>
        <v>Enterprise</v>
      </c>
      <c r="X1224" t="str">
        <f>VLOOKUP(C1224,Sales_Representatives!$A:$B,2,0)</f>
        <v>Emily Hernandez</v>
      </c>
    </row>
    <row r="1225" spans="1:24" x14ac:dyDescent="0.3">
      <c r="A1225" t="s">
        <v>1763</v>
      </c>
      <c r="B1225" t="s">
        <v>1761</v>
      </c>
      <c r="C1225" t="s">
        <v>63</v>
      </c>
      <c r="D1225" t="s">
        <v>1494</v>
      </c>
      <c r="E1225" t="s">
        <v>191</v>
      </c>
      <c r="F1225">
        <v>5</v>
      </c>
      <c r="G1225">
        <v>1012.75</v>
      </c>
      <c r="H1225">
        <v>0.05</v>
      </c>
      <c r="I1225" s="4">
        <v>4810.5600000000004</v>
      </c>
      <c r="J1225" t="s">
        <v>21</v>
      </c>
      <c r="K1225" t="s">
        <v>35</v>
      </c>
      <c r="L1225" s="4">
        <f>VLOOKUP(tblTransactions[[#This Row],[Product_ID]],tblProducts[],5,FALSE)</f>
        <v>518.53</v>
      </c>
      <c r="M1225" s="4">
        <f>tblTransactions[[#This Row],[Total_Amount]]-(tblTransactions[[#This Row],[Cost_Prices]]*tblTransactions[[#This Row],[Quantity]]*(1-tblTransactions[[#This Row],[Discount]]))</f>
        <v>2347.5425000000009</v>
      </c>
      <c r="N1225" s="3">
        <f>tblTransactions[[#This Row],[Profit]]/tblTransactions[[#This Row],[Total_Amount]]</f>
        <v>0.48799775909665416</v>
      </c>
      <c r="O1225" t="str">
        <f>TEXT(tblTransactions[[#This Row],[Date]], "MMM-YYYY")</f>
        <v>Oct-2023</v>
      </c>
      <c r="P1225" t="str">
        <f>"Q"&amp;ROUNDUP(MONTH(tblTransactions[[#This Row],[Date]])/3,0)&amp;"-"&amp;YEAR(tblTransactions[[#This Row],[Date]])</f>
        <v>Q4-2023</v>
      </c>
      <c r="Q1225">
        <f>YEAR(tblTransactions[[#This Row],[Date]])</f>
        <v>2023</v>
      </c>
      <c r="R1225" t="str">
        <f>TEXT(tblTransactions[[#This Row],[Date]],"DDDD")</f>
        <v>Sunday</v>
      </c>
      <c r="S1225">
        <f>MONTH(tblTransactions[[#This Row],[Date]])</f>
        <v>10</v>
      </c>
      <c r="T1225" t="str">
        <f>VLOOKUP(E1225, Products!$A:$B,2,0)</f>
        <v>Tables Fur-4</v>
      </c>
      <c r="U1225" t="str">
        <f>VLOOKUP(E1225,Products!$A:$C,3,0)</f>
        <v>Furniture</v>
      </c>
      <c r="V1225" t="str">
        <f>VLOOKUP(E1225,Products!$A:$D,4,0)</f>
        <v>Tables</v>
      </c>
      <c r="W1225" t="str">
        <f>VLOOKUP(D1225,Customers!$A:$C,3,0)</f>
        <v>Small Business</v>
      </c>
      <c r="X1225" t="str">
        <f>VLOOKUP(C1225,Sales_Representatives!$A:$B,2,0)</f>
        <v>Richard Wilson</v>
      </c>
    </row>
    <row r="1226" spans="1:24" x14ac:dyDescent="0.3">
      <c r="A1226" t="s">
        <v>1764</v>
      </c>
      <c r="B1226" t="s">
        <v>1761</v>
      </c>
      <c r="C1226" t="s">
        <v>31</v>
      </c>
      <c r="D1226" t="s">
        <v>1765</v>
      </c>
      <c r="E1226" t="s">
        <v>20</v>
      </c>
      <c r="F1226">
        <v>5</v>
      </c>
      <c r="G1226">
        <v>1219.49</v>
      </c>
      <c r="H1226">
        <v>0.06</v>
      </c>
      <c r="I1226" s="4">
        <v>5731.6</v>
      </c>
      <c r="J1226" t="s">
        <v>34</v>
      </c>
      <c r="K1226" t="s">
        <v>39</v>
      </c>
      <c r="L1226" s="4">
        <f>VLOOKUP(tblTransactions[[#This Row],[Product_ID]],tblProducts[],5,FALSE)</f>
        <v>686.9</v>
      </c>
      <c r="M1226" s="4">
        <f>tblTransactions[[#This Row],[Total_Amount]]-(tblTransactions[[#This Row],[Cost_Prices]]*tblTransactions[[#This Row],[Quantity]]*(1-tblTransactions[[#This Row],[Discount]]))</f>
        <v>2503.1700000000005</v>
      </c>
      <c r="N1226" s="3">
        <f>tblTransactions[[#This Row],[Profit]]/tblTransactions[[#This Row],[Total_Amount]]</f>
        <v>0.43673145369530331</v>
      </c>
      <c r="O1226" t="str">
        <f>TEXT(tblTransactions[[#This Row],[Date]], "MMM-YYYY")</f>
        <v>Oct-2023</v>
      </c>
      <c r="P1226" t="str">
        <f>"Q"&amp;ROUNDUP(MONTH(tblTransactions[[#This Row],[Date]])/3,0)&amp;"-"&amp;YEAR(tblTransactions[[#This Row],[Date]])</f>
        <v>Q4-2023</v>
      </c>
      <c r="Q1226">
        <f>YEAR(tblTransactions[[#This Row],[Date]])</f>
        <v>2023</v>
      </c>
      <c r="R1226" t="str">
        <f>TEXT(tblTransactions[[#This Row],[Date]],"DDDD")</f>
        <v>Sunday</v>
      </c>
      <c r="S1226">
        <f>MONTH(tblTransactions[[#This Row],[Date]])</f>
        <v>10</v>
      </c>
      <c r="T1226" t="str">
        <f>VLOOKUP(E1226, Products!$A:$B,2,0)</f>
        <v>Laptops Ele-1</v>
      </c>
      <c r="U1226" t="str">
        <f>VLOOKUP(E1226,Products!$A:$C,3,0)</f>
        <v>Electronics</v>
      </c>
      <c r="V1226" t="str">
        <f>VLOOKUP(E1226,Products!$A:$D,4,0)</f>
        <v>Laptops</v>
      </c>
      <c r="W1226" t="str">
        <f>VLOOKUP(D1226,Customers!$A:$C,3,0)</f>
        <v>B2C</v>
      </c>
      <c r="X1226" t="str">
        <f>VLOOKUP(C1226,Sales_Representatives!$A:$B,2,0)</f>
        <v>Thomas Martinez</v>
      </c>
    </row>
    <row r="1227" spans="1:24" x14ac:dyDescent="0.3">
      <c r="A1227" t="s">
        <v>1766</v>
      </c>
      <c r="B1227" t="s">
        <v>1761</v>
      </c>
      <c r="C1227" t="s">
        <v>82</v>
      </c>
      <c r="D1227" t="s">
        <v>1759</v>
      </c>
      <c r="E1227" t="s">
        <v>200</v>
      </c>
      <c r="F1227">
        <v>7</v>
      </c>
      <c r="G1227">
        <v>544.77</v>
      </c>
      <c r="H1227">
        <v>0.06</v>
      </c>
      <c r="I1227" s="4">
        <v>3584.59</v>
      </c>
      <c r="J1227" t="s">
        <v>34</v>
      </c>
      <c r="K1227" t="s">
        <v>35</v>
      </c>
      <c r="L1227" s="4">
        <f>VLOOKUP(tblTransactions[[#This Row],[Product_ID]],tblProducts[],5,FALSE)</f>
        <v>318.2</v>
      </c>
      <c r="M1227" s="4">
        <f>tblTransactions[[#This Row],[Total_Amount]]-(tblTransactions[[#This Row],[Cost_Prices]]*tblTransactions[[#This Row],[Quantity]]*(1-tblTransactions[[#This Row],[Discount]]))</f>
        <v>1490.8340000000003</v>
      </c>
      <c r="N1227" s="3">
        <f>tblTransactions[[#This Row],[Profit]]/tblTransactions[[#This Row],[Total_Amount]]</f>
        <v>0.41590084221626467</v>
      </c>
      <c r="O1227" t="str">
        <f>TEXT(tblTransactions[[#This Row],[Date]], "MMM-YYYY")</f>
        <v>Oct-2023</v>
      </c>
      <c r="P1227" t="str">
        <f>"Q"&amp;ROUNDUP(MONTH(tblTransactions[[#This Row],[Date]])/3,0)&amp;"-"&amp;YEAR(tblTransactions[[#This Row],[Date]])</f>
        <v>Q4-2023</v>
      </c>
      <c r="Q1227">
        <f>YEAR(tblTransactions[[#This Row],[Date]])</f>
        <v>2023</v>
      </c>
      <c r="R1227" t="str">
        <f>TEXT(tblTransactions[[#This Row],[Date]],"DDDD")</f>
        <v>Sunday</v>
      </c>
      <c r="S1227">
        <f>MONTH(tblTransactions[[#This Row],[Date]])</f>
        <v>10</v>
      </c>
      <c r="T1227" t="str">
        <f>VLOOKUP(E1227, Products!$A:$B,2,0)</f>
        <v>Desks Fur-4</v>
      </c>
      <c r="U1227" t="str">
        <f>VLOOKUP(E1227,Products!$A:$C,3,0)</f>
        <v>Furniture</v>
      </c>
      <c r="V1227" t="str">
        <f>VLOOKUP(E1227,Products!$A:$D,4,0)</f>
        <v>Desks</v>
      </c>
      <c r="W1227" t="str">
        <f>VLOOKUP(D1227,Customers!$A:$C,3,0)</f>
        <v>Small Business</v>
      </c>
      <c r="X1227" t="str">
        <f>VLOOKUP(C1227,Sales_Representatives!$A:$B,2,0)</f>
        <v>John Brown</v>
      </c>
    </row>
    <row r="1228" spans="1:24" x14ac:dyDescent="0.3">
      <c r="A1228" t="s">
        <v>1767</v>
      </c>
      <c r="B1228" t="s">
        <v>1761</v>
      </c>
      <c r="C1228" t="s">
        <v>82</v>
      </c>
      <c r="D1228" t="s">
        <v>1768</v>
      </c>
      <c r="E1228" t="s">
        <v>255</v>
      </c>
      <c r="F1228">
        <v>2</v>
      </c>
      <c r="G1228">
        <v>1444.13</v>
      </c>
      <c r="H1228">
        <v>7.0000000000000007E-2</v>
      </c>
      <c r="I1228" s="4">
        <v>2686.08</v>
      </c>
      <c r="J1228" t="s">
        <v>34</v>
      </c>
      <c r="K1228" t="s">
        <v>17</v>
      </c>
      <c r="L1228" s="4">
        <f>VLOOKUP(tblTransactions[[#This Row],[Product_ID]],tblProducts[],5,FALSE)</f>
        <v>874.43</v>
      </c>
      <c r="M1228" s="4">
        <f>tblTransactions[[#This Row],[Total_Amount]]-(tblTransactions[[#This Row],[Cost_Prices]]*tblTransactions[[#This Row],[Quantity]]*(1-tblTransactions[[#This Row],[Discount]]))</f>
        <v>1059.6402</v>
      </c>
      <c r="N1228" s="3">
        <f>tblTransactions[[#This Row],[Profit]]/tblTransactions[[#This Row],[Total_Amount]]</f>
        <v>0.39449316476054325</v>
      </c>
      <c r="O1228" t="str">
        <f>TEXT(tblTransactions[[#This Row],[Date]], "MMM-YYYY")</f>
        <v>Oct-2023</v>
      </c>
      <c r="P1228" t="str">
        <f>"Q"&amp;ROUNDUP(MONTH(tblTransactions[[#This Row],[Date]])/3,0)&amp;"-"&amp;YEAR(tblTransactions[[#This Row],[Date]])</f>
        <v>Q4-2023</v>
      </c>
      <c r="Q1228">
        <f>YEAR(tblTransactions[[#This Row],[Date]])</f>
        <v>2023</v>
      </c>
      <c r="R1228" t="str">
        <f>TEXT(tblTransactions[[#This Row],[Date]],"DDDD")</f>
        <v>Sunday</v>
      </c>
      <c r="S1228">
        <f>MONTH(tblTransactions[[#This Row],[Date]])</f>
        <v>10</v>
      </c>
      <c r="T1228" t="str">
        <f>VLOOKUP(E1228, Products!$A:$B,2,0)</f>
        <v>Printers Tec-1</v>
      </c>
      <c r="U1228" t="str">
        <f>VLOOKUP(E1228,Products!$A:$C,3,0)</f>
        <v>Technology</v>
      </c>
      <c r="V1228" t="str">
        <f>VLOOKUP(E1228,Products!$A:$D,4,0)</f>
        <v>Printers</v>
      </c>
      <c r="W1228" t="str">
        <f>VLOOKUP(D1228,Customers!$A:$C,3,0)</f>
        <v>B2C</v>
      </c>
      <c r="X1228" t="str">
        <f>VLOOKUP(C1228,Sales_Representatives!$A:$B,2,0)</f>
        <v>John Brown</v>
      </c>
    </row>
    <row r="1229" spans="1:24" x14ac:dyDescent="0.3">
      <c r="A1229" t="s">
        <v>1769</v>
      </c>
      <c r="B1229" t="s">
        <v>1770</v>
      </c>
      <c r="C1229" t="s">
        <v>131</v>
      </c>
      <c r="D1229" t="s">
        <v>1756</v>
      </c>
      <c r="E1229" t="s">
        <v>376</v>
      </c>
      <c r="F1229">
        <v>7</v>
      </c>
      <c r="G1229">
        <v>229.65</v>
      </c>
      <c r="H1229">
        <v>0.09</v>
      </c>
      <c r="I1229" s="4">
        <v>1462.87</v>
      </c>
      <c r="J1229" t="s">
        <v>44</v>
      </c>
      <c r="K1229" t="s">
        <v>22</v>
      </c>
      <c r="L1229" s="4">
        <f>VLOOKUP(tblTransactions[[#This Row],[Product_ID]],tblProducts[],5,FALSE)</f>
        <v>96.84</v>
      </c>
      <c r="M1229" s="4">
        <f>tblTransactions[[#This Row],[Total_Amount]]-(tblTransactions[[#This Row],[Cost_Prices]]*tblTransactions[[#This Row],[Quantity]]*(1-tblTransactions[[#This Row],[Discount]]))</f>
        <v>845.99919999999986</v>
      </c>
      <c r="N1229" s="3">
        <f>tblTransactions[[#This Row],[Profit]]/tblTransactions[[#This Row],[Total_Amount]]</f>
        <v>0.57831468278110831</v>
      </c>
      <c r="O1229" t="str">
        <f>TEXT(tblTransactions[[#This Row],[Date]], "MMM-YYYY")</f>
        <v>Oct-2023</v>
      </c>
      <c r="P1229" t="str">
        <f>"Q"&amp;ROUNDUP(MONTH(tblTransactions[[#This Row],[Date]])/3,0)&amp;"-"&amp;YEAR(tblTransactions[[#This Row],[Date]])</f>
        <v>Q4-2023</v>
      </c>
      <c r="Q1229">
        <f>YEAR(tblTransactions[[#This Row],[Date]])</f>
        <v>2023</v>
      </c>
      <c r="R1229" t="str">
        <f>TEXT(tblTransactions[[#This Row],[Date]],"DDDD")</f>
        <v>Monday</v>
      </c>
      <c r="S1229">
        <f>MONTH(tblTransactions[[#This Row],[Date]])</f>
        <v>10</v>
      </c>
      <c r="T1229" t="str">
        <f>VLOOKUP(E1229, Products!$A:$B,2,0)</f>
        <v>Adapters Acc-2</v>
      </c>
      <c r="U1229" t="str">
        <f>VLOOKUP(E1229,Products!$A:$C,3,0)</f>
        <v>Accessories</v>
      </c>
      <c r="V1229" t="str">
        <f>VLOOKUP(E1229,Products!$A:$D,4,0)</f>
        <v>Adapters</v>
      </c>
      <c r="W1229" t="str">
        <f>VLOOKUP(D1229,Customers!$A:$C,3,0)</f>
        <v>B2C</v>
      </c>
      <c r="X1229" t="str">
        <f>VLOOKUP(C1229,Sales_Representatives!$A:$B,2,0)</f>
        <v>Michael Davis</v>
      </c>
    </row>
    <row r="1230" spans="1:24" x14ac:dyDescent="0.3">
      <c r="A1230" t="s">
        <v>1771</v>
      </c>
      <c r="B1230" t="s">
        <v>1770</v>
      </c>
      <c r="C1230" t="s">
        <v>70</v>
      </c>
      <c r="D1230" t="s">
        <v>1616</v>
      </c>
      <c r="E1230" t="s">
        <v>200</v>
      </c>
      <c r="F1230">
        <v>17</v>
      </c>
      <c r="G1230">
        <v>544.77</v>
      </c>
      <c r="H1230">
        <v>0.19</v>
      </c>
      <c r="I1230" s="4">
        <v>7501.48</v>
      </c>
      <c r="J1230" t="s">
        <v>16</v>
      </c>
      <c r="K1230" t="s">
        <v>39</v>
      </c>
      <c r="L1230" s="4">
        <f>VLOOKUP(tblTransactions[[#This Row],[Product_ID]],tblProducts[],5,FALSE)</f>
        <v>318.2</v>
      </c>
      <c r="M1230" s="4">
        <f>tblTransactions[[#This Row],[Total_Amount]]-(tblTransactions[[#This Row],[Cost_Prices]]*tblTransactions[[#This Row],[Quantity]]*(1-tblTransactions[[#This Row],[Discount]]))</f>
        <v>3119.866</v>
      </c>
      <c r="N1230" s="3">
        <f>tblTransactions[[#This Row],[Profit]]/tblTransactions[[#This Row],[Total_Amount]]</f>
        <v>0.41590006238768884</v>
      </c>
      <c r="O1230" t="str">
        <f>TEXT(tblTransactions[[#This Row],[Date]], "MMM-YYYY")</f>
        <v>Oct-2023</v>
      </c>
      <c r="P1230" t="str">
        <f>"Q"&amp;ROUNDUP(MONTH(tblTransactions[[#This Row],[Date]])/3,0)&amp;"-"&amp;YEAR(tblTransactions[[#This Row],[Date]])</f>
        <v>Q4-2023</v>
      </c>
      <c r="Q1230">
        <f>YEAR(tblTransactions[[#This Row],[Date]])</f>
        <v>2023</v>
      </c>
      <c r="R1230" t="str">
        <f>TEXT(tblTransactions[[#This Row],[Date]],"DDDD")</f>
        <v>Monday</v>
      </c>
      <c r="S1230">
        <f>MONTH(tblTransactions[[#This Row],[Date]])</f>
        <v>10</v>
      </c>
      <c r="T1230" t="str">
        <f>VLOOKUP(E1230, Products!$A:$B,2,0)</f>
        <v>Desks Fur-4</v>
      </c>
      <c r="U1230" t="str">
        <f>VLOOKUP(E1230,Products!$A:$C,3,0)</f>
        <v>Furniture</v>
      </c>
      <c r="V1230" t="str">
        <f>VLOOKUP(E1230,Products!$A:$D,4,0)</f>
        <v>Desks</v>
      </c>
      <c r="W1230" t="str">
        <f>VLOOKUP(D1230,Customers!$A:$C,3,0)</f>
        <v>Enterprise</v>
      </c>
      <c r="X1230" t="str">
        <f>VLOOKUP(C1230,Sales_Representatives!$A:$B,2,0)</f>
        <v>Linda Smith</v>
      </c>
    </row>
    <row r="1231" spans="1:24" x14ac:dyDescent="0.3">
      <c r="A1231" t="s">
        <v>1772</v>
      </c>
      <c r="B1231" t="s">
        <v>1773</v>
      </c>
      <c r="C1231" t="s">
        <v>59</v>
      </c>
      <c r="D1231" t="s">
        <v>1774</v>
      </c>
      <c r="E1231" t="s">
        <v>224</v>
      </c>
      <c r="F1231">
        <v>23</v>
      </c>
      <c r="G1231">
        <v>505.37</v>
      </c>
      <c r="H1231">
        <v>0.21</v>
      </c>
      <c r="I1231" s="4">
        <v>9182.57</v>
      </c>
      <c r="J1231" t="s">
        <v>21</v>
      </c>
      <c r="K1231" t="s">
        <v>39</v>
      </c>
      <c r="L1231" s="4">
        <f>VLOOKUP(tblTransactions[[#This Row],[Product_ID]],tblProducts[],5,FALSE)</f>
        <v>281.14999999999998</v>
      </c>
      <c r="M1231" s="4">
        <f>tblTransactions[[#This Row],[Total_Amount]]-(tblTransactions[[#This Row],[Cost_Prices]]*tblTransactions[[#This Row],[Quantity]]*(1-tblTransactions[[#This Row],[Discount]]))</f>
        <v>4074.0744999999997</v>
      </c>
      <c r="N1231" s="3">
        <f>tblTransactions[[#This Row],[Profit]]/tblTransactions[[#This Row],[Total_Amount]]</f>
        <v>0.44367475554229369</v>
      </c>
      <c r="O1231" t="str">
        <f>TEXT(tblTransactions[[#This Row],[Date]], "MMM-YYYY")</f>
        <v>Oct-2023</v>
      </c>
      <c r="P1231" t="str">
        <f>"Q"&amp;ROUNDUP(MONTH(tblTransactions[[#This Row],[Date]])/3,0)&amp;"-"&amp;YEAR(tblTransactions[[#This Row],[Date]])</f>
        <v>Q4-2023</v>
      </c>
      <c r="Q1231">
        <f>YEAR(tblTransactions[[#This Row],[Date]])</f>
        <v>2023</v>
      </c>
      <c r="R1231" t="str">
        <f>TEXT(tblTransactions[[#This Row],[Date]],"DDDD")</f>
        <v>Tuesday</v>
      </c>
      <c r="S1231">
        <f>MONTH(tblTransactions[[#This Row],[Date]])</f>
        <v>10</v>
      </c>
      <c r="T1231" t="str">
        <f>VLOOKUP(E1231, Products!$A:$B,2,0)</f>
        <v>Desks Fur-3</v>
      </c>
      <c r="U1231" t="str">
        <f>VLOOKUP(E1231,Products!$A:$C,3,0)</f>
        <v>Furniture</v>
      </c>
      <c r="V1231" t="str">
        <f>VLOOKUP(E1231,Products!$A:$D,4,0)</f>
        <v>Desks</v>
      </c>
      <c r="W1231" t="str">
        <f>VLOOKUP(D1231,Customers!$A:$C,3,0)</f>
        <v>Enterprise</v>
      </c>
      <c r="X1231" t="str">
        <f>VLOOKUP(C1231,Sales_Representatives!$A:$B,2,0)</f>
        <v>Sarah Brown</v>
      </c>
    </row>
    <row r="1232" spans="1:24" x14ac:dyDescent="0.3">
      <c r="A1232" t="s">
        <v>1775</v>
      </c>
      <c r="B1232" t="s">
        <v>1773</v>
      </c>
      <c r="C1232" t="s">
        <v>63</v>
      </c>
      <c r="D1232" t="s">
        <v>1776</v>
      </c>
      <c r="E1232" t="s">
        <v>89</v>
      </c>
      <c r="F1232">
        <v>1</v>
      </c>
      <c r="G1232">
        <v>555.08000000000004</v>
      </c>
      <c r="H1232">
        <v>0.08</v>
      </c>
      <c r="I1232" s="4">
        <v>510.67</v>
      </c>
      <c r="J1232" t="s">
        <v>21</v>
      </c>
      <c r="K1232" t="s">
        <v>17</v>
      </c>
      <c r="L1232" s="4">
        <f>VLOOKUP(tblTransactions[[#This Row],[Product_ID]],tblProducts[],5,FALSE)</f>
        <v>402.82</v>
      </c>
      <c r="M1232" s="4">
        <f>tblTransactions[[#This Row],[Total_Amount]]-(tblTransactions[[#This Row],[Cost_Prices]]*tblTransactions[[#This Row],[Quantity]]*(1-tblTransactions[[#This Row],[Discount]]))</f>
        <v>140.07560000000001</v>
      </c>
      <c r="N1232" s="3">
        <f>tblTransactions[[#This Row],[Profit]]/tblTransactions[[#This Row],[Total_Amount]]</f>
        <v>0.27429768735191024</v>
      </c>
      <c r="O1232" t="str">
        <f>TEXT(tblTransactions[[#This Row],[Date]], "MMM-YYYY")</f>
        <v>Oct-2023</v>
      </c>
      <c r="P1232" t="str">
        <f>"Q"&amp;ROUNDUP(MONTH(tblTransactions[[#This Row],[Date]])/3,0)&amp;"-"&amp;YEAR(tblTransactions[[#This Row],[Date]])</f>
        <v>Q4-2023</v>
      </c>
      <c r="Q1232">
        <f>YEAR(tblTransactions[[#This Row],[Date]])</f>
        <v>2023</v>
      </c>
      <c r="R1232" t="str">
        <f>TEXT(tblTransactions[[#This Row],[Date]],"DDDD")</f>
        <v>Tuesday</v>
      </c>
      <c r="S1232">
        <f>MONTH(tblTransactions[[#This Row],[Date]])</f>
        <v>10</v>
      </c>
      <c r="T1232" t="str">
        <f>VLOOKUP(E1232, Products!$A:$B,2,0)</f>
        <v>Laptops Ele-3</v>
      </c>
      <c r="U1232" t="str">
        <f>VLOOKUP(E1232,Products!$A:$C,3,0)</f>
        <v>Electronics</v>
      </c>
      <c r="V1232" t="str">
        <f>VLOOKUP(E1232,Products!$A:$D,4,0)</f>
        <v>Laptops</v>
      </c>
      <c r="W1232" t="str">
        <f>VLOOKUP(D1232,Customers!$A:$C,3,0)</f>
        <v>B2C</v>
      </c>
      <c r="X1232" t="str">
        <f>VLOOKUP(C1232,Sales_Representatives!$A:$B,2,0)</f>
        <v>Richard Wilson</v>
      </c>
    </row>
    <row r="1233" spans="1:24" x14ac:dyDescent="0.3">
      <c r="A1233" t="s">
        <v>1777</v>
      </c>
      <c r="B1233" t="s">
        <v>1773</v>
      </c>
      <c r="C1233" t="s">
        <v>31</v>
      </c>
      <c r="D1233" t="s">
        <v>1741</v>
      </c>
      <c r="E1233" t="s">
        <v>129</v>
      </c>
      <c r="F1233">
        <v>13</v>
      </c>
      <c r="G1233">
        <v>1283.71</v>
      </c>
      <c r="H1233">
        <v>0.15</v>
      </c>
      <c r="I1233" s="4">
        <v>14185</v>
      </c>
      <c r="J1233" t="s">
        <v>34</v>
      </c>
      <c r="K1233" t="s">
        <v>48</v>
      </c>
      <c r="L1233" s="4">
        <f>VLOOKUP(tblTransactions[[#This Row],[Product_ID]],tblProducts[],5,FALSE)</f>
        <v>970.14</v>
      </c>
      <c r="M1233" s="4">
        <f>tblTransactions[[#This Row],[Total_Amount]]-(tblTransactions[[#This Row],[Cost_Prices]]*tblTransactions[[#This Row],[Quantity]]*(1-tblTransactions[[#This Row],[Discount]]))</f>
        <v>3464.9530000000013</v>
      </c>
      <c r="N1233" s="3">
        <f>tblTransactions[[#This Row],[Profit]]/tblTransactions[[#This Row],[Total_Amount]]</f>
        <v>0.24426880507578438</v>
      </c>
      <c r="O1233" t="str">
        <f>TEXT(tblTransactions[[#This Row],[Date]], "MMM-YYYY")</f>
        <v>Oct-2023</v>
      </c>
      <c r="P1233" t="str">
        <f>"Q"&amp;ROUNDUP(MONTH(tblTransactions[[#This Row],[Date]])/3,0)&amp;"-"&amp;YEAR(tblTransactions[[#This Row],[Date]])</f>
        <v>Q4-2023</v>
      </c>
      <c r="Q1233">
        <f>YEAR(tblTransactions[[#This Row],[Date]])</f>
        <v>2023</v>
      </c>
      <c r="R1233" t="str">
        <f>TEXT(tblTransactions[[#This Row],[Date]],"DDDD")</f>
        <v>Tuesday</v>
      </c>
      <c r="S1233">
        <f>MONTH(tblTransactions[[#This Row],[Date]])</f>
        <v>10</v>
      </c>
      <c r="T1233" t="str">
        <f>VLOOKUP(E1233, Products!$A:$B,2,0)</f>
        <v>Cameras Ele-3</v>
      </c>
      <c r="U1233" t="str">
        <f>VLOOKUP(E1233,Products!$A:$C,3,0)</f>
        <v>Electronics</v>
      </c>
      <c r="V1233" t="str">
        <f>VLOOKUP(E1233,Products!$A:$D,4,0)</f>
        <v>Cameras</v>
      </c>
      <c r="W1233" t="str">
        <f>VLOOKUP(D1233,Customers!$A:$C,3,0)</f>
        <v>B2B</v>
      </c>
      <c r="X1233" t="str">
        <f>VLOOKUP(C1233,Sales_Representatives!$A:$B,2,0)</f>
        <v>Thomas Martinez</v>
      </c>
    </row>
    <row r="1234" spans="1:24" x14ac:dyDescent="0.3">
      <c r="A1234" t="s">
        <v>1778</v>
      </c>
      <c r="B1234" t="s">
        <v>1779</v>
      </c>
      <c r="C1234" t="s">
        <v>56</v>
      </c>
      <c r="D1234" t="s">
        <v>1780</v>
      </c>
      <c r="E1234" t="s">
        <v>290</v>
      </c>
      <c r="F1234">
        <v>7</v>
      </c>
      <c r="G1234">
        <v>729.32</v>
      </c>
      <c r="H1234">
        <v>0.1</v>
      </c>
      <c r="I1234" s="4">
        <v>4594.72</v>
      </c>
      <c r="J1234" t="s">
        <v>34</v>
      </c>
      <c r="K1234" t="s">
        <v>17</v>
      </c>
      <c r="L1234" s="4">
        <f>VLOOKUP(tblTransactions[[#This Row],[Product_ID]],tblProducts[],5,FALSE)</f>
        <v>482.7</v>
      </c>
      <c r="M1234" s="4">
        <f>tblTransactions[[#This Row],[Total_Amount]]-(tblTransactions[[#This Row],[Cost_Prices]]*tblTransactions[[#This Row],[Quantity]]*(1-tblTransactions[[#This Row],[Discount]]))</f>
        <v>1553.71</v>
      </c>
      <c r="N1234" s="3">
        <f>tblTransactions[[#This Row],[Profit]]/tblTransactions[[#This Row],[Total_Amount]]</f>
        <v>0.33815118222655571</v>
      </c>
      <c r="O1234" t="str">
        <f>TEXT(tblTransactions[[#This Row],[Date]], "MMM-YYYY")</f>
        <v>Oct-2023</v>
      </c>
      <c r="P1234" t="str">
        <f>"Q"&amp;ROUNDUP(MONTH(tblTransactions[[#This Row],[Date]])/3,0)&amp;"-"&amp;YEAR(tblTransactions[[#This Row],[Date]])</f>
        <v>Q4-2023</v>
      </c>
      <c r="Q1234">
        <f>YEAR(tblTransactions[[#This Row],[Date]])</f>
        <v>2023</v>
      </c>
      <c r="R1234" t="str">
        <f>TEXT(tblTransactions[[#This Row],[Date]],"DDDD")</f>
        <v>Wednesday</v>
      </c>
      <c r="S1234">
        <f>MONTH(tblTransactions[[#This Row],[Date]])</f>
        <v>10</v>
      </c>
      <c r="T1234" t="str">
        <f>VLOOKUP(E1234, Products!$A:$B,2,0)</f>
        <v>Tables Fur-1</v>
      </c>
      <c r="U1234" t="str">
        <f>VLOOKUP(E1234,Products!$A:$C,3,0)</f>
        <v>Furniture</v>
      </c>
      <c r="V1234" t="str">
        <f>VLOOKUP(E1234,Products!$A:$D,4,0)</f>
        <v>Tables</v>
      </c>
      <c r="W1234" t="str">
        <f>VLOOKUP(D1234,Customers!$A:$C,3,0)</f>
        <v>B2C</v>
      </c>
      <c r="X1234" t="str">
        <f>VLOOKUP(C1234,Sales_Representatives!$A:$B,2,0)</f>
        <v>Thomas Hernandez</v>
      </c>
    </row>
    <row r="1235" spans="1:24" x14ac:dyDescent="0.3">
      <c r="A1235" t="s">
        <v>1781</v>
      </c>
      <c r="B1235" t="s">
        <v>1779</v>
      </c>
      <c r="C1235" t="s">
        <v>19</v>
      </c>
      <c r="D1235" t="s">
        <v>1502</v>
      </c>
      <c r="E1235" t="s">
        <v>191</v>
      </c>
      <c r="F1235">
        <v>1</v>
      </c>
      <c r="G1235">
        <v>1012.75</v>
      </c>
      <c r="H1235">
        <v>0.02</v>
      </c>
      <c r="I1235" s="4">
        <v>992.5</v>
      </c>
      <c r="J1235" t="s">
        <v>21</v>
      </c>
      <c r="K1235" t="s">
        <v>48</v>
      </c>
      <c r="L1235" s="4">
        <f>VLOOKUP(tblTransactions[[#This Row],[Product_ID]],tblProducts[],5,FALSE)</f>
        <v>518.53</v>
      </c>
      <c r="M1235" s="4">
        <f>tblTransactions[[#This Row],[Total_Amount]]-(tblTransactions[[#This Row],[Cost_Prices]]*tblTransactions[[#This Row],[Quantity]]*(1-tblTransactions[[#This Row],[Discount]]))</f>
        <v>484.34060000000005</v>
      </c>
      <c r="N1235" s="3">
        <f>tblTransactions[[#This Row],[Profit]]/tblTransactions[[#This Row],[Total_Amount]]</f>
        <v>0.48800060453400507</v>
      </c>
      <c r="O1235" t="str">
        <f>TEXT(tblTransactions[[#This Row],[Date]], "MMM-YYYY")</f>
        <v>Oct-2023</v>
      </c>
      <c r="P1235" t="str">
        <f>"Q"&amp;ROUNDUP(MONTH(tblTransactions[[#This Row],[Date]])/3,0)&amp;"-"&amp;YEAR(tblTransactions[[#This Row],[Date]])</f>
        <v>Q4-2023</v>
      </c>
      <c r="Q1235">
        <f>YEAR(tblTransactions[[#This Row],[Date]])</f>
        <v>2023</v>
      </c>
      <c r="R1235" t="str">
        <f>TEXT(tblTransactions[[#This Row],[Date]],"DDDD")</f>
        <v>Wednesday</v>
      </c>
      <c r="S1235">
        <f>MONTH(tblTransactions[[#This Row],[Date]])</f>
        <v>10</v>
      </c>
      <c r="T1235" t="str">
        <f>VLOOKUP(E1235, Products!$A:$B,2,0)</f>
        <v>Tables Fur-4</v>
      </c>
      <c r="U1235" t="str">
        <f>VLOOKUP(E1235,Products!$A:$C,3,0)</f>
        <v>Furniture</v>
      </c>
      <c r="V1235" t="str">
        <f>VLOOKUP(E1235,Products!$A:$D,4,0)</f>
        <v>Tables</v>
      </c>
      <c r="W1235" t="str">
        <f>VLOOKUP(D1235,Customers!$A:$C,3,0)</f>
        <v>Small Business</v>
      </c>
      <c r="X1235" t="str">
        <f>VLOOKUP(C1235,Sales_Representatives!$A:$B,2,0)</f>
        <v>Robert Jones</v>
      </c>
    </row>
    <row r="1236" spans="1:24" x14ac:dyDescent="0.3">
      <c r="A1236" t="s">
        <v>1782</v>
      </c>
      <c r="B1236" t="s">
        <v>1779</v>
      </c>
      <c r="C1236" t="s">
        <v>13</v>
      </c>
      <c r="D1236" t="s">
        <v>1741</v>
      </c>
      <c r="E1236" t="s">
        <v>324</v>
      </c>
      <c r="F1236">
        <v>10</v>
      </c>
      <c r="G1236">
        <v>245.76</v>
      </c>
      <c r="H1236">
        <v>0.1</v>
      </c>
      <c r="I1236" s="4">
        <v>2211.84</v>
      </c>
      <c r="J1236" t="s">
        <v>16</v>
      </c>
      <c r="K1236" t="s">
        <v>39</v>
      </c>
      <c r="L1236" s="4">
        <f>VLOOKUP(tblTransactions[[#This Row],[Product_ID]],tblProducts[],5,FALSE)</f>
        <v>161.94</v>
      </c>
      <c r="M1236" s="4">
        <f>tblTransactions[[#This Row],[Total_Amount]]-(tblTransactions[[#This Row],[Cost_Prices]]*tblTransactions[[#This Row],[Quantity]]*(1-tblTransactions[[#This Row],[Discount]]))</f>
        <v>754.38000000000011</v>
      </c>
      <c r="N1236" s="3">
        <f>tblTransactions[[#This Row],[Profit]]/tblTransactions[[#This Row],[Total_Amount]]</f>
        <v>0.341064453125</v>
      </c>
      <c r="O1236" t="str">
        <f>TEXT(tblTransactions[[#This Row],[Date]], "MMM-YYYY")</f>
        <v>Oct-2023</v>
      </c>
      <c r="P1236" t="str">
        <f>"Q"&amp;ROUNDUP(MONTH(tblTransactions[[#This Row],[Date]])/3,0)&amp;"-"&amp;YEAR(tblTransactions[[#This Row],[Date]])</f>
        <v>Q4-2023</v>
      </c>
      <c r="Q1236">
        <f>YEAR(tblTransactions[[#This Row],[Date]])</f>
        <v>2023</v>
      </c>
      <c r="R1236" t="str">
        <f>TEXT(tblTransactions[[#This Row],[Date]],"DDDD")</f>
        <v>Wednesday</v>
      </c>
      <c r="S1236">
        <f>MONTH(tblTransactions[[#This Row],[Date]])</f>
        <v>10</v>
      </c>
      <c r="T1236" t="str">
        <f>VLOOKUP(E1236, Products!$A:$B,2,0)</f>
        <v>Storage Fur-1</v>
      </c>
      <c r="U1236" t="str">
        <f>VLOOKUP(E1236,Products!$A:$C,3,0)</f>
        <v>Furniture</v>
      </c>
      <c r="V1236" t="str">
        <f>VLOOKUP(E1236,Products!$A:$D,4,0)</f>
        <v>Storage</v>
      </c>
      <c r="W1236" t="str">
        <f>VLOOKUP(D1236,Customers!$A:$C,3,0)</f>
        <v>B2B</v>
      </c>
      <c r="X1236" t="str">
        <f>VLOOKUP(C1236,Sales_Representatives!$A:$B,2,0)</f>
        <v>Jennifer Rodriguez</v>
      </c>
    </row>
    <row r="1237" spans="1:24" x14ac:dyDescent="0.3">
      <c r="A1237" t="s">
        <v>1783</v>
      </c>
      <c r="B1237" t="s">
        <v>1779</v>
      </c>
      <c r="C1237" t="s">
        <v>31</v>
      </c>
      <c r="D1237" t="s">
        <v>1555</v>
      </c>
      <c r="E1237" t="s">
        <v>38</v>
      </c>
      <c r="F1237">
        <v>3</v>
      </c>
      <c r="G1237">
        <v>581.47</v>
      </c>
      <c r="H1237">
        <v>7.0000000000000007E-2</v>
      </c>
      <c r="I1237" s="4">
        <v>1622.3</v>
      </c>
      <c r="J1237" t="s">
        <v>34</v>
      </c>
      <c r="K1237" t="s">
        <v>17</v>
      </c>
      <c r="L1237" s="4">
        <f>VLOOKUP(tblTransactions[[#This Row],[Product_ID]],tblProducts[],5,FALSE)</f>
        <v>372.07</v>
      </c>
      <c r="M1237" s="4">
        <f>tblTransactions[[#This Row],[Total_Amount]]-(tblTransactions[[#This Row],[Cost_Prices]]*tblTransactions[[#This Row],[Quantity]]*(1-tblTransactions[[#This Row],[Discount]]))</f>
        <v>584.22469999999998</v>
      </c>
      <c r="N1237" s="3">
        <f>tblTransactions[[#This Row],[Profit]]/tblTransactions[[#This Row],[Total_Amount]]</f>
        <v>0.3601212476114159</v>
      </c>
      <c r="O1237" t="str">
        <f>TEXT(tblTransactions[[#This Row],[Date]], "MMM-YYYY")</f>
        <v>Oct-2023</v>
      </c>
      <c r="P1237" t="str">
        <f>"Q"&amp;ROUNDUP(MONTH(tblTransactions[[#This Row],[Date]])/3,0)&amp;"-"&amp;YEAR(tblTransactions[[#This Row],[Date]])</f>
        <v>Q4-2023</v>
      </c>
      <c r="Q1237">
        <f>YEAR(tblTransactions[[#This Row],[Date]])</f>
        <v>2023</v>
      </c>
      <c r="R1237" t="str">
        <f>TEXT(tblTransactions[[#This Row],[Date]],"DDDD")</f>
        <v>Wednesday</v>
      </c>
      <c r="S1237">
        <f>MONTH(tblTransactions[[#This Row],[Date]])</f>
        <v>10</v>
      </c>
      <c r="T1237" t="str">
        <f>VLOOKUP(E1237, Products!$A:$B,2,0)</f>
        <v>Storage Fur-3</v>
      </c>
      <c r="U1237" t="str">
        <f>VLOOKUP(E1237,Products!$A:$C,3,0)</f>
        <v>Furniture</v>
      </c>
      <c r="V1237" t="str">
        <f>VLOOKUP(E1237,Products!$A:$D,4,0)</f>
        <v>Storage</v>
      </c>
      <c r="W1237" t="str">
        <f>VLOOKUP(D1237,Customers!$A:$C,3,0)</f>
        <v>B2C</v>
      </c>
      <c r="X1237" t="str">
        <f>VLOOKUP(C1237,Sales_Representatives!$A:$B,2,0)</f>
        <v>Thomas Martinez</v>
      </c>
    </row>
    <row r="1238" spans="1:24" x14ac:dyDescent="0.3">
      <c r="A1238" t="s">
        <v>1784</v>
      </c>
      <c r="B1238" t="s">
        <v>1779</v>
      </c>
      <c r="C1238" t="s">
        <v>70</v>
      </c>
      <c r="D1238" t="s">
        <v>1656</v>
      </c>
      <c r="E1238" t="s">
        <v>217</v>
      </c>
      <c r="F1238">
        <v>1</v>
      </c>
      <c r="G1238">
        <v>145.51</v>
      </c>
      <c r="H1238">
        <v>0.06</v>
      </c>
      <c r="I1238" s="4">
        <v>136.78</v>
      </c>
      <c r="J1238" t="s">
        <v>16</v>
      </c>
      <c r="K1238" t="s">
        <v>22</v>
      </c>
      <c r="L1238" s="4">
        <f>VLOOKUP(tblTransactions[[#This Row],[Product_ID]],tblProducts[],5,FALSE)</f>
        <v>64.510000000000005</v>
      </c>
      <c r="M1238" s="4">
        <f>tblTransactions[[#This Row],[Total_Amount]]-(tblTransactions[[#This Row],[Cost_Prices]]*tblTransactions[[#This Row],[Quantity]]*(1-tblTransactions[[#This Row],[Discount]]))</f>
        <v>76.140600000000006</v>
      </c>
      <c r="N1238" s="3">
        <f>tblTransactions[[#This Row],[Profit]]/tblTransactions[[#This Row],[Total_Amount]]</f>
        <v>0.55666471706389831</v>
      </c>
      <c r="O1238" t="str">
        <f>TEXT(tblTransactions[[#This Row],[Date]], "MMM-YYYY")</f>
        <v>Oct-2023</v>
      </c>
      <c r="P1238" t="str">
        <f>"Q"&amp;ROUNDUP(MONTH(tblTransactions[[#This Row],[Date]])/3,0)&amp;"-"&amp;YEAR(tblTransactions[[#This Row],[Date]])</f>
        <v>Q4-2023</v>
      </c>
      <c r="Q1238">
        <f>YEAR(tblTransactions[[#This Row],[Date]])</f>
        <v>2023</v>
      </c>
      <c r="R1238" t="str">
        <f>TEXT(tblTransactions[[#This Row],[Date]],"DDDD")</f>
        <v>Wednesday</v>
      </c>
      <c r="S1238">
        <f>MONTH(tblTransactions[[#This Row],[Date]])</f>
        <v>10</v>
      </c>
      <c r="T1238" t="str">
        <f>VLOOKUP(E1238, Products!$A:$B,2,0)</f>
        <v>Cables Acc-2</v>
      </c>
      <c r="U1238" t="str">
        <f>VLOOKUP(E1238,Products!$A:$C,3,0)</f>
        <v>Accessories</v>
      </c>
      <c r="V1238" t="str">
        <f>VLOOKUP(E1238,Products!$A:$D,4,0)</f>
        <v>Cables</v>
      </c>
      <c r="W1238" t="str">
        <f>VLOOKUP(D1238,Customers!$A:$C,3,0)</f>
        <v>B2C</v>
      </c>
      <c r="X1238" t="str">
        <f>VLOOKUP(C1238,Sales_Representatives!$A:$B,2,0)</f>
        <v>Linda Smith</v>
      </c>
    </row>
    <row r="1239" spans="1:24" x14ac:dyDescent="0.3">
      <c r="A1239" t="s">
        <v>1785</v>
      </c>
      <c r="B1239" t="s">
        <v>1779</v>
      </c>
      <c r="C1239" t="s">
        <v>127</v>
      </c>
      <c r="D1239" t="s">
        <v>327</v>
      </c>
      <c r="E1239" t="s">
        <v>68</v>
      </c>
      <c r="F1239">
        <v>7</v>
      </c>
      <c r="G1239">
        <v>522.63</v>
      </c>
      <c r="H1239">
        <v>0.15</v>
      </c>
      <c r="I1239" s="4">
        <v>3109.65</v>
      </c>
      <c r="J1239" t="s">
        <v>109</v>
      </c>
      <c r="K1239" t="s">
        <v>48</v>
      </c>
      <c r="L1239" s="4">
        <f>VLOOKUP(tblTransactions[[#This Row],[Product_ID]],tblProducts[],5,FALSE)</f>
        <v>355.82</v>
      </c>
      <c r="M1239" s="4">
        <f>tblTransactions[[#This Row],[Total_Amount]]-(tblTransactions[[#This Row],[Cost_Prices]]*tblTransactions[[#This Row],[Quantity]]*(1-tblTransactions[[#This Row],[Discount]]))</f>
        <v>992.52100000000019</v>
      </c>
      <c r="N1239" s="3">
        <f>tblTransactions[[#This Row],[Profit]]/tblTransactions[[#This Row],[Total_Amount]]</f>
        <v>0.31917450516939211</v>
      </c>
      <c r="O1239" t="str">
        <f>TEXT(tblTransactions[[#This Row],[Date]], "MMM-YYYY")</f>
        <v>Oct-2023</v>
      </c>
      <c r="P1239" t="str">
        <f>"Q"&amp;ROUNDUP(MONTH(tblTransactions[[#This Row],[Date]])/3,0)&amp;"-"&amp;YEAR(tblTransactions[[#This Row],[Date]])</f>
        <v>Q4-2023</v>
      </c>
      <c r="Q1239">
        <f>YEAR(tblTransactions[[#This Row],[Date]])</f>
        <v>2023</v>
      </c>
      <c r="R1239" t="str">
        <f>TEXT(tblTransactions[[#This Row],[Date]],"DDDD")</f>
        <v>Wednesday</v>
      </c>
      <c r="S1239">
        <f>MONTH(tblTransactions[[#This Row],[Date]])</f>
        <v>10</v>
      </c>
      <c r="T1239" t="str">
        <f>VLOOKUP(E1239, Products!$A:$B,2,0)</f>
        <v>Monitors Tec-3</v>
      </c>
      <c r="U1239" t="str">
        <f>VLOOKUP(E1239,Products!$A:$C,3,0)</f>
        <v>Technology</v>
      </c>
      <c r="V1239" t="str">
        <f>VLOOKUP(E1239,Products!$A:$D,4,0)</f>
        <v>Monitors</v>
      </c>
      <c r="W1239" t="str">
        <f>VLOOKUP(D1239,Customers!$A:$C,3,0)</f>
        <v>B2C</v>
      </c>
      <c r="X1239" t="str">
        <f>VLOOKUP(C1239,Sales_Representatives!$A:$B,2,0)</f>
        <v>Emily Hernandez</v>
      </c>
    </row>
    <row r="1240" spans="1:24" x14ac:dyDescent="0.3">
      <c r="A1240" t="s">
        <v>1786</v>
      </c>
      <c r="B1240" t="s">
        <v>1779</v>
      </c>
      <c r="C1240" t="s">
        <v>63</v>
      </c>
      <c r="D1240" t="s">
        <v>1787</v>
      </c>
      <c r="E1240" t="s">
        <v>508</v>
      </c>
      <c r="F1240">
        <v>1</v>
      </c>
      <c r="G1240">
        <v>237.69</v>
      </c>
      <c r="H1240">
        <v>0.09</v>
      </c>
      <c r="I1240" s="4">
        <v>216.3</v>
      </c>
      <c r="J1240" t="s">
        <v>21</v>
      </c>
      <c r="K1240" t="s">
        <v>48</v>
      </c>
      <c r="L1240" s="4">
        <f>VLOOKUP(tblTransactions[[#This Row],[Product_ID]],tblProducts[],5,FALSE)</f>
        <v>115.31</v>
      </c>
      <c r="M1240" s="4">
        <f>tblTransactions[[#This Row],[Total_Amount]]-(tblTransactions[[#This Row],[Cost_Prices]]*tblTransactions[[#This Row],[Quantity]]*(1-tblTransactions[[#This Row],[Discount]]))</f>
        <v>111.36790000000001</v>
      </c>
      <c r="N1240" s="3">
        <f>tblTransactions[[#This Row],[Profit]]/tblTransactions[[#This Row],[Total_Amount]]</f>
        <v>0.51487702265372171</v>
      </c>
      <c r="O1240" t="str">
        <f>TEXT(tblTransactions[[#This Row],[Date]], "MMM-YYYY")</f>
        <v>Oct-2023</v>
      </c>
      <c r="P1240" t="str">
        <f>"Q"&amp;ROUNDUP(MONTH(tblTransactions[[#This Row],[Date]])/3,0)&amp;"-"&amp;YEAR(tblTransactions[[#This Row],[Date]])</f>
        <v>Q4-2023</v>
      </c>
      <c r="Q1240">
        <f>YEAR(tblTransactions[[#This Row],[Date]])</f>
        <v>2023</v>
      </c>
      <c r="R1240" t="str">
        <f>TEXT(tblTransactions[[#This Row],[Date]],"DDDD")</f>
        <v>Wednesday</v>
      </c>
      <c r="S1240">
        <f>MONTH(tblTransactions[[#This Row],[Date]])</f>
        <v>10</v>
      </c>
      <c r="T1240" t="str">
        <f>VLOOKUP(E1240, Products!$A:$B,2,0)</f>
        <v>Folders Off-3</v>
      </c>
      <c r="U1240" t="str">
        <f>VLOOKUP(E1240,Products!$A:$C,3,0)</f>
        <v>Office Supplies</v>
      </c>
      <c r="V1240" t="str">
        <f>VLOOKUP(E1240,Products!$A:$D,4,0)</f>
        <v>Folders</v>
      </c>
      <c r="W1240" t="str">
        <f>VLOOKUP(D1240,Customers!$A:$C,3,0)</f>
        <v>B2C</v>
      </c>
      <c r="X1240" t="str">
        <f>VLOOKUP(C1240,Sales_Representatives!$A:$B,2,0)</f>
        <v>Richard Wilson</v>
      </c>
    </row>
    <row r="1241" spans="1:24" x14ac:dyDescent="0.3">
      <c r="A1241" t="s">
        <v>1788</v>
      </c>
      <c r="B1241" t="s">
        <v>1789</v>
      </c>
      <c r="C1241" t="s">
        <v>82</v>
      </c>
      <c r="D1241" t="s">
        <v>396</v>
      </c>
      <c r="E1241" t="s">
        <v>394</v>
      </c>
      <c r="F1241">
        <v>6</v>
      </c>
      <c r="G1241">
        <v>314.69</v>
      </c>
      <c r="H1241">
        <v>0.09</v>
      </c>
      <c r="I1241" s="4">
        <v>1718.21</v>
      </c>
      <c r="J1241" t="s">
        <v>34</v>
      </c>
      <c r="K1241" t="s">
        <v>22</v>
      </c>
      <c r="L1241" s="4">
        <f>VLOOKUP(tblTransactions[[#This Row],[Product_ID]],tblProducts[],5,FALSE)</f>
        <v>185.43</v>
      </c>
      <c r="M1241" s="4">
        <f>tblTransactions[[#This Row],[Total_Amount]]-(tblTransactions[[#This Row],[Cost_Prices]]*tblTransactions[[#This Row],[Quantity]]*(1-tblTransactions[[#This Row],[Discount]]))</f>
        <v>705.76220000000012</v>
      </c>
      <c r="N1241" s="3">
        <f>tblTransactions[[#This Row],[Profit]]/tblTransactions[[#This Row],[Total_Amount]]</f>
        <v>0.41075433154271018</v>
      </c>
      <c r="O1241" t="str">
        <f>TEXT(tblTransactions[[#This Row],[Date]], "MMM-YYYY")</f>
        <v>Oct-2023</v>
      </c>
      <c r="P1241" t="str">
        <f>"Q"&amp;ROUNDUP(MONTH(tblTransactions[[#This Row],[Date]])/3,0)&amp;"-"&amp;YEAR(tblTransactions[[#This Row],[Date]])</f>
        <v>Q4-2023</v>
      </c>
      <c r="Q1241">
        <f>YEAR(tblTransactions[[#This Row],[Date]])</f>
        <v>2023</v>
      </c>
      <c r="R1241" t="str">
        <f>TEXT(tblTransactions[[#This Row],[Date]],"DDDD")</f>
        <v>Thursday</v>
      </c>
      <c r="S1241">
        <f>MONTH(tblTransactions[[#This Row],[Date]])</f>
        <v>10</v>
      </c>
      <c r="T1241" t="str">
        <f>VLOOKUP(E1241, Products!$A:$B,2,0)</f>
        <v>Desks Fur-1</v>
      </c>
      <c r="U1241" t="str">
        <f>VLOOKUP(E1241,Products!$A:$C,3,0)</f>
        <v>Furniture</v>
      </c>
      <c r="V1241" t="str">
        <f>VLOOKUP(E1241,Products!$A:$D,4,0)</f>
        <v>Desks</v>
      </c>
      <c r="W1241" t="str">
        <f>VLOOKUP(D1241,Customers!$A:$C,3,0)</f>
        <v>Small Business</v>
      </c>
      <c r="X1241" t="str">
        <f>VLOOKUP(C1241,Sales_Representatives!$A:$B,2,0)</f>
        <v>John Brown</v>
      </c>
    </row>
    <row r="1242" spans="1:24" x14ac:dyDescent="0.3">
      <c r="A1242" t="s">
        <v>1790</v>
      </c>
      <c r="B1242" t="s">
        <v>1789</v>
      </c>
      <c r="C1242" t="s">
        <v>75</v>
      </c>
      <c r="D1242" t="s">
        <v>1619</v>
      </c>
      <c r="E1242" t="s">
        <v>339</v>
      </c>
      <c r="F1242">
        <v>4</v>
      </c>
      <c r="G1242">
        <v>1100.8800000000001</v>
      </c>
      <c r="H1242">
        <v>7.0000000000000007E-2</v>
      </c>
      <c r="I1242" s="4">
        <v>4095.27</v>
      </c>
      <c r="J1242" t="s">
        <v>44</v>
      </c>
      <c r="K1242" t="s">
        <v>17</v>
      </c>
      <c r="L1242" s="4">
        <f>VLOOKUP(tblTransactions[[#This Row],[Product_ID]],tblProducts[],5,FALSE)</f>
        <v>761.53</v>
      </c>
      <c r="M1242" s="4">
        <f>tblTransactions[[#This Row],[Total_Amount]]-(tblTransactions[[#This Row],[Cost_Prices]]*tblTransactions[[#This Row],[Quantity]]*(1-tblTransactions[[#This Row],[Discount]]))</f>
        <v>1262.3784000000001</v>
      </c>
      <c r="N1242" s="3">
        <f>tblTransactions[[#This Row],[Profit]]/tblTransactions[[#This Row],[Total_Amount]]</f>
        <v>0.30825278919338656</v>
      </c>
      <c r="O1242" t="str">
        <f>TEXT(tblTransactions[[#This Row],[Date]], "MMM-YYYY")</f>
        <v>Oct-2023</v>
      </c>
      <c r="P1242" t="str">
        <f>"Q"&amp;ROUNDUP(MONTH(tblTransactions[[#This Row],[Date]])/3,0)&amp;"-"&amp;YEAR(tblTransactions[[#This Row],[Date]])</f>
        <v>Q4-2023</v>
      </c>
      <c r="Q1242">
        <f>YEAR(tblTransactions[[#This Row],[Date]])</f>
        <v>2023</v>
      </c>
      <c r="R1242" t="str">
        <f>TEXT(tblTransactions[[#This Row],[Date]],"DDDD")</f>
        <v>Thursday</v>
      </c>
      <c r="S1242">
        <f>MONTH(tblTransactions[[#This Row],[Date]])</f>
        <v>10</v>
      </c>
      <c r="T1242" t="str">
        <f>VLOOKUP(E1242, Products!$A:$B,2,0)</f>
        <v>Phones Ele-2</v>
      </c>
      <c r="U1242" t="str">
        <f>VLOOKUP(E1242,Products!$A:$C,3,0)</f>
        <v>Electronics</v>
      </c>
      <c r="V1242" t="str">
        <f>VLOOKUP(E1242,Products!$A:$D,4,0)</f>
        <v>Phones</v>
      </c>
      <c r="W1242" t="str">
        <f>VLOOKUP(D1242,Customers!$A:$C,3,0)</f>
        <v>B2B</v>
      </c>
      <c r="X1242" t="str">
        <f>VLOOKUP(C1242,Sales_Representatives!$A:$B,2,0)</f>
        <v>Jessica Anderson</v>
      </c>
    </row>
    <row r="1243" spans="1:24" x14ac:dyDescent="0.3">
      <c r="A1243" t="s">
        <v>1791</v>
      </c>
      <c r="B1243" t="s">
        <v>1789</v>
      </c>
      <c r="C1243" t="s">
        <v>31</v>
      </c>
      <c r="D1243" t="s">
        <v>1441</v>
      </c>
      <c r="E1243" t="s">
        <v>347</v>
      </c>
      <c r="F1243">
        <v>4</v>
      </c>
      <c r="G1243">
        <v>1539.6</v>
      </c>
      <c r="H1243">
        <v>0.08</v>
      </c>
      <c r="I1243" s="4">
        <v>5665.73</v>
      </c>
      <c r="J1243" t="s">
        <v>34</v>
      </c>
      <c r="K1243" t="s">
        <v>22</v>
      </c>
      <c r="L1243" s="4">
        <f>VLOOKUP(tblTransactions[[#This Row],[Product_ID]],tblProducts[],5,FALSE)</f>
        <v>992.43</v>
      </c>
      <c r="M1243" s="4">
        <f>tblTransactions[[#This Row],[Total_Amount]]-(tblTransactions[[#This Row],[Cost_Prices]]*tblTransactions[[#This Row],[Quantity]]*(1-tblTransactions[[#This Row],[Discount]]))</f>
        <v>2013.5875999999994</v>
      </c>
      <c r="N1243" s="3">
        <f>tblTransactions[[#This Row],[Profit]]/tblTransactions[[#This Row],[Total_Amount]]</f>
        <v>0.35539773339004849</v>
      </c>
      <c r="O1243" t="str">
        <f>TEXT(tblTransactions[[#This Row],[Date]], "MMM-YYYY")</f>
        <v>Oct-2023</v>
      </c>
      <c r="P1243" t="str">
        <f>"Q"&amp;ROUNDUP(MONTH(tblTransactions[[#This Row],[Date]])/3,0)&amp;"-"&amp;YEAR(tblTransactions[[#This Row],[Date]])</f>
        <v>Q4-2023</v>
      </c>
      <c r="Q1243">
        <f>YEAR(tblTransactions[[#This Row],[Date]])</f>
        <v>2023</v>
      </c>
      <c r="R1243" t="str">
        <f>TEXT(tblTransactions[[#This Row],[Date]],"DDDD")</f>
        <v>Thursday</v>
      </c>
      <c r="S1243">
        <f>MONTH(tblTransactions[[#This Row],[Date]])</f>
        <v>10</v>
      </c>
      <c r="T1243" t="str">
        <f>VLOOKUP(E1243, Products!$A:$B,2,0)</f>
        <v>Routers Tec-2</v>
      </c>
      <c r="U1243" t="str">
        <f>VLOOKUP(E1243,Products!$A:$C,3,0)</f>
        <v>Technology</v>
      </c>
      <c r="V1243" t="str">
        <f>VLOOKUP(E1243,Products!$A:$D,4,0)</f>
        <v>Routers</v>
      </c>
      <c r="W1243" t="str">
        <f>VLOOKUP(D1243,Customers!$A:$C,3,0)</f>
        <v>Small Business</v>
      </c>
      <c r="X1243" t="str">
        <f>VLOOKUP(C1243,Sales_Representatives!$A:$B,2,0)</f>
        <v>Thomas Martinez</v>
      </c>
    </row>
    <row r="1244" spans="1:24" x14ac:dyDescent="0.3">
      <c r="A1244" t="s">
        <v>1792</v>
      </c>
      <c r="B1244" t="s">
        <v>1789</v>
      </c>
      <c r="C1244" t="s">
        <v>131</v>
      </c>
      <c r="D1244" t="s">
        <v>1774</v>
      </c>
      <c r="E1244" t="s">
        <v>450</v>
      </c>
      <c r="F1244">
        <v>18</v>
      </c>
      <c r="G1244">
        <v>2083.92</v>
      </c>
      <c r="H1244">
        <v>0.13</v>
      </c>
      <c r="I1244" s="4">
        <v>32634.19</v>
      </c>
      <c r="J1244" t="s">
        <v>44</v>
      </c>
      <c r="K1244" t="s">
        <v>48</v>
      </c>
      <c r="L1244" s="4">
        <f>VLOOKUP(tblTransactions[[#This Row],[Product_ID]],tblProducts[],5,FALSE)</f>
        <v>1425.78</v>
      </c>
      <c r="M1244" s="4">
        <f>tblTransactions[[#This Row],[Total_Amount]]-(tblTransactions[[#This Row],[Cost_Prices]]*tblTransactions[[#This Row],[Quantity]]*(1-tblTransactions[[#This Row],[Discount]]))</f>
        <v>10306.475199999997</v>
      </c>
      <c r="N1244" s="3">
        <f>tblTransactions[[#This Row],[Profit]]/tblTransactions[[#This Row],[Total_Amount]]</f>
        <v>0.31581832427892337</v>
      </c>
      <c r="O1244" t="str">
        <f>TEXT(tblTransactions[[#This Row],[Date]], "MMM-YYYY")</f>
        <v>Oct-2023</v>
      </c>
      <c r="P1244" t="str">
        <f>"Q"&amp;ROUNDUP(MONTH(tblTransactions[[#This Row],[Date]])/3,0)&amp;"-"&amp;YEAR(tblTransactions[[#This Row],[Date]])</f>
        <v>Q4-2023</v>
      </c>
      <c r="Q1244">
        <f>YEAR(tblTransactions[[#This Row],[Date]])</f>
        <v>2023</v>
      </c>
      <c r="R1244" t="str">
        <f>TEXT(tblTransactions[[#This Row],[Date]],"DDDD")</f>
        <v>Thursday</v>
      </c>
      <c r="S1244">
        <f>MONTH(tblTransactions[[#This Row],[Date]])</f>
        <v>10</v>
      </c>
      <c r="T1244" t="str">
        <f>VLOOKUP(E1244, Products!$A:$B,2,0)</f>
        <v>Monitors Tec-4</v>
      </c>
      <c r="U1244" t="str">
        <f>VLOOKUP(E1244,Products!$A:$C,3,0)</f>
        <v>Technology</v>
      </c>
      <c r="V1244" t="str">
        <f>VLOOKUP(E1244,Products!$A:$D,4,0)</f>
        <v>Monitors</v>
      </c>
      <c r="W1244" t="str">
        <f>VLOOKUP(D1244,Customers!$A:$C,3,0)</f>
        <v>Enterprise</v>
      </c>
      <c r="X1244" t="str">
        <f>VLOOKUP(C1244,Sales_Representatives!$A:$B,2,0)</f>
        <v>Michael Davis</v>
      </c>
    </row>
    <row r="1245" spans="1:24" x14ac:dyDescent="0.3">
      <c r="A1245" t="s">
        <v>1793</v>
      </c>
      <c r="B1245" t="s">
        <v>1789</v>
      </c>
      <c r="C1245" t="s">
        <v>141</v>
      </c>
      <c r="D1245" t="s">
        <v>1794</v>
      </c>
      <c r="E1245" t="s">
        <v>38</v>
      </c>
      <c r="F1245">
        <v>17</v>
      </c>
      <c r="G1245">
        <v>581.47</v>
      </c>
      <c r="H1245">
        <v>0.19</v>
      </c>
      <c r="I1245" s="4">
        <v>8006.84</v>
      </c>
      <c r="J1245" t="s">
        <v>109</v>
      </c>
      <c r="K1245" t="s">
        <v>39</v>
      </c>
      <c r="L1245" s="4">
        <f>VLOOKUP(tblTransactions[[#This Row],[Product_ID]],tblProducts[],5,FALSE)</f>
        <v>372.07</v>
      </c>
      <c r="M1245" s="4">
        <f>tblTransactions[[#This Row],[Total_Amount]]-(tblTransactions[[#This Row],[Cost_Prices]]*tblTransactions[[#This Row],[Quantity]]*(1-tblTransactions[[#This Row],[Discount]]))</f>
        <v>2883.4360999999999</v>
      </c>
      <c r="N1245" s="3">
        <f>tblTransactions[[#This Row],[Profit]]/tblTransactions[[#This Row],[Total_Amount]]</f>
        <v>0.36012160852471137</v>
      </c>
      <c r="O1245" t="str">
        <f>TEXT(tblTransactions[[#This Row],[Date]], "MMM-YYYY")</f>
        <v>Oct-2023</v>
      </c>
      <c r="P1245" t="str">
        <f>"Q"&amp;ROUNDUP(MONTH(tblTransactions[[#This Row],[Date]])/3,0)&amp;"-"&amp;YEAR(tblTransactions[[#This Row],[Date]])</f>
        <v>Q4-2023</v>
      </c>
      <c r="Q1245">
        <f>YEAR(tblTransactions[[#This Row],[Date]])</f>
        <v>2023</v>
      </c>
      <c r="R1245" t="str">
        <f>TEXT(tblTransactions[[#This Row],[Date]],"DDDD")</f>
        <v>Thursday</v>
      </c>
      <c r="S1245">
        <f>MONTH(tblTransactions[[#This Row],[Date]])</f>
        <v>10</v>
      </c>
      <c r="T1245" t="str">
        <f>VLOOKUP(E1245, Products!$A:$B,2,0)</f>
        <v>Storage Fur-3</v>
      </c>
      <c r="U1245" t="str">
        <f>VLOOKUP(E1245,Products!$A:$C,3,0)</f>
        <v>Furniture</v>
      </c>
      <c r="V1245" t="str">
        <f>VLOOKUP(E1245,Products!$A:$D,4,0)</f>
        <v>Storage</v>
      </c>
      <c r="W1245" t="str">
        <f>VLOOKUP(D1245,Customers!$A:$C,3,0)</f>
        <v>B2B</v>
      </c>
      <c r="X1245" t="str">
        <f>VLOOKUP(C1245,Sales_Representatives!$A:$B,2,0)</f>
        <v>Richard Garcia</v>
      </c>
    </row>
    <row r="1246" spans="1:24" x14ac:dyDescent="0.3">
      <c r="A1246" t="s">
        <v>1795</v>
      </c>
      <c r="B1246" t="s">
        <v>1789</v>
      </c>
      <c r="C1246" t="s">
        <v>59</v>
      </c>
      <c r="D1246" t="s">
        <v>1563</v>
      </c>
      <c r="E1246" t="s">
        <v>105</v>
      </c>
      <c r="F1246">
        <v>7</v>
      </c>
      <c r="G1246">
        <v>1342.04</v>
      </c>
      <c r="H1246">
        <v>0.09</v>
      </c>
      <c r="I1246" s="4">
        <v>8548.7900000000009</v>
      </c>
      <c r="J1246" t="s">
        <v>21</v>
      </c>
      <c r="K1246" t="s">
        <v>17</v>
      </c>
      <c r="L1246" s="4">
        <f>VLOOKUP(tblTransactions[[#This Row],[Product_ID]],tblProducts[],5,FALSE)</f>
        <v>792.89</v>
      </c>
      <c r="M1246" s="4">
        <f>tblTransactions[[#This Row],[Total_Amount]]-(tblTransactions[[#This Row],[Cost_Prices]]*tblTransactions[[#This Row],[Quantity]]*(1-tblTransactions[[#This Row],[Discount]]))</f>
        <v>3498.0807000000013</v>
      </c>
      <c r="N1246" s="3">
        <f>tblTransactions[[#This Row],[Profit]]/tblTransactions[[#This Row],[Total_Amount]]</f>
        <v>0.40919015439611933</v>
      </c>
      <c r="O1246" t="str">
        <f>TEXT(tblTransactions[[#This Row],[Date]], "MMM-YYYY")</f>
        <v>Oct-2023</v>
      </c>
      <c r="P1246" t="str">
        <f>"Q"&amp;ROUNDUP(MONTH(tblTransactions[[#This Row],[Date]])/3,0)&amp;"-"&amp;YEAR(tblTransactions[[#This Row],[Date]])</f>
        <v>Q4-2023</v>
      </c>
      <c r="Q1246">
        <f>YEAR(tblTransactions[[#This Row],[Date]])</f>
        <v>2023</v>
      </c>
      <c r="R1246" t="str">
        <f>TEXT(tblTransactions[[#This Row],[Date]],"DDDD")</f>
        <v>Thursday</v>
      </c>
      <c r="S1246">
        <f>MONTH(tblTransactions[[#This Row],[Date]])</f>
        <v>10</v>
      </c>
      <c r="T1246" t="str">
        <f>VLOOKUP(E1246, Products!$A:$B,2,0)</f>
        <v>Cameras Ele-1</v>
      </c>
      <c r="U1246" t="str">
        <f>VLOOKUP(E1246,Products!$A:$C,3,0)</f>
        <v>Electronics</v>
      </c>
      <c r="V1246" t="str">
        <f>VLOOKUP(E1246,Products!$A:$D,4,0)</f>
        <v>Cameras</v>
      </c>
      <c r="W1246" t="str">
        <f>VLOOKUP(D1246,Customers!$A:$C,3,0)</f>
        <v>B2C</v>
      </c>
      <c r="X1246" t="str">
        <f>VLOOKUP(C1246,Sales_Representatives!$A:$B,2,0)</f>
        <v>Sarah Brown</v>
      </c>
    </row>
    <row r="1247" spans="1:24" x14ac:dyDescent="0.3">
      <c r="A1247" t="s">
        <v>1796</v>
      </c>
      <c r="B1247" t="s">
        <v>1797</v>
      </c>
      <c r="C1247" t="s">
        <v>41</v>
      </c>
      <c r="D1247" t="s">
        <v>93</v>
      </c>
      <c r="E1247" t="s">
        <v>258</v>
      </c>
      <c r="F1247">
        <v>6</v>
      </c>
      <c r="G1247">
        <v>73.33</v>
      </c>
      <c r="H1247">
        <v>0.05</v>
      </c>
      <c r="I1247" s="4">
        <v>417.98</v>
      </c>
      <c r="J1247" t="s">
        <v>44</v>
      </c>
      <c r="K1247" t="s">
        <v>22</v>
      </c>
      <c r="L1247" s="4">
        <f>VLOOKUP(tblTransactions[[#This Row],[Product_ID]],tblProducts[],5,FALSE)</f>
        <v>38.049999999999997</v>
      </c>
      <c r="M1247" s="4">
        <f>tblTransactions[[#This Row],[Total_Amount]]-(tblTransactions[[#This Row],[Cost_Prices]]*tblTransactions[[#This Row],[Quantity]]*(1-tblTransactions[[#This Row],[Discount]]))</f>
        <v>201.09500000000006</v>
      </c>
      <c r="N1247" s="3">
        <f>tblTransactions[[#This Row],[Profit]]/tblTransactions[[#This Row],[Total_Amount]]</f>
        <v>0.48111153643715021</v>
      </c>
      <c r="O1247" t="str">
        <f>TEXT(tblTransactions[[#This Row],[Date]], "MMM-YYYY")</f>
        <v>Oct-2023</v>
      </c>
      <c r="P1247" t="str">
        <f>"Q"&amp;ROUNDUP(MONTH(tblTransactions[[#This Row],[Date]])/3,0)&amp;"-"&amp;YEAR(tblTransactions[[#This Row],[Date]])</f>
        <v>Q4-2023</v>
      </c>
      <c r="Q1247">
        <f>YEAR(tblTransactions[[#This Row],[Date]])</f>
        <v>2023</v>
      </c>
      <c r="R1247" t="str">
        <f>TEXT(tblTransactions[[#This Row],[Date]],"DDDD")</f>
        <v>Friday</v>
      </c>
      <c r="S1247">
        <f>MONTH(tblTransactions[[#This Row],[Date]])</f>
        <v>10</v>
      </c>
      <c r="T1247" t="str">
        <f>VLOOKUP(E1247, Products!$A:$B,2,0)</f>
        <v>Keyboards Acc-3</v>
      </c>
      <c r="U1247" t="str">
        <f>VLOOKUP(E1247,Products!$A:$C,3,0)</f>
        <v>Accessories</v>
      </c>
      <c r="V1247" t="str">
        <f>VLOOKUP(E1247,Products!$A:$D,4,0)</f>
        <v>Keyboards</v>
      </c>
      <c r="W1247" t="str">
        <f>VLOOKUP(D1247,Customers!$A:$C,3,0)</f>
        <v>B2C</v>
      </c>
      <c r="X1247" t="str">
        <f>VLOOKUP(C1247,Sales_Representatives!$A:$B,2,0)</f>
        <v>Robert Jones</v>
      </c>
    </row>
    <row r="1248" spans="1:24" x14ac:dyDescent="0.3">
      <c r="A1248" t="s">
        <v>1798</v>
      </c>
      <c r="B1248" t="s">
        <v>1797</v>
      </c>
      <c r="C1248" t="s">
        <v>19</v>
      </c>
      <c r="D1248" t="s">
        <v>1453</v>
      </c>
      <c r="E1248" t="s">
        <v>84</v>
      </c>
      <c r="F1248">
        <v>13</v>
      </c>
      <c r="G1248">
        <v>1841.77</v>
      </c>
      <c r="H1248">
        <v>0.17</v>
      </c>
      <c r="I1248" s="4">
        <v>19872.7</v>
      </c>
      <c r="J1248" t="s">
        <v>21</v>
      </c>
      <c r="K1248" t="s">
        <v>17</v>
      </c>
      <c r="L1248" s="4">
        <f>VLOOKUP(tblTransactions[[#This Row],[Product_ID]],tblProducts[],5,FALSE)</f>
        <v>1151.5899999999999</v>
      </c>
      <c r="M1248" s="4">
        <f>tblTransactions[[#This Row],[Total_Amount]]-(tblTransactions[[#This Row],[Cost_Prices]]*tblTransactions[[#This Row],[Quantity]]*(1-tblTransactions[[#This Row],[Discount]]))</f>
        <v>7447.0439000000024</v>
      </c>
      <c r="N1248" s="3">
        <f>tblTransactions[[#This Row],[Profit]]/tblTransactions[[#This Row],[Total_Amount]]</f>
        <v>0.37473739854171817</v>
      </c>
      <c r="O1248" t="str">
        <f>TEXT(tblTransactions[[#This Row],[Date]], "MMM-YYYY")</f>
        <v>Oct-2023</v>
      </c>
      <c r="P1248" t="str">
        <f>"Q"&amp;ROUNDUP(MONTH(tblTransactions[[#This Row],[Date]])/3,0)&amp;"-"&amp;YEAR(tblTransactions[[#This Row],[Date]])</f>
        <v>Q4-2023</v>
      </c>
      <c r="Q1248">
        <f>YEAR(tblTransactions[[#This Row],[Date]])</f>
        <v>2023</v>
      </c>
      <c r="R1248" t="str">
        <f>TEXT(tblTransactions[[#This Row],[Date]],"DDDD")</f>
        <v>Friday</v>
      </c>
      <c r="S1248">
        <f>MONTH(tblTransactions[[#This Row],[Date]])</f>
        <v>10</v>
      </c>
      <c r="T1248" t="str">
        <f>VLOOKUP(E1248, Products!$A:$B,2,0)</f>
        <v>Laptops Ele-2</v>
      </c>
      <c r="U1248" t="str">
        <f>VLOOKUP(E1248,Products!$A:$C,3,0)</f>
        <v>Electronics</v>
      </c>
      <c r="V1248" t="str">
        <f>VLOOKUP(E1248,Products!$A:$D,4,0)</f>
        <v>Laptops</v>
      </c>
      <c r="W1248" t="str">
        <f>VLOOKUP(D1248,Customers!$A:$C,3,0)</f>
        <v>B2B</v>
      </c>
      <c r="X1248" t="str">
        <f>VLOOKUP(C1248,Sales_Representatives!$A:$B,2,0)</f>
        <v>Robert Jones</v>
      </c>
    </row>
    <row r="1249" spans="1:24" x14ac:dyDescent="0.3">
      <c r="A1249" t="s">
        <v>1799</v>
      </c>
      <c r="B1249" t="s">
        <v>1797</v>
      </c>
      <c r="C1249" t="s">
        <v>41</v>
      </c>
      <c r="D1249" t="s">
        <v>1458</v>
      </c>
      <c r="E1249" t="s">
        <v>72</v>
      </c>
      <c r="F1249">
        <v>43</v>
      </c>
      <c r="G1249">
        <v>404.76</v>
      </c>
      <c r="H1249">
        <v>0.23</v>
      </c>
      <c r="I1249" s="4">
        <v>13401.6</v>
      </c>
      <c r="J1249" t="s">
        <v>44</v>
      </c>
      <c r="K1249" t="s">
        <v>35</v>
      </c>
      <c r="L1249" s="4">
        <f>VLOOKUP(tblTransactions[[#This Row],[Product_ID]],tblProducts[],5,FALSE)</f>
        <v>226.76</v>
      </c>
      <c r="M1249" s="4">
        <f>tblTransactions[[#This Row],[Total_Amount]]-(tblTransactions[[#This Row],[Cost_Prices]]*tblTransactions[[#This Row],[Quantity]]*(1-tblTransactions[[#This Row],[Discount]]))</f>
        <v>5893.5763999999999</v>
      </c>
      <c r="N1249" s="3">
        <f>tblTransactions[[#This Row],[Profit]]/tblTransactions[[#This Row],[Total_Amount]]</f>
        <v>0.43976662488061125</v>
      </c>
      <c r="O1249" t="str">
        <f>TEXT(tblTransactions[[#This Row],[Date]], "MMM-YYYY")</f>
        <v>Oct-2023</v>
      </c>
      <c r="P1249" t="str">
        <f>"Q"&amp;ROUNDUP(MONTH(tblTransactions[[#This Row],[Date]])/3,0)&amp;"-"&amp;YEAR(tblTransactions[[#This Row],[Date]])</f>
        <v>Q4-2023</v>
      </c>
      <c r="Q1249">
        <f>YEAR(tblTransactions[[#This Row],[Date]])</f>
        <v>2023</v>
      </c>
      <c r="R1249" t="str">
        <f>TEXT(tblTransactions[[#This Row],[Date]],"DDDD")</f>
        <v>Friday</v>
      </c>
      <c r="S1249">
        <f>MONTH(tblTransactions[[#This Row],[Date]])</f>
        <v>10</v>
      </c>
      <c r="T1249" t="str">
        <f>VLOOKUP(E1249, Products!$A:$B,2,0)</f>
        <v>Tablets Ele-2</v>
      </c>
      <c r="U1249" t="str">
        <f>VLOOKUP(E1249,Products!$A:$C,3,0)</f>
        <v>Electronics</v>
      </c>
      <c r="V1249" t="str">
        <f>VLOOKUP(E1249,Products!$A:$D,4,0)</f>
        <v>Tablets</v>
      </c>
      <c r="W1249" t="str">
        <f>VLOOKUP(D1249,Customers!$A:$C,3,0)</f>
        <v>Enterprise</v>
      </c>
      <c r="X1249" t="str">
        <f>VLOOKUP(C1249,Sales_Representatives!$A:$B,2,0)</f>
        <v>Robert Jones</v>
      </c>
    </row>
    <row r="1250" spans="1:24" x14ac:dyDescent="0.3">
      <c r="A1250" t="s">
        <v>1800</v>
      </c>
      <c r="B1250" t="s">
        <v>1797</v>
      </c>
      <c r="C1250" t="s">
        <v>59</v>
      </c>
      <c r="D1250" t="s">
        <v>1801</v>
      </c>
      <c r="E1250" t="s">
        <v>435</v>
      </c>
      <c r="F1250">
        <v>5</v>
      </c>
      <c r="G1250">
        <v>198.72</v>
      </c>
      <c r="H1250">
        <v>0</v>
      </c>
      <c r="I1250" s="4">
        <v>993.6</v>
      </c>
      <c r="J1250" t="s">
        <v>21</v>
      </c>
      <c r="K1250" t="s">
        <v>17</v>
      </c>
      <c r="L1250" s="4">
        <f>VLOOKUP(tblTransactions[[#This Row],[Product_ID]],tblProducts[],5,FALSE)</f>
        <v>116.98</v>
      </c>
      <c r="M1250" s="4">
        <f>tblTransactions[[#This Row],[Total_Amount]]-(tblTransactions[[#This Row],[Cost_Prices]]*tblTransactions[[#This Row],[Quantity]]*(1-tblTransactions[[#This Row],[Discount]]))</f>
        <v>408.70000000000005</v>
      </c>
      <c r="N1250" s="3">
        <f>tblTransactions[[#This Row],[Profit]]/tblTransactions[[#This Row],[Total_Amount]]</f>
        <v>0.41133252818035432</v>
      </c>
      <c r="O1250" t="str">
        <f>TEXT(tblTransactions[[#This Row],[Date]], "MMM-YYYY")</f>
        <v>Oct-2023</v>
      </c>
      <c r="P1250" t="str">
        <f>"Q"&amp;ROUNDUP(MONTH(tblTransactions[[#This Row],[Date]])/3,0)&amp;"-"&amp;YEAR(tblTransactions[[#This Row],[Date]])</f>
        <v>Q4-2023</v>
      </c>
      <c r="Q1250">
        <f>YEAR(tblTransactions[[#This Row],[Date]])</f>
        <v>2023</v>
      </c>
      <c r="R1250" t="str">
        <f>TEXT(tblTransactions[[#This Row],[Date]],"DDDD")</f>
        <v>Friday</v>
      </c>
      <c r="S1250">
        <f>MONTH(tblTransactions[[#This Row],[Date]])</f>
        <v>10</v>
      </c>
      <c r="T1250" t="str">
        <f>VLOOKUP(E1250, Products!$A:$B,2,0)</f>
        <v>Paper Off-4</v>
      </c>
      <c r="U1250" t="str">
        <f>VLOOKUP(E1250,Products!$A:$C,3,0)</f>
        <v>Office Supplies</v>
      </c>
      <c r="V1250" t="str">
        <f>VLOOKUP(E1250,Products!$A:$D,4,0)</f>
        <v>Paper</v>
      </c>
      <c r="W1250" t="str">
        <f>VLOOKUP(D1250,Customers!$A:$C,3,0)</f>
        <v>Small Business</v>
      </c>
      <c r="X1250" t="str">
        <f>VLOOKUP(C1250,Sales_Representatives!$A:$B,2,0)</f>
        <v>Sarah Brown</v>
      </c>
    </row>
    <row r="1251" spans="1:24" x14ac:dyDescent="0.3">
      <c r="A1251" t="s">
        <v>1802</v>
      </c>
      <c r="B1251" t="s">
        <v>1797</v>
      </c>
      <c r="C1251" t="s">
        <v>31</v>
      </c>
      <c r="D1251" t="s">
        <v>1675</v>
      </c>
      <c r="E1251" t="s">
        <v>347</v>
      </c>
      <c r="F1251">
        <v>2</v>
      </c>
      <c r="G1251">
        <v>1539.6</v>
      </c>
      <c r="H1251">
        <v>0.05</v>
      </c>
      <c r="I1251" s="4">
        <v>2925.24</v>
      </c>
      <c r="J1251" t="s">
        <v>34</v>
      </c>
      <c r="K1251" t="s">
        <v>35</v>
      </c>
      <c r="L1251" s="4">
        <f>VLOOKUP(tblTransactions[[#This Row],[Product_ID]],tblProducts[],5,FALSE)</f>
        <v>992.43</v>
      </c>
      <c r="M1251" s="4">
        <f>tblTransactions[[#This Row],[Total_Amount]]-(tblTransactions[[#This Row],[Cost_Prices]]*tblTransactions[[#This Row],[Quantity]]*(1-tblTransactions[[#This Row],[Discount]]))</f>
        <v>1039.623</v>
      </c>
      <c r="N1251" s="3">
        <f>tblTransactions[[#This Row],[Profit]]/tblTransactions[[#This Row],[Total_Amount]]</f>
        <v>0.35539750584567426</v>
      </c>
      <c r="O1251" t="str">
        <f>TEXT(tblTransactions[[#This Row],[Date]], "MMM-YYYY")</f>
        <v>Oct-2023</v>
      </c>
      <c r="P1251" t="str">
        <f>"Q"&amp;ROUNDUP(MONTH(tblTransactions[[#This Row],[Date]])/3,0)&amp;"-"&amp;YEAR(tblTransactions[[#This Row],[Date]])</f>
        <v>Q4-2023</v>
      </c>
      <c r="Q1251">
        <f>YEAR(tblTransactions[[#This Row],[Date]])</f>
        <v>2023</v>
      </c>
      <c r="R1251" t="str">
        <f>TEXT(tblTransactions[[#This Row],[Date]],"DDDD")</f>
        <v>Friday</v>
      </c>
      <c r="S1251">
        <f>MONTH(tblTransactions[[#This Row],[Date]])</f>
        <v>10</v>
      </c>
      <c r="T1251" t="str">
        <f>VLOOKUP(E1251, Products!$A:$B,2,0)</f>
        <v>Routers Tec-2</v>
      </c>
      <c r="U1251" t="str">
        <f>VLOOKUP(E1251,Products!$A:$C,3,0)</f>
        <v>Technology</v>
      </c>
      <c r="V1251" t="str">
        <f>VLOOKUP(E1251,Products!$A:$D,4,0)</f>
        <v>Routers</v>
      </c>
      <c r="W1251" t="str">
        <f>VLOOKUP(D1251,Customers!$A:$C,3,0)</f>
        <v>B2B</v>
      </c>
      <c r="X1251" t="str">
        <f>VLOOKUP(C1251,Sales_Representatives!$A:$B,2,0)</f>
        <v>Thomas Martinez</v>
      </c>
    </row>
    <row r="1252" spans="1:24" x14ac:dyDescent="0.3">
      <c r="A1252" t="s">
        <v>1803</v>
      </c>
      <c r="B1252" t="s">
        <v>1804</v>
      </c>
      <c r="C1252" t="s">
        <v>13</v>
      </c>
      <c r="D1252" t="s">
        <v>1805</v>
      </c>
      <c r="E1252" t="s">
        <v>29</v>
      </c>
      <c r="F1252">
        <v>14</v>
      </c>
      <c r="G1252">
        <v>1363.46</v>
      </c>
      <c r="H1252">
        <v>0.18</v>
      </c>
      <c r="I1252" s="4">
        <v>15652.52</v>
      </c>
      <c r="J1252" t="s">
        <v>16</v>
      </c>
      <c r="K1252" t="s">
        <v>22</v>
      </c>
      <c r="L1252" s="4">
        <f>VLOOKUP(tblTransactions[[#This Row],[Product_ID]],tblProducts[],5,FALSE)</f>
        <v>995.41</v>
      </c>
      <c r="M1252" s="4">
        <f>tblTransactions[[#This Row],[Total_Amount]]-(tblTransactions[[#This Row],[Cost_Prices]]*tblTransactions[[#This Row],[Quantity]]*(1-tblTransactions[[#This Row],[Discount]]))</f>
        <v>4225.2132000000001</v>
      </c>
      <c r="N1252" s="3">
        <f>tblTransactions[[#This Row],[Profit]]/tblTransactions[[#This Row],[Total_Amount]]</f>
        <v>0.26993820803295571</v>
      </c>
      <c r="O1252" t="str">
        <f>TEXT(tblTransactions[[#This Row],[Date]], "MMM-YYYY")</f>
        <v>Oct-2023</v>
      </c>
      <c r="P1252" t="str">
        <f>"Q"&amp;ROUNDUP(MONTH(tblTransactions[[#This Row],[Date]])/3,0)&amp;"-"&amp;YEAR(tblTransactions[[#This Row],[Date]])</f>
        <v>Q4-2023</v>
      </c>
      <c r="Q1252">
        <f>YEAR(tblTransactions[[#This Row],[Date]])</f>
        <v>2023</v>
      </c>
      <c r="R1252" t="str">
        <f>TEXT(tblTransactions[[#This Row],[Date]],"DDDD")</f>
        <v>Saturday</v>
      </c>
      <c r="S1252">
        <f>MONTH(tblTransactions[[#This Row],[Date]])</f>
        <v>10</v>
      </c>
      <c r="T1252" t="str">
        <f>VLOOKUP(E1252, Products!$A:$B,2,0)</f>
        <v>Phones Ele-3</v>
      </c>
      <c r="U1252" t="str">
        <f>VLOOKUP(E1252,Products!$A:$C,3,0)</f>
        <v>Electronics</v>
      </c>
      <c r="V1252" t="str">
        <f>VLOOKUP(E1252,Products!$A:$D,4,0)</f>
        <v>Phones</v>
      </c>
      <c r="W1252" t="str">
        <f>VLOOKUP(D1252,Customers!$A:$C,3,0)</f>
        <v>Enterprise</v>
      </c>
      <c r="X1252" t="str">
        <f>VLOOKUP(C1252,Sales_Representatives!$A:$B,2,0)</f>
        <v>Jennifer Rodriguez</v>
      </c>
    </row>
    <row r="1253" spans="1:24" x14ac:dyDescent="0.3">
      <c r="A1253" t="s">
        <v>1806</v>
      </c>
      <c r="B1253" t="s">
        <v>1804</v>
      </c>
      <c r="C1253" t="s">
        <v>59</v>
      </c>
      <c r="D1253" t="s">
        <v>1505</v>
      </c>
      <c r="E1253" t="s">
        <v>84</v>
      </c>
      <c r="F1253">
        <v>3</v>
      </c>
      <c r="G1253">
        <v>1841.77</v>
      </c>
      <c r="H1253">
        <v>0.1</v>
      </c>
      <c r="I1253" s="4">
        <v>4972.78</v>
      </c>
      <c r="J1253" t="s">
        <v>21</v>
      </c>
      <c r="K1253" t="s">
        <v>35</v>
      </c>
      <c r="L1253" s="4">
        <f>VLOOKUP(tblTransactions[[#This Row],[Product_ID]],tblProducts[],5,FALSE)</f>
        <v>1151.5899999999999</v>
      </c>
      <c r="M1253" s="4">
        <f>tblTransactions[[#This Row],[Total_Amount]]-(tblTransactions[[#This Row],[Cost_Prices]]*tblTransactions[[#This Row],[Quantity]]*(1-tblTransactions[[#This Row],[Discount]]))</f>
        <v>1863.4870000000001</v>
      </c>
      <c r="N1253" s="3">
        <f>tblTransactions[[#This Row],[Profit]]/tblTransactions[[#This Row],[Total_Amount]]</f>
        <v>0.37473747079098618</v>
      </c>
      <c r="O1253" t="str">
        <f>TEXT(tblTransactions[[#This Row],[Date]], "MMM-YYYY")</f>
        <v>Oct-2023</v>
      </c>
      <c r="P1253" t="str">
        <f>"Q"&amp;ROUNDUP(MONTH(tblTransactions[[#This Row],[Date]])/3,0)&amp;"-"&amp;YEAR(tblTransactions[[#This Row],[Date]])</f>
        <v>Q4-2023</v>
      </c>
      <c r="Q1253">
        <f>YEAR(tblTransactions[[#This Row],[Date]])</f>
        <v>2023</v>
      </c>
      <c r="R1253" t="str">
        <f>TEXT(tblTransactions[[#This Row],[Date]],"DDDD")</f>
        <v>Saturday</v>
      </c>
      <c r="S1253">
        <f>MONTH(tblTransactions[[#This Row],[Date]])</f>
        <v>10</v>
      </c>
      <c r="T1253" t="str">
        <f>VLOOKUP(E1253, Products!$A:$B,2,0)</f>
        <v>Laptops Ele-2</v>
      </c>
      <c r="U1253" t="str">
        <f>VLOOKUP(E1253,Products!$A:$C,3,0)</f>
        <v>Electronics</v>
      </c>
      <c r="V1253" t="str">
        <f>VLOOKUP(E1253,Products!$A:$D,4,0)</f>
        <v>Laptops</v>
      </c>
      <c r="W1253" t="str">
        <f>VLOOKUP(D1253,Customers!$A:$C,3,0)</f>
        <v>B2C</v>
      </c>
      <c r="X1253" t="str">
        <f>VLOOKUP(C1253,Sales_Representatives!$A:$B,2,0)</f>
        <v>Sarah Brown</v>
      </c>
    </row>
    <row r="1254" spans="1:24" x14ac:dyDescent="0.3">
      <c r="A1254" t="s">
        <v>1807</v>
      </c>
      <c r="B1254" t="s">
        <v>1804</v>
      </c>
      <c r="C1254" t="s">
        <v>56</v>
      </c>
      <c r="D1254" t="s">
        <v>1808</v>
      </c>
      <c r="E1254" t="s">
        <v>347</v>
      </c>
      <c r="F1254">
        <v>9</v>
      </c>
      <c r="G1254">
        <v>1539.6</v>
      </c>
      <c r="H1254">
        <v>0.1</v>
      </c>
      <c r="I1254" s="4">
        <v>12470.76</v>
      </c>
      <c r="J1254" t="s">
        <v>34</v>
      </c>
      <c r="K1254" t="s">
        <v>17</v>
      </c>
      <c r="L1254" s="4">
        <f>VLOOKUP(tblTransactions[[#This Row],[Product_ID]],tblProducts[],5,FALSE)</f>
        <v>992.43</v>
      </c>
      <c r="M1254" s="4">
        <f>tblTransactions[[#This Row],[Total_Amount]]-(tblTransactions[[#This Row],[Cost_Prices]]*tblTransactions[[#This Row],[Quantity]]*(1-tblTransactions[[#This Row],[Discount]]))</f>
        <v>4432.0770000000011</v>
      </c>
      <c r="N1254" s="3">
        <f>tblTransactions[[#This Row],[Profit]]/tblTransactions[[#This Row],[Total_Amount]]</f>
        <v>0.35539750584567431</v>
      </c>
      <c r="O1254" t="str">
        <f>TEXT(tblTransactions[[#This Row],[Date]], "MMM-YYYY")</f>
        <v>Oct-2023</v>
      </c>
      <c r="P1254" t="str">
        <f>"Q"&amp;ROUNDUP(MONTH(tblTransactions[[#This Row],[Date]])/3,0)&amp;"-"&amp;YEAR(tblTransactions[[#This Row],[Date]])</f>
        <v>Q4-2023</v>
      </c>
      <c r="Q1254">
        <f>YEAR(tblTransactions[[#This Row],[Date]])</f>
        <v>2023</v>
      </c>
      <c r="R1254" t="str">
        <f>TEXT(tblTransactions[[#This Row],[Date]],"DDDD")</f>
        <v>Saturday</v>
      </c>
      <c r="S1254">
        <f>MONTH(tblTransactions[[#This Row],[Date]])</f>
        <v>10</v>
      </c>
      <c r="T1254" t="str">
        <f>VLOOKUP(E1254, Products!$A:$B,2,0)</f>
        <v>Routers Tec-2</v>
      </c>
      <c r="U1254" t="str">
        <f>VLOOKUP(E1254,Products!$A:$C,3,0)</f>
        <v>Technology</v>
      </c>
      <c r="V1254" t="str">
        <f>VLOOKUP(E1254,Products!$A:$D,4,0)</f>
        <v>Routers</v>
      </c>
      <c r="W1254" t="str">
        <f>VLOOKUP(D1254,Customers!$A:$C,3,0)</f>
        <v>B2B</v>
      </c>
      <c r="X1254" t="str">
        <f>VLOOKUP(C1254,Sales_Representatives!$A:$B,2,0)</f>
        <v>Thomas Hernandez</v>
      </c>
    </row>
    <row r="1255" spans="1:24" x14ac:dyDescent="0.3">
      <c r="A1255" t="s">
        <v>1809</v>
      </c>
      <c r="B1255" t="s">
        <v>1804</v>
      </c>
      <c r="C1255" t="s">
        <v>107</v>
      </c>
      <c r="D1255" t="s">
        <v>1598</v>
      </c>
      <c r="E1255" t="s">
        <v>376</v>
      </c>
      <c r="F1255">
        <v>5</v>
      </c>
      <c r="G1255">
        <v>229.65</v>
      </c>
      <c r="H1255">
        <v>0.06</v>
      </c>
      <c r="I1255" s="4">
        <v>1079.3599999999999</v>
      </c>
      <c r="J1255" t="s">
        <v>109</v>
      </c>
      <c r="K1255" t="s">
        <v>35</v>
      </c>
      <c r="L1255" s="4">
        <f>VLOOKUP(tblTransactions[[#This Row],[Product_ID]],tblProducts[],5,FALSE)</f>
        <v>96.84</v>
      </c>
      <c r="M1255" s="4">
        <f>tblTransactions[[#This Row],[Total_Amount]]-(tblTransactions[[#This Row],[Cost_Prices]]*tblTransactions[[#This Row],[Quantity]]*(1-tblTransactions[[#This Row],[Discount]]))</f>
        <v>624.21199999999988</v>
      </c>
      <c r="N1255" s="3">
        <f>tblTransactions[[#This Row],[Profit]]/tblTransactions[[#This Row],[Total_Amount]]</f>
        <v>0.57831678031426026</v>
      </c>
      <c r="O1255" t="str">
        <f>TEXT(tblTransactions[[#This Row],[Date]], "MMM-YYYY")</f>
        <v>Oct-2023</v>
      </c>
      <c r="P1255" t="str">
        <f>"Q"&amp;ROUNDUP(MONTH(tblTransactions[[#This Row],[Date]])/3,0)&amp;"-"&amp;YEAR(tblTransactions[[#This Row],[Date]])</f>
        <v>Q4-2023</v>
      </c>
      <c r="Q1255">
        <f>YEAR(tblTransactions[[#This Row],[Date]])</f>
        <v>2023</v>
      </c>
      <c r="R1255" t="str">
        <f>TEXT(tblTransactions[[#This Row],[Date]],"DDDD")</f>
        <v>Saturday</v>
      </c>
      <c r="S1255">
        <f>MONTH(tblTransactions[[#This Row],[Date]])</f>
        <v>10</v>
      </c>
      <c r="T1255" t="str">
        <f>VLOOKUP(E1255, Products!$A:$B,2,0)</f>
        <v>Adapters Acc-2</v>
      </c>
      <c r="U1255" t="str">
        <f>VLOOKUP(E1255,Products!$A:$C,3,0)</f>
        <v>Accessories</v>
      </c>
      <c r="V1255" t="str">
        <f>VLOOKUP(E1255,Products!$A:$D,4,0)</f>
        <v>Adapters</v>
      </c>
      <c r="W1255" t="str">
        <f>VLOOKUP(D1255,Customers!$A:$C,3,0)</f>
        <v>B2C</v>
      </c>
      <c r="X1255" t="str">
        <f>VLOOKUP(C1255,Sales_Representatives!$A:$B,2,0)</f>
        <v>Jennifer Brown</v>
      </c>
    </row>
    <row r="1256" spans="1:24" x14ac:dyDescent="0.3">
      <c r="A1256" t="s">
        <v>1810</v>
      </c>
      <c r="B1256" t="s">
        <v>1811</v>
      </c>
      <c r="C1256" t="s">
        <v>13</v>
      </c>
      <c r="D1256" t="s">
        <v>47</v>
      </c>
      <c r="E1256" t="s">
        <v>264</v>
      </c>
      <c r="F1256">
        <v>4</v>
      </c>
      <c r="G1256">
        <v>607.29999999999995</v>
      </c>
      <c r="H1256">
        <v>0.08</v>
      </c>
      <c r="I1256" s="4">
        <v>2234.86</v>
      </c>
      <c r="J1256" t="s">
        <v>16</v>
      </c>
      <c r="K1256" t="s">
        <v>39</v>
      </c>
      <c r="L1256" s="4">
        <f>VLOOKUP(tblTransactions[[#This Row],[Product_ID]],tblProducts[],5,FALSE)</f>
        <v>436.37</v>
      </c>
      <c r="M1256" s="4">
        <f>tblTransactions[[#This Row],[Total_Amount]]-(tblTransactions[[#This Row],[Cost_Prices]]*tblTransactions[[#This Row],[Quantity]]*(1-tblTransactions[[#This Row],[Discount]]))</f>
        <v>629.01839999999993</v>
      </c>
      <c r="N1256" s="3">
        <f>tblTransactions[[#This Row],[Profit]]/tblTransactions[[#This Row],[Total_Amount]]</f>
        <v>0.28145763045559896</v>
      </c>
      <c r="O1256" t="str">
        <f>TEXT(tblTransactions[[#This Row],[Date]], "MMM-YYYY")</f>
        <v>Oct-2023</v>
      </c>
      <c r="P1256" t="str">
        <f>"Q"&amp;ROUNDUP(MONTH(tblTransactions[[#This Row],[Date]])/3,0)&amp;"-"&amp;YEAR(tblTransactions[[#This Row],[Date]])</f>
        <v>Q4-2023</v>
      </c>
      <c r="Q1256">
        <f>YEAR(tblTransactions[[#This Row],[Date]])</f>
        <v>2023</v>
      </c>
      <c r="R1256" t="str">
        <f>TEXT(tblTransactions[[#This Row],[Date]],"DDDD")</f>
        <v>Sunday</v>
      </c>
      <c r="S1256">
        <f>MONTH(tblTransactions[[#This Row],[Date]])</f>
        <v>10</v>
      </c>
      <c r="T1256" t="str">
        <f>VLOOKUP(E1256, Products!$A:$B,2,0)</f>
        <v>Tablets Ele-4</v>
      </c>
      <c r="U1256" t="str">
        <f>VLOOKUP(E1256,Products!$A:$C,3,0)</f>
        <v>Electronics</v>
      </c>
      <c r="V1256" t="str">
        <f>VLOOKUP(E1256,Products!$A:$D,4,0)</f>
        <v>Tablets</v>
      </c>
      <c r="W1256" t="str">
        <f>VLOOKUP(D1256,Customers!$A:$C,3,0)</f>
        <v>B2C</v>
      </c>
      <c r="X1256" t="str">
        <f>VLOOKUP(C1256,Sales_Representatives!$A:$B,2,0)</f>
        <v>Jennifer Rodriguez</v>
      </c>
    </row>
    <row r="1257" spans="1:24" x14ac:dyDescent="0.3">
      <c r="A1257" t="s">
        <v>1812</v>
      </c>
      <c r="B1257" t="s">
        <v>1811</v>
      </c>
      <c r="C1257" t="s">
        <v>131</v>
      </c>
      <c r="D1257" t="s">
        <v>1813</v>
      </c>
      <c r="E1257" t="s">
        <v>99</v>
      </c>
      <c r="F1257">
        <v>37</v>
      </c>
      <c r="G1257">
        <v>325.14</v>
      </c>
      <c r="H1257">
        <v>0.23</v>
      </c>
      <c r="I1257" s="4">
        <v>9263.24</v>
      </c>
      <c r="J1257" t="s">
        <v>44</v>
      </c>
      <c r="K1257" t="s">
        <v>39</v>
      </c>
      <c r="L1257" s="4">
        <f>VLOOKUP(tblTransactions[[#This Row],[Product_ID]],tblProducts[],5,FALSE)</f>
        <v>209.04</v>
      </c>
      <c r="M1257" s="4">
        <f>tblTransactions[[#This Row],[Total_Amount]]-(tblTransactions[[#This Row],[Cost_Prices]]*tblTransactions[[#This Row],[Quantity]]*(1-tblTransactions[[#This Row],[Discount]]))</f>
        <v>3307.6904000000004</v>
      </c>
      <c r="N1257" s="3">
        <f>tblTransactions[[#This Row],[Profit]]/tblTransactions[[#This Row],[Total_Amount]]</f>
        <v>0.3570770486352508</v>
      </c>
      <c r="O1257" t="str">
        <f>TEXT(tblTransactions[[#This Row],[Date]], "MMM-YYYY")</f>
        <v>Oct-2023</v>
      </c>
      <c r="P1257" t="str">
        <f>"Q"&amp;ROUNDUP(MONTH(tblTransactions[[#This Row],[Date]])/3,0)&amp;"-"&amp;YEAR(tblTransactions[[#This Row],[Date]])</f>
        <v>Q4-2023</v>
      </c>
      <c r="Q1257">
        <f>YEAR(tblTransactions[[#This Row],[Date]])</f>
        <v>2023</v>
      </c>
      <c r="R1257" t="str">
        <f>TEXT(tblTransactions[[#This Row],[Date]],"DDDD")</f>
        <v>Sunday</v>
      </c>
      <c r="S1257">
        <f>MONTH(tblTransactions[[#This Row],[Date]])</f>
        <v>10</v>
      </c>
      <c r="T1257" t="str">
        <f>VLOOKUP(E1257, Products!$A:$B,2,0)</f>
        <v>Monitors Tec-1</v>
      </c>
      <c r="U1257" t="str">
        <f>VLOOKUP(E1257,Products!$A:$C,3,0)</f>
        <v>Technology</v>
      </c>
      <c r="V1257" t="str">
        <f>VLOOKUP(E1257,Products!$A:$D,4,0)</f>
        <v>Monitors</v>
      </c>
      <c r="W1257" t="str">
        <f>VLOOKUP(D1257,Customers!$A:$C,3,0)</f>
        <v>Enterprise</v>
      </c>
      <c r="X1257" t="str">
        <f>VLOOKUP(C1257,Sales_Representatives!$A:$B,2,0)</f>
        <v>Michael Davis</v>
      </c>
    </row>
    <row r="1258" spans="1:24" x14ac:dyDescent="0.3">
      <c r="A1258" t="s">
        <v>1814</v>
      </c>
      <c r="B1258" t="s">
        <v>1811</v>
      </c>
      <c r="C1258" t="s">
        <v>63</v>
      </c>
      <c r="D1258" t="s">
        <v>1458</v>
      </c>
      <c r="E1258" t="s">
        <v>283</v>
      </c>
      <c r="F1258">
        <v>21</v>
      </c>
      <c r="G1258">
        <v>456.88</v>
      </c>
      <c r="H1258">
        <v>0.15</v>
      </c>
      <c r="I1258" s="4">
        <v>8155.31</v>
      </c>
      <c r="J1258" t="s">
        <v>21</v>
      </c>
      <c r="K1258" t="s">
        <v>39</v>
      </c>
      <c r="L1258" s="4">
        <f>VLOOKUP(tblTransactions[[#This Row],[Product_ID]],tblProducts[],5,FALSE)</f>
        <v>313.23</v>
      </c>
      <c r="M1258" s="4">
        <f>tblTransactions[[#This Row],[Total_Amount]]-(tblTransactions[[#This Row],[Cost_Prices]]*tblTransactions[[#This Row],[Quantity]]*(1-tblTransactions[[#This Row],[Discount]]))</f>
        <v>2564.1545000000006</v>
      </c>
      <c r="N1258" s="3">
        <f>tblTransactions[[#This Row],[Profit]]/tblTransactions[[#This Row],[Total_Amount]]</f>
        <v>0.31441533185127241</v>
      </c>
      <c r="O1258" t="str">
        <f>TEXT(tblTransactions[[#This Row],[Date]], "MMM-YYYY")</f>
        <v>Oct-2023</v>
      </c>
      <c r="P1258" t="str">
        <f>"Q"&amp;ROUNDUP(MONTH(tblTransactions[[#This Row],[Date]])/3,0)&amp;"-"&amp;YEAR(tblTransactions[[#This Row],[Date]])</f>
        <v>Q4-2023</v>
      </c>
      <c r="Q1258">
        <f>YEAR(tblTransactions[[#This Row],[Date]])</f>
        <v>2023</v>
      </c>
      <c r="R1258" t="str">
        <f>TEXT(tblTransactions[[#This Row],[Date]],"DDDD")</f>
        <v>Sunday</v>
      </c>
      <c r="S1258">
        <f>MONTH(tblTransactions[[#This Row],[Date]])</f>
        <v>10</v>
      </c>
      <c r="T1258" t="str">
        <f>VLOOKUP(E1258, Products!$A:$B,2,0)</f>
        <v>Chairs Fur-3</v>
      </c>
      <c r="U1258" t="str">
        <f>VLOOKUP(E1258,Products!$A:$C,3,0)</f>
        <v>Furniture</v>
      </c>
      <c r="V1258" t="str">
        <f>VLOOKUP(E1258,Products!$A:$D,4,0)</f>
        <v>Chairs</v>
      </c>
      <c r="W1258" t="str">
        <f>VLOOKUP(D1258,Customers!$A:$C,3,0)</f>
        <v>Enterprise</v>
      </c>
      <c r="X1258" t="str">
        <f>VLOOKUP(C1258,Sales_Representatives!$A:$B,2,0)</f>
        <v>Richard Wilson</v>
      </c>
    </row>
    <row r="1259" spans="1:24" x14ac:dyDescent="0.3">
      <c r="A1259" t="s">
        <v>1815</v>
      </c>
      <c r="B1259" t="s">
        <v>1811</v>
      </c>
      <c r="C1259" t="s">
        <v>13</v>
      </c>
      <c r="D1259" t="s">
        <v>1538</v>
      </c>
      <c r="E1259" t="s">
        <v>102</v>
      </c>
      <c r="F1259">
        <v>2</v>
      </c>
      <c r="G1259">
        <v>1097.75</v>
      </c>
      <c r="H1259">
        <v>0.03</v>
      </c>
      <c r="I1259" s="4">
        <v>2129.64</v>
      </c>
      <c r="J1259" t="s">
        <v>16</v>
      </c>
      <c r="K1259" t="s">
        <v>39</v>
      </c>
      <c r="L1259" s="4">
        <f>VLOOKUP(tblTransactions[[#This Row],[Product_ID]],tblProducts[],5,FALSE)</f>
        <v>680.12</v>
      </c>
      <c r="M1259" s="4">
        <f>tblTransactions[[#This Row],[Total_Amount]]-(tblTransactions[[#This Row],[Cost_Prices]]*tblTransactions[[#This Row],[Quantity]]*(1-tblTransactions[[#This Row],[Discount]]))</f>
        <v>810.20719999999983</v>
      </c>
      <c r="N1259" s="3">
        <f>tblTransactions[[#This Row],[Profit]]/tblTransactions[[#This Row],[Total_Amount]]</f>
        <v>0.38044326740669782</v>
      </c>
      <c r="O1259" t="str">
        <f>TEXT(tblTransactions[[#This Row],[Date]], "MMM-YYYY")</f>
        <v>Oct-2023</v>
      </c>
      <c r="P1259" t="str">
        <f>"Q"&amp;ROUNDUP(MONTH(tblTransactions[[#This Row],[Date]])/3,0)&amp;"-"&amp;YEAR(tblTransactions[[#This Row],[Date]])</f>
        <v>Q4-2023</v>
      </c>
      <c r="Q1259">
        <f>YEAR(tblTransactions[[#This Row],[Date]])</f>
        <v>2023</v>
      </c>
      <c r="R1259" t="str">
        <f>TEXT(tblTransactions[[#This Row],[Date]],"DDDD")</f>
        <v>Sunday</v>
      </c>
      <c r="S1259">
        <f>MONTH(tblTransactions[[#This Row],[Date]])</f>
        <v>10</v>
      </c>
      <c r="T1259" t="str">
        <f>VLOOKUP(E1259, Products!$A:$B,2,0)</f>
        <v>Storage Fur-4</v>
      </c>
      <c r="U1259" t="str">
        <f>VLOOKUP(E1259,Products!$A:$C,3,0)</f>
        <v>Furniture</v>
      </c>
      <c r="V1259" t="str">
        <f>VLOOKUP(E1259,Products!$A:$D,4,0)</f>
        <v>Storage</v>
      </c>
      <c r="W1259" t="str">
        <f>VLOOKUP(D1259,Customers!$A:$C,3,0)</f>
        <v>B2C</v>
      </c>
      <c r="X1259" t="str">
        <f>VLOOKUP(C1259,Sales_Representatives!$A:$B,2,0)</f>
        <v>Jennifer Rodriguez</v>
      </c>
    </row>
    <row r="1260" spans="1:24" x14ac:dyDescent="0.3">
      <c r="A1260" t="s">
        <v>1816</v>
      </c>
      <c r="B1260" t="s">
        <v>1817</v>
      </c>
      <c r="C1260" t="s">
        <v>13</v>
      </c>
      <c r="D1260" t="s">
        <v>1808</v>
      </c>
      <c r="E1260" t="s">
        <v>221</v>
      </c>
      <c r="F1260">
        <v>7</v>
      </c>
      <c r="G1260">
        <v>210.02</v>
      </c>
      <c r="H1260">
        <v>0.08</v>
      </c>
      <c r="I1260" s="4">
        <v>1352.53</v>
      </c>
      <c r="J1260" t="s">
        <v>16</v>
      </c>
      <c r="K1260" t="s">
        <v>48</v>
      </c>
      <c r="L1260" s="4">
        <f>VLOOKUP(tblTransactions[[#This Row],[Product_ID]],tblProducts[],5,FALSE)</f>
        <v>131.66</v>
      </c>
      <c r="M1260" s="4">
        <f>tblTransactions[[#This Row],[Total_Amount]]-(tblTransactions[[#This Row],[Cost_Prices]]*tblTransactions[[#This Row],[Quantity]]*(1-tblTransactions[[#This Row],[Discount]]))</f>
        <v>504.63959999999997</v>
      </c>
      <c r="N1260" s="3">
        <f>tblTransactions[[#This Row],[Profit]]/tblTransactions[[#This Row],[Total_Amount]]</f>
        <v>0.37310787930766787</v>
      </c>
      <c r="O1260" t="str">
        <f>TEXT(tblTransactions[[#This Row],[Date]], "MMM-YYYY")</f>
        <v>Oct-2023</v>
      </c>
      <c r="P1260" t="str">
        <f>"Q"&amp;ROUNDUP(MONTH(tblTransactions[[#This Row],[Date]])/3,0)&amp;"-"&amp;YEAR(tblTransactions[[#This Row],[Date]])</f>
        <v>Q4-2023</v>
      </c>
      <c r="Q1260">
        <f>YEAR(tblTransactions[[#This Row],[Date]])</f>
        <v>2023</v>
      </c>
      <c r="R1260" t="str">
        <f>TEXT(tblTransactions[[#This Row],[Date]],"DDDD")</f>
        <v>Monday</v>
      </c>
      <c r="S1260">
        <f>MONTH(tblTransactions[[#This Row],[Date]])</f>
        <v>10</v>
      </c>
      <c r="T1260" t="str">
        <f>VLOOKUP(E1260, Products!$A:$B,2,0)</f>
        <v>Storage Fur-2</v>
      </c>
      <c r="U1260" t="str">
        <f>VLOOKUP(E1260,Products!$A:$C,3,0)</f>
        <v>Furniture</v>
      </c>
      <c r="V1260" t="str">
        <f>VLOOKUP(E1260,Products!$A:$D,4,0)</f>
        <v>Storage</v>
      </c>
      <c r="W1260" t="str">
        <f>VLOOKUP(D1260,Customers!$A:$C,3,0)</f>
        <v>B2B</v>
      </c>
      <c r="X1260" t="str">
        <f>VLOOKUP(C1260,Sales_Representatives!$A:$B,2,0)</f>
        <v>Jennifer Rodriguez</v>
      </c>
    </row>
    <row r="1261" spans="1:24" x14ac:dyDescent="0.3">
      <c r="A1261" t="s">
        <v>1818</v>
      </c>
      <c r="B1261" t="s">
        <v>1817</v>
      </c>
      <c r="C1261" t="s">
        <v>27</v>
      </c>
      <c r="D1261" t="s">
        <v>1819</v>
      </c>
      <c r="E1261" t="s">
        <v>176</v>
      </c>
      <c r="F1261">
        <v>5</v>
      </c>
      <c r="G1261">
        <v>1462.68</v>
      </c>
      <c r="H1261">
        <v>0.02</v>
      </c>
      <c r="I1261" s="4">
        <v>7167.13</v>
      </c>
      <c r="J1261" t="s">
        <v>16</v>
      </c>
      <c r="K1261" t="s">
        <v>35</v>
      </c>
      <c r="L1261" s="4">
        <f>VLOOKUP(tblTransactions[[#This Row],[Product_ID]],tblProducts[],5,FALSE)</f>
        <v>775.94</v>
      </c>
      <c r="M1261" s="4">
        <f>tblTransactions[[#This Row],[Total_Amount]]-(tblTransactions[[#This Row],[Cost_Prices]]*tblTransactions[[#This Row],[Quantity]]*(1-tblTransactions[[#This Row],[Discount]]))</f>
        <v>3365.0239999999999</v>
      </c>
      <c r="N1261" s="3">
        <f>tblTransactions[[#This Row],[Profit]]/tblTransactions[[#This Row],[Total_Amount]]</f>
        <v>0.46950787832786622</v>
      </c>
      <c r="O1261" t="str">
        <f>TEXT(tblTransactions[[#This Row],[Date]], "MMM-YYYY")</f>
        <v>Oct-2023</v>
      </c>
      <c r="P1261" t="str">
        <f>"Q"&amp;ROUNDUP(MONTH(tblTransactions[[#This Row],[Date]])/3,0)&amp;"-"&amp;YEAR(tblTransactions[[#This Row],[Date]])</f>
        <v>Q4-2023</v>
      </c>
      <c r="Q1261">
        <f>YEAR(tblTransactions[[#This Row],[Date]])</f>
        <v>2023</v>
      </c>
      <c r="R1261" t="str">
        <f>TEXT(tblTransactions[[#This Row],[Date]],"DDDD")</f>
        <v>Monday</v>
      </c>
      <c r="S1261">
        <f>MONTH(tblTransactions[[#This Row],[Date]])</f>
        <v>10</v>
      </c>
      <c r="T1261" t="str">
        <f>VLOOKUP(E1261, Products!$A:$B,2,0)</f>
        <v>Chairs Fur-2</v>
      </c>
      <c r="U1261" t="str">
        <f>VLOOKUP(E1261,Products!$A:$C,3,0)</f>
        <v>Furniture</v>
      </c>
      <c r="V1261" t="str">
        <f>VLOOKUP(E1261,Products!$A:$D,4,0)</f>
        <v>Chairs</v>
      </c>
      <c r="W1261" t="str">
        <f>VLOOKUP(D1261,Customers!$A:$C,3,0)</f>
        <v>Small Business</v>
      </c>
      <c r="X1261" t="str">
        <f>VLOOKUP(C1261,Sales_Representatives!$A:$B,2,0)</f>
        <v>Thomas Lopez</v>
      </c>
    </row>
    <row r="1262" spans="1:24" x14ac:dyDescent="0.3">
      <c r="A1262" t="s">
        <v>1820</v>
      </c>
      <c r="B1262" t="s">
        <v>1821</v>
      </c>
      <c r="C1262" t="s">
        <v>41</v>
      </c>
      <c r="D1262" t="s">
        <v>1822</v>
      </c>
      <c r="E1262" t="s">
        <v>200</v>
      </c>
      <c r="F1262">
        <v>1</v>
      </c>
      <c r="G1262">
        <v>544.77</v>
      </c>
      <c r="H1262">
        <v>0.02</v>
      </c>
      <c r="I1262" s="4">
        <v>533.87</v>
      </c>
      <c r="J1262" t="s">
        <v>44</v>
      </c>
      <c r="K1262" t="s">
        <v>48</v>
      </c>
      <c r="L1262" s="4">
        <f>VLOOKUP(tblTransactions[[#This Row],[Product_ID]],tblProducts[],5,FALSE)</f>
        <v>318.2</v>
      </c>
      <c r="M1262" s="4">
        <f>tblTransactions[[#This Row],[Total_Amount]]-(tblTransactions[[#This Row],[Cost_Prices]]*tblTransactions[[#This Row],[Quantity]]*(1-tblTransactions[[#This Row],[Discount]]))</f>
        <v>222.03400000000005</v>
      </c>
      <c r="N1262" s="3">
        <f>tblTransactions[[#This Row],[Profit]]/tblTransactions[[#This Row],[Total_Amount]]</f>
        <v>0.41589525539925459</v>
      </c>
      <c r="O1262" t="str">
        <f>TEXT(tblTransactions[[#This Row],[Date]], "MMM-YYYY")</f>
        <v>Oct-2023</v>
      </c>
      <c r="P1262" t="str">
        <f>"Q"&amp;ROUNDUP(MONTH(tblTransactions[[#This Row],[Date]])/3,0)&amp;"-"&amp;YEAR(tblTransactions[[#This Row],[Date]])</f>
        <v>Q4-2023</v>
      </c>
      <c r="Q1262">
        <f>YEAR(tblTransactions[[#This Row],[Date]])</f>
        <v>2023</v>
      </c>
      <c r="R1262" t="str">
        <f>TEXT(tblTransactions[[#This Row],[Date]],"DDDD")</f>
        <v>Tuesday</v>
      </c>
      <c r="S1262">
        <f>MONTH(tblTransactions[[#This Row],[Date]])</f>
        <v>10</v>
      </c>
      <c r="T1262" t="str">
        <f>VLOOKUP(E1262, Products!$A:$B,2,0)</f>
        <v>Desks Fur-4</v>
      </c>
      <c r="U1262" t="str">
        <f>VLOOKUP(E1262,Products!$A:$C,3,0)</f>
        <v>Furniture</v>
      </c>
      <c r="V1262" t="str">
        <f>VLOOKUP(E1262,Products!$A:$D,4,0)</f>
        <v>Desks</v>
      </c>
      <c r="W1262" t="str">
        <f>VLOOKUP(D1262,Customers!$A:$C,3,0)</f>
        <v>B2C</v>
      </c>
      <c r="X1262" t="str">
        <f>VLOOKUP(C1262,Sales_Representatives!$A:$B,2,0)</f>
        <v>Robert Jones</v>
      </c>
    </row>
    <row r="1263" spans="1:24" x14ac:dyDescent="0.3">
      <c r="A1263" t="s">
        <v>1823</v>
      </c>
      <c r="B1263" t="s">
        <v>1821</v>
      </c>
      <c r="C1263" t="s">
        <v>75</v>
      </c>
      <c r="D1263" t="s">
        <v>1824</v>
      </c>
      <c r="E1263" t="s">
        <v>148</v>
      </c>
      <c r="F1263">
        <v>3</v>
      </c>
      <c r="G1263">
        <v>20.420000000000002</v>
      </c>
      <c r="H1263">
        <v>0.06</v>
      </c>
      <c r="I1263" s="4">
        <v>57.58</v>
      </c>
      <c r="J1263" t="s">
        <v>44</v>
      </c>
      <c r="K1263" t="s">
        <v>22</v>
      </c>
      <c r="L1263" s="4">
        <f>VLOOKUP(tblTransactions[[#This Row],[Product_ID]],tblProducts[],5,FALSE)</f>
        <v>9.56</v>
      </c>
      <c r="M1263" s="4">
        <f>tblTransactions[[#This Row],[Total_Amount]]-(tblTransactions[[#This Row],[Cost_Prices]]*tblTransactions[[#This Row],[Quantity]]*(1-tblTransactions[[#This Row],[Discount]]))</f>
        <v>30.620799999999999</v>
      </c>
      <c r="N1263" s="3">
        <f>tblTransactions[[#This Row],[Profit]]/tblTransactions[[#This Row],[Total_Amount]]</f>
        <v>0.53179576241750603</v>
      </c>
      <c r="O1263" t="str">
        <f>TEXT(tblTransactions[[#This Row],[Date]], "MMM-YYYY")</f>
        <v>Oct-2023</v>
      </c>
      <c r="P1263" t="str">
        <f>"Q"&amp;ROUNDUP(MONTH(tblTransactions[[#This Row],[Date]])/3,0)&amp;"-"&amp;YEAR(tblTransactions[[#This Row],[Date]])</f>
        <v>Q4-2023</v>
      </c>
      <c r="Q1263">
        <f>YEAR(tblTransactions[[#This Row],[Date]])</f>
        <v>2023</v>
      </c>
      <c r="R1263" t="str">
        <f>TEXT(tblTransactions[[#This Row],[Date]],"DDDD")</f>
        <v>Tuesday</v>
      </c>
      <c r="S1263">
        <f>MONTH(tblTransactions[[#This Row],[Date]])</f>
        <v>10</v>
      </c>
      <c r="T1263" t="str">
        <f>VLOOKUP(E1263, Products!$A:$B,2,0)</f>
        <v>Cases Acc-3</v>
      </c>
      <c r="U1263" t="str">
        <f>VLOOKUP(E1263,Products!$A:$C,3,0)</f>
        <v>Accessories</v>
      </c>
      <c r="V1263" t="str">
        <f>VLOOKUP(E1263,Products!$A:$D,4,0)</f>
        <v>Cases</v>
      </c>
      <c r="W1263" t="str">
        <f>VLOOKUP(D1263,Customers!$A:$C,3,0)</f>
        <v>B2C</v>
      </c>
      <c r="X1263" t="str">
        <f>VLOOKUP(C1263,Sales_Representatives!$A:$B,2,0)</f>
        <v>Jessica Anderson</v>
      </c>
    </row>
    <row r="1264" spans="1:24" x14ac:dyDescent="0.3">
      <c r="A1264" t="s">
        <v>1825</v>
      </c>
      <c r="B1264" t="s">
        <v>1821</v>
      </c>
      <c r="C1264" t="s">
        <v>41</v>
      </c>
      <c r="D1264" t="s">
        <v>1451</v>
      </c>
      <c r="E1264" t="s">
        <v>204</v>
      </c>
      <c r="F1264">
        <v>5</v>
      </c>
      <c r="G1264">
        <v>715.62</v>
      </c>
      <c r="H1264">
        <v>0.01</v>
      </c>
      <c r="I1264" s="4">
        <v>3542.32</v>
      </c>
      <c r="J1264" t="s">
        <v>44</v>
      </c>
      <c r="K1264" t="s">
        <v>39</v>
      </c>
      <c r="L1264" s="4">
        <f>VLOOKUP(tblTransactions[[#This Row],[Product_ID]],tblProducts[],5,FALSE)</f>
        <v>459.58</v>
      </c>
      <c r="M1264" s="4">
        <f>tblTransactions[[#This Row],[Total_Amount]]-(tblTransactions[[#This Row],[Cost_Prices]]*tblTransactions[[#This Row],[Quantity]]*(1-tblTransactions[[#This Row],[Discount]]))</f>
        <v>1267.3989999999999</v>
      </c>
      <c r="N1264" s="3">
        <f>tblTransactions[[#This Row],[Profit]]/tblTransactions[[#This Row],[Total_Amount]]</f>
        <v>0.35778783396192321</v>
      </c>
      <c r="O1264" t="str">
        <f>TEXT(tblTransactions[[#This Row],[Date]], "MMM-YYYY")</f>
        <v>Oct-2023</v>
      </c>
      <c r="P1264" t="str">
        <f>"Q"&amp;ROUNDUP(MONTH(tblTransactions[[#This Row],[Date]])/3,0)&amp;"-"&amp;YEAR(tblTransactions[[#This Row],[Date]])</f>
        <v>Q4-2023</v>
      </c>
      <c r="Q1264">
        <f>YEAR(tblTransactions[[#This Row],[Date]])</f>
        <v>2023</v>
      </c>
      <c r="R1264" t="str">
        <f>TEXT(tblTransactions[[#This Row],[Date]],"DDDD")</f>
        <v>Tuesday</v>
      </c>
      <c r="S1264">
        <f>MONTH(tblTransactions[[#This Row],[Date]])</f>
        <v>10</v>
      </c>
      <c r="T1264" t="str">
        <f>VLOOKUP(E1264, Products!$A:$B,2,0)</f>
        <v>Cameras Ele-2</v>
      </c>
      <c r="U1264" t="str">
        <f>VLOOKUP(E1264,Products!$A:$C,3,0)</f>
        <v>Electronics</v>
      </c>
      <c r="V1264" t="str">
        <f>VLOOKUP(E1264,Products!$A:$D,4,0)</f>
        <v>Cameras</v>
      </c>
      <c r="W1264" t="str">
        <f>VLOOKUP(D1264,Customers!$A:$C,3,0)</f>
        <v>B2B</v>
      </c>
      <c r="X1264" t="str">
        <f>VLOOKUP(C1264,Sales_Representatives!$A:$B,2,0)</f>
        <v>Robert Jones</v>
      </c>
    </row>
    <row r="1265" spans="1:24" x14ac:dyDescent="0.3">
      <c r="A1265" t="s">
        <v>1826</v>
      </c>
      <c r="B1265" t="s">
        <v>1821</v>
      </c>
      <c r="C1265" t="s">
        <v>31</v>
      </c>
      <c r="D1265" t="s">
        <v>527</v>
      </c>
      <c r="E1265" t="s">
        <v>168</v>
      </c>
      <c r="F1265">
        <v>3</v>
      </c>
      <c r="G1265">
        <v>101.59</v>
      </c>
      <c r="H1265">
        <v>0.03</v>
      </c>
      <c r="I1265" s="4">
        <v>295.63</v>
      </c>
      <c r="J1265" t="s">
        <v>34</v>
      </c>
      <c r="K1265" t="s">
        <v>35</v>
      </c>
      <c r="L1265" s="4">
        <f>VLOOKUP(tblTransactions[[#This Row],[Product_ID]],tblProducts[],5,FALSE)</f>
        <v>50.58</v>
      </c>
      <c r="M1265" s="4">
        <f>tblTransactions[[#This Row],[Total_Amount]]-(tblTransactions[[#This Row],[Cost_Prices]]*tblTransactions[[#This Row],[Quantity]]*(1-tblTransactions[[#This Row],[Discount]]))</f>
        <v>148.44219999999999</v>
      </c>
      <c r="N1265" s="3">
        <f>tblTransactions[[#This Row],[Profit]]/tblTransactions[[#This Row],[Total_Amount]]</f>
        <v>0.50212157088252207</v>
      </c>
      <c r="O1265" t="str">
        <f>TEXT(tblTransactions[[#This Row],[Date]], "MMM-YYYY")</f>
        <v>Oct-2023</v>
      </c>
      <c r="P1265" t="str">
        <f>"Q"&amp;ROUNDUP(MONTH(tblTransactions[[#This Row],[Date]])/3,0)&amp;"-"&amp;YEAR(tblTransactions[[#This Row],[Date]])</f>
        <v>Q4-2023</v>
      </c>
      <c r="Q1265">
        <f>YEAR(tblTransactions[[#This Row],[Date]])</f>
        <v>2023</v>
      </c>
      <c r="R1265" t="str">
        <f>TEXT(tblTransactions[[#This Row],[Date]],"DDDD")</f>
        <v>Tuesday</v>
      </c>
      <c r="S1265">
        <f>MONTH(tblTransactions[[#This Row],[Date]])</f>
        <v>10</v>
      </c>
      <c r="T1265" t="str">
        <f>VLOOKUP(E1265, Products!$A:$B,2,0)</f>
        <v>Cases Acc-4</v>
      </c>
      <c r="U1265" t="str">
        <f>VLOOKUP(E1265,Products!$A:$C,3,0)</f>
        <v>Accessories</v>
      </c>
      <c r="V1265" t="str">
        <f>VLOOKUP(E1265,Products!$A:$D,4,0)</f>
        <v>Cases</v>
      </c>
      <c r="W1265" t="str">
        <f>VLOOKUP(D1265,Customers!$A:$C,3,0)</f>
        <v>B2C</v>
      </c>
      <c r="X1265" t="str">
        <f>VLOOKUP(C1265,Sales_Representatives!$A:$B,2,0)</f>
        <v>Thomas Martinez</v>
      </c>
    </row>
    <row r="1266" spans="1:24" x14ac:dyDescent="0.3">
      <c r="A1266" t="s">
        <v>1827</v>
      </c>
      <c r="B1266" t="s">
        <v>1821</v>
      </c>
      <c r="C1266" t="s">
        <v>107</v>
      </c>
      <c r="D1266" t="s">
        <v>1828</v>
      </c>
      <c r="E1266" t="s">
        <v>283</v>
      </c>
      <c r="F1266">
        <v>15</v>
      </c>
      <c r="G1266">
        <v>456.88</v>
      </c>
      <c r="H1266">
        <v>0.17</v>
      </c>
      <c r="I1266" s="4">
        <v>5688.16</v>
      </c>
      <c r="J1266" t="s">
        <v>109</v>
      </c>
      <c r="K1266" t="s">
        <v>35</v>
      </c>
      <c r="L1266" s="4">
        <f>VLOOKUP(tblTransactions[[#This Row],[Product_ID]],tblProducts[],5,FALSE)</f>
        <v>313.23</v>
      </c>
      <c r="M1266" s="4">
        <f>tblTransactions[[#This Row],[Total_Amount]]-(tblTransactions[[#This Row],[Cost_Prices]]*tblTransactions[[#This Row],[Quantity]]*(1-tblTransactions[[#This Row],[Discount]]))</f>
        <v>1788.4464999999996</v>
      </c>
      <c r="N1266" s="3">
        <f>tblTransactions[[#This Row],[Profit]]/tblTransactions[[#This Row],[Total_Amount]]</f>
        <v>0.31441564583274723</v>
      </c>
      <c r="O1266" t="str">
        <f>TEXT(tblTransactions[[#This Row],[Date]], "MMM-YYYY")</f>
        <v>Oct-2023</v>
      </c>
      <c r="P1266" t="str">
        <f>"Q"&amp;ROUNDUP(MONTH(tblTransactions[[#This Row],[Date]])/3,0)&amp;"-"&amp;YEAR(tblTransactions[[#This Row],[Date]])</f>
        <v>Q4-2023</v>
      </c>
      <c r="Q1266">
        <f>YEAR(tblTransactions[[#This Row],[Date]])</f>
        <v>2023</v>
      </c>
      <c r="R1266" t="str">
        <f>TEXT(tblTransactions[[#This Row],[Date]],"DDDD")</f>
        <v>Tuesday</v>
      </c>
      <c r="S1266">
        <f>MONTH(tblTransactions[[#This Row],[Date]])</f>
        <v>10</v>
      </c>
      <c r="T1266" t="str">
        <f>VLOOKUP(E1266, Products!$A:$B,2,0)</f>
        <v>Chairs Fur-3</v>
      </c>
      <c r="U1266" t="str">
        <f>VLOOKUP(E1266,Products!$A:$C,3,0)</f>
        <v>Furniture</v>
      </c>
      <c r="V1266" t="str">
        <f>VLOOKUP(E1266,Products!$A:$D,4,0)</f>
        <v>Chairs</v>
      </c>
      <c r="W1266" t="str">
        <f>VLOOKUP(D1266,Customers!$A:$C,3,0)</f>
        <v>B2B</v>
      </c>
      <c r="X1266" t="str">
        <f>VLOOKUP(C1266,Sales_Representatives!$A:$B,2,0)</f>
        <v>Jennifer Brown</v>
      </c>
    </row>
    <row r="1267" spans="1:24" x14ac:dyDescent="0.3">
      <c r="A1267" t="s">
        <v>1829</v>
      </c>
      <c r="B1267" t="s">
        <v>1821</v>
      </c>
      <c r="C1267" t="s">
        <v>59</v>
      </c>
      <c r="D1267" t="s">
        <v>1507</v>
      </c>
      <c r="E1267" t="s">
        <v>347</v>
      </c>
      <c r="F1267">
        <v>9</v>
      </c>
      <c r="G1267">
        <v>1539.6</v>
      </c>
      <c r="H1267">
        <v>0.09</v>
      </c>
      <c r="I1267" s="4">
        <v>12609.32</v>
      </c>
      <c r="J1267" t="s">
        <v>21</v>
      </c>
      <c r="K1267" t="s">
        <v>17</v>
      </c>
      <c r="L1267" s="4">
        <f>VLOOKUP(tblTransactions[[#This Row],[Product_ID]],tblProducts[],5,FALSE)</f>
        <v>992.43</v>
      </c>
      <c r="M1267" s="4">
        <f>tblTransactions[[#This Row],[Total_Amount]]-(tblTransactions[[#This Row],[Cost_Prices]]*tblTransactions[[#This Row],[Quantity]]*(1-tblTransactions[[#This Row],[Discount]]))</f>
        <v>4481.3182999999999</v>
      </c>
      <c r="N1267" s="3">
        <f>tblTransactions[[#This Row],[Profit]]/tblTransactions[[#This Row],[Total_Amount]]</f>
        <v>0.35539730136121533</v>
      </c>
      <c r="O1267" t="str">
        <f>TEXT(tblTransactions[[#This Row],[Date]], "MMM-YYYY")</f>
        <v>Oct-2023</v>
      </c>
      <c r="P1267" t="str">
        <f>"Q"&amp;ROUNDUP(MONTH(tblTransactions[[#This Row],[Date]])/3,0)&amp;"-"&amp;YEAR(tblTransactions[[#This Row],[Date]])</f>
        <v>Q4-2023</v>
      </c>
      <c r="Q1267">
        <f>YEAR(tblTransactions[[#This Row],[Date]])</f>
        <v>2023</v>
      </c>
      <c r="R1267" t="str">
        <f>TEXT(tblTransactions[[#This Row],[Date]],"DDDD")</f>
        <v>Tuesday</v>
      </c>
      <c r="S1267">
        <f>MONTH(tblTransactions[[#This Row],[Date]])</f>
        <v>10</v>
      </c>
      <c r="T1267" t="str">
        <f>VLOOKUP(E1267, Products!$A:$B,2,0)</f>
        <v>Routers Tec-2</v>
      </c>
      <c r="U1267" t="str">
        <f>VLOOKUP(E1267,Products!$A:$C,3,0)</f>
        <v>Technology</v>
      </c>
      <c r="V1267" t="str">
        <f>VLOOKUP(E1267,Products!$A:$D,4,0)</f>
        <v>Routers</v>
      </c>
      <c r="W1267" t="str">
        <f>VLOOKUP(D1267,Customers!$A:$C,3,0)</f>
        <v>Enterprise</v>
      </c>
      <c r="X1267" t="str">
        <f>VLOOKUP(C1267,Sales_Representatives!$A:$B,2,0)</f>
        <v>Sarah Brown</v>
      </c>
    </row>
    <row r="1268" spans="1:24" x14ac:dyDescent="0.3">
      <c r="A1268" t="s">
        <v>1830</v>
      </c>
      <c r="B1268" t="s">
        <v>1821</v>
      </c>
      <c r="C1268" t="s">
        <v>41</v>
      </c>
      <c r="D1268" t="s">
        <v>1794</v>
      </c>
      <c r="E1268" t="s">
        <v>79</v>
      </c>
      <c r="F1268">
        <v>19</v>
      </c>
      <c r="G1268">
        <v>1452.36</v>
      </c>
      <c r="H1268">
        <v>0.13</v>
      </c>
      <c r="I1268" s="4">
        <v>24007.51</v>
      </c>
      <c r="J1268" t="s">
        <v>44</v>
      </c>
      <c r="K1268" t="s">
        <v>35</v>
      </c>
      <c r="L1268" s="4">
        <f>VLOOKUP(tblTransactions[[#This Row],[Product_ID]],tblProducts[],5,FALSE)</f>
        <v>778.71</v>
      </c>
      <c r="M1268" s="4">
        <f>tblTransactions[[#This Row],[Total_Amount]]-(tblTransactions[[#This Row],[Cost_Prices]]*tblTransactions[[#This Row],[Quantity]]*(1-tblTransactions[[#This Row],[Discount]]))</f>
        <v>11135.433699999998</v>
      </c>
      <c r="N1268" s="3">
        <f>tblTransactions[[#This Row],[Profit]]/tblTransactions[[#This Row],[Total_Amount]]</f>
        <v>0.46383126363375454</v>
      </c>
      <c r="O1268" t="str">
        <f>TEXT(tblTransactions[[#This Row],[Date]], "MMM-YYYY")</f>
        <v>Oct-2023</v>
      </c>
      <c r="P1268" t="str">
        <f>"Q"&amp;ROUNDUP(MONTH(tblTransactions[[#This Row],[Date]])/3,0)&amp;"-"&amp;YEAR(tblTransactions[[#This Row],[Date]])</f>
        <v>Q4-2023</v>
      </c>
      <c r="Q1268">
        <f>YEAR(tblTransactions[[#This Row],[Date]])</f>
        <v>2023</v>
      </c>
      <c r="R1268" t="str">
        <f>TEXT(tblTransactions[[#This Row],[Date]],"DDDD")</f>
        <v>Tuesday</v>
      </c>
      <c r="S1268">
        <f>MONTH(tblTransactions[[#This Row],[Date]])</f>
        <v>10</v>
      </c>
      <c r="T1268" t="str">
        <f>VLOOKUP(E1268, Products!$A:$B,2,0)</f>
        <v>Tables Fur-2</v>
      </c>
      <c r="U1268" t="str">
        <f>VLOOKUP(E1268,Products!$A:$C,3,0)</f>
        <v>Furniture</v>
      </c>
      <c r="V1268" t="str">
        <f>VLOOKUP(E1268,Products!$A:$D,4,0)</f>
        <v>Tables</v>
      </c>
      <c r="W1268" t="str">
        <f>VLOOKUP(D1268,Customers!$A:$C,3,0)</f>
        <v>B2B</v>
      </c>
      <c r="X1268" t="str">
        <f>VLOOKUP(C1268,Sales_Representatives!$A:$B,2,0)</f>
        <v>Robert Jones</v>
      </c>
    </row>
    <row r="1269" spans="1:24" x14ac:dyDescent="0.3">
      <c r="A1269" t="s">
        <v>1831</v>
      </c>
      <c r="B1269" t="s">
        <v>1821</v>
      </c>
      <c r="C1269" t="s">
        <v>27</v>
      </c>
      <c r="D1269" t="s">
        <v>1832</v>
      </c>
      <c r="E1269" t="s">
        <v>152</v>
      </c>
      <c r="F1269">
        <v>4</v>
      </c>
      <c r="G1269">
        <v>859.93</v>
      </c>
      <c r="H1269">
        <v>0.04</v>
      </c>
      <c r="I1269" s="4">
        <v>3302.13</v>
      </c>
      <c r="J1269" t="s">
        <v>16</v>
      </c>
      <c r="K1269" t="s">
        <v>22</v>
      </c>
      <c r="L1269" s="4">
        <f>VLOOKUP(tblTransactions[[#This Row],[Product_ID]],tblProducts[],5,FALSE)</f>
        <v>579.79</v>
      </c>
      <c r="M1269" s="4">
        <f>tblTransactions[[#This Row],[Total_Amount]]-(tblTransactions[[#This Row],[Cost_Prices]]*tblTransactions[[#This Row],[Quantity]]*(1-tblTransactions[[#This Row],[Discount]]))</f>
        <v>1075.7364000000002</v>
      </c>
      <c r="N1269" s="3">
        <f>tblTransactions[[#This Row],[Profit]]/tblTransactions[[#This Row],[Total_Amount]]</f>
        <v>0.32577045725032033</v>
      </c>
      <c r="O1269" t="str">
        <f>TEXT(tblTransactions[[#This Row],[Date]], "MMM-YYYY")</f>
        <v>Oct-2023</v>
      </c>
      <c r="P1269" t="str">
        <f>"Q"&amp;ROUNDUP(MONTH(tblTransactions[[#This Row],[Date]])/3,0)&amp;"-"&amp;YEAR(tblTransactions[[#This Row],[Date]])</f>
        <v>Q4-2023</v>
      </c>
      <c r="Q1269">
        <f>YEAR(tblTransactions[[#This Row],[Date]])</f>
        <v>2023</v>
      </c>
      <c r="R1269" t="str">
        <f>TEXT(tblTransactions[[#This Row],[Date]],"DDDD")</f>
        <v>Tuesday</v>
      </c>
      <c r="S1269">
        <f>MONTH(tblTransactions[[#This Row],[Date]])</f>
        <v>10</v>
      </c>
      <c r="T1269" t="str">
        <f>VLOOKUP(E1269, Products!$A:$B,2,0)</f>
        <v>Phones Ele-4</v>
      </c>
      <c r="U1269" t="str">
        <f>VLOOKUP(E1269,Products!$A:$C,3,0)</f>
        <v>Electronics</v>
      </c>
      <c r="V1269" t="str">
        <f>VLOOKUP(E1269,Products!$A:$D,4,0)</f>
        <v>Phones</v>
      </c>
      <c r="W1269" t="str">
        <f>VLOOKUP(D1269,Customers!$A:$C,3,0)</f>
        <v>Small Business</v>
      </c>
      <c r="X1269" t="str">
        <f>VLOOKUP(C1269,Sales_Representatives!$A:$B,2,0)</f>
        <v>Thomas Lopez</v>
      </c>
    </row>
    <row r="1270" spans="1:24" x14ac:dyDescent="0.3">
      <c r="A1270" t="s">
        <v>1833</v>
      </c>
      <c r="B1270" t="s">
        <v>1834</v>
      </c>
      <c r="C1270" t="s">
        <v>75</v>
      </c>
      <c r="D1270" t="s">
        <v>1819</v>
      </c>
      <c r="E1270" t="s">
        <v>172</v>
      </c>
      <c r="F1270">
        <v>6</v>
      </c>
      <c r="G1270">
        <v>1371.15</v>
      </c>
      <c r="H1270">
        <v>0.13</v>
      </c>
      <c r="I1270" s="4">
        <v>7157.4</v>
      </c>
      <c r="J1270" t="s">
        <v>44</v>
      </c>
      <c r="K1270" t="s">
        <v>22</v>
      </c>
      <c r="L1270" s="4">
        <f>VLOOKUP(tblTransactions[[#This Row],[Product_ID]],tblProducts[],5,FALSE)</f>
        <v>989.81</v>
      </c>
      <c r="M1270" s="4">
        <f>tblTransactions[[#This Row],[Total_Amount]]-(tblTransactions[[#This Row],[Cost_Prices]]*tblTransactions[[#This Row],[Quantity]]*(1-tblTransactions[[#This Row],[Discount]]))</f>
        <v>1990.5918000000001</v>
      </c>
      <c r="N1270" s="3">
        <f>tblTransactions[[#This Row],[Profit]]/tblTransactions[[#This Row],[Total_Amount]]</f>
        <v>0.27811660658898485</v>
      </c>
      <c r="O1270" t="str">
        <f>TEXT(tblTransactions[[#This Row],[Date]], "MMM-YYYY")</f>
        <v>Oct-2023</v>
      </c>
      <c r="P1270" t="str">
        <f>"Q"&amp;ROUNDUP(MONTH(tblTransactions[[#This Row],[Date]])/3,0)&amp;"-"&amp;YEAR(tblTransactions[[#This Row],[Date]])</f>
        <v>Q4-2023</v>
      </c>
      <c r="Q1270">
        <f>YEAR(tblTransactions[[#This Row],[Date]])</f>
        <v>2023</v>
      </c>
      <c r="R1270" t="str">
        <f>TEXT(tblTransactions[[#This Row],[Date]],"DDDD")</f>
        <v>Wednesday</v>
      </c>
      <c r="S1270">
        <f>MONTH(tblTransactions[[#This Row],[Date]])</f>
        <v>10</v>
      </c>
      <c r="T1270" t="str">
        <f>VLOOKUP(E1270, Products!$A:$B,2,0)</f>
        <v>Cameras Ele-4</v>
      </c>
      <c r="U1270" t="str">
        <f>VLOOKUP(E1270,Products!$A:$C,3,0)</f>
        <v>Electronics</v>
      </c>
      <c r="V1270" t="str">
        <f>VLOOKUP(E1270,Products!$A:$D,4,0)</f>
        <v>Cameras</v>
      </c>
      <c r="W1270" t="str">
        <f>VLOOKUP(D1270,Customers!$A:$C,3,0)</f>
        <v>Small Business</v>
      </c>
      <c r="X1270" t="str">
        <f>VLOOKUP(C1270,Sales_Representatives!$A:$B,2,0)</f>
        <v>Jessica Anderson</v>
      </c>
    </row>
    <row r="1271" spans="1:24" x14ac:dyDescent="0.3">
      <c r="A1271" t="s">
        <v>1835</v>
      </c>
      <c r="B1271" t="s">
        <v>1834</v>
      </c>
      <c r="C1271" t="s">
        <v>82</v>
      </c>
      <c r="D1271" t="s">
        <v>144</v>
      </c>
      <c r="E1271" t="s">
        <v>217</v>
      </c>
      <c r="F1271">
        <v>6</v>
      </c>
      <c r="G1271">
        <v>145.51</v>
      </c>
      <c r="H1271">
        <v>0.12</v>
      </c>
      <c r="I1271" s="4">
        <v>768.29</v>
      </c>
      <c r="J1271" t="s">
        <v>34</v>
      </c>
      <c r="K1271" t="s">
        <v>48</v>
      </c>
      <c r="L1271" s="4">
        <f>VLOOKUP(tblTransactions[[#This Row],[Product_ID]],tblProducts[],5,FALSE)</f>
        <v>64.510000000000005</v>
      </c>
      <c r="M1271" s="4">
        <f>tblTransactions[[#This Row],[Total_Amount]]-(tblTransactions[[#This Row],[Cost_Prices]]*tblTransactions[[#This Row],[Quantity]]*(1-tblTransactions[[#This Row],[Discount]]))</f>
        <v>427.67719999999991</v>
      </c>
      <c r="N1271" s="3">
        <f>tblTransactions[[#This Row],[Profit]]/tblTransactions[[#This Row],[Total_Amount]]</f>
        <v>0.55666115659451498</v>
      </c>
      <c r="O1271" t="str">
        <f>TEXT(tblTransactions[[#This Row],[Date]], "MMM-YYYY")</f>
        <v>Oct-2023</v>
      </c>
      <c r="P1271" t="str">
        <f>"Q"&amp;ROUNDUP(MONTH(tblTransactions[[#This Row],[Date]])/3,0)&amp;"-"&amp;YEAR(tblTransactions[[#This Row],[Date]])</f>
        <v>Q4-2023</v>
      </c>
      <c r="Q1271">
        <f>YEAR(tblTransactions[[#This Row],[Date]])</f>
        <v>2023</v>
      </c>
      <c r="R1271" t="str">
        <f>TEXT(tblTransactions[[#This Row],[Date]],"DDDD")</f>
        <v>Wednesday</v>
      </c>
      <c r="S1271">
        <f>MONTH(tblTransactions[[#This Row],[Date]])</f>
        <v>10</v>
      </c>
      <c r="T1271" t="str">
        <f>VLOOKUP(E1271, Products!$A:$B,2,0)</f>
        <v>Cables Acc-2</v>
      </c>
      <c r="U1271" t="str">
        <f>VLOOKUP(E1271,Products!$A:$C,3,0)</f>
        <v>Accessories</v>
      </c>
      <c r="V1271" t="str">
        <f>VLOOKUP(E1271,Products!$A:$D,4,0)</f>
        <v>Cables</v>
      </c>
      <c r="W1271" t="str">
        <f>VLOOKUP(D1271,Customers!$A:$C,3,0)</f>
        <v>B2C</v>
      </c>
      <c r="X1271" t="str">
        <f>VLOOKUP(C1271,Sales_Representatives!$A:$B,2,0)</f>
        <v>John Brown</v>
      </c>
    </row>
    <row r="1272" spans="1:24" x14ac:dyDescent="0.3">
      <c r="A1272" t="s">
        <v>1836</v>
      </c>
      <c r="B1272" t="s">
        <v>1834</v>
      </c>
      <c r="C1272" t="s">
        <v>41</v>
      </c>
      <c r="D1272" t="s">
        <v>64</v>
      </c>
      <c r="E1272" t="s">
        <v>217</v>
      </c>
      <c r="F1272">
        <v>5</v>
      </c>
      <c r="G1272">
        <v>145.51</v>
      </c>
      <c r="H1272">
        <v>7.0000000000000007E-2</v>
      </c>
      <c r="I1272" s="4">
        <v>676.62</v>
      </c>
      <c r="J1272" t="s">
        <v>44</v>
      </c>
      <c r="K1272" t="s">
        <v>17</v>
      </c>
      <c r="L1272" s="4">
        <f>VLOOKUP(tblTransactions[[#This Row],[Product_ID]],tblProducts[],5,FALSE)</f>
        <v>64.510000000000005</v>
      </c>
      <c r="M1272" s="4">
        <f>tblTransactions[[#This Row],[Total_Amount]]-(tblTransactions[[#This Row],[Cost_Prices]]*tblTransactions[[#This Row],[Quantity]]*(1-tblTransactions[[#This Row],[Discount]]))</f>
        <v>376.64850000000001</v>
      </c>
      <c r="N1272" s="3">
        <f>tblTransactions[[#This Row],[Profit]]/tblTransactions[[#This Row],[Total_Amount]]</f>
        <v>0.55666178948301859</v>
      </c>
      <c r="O1272" t="str">
        <f>TEXT(tblTransactions[[#This Row],[Date]], "MMM-YYYY")</f>
        <v>Oct-2023</v>
      </c>
      <c r="P1272" t="str">
        <f>"Q"&amp;ROUNDUP(MONTH(tblTransactions[[#This Row],[Date]])/3,0)&amp;"-"&amp;YEAR(tblTransactions[[#This Row],[Date]])</f>
        <v>Q4-2023</v>
      </c>
      <c r="Q1272">
        <f>YEAR(tblTransactions[[#This Row],[Date]])</f>
        <v>2023</v>
      </c>
      <c r="R1272" t="str">
        <f>TEXT(tblTransactions[[#This Row],[Date]],"DDDD")</f>
        <v>Wednesday</v>
      </c>
      <c r="S1272">
        <f>MONTH(tblTransactions[[#This Row],[Date]])</f>
        <v>10</v>
      </c>
      <c r="T1272" t="str">
        <f>VLOOKUP(E1272, Products!$A:$B,2,0)</f>
        <v>Cables Acc-2</v>
      </c>
      <c r="U1272" t="str">
        <f>VLOOKUP(E1272,Products!$A:$C,3,0)</f>
        <v>Accessories</v>
      </c>
      <c r="V1272" t="str">
        <f>VLOOKUP(E1272,Products!$A:$D,4,0)</f>
        <v>Cables</v>
      </c>
      <c r="W1272" t="str">
        <f>VLOOKUP(D1272,Customers!$A:$C,3,0)</f>
        <v>Small Business</v>
      </c>
      <c r="X1272" t="str">
        <f>VLOOKUP(C1272,Sales_Representatives!$A:$B,2,0)</f>
        <v>Robert Jones</v>
      </c>
    </row>
    <row r="1273" spans="1:24" x14ac:dyDescent="0.3">
      <c r="A1273" t="s">
        <v>1837</v>
      </c>
      <c r="B1273" t="s">
        <v>1834</v>
      </c>
      <c r="C1273" t="s">
        <v>13</v>
      </c>
      <c r="D1273" t="s">
        <v>1838</v>
      </c>
      <c r="E1273" t="s">
        <v>91</v>
      </c>
      <c r="F1273">
        <v>16</v>
      </c>
      <c r="G1273">
        <v>286.62</v>
      </c>
      <c r="H1273">
        <v>0.1</v>
      </c>
      <c r="I1273" s="4">
        <v>4127.33</v>
      </c>
      <c r="J1273" t="s">
        <v>16</v>
      </c>
      <c r="K1273" t="s">
        <v>48</v>
      </c>
      <c r="L1273" s="4">
        <f>VLOOKUP(tblTransactions[[#This Row],[Product_ID]],tblProducts[],5,FALSE)</f>
        <v>145.54</v>
      </c>
      <c r="M1273" s="4">
        <f>tblTransactions[[#This Row],[Total_Amount]]-(tblTransactions[[#This Row],[Cost_Prices]]*tblTransactions[[#This Row],[Quantity]]*(1-tblTransactions[[#This Row],[Discount]]))</f>
        <v>2031.5540000000001</v>
      </c>
      <c r="N1273" s="3">
        <f>tblTransactions[[#This Row],[Profit]]/tblTransactions[[#This Row],[Total_Amount]]</f>
        <v>0.49221990972371971</v>
      </c>
      <c r="O1273" t="str">
        <f>TEXT(tblTransactions[[#This Row],[Date]], "MMM-YYYY")</f>
        <v>Oct-2023</v>
      </c>
      <c r="P1273" t="str">
        <f>"Q"&amp;ROUNDUP(MONTH(tblTransactions[[#This Row],[Date]])/3,0)&amp;"-"&amp;YEAR(tblTransactions[[#This Row],[Date]])</f>
        <v>Q4-2023</v>
      </c>
      <c r="Q1273">
        <f>YEAR(tblTransactions[[#This Row],[Date]])</f>
        <v>2023</v>
      </c>
      <c r="R1273" t="str">
        <f>TEXT(tblTransactions[[#This Row],[Date]],"DDDD")</f>
        <v>Wednesday</v>
      </c>
      <c r="S1273">
        <f>MONTH(tblTransactions[[#This Row],[Date]])</f>
        <v>10</v>
      </c>
      <c r="T1273" t="str">
        <f>VLOOKUP(E1273, Products!$A:$B,2,0)</f>
        <v>Chairs Fur-1</v>
      </c>
      <c r="U1273" t="str">
        <f>VLOOKUP(E1273,Products!$A:$C,3,0)</f>
        <v>Furniture</v>
      </c>
      <c r="V1273" t="str">
        <f>VLOOKUP(E1273,Products!$A:$D,4,0)</f>
        <v>Chairs</v>
      </c>
      <c r="W1273" t="str">
        <f>VLOOKUP(D1273,Customers!$A:$C,3,0)</f>
        <v>Enterprise</v>
      </c>
      <c r="X1273" t="str">
        <f>VLOOKUP(C1273,Sales_Representatives!$A:$B,2,0)</f>
        <v>Jennifer Rodriguez</v>
      </c>
    </row>
    <row r="1274" spans="1:24" x14ac:dyDescent="0.3">
      <c r="A1274" t="s">
        <v>1839</v>
      </c>
      <c r="B1274" t="s">
        <v>1834</v>
      </c>
      <c r="C1274" t="s">
        <v>31</v>
      </c>
      <c r="D1274" t="s">
        <v>1840</v>
      </c>
      <c r="E1274" t="s">
        <v>194</v>
      </c>
      <c r="F1274">
        <v>1</v>
      </c>
      <c r="G1274">
        <v>82.84</v>
      </c>
      <c r="H1274">
        <v>7.0000000000000007E-2</v>
      </c>
      <c r="I1274" s="4">
        <v>77.040000000000006</v>
      </c>
      <c r="J1274" t="s">
        <v>34</v>
      </c>
      <c r="K1274" t="s">
        <v>35</v>
      </c>
      <c r="L1274" s="4">
        <f>VLOOKUP(tblTransactions[[#This Row],[Product_ID]],tblProducts[],5,FALSE)</f>
        <v>52.98</v>
      </c>
      <c r="M1274" s="4">
        <f>tblTransactions[[#This Row],[Total_Amount]]-(tblTransactions[[#This Row],[Cost_Prices]]*tblTransactions[[#This Row],[Quantity]]*(1-tblTransactions[[#This Row],[Discount]]))</f>
        <v>27.768600000000013</v>
      </c>
      <c r="N1274" s="3">
        <f>tblTransactions[[#This Row],[Profit]]/tblTransactions[[#This Row],[Total_Amount]]</f>
        <v>0.36044392523364499</v>
      </c>
      <c r="O1274" t="str">
        <f>TEXT(tblTransactions[[#This Row],[Date]], "MMM-YYYY")</f>
        <v>Oct-2023</v>
      </c>
      <c r="P1274" t="str">
        <f>"Q"&amp;ROUNDUP(MONTH(tblTransactions[[#This Row],[Date]])/3,0)&amp;"-"&amp;YEAR(tblTransactions[[#This Row],[Date]])</f>
        <v>Q4-2023</v>
      </c>
      <c r="Q1274">
        <f>YEAR(tblTransactions[[#This Row],[Date]])</f>
        <v>2023</v>
      </c>
      <c r="R1274" t="str">
        <f>TEXT(tblTransactions[[#This Row],[Date]],"DDDD")</f>
        <v>Wednesday</v>
      </c>
      <c r="S1274">
        <f>MONTH(tblTransactions[[#This Row],[Date]])</f>
        <v>10</v>
      </c>
      <c r="T1274" t="str">
        <f>VLOOKUP(E1274, Products!$A:$B,2,0)</f>
        <v>Binders Off-2</v>
      </c>
      <c r="U1274" t="str">
        <f>VLOOKUP(E1274,Products!$A:$C,3,0)</f>
        <v>Office Supplies</v>
      </c>
      <c r="V1274" t="str">
        <f>VLOOKUP(E1274,Products!$A:$D,4,0)</f>
        <v>Binders</v>
      </c>
      <c r="W1274" t="str">
        <f>VLOOKUP(D1274,Customers!$A:$C,3,0)</f>
        <v>Small Business</v>
      </c>
      <c r="X1274" t="str">
        <f>VLOOKUP(C1274,Sales_Representatives!$A:$B,2,0)</f>
        <v>Thomas Martinez</v>
      </c>
    </row>
    <row r="1275" spans="1:24" x14ac:dyDescent="0.3">
      <c r="A1275" t="s">
        <v>1841</v>
      </c>
      <c r="B1275" t="s">
        <v>1842</v>
      </c>
      <c r="C1275" t="s">
        <v>59</v>
      </c>
      <c r="D1275" t="s">
        <v>1843</v>
      </c>
      <c r="E1275" t="s">
        <v>72</v>
      </c>
      <c r="F1275">
        <v>7</v>
      </c>
      <c r="G1275">
        <v>404.76</v>
      </c>
      <c r="H1275">
        <v>0.13</v>
      </c>
      <c r="I1275" s="4">
        <v>2464.9899999999998</v>
      </c>
      <c r="J1275" t="s">
        <v>21</v>
      </c>
      <c r="K1275" t="s">
        <v>22</v>
      </c>
      <c r="L1275" s="4">
        <f>VLOOKUP(tblTransactions[[#This Row],[Product_ID]],tblProducts[],5,FALSE)</f>
        <v>226.76</v>
      </c>
      <c r="M1275" s="4">
        <f>tblTransactions[[#This Row],[Total_Amount]]-(tblTransactions[[#This Row],[Cost_Prices]]*tblTransactions[[#This Row],[Quantity]]*(1-tblTransactions[[#This Row],[Discount]]))</f>
        <v>1084.0215999999998</v>
      </c>
      <c r="N1275" s="3">
        <f>tblTransactions[[#This Row],[Profit]]/tblTransactions[[#This Row],[Total_Amount]]</f>
        <v>0.43976713901476272</v>
      </c>
      <c r="O1275" t="str">
        <f>TEXT(tblTransactions[[#This Row],[Date]], "MMM-YYYY")</f>
        <v>Oct-2023</v>
      </c>
      <c r="P1275" t="str">
        <f>"Q"&amp;ROUNDUP(MONTH(tblTransactions[[#This Row],[Date]])/3,0)&amp;"-"&amp;YEAR(tblTransactions[[#This Row],[Date]])</f>
        <v>Q4-2023</v>
      </c>
      <c r="Q1275">
        <f>YEAR(tblTransactions[[#This Row],[Date]])</f>
        <v>2023</v>
      </c>
      <c r="R1275" t="str">
        <f>TEXT(tblTransactions[[#This Row],[Date]],"DDDD")</f>
        <v>Thursday</v>
      </c>
      <c r="S1275">
        <f>MONTH(tblTransactions[[#This Row],[Date]])</f>
        <v>10</v>
      </c>
      <c r="T1275" t="str">
        <f>VLOOKUP(E1275, Products!$A:$B,2,0)</f>
        <v>Tablets Ele-2</v>
      </c>
      <c r="U1275" t="str">
        <f>VLOOKUP(E1275,Products!$A:$C,3,0)</f>
        <v>Electronics</v>
      </c>
      <c r="V1275" t="str">
        <f>VLOOKUP(E1275,Products!$A:$D,4,0)</f>
        <v>Tablets</v>
      </c>
      <c r="W1275" t="str">
        <f>VLOOKUP(D1275,Customers!$A:$C,3,0)</f>
        <v>B2C</v>
      </c>
      <c r="X1275" t="str">
        <f>VLOOKUP(C1275,Sales_Representatives!$A:$B,2,0)</f>
        <v>Sarah Brown</v>
      </c>
    </row>
    <row r="1276" spans="1:24" x14ac:dyDescent="0.3">
      <c r="A1276" t="s">
        <v>1844</v>
      </c>
      <c r="B1276" t="s">
        <v>1842</v>
      </c>
      <c r="C1276" t="s">
        <v>131</v>
      </c>
      <c r="D1276" t="s">
        <v>1845</v>
      </c>
      <c r="E1276" t="s">
        <v>125</v>
      </c>
      <c r="F1276">
        <v>7</v>
      </c>
      <c r="G1276">
        <v>1201.4000000000001</v>
      </c>
      <c r="H1276">
        <v>0.15</v>
      </c>
      <c r="I1276" s="4">
        <v>7148.33</v>
      </c>
      <c r="J1276" t="s">
        <v>44</v>
      </c>
      <c r="K1276" t="s">
        <v>39</v>
      </c>
      <c r="L1276" s="4">
        <f>VLOOKUP(tblTransactions[[#This Row],[Product_ID]],tblProducts[],5,FALSE)</f>
        <v>672.72</v>
      </c>
      <c r="M1276" s="4">
        <f>tblTransactions[[#This Row],[Total_Amount]]-(tblTransactions[[#This Row],[Cost_Prices]]*tblTransactions[[#This Row],[Quantity]]*(1-tblTransactions[[#This Row],[Discount]]))</f>
        <v>3145.6460000000002</v>
      </c>
      <c r="N1276" s="3">
        <f>tblTransactions[[#This Row],[Profit]]/tblTransactions[[#This Row],[Total_Amount]]</f>
        <v>0.44005327118361914</v>
      </c>
      <c r="O1276" t="str">
        <f>TEXT(tblTransactions[[#This Row],[Date]], "MMM-YYYY")</f>
        <v>Oct-2023</v>
      </c>
      <c r="P1276" t="str">
        <f>"Q"&amp;ROUNDUP(MONTH(tblTransactions[[#This Row],[Date]])/3,0)&amp;"-"&amp;YEAR(tblTransactions[[#This Row],[Date]])</f>
        <v>Q4-2023</v>
      </c>
      <c r="Q1276">
        <f>YEAR(tblTransactions[[#This Row],[Date]])</f>
        <v>2023</v>
      </c>
      <c r="R1276" t="str">
        <f>TEXT(tblTransactions[[#This Row],[Date]],"DDDD")</f>
        <v>Thursday</v>
      </c>
      <c r="S1276">
        <f>MONTH(tblTransactions[[#This Row],[Date]])</f>
        <v>10</v>
      </c>
      <c r="T1276" t="str">
        <f>VLOOKUP(E1276, Products!$A:$B,2,0)</f>
        <v>Printers Tec-2</v>
      </c>
      <c r="U1276" t="str">
        <f>VLOOKUP(E1276,Products!$A:$C,3,0)</f>
        <v>Technology</v>
      </c>
      <c r="V1276" t="str">
        <f>VLOOKUP(E1276,Products!$A:$D,4,0)</f>
        <v>Printers</v>
      </c>
      <c r="W1276" t="str">
        <f>VLOOKUP(D1276,Customers!$A:$C,3,0)</f>
        <v>B2C</v>
      </c>
      <c r="X1276" t="str">
        <f>VLOOKUP(C1276,Sales_Representatives!$A:$B,2,0)</f>
        <v>Michael Davis</v>
      </c>
    </row>
    <row r="1277" spans="1:24" x14ac:dyDescent="0.3">
      <c r="A1277" t="s">
        <v>1846</v>
      </c>
      <c r="B1277" t="s">
        <v>1842</v>
      </c>
      <c r="C1277" t="s">
        <v>127</v>
      </c>
      <c r="D1277" t="s">
        <v>1616</v>
      </c>
      <c r="E1277" t="s">
        <v>125</v>
      </c>
      <c r="F1277">
        <v>6</v>
      </c>
      <c r="G1277">
        <v>1201.4000000000001</v>
      </c>
      <c r="H1277">
        <v>0.09</v>
      </c>
      <c r="I1277" s="4">
        <v>6559.64</v>
      </c>
      <c r="J1277" t="s">
        <v>109</v>
      </c>
      <c r="K1277" t="s">
        <v>35</v>
      </c>
      <c r="L1277" s="4">
        <f>VLOOKUP(tblTransactions[[#This Row],[Product_ID]],tblProducts[],5,FALSE)</f>
        <v>672.72</v>
      </c>
      <c r="M1277" s="4">
        <f>tblTransactions[[#This Row],[Total_Amount]]-(tblTransactions[[#This Row],[Cost_Prices]]*tblTransactions[[#This Row],[Quantity]]*(1-tblTransactions[[#This Row],[Discount]]))</f>
        <v>2886.5888</v>
      </c>
      <c r="N1277" s="3">
        <f>tblTransactions[[#This Row],[Profit]]/tblTransactions[[#This Row],[Total_Amount]]</f>
        <v>0.44005292973394877</v>
      </c>
      <c r="O1277" t="str">
        <f>TEXT(tblTransactions[[#This Row],[Date]], "MMM-YYYY")</f>
        <v>Oct-2023</v>
      </c>
      <c r="P1277" t="str">
        <f>"Q"&amp;ROUNDUP(MONTH(tblTransactions[[#This Row],[Date]])/3,0)&amp;"-"&amp;YEAR(tblTransactions[[#This Row],[Date]])</f>
        <v>Q4-2023</v>
      </c>
      <c r="Q1277">
        <f>YEAR(tblTransactions[[#This Row],[Date]])</f>
        <v>2023</v>
      </c>
      <c r="R1277" t="str">
        <f>TEXT(tblTransactions[[#This Row],[Date]],"DDDD")</f>
        <v>Thursday</v>
      </c>
      <c r="S1277">
        <f>MONTH(tblTransactions[[#This Row],[Date]])</f>
        <v>10</v>
      </c>
      <c r="T1277" t="str">
        <f>VLOOKUP(E1277, Products!$A:$B,2,0)</f>
        <v>Printers Tec-2</v>
      </c>
      <c r="U1277" t="str">
        <f>VLOOKUP(E1277,Products!$A:$C,3,0)</f>
        <v>Technology</v>
      </c>
      <c r="V1277" t="str">
        <f>VLOOKUP(E1277,Products!$A:$D,4,0)</f>
        <v>Printers</v>
      </c>
      <c r="W1277" t="str">
        <f>VLOOKUP(D1277,Customers!$A:$C,3,0)</f>
        <v>Enterprise</v>
      </c>
      <c r="X1277" t="str">
        <f>VLOOKUP(C1277,Sales_Representatives!$A:$B,2,0)</f>
        <v>Emily Hernandez</v>
      </c>
    </row>
    <row r="1278" spans="1:24" x14ac:dyDescent="0.3">
      <c r="A1278" t="s">
        <v>1847</v>
      </c>
      <c r="B1278" t="s">
        <v>1842</v>
      </c>
      <c r="C1278" t="s">
        <v>127</v>
      </c>
      <c r="D1278" t="s">
        <v>1716</v>
      </c>
      <c r="E1278" t="s">
        <v>87</v>
      </c>
      <c r="F1278">
        <v>12</v>
      </c>
      <c r="G1278">
        <v>1047.8900000000001</v>
      </c>
      <c r="H1278">
        <v>0.19</v>
      </c>
      <c r="I1278" s="4">
        <v>10185.49</v>
      </c>
      <c r="J1278" t="s">
        <v>109</v>
      </c>
      <c r="K1278" t="s">
        <v>17</v>
      </c>
      <c r="L1278" s="4">
        <f>VLOOKUP(tblTransactions[[#This Row],[Product_ID]],tblProducts[],5,FALSE)</f>
        <v>742.63</v>
      </c>
      <c r="M1278" s="4">
        <f>tblTransactions[[#This Row],[Total_Amount]]-(tblTransactions[[#This Row],[Cost_Prices]]*tblTransactions[[#This Row],[Quantity]]*(1-tblTransactions[[#This Row],[Discount]]))</f>
        <v>2967.1264000000001</v>
      </c>
      <c r="N1278" s="3">
        <f>tblTransactions[[#This Row],[Profit]]/tblTransactions[[#This Row],[Total_Amount]]</f>
        <v>0.29130914663899332</v>
      </c>
      <c r="O1278" t="str">
        <f>TEXT(tblTransactions[[#This Row],[Date]], "MMM-YYYY")</f>
        <v>Oct-2023</v>
      </c>
      <c r="P1278" t="str">
        <f>"Q"&amp;ROUNDUP(MONTH(tblTransactions[[#This Row],[Date]])/3,0)&amp;"-"&amp;YEAR(tblTransactions[[#This Row],[Date]])</f>
        <v>Q4-2023</v>
      </c>
      <c r="Q1278">
        <f>YEAR(tblTransactions[[#This Row],[Date]])</f>
        <v>2023</v>
      </c>
      <c r="R1278" t="str">
        <f>TEXT(tblTransactions[[#This Row],[Date]],"DDDD")</f>
        <v>Thursday</v>
      </c>
      <c r="S1278">
        <f>MONTH(tblTransactions[[#This Row],[Date]])</f>
        <v>10</v>
      </c>
      <c r="T1278" t="str">
        <f>VLOOKUP(E1278, Products!$A:$B,2,0)</f>
        <v>Monitors Tec-2</v>
      </c>
      <c r="U1278" t="str">
        <f>VLOOKUP(E1278,Products!$A:$C,3,0)</f>
        <v>Technology</v>
      </c>
      <c r="V1278" t="str">
        <f>VLOOKUP(E1278,Products!$A:$D,4,0)</f>
        <v>Monitors</v>
      </c>
      <c r="W1278" t="str">
        <f>VLOOKUP(D1278,Customers!$A:$C,3,0)</f>
        <v>Enterprise</v>
      </c>
      <c r="X1278" t="str">
        <f>VLOOKUP(C1278,Sales_Representatives!$A:$B,2,0)</f>
        <v>Emily Hernandez</v>
      </c>
    </row>
    <row r="1279" spans="1:24" x14ac:dyDescent="0.3">
      <c r="A1279" t="s">
        <v>1848</v>
      </c>
      <c r="B1279" t="s">
        <v>1842</v>
      </c>
      <c r="C1279" t="s">
        <v>59</v>
      </c>
      <c r="D1279" t="s">
        <v>1557</v>
      </c>
      <c r="E1279" t="s">
        <v>290</v>
      </c>
      <c r="F1279">
        <v>1</v>
      </c>
      <c r="G1279">
        <v>729.32</v>
      </c>
      <c r="H1279">
        <v>0.01</v>
      </c>
      <c r="I1279" s="4">
        <v>722.03</v>
      </c>
      <c r="J1279" t="s">
        <v>21</v>
      </c>
      <c r="K1279" t="s">
        <v>22</v>
      </c>
      <c r="L1279" s="4">
        <f>VLOOKUP(tblTransactions[[#This Row],[Product_ID]],tblProducts[],5,FALSE)</f>
        <v>482.7</v>
      </c>
      <c r="M1279" s="4">
        <f>tblTransactions[[#This Row],[Total_Amount]]-(tblTransactions[[#This Row],[Cost_Prices]]*tblTransactions[[#This Row],[Quantity]]*(1-tblTransactions[[#This Row],[Discount]]))</f>
        <v>244.15699999999998</v>
      </c>
      <c r="N1279" s="3">
        <f>tblTransactions[[#This Row],[Profit]]/tblTransactions[[#This Row],[Total_Amount]]</f>
        <v>0.33815353932662079</v>
      </c>
      <c r="O1279" t="str">
        <f>TEXT(tblTransactions[[#This Row],[Date]], "MMM-YYYY")</f>
        <v>Oct-2023</v>
      </c>
      <c r="P1279" t="str">
        <f>"Q"&amp;ROUNDUP(MONTH(tblTransactions[[#This Row],[Date]])/3,0)&amp;"-"&amp;YEAR(tblTransactions[[#This Row],[Date]])</f>
        <v>Q4-2023</v>
      </c>
      <c r="Q1279">
        <f>YEAR(tblTransactions[[#This Row],[Date]])</f>
        <v>2023</v>
      </c>
      <c r="R1279" t="str">
        <f>TEXT(tblTransactions[[#This Row],[Date]],"DDDD")</f>
        <v>Thursday</v>
      </c>
      <c r="S1279">
        <f>MONTH(tblTransactions[[#This Row],[Date]])</f>
        <v>10</v>
      </c>
      <c r="T1279" t="str">
        <f>VLOOKUP(E1279, Products!$A:$B,2,0)</f>
        <v>Tables Fur-1</v>
      </c>
      <c r="U1279" t="str">
        <f>VLOOKUP(E1279,Products!$A:$C,3,0)</f>
        <v>Furniture</v>
      </c>
      <c r="V1279" t="str">
        <f>VLOOKUP(E1279,Products!$A:$D,4,0)</f>
        <v>Tables</v>
      </c>
      <c r="W1279" t="str">
        <f>VLOOKUP(D1279,Customers!$A:$C,3,0)</f>
        <v>B2C</v>
      </c>
      <c r="X1279" t="str">
        <f>VLOOKUP(C1279,Sales_Representatives!$A:$B,2,0)</f>
        <v>Sarah Brown</v>
      </c>
    </row>
    <row r="1280" spans="1:24" x14ac:dyDescent="0.3">
      <c r="A1280" t="s">
        <v>1849</v>
      </c>
      <c r="B1280" t="s">
        <v>1850</v>
      </c>
      <c r="C1280" t="s">
        <v>107</v>
      </c>
      <c r="D1280" t="s">
        <v>1545</v>
      </c>
      <c r="E1280" t="s">
        <v>217</v>
      </c>
      <c r="F1280">
        <v>4</v>
      </c>
      <c r="G1280">
        <v>145.51</v>
      </c>
      <c r="H1280">
        <v>0.03</v>
      </c>
      <c r="I1280" s="4">
        <v>564.58000000000004</v>
      </c>
      <c r="J1280" t="s">
        <v>109</v>
      </c>
      <c r="K1280" t="s">
        <v>48</v>
      </c>
      <c r="L1280" s="4">
        <f>VLOOKUP(tblTransactions[[#This Row],[Product_ID]],tblProducts[],5,FALSE)</f>
        <v>64.510000000000005</v>
      </c>
      <c r="M1280" s="4">
        <f>tblTransactions[[#This Row],[Total_Amount]]-(tblTransactions[[#This Row],[Cost_Prices]]*tblTransactions[[#This Row],[Quantity]]*(1-tblTransactions[[#This Row],[Discount]]))</f>
        <v>314.28120000000001</v>
      </c>
      <c r="N1280" s="3">
        <f>tblTransactions[[#This Row],[Profit]]/tblTransactions[[#This Row],[Total_Amount]]</f>
        <v>0.55666371461971731</v>
      </c>
      <c r="O1280" t="str">
        <f>TEXT(tblTransactions[[#This Row],[Date]], "MMM-YYYY")</f>
        <v>Oct-2023</v>
      </c>
      <c r="P1280" t="str">
        <f>"Q"&amp;ROUNDUP(MONTH(tblTransactions[[#This Row],[Date]])/3,0)&amp;"-"&amp;YEAR(tblTransactions[[#This Row],[Date]])</f>
        <v>Q4-2023</v>
      </c>
      <c r="Q1280">
        <f>YEAR(tblTransactions[[#This Row],[Date]])</f>
        <v>2023</v>
      </c>
      <c r="R1280" t="str">
        <f>TEXT(tblTransactions[[#This Row],[Date]],"DDDD")</f>
        <v>Friday</v>
      </c>
      <c r="S1280">
        <f>MONTH(tblTransactions[[#This Row],[Date]])</f>
        <v>10</v>
      </c>
      <c r="T1280" t="str">
        <f>VLOOKUP(E1280, Products!$A:$B,2,0)</f>
        <v>Cables Acc-2</v>
      </c>
      <c r="U1280" t="str">
        <f>VLOOKUP(E1280,Products!$A:$C,3,0)</f>
        <v>Accessories</v>
      </c>
      <c r="V1280" t="str">
        <f>VLOOKUP(E1280,Products!$A:$D,4,0)</f>
        <v>Cables</v>
      </c>
      <c r="W1280" t="str">
        <f>VLOOKUP(D1280,Customers!$A:$C,3,0)</f>
        <v>Small Business</v>
      </c>
      <c r="X1280" t="str">
        <f>VLOOKUP(C1280,Sales_Representatives!$A:$B,2,0)</f>
        <v>Jennifer Brown</v>
      </c>
    </row>
    <row r="1281" spans="1:24" x14ac:dyDescent="0.3">
      <c r="A1281" t="s">
        <v>1851</v>
      </c>
      <c r="B1281" t="s">
        <v>1850</v>
      </c>
      <c r="C1281" t="s">
        <v>75</v>
      </c>
      <c r="D1281" t="s">
        <v>1852</v>
      </c>
      <c r="E1281" t="s">
        <v>176</v>
      </c>
      <c r="F1281">
        <v>7</v>
      </c>
      <c r="G1281">
        <v>1462.68</v>
      </c>
      <c r="H1281">
        <v>0.14000000000000001</v>
      </c>
      <c r="I1281" s="4">
        <v>8805.33</v>
      </c>
      <c r="J1281" t="s">
        <v>44</v>
      </c>
      <c r="K1281" t="s">
        <v>17</v>
      </c>
      <c r="L1281" s="4">
        <f>VLOOKUP(tblTransactions[[#This Row],[Product_ID]],tblProducts[],5,FALSE)</f>
        <v>775.94</v>
      </c>
      <c r="M1281" s="4">
        <f>tblTransactions[[#This Row],[Total_Amount]]-(tblTransactions[[#This Row],[Cost_Prices]]*tblTransactions[[#This Row],[Quantity]]*(1-tblTransactions[[#This Row],[Discount]]))</f>
        <v>4134.1711999999998</v>
      </c>
      <c r="N1281" s="3">
        <f>tblTransactions[[#This Row],[Profit]]/tblTransactions[[#This Row],[Total_Amount]]</f>
        <v>0.46950780947448872</v>
      </c>
      <c r="O1281" t="str">
        <f>TEXT(tblTransactions[[#This Row],[Date]], "MMM-YYYY")</f>
        <v>Oct-2023</v>
      </c>
      <c r="P1281" t="str">
        <f>"Q"&amp;ROUNDUP(MONTH(tblTransactions[[#This Row],[Date]])/3,0)&amp;"-"&amp;YEAR(tblTransactions[[#This Row],[Date]])</f>
        <v>Q4-2023</v>
      </c>
      <c r="Q1281">
        <f>YEAR(tblTransactions[[#This Row],[Date]])</f>
        <v>2023</v>
      </c>
      <c r="R1281" t="str">
        <f>TEXT(tblTransactions[[#This Row],[Date]],"DDDD")</f>
        <v>Friday</v>
      </c>
      <c r="S1281">
        <f>MONTH(tblTransactions[[#This Row],[Date]])</f>
        <v>10</v>
      </c>
      <c r="T1281" t="str">
        <f>VLOOKUP(E1281, Products!$A:$B,2,0)</f>
        <v>Chairs Fur-2</v>
      </c>
      <c r="U1281" t="str">
        <f>VLOOKUP(E1281,Products!$A:$C,3,0)</f>
        <v>Furniture</v>
      </c>
      <c r="V1281" t="str">
        <f>VLOOKUP(E1281,Products!$A:$D,4,0)</f>
        <v>Chairs</v>
      </c>
      <c r="W1281" t="str">
        <f>VLOOKUP(D1281,Customers!$A:$C,3,0)</f>
        <v>B2B</v>
      </c>
      <c r="X1281" t="str">
        <f>VLOOKUP(C1281,Sales_Representatives!$A:$B,2,0)</f>
        <v>Jessica Anderson</v>
      </c>
    </row>
    <row r="1282" spans="1:24" x14ac:dyDescent="0.3">
      <c r="A1282" t="s">
        <v>1853</v>
      </c>
      <c r="B1282" t="s">
        <v>1850</v>
      </c>
      <c r="C1282" t="s">
        <v>82</v>
      </c>
      <c r="D1282" t="s">
        <v>1854</v>
      </c>
      <c r="E1282" t="s">
        <v>89</v>
      </c>
      <c r="F1282">
        <v>4</v>
      </c>
      <c r="G1282">
        <v>555.08000000000004</v>
      </c>
      <c r="H1282">
        <v>0.08</v>
      </c>
      <c r="I1282" s="4">
        <v>2042.69</v>
      </c>
      <c r="J1282" t="s">
        <v>34</v>
      </c>
      <c r="K1282" t="s">
        <v>17</v>
      </c>
      <c r="L1282" s="4">
        <f>VLOOKUP(tblTransactions[[#This Row],[Product_ID]],tblProducts[],5,FALSE)</f>
        <v>402.82</v>
      </c>
      <c r="M1282" s="4">
        <f>tblTransactions[[#This Row],[Total_Amount]]-(tblTransactions[[#This Row],[Cost_Prices]]*tblTransactions[[#This Row],[Quantity]]*(1-tblTransactions[[#This Row],[Discount]]))</f>
        <v>560.31240000000003</v>
      </c>
      <c r="N1282" s="3">
        <f>tblTransactions[[#This Row],[Profit]]/tblTransactions[[#This Row],[Total_Amount]]</f>
        <v>0.27430124003152706</v>
      </c>
      <c r="O1282" t="str">
        <f>TEXT(tblTransactions[[#This Row],[Date]], "MMM-YYYY")</f>
        <v>Oct-2023</v>
      </c>
      <c r="P1282" t="str">
        <f>"Q"&amp;ROUNDUP(MONTH(tblTransactions[[#This Row],[Date]])/3,0)&amp;"-"&amp;YEAR(tblTransactions[[#This Row],[Date]])</f>
        <v>Q4-2023</v>
      </c>
      <c r="Q1282">
        <f>YEAR(tblTransactions[[#This Row],[Date]])</f>
        <v>2023</v>
      </c>
      <c r="R1282" t="str">
        <f>TEXT(tblTransactions[[#This Row],[Date]],"DDDD")</f>
        <v>Friday</v>
      </c>
      <c r="S1282">
        <f>MONTH(tblTransactions[[#This Row],[Date]])</f>
        <v>10</v>
      </c>
      <c r="T1282" t="str">
        <f>VLOOKUP(E1282, Products!$A:$B,2,0)</f>
        <v>Laptops Ele-3</v>
      </c>
      <c r="U1282" t="str">
        <f>VLOOKUP(E1282,Products!$A:$C,3,0)</f>
        <v>Electronics</v>
      </c>
      <c r="V1282" t="str">
        <f>VLOOKUP(E1282,Products!$A:$D,4,0)</f>
        <v>Laptops</v>
      </c>
      <c r="W1282" t="str">
        <f>VLOOKUP(D1282,Customers!$A:$C,3,0)</f>
        <v>Small Business</v>
      </c>
      <c r="X1282" t="str">
        <f>VLOOKUP(C1282,Sales_Representatives!$A:$B,2,0)</f>
        <v>John Brown</v>
      </c>
    </row>
    <row r="1283" spans="1:24" x14ac:dyDescent="0.3">
      <c r="A1283" t="s">
        <v>1855</v>
      </c>
      <c r="B1283" t="s">
        <v>1850</v>
      </c>
      <c r="C1283" t="s">
        <v>19</v>
      </c>
      <c r="D1283" t="s">
        <v>1856</v>
      </c>
      <c r="E1283" t="s">
        <v>172</v>
      </c>
      <c r="F1283">
        <v>37</v>
      </c>
      <c r="G1283">
        <v>1371.15</v>
      </c>
      <c r="H1283">
        <v>0.15</v>
      </c>
      <c r="I1283" s="4">
        <v>43122.67</v>
      </c>
      <c r="J1283" t="s">
        <v>21</v>
      </c>
      <c r="K1283" t="s">
        <v>22</v>
      </c>
      <c r="L1283" s="4">
        <f>VLOOKUP(tblTransactions[[#This Row],[Product_ID]],tblProducts[],5,FALSE)</f>
        <v>989.81</v>
      </c>
      <c r="M1283" s="4">
        <f>tblTransactions[[#This Row],[Total_Amount]]-(tblTransactions[[#This Row],[Cost_Prices]]*tblTransactions[[#This Row],[Quantity]]*(1-tblTransactions[[#This Row],[Discount]]))</f>
        <v>11993.145499999999</v>
      </c>
      <c r="N1283" s="3">
        <f>tblTransactions[[#This Row],[Profit]]/tblTransactions[[#This Row],[Total_Amount]]</f>
        <v>0.27811695101439682</v>
      </c>
      <c r="O1283" t="str">
        <f>TEXT(tblTransactions[[#This Row],[Date]], "MMM-YYYY")</f>
        <v>Oct-2023</v>
      </c>
      <c r="P1283" t="str">
        <f>"Q"&amp;ROUNDUP(MONTH(tblTransactions[[#This Row],[Date]])/3,0)&amp;"-"&amp;YEAR(tblTransactions[[#This Row],[Date]])</f>
        <v>Q4-2023</v>
      </c>
      <c r="Q1283">
        <f>YEAR(tblTransactions[[#This Row],[Date]])</f>
        <v>2023</v>
      </c>
      <c r="R1283" t="str">
        <f>TEXT(tblTransactions[[#This Row],[Date]],"DDDD")</f>
        <v>Friday</v>
      </c>
      <c r="S1283">
        <f>MONTH(tblTransactions[[#This Row],[Date]])</f>
        <v>10</v>
      </c>
      <c r="T1283" t="str">
        <f>VLOOKUP(E1283, Products!$A:$B,2,0)</f>
        <v>Cameras Ele-4</v>
      </c>
      <c r="U1283" t="str">
        <f>VLOOKUP(E1283,Products!$A:$C,3,0)</f>
        <v>Electronics</v>
      </c>
      <c r="V1283" t="str">
        <f>VLOOKUP(E1283,Products!$A:$D,4,0)</f>
        <v>Cameras</v>
      </c>
      <c r="W1283" t="str">
        <f>VLOOKUP(D1283,Customers!$A:$C,3,0)</f>
        <v>Enterprise</v>
      </c>
      <c r="X1283" t="str">
        <f>VLOOKUP(C1283,Sales_Representatives!$A:$B,2,0)</f>
        <v>Robert Jones</v>
      </c>
    </row>
    <row r="1284" spans="1:24" x14ac:dyDescent="0.3">
      <c r="A1284" t="s">
        <v>1857</v>
      </c>
      <c r="B1284" t="s">
        <v>1858</v>
      </c>
      <c r="C1284" t="s">
        <v>19</v>
      </c>
      <c r="D1284" t="s">
        <v>118</v>
      </c>
      <c r="E1284" t="s">
        <v>61</v>
      </c>
      <c r="F1284">
        <v>6</v>
      </c>
      <c r="G1284">
        <v>92.07</v>
      </c>
      <c r="H1284">
        <v>7.0000000000000007E-2</v>
      </c>
      <c r="I1284" s="4">
        <v>513.75</v>
      </c>
      <c r="J1284" t="s">
        <v>21</v>
      </c>
      <c r="K1284" t="s">
        <v>35</v>
      </c>
      <c r="L1284" s="4">
        <f>VLOOKUP(tblTransactions[[#This Row],[Product_ID]],tblProducts[],5,FALSE)</f>
        <v>56.98</v>
      </c>
      <c r="M1284" s="4">
        <f>tblTransactions[[#This Row],[Total_Amount]]-(tblTransactions[[#This Row],[Cost_Prices]]*tblTransactions[[#This Row],[Quantity]]*(1-tblTransactions[[#This Row],[Discount]]))</f>
        <v>195.80160000000001</v>
      </c>
      <c r="N1284" s="3">
        <f>tblTransactions[[#This Row],[Profit]]/tblTransactions[[#This Row],[Total_Amount]]</f>
        <v>0.38112233576642335</v>
      </c>
      <c r="O1284" t="str">
        <f>TEXT(tblTransactions[[#This Row],[Date]], "MMM-YYYY")</f>
        <v>Oct-2023</v>
      </c>
      <c r="P1284" t="str">
        <f>"Q"&amp;ROUNDUP(MONTH(tblTransactions[[#This Row],[Date]])/3,0)&amp;"-"&amp;YEAR(tblTransactions[[#This Row],[Date]])</f>
        <v>Q4-2023</v>
      </c>
      <c r="Q1284">
        <f>YEAR(tblTransactions[[#This Row],[Date]])</f>
        <v>2023</v>
      </c>
      <c r="R1284" t="str">
        <f>TEXT(tblTransactions[[#This Row],[Date]],"DDDD")</f>
        <v>Saturday</v>
      </c>
      <c r="S1284">
        <f>MONTH(tblTransactions[[#This Row],[Date]])</f>
        <v>10</v>
      </c>
      <c r="T1284" t="str">
        <f>VLOOKUP(E1284, Products!$A:$B,2,0)</f>
        <v>Pens Off-4</v>
      </c>
      <c r="U1284" t="str">
        <f>VLOOKUP(E1284,Products!$A:$C,3,0)</f>
        <v>Office Supplies</v>
      </c>
      <c r="V1284" t="str">
        <f>VLOOKUP(E1284,Products!$A:$D,4,0)</f>
        <v>Pens</v>
      </c>
      <c r="W1284" t="str">
        <f>VLOOKUP(D1284,Customers!$A:$C,3,0)</f>
        <v>B2C</v>
      </c>
      <c r="X1284" t="str">
        <f>VLOOKUP(C1284,Sales_Representatives!$A:$B,2,0)</f>
        <v>Robert Jones</v>
      </c>
    </row>
    <row r="1285" spans="1:24" x14ac:dyDescent="0.3">
      <c r="A1285" t="s">
        <v>1859</v>
      </c>
      <c r="B1285" t="s">
        <v>1858</v>
      </c>
      <c r="C1285" t="s">
        <v>31</v>
      </c>
      <c r="D1285" t="s">
        <v>1588</v>
      </c>
      <c r="E1285" t="s">
        <v>72</v>
      </c>
      <c r="F1285">
        <v>14</v>
      </c>
      <c r="G1285">
        <v>404.76</v>
      </c>
      <c r="H1285">
        <v>0.19</v>
      </c>
      <c r="I1285" s="4">
        <v>4589.9799999999996</v>
      </c>
      <c r="J1285" t="s">
        <v>34</v>
      </c>
      <c r="K1285" t="s">
        <v>48</v>
      </c>
      <c r="L1285" s="4">
        <f>VLOOKUP(tblTransactions[[#This Row],[Product_ID]],tblProducts[],5,FALSE)</f>
        <v>226.76</v>
      </c>
      <c r="M1285" s="4">
        <f>tblTransactions[[#This Row],[Total_Amount]]-(tblTransactions[[#This Row],[Cost_Prices]]*tblTransactions[[#This Row],[Quantity]]*(1-tblTransactions[[#This Row],[Discount]]))</f>
        <v>2018.5215999999996</v>
      </c>
      <c r="N1285" s="3">
        <f>tblTransactions[[#This Row],[Profit]]/tblTransactions[[#This Row],[Total_Amount]]</f>
        <v>0.43976697066218151</v>
      </c>
      <c r="O1285" t="str">
        <f>TEXT(tblTransactions[[#This Row],[Date]], "MMM-YYYY")</f>
        <v>Oct-2023</v>
      </c>
      <c r="P1285" t="str">
        <f>"Q"&amp;ROUNDUP(MONTH(tblTransactions[[#This Row],[Date]])/3,0)&amp;"-"&amp;YEAR(tblTransactions[[#This Row],[Date]])</f>
        <v>Q4-2023</v>
      </c>
      <c r="Q1285">
        <f>YEAR(tblTransactions[[#This Row],[Date]])</f>
        <v>2023</v>
      </c>
      <c r="R1285" t="str">
        <f>TEXT(tblTransactions[[#This Row],[Date]],"DDDD")</f>
        <v>Saturday</v>
      </c>
      <c r="S1285">
        <f>MONTH(tblTransactions[[#This Row],[Date]])</f>
        <v>10</v>
      </c>
      <c r="T1285" t="str">
        <f>VLOOKUP(E1285, Products!$A:$B,2,0)</f>
        <v>Tablets Ele-2</v>
      </c>
      <c r="U1285" t="str">
        <f>VLOOKUP(E1285,Products!$A:$C,3,0)</f>
        <v>Electronics</v>
      </c>
      <c r="V1285" t="str">
        <f>VLOOKUP(E1285,Products!$A:$D,4,0)</f>
        <v>Tablets</v>
      </c>
      <c r="W1285" t="str">
        <f>VLOOKUP(D1285,Customers!$A:$C,3,0)</f>
        <v>B2B</v>
      </c>
      <c r="X1285" t="str">
        <f>VLOOKUP(C1285,Sales_Representatives!$A:$B,2,0)</f>
        <v>Thomas Martinez</v>
      </c>
    </row>
    <row r="1286" spans="1:24" x14ac:dyDescent="0.3">
      <c r="A1286" t="s">
        <v>1860</v>
      </c>
      <c r="B1286" t="s">
        <v>1858</v>
      </c>
      <c r="C1286" t="s">
        <v>27</v>
      </c>
      <c r="D1286" t="s">
        <v>1635</v>
      </c>
      <c r="E1286" t="s">
        <v>96</v>
      </c>
      <c r="F1286">
        <v>26</v>
      </c>
      <c r="G1286">
        <v>751.9</v>
      </c>
      <c r="H1286">
        <v>0.17</v>
      </c>
      <c r="I1286" s="4">
        <v>16226</v>
      </c>
      <c r="J1286" t="s">
        <v>16</v>
      </c>
      <c r="K1286" t="s">
        <v>39</v>
      </c>
      <c r="L1286" s="4">
        <f>VLOOKUP(tblTransactions[[#This Row],[Product_ID]],tblProducts[],5,FALSE)</f>
        <v>570.29</v>
      </c>
      <c r="M1286" s="4">
        <f>tblTransactions[[#This Row],[Total_Amount]]-(tblTransactions[[#This Row],[Cost_Prices]]*tblTransactions[[#This Row],[Quantity]]*(1-tblTransactions[[#This Row],[Discount]]))</f>
        <v>3919.1418000000012</v>
      </c>
      <c r="N1286" s="3">
        <f>tblTransactions[[#This Row],[Profit]]/tblTransactions[[#This Row],[Total_Amount]]</f>
        <v>0.24153468507333917</v>
      </c>
      <c r="O1286" t="str">
        <f>TEXT(tblTransactions[[#This Row],[Date]], "MMM-YYYY")</f>
        <v>Oct-2023</v>
      </c>
      <c r="P1286" t="str">
        <f>"Q"&amp;ROUNDUP(MONTH(tblTransactions[[#This Row],[Date]])/3,0)&amp;"-"&amp;YEAR(tblTransactions[[#This Row],[Date]])</f>
        <v>Q4-2023</v>
      </c>
      <c r="Q1286">
        <f>YEAR(tblTransactions[[#This Row],[Date]])</f>
        <v>2023</v>
      </c>
      <c r="R1286" t="str">
        <f>TEXT(tblTransactions[[#This Row],[Date]],"DDDD")</f>
        <v>Saturday</v>
      </c>
      <c r="S1286">
        <f>MONTH(tblTransactions[[#This Row],[Date]])</f>
        <v>10</v>
      </c>
      <c r="T1286" t="str">
        <f>VLOOKUP(E1286, Products!$A:$B,2,0)</f>
        <v>Routers Tec-1</v>
      </c>
      <c r="U1286" t="str">
        <f>VLOOKUP(E1286,Products!$A:$C,3,0)</f>
        <v>Technology</v>
      </c>
      <c r="V1286" t="str">
        <f>VLOOKUP(E1286,Products!$A:$D,4,0)</f>
        <v>Routers</v>
      </c>
      <c r="W1286" t="str">
        <f>VLOOKUP(D1286,Customers!$A:$C,3,0)</f>
        <v>Enterprise</v>
      </c>
      <c r="X1286" t="str">
        <f>VLOOKUP(C1286,Sales_Representatives!$A:$B,2,0)</f>
        <v>Thomas Lopez</v>
      </c>
    </row>
    <row r="1287" spans="1:24" x14ac:dyDescent="0.3">
      <c r="A1287" t="s">
        <v>1861</v>
      </c>
      <c r="B1287" t="s">
        <v>1858</v>
      </c>
      <c r="C1287" t="s">
        <v>27</v>
      </c>
      <c r="D1287" t="s">
        <v>1862</v>
      </c>
      <c r="E1287" t="s">
        <v>20</v>
      </c>
      <c r="F1287">
        <v>6</v>
      </c>
      <c r="G1287">
        <v>1219.49</v>
      </c>
      <c r="H1287">
        <v>0.13</v>
      </c>
      <c r="I1287" s="4">
        <v>6365.74</v>
      </c>
      <c r="J1287" t="s">
        <v>16</v>
      </c>
      <c r="K1287" t="s">
        <v>35</v>
      </c>
      <c r="L1287" s="4">
        <f>VLOOKUP(tblTransactions[[#This Row],[Product_ID]],tblProducts[],5,FALSE)</f>
        <v>686.9</v>
      </c>
      <c r="M1287" s="4">
        <f>tblTransactions[[#This Row],[Total_Amount]]-(tblTransactions[[#This Row],[Cost_Prices]]*tblTransactions[[#This Row],[Quantity]]*(1-tblTransactions[[#This Row],[Discount]]))</f>
        <v>2780.1220000000003</v>
      </c>
      <c r="N1287" s="3">
        <f>tblTransactions[[#This Row],[Profit]]/tblTransactions[[#This Row],[Total_Amount]]</f>
        <v>0.43673194318335345</v>
      </c>
      <c r="O1287" t="str">
        <f>TEXT(tblTransactions[[#This Row],[Date]], "MMM-YYYY")</f>
        <v>Oct-2023</v>
      </c>
      <c r="P1287" t="str">
        <f>"Q"&amp;ROUNDUP(MONTH(tblTransactions[[#This Row],[Date]])/3,0)&amp;"-"&amp;YEAR(tblTransactions[[#This Row],[Date]])</f>
        <v>Q4-2023</v>
      </c>
      <c r="Q1287">
        <f>YEAR(tblTransactions[[#This Row],[Date]])</f>
        <v>2023</v>
      </c>
      <c r="R1287" t="str">
        <f>TEXT(tblTransactions[[#This Row],[Date]],"DDDD")</f>
        <v>Saturday</v>
      </c>
      <c r="S1287">
        <f>MONTH(tblTransactions[[#This Row],[Date]])</f>
        <v>10</v>
      </c>
      <c r="T1287" t="str">
        <f>VLOOKUP(E1287, Products!$A:$B,2,0)</f>
        <v>Laptops Ele-1</v>
      </c>
      <c r="U1287" t="str">
        <f>VLOOKUP(E1287,Products!$A:$C,3,0)</f>
        <v>Electronics</v>
      </c>
      <c r="V1287" t="str">
        <f>VLOOKUP(E1287,Products!$A:$D,4,0)</f>
        <v>Laptops</v>
      </c>
      <c r="W1287" t="str">
        <f>VLOOKUP(D1287,Customers!$A:$C,3,0)</f>
        <v>B2B</v>
      </c>
      <c r="X1287" t="str">
        <f>VLOOKUP(C1287,Sales_Representatives!$A:$B,2,0)</f>
        <v>Thomas Lopez</v>
      </c>
    </row>
    <row r="1288" spans="1:24" x14ac:dyDescent="0.3">
      <c r="A1288" t="s">
        <v>1863</v>
      </c>
      <c r="B1288" t="s">
        <v>1858</v>
      </c>
      <c r="C1288" t="s">
        <v>41</v>
      </c>
      <c r="D1288" t="s">
        <v>1864</v>
      </c>
      <c r="E1288" t="s">
        <v>255</v>
      </c>
      <c r="F1288">
        <v>2</v>
      </c>
      <c r="G1288">
        <v>1444.13</v>
      </c>
      <c r="H1288">
        <v>0.04</v>
      </c>
      <c r="I1288" s="4">
        <v>2772.73</v>
      </c>
      <c r="J1288" t="s">
        <v>44</v>
      </c>
      <c r="K1288" t="s">
        <v>35</v>
      </c>
      <c r="L1288" s="4">
        <f>VLOOKUP(tblTransactions[[#This Row],[Product_ID]],tblProducts[],5,FALSE)</f>
        <v>874.43</v>
      </c>
      <c r="M1288" s="4">
        <f>tblTransactions[[#This Row],[Total_Amount]]-(tblTransactions[[#This Row],[Cost_Prices]]*tblTransactions[[#This Row],[Quantity]]*(1-tblTransactions[[#This Row],[Discount]]))</f>
        <v>1093.8244000000002</v>
      </c>
      <c r="N1288" s="3">
        <f>tblTransactions[[#This Row],[Profit]]/tblTransactions[[#This Row],[Total_Amount]]</f>
        <v>0.39449365787509066</v>
      </c>
      <c r="O1288" t="str">
        <f>TEXT(tblTransactions[[#This Row],[Date]], "MMM-YYYY")</f>
        <v>Oct-2023</v>
      </c>
      <c r="P1288" t="str">
        <f>"Q"&amp;ROUNDUP(MONTH(tblTransactions[[#This Row],[Date]])/3,0)&amp;"-"&amp;YEAR(tblTransactions[[#This Row],[Date]])</f>
        <v>Q4-2023</v>
      </c>
      <c r="Q1288">
        <f>YEAR(tblTransactions[[#This Row],[Date]])</f>
        <v>2023</v>
      </c>
      <c r="R1288" t="str">
        <f>TEXT(tblTransactions[[#This Row],[Date]],"DDDD")</f>
        <v>Saturday</v>
      </c>
      <c r="S1288">
        <f>MONTH(tblTransactions[[#This Row],[Date]])</f>
        <v>10</v>
      </c>
      <c r="T1288" t="str">
        <f>VLOOKUP(E1288, Products!$A:$B,2,0)</f>
        <v>Printers Tec-1</v>
      </c>
      <c r="U1288" t="str">
        <f>VLOOKUP(E1288,Products!$A:$C,3,0)</f>
        <v>Technology</v>
      </c>
      <c r="V1288" t="str">
        <f>VLOOKUP(E1288,Products!$A:$D,4,0)</f>
        <v>Printers</v>
      </c>
      <c r="W1288" t="str">
        <f>VLOOKUP(D1288,Customers!$A:$C,3,0)</f>
        <v>Small Business</v>
      </c>
      <c r="X1288" t="str">
        <f>VLOOKUP(C1288,Sales_Representatives!$A:$B,2,0)</f>
        <v>Robert Jones</v>
      </c>
    </row>
    <row r="1289" spans="1:24" x14ac:dyDescent="0.3">
      <c r="A1289" t="s">
        <v>1865</v>
      </c>
      <c r="B1289" t="s">
        <v>1858</v>
      </c>
      <c r="C1289" t="s">
        <v>75</v>
      </c>
      <c r="D1289" t="s">
        <v>1866</v>
      </c>
      <c r="E1289" t="s">
        <v>224</v>
      </c>
      <c r="F1289">
        <v>5</v>
      </c>
      <c r="G1289">
        <v>505.37</v>
      </c>
      <c r="H1289">
        <v>0.04</v>
      </c>
      <c r="I1289" s="4">
        <v>2425.7800000000002</v>
      </c>
      <c r="J1289" t="s">
        <v>44</v>
      </c>
      <c r="K1289" t="s">
        <v>35</v>
      </c>
      <c r="L1289" s="4">
        <f>VLOOKUP(tblTransactions[[#This Row],[Product_ID]],tblProducts[],5,FALSE)</f>
        <v>281.14999999999998</v>
      </c>
      <c r="M1289" s="4">
        <f>tblTransactions[[#This Row],[Total_Amount]]-(tblTransactions[[#This Row],[Cost_Prices]]*tblTransactions[[#This Row],[Quantity]]*(1-tblTransactions[[#This Row],[Discount]]))</f>
        <v>1076.2600000000002</v>
      </c>
      <c r="N1289" s="3">
        <f>tblTransactions[[#This Row],[Profit]]/tblTransactions[[#This Row],[Total_Amount]]</f>
        <v>0.44367584859302994</v>
      </c>
      <c r="O1289" t="str">
        <f>TEXT(tblTransactions[[#This Row],[Date]], "MMM-YYYY")</f>
        <v>Oct-2023</v>
      </c>
      <c r="P1289" t="str">
        <f>"Q"&amp;ROUNDUP(MONTH(tblTransactions[[#This Row],[Date]])/3,0)&amp;"-"&amp;YEAR(tblTransactions[[#This Row],[Date]])</f>
        <v>Q4-2023</v>
      </c>
      <c r="Q1289">
        <f>YEAR(tblTransactions[[#This Row],[Date]])</f>
        <v>2023</v>
      </c>
      <c r="R1289" t="str">
        <f>TEXT(tblTransactions[[#This Row],[Date]],"DDDD")</f>
        <v>Saturday</v>
      </c>
      <c r="S1289">
        <f>MONTH(tblTransactions[[#This Row],[Date]])</f>
        <v>10</v>
      </c>
      <c r="T1289" t="str">
        <f>VLOOKUP(E1289, Products!$A:$B,2,0)</f>
        <v>Desks Fur-3</v>
      </c>
      <c r="U1289" t="str">
        <f>VLOOKUP(E1289,Products!$A:$C,3,0)</f>
        <v>Furniture</v>
      </c>
      <c r="V1289" t="str">
        <f>VLOOKUP(E1289,Products!$A:$D,4,0)</f>
        <v>Desks</v>
      </c>
      <c r="W1289" t="str">
        <f>VLOOKUP(D1289,Customers!$A:$C,3,0)</f>
        <v>B2B</v>
      </c>
      <c r="X1289" t="str">
        <f>VLOOKUP(C1289,Sales_Representatives!$A:$B,2,0)</f>
        <v>Jessica Anderson</v>
      </c>
    </row>
    <row r="1290" spans="1:24" x14ac:dyDescent="0.3">
      <c r="A1290" t="s">
        <v>1867</v>
      </c>
      <c r="B1290" t="s">
        <v>1868</v>
      </c>
      <c r="C1290" t="s">
        <v>107</v>
      </c>
      <c r="D1290" t="s">
        <v>1828</v>
      </c>
      <c r="E1290" t="s">
        <v>89</v>
      </c>
      <c r="F1290">
        <v>4</v>
      </c>
      <c r="G1290">
        <v>555.08000000000004</v>
      </c>
      <c r="H1290">
        <v>7.0000000000000007E-2</v>
      </c>
      <c r="I1290" s="4">
        <v>2064.9</v>
      </c>
      <c r="J1290" t="s">
        <v>109</v>
      </c>
      <c r="K1290" t="s">
        <v>48</v>
      </c>
      <c r="L1290" s="4">
        <f>VLOOKUP(tblTransactions[[#This Row],[Product_ID]],tblProducts[],5,FALSE)</f>
        <v>402.82</v>
      </c>
      <c r="M1290" s="4">
        <f>tblTransactions[[#This Row],[Total_Amount]]-(tblTransactions[[#This Row],[Cost_Prices]]*tblTransactions[[#This Row],[Quantity]]*(1-tblTransactions[[#This Row],[Discount]]))</f>
        <v>566.40960000000018</v>
      </c>
      <c r="N1290" s="3">
        <f>tblTransactions[[#This Row],[Profit]]/tblTransactions[[#This Row],[Total_Amount]]</f>
        <v>0.27430364666569818</v>
      </c>
      <c r="O1290" t="str">
        <f>TEXT(tblTransactions[[#This Row],[Date]], "MMM-YYYY")</f>
        <v>Oct-2023</v>
      </c>
      <c r="P1290" t="str">
        <f>"Q"&amp;ROUNDUP(MONTH(tblTransactions[[#This Row],[Date]])/3,0)&amp;"-"&amp;YEAR(tblTransactions[[#This Row],[Date]])</f>
        <v>Q4-2023</v>
      </c>
      <c r="Q1290">
        <f>YEAR(tblTransactions[[#This Row],[Date]])</f>
        <v>2023</v>
      </c>
      <c r="R1290" t="str">
        <f>TEXT(tblTransactions[[#This Row],[Date]],"DDDD")</f>
        <v>Sunday</v>
      </c>
      <c r="S1290">
        <f>MONTH(tblTransactions[[#This Row],[Date]])</f>
        <v>10</v>
      </c>
      <c r="T1290" t="str">
        <f>VLOOKUP(E1290, Products!$A:$B,2,0)</f>
        <v>Laptops Ele-3</v>
      </c>
      <c r="U1290" t="str">
        <f>VLOOKUP(E1290,Products!$A:$C,3,0)</f>
        <v>Electronics</v>
      </c>
      <c r="V1290" t="str">
        <f>VLOOKUP(E1290,Products!$A:$D,4,0)</f>
        <v>Laptops</v>
      </c>
      <c r="W1290" t="str">
        <f>VLOOKUP(D1290,Customers!$A:$C,3,0)</f>
        <v>B2B</v>
      </c>
      <c r="X1290" t="str">
        <f>VLOOKUP(C1290,Sales_Representatives!$A:$B,2,0)</f>
        <v>Jennifer Brown</v>
      </c>
    </row>
    <row r="1291" spans="1:24" x14ac:dyDescent="0.3">
      <c r="A1291" t="s">
        <v>1869</v>
      </c>
      <c r="B1291" t="s">
        <v>1868</v>
      </c>
      <c r="C1291" t="s">
        <v>13</v>
      </c>
      <c r="D1291" t="s">
        <v>1822</v>
      </c>
      <c r="E1291" t="s">
        <v>89</v>
      </c>
      <c r="F1291">
        <v>7</v>
      </c>
      <c r="G1291">
        <v>555.08000000000004</v>
      </c>
      <c r="H1291">
        <v>0.08</v>
      </c>
      <c r="I1291" s="4">
        <v>3574.72</v>
      </c>
      <c r="J1291" t="s">
        <v>16</v>
      </c>
      <c r="K1291" t="s">
        <v>22</v>
      </c>
      <c r="L1291" s="4">
        <f>VLOOKUP(tblTransactions[[#This Row],[Product_ID]],tblProducts[],5,FALSE)</f>
        <v>402.82</v>
      </c>
      <c r="M1291" s="4">
        <f>tblTransactions[[#This Row],[Total_Amount]]-(tblTransactions[[#This Row],[Cost_Prices]]*tblTransactions[[#This Row],[Quantity]]*(1-tblTransactions[[#This Row],[Discount]]))</f>
        <v>980.55919999999969</v>
      </c>
      <c r="N1291" s="3">
        <f>tblTransactions[[#This Row],[Profit]]/tblTransactions[[#This Row],[Total_Amount]]</f>
        <v>0.27430377763852826</v>
      </c>
      <c r="O1291" t="str">
        <f>TEXT(tblTransactions[[#This Row],[Date]], "MMM-YYYY")</f>
        <v>Oct-2023</v>
      </c>
      <c r="P1291" t="str">
        <f>"Q"&amp;ROUNDUP(MONTH(tblTransactions[[#This Row],[Date]])/3,0)&amp;"-"&amp;YEAR(tblTransactions[[#This Row],[Date]])</f>
        <v>Q4-2023</v>
      </c>
      <c r="Q1291">
        <f>YEAR(tblTransactions[[#This Row],[Date]])</f>
        <v>2023</v>
      </c>
      <c r="R1291" t="str">
        <f>TEXT(tblTransactions[[#This Row],[Date]],"DDDD")</f>
        <v>Sunday</v>
      </c>
      <c r="S1291">
        <f>MONTH(tblTransactions[[#This Row],[Date]])</f>
        <v>10</v>
      </c>
      <c r="T1291" t="str">
        <f>VLOOKUP(E1291, Products!$A:$B,2,0)</f>
        <v>Laptops Ele-3</v>
      </c>
      <c r="U1291" t="str">
        <f>VLOOKUP(E1291,Products!$A:$C,3,0)</f>
        <v>Electronics</v>
      </c>
      <c r="V1291" t="str">
        <f>VLOOKUP(E1291,Products!$A:$D,4,0)</f>
        <v>Laptops</v>
      </c>
      <c r="W1291" t="str">
        <f>VLOOKUP(D1291,Customers!$A:$C,3,0)</f>
        <v>B2C</v>
      </c>
      <c r="X1291" t="str">
        <f>VLOOKUP(C1291,Sales_Representatives!$A:$B,2,0)</f>
        <v>Jennifer Rodriguez</v>
      </c>
    </row>
    <row r="1292" spans="1:24" x14ac:dyDescent="0.3">
      <c r="A1292" t="s">
        <v>1870</v>
      </c>
      <c r="B1292" t="s">
        <v>1868</v>
      </c>
      <c r="C1292" t="s">
        <v>131</v>
      </c>
      <c r="D1292" t="s">
        <v>118</v>
      </c>
      <c r="E1292" t="s">
        <v>217</v>
      </c>
      <c r="F1292">
        <v>1</v>
      </c>
      <c r="G1292">
        <v>145.51</v>
      </c>
      <c r="H1292">
        <v>0</v>
      </c>
      <c r="I1292" s="4">
        <v>145.51</v>
      </c>
      <c r="J1292" t="s">
        <v>44</v>
      </c>
      <c r="K1292" t="s">
        <v>35</v>
      </c>
      <c r="L1292" s="4">
        <f>VLOOKUP(tblTransactions[[#This Row],[Product_ID]],tblProducts[],5,FALSE)</f>
        <v>64.510000000000005</v>
      </c>
      <c r="M1292" s="4">
        <f>tblTransactions[[#This Row],[Total_Amount]]-(tblTransactions[[#This Row],[Cost_Prices]]*tblTransactions[[#This Row],[Quantity]]*(1-tblTransactions[[#This Row],[Discount]]))</f>
        <v>80.999999999999986</v>
      </c>
      <c r="N1292" s="3">
        <f>tblTransactions[[#This Row],[Profit]]/tblTransactions[[#This Row],[Total_Amount]]</f>
        <v>0.55666277231805372</v>
      </c>
      <c r="O1292" t="str">
        <f>TEXT(tblTransactions[[#This Row],[Date]], "MMM-YYYY")</f>
        <v>Oct-2023</v>
      </c>
      <c r="P1292" t="str">
        <f>"Q"&amp;ROUNDUP(MONTH(tblTransactions[[#This Row],[Date]])/3,0)&amp;"-"&amp;YEAR(tblTransactions[[#This Row],[Date]])</f>
        <v>Q4-2023</v>
      </c>
      <c r="Q1292">
        <f>YEAR(tblTransactions[[#This Row],[Date]])</f>
        <v>2023</v>
      </c>
      <c r="R1292" t="str">
        <f>TEXT(tblTransactions[[#This Row],[Date]],"DDDD")</f>
        <v>Sunday</v>
      </c>
      <c r="S1292">
        <f>MONTH(tblTransactions[[#This Row],[Date]])</f>
        <v>10</v>
      </c>
      <c r="T1292" t="str">
        <f>VLOOKUP(E1292, Products!$A:$B,2,0)</f>
        <v>Cables Acc-2</v>
      </c>
      <c r="U1292" t="str">
        <f>VLOOKUP(E1292,Products!$A:$C,3,0)</f>
        <v>Accessories</v>
      </c>
      <c r="V1292" t="str">
        <f>VLOOKUP(E1292,Products!$A:$D,4,0)</f>
        <v>Cables</v>
      </c>
      <c r="W1292" t="str">
        <f>VLOOKUP(D1292,Customers!$A:$C,3,0)</f>
        <v>B2C</v>
      </c>
      <c r="X1292" t="str">
        <f>VLOOKUP(C1292,Sales_Representatives!$A:$B,2,0)</f>
        <v>Michael Davis</v>
      </c>
    </row>
    <row r="1293" spans="1:24" x14ac:dyDescent="0.3">
      <c r="A1293" t="s">
        <v>1871</v>
      </c>
      <c r="B1293" t="s">
        <v>1868</v>
      </c>
      <c r="C1293" t="s">
        <v>27</v>
      </c>
      <c r="D1293" t="s">
        <v>1557</v>
      </c>
      <c r="E1293" t="s">
        <v>347</v>
      </c>
      <c r="F1293">
        <v>4</v>
      </c>
      <c r="G1293">
        <v>1539.6</v>
      </c>
      <c r="H1293">
        <v>0.01</v>
      </c>
      <c r="I1293" s="4">
        <v>6096.82</v>
      </c>
      <c r="J1293" t="s">
        <v>16</v>
      </c>
      <c r="K1293" t="s">
        <v>22</v>
      </c>
      <c r="L1293" s="4">
        <f>VLOOKUP(tblTransactions[[#This Row],[Product_ID]],tblProducts[],5,FALSE)</f>
        <v>992.43</v>
      </c>
      <c r="M1293" s="4">
        <f>tblTransactions[[#This Row],[Total_Amount]]-(tblTransactions[[#This Row],[Cost_Prices]]*tblTransactions[[#This Row],[Quantity]]*(1-tblTransactions[[#This Row],[Discount]]))</f>
        <v>2166.7972</v>
      </c>
      <c r="N1293" s="3">
        <f>tblTransactions[[#This Row],[Profit]]/tblTransactions[[#This Row],[Total_Amount]]</f>
        <v>0.35539792875630249</v>
      </c>
      <c r="O1293" t="str">
        <f>TEXT(tblTransactions[[#This Row],[Date]], "MMM-YYYY")</f>
        <v>Oct-2023</v>
      </c>
      <c r="P1293" t="str">
        <f>"Q"&amp;ROUNDUP(MONTH(tblTransactions[[#This Row],[Date]])/3,0)&amp;"-"&amp;YEAR(tblTransactions[[#This Row],[Date]])</f>
        <v>Q4-2023</v>
      </c>
      <c r="Q1293">
        <f>YEAR(tblTransactions[[#This Row],[Date]])</f>
        <v>2023</v>
      </c>
      <c r="R1293" t="str">
        <f>TEXT(tblTransactions[[#This Row],[Date]],"DDDD")</f>
        <v>Sunday</v>
      </c>
      <c r="S1293">
        <f>MONTH(tblTransactions[[#This Row],[Date]])</f>
        <v>10</v>
      </c>
      <c r="T1293" t="str">
        <f>VLOOKUP(E1293, Products!$A:$B,2,0)</f>
        <v>Routers Tec-2</v>
      </c>
      <c r="U1293" t="str">
        <f>VLOOKUP(E1293,Products!$A:$C,3,0)</f>
        <v>Technology</v>
      </c>
      <c r="V1293" t="str">
        <f>VLOOKUP(E1293,Products!$A:$D,4,0)</f>
        <v>Routers</v>
      </c>
      <c r="W1293" t="str">
        <f>VLOOKUP(D1293,Customers!$A:$C,3,0)</f>
        <v>B2C</v>
      </c>
      <c r="X1293" t="str">
        <f>VLOOKUP(C1293,Sales_Representatives!$A:$B,2,0)</f>
        <v>Thomas Lopez</v>
      </c>
    </row>
    <row r="1294" spans="1:24" x14ac:dyDescent="0.3">
      <c r="A1294" t="s">
        <v>1872</v>
      </c>
      <c r="B1294" t="s">
        <v>1868</v>
      </c>
      <c r="C1294" t="s">
        <v>141</v>
      </c>
      <c r="D1294" t="s">
        <v>1578</v>
      </c>
      <c r="E1294" t="s">
        <v>394</v>
      </c>
      <c r="F1294">
        <v>42</v>
      </c>
      <c r="G1294">
        <v>314.69</v>
      </c>
      <c r="H1294">
        <v>0.19</v>
      </c>
      <c r="I1294" s="4">
        <v>10705.75</v>
      </c>
      <c r="J1294" t="s">
        <v>109</v>
      </c>
      <c r="K1294" t="s">
        <v>17</v>
      </c>
      <c r="L1294" s="4">
        <f>VLOOKUP(tblTransactions[[#This Row],[Product_ID]],tblProducts[],5,FALSE)</f>
        <v>185.43</v>
      </c>
      <c r="M1294" s="4">
        <f>tblTransactions[[#This Row],[Total_Amount]]-(tblTransactions[[#This Row],[Cost_Prices]]*tblTransactions[[#This Row],[Quantity]]*(1-tblTransactions[[#This Row],[Discount]]))</f>
        <v>4397.4213999999993</v>
      </c>
      <c r="N1294" s="3">
        <f>tblTransactions[[#This Row],[Profit]]/tblTransactions[[#This Row],[Total_Amount]]</f>
        <v>0.41075323074048986</v>
      </c>
      <c r="O1294" t="str">
        <f>TEXT(tblTransactions[[#This Row],[Date]], "MMM-YYYY")</f>
        <v>Oct-2023</v>
      </c>
      <c r="P1294" t="str">
        <f>"Q"&amp;ROUNDUP(MONTH(tblTransactions[[#This Row],[Date]])/3,0)&amp;"-"&amp;YEAR(tblTransactions[[#This Row],[Date]])</f>
        <v>Q4-2023</v>
      </c>
      <c r="Q1294">
        <f>YEAR(tblTransactions[[#This Row],[Date]])</f>
        <v>2023</v>
      </c>
      <c r="R1294" t="str">
        <f>TEXT(tblTransactions[[#This Row],[Date]],"DDDD")</f>
        <v>Sunday</v>
      </c>
      <c r="S1294">
        <f>MONTH(tblTransactions[[#This Row],[Date]])</f>
        <v>10</v>
      </c>
      <c r="T1294" t="str">
        <f>VLOOKUP(E1294, Products!$A:$B,2,0)</f>
        <v>Desks Fur-1</v>
      </c>
      <c r="U1294" t="str">
        <f>VLOOKUP(E1294,Products!$A:$C,3,0)</f>
        <v>Furniture</v>
      </c>
      <c r="V1294" t="str">
        <f>VLOOKUP(E1294,Products!$A:$D,4,0)</f>
        <v>Desks</v>
      </c>
      <c r="W1294" t="str">
        <f>VLOOKUP(D1294,Customers!$A:$C,3,0)</f>
        <v>Enterprise</v>
      </c>
      <c r="X1294" t="str">
        <f>VLOOKUP(C1294,Sales_Representatives!$A:$B,2,0)</f>
        <v>Richard Garcia</v>
      </c>
    </row>
    <row r="1295" spans="1:24" x14ac:dyDescent="0.3">
      <c r="A1295" t="s">
        <v>1873</v>
      </c>
      <c r="B1295" t="s">
        <v>1868</v>
      </c>
      <c r="C1295" t="s">
        <v>19</v>
      </c>
      <c r="D1295" t="s">
        <v>156</v>
      </c>
      <c r="E1295" t="s">
        <v>84</v>
      </c>
      <c r="F1295">
        <v>5</v>
      </c>
      <c r="G1295">
        <v>1841.77</v>
      </c>
      <c r="H1295">
        <v>0.01</v>
      </c>
      <c r="I1295" s="4">
        <v>9116.76</v>
      </c>
      <c r="J1295" t="s">
        <v>21</v>
      </c>
      <c r="K1295" t="s">
        <v>39</v>
      </c>
      <c r="L1295" s="4">
        <f>VLOOKUP(tblTransactions[[#This Row],[Product_ID]],tblProducts[],5,FALSE)</f>
        <v>1151.5899999999999</v>
      </c>
      <c r="M1295" s="4">
        <f>tblTransactions[[#This Row],[Total_Amount]]-(tblTransactions[[#This Row],[Cost_Prices]]*tblTransactions[[#This Row],[Quantity]]*(1-tblTransactions[[#This Row],[Discount]]))</f>
        <v>3416.3895000000002</v>
      </c>
      <c r="N1295" s="3">
        <f>tblTransactions[[#This Row],[Profit]]/tblTransactions[[#This Row],[Total_Amount]]</f>
        <v>0.37473724217814225</v>
      </c>
      <c r="O1295" t="str">
        <f>TEXT(tblTransactions[[#This Row],[Date]], "MMM-YYYY")</f>
        <v>Oct-2023</v>
      </c>
      <c r="P1295" t="str">
        <f>"Q"&amp;ROUNDUP(MONTH(tblTransactions[[#This Row],[Date]])/3,0)&amp;"-"&amp;YEAR(tblTransactions[[#This Row],[Date]])</f>
        <v>Q4-2023</v>
      </c>
      <c r="Q1295">
        <f>YEAR(tblTransactions[[#This Row],[Date]])</f>
        <v>2023</v>
      </c>
      <c r="R1295" t="str">
        <f>TEXT(tblTransactions[[#This Row],[Date]],"DDDD")</f>
        <v>Sunday</v>
      </c>
      <c r="S1295">
        <f>MONTH(tblTransactions[[#This Row],[Date]])</f>
        <v>10</v>
      </c>
      <c r="T1295" t="str">
        <f>VLOOKUP(E1295, Products!$A:$B,2,0)</f>
        <v>Laptops Ele-2</v>
      </c>
      <c r="U1295" t="str">
        <f>VLOOKUP(E1295,Products!$A:$C,3,0)</f>
        <v>Electronics</v>
      </c>
      <c r="V1295" t="str">
        <f>VLOOKUP(E1295,Products!$A:$D,4,0)</f>
        <v>Laptops</v>
      </c>
      <c r="W1295" t="str">
        <f>VLOOKUP(D1295,Customers!$A:$C,3,0)</f>
        <v>B2B</v>
      </c>
      <c r="X1295" t="str">
        <f>VLOOKUP(C1295,Sales_Representatives!$A:$B,2,0)</f>
        <v>Robert Jones</v>
      </c>
    </row>
    <row r="1296" spans="1:24" x14ac:dyDescent="0.3">
      <c r="A1296" t="s">
        <v>1874</v>
      </c>
      <c r="B1296" t="s">
        <v>1868</v>
      </c>
      <c r="C1296" t="s">
        <v>127</v>
      </c>
      <c r="D1296" t="s">
        <v>1439</v>
      </c>
      <c r="E1296" t="s">
        <v>184</v>
      </c>
      <c r="F1296">
        <v>5</v>
      </c>
      <c r="G1296">
        <v>276.35000000000002</v>
      </c>
      <c r="H1296">
        <v>0.09</v>
      </c>
      <c r="I1296" s="4">
        <v>1257.3900000000001</v>
      </c>
      <c r="J1296" t="s">
        <v>109</v>
      </c>
      <c r="K1296" t="s">
        <v>17</v>
      </c>
      <c r="L1296" s="4">
        <f>VLOOKUP(tblTransactions[[#This Row],[Product_ID]],tblProducts[],5,FALSE)</f>
        <v>130.15</v>
      </c>
      <c r="M1296" s="4">
        <f>tblTransactions[[#This Row],[Total_Amount]]-(tblTransactions[[#This Row],[Cost_Prices]]*tblTransactions[[#This Row],[Quantity]]*(1-tblTransactions[[#This Row],[Discount]]))</f>
        <v>665.2075000000001</v>
      </c>
      <c r="N1296" s="3">
        <f>tblTransactions[[#This Row],[Profit]]/tblTransactions[[#This Row],[Total_Amount]]</f>
        <v>0.52903832542011631</v>
      </c>
      <c r="O1296" t="str">
        <f>TEXT(tblTransactions[[#This Row],[Date]], "MMM-YYYY")</f>
        <v>Oct-2023</v>
      </c>
      <c r="P1296" t="str">
        <f>"Q"&amp;ROUNDUP(MONTH(tblTransactions[[#This Row],[Date]])/3,0)&amp;"-"&amp;YEAR(tblTransactions[[#This Row],[Date]])</f>
        <v>Q4-2023</v>
      </c>
      <c r="Q1296">
        <f>YEAR(tblTransactions[[#This Row],[Date]])</f>
        <v>2023</v>
      </c>
      <c r="R1296" t="str">
        <f>TEXT(tblTransactions[[#This Row],[Date]],"DDDD")</f>
        <v>Sunday</v>
      </c>
      <c r="S1296">
        <f>MONTH(tblTransactions[[#This Row],[Date]])</f>
        <v>10</v>
      </c>
      <c r="T1296" t="str">
        <f>VLOOKUP(E1296, Products!$A:$B,2,0)</f>
        <v>Binders Off-1</v>
      </c>
      <c r="U1296" t="str">
        <f>VLOOKUP(E1296,Products!$A:$C,3,0)</f>
        <v>Office Supplies</v>
      </c>
      <c r="V1296" t="str">
        <f>VLOOKUP(E1296,Products!$A:$D,4,0)</f>
        <v>Binders</v>
      </c>
      <c r="W1296" t="str">
        <f>VLOOKUP(D1296,Customers!$A:$C,3,0)</f>
        <v>B2C</v>
      </c>
      <c r="X1296" t="str">
        <f>VLOOKUP(C1296,Sales_Representatives!$A:$B,2,0)</f>
        <v>Emily Hernandez</v>
      </c>
    </row>
    <row r="1297" spans="1:24" x14ac:dyDescent="0.3">
      <c r="A1297" t="s">
        <v>1875</v>
      </c>
      <c r="B1297" t="s">
        <v>1876</v>
      </c>
      <c r="C1297" t="s">
        <v>59</v>
      </c>
      <c r="D1297" t="s">
        <v>1877</v>
      </c>
      <c r="E1297" t="s">
        <v>370</v>
      </c>
      <c r="F1297">
        <v>4</v>
      </c>
      <c r="G1297">
        <v>238.95</v>
      </c>
      <c r="H1297">
        <v>0.1</v>
      </c>
      <c r="I1297" s="4">
        <v>860.22</v>
      </c>
      <c r="J1297" t="s">
        <v>21</v>
      </c>
      <c r="K1297" t="s">
        <v>39</v>
      </c>
      <c r="L1297" s="4">
        <f>VLOOKUP(tblTransactions[[#This Row],[Product_ID]],tblProducts[],5,FALSE)</f>
        <v>136.6</v>
      </c>
      <c r="M1297" s="4">
        <f>tblTransactions[[#This Row],[Total_Amount]]-(tblTransactions[[#This Row],[Cost_Prices]]*tblTransactions[[#This Row],[Quantity]]*(1-tblTransactions[[#This Row],[Discount]]))</f>
        <v>368.46000000000004</v>
      </c>
      <c r="N1297" s="3">
        <f>tblTransactions[[#This Row],[Profit]]/tblTransactions[[#This Row],[Total_Amount]]</f>
        <v>0.42833228708934928</v>
      </c>
      <c r="O1297" t="str">
        <f>TEXT(tblTransactions[[#This Row],[Date]], "MMM-YYYY")</f>
        <v>Oct-2023</v>
      </c>
      <c r="P1297" t="str">
        <f>"Q"&amp;ROUNDUP(MONTH(tblTransactions[[#This Row],[Date]])/3,0)&amp;"-"&amp;YEAR(tblTransactions[[#This Row],[Date]])</f>
        <v>Q4-2023</v>
      </c>
      <c r="Q1297">
        <f>YEAR(tblTransactions[[#This Row],[Date]])</f>
        <v>2023</v>
      </c>
      <c r="R1297" t="str">
        <f>TEXT(tblTransactions[[#This Row],[Date]],"DDDD")</f>
        <v>Monday</v>
      </c>
      <c r="S1297">
        <f>MONTH(tblTransactions[[#This Row],[Date]])</f>
        <v>10</v>
      </c>
      <c r="T1297" t="str">
        <f>VLOOKUP(E1297, Products!$A:$B,2,0)</f>
        <v>Cables Acc-1</v>
      </c>
      <c r="U1297" t="str">
        <f>VLOOKUP(E1297,Products!$A:$C,3,0)</f>
        <v>Accessories</v>
      </c>
      <c r="V1297" t="str">
        <f>VLOOKUP(E1297,Products!$A:$D,4,0)</f>
        <v>Cables</v>
      </c>
      <c r="W1297" t="str">
        <f>VLOOKUP(D1297,Customers!$A:$C,3,0)</f>
        <v>Small Business</v>
      </c>
      <c r="X1297" t="str">
        <f>VLOOKUP(C1297,Sales_Representatives!$A:$B,2,0)</f>
        <v>Sarah Brown</v>
      </c>
    </row>
    <row r="1298" spans="1:24" x14ac:dyDescent="0.3">
      <c r="A1298" t="s">
        <v>1878</v>
      </c>
      <c r="B1298" t="s">
        <v>1876</v>
      </c>
      <c r="C1298" t="s">
        <v>127</v>
      </c>
      <c r="D1298" t="s">
        <v>1879</v>
      </c>
      <c r="E1298" t="s">
        <v>508</v>
      </c>
      <c r="F1298">
        <v>3</v>
      </c>
      <c r="G1298">
        <v>237.69</v>
      </c>
      <c r="H1298">
        <v>0.01</v>
      </c>
      <c r="I1298" s="4">
        <v>705.94</v>
      </c>
      <c r="J1298" t="s">
        <v>109</v>
      </c>
      <c r="K1298" t="s">
        <v>17</v>
      </c>
      <c r="L1298" s="4">
        <f>VLOOKUP(tblTransactions[[#This Row],[Product_ID]],tblProducts[],5,FALSE)</f>
        <v>115.31</v>
      </c>
      <c r="M1298" s="4">
        <f>tblTransactions[[#This Row],[Total_Amount]]-(tblTransactions[[#This Row],[Cost_Prices]]*tblTransactions[[#This Row],[Quantity]]*(1-tblTransactions[[#This Row],[Discount]]))</f>
        <v>363.46930000000003</v>
      </c>
      <c r="N1298" s="3">
        <f>tblTransactions[[#This Row],[Profit]]/tblTransactions[[#This Row],[Total_Amount]]</f>
        <v>0.51487279372184602</v>
      </c>
      <c r="O1298" t="str">
        <f>TEXT(tblTransactions[[#This Row],[Date]], "MMM-YYYY")</f>
        <v>Oct-2023</v>
      </c>
      <c r="P1298" t="str">
        <f>"Q"&amp;ROUNDUP(MONTH(tblTransactions[[#This Row],[Date]])/3,0)&amp;"-"&amp;YEAR(tblTransactions[[#This Row],[Date]])</f>
        <v>Q4-2023</v>
      </c>
      <c r="Q1298">
        <f>YEAR(tblTransactions[[#This Row],[Date]])</f>
        <v>2023</v>
      </c>
      <c r="R1298" t="str">
        <f>TEXT(tblTransactions[[#This Row],[Date]],"DDDD")</f>
        <v>Monday</v>
      </c>
      <c r="S1298">
        <f>MONTH(tblTransactions[[#This Row],[Date]])</f>
        <v>10</v>
      </c>
      <c r="T1298" t="str">
        <f>VLOOKUP(E1298, Products!$A:$B,2,0)</f>
        <v>Folders Off-3</v>
      </c>
      <c r="U1298" t="str">
        <f>VLOOKUP(E1298,Products!$A:$C,3,0)</f>
        <v>Office Supplies</v>
      </c>
      <c r="V1298" t="str">
        <f>VLOOKUP(E1298,Products!$A:$D,4,0)</f>
        <v>Folders</v>
      </c>
      <c r="W1298" t="str">
        <f>VLOOKUP(D1298,Customers!$A:$C,3,0)</f>
        <v>B2C</v>
      </c>
      <c r="X1298" t="str">
        <f>VLOOKUP(C1298,Sales_Representatives!$A:$B,2,0)</f>
        <v>Emily Hernandez</v>
      </c>
    </row>
    <row r="1299" spans="1:24" x14ac:dyDescent="0.3">
      <c r="A1299" t="s">
        <v>1880</v>
      </c>
      <c r="B1299" t="s">
        <v>1876</v>
      </c>
      <c r="C1299" t="s">
        <v>63</v>
      </c>
      <c r="D1299" t="s">
        <v>228</v>
      </c>
      <c r="E1299" t="s">
        <v>248</v>
      </c>
      <c r="F1299">
        <v>2</v>
      </c>
      <c r="G1299">
        <v>82.29</v>
      </c>
      <c r="H1299">
        <v>0.02</v>
      </c>
      <c r="I1299" s="4">
        <v>161.29</v>
      </c>
      <c r="J1299" t="s">
        <v>21</v>
      </c>
      <c r="K1299" t="s">
        <v>48</v>
      </c>
      <c r="L1299" s="4">
        <f>VLOOKUP(tblTransactions[[#This Row],[Product_ID]],tblProducts[],5,FALSE)</f>
        <v>51.11</v>
      </c>
      <c r="M1299" s="4">
        <f>tblTransactions[[#This Row],[Total_Amount]]-(tblTransactions[[#This Row],[Cost_Prices]]*tblTransactions[[#This Row],[Quantity]]*(1-tblTransactions[[#This Row],[Discount]]))</f>
        <v>61.114399999999989</v>
      </c>
      <c r="N1299" s="3">
        <f>tblTransactions[[#This Row],[Profit]]/tblTransactions[[#This Row],[Total_Amount]]</f>
        <v>0.3789100378200756</v>
      </c>
      <c r="O1299" t="str">
        <f>TEXT(tblTransactions[[#This Row],[Date]], "MMM-YYYY")</f>
        <v>Oct-2023</v>
      </c>
      <c r="P1299" t="str">
        <f>"Q"&amp;ROUNDUP(MONTH(tblTransactions[[#This Row],[Date]])/3,0)&amp;"-"&amp;YEAR(tblTransactions[[#This Row],[Date]])</f>
        <v>Q4-2023</v>
      </c>
      <c r="Q1299">
        <f>YEAR(tblTransactions[[#This Row],[Date]])</f>
        <v>2023</v>
      </c>
      <c r="R1299" t="str">
        <f>TEXT(tblTransactions[[#This Row],[Date]],"DDDD")</f>
        <v>Monday</v>
      </c>
      <c r="S1299">
        <f>MONTH(tblTransactions[[#This Row],[Date]])</f>
        <v>10</v>
      </c>
      <c r="T1299" t="str">
        <f>VLOOKUP(E1299, Products!$A:$B,2,0)</f>
        <v>Keyboards Acc-2</v>
      </c>
      <c r="U1299" t="str">
        <f>VLOOKUP(E1299,Products!$A:$C,3,0)</f>
        <v>Accessories</v>
      </c>
      <c r="V1299" t="str">
        <f>VLOOKUP(E1299,Products!$A:$D,4,0)</f>
        <v>Keyboards</v>
      </c>
      <c r="W1299" t="str">
        <f>VLOOKUP(D1299,Customers!$A:$C,3,0)</f>
        <v>Small Business</v>
      </c>
      <c r="X1299" t="str">
        <f>VLOOKUP(C1299,Sales_Representatives!$A:$B,2,0)</f>
        <v>Richard Wilson</v>
      </c>
    </row>
    <row r="1300" spans="1:24" x14ac:dyDescent="0.3">
      <c r="A1300" t="s">
        <v>1881</v>
      </c>
      <c r="B1300" t="s">
        <v>1876</v>
      </c>
      <c r="C1300" t="s">
        <v>131</v>
      </c>
      <c r="D1300" t="s">
        <v>1702</v>
      </c>
      <c r="E1300" t="s">
        <v>304</v>
      </c>
      <c r="F1300">
        <v>1</v>
      </c>
      <c r="G1300">
        <v>13.43</v>
      </c>
      <c r="H1300">
        <v>7.0000000000000007E-2</v>
      </c>
      <c r="I1300" s="4">
        <v>12.49</v>
      </c>
      <c r="J1300" t="s">
        <v>44</v>
      </c>
      <c r="K1300" t="s">
        <v>22</v>
      </c>
      <c r="L1300" s="4">
        <f>VLOOKUP(tblTransactions[[#This Row],[Product_ID]],tblProducts[],5,FALSE)</f>
        <v>5.8</v>
      </c>
      <c r="M1300" s="4">
        <f>tblTransactions[[#This Row],[Total_Amount]]-(tblTransactions[[#This Row],[Cost_Prices]]*tblTransactions[[#This Row],[Quantity]]*(1-tblTransactions[[#This Row],[Discount]]))</f>
        <v>7.096000000000001</v>
      </c>
      <c r="N1300" s="3">
        <f>tblTransactions[[#This Row],[Profit]]/tblTransactions[[#This Row],[Total_Amount]]</f>
        <v>0.56813450760608497</v>
      </c>
      <c r="O1300" t="str">
        <f>TEXT(tblTransactions[[#This Row],[Date]], "MMM-YYYY")</f>
        <v>Oct-2023</v>
      </c>
      <c r="P1300" t="str">
        <f>"Q"&amp;ROUNDUP(MONTH(tblTransactions[[#This Row],[Date]])/3,0)&amp;"-"&amp;YEAR(tblTransactions[[#This Row],[Date]])</f>
        <v>Q4-2023</v>
      </c>
      <c r="Q1300">
        <f>YEAR(tblTransactions[[#This Row],[Date]])</f>
        <v>2023</v>
      </c>
      <c r="R1300" t="str">
        <f>TEXT(tblTransactions[[#This Row],[Date]],"DDDD")</f>
        <v>Monday</v>
      </c>
      <c r="S1300">
        <f>MONTH(tblTransactions[[#This Row],[Date]])</f>
        <v>10</v>
      </c>
      <c r="T1300" t="str">
        <f>VLOOKUP(E1300, Products!$A:$B,2,0)</f>
        <v>Pens Off-1</v>
      </c>
      <c r="U1300" t="str">
        <f>VLOOKUP(E1300,Products!$A:$C,3,0)</f>
        <v>Office Supplies</v>
      </c>
      <c r="V1300" t="str">
        <f>VLOOKUP(E1300,Products!$A:$D,4,0)</f>
        <v>Pens</v>
      </c>
      <c r="W1300" t="str">
        <f>VLOOKUP(D1300,Customers!$A:$C,3,0)</f>
        <v>B2C</v>
      </c>
      <c r="X1300" t="str">
        <f>VLOOKUP(C1300,Sales_Representatives!$A:$B,2,0)</f>
        <v>Michael Davis</v>
      </c>
    </row>
    <row r="1301" spans="1:24" x14ac:dyDescent="0.3">
      <c r="A1301" t="s">
        <v>1882</v>
      </c>
      <c r="B1301" t="s">
        <v>1876</v>
      </c>
      <c r="C1301" t="s">
        <v>31</v>
      </c>
      <c r="D1301" t="s">
        <v>1883</v>
      </c>
      <c r="E1301" t="s">
        <v>345</v>
      </c>
      <c r="F1301">
        <v>3</v>
      </c>
      <c r="G1301">
        <v>13.97</v>
      </c>
      <c r="H1301">
        <v>0.03</v>
      </c>
      <c r="I1301" s="4">
        <v>40.65</v>
      </c>
      <c r="J1301" t="s">
        <v>34</v>
      </c>
      <c r="K1301" t="s">
        <v>39</v>
      </c>
      <c r="L1301" s="4">
        <f>VLOOKUP(tblTransactions[[#This Row],[Product_ID]],tblProducts[],5,FALSE)</f>
        <v>8.69</v>
      </c>
      <c r="M1301" s="4">
        <f>tblTransactions[[#This Row],[Total_Amount]]-(tblTransactions[[#This Row],[Cost_Prices]]*tblTransactions[[#This Row],[Quantity]]*(1-tblTransactions[[#This Row],[Discount]]))</f>
        <v>15.362099999999998</v>
      </c>
      <c r="N1301" s="3">
        <f>tblTransactions[[#This Row],[Profit]]/tblTransactions[[#This Row],[Total_Amount]]</f>
        <v>0.37791143911439112</v>
      </c>
      <c r="O1301" t="str">
        <f>TEXT(tblTransactions[[#This Row],[Date]], "MMM-YYYY")</f>
        <v>Oct-2023</v>
      </c>
      <c r="P1301" t="str">
        <f>"Q"&amp;ROUNDUP(MONTH(tblTransactions[[#This Row],[Date]])/3,0)&amp;"-"&amp;YEAR(tblTransactions[[#This Row],[Date]])</f>
        <v>Q4-2023</v>
      </c>
      <c r="Q1301">
        <f>YEAR(tblTransactions[[#This Row],[Date]])</f>
        <v>2023</v>
      </c>
      <c r="R1301" t="str">
        <f>TEXT(tblTransactions[[#This Row],[Date]],"DDDD")</f>
        <v>Monday</v>
      </c>
      <c r="S1301">
        <f>MONTH(tblTransactions[[#This Row],[Date]])</f>
        <v>10</v>
      </c>
      <c r="T1301" t="str">
        <f>VLOOKUP(E1301, Products!$A:$B,2,0)</f>
        <v>Cases Acc-2</v>
      </c>
      <c r="U1301" t="str">
        <f>VLOOKUP(E1301,Products!$A:$C,3,0)</f>
        <v>Accessories</v>
      </c>
      <c r="V1301" t="str">
        <f>VLOOKUP(E1301,Products!$A:$D,4,0)</f>
        <v>Cases</v>
      </c>
      <c r="W1301" t="str">
        <f>VLOOKUP(D1301,Customers!$A:$C,3,0)</f>
        <v>B2C</v>
      </c>
      <c r="X1301" t="str">
        <f>VLOOKUP(C1301,Sales_Representatives!$A:$B,2,0)</f>
        <v>Thomas Martinez</v>
      </c>
    </row>
    <row r="1302" spans="1:24" x14ac:dyDescent="0.3">
      <c r="A1302" t="s">
        <v>1884</v>
      </c>
      <c r="B1302" t="s">
        <v>1876</v>
      </c>
      <c r="C1302" t="s">
        <v>27</v>
      </c>
      <c r="D1302" t="s">
        <v>1883</v>
      </c>
      <c r="E1302" t="s">
        <v>129</v>
      </c>
      <c r="F1302">
        <v>5</v>
      </c>
      <c r="G1302">
        <v>1283.71</v>
      </c>
      <c r="H1302">
        <v>0.02</v>
      </c>
      <c r="I1302" s="4">
        <v>6290.18</v>
      </c>
      <c r="J1302" t="s">
        <v>16</v>
      </c>
      <c r="K1302" t="s">
        <v>22</v>
      </c>
      <c r="L1302" s="4">
        <f>VLOOKUP(tblTransactions[[#This Row],[Product_ID]],tblProducts[],5,FALSE)</f>
        <v>970.14</v>
      </c>
      <c r="M1302" s="4">
        <f>tblTransactions[[#This Row],[Total_Amount]]-(tblTransactions[[#This Row],[Cost_Prices]]*tblTransactions[[#This Row],[Quantity]]*(1-tblTransactions[[#This Row],[Discount]]))</f>
        <v>1536.4940000000006</v>
      </c>
      <c r="N1302" s="3">
        <f>tblTransactions[[#This Row],[Profit]]/tblTransactions[[#This Row],[Total_Amount]]</f>
        <v>0.24426868547481956</v>
      </c>
      <c r="O1302" t="str">
        <f>TEXT(tblTransactions[[#This Row],[Date]], "MMM-YYYY")</f>
        <v>Oct-2023</v>
      </c>
      <c r="P1302" t="str">
        <f>"Q"&amp;ROUNDUP(MONTH(tblTransactions[[#This Row],[Date]])/3,0)&amp;"-"&amp;YEAR(tblTransactions[[#This Row],[Date]])</f>
        <v>Q4-2023</v>
      </c>
      <c r="Q1302">
        <f>YEAR(tblTransactions[[#This Row],[Date]])</f>
        <v>2023</v>
      </c>
      <c r="R1302" t="str">
        <f>TEXT(tblTransactions[[#This Row],[Date]],"DDDD")</f>
        <v>Monday</v>
      </c>
      <c r="S1302">
        <f>MONTH(tblTransactions[[#This Row],[Date]])</f>
        <v>10</v>
      </c>
      <c r="T1302" t="str">
        <f>VLOOKUP(E1302, Products!$A:$B,2,0)</f>
        <v>Cameras Ele-3</v>
      </c>
      <c r="U1302" t="str">
        <f>VLOOKUP(E1302,Products!$A:$C,3,0)</f>
        <v>Electronics</v>
      </c>
      <c r="V1302" t="str">
        <f>VLOOKUP(E1302,Products!$A:$D,4,0)</f>
        <v>Cameras</v>
      </c>
      <c r="W1302" t="str">
        <f>VLOOKUP(D1302,Customers!$A:$C,3,0)</f>
        <v>B2C</v>
      </c>
      <c r="X1302" t="str">
        <f>VLOOKUP(C1302,Sales_Representatives!$A:$B,2,0)</f>
        <v>Thomas Lopez</v>
      </c>
    </row>
    <row r="1303" spans="1:24" x14ac:dyDescent="0.3">
      <c r="A1303" t="s">
        <v>1885</v>
      </c>
      <c r="B1303" t="s">
        <v>1886</v>
      </c>
      <c r="C1303" t="s">
        <v>13</v>
      </c>
      <c r="D1303" t="s">
        <v>1675</v>
      </c>
      <c r="E1303" t="s">
        <v>29</v>
      </c>
      <c r="F1303">
        <v>9</v>
      </c>
      <c r="G1303">
        <v>1363.46</v>
      </c>
      <c r="H1303">
        <v>0.14000000000000001</v>
      </c>
      <c r="I1303" s="4">
        <v>10553.18</v>
      </c>
      <c r="J1303" t="s">
        <v>16</v>
      </c>
      <c r="K1303" t="s">
        <v>35</v>
      </c>
      <c r="L1303" s="4">
        <f>VLOOKUP(tblTransactions[[#This Row],[Product_ID]],tblProducts[],5,FALSE)</f>
        <v>995.41</v>
      </c>
      <c r="M1303" s="4">
        <f>tblTransactions[[#This Row],[Total_Amount]]-(tblTransactions[[#This Row],[Cost_Prices]]*tblTransactions[[#This Row],[Quantity]]*(1-tblTransactions[[#This Row],[Discount]]))</f>
        <v>2848.7065999999995</v>
      </c>
      <c r="N1303" s="3">
        <f>tblTransactions[[#This Row],[Profit]]/tblTransactions[[#This Row],[Total_Amount]]</f>
        <v>0.26993821767467241</v>
      </c>
      <c r="O1303" t="str">
        <f>TEXT(tblTransactions[[#This Row],[Date]], "MMM-YYYY")</f>
        <v>Oct-2023</v>
      </c>
      <c r="P1303" t="str">
        <f>"Q"&amp;ROUNDUP(MONTH(tblTransactions[[#This Row],[Date]])/3,0)&amp;"-"&amp;YEAR(tblTransactions[[#This Row],[Date]])</f>
        <v>Q4-2023</v>
      </c>
      <c r="Q1303">
        <f>YEAR(tblTransactions[[#This Row],[Date]])</f>
        <v>2023</v>
      </c>
      <c r="R1303" t="str">
        <f>TEXT(tblTransactions[[#This Row],[Date]],"DDDD")</f>
        <v>Tuesday</v>
      </c>
      <c r="S1303">
        <f>MONTH(tblTransactions[[#This Row],[Date]])</f>
        <v>10</v>
      </c>
      <c r="T1303" t="str">
        <f>VLOOKUP(E1303, Products!$A:$B,2,0)</f>
        <v>Phones Ele-3</v>
      </c>
      <c r="U1303" t="str">
        <f>VLOOKUP(E1303,Products!$A:$C,3,0)</f>
        <v>Electronics</v>
      </c>
      <c r="V1303" t="str">
        <f>VLOOKUP(E1303,Products!$A:$D,4,0)</f>
        <v>Phones</v>
      </c>
      <c r="W1303" t="str">
        <f>VLOOKUP(D1303,Customers!$A:$C,3,0)</f>
        <v>B2B</v>
      </c>
      <c r="X1303" t="str">
        <f>VLOOKUP(C1303,Sales_Representatives!$A:$B,2,0)</f>
        <v>Jennifer Rodriguez</v>
      </c>
    </row>
    <row r="1304" spans="1:24" x14ac:dyDescent="0.3">
      <c r="A1304" t="s">
        <v>1887</v>
      </c>
      <c r="B1304" t="s">
        <v>1886</v>
      </c>
      <c r="C1304" t="s">
        <v>63</v>
      </c>
      <c r="D1304" t="s">
        <v>1888</v>
      </c>
      <c r="E1304" t="s">
        <v>72</v>
      </c>
      <c r="F1304">
        <v>4</v>
      </c>
      <c r="G1304">
        <v>404.76</v>
      </c>
      <c r="H1304">
        <v>0.05</v>
      </c>
      <c r="I1304" s="4">
        <v>1538.09</v>
      </c>
      <c r="J1304" t="s">
        <v>21</v>
      </c>
      <c r="K1304" t="s">
        <v>39</v>
      </c>
      <c r="L1304" s="4">
        <f>VLOOKUP(tblTransactions[[#This Row],[Product_ID]],tblProducts[],5,FALSE)</f>
        <v>226.76</v>
      </c>
      <c r="M1304" s="4">
        <f>tblTransactions[[#This Row],[Total_Amount]]-(tblTransactions[[#This Row],[Cost_Prices]]*tblTransactions[[#This Row],[Quantity]]*(1-tblTransactions[[#This Row],[Discount]]))</f>
        <v>676.40200000000004</v>
      </c>
      <c r="N1304" s="3">
        <f>tblTransactions[[#This Row],[Profit]]/tblTransactions[[#This Row],[Total_Amount]]</f>
        <v>0.43976750385218033</v>
      </c>
      <c r="O1304" t="str">
        <f>TEXT(tblTransactions[[#This Row],[Date]], "MMM-YYYY")</f>
        <v>Oct-2023</v>
      </c>
      <c r="P1304" t="str">
        <f>"Q"&amp;ROUNDUP(MONTH(tblTransactions[[#This Row],[Date]])/3,0)&amp;"-"&amp;YEAR(tblTransactions[[#This Row],[Date]])</f>
        <v>Q4-2023</v>
      </c>
      <c r="Q1304">
        <f>YEAR(tblTransactions[[#This Row],[Date]])</f>
        <v>2023</v>
      </c>
      <c r="R1304" t="str">
        <f>TEXT(tblTransactions[[#This Row],[Date]],"DDDD")</f>
        <v>Tuesday</v>
      </c>
      <c r="S1304">
        <f>MONTH(tblTransactions[[#This Row],[Date]])</f>
        <v>10</v>
      </c>
      <c r="T1304" t="str">
        <f>VLOOKUP(E1304, Products!$A:$B,2,0)</f>
        <v>Tablets Ele-2</v>
      </c>
      <c r="U1304" t="str">
        <f>VLOOKUP(E1304,Products!$A:$C,3,0)</f>
        <v>Electronics</v>
      </c>
      <c r="V1304" t="str">
        <f>VLOOKUP(E1304,Products!$A:$D,4,0)</f>
        <v>Tablets</v>
      </c>
      <c r="W1304" t="str">
        <f>VLOOKUP(D1304,Customers!$A:$C,3,0)</f>
        <v>B2C</v>
      </c>
      <c r="X1304" t="str">
        <f>VLOOKUP(C1304,Sales_Representatives!$A:$B,2,0)</f>
        <v>Richard Wilson</v>
      </c>
    </row>
    <row r="1305" spans="1:24" x14ac:dyDescent="0.3">
      <c r="A1305" t="s">
        <v>1889</v>
      </c>
      <c r="B1305" t="s">
        <v>1886</v>
      </c>
      <c r="C1305" t="s">
        <v>107</v>
      </c>
      <c r="D1305" t="s">
        <v>1520</v>
      </c>
      <c r="E1305" t="s">
        <v>184</v>
      </c>
      <c r="F1305">
        <v>3</v>
      </c>
      <c r="G1305">
        <v>276.35000000000002</v>
      </c>
      <c r="H1305">
        <v>0.05</v>
      </c>
      <c r="I1305" s="4">
        <v>787.6</v>
      </c>
      <c r="J1305" t="s">
        <v>109</v>
      </c>
      <c r="K1305" t="s">
        <v>17</v>
      </c>
      <c r="L1305" s="4">
        <f>VLOOKUP(tblTransactions[[#This Row],[Product_ID]],tblProducts[],5,FALSE)</f>
        <v>130.15</v>
      </c>
      <c r="M1305" s="4">
        <f>tblTransactions[[#This Row],[Total_Amount]]-(tblTransactions[[#This Row],[Cost_Prices]]*tblTransactions[[#This Row],[Quantity]]*(1-tblTransactions[[#This Row],[Discount]]))</f>
        <v>416.67250000000001</v>
      </c>
      <c r="N1305" s="3">
        <f>tblTransactions[[#This Row],[Profit]]/tblTransactions[[#This Row],[Total_Amount]]</f>
        <v>0.52904075672930417</v>
      </c>
      <c r="O1305" t="str">
        <f>TEXT(tblTransactions[[#This Row],[Date]], "MMM-YYYY")</f>
        <v>Oct-2023</v>
      </c>
      <c r="P1305" t="str">
        <f>"Q"&amp;ROUNDUP(MONTH(tblTransactions[[#This Row],[Date]])/3,0)&amp;"-"&amp;YEAR(tblTransactions[[#This Row],[Date]])</f>
        <v>Q4-2023</v>
      </c>
      <c r="Q1305">
        <f>YEAR(tblTransactions[[#This Row],[Date]])</f>
        <v>2023</v>
      </c>
      <c r="R1305" t="str">
        <f>TEXT(tblTransactions[[#This Row],[Date]],"DDDD")</f>
        <v>Tuesday</v>
      </c>
      <c r="S1305">
        <f>MONTH(tblTransactions[[#This Row],[Date]])</f>
        <v>10</v>
      </c>
      <c r="T1305" t="str">
        <f>VLOOKUP(E1305, Products!$A:$B,2,0)</f>
        <v>Binders Off-1</v>
      </c>
      <c r="U1305" t="str">
        <f>VLOOKUP(E1305,Products!$A:$C,3,0)</f>
        <v>Office Supplies</v>
      </c>
      <c r="V1305" t="str">
        <f>VLOOKUP(E1305,Products!$A:$D,4,0)</f>
        <v>Binders</v>
      </c>
      <c r="W1305" t="str">
        <f>VLOOKUP(D1305,Customers!$A:$C,3,0)</f>
        <v>B2C</v>
      </c>
      <c r="X1305" t="str">
        <f>VLOOKUP(C1305,Sales_Representatives!$A:$B,2,0)</f>
        <v>Jennifer Brown</v>
      </c>
    </row>
    <row r="1306" spans="1:24" x14ac:dyDescent="0.3">
      <c r="A1306" t="s">
        <v>1890</v>
      </c>
      <c r="B1306" t="s">
        <v>1886</v>
      </c>
      <c r="C1306" t="s">
        <v>107</v>
      </c>
      <c r="D1306" t="s">
        <v>1891</v>
      </c>
      <c r="E1306" t="s">
        <v>87</v>
      </c>
      <c r="F1306">
        <v>10</v>
      </c>
      <c r="G1306">
        <v>1047.8900000000001</v>
      </c>
      <c r="H1306">
        <v>7.0000000000000007E-2</v>
      </c>
      <c r="I1306" s="4">
        <v>9745.3799999999992</v>
      </c>
      <c r="J1306" t="s">
        <v>109</v>
      </c>
      <c r="K1306" t="s">
        <v>17</v>
      </c>
      <c r="L1306" s="4">
        <f>VLOOKUP(tblTransactions[[#This Row],[Product_ID]],tblProducts[],5,FALSE)</f>
        <v>742.63</v>
      </c>
      <c r="M1306" s="4">
        <f>tblTransactions[[#This Row],[Total_Amount]]-(tblTransactions[[#This Row],[Cost_Prices]]*tblTransactions[[#This Row],[Quantity]]*(1-tblTransactions[[#This Row],[Discount]]))</f>
        <v>2838.9209999999994</v>
      </c>
      <c r="N1306" s="3">
        <f>tblTransactions[[#This Row],[Profit]]/tblTransactions[[#This Row],[Total_Amount]]</f>
        <v>0.2913094204638505</v>
      </c>
      <c r="O1306" t="str">
        <f>TEXT(tblTransactions[[#This Row],[Date]], "MMM-YYYY")</f>
        <v>Oct-2023</v>
      </c>
      <c r="P1306" t="str">
        <f>"Q"&amp;ROUNDUP(MONTH(tblTransactions[[#This Row],[Date]])/3,0)&amp;"-"&amp;YEAR(tblTransactions[[#This Row],[Date]])</f>
        <v>Q4-2023</v>
      </c>
      <c r="Q1306">
        <f>YEAR(tblTransactions[[#This Row],[Date]])</f>
        <v>2023</v>
      </c>
      <c r="R1306" t="str">
        <f>TEXT(tblTransactions[[#This Row],[Date]],"DDDD")</f>
        <v>Tuesday</v>
      </c>
      <c r="S1306">
        <f>MONTH(tblTransactions[[#This Row],[Date]])</f>
        <v>10</v>
      </c>
      <c r="T1306" t="str">
        <f>VLOOKUP(E1306, Products!$A:$B,2,0)</f>
        <v>Monitors Tec-2</v>
      </c>
      <c r="U1306" t="str">
        <f>VLOOKUP(E1306,Products!$A:$C,3,0)</f>
        <v>Technology</v>
      </c>
      <c r="V1306" t="str">
        <f>VLOOKUP(E1306,Products!$A:$D,4,0)</f>
        <v>Monitors</v>
      </c>
      <c r="W1306" t="str">
        <f>VLOOKUP(D1306,Customers!$A:$C,3,0)</f>
        <v>B2B</v>
      </c>
      <c r="X1306" t="str">
        <f>VLOOKUP(C1306,Sales_Representatives!$A:$B,2,0)</f>
        <v>Jennifer Brown</v>
      </c>
    </row>
    <row r="1307" spans="1:24" x14ac:dyDescent="0.3">
      <c r="A1307" t="s">
        <v>1892</v>
      </c>
      <c r="B1307" t="s">
        <v>1886</v>
      </c>
      <c r="C1307" t="s">
        <v>131</v>
      </c>
      <c r="D1307" t="s">
        <v>1893</v>
      </c>
      <c r="E1307" t="s">
        <v>68</v>
      </c>
      <c r="F1307">
        <v>16</v>
      </c>
      <c r="G1307">
        <v>522.63</v>
      </c>
      <c r="H1307">
        <v>0.14000000000000001</v>
      </c>
      <c r="I1307" s="4">
        <v>7191.39</v>
      </c>
      <c r="J1307" t="s">
        <v>44</v>
      </c>
      <c r="K1307" t="s">
        <v>35</v>
      </c>
      <c r="L1307" s="4">
        <f>VLOOKUP(tblTransactions[[#This Row],[Product_ID]],tblProducts[],5,FALSE)</f>
        <v>355.82</v>
      </c>
      <c r="M1307" s="4">
        <f>tblTransactions[[#This Row],[Total_Amount]]-(tblTransactions[[#This Row],[Cost_Prices]]*tblTransactions[[#This Row],[Quantity]]*(1-tblTransactions[[#This Row],[Discount]]))</f>
        <v>2295.3068000000003</v>
      </c>
      <c r="N1307" s="3">
        <f>tblTransactions[[#This Row],[Profit]]/tblTransactions[[#This Row],[Total_Amount]]</f>
        <v>0.31917429036667461</v>
      </c>
      <c r="O1307" t="str">
        <f>TEXT(tblTransactions[[#This Row],[Date]], "MMM-YYYY")</f>
        <v>Oct-2023</v>
      </c>
      <c r="P1307" t="str">
        <f>"Q"&amp;ROUNDUP(MONTH(tblTransactions[[#This Row],[Date]])/3,0)&amp;"-"&amp;YEAR(tblTransactions[[#This Row],[Date]])</f>
        <v>Q4-2023</v>
      </c>
      <c r="Q1307">
        <f>YEAR(tblTransactions[[#This Row],[Date]])</f>
        <v>2023</v>
      </c>
      <c r="R1307" t="str">
        <f>TEXT(tblTransactions[[#This Row],[Date]],"DDDD")</f>
        <v>Tuesday</v>
      </c>
      <c r="S1307">
        <f>MONTH(tblTransactions[[#This Row],[Date]])</f>
        <v>10</v>
      </c>
      <c r="T1307" t="str">
        <f>VLOOKUP(E1307, Products!$A:$B,2,0)</f>
        <v>Monitors Tec-3</v>
      </c>
      <c r="U1307" t="str">
        <f>VLOOKUP(E1307,Products!$A:$C,3,0)</f>
        <v>Technology</v>
      </c>
      <c r="V1307" t="str">
        <f>VLOOKUP(E1307,Products!$A:$D,4,0)</f>
        <v>Monitors</v>
      </c>
      <c r="W1307" t="str">
        <f>VLOOKUP(D1307,Customers!$A:$C,3,0)</f>
        <v>B2B</v>
      </c>
      <c r="X1307" t="str">
        <f>VLOOKUP(C1307,Sales_Representatives!$A:$B,2,0)</f>
        <v>Michael Davis</v>
      </c>
    </row>
    <row r="1308" spans="1:24" x14ac:dyDescent="0.3">
      <c r="A1308" t="s">
        <v>1894</v>
      </c>
      <c r="B1308" t="s">
        <v>1895</v>
      </c>
      <c r="C1308" t="s">
        <v>41</v>
      </c>
      <c r="D1308" t="s">
        <v>1543</v>
      </c>
      <c r="E1308" t="s">
        <v>394</v>
      </c>
      <c r="F1308">
        <v>3</v>
      </c>
      <c r="G1308">
        <v>314.69</v>
      </c>
      <c r="H1308">
        <v>0.01</v>
      </c>
      <c r="I1308" s="4">
        <v>934.63</v>
      </c>
      <c r="J1308" t="s">
        <v>44</v>
      </c>
      <c r="K1308" t="s">
        <v>35</v>
      </c>
      <c r="L1308" s="4">
        <f>VLOOKUP(tblTransactions[[#This Row],[Product_ID]],tblProducts[],5,FALSE)</f>
        <v>185.43</v>
      </c>
      <c r="M1308" s="4">
        <f>tblTransactions[[#This Row],[Total_Amount]]-(tblTransactions[[#This Row],[Cost_Prices]]*tblTransactions[[#This Row],[Quantity]]*(1-tblTransactions[[#This Row],[Discount]]))</f>
        <v>383.90290000000005</v>
      </c>
      <c r="N1308" s="3">
        <f>tblTransactions[[#This Row],[Profit]]/tblTransactions[[#This Row],[Total_Amount]]</f>
        <v>0.41075388121502632</v>
      </c>
      <c r="O1308" t="str">
        <f>TEXT(tblTransactions[[#This Row],[Date]], "MMM-YYYY")</f>
        <v>Oct-2023</v>
      </c>
      <c r="P1308" t="str">
        <f>"Q"&amp;ROUNDUP(MONTH(tblTransactions[[#This Row],[Date]])/3,0)&amp;"-"&amp;YEAR(tblTransactions[[#This Row],[Date]])</f>
        <v>Q4-2023</v>
      </c>
      <c r="Q1308">
        <f>YEAR(tblTransactions[[#This Row],[Date]])</f>
        <v>2023</v>
      </c>
      <c r="R1308" t="str">
        <f>TEXT(tblTransactions[[#This Row],[Date]],"DDDD")</f>
        <v>Wednesday</v>
      </c>
      <c r="S1308">
        <f>MONTH(tblTransactions[[#This Row],[Date]])</f>
        <v>10</v>
      </c>
      <c r="T1308" t="str">
        <f>VLOOKUP(E1308, Products!$A:$B,2,0)</f>
        <v>Desks Fur-1</v>
      </c>
      <c r="U1308" t="str">
        <f>VLOOKUP(E1308,Products!$A:$C,3,0)</f>
        <v>Furniture</v>
      </c>
      <c r="V1308" t="str">
        <f>VLOOKUP(E1308,Products!$A:$D,4,0)</f>
        <v>Desks</v>
      </c>
      <c r="W1308" t="str">
        <f>VLOOKUP(D1308,Customers!$A:$C,3,0)</f>
        <v>B2C</v>
      </c>
      <c r="X1308" t="str">
        <f>VLOOKUP(C1308,Sales_Representatives!$A:$B,2,0)</f>
        <v>Robert Jones</v>
      </c>
    </row>
    <row r="1309" spans="1:24" x14ac:dyDescent="0.3">
      <c r="A1309" t="s">
        <v>1896</v>
      </c>
      <c r="B1309" t="s">
        <v>1895</v>
      </c>
      <c r="C1309" t="s">
        <v>13</v>
      </c>
      <c r="D1309" t="s">
        <v>216</v>
      </c>
      <c r="E1309" t="s">
        <v>324</v>
      </c>
      <c r="F1309">
        <v>7</v>
      </c>
      <c r="G1309">
        <v>245.76</v>
      </c>
      <c r="H1309">
        <v>0.1</v>
      </c>
      <c r="I1309" s="4">
        <v>1548.29</v>
      </c>
      <c r="J1309" t="s">
        <v>16</v>
      </c>
      <c r="K1309" t="s">
        <v>17</v>
      </c>
      <c r="L1309" s="4">
        <f>VLOOKUP(tblTransactions[[#This Row],[Product_ID]],tblProducts[],5,FALSE)</f>
        <v>161.94</v>
      </c>
      <c r="M1309" s="4">
        <f>tblTransactions[[#This Row],[Total_Amount]]-(tblTransactions[[#This Row],[Cost_Prices]]*tblTransactions[[#This Row],[Quantity]]*(1-tblTransactions[[#This Row],[Discount]]))</f>
        <v>528.06799999999998</v>
      </c>
      <c r="N1309" s="3">
        <f>tblTransactions[[#This Row],[Profit]]/tblTransactions[[#This Row],[Total_Amount]]</f>
        <v>0.34106530430345738</v>
      </c>
      <c r="O1309" t="str">
        <f>TEXT(tblTransactions[[#This Row],[Date]], "MMM-YYYY")</f>
        <v>Oct-2023</v>
      </c>
      <c r="P1309" t="str">
        <f>"Q"&amp;ROUNDUP(MONTH(tblTransactions[[#This Row],[Date]])/3,0)&amp;"-"&amp;YEAR(tblTransactions[[#This Row],[Date]])</f>
        <v>Q4-2023</v>
      </c>
      <c r="Q1309">
        <f>YEAR(tblTransactions[[#This Row],[Date]])</f>
        <v>2023</v>
      </c>
      <c r="R1309" t="str">
        <f>TEXT(tblTransactions[[#This Row],[Date]],"DDDD")</f>
        <v>Wednesday</v>
      </c>
      <c r="S1309">
        <f>MONTH(tblTransactions[[#This Row],[Date]])</f>
        <v>10</v>
      </c>
      <c r="T1309" t="str">
        <f>VLOOKUP(E1309, Products!$A:$B,2,0)</f>
        <v>Storage Fur-1</v>
      </c>
      <c r="U1309" t="str">
        <f>VLOOKUP(E1309,Products!$A:$C,3,0)</f>
        <v>Furniture</v>
      </c>
      <c r="V1309" t="str">
        <f>VLOOKUP(E1309,Products!$A:$D,4,0)</f>
        <v>Storage</v>
      </c>
      <c r="W1309" t="str">
        <f>VLOOKUP(D1309,Customers!$A:$C,3,0)</f>
        <v>Small Business</v>
      </c>
      <c r="X1309" t="str">
        <f>VLOOKUP(C1309,Sales_Representatives!$A:$B,2,0)</f>
        <v>Jennifer Rodriguez</v>
      </c>
    </row>
    <row r="1310" spans="1:24" x14ac:dyDescent="0.3">
      <c r="A1310" t="s">
        <v>1897</v>
      </c>
      <c r="B1310" t="s">
        <v>1895</v>
      </c>
      <c r="C1310" t="s">
        <v>41</v>
      </c>
      <c r="D1310" t="s">
        <v>1739</v>
      </c>
      <c r="E1310" t="s">
        <v>316</v>
      </c>
      <c r="F1310">
        <v>7</v>
      </c>
      <c r="G1310">
        <v>91.42</v>
      </c>
      <c r="H1310">
        <v>0.15</v>
      </c>
      <c r="I1310" s="4">
        <v>543.95000000000005</v>
      </c>
      <c r="J1310" t="s">
        <v>44</v>
      </c>
      <c r="K1310" t="s">
        <v>39</v>
      </c>
      <c r="L1310" s="4">
        <f>VLOOKUP(tblTransactions[[#This Row],[Product_ID]],tblProducts[],5,FALSE)</f>
        <v>50.09</v>
      </c>
      <c r="M1310" s="4">
        <f>tblTransactions[[#This Row],[Total_Amount]]-(tblTransactions[[#This Row],[Cost_Prices]]*tblTransactions[[#This Row],[Quantity]]*(1-tblTransactions[[#This Row],[Discount]]))</f>
        <v>245.91450000000003</v>
      </c>
      <c r="N1310" s="3">
        <f>tblTransactions[[#This Row],[Profit]]/tblTransactions[[#This Row],[Total_Amount]]</f>
        <v>0.45209026564941635</v>
      </c>
      <c r="O1310" t="str">
        <f>TEXT(tblTransactions[[#This Row],[Date]], "MMM-YYYY")</f>
        <v>Oct-2023</v>
      </c>
      <c r="P1310" t="str">
        <f>"Q"&amp;ROUNDUP(MONTH(tblTransactions[[#This Row],[Date]])/3,0)&amp;"-"&amp;YEAR(tblTransactions[[#This Row],[Date]])</f>
        <v>Q4-2023</v>
      </c>
      <c r="Q1310">
        <f>YEAR(tblTransactions[[#This Row],[Date]])</f>
        <v>2023</v>
      </c>
      <c r="R1310" t="str">
        <f>TEXT(tblTransactions[[#This Row],[Date]],"DDDD")</f>
        <v>Wednesday</v>
      </c>
      <c r="S1310">
        <f>MONTH(tblTransactions[[#This Row],[Date]])</f>
        <v>10</v>
      </c>
      <c r="T1310" t="str">
        <f>VLOOKUP(E1310, Products!$A:$B,2,0)</f>
        <v>Binders Off-3</v>
      </c>
      <c r="U1310" t="str">
        <f>VLOOKUP(E1310,Products!$A:$C,3,0)</f>
        <v>Office Supplies</v>
      </c>
      <c r="V1310" t="str">
        <f>VLOOKUP(E1310,Products!$A:$D,4,0)</f>
        <v>Binders</v>
      </c>
      <c r="W1310" t="str">
        <f>VLOOKUP(D1310,Customers!$A:$C,3,0)</f>
        <v>B2C</v>
      </c>
      <c r="X1310" t="str">
        <f>VLOOKUP(C1310,Sales_Representatives!$A:$B,2,0)</f>
        <v>Robert Jones</v>
      </c>
    </row>
    <row r="1311" spans="1:24" x14ac:dyDescent="0.3">
      <c r="A1311" t="s">
        <v>1898</v>
      </c>
      <c r="B1311" t="s">
        <v>1899</v>
      </c>
      <c r="C1311" t="s">
        <v>75</v>
      </c>
      <c r="D1311" t="s">
        <v>1900</v>
      </c>
      <c r="E1311" t="s">
        <v>198</v>
      </c>
      <c r="F1311">
        <v>1</v>
      </c>
      <c r="G1311">
        <v>1802.96</v>
      </c>
      <c r="H1311">
        <v>0.06</v>
      </c>
      <c r="I1311" s="4">
        <v>1694.78</v>
      </c>
      <c r="J1311" t="s">
        <v>44</v>
      </c>
      <c r="K1311" t="s">
        <v>22</v>
      </c>
      <c r="L1311" s="4">
        <f>VLOOKUP(tblTransactions[[#This Row],[Product_ID]],tblProducts[],5,FALSE)</f>
        <v>1282.18</v>
      </c>
      <c r="M1311" s="4">
        <f>tblTransactions[[#This Row],[Total_Amount]]-(tblTransactions[[#This Row],[Cost_Prices]]*tblTransactions[[#This Row],[Quantity]]*(1-tblTransactions[[#This Row],[Discount]]))</f>
        <v>489.5308</v>
      </c>
      <c r="N1311" s="3">
        <f>tblTransactions[[#This Row],[Profit]]/tblTransactions[[#This Row],[Total_Amount]]</f>
        <v>0.28884622192850989</v>
      </c>
      <c r="O1311" t="str">
        <f>TEXT(tblTransactions[[#This Row],[Date]], "MMM-YYYY")</f>
        <v>Oct-2023</v>
      </c>
      <c r="P1311" t="str">
        <f>"Q"&amp;ROUNDUP(MONTH(tblTransactions[[#This Row],[Date]])/3,0)&amp;"-"&amp;YEAR(tblTransactions[[#This Row],[Date]])</f>
        <v>Q4-2023</v>
      </c>
      <c r="Q1311">
        <f>YEAR(tblTransactions[[#This Row],[Date]])</f>
        <v>2023</v>
      </c>
      <c r="R1311" t="str">
        <f>TEXT(tblTransactions[[#This Row],[Date]],"DDDD")</f>
        <v>Thursday</v>
      </c>
      <c r="S1311">
        <f>MONTH(tblTransactions[[#This Row],[Date]])</f>
        <v>10</v>
      </c>
      <c r="T1311" t="str">
        <f>VLOOKUP(E1311, Products!$A:$B,2,0)</f>
        <v>Tablets Ele-3</v>
      </c>
      <c r="U1311" t="str">
        <f>VLOOKUP(E1311,Products!$A:$C,3,0)</f>
        <v>Electronics</v>
      </c>
      <c r="V1311" t="str">
        <f>VLOOKUP(E1311,Products!$A:$D,4,0)</f>
        <v>Tablets</v>
      </c>
      <c r="W1311" t="str">
        <f>VLOOKUP(D1311,Customers!$A:$C,3,0)</f>
        <v>B2C</v>
      </c>
      <c r="X1311" t="str">
        <f>VLOOKUP(C1311,Sales_Representatives!$A:$B,2,0)</f>
        <v>Jessica Anderson</v>
      </c>
    </row>
    <row r="1312" spans="1:24" x14ac:dyDescent="0.3">
      <c r="A1312" t="s">
        <v>1901</v>
      </c>
      <c r="B1312" t="s">
        <v>1899</v>
      </c>
      <c r="C1312" t="s">
        <v>19</v>
      </c>
      <c r="D1312" t="s">
        <v>1902</v>
      </c>
      <c r="E1312" t="s">
        <v>38</v>
      </c>
      <c r="F1312">
        <v>16</v>
      </c>
      <c r="G1312">
        <v>581.47</v>
      </c>
      <c r="H1312">
        <v>0.13</v>
      </c>
      <c r="I1312" s="4">
        <v>8094.06</v>
      </c>
      <c r="J1312" t="s">
        <v>21</v>
      </c>
      <c r="K1312" t="s">
        <v>35</v>
      </c>
      <c r="L1312" s="4">
        <f>VLOOKUP(tblTransactions[[#This Row],[Product_ID]],tblProducts[],5,FALSE)</f>
        <v>372.07</v>
      </c>
      <c r="M1312" s="4">
        <f>tblTransactions[[#This Row],[Total_Amount]]-(tblTransactions[[#This Row],[Cost_Prices]]*tblTransactions[[#This Row],[Quantity]]*(1-tblTransactions[[#This Row],[Discount]]))</f>
        <v>2914.8456000000006</v>
      </c>
      <c r="N1312" s="3">
        <f>tblTransactions[[#This Row],[Profit]]/tblTransactions[[#This Row],[Total_Amount]]</f>
        <v>0.36012157063327926</v>
      </c>
      <c r="O1312" t="str">
        <f>TEXT(tblTransactions[[#This Row],[Date]], "MMM-YYYY")</f>
        <v>Oct-2023</v>
      </c>
      <c r="P1312" t="str">
        <f>"Q"&amp;ROUNDUP(MONTH(tblTransactions[[#This Row],[Date]])/3,0)&amp;"-"&amp;YEAR(tblTransactions[[#This Row],[Date]])</f>
        <v>Q4-2023</v>
      </c>
      <c r="Q1312">
        <f>YEAR(tblTransactions[[#This Row],[Date]])</f>
        <v>2023</v>
      </c>
      <c r="R1312" t="str">
        <f>TEXT(tblTransactions[[#This Row],[Date]],"DDDD")</f>
        <v>Thursday</v>
      </c>
      <c r="S1312">
        <f>MONTH(tblTransactions[[#This Row],[Date]])</f>
        <v>10</v>
      </c>
      <c r="T1312" t="str">
        <f>VLOOKUP(E1312, Products!$A:$B,2,0)</f>
        <v>Storage Fur-3</v>
      </c>
      <c r="U1312" t="str">
        <f>VLOOKUP(E1312,Products!$A:$C,3,0)</f>
        <v>Furniture</v>
      </c>
      <c r="V1312" t="str">
        <f>VLOOKUP(E1312,Products!$A:$D,4,0)</f>
        <v>Storage</v>
      </c>
      <c r="W1312" t="str">
        <f>VLOOKUP(D1312,Customers!$A:$C,3,0)</f>
        <v>B2B</v>
      </c>
      <c r="X1312" t="str">
        <f>VLOOKUP(C1312,Sales_Representatives!$A:$B,2,0)</f>
        <v>Robert Jones</v>
      </c>
    </row>
    <row r="1313" spans="1:24" x14ac:dyDescent="0.3">
      <c r="A1313" t="s">
        <v>1903</v>
      </c>
      <c r="B1313" t="s">
        <v>1899</v>
      </c>
      <c r="C1313" t="s">
        <v>70</v>
      </c>
      <c r="D1313" t="s">
        <v>1702</v>
      </c>
      <c r="E1313" t="s">
        <v>172</v>
      </c>
      <c r="F1313">
        <v>7</v>
      </c>
      <c r="G1313">
        <v>1371.15</v>
      </c>
      <c r="H1313">
        <v>0.06</v>
      </c>
      <c r="I1313" s="4">
        <v>9022.17</v>
      </c>
      <c r="J1313" t="s">
        <v>16</v>
      </c>
      <c r="K1313" t="s">
        <v>48</v>
      </c>
      <c r="L1313" s="4">
        <f>VLOOKUP(tblTransactions[[#This Row],[Product_ID]],tblProducts[],5,FALSE)</f>
        <v>989.81</v>
      </c>
      <c r="M1313" s="4">
        <f>tblTransactions[[#This Row],[Total_Amount]]-(tblTransactions[[#This Row],[Cost_Prices]]*tblTransactions[[#This Row],[Quantity]]*(1-tblTransactions[[#This Row],[Discount]]))</f>
        <v>2509.2202000000007</v>
      </c>
      <c r="N1313" s="3">
        <f>tblTransactions[[#This Row],[Profit]]/tblTransactions[[#This Row],[Total_Amount]]</f>
        <v>0.27811714920024788</v>
      </c>
      <c r="O1313" t="str">
        <f>TEXT(tblTransactions[[#This Row],[Date]], "MMM-YYYY")</f>
        <v>Oct-2023</v>
      </c>
      <c r="P1313" t="str">
        <f>"Q"&amp;ROUNDUP(MONTH(tblTransactions[[#This Row],[Date]])/3,0)&amp;"-"&amp;YEAR(tblTransactions[[#This Row],[Date]])</f>
        <v>Q4-2023</v>
      </c>
      <c r="Q1313">
        <f>YEAR(tblTransactions[[#This Row],[Date]])</f>
        <v>2023</v>
      </c>
      <c r="R1313" t="str">
        <f>TEXT(tblTransactions[[#This Row],[Date]],"DDDD")</f>
        <v>Thursday</v>
      </c>
      <c r="S1313">
        <f>MONTH(tblTransactions[[#This Row],[Date]])</f>
        <v>10</v>
      </c>
      <c r="T1313" t="str">
        <f>VLOOKUP(E1313, Products!$A:$B,2,0)</f>
        <v>Cameras Ele-4</v>
      </c>
      <c r="U1313" t="str">
        <f>VLOOKUP(E1313,Products!$A:$C,3,0)</f>
        <v>Electronics</v>
      </c>
      <c r="V1313" t="str">
        <f>VLOOKUP(E1313,Products!$A:$D,4,0)</f>
        <v>Cameras</v>
      </c>
      <c r="W1313" t="str">
        <f>VLOOKUP(D1313,Customers!$A:$C,3,0)</f>
        <v>B2C</v>
      </c>
      <c r="X1313" t="str">
        <f>VLOOKUP(C1313,Sales_Representatives!$A:$B,2,0)</f>
        <v>Linda Smith</v>
      </c>
    </row>
    <row r="1314" spans="1:24" x14ac:dyDescent="0.3">
      <c r="A1314" t="s">
        <v>1904</v>
      </c>
      <c r="B1314" t="s">
        <v>1905</v>
      </c>
      <c r="C1314" t="s">
        <v>141</v>
      </c>
      <c r="D1314" t="s">
        <v>1906</v>
      </c>
      <c r="E1314" t="s">
        <v>299</v>
      </c>
      <c r="F1314">
        <v>11</v>
      </c>
      <c r="G1314">
        <v>963.44</v>
      </c>
      <c r="H1314">
        <v>0.14000000000000001</v>
      </c>
      <c r="I1314" s="4">
        <v>9114.14</v>
      </c>
      <c r="J1314" t="s">
        <v>109</v>
      </c>
      <c r="K1314" t="s">
        <v>48</v>
      </c>
      <c r="L1314" s="4">
        <f>VLOOKUP(tblTransactions[[#This Row],[Product_ID]],tblProducts[],5,FALSE)</f>
        <v>578.96</v>
      </c>
      <c r="M1314" s="4">
        <f>tblTransactions[[#This Row],[Total_Amount]]-(tblTransactions[[#This Row],[Cost_Prices]]*tblTransactions[[#This Row],[Quantity]]*(1-tblTransactions[[#This Row],[Discount]]))</f>
        <v>3637.1783999999989</v>
      </c>
      <c r="N1314" s="3">
        <f>tblTransactions[[#This Row],[Profit]]/tblTransactions[[#This Row],[Total_Amount]]</f>
        <v>0.39906984092849124</v>
      </c>
      <c r="O1314" t="str">
        <f>TEXT(tblTransactions[[#This Row],[Date]], "MMM-YYYY")</f>
        <v>Oct-2023</v>
      </c>
      <c r="P1314" t="str">
        <f>"Q"&amp;ROUNDUP(MONTH(tblTransactions[[#This Row],[Date]])/3,0)&amp;"-"&amp;YEAR(tblTransactions[[#This Row],[Date]])</f>
        <v>Q4-2023</v>
      </c>
      <c r="Q1314">
        <f>YEAR(tblTransactions[[#This Row],[Date]])</f>
        <v>2023</v>
      </c>
      <c r="R1314" t="str">
        <f>TEXT(tblTransactions[[#This Row],[Date]],"DDDD")</f>
        <v>Friday</v>
      </c>
      <c r="S1314">
        <f>MONTH(tblTransactions[[#This Row],[Date]])</f>
        <v>10</v>
      </c>
      <c r="T1314" t="str">
        <f>VLOOKUP(E1314, Products!$A:$B,2,0)</f>
        <v>Chairs Fur-4</v>
      </c>
      <c r="U1314" t="str">
        <f>VLOOKUP(E1314,Products!$A:$C,3,0)</f>
        <v>Furniture</v>
      </c>
      <c r="V1314" t="str">
        <f>VLOOKUP(E1314,Products!$A:$D,4,0)</f>
        <v>Chairs</v>
      </c>
      <c r="W1314" t="str">
        <f>VLOOKUP(D1314,Customers!$A:$C,3,0)</f>
        <v>B2B</v>
      </c>
      <c r="X1314" t="str">
        <f>VLOOKUP(C1314,Sales_Representatives!$A:$B,2,0)</f>
        <v>Richard Garcia</v>
      </c>
    </row>
    <row r="1315" spans="1:24" x14ac:dyDescent="0.3">
      <c r="A1315" t="s">
        <v>1907</v>
      </c>
      <c r="B1315" t="s">
        <v>1905</v>
      </c>
      <c r="C1315" t="s">
        <v>31</v>
      </c>
      <c r="D1315" t="s">
        <v>1908</v>
      </c>
      <c r="E1315" t="s">
        <v>194</v>
      </c>
      <c r="F1315">
        <v>6</v>
      </c>
      <c r="G1315">
        <v>82.84</v>
      </c>
      <c r="H1315">
        <v>7.0000000000000007E-2</v>
      </c>
      <c r="I1315" s="4">
        <v>462.25</v>
      </c>
      <c r="J1315" t="s">
        <v>34</v>
      </c>
      <c r="K1315" t="s">
        <v>48</v>
      </c>
      <c r="L1315" s="4">
        <f>VLOOKUP(tblTransactions[[#This Row],[Product_ID]],tblProducts[],5,FALSE)</f>
        <v>52.98</v>
      </c>
      <c r="M1315" s="4">
        <f>tblTransactions[[#This Row],[Total_Amount]]-(tblTransactions[[#This Row],[Cost_Prices]]*tblTransactions[[#This Row],[Quantity]]*(1-tblTransactions[[#This Row],[Discount]]))</f>
        <v>166.6216</v>
      </c>
      <c r="N1315" s="3">
        <f>tblTransactions[[#This Row],[Profit]]/tblTransactions[[#This Row],[Total_Amount]]</f>
        <v>0.36045776095186588</v>
      </c>
      <c r="O1315" t="str">
        <f>TEXT(tblTransactions[[#This Row],[Date]], "MMM-YYYY")</f>
        <v>Oct-2023</v>
      </c>
      <c r="P1315" t="str">
        <f>"Q"&amp;ROUNDUP(MONTH(tblTransactions[[#This Row],[Date]])/3,0)&amp;"-"&amp;YEAR(tblTransactions[[#This Row],[Date]])</f>
        <v>Q4-2023</v>
      </c>
      <c r="Q1315">
        <f>YEAR(tblTransactions[[#This Row],[Date]])</f>
        <v>2023</v>
      </c>
      <c r="R1315" t="str">
        <f>TEXT(tblTransactions[[#This Row],[Date]],"DDDD")</f>
        <v>Friday</v>
      </c>
      <c r="S1315">
        <f>MONTH(tblTransactions[[#This Row],[Date]])</f>
        <v>10</v>
      </c>
      <c r="T1315" t="str">
        <f>VLOOKUP(E1315, Products!$A:$B,2,0)</f>
        <v>Binders Off-2</v>
      </c>
      <c r="U1315" t="str">
        <f>VLOOKUP(E1315,Products!$A:$C,3,0)</f>
        <v>Office Supplies</v>
      </c>
      <c r="V1315" t="str">
        <f>VLOOKUP(E1315,Products!$A:$D,4,0)</f>
        <v>Binders</v>
      </c>
      <c r="W1315" t="str">
        <f>VLOOKUP(D1315,Customers!$A:$C,3,0)</f>
        <v>B2C</v>
      </c>
      <c r="X1315" t="str">
        <f>VLOOKUP(C1315,Sales_Representatives!$A:$B,2,0)</f>
        <v>Thomas Martinez</v>
      </c>
    </row>
    <row r="1316" spans="1:24" x14ac:dyDescent="0.3">
      <c r="A1316" t="s">
        <v>1909</v>
      </c>
      <c r="B1316" t="s">
        <v>1905</v>
      </c>
      <c r="C1316" t="s">
        <v>75</v>
      </c>
      <c r="D1316" t="s">
        <v>1910</v>
      </c>
      <c r="E1316" t="s">
        <v>84</v>
      </c>
      <c r="F1316">
        <v>5</v>
      </c>
      <c r="G1316">
        <v>1841.77</v>
      </c>
      <c r="H1316">
        <v>0.01</v>
      </c>
      <c r="I1316" s="4">
        <v>9116.76</v>
      </c>
      <c r="J1316" t="s">
        <v>44</v>
      </c>
      <c r="K1316" t="s">
        <v>39</v>
      </c>
      <c r="L1316" s="4">
        <f>VLOOKUP(tblTransactions[[#This Row],[Product_ID]],tblProducts[],5,FALSE)</f>
        <v>1151.5899999999999</v>
      </c>
      <c r="M1316" s="4">
        <f>tblTransactions[[#This Row],[Total_Amount]]-(tblTransactions[[#This Row],[Cost_Prices]]*tblTransactions[[#This Row],[Quantity]]*(1-tblTransactions[[#This Row],[Discount]]))</f>
        <v>3416.3895000000002</v>
      </c>
      <c r="N1316" s="3">
        <f>tblTransactions[[#This Row],[Profit]]/tblTransactions[[#This Row],[Total_Amount]]</f>
        <v>0.37473724217814225</v>
      </c>
      <c r="O1316" t="str">
        <f>TEXT(tblTransactions[[#This Row],[Date]], "MMM-YYYY")</f>
        <v>Oct-2023</v>
      </c>
      <c r="P1316" t="str">
        <f>"Q"&amp;ROUNDUP(MONTH(tblTransactions[[#This Row],[Date]])/3,0)&amp;"-"&amp;YEAR(tblTransactions[[#This Row],[Date]])</f>
        <v>Q4-2023</v>
      </c>
      <c r="Q1316">
        <f>YEAR(tblTransactions[[#This Row],[Date]])</f>
        <v>2023</v>
      </c>
      <c r="R1316" t="str">
        <f>TEXT(tblTransactions[[#This Row],[Date]],"DDDD")</f>
        <v>Friday</v>
      </c>
      <c r="S1316">
        <f>MONTH(tblTransactions[[#This Row],[Date]])</f>
        <v>10</v>
      </c>
      <c r="T1316" t="str">
        <f>VLOOKUP(E1316, Products!$A:$B,2,0)</f>
        <v>Laptops Ele-2</v>
      </c>
      <c r="U1316" t="str">
        <f>VLOOKUP(E1316,Products!$A:$C,3,0)</f>
        <v>Electronics</v>
      </c>
      <c r="V1316" t="str">
        <f>VLOOKUP(E1316,Products!$A:$D,4,0)</f>
        <v>Laptops</v>
      </c>
      <c r="W1316" t="str">
        <f>VLOOKUP(D1316,Customers!$A:$C,3,0)</f>
        <v>B2C</v>
      </c>
      <c r="X1316" t="str">
        <f>VLOOKUP(C1316,Sales_Representatives!$A:$B,2,0)</f>
        <v>Jessica Anderson</v>
      </c>
    </row>
    <row r="1317" spans="1:24" x14ac:dyDescent="0.3">
      <c r="A1317" t="s">
        <v>1911</v>
      </c>
      <c r="B1317" t="s">
        <v>1905</v>
      </c>
      <c r="C1317" t="s">
        <v>127</v>
      </c>
      <c r="D1317" t="s">
        <v>1912</v>
      </c>
      <c r="E1317" t="s">
        <v>72</v>
      </c>
      <c r="F1317">
        <v>48</v>
      </c>
      <c r="G1317">
        <v>404.76</v>
      </c>
      <c r="H1317">
        <v>0.21</v>
      </c>
      <c r="I1317" s="4">
        <v>15348.5</v>
      </c>
      <c r="J1317" t="s">
        <v>109</v>
      </c>
      <c r="K1317" t="s">
        <v>35</v>
      </c>
      <c r="L1317" s="4">
        <f>VLOOKUP(tblTransactions[[#This Row],[Product_ID]],tblProducts[],5,FALSE)</f>
        <v>226.76</v>
      </c>
      <c r="M1317" s="4">
        <f>tblTransactions[[#This Row],[Total_Amount]]-(tblTransactions[[#This Row],[Cost_Prices]]*tblTransactions[[#This Row],[Quantity]]*(1-tblTransactions[[#This Row],[Discount]]))</f>
        <v>6749.7608</v>
      </c>
      <c r="N1317" s="3">
        <f>tblTransactions[[#This Row],[Profit]]/tblTransactions[[#This Row],[Total_Amount]]</f>
        <v>0.43976680457373685</v>
      </c>
      <c r="O1317" t="str">
        <f>TEXT(tblTransactions[[#This Row],[Date]], "MMM-YYYY")</f>
        <v>Oct-2023</v>
      </c>
      <c r="P1317" t="str">
        <f>"Q"&amp;ROUNDUP(MONTH(tblTransactions[[#This Row],[Date]])/3,0)&amp;"-"&amp;YEAR(tblTransactions[[#This Row],[Date]])</f>
        <v>Q4-2023</v>
      </c>
      <c r="Q1317">
        <f>YEAR(tblTransactions[[#This Row],[Date]])</f>
        <v>2023</v>
      </c>
      <c r="R1317" t="str">
        <f>TEXT(tblTransactions[[#This Row],[Date]],"DDDD")</f>
        <v>Friday</v>
      </c>
      <c r="S1317">
        <f>MONTH(tblTransactions[[#This Row],[Date]])</f>
        <v>10</v>
      </c>
      <c r="T1317" t="str">
        <f>VLOOKUP(E1317, Products!$A:$B,2,0)</f>
        <v>Tablets Ele-2</v>
      </c>
      <c r="U1317" t="str">
        <f>VLOOKUP(E1317,Products!$A:$C,3,0)</f>
        <v>Electronics</v>
      </c>
      <c r="V1317" t="str">
        <f>VLOOKUP(E1317,Products!$A:$D,4,0)</f>
        <v>Tablets</v>
      </c>
      <c r="W1317" t="str">
        <f>VLOOKUP(D1317,Customers!$A:$C,3,0)</f>
        <v>Enterprise</v>
      </c>
      <c r="X1317" t="str">
        <f>VLOOKUP(C1317,Sales_Representatives!$A:$B,2,0)</f>
        <v>Emily Hernandez</v>
      </c>
    </row>
    <row r="1318" spans="1:24" x14ac:dyDescent="0.3">
      <c r="A1318" t="s">
        <v>1913</v>
      </c>
      <c r="B1318" t="s">
        <v>1905</v>
      </c>
      <c r="C1318" t="s">
        <v>56</v>
      </c>
      <c r="D1318" t="s">
        <v>1627</v>
      </c>
      <c r="E1318" t="s">
        <v>25</v>
      </c>
      <c r="F1318">
        <v>24</v>
      </c>
      <c r="G1318">
        <v>1467.49</v>
      </c>
      <c r="H1318">
        <v>0.2</v>
      </c>
      <c r="I1318" s="4">
        <v>28175.81</v>
      </c>
      <c r="J1318" t="s">
        <v>34</v>
      </c>
      <c r="K1318" t="s">
        <v>35</v>
      </c>
      <c r="L1318" s="4">
        <f>VLOOKUP(tblTransactions[[#This Row],[Product_ID]],tblProducts[],5,FALSE)</f>
        <v>757.65</v>
      </c>
      <c r="M1318" s="4">
        <f>tblTransactions[[#This Row],[Total_Amount]]-(tblTransactions[[#This Row],[Cost_Prices]]*tblTransactions[[#This Row],[Quantity]]*(1-tblTransactions[[#This Row],[Discount]]))</f>
        <v>13628.930000000002</v>
      </c>
      <c r="N1318" s="3">
        <f>tblTransactions[[#This Row],[Profit]]/tblTransactions[[#This Row],[Total_Amount]]</f>
        <v>0.48371031746735949</v>
      </c>
      <c r="O1318" t="str">
        <f>TEXT(tblTransactions[[#This Row],[Date]], "MMM-YYYY")</f>
        <v>Oct-2023</v>
      </c>
      <c r="P1318" t="str">
        <f>"Q"&amp;ROUNDUP(MONTH(tblTransactions[[#This Row],[Date]])/3,0)&amp;"-"&amp;YEAR(tblTransactions[[#This Row],[Date]])</f>
        <v>Q4-2023</v>
      </c>
      <c r="Q1318">
        <f>YEAR(tblTransactions[[#This Row],[Date]])</f>
        <v>2023</v>
      </c>
      <c r="R1318" t="str">
        <f>TEXT(tblTransactions[[#This Row],[Date]],"DDDD")</f>
        <v>Friday</v>
      </c>
      <c r="S1318">
        <f>MONTH(tblTransactions[[#This Row],[Date]])</f>
        <v>10</v>
      </c>
      <c r="T1318" t="str">
        <f>VLOOKUP(E1318, Products!$A:$B,2,0)</f>
        <v>Tables Fur-3</v>
      </c>
      <c r="U1318" t="str">
        <f>VLOOKUP(E1318,Products!$A:$C,3,0)</f>
        <v>Furniture</v>
      </c>
      <c r="V1318" t="str">
        <f>VLOOKUP(E1318,Products!$A:$D,4,0)</f>
        <v>Tables</v>
      </c>
      <c r="W1318" t="str">
        <f>VLOOKUP(D1318,Customers!$A:$C,3,0)</f>
        <v>Enterprise</v>
      </c>
      <c r="X1318" t="str">
        <f>VLOOKUP(C1318,Sales_Representatives!$A:$B,2,0)</f>
        <v>Thomas Hernandez</v>
      </c>
    </row>
    <row r="1319" spans="1:24" x14ac:dyDescent="0.3">
      <c r="A1319" t="s">
        <v>1914</v>
      </c>
      <c r="B1319" t="s">
        <v>1905</v>
      </c>
      <c r="C1319" t="s">
        <v>141</v>
      </c>
      <c r="D1319" t="s">
        <v>1513</v>
      </c>
      <c r="E1319" t="s">
        <v>61</v>
      </c>
      <c r="F1319">
        <v>5</v>
      </c>
      <c r="G1319">
        <v>92.07</v>
      </c>
      <c r="H1319">
        <v>0.02</v>
      </c>
      <c r="I1319" s="4">
        <v>451.14</v>
      </c>
      <c r="J1319" t="s">
        <v>109</v>
      </c>
      <c r="K1319" t="s">
        <v>48</v>
      </c>
      <c r="L1319" s="4">
        <f>VLOOKUP(tblTransactions[[#This Row],[Product_ID]],tblProducts[],5,FALSE)</f>
        <v>56.98</v>
      </c>
      <c r="M1319" s="4">
        <f>tblTransactions[[#This Row],[Total_Amount]]-(tblTransactions[[#This Row],[Cost_Prices]]*tblTransactions[[#This Row],[Quantity]]*(1-tblTransactions[[#This Row],[Discount]]))</f>
        <v>171.93799999999999</v>
      </c>
      <c r="N1319" s="3">
        <f>tblTransactions[[#This Row],[Profit]]/tblTransactions[[#This Row],[Total_Amount]]</f>
        <v>0.381118943121869</v>
      </c>
      <c r="O1319" t="str">
        <f>TEXT(tblTransactions[[#This Row],[Date]], "MMM-YYYY")</f>
        <v>Oct-2023</v>
      </c>
      <c r="P1319" t="str">
        <f>"Q"&amp;ROUNDUP(MONTH(tblTransactions[[#This Row],[Date]])/3,0)&amp;"-"&amp;YEAR(tblTransactions[[#This Row],[Date]])</f>
        <v>Q4-2023</v>
      </c>
      <c r="Q1319">
        <f>YEAR(tblTransactions[[#This Row],[Date]])</f>
        <v>2023</v>
      </c>
      <c r="R1319" t="str">
        <f>TEXT(tblTransactions[[#This Row],[Date]],"DDDD")</f>
        <v>Friday</v>
      </c>
      <c r="S1319">
        <f>MONTH(tblTransactions[[#This Row],[Date]])</f>
        <v>10</v>
      </c>
      <c r="T1319" t="str">
        <f>VLOOKUP(E1319, Products!$A:$B,2,0)</f>
        <v>Pens Off-4</v>
      </c>
      <c r="U1319" t="str">
        <f>VLOOKUP(E1319,Products!$A:$C,3,0)</f>
        <v>Office Supplies</v>
      </c>
      <c r="V1319" t="str">
        <f>VLOOKUP(E1319,Products!$A:$D,4,0)</f>
        <v>Pens</v>
      </c>
      <c r="W1319" t="str">
        <f>VLOOKUP(D1319,Customers!$A:$C,3,0)</f>
        <v>B2C</v>
      </c>
      <c r="X1319" t="str">
        <f>VLOOKUP(C1319,Sales_Representatives!$A:$B,2,0)</f>
        <v>Richard Garcia</v>
      </c>
    </row>
    <row r="1320" spans="1:24" x14ac:dyDescent="0.3">
      <c r="A1320" t="s">
        <v>1915</v>
      </c>
      <c r="B1320" t="s">
        <v>1916</v>
      </c>
      <c r="C1320" t="s">
        <v>82</v>
      </c>
      <c r="D1320" t="s">
        <v>1455</v>
      </c>
      <c r="E1320" t="s">
        <v>450</v>
      </c>
      <c r="F1320">
        <v>2</v>
      </c>
      <c r="G1320">
        <v>2083.92</v>
      </c>
      <c r="H1320">
        <v>0.01</v>
      </c>
      <c r="I1320" s="4">
        <v>4126.16</v>
      </c>
      <c r="J1320" t="s">
        <v>34</v>
      </c>
      <c r="K1320" t="s">
        <v>48</v>
      </c>
      <c r="L1320" s="4">
        <f>VLOOKUP(tblTransactions[[#This Row],[Product_ID]],tblProducts[],5,FALSE)</f>
        <v>1425.78</v>
      </c>
      <c r="M1320" s="4">
        <f>tblTransactions[[#This Row],[Total_Amount]]-(tblTransactions[[#This Row],[Cost_Prices]]*tblTransactions[[#This Row],[Quantity]]*(1-tblTransactions[[#This Row],[Discount]]))</f>
        <v>1303.1156000000001</v>
      </c>
      <c r="N1320" s="3">
        <f>tblTransactions[[#This Row],[Profit]]/tblTransactions[[#This Row],[Total_Amount]]</f>
        <v>0.31581800027143886</v>
      </c>
      <c r="O1320" t="str">
        <f>TEXT(tblTransactions[[#This Row],[Date]], "MMM-YYYY")</f>
        <v>Oct-2023</v>
      </c>
      <c r="P1320" t="str">
        <f>"Q"&amp;ROUNDUP(MONTH(tblTransactions[[#This Row],[Date]])/3,0)&amp;"-"&amp;YEAR(tblTransactions[[#This Row],[Date]])</f>
        <v>Q4-2023</v>
      </c>
      <c r="Q1320">
        <f>YEAR(tblTransactions[[#This Row],[Date]])</f>
        <v>2023</v>
      </c>
      <c r="R1320" t="str">
        <f>TEXT(tblTransactions[[#This Row],[Date]],"DDDD")</f>
        <v>Saturday</v>
      </c>
      <c r="S1320">
        <f>MONTH(tblTransactions[[#This Row],[Date]])</f>
        <v>10</v>
      </c>
      <c r="T1320" t="str">
        <f>VLOOKUP(E1320, Products!$A:$B,2,0)</f>
        <v>Monitors Tec-4</v>
      </c>
      <c r="U1320" t="str">
        <f>VLOOKUP(E1320,Products!$A:$C,3,0)</f>
        <v>Technology</v>
      </c>
      <c r="V1320" t="str">
        <f>VLOOKUP(E1320,Products!$A:$D,4,0)</f>
        <v>Monitors</v>
      </c>
      <c r="W1320" t="str">
        <f>VLOOKUP(D1320,Customers!$A:$C,3,0)</f>
        <v>Small Business</v>
      </c>
      <c r="X1320" t="str">
        <f>VLOOKUP(C1320,Sales_Representatives!$A:$B,2,0)</f>
        <v>John Brown</v>
      </c>
    </row>
    <row r="1321" spans="1:24" x14ac:dyDescent="0.3">
      <c r="A1321" t="s">
        <v>1917</v>
      </c>
      <c r="B1321" t="s">
        <v>1916</v>
      </c>
      <c r="C1321" t="s">
        <v>63</v>
      </c>
      <c r="D1321" t="s">
        <v>1918</v>
      </c>
      <c r="E1321" t="s">
        <v>91</v>
      </c>
      <c r="F1321">
        <v>13</v>
      </c>
      <c r="G1321">
        <v>286.62</v>
      </c>
      <c r="H1321">
        <v>0.17</v>
      </c>
      <c r="I1321" s="4">
        <v>3092.63</v>
      </c>
      <c r="J1321" t="s">
        <v>21</v>
      </c>
      <c r="K1321" t="s">
        <v>48</v>
      </c>
      <c r="L1321" s="4">
        <f>VLOOKUP(tblTransactions[[#This Row],[Product_ID]],tblProducts[],5,FALSE)</f>
        <v>145.54</v>
      </c>
      <c r="M1321" s="4">
        <f>tblTransactions[[#This Row],[Total_Amount]]-(tblTransactions[[#This Row],[Cost_Prices]]*tblTransactions[[#This Row],[Quantity]]*(1-tblTransactions[[#This Row],[Discount]]))</f>
        <v>1522.2534000000003</v>
      </c>
      <c r="N1321" s="3">
        <f>tblTransactions[[#This Row],[Profit]]/tblTransactions[[#This Row],[Total_Amount]]</f>
        <v>0.49221969650426989</v>
      </c>
      <c r="O1321" t="str">
        <f>TEXT(tblTransactions[[#This Row],[Date]], "MMM-YYYY")</f>
        <v>Oct-2023</v>
      </c>
      <c r="P1321" t="str">
        <f>"Q"&amp;ROUNDUP(MONTH(tblTransactions[[#This Row],[Date]])/3,0)&amp;"-"&amp;YEAR(tblTransactions[[#This Row],[Date]])</f>
        <v>Q4-2023</v>
      </c>
      <c r="Q1321">
        <f>YEAR(tblTransactions[[#This Row],[Date]])</f>
        <v>2023</v>
      </c>
      <c r="R1321" t="str">
        <f>TEXT(tblTransactions[[#This Row],[Date]],"DDDD")</f>
        <v>Saturday</v>
      </c>
      <c r="S1321">
        <f>MONTH(tblTransactions[[#This Row],[Date]])</f>
        <v>10</v>
      </c>
      <c r="T1321" t="str">
        <f>VLOOKUP(E1321, Products!$A:$B,2,0)</f>
        <v>Chairs Fur-1</v>
      </c>
      <c r="U1321" t="str">
        <f>VLOOKUP(E1321,Products!$A:$C,3,0)</f>
        <v>Furniture</v>
      </c>
      <c r="V1321" t="str">
        <f>VLOOKUP(E1321,Products!$A:$D,4,0)</f>
        <v>Chairs</v>
      </c>
      <c r="W1321" t="str">
        <f>VLOOKUP(D1321,Customers!$A:$C,3,0)</f>
        <v>B2B</v>
      </c>
      <c r="X1321" t="str">
        <f>VLOOKUP(C1321,Sales_Representatives!$A:$B,2,0)</f>
        <v>Richard Wilson</v>
      </c>
    </row>
    <row r="1322" spans="1:24" x14ac:dyDescent="0.3">
      <c r="A1322" t="s">
        <v>1919</v>
      </c>
      <c r="B1322" t="s">
        <v>1916</v>
      </c>
      <c r="C1322" t="s">
        <v>56</v>
      </c>
      <c r="D1322" t="s">
        <v>1623</v>
      </c>
      <c r="E1322" t="s">
        <v>33</v>
      </c>
      <c r="F1322">
        <v>7</v>
      </c>
      <c r="G1322">
        <v>322.7</v>
      </c>
      <c r="H1322">
        <v>0.09</v>
      </c>
      <c r="I1322" s="4">
        <v>2055.6</v>
      </c>
      <c r="J1322" t="s">
        <v>34</v>
      </c>
      <c r="K1322" t="s">
        <v>35</v>
      </c>
      <c r="L1322" s="4">
        <f>VLOOKUP(tblTransactions[[#This Row],[Product_ID]],tblProducts[],5,FALSE)</f>
        <v>139.81</v>
      </c>
      <c r="M1322" s="4">
        <f>tblTransactions[[#This Row],[Total_Amount]]-(tblTransactions[[#This Row],[Cost_Prices]]*tblTransactions[[#This Row],[Quantity]]*(1-tblTransactions[[#This Row],[Discount]]))</f>
        <v>1165.0102999999999</v>
      </c>
      <c r="N1322" s="3">
        <f>tblTransactions[[#This Row],[Profit]]/tblTransactions[[#This Row],[Total_Amount]]</f>
        <v>0.56674951352403191</v>
      </c>
      <c r="O1322" t="str">
        <f>TEXT(tblTransactions[[#This Row],[Date]], "MMM-YYYY")</f>
        <v>Oct-2023</v>
      </c>
      <c r="P1322" t="str">
        <f>"Q"&amp;ROUNDUP(MONTH(tblTransactions[[#This Row],[Date]])/3,0)&amp;"-"&amp;YEAR(tblTransactions[[#This Row],[Date]])</f>
        <v>Q4-2023</v>
      </c>
      <c r="Q1322">
        <f>YEAR(tblTransactions[[#This Row],[Date]])</f>
        <v>2023</v>
      </c>
      <c r="R1322" t="str">
        <f>TEXT(tblTransactions[[#This Row],[Date]],"DDDD")</f>
        <v>Saturday</v>
      </c>
      <c r="S1322">
        <f>MONTH(tblTransactions[[#This Row],[Date]])</f>
        <v>10</v>
      </c>
      <c r="T1322" t="str">
        <f>VLOOKUP(E1322, Products!$A:$B,2,0)</f>
        <v>Adapters Acc-1</v>
      </c>
      <c r="U1322" t="str">
        <f>VLOOKUP(E1322,Products!$A:$C,3,0)</f>
        <v>Accessories</v>
      </c>
      <c r="V1322" t="str">
        <f>VLOOKUP(E1322,Products!$A:$D,4,0)</f>
        <v>Adapters</v>
      </c>
      <c r="W1322" t="str">
        <f>VLOOKUP(D1322,Customers!$A:$C,3,0)</f>
        <v>B2C</v>
      </c>
      <c r="X1322" t="str">
        <f>VLOOKUP(C1322,Sales_Representatives!$A:$B,2,0)</f>
        <v>Thomas Hernandez</v>
      </c>
    </row>
    <row r="1323" spans="1:24" x14ac:dyDescent="0.3">
      <c r="A1323" t="s">
        <v>1920</v>
      </c>
      <c r="B1323" t="s">
        <v>1916</v>
      </c>
      <c r="C1323" t="s">
        <v>141</v>
      </c>
      <c r="D1323" t="s">
        <v>1921</v>
      </c>
      <c r="E1323" t="s">
        <v>304</v>
      </c>
      <c r="F1323">
        <v>7</v>
      </c>
      <c r="G1323">
        <v>13.43</v>
      </c>
      <c r="H1323">
        <v>0.12</v>
      </c>
      <c r="I1323" s="4">
        <v>82.73</v>
      </c>
      <c r="J1323" t="s">
        <v>109</v>
      </c>
      <c r="K1323" t="s">
        <v>22</v>
      </c>
      <c r="L1323" s="4">
        <f>VLOOKUP(tblTransactions[[#This Row],[Product_ID]],tblProducts[],5,FALSE)</f>
        <v>5.8</v>
      </c>
      <c r="M1323" s="4">
        <f>tblTransactions[[#This Row],[Total_Amount]]-(tblTransactions[[#This Row],[Cost_Prices]]*tblTransactions[[#This Row],[Quantity]]*(1-tblTransactions[[#This Row],[Discount]]))</f>
        <v>47.002000000000002</v>
      </c>
      <c r="N1323" s="3">
        <f>tblTransactions[[#This Row],[Profit]]/tblTransactions[[#This Row],[Total_Amount]]</f>
        <v>0.56813731415447843</v>
      </c>
      <c r="O1323" t="str">
        <f>TEXT(tblTransactions[[#This Row],[Date]], "MMM-YYYY")</f>
        <v>Oct-2023</v>
      </c>
      <c r="P1323" t="str">
        <f>"Q"&amp;ROUNDUP(MONTH(tblTransactions[[#This Row],[Date]])/3,0)&amp;"-"&amp;YEAR(tblTransactions[[#This Row],[Date]])</f>
        <v>Q4-2023</v>
      </c>
      <c r="Q1323">
        <f>YEAR(tblTransactions[[#This Row],[Date]])</f>
        <v>2023</v>
      </c>
      <c r="R1323" t="str">
        <f>TEXT(tblTransactions[[#This Row],[Date]],"DDDD")</f>
        <v>Saturday</v>
      </c>
      <c r="S1323">
        <f>MONTH(tblTransactions[[#This Row],[Date]])</f>
        <v>10</v>
      </c>
      <c r="T1323" t="str">
        <f>VLOOKUP(E1323, Products!$A:$B,2,0)</f>
        <v>Pens Off-1</v>
      </c>
      <c r="U1323" t="str">
        <f>VLOOKUP(E1323,Products!$A:$C,3,0)</f>
        <v>Office Supplies</v>
      </c>
      <c r="V1323" t="str">
        <f>VLOOKUP(E1323,Products!$A:$D,4,0)</f>
        <v>Pens</v>
      </c>
      <c r="W1323" t="str">
        <f>VLOOKUP(D1323,Customers!$A:$C,3,0)</f>
        <v>Small Business</v>
      </c>
      <c r="X1323" t="str">
        <f>VLOOKUP(C1323,Sales_Representatives!$A:$B,2,0)</f>
        <v>Richard Garcia</v>
      </c>
    </row>
    <row r="1324" spans="1:24" x14ac:dyDescent="0.3">
      <c r="A1324" t="s">
        <v>1922</v>
      </c>
      <c r="B1324" t="s">
        <v>1916</v>
      </c>
      <c r="C1324" t="s">
        <v>70</v>
      </c>
      <c r="D1324" t="s">
        <v>1458</v>
      </c>
      <c r="E1324" t="s">
        <v>15</v>
      </c>
      <c r="F1324">
        <v>37</v>
      </c>
      <c r="G1324">
        <v>477.48</v>
      </c>
      <c r="H1324">
        <v>0.2</v>
      </c>
      <c r="I1324" s="4">
        <v>14133.41</v>
      </c>
      <c r="J1324" t="s">
        <v>16</v>
      </c>
      <c r="K1324" t="s">
        <v>22</v>
      </c>
      <c r="L1324" s="4">
        <f>VLOOKUP(tblTransactions[[#This Row],[Product_ID]],tblProducts[],5,FALSE)</f>
        <v>275.51</v>
      </c>
      <c r="M1324" s="4">
        <f>tblTransactions[[#This Row],[Total_Amount]]-(tblTransactions[[#This Row],[Cost_Prices]]*tblTransactions[[#This Row],[Quantity]]*(1-tblTransactions[[#This Row],[Discount]]))</f>
        <v>5978.3140000000003</v>
      </c>
      <c r="N1324" s="3">
        <f>tblTransactions[[#This Row],[Profit]]/tblTransactions[[#This Row],[Total_Amount]]</f>
        <v>0.42299162056432243</v>
      </c>
      <c r="O1324" t="str">
        <f>TEXT(tblTransactions[[#This Row],[Date]], "MMM-YYYY")</f>
        <v>Oct-2023</v>
      </c>
      <c r="P1324" t="str">
        <f>"Q"&amp;ROUNDUP(MONTH(tblTransactions[[#This Row],[Date]])/3,0)&amp;"-"&amp;YEAR(tblTransactions[[#This Row],[Date]])</f>
        <v>Q4-2023</v>
      </c>
      <c r="Q1324">
        <f>YEAR(tblTransactions[[#This Row],[Date]])</f>
        <v>2023</v>
      </c>
      <c r="R1324" t="str">
        <f>TEXT(tblTransactions[[#This Row],[Date]],"DDDD")</f>
        <v>Saturday</v>
      </c>
      <c r="S1324">
        <f>MONTH(tblTransactions[[#This Row],[Date]])</f>
        <v>10</v>
      </c>
      <c r="T1324" t="str">
        <f>VLOOKUP(E1324, Products!$A:$B,2,0)</f>
        <v>Laptops Ele-4</v>
      </c>
      <c r="U1324" t="str">
        <f>VLOOKUP(E1324,Products!$A:$C,3,0)</f>
        <v>Electronics</v>
      </c>
      <c r="V1324" t="str">
        <f>VLOOKUP(E1324,Products!$A:$D,4,0)</f>
        <v>Laptops</v>
      </c>
      <c r="W1324" t="str">
        <f>VLOOKUP(D1324,Customers!$A:$C,3,0)</f>
        <v>Enterprise</v>
      </c>
      <c r="X1324" t="str">
        <f>VLOOKUP(C1324,Sales_Representatives!$A:$B,2,0)</f>
        <v>Linda Smith</v>
      </c>
    </row>
    <row r="1325" spans="1:24" x14ac:dyDescent="0.3">
      <c r="A1325" t="s">
        <v>1923</v>
      </c>
      <c r="B1325" t="s">
        <v>1924</v>
      </c>
      <c r="C1325" t="s">
        <v>63</v>
      </c>
      <c r="D1325" t="s">
        <v>1925</v>
      </c>
      <c r="E1325" t="s">
        <v>84</v>
      </c>
      <c r="F1325">
        <v>8</v>
      </c>
      <c r="G1325">
        <v>1841.77</v>
      </c>
      <c r="H1325">
        <v>0.08</v>
      </c>
      <c r="I1325" s="4">
        <v>13555.43</v>
      </c>
      <c r="J1325" t="s">
        <v>21</v>
      </c>
      <c r="K1325" t="s">
        <v>22</v>
      </c>
      <c r="L1325" s="4">
        <f>VLOOKUP(tblTransactions[[#This Row],[Product_ID]],tblProducts[],5,FALSE)</f>
        <v>1151.5899999999999</v>
      </c>
      <c r="M1325" s="4">
        <f>tblTransactions[[#This Row],[Total_Amount]]-(tblTransactions[[#This Row],[Cost_Prices]]*tblTransactions[[#This Row],[Quantity]]*(1-tblTransactions[[#This Row],[Discount]]))</f>
        <v>5079.7276000000002</v>
      </c>
      <c r="N1325" s="3">
        <f>tblTransactions[[#This Row],[Profit]]/tblTransactions[[#This Row],[Total_Amount]]</f>
        <v>0.37473747420775289</v>
      </c>
      <c r="O1325" t="str">
        <f>TEXT(tblTransactions[[#This Row],[Date]], "MMM-YYYY")</f>
        <v>Oct-2023</v>
      </c>
      <c r="P1325" t="str">
        <f>"Q"&amp;ROUNDUP(MONTH(tblTransactions[[#This Row],[Date]])/3,0)&amp;"-"&amp;YEAR(tblTransactions[[#This Row],[Date]])</f>
        <v>Q4-2023</v>
      </c>
      <c r="Q1325">
        <f>YEAR(tblTransactions[[#This Row],[Date]])</f>
        <v>2023</v>
      </c>
      <c r="R1325" t="str">
        <f>TEXT(tblTransactions[[#This Row],[Date]],"DDDD")</f>
        <v>Sunday</v>
      </c>
      <c r="S1325">
        <f>MONTH(tblTransactions[[#This Row],[Date]])</f>
        <v>10</v>
      </c>
      <c r="T1325" t="str">
        <f>VLOOKUP(E1325, Products!$A:$B,2,0)</f>
        <v>Laptops Ele-2</v>
      </c>
      <c r="U1325" t="str">
        <f>VLOOKUP(E1325,Products!$A:$C,3,0)</f>
        <v>Electronics</v>
      </c>
      <c r="V1325" t="str">
        <f>VLOOKUP(E1325,Products!$A:$D,4,0)</f>
        <v>Laptops</v>
      </c>
      <c r="W1325" t="str">
        <f>VLOOKUP(D1325,Customers!$A:$C,3,0)</f>
        <v>B2B</v>
      </c>
      <c r="X1325" t="str">
        <f>VLOOKUP(C1325,Sales_Representatives!$A:$B,2,0)</f>
        <v>Richard Wilson</v>
      </c>
    </row>
    <row r="1326" spans="1:24" x14ac:dyDescent="0.3">
      <c r="A1326" t="s">
        <v>1926</v>
      </c>
      <c r="B1326" t="s">
        <v>1924</v>
      </c>
      <c r="C1326" t="s">
        <v>59</v>
      </c>
      <c r="D1326" t="s">
        <v>197</v>
      </c>
      <c r="E1326" t="s">
        <v>152</v>
      </c>
      <c r="F1326">
        <v>15</v>
      </c>
      <c r="G1326">
        <v>859.93</v>
      </c>
      <c r="H1326">
        <v>0.18</v>
      </c>
      <c r="I1326" s="4">
        <v>10577.14</v>
      </c>
      <c r="J1326" t="s">
        <v>21</v>
      </c>
      <c r="K1326" t="s">
        <v>39</v>
      </c>
      <c r="L1326" s="4">
        <f>VLOOKUP(tblTransactions[[#This Row],[Product_ID]],tblProducts[],5,FALSE)</f>
        <v>579.79</v>
      </c>
      <c r="M1326" s="4">
        <f>tblTransactions[[#This Row],[Total_Amount]]-(tblTransactions[[#This Row],[Cost_Prices]]*tblTransactions[[#This Row],[Quantity]]*(1-tblTransactions[[#This Row],[Discount]]))</f>
        <v>3445.723</v>
      </c>
      <c r="N1326" s="3">
        <f>tblTransactions[[#This Row],[Profit]]/tblTransactions[[#This Row],[Total_Amount]]</f>
        <v>0.32577076601047167</v>
      </c>
      <c r="O1326" t="str">
        <f>TEXT(tblTransactions[[#This Row],[Date]], "MMM-YYYY")</f>
        <v>Oct-2023</v>
      </c>
      <c r="P1326" t="str">
        <f>"Q"&amp;ROUNDUP(MONTH(tblTransactions[[#This Row],[Date]])/3,0)&amp;"-"&amp;YEAR(tblTransactions[[#This Row],[Date]])</f>
        <v>Q4-2023</v>
      </c>
      <c r="Q1326">
        <f>YEAR(tblTransactions[[#This Row],[Date]])</f>
        <v>2023</v>
      </c>
      <c r="R1326" t="str">
        <f>TEXT(tblTransactions[[#This Row],[Date]],"DDDD")</f>
        <v>Sunday</v>
      </c>
      <c r="S1326">
        <f>MONTH(tblTransactions[[#This Row],[Date]])</f>
        <v>10</v>
      </c>
      <c r="T1326" t="str">
        <f>VLOOKUP(E1326, Products!$A:$B,2,0)</f>
        <v>Phones Ele-4</v>
      </c>
      <c r="U1326" t="str">
        <f>VLOOKUP(E1326,Products!$A:$C,3,0)</f>
        <v>Electronics</v>
      </c>
      <c r="V1326" t="str">
        <f>VLOOKUP(E1326,Products!$A:$D,4,0)</f>
        <v>Phones</v>
      </c>
      <c r="W1326" t="str">
        <f>VLOOKUP(D1326,Customers!$A:$C,3,0)</f>
        <v>Enterprise</v>
      </c>
      <c r="X1326" t="str">
        <f>VLOOKUP(C1326,Sales_Representatives!$A:$B,2,0)</f>
        <v>Sarah Brown</v>
      </c>
    </row>
    <row r="1327" spans="1:24" x14ac:dyDescent="0.3">
      <c r="A1327" t="s">
        <v>1927</v>
      </c>
      <c r="B1327" t="s">
        <v>1924</v>
      </c>
      <c r="C1327" t="s">
        <v>41</v>
      </c>
      <c r="D1327" t="s">
        <v>124</v>
      </c>
      <c r="E1327" t="s">
        <v>224</v>
      </c>
      <c r="F1327">
        <v>8</v>
      </c>
      <c r="G1327">
        <v>505.37</v>
      </c>
      <c r="H1327">
        <v>0.13</v>
      </c>
      <c r="I1327" s="4">
        <v>3517.38</v>
      </c>
      <c r="J1327" t="s">
        <v>44</v>
      </c>
      <c r="K1327" t="s">
        <v>39</v>
      </c>
      <c r="L1327" s="4">
        <f>VLOOKUP(tblTransactions[[#This Row],[Product_ID]],tblProducts[],5,FALSE)</f>
        <v>281.14999999999998</v>
      </c>
      <c r="M1327" s="4">
        <f>tblTransactions[[#This Row],[Total_Amount]]-(tblTransactions[[#This Row],[Cost_Prices]]*tblTransactions[[#This Row],[Quantity]]*(1-tblTransactions[[#This Row],[Discount]]))</f>
        <v>1560.5760000000002</v>
      </c>
      <c r="N1327" s="3">
        <f>tblTransactions[[#This Row],[Profit]]/tblTransactions[[#This Row],[Total_Amount]]</f>
        <v>0.44367569042867139</v>
      </c>
      <c r="O1327" t="str">
        <f>TEXT(tblTransactions[[#This Row],[Date]], "MMM-YYYY")</f>
        <v>Oct-2023</v>
      </c>
      <c r="P1327" t="str">
        <f>"Q"&amp;ROUNDUP(MONTH(tblTransactions[[#This Row],[Date]])/3,0)&amp;"-"&amp;YEAR(tblTransactions[[#This Row],[Date]])</f>
        <v>Q4-2023</v>
      </c>
      <c r="Q1327">
        <f>YEAR(tblTransactions[[#This Row],[Date]])</f>
        <v>2023</v>
      </c>
      <c r="R1327" t="str">
        <f>TEXT(tblTransactions[[#This Row],[Date]],"DDDD")</f>
        <v>Sunday</v>
      </c>
      <c r="S1327">
        <f>MONTH(tblTransactions[[#This Row],[Date]])</f>
        <v>10</v>
      </c>
      <c r="T1327" t="str">
        <f>VLOOKUP(E1327, Products!$A:$B,2,0)</f>
        <v>Desks Fur-3</v>
      </c>
      <c r="U1327" t="str">
        <f>VLOOKUP(E1327,Products!$A:$C,3,0)</f>
        <v>Furniture</v>
      </c>
      <c r="V1327" t="str">
        <f>VLOOKUP(E1327,Products!$A:$D,4,0)</f>
        <v>Desks</v>
      </c>
      <c r="W1327" t="str">
        <f>VLOOKUP(D1327,Customers!$A:$C,3,0)</f>
        <v>B2B</v>
      </c>
      <c r="X1327" t="str">
        <f>VLOOKUP(C1327,Sales_Representatives!$A:$B,2,0)</f>
        <v>Robert Jones</v>
      </c>
    </row>
    <row r="1328" spans="1:24" x14ac:dyDescent="0.3">
      <c r="A1328" t="s">
        <v>1928</v>
      </c>
      <c r="B1328" t="s">
        <v>1924</v>
      </c>
      <c r="C1328" t="s">
        <v>107</v>
      </c>
      <c r="D1328" t="s">
        <v>1752</v>
      </c>
      <c r="E1328" t="s">
        <v>283</v>
      </c>
      <c r="F1328">
        <v>8</v>
      </c>
      <c r="G1328">
        <v>456.88</v>
      </c>
      <c r="H1328">
        <v>0.1</v>
      </c>
      <c r="I1328" s="4">
        <v>3289.54</v>
      </c>
      <c r="J1328" t="s">
        <v>109</v>
      </c>
      <c r="K1328" t="s">
        <v>22</v>
      </c>
      <c r="L1328" s="4">
        <f>VLOOKUP(tblTransactions[[#This Row],[Product_ID]],tblProducts[],5,FALSE)</f>
        <v>313.23</v>
      </c>
      <c r="M1328" s="4">
        <f>tblTransactions[[#This Row],[Total_Amount]]-(tblTransactions[[#This Row],[Cost_Prices]]*tblTransactions[[#This Row],[Quantity]]*(1-tblTransactions[[#This Row],[Discount]]))</f>
        <v>1034.2839999999997</v>
      </c>
      <c r="N1328" s="3">
        <f>tblTransactions[[#This Row],[Profit]]/tblTransactions[[#This Row],[Total_Amount]]</f>
        <v>0.31441599737349285</v>
      </c>
      <c r="O1328" t="str">
        <f>TEXT(tblTransactions[[#This Row],[Date]], "MMM-YYYY")</f>
        <v>Oct-2023</v>
      </c>
      <c r="P1328" t="str">
        <f>"Q"&amp;ROUNDUP(MONTH(tblTransactions[[#This Row],[Date]])/3,0)&amp;"-"&amp;YEAR(tblTransactions[[#This Row],[Date]])</f>
        <v>Q4-2023</v>
      </c>
      <c r="Q1328">
        <f>YEAR(tblTransactions[[#This Row],[Date]])</f>
        <v>2023</v>
      </c>
      <c r="R1328" t="str">
        <f>TEXT(tblTransactions[[#This Row],[Date]],"DDDD")</f>
        <v>Sunday</v>
      </c>
      <c r="S1328">
        <f>MONTH(tblTransactions[[#This Row],[Date]])</f>
        <v>10</v>
      </c>
      <c r="T1328" t="str">
        <f>VLOOKUP(E1328, Products!$A:$B,2,0)</f>
        <v>Chairs Fur-3</v>
      </c>
      <c r="U1328" t="str">
        <f>VLOOKUP(E1328,Products!$A:$C,3,0)</f>
        <v>Furniture</v>
      </c>
      <c r="V1328" t="str">
        <f>VLOOKUP(E1328,Products!$A:$D,4,0)</f>
        <v>Chairs</v>
      </c>
      <c r="W1328" t="str">
        <f>VLOOKUP(D1328,Customers!$A:$C,3,0)</f>
        <v>B2B</v>
      </c>
      <c r="X1328" t="str">
        <f>VLOOKUP(C1328,Sales_Representatives!$A:$B,2,0)</f>
        <v>Jennifer Brown</v>
      </c>
    </row>
    <row r="1329" spans="1:24" x14ac:dyDescent="0.3">
      <c r="A1329" t="s">
        <v>1929</v>
      </c>
      <c r="B1329" t="s">
        <v>1924</v>
      </c>
      <c r="C1329" t="s">
        <v>31</v>
      </c>
      <c r="D1329" t="s">
        <v>1838</v>
      </c>
      <c r="E1329" t="s">
        <v>224</v>
      </c>
      <c r="F1329">
        <v>38</v>
      </c>
      <c r="G1329">
        <v>505.37</v>
      </c>
      <c r="H1329">
        <v>0.22</v>
      </c>
      <c r="I1329" s="4">
        <v>14979.17</v>
      </c>
      <c r="J1329" t="s">
        <v>34</v>
      </c>
      <c r="K1329" t="s">
        <v>17</v>
      </c>
      <c r="L1329" s="4">
        <f>VLOOKUP(tblTransactions[[#This Row],[Product_ID]],tblProducts[],5,FALSE)</f>
        <v>281.14999999999998</v>
      </c>
      <c r="M1329" s="4">
        <f>tblTransactions[[#This Row],[Total_Amount]]-(tblTransactions[[#This Row],[Cost_Prices]]*tblTransactions[[#This Row],[Quantity]]*(1-tblTransactions[[#This Row],[Discount]]))</f>
        <v>6645.884</v>
      </c>
      <c r="N1329" s="3">
        <f>tblTransactions[[#This Row],[Profit]]/tblTransactions[[#This Row],[Total_Amount]]</f>
        <v>0.44367505008621971</v>
      </c>
      <c r="O1329" t="str">
        <f>TEXT(tblTransactions[[#This Row],[Date]], "MMM-YYYY")</f>
        <v>Oct-2023</v>
      </c>
      <c r="P1329" t="str">
        <f>"Q"&amp;ROUNDUP(MONTH(tblTransactions[[#This Row],[Date]])/3,0)&amp;"-"&amp;YEAR(tblTransactions[[#This Row],[Date]])</f>
        <v>Q4-2023</v>
      </c>
      <c r="Q1329">
        <f>YEAR(tblTransactions[[#This Row],[Date]])</f>
        <v>2023</v>
      </c>
      <c r="R1329" t="str">
        <f>TEXT(tblTransactions[[#This Row],[Date]],"DDDD")</f>
        <v>Sunday</v>
      </c>
      <c r="S1329">
        <f>MONTH(tblTransactions[[#This Row],[Date]])</f>
        <v>10</v>
      </c>
      <c r="T1329" t="str">
        <f>VLOOKUP(E1329, Products!$A:$B,2,0)</f>
        <v>Desks Fur-3</v>
      </c>
      <c r="U1329" t="str">
        <f>VLOOKUP(E1329,Products!$A:$C,3,0)</f>
        <v>Furniture</v>
      </c>
      <c r="V1329" t="str">
        <f>VLOOKUP(E1329,Products!$A:$D,4,0)</f>
        <v>Desks</v>
      </c>
      <c r="W1329" t="str">
        <f>VLOOKUP(D1329,Customers!$A:$C,3,0)</f>
        <v>Enterprise</v>
      </c>
      <c r="X1329" t="str">
        <f>VLOOKUP(C1329,Sales_Representatives!$A:$B,2,0)</f>
        <v>Thomas Martinez</v>
      </c>
    </row>
    <row r="1330" spans="1:24" x14ac:dyDescent="0.3">
      <c r="A1330" t="s">
        <v>1930</v>
      </c>
      <c r="B1330" t="s">
        <v>1931</v>
      </c>
      <c r="C1330" t="s">
        <v>82</v>
      </c>
      <c r="D1330" t="s">
        <v>1507</v>
      </c>
      <c r="E1330" t="s">
        <v>113</v>
      </c>
      <c r="F1330">
        <v>40</v>
      </c>
      <c r="G1330">
        <v>930.41</v>
      </c>
      <c r="H1330">
        <v>0.19</v>
      </c>
      <c r="I1330" s="4">
        <v>30145.279999999999</v>
      </c>
      <c r="J1330" t="s">
        <v>34</v>
      </c>
      <c r="K1330" t="s">
        <v>35</v>
      </c>
      <c r="L1330" s="4">
        <f>VLOOKUP(tblTransactions[[#This Row],[Product_ID]],tblProducts[],5,FALSE)</f>
        <v>595.51</v>
      </c>
      <c r="M1330" s="4">
        <f>tblTransactions[[#This Row],[Total_Amount]]-(tblTransactions[[#This Row],[Cost_Prices]]*tblTransactions[[#This Row],[Quantity]]*(1-tblTransactions[[#This Row],[Discount]]))</f>
        <v>10850.755999999998</v>
      </c>
      <c r="N1330" s="3">
        <f>tblTransactions[[#This Row],[Profit]]/tblTransactions[[#This Row],[Total_Amount]]</f>
        <v>0.35994875482994348</v>
      </c>
      <c r="O1330" t="str">
        <f>TEXT(tblTransactions[[#This Row],[Date]], "MMM-YYYY")</f>
        <v>Oct-2023</v>
      </c>
      <c r="P1330" t="str">
        <f>"Q"&amp;ROUNDUP(MONTH(tblTransactions[[#This Row],[Date]])/3,0)&amp;"-"&amp;YEAR(tblTransactions[[#This Row],[Date]])</f>
        <v>Q4-2023</v>
      </c>
      <c r="Q1330">
        <f>YEAR(tblTransactions[[#This Row],[Date]])</f>
        <v>2023</v>
      </c>
      <c r="R1330" t="str">
        <f>TEXT(tblTransactions[[#This Row],[Date]],"DDDD")</f>
        <v>Monday</v>
      </c>
      <c r="S1330">
        <f>MONTH(tblTransactions[[#This Row],[Date]])</f>
        <v>10</v>
      </c>
      <c r="T1330" t="str">
        <f>VLOOKUP(E1330, Products!$A:$B,2,0)</f>
        <v>Phones Ele-1</v>
      </c>
      <c r="U1330" t="str">
        <f>VLOOKUP(E1330,Products!$A:$C,3,0)</f>
        <v>Electronics</v>
      </c>
      <c r="V1330" t="str">
        <f>VLOOKUP(E1330,Products!$A:$D,4,0)</f>
        <v>Phones</v>
      </c>
      <c r="W1330" t="str">
        <f>VLOOKUP(D1330,Customers!$A:$C,3,0)</f>
        <v>Enterprise</v>
      </c>
      <c r="X1330" t="str">
        <f>VLOOKUP(C1330,Sales_Representatives!$A:$B,2,0)</f>
        <v>John Brown</v>
      </c>
    </row>
    <row r="1331" spans="1:24" x14ac:dyDescent="0.3">
      <c r="A1331" t="s">
        <v>1932</v>
      </c>
      <c r="B1331" t="s">
        <v>1931</v>
      </c>
      <c r="C1331" t="s">
        <v>59</v>
      </c>
      <c r="D1331" t="s">
        <v>95</v>
      </c>
      <c r="E1331" t="s">
        <v>264</v>
      </c>
      <c r="F1331">
        <v>24</v>
      </c>
      <c r="G1331">
        <v>607.29999999999995</v>
      </c>
      <c r="H1331">
        <v>0.18</v>
      </c>
      <c r="I1331" s="4">
        <v>11951.66</v>
      </c>
      <c r="J1331" t="s">
        <v>21</v>
      </c>
      <c r="K1331" t="s">
        <v>39</v>
      </c>
      <c r="L1331" s="4">
        <f>VLOOKUP(tblTransactions[[#This Row],[Product_ID]],tblProducts[],5,FALSE)</f>
        <v>436.37</v>
      </c>
      <c r="M1331" s="4">
        <f>tblTransactions[[#This Row],[Total_Amount]]-(tblTransactions[[#This Row],[Cost_Prices]]*tblTransactions[[#This Row],[Quantity]]*(1-tblTransactions[[#This Row],[Discount]]))</f>
        <v>3363.8983999999982</v>
      </c>
      <c r="N1331" s="3">
        <f>tblTransactions[[#This Row],[Profit]]/tblTransactions[[#This Row],[Total_Amount]]</f>
        <v>0.28145867603328728</v>
      </c>
      <c r="O1331" t="str">
        <f>TEXT(tblTransactions[[#This Row],[Date]], "MMM-YYYY")</f>
        <v>Oct-2023</v>
      </c>
      <c r="P1331" t="str">
        <f>"Q"&amp;ROUNDUP(MONTH(tblTransactions[[#This Row],[Date]])/3,0)&amp;"-"&amp;YEAR(tblTransactions[[#This Row],[Date]])</f>
        <v>Q4-2023</v>
      </c>
      <c r="Q1331">
        <f>YEAR(tblTransactions[[#This Row],[Date]])</f>
        <v>2023</v>
      </c>
      <c r="R1331" t="str">
        <f>TEXT(tblTransactions[[#This Row],[Date]],"DDDD")</f>
        <v>Monday</v>
      </c>
      <c r="S1331">
        <f>MONTH(tblTransactions[[#This Row],[Date]])</f>
        <v>10</v>
      </c>
      <c r="T1331" t="str">
        <f>VLOOKUP(E1331, Products!$A:$B,2,0)</f>
        <v>Tablets Ele-4</v>
      </c>
      <c r="U1331" t="str">
        <f>VLOOKUP(E1331,Products!$A:$C,3,0)</f>
        <v>Electronics</v>
      </c>
      <c r="V1331" t="str">
        <f>VLOOKUP(E1331,Products!$A:$D,4,0)</f>
        <v>Tablets</v>
      </c>
      <c r="W1331" t="str">
        <f>VLOOKUP(D1331,Customers!$A:$C,3,0)</f>
        <v>Enterprise</v>
      </c>
      <c r="X1331" t="str">
        <f>VLOOKUP(C1331,Sales_Representatives!$A:$B,2,0)</f>
        <v>Sarah Brown</v>
      </c>
    </row>
    <row r="1332" spans="1:24" x14ac:dyDescent="0.3">
      <c r="A1332" t="s">
        <v>1933</v>
      </c>
      <c r="B1332" t="s">
        <v>1931</v>
      </c>
      <c r="C1332" t="s">
        <v>131</v>
      </c>
      <c r="D1332" t="s">
        <v>1934</v>
      </c>
      <c r="E1332" t="s">
        <v>172</v>
      </c>
      <c r="F1332">
        <v>2</v>
      </c>
      <c r="G1332">
        <v>1371.15</v>
      </c>
      <c r="H1332">
        <v>0.01</v>
      </c>
      <c r="I1332" s="4">
        <v>2714.88</v>
      </c>
      <c r="J1332" t="s">
        <v>44</v>
      </c>
      <c r="K1332" t="s">
        <v>39</v>
      </c>
      <c r="L1332" s="4">
        <f>VLOOKUP(tblTransactions[[#This Row],[Product_ID]],tblProducts[],5,FALSE)</f>
        <v>989.81</v>
      </c>
      <c r="M1332" s="4">
        <f>tblTransactions[[#This Row],[Total_Amount]]-(tblTransactions[[#This Row],[Cost_Prices]]*tblTransactions[[#This Row],[Quantity]]*(1-tblTransactions[[#This Row],[Discount]]))</f>
        <v>755.05620000000022</v>
      </c>
      <c r="N1332" s="3">
        <f>tblTransactions[[#This Row],[Profit]]/tblTransactions[[#This Row],[Total_Amount]]</f>
        <v>0.27811770685997178</v>
      </c>
      <c r="O1332" t="str">
        <f>TEXT(tblTransactions[[#This Row],[Date]], "MMM-YYYY")</f>
        <v>Oct-2023</v>
      </c>
      <c r="P1332" t="str">
        <f>"Q"&amp;ROUNDUP(MONTH(tblTransactions[[#This Row],[Date]])/3,0)&amp;"-"&amp;YEAR(tblTransactions[[#This Row],[Date]])</f>
        <v>Q4-2023</v>
      </c>
      <c r="Q1332">
        <f>YEAR(tblTransactions[[#This Row],[Date]])</f>
        <v>2023</v>
      </c>
      <c r="R1332" t="str">
        <f>TEXT(tblTransactions[[#This Row],[Date]],"DDDD")</f>
        <v>Monday</v>
      </c>
      <c r="S1332">
        <f>MONTH(tblTransactions[[#This Row],[Date]])</f>
        <v>10</v>
      </c>
      <c r="T1332" t="str">
        <f>VLOOKUP(E1332, Products!$A:$B,2,0)</f>
        <v>Cameras Ele-4</v>
      </c>
      <c r="U1332" t="str">
        <f>VLOOKUP(E1332,Products!$A:$C,3,0)</f>
        <v>Electronics</v>
      </c>
      <c r="V1332" t="str">
        <f>VLOOKUP(E1332,Products!$A:$D,4,0)</f>
        <v>Cameras</v>
      </c>
      <c r="W1332" t="str">
        <f>VLOOKUP(D1332,Customers!$A:$C,3,0)</f>
        <v>B2C</v>
      </c>
      <c r="X1332" t="str">
        <f>VLOOKUP(C1332,Sales_Representatives!$A:$B,2,0)</f>
        <v>Michael Davis</v>
      </c>
    </row>
    <row r="1333" spans="1:24" x14ac:dyDescent="0.3">
      <c r="A1333" t="s">
        <v>1935</v>
      </c>
      <c r="B1333" t="s">
        <v>1931</v>
      </c>
      <c r="C1333" t="s">
        <v>19</v>
      </c>
      <c r="D1333" t="s">
        <v>1936</v>
      </c>
      <c r="E1333" t="s">
        <v>20</v>
      </c>
      <c r="F1333">
        <v>44</v>
      </c>
      <c r="G1333">
        <v>1219.49</v>
      </c>
      <c r="H1333">
        <v>0.22</v>
      </c>
      <c r="I1333" s="4">
        <v>41852.9</v>
      </c>
      <c r="J1333" t="s">
        <v>21</v>
      </c>
      <c r="K1333" t="s">
        <v>17</v>
      </c>
      <c r="L1333" s="4">
        <f>VLOOKUP(tblTransactions[[#This Row],[Product_ID]],tblProducts[],5,FALSE)</f>
        <v>686.9</v>
      </c>
      <c r="M1333" s="4">
        <f>tblTransactions[[#This Row],[Total_Amount]]-(tblTransactions[[#This Row],[Cost_Prices]]*tblTransactions[[#This Row],[Quantity]]*(1-tblTransactions[[#This Row],[Discount]]))</f>
        <v>18278.492000000002</v>
      </c>
      <c r="N1333" s="3">
        <f>tblTransactions[[#This Row],[Profit]]/tblTransactions[[#This Row],[Total_Amount]]</f>
        <v>0.43673179158433467</v>
      </c>
      <c r="O1333" t="str">
        <f>TEXT(tblTransactions[[#This Row],[Date]], "MMM-YYYY")</f>
        <v>Oct-2023</v>
      </c>
      <c r="P1333" t="str">
        <f>"Q"&amp;ROUNDUP(MONTH(tblTransactions[[#This Row],[Date]])/3,0)&amp;"-"&amp;YEAR(tblTransactions[[#This Row],[Date]])</f>
        <v>Q4-2023</v>
      </c>
      <c r="Q1333">
        <f>YEAR(tblTransactions[[#This Row],[Date]])</f>
        <v>2023</v>
      </c>
      <c r="R1333" t="str">
        <f>TEXT(tblTransactions[[#This Row],[Date]],"DDDD")</f>
        <v>Monday</v>
      </c>
      <c r="S1333">
        <f>MONTH(tblTransactions[[#This Row],[Date]])</f>
        <v>10</v>
      </c>
      <c r="T1333" t="str">
        <f>VLOOKUP(E1333, Products!$A:$B,2,0)</f>
        <v>Laptops Ele-1</v>
      </c>
      <c r="U1333" t="str">
        <f>VLOOKUP(E1333,Products!$A:$C,3,0)</f>
        <v>Electronics</v>
      </c>
      <c r="V1333" t="str">
        <f>VLOOKUP(E1333,Products!$A:$D,4,0)</f>
        <v>Laptops</v>
      </c>
      <c r="W1333" t="str">
        <f>VLOOKUP(D1333,Customers!$A:$C,3,0)</f>
        <v>Enterprise</v>
      </c>
      <c r="X1333" t="str">
        <f>VLOOKUP(C1333,Sales_Representatives!$A:$B,2,0)</f>
        <v>Robert Jones</v>
      </c>
    </row>
    <row r="1334" spans="1:24" x14ac:dyDescent="0.3">
      <c r="A1334" t="s">
        <v>1937</v>
      </c>
      <c r="B1334" t="s">
        <v>1931</v>
      </c>
      <c r="C1334" t="s">
        <v>75</v>
      </c>
      <c r="D1334" t="s">
        <v>1938</v>
      </c>
      <c r="E1334" t="s">
        <v>394</v>
      </c>
      <c r="F1334">
        <v>7</v>
      </c>
      <c r="G1334">
        <v>314.69</v>
      </c>
      <c r="H1334">
        <v>0.1</v>
      </c>
      <c r="I1334" s="4">
        <v>1982.55</v>
      </c>
      <c r="J1334" t="s">
        <v>44</v>
      </c>
      <c r="K1334" t="s">
        <v>48</v>
      </c>
      <c r="L1334" s="4">
        <f>VLOOKUP(tblTransactions[[#This Row],[Product_ID]],tblProducts[],5,FALSE)</f>
        <v>185.43</v>
      </c>
      <c r="M1334" s="4">
        <f>tblTransactions[[#This Row],[Total_Amount]]-(tblTransactions[[#This Row],[Cost_Prices]]*tblTransactions[[#This Row],[Quantity]]*(1-tblTransactions[[#This Row],[Discount]]))</f>
        <v>814.34099999999989</v>
      </c>
      <c r="N1334" s="3">
        <f>tblTransactions[[#This Row],[Profit]]/tblTransactions[[#This Row],[Total_Amount]]</f>
        <v>0.41075433154271013</v>
      </c>
      <c r="O1334" t="str">
        <f>TEXT(tblTransactions[[#This Row],[Date]], "MMM-YYYY")</f>
        <v>Oct-2023</v>
      </c>
      <c r="P1334" t="str">
        <f>"Q"&amp;ROUNDUP(MONTH(tblTransactions[[#This Row],[Date]])/3,0)&amp;"-"&amp;YEAR(tblTransactions[[#This Row],[Date]])</f>
        <v>Q4-2023</v>
      </c>
      <c r="Q1334">
        <f>YEAR(tblTransactions[[#This Row],[Date]])</f>
        <v>2023</v>
      </c>
      <c r="R1334" t="str">
        <f>TEXT(tblTransactions[[#This Row],[Date]],"DDDD")</f>
        <v>Monday</v>
      </c>
      <c r="S1334">
        <f>MONTH(tblTransactions[[#This Row],[Date]])</f>
        <v>10</v>
      </c>
      <c r="T1334" t="str">
        <f>VLOOKUP(E1334, Products!$A:$B,2,0)</f>
        <v>Desks Fur-1</v>
      </c>
      <c r="U1334" t="str">
        <f>VLOOKUP(E1334,Products!$A:$C,3,0)</f>
        <v>Furniture</v>
      </c>
      <c r="V1334" t="str">
        <f>VLOOKUP(E1334,Products!$A:$D,4,0)</f>
        <v>Desks</v>
      </c>
      <c r="W1334" t="str">
        <f>VLOOKUP(D1334,Customers!$A:$C,3,0)</f>
        <v>B2C</v>
      </c>
      <c r="X1334" t="str">
        <f>VLOOKUP(C1334,Sales_Representatives!$A:$B,2,0)</f>
        <v>Jessica Anderson</v>
      </c>
    </row>
    <row r="1335" spans="1:24" x14ac:dyDescent="0.3">
      <c r="A1335" t="s">
        <v>1939</v>
      </c>
      <c r="B1335" t="s">
        <v>1940</v>
      </c>
      <c r="C1335" t="s">
        <v>63</v>
      </c>
      <c r="D1335" t="s">
        <v>1571</v>
      </c>
      <c r="E1335" t="s">
        <v>84</v>
      </c>
      <c r="F1335">
        <v>6</v>
      </c>
      <c r="G1335">
        <v>1841.77</v>
      </c>
      <c r="H1335">
        <v>0.12</v>
      </c>
      <c r="I1335" s="4">
        <v>9724.5499999999993</v>
      </c>
      <c r="J1335" t="s">
        <v>21</v>
      </c>
      <c r="K1335" t="s">
        <v>35</v>
      </c>
      <c r="L1335" s="4">
        <f>VLOOKUP(tblTransactions[[#This Row],[Product_ID]],tblProducts[],5,FALSE)</f>
        <v>1151.5899999999999</v>
      </c>
      <c r="M1335" s="4">
        <f>tblTransactions[[#This Row],[Total_Amount]]-(tblTransactions[[#This Row],[Cost_Prices]]*tblTransactions[[#This Row],[Quantity]]*(1-tblTransactions[[#This Row],[Discount]]))</f>
        <v>3644.1548000000003</v>
      </c>
      <c r="N1335" s="3">
        <f>tblTransactions[[#This Row],[Profit]]/tblTransactions[[#This Row],[Total_Amount]]</f>
        <v>0.37473762796221938</v>
      </c>
      <c r="O1335" t="str">
        <f>TEXT(tblTransactions[[#This Row],[Date]], "MMM-YYYY")</f>
        <v>Oct-2023</v>
      </c>
      <c r="P1335" t="str">
        <f>"Q"&amp;ROUNDUP(MONTH(tblTransactions[[#This Row],[Date]])/3,0)&amp;"-"&amp;YEAR(tblTransactions[[#This Row],[Date]])</f>
        <v>Q4-2023</v>
      </c>
      <c r="Q1335">
        <f>YEAR(tblTransactions[[#This Row],[Date]])</f>
        <v>2023</v>
      </c>
      <c r="R1335" t="str">
        <f>TEXT(tblTransactions[[#This Row],[Date]],"DDDD")</f>
        <v>Tuesday</v>
      </c>
      <c r="S1335">
        <f>MONTH(tblTransactions[[#This Row],[Date]])</f>
        <v>10</v>
      </c>
      <c r="T1335" t="str">
        <f>VLOOKUP(E1335, Products!$A:$B,2,0)</f>
        <v>Laptops Ele-2</v>
      </c>
      <c r="U1335" t="str">
        <f>VLOOKUP(E1335,Products!$A:$C,3,0)</f>
        <v>Electronics</v>
      </c>
      <c r="V1335" t="str">
        <f>VLOOKUP(E1335,Products!$A:$D,4,0)</f>
        <v>Laptops</v>
      </c>
      <c r="W1335" t="str">
        <f>VLOOKUP(D1335,Customers!$A:$C,3,0)</f>
        <v>B2C</v>
      </c>
      <c r="X1335" t="str">
        <f>VLOOKUP(C1335,Sales_Representatives!$A:$B,2,0)</f>
        <v>Richard Wilson</v>
      </c>
    </row>
    <row r="1336" spans="1:24" x14ac:dyDescent="0.3">
      <c r="A1336" t="s">
        <v>1941</v>
      </c>
      <c r="B1336" t="s">
        <v>1940</v>
      </c>
      <c r="C1336" t="s">
        <v>27</v>
      </c>
      <c r="D1336" t="s">
        <v>1942</v>
      </c>
      <c r="E1336" t="s">
        <v>96</v>
      </c>
      <c r="F1336">
        <v>18</v>
      </c>
      <c r="G1336">
        <v>751.9</v>
      </c>
      <c r="H1336">
        <v>0.11</v>
      </c>
      <c r="I1336" s="4">
        <v>12045.44</v>
      </c>
      <c r="J1336" t="s">
        <v>16</v>
      </c>
      <c r="K1336" t="s">
        <v>48</v>
      </c>
      <c r="L1336" s="4">
        <f>VLOOKUP(tblTransactions[[#This Row],[Product_ID]],tblProducts[],5,FALSE)</f>
        <v>570.29</v>
      </c>
      <c r="M1336" s="4">
        <f>tblTransactions[[#This Row],[Total_Amount]]-(tblTransactions[[#This Row],[Cost_Prices]]*tblTransactions[[#This Row],[Quantity]]*(1-tblTransactions[[#This Row],[Discount]]))</f>
        <v>2909.3942000000006</v>
      </c>
      <c r="N1336" s="3">
        <f>tblTransactions[[#This Row],[Profit]]/tblTransactions[[#This Row],[Total_Amount]]</f>
        <v>0.24153490449497905</v>
      </c>
      <c r="O1336" t="str">
        <f>TEXT(tblTransactions[[#This Row],[Date]], "MMM-YYYY")</f>
        <v>Oct-2023</v>
      </c>
      <c r="P1336" t="str">
        <f>"Q"&amp;ROUNDUP(MONTH(tblTransactions[[#This Row],[Date]])/3,0)&amp;"-"&amp;YEAR(tblTransactions[[#This Row],[Date]])</f>
        <v>Q4-2023</v>
      </c>
      <c r="Q1336">
        <f>YEAR(tblTransactions[[#This Row],[Date]])</f>
        <v>2023</v>
      </c>
      <c r="R1336" t="str">
        <f>TEXT(tblTransactions[[#This Row],[Date]],"DDDD")</f>
        <v>Tuesday</v>
      </c>
      <c r="S1336">
        <f>MONTH(tblTransactions[[#This Row],[Date]])</f>
        <v>10</v>
      </c>
      <c r="T1336" t="str">
        <f>VLOOKUP(E1336, Products!$A:$B,2,0)</f>
        <v>Routers Tec-1</v>
      </c>
      <c r="U1336" t="str">
        <f>VLOOKUP(E1336,Products!$A:$C,3,0)</f>
        <v>Technology</v>
      </c>
      <c r="V1336" t="str">
        <f>VLOOKUP(E1336,Products!$A:$D,4,0)</f>
        <v>Routers</v>
      </c>
      <c r="W1336" t="str">
        <f>VLOOKUP(D1336,Customers!$A:$C,3,0)</f>
        <v>B2B</v>
      </c>
      <c r="X1336" t="str">
        <f>VLOOKUP(C1336,Sales_Representatives!$A:$B,2,0)</f>
        <v>Thomas Lopez</v>
      </c>
    </row>
    <row r="1337" spans="1:24" x14ac:dyDescent="0.3">
      <c r="A1337" t="s">
        <v>1943</v>
      </c>
      <c r="B1337" t="s">
        <v>1944</v>
      </c>
      <c r="C1337" t="s">
        <v>27</v>
      </c>
      <c r="D1337" t="s">
        <v>1945</v>
      </c>
      <c r="E1337" t="s">
        <v>221</v>
      </c>
      <c r="F1337">
        <v>7</v>
      </c>
      <c r="G1337">
        <v>210.02</v>
      </c>
      <c r="H1337">
        <v>0.08</v>
      </c>
      <c r="I1337" s="4">
        <v>1352.53</v>
      </c>
      <c r="J1337" t="s">
        <v>16</v>
      </c>
      <c r="K1337" t="s">
        <v>39</v>
      </c>
      <c r="L1337" s="4">
        <f>VLOOKUP(tblTransactions[[#This Row],[Product_ID]],tblProducts[],5,FALSE)</f>
        <v>131.66</v>
      </c>
      <c r="M1337" s="4">
        <f>tblTransactions[[#This Row],[Total_Amount]]-(tblTransactions[[#This Row],[Cost_Prices]]*tblTransactions[[#This Row],[Quantity]]*(1-tblTransactions[[#This Row],[Discount]]))</f>
        <v>504.63959999999997</v>
      </c>
      <c r="N1337" s="3">
        <f>tblTransactions[[#This Row],[Profit]]/tblTransactions[[#This Row],[Total_Amount]]</f>
        <v>0.37310787930766787</v>
      </c>
      <c r="O1337" t="str">
        <f>TEXT(tblTransactions[[#This Row],[Date]], "MMM-YYYY")</f>
        <v>Oct-2023</v>
      </c>
      <c r="P1337" t="str">
        <f>"Q"&amp;ROUNDUP(MONTH(tblTransactions[[#This Row],[Date]])/3,0)&amp;"-"&amp;YEAR(tblTransactions[[#This Row],[Date]])</f>
        <v>Q4-2023</v>
      </c>
      <c r="Q1337">
        <f>YEAR(tblTransactions[[#This Row],[Date]])</f>
        <v>2023</v>
      </c>
      <c r="R1337" t="str">
        <f>TEXT(tblTransactions[[#This Row],[Date]],"DDDD")</f>
        <v>Wednesday</v>
      </c>
      <c r="S1337">
        <f>MONTH(tblTransactions[[#This Row],[Date]])</f>
        <v>10</v>
      </c>
      <c r="T1337" t="str">
        <f>VLOOKUP(E1337, Products!$A:$B,2,0)</f>
        <v>Storage Fur-2</v>
      </c>
      <c r="U1337" t="str">
        <f>VLOOKUP(E1337,Products!$A:$C,3,0)</f>
        <v>Furniture</v>
      </c>
      <c r="V1337" t="str">
        <f>VLOOKUP(E1337,Products!$A:$D,4,0)</f>
        <v>Storage</v>
      </c>
      <c r="W1337" t="str">
        <f>VLOOKUP(D1337,Customers!$A:$C,3,0)</f>
        <v>B2B</v>
      </c>
      <c r="X1337" t="str">
        <f>VLOOKUP(C1337,Sales_Representatives!$A:$B,2,0)</f>
        <v>Thomas Lopez</v>
      </c>
    </row>
    <row r="1338" spans="1:24" x14ac:dyDescent="0.3">
      <c r="A1338" t="s">
        <v>1946</v>
      </c>
      <c r="B1338" t="s">
        <v>1944</v>
      </c>
      <c r="C1338" t="s">
        <v>56</v>
      </c>
      <c r="D1338" t="s">
        <v>1947</v>
      </c>
      <c r="E1338" t="s">
        <v>299</v>
      </c>
      <c r="F1338">
        <v>8</v>
      </c>
      <c r="G1338">
        <v>963.44</v>
      </c>
      <c r="H1338">
        <v>0.15</v>
      </c>
      <c r="I1338" s="4">
        <v>6551.39</v>
      </c>
      <c r="J1338" t="s">
        <v>34</v>
      </c>
      <c r="K1338" t="s">
        <v>39</v>
      </c>
      <c r="L1338" s="4">
        <f>VLOOKUP(tblTransactions[[#This Row],[Product_ID]],tblProducts[],5,FALSE)</f>
        <v>578.96</v>
      </c>
      <c r="M1338" s="4">
        <f>tblTransactions[[#This Row],[Total_Amount]]-(tblTransactions[[#This Row],[Cost_Prices]]*tblTransactions[[#This Row],[Quantity]]*(1-tblTransactions[[#This Row],[Discount]]))</f>
        <v>2614.462</v>
      </c>
      <c r="N1338" s="3">
        <f>tblTransactions[[#This Row],[Profit]]/tblTransactions[[#This Row],[Total_Amount]]</f>
        <v>0.39906981571849637</v>
      </c>
      <c r="O1338" t="str">
        <f>TEXT(tblTransactions[[#This Row],[Date]], "MMM-YYYY")</f>
        <v>Oct-2023</v>
      </c>
      <c r="P1338" t="str">
        <f>"Q"&amp;ROUNDUP(MONTH(tblTransactions[[#This Row],[Date]])/3,0)&amp;"-"&amp;YEAR(tblTransactions[[#This Row],[Date]])</f>
        <v>Q4-2023</v>
      </c>
      <c r="Q1338">
        <f>YEAR(tblTransactions[[#This Row],[Date]])</f>
        <v>2023</v>
      </c>
      <c r="R1338" t="str">
        <f>TEXT(tblTransactions[[#This Row],[Date]],"DDDD")</f>
        <v>Wednesday</v>
      </c>
      <c r="S1338">
        <f>MONTH(tblTransactions[[#This Row],[Date]])</f>
        <v>10</v>
      </c>
      <c r="T1338" t="str">
        <f>VLOOKUP(E1338, Products!$A:$B,2,0)</f>
        <v>Chairs Fur-4</v>
      </c>
      <c r="U1338" t="str">
        <f>VLOOKUP(E1338,Products!$A:$C,3,0)</f>
        <v>Furniture</v>
      </c>
      <c r="V1338" t="str">
        <f>VLOOKUP(E1338,Products!$A:$D,4,0)</f>
        <v>Chairs</v>
      </c>
      <c r="W1338" t="str">
        <f>VLOOKUP(D1338,Customers!$A:$C,3,0)</f>
        <v>Enterprise</v>
      </c>
      <c r="X1338" t="str">
        <f>VLOOKUP(C1338,Sales_Representatives!$A:$B,2,0)</f>
        <v>Thomas Hernandez</v>
      </c>
    </row>
    <row r="1339" spans="1:24" x14ac:dyDescent="0.3">
      <c r="A1339" t="s">
        <v>1948</v>
      </c>
      <c r="B1339" t="s">
        <v>1949</v>
      </c>
      <c r="C1339" t="s">
        <v>107</v>
      </c>
      <c r="D1339" t="s">
        <v>1496</v>
      </c>
      <c r="E1339" t="s">
        <v>102</v>
      </c>
      <c r="F1339">
        <v>46</v>
      </c>
      <c r="G1339">
        <v>1097.75</v>
      </c>
      <c r="H1339">
        <v>0.19</v>
      </c>
      <c r="I1339" s="4">
        <v>40902.160000000003</v>
      </c>
      <c r="J1339" t="s">
        <v>109</v>
      </c>
      <c r="K1339" t="s">
        <v>22</v>
      </c>
      <c r="L1339" s="4">
        <f>VLOOKUP(tblTransactions[[#This Row],[Product_ID]],tblProducts[],5,FALSE)</f>
        <v>680.12</v>
      </c>
      <c r="M1339" s="4">
        <f>tblTransactions[[#This Row],[Total_Amount]]-(tblTransactions[[#This Row],[Cost_Prices]]*tblTransactions[[#This Row],[Quantity]]*(1-tblTransactions[[#This Row],[Discount]]))</f>
        <v>15560.888800000001</v>
      </c>
      <c r="N1339" s="3">
        <f>tblTransactions[[#This Row],[Profit]]/tblTransactions[[#This Row],[Total_Amount]]</f>
        <v>0.38044173706229695</v>
      </c>
      <c r="O1339" t="str">
        <f>TEXT(tblTransactions[[#This Row],[Date]], "MMM-YYYY")</f>
        <v>Oct-2023</v>
      </c>
      <c r="P1339" t="str">
        <f>"Q"&amp;ROUNDUP(MONTH(tblTransactions[[#This Row],[Date]])/3,0)&amp;"-"&amp;YEAR(tblTransactions[[#This Row],[Date]])</f>
        <v>Q4-2023</v>
      </c>
      <c r="Q1339">
        <f>YEAR(tblTransactions[[#This Row],[Date]])</f>
        <v>2023</v>
      </c>
      <c r="R1339" t="str">
        <f>TEXT(tblTransactions[[#This Row],[Date]],"DDDD")</f>
        <v>Thursday</v>
      </c>
      <c r="S1339">
        <f>MONTH(tblTransactions[[#This Row],[Date]])</f>
        <v>10</v>
      </c>
      <c r="T1339" t="str">
        <f>VLOOKUP(E1339, Products!$A:$B,2,0)</f>
        <v>Storage Fur-4</v>
      </c>
      <c r="U1339" t="str">
        <f>VLOOKUP(E1339,Products!$A:$C,3,0)</f>
        <v>Furniture</v>
      </c>
      <c r="V1339" t="str">
        <f>VLOOKUP(E1339,Products!$A:$D,4,0)</f>
        <v>Storage</v>
      </c>
      <c r="W1339" t="str">
        <f>VLOOKUP(D1339,Customers!$A:$C,3,0)</f>
        <v>Enterprise</v>
      </c>
      <c r="X1339" t="str">
        <f>VLOOKUP(C1339,Sales_Representatives!$A:$B,2,0)</f>
        <v>Jennifer Brown</v>
      </c>
    </row>
    <row r="1340" spans="1:24" x14ac:dyDescent="0.3">
      <c r="A1340" t="s">
        <v>1950</v>
      </c>
      <c r="B1340" t="s">
        <v>1951</v>
      </c>
      <c r="C1340" t="s">
        <v>107</v>
      </c>
      <c r="D1340" t="s">
        <v>1478</v>
      </c>
      <c r="E1340" t="s">
        <v>347</v>
      </c>
      <c r="F1340">
        <v>6</v>
      </c>
      <c r="G1340">
        <v>1539.6</v>
      </c>
      <c r="H1340">
        <v>0.05</v>
      </c>
      <c r="I1340" s="4">
        <v>8775.7199999999993</v>
      </c>
      <c r="J1340" t="s">
        <v>109</v>
      </c>
      <c r="K1340" t="s">
        <v>48</v>
      </c>
      <c r="L1340" s="4">
        <f>VLOOKUP(tblTransactions[[#This Row],[Product_ID]],tblProducts[],5,FALSE)</f>
        <v>992.43</v>
      </c>
      <c r="M1340" s="4">
        <f>tblTransactions[[#This Row],[Total_Amount]]-(tblTransactions[[#This Row],[Cost_Prices]]*tblTransactions[[#This Row],[Quantity]]*(1-tblTransactions[[#This Row],[Discount]]))</f>
        <v>3118.8689999999997</v>
      </c>
      <c r="N1340" s="3">
        <f>tblTransactions[[#This Row],[Profit]]/tblTransactions[[#This Row],[Total_Amount]]</f>
        <v>0.3553975058456742</v>
      </c>
      <c r="O1340" t="str">
        <f>TEXT(tblTransactions[[#This Row],[Date]], "MMM-YYYY")</f>
        <v>Oct-2023</v>
      </c>
      <c r="P1340" t="str">
        <f>"Q"&amp;ROUNDUP(MONTH(tblTransactions[[#This Row],[Date]])/3,0)&amp;"-"&amp;YEAR(tblTransactions[[#This Row],[Date]])</f>
        <v>Q4-2023</v>
      </c>
      <c r="Q1340">
        <f>YEAR(tblTransactions[[#This Row],[Date]])</f>
        <v>2023</v>
      </c>
      <c r="R1340" t="str">
        <f>TEXT(tblTransactions[[#This Row],[Date]],"DDDD")</f>
        <v>Friday</v>
      </c>
      <c r="S1340">
        <f>MONTH(tblTransactions[[#This Row],[Date]])</f>
        <v>10</v>
      </c>
      <c r="T1340" t="str">
        <f>VLOOKUP(E1340, Products!$A:$B,2,0)</f>
        <v>Routers Tec-2</v>
      </c>
      <c r="U1340" t="str">
        <f>VLOOKUP(E1340,Products!$A:$C,3,0)</f>
        <v>Technology</v>
      </c>
      <c r="V1340" t="str">
        <f>VLOOKUP(E1340,Products!$A:$D,4,0)</f>
        <v>Routers</v>
      </c>
      <c r="W1340" t="str">
        <f>VLOOKUP(D1340,Customers!$A:$C,3,0)</f>
        <v>Small Business</v>
      </c>
      <c r="X1340" t="str">
        <f>VLOOKUP(C1340,Sales_Representatives!$A:$B,2,0)</f>
        <v>Jennifer Brown</v>
      </c>
    </row>
    <row r="1341" spans="1:24" x14ac:dyDescent="0.3">
      <c r="A1341" t="s">
        <v>1952</v>
      </c>
      <c r="B1341" t="s">
        <v>1951</v>
      </c>
      <c r="C1341" t="s">
        <v>107</v>
      </c>
      <c r="D1341" t="s">
        <v>1649</v>
      </c>
      <c r="E1341" t="s">
        <v>99</v>
      </c>
      <c r="F1341">
        <v>43</v>
      </c>
      <c r="G1341">
        <v>325.14</v>
      </c>
      <c r="H1341">
        <v>0.24</v>
      </c>
      <c r="I1341" s="4">
        <v>10625.58</v>
      </c>
      <c r="J1341" t="s">
        <v>109</v>
      </c>
      <c r="K1341" t="s">
        <v>35</v>
      </c>
      <c r="L1341" s="4">
        <f>VLOOKUP(tblTransactions[[#This Row],[Product_ID]],tblProducts[],5,FALSE)</f>
        <v>209.04</v>
      </c>
      <c r="M1341" s="4">
        <f>tblTransactions[[#This Row],[Total_Amount]]-(tblTransactions[[#This Row],[Cost_Prices]]*tblTransactions[[#This Row],[Quantity]]*(1-tblTransactions[[#This Row],[Discount]]))</f>
        <v>3794.1528000000008</v>
      </c>
      <c r="N1341" s="3">
        <f>tblTransactions[[#This Row],[Profit]]/tblTransactions[[#This Row],[Total_Amount]]</f>
        <v>0.35707724190114803</v>
      </c>
      <c r="O1341" t="str">
        <f>TEXT(tblTransactions[[#This Row],[Date]], "MMM-YYYY")</f>
        <v>Oct-2023</v>
      </c>
      <c r="P1341" t="str">
        <f>"Q"&amp;ROUNDUP(MONTH(tblTransactions[[#This Row],[Date]])/3,0)&amp;"-"&amp;YEAR(tblTransactions[[#This Row],[Date]])</f>
        <v>Q4-2023</v>
      </c>
      <c r="Q1341">
        <f>YEAR(tblTransactions[[#This Row],[Date]])</f>
        <v>2023</v>
      </c>
      <c r="R1341" t="str">
        <f>TEXT(tblTransactions[[#This Row],[Date]],"DDDD")</f>
        <v>Friday</v>
      </c>
      <c r="S1341">
        <f>MONTH(tblTransactions[[#This Row],[Date]])</f>
        <v>10</v>
      </c>
      <c r="T1341" t="str">
        <f>VLOOKUP(E1341, Products!$A:$B,2,0)</f>
        <v>Monitors Tec-1</v>
      </c>
      <c r="U1341" t="str">
        <f>VLOOKUP(E1341,Products!$A:$C,3,0)</f>
        <v>Technology</v>
      </c>
      <c r="V1341" t="str">
        <f>VLOOKUP(E1341,Products!$A:$D,4,0)</f>
        <v>Monitors</v>
      </c>
      <c r="W1341" t="str">
        <f>VLOOKUP(D1341,Customers!$A:$C,3,0)</f>
        <v>Enterprise</v>
      </c>
      <c r="X1341" t="str">
        <f>VLOOKUP(C1341,Sales_Representatives!$A:$B,2,0)</f>
        <v>Jennifer Brown</v>
      </c>
    </row>
    <row r="1342" spans="1:24" x14ac:dyDescent="0.3">
      <c r="A1342" t="s">
        <v>1953</v>
      </c>
      <c r="B1342" t="s">
        <v>1954</v>
      </c>
      <c r="C1342" t="s">
        <v>131</v>
      </c>
      <c r="D1342" t="s">
        <v>1600</v>
      </c>
      <c r="E1342" t="s">
        <v>479</v>
      </c>
      <c r="F1342">
        <v>5</v>
      </c>
      <c r="G1342">
        <v>239.6</v>
      </c>
      <c r="H1342">
        <v>0</v>
      </c>
      <c r="I1342" s="4">
        <v>1198</v>
      </c>
      <c r="J1342" t="s">
        <v>44</v>
      </c>
      <c r="K1342" t="s">
        <v>48</v>
      </c>
      <c r="L1342" s="4">
        <f>VLOOKUP(tblTransactions[[#This Row],[Product_ID]],tblProducts[],5,FALSE)</f>
        <v>107.49</v>
      </c>
      <c r="M1342" s="4">
        <f>tblTransactions[[#This Row],[Total_Amount]]-(tblTransactions[[#This Row],[Cost_Prices]]*tblTransactions[[#This Row],[Quantity]]*(1-tblTransactions[[#This Row],[Discount]]))</f>
        <v>660.55000000000007</v>
      </c>
      <c r="N1342" s="3">
        <f>tblTransactions[[#This Row],[Profit]]/tblTransactions[[#This Row],[Total_Amount]]</f>
        <v>0.55137729549248748</v>
      </c>
      <c r="O1342" t="str">
        <f>TEXT(tblTransactions[[#This Row],[Date]], "MMM-YYYY")</f>
        <v>Oct-2023</v>
      </c>
      <c r="P1342" t="str">
        <f>"Q"&amp;ROUNDUP(MONTH(tblTransactions[[#This Row],[Date]])/3,0)&amp;"-"&amp;YEAR(tblTransactions[[#This Row],[Date]])</f>
        <v>Q4-2023</v>
      </c>
      <c r="Q1342">
        <f>YEAR(tblTransactions[[#This Row],[Date]])</f>
        <v>2023</v>
      </c>
      <c r="R1342" t="str">
        <f>TEXT(tblTransactions[[#This Row],[Date]],"DDDD")</f>
        <v>Saturday</v>
      </c>
      <c r="S1342">
        <f>MONTH(tblTransactions[[#This Row],[Date]])</f>
        <v>10</v>
      </c>
      <c r="T1342" t="str">
        <f>VLOOKUP(E1342, Products!$A:$B,2,0)</f>
        <v>Pens Off-2</v>
      </c>
      <c r="U1342" t="str">
        <f>VLOOKUP(E1342,Products!$A:$C,3,0)</f>
        <v>Office Supplies</v>
      </c>
      <c r="V1342" t="str">
        <f>VLOOKUP(E1342,Products!$A:$D,4,0)</f>
        <v>Pens</v>
      </c>
      <c r="W1342" t="str">
        <f>VLOOKUP(D1342,Customers!$A:$C,3,0)</f>
        <v>B2C</v>
      </c>
      <c r="X1342" t="str">
        <f>VLOOKUP(C1342,Sales_Representatives!$A:$B,2,0)</f>
        <v>Michael Davis</v>
      </c>
    </row>
    <row r="1343" spans="1:24" x14ac:dyDescent="0.3">
      <c r="A1343" t="s">
        <v>1955</v>
      </c>
      <c r="B1343" t="s">
        <v>1954</v>
      </c>
      <c r="C1343" t="s">
        <v>70</v>
      </c>
      <c r="D1343" t="s">
        <v>1716</v>
      </c>
      <c r="E1343" t="s">
        <v>224</v>
      </c>
      <c r="F1343">
        <v>37</v>
      </c>
      <c r="G1343">
        <v>505.37</v>
      </c>
      <c r="H1343">
        <v>0.19</v>
      </c>
      <c r="I1343" s="4">
        <v>15145.94</v>
      </c>
      <c r="J1343" t="s">
        <v>16</v>
      </c>
      <c r="K1343" t="s">
        <v>17</v>
      </c>
      <c r="L1343" s="4">
        <f>VLOOKUP(tblTransactions[[#This Row],[Product_ID]],tblProducts[],5,FALSE)</f>
        <v>281.14999999999998</v>
      </c>
      <c r="M1343" s="4">
        <f>tblTransactions[[#This Row],[Total_Amount]]-(tblTransactions[[#This Row],[Cost_Prices]]*tblTransactions[[#This Row],[Quantity]]*(1-tblTransactions[[#This Row],[Discount]]))</f>
        <v>6719.8744999999999</v>
      </c>
      <c r="N1343" s="3">
        <f>tblTransactions[[#This Row],[Profit]]/tblTransactions[[#This Row],[Total_Amount]]</f>
        <v>0.44367497164256559</v>
      </c>
      <c r="O1343" t="str">
        <f>TEXT(tblTransactions[[#This Row],[Date]], "MMM-YYYY")</f>
        <v>Oct-2023</v>
      </c>
      <c r="P1343" t="str">
        <f>"Q"&amp;ROUNDUP(MONTH(tblTransactions[[#This Row],[Date]])/3,0)&amp;"-"&amp;YEAR(tblTransactions[[#This Row],[Date]])</f>
        <v>Q4-2023</v>
      </c>
      <c r="Q1343">
        <f>YEAR(tblTransactions[[#This Row],[Date]])</f>
        <v>2023</v>
      </c>
      <c r="R1343" t="str">
        <f>TEXT(tblTransactions[[#This Row],[Date]],"DDDD")</f>
        <v>Saturday</v>
      </c>
      <c r="S1343">
        <f>MONTH(tblTransactions[[#This Row],[Date]])</f>
        <v>10</v>
      </c>
      <c r="T1343" t="str">
        <f>VLOOKUP(E1343, Products!$A:$B,2,0)</f>
        <v>Desks Fur-3</v>
      </c>
      <c r="U1343" t="str">
        <f>VLOOKUP(E1343,Products!$A:$C,3,0)</f>
        <v>Furniture</v>
      </c>
      <c r="V1343" t="str">
        <f>VLOOKUP(E1343,Products!$A:$D,4,0)</f>
        <v>Desks</v>
      </c>
      <c r="W1343" t="str">
        <f>VLOOKUP(D1343,Customers!$A:$C,3,0)</f>
        <v>Enterprise</v>
      </c>
      <c r="X1343" t="str">
        <f>VLOOKUP(C1343,Sales_Representatives!$A:$B,2,0)</f>
        <v>Linda Smith</v>
      </c>
    </row>
    <row r="1344" spans="1:24" x14ac:dyDescent="0.3">
      <c r="A1344" t="s">
        <v>1956</v>
      </c>
      <c r="B1344" t="s">
        <v>1954</v>
      </c>
      <c r="C1344" t="s">
        <v>107</v>
      </c>
      <c r="D1344" t="s">
        <v>1957</v>
      </c>
      <c r="E1344" t="s">
        <v>299</v>
      </c>
      <c r="F1344">
        <v>19</v>
      </c>
      <c r="G1344">
        <v>963.44</v>
      </c>
      <c r="H1344">
        <v>0.15</v>
      </c>
      <c r="I1344" s="4">
        <v>15559.56</v>
      </c>
      <c r="J1344" t="s">
        <v>109</v>
      </c>
      <c r="K1344" t="s">
        <v>17</v>
      </c>
      <c r="L1344" s="4">
        <f>VLOOKUP(tblTransactions[[#This Row],[Product_ID]],tblProducts[],5,FALSE)</f>
        <v>578.96</v>
      </c>
      <c r="M1344" s="4">
        <f>tblTransactions[[#This Row],[Total_Amount]]-(tblTransactions[[#This Row],[Cost_Prices]]*tblTransactions[[#This Row],[Quantity]]*(1-tblTransactions[[#This Row],[Discount]]))</f>
        <v>6209.3559999999979</v>
      </c>
      <c r="N1344" s="3">
        <f>tblTransactions[[#This Row],[Profit]]/tblTransactions[[#This Row],[Total_Amount]]</f>
        <v>0.39907015365473048</v>
      </c>
      <c r="O1344" t="str">
        <f>TEXT(tblTransactions[[#This Row],[Date]], "MMM-YYYY")</f>
        <v>Oct-2023</v>
      </c>
      <c r="P1344" t="str">
        <f>"Q"&amp;ROUNDUP(MONTH(tblTransactions[[#This Row],[Date]])/3,0)&amp;"-"&amp;YEAR(tblTransactions[[#This Row],[Date]])</f>
        <v>Q4-2023</v>
      </c>
      <c r="Q1344">
        <f>YEAR(tblTransactions[[#This Row],[Date]])</f>
        <v>2023</v>
      </c>
      <c r="R1344" t="str">
        <f>TEXT(tblTransactions[[#This Row],[Date]],"DDDD")</f>
        <v>Saturday</v>
      </c>
      <c r="S1344">
        <f>MONTH(tblTransactions[[#This Row],[Date]])</f>
        <v>10</v>
      </c>
      <c r="T1344" t="str">
        <f>VLOOKUP(E1344, Products!$A:$B,2,0)</f>
        <v>Chairs Fur-4</v>
      </c>
      <c r="U1344" t="str">
        <f>VLOOKUP(E1344,Products!$A:$C,3,0)</f>
        <v>Furniture</v>
      </c>
      <c r="V1344" t="str">
        <f>VLOOKUP(E1344,Products!$A:$D,4,0)</f>
        <v>Chairs</v>
      </c>
      <c r="W1344" t="str">
        <f>VLOOKUP(D1344,Customers!$A:$C,3,0)</f>
        <v>B2B</v>
      </c>
      <c r="X1344" t="str">
        <f>VLOOKUP(C1344,Sales_Representatives!$A:$B,2,0)</f>
        <v>Jennifer Brown</v>
      </c>
    </row>
    <row r="1345" spans="1:24" x14ac:dyDescent="0.3">
      <c r="A1345" t="s">
        <v>1958</v>
      </c>
      <c r="B1345" t="s">
        <v>1954</v>
      </c>
      <c r="C1345" t="s">
        <v>31</v>
      </c>
      <c r="D1345" t="s">
        <v>1959</v>
      </c>
      <c r="E1345" t="s">
        <v>29</v>
      </c>
      <c r="F1345">
        <v>1</v>
      </c>
      <c r="G1345">
        <v>1363.46</v>
      </c>
      <c r="H1345">
        <v>0.04</v>
      </c>
      <c r="I1345" s="4">
        <v>1308.92</v>
      </c>
      <c r="J1345" t="s">
        <v>34</v>
      </c>
      <c r="K1345" t="s">
        <v>17</v>
      </c>
      <c r="L1345" s="4">
        <f>VLOOKUP(tblTransactions[[#This Row],[Product_ID]],tblProducts[],5,FALSE)</f>
        <v>995.41</v>
      </c>
      <c r="M1345" s="4">
        <f>tblTransactions[[#This Row],[Total_Amount]]-(tblTransactions[[#This Row],[Cost_Prices]]*tblTransactions[[#This Row],[Quantity]]*(1-tblTransactions[[#This Row],[Discount]]))</f>
        <v>353.32640000000015</v>
      </c>
      <c r="N1345" s="3">
        <f>tblTransactions[[#This Row],[Profit]]/tblTransactions[[#This Row],[Total_Amount]]</f>
        <v>0.26993735293218846</v>
      </c>
      <c r="O1345" t="str">
        <f>TEXT(tblTransactions[[#This Row],[Date]], "MMM-YYYY")</f>
        <v>Oct-2023</v>
      </c>
      <c r="P1345" t="str">
        <f>"Q"&amp;ROUNDUP(MONTH(tblTransactions[[#This Row],[Date]])/3,0)&amp;"-"&amp;YEAR(tblTransactions[[#This Row],[Date]])</f>
        <v>Q4-2023</v>
      </c>
      <c r="Q1345">
        <f>YEAR(tblTransactions[[#This Row],[Date]])</f>
        <v>2023</v>
      </c>
      <c r="R1345" t="str">
        <f>TEXT(tblTransactions[[#This Row],[Date]],"DDDD")</f>
        <v>Saturday</v>
      </c>
      <c r="S1345">
        <f>MONTH(tblTransactions[[#This Row],[Date]])</f>
        <v>10</v>
      </c>
      <c r="T1345" t="str">
        <f>VLOOKUP(E1345, Products!$A:$B,2,0)</f>
        <v>Phones Ele-3</v>
      </c>
      <c r="U1345" t="str">
        <f>VLOOKUP(E1345,Products!$A:$C,3,0)</f>
        <v>Electronics</v>
      </c>
      <c r="V1345" t="str">
        <f>VLOOKUP(E1345,Products!$A:$D,4,0)</f>
        <v>Phones</v>
      </c>
      <c r="W1345" t="str">
        <f>VLOOKUP(D1345,Customers!$A:$C,3,0)</f>
        <v>Small Business</v>
      </c>
      <c r="X1345" t="str">
        <f>VLOOKUP(C1345,Sales_Representatives!$A:$B,2,0)</f>
        <v>Thomas Martinez</v>
      </c>
    </row>
    <row r="1346" spans="1:24" x14ac:dyDescent="0.3">
      <c r="A1346" t="s">
        <v>1960</v>
      </c>
      <c r="B1346" t="s">
        <v>1954</v>
      </c>
      <c r="C1346" t="s">
        <v>31</v>
      </c>
      <c r="D1346" t="s">
        <v>1961</v>
      </c>
      <c r="E1346" t="s">
        <v>324</v>
      </c>
      <c r="F1346">
        <v>18</v>
      </c>
      <c r="G1346">
        <v>245.76</v>
      </c>
      <c r="H1346">
        <v>0.13</v>
      </c>
      <c r="I1346" s="4">
        <v>3848.6</v>
      </c>
      <c r="J1346" t="s">
        <v>34</v>
      </c>
      <c r="K1346" t="s">
        <v>39</v>
      </c>
      <c r="L1346" s="4">
        <f>VLOOKUP(tblTransactions[[#This Row],[Product_ID]],tblProducts[],5,FALSE)</f>
        <v>161.94</v>
      </c>
      <c r="M1346" s="4">
        <f>tblTransactions[[#This Row],[Total_Amount]]-(tblTransactions[[#This Row],[Cost_Prices]]*tblTransactions[[#This Row],[Quantity]]*(1-tblTransactions[[#This Row],[Discount]]))</f>
        <v>1312.6196</v>
      </c>
      <c r="N1346" s="3">
        <f>tblTransactions[[#This Row],[Profit]]/tblTransactions[[#This Row],[Total_Amount]]</f>
        <v>0.34106417918204024</v>
      </c>
      <c r="O1346" t="str">
        <f>TEXT(tblTransactions[[#This Row],[Date]], "MMM-YYYY")</f>
        <v>Oct-2023</v>
      </c>
      <c r="P1346" t="str">
        <f>"Q"&amp;ROUNDUP(MONTH(tblTransactions[[#This Row],[Date]])/3,0)&amp;"-"&amp;YEAR(tblTransactions[[#This Row],[Date]])</f>
        <v>Q4-2023</v>
      </c>
      <c r="Q1346">
        <f>YEAR(tblTransactions[[#This Row],[Date]])</f>
        <v>2023</v>
      </c>
      <c r="R1346" t="str">
        <f>TEXT(tblTransactions[[#This Row],[Date]],"DDDD")</f>
        <v>Saturday</v>
      </c>
      <c r="S1346">
        <f>MONTH(tblTransactions[[#This Row],[Date]])</f>
        <v>10</v>
      </c>
      <c r="T1346" t="str">
        <f>VLOOKUP(E1346, Products!$A:$B,2,0)</f>
        <v>Storage Fur-1</v>
      </c>
      <c r="U1346" t="str">
        <f>VLOOKUP(E1346,Products!$A:$C,3,0)</f>
        <v>Furniture</v>
      </c>
      <c r="V1346" t="str">
        <f>VLOOKUP(E1346,Products!$A:$D,4,0)</f>
        <v>Storage</v>
      </c>
      <c r="W1346" t="str">
        <f>VLOOKUP(D1346,Customers!$A:$C,3,0)</f>
        <v>B2B</v>
      </c>
      <c r="X1346" t="str">
        <f>VLOOKUP(C1346,Sales_Representatives!$A:$B,2,0)</f>
        <v>Thomas Martinez</v>
      </c>
    </row>
    <row r="1347" spans="1:24" x14ac:dyDescent="0.3">
      <c r="A1347" t="s">
        <v>1962</v>
      </c>
      <c r="B1347" t="s">
        <v>1954</v>
      </c>
      <c r="C1347" t="s">
        <v>131</v>
      </c>
      <c r="D1347" t="s">
        <v>1963</v>
      </c>
      <c r="E1347" t="s">
        <v>43</v>
      </c>
      <c r="F1347">
        <v>5</v>
      </c>
      <c r="G1347">
        <v>39.32</v>
      </c>
      <c r="H1347">
        <v>0.08</v>
      </c>
      <c r="I1347" s="4">
        <v>180.87</v>
      </c>
      <c r="J1347" t="s">
        <v>44</v>
      </c>
      <c r="K1347" t="s">
        <v>48</v>
      </c>
      <c r="L1347" s="4">
        <f>VLOOKUP(tblTransactions[[#This Row],[Product_ID]],tblProducts[],5,FALSE)</f>
        <v>15.81</v>
      </c>
      <c r="M1347" s="4">
        <f>tblTransactions[[#This Row],[Total_Amount]]-(tblTransactions[[#This Row],[Cost_Prices]]*tblTransactions[[#This Row],[Quantity]]*(1-tblTransactions[[#This Row],[Discount]]))</f>
        <v>108.14400000000001</v>
      </c>
      <c r="N1347" s="3">
        <f>tblTransactions[[#This Row],[Profit]]/tblTransactions[[#This Row],[Total_Amount]]</f>
        <v>0.59791010117764143</v>
      </c>
      <c r="O1347" t="str">
        <f>TEXT(tblTransactions[[#This Row],[Date]], "MMM-YYYY")</f>
        <v>Oct-2023</v>
      </c>
      <c r="P1347" t="str">
        <f>"Q"&amp;ROUNDUP(MONTH(tblTransactions[[#This Row],[Date]])/3,0)&amp;"-"&amp;YEAR(tblTransactions[[#This Row],[Date]])</f>
        <v>Q4-2023</v>
      </c>
      <c r="Q1347">
        <f>YEAR(tblTransactions[[#This Row],[Date]])</f>
        <v>2023</v>
      </c>
      <c r="R1347" t="str">
        <f>TEXT(tblTransactions[[#This Row],[Date]],"DDDD")</f>
        <v>Saturday</v>
      </c>
      <c r="S1347">
        <f>MONTH(tblTransactions[[#This Row],[Date]])</f>
        <v>10</v>
      </c>
      <c r="T1347" t="str">
        <f>VLOOKUP(E1347, Products!$A:$B,2,0)</f>
        <v>Paper Off-3</v>
      </c>
      <c r="U1347" t="str">
        <f>VLOOKUP(E1347,Products!$A:$C,3,0)</f>
        <v>Office Supplies</v>
      </c>
      <c r="V1347" t="str">
        <f>VLOOKUP(E1347,Products!$A:$D,4,0)</f>
        <v>Paper</v>
      </c>
      <c r="W1347" t="str">
        <f>VLOOKUP(D1347,Customers!$A:$C,3,0)</f>
        <v>Small Business</v>
      </c>
      <c r="X1347" t="str">
        <f>VLOOKUP(C1347,Sales_Representatives!$A:$B,2,0)</f>
        <v>Michael Davis</v>
      </c>
    </row>
    <row r="1348" spans="1:24" x14ac:dyDescent="0.3">
      <c r="A1348" t="s">
        <v>1964</v>
      </c>
      <c r="B1348" t="s">
        <v>1954</v>
      </c>
      <c r="C1348" t="s">
        <v>27</v>
      </c>
      <c r="D1348" t="s">
        <v>1965</v>
      </c>
      <c r="E1348" t="s">
        <v>72</v>
      </c>
      <c r="F1348">
        <v>9</v>
      </c>
      <c r="G1348">
        <v>404.76</v>
      </c>
      <c r="H1348">
        <v>0.09</v>
      </c>
      <c r="I1348" s="4">
        <v>3314.98</v>
      </c>
      <c r="J1348" t="s">
        <v>16</v>
      </c>
      <c r="K1348" t="s">
        <v>35</v>
      </c>
      <c r="L1348" s="4">
        <f>VLOOKUP(tblTransactions[[#This Row],[Product_ID]],tblProducts[],5,FALSE)</f>
        <v>226.76</v>
      </c>
      <c r="M1348" s="4">
        <f>tblTransactions[[#This Row],[Total_Amount]]-(tblTransactions[[#This Row],[Cost_Prices]]*tblTransactions[[#This Row],[Quantity]]*(1-tblTransactions[[#This Row],[Discount]]))</f>
        <v>1457.8156000000001</v>
      </c>
      <c r="N1348" s="3">
        <f>tblTransactions[[#This Row],[Profit]]/tblTransactions[[#This Row],[Total_Amount]]</f>
        <v>0.43976603177093077</v>
      </c>
      <c r="O1348" t="str">
        <f>TEXT(tblTransactions[[#This Row],[Date]], "MMM-YYYY")</f>
        <v>Oct-2023</v>
      </c>
      <c r="P1348" t="str">
        <f>"Q"&amp;ROUNDUP(MONTH(tblTransactions[[#This Row],[Date]])/3,0)&amp;"-"&amp;YEAR(tblTransactions[[#This Row],[Date]])</f>
        <v>Q4-2023</v>
      </c>
      <c r="Q1348">
        <f>YEAR(tblTransactions[[#This Row],[Date]])</f>
        <v>2023</v>
      </c>
      <c r="R1348" t="str">
        <f>TEXT(tblTransactions[[#This Row],[Date]],"DDDD")</f>
        <v>Saturday</v>
      </c>
      <c r="S1348">
        <f>MONTH(tblTransactions[[#This Row],[Date]])</f>
        <v>10</v>
      </c>
      <c r="T1348" t="str">
        <f>VLOOKUP(E1348, Products!$A:$B,2,0)</f>
        <v>Tablets Ele-2</v>
      </c>
      <c r="U1348" t="str">
        <f>VLOOKUP(E1348,Products!$A:$C,3,0)</f>
        <v>Electronics</v>
      </c>
      <c r="V1348" t="str">
        <f>VLOOKUP(E1348,Products!$A:$D,4,0)</f>
        <v>Tablets</v>
      </c>
      <c r="W1348" t="str">
        <f>VLOOKUP(D1348,Customers!$A:$C,3,0)</f>
        <v>B2B</v>
      </c>
      <c r="X1348" t="str">
        <f>VLOOKUP(C1348,Sales_Representatives!$A:$B,2,0)</f>
        <v>Thomas Lopez</v>
      </c>
    </row>
    <row r="1349" spans="1:24" x14ac:dyDescent="0.3">
      <c r="A1349" t="s">
        <v>1966</v>
      </c>
      <c r="B1349" t="s">
        <v>1954</v>
      </c>
      <c r="C1349" t="s">
        <v>107</v>
      </c>
      <c r="D1349" t="s">
        <v>1668</v>
      </c>
      <c r="E1349" t="s">
        <v>102</v>
      </c>
      <c r="F1349">
        <v>4</v>
      </c>
      <c r="G1349">
        <v>1097.75</v>
      </c>
      <c r="H1349">
        <v>0.09</v>
      </c>
      <c r="I1349" s="4">
        <v>3995.81</v>
      </c>
      <c r="J1349" t="s">
        <v>109</v>
      </c>
      <c r="K1349" t="s">
        <v>17</v>
      </c>
      <c r="L1349" s="4">
        <f>VLOOKUP(tblTransactions[[#This Row],[Product_ID]],tblProducts[],5,FALSE)</f>
        <v>680.12</v>
      </c>
      <c r="M1349" s="4">
        <f>tblTransactions[[#This Row],[Total_Amount]]-(tblTransactions[[#This Row],[Cost_Prices]]*tblTransactions[[#This Row],[Quantity]]*(1-tblTransactions[[#This Row],[Discount]]))</f>
        <v>1520.1731999999997</v>
      </c>
      <c r="N1349" s="3">
        <f>tblTransactions[[#This Row],[Profit]]/tblTransactions[[#This Row],[Total_Amount]]</f>
        <v>0.38044181279890676</v>
      </c>
      <c r="O1349" t="str">
        <f>TEXT(tblTransactions[[#This Row],[Date]], "MMM-YYYY")</f>
        <v>Oct-2023</v>
      </c>
      <c r="P1349" t="str">
        <f>"Q"&amp;ROUNDUP(MONTH(tblTransactions[[#This Row],[Date]])/3,0)&amp;"-"&amp;YEAR(tblTransactions[[#This Row],[Date]])</f>
        <v>Q4-2023</v>
      </c>
      <c r="Q1349">
        <f>YEAR(tblTransactions[[#This Row],[Date]])</f>
        <v>2023</v>
      </c>
      <c r="R1349" t="str">
        <f>TEXT(tblTransactions[[#This Row],[Date]],"DDDD")</f>
        <v>Saturday</v>
      </c>
      <c r="S1349">
        <f>MONTH(tblTransactions[[#This Row],[Date]])</f>
        <v>10</v>
      </c>
      <c r="T1349" t="str">
        <f>VLOOKUP(E1349, Products!$A:$B,2,0)</f>
        <v>Storage Fur-4</v>
      </c>
      <c r="U1349" t="str">
        <f>VLOOKUP(E1349,Products!$A:$C,3,0)</f>
        <v>Furniture</v>
      </c>
      <c r="V1349" t="str">
        <f>VLOOKUP(E1349,Products!$A:$D,4,0)</f>
        <v>Storage</v>
      </c>
      <c r="W1349" t="str">
        <f>VLOOKUP(D1349,Customers!$A:$C,3,0)</f>
        <v>B2C</v>
      </c>
      <c r="X1349" t="str">
        <f>VLOOKUP(C1349,Sales_Representatives!$A:$B,2,0)</f>
        <v>Jennifer Brown</v>
      </c>
    </row>
    <row r="1350" spans="1:24" x14ac:dyDescent="0.3">
      <c r="A1350" t="s">
        <v>1967</v>
      </c>
      <c r="B1350" t="s">
        <v>1968</v>
      </c>
      <c r="C1350" t="s">
        <v>59</v>
      </c>
      <c r="D1350" t="s">
        <v>1969</v>
      </c>
      <c r="E1350" t="s">
        <v>91</v>
      </c>
      <c r="F1350">
        <v>15</v>
      </c>
      <c r="G1350">
        <v>286.62</v>
      </c>
      <c r="H1350">
        <v>0.17</v>
      </c>
      <c r="I1350" s="4">
        <v>3568.42</v>
      </c>
      <c r="J1350" t="s">
        <v>21</v>
      </c>
      <c r="K1350" t="s">
        <v>22</v>
      </c>
      <c r="L1350" s="4">
        <f>VLOOKUP(tblTransactions[[#This Row],[Product_ID]],tblProducts[],5,FALSE)</f>
        <v>145.54</v>
      </c>
      <c r="M1350" s="4">
        <f>tblTransactions[[#This Row],[Total_Amount]]-(tblTransactions[[#This Row],[Cost_Prices]]*tblTransactions[[#This Row],[Quantity]]*(1-tblTransactions[[#This Row],[Discount]]))</f>
        <v>1756.4470000000003</v>
      </c>
      <c r="N1350" s="3">
        <f>tblTransactions[[#This Row],[Profit]]/tblTransactions[[#This Row],[Total_Amount]]</f>
        <v>0.49221980596454462</v>
      </c>
      <c r="O1350" t="str">
        <f>TEXT(tblTransactions[[#This Row],[Date]], "MMM-YYYY")</f>
        <v>Oct-2023</v>
      </c>
      <c r="P1350" t="str">
        <f>"Q"&amp;ROUNDUP(MONTH(tblTransactions[[#This Row],[Date]])/3,0)&amp;"-"&amp;YEAR(tblTransactions[[#This Row],[Date]])</f>
        <v>Q4-2023</v>
      </c>
      <c r="Q1350">
        <f>YEAR(tblTransactions[[#This Row],[Date]])</f>
        <v>2023</v>
      </c>
      <c r="R1350" t="str">
        <f>TEXT(tblTransactions[[#This Row],[Date]],"DDDD")</f>
        <v>Sunday</v>
      </c>
      <c r="S1350">
        <f>MONTH(tblTransactions[[#This Row],[Date]])</f>
        <v>10</v>
      </c>
      <c r="T1350" t="str">
        <f>VLOOKUP(E1350, Products!$A:$B,2,0)</f>
        <v>Chairs Fur-1</v>
      </c>
      <c r="U1350" t="str">
        <f>VLOOKUP(E1350,Products!$A:$C,3,0)</f>
        <v>Furniture</v>
      </c>
      <c r="V1350" t="str">
        <f>VLOOKUP(E1350,Products!$A:$D,4,0)</f>
        <v>Chairs</v>
      </c>
      <c r="W1350" t="str">
        <f>VLOOKUP(D1350,Customers!$A:$C,3,0)</f>
        <v>Enterprise</v>
      </c>
      <c r="X1350" t="str">
        <f>VLOOKUP(C1350,Sales_Representatives!$A:$B,2,0)</f>
        <v>Sarah Brown</v>
      </c>
    </row>
    <row r="1351" spans="1:24" x14ac:dyDescent="0.3">
      <c r="A1351" t="s">
        <v>1970</v>
      </c>
      <c r="B1351" t="s">
        <v>1968</v>
      </c>
      <c r="C1351" t="s">
        <v>131</v>
      </c>
      <c r="D1351" t="s">
        <v>1971</v>
      </c>
      <c r="E1351" t="s">
        <v>450</v>
      </c>
      <c r="F1351">
        <v>13</v>
      </c>
      <c r="G1351">
        <v>2083.92</v>
      </c>
      <c r="H1351">
        <v>0.15</v>
      </c>
      <c r="I1351" s="4">
        <v>23027.32</v>
      </c>
      <c r="J1351" t="s">
        <v>44</v>
      </c>
      <c r="K1351" t="s">
        <v>48</v>
      </c>
      <c r="L1351" s="4">
        <f>VLOOKUP(tblTransactions[[#This Row],[Product_ID]],tblProducts[],5,FALSE)</f>
        <v>1425.78</v>
      </c>
      <c r="M1351" s="4">
        <f>tblTransactions[[#This Row],[Total_Amount]]-(tblTransactions[[#This Row],[Cost_Prices]]*tblTransactions[[#This Row],[Quantity]]*(1-tblTransactions[[#This Row],[Discount]]))</f>
        <v>7272.4510000000009</v>
      </c>
      <c r="N1351" s="3">
        <f>tblTransactions[[#This Row],[Profit]]/tblTransactions[[#This Row],[Total_Amount]]</f>
        <v>0.31581838442337196</v>
      </c>
      <c r="O1351" t="str">
        <f>TEXT(tblTransactions[[#This Row],[Date]], "MMM-YYYY")</f>
        <v>Oct-2023</v>
      </c>
      <c r="P1351" t="str">
        <f>"Q"&amp;ROUNDUP(MONTH(tblTransactions[[#This Row],[Date]])/3,0)&amp;"-"&amp;YEAR(tblTransactions[[#This Row],[Date]])</f>
        <v>Q4-2023</v>
      </c>
      <c r="Q1351">
        <f>YEAR(tblTransactions[[#This Row],[Date]])</f>
        <v>2023</v>
      </c>
      <c r="R1351" t="str">
        <f>TEXT(tblTransactions[[#This Row],[Date]],"DDDD")</f>
        <v>Sunday</v>
      </c>
      <c r="S1351">
        <f>MONTH(tblTransactions[[#This Row],[Date]])</f>
        <v>10</v>
      </c>
      <c r="T1351" t="str">
        <f>VLOOKUP(E1351, Products!$A:$B,2,0)</f>
        <v>Monitors Tec-4</v>
      </c>
      <c r="U1351" t="str">
        <f>VLOOKUP(E1351,Products!$A:$C,3,0)</f>
        <v>Technology</v>
      </c>
      <c r="V1351" t="str">
        <f>VLOOKUP(E1351,Products!$A:$D,4,0)</f>
        <v>Monitors</v>
      </c>
      <c r="W1351" t="str">
        <f>VLOOKUP(D1351,Customers!$A:$C,3,0)</f>
        <v>B2B</v>
      </c>
      <c r="X1351" t="str">
        <f>VLOOKUP(C1351,Sales_Representatives!$A:$B,2,0)</f>
        <v>Michael Davis</v>
      </c>
    </row>
    <row r="1352" spans="1:24" x14ac:dyDescent="0.3">
      <c r="A1352" t="s">
        <v>1972</v>
      </c>
      <c r="B1352" t="s">
        <v>1968</v>
      </c>
      <c r="C1352" t="s">
        <v>127</v>
      </c>
      <c r="D1352" t="s">
        <v>1973</v>
      </c>
      <c r="E1352" t="s">
        <v>137</v>
      </c>
      <c r="F1352">
        <v>12</v>
      </c>
      <c r="G1352">
        <v>241.39</v>
      </c>
      <c r="H1352">
        <v>0.11</v>
      </c>
      <c r="I1352" s="4">
        <v>2578.0500000000002</v>
      </c>
      <c r="J1352" t="s">
        <v>109</v>
      </c>
      <c r="K1352" t="s">
        <v>39</v>
      </c>
      <c r="L1352" s="4">
        <f>VLOOKUP(tblTransactions[[#This Row],[Product_ID]],tblProducts[],5,FALSE)</f>
        <v>124.07</v>
      </c>
      <c r="M1352" s="4">
        <f>tblTransactions[[#This Row],[Total_Amount]]-(tblTransactions[[#This Row],[Cost_Prices]]*tblTransactions[[#This Row],[Quantity]]*(1-tblTransactions[[#This Row],[Discount]]))</f>
        <v>1252.9824000000003</v>
      </c>
      <c r="N1352" s="3">
        <f>tblTransactions[[#This Row],[Profit]]/tblTransactions[[#This Row],[Total_Amount]]</f>
        <v>0.48601943329260494</v>
      </c>
      <c r="O1352" t="str">
        <f>TEXT(tblTransactions[[#This Row],[Date]], "MMM-YYYY")</f>
        <v>Oct-2023</v>
      </c>
      <c r="P1352" t="str">
        <f>"Q"&amp;ROUNDUP(MONTH(tblTransactions[[#This Row],[Date]])/3,0)&amp;"-"&amp;YEAR(tblTransactions[[#This Row],[Date]])</f>
        <v>Q4-2023</v>
      </c>
      <c r="Q1352">
        <f>YEAR(tblTransactions[[#This Row],[Date]])</f>
        <v>2023</v>
      </c>
      <c r="R1352" t="str">
        <f>TEXT(tblTransactions[[#This Row],[Date]],"DDDD")</f>
        <v>Sunday</v>
      </c>
      <c r="S1352">
        <f>MONTH(tblTransactions[[#This Row],[Date]])</f>
        <v>10</v>
      </c>
      <c r="T1352" t="str">
        <f>VLOOKUP(E1352, Products!$A:$B,2,0)</f>
        <v>Desks Fur-2</v>
      </c>
      <c r="U1352" t="str">
        <f>VLOOKUP(E1352,Products!$A:$C,3,0)</f>
        <v>Furniture</v>
      </c>
      <c r="V1352" t="str">
        <f>VLOOKUP(E1352,Products!$A:$D,4,0)</f>
        <v>Desks</v>
      </c>
      <c r="W1352" t="str">
        <f>VLOOKUP(D1352,Customers!$A:$C,3,0)</f>
        <v>B2B</v>
      </c>
      <c r="X1352" t="str">
        <f>VLOOKUP(C1352,Sales_Representatives!$A:$B,2,0)</f>
        <v>Emily Hernandez</v>
      </c>
    </row>
    <row r="1353" spans="1:24" x14ac:dyDescent="0.3">
      <c r="A1353" t="s">
        <v>1974</v>
      </c>
      <c r="B1353" t="s">
        <v>1968</v>
      </c>
      <c r="C1353" t="s">
        <v>131</v>
      </c>
      <c r="D1353" t="s">
        <v>112</v>
      </c>
      <c r="E1353" t="s">
        <v>299</v>
      </c>
      <c r="F1353">
        <v>36</v>
      </c>
      <c r="G1353">
        <v>963.44</v>
      </c>
      <c r="H1353">
        <v>0.22</v>
      </c>
      <c r="I1353" s="4">
        <v>27053.4</v>
      </c>
      <c r="J1353" t="s">
        <v>44</v>
      </c>
      <c r="K1353" t="s">
        <v>39</v>
      </c>
      <c r="L1353" s="4">
        <f>VLOOKUP(tblTransactions[[#This Row],[Product_ID]],tblProducts[],5,FALSE)</f>
        <v>578.96</v>
      </c>
      <c r="M1353" s="4">
        <f>tblTransactions[[#This Row],[Total_Amount]]-(tblTransactions[[#This Row],[Cost_Prices]]*tblTransactions[[#This Row],[Quantity]]*(1-tblTransactions[[#This Row],[Discount]]))</f>
        <v>10796.2032</v>
      </c>
      <c r="N1353" s="3">
        <f>tblTransactions[[#This Row],[Profit]]/tblTransactions[[#This Row],[Total_Amount]]</f>
        <v>0.39907010579076935</v>
      </c>
      <c r="O1353" t="str">
        <f>TEXT(tblTransactions[[#This Row],[Date]], "MMM-YYYY")</f>
        <v>Oct-2023</v>
      </c>
      <c r="P1353" t="str">
        <f>"Q"&amp;ROUNDUP(MONTH(tblTransactions[[#This Row],[Date]])/3,0)&amp;"-"&amp;YEAR(tblTransactions[[#This Row],[Date]])</f>
        <v>Q4-2023</v>
      </c>
      <c r="Q1353">
        <f>YEAR(tblTransactions[[#This Row],[Date]])</f>
        <v>2023</v>
      </c>
      <c r="R1353" t="str">
        <f>TEXT(tblTransactions[[#This Row],[Date]],"DDDD")</f>
        <v>Sunday</v>
      </c>
      <c r="S1353">
        <f>MONTH(tblTransactions[[#This Row],[Date]])</f>
        <v>10</v>
      </c>
      <c r="T1353" t="str">
        <f>VLOOKUP(E1353, Products!$A:$B,2,0)</f>
        <v>Chairs Fur-4</v>
      </c>
      <c r="U1353" t="str">
        <f>VLOOKUP(E1353,Products!$A:$C,3,0)</f>
        <v>Furniture</v>
      </c>
      <c r="V1353" t="str">
        <f>VLOOKUP(E1353,Products!$A:$D,4,0)</f>
        <v>Chairs</v>
      </c>
      <c r="W1353" t="str">
        <f>VLOOKUP(D1353,Customers!$A:$C,3,0)</f>
        <v>Enterprise</v>
      </c>
      <c r="X1353" t="str">
        <f>VLOOKUP(C1353,Sales_Representatives!$A:$B,2,0)</f>
        <v>Michael Davis</v>
      </c>
    </row>
    <row r="1354" spans="1:24" x14ac:dyDescent="0.3">
      <c r="A1354" t="s">
        <v>1975</v>
      </c>
      <c r="B1354" t="s">
        <v>1968</v>
      </c>
      <c r="C1354" t="s">
        <v>70</v>
      </c>
      <c r="D1354" t="s">
        <v>1658</v>
      </c>
      <c r="E1354" t="s">
        <v>102</v>
      </c>
      <c r="F1354">
        <v>20</v>
      </c>
      <c r="G1354">
        <v>1097.75</v>
      </c>
      <c r="H1354">
        <v>0.15</v>
      </c>
      <c r="I1354" s="4">
        <v>18661.75</v>
      </c>
      <c r="J1354" t="s">
        <v>16</v>
      </c>
      <c r="K1354" t="s">
        <v>22</v>
      </c>
      <c r="L1354" s="4">
        <f>VLOOKUP(tblTransactions[[#This Row],[Product_ID]],tblProducts[],5,FALSE)</f>
        <v>680.12</v>
      </c>
      <c r="M1354" s="4">
        <f>tblTransactions[[#This Row],[Total_Amount]]-(tblTransactions[[#This Row],[Cost_Prices]]*tblTransactions[[#This Row],[Quantity]]*(1-tblTransactions[[#This Row],[Discount]]))</f>
        <v>7099.7100000000009</v>
      </c>
      <c r="N1354" s="3">
        <f>tblTransactions[[#This Row],[Profit]]/tblTransactions[[#This Row],[Total_Amount]]</f>
        <v>0.38044181279890693</v>
      </c>
      <c r="O1354" t="str">
        <f>TEXT(tblTransactions[[#This Row],[Date]], "MMM-YYYY")</f>
        <v>Oct-2023</v>
      </c>
      <c r="P1354" t="str">
        <f>"Q"&amp;ROUNDUP(MONTH(tblTransactions[[#This Row],[Date]])/3,0)&amp;"-"&amp;YEAR(tblTransactions[[#This Row],[Date]])</f>
        <v>Q4-2023</v>
      </c>
      <c r="Q1354">
        <f>YEAR(tblTransactions[[#This Row],[Date]])</f>
        <v>2023</v>
      </c>
      <c r="R1354" t="str">
        <f>TEXT(tblTransactions[[#This Row],[Date]],"DDDD")</f>
        <v>Sunday</v>
      </c>
      <c r="S1354">
        <f>MONTH(tblTransactions[[#This Row],[Date]])</f>
        <v>10</v>
      </c>
      <c r="T1354" t="str">
        <f>VLOOKUP(E1354, Products!$A:$B,2,0)</f>
        <v>Storage Fur-4</v>
      </c>
      <c r="U1354" t="str">
        <f>VLOOKUP(E1354,Products!$A:$C,3,0)</f>
        <v>Furniture</v>
      </c>
      <c r="V1354" t="str">
        <f>VLOOKUP(E1354,Products!$A:$D,4,0)</f>
        <v>Storage</v>
      </c>
      <c r="W1354" t="str">
        <f>VLOOKUP(D1354,Customers!$A:$C,3,0)</f>
        <v>Enterprise</v>
      </c>
      <c r="X1354" t="str">
        <f>VLOOKUP(C1354,Sales_Representatives!$A:$B,2,0)</f>
        <v>Linda Smith</v>
      </c>
    </row>
    <row r="1355" spans="1:24" x14ac:dyDescent="0.3">
      <c r="A1355" t="s">
        <v>1976</v>
      </c>
      <c r="B1355" t="s">
        <v>1968</v>
      </c>
      <c r="C1355" t="s">
        <v>19</v>
      </c>
      <c r="D1355" t="s">
        <v>83</v>
      </c>
      <c r="E1355" t="s">
        <v>176</v>
      </c>
      <c r="F1355">
        <v>6</v>
      </c>
      <c r="G1355">
        <v>1462.68</v>
      </c>
      <c r="H1355">
        <v>0.09</v>
      </c>
      <c r="I1355" s="4">
        <v>7986.23</v>
      </c>
      <c r="J1355" t="s">
        <v>21</v>
      </c>
      <c r="K1355" t="s">
        <v>39</v>
      </c>
      <c r="L1355" s="4">
        <f>VLOOKUP(tblTransactions[[#This Row],[Product_ID]],tblProducts[],5,FALSE)</f>
        <v>775.94</v>
      </c>
      <c r="M1355" s="4">
        <f>tblTransactions[[#This Row],[Total_Amount]]-(tblTransactions[[#This Row],[Cost_Prices]]*tblTransactions[[#This Row],[Quantity]]*(1-tblTransactions[[#This Row],[Discount]]))</f>
        <v>3749.5975999999991</v>
      </c>
      <c r="N1355" s="3">
        <f>tblTransactions[[#This Row],[Profit]]/tblTransactions[[#This Row],[Total_Amount]]</f>
        <v>0.46950784037023718</v>
      </c>
      <c r="O1355" t="str">
        <f>TEXT(tblTransactions[[#This Row],[Date]], "MMM-YYYY")</f>
        <v>Oct-2023</v>
      </c>
      <c r="P1355" t="str">
        <f>"Q"&amp;ROUNDUP(MONTH(tblTransactions[[#This Row],[Date]])/3,0)&amp;"-"&amp;YEAR(tblTransactions[[#This Row],[Date]])</f>
        <v>Q4-2023</v>
      </c>
      <c r="Q1355">
        <f>YEAR(tblTransactions[[#This Row],[Date]])</f>
        <v>2023</v>
      </c>
      <c r="R1355" t="str">
        <f>TEXT(tblTransactions[[#This Row],[Date]],"DDDD")</f>
        <v>Sunday</v>
      </c>
      <c r="S1355">
        <f>MONTH(tblTransactions[[#This Row],[Date]])</f>
        <v>10</v>
      </c>
      <c r="T1355" t="str">
        <f>VLOOKUP(E1355, Products!$A:$B,2,0)</f>
        <v>Chairs Fur-2</v>
      </c>
      <c r="U1355" t="str">
        <f>VLOOKUP(E1355,Products!$A:$C,3,0)</f>
        <v>Furniture</v>
      </c>
      <c r="V1355" t="str">
        <f>VLOOKUP(E1355,Products!$A:$D,4,0)</f>
        <v>Chairs</v>
      </c>
      <c r="W1355" t="str">
        <f>VLOOKUP(D1355,Customers!$A:$C,3,0)</f>
        <v>Small Business</v>
      </c>
      <c r="X1355" t="str">
        <f>VLOOKUP(C1355,Sales_Representatives!$A:$B,2,0)</f>
        <v>Robert Jones</v>
      </c>
    </row>
    <row r="1356" spans="1:24" x14ac:dyDescent="0.3">
      <c r="A1356" t="s">
        <v>1977</v>
      </c>
      <c r="B1356" t="s">
        <v>1968</v>
      </c>
      <c r="C1356" t="s">
        <v>75</v>
      </c>
      <c r="D1356" t="s">
        <v>1978</v>
      </c>
      <c r="E1356" t="s">
        <v>43</v>
      </c>
      <c r="F1356">
        <v>1</v>
      </c>
      <c r="G1356">
        <v>39.32</v>
      </c>
      <c r="H1356">
        <v>0.06</v>
      </c>
      <c r="I1356" s="4">
        <v>36.96</v>
      </c>
      <c r="J1356" t="s">
        <v>44</v>
      </c>
      <c r="K1356" t="s">
        <v>17</v>
      </c>
      <c r="L1356" s="4">
        <f>VLOOKUP(tblTransactions[[#This Row],[Product_ID]],tblProducts[],5,FALSE)</f>
        <v>15.81</v>
      </c>
      <c r="M1356" s="4">
        <f>tblTransactions[[#This Row],[Total_Amount]]-(tblTransactions[[#This Row],[Cost_Prices]]*tblTransactions[[#This Row],[Quantity]]*(1-tblTransactions[[#This Row],[Discount]]))</f>
        <v>22.098600000000001</v>
      </c>
      <c r="N1356" s="3">
        <f>tblTransactions[[#This Row],[Profit]]/tblTransactions[[#This Row],[Total_Amount]]</f>
        <v>0.59790584415584414</v>
      </c>
      <c r="O1356" t="str">
        <f>TEXT(tblTransactions[[#This Row],[Date]], "MMM-YYYY")</f>
        <v>Oct-2023</v>
      </c>
      <c r="P1356" t="str">
        <f>"Q"&amp;ROUNDUP(MONTH(tblTransactions[[#This Row],[Date]])/3,0)&amp;"-"&amp;YEAR(tblTransactions[[#This Row],[Date]])</f>
        <v>Q4-2023</v>
      </c>
      <c r="Q1356">
        <f>YEAR(tblTransactions[[#This Row],[Date]])</f>
        <v>2023</v>
      </c>
      <c r="R1356" t="str">
        <f>TEXT(tblTransactions[[#This Row],[Date]],"DDDD")</f>
        <v>Sunday</v>
      </c>
      <c r="S1356">
        <f>MONTH(tblTransactions[[#This Row],[Date]])</f>
        <v>10</v>
      </c>
      <c r="T1356" t="str">
        <f>VLOOKUP(E1356, Products!$A:$B,2,0)</f>
        <v>Paper Off-3</v>
      </c>
      <c r="U1356" t="str">
        <f>VLOOKUP(E1356,Products!$A:$C,3,0)</f>
        <v>Office Supplies</v>
      </c>
      <c r="V1356" t="str">
        <f>VLOOKUP(E1356,Products!$A:$D,4,0)</f>
        <v>Paper</v>
      </c>
      <c r="W1356" t="str">
        <f>VLOOKUP(D1356,Customers!$A:$C,3,0)</f>
        <v>B2C</v>
      </c>
      <c r="X1356" t="str">
        <f>VLOOKUP(C1356,Sales_Representatives!$A:$B,2,0)</f>
        <v>Jessica Anderson</v>
      </c>
    </row>
    <row r="1357" spans="1:24" x14ac:dyDescent="0.3">
      <c r="A1357" t="s">
        <v>1979</v>
      </c>
      <c r="B1357" t="s">
        <v>1968</v>
      </c>
      <c r="C1357" t="s">
        <v>131</v>
      </c>
      <c r="D1357" t="s">
        <v>210</v>
      </c>
      <c r="E1357" t="s">
        <v>191</v>
      </c>
      <c r="F1357">
        <v>2</v>
      </c>
      <c r="G1357">
        <v>1012.75</v>
      </c>
      <c r="H1357">
        <v>0.1</v>
      </c>
      <c r="I1357" s="4">
        <v>1822.95</v>
      </c>
      <c r="J1357" t="s">
        <v>44</v>
      </c>
      <c r="K1357" t="s">
        <v>17</v>
      </c>
      <c r="L1357" s="4">
        <f>VLOOKUP(tblTransactions[[#This Row],[Product_ID]],tblProducts[],5,FALSE)</f>
        <v>518.53</v>
      </c>
      <c r="M1357" s="4">
        <f>tblTransactions[[#This Row],[Total_Amount]]-(tblTransactions[[#This Row],[Cost_Prices]]*tblTransactions[[#This Row],[Quantity]]*(1-tblTransactions[[#This Row],[Discount]]))</f>
        <v>889.59600000000012</v>
      </c>
      <c r="N1357" s="3">
        <f>tblTransactions[[#This Row],[Profit]]/tblTransactions[[#This Row],[Total_Amount]]</f>
        <v>0.48799802517896823</v>
      </c>
      <c r="O1357" t="str">
        <f>TEXT(tblTransactions[[#This Row],[Date]], "MMM-YYYY")</f>
        <v>Oct-2023</v>
      </c>
      <c r="P1357" t="str">
        <f>"Q"&amp;ROUNDUP(MONTH(tblTransactions[[#This Row],[Date]])/3,0)&amp;"-"&amp;YEAR(tblTransactions[[#This Row],[Date]])</f>
        <v>Q4-2023</v>
      </c>
      <c r="Q1357">
        <f>YEAR(tblTransactions[[#This Row],[Date]])</f>
        <v>2023</v>
      </c>
      <c r="R1357" t="str">
        <f>TEXT(tblTransactions[[#This Row],[Date]],"DDDD")</f>
        <v>Sunday</v>
      </c>
      <c r="S1357">
        <f>MONTH(tblTransactions[[#This Row],[Date]])</f>
        <v>10</v>
      </c>
      <c r="T1357" t="str">
        <f>VLOOKUP(E1357, Products!$A:$B,2,0)</f>
        <v>Tables Fur-4</v>
      </c>
      <c r="U1357" t="str">
        <f>VLOOKUP(E1357,Products!$A:$C,3,0)</f>
        <v>Furniture</v>
      </c>
      <c r="V1357" t="str">
        <f>VLOOKUP(E1357,Products!$A:$D,4,0)</f>
        <v>Tables</v>
      </c>
      <c r="W1357" t="str">
        <f>VLOOKUP(D1357,Customers!$A:$C,3,0)</f>
        <v>B2B</v>
      </c>
      <c r="X1357" t="str">
        <f>VLOOKUP(C1357,Sales_Representatives!$A:$B,2,0)</f>
        <v>Michael Davis</v>
      </c>
    </row>
    <row r="1358" spans="1:24" x14ac:dyDescent="0.3">
      <c r="A1358" t="s">
        <v>1980</v>
      </c>
      <c r="B1358" t="s">
        <v>1968</v>
      </c>
      <c r="C1358" t="s">
        <v>131</v>
      </c>
      <c r="D1358" t="s">
        <v>1532</v>
      </c>
      <c r="E1358" t="s">
        <v>347</v>
      </c>
      <c r="F1358">
        <v>34</v>
      </c>
      <c r="G1358">
        <v>1539.6</v>
      </c>
      <c r="H1358">
        <v>0.2</v>
      </c>
      <c r="I1358" s="4">
        <v>41877.120000000003</v>
      </c>
      <c r="J1358" t="s">
        <v>44</v>
      </c>
      <c r="K1358" t="s">
        <v>17</v>
      </c>
      <c r="L1358" s="4">
        <f>VLOOKUP(tblTransactions[[#This Row],[Product_ID]],tblProducts[],5,FALSE)</f>
        <v>992.43</v>
      </c>
      <c r="M1358" s="4">
        <f>tblTransactions[[#This Row],[Total_Amount]]-(tblTransactions[[#This Row],[Cost_Prices]]*tblTransactions[[#This Row],[Quantity]]*(1-tblTransactions[[#This Row],[Discount]]))</f>
        <v>14883.024000000005</v>
      </c>
      <c r="N1358" s="3">
        <f>tblTransactions[[#This Row],[Profit]]/tblTransactions[[#This Row],[Total_Amount]]</f>
        <v>0.35539750584567431</v>
      </c>
      <c r="O1358" t="str">
        <f>TEXT(tblTransactions[[#This Row],[Date]], "MMM-YYYY")</f>
        <v>Oct-2023</v>
      </c>
      <c r="P1358" t="str">
        <f>"Q"&amp;ROUNDUP(MONTH(tblTransactions[[#This Row],[Date]])/3,0)&amp;"-"&amp;YEAR(tblTransactions[[#This Row],[Date]])</f>
        <v>Q4-2023</v>
      </c>
      <c r="Q1358">
        <f>YEAR(tblTransactions[[#This Row],[Date]])</f>
        <v>2023</v>
      </c>
      <c r="R1358" t="str">
        <f>TEXT(tblTransactions[[#This Row],[Date]],"DDDD")</f>
        <v>Sunday</v>
      </c>
      <c r="S1358">
        <f>MONTH(tblTransactions[[#This Row],[Date]])</f>
        <v>10</v>
      </c>
      <c r="T1358" t="str">
        <f>VLOOKUP(E1358, Products!$A:$B,2,0)</f>
        <v>Routers Tec-2</v>
      </c>
      <c r="U1358" t="str">
        <f>VLOOKUP(E1358,Products!$A:$C,3,0)</f>
        <v>Technology</v>
      </c>
      <c r="V1358" t="str">
        <f>VLOOKUP(E1358,Products!$A:$D,4,0)</f>
        <v>Routers</v>
      </c>
      <c r="W1358" t="str">
        <f>VLOOKUP(D1358,Customers!$A:$C,3,0)</f>
        <v>Enterprise</v>
      </c>
      <c r="X1358" t="str">
        <f>VLOOKUP(C1358,Sales_Representatives!$A:$B,2,0)</f>
        <v>Michael Davis</v>
      </c>
    </row>
    <row r="1359" spans="1:24" x14ac:dyDescent="0.3">
      <c r="A1359" t="s">
        <v>1981</v>
      </c>
      <c r="B1359" t="s">
        <v>1982</v>
      </c>
      <c r="C1359" t="s">
        <v>82</v>
      </c>
      <c r="D1359" t="s">
        <v>1687</v>
      </c>
      <c r="E1359" t="s">
        <v>116</v>
      </c>
      <c r="F1359">
        <v>7</v>
      </c>
      <c r="G1359">
        <v>232.86</v>
      </c>
      <c r="H1359">
        <v>0.13</v>
      </c>
      <c r="I1359" s="4">
        <v>1418.12</v>
      </c>
      <c r="J1359" t="s">
        <v>34</v>
      </c>
      <c r="K1359" t="s">
        <v>39</v>
      </c>
      <c r="L1359" s="4">
        <f>VLOOKUP(tblTransactions[[#This Row],[Product_ID]],tblProducts[],5,FALSE)</f>
        <v>116.79</v>
      </c>
      <c r="M1359" s="4">
        <f>tblTransactions[[#This Row],[Total_Amount]]-(tblTransactions[[#This Row],[Cost_Prices]]*tblTransactions[[#This Row],[Quantity]]*(1-tblTransactions[[#This Row],[Discount]]))</f>
        <v>706.86889999999983</v>
      </c>
      <c r="N1359" s="3">
        <f>tblTransactions[[#This Row],[Profit]]/tblTransactions[[#This Row],[Total_Amount]]</f>
        <v>0.49845492624037452</v>
      </c>
      <c r="O1359" t="str">
        <f>TEXT(tblTransactions[[#This Row],[Date]], "MMM-YYYY")</f>
        <v>Oct-2023</v>
      </c>
      <c r="P1359" t="str">
        <f>"Q"&amp;ROUNDUP(MONTH(tblTransactions[[#This Row],[Date]])/3,0)&amp;"-"&amp;YEAR(tblTransactions[[#This Row],[Date]])</f>
        <v>Q4-2023</v>
      </c>
      <c r="Q1359">
        <f>YEAR(tblTransactions[[#This Row],[Date]])</f>
        <v>2023</v>
      </c>
      <c r="R1359" t="str">
        <f>TEXT(tblTransactions[[#This Row],[Date]],"DDDD")</f>
        <v>Monday</v>
      </c>
      <c r="S1359">
        <f>MONTH(tblTransactions[[#This Row],[Date]])</f>
        <v>10</v>
      </c>
      <c r="T1359" t="str">
        <f>VLOOKUP(E1359, Products!$A:$B,2,0)</f>
        <v>Folders Off-4</v>
      </c>
      <c r="U1359" t="str">
        <f>VLOOKUP(E1359,Products!$A:$C,3,0)</f>
        <v>Office Supplies</v>
      </c>
      <c r="V1359" t="str">
        <f>VLOOKUP(E1359,Products!$A:$D,4,0)</f>
        <v>Folders</v>
      </c>
      <c r="W1359" t="str">
        <f>VLOOKUP(D1359,Customers!$A:$C,3,0)</f>
        <v>B2C</v>
      </c>
      <c r="X1359" t="str">
        <f>VLOOKUP(C1359,Sales_Representatives!$A:$B,2,0)</f>
        <v>John Brown</v>
      </c>
    </row>
    <row r="1360" spans="1:24" x14ac:dyDescent="0.3">
      <c r="A1360" t="s">
        <v>1983</v>
      </c>
      <c r="B1360" t="s">
        <v>1982</v>
      </c>
      <c r="C1360" t="s">
        <v>59</v>
      </c>
      <c r="D1360" t="s">
        <v>1984</v>
      </c>
      <c r="E1360" t="s">
        <v>102</v>
      </c>
      <c r="F1360">
        <v>1</v>
      </c>
      <c r="G1360">
        <v>1097.75</v>
      </c>
      <c r="H1360">
        <v>0.09</v>
      </c>
      <c r="I1360" s="4">
        <v>998.95</v>
      </c>
      <c r="J1360" t="s">
        <v>21</v>
      </c>
      <c r="K1360" t="s">
        <v>22</v>
      </c>
      <c r="L1360" s="4">
        <f>VLOOKUP(tblTransactions[[#This Row],[Product_ID]],tblProducts[],5,FALSE)</f>
        <v>680.12</v>
      </c>
      <c r="M1360" s="4">
        <f>tblTransactions[[#This Row],[Total_Amount]]-(tblTransactions[[#This Row],[Cost_Prices]]*tblTransactions[[#This Row],[Quantity]]*(1-tblTransactions[[#This Row],[Discount]]))</f>
        <v>380.04079999999999</v>
      </c>
      <c r="N1360" s="3">
        <f>tblTransactions[[#This Row],[Profit]]/tblTransactions[[#This Row],[Total_Amount]]</f>
        <v>0.38044026227538913</v>
      </c>
      <c r="O1360" t="str">
        <f>TEXT(tblTransactions[[#This Row],[Date]], "MMM-YYYY")</f>
        <v>Oct-2023</v>
      </c>
      <c r="P1360" t="str">
        <f>"Q"&amp;ROUNDUP(MONTH(tblTransactions[[#This Row],[Date]])/3,0)&amp;"-"&amp;YEAR(tblTransactions[[#This Row],[Date]])</f>
        <v>Q4-2023</v>
      </c>
      <c r="Q1360">
        <f>YEAR(tblTransactions[[#This Row],[Date]])</f>
        <v>2023</v>
      </c>
      <c r="R1360" t="str">
        <f>TEXT(tblTransactions[[#This Row],[Date]],"DDDD")</f>
        <v>Monday</v>
      </c>
      <c r="S1360">
        <f>MONTH(tblTransactions[[#This Row],[Date]])</f>
        <v>10</v>
      </c>
      <c r="T1360" t="str">
        <f>VLOOKUP(E1360, Products!$A:$B,2,0)</f>
        <v>Storage Fur-4</v>
      </c>
      <c r="U1360" t="str">
        <f>VLOOKUP(E1360,Products!$A:$C,3,0)</f>
        <v>Furniture</v>
      </c>
      <c r="V1360" t="str">
        <f>VLOOKUP(E1360,Products!$A:$D,4,0)</f>
        <v>Storage</v>
      </c>
      <c r="W1360" t="str">
        <f>VLOOKUP(D1360,Customers!$A:$C,3,0)</f>
        <v>B2C</v>
      </c>
      <c r="X1360" t="str">
        <f>VLOOKUP(C1360,Sales_Representatives!$A:$B,2,0)</f>
        <v>Sarah Brown</v>
      </c>
    </row>
    <row r="1361" spans="1:24" x14ac:dyDescent="0.3">
      <c r="A1361" t="s">
        <v>1985</v>
      </c>
      <c r="B1361" t="s">
        <v>1982</v>
      </c>
      <c r="C1361" t="s">
        <v>56</v>
      </c>
      <c r="D1361" t="s">
        <v>1986</v>
      </c>
      <c r="E1361" t="s">
        <v>206</v>
      </c>
      <c r="F1361">
        <v>2</v>
      </c>
      <c r="G1361">
        <v>292.51</v>
      </c>
      <c r="H1361">
        <v>0.03</v>
      </c>
      <c r="I1361" s="4">
        <v>567.47</v>
      </c>
      <c r="J1361" t="s">
        <v>34</v>
      </c>
      <c r="K1361" t="s">
        <v>17</v>
      </c>
      <c r="L1361" s="4">
        <f>VLOOKUP(tblTransactions[[#This Row],[Product_ID]],tblProducts[],5,FALSE)</f>
        <v>122.08</v>
      </c>
      <c r="M1361" s="4">
        <f>tblTransactions[[#This Row],[Total_Amount]]-(tblTransactions[[#This Row],[Cost_Prices]]*tblTransactions[[#This Row],[Quantity]]*(1-tblTransactions[[#This Row],[Discount]]))</f>
        <v>330.63480000000004</v>
      </c>
      <c r="N1361" s="3">
        <f>tblTransactions[[#This Row],[Profit]]/tblTransactions[[#This Row],[Total_Amount]]</f>
        <v>0.58264718839762464</v>
      </c>
      <c r="O1361" t="str">
        <f>TEXT(tblTransactions[[#This Row],[Date]], "MMM-YYYY")</f>
        <v>Oct-2023</v>
      </c>
      <c r="P1361" t="str">
        <f>"Q"&amp;ROUNDUP(MONTH(tblTransactions[[#This Row],[Date]])/3,0)&amp;"-"&amp;YEAR(tblTransactions[[#This Row],[Date]])</f>
        <v>Q4-2023</v>
      </c>
      <c r="Q1361">
        <f>YEAR(tblTransactions[[#This Row],[Date]])</f>
        <v>2023</v>
      </c>
      <c r="R1361" t="str">
        <f>TEXT(tblTransactions[[#This Row],[Date]],"DDDD")</f>
        <v>Monday</v>
      </c>
      <c r="S1361">
        <f>MONTH(tblTransactions[[#This Row],[Date]])</f>
        <v>10</v>
      </c>
      <c r="T1361" t="str">
        <f>VLOOKUP(E1361, Products!$A:$B,2,0)</f>
        <v>Keyboards Acc-1</v>
      </c>
      <c r="U1361" t="str">
        <f>VLOOKUP(E1361,Products!$A:$C,3,0)</f>
        <v>Accessories</v>
      </c>
      <c r="V1361" t="str">
        <f>VLOOKUP(E1361,Products!$A:$D,4,0)</f>
        <v>Keyboards</v>
      </c>
      <c r="W1361" t="str">
        <f>VLOOKUP(D1361,Customers!$A:$C,3,0)</f>
        <v>B2C</v>
      </c>
      <c r="X1361" t="str">
        <f>VLOOKUP(C1361,Sales_Representatives!$A:$B,2,0)</f>
        <v>Thomas Hernandez</v>
      </c>
    </row>
    <row r="1362" spans="1:24" x14ac:dyDescent="0.3">
      <c r="A1362" t="s">
        <v>1987</v>
      </c>
      <c r="B1362" t="s">
        <v>1982</v>
      </c>
      <c r="C1362" t="s">
        <v>131</v>
      </c>
      <c r="D1362" t="s">
        <v>1988</v>
      </c>
      <c r="E1362" t="s">
        <v>53</v>
      </c>
      <c r="F1362">
        <v>38</v>
      </c>
      <c r="G1362">
        <v>2069.2199999999998</v>
      </c>
      <c r="H1362">
        <v>0.23</v>
      </c>
      <c r="I1362" s="4">
        <v>60545.38</v>
      </c>
      <c r="J1362" t="s">
        <v>44</v>
      </c>
      <c r="K1362" t="s">
        <v>17</v>
      </c>
      <c r="L1362" s="4">
        <f>VLOOKUP(tblTransactions[[#This Row],[Product_ID]],tblProducts[],5,FALSE)</f>
        <v>1451.18</v>
      </c>
      <c r="M1362" s="4">
        <f>tblTransactions[[#This Row],[Total_Amount]]-(tblTransactions[[#This Row],[Cost_Prices]]*tblTransactions[[#This Row],[Quantity]]*(1-tblTransactions[[#This Row],[Discount]]))</f>
        <v>18083.85319999999</v>
      </c>
      <c r="N1362" s="3">
        <f>tblTransactions[[#This Row],[Profit]]/tblTransactions[[#This Row],[Total_Amount]]</f>
        <v>0.29868262780743948</v>
      </c>
      <c r="O1362" t="str">
        <f>TEXT(tblTransactions[[#This Row],[Date]], "MMM-YYYY")</f>
        <v>Oct-2023</v>
      </c>
      <c r="P1362" t="str">
        <f>"Q"&amp;ROUNDUP(MONTH(tblTransactions[[#This Row],[Date]])/3,0)&amp;"-"&amp;YEAR(tblTransactions[[#This Row],[Date]])</f>
        <v>Q4-2023</v>
      </c>
      <c r="Q1362">
        <f>YEAR(tblTransactions[[#This Row],[Date]])</f>
        <v>2023</v>
      </c>
      <c r="R1362" t="str">
        <f>TEXT(tblTransactions[[#This Row],[Date]],"DDDD")</f>
        <v>Monday</v>
      </c>
      <c r="S1362">
        <f>MONTH(tblTransactions[[#This Row],[Date]])</f>
        <v>10</v>
      </c>
      <c r="T1362" t="str">
        <f>VLOOKUP(E1362, Products!$A:$B,2,0)</f>
        <v>Printers Tec-3</v>
      </c>
      <c r="U1362" t="str">
        <f>VLOOKUP(E1362,Products!$A:$C,3,0)</f>
        <v>Technology</v>
      </c>
      <c r="V1362" t="str">
        <f>VLOOKUP(E1362,Products!$A:$D,4,0)</f>
        <v>Printers</v>
      </c>
      <c r="W1362" t="str">
        <f>VLOOKUP(D1362,Customers!$A:$C,3,0)</f>
        <v>Enterprise</v>
      </c>
      <c r="X1362" t="str">
        <f>VLOOKUP(C1362,Sales_Representatives!$A:$B,2,0)</f>
        <v>Michael Davis</v>
      </c>
    </row>
    <row r="1363" spans="1:24" x14ac:dyDescent="0.3">
      <c r="A1363" t="s">
        <v>1989</v>
      </c>
      <c r="B1363" t="s">
        <v>1982</v>
      </c>
      <c r="C1363" t="s">
        <v>13</v>
      </c>
      <c r="D1363" t="s">
        <v>1978</v>
      </c>
      <c r="E1363" t="s">
        <v>290</v>
      </c>
      <c r="F1363">
        <v>1</v>
      </c>
      <c r="G1363">
        <v>729.32</v>
      </c>
      <c r="H1363">
        <v>0.06</v>
      </c>
      <c r="I1363" s="4">
        <v>685.56</v>
      </c>
      <c r="J1363" t="s">
        <v>16</v>
      </c>
      <c r="K1363" t="s">
        <v>39</v>
      </c>
      <c r="L1363" s="4">
        <f>VLOOKUP(tblTransactions[[#This Row],[Product_ID]],tblProducts[],5,FALSE)</f>
        <v>482.7</v>
      </c>
      <c r="M1363" s="4">
        <f>tblTransactions[[#This Row],[Total_Amount]]-(tblTransactions[[#This Row],[Cost_Prices]]*tblTransactions[[#This Row],[Quantity]]*(1-tblTransactions[[#This Row],[Discount]]))</f>
        <v>231.822</v>
      </c>
      <c r="N1363" s="3">
        <f>tblTransactions[[#This Row],[Profit]]/tblTransactions[[#This Row],[Total_Amount]]</f>
        <v>0.33814983371258533</v>
      </c>
      <c r="O1363" t="str">
        <f>TEXT(tblTransactions[[#This Row],[Date]], "MMM-YYYY")</f>
        <v>Oct-2023</v>
      </c>
      <c r="P1363" t="str">
        <f>"Q"&amp;ROUNDUP(MONTH(tblTransactions[[#This Row],[Date]])/3,0)&amp;"-"&amp;YEAR(tblTransactions[[#This Row],[Date]])</f>
        <v>Q4-2023</v>
      </c>
      <c r="Q1363">
        <f>YEAR(tblTransactions[[#This Row],[Date]])</f>
        <v>2023</v>
      </c>
      <c r="R1363" t="str">
        <f>TEXT(tblTransactions[[#This Row],[Date]],"DDDD")</f>
        <v>Monday</v>
      </c>
      <c r="S1363">
        <f>MONTH(tblTransactions[[#This Row],[Date]])</f>
        <v>10</v>
      </c>
      <c r="T1363" t="str">
        <f>VLOOKUP(E1363, Products!$A:$B,2,0)</f>
        <v>Tables Fur-1</v>
      </c>
      <c r="U1363" t="str">
        <f>VLOOKUP(E1363,Products!$A:$C,3,0)</f>
        <v>Furniture</v>
      </c>
      <c r="V1363" t="str">
        <f>VLOOKUP(E1363,Products!$A:$D,4,0)</f>
        <v>Tables</v>
      </c>
      <c r="W1363" t="str">
        <f>VLOOKUP(D1363,Customers!$A:$C,3,0)</f>
        <v>B2C</v>
      </c>
      <c r="X1363" t="str">
        <f>VLOOKUP(C1363,Sales_Representatives!$A:$B,2,0)</f>
        <v>Jennifer Rodriguez</v>
      </c>
    </row>
    <row r="1364" spans="1:24" x14ac:dyDescent="0.3">
      <c r="A1364" t="s">
        <v>1990</v>
      </c>
      <c r="B1364" t="s">
        <v>1982</v>
      </c>
      <c r="C1364" t="s">
        <v>70</v>
      </c>
      <c r="D1364" t="s">
        <v>1991</v>
      </c>
      <c r="E1364" t="s">
        <v>481</v>
      </c>
      <c r="F1364">
        <v>7</v>
      </c>
      <c r="G1364">
        <v>263.58999999999997</v>
      </c>
      <c r="H1364">
        <v>0.12</v>
      </c>
      <c r="I1364" s="4">
        <v>1623.71</v>
      </c>
      <c r="J1364" t="s">
        <v>16</v>
      </c>
      <c r="K1364" t="s">
        <v>35</v>
      </c>
      <c r="L1364" s="4">
        <f>VLOOKUP(tblTransactions[[#This Row],[Product_ID]],tblProducts[],5,FALSE)</f>
        <v>133.65</v>
      </c>
      <c r="M1364" s="4">
        <f>tblTransactions[[#This Row],[Total_Amount]]-(tblTransactions[[#This Row],[Cost_Prices]]*tblTransactions[[#This Row],[Quantity]]*(1-tblTransactions[[#This Row],[Discount]]))</f>
        <v>800.42599999999993</v>
      </c>
      <c r="N1364" s="3">
        <f>tblTransactions[[#This Row],[Profit]]/tblTransactions[[#This Row],[Total_Amount]]</f>
        <v>0.49296118149176882</v>
      </c>
      <c r="O1364" t="str">
        <f>TEXT(tblTransactions[[#This Row],[Date]], "MMM-YYYY")</f>
        <v>Oct-2023</v>
      </c>
      <c r="P1364" t="str">
        <f>"Q"&amp;ROUNDUP(MONTH(tblTransactions[[#This Row],[Date]])/3,0)&amp;"-"&amp;YEAR(tblTransactions[[#This Row],[Date]])</f>
        <v>Q4-2023</v>
      </c>
      <c r="Q1364">
        <f>YEAR(tblTransactions[[#This Row],[Date]])</f>
        <v>2023</v>
      </c>
      <c r="R1364" t="str">
        <f>TEXT(tblTransactions[[#This Row],[Date]],"DDDD")</f>
        <v>Monday</v>
      </c>
      <c r="S1364">
        <f>MONTH(tblTransactions[[#This Row],[Date]])</f>
        <v>10</v>
      </c>
      <c r="T1364" t="str">
        <f>VLOOKUP(E1364, Products!$A:$B,2,0)</f>
        <v>Folders Off-1</v>
      </c>
      <c r="U1364" t="str">
        <f>VLOOKUP(E1364,Products!$A:$C,3,0)</f>
        <v>Office Supplies</v>
      </c>
      <c r="V1364" t="str">
        <f>VLOOKUP(E1364,Products!$A:$D,4,0)</f>
        <v>Folders</v>
      </c>
      <c r="W1364" t="str">
        <f>VLOOKUP(D1364,Customers!$A:$C,3,0)</f>
        <v>Small Business</v>
      </c>
      <c r="X1364" t="str">
        <f>VLOOKUP(C1364,Sales_Representatives!$A:$B,2,0)</f>
        <v>Linda Smith</v>
      </c>
    </row>
    <row r="1365" spans="1:24" x14ac:dyDescent="0.3">
      <c r="A1365" t="s">
        <v>1992</v>
      </c>
      <c r="B1365" t="s">
        <v>1982</v>
      </c>
      <c r="C1365" t="s">
        <v>141</v>
      </c>
      <c r="D1365" t="s">
        <v>1737</v>
      </c>
      <c r="E1365" t="s">
        <v>113</v>
      </c>
      <c r="F1365">
        <v>3</v>
      </c>
      <c r="G1365">
        <v>930.41</v>
      </c>
      <c r="H1365">
        <v>7.0000000000000007E-2</v>
      </c>
      <c r="I1365" s="4">
        <v>2595.84</v>
      </c>
      <c r="J1365" t="s">
        <v>109</v>
      </c>
      <c r="K1365" t="s">
        <v>39</v>
      </c>
      <c r="L1365" s="4">
        <f>VLOOKUP(tblTransactions[[#This Row],[Product_ID]],tblProducts[],5,FALSE)</f>
        <v>595.51</v>
      </c>
      <c r="M1365" s="4">
        <f>tblTransactions[[#This Row],[Total_Amount]]-(tblTransactions[[#This Row],[Cost_Prices]]*tblTransactions[[#This Row],[Quantity]]*(1-tblTransactions[[#This Row],[Discount]]))</f>
        <v>934.36710000000039</v>
      </c>
      <c r="N1365" s="3">
        <f>tblTransactions[[#This Row],[Profit]]/tblTransactions[[#This Row],[Total_Amount]]</f>
        <v>0.35994787814349127</v>
      </c>
      <c r="O1365" t="str">
        <f>TEXT(tblTransactions[[#This Row],[Date]], "MMM-YYYY")</f>
        <v>Oct-2023</v>
      </c>
      <c r="P1365" t="str">
        <f>"Q"&amp;ROUNDUP(MONTH(tblTransactions[[#This Row],[Date]])/3,0)&amp;"-"&amp;YEAR(tblTransactions[[#This Row],[Date]])</f>
        <v>Q4-2023</v>
      </c>
      <c r="Q1365">
        <f>YEAR(tblTransactions[[#This Row],[Date]])</f>
        <v>2023</v>
      </c>
      <c r="R1365" t="str">
        <f>TEXT(tblTransactions[[#This Row],[Date]],"DDDD")</f>
        <v>Monday</v>
      </c>
      <c r="S1365">
        <f>MONTH(tblTransactions[[#This Row],[Date]])</f>
        <v>10</v>
      </c>
      <c r="T1365" t="str">
        <f>VLOOKUP(E1365, Products!$A:$B,2,0)</f>
        <v>Phones Ele-1</v>
      </c>
      <c r="U1365" t="str">
        <f>VLOOKUP(E1365,Products!$A:$C,3,0)</f>
        <v>Electronics</v>
      </c>
      <c r="V1365" t="str">
        <f>VLOOKUP(E1365,Products!$A:$D,4,0)</f>
        <v>Phones</v>
      </c>
      <c r="W1365" t="str">
        <f>VLOOKUP(D1365,Customers!$A:$C,3,0)</f>
        <v>B2B</v>
      </c>
      <c r="X1365" t="str">
        <f>VLOOKUP(C1365,Sales_Representatives!$A:$B,2,0)</f>
        <v>Richard Garcia</v>
      </c>
    </row>
    <row r="1366" spans="1:24" x14ac:dyDescent="0.3">
      <c r="A1366" t="s">
        <v>1993</v>
      </c>
      <c r="B1366" t="s">
        <v>1982</v>
      </c>
      <c r="C1366" t="s">
        <v>59</v>
      </c>
      <c r="D1366" t="s">
        <v>1994</v>
      </c>
      <c r="E1366" t="s">
        <v>68</v>
      </c>
      <c r="F1366">
        <v>7</v>
      </c>
      <c r="G1366">
        <v>522.63</v>
      </c>
      <c r="H1366">
        <v>7.0000000000000007E-2</v>
      </c>
      <c r="I1366" s="4">
        <v>3402.32</v>
      </c>
      <c r="J1366" t="s">
        <v>21</v>
      </c>
      <c r="K1366" t="s">
        <v>39</v>
      </c>
      <c r="L1366" s="4">
        <f>VLOOKUP(tblTransactions[[#This Row],[Product_ID]],tblProducts[],5,FALSE)</f>
        <v>355.82</v>
      </c>
      <c r="M1366" s="4">
        <f>tblTransactions[[#This Row],[Total_Amount]]-(tblTransactions[[#This Row],[Cost_Prices]]*tblTransactions[[#This Row],[Quantity]]*(1-tblTransactions[[#This Row],[Discount]]))</f>
        <v>1085.9318000000007</v>
      </c>
      <c r="N1366" s="3">
        <f>tblTransactions[[#This Row],[Profit]]/tblTransactions[[#This Row],[Total_Amount]]</f>
        <v>0.31917391662159961</v>
      </c>
      <c r="O1366" t="str">
        <f>TEXT(tblTransactions[[#This Row],[Date]], "MMM-YYYY")</f>
        <v>Oct-2023</v>
      </c>
      <c r="P1366" t="str">
        <f>"Q"&amp;ROUNDUP(MONTH(tblTransactions[[#This Row],[Date]])/3,0)&amp;"-"&amp;YEAR(tblTransactions[[#This Row],[Date]])</f>
        <v>Q4-2023</v>
      </c>
      <c r="Q1366">
        <f>YEAR(tblTransactions[[#This Row],[Date]])</f>
        <v>2023</v>
      </c>
      <c r="R1366" t="str">
        <f>TEXT(tblTransactions[[#This Row],[Date]],"DDDD")</f>
        <v>Monday</v>
      </c>
      <c r="S1366">
        <f>MONTH(tblTransactions[[#This Row],[Date]])</f>
        <v>10</v>
      </c>
      <c r="T1366" t="str">
        <f>VLOOKUP(E1366, Products!$A:$B,2,0)</f>
        <v>Monitors Tec-3</v>
      </c>
      <c r="U1366" t="str">
        <f>VLOOKUP(E1366,Products!$A:$C,3,0)</f>
        <v>Technology</v>
      </c>
      <c r="V1366" t="str">
        <f>VLOOKUP(E1366,Products!$A:$D,4,0)</f>
        <v>Monitors</v>
      </c>
      <c r="W1366" t="str">
        <f>VLOOKUP(D1366,Customers!$A:$C,3,0)</f>
        <v>B2C</v>
      </c>
      <c r="X1366" t="str">
        <f>VLOOKUP(C1366,Sales_Representatives!$A:$B,2,0)</f>
        <v>Sarah Brown</v>
      </c>
    </row>
    <row r="1367" spans="1:24" x14ac:dyDescent="0.3">
      <c r="A1367" t="s">
        <v>1995</v>
      </c>
      <c r="B1367" t="s">
        <v>1996</v>
      </c>
      <c r="C1367" t="s">
        <v>41</v>
      </c>
      <c r="D1367" t="s">
        <v>1997</v>
      </c>
      <c r="E1367" t="s">
        <v>152</v>
      </c>
      <c r="F1367">
        <v>9</v>
      </c>
      <c r="G1367">
        <v>859.93</v>
      </c>
      <c r="H1367">
        <v>0.11</v>
      </c>
      <c r="I1367" s="4">
        <v>6888.04</v>
      </c>
      <c r="J1367" t="s">
        <v>44</v>
      </c>
      <c r="K1367" t="s">
        <v>48</v>
      </c>
      <c r="L1367" s="4">
        <f>VLOOKUP(tblTransactions[[#This Row],[Product_ID]],tblProducts[],5,FALSE)</f>
        <v>579.79</v>
      </c>
      <c r="M1367" s="4">
        <f>tblTransactions[[#This Row],[Total_Amount]]-(tblTransactions[[#This Row],[Cost_Prices]]*tblTransactions[[#This Row],[Quantity]]*(1-tblTransactions[[#This Row],[Discount]]))</f>
        <v>2243.9220999999998</v>
      </c>
      <c r="N1367" s="3">
        <f>tblTransactions[[#This Row],[Profit]]/tblTransactions[[#This Row],[Total_Amount]]</f>
        <v>0.3257707707853032</v>
      </c>
      <c r="O1367" t="str">
        <f>TEXT(tblTransactions[[#This Row],[Date]], "MMM-YYYY")</f>
        <v>Oct-2023</v>
      </c>
      <c r="P1367" t="str">
        <f>"Q"&amp;ROUNDUP(MONTH(tblTransactions[[#This Row],[Date]])/3,0)&amp;"-"&amp;YEAR(tblTransactions[[#This Row],[Date]])</f>
        <v>Q4-2023</v>
      </c>
      <c r="Q1367">
        <f>YEAR(tblTransactions[[#This Row],[Date]])</f>
        <v>2023</v>
      </c>
      <c r="R1367" t="str">
        <f>TEXT(tblTransactions[[#This Row],[Date]],"DDDD")</f>
        <v>Tuesday</v>
      </c>
      <c r="S1367">
        <f>MONTH(tblTransactions[[#This Row],[Date]])</f>
        <v>10</v>
      </c>
      <c r="T1367" t="str">
        <f>VLOOKUP(E1367, Products!$A:$B,2,0)</f>
        <v>Phones Ele-4</v>
      </c>
      <c r="U1367" t="str">
        <f>VLOOKUP(E1367,Products!$A:$C,3,0)</f>
        <v>Electronics</v>
      </c>
      <c r="V1367" t="str">
        <f>VLOOKUP(E1367,Products!$A:$D,4,0)</f>
        <v>Phones</v>
      </c>
      <c r="W1367" t="str">
        <f>VLOOKUP(D1367,Customers!$A:$C,3,0)</f>
        <v>B2B</v>
      </c>
      <c r="X1367" t="str">
        <f>VLOOKUP(C1367,Sales_Representatives!$A:$B,2,0)</f>
        <v>Robert Jones</v>
      </c>
    </row>
    <row r="1368" spans="1:24" x14ac:dyDescent="0.3">
      <c r="A1368" t="s">
        <v>1998</v>
      </c>
      <c r="B1368" t="s">
        <v>1996</v>
      </c>
      <c r="C1368" t="s">
        <v>59</v>
      </c>
      <c r="D1368" t="s">
        <v>1765</v>
      </c>
      <c r="E1368" t="s">
        <v>508</v>
      </c>
      <c r="F1368">
        <v>2</v>
      </c>
      <c r="G1368">
        <v>237.69</v>
      </c>
      <c r="H1368">
        <v>0</v>
      </c>
      <c r="I1368" s="4">
        <v>475.38</v>
      </c>
      <c r="J1368" t="s">
        <v>21</v>
      </c>
      <c r="K1368" t="s">
        <v>35</v>
      </c>
      <c r="L1368" s="4">
        <f>VLOOKUP(tblTransactions[[#This Row],[Product_ID]],tblProducts[],5,FALSE)</f>
        <v>115.31</v>
      </c>
      <c r="M1368" s="4">
        <f>tblTransactions[[#This Row],[Total_Amount]]-(tblTransactions[[#This Row],[Cost_Prices]]*tblTransactions[[#This Row],[Quantity]]*(1-tblTransactions[[#This Row],[Discount]]))</f>
        <v>244.76</v>
      </c>
      <c r="N1368" s="3">
        <f>tblTransactions[[#This Row],[Profit]]/tblTransactions[[#This Row],[Total_Amount]]</f>
        <v>0.51487231267617484</v>
      </c>
      <c r="O1368" t="str">
        <f>TEXT(tblTransactions[[#This Row],[Date]], "MMM-YYYY")</f>
        <v>Oct-2023</v>
      </c>
      <c r="P1368" t="str">
        <f>"Q"&amp;ROUNDUP(MONTH(tblTransactions[[#This Row],[Date]])/3,0)&amp;"-"&amp;YEAR(tblTransactions[[#This Row],[Date]])</f>
        <v>Q4-2023</v>
      </c>
      <c r="Q1368">
        <f>YEAR(tblTransactions[[#This Row],[Date]])</f>
        <v>2023</v>
      </c>
      <c r="R1368" t="str">
        <f>TEXT(tblTransactions[[#This Row],[Date]],"DDDD")</f>
        <v>Tuesday</v>
      </c>
      <c r="S1368">
        <f>MONTH(tblTransactions[[#This Row],[Date]])</f>
        <v>10</v>
      </c>
      <c r="T1368" t="str">
        <f>VLOOKUP(E1368, Products!$A:$B,2,0)</f>
        <v>Folders Off-3</v>
      </c>
      <c r="U1368" t="str">
        <f>VLOOKUP(E1368,Products!$A:$C,3,0)</f>
        <v>Office Supplies</v>
      </c>
      <c r="V1368" t="str">
        <f>VLOOKUP(E1368,Products!$A:$D,4,0)</f>
        <v>Folders</v>
      </c>
      <c r="W1368" t="str">
        <f>VLOOKUP(D1368,Customers!$A:$C,3,0)</f>
        <v>B2C</v>
      </c>
      <c r="X1368" t="str">
        <f>VLOOKUP(C1368,Sales_Representatives!$A:$B,2,0)</f>
        <v>Sarah Brown</v>
      </c>
    </row>
    <row r="1369" spans="1:24" x14ac:dyDescent="0.3">
      <c r="A1369" t="s">
        <v>1999</v>
      </c>
      <c r="B1369" t="s">
        <v>1996</v>
      </c>
      <c r="C1369" t="s">
        <v>27</v>
      </c>
      <c r="D1369" t="s">
        <v>2000</v>
      </c>
      <c r="E1369" t="s">
        <v>53</v>
      </c>
      <c r="F1369">
        <v>8</v>
      </c>
      <c r="G1369">
        <v>2069.2199999999998</v>
      </c>
      <c r="H1369">
        <v>0.15</v>
      </c>
      <c r="I1369" s="4">
        <v>14070.7</v>
      </c>
      <c r="J1369" t="s">
        <v>16</v>
      </c>
      <c r="K1369" t="s">
        <v>22</v>
      </c>
      <c r="L1369" s="4">
        <f>VLOOKUP(tblTransactions[[#This Row],[Product_ID]],tblProducts[],5,FALSE)</f>
        <v>1451.18</v>
      </c>
      <c r="M1369" s="4">
        <f>tblTransactions[[#This Row],[Total_Amount]]-(tblTransactions[[#This Row],[Cost_Prices]]*tblTransactions[[#This Row],[Quantity]]*(1-tblTransactions[[#This Row],[Discount]]))</f>
        <v>4202.6760000000013</v>
      </c>
      <c r="N1369" s="3">
        <f>tblTransactions[[#This Row],[Profit]]/tblTransactions[[#This Row],[Total_Amount]]</f>
        <v>0.29868279474368731</v>
      </c>
      <c r="O1369" t="str">
        <f>TEXT(tblTransactions[[#This Row],[Date]], "MMM-YYYY")</f>
        <v>Oct-2023</v>
      </c>
      <c r="P1369" t="str">
        <f>"Q"&amp;ROUNDUP(MONTH(tblTransactions[[#This Row],[Date]])/3,0)&amp;"-"&amp;YEAR(tblTransactions[[#This Row],[Date]])</f>
        <v>Q4-2023</v>
      </c>
      <c r="Q1369">
        <f>YEAR(tblTransactions[[#This Row],[Date]])</f>
        <v>2023</v>
      </c>
      <c r="R1369" t="str">
        <f>TEXT(tblTransactions[[#This Row],[Date]],"DDDD")</f>
        <v>Tuesday</v>
      </c>
      <c r="S1369">
        <f>MONTH(tblTransactions[[#This Row],[Date]])</f>
        <v>10</v>
      </c>
      <c r="T1369" t="str">
        <f>VLOOKUP(E1369, Products!$A:$B,2,0)</f>
        <v>Printers Tec-3</v>
      </c>
      <c r="U1369" t="str">
        <f>VLOOKUP(E1369,Products!$A:$C,3,0)</f>
        <v>Technology</v>
      </c>
      <c r="V1369" t="str">
        <f>VLOOKUP(E1369,Products!$A:$D,4,0)</f>
        <v>Printers</v>
      </c>
      <c r="W1369" t="str">
        <f>VLOOKUP(D1369,Customers!$A:$C,3,0)</f>
        <v>B2B</v>
      </c>
      <c r="X1369" t="str">
        <f>VLOOKUP(C1369,Sales_Representatives!$A:$B,2,0)</f>
        <v>Thomas Lopez</v>
      </c>
    </row>
    <row r="1370" spans="1:24" x14ac:dyDescent="0.3">
      <c r="A1370" t="s">
        <v>2001</v>
      </c>
      <c r="B1370" t="s">
        <v>1996</v>
      </c>
      <c r="C1370" t="s">
        <v>127</v>
      </c>
      <c r="D1370" t="s">
        <v>128</v>
      </c>
      <c r="E1370" t="s">
        <v>99</v>
      </c>
      <c r="F1370">
        <v>13</v>
      </c>
      <c r="G1370">
        <v>325.14</v>
      </c>
      <c r="H1370">
        <v>0.15</v>
      </c>
      <c r="I1370" s="4">
        <v>3592.8</v>
      </c>
      <c r="J1370" t="s">
        <v>109</v>
      </c>
      <c r="K1370" t="s">
        <v>17</v>
      </c>
      <c r="L1370" s="4">
        <f>VLOOKUP(tblTransactions[[#This Row],[Product_ID]],tblProducts[],5,FALSE)</f>
        <v>209.04</v>
      </c>
      <c r="M1370" s="4">
        <f>tblTransactions[[#This Row],[Total_Amount]]-(tblTransactions[[#This Row],[Cost_Prices]]*tblTransactions[[#This Row],[Quantity]]*(1-tblTransactions[[#This Row],[Discount]]))</f>
        <v>1282.9080000000004</v>
      </c>
      <c r="N1370" s="3">
        <f>tblTransactions[[#This Row],[Profit]]/tblTransactions[[#This Row],[Total_Amount]]</f>
        <v>0.35707748830995334</v>
      </c>
      <c r="O1370" t="str">
        <f>TEXT(tblTransactions[[#This Row],[Date]], "MMM-YYYY")</f>
        <v>Oct-2023</v>
      </c>
      <c r="P1370" t="str">
        <f>"Q"&amp;ROUNDUP(MONTH(tblTransactions[[#This Row],[Date]])/3,0)&amp;"-"&amp;YEAR(tblTransactions[[#This Row],[Date]])</f>
        <v>Q4-2023</v>
      </c>
      <c r="Q1370">
        <f>YEAR(tblTransactions[[#This Row],[Date]])</f>
        <v>2023</v>
      </c>
      <c r="R1370" t="str">
        <f>TEXT(tblTransactions[[#This Row],[Date]],"DDDD")</f>
        <v>Tuesday</v>
      </c>
      <c r="S1370">
        <f>MONTH(tblTransactions[[#This Row],[Date]])</f>
        <v>10</v>
      </c>
      <c r="T1370" t="str">
        <f>VLOOKUP(E1370, Products!$A:$B,2,0)</f>
        <v>Monitors Tec-1</v>
      </c>
      <c r="U1370" t="str">
        <f>VLOOKUP(E1370,Products!$A:$C,3,0)</f>
        <v>Technology</v>
      </c>
      <c r="V1370" t="str">
        <f>VLOOKUP(E1370,Products!$A:$D,4,0)</f>
        <v>Monitors</v>
      </c>
      <c r="W1370" t="str">
        <f>VLOOKUP(D1370,Customers!$A:$C,3,0)</f>
        <v>B2B</v>
      </c>
      <c r="X1370" t="str">
        <f>VLOOKUP(C1370,Sales_Representatives!$A:$B,2,0)</f>
        <v>Emily Hernandez</v>
      </c>
    </row>
    <row r="1371" spans="1:24" x14ac:dyDescent="0.3">
      <c r="A1371" t="s">
        <v>2002</v>
      </c>
      <c r="B1371" t="s">
        <v>1996</v>
      </c>
      <c r="C1371" t="s">
        <v>56</v>
      </c>
      <c r="D1371" t="s">
        <v>2003</v>
      </c>
      <c r="E1371" t="s">
        <v>217</v>
      </c>
      <c r="F1371">
        <v>5</v>
      </c>
      <c r="G1371">
        <v>145.51</v>
      </c>
      <c r="H1371">
        <v>0.06</v>
      </c>
      <c r="I1371" s="4">
        <v>683.9</v>
      </c>
      <c r="J1371" t="s">
        <v>34</v>
      </c>
      <c r="K1371" t="s">
        <v>39</v>
      </c>
      <c r="L1371" s="4">
        <f>VLOOKUP(tblTransactions[[#This Row],[Product_ID]],tblProducts[],5,FALSE)</f>
        <v>64.510000000000005</v>
      </c>
      <c r="M1371" s="4">
        <f>tblTransactions[[#This Row],[Total_Amount]]-(tblTransactions[[#This Row],[Cost_Prices]]*tblTransactions[[#This Row],[Quantity]]*(1-tblTransactions[[#This Row],[Discount]]))</f>
        <v>380.70299999999997</v>
      </c>
      <c r="N1371" s="3">
        <f>tblTransactions[[#This Row],[Profit]]/tblTransactions[[#This Row],[Total_Amount]]</f>
        <v>0.5566647170638982</v>
      </c>
      <c r="O1371" t="str">
        <f>TEXT(tblTransactions[[#This Row],[Date]], "MMM-YYYY")</f>
        <v>Oct-2023</v>
      </c>
      <c r="P1371" t="str">
        <f>"Q"&amp;ROUNDUP(MONTH(tblTransactions[[#This Row],[Date]])/3,0)&amp;"-"&amp;YEAR(tblTransactions[[#This Row],[Date]])</f>
        <v>Q4-2023</v>
      </c>
      <c r="Q1371">
        <f>YEAR(tblTransactions[[#This Row],[Date]])</f>
        <v>2023</v>
      </c>
      <c r="R1371" t="str">
        <f>TEXT(tblTransactions[[#This Row],[Date]],"DDDD")</f>
        <v>Tuesday</v>
      </c>
      <c r="S1371">
        <f>MONTH(tblTransactions[[#This Row],[Date]])</f>
        <v>10</v>
      </c>
      <c r="T1371" t="str">
        <f>VLOOKUP(E1371, Products!$A:$B,2,0)</f>
        <v>Cables Acc-2</v>
      </c>
      <c r="U1371" t="str">
        <f>VLOOKUP(E1371,Products!$A:$C,3,0)</f>
        <v>Accessories</v>
      </c>
      <c r="V1371" t="str">
        <f>VLOOKUP(E1371,Products!$A:$D,4,0)</f>
        <v>Cables</v>
      </c>
      <c r="W1371" t="str">
        <f>VLOOKUP(D1371,Customers!$A:$C,3,0)</f>
        <v>Small Business</v>
      </c>
      <c r="X1371" t="str">
        <f>VLOOKUP(C1371,Sales_Representatives!$A:$B,2,0)</f>
        <v>Thomas Hernandez</v>
      </c>
    </row>
    <row r="1372" spans="1:24" x14ac:dyDescent="0.3">
      <c r="A1372" t="s">
        <v>2004</v>
      </c>
      <c r="B1372" t="s">
        <v>2005</v>
      </c>
      <c r="C1372" t="s">
        <v>27</v>
      </c>
      <c r="D1372" t="s">
        <v>1596</v>
      </c>
      <c r="E1372" t="s">
        <v>200</v>
      </c>
      <c r="F1372">
        <v>38</v>
      </c>
      <c r="G1372">
        <v>544.77</v>
      </c>
      <c r="H1372">
        <v>0.22</v>
      </c>
      <c r="I1372" s="4">
        <v>16146.98</v>
      </c>
      <c r="J1372" t="s">
        <v>16</v>
      </c>
      <c r="K1372" t="s">
        <v>48</v>
      </c>
      <c r="L1372" s="4">
        <f>VLOOKUP(tblTransactions[[#This Row],[Product_ID]],tblProducts[],5,FALSE)</f>
        <v>318.2</v>
      </c>
      <c r="M1372" s="4">
        <f>tblTransactions[[#This Row],[Total_Amount]]-(tblTransactions[[#This Row],[Cost_Prices]]*tblTransactions[[#This Row],[Quantity]]*(1-tblTransactions[[#This Row],[Discount]]))</f>
        <v>6715.5319999999992</v>
      </c>
      <c r="N1372" s="3">
        <f>tblTransactions[[#This Row],[Profit]]/tblTransactions[[#This Row],[Total_Amount]]</f>
        <v>0.41590018690801622</v>
      </c>
      <c r="O1372" t="str">
        <f>TEXT(tblTransactions[[#This Row],[Date]], "MMM-YYYY")</f>
        <v>Nov-2023</v>
      </c>
      <c r="P1372" t="str">
        <f>"Q"&amp;ROUNDUP(MONTH(tblTransactions[[#This Row],[Date]])/3,0)&amp;"-"&amp;YEAR(tblTransactions[[#This Row],[Date]])</f>
        <v>Q4-2023</v>
      </c>
      <c r="Q1372">
        <f>YEAR(tblTransactions[[#This Row],[Date]])</f>
        <v>2023</v>
      </c>
      <c r="R1372" t="str">
        <f>TEXT(tblTransactions[[#This Row],[Date]],"DDDD")</f>
        <v>Wednesday</v>
      </c>
      <c r="S1372">
        <f>MONTH(tblTransactions[[#This Row],[Date]])</f>
        <v>11</v>
      </c>
      <c r="T1372" t="str">
        <f>VLOOKUP(E1372, Products!$A:$B,2,0)</f>
        <v>Desks Fur-4</v>
      </c>
      <c r="U1372" t="str">
        <f>VLOOKUP(E1372,Products!$A:$C,3,0)</f>
        <v>Furniture</v>
      </c>
      <c r="V1372" t="str">
        <f>VLOOKUP(E1372,Products!$A:$D,4,0)</f>
        <v>Desks</v>
      </c>
      <c r="W1372" t="str">
        <f>VLOOKUP(D1372,Customers!$A:$C,3,0)</f>
        <v>Enterprise</v>
      </c>
      <c r="X1372" t="str">
        <f>VLOOKUP(C1372,Sales_Representatives!$A:$B,2,0)</f>
        <v>Thomas Lopez</v>
      </c>
    </row>
    <row r="1373" spans="1:24" x14ac:dyDescent="0.3">
      <c r="A1373" t="s">
        <v>2006</v>
      </c>
      <c r="B1373" t="s">
        <v>2005</v>
      </c>
      <c r="C1373" t="s">
        <v>13</v>
      </c>
      <c r="D1373" t="s">
        <v>2007</v>
      </c>
      <c r="E1373" t="s">
        <v>25</v>
      </c>
      <c r="F1373">
        <v>29</v>
      </c>
      <c r="G1373">
        <v>1467.49</v>
      </c>
      <c r="H1373">
        <v>0.21</v>
      </c>
      <c r="I1373" s="4">
        <v>33620.199999999997</v>
      </c>
      <c r="J1373" t="s">
        <v>16</v>
      </c>
      <c r="K1373" t="s">
        <v>35</v>
      </c>
      <c r="L1373" s="4">
        <f>VLOOKUP(tblTransactions[[#This Row],[Product_ID]],tblProducts[],5,FALSE)</f>
        <v>757.65</v>
      </c>
      <c r="M1373" s="4">
        <f>tblTransactions[[#This Row],[Total_Amount]]-(tblTransactions[[#This Row],[Cost_Prices]]*tblTransactions[[#This Row],[Quantity]]*(1-tblTransactions[[#This Row],[Discount]]))</f>
        <v>16262.438499999997</v>
      </c>
      <c r="N1373" s="3">
        <f>tblTransactions[[#This Row],[Profit]]/tblTransactions[[#This Row],[Total_Amount]]</f>
        <v>0.48371034378141708</v>
      </c>
      <c r="O1373" t="str">
        <f>TEXT(tblTransactions[[#This Row],[Date]], "MMM-YYYY")</f>
        <v>Nov-2023</v>
      </c>
      <c r="P1373" t="str">
        <f>"Q"&amp;ROUNDUP(MONTH(tblTransactions[[#This Row],[Date]])/3,0)&amp;"-"&amp;YEAR(tblTransactions[[#This Row],[Date]])</f>
        <v>Q4-2023</v>
      </c>
      <c r="Q1373">
        <f>YEAR(tblTransactions[[#This Row],[Date]])</f>
        <v>2023</v>
      </c>
      <c r="R1373" t="str">
        <f>TEXT(tblTransactions[[#This Row],[Date]],"DDDD")</f>
        <v>Wednesday</v>
      </c>
      <c r="S1373">
        <f>MONTH(tblTransactions[[#This Row],[Date]])</f>
        <v>11</v>
      </c>
      <c r="T1373" t="str">
        <f>VLOOKUP(E1373, Products!$A:$B,2,0)</f>
        <v>Tables Fur-3</v>
      </c>
      <c r="U1373" t="str">
        <f>VLOOKUP(E1373,Products!$A:$C,3,0)</f>
        <v>Furniture</v>
      </c>
      <c r="V1373" t="str">
        <f>VLOOKUP(E1373,Products!$A:$D,4,0)</f>
        <v>Tables</v>
      </c>
      <c r="W1373" t="str">
        <f>VLOOKUP(D1373,Customers!$A:$C,3,0)</f>
        <v>Enterprise</v>
      </c>
      <c r="X1373" t="str">
        <f>VLOOKUP(C1373,Sales_Representatives!$A:$B,2,0)</f>
        <v>Jennifer Rodriguez</v>
      </c>
    </row>
    <row r="1374" spans="1:24" x14ac:dyDescent="0.3">
      <c r="A1374" t="s">
        <v>2008</v>
      </c>
      <c r="B1374" t="s">
        <v>2005</v>
      </c>
      <c r="C1374" t="s">
        <v>107</v>
      </c>
      <c r="D1374" t="s">
        <v>1668</v>
      </c>
      <c r="E1374" t="s">
        <v>168</v>
      </c>
      <c r="F1374">
        <v>5</v>
      </c>
      <c r="G1374">
        <v>101.59</v>
      </c>
      <c r="H1374">
        <v>0.04</v>
      </c>
      <c r="I1374" s="4">
        <v>487.63</v>
      </c>
      <c r="J1374" t="s">
        <v>109</v>
      </c>
      <c r="K1374" t="s">
        <v>22</v>
      </c>
      <c r="L1374" s="4">
        <f>VLOOKUP(tblTransactions[[#This Row],[Product_ID]],tblProducts[],5,FALSE)</f>
        <v>50.58</v>
      </c>
      <c r="M1374" s="4">
        <f>tblTransactions[[#This Row],[Total_Amount]]-(tblTransactions[[#This Row],[Cost_Prices]]*tblTransactions[[#This Row],[Quantity]]*(1-tblTransactions[[#This Row],[Discount]]))</f>
        <v>244.84600000000003</v>
      </c>
      <c r="N1374" s="3">
        <f>tblTransactions[[#This Row],[Profit]]/tblTransactions[[#This Row],[Total_Amount]]</f>
        <v>0.5021143079794107</v>
      </c>
      <c r="O1374" t="str">
        <f>TEXT(tblTransactions[[#This Row],[Date]], "MMM-YYYY")</f>
        <v>Nov-2023</v>
      </c>
      <c r="P1374" t="str">
        <f>"Q"&amp;ROUNDUP(MONTH(tblTransactions[[#This Row],[Date]])/3,0)&amp;"-"&amp;YEAR(tblTransactions[[#This Row],[Date]])</f>
        <v>Q4-2023</v>
      </c>
      <c r="Q1374">
        <f>YEAR(tblTransactions[[#This Row],[Date]])</f>
        <v>2023</v>
      </c>
      <c r="R1374" t="str">
        <f>TEXT(tblTransactions[[#This Row],[Date]],"DDDD")</f>
        <v>Wednesday</v>
      </c>
      <c r="S1374">
        <f>MONTH(tblTransactions[[#This Row],[Date]])</f>
        <v>11</v>
      </c>
      <c r="T1374" t="str">
        <f>VLOOKUP(E1374, Products!$A:$B,2,0)</f>
        <v>Cases Acc-4</v>
      </c>
      <c r="U1374" t="str">
        <f>VLOOKUP(E1374,Products!$A:$C,3,0)</f>
        <v>Accessories</v>
      </c>
      <c r="V1374" t="str">
        <f>VLOOKUP(E1374,Products!$A:$D,4,0)</f>
        <v>Cases</v>
      </c>
      <c r="W1374" t="str">
        <f>VLOOKUP(D1374,Customers!$A:$C,3,0)</f>
        <v>B2C</v>
      </c>
      <c r="X1374" t="str">
        <f>VLOOKUP(C1374,Sales_Representatives!$A:$B,2,0)</f>
        <v>Jennifer Brown</v>
      </c>
    </row>
    <row r="1375" spans="1:24" x14ac:dyDescent="0.3">
      <c r="A1375" t="s">
        <v>2009</v>
      </c>
      <c r="B1375" t="s">
        <v>2005</v>
      </c>
      <c r="C1375" t="s">
        <v>75</v>
      </c>
      <c r="D1375" t="s">
        <v>1691</v>
      </c>
      <c r="E1375" t="s">
        <v>479</v>
      </c>
      <c r="F1375">
        <v>4</v>
      </c>
      <c r="G1375">
        <v>239.6</v>
      </c>
      <c r="H1375">
        <v>0.01</v>
      </c>
      <c r="I1375" s="4">
        <v>948.82</v>
      </c>
      <c r="J1375" t="s">
        <v>44</v>
      </c>
      <c r="K1375" t="s">
        <v>35</v>
      </c>
      <c r="L1375" s="4">
        <f>VLOOKUP(tblTransactions[[#This Row],[Product_ID]],tblProducts[],5,FALSE)</f>
        <v>107.49</v>
      </c>
      <c r="M1375" s="4">
        <f>tblTransactions[[#This Row],[Total_Amount]]-(tblTransactions[[#This Row],[Cost_Prices]]*tblTransactions[[#This Row],[Quantity]]*(1-tblTransactions[[#This Row],[Discount]]))</f>
        <v>523.15960000000007</v>
      </c>
      <c r="N1375" s="3">
        <f>tblTransactions[[#This Row],[Profit]]/tblTransactions[[#This Row],[Total_Amount]]</f>
        <v>0.55137918677936815</v>
      </c>
      <c r="O1375" t="str">
        <f>TEXT(tblTransactions[[#This Row],[Date]], "MMM-YYYY")</f>
        <v>Nov-2023</v>
      </c>
      <c r="P1375" t="str">
        <f>"Q"&amp;ROUNDUP(MONTH(tblTransactions[[#This Row],[Date]])/3,0)&amp;"-"&amp;YEAR(tblTransactions[[#This Row],[Date]])</f>
        <v>Q4-2023</v>
      </c>
      <c r="Q1375">
        <f>YEAR(tblTransactions[[#This Row],[Date]])</f>
        <v>2023</v>
      </c>
      <c r="R1375" t="str">
        <f>TEXT(tblTransactions[[#This Row],[Date]],"DDDD")</f>
        <v>Wednesday</v>
      </c>
      <c r="S1375">
        <f>MONTH(tblTransactions[[#This Row],[Date]])</f>
        <v>11</v>
      </c>
      <c r="T1375" t="str">
        <f>VLOOKUP(E1375, Products!$A:$B,2,0)</f>
        <v>Pens Off-2</v>
      </c>
      <c r="U1375" t="str">
        <f>VLOOKUP(E1375,Products!$A:$C,3,0)</f>
        <v>Office Supplies</v>
      </c>
      <c r="V1375" t="str">
        <f>VLOOKUP(E1375,Products!$A:$D,4,0)</f>
        <v>Pens</v>
      </c>
      <c r="W1375" t="str">
        <f>VLOOKUP(D1375,Customers!$A:$C,3,0)</f>
        <v>Small Business</v>
      </c>
      <c r="X1375" t="str">
        <f>VLOOKUP(C1375,Sales_Representatives!$A:$B,2,0)</f>
        <v>Jessica Anderson</v>
      </c>
    </row>
    <row r="1376" spans="1:24" x14ac:dyDescent="0.3">
      <c r="A1376" t="s">
        <v>2010</v>
      </c>
      <c r="B1376" t="s">
        <v>2005</v>
      </c>
      <c r="C1376" t="s">
        <v>41</v>
      </c>
      <c r="D1376" t="s">
        <v>1505</v>
      </c>
      <c r="E1376" t="s">
        <v>324</v>
      </c>
      <c r="F1376">
        <v>3</v>
      </c>
      <c r="G1376">
        <v>245.76</v>
      </c>
      <c r="H1376">
        <v>0.04</v>
      </c>
      <c r="I1376" s="4">
        <v>707.79</v>
      </c>
      <c r="J1376" t="s">
        <v>44</v>
      </c>
      <c r="K1376" t="s">
        <v>35</v>
      </c>
      <c r="L1376" s="4">
        <f>VLOOKUP(tblTransactions[[#This Row],[Product_ID]],tblProducts[],5,FALSE)</f>
        <v>161.94</v>
      </c>
      <c r="M1376" s="4">
        <f>tblTransactions[[#This Row],[Total_Amount]]-(tblTransactions[[#This Row],[Cost_Prices]]*tblTransactions[[#This Row],[Quantity]]*(1-tblTransactions[[#This Row],[Discount]]))</f>
        <v>241.40280000000001</v>
      </c>
      <c r="N1376" s="3">
        <f>tblTransactions[[#This Row],[Profit]]/tblTransactions[[#This Row],[Total_Amount]]</f>
        <v>0.34106557029627438</v>
      </c>
      <c r="O1376" t="str">
        <f>TEXT(tblTransactions[[#This Row],[Date]], "MMM-YYYY")</f>
        <v>Nov-2023</v>
      </c>
      <c r="P1376" t="str">
        <f>"Q"&amp;ROUNDUP(MONTH(tblTransactions[[#This Row],[Date]])/3,0)&amp;"-"&amp;YEAR(tblTransactions[[#This Row],[Date]])</f>
        <v>Q4-2023</v>
      </c>
      <c r="Q1376">
        <f>YEAR(tblTransactions[[#This Row],[Date]])</f>
        <v>2023</v>
      </c>
      <c r="R1376" t="str">
        <f>TEXT(tblTransactions[[#This Row],[Date]],"DDDD")</f>
        <v>Wednesday</v>
      </c>
      <c r="S1376">
        <f>MONTH(tblTransactions[[#This Row],[Date]])</f>
        <v>11</v>
      </c>
      <c r="T1376" t="str">
        <f>VLOOKUP(E1376, Products!$A:$B,2,0)</f>
        <v>Storage Fur-1</v>
      </c>
      <c r="U1376" t="str">
        <f>VLOOKUP(E1376,Products!$A:$C,3,0)</f>
        <v>Furniture</v>
      </c>
      <c r="V1376" t="str">
        <f>VLOOKUP(E1376,Products!$A:$D,4,0)</f>
        <v>Storage</v>
      </c>
      <c r="W1376" t="str">
        <f>VLOOKUP(D1376,Customers!$A:$C,3,0)</f>
        <v>B2C</v>
      </c>
      <c r="X1376" t="str">
        <f>VLOOKUP(C1376,Sales_Representatives!$A:$B,2,0)</f>
        <v>Robert Jones</v>
      </c>
    </row>
    <row r="1377" spans="1:24" x14ac:dyDescent="0.3">
      <c r="A1377" t="s">
        <v>2011</v>
      </c>
      <c r="B1377" t="s">
        <v>2005</v>
      </c>
      <c r="C1377" t="s">
        <v>31</v>
      </c>
      <c r="D1377" t="s">
        <v>1526</v>
      </c>
      <c r="E1377" t="s">
        <v>435</v>
      </c>
      <c r="F1377">
        <v>2</v>
      </c>
      <c r="G1377">
        <v>198.72</v>
      </c>
      <c r="H1377">
        <v>0.09</v>
      </c>
      <c r="I1377" s="4">
        <v>361.67</v>
      </c>
      <c r="J1377" t="s">
        <v>34</v>
      </c>
      <c r="K1377" t="s">
        <v>35</v>
      </c>
      <c r="L1377" s="4">
        <f>VLOOKUP(tblTransactions[[#This Row],[Product_ID]],tblProducts[],5,FALSE)</f>
        <v>116.98</v>
      </c>
      <c r="M1377" s="4">
        <f>tblTransactions[[#This Row],[Total_Amount]]-(tblTransactions[[#This Row],[Cost_Prices]]*tblTransactions[[#This Row],[Quantity]]*(1-tblTransactions[[#This Row],[Discount]]))</f>
        <v>148.7664</v>
      </c>
      <c r="N1377" s="3">
        <f>tblTransactions[[#This Row],[Profit]]/tblTransactions[[#This Row],[Total_Amount]]</f>
        <v>0.41133187712555647</v>
      </c>
      <c r="O1377" t="str">
        <f>TEXT(tblTransactions[[#This Row],[Date]], "MMM-YYYY")</f>
        <v>Nov-2023</v>
      </c>
      <c r="P1377" t="str">
        <f>"Q"&amp;ROUNDUP(MONTH(tblTransactions[[#This Row],[Date]])/3,0)&amp;"-"&amp;YEAR(tblTransactions[[#This Row],[Date]])</f>
        <v>Q4-2023</v>
      </c>
      <c r="Q1377">
        <f>YEAR(tblTransactions[[#This Row],[Date]])</f>
        <v>2023</v>
      </c>
      <c r="R1377" t="str">
        <f>TEXT(tblTransactions[[#This Row],[Date]],"DDDD")</f>
        <v>Wednesday</v>
      </c>
      <c r="S1377">
        <f>MONTH(tblTransactions[[#This Row],[Date]])</f>
        <v>11</v>
      </c>
      <c r="T1377" t="str">
        <f>VLOOKUP(E1377, Products!$A:$B,2,0)</f>
        <v>Paper Off-4</v>
      </c>
      <c r="U1377" t="str">
        <f>VLOOKUP(E1377,Products!$A:$C,3,0)</f>
        <v>Office Supplies</v>
      </c>
      <c r="V1377" t="str">
        <f>VLOOKUP(E1377,Products!$A:$D,4,0)</f>
        <v>Paper</v>
      </c>
      <c r="W1377" t="str">
        <f>VLOOKUP(D1377,Customers!$A:$C,3,0)</f>
        <v>B2C</v>
      </c>
      <c r="X1377" t="str">
        <f>VLOOKUP(C1377,Sales_Representatives!$A:$B,2,0)</f>
        <v>Thomas Martinez</v>
      </c>
    </row>
    <row r="1378" spans="1:24" x14ac:dyDescent="0.3">
      <c r="A1378" t="s">
        <v>2012</v>
      </c>
      <c r="B1378" t="s">
        <v>2013</v>
      </c>
      <c r="C1378" t="s">
        <v>70</v>
      </c>
      <c r="D1378" t="s">
        <v>1864</v>
      </c>
      <c r="E1378" t="s">
        <v>116</v>
      </c>
      <c r="F1378">
        <v>3</v>
      </c>
      <c r="G1378">
        <v>232.86</v>
      </c>
      <c r="H1378">
        <v>7.0000000000000007E-2</v>
      </c>
      <c r="I1378" s="4">
        <v>649.67999999999995</v>
      </c>
      <c r="J1378" t="s">
        <v>16</v>
      </c>
      <c r="K1378" t="s">
        <v>22</v>
      </c>
      <c r="L1378" s="4">
        <f>VLOOKUP(tblTransactions[[#This Row],[Product_ID]],tblProducts[],5,FALSE)</f>
        <v>116.79</v>
      </c>
      <c r="M1378" s="4">
        <f>tblTransactions[[#This Row],[Total_Amount]]-(tblTransactions[[#This Row],[Cost_Prices]]*tblTransactions[[#This Row],[Quantity]]*(1-tblTransactions[[#This Row],[Discount]]))</f>
        <v>323.83589999999998</v>
      </c>
      <c r="N1378" s="3">
        <f>tblTransactions[[#This Row],[Profit]]/tblTransactions[[#This Row],[Total_Amount]]</f>
        <v>0.49845446989287034</v>
      </c>
      <c r="O1378" t="str">
        <f>TEXT(tblTransactions[[#This Row],[Date]], "MMM-YYYY")</f>
        <v>Nov-2023</v>
      </c>
      <c r="P1378" t="str">
        <f>"Q"&amp;ROUNDUP(MONTH(tblTransactions[[#This Row],[Date]])/3,0)&amp;"-"&amp;YEAR(tblTransactions[[#This Row],[Date]])</f>
        <v>Q4-2023</v>
      </c>
      <c r="Q1378">
        <f>YEAR(tblTransactions[[#This Row],[Date]])</f>
        <v>2023</v>
      </c>
      <c r="R1378" t="str">
        <f>TEXT(tblTransactions[[#This Row],[Date]],"DDDD")</f>
        <v>Thursday</v>
      </c>
      <c r="S1378">
        <f>MONTH(tblTransactions[[#This Row],[Date]])</f>
        <v>11</v>
      </c>
      <c r="T1378" t="str">
        <f>VLOOKUP(E1378, Products!$A:$B,2,0)</f>
        <v>Folders Off-4</v>
      </c>
      <c r="U1378" t="str">
        <f>VLOOKUP(E1378,Products!$A:$C,3,0)</f>
        <v>Office Supplies</v>
      </c>
      <c r="V1378" t="str">
        <f>VLOOKUP(E1378,Products!$A:$D,4,0)</f>
        <v>Folders</v>
      </c>
      <c r="W1378" t="str">
        <f>VLOOKUP(D1378,Customers!$A:$C,3,0)</f>
        <v>Small Business</v>
      </c>
      <c r="X1378" t="str">
        <f>VLOOKUP(C1378,Sales_Representatives!$A:$B,2,0)</f>
        <v>Linda Smith</v>
      </c>
    </row>
    <row r="1379" spans="1:24" x14ac:dyDescent="0.3">
      <c r="A1379" t="s">
        <v>2014</v>
      </c>
      <c r="B1379" t="s">
        <v>2013</v>
      </c>
      <c r="C1379" t="s">
        <v>27</v>
      </c>
      <c r="D1379" t="s">
        <v>1673</v>
      </c>
      <c r="E1379" t="s">
        <v>264</v>
      </c>
      <c r="F1379">
        <v>2</v>
      </c>
      <c r="G1379">
        <v>607.29999999999995</v>
      </c>
      <c r="H1379">
        <v>0.05</v>
      </c>
      <c r="I1379" s="4">
        <v>1153.8699999999999</v>
      </c>
      <c r="J1379" t="s">
        <v>16</v>
      </c>
      <c r="K1379" t="s">
        <v>17</v>
      </c>
      <c r="L1379" s="4">
        <f>VLOOKUP(tblTransactions[[#This Row],[Product_ID]],tblProducts[],5,FALSE)</f>
        <v>436.37</v>
      </c>
      <c r="M1379" s="4">
        <f>tblTransactions[[#This Row],[Total_Amount]]-(tblTransactions[[#This Row],[Cost_Prices]]*tblTransactions[[#This Row],[Quantity]]*(1-tblTransactions[[#This Row],[Discount]]))</f>
        <v>324.76699999999994</v>
      </c>
      <c r="N1379" s="3">
        <f>tblTransactions[[#This Row],[Profit]]/tblTransactions[[#This Row],[Total_Amount]]</f>
        <v>0.2814589165157253</v>
      </c>
      <c r="O1379" t="str">
        <f>TEXT(tblTransactions[[#This Row],[Date]], "MMM-YYYY")</f>
        <v>Nov-2023</v>
      </c>
      <c r="P1379" t="str">
        <f>"Q"&amp;ROUNDUP(MONTH(tblTransactions[[#This Row],[Date]])/3,0)&amp;"-"&amp;YEAR(tblTransactions[[#This Row],[Date]])</f>
        <v>Q4-2023</v>
      </c>
      <c r="Q1379">
        <f>YEAR(tblTransactions[[#This Row],[Date]])</f>
        <v>2023</v>
      </c>
      <c r="R1379" t="str">
        <f>TEXT(tblTransactions[[#This Row],[Date]],"DDDD")</f>
        <v>Thursday</v>
      </c>
      <c r="S1379">
        <f>MONTH(tblTransactions[[#This Row],[Date]])</f>
        <v>11</v>
      </c>
      <c r="T1379" t="str">
        <f>VLOOKUP(E1379, Products!$A:$B,2,0)</f>
        <v>Tablets Ele-4</v>
      </c>
      <c r="U1379" t="str">
        <f>VLOOKUP(E1379,Products!$A:$C,3,0)</f>
        <v>Electronics</v>
      </c>
      <c r="V1379" t="str">
        <f>VLOOKUP(E1379,Products!$A:$D,4,0)</f>
        <v>Tablets</v>
      </c>
      <c r="W1379" t="str">
        <f>VLOOKUP(D1379,Customers!$A:$C,3,0)</f>
        <v>B2C</v>
      </c>
      <c r="X1379" t="str">
        <f>VLOOKUP(C1379,Sales_Representatives!$A:$B,2,0)</f>
        <v>Thomas Lopez</v>
      </c>
    </row>
    <row r="1380" spans="1:24" x14ac:dyDescent="0.3">
      <c r="A1380" t="s">
        <v>2015</v>
      </c>
      <c r="B1380" t="s">
        <v>2013</v>
      </c>
      <c r="C1380" t="s">
        <v>41</v>
      </c>
      <c r="D1380" t="s">
        <v>1613</v>
      </c>
      <c r="E1380" t="s">
        <v>84</v>
      </c>
      <c r="F1380">
        <v>20</v>
      </c>
      <c r="G1380">
        <v>1841.77</v>
      </c>
      <c r="H1380">
        <v>0.13</v>
      </c>
      <c r="I1380" s="4">
        <v>32046.799999999999</v>
      </c>
      <c r="J1380" t="s">
        <v>44</v>
      </c>
      <c r="K1380" t="s">
        <v>48</v>
      </c>
      <c r="L1380" s="4">
        <f>VLOOKUP(tblTransactions[[#This Row],[Product_ID]],tblProducts[],5,FALSE)</f>
        <v>1151.5899999999999</v>
      </c>
      <c r="M1380" s="4">
        <f>tblTransactions[[#This Row],[Total_Amount]]-(tblTransactions[[#This Row],[Cost_Prices]]*tblTransactions[[#This Row],[Quantity]]*(1-tblTransactions[[#This Row],[Discount]]))</f>
        <v>12009.133999999998</v>
      </c>
      <c r="N1380" s="3">
        <f>tblTransactions[[#This Row],[Profit]]/tblTransactions[[#This Row],[Total_Amount]]</f>
        <v>0.3747373840757891</v>
      </c>
      <c r="O1380" t="str">
        <f>TEXT(tblTransactions[[#This Row],[Date]], "MMM-YYYY")</f>
        <v>Nov-2023</v>
      </c>
      <c r="P1380" t="str">
        <f>"Q"&amp;ROUNDUP(MONTH(tblTransactions[[#This Row],[Date]])/3,0)&amp;"-"&amp;YEAR(tblTransactions[[#This Row],[Date]])</f>
        <v>Q4-2023</v>
      </c>
      <c r="Q1380">
        <f>YEAR(tblTransactions[[#This Row],[Date]])</f>
        <v>2023</v>
      </c>
      <c r="R1380" t="str">
        <f>TEXT(tblTransactions[[#This Row],[Date]],"DDDD")</f>
        <v>Thursday</v>
      </c>
      <c r="S1380">
        <f>MONTH(tblTransactions[[#This Row],[Date]])</f>
        <v>11</v>
      </c>
      <c r="T1380" t="str">
        <f>VLOOKUP(E1380, Products!$A:$B,2,0)</f>
        <v>Laptops Ele-2</v>
      </c>
      <c r="U1380" t="str">
        <f>VLOOKUP(E1380,Products!$A:$C,3,0)</f>
        <v>Electronics</v>
      </c>
      <c r="V1380" t="str">
        <f>VLOOKUP(E1380,Products!$A:$D,4,0)</f>
        <v>Laptops</v>
      </c>
      <c r="W1380" t="str">
        <f>VLOOKUP(D1380,Customers!$A:$C,3,0)</f>
        <v>Enterprise</v>
      </c>
      <c r="X1380" t="str">
        <f>VLOOKUP(C1380,Sales_Representatives!$A:$B,2,0)</f>
        <v>Robert Jones</v>
      </c>
    </row>
    <row r="1381" spans="1:24" x14ac:dyDescent="0.3">
      <c r="A1381" t="s">
        <v>2016</v>
      </c>
      <c r="B1381" t="s">
        <v>2017</v>
      </c>
      <c r="C1381" t="s">
        <v>141</v>
      </c>
      <c r="D1381" t="s">
        <v>1877</v>
      </c>
      <c r="E1381" t="s">
        <v>243</v>
      </c>
      <c r="F1381">
        <v>2</v>
      </c>
      <c r="G1381">
        <v>384.18</v>
      </c>
      <c r="H1381">
        <v>0.06</v>
      </c>
      <c r="I1381" s="4">
        <v>722.26</v>
      </c>
      <c r="J1381" t="s">
        <v>109</v>
      </c>
      <c r="K1381" t="s">
        <v>35</v>
      </c>
      <c r="L1381" s="4">
        <f>VLOOKUP(tblTransactions[[#This Row],[Product_ID]],tblProducts[],5,FALSE)</f>
        <v>266.92</v>
      </c>
      <c r="M1381" s="4">
        <f>tblTransactions[[#This Row],[Total_Amount]]-(tblTransactions[[#This Row],[Cost_Prices]]*tblTransactions[[#This Row],[Quantity]]*(1-tblTransactions[[#This Row],[Discount]]))</f>
        <v>220.4504</v>
      </c>
      <c r="N1381" s="3">
        <f>tblTransactions[[#This Row],[Profit]]/tblTransactions[[#This Row],[Total_Amount]]</f>
        <v>0.3052230498712375</v>
      </c>
      <c r="O1381" t="str">
        <f>TEXT(tblTransactions[[#This Row],[Date]], "MMM-YYYY")</f>
        <v>Nov-2023</v>
      </c>
      <c r="P1381" t="str">
        <f>"Q"&amp;ROUNDUP(MONTH(tblTransactions[[#This Row],[Date]])/3,0)&amp;"-"&amp;YEAR(tblTransactions[[#This Row],[Date]])</f>
        <v>Q4-2023</v>
      </c>
      <c r="Q1381">
        <f>YEAR(tblTransactions[[#This Row],[Date]])</f>
        <v>2023</v>
      </c>
      <c r="R1381" t="str">
        <f>TEXT(tblTransactions[[#This Row],[Date]],"DDDD")</f>
        <v>Friday</v>
      </c>
      <c r="S1381">
        <f>MONTH(tblTransactions[[#This Row],[Date]])</f>
        <v>11</v>
      </c>
      <c r="T1381" t="str">
        <f>VLOOKUP(E1381, Products!$A:$B,2,0)</f>
        <v>Routers Tec-3</v>
      </c>
      <c r="U1381" t="str">
        <f>VLOOKUP(E1381,Products!$A:$C,3,0)</f>
        <v>Technology</v>
      </c>
      <c r="V1381" t="str">
        <f>VLOOKUP(E1381,Products!$A:$D,4,0)</f>
        <v>Routers</v>
      </c>
      <c r="W1381" t="str">
        <f>VLOOKUP(D1381,Customers!$A:$C,3,0)</f>
        <v>Small Business</v>
      </c>
      <c r="X1381" t="str">
        <f>VLOOKUP(C1381,Sales_Representatives!$A:$B,2,0)</f>
        <v>Richard Garcia</v>
      </c>
    </row>
    <row r="1382" spans="1:24" x14ac:dyDescent="0.3">
      <c r="A1382" t="s">
        <v>2018</v>
      </c>
      <c r="B1382" t="s">
        <v>2017</v>
      </c>
      <c r="C1382" t="s">
        <v>141</v>
      </c>
      <c r="D1382" t="s">
        <v>1973</v>
      </c>
      <c r="E1382" t="s">
        <v>243</v>
      </c>
      <c r="F1382">
        <v>7</v>
      </c>
      <c r="G1382">
        <v>384.18</v>
      </c>
      <c r="H1382">
        <v>0.1</v>
      </c>
      <c r="I1382" s="4">
        <v>2420.33</v>
      </c>
      <c r="J1382" t="s">
        <v>109</v>
      </c>
      <c r="K1382" t="s">
        <v>35</v>
      </c>
      <c r="L1382" s="4">
        <f>VLOOKUP(tblTransactions[[#This Row],[Product_ID]],tblProducts[],5,FALSE)</f>
        <v>266.92</v>
      </c>
      <c r="M1382" s="4">
        <f>tblTransactions[[#This Row],[Total_Amount]]-(tblTransactions[[#This Row],[Cost_Prices]]*tblTransactions[[#This Row],[Quantity]]*(1-tblTransactions[[#This Row],[Discount]]))</f>
        <v>738.73399999999992</v>
      </c>
      <c r="N1382" s="3">
        <f>tblTransactions[[#This Row],[Profit]]/tblTransactions[[#This Row],[Total_Amount]]</f>
        <v>0.30522036251254991</v>
      </c>
      <c r="O1382" t="str">
        <f>TEXT(tblTransactions[[#This Row],[Date]], "MMM-YYYY")</f>
        <v>Nov-2023</v>
      </c>
      <c r="P1382" t="str">
        <f>"Q"&amp;ROUNDUP(MONTH(tblTransactions[[#This Row],[Date]])/3,0)&amp;"-"&amp;YEAR(tblTransactions[[#This Row],[Date]])</f>
        <v>Q4-2023</v>
      </c>
      <c r="Q1382">
        <f>YEAR(tblTransactions[[#This Row],[Date]])</f>
        <v>2023</v>
      </c>
      <c r="R1382" t="str">
        <f>TEXT(tblTransactions[[#This Row],[Date]],"DDDD")</f>
        <v>Friday</v>
      </c>
      <c r="S1382">
        <f>MONTH(tblTransactions[[#This Row],[Date]])</f>
        <v>11</v>
      </c>
      <c r="T1382" t="str">
        <f>VLOOKUP(E1382, Products!$A:$B,2,0)</f>
        <v>Routers Tec-3</v>
      </c>
      <c r="U1382" t="str">
        <f>VLOOKUP(E1382,Products!$A:$C,3,0)</f>
        <v>Technology</v>
      </c>
      <c r="V1382" t="str">
        <f>VLOOKUP(E1382,Products!$A:$D,4,0)</f>
        <v>Routers</v>
      </c>
      <c r="W1382" t="str">
        <f>VLOOKUP(D1382,Customers!$A:$C,3,0)</f>
        <v>B2B</v>
      </c>
      <c r="X1382" t="str">
        <f>VLOOKUP(C1382,Sales_Representatives!$A:$B,2,0)</f>
        <v>Richard Garcia</v>
      </c>
    </row>
    <row r="1383" spans="1:24" x14ac:dyDescent="0.3">
      <c r="A1383" t="s">
        <v>2019</v>
      </c>
      <c r="B1383" t="s">
        <v>2017</v>
      </c>
      <c r="C1383" t="s">
        <v>19</v>
      </c>
      <c r="D1383" t="s">
        <v>2020</v>
      </c>
      <c r="E1383" t="s">
        <v>145</v>
      </c>
      <c r="F1383">
        <v>1</v>
      </c>
      <c r="G1383">
        <v>93.43</v>
      </c>
      <c r="H1383">
        <v>0.08</v>
      </c>
      <c r="I1383" s="4">
        <v>85.96</v>
      </c>
      <c r="J1383" t="s">
        <v>21</v>
      </c>
      <c r="K1383" t="s">
        <v>17</v>
      </c>
      <c r="L1383" s="4">
        <f>VLOOKUP(tblTransactions[[#This Row],[Product_ID]],tblProducts[],5,FALSE)</f>
        <v>45.74</v>
      </c>
      <c r="M1383" s="4">
        <f>tblTransactions[[#This Row],[Total_Amount]]-(tblTransactions[[#This Row],[Cost_Prices]]*tblTransactions[[#This Row],[Quantity]]*(1-tblTransactions[[#This Row],[Discount]]))</f>
        <v>43.87919999999999</v>
      </c>
      <c r="N1383" s="3">
        <f>tblTransactions[[#This Row],[Profit]]/tblTransactions[[#This Row],[Total_Amount]]</f>
        <v>0.51046067938576078</v>
      </c>
      <c r="O1383" t="str">
        <f>TEXT(tblTransactions[[#This Row],[Date]], "MMM-YYYY")</f>
        <v>Nov-2023</v>
      </c>
      <c r="P1383" t="str">
        <f>"Q"&amp;ROUNDUP(MONTH(tblTransactions[[#This Row],[Date]])/3,0)&amp;"-"&amp;YEAR(tblTransactions[[#This Row],[Date]])</f>
        <v>Q4-2023</v>
      </c>
      <c r="Q1383">
        <f>YEAR(tblTransactions[[#This Row],[Date]])</f>
        <v>2023</v>
      </c>
      <c r="R1383" t="str">
        <f>TEXT(tblTransactions[[#This Row],[Date]],"DDDD")</f>
        <v>Friday</v>
      </c>
      <c r="S1383">
        <f>MONTH(tblTransactions[[#This Row],[Date]])</f>
        <v>11</v>
      </c>
      <c r="T1383" t="str">
        <f>VLOOKUP(E1383, Products!$A:$B,2,0)</f>
        <v>Paper Off-1</v>
      </c>
      <c r="U1383" t="str">
        <f>VLOOKUP(E1383,Products!$A:$C,3,0)</f>
        <v>Office Supplies</v>
      </c>
      <c r="V1383" t="str">
        <f>VLOOKUP(E1383,Products!$A:$D,4,0)</f>
        <v>Paper</v>
      </c>
      <c r="W1383" t="str">
        <f>VLOOKUP(D1383,Customers!$A:$C,3,0)</f>
        <v>B2C</v>
      </c>
      <c r="X1383" t="str">
        <f>VLOOKUP(C1383,Sales_Representatives!$A:$B,2,0)</f>
        <v>Robert Jones</v>
      </c>
    </row>
    <row r="1384" spans="1:24" x14ac:dyDescent="0.3">
      <c r="A1384" t="s">
        <v>2021</v>
      </c>
      <c r="B1384" t="s">
        <v>2017</v>
      </c>
      <c r="C1384" t="s">
        <v>75</v>
      </c>
      <c r="D1384" t="s">
        <v>1879</v>
      </c>
      <c r="E1384" t="s">
        <v>125</v>
      </c>
      <c r="F1384">
        <v>2</v>
      </c>
      <c r="G1384">
        <v>1201.4000000000001</v>
      </c>
      <c r="H1384">
        <v>0.06</v>
      </c>
      <c r="I1384" s="4">
        <v>2258.63</v>
      </c>
      <c r="J1384" t="s">
        <v>44</v>
      </c>
      <c r="K1384" t="s">
        <v>48</v>
      </c>
      <c r="L1384" s="4">
        <f>VLOOKUP(tblTransactions[[#This Row],[Product_ID]],tblProducts[],5,FALSE)</f>
        <v>672.72</v>
      </c>
      <c r="M1384" s="4">
        <f>tblTransactions[[#This Row],[Total_Amount]]-(tblTransactions[[#This Row],[Cost_Prices]]*tblTransactions[[#This Row],[Quantity]]*(1-tblTransactions[[#This Row],[Discount]]))</f>
        <v>993.91640000000007</v>
      </c>
      <c r="N1384" s="3">
        <f>tblTransactions[[#This Row],[Profit]]/tblTransactions[[#This Row],[Total_Amount]]</f>
        <v>0.44005277535497184</v>
      </c>
      <c r="O1384" t="str">
        <f>TEXT(tblTransactions[[#This Row],[Date]], "MMM-YYYY")</f>
        <v>Nov-2023</v>
      </c>
      <c r="P1384" t="str">
        <f>"Q"&amp;ROUNDUP(MONTH(tblTransactions[[#This Row],[Date]])/3,0)&amp;"-"&amp;YEAR(tblTransactions[[#This Row],[Date]])</f>
        <v>Q4-2023</v>
      </c>
      <c r="Q1384">
        <f>YEAR(tblTransactions[[#This Row],[Date]])</f>
        <v>2023</v>
      </c>
      <c r="R1384" t="str">
        <f>TEXT(tblTransactions[[#This Row],[Date]],"DDDD")</f>
        <v>Friday</v>
      </c>
      <c r="S1384">
        <f>MONTH(tblTransactions[[#This Row],[Date]])</f>
        <v>11</v>
      </c>
      <c r="T1384" t="str">
        <f>VLOOKUP(E1384, Products!$A:$B,2,0)</f>
        <v>Printers Tec-2</v>
      </c>
      <c r="U1384" t="str">
        <f>VLOOKUP(E1384,Products!$A:$C,3,0)</f>
        <v>Technology</v>
      </c>
      <c r="V1384" t="str">
        <f>VLOOKUP(E1384,Products!$A:$D,4,0)</f>
        <v>Printers</v>
      </c>
      <c r="W1384" t="str">
        <f>VLOOKUP(D1384,Customers!$A:$C,3,0)</f>
        <v>B2C</v>
      </c>
      <c r="X1384" t="str">
        <f>VLOOKUP(C1384,Sales_Representatives!$A:$B,2,0)</f>
        <v>Jessica Anderson</v>
      </c>
    </row>
    <row r="1385" spans="1:24" x14ac:dyDescent="0.3">
      <c r="A1385" t="s">
        <v>2022</v>
      </c>
      <c r="B1385" t="s">
        <v>2017</v>
      </c>
      <c r="C1385" t="s">
        <v>141</v>
      </c>
      <c r="D1385" t="s">
        <v>1675</v>
      </c>
      <c r="E1385" t="s">
        <v>394</v>
      </c>
      <c r="F1385">
        <v>18</v>
      </c>
      <c r="G1385">
        <v>314.69</v>
      </c>
      <c r="H1385">
        <v>0.11</v>
      </c>
      <c r="I1385" s="4">
        <v>5041.33</v>
      </c>
      <c r="J1385" t="s">
        <v>109</v>
      </c>
      <c r="K1385" t="s">
        <v>22</v>
      </c>
      <c r="L1385" s="4">
        <f>VLOOKUP(tblTransactions[[#This Row],[Product_ID]],tblProducts[],5,FALSE)</f>
        <v>185.43</v>
      </c>
      <c r="M1385" s="4">
        <f>tblTransactions[[#This Row],[Total_Amount]]-(tblTransactions[[#This Row],[Cost_Prices]]*tblTransactions[[#This Row],[Quantity]]*(1-tblTransactions[[#This Row],[Discount]]))</f>
        <v>2070.7413999999999</v>
      </c>
      <c r="N1385" s="3">
        <f>tblTransactions[[#This Row],[Profit]]/tblTransactions[[#This Row],[Total_Amount]]</f>
        <v>0.410752995737236</v>
      </c>
      <c r="O1385" t="str">
        <f>TEXT(tblTransactions[[#This Row],[Date]], "MMM-YYYY")</f>
        <v>Nov-2023</v>
      </c>
      <c r="P1385" t="str">
        <f>"Q"&amp;ROUNDUP(MONTH(tblTransactions[[#This Row],[Date]])/3,0)&amp;"-"&amp;YEAR(tblTransactions[[#This Row],[Date]])</f>
        <v>Q4-2023</v>
      </c>
      <c r="Q1385">
        <f>YEAR(tblTransactions[[#This Row],[Date]])</f>
        <v>2023</v>
      </c>
      <c r="R1385" t="str">
        <f>TEXT(tblTransactions[[#This Row],[Date]],"DDDD")</f>
        <v>Friday</v>
      </c>
      <c r="S1385">
        <f>MONTH(tblTransactions[[#This Row],[Date]])</f>
        <v>11</v>
      </c>
      <c r="T1385" t="str">
        <f>VLOOKUP(E1385, Products!$A:$B,2,0)</f>
        <v>Desks Fur-1</v>
      </c>
      <c r="U1385" t="str">
        <f>VLOOKUP(E1385,Products!$A:$C,3,0)</f>
        <v>Furniture</v>
      </c>
      <c r="V1385" t="str">
        <f>VLOOKUP(E1385,Products!$A:$D,4,0)</f>
        <v>Desks</v>
      </c>
      <c r="W1385" t="str">
        <f>VLOOKUP(D1385,Customers!$A:$C,3,0)</f>
        <v>B2B</v>
      </c>
      <c r="X1385" t="str">
        <f>VLOOKUP(C1385,Sales_Representatives!$A:$B,2,0)</f>
        <v>Richard Garcia</v>
      </c>
    </row>
    <row r="1386" spans="1:24" x14ac:dyDescent="0.3">
      <c r="A1386" t="s">
        <v>2023</v>
      </c>
      <c r="B1386" t="s">
        <v>2017</v>
      </c>
      <c r="C1386" t="s">
        <v>31</v>
      </c>
      <c r="D1386" t="s">
        <v>1965</v>
      </c>
      <c r="E1386" t="s">
        <v>102</v>
      </c>
      <c r="F1386">
        <v>14</v>
      </c>
      <c r="G1386">
        <v>1097.75</v>
      </c>
      <c r="H1386">
        <v>0.13</v>
      </c>
      <c r="I1386" s="4">
        <v>13370.6</v>
      </c>
      <c r="J1386" t="s">
        <v>34</v>
      </c>
      <c r="K1386" t="s">
        <v>48</v>
      </c>
      <c r="L1386" s="4">
        <f>VLOOKUP(tblTransactions[[#This Row],[Product_ID]],tblProducts[],5,FALSE)</f>
        <v>680.12</v>
      </c>
      <c r="M1386" s="4">
        <f>tblTransactions[[#This Row],[Total_Amount]]-(tblTransactions[[#This Row],[Cost_Prices]]*tblTransactions[[#This Row],[Quantity]]*(1-tblTransactions[[#This Row],[Discount]]))</f>
        <v>5086.7384000000002</v>
      </c>
      <c r="N1386" s="3">
        <f>tblTransactions[[#This Row],[Profit]]/tblTransactions[[#This Row],[Total_Amount]]</f>
        <v>0.3804420444856626</v>
      </c>
      <c r="O1386" t="str">
        <f>TEXT(tblTransactions[[#This Row],[Date]], "MMM-YYYY")</f>
        <v>Nov-2023</v>
      </c>
      <c r="P1386" t="str">
        <f>"Q"&amp;ROUNDUP(MONTH(tblTransactions[[#This Row],[Date]])/3,0)&amp;"-"&amp;YEAR(tblTransactions[[#This Row],[Date]])</f>
        <v>Q4-2023</v>
      </c>
      <c r="Q1386">
        <f>YEAR(tblTransactions[[#This Row],[Date]])</f>
        <v>2023</v>
      </c>
      <c r="R1386" t="str">
        <f>TEXT(tblTransactions[[#This Row],[Date]],"DDDD")</f>
        <v>Friday</v>
      </c>
      <c r="S1386">
        <f>MONTH(tblTransactions[[#This Row],[Date]])</f>
        <v>11</v>
      </c>
      <c r="T1386" t="str">
        <f>VLOOKUP(E1386, Products!$A:$B,2,0)</f>
        <v>Storage Fur-4</v>
      </c>
      <c r="U1386" t="str">
        <f>VLOOKUP(E1386,Products!$A:$C,3,0)</f>
        <v>Furniture</v>
      </c>
      <c r="V1386" t="str">
        <f>VLOOKUP(E1386,Products!$A:$D,4,0)</f>
        <v>Storage</v>
      </c>
      <c r="W1386" t="str">
        <f>VLOOKUP(D1386,Customers!$A:$C,3,0)</f>
        <v>B2B</v>
      </c>
      <c r="X1386" t="str">
        <f>VLOOKUP(C1386,Sales_Representatives!$A:$B,2,0)</f>
        <v>Thomas Martinez</v>
      </c>
    </row>
    <row r="1387" spans="1:24" x14ac:dyDescent="0.3">
      <c r="A1387" t="s">
        <v>2024</v>
      </c>
      <c r="B1387" t="s">
        <v>2025</v>
      </c>
      <c r="C1387" t="s">
        <v>19</v>
      </c>
      <c r="D1387" t="s">
        <v>1936</v>
      </c>
      <c r="E1387" t="s">
        <v>394</v>
      </c>
      <c r="F1387">
        <v>40</v>
      </c>
      <c r="G1387">
        <v>314.69</v>
      </c>
      <c r="H1387">
        <v>0.21</v>
      </c>
      <c r="I1387" s="4">
        <v>9944.2000000000007</v>
      </c>
      <c r="J1387" t="s">
        <v>21</v>
      </c>
      <c r="K1387" t="s">
        <v>17</v>
      </c>
      <c r="L1387" s="4">
        <f>VLOOKUP(tblTransactions[[#This Row],[Product_ID]],tblProducts[],5,FALSE)</f>
        <v>185.43</v>
      </c>
      <c r="M1387" s="4">
        <f>tblTransactions[[#This Row],[Total_Amount]]-(tblTransactions[[#This Row],[Cost_Prices]]*tblTransactions[[#This Row],[Quantity]]*(1-tblTransactions[[#This Row],[Discount]]))</f>
        <v>4084.6120000000001</v>
      </c>
      <c r="N1387" s="3">
        <f>tblTransactions[[#This Row],[Profit]]/tblTransactions[[#This Row],[Total_Amount]]</f>
        <v>0.41075320287202588</v>
      </c>
      <c r="O1387" t="str">
        <f>TEXT(tblTransactions[[#This Row],[Date]], "MMM-YYYY")</f>
        <v>Nov-2023</v>
      </c>
      <c r="P1387" t="str">
        <f>"Q"&amp;ROUNDUP(MONTH(tblTransactions[[#This Row],[Date]])/3,0)&amp;"-"&amp;YEAR(tblTransactions[[#This Row],[Date]])</f>
        <v>Q4-2023</v>
      </c>
      <c r="Q1387">
        <f>YEAR(tblTransactions[[#This Row],[Date]])</f>
        <v>2023</v>
      </c>
      <c r="R1387" t="str">
        <f>TEXT(tblTransactions[[#This Row],[Date]],"DDDD")</f>
        <v>Saturday</v>
      </c>
      <c r="S1387">
        <f>MONTH(tblTransactions[[#This Row],[Date]])</f>
        <v>11</v>
      </c>
      <c r="T1387" t="str">
        <f>VLOOKUP(E1387, Products!$A:$B,2,0)</f>
        <v>Desks Fur-1</v>
      </c>
      <c r="U1387" t="str">
        <f>VLOOKUP(E1387,Products!$A:$C,3,0)</f>
        <v>Furniture</v>
      </c>
      <c r="V1387" t="str">
        <f>VLOOKUP(E1387,Products!$A:$D,4,0)</f>
        <v>Desks</v>
      </c>
      <c r="W1387" t="str">
        <f>VLOOKUP(D1387,Customers!$A:$C,3,0)</f>
        <v>Enterprise</v>
      </c>
      <c r="X1387" t="str">
        <f>VLOOKUP(C1387,Sales_Representatives!$A:$B,2,0)</f>
        <v>Robert Jones</v>
      </c>
    </row>
    <row r="1388" spans="1:24" x14ac:dyDescent="0.3">
      <c r="A1388" t="s">
        <v>2026</v>
      </c>
      <c r="B1388" t="s">
        <v>2025</v>
      </c>
      <c r="C1388" t="s">
        <v>70</v>
      </c>
      <c r="D1388" t="s">
        <v>1699</v>
      </c>
      <c r="E1388" t="s">
        <v>324</v>
      </c>
      <c r="F1388">
        <v>15</v>
      </c>
      <c r="G1388">
        <v>245.76</v>
      </c>
      <c r="H1388">
        <v>0.18</v>
      </c>
      <c r="I1388" s="4">
        <v>3022.85</v>
      </c>
      <c r="J1388" t="s">
        <v>16</v>
      </c>
      <c r="K1388" t="s">
        <v>22</v>
      </c>
      <c r="L1388" s="4">
        <f>VLOOKUP(tblTransactions[[#This Row],[Product_ID]],tblProducts[],5,FALSE)</f>
        <v>161.94</v>
      </c>
      <c r="M1388" s="4">
        <f>tblTransactions[[#This Row],[Total_Amount]]-(tblTransactions[[#This Row],[Cost_Prices]]*tblTransactions[[#This Row],[Quantity]]*(1-tblTransactions[[#This Row],[Discount]]))</f>
        <v>1030.9879999999998</v>
      </c>
      <c r="N1388" s="3">
        <f>tblTransactions[[#This Row],[Profit]]/tblTransactions[[#This Row],[Total_Amount]]</f>
        <v>0.34106488909472843</v>
      </c>
      <c r="O1388" t="str">
        <f>TEXT(tblTransactions[[#This Row],[Date]], "MMM-YYYY")</f>
        <v>Nov-2023</v>
      </c>
      <c r="P1388" t="str">
        <f>"Q"&amp;ROUNDUP(MONTH(tblTransactions[[#This Row],[Date]])/3,0)&amp;"-"&amp;YEAR(tblTransactions[[#This Row],[Date]])</f>
        <v>Q4-2023</v>
      </c>
      <c r="Q1388">
        <f>YEAR(tblTransactions[[#This Row],[Date]])</f>
        <v>2023</v>
      </c>
      <c r="R1388" t="str">
        <f>TEXT(tblTransactions[[#This Row],[Date]],"DDDD")</f>
        <v>Saturday</v>
      </c>
      <c r="S1388">
        <f>MONTH(tblTransactions[[#This Row],[Date]])</f>
        <v>11</v>
      </c>
      <c r="T1388" t="str">
        <f>VLOOKUP(E1388, Products!$A:$B,2,0)</f>
        <v>Storage Fur-1</v>
      </c>
      <c r="U1388" t="str">
        <f>VLOOKUP(E1388,Products!$A:$C,3,0)</f>
        <v>Furniture</v>
      </c>
      <c r="V1388" t="str">
        <f>VLOOKUP(E1388,Products!$A:$D,4,0)</f>
        <v>Storage</v>
      </c>
      <c r="W1388" t="str">
        <f>VLOOKUP(D1388,Customers!$A:$C,3,0)</f>
        <v>B2B</v>
      </c>
      <c r="X1388" t="str">
        <f>VLOOKUP(C1388,Sales_Representatives!$A:$B,2,0)</f>
        <v>Linda Smith</v>
      </c>
    </row>
    <row r="1389" spans="1:24" x14ac:dyDescent="0.3">
      <c r="A1389" t="s">
        <v>2027</v>
      </c>
      <c r="B1389" t="s">
        <v>2025</v>
      </c>
      <c r="C1389" t="s">
        <v>13</v>
      </c>
      <c r="D1389" t="s">
        <v>1651</v>
      </c>
      <c r="E1389" t="s">
        <v>172</v>
      </c>
      <c r="F1389">
        <v>9</v>
      </c>
      <c r="G1389">
        <v>1371.15</v>
      </c>
      <c r="H1389">
        <v>0.05</v>
      </c>
      <c r="I1389" s="4">
        <v>11723.33</v>
      </c>
      <c r="J1389" t="s">
        <v>16</v>
      </c>
      <c r="K1389" t="s">
        <v>35</v>
      </c>
      <c r="L1389" s="4">
        <f>VLOOKUP(tblTransactions[[#This Row],[Product_ID]],tblProducts[],5,FALSE)</f>
        <v>989.81</v>
      </c>
      <c r="M1389" s="4">
        <f>tblTransactions[[#This Row],[Total_Amount]]-(tblTransactions[[#This Row],[Cost_Prices]]*tblTransactions[[#This Row],[Quantity]]*(1-tblTransactions[[#This Row],[Discount]]))</f>
        <v>3260.4545000000016</v>
      </c>
      <c r="N1389" s="3">
        <f>tblTransactions[[#This Row],[Profit]]/tblTransactions[[#This Row],[Total_Amount]]</f>
        <v>0.27811675522227913</v>
      </c>
      <c r="O1389" t="str">
        <f>TEXT(tblTransactions[[#This Row],[Date]], "MMM-YYYY")</f>
        <v>Nov-2023</v>
      </c>
      <c r="P1389" t="str">
        <f>"Q"&amp;ROUNDUP(MONTH(tblTransactions[[#This Row],[Date]])/3,0)&amp;"-"&amp;YEAR(tblTransactions[[#This Row],[Date]])</f>
        <v>Q4-2023</v>
      </c>
      <c r="Q1389">
        <f>YEAR(tblTransactions[[#This Row],[Date]])</f>
        <v>2023</v>
      </c>
      <c r="R1389" t="str">
        <f>TEXT(tblTransactions[[#This Row],[Date]],"DDDD")</f>
        <v>Saturday</v>
      </c>
      <c r="S1389">
        <f>MONTH(tblTransactions[[#This Row],[Date]])</f>
        <v>11</v>
      </c>
      <c r="T1389" t="str">
        <f>VLOOKUP(E1389, Products!$A:$B,2,0)</f>
        <v>Cameras Ele-4</v>
      </c>
      <c r="U1389" t="str">
        <f>VLOOKUP(E1389,Products!$A:$C,3,0)</f>
        <v>Electronics</v>
      </c>
      <c r="V1389" t="str">
        <f>VLOOKUP(E1389,Products!$A:$D,4,0)</f>
        <v>Cameras</v>
      </c>
      <c r="W1389" t="str">
        <f>VLOOKUP(D1389,Customers!$A:$C,3,0)</f>
        <v>Enterprise</v>
      </c>
      <c r="X1389" t="str">
        <f>VLOOKUP(C1389,Sales_Representatives!$A:$B,2,0)</f>
        <v>Jennifer Rodriguez</v>
      </c>
    </row>
    <row r="1390" spans="1:24" x14ac:dyDescent="0.3">
      <c r="A1390" t="s">
        <v>2028</v>
      </c>
      <c r="B1390" t="s">
        <v>2025</v>
      </c>
      <c r="C1390" t="s">
        <v>56</v>
      </c>
      <c r="D1390" t="s">
        <v>2029</v>
      </c>
      <c r="E1390" t="s">
        <v>102</v>
      </c>
      <c r="F1390">
        <v>12</v>
      </c>
      <c r="G1390">
        <v>1097.75</v>
      </c>
      <c r="H1390">
        <v>0.14000000000000001</v>
      </c>
      <c r="I1390" s="4">
        <v>11328.78</v>
      </c>
      <c r="J1390" t="s">
        <v>34</v>
      </c>
      <c r="K1390" t="s">
        <v>35</v>
      </c>
      <c r="L1390" s="4">
        <f>VLOOKUP(tblTransactions[[#This Row],[Product_ID]],tblProducts[],5,FALSE)</f>
        <v>680.12</v>
      </c>
      <c r="M1390" s="4">
        <f>tblTransactions[[#This Row],[Total_Amount]]-(tblTransactions[[#This Row],[Cost_Prices]]*tblTransactions[[#This Row],[Quantity]]*(1-tblTransactions[[#This Row],[Discount]]))</f>
        <v>4309.9416000000001</v>
      </c>
      <c r="N1390" s="3">
        <f>tblTransactions[[#This Row],[Profit]]/tblTransactions[[#This Row],[Total_Amount]]</f>
        <v>0.38044181279890682</v>
      </c>
      <c r="O1390" t="str">
        <f>TEXT(tblTransactions[[#This Row],[Date]], "MMM-YYYY")</f>
        <v>Nov-2023</v>
      </c>
      <c r="P1390" t="str">
        <f>"Q"&amp;ROUNDUP(MONTH(tblTransactions[[#This Row],[Date]])/3,0)&amp;"-"&amp;YEAR(tblTransactions[[#This Row],[Date]])</f>
        <v>Q4-2023</v>
      </c>
      <c r="Q1390">
        <f>YEAR(tblTransactions[[#This Row],[Date]])</f>
        <v>2023</v>
      </c>
      <c r="R1390" t="str">
        <f>TEXT(tblTransactions[[#This Row],[Date]],"DDDD")</f>
        <v>Saturday</v>
      </c>
      <c r="S1390">
        <f>MONTH(tblTransactions[[#This Row],[Date]])</f>
        <v>11</v>
      </c>
      <c r="T1390" t="str">
        <f>VLOOKUP(E1390, Products!$A:$B,2,0)</f>
        <v>Storage Fur-4</v>
      </c>
      <c r="U1390" t="str">
        <f>VLOOKUP(E1390,Products!$A:$C,3,0)</f>
        <v>Furniture</v>
      </c>
      <c r="V1390" t="str">
        <f>VLOOKUP(E1390,Products!$A:$D,4,0)</f>
        <v>Storage</v>
      </c>
      <c r="W1390" t="str">
        <f>VLOOKUP(D1390,Customers!$A:$C,3,0)</f>
        <v>B2B</v>
      </c>
      <c r="X1390" t="str">
        <f>VLOOKUP(C1390,Sales_Representatives!$A:$B,2,0)</f>
        <v>Thomas Hernandez</v>
      </c>
    </row>
    <row r="1391" spans="1:24" x14ac:dyDescent="0.3">
      <c r="A1391" t="s">
        <v>2030</v>
      </c>
      <c r="B1391" t="s">
        <v>2031</v>
      </c>
      <c r="C1391" t="s">
        <v>70</v>
      </c>
      <c r="D1391" t="s">
        <v>2032</v>
      </c>
      <c r="E1391" t="s">
        <v>376</v>
      </c>
      <c r="F1391">
        <v>7</v>
      </c>
      <c r="G1391">
        <v>229.65</v>
      </c>
      <c r="H1391">
        <v>0.1</v>
      </c>
      <c r="I1391" s="4">
        <v>1446.8</v>
      </c>
      <c r="J1391" t="s">
        <v>16</v>
      </c>
      <c r="K1391" t="s">
        <v>35</v>
      </c>
      <c r="L1391" s="4">
        <f>VLOOKUP(tblTransactions[[#This Row],[Product_ID]],tblProducts[],5,FALSE)</f>
        <v>96.84</v>
      </c>
      <c r="M1391" s="4">
        <f>tblTransactions[[#This Row],[Total_Amount]]-(tblTransactions[[#This Row],[Cost_Prices]]*tblTransactions[[#This Row],[Quantity]]*(1-tblTransactions[[#This Row],[Discount]]))</f>
        <v>836.70799999999997</v>
      </c>
      <c r="N1391" s="3">
        <f>tblTransactions[[#This Row],[Profit]]/tblTransactions[[#This Row],[Total_Amount]]</f>
        <v>0.5783162842134365</v>
      </c>
      <c r="O1391" t="str">
        <f>TEXT(tblTransactions[[#This Row],[Date]], "MMM-YYYY")</f>
        <v>Nov-2023</v>
      </c>
      <c r="P1391" t="str">
        <f>"Q"&amp;ROUNDUP(MONTH(tblTransactions[[#This Row],[Date]])/3,0)&amp;"-"&amp;YEAR(tblTransactions[[#This Row],[Date]])</f>
        <v>Q4-2023</v>
      </c>
      <c r="Q1391">
        <f>YEAR(tblTransactions[[#This Row],[Date]])</f>
        <v>2023</v>
      </c>
      <c r="R1391" t="str">
        <f>TEXT(tblTransactions[[#This Row],[Date]],"DDDD")</f>
        <v>Sunday</v>
      </c>
      <c r="S1391">
        <f>MONTH(tblTransactions[[#This Row],[Date]])</f>
        <v>11</v>
      </c>
      <c r="T1391" t="str">
        <f>VLOOKUP(E1391, Products!$A:$B,2,0)</f>
        <v>Adapters Acc-2</v>
      </c>
      <c r="U1391" t="str">
        <f>VLOOKUP(E1391,Products!$A:$C,3,0)</f>
        <v>Accessories</v>
      </c>
      <c r="V1391" t="str">
        <f>VLOOKUP(E1391,Products!$A:$D,4,0)</f>
        <v>Adapters</v>
      </c>
      <c r="W1391" t="str">
        <f>VLOOKUP(D1391,Customers!$A:$C,3,0)</f>
        <v>B2C</v>
      </c>
      <c r="X1391" t="str">
        <f>VLOOKUP(C1391,Sales_Representatives!$A:$B,2,0)</f>
        <v>Linda Smith</v>
      </c>
    </row>
    <row r="1392" spans="1:24" x14ac:dyDescent="0.3">
      <c r="A1392" t="s">
        <v>2033</v>
      </c>
      <c r="B1392" t="s">
        <v>2031</v>
      </c>
      <c r="C1392" t="s">
        <v>131</v>
      </c>
      <c r="D1392" t="s">
        <v>1451</v>
      </c>
      <c r="E1392" t="s">
        <v>53</v>
      </c>
      <c r="F1392">
        <v>5</v>
      </c>
      <c r="G1392">
        <v>2069.2199999999998</v>
      </c>
      <c r="H1392">
        <v>0.01</v>
      </c>
      <c r="I1392" s="4">
        <v>10242.64</v>
      </c>
      <c r="J1392" t="s">
        <v>44</v>
      </c>
      <c r="K1392" t="s">
        <v>48</v>
      </c>
      <c r="L1392" s="4">
        <f>VLOOKUP(tblTransactions[[#This Row],[Product_ID]],tblProducts[],5,FALSE)</f>
        <v>1451.18</v>
      </c>
      <c r="M1392" s="4">
        <f>tblTransactions[[#This Row],[Total_Amount]]-(tblTransactions[[#This Row],[Cost_Prices]]*tblTransactions[[#This Row],[Quantity]]*(1-tblTransactions[[#This Row],[Discount]]))</f>
        <v>3059.2989999999991</v>
      </c>
      <c r="N1392" s="3">
        <f>tblTransactions[[#This Row],[Profit]]/tblTransactions[[#This Row],[Total_Amount]]</f>
        <v>0.2986826638444775</v>
      </c>
      <c r="O1392" t="str">
        <f>TEXT(tblTransactions[[#This Row],[Date]], "MMM-YYYY")</f>
        <v>Nov-2023</v>
      </c>
      <c r="P1392" t="str">
        <f>"Q"&amp;ROUNDUP(MONTH(tblTransactions[[#This Row],[Date]])/3,0)&amp;"-"&amp;YEAR(tblTransactions[[#This Row],[Date]])</f>
        <v>Q4-2023</v>
      </c>
      <c r="Q1392">
        <f>YEAR(tblTransactions[[#This Row],[Date]])</f>
        <v>2023</v>
      </c>
      <c r="R1392" t="str">
        <f>TEXT(tblTransactions[[#This Row],[Date]],"DDDD")</f>
        <v>Sunday</v>
      </c>
      <c r="S1392">
        <f>MONTH(tblTransactions[[#This Row],[Date]])</f>
        <v>11</v>
      </c>
      <c r="T1392" t="str">
        <f>VLOOKUP(E1392, Products!$A:$B,2,0)</f>
        <v>Printers Tec-3</v>
      </c>
      <c r="U1392" t="str">
        <f>VLOOKUP(E1392,Products!$A:$C,3,0)</f>
        <v>Technology</v>
      </c>
      <c r="V1392" t="str">
        <f>VLOOKUP(E1392,Products!$A:$D,4,0)</f>
        <v>Printers</v>
      </c>
      <c r="W1392" t="str">
        <f>VLOOKUP(D1392,Customers!$A:$C,3,0)</f>
        <v>B2B</v>
      </c>
      <c r="X1392" t="str">
        <f>VLOOKUP(C1392,Sales_Representatives!$A:$B,2,0)</f>
        <v>Michael Davis</v>
      </c>
    </row>
    <row r="1393" spans="1:24" x14ac:dyDescent="0.3">
      <c r="A1393" t="s">
        <v>2034</v>
      </c>
      <c r="B1393" t="s">
        <v>2031</v>
      </c>
      <c r="C1393" t="s">
        <v>82</v>
      </c>
      <c r="D1393" t="s">
        <v>1670</v>
      </c>
      <c r="E1393" t="s">
        <v>53</v>
      </c>
      <c r="F1393">
        <v>4</v>
      </c>
      <c r="G1393">
        <v>2069.2199999999998</v>
      </c>
      <c r="H1393">
        <v>7.0000000000000007E-2</v>
      </c>
      <c r="I1393" s="4">
        <v>7697.5</v>
      </c>
      <c r="J1393" t="s">
        <v>34</v>
      </c>
      <c r="K1393" t="s">
        <v>22</v>
      </c>
      <c r="L1393" s="4">
        <f>VLOOKUP(tblTransactions[[#This Row],[Product_ID]],tblProducts[],5,FALSE)</f>
        <v>1451.18</v>
      </c>
      <c r="M1393" s="4">
        <f>tblTransactions[[#This Row],[Total_Amount]]-(tblTransactions[[#This Row],[Cost_Prices]]*tblTransactions[[#This Row],[Quantity]]*(1-tblTransactions[[#This Row],[Discount]]))</f>
        <v>2299.1104000000005</v>
      </c>
      <c r="N1393" s="3">
        <f>tblTransactions[[#This Row],[Profit]]/tblTransactions[[#This Row],[Total_Amount]]</f>
        <v>0.29868274114972398</v>
      </c>
      <c r="O1393" t="str">
        <f>TEXT(tblTransactions[[#This Row],[Date]], "MMM-YYYY")</f>
        <v>Nov-2023</v>
      </c>
      <c r="P1393" t="str">
        <f>"Q"&amp;ROUNDUP(MONTH(tblTransactions[[#This Row],[Date]])/3,0)&amp;"-"&amp;YEAR(tblTransactions[[#This Row],[Date]])</f>
        <v>Q4-2023</v>
      </c>
      <c r="Q1393">
        <f>YEAR(tblTransactions[[#This Row],[Date]])</f>
        <v>2023</v>
      </c>
      <c r="R1393" t="str">
        <f>TEXT(tblTransactions[[#This Row],[Date]],"DDDD")</f>
        <v>Sunday</v>
      </c>
      <c r="S1393">
        <f>MONTH(tblTransactions[[#This Row],[Date]])</f>
        <v>11</v>
      </c>
      <c r="T1393" t="str">
        <f>VLOOKUP(E1393, Products!$A:$B,2,0)</f>
        <v>Printers Tec-3</v>
      </c>
      <c r="U1393" t="str">
        <f>VLOOKUP(E1393,Products!$A:$C,3,0)</f>
        <v>Technology</v>
      </c>
      <c r="V1393" t="str">
        <f>VLOOKUP(E1393,Products!$A:$D,4,0)</f>
        <v>Printers</v>
      </c>
      <c r="W1393" t="str">
        <f>VLOOKUP(D1393,Customers!$A:$C,3,0)</f>
        <v>Small Business</v>
      </c>
      <c r="X1393" t="str">
        <f>VLOOKUP(C1393,Sales_Representatives!$A:$B,2,0)</f>
        <v>John Brown</v>
      </c>
    </row>
    <row r="1394" spans="1:24" x14ac:dyDescent="0.3">
      <c r="A1394" t="s">
        <v>2035</v>
      </c>
      <c r="B1394" t="s">
        <v>2031</v>
      </c>
      <c r="C1394" t="s">
        <v>31</v>
      </c>
      <c r="D1394" t="s">
        <v>2036</v>
      </c>
      <c r="E1394" t="s">
        <v>191</v>
      </c>
      <c r="F1394">
        <v>5</v>
      </c>
      <c r="G1394">
        <v>1012.75</v>
      </c>
      <c r="H1394">
        <v>0.05</v>
      </c>
      <c r="I1394" s="4">
        <v>4810.5600000000004</v>
      </c>
      <c r="J1394" t="s">
        <v>34</v>
      </c>
      <c r="K1394" t="s">
        <v>22</v>
      </c>
      <c r="L1394" s="4">
        <f>VLOOKUP(tblTransactions[[#This Row],[Product_ID]],tblProducts[],5,FALSE)</f>
        <v>518.53</v>
      </c>
      <c r="M1394" s="4">
        <f>tblTransactions[[#This Row],[Total_Amount]]-(tblTransactions[[#This Row],[Cost_Prices]]*tblTransactions[[#This Row],[Quantity]]*(1-tblTransactions[[#This Row],[Discount]]))</f>
        <v>2347.5425000000009</v>
      </c>
      <c r="N1394" s="3">
        <f>tblTransactions[[#This Row],[Profit]]/tblTransactions[[#This Row],[Total_Amount]]</f>
        <v>0.48799775909665416</v>
      </c>
      <c r="O1394" t="str">
        <f>TEXT(tblTransactions[[#This Row],[Date]], "MMM-YYYY")</f>
        <v>Nov-2023</v>
      </c>
      <c r="P1394" t="str">
        <f>"Q"&amp;ROUNDUP(MONTH(tblTransactions[[#This Row],[Date]])/3,0)&amp;"-"&amp;YEAR(tblTransactions[[#This Row],[Date]])</f>
        <v>Q4-2023</v>
      </c>
      <c r="Q1394">
        <f>YEAR(tblTransactions[[#This Row],[Date]])</f>
        <v>2023</v>
      </c>
      <c r="R1394" t="str">
        <f>TEXT(tblTransactions[[#This Row],[Date]],"DDDD")</f>
        <v>Sunday</v>
      </c>
      <c r="S1394">
        <f>MONTH(tblTransactions[[#This Row],[Date]])</f>
        <v>11</v>
      </c>
      <c r="T1394" t="str">
        <f>VLOOKUP(E1394, Products!$A:$B,2,0)</f>
        <v>Tables Fur-4</v>
      </c>
      <c r="U1394" t="str">
        <f>VLOOKUP(E1394,Products!$A:$C,3,0)</f>
        <v>Furniture</v>
      </c>
      <c r="V1394" t="str">
        <f>VLOOKUP(E1394,Products!$A:$D,4,0)</f>
        <v>Tables</v>
      </c>
      <c r="W1394" t="str">
        <f>VLOOKUP(D1394,Customers!$A:$C,3,0)</f>
        <v>B2C</v>
      </c>
      <c r="X1394" t="str">
        <f>VLOOKUP(C1394,Sales_Representatives!$A:$B,2,0)</f>
        <v>Thomas Martinez</v>
      </c>
    </row>
    <row r="1395" spans="1:24" x14ac:dyDescent="0.3">
      <c r="A1395" t="s">
        <v>2037</v>
      </c>
      <c r="B1395" t="s">
        <v>2031</v>
      </c>
      <c r="C1395" t="s">
        <v>59</v>
      </c>
      <c r="D1395" t="s">
        <v>1918</v>
      </c>
      <c r="E1395" t="s">
        <v>204</v>
      </c>
      <c r="F1395">
        <v>12</v>
      </c>
      <c r="G1395">
        <v>715.62</v>
      </c>
      <c r="H1395">
        <v>0.16</v>
      </c>
      <c r="I1395" s="4">
        <v>7213.45</v>
      </c>
      <c r="J1395" t="s">
        <v>21</v>
      </c>
      <c r="K1395" t="s">
        <v>22</v>
      </c>
      <c r="L1395" s="4">
        <f>VLOOKUP(tblTransactions[[#This Row],[Product_ID]],tblProducts[],5,FALSE)</f>
        <v>459.58</v>
      </c>
      <c r="M1395" s="4">
        <f>tblTransactions[[#This Row],[Total_Amount]]-(tblTransactions[[#This Row],[Cost_Prices]]*tblTransactions[[#This Row],[Quantity]]*(1-tblTransactions[[#This Row],[Discount]]))</f>
        <v>2580.8836000000001</v>
      </c>
      <c r="N1395" s="3">
        <f>tblTransactions[[#This Row],[Profit]]/tblTransactions[[#This Row],[Total_Amount]]</f>
        <v>0.35778768827676077</v>
      </c>
      <c r="O1395" t="str">
        <f>TEXT(tblTransactions[[#This Row],[Date]], "MMM-YYYY")</f>
        <v>Nov-2023</v>
      </c>
      <c r="P1395" t="str">
        <f>"Q"&amp;ROUNDUP(MONTH(tblTransactions[[#This Row],[Date]])/3,0)&amp;"-"&amp;YEAR(tblTransactions[[#This Row],[Date]])</f>
        <v>Q4-2023</v>
      </c>
      <c r="Q1395">
        <f>YEAR(tblTransactions[[#This Row],[Date]])</f>
        <v>2023</v>
      </c>
      <c r="R1395" t="str">
        <f>TEXT(tblTransactions[[#This Row],[Date]],"DDDD")</f>
        <v>Sunday</v>
      </c>
      <c r="S1395">
        <f>MONTH(tblTransactions[[#This Row],[Date]])</f>
        <v>11</v>
      </c>
      <c r="T1395" t="str">
        <f>VLOOKUP(E1395, Products!$A:$B,2,0)</f>
        <v>Cameras Ele-2</v>
      </c>
      <c r="U1395" t="str">
        <f>VLOOKUP(E1395,Products!$A:$C,3,0)</f>
        <v>Electronics</v>
      </c>
      <c r="V1395" t="str">
        <f>VLOOKUP(E1395,Products!$A:$D,4,0)</f>
        <v>Cameras</v>
      </c>
      <c r="W1395" t="str">
        <f>VLOOKUP(D1395,Customers!$A:$C,3,0)</f>
        <v>B2B</v>
      </c>
      <c r="X1395" t="str">
        <f>VLOOKUP(C1395,Sales_Representatives!$A:$B,2,0)</f>
        <v>Sarah Brown</v>
      </c>
    </row>
    <row r="1396" spans="1:24" x14ac:dyDescent="0.3">
      <c r="A1396" t="s">
        <v>2038</v>
      </c>
      <c r="B1396" t="s">
        <v>2039</v>
      </c>
      <c r="C1396" t="s">
        <v>41</v>
      </c>
      <c r="D1396" t="s">
        <v>1978</v>
      </c>
      <c r="E1396" t="s">
        <v>178</v>
      </c>
      <c r="F1396">
        <v>6</v>
      </c>
      <c r="G1396">
        <v>1623.35</v>
      </c>
      <c r="H1396">
        <v>0.13</v>
      </c>
      <c r="I1396" s="4">
        <v>8473.89</v>
      </c>
      <c r="J1396" t="s">
        <v>44</v>
      </c>
      <c r="K1396" t="s">
        <v>39</v>
      </c>
      <c r="L1396" s="4">
        <f>VLOOKUP(tblTransactions[[#This Row],[Product_ID]],tblProducts[],5,FALSE)</f>
        <v>981.45</v>
      </c>
      <c r="M1396" s="4">
        <f>tblTransactions[[#This Row],[Total_Amount]]-(tblTransactions[[#This Row],[Cost_Prices]]*tblTransactions[[#This Row],[Quantity]]*(1-tblTransactions[[#This Row],[Discount]]))</f>
        <v>3350.7209999999986</v>
      </c>
      <c r="N1396" s="3">
        <f>tblTransactions[[#This Row],[Profit]]/tblTransactions[[#This Row],[Total_Amount]]</f>
        <v>0.39541709887666687</v>
      </c>
      <c r="O1396" t="str">
        <f>TEXT(tblTransactions[[#This Row],[Date]], "MMM-YYYY")</f>
        <v>Nov-2023</v>
      </c>
      <c r="P1396" t="str">
        <f>"Q"&amp;ROUNDUP(MONTH(tblTransactions[[#This Row],[Date]])/3,0)&amp;"-"&amp;YEAR(tblTransactions[[#This Row],[Date]])</f>
        <v>Q4-2023</v>
      </c>
      <c r="Q1396">
        <f>YEAR(tblTransactions[[#This Row],[Date]])</f>
        <v>2023</v>
      </c>
      <c r="R1396" t="str">
        <f>TEXT(tblTransactions[[#This Row],[Date]],"DDDD")</f>
        <v>Monday</v>
      </c>
      <c r="S1396">
        <f>MONTH(tblTransactions[[#This Row],[Date]])</f>
        <v>11</v>
      </c>
      <c r="T1396" t="str">
        <f>VLOOKUP(E1396, Products!$A:$B,2,0)</f>
        <v>Tablets Ele-1</v>
      </c>
      <c r="U1396" t="str">
        <f>VLOOKUP(E1396,Products!$A:$C,3,0)</f>
        <v>Electronics</v>
      </c>
      <c r="V1396" t="str">
        <f>VLOOKUP(E1396,Products!$A:$D,4,0)</f>
        <v>Tablets</v>
      </c>
      <c r="W1396" t="str">
        <f>VLOOKUP(D1396,Customers!$A:$C,3,0)</f>
        <v>B2C</v>
      </c>
      <c r="X1396" t="str">
        <f>VLOOKUP(C1396,Sales_Representatives!$A:$B,2,0)</f>
        <v>Robert Jones</v>
      </c>
    </row>
    <row r="1397" spans="1:24" x14ac:dyDescent="0.3">
      <c r="A1397" t="s">
        <v>2040</v>
      </c>
      <c r="B1397" t="s">
        <v>2039</v>
      </c>
      <c r="C1397" t="s">
        <v>70</v>
      </c>
      <c r="D1397" t="s">
        <v>2041</v>
      </c>
      <c r="E1397" t="s">
        <v>508</v>
      </c>
      <c r="F1397">
        <v>5</v>
      </c>
      <c r="G1397">
        <v>237.69</v>
      </c>
      <c r="H1397">
        <v>0.05</v>
      </c>
      <c r="I1397" s="4">
        <v>1129.03</v>
      </c>
      <c r="J1397" t="s">
        <v>16</v>
      </c>
      <c r="K1397" t="s">
        <v>35</v>
      </c>
      <c r="L1397" s="4">
        <f>VLOOKUP(tblTransactions[[#This Row],[Product_ID]],tblProducts[],5,FALSE)</f>
        <v>115.31</v>
      </c>
      <c r="M1397" s="4">
        <f>tblTransactions[[#This Row],[Total_Amount]]-(tblTransactions[[#This Row],[Cost_Prices]]*tblTransactions[[#This Row],[Quantity]]*(1-tblTransactions[[#This Row],[Discount]]))</f>
        <v>581.3075</v>
      </c>
      <c r="N1397" s="3">
        <f>tblTransactions[[#This Row],[Profit]]/tblTransactions[[#This Row],[Total_Amount]]</f>
        <v>0.51487338688963091</v>
      </c>
      <c r="O1397" t="str">
        <f>TEXT(tblTransactions[[#This Row],[Date]], "MMM-YYYY")</f>
        <v>Nov-2023</v>
      </c>
      <c r="P1397" t="str">
        <f>"Q"&amp;ROUNDUP(MONTH(tblTransactions[[#This Row],[Date]])/3,0)&amp;"-"&amp;YEAR(tblTransactions[[#This Row],[Date]])</f>
        <v>Q4-2023</v>
      </c>
      <c r="Q1397">
        <f>YEAR(tblTransactions[[#This Row],[Date]])</f>
        <v>2023</v>
      </c>
      <c r="R1397" t="str">
        <f>TEXT(tblTransactions[[#This Row],[Date]],"DDDD")</f>
        <v>Monday</v>
      </c>
      <c r="S1397">
        <f>MONTH(tblTransactions[[#This Row],[Date]])</f>
        <v>11</v>
      </c>
      <c r="T1397" t="str">
        <f>VLOOKUP(E1397, Products!$A:$B,2,0)</f>
        <v>Folders Off-3</v>
      </c>
      <c r="U1397" t="str">
        <f>VLOOKUP(E1397,Products!$A:$C,3,0)</f>
        <v>Office Supplies</v>
      </c>
      <c r="V1397" t="str">
        <f>VLOOKUP(E1397,Products!$A:$D,4,0)</f>
        <v>Folders</v>
      </c>
      <c r="W1397" t="str">
        <f>VLOOKUP(D1397,Customers!$A:$C,3,0)</f>
        <v>B2C</v>
      </c>
      <c r="X1397" t="str">
        <f>VLOOKUP(C1397,Sales_Representatives!$A:$B,2,0)</f>
        <v>Linda Smith</v>
      </c>
    </row>
    <row r="1398" spans="1:24" x14ac:dyDescent="0.3">
      <c r="A1398" t="s">
        <v>2042</v>
      </c>
      <c r="B1398" t="s">
        <v>2039</v>
      </c>
      <c r="C1398" t="s">
        <v>56</v>
      </c>
      <c r="D1398" t="s">
        <v>1666</v>
      </c>
      <c r="E1398" t="s">
        <v>29</v>
      </c>
      <c r="F1398">
        <v>47</v>
      </c>
      <c r="G1398">
        <v>1363.46</v>
      </c>
      <c r="H1398">
        <v>0.15</v>
      </c>
      <c r="I1398" s="4">
        <v>54470.23</v>
      </c>
      <c r="J1398" t="s">
        <v>34</v>
      </c>
      <c r="K1398" t="s">
        <v>35</v>
      </c>
      <c r="L1398" s="4">
        <f>VLOOKUP(tblTransactions[[#This Row],[Product_ID]],tblProducts[],5,FALSE)</f>
        <v>995.41</v>
      </c>
      <c r="M1398" s="4">
        <f>tblTransactions[[#This Row],[Total_Amount]]-(tblTransactions[[#This Row],[Cost_Prices]]*tblTransactions[[#This Row],[Quantity]]*(1-tblTransactions[[#This Row],[Discount]]))</f>
        <v>14703.600500000008</v>
      </c>
      <c r="N1398" s="3">
        <f>tblTransactions[[#This Row],[Profit]]/tblTransactions[[#This Row],[Total_Amount]]</f>
        <v>0.26993828555524746</v>
      </c>
      <c r="O1398" t="str">
        <f>TEXT(tblTransactions[[#This Row],[Date]], "MMM-YYYY")</f>
        <v>Nov-2023</v>
      </c>
      <c r="P1398" t="str">
        <f>"Q"&amp;ROUNDUP(MONTH(tblTransactions[[#This Row],[Date]])/3,0)&amp;"-"&amp;YEAR(tblTransactions[[#This Row],[Date]])</f>
        <v>Q4-2023</v>
      </c>
      <c r="Q1398">
        <f>YEAR(tblTransactions[[#This Row],[Date]])</f>
        <v>2023</v>
      </c>
      <c r="R1398" t="str">
        <f>TEXT(tblTransactions[[#This Row],[Date]],"DDDD")</f>
        <v>Monday</v>
      </c>
      <c r="S1398">
        <f>MONTH(tblTransactions[[#This Row],[Date]])</f>
        <v>11</v>
      </c>
      <c r="T1398" t="str">
        <f>VLOOKUP(E1398, Products!$A:$B,2,0)</f>
        <v>Phones Ele-3</v>
      </c>
      <c r="U1398" t="str">
        <f>VLOOKUP(E1398,Products!$A:$C,3,0)</f>
        <v>Electronics</v>
      </c>
      <c r="V1398" t="str">
        <f>VLOOKUP(E1398,Products!$A:$D,4,0)</f>
        <v>Phones</v>
      </c>
      <c r="W1398" t="str">
        <f>VLOOKUP(D1398,Customers!$A:$C,3,0)</f>
        <v>Enterprise</v>
      </c>
      <c r="X1398" t="str">
        <f>VLOOKUP(C1398,Sales_Representatives!$A:$B,2,0)</f>
        <v>Thomas Hernandez</v>
      </c>
    </row>
    <row r="1399" spans="1:24" x14ac:dyDescent="0.3">
      <c r="A1399" t="s">
        <v>2043</v>
      </c>
      <c r="B1399" t="s">
        <v>2039</v>
      </c>
      <c r="C1399" t="s">
        <v>31</v>
      </c>
      <c r="D1399" t="s">
        <v>1965</v>
      </c>
      <c r="E1399" t="s">
        <v>255</v>
      </c>
      <c r="F1399">
        <v>10</v>
      </c>
      <c r="G1399">
        <v>1444.13</v>
      </c>
      <c r="H1399">
        <v>7.0000000000000007E-2</v>
      </c>
      <c r="I1399" s="4">
        <v>13430.41</v>
      </c>
      <c r="J1399" t="s">
        <v>34</v>
      </c>
      <c r="K1399" t="s">
        <v>22</v>
      </c>
      <c r="L1399" s="4">
        <f>VLOOKUP(tblTransactions[[#This Row],[Product_ID]],tblProducts[],5,FALSE)</f>
        <v>874.43</v>
      </c>
      <c r="M1399" s="4">
        <f>tblTransactions[[#This Row],[Total_Amount]]-(tblTransactions[[#This Row],[Cost_Prices]]*tblTransactions[[#This Row],[Quantity]]*(1-tblTransactions[[#This Row],[Discount]]))</f>
        <v>5298.2110000000011</v>
      </c>
      <c r="N1399" s="3">
        <f>tblTransactions[[#This Row],[Profit]]/tblTransactions[[#This Row],[Total_Amount]]</f>
        <v>0.39449361560816099</v>
      </c>
      <c r="O1399" t="str">
        <f>TEXT(tblTransactions[[#This Row],[Date]], "MMM-YYYY")</f>
        <v>Nov-2023</v>
      </c>
      <c r="P1399" t="str">
        <f>"Q"&amp;ROUNDUP(MONTH(tblTransactions[[#This Row],[Date]])/3,0)&amp;"-"&amp;YEAR(tblTransactions[[#This Row],[Date]])</f>
        <v>Q4-2023</v>
      </c>
      <c r="Q1399">
        <f>YEAR(tblTransactions[[#This Row],[Date]])</f>
        <v>2023</v>
      </c>
      <c r="R1399" t="str">
        <f>TEXT(tblTransactions[[#This Row],[Date]],"DDDD")</f>
        <v>Monday</v>
      </c>
      <c r="S1399">
        <f>MONTH(tblTransactions[[#This Row],[Date]])</f>
        <v>11</v>
      </c>
      <c r="T1399" t="str">
        <f>VLOOKUP(E1399, Products!$A:$B,2,0)</f>
        <v>Printers Tec-1</v>
      </c>
      <c r="U1399" t="str">
        <f>VLOOKUP(E1399,Products!$A:$C,3,0)</f>
        <v>Technology</v>
      </c>
      <c r="V1399" t="str">
        <f>VLOOKUP(E1399,Products!$A:$D,4,0)</f>
        <v>Printers</v>
      </c>
      <c r="W1399" t="str">
        <f>VLOOKUP(D1399,Customers!$A:$C,3,0)</f>
        <v>B2B</v>
      </c>
      <c r="X1399" t="str">
        <f>VLOOKUP(C1399,Sales_Representatives!$A:$B,2,0)</f>
        <v>Thomas Martinez</v>
      </c>
    </row>
    <row r="1400" spans="1:24" x14ac:dyDescent="0.3">
      <c r="A1400" t="s">
        <v>2044</v>
      </c>
      <c r="B1400" t="s">
        <v>2045</v>
      </c>
      <c r="C1400" t="s">
        <v>75</v>
      </c>
      <c r="D1400" t="s">
        <v>2036</v>
      </c>
      <c r="E1400" t="s">
        <v>339</v>
      </c>
      <c r="F1400">
        <v>1</v>
      </c>
      <c r="G1400">
        <v>1100.8800000000001</v>
      </c>
      <c r="H1400">
        <v>0.06</v>
      </c>
      <c r="I1400" s="4">
        <v>1034.83</v>
      </c>
      <c r="J1400" t="s">
        <v>44</v>
      </c>
      <c r="K1400" t="s">
        <v>22</v>
      </c>
      <c r="L1400" s="4">
        <f>VLOOKUP(tblTransactions[[#This Row],[Product_ID]],tblProducts[],5,FALSE)</f>
        <v>761.53</v>
      </c>
      <c r="M1400" s="4">
        <f>tblTransactions[[#This Row],[Total_Amount]]-(tblTransactions[[#This Row],[Cost_Prices]]*tblTransactions[[#This Row],[Quantity]]*(1-tblTransactions[[#This Row],[Discount]]))</f>
        <v>318.99180000000001</v>
      </c>
      <c r="N1400" s="3">
        <f>tblTransactions[[#This Row],[Profit]]/tblTransactions[[#This Row],[Total_Amount]]</f>
        <v>0.30825526898137862</v>
      </c>
      <c r="O1400" t="str">
        <f>TEXT(tblTransactions[[#This Row],[Date]], "MMM-YYYY")</f>
        <v>Nov-2023</v>
      </c>
      <c r="P1400" t="str">
        <f>"Q"&amp;ROUNDUP(MONTH(tblTransactions[[#This Row],[Date]])/3,0)&amp;"-"&amp;YEAR(tblTransactions[[#This Row],[Date]])</f>
        <v>Q4-2023</v>
      </c>
      <c r="Q1400">
        <f>YEAR(tblTransactions[[#This Row],[Date]])</f>
        <v>2023</v>
      </c>
      <c r="R1400" t="str">
        <f>TEXT(tblTransactions[[#This Row],[Date]],"DDDD")</f>
        <v>Tuesday</v>
      </c>
      <c r="S1400">
        <f>MONTH(tblTransactions[[#This Row],[Date]])</f>
        <v>11</v>
      </c>
      <c r="T1400" t="str">
        <f>VLOOKUP(E1400, Products!$A:$B,2,0)</f>
        <v>Phones Ele-2</v>
      </c>
      <c r="U1400" t="str">
        <f>VLOOKUP(E1400,Products!$A:$C,3,0)</f>
        <v>Electronics</v>
      </c>
      <c r="V1400" t="str">
        <f>VLOOKUP(E1400,Products!$A:$D,4,0)</f>
        <v>Phones</v>
      </c>
      <c r="W1400" t="str">
        <f>VLOOKUP(D1400,Customers!$A:$C,3,0)</f>
        <v>B2C</v>
      </c>
      <c r="X1400" t="str">
        <f>VLOOKUP(C1400,Sales_Representatives!$A:$B,2,0)</f>
        <v>Jessica Anderson</v>
      </c>
    </row>
    <row r="1401" spans="1:24" x14ac:dyDescent="0.3">
      <c r="A1401" t="s">
        <v>2046</v>
      </c>
      <c r="B1401" t="s">
        <v>2045</v>
      </c>
      <c r="C1401" t="s">
        <v>127</v>
      </c>
      <c r="D1401" t="s">
        <v>2047</v>
      </c>
      <c r="E1401" t="s">
        <v>105</v>
      </c>
      <c r="F1401">
        <v>2</v>
      </c>
      <c r="G1401">
        <v>1342.04</v>
      </c>
      <c r="H1401">
        <v>0.05</v>
      </c>
      <c r="I1401" s="4">
        <v>2549.88</v>
      </c>
      <c r="J1401" t="s">
        <v>109</v>
      </c>
      <c r="K1401" t="s">
        <v>35</v>
      </c>
      <c r="L1401" s="4">
        <f>VLOOKUP(tblTransactions[[#This Row],[Product_ID]],tblProducts[],5,FALSE)</f>
        <v>792.89</v>
      </c>
      <c r="M1401" s="4">
        <f>tblTransactions[[#This Row],[Total_Amount]]-(tblTransactions[[#This Row],[Cost_Prices]]*tblTransactions[[#This Row],[Quantity]]*(1-tblTransactions[[#This Row],[Discount]]))</f>
        <v>1043.3890000000001</v>
      </c>
      <c r="N1401" s="3">
        <f>tblTransactions[[#This Row],[Profit]]/tblTransactions[[#This Row],[Total_Amount]]</f>
        <v>0.40919141292923594</v>
      </c>
      <c r="O1401" t="str">
        <f>TEXT(tblTransactions[[#This Row],[Date]], "MMM-YYYY")</f>
        <v>Nov-2023</v>
      </c>
      <c r="P1401" t="str">
        <f>"Q"&amp;ROUNDUP(MONTH(tblTransactions[[#This Row],[Date]])/3,0)&amp;"-"&amp;YEAR(tblTransactions[[#This Row],[Date]])</f>
        <v>Q4-2023</v>
      </c>
      <c r="Q1401">
        <f>YEAR(tblTransactions[[#This Row],[Date]])</f>
        <v>2023</v>
      </c>
      <c r="R1401" t="str">
        <f>TEXT(tblTransactions[[#This Row],[Date]],"DDDD")</f>
        <v>Tuesday</v>
      </c>
      <c r="S1401">
        <f>MONTH(tblTransactions[[#This Row],[Date]])</f>
        <v>11</v>
      </c>
      <c r="T1401" t="str">
        <f>VLOOKUP(E1401, Products!$A:$B,2,0)</f>
        <v>Cameras Ele-1</v>
      </c>
      <c r="U1401" t="str">
        <f>VLOOKUP(E1401,Products!$A:$C,3,0)</f>
        <v>Electronics</v>
      </c>
      <c r="V1401" t="str">
        <f>VLOOKUP(E1401,Products!$A:$D,4,0)</f>
        <v>Cameras</v>
      </c>
      <c r="W1401" t="str">
        <f>VLOOKUP(D1401,Customers!$A:$C,3,0)</f>
        <v>B2C</v>
      </c>
      <c r="X1401" t="str">
        <f>VLOOKUP(C1401,Sales_Representatives!$A:$B,2,0)</f>
        <v>Emily Hernandez</v>
      </c>
    </row>
    <row r="1402" spans="1:24" x14ac:dyDescent="0.3">
      <c r="A1402" t="s">
        <v>2048</v>
      </c>
      <c r="B1402" t="s">
        <v>2045</v>
      </c>
      <c r="C1402" t="s">
        <v>75</v>
      </c>
      <c r="D1402" t="s">
        <v>1502</v>
      </c>
      <c r="E1402" t="s">
        <v>33</v>
      </c>
      <c r="F1402">
        <v>6</v>
      </c>
      <c r="G1402">
        <v>322.7</v>
      </c>
      <c r="H1402">
        <v>0.12</v>
      </c>
      <c r="I1402" s="4">
        <v>1703.86</v>
      </c>
      <c r="J1402" t="s">
        <v>44</v>
      </c>
      <c r="K1402" t="s">
        <v>17</v>
      </c>
      <c r="L1402" s="4">
        <f>VLOOKUP(tblTransactions[[#This Row],[Product_ID]],tblProducts[],5,FALSE)</f>
        <v>139.81</v>
      </c>
      <c r="M1402" s="4">
        <f>tblTransactions[[#This Row],[Total_Amount]]-(tblTransactions[[#This Row],[Cost_Prices]]*tblTransactions[[#This Row],[Quantity]]*(1-tblTransactions[[#This Row],[Discount]]))</f>
        <v>965.66319999999985</v>
      </c>
      <c r="N1402" s="3">
        <f>tblTransactions[[#This Row],[Profit]]/tblTransactions[[#This Row],[Total_Amount]]</f>
        <v>0.56675031986196045</v>
      </c>
      <c r="O1402" t="str">
        <f>TEXT(tblTransactions[[#This Row],[Date]], "MMM-YYYY")</f>
        <v>Nov-2023</v>
      </c>
      <c r="P1402" t="str">
        <f>"Q"&amp;ROUNDUP(MONTH(tblTransactions[[#This Row],[Date]])/3,0)&amp;"-"&amp;YEAR(tblTransactions[[#This Row],[Date]])</f>
        <v>Q4-2023</v>
      </c>
      <c r="Q1402">
        <f>YEAR(tblTransactions[[#This Row],[Date]])</f>
        <v>2023</v>
      </c>
      <c r="R1402" t="str">
        <f>TEXT(tblTransactions[[#This Row],[Date]],"DDDD")</f>
        <v>Tuesday</v>
      </c>
      <c r="S1402">
        <f>MONTH(tblTransactions[[#This Row],[Date]])</f>
        <v>11</v>
      </c>
      <c r="T1402" t="str">
        <f>VLOOKUP(E1402, Products!$A:$B,2,0)</f>
        <v>Adapters Acc-1</v>
      </c>
      <c r="U1402" t="str">
        <f>VLOOKUP(E1402,Products!$A:$C,3,0)</f>
        <v>Accessories</v>
      </c>
      <c r="V1402" t="str">
        <f>VLOOKUP(E1402,Products!$A:$D,4,0)</f>
        <v>Adapters</v>
      </c>
      <c r="W1402" t="str">
        <f>VLOOKUP(D1402,Customers!$A:$C,3,0)</f>
        <v>Small Business</v>
      </c>
      <c r="X1402" t="str">
        <f>VLOOKUP(C1402,Sales_Representatives!$A:$B,2,0)</f>
        <v>Jessica Anderson</v>
      </c>
    </row>
    <row r="1403" spans="1:24" x14ac:dyDescent="0.3">
      <c r="A1403" t="s">
        <v>2049</v>
      </c>
      <c r="B1403" t="s">
        <v>2045</v>
      </c>
      <c r="C1403" t="s">
        <v>59</v>
      </c>
      <c r="D1403" t="s">
        <v>2050</v>
      </c>
      <c r="E1403" t="s">
        <v>113</v>
      </c>
      <c r="F1403">
        <v>1</v>
      </c>
      <c r="G1403">
        <v>930.41</v>
      </c>
      <c r="H1403">
        <v>7.0000000000000007E-2</v>
      </c>
      <c r="I1403" s="4">
        <v>865.28</v>
      </c>
      <c r="J1403" t="s">
        <v>21</v>
      </c>
      <c r="K1403" t="s">
        <v>17</v>
      </c>
      <c r="L1403" s="4">
        <f>VLOOKUP(tblTransactions[[#This Row],[Product_ID]],tblProducts[],5,FALSE)</f>
        <v>595.51</v>
      </c>
      <c r="M1403" s="4">
        <f>tblTransactions[[#This Row],[Total_Amount]]-(tblTransactions[[#This Row],[Cost_Prices]]*tblTransactions[[#This Row],[Quantity]]*(1-tblTransactions[[#This Row],[Discount]]))</f>
        <v>311.45569999999998</v>
      </c>
      <c r="N1403" s="3">
        <f>tblTransactions[[#This Row],[Profit]]/tblTransactions[[#This Row],[Total_Amount]]</f>
        <v>0.35994787814349111</v>
      </c>
      <c r="O1403" t="str">
        <f>TEXT(tblTransactions[[#This Row],[Date]], "MMM-YYYY")</f>
        <v>Nov-2023</v>
      </c>
      <c r="P1403" t="str">
        <f>"Q"&amp;ROUNDUP(MONTH(tblTransactions[[#This Row],[Date]])/3,0)&amp;"-"&amp;YEAR(tblTransactions[[#This Row],[Date]])</f>
        <v>Q4-2023</v>
      </c>
      <c r="Q1403">
        <f>YEAR(tblTransactions[[#This Row],[Date]])</f>
        <v>2023</v>
      </c>
      <c r="R1403" t="str">
        <f>TEXT(tblTransactions[[#This Row],[Date]],"DDDD")</f>
        <v>Tuesday</v>
      </c>
      <c r="S1403">
        <f>MONTH(tblTransactions[[#This Row],[Date]])</f>
        <v>11</v>
      </c>
      <c r="T1403" t="str">
        <f>VLOOKUP(E1403, Products!$A:$B,2,0)</f>
        <v>Phones Ele-1</v>
      </c>
      <c r="U1403" t="str">
        <f>VLOOKUP(E1403,Products!$A:$C,3,0)</f>
        <v>Electronics</v>
      </c>
      <c r="V1403" t="str">
        <f>VLOOKUP(E1403,Products!$A:$D,4,0)</f>
        <v>Phones</v>
      </c>
      <c r="W1403" t="str">
        <f>VLOOKUP(D1403,Customers!$A:$C,3,0)</f>
        <v>B2C</v>
      </c>
      <c r="X1403" t="str">
        <f>VLOOKUP(C1403,Sales_Representatives!$A:$B,2,0)</f>
        <v>Sarah Brown</v>
      </c>
    </row>
    <row r="1404" spans="1:24" x14ac:dyDescent="0.3">
      <c r="A1404" t="s">
        <v>2051</v>
      </c>
      <c r="B1404" t="s">
        <v>2045</v>
      </c>
      <c r="C1404" t="s">
        <v>27</v>
      </c>
      <c r="D1404" t="s">
        <v>2052</v>
      </c>
      <c r="E1404" t="s">
        <v>105</v>
      </c>
      <c r="F1404">
        <v>19</v>
      </c>
      <c r="G1404">
        <v>1342.04</v>
      </c>
      <c r="H1404">
        <v>0.18</v>
      </c>
      <c r="I1404" s="4">
        <v>20908.98</v>
      </c>
      <c r="J1404" t="s">
        <v>16</v>
      </c>
      <c r="K1404" t="s">
        <v>17</v>
      </c>
      <c r="L1404" s="4">
        <f>VLOOKUP(tblTransactions[[#This Row],[Product_ID]],tblProducts[],5,FALSE)</f>
        <v>792.89</v>
      </c>
      <c r="M1404" s="4">
        <f>tblTransactions[[#This Row],[Total_Amount]]-(tblTransactions[[#This Row],[Cost_Prices]]*tblTransactions[[#This Row],[Quantity]]*(1-tblTransactions[[#This Row],[Discount]]))</f>
        <v>8555.7537999999986</v>
      </c>
      <c r="N1404" s="3">
        <f>tblTransactions[[#This Row],[Profit]]/tblTransactions[[#This Row],[Total_Amount]]</f>
        <v>0.40919039570557714</v>
      </c>
      <c r="O1404" t="str">
        <f>TEXT(tblTransactions[[#This Row],[Date]], "MMM-YYYY")</f>
        <v>Nov-2023</v>
      </c>
      <c r="P1404" t="str">
        <f>"Q"&amp;ROUNDUP(MONTH(tblTransactions[[#This Row],[Date]])/3,0)&amp;"-"&amp;YEAR(tblTransactions[[#This Row],[Date]])</f>
        <v>Q4-2023</v>
      </c>
      <c r="Q1404">
        <f>YEAR(tblTransactions[[#This Row],[Date]])</f>
        <v>2023</v>
      </c>
      <c r="R1404" t="str">
        <f>TEXT(tblTransactions[[#This Row],[Date]],"DDDD")</f>
        <v>Tuesday</v>
      </c>
      <c r="S1404">
        <f>MONTH(tblTransactions[[#This Row],[Date]])</f>
        <v>11</v>
      </c>
      <c r="T1404" t="str">
        <f>VLOOKUP(E1404, Products!$A:$B,2,0)</f>
        <v>Cameras Ele-1</v>
      </c>
      <c r="U1404" t="str">
        <f>VLOOKUP(E1404,Products!$A:$C,3,0)</f>
        <v>Electronics</v>
      </c>
      <c r="V1404" t="str">
        <f>VLOOKUP(E1404,Products!$A:$D,4,0)</f>
        <v>Cameras</v>
      </c>
      <c r="W1404" t="str">
        <f>VLOOKUP(D1404,Customers!$A:$C,3,0)</f>
        <v>B2B</v>
      </c>
      <c r="X1404" t="str">
        <f>VLOOKUP(C1404,Sales_Representatives!$A:$B,2,0)</f>
        <v>Thomas Lopez</v>
      </c>
    </row>
    <row r="1405" spans="1:24" x14ac:dyDescent="0.3">
      <c r="A1405" t="s">
        <v>2053</v>
      </c>
      <c r="B1405" t="s">
        <v>2045</v>
      </c>
      <c r="C1405" t="s">
        <v>27</v>
      </c>
      <c r="D1405" t="s">
        <v>2054</v>
      </c>
      <c r="E1405" t="s">
        <v>450</v>
      </c>
      <c r="F1405">
        <v>1</v>
      </c>
      <c r="G1405">
        <v>2083.92</v>
      </c>
      <c r="H1405">
        <v>0.02</v>
      </c>
      <c r="I1405" s="4">
        <v>2042.24</v>
      </c>
      <c r="J1405" t="s">
        <v>16</v>
      </c>
      <c r="K1405" t="s">
        <v>39</v>
      </c>
      <c r="L1405" s="4">
        <f>VLOOKUP(tblTransactions[[#This Row],[Product_ID]],tblProducts[],5,FALSE)</f>
        <v>1425.78</v>
      </c>
      <c r="M1405" s="4">
        <f>tblTransactions[[#This Row],[Total_Amount]]-(tblTransactions[[#This Row],[Cost_Prices]]*tblTransactions[[#This Row],[Quantity]]*(1-tblTransactions[[#This Row],[Discount]]))</f>
        <v>644.97559999999999</v>
      </c>
      <c r="N1405" s="3">
        <f>tblTransactions[[#This Row],[Profit]]/tblTransactions[[#This Row],[Total_Amount]]</f>
        <v>0.3158177295518646</v>
      </c>
      <c r="O1405" t="str">
        <f>TEXT(tblTransactions[[#This Row],[Date]], "MMM-YYYY")</f>
        <v>Nov-2023</v>
      </c>
      <c r="P1405" t="str">
        <f>"Q"&amp;ROUNDUP(MONTH(tblTransactions[[#This Row],[Date]])/3,0)&amp;"-"&amp;YEAR(tblTransactions[[#This Row],[Date]])</f>
        <v>Q4-2023</v>
      </c>
      <c r="Q1405">
        <f>YEAR(tblTransactions[[#This Row],[Date]])</f>
        <v>2023</v>
      </c>
      <c r="R1405" t="str">
        <f>TEXT(tblTransactions[[#This Row],[Date]],"DDDD")</f>
        <v>Tuesday</v>
      </c>
      <c r="S1405">
        <f>MONTH(tblTransactions[[#This Row],[Date]])</f>
        <v>11</v>
      </c>
      <c r="T1405" t="str">
        <f>VLOOKUP(E1405, Products!$A:$B,2,0)</f>
        <v>Monitors Tec-4</v>
      </c>
      <c r="U1405" t="str">
        <f>VLOOKUP(E1405,Products!$A:$C,3,0)</f>
        <v>Technology</v>
      </c>
      <c r="V1405" t="str">
        <f>VLOOKUP(E1405,Products!$A:$D,4,0)</f>
        <v>Monitors</v>
      </c>
      <c r="W1405" t="str">
        <f>VLOOKUP(D1405,Customers!$A:$C,3,0)</f>
        <v>Small Business</v>
      </c>
      <c r="X1405" t="str">
        <f>VLOOKUP(C1405,Sales_Representatives!$A:$B,2,0)</f>
        <v>Thomas Lopez</v>
      </c>
    </row>
    <row r="1406" spans="1:24" x14ac:dyDescent="0.3">
      <c r="A1406" t="s">
        <v>2055</v>
      </c>
      <c r="B1406" t="s">
        <v>2045</v>
      </c>
      <c r="C1406" t="s">
        <v>141</v>
      </c>
      <c r="D1406" t="s">
        <v>2056</v>
      </c>
      <c r="E1406" t="s">
        <v>283</v>
      </c>
      <c r="F1406">
        <v>5</v>
      </c>
      <c r="G1406">
        <v>456.88</v>
      </c>
      <c r="H1406">
        <v>0.05</v>
      </c>
      <c r="I1406" s="4">
        <v>2170.1799999999998</v>
      </c>
      <c r="J1406" t="s">
        <v>109</v>
      </c>
      <c r="K1406" t="s">
        <v>39</v>
      </c>
      <c r="L1406" s="4">
        <f>VLOOKUP(tblTransactions[[#This Row],[Product_ID]],tblProducts[],5,FALSE)</f>
        <v>313.23</v>
      </c>
      <c r="M1406" s="4">
        <f>tblTransactions[[#This Row],[Total_Amount]]-(tblTransactions[[#This Row],[Cost_Prices]]*tblTransactions[[#This Row],[Quantity]]*(1-tblTransactions[[#This Row],[Discount]]))</f>
        <v>682.33749999999986</v>
      </c>
      <c r="N1406" s="3">
        <f>tblTransactions[[#This Row],[Profit]]/tblTransactions[[#This Row],[Total_Amount]]</f>
        <v>0.31441516371913847</v>
      </c>
      <c r="O1406" t="str">
        <f>TEXT(tblTransactions[[#This Row],[Date]], "MMM-YYYY")</f>
        <v>Nov-2023</v>
      </c>
      <c r="P1406" t="str">
        <f>"Q"&amp;ROUNDUP(MONTH(tblTransactions[[#This Row],[Date]])/3,0)&amp;"-"&amp;YEAR(tblTransactions[[#This Row],[Date]])</f>
        <v>Q4-2023</v>
      </c>
      <c r="Q1406">
        <f>YEAR(tblTransactions[[#This Row],[Date]])</f>
        <v>2023</v>
      </c>
      <c r="R1406" t="str">
        <f>TEXT(tblTransactions[[#This Row],[Date]],"DDDD")</f>
        <v>Tuesday</v>
      </c>
      <c r="S1406">
        <f>MONTH(tblTransactions[[#This Row],[Date]])</f>
        <v>11</v>
      </c>
      <c r="T1406" t="str">
        <f>VLOOKUP(E1406, Products!$A:$B,2,0)</f>
        <v>Chairs Fur-3</v>
      </c>
      <c r="U1406" t="str">
        <f>VLOOKUP(E1406,Products!$A:$C,3,0)</f>
        <v>Furniture</v>
      </c>
      <c r="V1406" t="str">
        <f>VLOOKUP(E1406,Products!$A:$D,4,0)</f>
        <v>Chairs</v>
      </c>
      <c r="W1406" t="str">
        <f>VLOOKUP(D1406,Customers!$A:$C,3,0)</f>
        <v>Small Business</v>
      </c>
      <c r="X1406" t="str">
        <f>VLOOKUP(C1406,Sales_Representatives!$A:$B,2,0)</f>
        <v>Richard Garcia</v>
      </c>
    </row>
    <row r="1407" spans="1:24" x14ac:dyDescent="0.3">
      <c r="A1407" t="s">
        <v>2057</v>
      </c>
      <c r="B1407" t="s">
        <v>2058</v>
      </c>
      <c r="C1407" t="s">
        <v>56</v>
      </c>
      <c r="D1407" t="s">
        <v>2059</v>
      </c>
      <c r="E1407" t="s">
        <v>204</v>
      </c>
      <c r="F1407">
        <v>7</v>
      </c>
      <c r="G1407">
        <v>715.62</v>
      </c>
      <c r="H1407">
        <v>0.11</v>
      </c>
      <c r="I1407" s="4">
        <v>4458.3100000000004</v>
      </c>
      <c r="J1407" t="s">
        <v>34</v>
      </c>
      <c r="K1407" t="s">
        <v>22</v>
      </c>
      <c r="L1407" s="4">
        <f>VLOOKUP(tblTransactions[[#This Row],[Product_ID]],tblProducts[],5,FALSE)</f>
        <v>459.58</v>
      </c>
      <c r="M1407" s="4">
        <f>tblTransactions[[#This Row],[Total_Amount]]-(tblTransactions[[#This Row],[Cost_Prices]]*tblTransactions[[#This Row],[Quantity]]*(1-tblTransactions[[#This Row],[Discount]]))</f>
        <v>1595.1266000000005</v>
      </c>
      <c r="N1407" s="3">
        <f>tblTransactions[[#This Row],[Profit]]/tblTransactions[[#This Row],[Total_Amount]]</f>
        <v>0.35778727813902583</v>
      </c>
      <c r="O1407" t="str">
        <f>TEXT(tblTransactions[[#This Row],[Date]], "MMM-YYYY")</f>
        <v>Nov-2023</v>
      </c>
      <c r="P1407" t="str">
        <f>"Q"&amp;ROUNDUP(MONTH(tblTransactions[[#This Row],[Date]])/3,0)&amp;"-"&amp;YEAR(tblTransactions[[#This Row],[Date]])</f>
        <v>Q4-2023</v>
      </c>
      <c r="Q1407">
        <f>YEAR(tblTransactions[[#This Row],[Date]])</f>
        <v>2023</v>
      </c>
      <c r="R1407" t="str">
        <f>TEXT(tblTransactions[[#This Row],[Date]],"DDDD")</f>
        <v>Wednesday</v>
      </c>
      <c r="S1407">
        <f>MONTH(tblTransactions[[#This Row],[Date]])</f>
        <v>11</v>
      </c>
      <c r="T1407" t="str">
        <f>VLOOKUP(E1407, Products!$A:$B,2,0)</f>
        <v>Cameras Ele-2</v>
      </c>
      <c r="U1407" t="str">
        <f>VLOOKUP(E1407,Products!$A:$C,3,0)</f>
        <v>Electronics</v>
      </c>
      <c r="V1407" t="str">
        <f>VLOOKUP(E1407,Products!$A:$D,4,0)</f>
        <v>Cameras</v>
      </c>
      <c r="W1407" t="str">
        <f>VLOOKUP(D1407,Customers!$A:$C,3,0)</f>
        <v>B2C</v>
      </c>
      <c r="X1407" t="str">
        <f>VLOOKUP(C1407,Sales_Representatives!$A:$B,2,0)</f>
        <v>Thomas Hernandez</v>
      </c>
    </row>
    <row r="1408" spans="1:24" x14ac:dyDescent="0.3">
      <c r="A1408" t="s">
        <v>2060</v>
      </c>
      <c r="B1408" t="s">
        <v>2058</v>
      </c>
      <c r="C1408" t="s">
        <v>82</v>
      </c>
      <c r="D1408" t="s">
        <v>1520</v>
      </c>
      <c r="E1408" t="s">
        <v>125</v>
      </c>
      <c r="F1408">
        <v>3</v>
      </c>
      <c r="G1408">
        <v>1201.4000000000001</v>
      </c>
      <c r="H1408">
        <v>0.03</v>
      </c>
      <c r="I1408" s="4">
        <v>3496.07</v>
      </c>
      <c r="J1408" t="s">
        <v>34</v>
      </c>
      <c r="K1408" t="s">
        <v>17</v>
      </c>
      <c r="L1408" s="4">
        <f>VLOOKUP(tblTransactions[[#This Row],[Product_ID]],tblProducts[],5,FALSE)</f>
        <v>672.72</v>
      </c>
      <c r="M1408" s="4">
        <f>tblTransactions[[#This Row],[Total_Amount]]-(tblTransactions[[#This Row],[Cost_Prices]]*tblTransactions[[#This Row],[Quantity]]*(1-tblTransactions[[#This Row],[Discount]]))</f>
        <v>1538.4548000000002</v>
      </c>
      <c r="N1408" s="3">
        <f>tblTransactions[[#This Row],[Profit]]/tblTransactions[[#This Row],[Total_Amount]]</f>
        <v>0.44005263052513255</v>
      </c>
      <c r="O1408" t="str">
        <f>TEXT(tblTransactions[[#This Row],[Date]], "MMM-YYYY")</f>
        <v>Nov-2023</v>
      </c>
      <c r="P1408" t="str">
        <f>"Q"&amp;ROUNDUP(MONTH(tblTransactions[[#This Row],[Date]])/3,0)&amp;"-"&amp;YEAR(tblTransactions[[#This Row],[Date]])</f>
        <v>Q4-2023</v>
      </c>
      <c r="Q1408">
        <f>YEAR(tblTransactions[[#This Row],[Date]])</f>
        <v>2023</v>
      </c>
      <c r="R1408" t="str">
        <f>TEXT(tblTransactions[[#This Row],[Date]],"DDDD")</f>
        <v>Wednesday</v>
      </c>
      <c r="S1408">
        <f>MONTH(tblTransactions[[#This Row],[Date]])</f>
        <v>11</v>
      </c>
      <c r="T1408" t="str">
        <f>VLOOKUP(E1408, Products!$A:$B,2,0)</f>
        <v>Printers Tec-2</v>
      </c>
      <c r="U1408" t="str">
        <f>VLOOKUP(E1408,Products!$A:$C,3,0)</f>
        <v>Technology</v>
      </c>
      <c r="V1408" t="str">
        <f>VLOOKUP(E1408,Products!$A:$D,4,0)</f>
        <v>Printers</v>
      </c>
      <c r="W1408" t="str">
        <f>VLOOKUP(D1408,Customers!$A:$C,3,0)</f>
        <v>B2C</v>
      </c>
      <c r="X1408" t="str">
        <f>VLOOKUP(C1408,Sales_Representatives!$A:$B,2,0)</f>
        <v>John Brown</v>
      </c>
    </row>
    <row r="1409" spans="1:24" x14ac:dyDescent="0.3">
      <c r="A1409" t="s">
        <v>2061</v>
      </c>
      <c r="B1409" t="s">
        <v>2058</v>
      </c>
      <c r="C1409" t="s">
        <v>27</v>
      </c>
      <c r="D1409" t="s">
        <v>1918</v>
      </c>
      <c r="E1409" t="s">
        <v>89</v>
      </c>
      <c r="F1409">
        <v>15</v>
      </c>
      <c r="G1409">
        <v>555.08000000000004</v>
      </c>
      <c r="H1409">
        <v>0.1</v>
      </c>
      <c r="I1409" s="4">
        <v>7493.58</v>
      </c>
      <c r="J1409" t="s">
        <v>16</v>
      </c>
      <c r="K1409" t="s">
        <v>48</v>
      </c>
      <c r="L1409" s="4">
        <f>VLOOKUP(tblTransactions[[#This Row],[Product_ID]],tblProducts[],5,FALSE)</f>
        <v>402.82</v>
      </c>
      <c r="M1409" s="4">
        <f>tblTransactions[[#This Row],[Total_Amount]]-(tblTransactions[[#This Row],[Cost_Prices]]*tblTransactions[[#This Row],[Quantity]]*(1-tblTransactions[[#This Row],[Discount]]))</f>
        <v>2055.5099999999993</v>
      </c>
      <c r="N1409" s="3">
        <f>tblTransactions[[#This Row],[Profit]]/tblTransactions[[#This Row],[Total_Amount]]</f>
        <v>0.2743028031995387</v>
      </c>
      <c r="O1409" t="str">
        <f>TEXT(tblTransactions[[#This Row],[Date]], "MMM-YYYY")</f>
        <v>Nov-2023</v>
      </c>
      <c r="P1409" t="str">
        <f>"Q"&amp;ROUNDUP(MONTH(tblTransactions[[#This Row],[Date]])/3,0)&amp;"-"&amp;YEAR(tblTransactions[[#This Row],[Date]])</f>
        <v>Q4-2023</v>
      </c>
      <c r="Q1409">
        <f>YEAR(tblTransactions[[#This Row],[Date]])</f>
        <v>2023</v>
      </c>
      <c r="R1409" t="str">
        <f>TEXT(tblTransactions[[#This Row],[Date]],"DDDD")</f>
        <v>Wednesday</v>
      </c>
      <c r="S1409">
        <f>MONTH(tblTransactions[[#This Row],[Date]])</f>
        <v>11</v>
      </c>
      <c r="T1409" t="str">
        <f>VLOOKUP(E1409, Products!$A:$B,2,0)</f>
        <v>Laptops Ele-3</v>
      </c>
      <c r="U1409" t="str">
        <f>VLOOKUP(E1409,Products!$A:$C,3,0)</f>
        <v>Electronics</v>
      </c>
      <c r="V1409" t="str">
        <f>VLOOKUP(E1409,Products!$A:$D,4,0)</f>
        <v>Laptops</v>
      </c>
      <c r="W1409" t="str">
        <f>VLOOKUP(D1409,Customers!$A:$C,3,0)</f>
        <v>B2B</v>
      </c>
      <c r="X1409" t="str">
        <f>VLOOKUP(C1409,Sales_Representatives!$A:$B,2,0)</f>
        <v>Thomas Lopez</v>
      </c>
    </row>
    <row r="1410" spans="1:24" x14ac:dyDescent="0.3">
      <c r="A1410" t="s">
        <v>2062</v>
      </c>
      <c r="B1410" t="s">
        <v>2063</v>
      </c>
      <c r="C1410" t="s">
        <v>127</v>
      </c>
      <c r="D1410" t="s">
        <v>1942</v>
      </c>
      <c r="E1410" t="s">
        <v>172</v>
      </c>
      <c r="F1410">
        <v>14</v>
      </c>
      <c r="G1410">
        <v>1371.15</v>
      </c>
      <c r="H1410">
        <v>0.13</v>
      </c>
      <c r="I1410" s="4">
        <v>16700.61</v>
      </c>
      <c r="J1410" t="s">
        <v>109</v>
      </c>
      <c r="K1410" t="s">
        <v>39</v>
      </c>
      <c r="L1410" s="4">
        <f>VLOOKUP(tblTransactions[[#This Row],[Product_ID]],tblProducts[],5,FALSE)</f>
        <v>989.81</v>
      </c>
      <c r="M1410" s="4">
        <f>tblTransactions[[#This Row],[Total_Amount]]-(tblTransactions[[#This Row],[Cost_Prices]]*tblTransactions[[#This Row],[Quantity]]*(1-tblTransactions[[#This Row],[Discount]]))</f>
        <v>4644.7242000000006</v>
      </c>
      <c r="N1410" s="3">
        <f>tblTransactions[[#This Row],[Profit]]/tblTransactions[[#This Row],[Total_Amount]]</f>
        <v>0.27811703883870115</v>
      </c>
      <c r="O1410" t="str">
        <f>TEXT(tblTransactions[[#This Row],[Date]], "MMM-YYYY")</f>
        <v>Nov-2023</v>
      </c>
      <c r="P1410" t="str">
        <f>"Q"&amp;ROUNDUP(MONTH(tblTransactions[[#This Row],[Date]])/3,0)&amp;"-"&amp;YEAR(tblTransactions[[#This Row],[Date]])</f>
        <v>Q4-2023</v>
      </c>
      <c r="Q1410">
        <f>YEAR(tblTransactions[[#This Row],[Date]])</f>
        <v>2023</v>
      </c>
      <c r="R1410" t="str">
        <f>TEXT(tblTransactions[[#This Row],[Date]],"DDDD")</f>
        <v>Thursday</v>
      </c>
      <c r="S1410">
        <f>MONTH(tblTransactions[[#This Row],[Date]])</f>
        <v>11</v>
      </c>
      <c r="T1410" t="str">
        <f>VLOOKUP(E1410, Products!$A:$B,2,0)</f>
        <v>Cameras Ele-4</v>
      </c>
      <c r="U1410" t="str">
        <f>VLOOKUP(E1410,Products!$A:$C,3,0)</f>
        <v>Electronics</v>
      </c>
      <c r="V1410" t="str">
        <f>VLOOKUP(E1410,Products!$A:$D,4,0)</f>
        <v>Cameras</v>
      </c>
      <c r="W1410" t="str">
        <f>VLOOKUP(D1410,Customers!$A:$C,3,0)</f>
        <v>B2B</v>
      </c>
      <c r="X1410" t="str">
        <f>VLOOKUP(C1410,Sales_Representatives!$A:$B,2,0)</f>
        <v>Emily Hernandez</v>
      </c>
    </row>
    <row r="1411" spans="1:24" x14ac:dyDescent="0.3">
      <c r="A1411" t="s">
        <v>2064</v>
      </c>
      <c r="B1411" t="s">
        <v>2063</v>
      </c>
      <c r="C1411" t="s">
        <v>141</v>
      </c>
      <c r="D1411" t="s">
        <v>2065</v>
      </c>
      <c r="E1411" t="s">
        <v>243</v>
      </c>
      <c r="F1411">
        <v>11</v>
      </c>
      <c r="G1411">
        <v>384.18</v>
      </c>
      <c r="H1411">
        <v>0.15</v>
      </c>
      <c r="I1411" s="4">
        <v>3592.08</v>
      </c>
      <c r="J1411" t="s">
        <v>109</v>
      </c>
      <c r="K1411" t="s">
        <v>35</v>
      </c>
      <c r="L1411" s="4">
        <f>VLOOKUP(tblTransactions[[#This Row],[Product_ID]],tblProducts[],5,FALSE)</f>
        <v>266.92</v>
      </c>
      <c r="M1411" s="4">
        <f>tblTransactions[[#This Row],[Total_Amount]]-(tblTransactions[[#This Row],[Cost_Prices]]*tblTransactions[[#This Row],[Quantity]]*(1-tblTransactions[[#This Row],[Discount]]))</f>
        <v>1096.3779999999997</v>
      </c>
      <c r="N1411" s="3">
        <f>tblTransactions[[#This Row],[Profit]]/tblTransactions[[#This Row],[Total_Amount]]</f>
        <v>0.30522093049152571</v>
      </c>
      <c r="O1411" t="str">
        <f>TEXT(tblTransactions[[#This Row],[Date]], "MMM-YYYY")</f>
        <v>Nov-2023</v>
      </c>
      <c r="P1411" t="str">
        <f>"Q"&amp;ROUNDUP(MONTH(tblTransactions[[#This Row],[Date]])/3,0)&amp;"-"&amp;YEAR(tblTransactions[[#This Row],[Date]])</f>
        <v>Q4-2023</v>
      </c>
      <c r="Q1411">
        <f>YEAR(tblTransactions[[#This Row],[Date]])</f>
        <v>2023</v>
      </c>
      <c r="R1411" t="str">
        <f>TEXT(tblTransactions[[#This Row],[Date]],"DDDD")</f>
        <v>Thursday</v>
      </c>
      <c r="S1411">
        <f>MONTH(tblTransactions[[#This Row],[Date]])</f>
        <v>11</v>
      </c>
      <c r="T1411" t="str">
        <f>VLOOKUP(E1411, Products!$A:$B,2,0)</f>
        <v>Routers Tec-3</v>
      </c>
      <c r="U1411" t="str">
        <f>VLOOKUP(E1411,Products!$A:$C,3,0)</f>
        <v>Technology</v>
      </c>
      <c r="V1411" t="str">
        <f>VLOOKUP(E1411,Products!$A:$D,4,0)</f>
        <v>Routers</v>
      </c>
      <c r="W1411" t="str">
        <f>VLOOKUP(D1411,Customers!$A:$C,3,0)</f>
        <v>B2B</v>
      </c>
      <c r="X1411" t="str">
        <f>VLOOKUP(C1411,Sales_Representatives!$A:$B,2,0)</f>
        <v>Richard Garcia</v>
      </c>
    </row>
    <row r="1412" spans="1:24" x14ac:dyDescent="0.3">
      <c r="A1412" t="s">
        <v>2066</v>
      </c>
      <c r="B1412" t="s">
        <v>2063</v>
      </c>
      <c r="C1412" t="s">
        <v>141</v>
      </c>
      <c r="D1412" t="s">
        <v>166</v>
      </c>
      <c r="E1412" t="s">
        <v>243</v>
      </c>
      <c r="F1412">
        <v>5</v>
      </c>
      <c r="G1412">
        <v>384.18</v>
      </c>
      <c r="H1412">
        <v>0.08</v>
      </c>
      <c r="I1412" s="4">
        <v>1767.23</v>
      </c>
      <c r="J1412" t="s">
        <v>109</v>
      </c>
      <c r="K1412" t="s">
        <v>48</v>
      </c>
      <c r="L1412" s="4">
        <f>VLOOKUP(tblTransactions[[#This Row],[Product_ID]],tblProducts[],5,FALSE)</f>
        <v>266.92</v>
      </c>
      <c r="M1412" s="4">
        <f>tblTransactions[[#This Row],[Total_Amount]]-(tblTransactions[[#This Row],[Cost_Prices]]*tblTransactions[[#This Row],[Quantity]]*(1-tblTransactions[[#This Row],[Discount]]))</f>
        <v>539.39799999999991</v>
      </c>
      <c r="N1412" s="3">
        <f>tblTransactions[[#This Row],[Profit]]/tblTransactions[[#This Row],[Total_Amount]]</f>
        <v>0.30522229704113213</v>
      </c>
      <c r="O1412" t="str">
        <f>TEXT(tblTransactions[[#This Row],[Date]], "MMM-YYYY")</f>
        <v>Nov-2023</v>
      </c>
      <c r="P1412" t="str">
        <f>"Q"&amp;ROUNDUP(MONTH(tblTransactions[[#This Row],[Date]])/3,0)&amp;"-"&amp;YEAR(tblTransactions[[#This Row],[Date]])</f>
        <v>Q4-2023</v>
      </c>
      <c r="Q1412">
        <f>YEAR(tblTransactions[[#This Row],[Date]])</f>
        <v>2023</v>
      </c>
      <c r="R1412" t="str">
        <f>TEXT(tblTransactions[[#This Row],[Date]],"DDDD")</f>
        <v>Thursday</v>
      </c>
      <c r="S1412">
        <f>MONTH(tblTransactions[[#This Row],[Date]])</f>
        <v>11</v>
      </c>
      <c r="T1412" t="str">
        <f>VLOOKUP(E1412, Products!$A:$B,2,0)</f>
        <v>Routers Tec-3</v>
      </c>
      <c r="U1412" t="str">
        <f>VLOOKUP(E1412,Products!$A:$C,3,0)</f>
        <v>Technology</v>
      </c>
      <c r="V1412" t="str">
        <f>VLOOKUP(E1412,Products!$A:$D,4,0)</f>
        <v>Routers</v>
      </c>
      <c r="W1412" t="str">
        <f>VLOOKUP(D1412,Customers!$A:$C,3,0)</f>
        <v>B2C</v>
      </c>
      <c r="X1412" t="str">
        <f>VLOOKUP(C1412,Sales_Representatives!$A:$B,2,0)</f>
        <v>Richard Garcia</v>
      </c>
    </row>
    <row r="1413" spans="1:24" x14ac:dyDescent="0.3">
      <c r="A1413" t="s">
        <v>2067</v>
      </c>
      <c r="B1413" t="s">
        <v>2063</v>
      </c>
      <c r="C1413" t="s">
        <v>82</v>
      </c>
      <c r="D1413" t="s">
        <v>2068</v>
      </c>
      <c r="E1413" t="s">
        <v>704</v>
      </c>
      <c r="F1413">
        <v>1</v>
      </c>
      <c r="G1413">
        <v>291.81</v>
      </c>
      <c r="H1413">
        <v>0.05</v>
      </c>
      <c r="I1413" s="4">
        <v>277.22000000000003</v>
      </c>
      <c r="J1413" t="s">
        <v>34</v>
      </c>
      <c r="K1413" t="s">
        <v>17</v>
      </c>
      <c r="L1413" s="4">
        <f>VLOOKUP(tblTransactions[[#This Row],[Product_ID]],tblProducts[],5,FALSE)</f>
        <v>123.61</v>
      </c>
      <c r="M1413" s="4">
        <f>tblTransactions[[#This Row],[Total_Amount]]-(tblTransactions[[#This Row],[Cost_Prices]]*tblTransactions[[#This Row],[Quantity]]*(1-tblTransactions[[#This Row],[Discount]]))</f>
        <v>159.79050000000004</v>
      </c>
      <c r="N1413" s="3">
        <f>tblTransactions[[#This Row],[Profit]]/tblTransactions[[#This Row],[Total_Amount]]</f>
        <v>0.5764032176610635</v>
      </c>
      <c r="O1413" t="str">
        <f>TEXT(tblTransactions[[#This Row],[Date]], "MMM-YYYY")</f>
        <v>Nov-2023</v>
      </c>
      <c r="P1413" t="str">
        <f>"Q"&amp;ROUNDUP(MONTH(tblTransactions[[#This Row],[Date]])/3,0)&amp;"-"&amp;YEAR(tblTransactions[[#This Row],[Date]])</f>
        <v>Q4-2023</v>
      </c>
      <c r="Q1413">
        <f>YEAR(tblTransactions[[#This Row],[Date]])</f>
        <v>2023</v>
      </c>
      <c r="R1413" t="str">
        <f>TEXT(tblTransactions[[#This Row],[Date]],"DDDD")</f>
        <v>Thursday</v>
      </c>
      <c r="S1413">
        <f>MONTH(tblTransactions[[#This Row],[Date]])</f>
        <v>11</v>
      </c>
      <c r="T1413" t="str">
        <f>VLOOKUP(E1413, Products!$A:$B,2,0)</f>
        <v>Keyboards Acc-4</v>
      </c>
      <c r="U1413" t="str">
        <f>VLOOKUP(E1413,Products!$A:$C,3,0)</f>
        <v>Accessories</v>
      </c>
      <c r="V1413" t="str">
        <f>VLOOKUP(E1413,Products!$A:$D,4,0)</f>
        <v>Keyboards</v>
      </c>
      <c r="W1413" t="str">
        <f>VLOOKUP(D1413,Customers!$A:$C,3,0)</f>
        <v>Small Business</v>
      </c>
      <c r="X1413" t="str">
        <f>VLOOKUP(C1413,Sales_Representatives!$A:$B,2,0)</f>
        <v>John Brown</v>
      </c>
    </row>
    <row r="1414" spans="1:24" x14ac:dyDescent="0.3">
      <c r="A1414" t="s">
        <v>2069</v>
      </c>
      <c r="B1414" t="s">
        <v>2063</v>
      </c>
      <c r="C1414" t="s">
        <v>131</v>
      </c>
      <c r="D1414" t="s">
        <v>2070</v>
      </c>
      <c r="E1414" t="s">
        <v>370</v>
      </c>
      <c r="F1414">
        <v>5</v>
      </c>
      <c r="G1414">
        <v>238.95</v>
      </c>
      <c r="H1414">
        <v>0.04</v>
      </c>
      <c r="I1414" s="4">
        <v>1146.96</v>
      </c>
      <c r="J1414" t="s">
        <v>44</v>
      </c>
      <c r="K1414" t="s">
        <v>48</v>
      </c>
      <c r="L1414" s="4">
        <f>VLOOKUP(tblTransactions[[#This Row],[Product_ID]],tblProducts[],5,FALSE)</f>
        <v>136.6</v>
      </c>
      <c r="M1414" s="4">
        <f>tblTransactions[[#This Row],[Total_Amount]]-(tblTransactions[[#This Row],[Cost_Prices]]*tblTransactions[[#This Row],[Quantity]]*(1-tblTransactions[[#This Row],[Discount]]))</f>
        <v>491.28000000000009</v>
      </c>
      <c r="N1414" s="3">
        <f>tblTransactions[[#This Row],[Profit]]/tblTransactions[[#This Row],[Total_Amount]]</f>
        <v>0.42833228708934928</v>
      </c>
      <c r="O1414" t="str">
        <f>TEXT(tblTransactions[[#This Row],[Date]], "MMM-YYYY")</f>
        <v>Nov-2023</v>
      </c>
      <c r="P1414" t="str">
        <f>"Q"&amp;ROUNDUP(MONTH(tblTransactions[[#This Row],[Date]])/3,0)&amp;"-"&amp;YEAR(tblTransactions[[#This Row],[Date]])</f>
        <v>Q4-2023</v>
      </c>
      <c r="Q1414">
        <f>YEAR(tblTransactions[[#This Row],[Date]])</f>
        <v>2023</v>
      </c>
      <c r="R1414" t="str">
        <f>TEXT(tblTransactions[[#This Row],[Date]],"DDDD")</f>
        <v>Thursday</v>
      </c>
      <c r="S1414">
        <f>MONTH(tblTransactions[[#This Row],[Date]])</f>
        <v>11</v>
      </c>
      <c r="T1414" t="str">
        <f>VLOOKUP(E1414, Products!$A:$B,2,0)</f>
        <v>Cables Acc-1</v>
      </c>
      <c r="U1414" t="str">
        <f>VLOOKUP(E1414,Products!$A:$C,3,0)</f>
        <v>Accessories</v>
      </c>
      <c r="V1414" t="str">
        <f>VLOOKUP(E1414,Products!$A:$D,4,0)</f>
        <v>Cables</v>
      </c>
      <c r="W1414" t="str">
        <f>VLOOKUP(D1414,Customers!$A:$C,3,0)</f>
        <v>Small Business</v>
      </c>
      <c r="X1414" t="str">
        <f>VLOOKUP(C1414,Sales_Representatives!$A:$B,2,0)</f>
        <v>Michael Davis</v>
      </c>
    </row>
    <row r="1415" spans="1:24" x14ac:dyDescent="0.3">
      <c r="A1415" t="s">
        <v>2071</v>
      </c>
      <c r="B1415" t="s">
        <v>2063</v>
      </c>
      <c r="C1415" t="s">
        <v>131</v>
      </c>
      <c r="D1415" t="s">
        <v>2050</v>
      </c>
      <c r="E1415" t="s">
        <v>157</v>
      </c>
      <c r="F1415">
        <v>7</v>
      </c>
      <c r="G1415">
        <v>1227.68</v>
      </c>
      <c r="H1415">
        <v>0.06</v>
      </c>
      <c r="I1415" s="4">
        <v>8078.13</v>
      </c>
      <c r="J1415" t="s">
        <v>44</v>
      </c>
      <c r="K1415" t="s">
        <v>17</v>
      </c>
      <c r="L1415" s="4">
        <f>VLOOKUP(tblTransactions[[#This Row],[Product_ID]],tblProducts[],5,FALSE)</f>
        <v>846.42</v>
      </c>
      <c r="M1415" s="4">
        <f>tblTransactions[[#This Row],[Total_Amount]]-(tblTransactions[[#This Row],[Cost_Prices]]*tblTransactions[[#This Row],[Quantity]]*(1-tblTransactions[[#This Row],[Discount]]))</f>
        <v>2508.6864000000005</v>
      </c>
      <c r="N1415" s="3">
        <f>tblTransactions[[#This Row],[Profit]]/tblTransactions[[#This Row],[Total_Amount]]</f>
        <v>0.31055286310074243</v>
      </c>
      <c r="O1415" t="str">
        <f>TEXT(tblTransactions[[#This Row],[Date]], "MMM-YYYY")</f>
        <v>Nov-2023</v>
      </c>
      <c r="P1415" t="str">
        <f>"Q"&amp;ROUNDUP(MONTH(tblTransactions[[#This Row],[Date]])/3,0)&amp;"-"&amp;YEAR(tblTransactions[[#This Row],[Date]])</f>
        <v>Q4-2023</v>
      </c>
      <c r="Q1415">
        <f>YEAR(tblTransactions[[#This Row],[Date]])</f>
        <v>2023</v>
      </c>
      <c r="R1415" t="str">
        <f>TEXT(tblTransactions[[#This Row],[Date]],"DDDD")</f>
        <v>Thursday</v>
      </c>
      <c r="S1415">
        <f>MONTH(tblTransactions[[#This Row],[Date]])</f>
        <v>11</v>
      </c>
      <c r="T1415" t="str">
        <f>VLOOKUP(E1415, Products!$A:$B,2,0)</f>
        <v>Printers Tec-4</v>
      </c>
      <c r="U1415" t="str">
        <f>VLOOKUP(E1415,Products!$A:$C,3,0)</f>
        <v>Technology</v>
      </c>
      <c r="V1415" t="str">
        <f>VLOOKUP(E1415,Products!$A:$D,4,0)</f>
        <v>Printers</v>
      </c>
      <c r="W1415" t="str">
        <f>VLOOKUP(D1415,Customers!$A:$C,3,0)</f>
        <v>B2C</v>
      </c>
      <c r="X1415" t="str">
        <f>VLOOKUP(C1415,Sales_Representatives!$A:$B,2,0)</f>
        <v>Michael Davis</v>
      </c>
    </row>
    <row r="1416" spans="1:24" x14ac:dyDescent="0.3">
      <c r="A1416" t="s">
        <v>2072</v>
      </c>
      <c r="B1416" t="s">
        <v>2063</v>
      </c>
      <c r="C1416" t="s">
        <v>127</v>
      </c>
      <c r="D1416" t="s">
        <v>1856</v>
      </c>
      <c r="E1416" t="s">
        <v>129</v>
      </c>
      <c r="F1416">
        <v>23</v>
      </c>
      <c r="G1416">
        <v>1283.71</v>
      </c>
      <c r="H1416">
        <v>0.24</v>
      </c>
      <c r="I1416" s="4">
        <v>22439.25</v>
      </c>
      <c r="J1416" t="s">
        <v>109</v>
      </c>
      <c r="K1416" t="s">
        <v>35</v>
      </c>
      <c r="L1416" s="4">
        <f>VLOOKUP(tblTransactions[[#This Row],[Product_ID]],tblProducts[],5,FALSE)</f>
        <v>970.14</v>
      </c>
      <c r="M1416" s="4">
        <f>tblTransactions[[#This Row],[Total_Amount]]-(tblTransactions[[#This Row],[Cost_Prices]]*tblTransactions[[#This Row],[Quantity]]*(1-tblTransactions[[#This Row],[Discount]]))</f>
        <v>5481.2027999999991</v>
      </c>
      <c r="N1416" s="3">
        <f>tblTransactions[[#This Row],[Profit]]/tblTransactions[[#This Row],[Total_Amount]]</f>
        <v>0.24426853838697812</v>
      </c>
      <c r="O1416" t="str">
        <f>TEXT(tblTransactions[[#This Row],[Date]], "MMM-YYYY")</f>
        <v>Nov-2023</v>
      </c>
      <c r="P1416" t="str">
        <f>"Q"&amp;ROUNDUP(MONTH(tblTransactions[[#This Row],[Date]])/3,0)&amp;"-"&amp;YEAR(tblTransactions[[#This Row],[Date]])</f>
        <v>Q4-2023</v>
      </c>
      <c r="Q1416">
        <f>YEAR(tblTransactions[[#This Row],[Date]])</f>
        <v>2023</v>
      </c>
      <c r="R1416" t="str">
        <f>TEXT(tblTransactions[[#This Row],[Date]],"DDDD")</f>
        <v>Thursday</v>
      </c>
      <c r="S1416">
        <f>MONTH(tblTransactions[[#This Row],[Date]])</f>
        <v>11</v>
      </c>
      <c r="T1416" t="str">
        <f>VLOOKUP(E1416, Products!$A:$B,2,0)</f>
        <v>Cameras Ele-3</v>
      </c>
      <c r="U1416" t="str">
        <f>VLOOKUP(E1416,Products!$A:$C,3,0)</f>
        <v>Electronics</v>
      </c>
      <c r="V1416" t="str">
        <f>VLOOKUP(E1416,Products!$A:$D,4,0)</f>
        <v>Cameras</v>
      </c>
      <c r="W1416" t="str">
        <f>VLOOKUP(D1416,Customers!$A:$C,3,0)</f>
        <v>Enterprise</v>
      </c>
      <c r="X1416" t="str">
        <f>VLOOKUP(C1416,Sales_Representatives!$A:$B,2,0)</f>
        <v>Emily Hernandez</v>
      </c>
    </row>
    <row r="1417" spans="1:24" x14ac:dyDescent="0.3">
      <c r="A1417" t="s">
        <v>2073</v>
      </c>
      <c r="B1417" t="s">
        <v>2063</v>
      </c>
      <c r="C1417" t="s">
        <v>13</v>
      </c>
      <c r="D1417" t="s">
        <v>2074</v>
      </c>
      <c r="E1417" t="s">
        <v>125</v>
      </c>
      <c r="F1417">
        <v>5</v>
      </c>
      <c r="G1417">
        <v>1201.4000000000001</v>
      </c>
      <c r="H1417">
        <v>0.1</v>
      </c>
      <c r="I1417" s="4">
        <v>5406.3</v>
      </c>
      <c r="J1417" t="s">
        <v>16</v>
      </c>
      <c r="K1417" t="s">
        <v>35</v>
      </c>
      <c r="L1417" s="4">
        <f>VLOOKUP(tblTransactions[[#This Row],[Product_ID]],tblProducts[],5,FALSE)</f>
        <v>672.72</v>
      </c>
      <c r="M1417" s="4">
        <f>tblTransactions[[#This Row],[Total_Amount]]-(tblTransactions[[#This Row],[Cost_Prices]]*tblTransactions[[#This Row],[Quantity]]*(1-tblTransactions[[#This Row],[Discount]]))</f>
        <v>2379.06</v>
      </c>
      <c r="N1417" s="3">
        <f>tblTransactions[[#This Row],[Profit]]/tblTransactions[[#This Row],[Total_Amount]]</f>
        <v>0.44005327118361909</v>
      </c>
      <c r="O1417" t="str">
        <f>TEXT(tblTransactions[[#This Row],[Date]], "MMM-YYYY")</f>
        <v>Nov-2023</v>
      </c>
      <c r="P1417" t="str">
        <f>"Q"&amp;ROUNDUP(MONTH(tblTransactions[[#This Row],[Date]])/3,0)&amp;"-"&amp;YEAR(tblTransactions[[#This Row],[Date]])</f>
        <v>Q4-2023</v>
      </c>
      <c r="Q1417">
        <f>YEAR(tblTransactions[[#This Row],[Date]])</f>
        <v>2023</v>
      </c>
      <c r="R1417" t="str">
        <f>TEXT(tblTransactions[[#This Row],[Date]],"DDDD")</f>
        <v>Thursday</v>
      </c>
      <c r="S1417">
        <f>MONTH(tblTransactions[[#This Row],[Date]])</f>
        <v>11</v>
      </c>
      <c r="T1417" t="str">
        <f>VLOOKUP(E1417, Products!$A:$B,2,0)</f>
        <v>Printers Tec-2</v>
      </c>
      <c r="U1417" t="str">
        <f>VLOOKUP(E1417,Products!$A:$C,3,0)</f>
        <v>Technology</v>
      </c>
      <c r="V1417" t="str">
        <f>VLOOKUP(E1417,Products!$A:$D,4,0)</f>
        <v>Printers</v>
      </c>
      <c r="W1417" t="str">
        <f>VLOOKUP(D1417,Customers!$A:$C,3,0)</f>
        <v>B2C</v>
      </c>
      <c r="X1417" t="str">
        <f>VLOOKUP(C1417,Sales_Representatives!$A:$B,2,0)</f>
        <v>Jennifer Rodriguez</v>
      </c>
    </row>
    <row r="1418" spans="1:24" x14ac:dyDescent="0.3">
      <c r="A1418" t="s">
        <v>2075</v>
      </c>
      <c r="B1418" t="s">
        <v>2063</v>
      </c>
      <c r="C1418" t="s">
        <v>63</v>
      </c>
      <c r="D1418" t="s">
        <v>1768</v>
      </c>
      <c r="E1418" t="s">
        <v>221</v>
      </c>
      <c r="F1418">
        <v>4</v>
      </c>
      <c r="G1418">
        <v>210.02</v>
      </c>
      <c r="H1418">
        <v>0.02</v>
      </c>
      <c r="I1418" s="4">
        <v>823.28</v>
      </c>
      <c r="J1418" t="s">
        <v>21</v>
      </c>
      <c r="K1418" t="s">
        <v>17</v>
      </c>
      <c r="L1418" s="4">
        <f>VLOOKUP(tblTransactions[[#This Row],[Product_ID]],tblProducts[],5,FALSE)</f>
        <v>131.66</v>
      </c>
      <c r="M1418" s="4">
        <f>tblTransactions[[#This Row],[Total_Amount]]-(tblTransactions[[#This Row],[Cost_Prices]]*tblTransactions[[#This Row],[Quantity]]*(1-tblTransactions[[#This Row],[Discount]]))</f>
        <v>307.17280000000005</v>
      </c>
      <c r="N1418" s="3">
        <f>tblTransactions[[#This Row],[Profit]]/tblTransactions[[#This Row],[Total_Amount]]</f>
        <v>0.37310854144398026</v>
      </c>
      <c r="O1418" t="str">
        <f>TEXT(tblTransactions[[#This Row],[Date]], "MMM-YYYY")</f>
        <v>Nov-2023</v>
      </c>
      <c r="P1418" t="str">
        <f>"Q"&amp;ROUNDUP(MONTH(tblTransactions[[#This Row],[Date]])/3,0)&amp;"-"&amp;YEAR(tblTransactions[[#This Row],[Date]])</f>
        <v>Q4-2023</v>
      </c>
      <c r="Q1418">
        <f>YEAR(tblTransactions[[#This Row],[Date]])</f>
        <v>2023</v>
      </c>
      <c r="R1418" t="str">
        <f>TEXT(tblTransactions[[#This Row],[Date]],"DDDD")</f>
        <v>Thursday</v>
      </c>
      <c r="S1418">
        <f>MONTH(tblTransactions[[#This Row],[Date]])</f>
        <v>11</v>
      </c>
      <c r="T1418" t="str">
        <f>VLOOKUP(E1418, Products!$A:$B,2,0)</f>
        <v>Storage Fur-2</v>
      </c>
      <c r="U1418" t="str">
        <f>VLOOKUP(E1418,Products!$A:$C,3,0)</f>
        <v>Furniture</v>
      </c>
      <c r="V1418" t="str">
        <f>VLOOKUP(E1418,Products!$A:$D,4,0)</f>
        <v>Storage</v>
      </c>
      <c r="W1418" t="str">
        <f>VLOOKUP(D1418,Customers!$A:$C,3,0)</f>
        <v>B2C</v>
      </c>
      <c r="X1418" t="str">
        <f>VLOOKUP(C1418,Sales_Representatives!$A:$B,2,0)</f>
        <v>Richard Wilson</v>
      </c>
    </row>
    <row r="1419" spans="1:24" x14ac:dyDescent="0.3">
      <c r="A1419" t="s">
        <v>2076</v>
      </c>
      <c r="B1419" t="s">
        <v>2063</v>
      </c>
      <c r="C1419" t="s">
        <v>59</v>
      </c>
      <c r="D1419" t="s">
        <v>1774</v>
      </c>
      <c r="E1419" t="s">
        <v>178</v>
      </c>
      <c r="F1419">
        <v>19</v>
      </c>
      <c r="G1419">
        <v>1623.35</v>
      </c>
      <c r="H1419">
        <v>0.12</v>
      </c>
      <c r="I1419" s="4">
        <v>27142.41</v>
      </c>
      <c r="J1419" t="s">
        <v>21</v>
      </c>
      <c r="K1419" t="s">
        <v>17</v>
      </c>
      <c r="L1419" s="4">
        <f>VLOOKUP(tblTransactions[[#This Row],[Product_ID]],tblProducts[],5,FALSE)</f>
        <v>981.45</v>
      </c>
      <c r="M1419" s="4">
        <f>tblTransactions[[#This Row],[Total_Amount]]-(tblTransactions[[#This Row],[Cost_Prices]]*tblTransactions[[#This Row],[Quantity]]*(1-tblTransactions[[#This Row],[Discount]]))</f>
        <v>10732.565999999999</v>
      </c>
      <c r="N1419" s="3">
        <f>tblTransactions[[#This Row],[Profit]]/tblTransactions[[#This Row],[Total_Amount]]</f>
        <v>0.39541684028794788</v>
      </c>
      <c r="O1419" t="str">
        <f>TEXT(tblTransactions[[#This Row],[Date]], "MMM-YYYY")</f>
        <v>Nov-2023</v>
      </c>
      <c r="P1419" t="str">
        <f>"Q"&amp;ROUNDUP(MONTH(tblTransactions[[#This Row],[Date]])/3,0)&amp;"-"&amp;YEAR(tblTransactions[[#This Row],[Date]])</f>
        <v>Q4-2023</v>
      </c>
      <c r="Q1419">
        <f>YEAR(tblTransactions[[#This Row],[Date]])</f>
        <v>2023</v>
      </c>
      <c r="R1419" t="str">
        <f>TEXT(tblTransactions[[#This Row],[Date]],"DDDD")</f>
        <v>Thursday</v>
      </c>
      <c r="S1419">
        <f>MONTH(tblTransactions[[#This Row],[Date]])</f>
        <v>11</v>
      </c>
      <c r="T1419" t="str">
        <f>VLOOKUP(E1419, Products!$A:$B,2,0)</f>
        <v>Tablets Ele-1</v>
      </c>
      <c r="U1419" t="str">
        <f>VLOOKUP(E1419,Products!$A:$C,3,0)</f>
        <v>Electronics</v>
      </c>
      <c r="V1419" t="str">
        <f>VLOOKUP(E1419,Products!$A:$D,4,0)</f>
        <v>Tablets</v>
      </c>
      <c r="W1419" t="str">
        <f>VLOOKUP(D1419,Customers!$A:$C,3,0)</f>
        <v>Enterprise</v>
      </c>
      <c r="X1419" t="str">
        <f>VLOOKUP(C1419,Sales_Representatives!$A:$B,2,0)</f>
        <v>Sarah Brown</v>
      </c>
    </row>
    <row r="1420" spans="1:24" x14ac:dyDescent="0.3">
      <c r="A1420" t="s">
        <v>2077</v>
      </c>
      <c r="B1420" t="s">
        <v>2063</v>
      </c>
      <c r="C1420" t="s">
        <v>59</v>
      </c>
      <c r="D1420" t="s">
        <v>1938</v>
      </c>
      <c r="E1420" t="s">
        <v>248</v>
      </c>
      <c r="F1420">
        <v>5</v>
      </c>
      <c r="G1420">
        <v>82.29</v>
      </c>
      <c r="H1420">
        <v>7.0000000000000007E-2</v>
      </c>
      <c r="I1420" s="4">
        <v>382.65</v>
      </c>
      <c r="J1420" t="s">
        <v>21</v>
      </c>
      <c r="K1420" t="s">
        <v>17</v>
      </c>
      <c r="L1420" s="4">
        <f>VLOOKUP(tblTransactions[[#This Row],[Product_ID]],tblProducts[],5,FALSE)</f>
        <v>51.11</v>
      </c>
      <c r="M1420" s="4">
        <f>tblTransactions[[#This Row],[Total_Amount]]-(tblTransactions[[#This Row],[Cost_Prices]]*tblTransactions[[#This Row],[Quantity]]*(1-tblTransactions[[#This Row],[Discount]]))</f>
        <v>144.98849999999999</v>
      </c>
      <c r="N1420" s="3">
        <f>tblTransactions[[#This Row],[Profit]]/tblTransactions[[#This Row],[Total_Amount]]</f>
        <v>0.37890631125049001</v>
      </c>
      <c r="O1420" t="str">
        <f>TEXT(tblTransactions[[#This Row],[Date]], "MMM-YYYY")</f>
        <v>Nov-2023</v>
      </c>
      <c r="P1420" t="str">
        <f>"Q"&amp;ROUNDUP(MONTH(tblTransactions[[#This Row],[Date]])/3,0)&amp;"-"&amp;YEAR(tblTransactions[[#This Row],[Date]])</f>
        <v>Q4-2023</v>
      </c>
      <c r="Q1420">
        <f>YEAR(tblTransactions[[#This Row],[Date]])</f>
        <v>2023</v>
      </c>
      <c r="R1420" t="str">
        <f>TEXT(tblTransactions[[#This Row],[Date]],"DDDD")</f>
        <v>Thursday</v>
      </c>
      <c r="S1420">
        <f>MONTH(tblTransactions[[#This Row],[Date]])</f>
        <v>11</v>
      </c>
      <c r="T1420" t="str">
        <f>VLOOKUP(E1420, Products!$A:$B,2,0)</f>
        <v>Keyboards Acc-2</v>
      </c>
      <c r="U1420" t="str">
        <f>VLOOKUP(E1420,Products!$A:$C,3,0)</f>
        <v>Accessories</v>
      </c>
      <c r="V1420" t="str">
        <f>VLOOKUP(E1420,Products!$A:$D,4,0)</f>
        <v>Keyboards</v>
      </c>
      <c r="W1420" t="str">
        <f>VLOOKUP(D1420,Customers!$A:$C,3,0)</f>
        <v>B2C</v>
      </c>
      <c r="X1420" t="str">
        <f>VLOOKUP(C1420,Sales_Representatives!$A:$B,2,0)</f>
        <v>Sarah Brown</v>
      </c>
    </row>
    <row r="1421" spans="1:24" x14ac:dyDescent="0.3">
      <c r="A1421" t="s">
        <v>2078</v>
      </c>
      <c r="B1421" t="s">
        <v>2063</v>
      </c>
      <c r="C1421" t="s">
        <v>75</v>
      </c>
      <c r="D1421" t="s">
        <v>1500</v>
      </c>
      <c r="E1421" t="s">
        <v>102</v>
      </c>
      <c r="F1421">
        <v>3</v>
      </c>
      <c r="G1421">
        <v>1097.75</v>
      </c>
      <c r="H1421">
        <v>0.04</v>
      </c>
      <c r="I1421" s="4">
        <v>3161.52</v>
      </c>
      <c r="J1421" t="s">
        <v>44</v>
      </c>
      <c r="K1421" t="s">
        <v>17</v>
      </c>
      <c r="L1421" s="4">
        <f>VLOOKUP(tblTransactions[[#This Row],[Product_ID]],tblProducts[],5,FALSE)</f>
        <v>680.12</v>
      </c>
      <c r="M1421" s="4">
        <f>tblTransactions[[#This Row],[Total_Amount]]-(tblTransactions[[#This Row],[Cost_Prices]]*tblTransactions[[#This Row],[Quantity]]*(1-tblTransactions[[#This Row],[Discount]]))</f>
        <v>1202.7744</v>
      </c>
      <c r="N1421" s="3">
        <f>tblTransactions[[#This Row],[Profit]]/tblTransactions[[#This Row],[Total_Amount]]</f>
        <v>0.38044181279890688</v>
      </c>
      <c r="O1421" t="str">
        <f>TEXT(tblTransactions[[#This Row],[Date]], "MMM-YYYY")</f>
        <v>Nov-2023</v>
      </c>
      <c r="P1421" t="str">
        <f>"Q"&amp;ROUNDUP(MONTH(tblTransactions[[#This Row],[Date]])/3,0)&amp;"-"&amp;YEAR(tblTransactions[[#This Row],[Date]])</f>
        <v>Q4-2023</v>
      </c>
      <c r="Q1421">
        <f>YEAR(tblTransactions[[#This Row],[Date]])</f>
        <v>2023</v>
      </c>
      <c r="R1421" t="str">
        <f>TEXT(tblTransactions[[#This Row],[Date]],"DDDD")</f>
        <v>Thursday</v>
      </c>
      <c r="S1421">
        <f>MONTH(tblTransactions[[#This Row],[Date]])</f>
        <v>11</v>
      </c>
      <c r="T1421" t="str">
        <f>VLOOKUP(E1421, Products!$A:$B,2,0)</f>
        <v>Storage Fur-4</v>
      </c>
      <c r="U1421" t="str">
        <f>VLOOKUP(E1421,Products!$A:$C,3,0)</f>
        <v>Furniture</v>
      </c>
      <c r="V1421" t="str">
        <f>VLOOKUP(E1421,Products!$A:$D,4,0)</f>
        <v>Storage</v>
      </c>
      <c r="W1421" t="str">
        <f>VLOOKUP(D1421,Customers!$A:$C,3,0)</f>
        <v>B2C</v>
      </c>
      <c r="X1421" t="str">
        <f>VLOOKUP(C1421,Sales_Representatives!$A:$B,2,0)</f>
        <v>Jessica Anderson</v>
      </c>
    </row>
    <row r="1422" spans="1:24" x14ac:dyDescent="0.3">
      <c r="A1422" t="s">
        <v>2079</v>
      </c>
      <c r="B1422" t="s">
        <v>2080</v>
      </c>
      <c r="C1422" t="s">
        <v>31</v>
      </c>
      <c r="D1422" t="s">
        <v>1737</v>
      </c>
      <c r="E1422" t="s">
        <v>157</v>
      </c>
      <c r="F1422">
        <v>15</v>
      </c>
      <c r="G1422">
        <v>1227.68</v>
      </c>
      <c r="H1422">
        <v>0.12</v>
      </c>
      <c r="I1422" s="4">
        <v>16205.38</v>
      </c>
      <c r="J1422" t="s">
        <v>34</v>
      </c>
      <c r="K1422" t="s">
        <v>22</v>
      </c>
      <c r="L1422" s="4">
        <f>VLOOKUP(tblTransactions[[#This Row],[Product_ID]],tblProducts[],5,FALSE)</f>
        <v>846.42</v>
      </c>
      <c r="M1422" s="4">
        <f>tblTransactions[[#This Row],[Total_Amount]]-(tblTransactions[[#This Row],[Cost_Prices]]*tblTransactions[[#This Row],[Quantity]]*(1-tblTransactions[[#This Row],[Discount]]))</f>
        <v>5032.6360000000004</v>
      </c>
      <c r="N1422" s="3">
        <f>tblTransactions[[#This Row],[Profit]]/tblTransactions[[#This Row],[Total_Amount]]</f>
        <v>0.3105534088062113</v>
      </c>
      <c r="O1422" t="str">
        <f>TEXT(tblTransactions[[#This Row],[Date]], "MMM-YYYY")</f>
        <v>Nov-2023</v>
      </c>
      <c r="P1422" t="str">
        <f>"Q"&amp;ROUNDUP(MONTH(tblTransactions[[#This Row],[Date]])/3,0)&amp;"-"&amp;YEAR(tblTransactions[[#This Row],[Date]])</f>
        <v>Q4-2023</v>
      </c>
      <c r="Q1422">
        <f>YEAR(tblTransactions[[#This Row],[Date]])</f>
        <v>2023</v>
      </c>
      <c r="R1422" t="str">
        <f>TEXT(tblTransactions[[#This Row],[Date]],"DDDD")</f>
        <v>Friday</v>
      </c>
      <c r="S1422">
        <f>MONTH(tblTransactions[[#This Row],[Date]])</f>
        <v>11</v>
      </c>
      <c r="T1422" t="str">
        <f>VLOOKUP(E1422, Products!$A:$B,2,0)</f>
        <v>Printers Tec-4</v>
      </c>
      <c r="U1422" t="str">
        <f>VLOOKUP(E1422,Products!$A:$C,3,0)</f>
        <v>Technology</v>
      </c>
      <c r="V1422" t="str">
        <f>VLOOKUP(E1422,Products!$A:$D,4,0)</f>
        <v>Printers</v>
      </c>
      <c r="W1422" t="str">
        <f>VLOOKUP(D1422,Customers!$A:$C,3,0)</f>
        <v>B2B</v>
      </c>
      <c r="X1422" t="str">
        <f>VLOOKUP(C1422,Sales_Representatives!$A:$B,2,0)</f>
        <v>Thomas Martinez</v>
      </c>
    </row>
    <row r="1423" spans="1:24" x14ac:dyDescent="0.3">
      <c r="A1423" t="s">
        <v>2081</v>
      </c>
      <c r="B1423" t="s">
        <v>2080</v>
      </c>
      <c r="C1423" t="s">
        <v>131</v>
      </c>
      <c r="D1423" t="s">
        <v>1455</v>
      </c>
      <c r="E1423" t="s">
        <v>91</v>
      </c>
      <c r="F1423">
        <v>3</v>
      </c>
      <c r="G1423">
        <v>286.62</v>
      </c>
      <c r="H1423">
        <v>0.04</v>
      </c>
      <c r="I1423" s="4">
        <v>825.47</v>
      </c>
      <c r="J1423" t="s">
        <v>44</v>
      </c>
      <c r="K1423" t="s">
        <v>22</v>
      </c>
      <c r="L1423" s="4">
        <f>VLOOKUP(tblTransactions[[#This Row],[Product_ID]],tblProducts[],5,FALSE)</f>
        <v>145.54</v>
      </c>
      <c r="M1423" s="4">
        <f>tblTransactions[[#This Row],[Total_Amount]]-(tblTransactions[[#This Row],[Cost_Prices]]*tblTransactions[[#This Row],[Quantity]]*(1-tblTransactions[[#This Row],[Discount]]))</f>
        <v>406.31480000000005</v>
      </c>
      <c r="N1423" s="3">
        <f>tblTransactions[[#This Row],[Profit]]/tblTransactions[[#This Row],[Total_Amount]]</f>
        <v>0.4922223702860189</v>
      </c>
      <c r="O1423" t="str">
        <f>TEXT(tblTransactions[[#This Row],[Date]], "MMM-YYYY")</f>
        <v>Nov-2023</v>
      </c>
      <c r="P1423" t="str">
        <f>"Q"&amp;ROUNDUP(MONTH(tblTransactions[[#This Row],[Date]])/3,0)&amp;"-"&amp;YEAR(tblTransactions[[#This Row],[Date]])</f>
        <v>Q4-2023</v>
      </c>
      <c r="Q1423">
        <f>YEAR(tblTransactions[[#This Row],[Date]])</f>
        <v>2023</v>
      </c>
      <c r="R1423" t="str">
        <f>TEXT(tblTransactions[[#This Row],[Date]],"DDDD")</f>
        <v>Friday</v>
      </c>
      <c r="S1423">
        <f>MONTH(tblTransactions[[#This Row],[Date]])</f>
        <v>11</v>
      </c>
      <c r="T1423" t="str">
        <f>VLOOKUP(E1423, Products!$A:$B,2,0)</f>
        <v>Chairs Fur-1</v>
      </c>
      <c r="U1423" t="str">
        <f>VLOOKUP(E1423,Products!$A:$C,3,0)</f>
        <v>Furniture</v>
      </c>
      <c r="V1423" t="str">
        <f>VLOOKUP(E1423,Products!$A:$D,4,0)</f>
        <v>Chairs</v>
      </c>
      <c r="W1423" t="str">
        <f>VLOOKUP(D1423,Customers!$A:$C,3,0)</f>
        <v>Small Business</v>
      </c>
      <c r="X1423" t="str">
        <f>VLOOKUP(C1423,Sales_Representatives!$A:$B,2,0)</f>
        <v>Michael Davis</v>
      </c>
    </row>
    <row r="1424" spans="1:24" x14ac:dyDescent="0.3">
      <c r="A1424" t="s">
        <v>2082</v>
      </c>
      <c r="B1424" t="s">
        <v>2080</v>
      </c>
      <c r="C1424" t="s">
        <v>107</v>
      </c>
      <c r="D1424" t="s">
        <v>71</v>
      </c>
      <c r="E1424" t="s">
        <v>113</v>
      </c>
      <c r="F1424">
        <v>16</v>
      </c>
      <c r="G1424">
        <v>930.41</v>
      </c>
      <c r="H1424">
        <v>0.16</v>
      </c>
      <c r="I1424" s="4">
        <v>12504.71</v>
      </c>
      <c r="J1424" t="s">
        <v>109</v>
      </c>
      <c r="K1424" t="s">
        <v>48</v>
      </c>
      <c r="L1424" s="4">
        <f>VLOOKUP(tblTransactions[[#This Row],[Product_ID]],tblProducts[],5,FALSE)</f>
        <v>595.51</v>
      </c>
      <c r="M1424" s="4">
        <f>tblTransactions[[#This Row],[Total_Amount]]-(tblTransactions[[#This Row],[Cost_Prices]]*tblTransactions[[#This Row],[Quantity]]*(1-tblTransactions[[#This Row],[Discount]]))</f>
        <v>4501.0555999999997</v>
      </c>
      <c r="N1424" s="3">
        <f>tblTransactions[[#This Row],[Profit]]/tblTransactions[[#This Row],[Total_Amount]]</f>
        <v>0.35994881928489347</v>
      </c>
      <c r="O1424" t="str">
        <f>TEXT(tblTransactions[[#This Row],[Date]], "MMM-YYYY")</f>
        <v>Nov-2023</v>
      </c>
      <c r="P1424" t="str">
        <f>"Q"&amp;ROUNDUP(MONTH(tblTransactions[[#This Row],[Date]])/3,0)&amp;"-"&amp;YEAR(tblTransactions[[#This Row],[Date]])</f>
        <v>Q4-2023</v>
      </c>
      <c r="Q1424">
        <f>YEAR(tblTransactions[[#This Row],[Date]])</f>
        <v>2023</v>
      </c>
      <c r="R1424" t="str">
        <f>TEXT(tblTransactions[[#This Row],[Date]],"DDDD")</f>
        <v>Friday</v>
      </c>
      <c r="S1424">
        <f>MONTH(tblTransactions[[#This Row],[Date]])</f>
        <v>11</v>
      </c>
      <c r="T1424" t="str">
        <f>VLOOKUP(E1424, Products!$A:$B,2,0)</f>
        <v>Phones Ele-1</v>
      </c>
      <c r="U1424" t="str">
        <f>VLOOKUP(E1424,Products!$A:$C,3,0)</f>
        <v>Electronics</v>
      </c>
      <c r="V1424" t="str">
        <f>VLOOKUP(E1424,Products!$A:$D,4,0)</f>
        <v>Phones</v>
      </c>
      <c r="W1424" t="str">
        <f>VLOOKUP(D1424,Customers!$A:$C,3,0)</f>
        <v>B2B</v>
      </c>
      <c r="X1424" t="str">
        <f>VLOOKUP(C1424,Sales_Representatives!$A:$B,2,0)</f>
        <v>Jennifer Brown</v>
      </c>
    </row>
    <row r="1425" spans="1:24" x14ac:dyDescent="0.3">
      <c r="A1425" t="s">
        <v>2083</v>
      </c>
      <c r="B1425" t="s">
        <v>2080</v>
      </c>
      <c r="C1425" t="s">
        <v>75</v>
      </c>
      <c r="D1425" t="s">
        <v>1969</v>
      </c>
      <c r="E1425" t="s">
        <v>105</v>
      </c>
      <c r="F1425">
        <v>44</v>
      </c>
      <c r="G1425">
        <v>1342.04</v>
      </c>
      <c r="H1425">
        <v>0.24</v>
      </c>
      <c r="I1425" s="4">
        <v>44877.82</v>
      </c>
      <c r="J1425" t="s">
        <v>44</v>
      </c>
      <c r="K1425" t="s">
        <v>17</v>
      </c>
      <c r="L1425" s="4">
        <f>VLOOKUP(tblTransactions[[#This Row],[Product_ID]],tblProducts[],5,FALSE)</f>
        <v>792.89</v>
      </c>
      <c r="M1425" s="4">
        <f>tblTransactions[[#This Row],[Total_Amount]]-(tblTransactions[[#This Row],[Cost_Prices]]*tblTransactions[[#This Row],[Quantity]]*(1-tblTransactions[[#This Row],[Discount]]))</f>
        <v>18363.578400000002</v>
      </c>
      <c r="N1425" s="3">
        <f>tblTransactions[[#This Row],[Profit]]/tblTransactions[[#This Row],[Total_Amount]]</f>
        <v>0.40919051772122628</v>
      </c>
      <c r="O1425" t="str">
        <f>TEXT(tblTransactions[[#This Row],[Date]], "MMM-YYYY")</f>
        <v>Nov-2023</v>
      </c>
      <c r="P1425" t="str">
        <f>"Q"&amp;ROUNDUP(MONTH(tblTransactions[[#This Row],[Date]])/3,0)&amp;"-"&amp;YEAR(tblTransactions[[#This Row],[Date]])</f>
        <v>Q4-2023</v>
      </c>
      <c r="Q1425">
        <f>YEAR(tblTransactions[[#This Row],[Date]])</f>
        <v>2023</v>
      </c>
      <c r="R1425" t="str">
        <f>TEXT(tblTransactions[[#This Row],[Date]],"DDDD")</f>
        <v>Friday</v>
      </c>
      <c r="S1425">
        <f>MONTH(tblTransactions[[#This Row],[Date]])</f>
        <v>11</v>
      </c>
      <c r="T1425" t="str">
        <f>VLOOKUP(E1425, Products!$A:$B,2,0)</f>
        <v>Cameras Ele-1</v>
      </c>
      <c r="U1425" t="str">
        <f>VLOOKUP(E1425,Products!$A:$C,3,0)</f>
        <v>Electronics</v>
      </c>
      <c r="V1425" t="str">
        <f>VLOOKUP(E1425,Products!$A:$D,4,0)</f>
        <v>Cameras</v>
      </c>
      <c r="W1425" t="str">
        <f>VLOOKUP(D1425,Customers!$A:$C,3,0)</f>
        <v>Enterprise</v>
      </c>
      <c r="X1425" t="str">
        <f>VLOOKUP(C1425,Sales_Representatives!$A:$B,2,0)</f>
        <v>Jessica Anderson</v>
      </c>
    </row>
    <row r="1426" spans="1:24" x14ac:dyDescent="0.3">
      <c r="A1426" t="s">
        <v>2084</v>
      </c>
      <c r="B1426" t="s">
        <v>2080</v>
      </c>
      <c r="C1426" t="s">
        <v>13</v>
      </c>
      <c r="D1426" t="s">
        <v>1973</v>
      </c>
      <c r="E1426" t="s">
        <v>283</v>
      </c>
      <c r="F1426">
        <v>10</v>
      </c>
      <c r="G1426">
        <v>456.88</v>
      </c>
      <c r="H1426">
        <v>0.05</v>
      </c>
      <c r="I1426" s="4">
        <v>4340.3599999999997</v>
      </c>
      <c r="J1426" t="s">
        <v>16</v>
      </c>
      <c r="K1426" t="s">
        <v>22</v>
      </c>
      <c r="L1426" s="4">
        <f>VLOOKUP(tblTransactions[[#This Row],[Product_ID]],tblProducts[],5,FALSE)</f>
        <v>313.23</v>
      </c>
      <c r="M1426" s="4">
        <f>tblTransactions[[#This Row],[Total_Amount]]-(tblTransactions[[#This Row],[Cost_Prices]]*tblTransactions[[#This Row],[Quantity]]*(1-tblTransactions[[#This Row],[Discount]]))</f>
        <v>1364.6749999999997</v>
      </c>
      <c r="N1426" s="3">
        <f>tblTransactions[[#This Row],[Profit]]/tblTransactions[[#This Row],[Total_Amount]]</f>
        <v>0.31441516371913847</v>
      </c>
      <c r="O1426" t="str">
        <f>TEXT(tblTransactions[[#This Row],[Date]], "MMM-YYYY")</f>
        <v>Nov-2023</v>
      </c>
      <c r="P1426" t="str">
        <f>"Q"&amp;ROUNDUP(MONTH(tblTransactions[[#This Row],[Date]])/3,0)&amp;"-"&amp;YEAR(tblTransactions[[#This Row],[Date]])</f>
        <v>Q4-2023</v>
      </c>
      <c r="Q1426">
        <f>YEAR(tblTransactions[[#This Row],[Date]])</f>
        <v>2023</v>
      </c>
      <c r="R1426" t="str">
        <f>TEXT(tblTransactions[[#This Row],[Date]],"DDDD")</f>
        <v>Friday</v>
      </c>
      <c r="S1426">
        <f>MONTH(tblTransactions[[#This Row],[Date]])</f>
        <v>11</v>
      </c>
      <c r="T1426" t="str">
        <f>VLOOKUP(E1426, Products!$A:$B,2,0)</f>
        <v>Chairs Fur-3</v>
      </c>
      <c r="U1426" t="str">
        <f>VLOOKUP(E1426,Products!$A:$C,3,0)</f>
        <v>Furniture</v>
      </c>
      <c r="V1426" t="str">
        <f>VLOOKUP(E1426,Products!$A:$D,4,0)</f>
        <v>Chairs</v>
      </c>
      <c r="W1426" t="str">
        <f>VLOOKUP(D1426,Customers!$A:$C,3,0)</f>
        <v>B2B</v>
      </c>
      <c r="X1426" t="str">
        <f>VLOOKUP(C1426,Sales_Representatives!$A:$B,2,0)</f>
        <v>Jennifer Rodriguez</v>
      </c>
    </row>
    <row r="1427" spans="1:24" x14ac:dyDescent="0.3">
      <c r="A1427" t="s">
        <v>2085</v>
      </c>
      <c r="B1427" t="s">
        <v>2080</v>
      </c>
      <c r="C1427" t="s">
        <v>75</v>
      </c>
      <c r="D1427" t="s">
        <v>14</v>
      </c>
      <c r="E1427" t="s">
        <v>347</v>
      </c>
      <c r="F1427">
        <v>10</v>
      </c>
      <c r="G1427">
        <v>1539.6</v>
      </c>
      <c r="H1427">
        <v>0.09</v>
      </c>
      <c r="I1427" s="4">
        <v>14010.36</v>
      </c>
      <c r="J1427" t="s">
        <v>44</v>
      </c>
      <c r="K1427" t="s">
        <v>39</v>
      </c>
      <c r="L1427" s="4">
        <f>VLOOKUP(tblTransactions[[#This Row],[Product_ID]],tblProducts[],5,FALSE)</f>
        <v>992.43</v>
      </c>
      <c r="M1427" s="4">
        <f>tblTransactions[[#This Row],[Total_Amount]]-(tblTransactions[[#This Row],[Cost_Prices]]*tblTransactions[[#This Row],[Quantity]]*(1-tblTransactions[[#This Row],[Discount]]))</f>
        <v>4979.2470000000012</v>
      </c>
      <c r="N1427" s="3">
        <f>tblTransactions[[#This Row],[Profit]]/tblTransactions[[#This Row],[Total_Amount]]</f>
        <v>0.35539750584567426</v>
      </c>
      <c r="O1427" t="str">
        <f>TEXT(tblTransactions[[#This Row],[Date]], "MMM-YYYY")</f>
        <v>Nov-2023</v>
      </c>
      <c r="P1427" t="str">
        <f>"Q"&amp;ROUNDUP(MONTH(tblTransactions[[#This Row],[Date]])/3,0)&amp;"-"&amp;YEAR(tblTransactions[[#This Row],[Date]])</f>
        <v>Q4-2023</v>
      </c>
      <c r="Q1427">
        <f>YEAR(tblTransactions[[#This Row],[Date]])</f>
        <v>2023</v>
      </c>
      <c r="R1427" t="str">
        <f>TEXT(tblTransactions[[#This Row],[Date]],"DDDD")</f>
        <v>Friday</v>
      </c>
      <c r="S1427">
        <f>MONTH(tblTransactions[[#This Row],[Date]])</f>
        <v>11</v>
      </c>
      <c r="T1427" t="str">
        <f>VLOOKUP(E1427, Products!$A:$B,2,0)</f>
        <v>Routers Tec-2</v>
      </c>
      <c r="U1427" t="str">
        <f>VLOOKUP(E1427,Products!$A:$C,3,0)</f>
        <v>Technology</v>
      </c>
      <c r="V1427" t="str">
        <f>VLOOKUP(E1427,Products!$A:$D,4,0)</f>
        <v>Routers</v>
      </c>
      <c r="W1427" t="str">
        <f>VLOOKUP(D1427,Customers!$A:$C,3,0)</f>
        <v>B2B</v>
      </c>
      <c r="X1427" t="str">
        <f>VLOOKUP(C1427,Sales_Representatives!$A:$B,2,0)</f>
        <v>Jessica Anderson</v>
      </c>
    </row>
    <row r="1428" spans="1:24" x14ac:dyDescent="0.3">
      <c r="A1428" t="s">
        <v>2086</v>
      </c>
      <c r="B1428" t="s">
        <v>2087</v>
      </c>
      <c r="C1428" t="s">
        <v>107</v>
      </c>
      <c r="D1428" t="s">
        <v>2088</v>
      </c>
      <c r="E1428" t="s">
        <v>450</v>
      </c>
      <c r="F1428">
        <v>14</v>
      </c>
      <c r="G1428">
        <v>2083.92</v>
      </c>
      <c r="H1428">
        <v>0.18</v>
      </c>
      <c r="I1428" s="4">
        <v>23923.4</v>
      </c>
      <c r="J1428" t="s">
        <v>109</v>
      </c>
      <c r="K1428" t="s">
        <v>17</v>
      </c>
      <c r="L1428" s="4">
        <f>VLOOKUP(tblTransactions[[#This Row],[Product_ID]],tblProducts[],5,FALSE)</f>
        <v>1425.78</v>
      </c>
      <c r="M1428" s="4">
        <f>tblTransactions[[#This Row],[Total_Amount]]-(tblTransactions[[#This Row],[Cost_Prices]]*tblTransactions[[#This Row],[Quantity]]*(1-tblTransactions[[#This Row],[Discount]]))</f>
        <v>7555.4456000000009</v>
      </c>
      <c r="N1428" s="3">
        <f>tblTransactions[[#This Row],[Profit]]/tblTransactions[[#This Row],[Total_Amount]]</f>
        <v>0.31581821981825325</v>
      </c>
      <c r="O1428" t="str">
        <f>TEXT(tblTransactions[[#This Row],[Date]], "MMM-YYYY")</f>
        <v>Nov-2023</v>
      </c>
      <c r="P1428" t="str">
        <f>"Q"&amp;ROUNDUP(MONTH(tblTransactions[[#This Row],[Date]])/3,0)&amp;"-"&amp;YEAR(tblTransactions[[#This Row],[Date]])</f>
        <v>Q4-2023</v>
      </c>
      <c r="Q1428">
        <f>YEAR(tblTransactions[[#This Row],[Date]])</f>
        <v>2023</v>
      </c>
      <c r="R1428" t="str">
        <f>TEXT(tblTransactions[[#This Row],[Date]],"DDDD")</f>
        <v>Saturday</v>
      </c>
      <c r="S1428">
        <f>MONTH(tblTransactions[[#This Row],[Date]])</f>
        <v>11</v>
      </c>
      <c r="T1428" t="str">
        <f>VLOOKUP(E1428, Products!$A:$B,2,0)</f>
        <v>Monitors Tec-4</v>
      </c>
      <c r="U1428" t="str">
        <f>VLOOKUP(E1428,Products!$A:$C,3,0)</f>
        <v>Technology</v>
      </c>
      <c r="V1428" t="str">
        <f>VLOOKUP(E1428,Products!$A:$D,4,0)</f>
        <v>Monitors</v>
      </c>
      <c r="W1428" t="str">
        <f>VLOOKUP(D1428,Customers!$A:$C,3,0)</f>
        <v>Enterprise</v>
      </c>
      <c r="X1428" t="str">
        <f>VLOOKUP(C1428,Sales_Representatives!$A:$B,2,0)</f>
        <v>Jennifer Brown</v>
      </c>
    </row>
    <row r="1429" spans="1:24" x14ac:dyDescent="0.3">
      <c r="A1429" t="s">
        <v>2089</v>
      </c>
      <c r="B1429" t="s">
        <v>2087</v>
      </c>
      <c r="C1429" t="s">
        <v>82</v>
      </c>
      <c r="D1429" t="s">
        <v>1906</v>
      </c>
      <c r="E1429" t="s">
        <v>79</v>
      </c>
      <c r="F1429">
        <v>17</v>
      </c>
      <c r="G1429">
        <v>1452.36</v>
      </c>
      <c r="H1429">
        <v>0.2</v>
      </c>
      <c r="I1429" s="4">
        <v>19752.099999999999</v>
      </c>
      <c r="J1429" t="s">
        <v>34</v>
      </c>
      <c r="K1429" t="s">
        <v>39</v>
      </c>
      <c r="L1429" s="4">
        <f>VLOOKUP(tblTransactions[[#This Row],[Product_ID]],tblProducts[],5,FALSE)</f>
        <v>778.71</v>
      </c>
      <c r="M1429" s="4">
        <f>tblTransactions[[#This Row],[Total_Amount]]-(tblTransactions[[#This Row],[Cost_Prices]]*tblTransactions[[#This Row],[Quantity]]*(1-tblTransactions[[#This Row],[Discount]]))</f>
        <v>9161.6439999999984</v>
      </c>
      <c r="N1429" s="3">
        <f>tblTransactions[[#This Row],[Profit]]/tblTransactions[[#This Row],[Total_Amount]]</f>
        <v>0.46383139008004209</v>
      </c>
      <c r="O1429" t="str">
        <f>TEXT(tblTransactions[[#This Row],[Date]], "MMM-YYYY")</f>
        <v>Nov-2023</v>
      </c>
      <c r="P1429" t="str">
        <f>"Q"&amp;ROUNDUP(MONTH(tblTransactions[[#This Row],[Date]])/3,0)&amp;"-"&amp;YEAR(tblTransactions[[#This Row],[Date]])</f>
        <v>Q4-2023</v>
      </c>
      <c r="Q1429">
        <f>YEAR(tblTransactions[[#This Row],[Date]])</f>
        <v>2023</v>
      </c>
      <c r="R1429" t="str">
        <f>TEXT(tblTransactions[[#This Row],[Date]],"DDDD")</f>
        <v>Saturday</v>
      </c>
      <c r="S1429">
        <f>MONTH(tblTransactions[[#This Row],[Date]])</f>
        <v>11</v>
      </c>
      <c r="T1429" t="str">
        <f>VLOOKUP(E1429, Products!$A:$B,2,0)</f>
        <v>Tables Fur-2</v>
      </c>
      <c r="U1429" t="str">
        <f>VLOOKUP(E1429,Products!$A:$C,3,0)</f>
        <v>Furniture</v>
      </c>
      <c r="V1429" t="str">
        <f>VLOOKUP(E1429,Products!$A:$D,4,0)</f>
        <v>Tables</v>
      </c>
      <c r="W1429" t="str">
        <f>VLOOKUP(D1429,Customers!$A:$C,3,0)</f>
        <v>B2B</v>
      </c>
      <c r="X1429" t="str">
        <f>VLOOKUP(C1429,Sales_Representatives!$A:$B,2,0)</f>
        <v>John Brown</v>
      </c>
    </row>
    <row r="1430" spans="1:24" x14ac:dyDescent="0.3">
      <c r="A1430" t="s">
        <v>2090</v>
      </c>
      <c r="B1430" t="s">
        <v>2087</v>
      </c>
      <c r="C1430" t="s">
        <v>31</v>
      </c>
      <c r="D1430" t="s">
        <v>1702</v>
      </c>
      <c r="E1430" t="s">
        <v>299</v>
      </c>
      <c r="F1430">
        <v>5</v>
      </c>
      <c r="G1430">
        <v>963.44</v>
      </c>
      <c r="H1430">
        <v>0.03</v>
      </c>
      <c r="I1430" s="4">
        <v>4672.68</v>
      </c>
      <c r="J1430" t="s">
        <v>34</v>
      </c>
      <c r="K1430" t="s">
        <v>35</v>
      </c>
      <c r="L1430" s="4">
        <f>VLOOKUP(tblTransactions[[#This Row],[Product_ID]],tblProducts[],5,FALSE)</f>
        <v>578.96</v>
      </c>
      <c r="M1430" s="4">
        <f>tblTransactions[[#This Row],[Total_Amount]]-(tblTransactions[[#This Row],[Cost_Prices]]*tblTransactions[[#This Row],[Quantity]]*(1-tblTransactions[[#This Row],[Discount]]))</f>
        <v>1864.7240000000002</v>
      </c>
      <c r="N1430" s="3">
        <f>tblTransactions[[#This Row],[Profit]]/tblTransactions[[#This Row],[Total_Amount]]</f>
        <v>0.39906948474965115</v>
      </c>
      <c r="O1430" t="str">
        <f>TEXT(tblTransactions[[#This Row],[Date]], "MMM-YYYY")</f>
        <v>Nov-2023</v>
      </c>
      <c r="P1430" t="str">
        <f>"Q"&amp;ROUNDUP(MONTH(tblTransactions[[#This Row],[Date]])/3,0)&amp;"-"&amp;YEAR(tblTransactions[[#This Row],[Date]])</f>
        <v>Q4-2023</v>
      </c>
      <c r="Q1430">
        <f>YEAR(tblTransactions[[#This Row],[Date]])</f>
        <v>2023</v>
      </c>
      <c r="R1430" t="str">
        <f>TEXT(tblTransactions[[#This Row],[Date]],"DDDD")</f>
        <v>Saturday</v>
      </c>
      <c r="S1430">
        <f>MONTH(tblTransactions[[#This Row],[Date]])</f>
        <v>11</v>
      </c>
      <c r="T1430" t="str">
        <f>VLOOKUP(E1430, Products!$A:$B,2,0)</f>
        <v>Chairs Fur-4</v>
      </c>
      <c r="U1430" t="str">
        <f>VLOOKUP(E1430,Products!$A:$C,3,0)</f>
        <v>Furniture</v>
      </c>
      <c r="V1430" t="str">
        <f>VLOOKUP(E1430,Products!$A:$D,4,0)</f>
        <v>Chairs</v>
      </c>
      <c r="W1430" t="str">
        <f>VLOOKUP(D1430,Customers!$A:$C,3,0)</f>
        <v>B2C</v>
      </c>
      <c r="X1430" t="str">
        <f>VLOOKUP(C1430,Sales_Representatives!$A:$B,2,0)</f>
        <v>Thomas Martinez</v>
      </c>
    </row>
    <row r="1431" spans="1:24" x14ac:dyDescent="0.3">
      <c r="A1431" t="s">
        <v>2091</v>
      </c>
      <c r="B1431" t="s">
        <v>2087</v>
      </c>
      <c r="C1431" t="s">
        <v>19</v>
      </c>
      <c r="D1431" t="s">
        <v>1649</v>
      </c>
      <c r="E1431" t="s">
        <v>221</v>
      </c>
      <c r="F1431">
        <v>23</v>
      </c>
      <c r="G1431">
        <v>210.02</v>
      </c>
      <c r="H1431">
        <v>0.2</v>
      </c>
      <c r="I1431" s="4">
        <v>3864.37</v>
      </c>
      <c r="J1431" t="s">
        <v>21</v>
      </c>
      <c r="K1431" t="s">
        <v>48</v>
      </c>
      <c r="L1431" s="4">
        <f>VLOOKUP(tblTransactions[[#This Row],[Product_ID]],tblProducts[],5,FALSE)</f>
        <v>131.66</v>
      </c>
      <c r="M1431" s="4">
        <f>tblTransactions[[#This Row],[Total_Amount]]-(tblTransactions[[#This Row],[Cost_Prices]]*tblTransactions[[#This Row],[Quantity]]*(1-tblTransactions[[#This Row],[Discount]]))</f>
        <v>1441.826</v>
      </c>
      <c r="N1431" s="3">
        <f>tblTransactions[[#This Row],[Profit]]/tblTransactions[[#This Row],[Total_Amount]]</f>
        <v>0.37310764755962811</v>
      </c>
      <c r="O1431" t="str">
        <f>TEXT(tblTransactions[[#This Row],[Date]], "MMM-YYYY")</f>
        <v>Nov-2023</v>
      </c>
      <c r="P1431" t="str">
        <f>"Q"&amp;ROUNDUP(MONTH(tblTransactions[[#This Row],[Date]])/3,0)&amp;"-"&amp;YEAR(tblTransactions[[#This Row],[Date]])</f>
        <v>Q4-2023</v>
      </c>
      <c r="Q1431">
        <f>YEAR(tblTransactions[[#This Row],[Date]])</f>
        <v>2023</v>
      </c>
      <c r="R1431" t="str">
        <f>TEXT(tblTransactions[[#This Row],[Date]],"DDDD")</f>
        <v>Saturday</v>
      </c>
      <c r="S1431">
        <f>MONTH(tblTransactions[[#This Row],[Date]])</f>
        <v>11</v>
      </c>
      <c r="T1431" t="str">
        <f>VLOOKUP(E1431, Products!$A:$B,2,0)</f>
        <v>Storage Fur-2</v>
      </c>
      <c r="U1431" t="str">
        <f>VLOOKUP(E1431,Products!$A:$C,3,0)</f>
        <v>Furniture</v>
      </c>
      <c r="V1431" t="str">
        <f>VLOOKUP(E1431,Products!$A:$D,4,0)</f>
        <v>Storage</v>
      </c>
      <c r="W1431" t="str">
        <f>VLOOKUP(D1431,Customers!$A:$C,3,0)</f>
        <v>Enterprise</v>
      </c>
      <c r="X1431" t="str">
        <f>VLOOKUP(C1431,Sales_Representatives!$A:$B,2,0)</f>
        <v>Robert Jones</v>
      </c>
    </row>
    <row r="1432" spans="1:24" x14ac:dyDescent="0.3">
      <c r="A1432" t="s">
        <v>2092</v>
      </c>
      <c r="B1432" t="s">
        <v>2093</v>
      </c>
      <c r="C1432" t="s">
        <v>56</v>
      </c>
      <c r="D1432" t="s">
        <v>2094</v>
      </c>
      <c r="E1432" t="s">
        <v>394</v>
      </c>
      <c r="F1432">
        <v>3</v>
      </c>
      <c r="G1432">
        <v>314.69</v>
      </c>
      <c r="H1432">
        <v>0.08</v>
      </c>
      <c r="I1432" s="4">
        <v>868.54</v>
      </c>
      <c r="J1432" t="s">
        <v>34</v>
      </c>
      <c r="K1432" t="s">
        <v>17</v>
      </c>
      <c r="L1432" s="4">
        <f>VLOOKUP(tblTransactions[[#This Row],[Product_ID]],tblProducts[],5,FALSE)</f>
        <v>185.43</v>
      </c>
      <c r="M1432" s="4">
        <f>tblTransactions[[#This Row],[Total_Amount]]-(tblTransactions[[#This Row],[Cost_Prices]]*tblTransactions[[#This Row],[Quantity]]*(1-tblTransactions[[#This Row],[Discount]]))</f>
        <v>356.75319999999999</v>
      </c>
      <c r="N1432" s="3">
        <f>tblTransactions[[#This Row],[Profit]]/tblTransactions[[#This Row],[Total_Amount]]</f>
        <v>0.41075045478619293</v>
      </c>
      <c r="O1432" t="str">
        <f>TEXT(tblTransactions[[#This Row],[Date]], "MMM-YYYY")</f>
        <v>Nov-2023</v>
      </c>
      <c r="P1432" t="str">
        <f>"Q"&amp;ROUNDUP(MONTH(tblTransactions[[#This Row],[Date]])/3,0)&amp;"-"&amp;YEAR(tblTransactions[[#This Row],[Date]])</f>
        <v>Q4-2023</v>
      </c>
      <c r="Q1432">
        <f>YEAR(tblTransactions[[#This Row],[Date]])</f>
        <v>2023</v>
      </c>
      <c r="R1432" t="str">
        <f>TEXT(tblTransactions[[#This Row],[Date]],"DDDD")</f>
        <v>Sunday</v>
      </c>
      <c r="S1432">
        <f>MONTH(tblTransactions[[#This Row],[Date]])</f>
        <v>11</v>
      </c>
      <c r="T1432" t="str">
        <f>VLOOKUP(E1432, Products!$A:$B,2,0)</f>
        <v>Desks Fur-1</v>
      </c>
      <c r="U1432" t="str">
        <f>VLOOKUP(E1432,Products!$A:$C,3,0)</f>
        <v>Furniture</v>
      </c>
      <c r="V1432" t="str">
        <f>VLOOKUP(E1432,Products!$A:$D,4,0)</f>
        <v>Desks</v>
      </c>
      <c r="W1432" t="str">
        <f>VLOOKUP(D1432,Customers!$A:$C,3,0)</f>
        <v>Small Business</v>
      </c>
      <c r="X1432" t="str">
        <f>VLOOKUP(C1432,Sales_Representatives!$A:$B,2,0)</f>
        <v>Thomas Hernandez</v>
      </c>
    </row>
    <row r="1433" spans="1:24" x14ac:dyDescent="0.3">
      <c r="A1433" t="s">
        <v>2095</v>
      </c>
      <c r="B1433" t="s">
        <v>2093</v>
      </c>
      <c r="C1433" t="s">
        <v>127</v>
      </c>
      <c r="D1433" t="s">
        <v>2096</v>
      </c>
      <c r="E1433" t="s">
        <v>178</v>
      </c>
      <c r="F1433">
        <v>7</v>
      </c>
      <c r="G1433">
        <v>1623.35</v>
      </c>
      <c r="H1433">
        <v>7.0000000000000007E-2</v>
      </c>
      <c r="I1433" s="4">
        <v>10568.01</v>
      </c>
      <c r="J1433" t="s">
        <v>109</v>
      </c>
      <c r="K1433" t="s">
        <v>48</v>
      </c>
      <c r="L1433" s="4">
        <f>VLOOKUP(tblTransactions[[#This Row],[Product_ID]],tblProducts[],5,FALSE)</f>
        <v>981.45</v>
      </c>
      <c r="M1433" s="4">
        <f>tblTransactions[[#This Row],[Total_Amount]]-(tblTransactions[[#This Row],[Cost_Prices]]*tblTransactions[[#This Row],[Quantity]]*(1-tblTransactions[[#This Row],[Discount]]))</f>
        <v>4178.7705000000005</v>
      </c>
      <c r="N1433" s="3">
        <f>tblTransactions[[#This Row],[Profit]]/tblTransactions[[#This Row],[Total_Amount]]</f>
        <v>0.39541697065010351</v>
      </c>
      <c r="O1433" t="str">
        <f>TEXT(tblTransactions[[#This Row],[Date]], "MMM-YYYY")</f>
        <v>Nov-2023</v>
      </c>
      <c r="P1433" t="str">
        <f>"Q"&amp;ROUNDUP(MONTH(tblTransactions[[#This Row],[Date]])/3,0)&amp;"-"&amp;YEAR(tblTransactions[[#This Row],[Date]])</f>
        <v>Q4-2023</v>
      </c>
      <c r="Q1433">
        <f>YEAR(tblTransactions[[#This Row],[Date]])</f>
        <v>2023</v>
      </c>
      <c r="R1433" t="str">
        <f>TEXT(tblTransactions[[#This Row],[Date]],"DDDD")</f>
        <v>Sunday</v>
      </c>
      <c r="S1433">
        <f>MONTH(tblTransactions[[#This Row],[Date]])</f>
        <v>11</v>
      </c>
      <c r="T1433" t="str">
        <f>VLOOKUP(E1433, Products!$A:$B,2,0)</f>
        <v>Tablets Ele-1</v>
      </c>
      <c r="U1433" t="str">
        <f>VLOOKUP(E1433,Products!$A:$C,3,0)</f>
        <v>Electronics</v>
      </c>
      <c r="V1433" t="str">
        <f>VLOOKUP(E1433,Products!$A:$D,4,0)</f>
        <v>Tablets</v>
      </c>
      <c r="W1433" t="str">
        <f>VLOOKUP(D1433,Customers!$A:$C,3,0)</f>
        <v>B2C</v>
      </c>
      <c r="X1433" t="str">
        <f>VLOOKUP(C1433,Sales_Representatives!$A:$B,2,0)</f>
        <v>Emily Hernandez</v>
      </c>
    </row>
    <row r="1434" spans="1:24" x14ac:dyDescent="0.3">
      <c r="A1434" t="s">
        <v>2097</v>
      </c>
      <c r="B1434" t="s">
        <v>2093</v>
      </c>
      <c r="C1434" t="s">
        <v>19</v>
      </c>
      <c r="D1434" t="s">
        <v>1578</v>
      </c>
      <c r="E1434" t="s">
        <v>125</v>
      </c>
      <c r="F1434">
        <v>23</v>
      </c>
      <c r="G1434">
        <v>1201.4000000000001</v>
      </c>
      <c r="H1434">
        <v>0.2</v>
      </c>
      <c r="I1434" s="4">
        <v>22105.759999999998</v>
      </c>
      <c r="J1434" t="s">
        <v>21</v>
      </c>
      <c r="K1434" t="s">
        <v>39</v>
      </c>
      <c r="L1434" s="4">
        <f>VLOOKUP(tblTransactions[[#This Row],[Product_ID]],tblProducts[],5,FALSE)</f>
        <v>672.72</v>
      </c>
      <c r="M1434" s="4">
        <f>tblTransactions[[#This Row],[Total_Amount]]-(tblTransactions[[#This Row],[Cost_Prices]]*tblTransactions[[#This Row],[Quantity]]*(1-tblTransactions[[#This Row],[Discount]]))</f>
        <v>9727.7119999999959</v>
      </c>
      <c r="N1434" s="3">
        <f>tblTransactions[[#This Row],[Profit]]/tblTransactions[[#This Row],[Total_Amount]]</f>
        <v>0.44005327118361898</v>
      </c>
      <c r="O1434" t="str">
        <f>TEXT(tblTransactions[[#This Row],[Date]], "MMM-YYYY")</f>
        <v>Nov-2023</v>
      </c>
      <c r="P1434" t="str">
        <f>"Q"&amp;ROUNDUP(MONTH(tblTransactions[[#This Row],[Date]])/3,0)&amp;"-"&amp;YEAR(tblTransactions[[#This Row],[Date]])</f>
        <v>Q4-2023</v>
      </c>
      <c r="Q1434">
        <f>YEAR(tblTransactions[[#This Row],[Date]])</f>
        <v>2023</v>
      </c>
      <c r="R1434" t="str">
        <f>TEXT(tblTransactions[[#This Row],[Date]],"DDDD")</f>
        <v>Sunday</v>
      </c>
      <c r="S1434">
        <f>MONTH(tblTransactions[[#This Row],[Date]])</f>
        <v>11</v>
      </c>
      <c r="T1434" t="str">
        <f>VLOOKUP(E1434, Products!$A:$B,2,0)</f>
        <v>Printers Tec-2</v>
      </c>
      <c r="U1434" t="str">
        <f>VLOOKUP(E1434,Products!$A:$C,3,0)</f>
        <v>Technology</v>
      </c>
      <c r="V1434" t="str">
        <f>VLOOKUP(E1434,Products!$A:$D,4,0)</f>
        <v>Printers</v>
      </c>
      <c r="W1434" t="str">
        <f>VLOOKUP(D1434,Customers!$A:$C,3,0)</f>
        <v>Enterprise</v>
      </c>
      <c r="X1434" t="str">
        <f>VLOOKUP(C1434,Sales_Representatives!$A:$B,2,0)</f>
        <v>Robert Jones</v>
      </c>
    </row>
    <row r="1435" spans="1:24" x14ac:dyDescent="0.3">
      <c r="A1435" t="s">
        <v>2098</v>
      </c>
      <c r="B1435" t="s">
        <v>2093</v>
      </c>
      <c r="C1435" t="s">
        <v>41</v>
      </c>
      <c r="D1435" t="s">
        <v>1801</v>
      </c>
      <c r="E1435" t="s">
        <v>116</v>
      </c>
      <c r="F1435">
        <v>5</v>
      </c>
      <c r="G1435">
        <v>232.86</v>
      </c>
      <c r="H1435">
        <v>0.03</v>
      </c>
      <c r="I1435" s="4">
        <v>1129.3699999999999</v>
      </c>
      <c r="J1435" t="s">
        <v>44</v>
      </c>
      <c r="K1435" t="s">
        <v>17</v>
      </c>
      <c r="L1435" s="4">
        <f>VLOOKUP(tblTransactions[[#This Row],[Product_ID]],tblProducts[],5,FALSE)</f>
        <v>116.79</v>
      </c>
      <c r="M1435" s="4">
        <f>tblTransactions[[#This Row],[Total_Amount]]-(tblTransactions[[#This Row],[Cost_Prices]]*tblTransactions[[#This Row],[Quantity]]*(1-tblTransactions[[#This Row],[Discount]]))</f>
        <v>562.93849999999986</v>
      </c>
      <c r="N1435" s="3">
        <f>tblTransactions[[#This Row],[Profit]]/tblTransactions[[#This Row],[Total_Amount]]</f>
        <v>0.49845356260570045</v>
      </c>
      <c r="O1435" t="str">
        <f>TEXT(tblTransactions[[#This Row],[Date]], "MMM-YYYY")</f>
        <v>Nov-2023</v>
      </c>
      <c r="P1435" t="str">
        <f>"Q"&amp;ROUNDUP(MONTH(tblTransactions[[#This Row],[Date]])/3,0)&amp;"-"&amp;YEAR(tblTransactions[[#This Row],[Date]])</f>
        <v>Q4-2023</v>
      </c>
      <c r="Q1435">
        <f>YEAR(tblTransactions[[#This Row],[Date]])</f>
        <v>2023</v>
      </c>
      <c r="R1435" t="str">
        <f>TEXT(tblTransactions[[#This Row],[Date]],"DDDD")</f>
        <v>Sunday</v>
      </c>
      <c r="S1435">
        <f>MONTH(tblTransactions[[#This Row],[Date]])</f>
        <v>11</v>
      </c>
      <c r="T1435" t="str">
        <f>VLOOKUP(E1435, Products!$A:$B,2,0)</f>
        <v>Folders Off-4</v>
      </c>
      <c r="U1435" t="str">
        <f>VLOOKUP(E1435,Products!$A:$C,3,0)</f>
        <v>Office Supplies</v>
      </c>
      <c r="V1435" t="str">
        <f>VLOOKUP(E1435,Products!$A:$D,4,0)</f>
        <v>Folders</v>
      </c>
      <c r="W1435" t="str">
        <f>VLOOKUP(D1435,Customers!$A:$C,3,0)</f>
        <v>Small Business</v>
      </c>
      <c r="X1435" t="str">
        <f>VLOOKUP(C1435,Sales_Representatives!$A:$B,2,0)</f>
        <v>Robert Jones</v>
      </c>
    </row>
    <row r="1436" spans="1:24" x14ac:dyDescent="0.3">
      <c r="A1436" t="s">
        <v>2099</v>
      </c>
      <c r="B1436" t="s">
        <v>2100</v>
      </c>
      <c r="C1436" t="s">
        <v>59</v>
      </c>
      <c r="D1436" t="s">
        <v>2003</v>
      </c>
      <c r="E1436" t="s">
        <v>314</v>
      </c>
      <c r="F1436">
        <v>5</v>
      </c>
      <c r="G1436">
        <v>204.97</v>
      </c>
      <c r="H1436">
        <v>0.02</v>
      </c>
      <c r="I1436" s="4">
        <v>1004.35</v>
      </c>
      <c r="J1436" t="s">
        <v>21</v>
      </c>
      <c r="K1436" t="s">
        <v>17</v>
      </c>
      <c r="L1436" s="4">
        <f>VLOOKUP(tblTransactions[[#This Row],[Product_ID]],tblProducts[],5,FALSE)</f>
        <v>121.53</v>
      </c>
      <c r="M1436" s="4">
        <f>tblTransactions[[#This Row],[Total_Amount]]-(tblTransactions[[#This Row],[Cost_Prices]]*tblTransactions[[#This Row],[Quantity]]*(1-tblTransactions[[#This Row],[Discount]]))</f>
        <v>408.85300000000007</v>
      </c>
      <c r="N1436" s="3">
        <f>tblTransactions[[#This Row],[Profit]]/tblTransactions[[#This Row],[Total_Amount]]</f>
        <v>0.40708219246278693</v>
      </c>
      <c r="O1436" t="str">
        <f>TEXT(tblTransactions[[#This Row],[Date]], "MMM-YYYY")</f>
        <v>Nov-2023</v>
      </c>
      <c r="P1436" t="str">
        <f>"Q"&amp;ROUNDUP(MONTH(tblTransactions[[#This Row],[Date]])/3,0)&amp;"-"&amp;YEAR(tblTransactions[[#This Row],[Date]])</f>
        <v>Q4-2023</v>
      </c>
      <c r="Q1436">
        <f>YEAR(tblTransactions[[#This Row],[Date]])</f>
        <v>2023</v>
      </c>
      <c r="R1436" t="str">
        <f>TEXT(tblTransactions[[#This Row],[Date]],"DDDD")</f>
        <v>Monday</v>
      </c>
      <c r="S1436">
        <f>MONTH(tblTransactions[[#This Row],[Date]])</f>
        <v>11</v>
      </c>
      <c r="T1436" t="str">
        <f>VLOOKUP(E1436, Products!$A:$B,2,0)</f>
        <v>Adapters Acc-3</v>
      </c>
      <c r="U1436" t="str">
        <f>VLOOKUP(E1436,Products!$A:$C,3,0)</f>
        <v>Accessories</v>
      </c>
      <c r="V1436" t="str">
        <f>VLOOKUP(E1436,Products!$A:$D,4,0)</f>
        <v>Adapters</v>
      </c>
      <c r="W1436" t="str">
        <f>VLOOKUP(D1436,Customers!$A:$C,3,0)</f>
        <v>Small Business</v>
      </c>
      <c r="X1436" t="str">
        <f>VLOOKUP(C1436,Sales_Representatives!$A:$B,2,0)</f>
        <v>Sarah Brown</v>
      </c>
    </row>
    <row r="1437" spans="1:24" x14ac:dyDescent="0.3">
      <c r="A1437" t="s">
        <v>2101</v>
      </c>
      <c r="B1437" t="s">
        <v>2100</v>
      </c>
      <c r="C1437" t="s">
        <v>82</v>
      </c>
      <c r="D1437" t="s">
        <v>2102</v>
      </c>
      <c r="E1437" t="s">
        <v>148</v>
      </c>
      <c r="F1437">
        <v>3</v>
      </c>
      <c r="G1437">
        <v>20.420000000000002</v>
      </c>
      <c r="H1437">
        <v>0.03</v>
      </c>
      <c r="I1437" s="4">
        <v>59.42</v>
      </c>
      <c r="J1437" t="s">
        <v>34</v>
      </c>
      <c r="K1437" t="s">
        <v>48</v>
      </c>
      <c r="L1437" s="4">
        <f>VLOOKUP(tblTransactions[[#This Row],[Product_ID]],tblProducts[],5,FALSE)</f>
        <v>9.56</v>
      </c>
      <c r="M1437" s="4">
        <f>tblTransactions[[#This Row],[Total_Amount]]-(tblTransactions[[#This Row],[Cost_Prices]]*tblTransactions[[#This Row],[Quantity]]*(1-tblTransactions[[#This Row],[Discount]]))</f>
        <v>31.600400000000004</v>
      </c>
      <c r="N1437" s="3">
        <f>tblTransactions[[#This Row],[Profit]]/tblTransactions[[#This Row],[Total_Amount]]</f>
        <v>0.53181420397172674</v>
      </c>
      <c r="O1437" t="str">
        <f>TEXT(tblTransactions[[#This Row],[Date]], "MMM-YYYY")</f>
        <v>Nov-2023</v>
      </c>
      <c r="P1437" t="str">
        <f>"Q"&amp;ROUNDUP(MONTH(tblTransactions[[#This Row],[Date]])/3,0)&amp;"-"&amp;YEAR(tblTransactions[[#This Row],[Date]])</f>
        <v>Q4-2023</v>
      </c>
      <c r="Q1437">
        <f>YEAR(tblTransactions[[#This Row],[Date]])</f>
        <v>2023</v>
      </c>
      <c r="R1437" t="str">
        <f>TEXT(tblTransactions[[#This Row],[Date]],"DDDD")</f>
        <v>Monday</v>
      </c>
      <c r="S1437">
        <f>MONTH(tblTransactions[[#This Row],[Date]])</f>
        <v>11</v>
      </c>
      <c r="T1437" t="str">
        <f>VLOOKUP(E1437, Products!$A:$B,2,0)</f>
        <v>Cases Acc-3</v>
      </c>
      <c r="U1437" t="str">
        <f>VLOOKUP(E1437,Products!$A:$C,3,0)</f>
        <v>Accessories</v>
      </c>
      <c r="V1437" t="str">
        <f>VLOOKUP(E1437,Products!$A:$D,4,0)</f>
        <v>Cases</v>
      </c>
      <c r="W1437" t="str">
        <f>VLOOKUP(D1437,Customers!$A:$C,3,0)</f>
        <v>B2C</v>
      </c>
      <c r="X1437" t="str">
        <f>VLOOKUP(C1437,Sales_Representatives!$A:$B,2,0)</f>
        <v>John Brown</v>
      </c>
    </row>
    <row r="1438" spans="1:24" x14ac:dyDescent="0.3">
      <c r="A1438" t="s">
        <v>2103</v>
      </c>
      <c r="B1438" t="s">
        <v>2100</v>
      </c>
      <c r="C1438" t="s">
        <v>19</v>
      </c>
      <c r="D1438" t="s">
        <v>1705</v>
      </c>
      <c r="E1438" t="s">
        <v>152</v>
      </c>
      <c r="F1438">
        <v>6</v>
      </c>
      <c r="G1438">
        <v>859.93</v>
      </c>
      <c r="H1438">
        <v>0.11</v>
      </c>
      <c r="I1438" s="4">
        <v>4592.03</v>
      </c>
      <c r="J1438" t="s">
        <v>21</v>
      </c>
      <c r="K1438" t="s">
        <v>17</v>
      </c>
      <c r="L1438" s="4">
        <f>VLOOKUP(tblTransactions[[#This Row],[Product_ID]],tblProducts[],5,FALSE)</f>
        <v>579.79</v>
      </c>
      <c r="M1438" s="4">
        <f>tblTransactions[[#This Row],[Total_Amount]]-(tblTransactions[[#This Row],[Cost_Prices]]*tblTransactions[[#This Row],[Quantity]]*(1-tblTransactions[[#This Row],[Discount]]))</f>
        <v>1495.9513999999999</v>
      </c>
      <c r="N1438" s="3">
        <f>tblTransactions[[#This Row],[Profit]]/tblTransactions[[#This Row],[Total_Amount]]</f>
        <v>0.3257712602051816</v>
      </c>
      <c r="O1438" t="str">
        <f>TEXT(tblTransactions[[#This Row],[Date]], "MMM-YYYY")</f>
        <v>Nov-2023</v>
      </c>
      <c r="P1438" t="str">
        <f>"Q"&amp;ROUNDUP(MONTH(tblTransactions[[#This Row],[Date]])/3,0)&amp;"-"&amp;YEAR(tblTransactions[[#This Row],[Date]])</f>
        <v>Q4-2023</v>
      </c>
      <c r="Q1438">
        <f>YEAR(tblTransactions[[#This Row],[Date]])</f>
        <v>2023</v>
      </c>
      <c r="R1438" t="str">
        <f>TEXT(tblTransactions[[#This Row],[Date]],"DDDD")</f>
        <v>Monday</v>
      </c>
      <c r="S1438">
        <f>MONTH(tblTransactions[[#This Row],[Date]])</f>
        <v>11</v>
      </c>
      <c r="T1438" t="str">
        <f>VLOOKUP(E1438, Products!$A:$B,2,0)</f>
        <v>Phones Ele-4</v>
      </c>
      <c r="U1438" t="str">
        <f>VLOOKUP(E1438,Products!$A:$C,3,0)</f>
        <v>Electronics</v>
      </c>
      <c r="V1438" t="str">
        <f>VLOOKUP(E1438,Products!$A:$D,4,0)</f>
        <v>Phones</v>
      </c>
      <c r="W1438" t="str">
        <f>VLOOKUP(D1438,Customers!$A:$C,3,0)</f>
        <v>B2C</v>
      </c>
      <c r="X1438" t="str">
        <f>VLOOKUP(C1438,Sales_Representatives!$A:$B,2,0)</f>
        <v>Robert Jones</v>
      </c>
    </row>
    <row r="1439" spans="1:24" x14ac:dyDescent="0.3">
      <c r="A1439" t="s">
        <v>2104</v>
      </c>
      <c r="B1439" t="s">
        <v>2100</v>
      </c>
      <c r="C1439" t="s">
        <v>19</v>
      </c>
      <c r="D1439" t="s">
        <v>118</v>
      </c>
      <c r="E1439" t="s">
        <v>435</v>
      </c>
      <c r="F1439">
        <v>2</v>
      </c>
      <c r="G1439">
        <v>198.72</v>
      </c>
      <c r="H1439">
        <v>0.02</v>
      </c>
      <c r="I1439" s="4">
        <v>389.49</v>
      </c>
      <c r="J1439" t="s">
        <v>21</v>
      </c>
      <c r="K1439" t="s">
        <v>39</v>
      </c>
      <c r="L1439" s="4">
        <f>VLOOKUP(tblTransactions[[#This Row],[Product_ID]],tblProducts[],5,FALSE)</f>
        <v>116.98</v>
      </c>
      <c r="M1439" s="4">
        <f>tblTransactions[[#This Row],[Total_Amount]]-(tblTransactions[[#This Row],[Cost_Prices]]*tblTransactions[[#This Row],[Quantity]]*(1-tblTransactions[[#This Row],[Discount]]))</f>
        <v>160.20920000000001</v>
      </c>
      <c r="N1439" s="3">
        <f>tblTransactions[[#This Row],[Profit]]/tblTransactions[[#This Row],[Total_Amount]]</f>
        <v>0.41133071452412129</v>
      </c>
      <c r="O1439" t="str">
        <f>TEXT(tblTransactions[[#This Row],[Date]], "MMM-YYYY")</f>
        <v>Nov-2023</v>
      </c>
      <c r="P1439" t="str">
        <f>"Q"&amp;ROUNDUP(MONTH(tblTransactions[[#This Row],[Date]])/3,0)&amp;"-"&amp;YEAR(tblTransactions[[#This Row],[Date]])</f>
        <v>Q4-2023</v>
      </c>
      <c r="Q1439">
        <f>YEAR(tblTransactions[[#This Row],[Date]])</f>
        <v>2023</v>
      </c>
      <c r="R1439" t="str">
        <f>TEXT(tblTransactions[[#This Row],[Date]],"DDDD")</f>
        <v>Monday</v>
      </c>
      <c r="S1439">
        <f>MONTH(tblTransactions[[#This Row],[Date]])</f>
        <v>11</v>
      </c>
      <c r="T1439" t="str">
        <f>VLOOKUP(E1439, Products!$A:$B,2,0)</f>
        <v>Paper Off-4</v>
      </c>
      <c r="U1439" t="str">
        <f>VLOOKUP(E1439,Products!$A:$C,3,0)</f>
        <v>Office Supplies</v>
      </c>
      <c r="V1439" t="str">
        <f>VLOOKUP(E1439,Products!$A:$D,4,0)</f>
        <v>Paper</v>
      </c>
      <c r="W1439" t="str">
        <f>VLOOKUP(D1439,Customers!$A:$C,3,0)</f>
        <v>B2C</v>
      </c>
      <c r="X1439" t="str">
        <f>VLOOKUP(C1439,Sales_Representatives!$A:$B,2,0)</f>
        <v>Robert Jones</v>
      </c>
    </row>
    <row r="1440" spans="1:24" x14ac:dyDescent="0.3">
      <c r="A1440" t="s">
        <v>2105</v>
      </c>
      <c r="B1440" t="s">
        <v>2106</v>
      </c>
      <c r="C1440" t="s">
        <v>41</v>
      </c>
      <c r="D1440" t="s">
        <v>1656</v>
      </c>
      <c r="E1440" t="s">
        <v>87</v>
      </c>
      <c r="F1440">
        <v>5</v>
      </c>
      <c r="G1440">
        <v>1047.8900000000001</v>
      </c>
      <c r="H1440">
        <v>0.01</v>
      </c>
      <c r="I1440" s="4">
        <v>5187.0600000000004</v>
      </c>
      <c r="J1440" t="s">
        <v>44</v>
      </c>
      <c r="K1440" t="s">
        <v>17</v>
      </c>
      <c r="L1440" s="4">
        <f>VLOOKUP(tblTransactions[[#This Row],[Product_ID]],tblProducts[],5,FALSE)</f>
        <v>742.63</v>
      </c>
      <c r="M1440" s="4">
        <f>tblTransactions[[#This Row],[Total_Amount]]-(tblTransactions[[#This Row],[Cost_Prices]]*tblTransactions[[#This Row],[Quantity]]*(1-tblTransactions[[#This Row],[Discount]]))</f>
        <v>1511.0415000000003</v>
      </c>
      <c r="N1440" s="3">
        <f>tblTransactions[[#This Row],[Profit]]/tblTransactions[[#This Row],[Total_Amount]]</f>
        <v>0.29130981712183784</v>
      </c>
      <c r="O1440" t="str">
        <f>TEXT(tblTransactions[[#This Row],[Date]], "MMM-YYYY")</f>
        <v>Nov-2023</v>
      </c>
      <c r="P1440" t="str">
        <f>"Q"&amp;ROUNDUP(MONTH(tblTransactions[[#This Row],[Date]])/3,0)&amp;"-"&amp;YEAR(tblTransactions[[#This Row],[Date]])</f>
        <v>Q4-2023</v>
      </c>
      <c r="Q1440">
        <f>YEAR(tblTransactions[[#This Row],[Date]])</f>
        <v>2023</v>
      </c>
      <c r="R1440" t="str">
        <f>TEXT(tblTransactions[[#This Row],[Date]],"DDDD")</f>
        <v>Tuesday</v>
      </c>
      <c r="S1440">
        <f>MONTH(tblTransactions[[#This Row],[Date]])</f>
        <v>11</v>
      </c>
      <c r="T1440" t="str">
        <f>VLOOKUP(E1440, Products!$A:$B,2,0)</f>
        <v>Monitors Tec-2</v>
      </c>
      <c r="U1440" t="str">
        <f>VLOOKUP(E1440,Products!$A:$C,3,0)</f>
        <v>Technology</v>
      </c>
      <c r="V1440" t="str">
        <f>VLOOKUP(E1440,Products!$A:$D,4,0)</f>
        <v>Monitors</v>
      </c>
      <c r="W1440" t="str">
        <f>VLOOKUP(D1440,Customers!$A:$C,3,0)</f>
        <v>B2C</v>
      </c>
      <c r="X1440" t="str">
        <f>VLOOKUP(C1440,Sales_Representatives!$A:$B,2,0)</f>
        <v>Robert Jones</v>
      </c>
    </row>
    <row r="1441" spans="1:24" x14ac:dyDescent="0.3">
      <c r="A1441" t="s">
        <v>2107</v>
      </c>
      <c r="B1441" t="s">
        <v>2106</v>
      </c>
      <c r="C1441" t="s">
        <v>19</v>
      </c>
      <c r="D1441" t="s">
        <v>2108</v>
      </c>
      <c r="E1441" t="s">
        <v>304</v>
      </c>
      <c r="F1441">
        <v>6</v>
      </c>
      <c r="G1441">
        <v>13.43</v>
      </c>
      <c r="H1441">
        <v>0.15</v>
      </c>
      <c r="I1441" s="4">
        <v>68.489999999999995</v>
      </c>
      <c r="J1441" t="s">
        <v>21</v>
      </c>
      <c r="K1441" t="s">
        <v>22</v>
      </c>
      <c r="L1441" s="4">
        <f>VLOOKUP(tblTransactions[[#This Row],[Product_ID]],tblProducts[],5,FALSE)</f>
        <v>5.8</v>
      </c>
      <c r="M1441" s="4">
        <f>tblTransactions[[#This Row],[Total_Amount]]-(tblTransactions[[#This Row],[Cost_Prices]]*tblTransactions[[#This Row],[Quantity]]*(1-tblTransactions[[#This Row],[Discount]]))</f>
        <v>38.909999999999997</v>
      </c>
      <c r="N1441" s="3">
        <f>tblTransactions[[#This Row],[Profit]]/tblTransactions[[#This Row],[Total_Amount]]</f>
        <v>0.56811213315812525</v>
      </c>
      <c r="O1441" t="str">
        <f>TEXT(tblTransactions[[#This Row],[Date]], "MMM-YYYY")</f>
        <v>Nov-2023</v>
      </c>
      <c r="P1441" t="str">
        <f>"Q"&amp;ROUNDUP(MONTH(tblTransactions[[#This Row],[Date]])/3,0)&amp;"-"&amp;YEAR(tblTransactions[[#This Row],[Date]])</f>
        <v>Q4-2023</v>
      </c>
      <c r="Q1441">
        <f>YEAR(tblTransactions[[#This Row],[Date]])</f>
        <v>2023</v>
      </c>
      <c r="R1441" t="str">
        <f>TEXT(tblTransactions[[#This Row],[Date]],"DDDD")</f>
        <v>Tuesday</v>
      </c>
      <c r="S1441">
        <f>MONTH(tblTransactions[[#This Row],[Date]])</f>
        <v>11</v>
      </c>
      <c r="T1441" t="str">
        <f>VLOOKUP(E1441, Products!$A:$B,2,0)</f>
        <v>Pens Off-1</v>
      </c>
      <c r="U1441" t="str">
        <f>VLOOKUP(E1441,Products!$A:$C,3,0)</f>
        <v>Office Supplies</v>
      </c>
      <c r="V1441" t="str">
        <f>VLOOKUP(E1441,Products!$A:$D,4,0)</f>
        <v>Pens</v>
      </c>
      <c r="W1441" t="str">
        <f>VLOOKUP(D1441,Customers!$A:$C,3,0)</f>
        <v>Small Business</v>
      </c>
      <c r="X1441" t="str">
        <f>VLOOKUP(C1441,Sales_Representatives!$A:$B,2,0)</f>
        <v>Robert Jones</v>
      </c>
    </row>
    <row r="1442" spans="1:24" x14ac:dyDescent="0.3">
      <c r="A1442" t="s">
        <v>2109</v>
      </c>
      <c r="B1442" t="s">
        <v>2106</v>
      </c>
      <c r="C1442" t="s">
        <v>82</v>
      </c>
      <c r="D1442" t="s">
        <v>1973</v>
      </c>
      <c r="E1442" t="s">
        <v>72</v>
      </c>
      <c r="F1442">
        <v>10</v>
      </c>
      <c r="G1442">
        <v>404.76</v>
      </c>
      <c r="H1442">
        <v>0.12</v>
      </c>
      <c r="I1442" s="4">
        <v>3561.89</v>
      </c>
      <c r="J1442" t="s">
        <v>34</v>
      </c>
      <c r="K1442" t="s">
        <v>17</v>
      </c>
      <c r="L1442" s="4">
        <f>VLOOKUP(tblTransactions[[#This Row],[Product_ID]],tblProducts[],5,FALSE)</f>
        <v>226.76</v>
      </c>
      <c r="M1442" s="4">
        <f>tblTransactions[[#This Row],[Total_Amount]]-(tblTransactions[[#This Row],[Cost_Prices]]*tblTransactions[[#This Row],[Quantity]]*(1-tblTransactions[[#This Row],[Discount]]))</f>
        <v>1566.402</v>
      </c>
      <c r="N1442" s="3">
        <f>tblTransactions[[#This Row],[Profit]]/tblTransactions[[#This Row],[Total_Amount]]</f>
        <v>0.43976708994382196</v>
      </c>
      <c r="O1442" t="str">
        <f>TEXT(tblTransactions[[#This Row],[Date]], "MMM-YYYY")</f>
        <v>Nov-2023</v>
      </c>
      <c r="P1442" t="str">
        <f>"Q"&amp;ROUNDUP(MONTH(tblTransactions[[#This Row],[Date]])/3,0)&amp;"-"&amp;YEAR(tblTransactions[[#This Row],[Date]])</f>
        <v>Q4-2023</v>
      </c>
      <c r="Q1442">
        <f>YEAR(tblTransactions[[#This Row],[Date]])</f>
        <v>2023</v>
      </c>
      <c r="R1442" t="str">
        <f>TEXT(tblTransactions[[#This Row],[Date]],"DDDD")</f>
        <v>Tuesday</v>
      </c>
      <c r="S1442">
        <f>MONTH(tblTransactions[[#This Row],[Date]])</f>
        <v>11</v>
      </c>
      <c r="T1442" t="str">
        <f>VLOOKUP(E1442, Products!$A:$B,2,0)</f>
        <v>Tablets Ele-2</v>
      </c>
      <c r="U1442" t="str">
        <f>VLOOKUP(E1442,Products!$A:$C,3,0)</f>
        <v>Electronics</v>
      </c>
      <c r="V1442" t="str">
        <f>VLOOKUP(E1442,Products!$A:$D,4,0)</f>
        <v>Tablets</v>
      </c>
      <c r="W1442" t="str">
        <f>VLOOKUP(D1442,Customers!$A:$C,3,0)</f>
        <v>B2B</v>
      </c>
      <c r="X1442" t="str">
        <f>VLOOKUP(C1442,Sales_Representatives!$A:$B,2,0)</f>
        <v>John Brown</v>
      </c>
    </row>
    <row r="1443" spans="1:24" x14ac:dyDescent="0.3">
      <c r="A1443" t="s">
        <v>2110</v>
      </c>
      <c r="B1443" t="s">
        <v>2106</v>
      </c>
      <c r="C1443" t="s">
        <v>127</v>
      </c>
      <c r="D1443" t="s">
        <v>1500</v>
      </c>
      <c r="E1443" t="s">
        <v>376</v>
      </c>
      <c r="F1443">
        <v>4</v>
      </c>
      <c r="G1443">
        <v>229.65</v>
      </c>
      <c r="H1443">
        <v>0.02</v>
      </c>
      <c r="I1443" s="4">
        <v>900.23</v>
      </c>
      <c r="J1443" t="s">
        <v>109</v>
      </c>
      <c r="K1443" t="s">
        <v>35</v>
      </c>
      <c r="L1443" s="4">
        <f>VLOOKUP(tblTransactions[[#This Row],[Product_ID]],tblProducts[],5,FALSE)</f>
        <v>96.84</v>
      </c>
      <c r="M1443" s="4">
        <f>tblTransactions[[#This Row],[Total_Amount]]-(tblTransactions[[#This Row],[Cost_Prices]]*tblTransactions[[#This Row],[Quantity]]*(1-tblTransactions[[#This Row],[Discount]]))</f>
        <v>520.61720000000003</v>
      </c>
      <c r="N1443" s="3">
        <f>tblTransactions[[#This Row],[Profit]]/tblTransactions[[#This Row],[Total_Amount]]</f>
        <v>0.57831576374926408</v>
      </c>
      <c r="O1443" t="str">
        <f>TEXT(tblTransactions[[#This Row],[Date]], "MMM-YYYY")</f>
        <v>Nov-2023</v>
      </c>
      <c r="P1443" t="str">
        <f>"Q"&amp;ROUNDUP(MONTH(tblTransactions[[#This Row],[Date]])/3,0)&amp;"-"&amp;YEAR(tblTransactions[[#This Row],[Date]])</f>
        <v>Q4-2023</v>
      </c>
      <c r="Q1443">
        <f>YEAR(tblTransactions[[#This Row],[Date]])</f>
        <v>2023</v>
      </c>
      <c r="R1443" t="str">
        <f>TEXT(tblTransactions[[#This Row],[Date]],"DDDD")</f>
        <v>Tuesday</v>
      </c>
      <c r="S1443">
        <f>MONTH(tblTransactions[[#This Row],[Date]])</f>
        <v>11</v>
      </c>
      <c r="T1443" t="str">
        <f>VLOOKUP(E1443, Products!$A:$B,2,0)</f>
        <v>Adapters Acc-2</v>
      </c>
      <c r="U1443" t="str">
        <f>VLOOKUP(E1443,Products!$A:$C,3,0)</f>
        <v>Accessories</v>
      </c>
      <c r="V1443" t="str">
        <f>VLOOKUP(E1443,Products!$A:$D,4,0)</f>
        <v>Adapters</v>
      </c>
      <c r="W1443" t="str">
        <f>VLOOKUP(D1443,Customers!$A:$C,3,0)</f>
        <v>B2C</v>
      </c>
      <c r="X1443" t="str">
        <f>VLOOKUP(C1443,Sales_Representatives!$A:$B,2,0)</f>
        <v>Emily Hernandez</v>
      </c>
    </row>
    <row r="1444" spans="1:24" x14ac:dyDescent="0.3">
      <c r="A1444" t="s">
        <v>2111</v>
      </c>
      <c r="B1444" t="s">
        <v>2106</v>
      </c>
      <c r="C1444" t="s">
        <v>70</v>
      </c>
      <c r="D1444" t="s">
        <v>2096</v>
      </c>
      <c r="E1444" t="s">
        <v>290</v>
      </c>
      <c r="F1444">
        <v>2</v>
      </c>
      <c r="G1444">
        <v>729.32</v>
      </c>
      <c r="H1444">
        <v>0.1</v>
      </c>
      <c r="I1444" s="4">
        <v>1312.78</v>
      </c>
      <c r="J1444" t="s">
        <v>16</v>
      </c>
      <c r="K1444" t="s">
        <v>17</v>
      </c>
      <c r="L1444" s="4">
        <f>VLOOKUP(tblTransactions[[#This Row],[Product_ID]],tblProducts[],5,FALSE)</f>
        <v>482.7</v>
      </c>
      <c r="M1444" s="4">
        <f>tblTransactions[[#This Row],[Total_Amount]]-(tblTransactions[[#This Row],[Cost_Prices]]*tblTransactions[[#This Row],[Quantity]]*(1-tblTransactions[[#This Row],[Discount]]))</f>
        <v>443.91999999999996</v>
      </c>
      <c r="N1444" s="3">
        <f>tblTransactions[[#This Row],[Profit]]/tblTransactions[[#This Row],[Total_Amount]]</f>
        <v>0.33815262267859048</v>
      </c>
      <c r="O1444" t="str">
        <f>TEXT(tblTransactions[[#This Row],[Date]], "MMM-YYYY")</f>
        <v>Nov-2023</v>
      </c>
      <c r="P1444" t="str">
        <f>"Q"&amp;ROUNDUP(MONTH(tblTransactions[[#This Row],[Date]])/3,0)&amp;"-"&amp;YEAR(tblTransactions[[#This Row],[Date]])</f>
        <v>Q4-2023</v>
      </c>
      <c r="Q1444">
        <f>YEAR(tblTransactions[[#This Row],[Date]])</f>
        <v>2023</v>
      </c>
      <c r="R1444" t="str">
        <f>TEXT(tblTransactions[[#This Row],[Date]],"DDDD")</f>
        <v>Tuesday</v>
      </c>
      <c r="S1444">
        <f>MONTH(tblTransactions[[#This Row],[Date]])</f>
        <v>11</v>
      </c>
      <c r="T1444" t="str">
        <f>VLOOKUP(E1444, Products!$A:$B,2,0)</f>
        <v>Tables Fur-1</v>
      </c>
      <c r="U1444" t="str">
        <f>VLOOKUP(E1444,Products!$A:$C,3,0)</f>
        <v>Furniture</v>
      </c>
      <c r="V1444" t="str">
        <f>VLOOKUP(E1444,Products!$A:$D,4,0)</f>
        <v>Tables</v>
      </c>
      <c r="W1444" t="str">
        <f>VLOOKUP(D1444,Customers!$A:$C,3,0)</f>
        <v>B2C</v>
      </c>
      <c r="X1444" t="str">
        <f>VLOOKUP(C1444,Sales_Representatives!$A:$B,2,0)</f>
        <v>Linda Smith</v>
      </c>
    </row>
    <row r="1445" spans="1:24" x14ac:dyDescent="0.3">
      <c r="A1445" t="s">
        <v>2112</v>
      </c>
      <c r="B1445" t="s">
        <v>2106</v>
      </c>
      <c r="C1445" t="s">
        <v>59</v>
      </c>
      <c r="D1445" t="s">
        <v>1502</v>
      </c>
      <c r="E1445" t="s">
        <v>299</v>
      </c>
      <c r="F1445">
        <v>2</v>
      </c>
      <c r="G1445">
        <v>963.44</v>
      </c>
      <c r="H1445">
        <v>0.04</v>
      </c>
      <c r="I1445" s="4">
        <v>1849.8</v>
      </c>
      <c r="J1445" t="s">
        <v>21</v>
      </c>
      <c r="K1445" t="s">
        <v>17</v>
      </c>
      <c r="L1445" s="4">
        <f>VLOOKUP(tblTransactions[[#This Row],[Product_ID]],tblProducts[],5,FALSE)</f>
        <v>578.96</v>
      </c>
      <c r="M1445" s="4">
        <f>tblTransactions[[#This Row],[Total_Amount]]-(tblTransactions[[#This Row],[Cost_Prices]]*tblTransactions[[#This Row],[Quantity]]*(1-tblTransactions[[#This Row],[Discount]]))</f>
        <v>738.19679999999994</v>
      </c>
      <c r="N1445" s="3">
        <f>tblTransactions[[#This Row],[Profit]]/tblTransactions[[#This Row],[Total_Amount]]</f>
        <v>0.39906843983133311</v>
      </c>
      <c r="O1445" t="str">
        <f>TEXT(tblTransactions[[#This Row],[Date]], "MMM-YYYY")</f>
        <v>Nov-2023</v>
      </c>
      <c r="P1445" t="str">
        <f>"Q"&amp;ROUNDUP(MONTH(tblTransactions[[#This Row],[Date]])/3,0)&amp;"-"&amp;YEAR(tblTransactions[[#This Row],[Date]])</f>
        <v>Q4-2023</v>
      </c>
      <c r="Q1445">
        <f>YEAR(tblTransactions[[#This Row],[Date]])</f>
        <v>2023</v>
      </c>
      <c r="R1445" t="str">
        <f>TEXT(tblTransactions[[#This Row],[Date]],"DDDD")</f>
        <v>Tuesday</v>
      </c>
      <c r="S1445">
        <f>MONTH(tblTransactions[[#This Row],[Date]])</f>
        <v>11</v>
      </c>
      <c r="T1445" t="str">
        <f>VLOOKUP(E1445, Products!$A:$B,2,0)</f>
        <v>Chairs Fur-4</v>
      </c>
      <c r="U1445" t="str">
        <f>VLOOKUP(E1445,Products!$A:$C,3,0)</f>
        <v>Furniture</v>
      </c>
      <c r="V1445" t="str">
        <f>VLOOKUP(E1445,Products!$A:$D,4,0)</f>
        <v>Chairs</v>
      </c>
      <c r="W1445" t="str">
        <f>VLOOKUP(D1445,Customers!$A:$C,3,0)</f>
        <v>Small Business</v>
      </c>
      <c r="X1445" t="str">
        <f>VLOOKUP(C1445,Sales_Representatives!$A:$B,2,0)</f>
        <v>Sarah Brown</v>
      </c>
    </row>
    <row r="1446" spans="1:24" x14ac:dyDescent="0.3">
      <c r="A1446" t="s">
        <v>2113</v>
      </c>
      <c r="B1446" t="s">
        <v>2106</v>
      </c>
      <c r="C1446" t="s">
        <v>59</v>
      </c>
      <c r="D1446" t="s">
        <v>2114</v>
      </c>
      <c r="E1446" t="s">
        <v>105</v>
      </c>
      <c r="F1446">
        <v>11</v>
      </c>
      <c r="G1446">
        <v>1342.04</v>
      </c>
      <c r="H1446">
        <v>0.16</v>
      </c>
      <c r="I1446" s="4">
        <v>12400.45</v>
      </c>
      <c r="J1446" t="s">
        <v>21</v>
      </c>
      <c r="K1446" t="s">
        <v>17</v>
      </c>
      <c r="L1446" s="4">
        <f>VLOOKUP(tblTransactions[[#This Row],[Product_ID]],tblProducts[],5,FALSE)</f>
        <v>792.89</v>
      </c>
      <c r="M1446" s="4">
        <f>tblTransactions[[#This Row],[Total_Amount]]-(tblTransactions[[#This Row],[Cost_Prices]]*tblTransactions[[#This Row],[Quantity]]*(1-tblTransactions[[#This Row],[Discount]]))</f>
        <v>5074.1464000000014</v>
      </c>
      <c r="N1446" s="3">
        <f>tblTransactions[[#This Row],[Profit]]/tblTransactions[[#This Row],[Total_Amount]]</f>
        <v>0.40919050518327971</v>
      </c>
      <c r="O1446" t="str">
        <f>TEXT(tblTransactions[[#This Row],[Date]], "MMM-YYYY")</f>
        <v>Nov-2023</v>
      </c>
      <c r="P1446" t="str">
        <f>"Q"&amp;ROUNDUP(MONTH(tblTransactions[[#This Row],[Date]])/3,0)&amp;"-"&amp;YEAR(tblTransactions[[#This Row],[Date]])</f>
        <v>Q4-2023</v>
      </c>
      <c r="Q1446">
        <f>YEAR(tblTransactions[[#This Row],[Date]])</f>
        <v>2023</v>
      </c>
      <c r="R1446" t="str">
        <f>TEXT(tblTransactions[[#This Row],[Date]],"DDDD")</f>
        <v>Tuesday</v>
      </c>
      <c r="S1446">
        <f>MONTH(tblTransactions[[#This Row],[Date]])</f>
        <v>11</v>
      </c>
      <c r="T1446" t="str">
        <f>VLOOKUP(E1446, Products!$A:$B,2,0)</f>
        <v>Cameras Ele-1</v>
      </c>
      <c r="U1446" t="str">
        <f>VLOOKUP(E1446,Products!$A:$C,3,0)</f>
        <v>Electronics</v>
      </c>
      <c r="V1446" t="str">
        <f>VLOOKUP(E1446,Products!$A:$D,4,0)</f>
        <v>Cameras</v>
      </c>
      <c r="W1446" t="str">
        <f>VLOOKUP(D1446,Customers!$A:$C,3,0)</f>
        <v>B2B</v>
      </c>
      <c r="X1446" t="str">
        <f>VLOOKUP(C1446,Sales_Representatives!$A:$B,2,0)</f>
        <v>Sarah Brown</v>
      </c>
    </row>
    <row r="1447" spans="1:24" x14ac:dyDescent="0.3">
      <c r="A1447" t="s">
        <v>2115</v>
      </c>
      <c r="B1447" t="s">
        <v>2106</v>
      </c>
      <c r="C1447" t="s">
        <v>70</v>
      </c>
      <c r="D1447" t="s">
        <v>1511</v>
      </c>
      <c r="E1447" t="s">
        <v>65</v>
      </c>
      <c r="F1447">
        <v>2</v>
      </c>
      <c r="G1447">
        <v>49.44</v>
      </c>
      <c r="H1447">
        <v>0.02</v>
      </c>
      <c r="I1447" s="4">
        <v>96.9</v>
      </c>
      <c r="J1447" t="s">
        <v>16</v>
      </c>
      <c r="K1447" t="s">
        <v>17</v>
      </c>
      <c r="L1447" s="4">
        <f>VLOOKUP(tblTransactions[[#This Row],[Product_ID]],tblProducts[],5,FALSE)</f>
        <v>22.34</v>
      </c>
      <c r="M1447" s="4">
        <f>tblTransactions[[#This Row],[Total_Amount]]-(tblTransactions[[#This Row],[Cost_Prices]]*tblTransactions[[#This Row],[Quantity]]*(1-tblTransactions[[#This Row],[Discount]]))</f>
        <v>53.113600000000005</v>
      </c>
      <c r="N1447" s="3">
        <f>tblTransactions[[#This Row],[Profit]]/tblTransactions[[#This Row],[Total_Amount]]</f>
        <v>0.5481279669762642</v>
      </c>
      <c r="O1447" t="str">
        <f>TEXT(tblTransactions[[#This Row],[Date]], "MMM-YYYY")</f>
        <v>Nov-2023</v>
      </c>
      <c r="P1447" t="str">
        <f>"Q"&amp;ROUNDUP(MONTH(tblTransactions[[#This Row],[Date]])/3,0)&amp;"-"&amp;YEAR(tblTransactions[[#This Row],[Date]])</f>
        <v>Q4-2023</v>
      </c>
      <c r="Q1447">
        <f>YEAR(tblTransactions[[#This Row],[Date]])</f>
        <v>2023</v>
      </c>
      <c r="R1447" t="str">
        <f>TEXT(tblTransactions[[#This Row],[Date]],"DDDD")</f>
        <v>Tuesday</v>
      </c>
      <c r="S1447">
        <f>MONTH(tblTransactions[[#This Row],[Date]])</f>
        <v>11</v>
      </c>
      <c r="T1447" t="str">
        <f>VLOOKUP(E1447, Products!$A:$B,2,0)</f>
        <v>Folders Off-2</v>
      </c>
      <c r="U1447" t="str">
        <f>VLOOKUP(E1447,Products!$A:$C,3,0)</f>
        <v>Office Supplies</v>
      </c>
      <c r="V1447" t="str">
        <f>VLOOKUP(E1447,Products!$A:$D,4,0)</f>
        <v>Folders</v>
      </c>
      <c r="W1447" t="str">
        <f>VLOOKUP(D1447,Customers!$A:$C,3,0)</f>
        <v>B2C</v>
      </c>
      <c r="X1447" t="str">
        <f>VLOOKUP(C1447,Sales_Representatives!$A:$B,2,0)</f>
        <v>Linda Smith</v>
      </c>
    </row>
    <row r="1448" spans="1:24" x14ac:dyDescent="0.3">
      <c r="A1448" t="s">
        <v>2116</v>
      </c>
      <c r="B1448" t="s">
        <v>2106</v>
      </c>
      <c r="C1448" t="s">
        <v>127</v>
      </c>
      <c r="D1448" t="s">
        <v>2065</v>
      </c>
      <c r="E1448" t="s">
        <v>68</v>
      </c>
      <c r="F1448">
        <v>8</v>
      </c>
      <c r="G1448">
        <v>522.63</v>
      </c>
      <c r="H1448">
        <v>0.1</v>
      </c>
      <c r="I1448" s="4">
        <v>3762.94</v>
      </c>
      <c r="J1448" t="s">
        <v>109</v>
      </c>
      <c r="K1448" t="s">
        <v>17</v>
      </c>
      <c r="L1448" s="4">
        <f>VLOOKUP(tblTransactions[[#This Row],[Product_ID]],tblProducts[],5,FALSE)</f>
        <v>355.82</v>
      </c>
      <c r="M1448" s="4">
        <f>tblTransactions[[#This Row],[Total_Amount]]-(tblTransactions[[#This Row],[Cost_Prices]]*tblTransactions[[#This Row],[Quantity]]*(1-tblTransactions[[#This Row],[Discount]]))</f>
        <v>1201.0360000000001</v>
      </c>
      <c r="N1448" s="3">
        <f>tblTransactions[[#This Row],[Profit]]/tblTransactions[[#This Row],[Total_Amount]]</f>
        <v>0.3191749004767549</v>
      </c>
      <c r="O1448" t="str">
        <f>TEXT(tblTransactions[[#This Row],[Date]], "MMM-YYYY")</f>
        <v>Nov-2023</v>
      </c>
      <c r="P1448" t="str">
        <f>"Q"&amp;ROUNDUP(MONTH(tblTransactions[[#This Row],[Date]])/3,0)&amp;"-"&amp;YEAR(tblTransactions[[#This Row],[Date]])</f>
        <v>Q4-2023</v>
      </c>
      <c r="Q1448">
        <f>YEAR(tblTransactions[[#This Row],[Date]])</f>
        <v>2023</v>
      </c>
      <c r="R1448" t="str">
        <f>TEXT(tblTransactions[[#This Row],[Date]],"DDDD")</f>
        <v>Tuesday</v>
      </c>
      <c r="S1448">
        <f>MONTH(tblTransactions[[#This Row],[Date]])</f>
        <v>11</v>
      </c>
      <c r="T1448" t="str">
        <f>VLOOKUP(E1448, Products!$A:$B,2,0)</f>
        <v>Monitors Tec-3</v>
      </c>
      <c r="U1448" t="str">
        <f>VLOOKUP(E1448,Products!$A:$C,3,0)</f>
        <v>Technology</v>
      </c>
      <c r="V1448" t="str">
        <f>VLOOKUP(E1448,Products!$A:$D,4,0)</f>
        <v>Monitors</v>
      </c>
      <c r="W1448" t="str">
        <f>VLOOKUP(D1448,Customers!$A:$C,3,0)</f>
        <v>B2B</v>
      </c>
      <c r="X1448" t="str">
        <f>VLOOKUP(C1448,Sales_Representatives!$A:$B,2,0)</f>
        <v>Emily Hernandez</v>
      </c>
    </row>
    <row r="1449" spans="1:24" x14ac:dyDescent="0.3">
      <c r="A1449" t="s">
        <v>2117</v>
      </c>
      <c r="B1449" t="s">
        <v>2106</v>
      </c>
      <c r="C1449" t="s">
        <v>59</v>
      </c>
      <c r="D1449" t="s">
        <v>1613</v>
      </c>
      <c r="E1449" t="s">
        <v>339</v>
      </c>
      <c r="F1449">
        <v>34</v>
      </c>
      <c r="G1449">
        <v>1100.8800000000001</v>
      </c>
      <c r="H1449">
        <v>0.2</v>
      </c>
      <c r="I1449" s="4">
        <v>29943.94</v>
      </c>
      <c r="J1449" t="s">
        <v>21</v>
      </c>
      <c r="K1449" t="s">
        <v>35</v>
      </c>
      <c r="L1449" s="4">
        <f>VLOOKUP(tblTransactions[[#This Row],[Product_ID]],tblProducts[],5,FALSE)</f>
        <v>761.53</v>
      </c>
      <c r="M1449" s="4">
        <f>tblTransactions[[#This Row],[Total_Amount]]-(tblTransactions[[#This Row],[Cost_Prices]]*tblTransactions[[#This Row],[Quantity]]*(1-tblTransactions[[#This Row],[Discount]]))</f>
        <v>9230.3239999999969</v>
      </c>
      <c r="N1449" s="3">
        <f>tblTransactions[[#This Row],[Profit]]/tblTransactions[[#This Row],[Total_Amount]]</f>
        <v>0.3082534896877297</v>
      </c>
      <c r="O1449" t="str">
        <f>TEXT(tblTransactions[[#This Row],[Date]], "MMM-YYYY")</f>
        <v>Nov-2023</v>
      </c>
      <c r="P1449" t="str">
        <f>"Q"&amp;ROUNDUP(MONTH(tblTransactions[[#This Row],[Date]])/3,0)&amp;"-"&amp;YEAR(tblTransactions[[#This Row],[Date]])</f>
        <v>Q4-2023</v>
      </c>
      <c r="Q1449">
        <f>YEAR(tblTransactions[[#This Row],[Date]])</f>
        <v>2023</v>
      </c>
      <c r="R1449" t="str">
        <f>TEXT(tblTransactions[[#This Row],[Date]],"DDDD")</f>
        <v>Tuesday</v>
      </c>
      <c r="S1449">
        <f>MONTH(tblTransactions[[#This Row],[Date]])</f>
        <v>11</v>
      </c>
      <c r="T1449" t="str">
        <f>VLOOKUP(E1449, Products!$A:$B,2,0)</f>
        <v>Phones Ele-2</v>
      </c>
      <c r="U1449" t="str">
        <f>VLOOKUP(E1449,Products!$A:$C,3,0)</f>
        <v>Electronics</v>
      </c>
      <c r="V1449" t="str">
        <f>VLOOKUP(E1449,Products!$A:$D,4,0)</f>
        <v>Phones</v>
      </c>
      <c r="W1449" t="str">
        <f>VLOOKUP(D1449,Customers!$A:$C,3,0)</f>
        <v>Enterprise</v>
      </c>
      <c r="X1449" t="str">
        <f>VLOOKUP(C1449,Sales_Representatives!$A:$B,2,0)</f>
        <v>Sarah Brown</v>
      </c>
    </row>
    <row r="1450" spans="1:24" x14ac:dyDescent="0.3">
      <c r="A1450" t="s">
        <v>2118</v>
      </c>
      <c r="B1450" t="s">
        <v>2106</v>
      </c>
      <c r="C1450" t="s">
        <v>59</v>
      </c>
      <c r="D1450" t="s">
        <v>2119</v>
      </c>
      <c r="E1450" t="s">
        <v>20</v>
      </c>
      <c r="F1450">
        <v>17</v>
      </c>
      <c r="G1450">
        <v>1219.49</v>
      </c>
      <c r="H1450">
        <v>0.2</v>
      </c>
      <c r="I1450" s="4">
        <v>16585.060000000001</v>
      </c>
      <c r="J1450" t="s">
        <v>21</v>
      </c>
      <c r="K1450" t="s">
        <v>35</v>
      </c>
      <c r="L1450" s="4">
        <f>VLOOKUP(tblTransactions[[#This Row],[Product_ID]],tblProducts[],5,FALSE)</f>
        <v>686.9</v>
      </c>
      <c r="M1450" s="4">
        <f>tblTransactions[[#This Row],[Total_Amount]]-(tblTransactions[[#This Row],[Cost_Prices]]*tblTransactions[[#This Row],[Quantity]]*(1-tblTransactions[[#This Row],[Discount]]))</f>
        <v>7243.2200000000012</v>
      </c>
      <c r="N1450" s="3">
        <f>tblTransactions[[#This Row],[Profit]]/tblTransactions[[#This Row],[Total_Amount]]</f>
        <v>0.43673161266826893</v>
      </c>
      <c r="O1450" t="str">
        <f>TEXT(tblTransactions[[#This Row],[Date]], "MMM-YYYY")</f>
        <v>Nov-2023</v>
      </c>
      <c r="P1450" t="str">
        <f>"Q"&amp;ROUNDUP(MONTH(tblTransactions[[#This Row],[Date]])/3,0)&amp;"-"&amp;YEAR(tblTransactions[[#This Row],[Date]])</f>
        <v>Q4-2023</v>
      </c>
      <c r="Q1450">
        <f>YEAR(tblTransactions[[#This Row],[Date]])</f>
        <v>2023</v>
      </c>
      <c r="R1450" t="str">
        <f>TEXT(tblTransactions[[#This Row],[Date]],"DDDD")</f>
        <v>Tuesday</v>
      </c>
      <c r="S1450">
        <f>MONTH(tblTransactions[[#This Row],[Date]])</f>
        <v>11</v>
      </c>
      <c r="T1450" t="str">
        <f>VLOOKUP(E1450, Products!$A:$B,2,0)</f>
        <v>Laptops Ele-1</v>
      </c>
      <c r="U1450" t="str">
        <f>VLOOKUP(E1450,Products!$A:$C,3,0)</f>
        <v>Electronics</v>
      </c>
      <c r="V1450" t="str">
        <f>VLOOKUP(E1450,Products!$A:$D,4,0)</f>
        <v>Laptops</v>
      </c>
      <c r="W1450" t="str">
        <f>VLOOKUP(D1450,Customers!$A:$C,3,0)</f>
        <v>B2B</v>
      </c>
      <c r="X1450" t="str">
        <f>VLOOKUP(C1450,Sales_Representatives!$A:$B,2,0)</f>
        <v>Sarah Brown</v>
      </c>
    </row>
    <row r="1451" spans="1:24" x14ac:dyDescent="0.3">
      <c r="A1451" t="s">
        <v>2120</v>
      </c>
      <c r="B1451" t="s">
        <v>2106</v>
      </c>
      <c r="C1451" t="s">
        <v>31</v>
      </c>
      <c r="D1451" t="s">
        <v>2121</v>
      </c>
      <c r="E1451" t="s">
        <v>65</v>
      </c>
      <c r="F1451">
        <v>1</v>
      </c>
      <c r="G1451">
        <v>49.44</v>
      </c>
      <c r="H1451">
        <v>0.06</v>
      </c>
      <c r="I1451" s="4">
        <v>46.47</v>
      </c>
      <c r="J1451" t="s">
        <v>34</v>
      </c>
      <c r="K1451" t="s">
        <v>48</v>
      </c>
      <c r="L1451" s="4">
        <f>VLOOKUP(tblTransactions[[#This Row],[Product_ID]],tblProducts[],5,FALSE)</f>
        <v>22.34</v>
      </c>
      <c r="M1451" s="4">
        <f>tblTransactions[[#This Row],[Total_Amount]]-(tblTransactions[[#This Row],[Cost_Prices]]*tblTransactions[[#This Row],[Quantity]]*(1-tblTransactions[[#This Row],[Discount]]))</f>
        <v>25.470400000000001</v>
      </c>
      <c r="N1451" s="3">
        <f>tblTransactions[[#This Row],[Profit]]/tblTransactions[[#This Row],[Total_Amount]]</f>
        <v>0.54810415321712935</v>
      </c>
      <c r="O1451" t="str">
        <f>TEXT(tblTransactions[[#This Row],[Date]], "MMM-YYYY")</f>
        <v>Nov-2023</v>
      </c>
      <c r="P1451" t="str">
        <f>"Q"&amp;ROUNDUP(MONTH(tblTransactions[[#This Row],[Date]])/3,0)&amp;"-"&amp;YEAR(tblTransactions[[#This Row],[Date]])</f>
        <v>Q4-2023</v>
      </c>
      <c r="Q1451">
        <f>YEAR(tblTransactions[[#This Row],[Date]])</f>
        <v>2023</v>
      </c>
      <c r="R1451" t="str">
        <f>TEXT(tblTransactions[[#This Row],[Date]],"DDDD")</f>
        <v>Tuesday</v>
      </c>
      <c r="S1451">
        <f>MONTH(tblTransactions[[#This Row],[Date]])</f>
        <v>11</v>
      </c>
      <c r="T1451" t="str">
        <f>VLOOKUP(E1451, Products!$A:$B,2,0)</f>
        <v>Folders Off-2</v>
      </c>
      <c r="U1451" t="str">
        <f>VLOOKUP(E1451,Products!$A:$C,3,0)</f>
        <v>Office Supplies</v>
      </c>
      <c r="V1451" t="str">
        <f>VLOOKUP(E1451,Products!$A:$D,4,0)</f>
        <v>Folders</v>
      </c>
      <c r="W1451" t="str">
        <f>VLOOKUP(D1451,Customers!$A:$C,3,0)</f>
        <v>B2C</v>
      </c>
      <c r="X1451" t="str">
        <f>VLOOKUP(C1451,Sales_Representatives!$A:$B,2,0)</f>
        <v>Thomas Martinez</v>
      </c>
    </row>
    <row r="1452" spans="1:24" x14ac:dyDescent="0.3">
      <c r="A1452" t="s">
        <v>2122</v>
      </c>
      <c r="B1452" t="s">
        <v>2106</v>
      </c>
      <c r="C1452" t="s">
        <v>13</v>
      </c>
      <c r="D1452" t="s">
        <v>1573</v>
      </c>
      <c r="E1452" t="s">
        <v>99</v>
      </c>
      <c r="F1452">
        <v>3</v>
      </c>
      <c r="G1452">
        <v>325.14</v>
      </c>
      <c r="H1452">
        <v>0.02</v>
      </c>
      <c r="I1452" s="4">
        <v>955.91</v>
      </c>
      <c r="J1452" t="s">
        <v>16</v>
      </c>
      <c r="K1452" t="s">
        <v>48</v>
      </c>
      <c r="L1452" s="4">
        <f>VLOOKUP(tblTransactions[[#This Row],[Product_ID]],tblProducts[],5,FALSE)</f>
        <v>209.04</v>
      </c>
      <c r="M1452" s="4">
        <f>tblTransactions[[#This Row],[Total_Amount]]-(tblTransactions[[#This Row],[Cost_Prices]]*tblTransactions[[#This Row],[Quantity]]*(1-tblTransactions[[#This Row],[Discount]]))</f>
        <v>341.33240000000001</v>
      </c>
      <c r="N1452" s="3">
        <f>tblTransactions[[#This Row],[Profit]]/tblTransactions[[#This Row],[Total_Amount]]</f>
        <v>0.35707587534391316</v>
      </c>
      <c r="O1452" t="str">
        <f>TEXT(tblTransactions[[#This Row],[Date]], "MMM-YYYY")</f>
        <v>Nov-2023</v>
      </c>
      <c r="P1452" t="str">
        <f>"Q"&amp;ROUNDUP(MONTH(tblTransactions[[#This Row],[Date]])/3,0)&amp;"-"&amp;YEAR(tblTransactions[[#This Row],[Date]])</f>
        <v>Q4-2023</v>
      </c>
      <c r="Q1452">
        <f>YEAR(tblTransactions[[#This Row],[Date]])</f>
        <v>2023</v>
      </c>
      <c r="R1452" t="str">
        <f>TEXT(tblTransactions[[#This Row],[Date]],"DDDD")</f>
        <v>Tuesday</v>
      </c>
      <c r="S1452">
        <f>MONTH(tblTransactions[[#This Row],[Date]])</f>
        <v>11</v>
      </c>
      <c r="T1452" t="str">
        <f>VLOOKUP(E1452, Products!$A:$B,2,0)</f>
        <v>Monitors Tec-1</v>
      </c>
      <c r="U1452" t="str">
        <f>VLOOKUP(E1452,Products!$A:$C,3,0)</f>
        <v>Technology</v>
      </c>
      <c r="V1452" t="str">
        <f>VLOOKUP(E1452,Products!$A:$D,4,0)</f>
        <v>Monitors</v>
      </c>
      <c r="W1452" t="str">
        <f>VLOOKUP(D1452,Customers!$A:$C,3,0)</f>
        <v>Small Business</v>
      </c>
      <c r="X1452" t="str">
        <f>VLOOKUP(C1452,Sales_Representatives!$A:$B,2,0)</f>
        <v>Jennifer Rodriguez</v>
      </c>
    </row>
    <row r="1453" spans="1:24" x14ac:dyDescent="0.3">
      <c r="A1453" t="s">
        <v>2123</v>
      </c>
      <c r="B1453" t="s">
        <v>2106</v>
      </c>
      <c r="C1453" t="s">
        <v>107</v>
      </c>
      <c r="D1453" t="s">
        <v>351</v>
      </c>
      <c r="E1453" t="s">
        <v>255</v>
      </c>
      <c r="F1453">
        <v>1</v>
      </c>
      <c r="G1453">
        <v>1444.13</v>
      </c>
      <c r="H1453">
        <v>0.09</v>
      </c>
      <c r="I1453" s="4">
        <v>1314.16</v>
      </c>
      <c r="J1453" t="s">
        <v>109</v>
      </c>
      <c r="K1453" t="s">
        <v>39</v>
      </c>
      <c r="L1453" s="4">
        <f>VLOOKUP(tblTransactions[[#This Row],[Product_ID]],tblProducts[],5,FALSE)</f>
        <v>874.43</v>
      </c>
      <c r="M1453" s="4">
        <f>tblTransactions[[#This Row],[Total_Amount]]-(tblTransactions[[#This Row],[Cost_Prices]]*tblTransactions[[#This Row],[Quantity]]*(1-tblTransactions[[#This Row],[Discount]]))</f>
        <v>518.42870000000005</v>
      </c>
      <c r="N1453" s="3">
        <f>tblTransactions[[#This Row],[Profit]]/tblTransactions[[#This Row],[Total_Amount]]</f>
        <v>0.39449435380775555</v>
      </c>
      <c r="O1453" t="str">
        <f>TEXT(tblTransactions[[#This Row],[Date]], "MMM-YYYY")</f>
        <v>Nov-2023</v>
      </c>
      <c r="P1453" t="str">
        <f>"Q"&amp;ROUNDUP(MONTH(tblTransactions[[#This Row],[Date]])/3,0)&amp;"-"&amp;YEAR(tblTransactions[[#This Row],[Date]])</f>
        <v>Q4-2023</v>
      </c>
      <c r="Q1453">
        <f>YEAR(tblTransactions[[#This Row],[Date]])</f>
        <v>2023</v>
      </c>
      <c r="R1453" t="str">
        <f>TEXT(tblTransactions[[#This Row],[Date]],"DDDD")</f>
        <v>Tuesday</v>
      </c>
      <c r="S1453">
        <f>MONTH(tblTransactions[[#This Row],[Date]])</f>
        <v>11</v>
      </c>
      <c r="T1453" t="str">
        <f>VLOOKUP(E1453, Products!$A:$B,2,0)</f>
        <v>Printers Tec-1</v>
      </c>
      <c r="U1453" t="str">
        <f>VLOOKUP(E1453,Products!$A:$C,3,0)</f>
        <v>Technology</v>
      </c>
      <c r="V1453" t="str">
        <f>VLOOKUP(E1453,Products!$A:$D,4,0)</f>
        <v>Printers</v>
      </c>
      <c r="W1453" t="str">
        <f>VLOOKUP(D1453,Customers!$A:$C,3,0)</f>
        <v>B2C</v>
      </c>
      <c r="X1453" t="str">
        <f>VLOOKUP(C1453,Sales_Representatives!$A:$B,2,0)</f>
        <v>Jennifer Brown</v>
      </c>
    </row>
    <row r="1454" spans="1:24" x14ac:dyDescent="0.3">
      <c r="A1454" t="s">
        <v>2124</v>
      </c>
      <c r="B1454" t="s">
        <v>2125</v>
      </c>
      <c r="C1454" t="s">
        <v>70</v>
      </c>
      <c r="D1454" t="s">
        <v>2126</v>
      </c>
      <c r="E1454" t="s">
        <v>15</v>
      </c>
      <c r="F1454">
        <v>1</v>
      </c>
      <c r="G1454">
        <v>477.48</v>
      </c>
      <c r="H1454">
        <v>7.0000000000000007E-2</v>
      </c>
      <c r="I1454" s="4">
        <v>444.06</v>
      </c>
      <c r="J1454" t="s">
        <v>16</v>
      </c>
      <c r="K1454" t="s">
        <v>48</v>
      </c>
      <c r="L1454" s="4">
        <f>VLOOKUP(tblTransactions[[#This Row],[Product_ID]],tblProducts[],5,FALSE)</f>
        <v>275.51</v>
      </c>
      <c r="M1454" s="4">
        <f>tblTransactions[[#This Row],[Total_Amount]]-(tblTransactions[[#This Row],[Cost_Prices]]*tblTransactions[[#This Row],[Quantity]]*(1-tblTransactions[[#This Row],[Discount]]))</f>
        <v>187.83570000000003</v>
      </c>
      <c r="N1454" s="3">
        <f>tblTransactions[[#This Row],[Profit]]/tblTransactions[[#This Row],[Total_Amount]]</f>
        <v>0.42299621672746934</v>
      </c>
      <c r="O1454" t="str">
        <f>TEXT(tblTransactions[[#This Row],[Date]], "MMM-YYYY")</f>
        <v>Nov-2023</v>
      </c>
      <c r="P1454" t="str">
        <f>"Q"&amp;ROUNDUP(MONTH(tblTransactions[[#This Row],[Date]])/3,0)&amp;"-"&amp;YEAR(tblTransactions[[#This Row],[Date]])</f>
        <v>Q4-2023</v>
      </c>
      <c r="Q1454">
        <f>YEAR(tblTransactions[[#This Row],[Date]])</f>
        <v>2023</v>
      </c>
      <c r="R1454" t="str">
        <f>TEXT(tblTransactions[[#This Row],[Date]],"DDDD")</f>
        <v>Wednesday</v>
      </c>
      <c r="S1454">
        <f>MONTH(tblTransactions[[#This Row],[Date]])</f>
        <v>11</v>
      </c>
      <c r="T1454" t="str">
        <f>VLOOKUP(E1454, Products!$A:$B,2,0)</f>
        <v>Laptops Ele-4</v>
      </c>
      <c r="U1454" t="str">
        <f>VLOOKUP(E1454,Products!$A:$C,3,0)</f>
        <v>Electronics</v>
      </c>
      <c r="V1454" t="str">
        <f>VLOOKUP(E1454,Products!$A:$D,4,0)</f>
        <v>Laptops</v>
      </c>
      <c r="W1454" t="str">
        <f>VLOOKUP(D1454,Customers!$A:$C,3,0)</f>
        <v>B2C</v>
      </c>
      <c r="X1454" t="str">
        <f>VLOOKUP(C1454,Sales_Representatives!$A:$B,2,0)</f>
        <v>Linda Smith</v>
      </c>
    </row>
    <row r="1455" spans="1:24" x14ac:dyDescent="0.3">
      <c r="A1455" t="s">
        <v>2127</v>
      </c>
      <c r="B1455" t="s">
        <v>2125</v>
      </c>
      <c r="C1455" t="s">
        <v>131</v>
      </c>
      <c r="D1455" t="s">
        <v>1447</v>
      </c>
      <c r="E1455" t="s">
        <v>96</v>
      </c>
      <c r="F1455">
        <v>7</v>
      </c>
      <c r="G1455">
        <v>751.9</v>
      </c>
      <c r="H1455">
        <v>0.11</v>
      </c>
      <c r="I1455" s="4">
        <v>4684.34</v>
      </c>
      <c r="J1455" t="s">
        <v>44</v>
      </c>
      <c r="K1455" t="s">
        <v>39</v>
      </c>
      <c r="L1455" s="4">
        <f>VLOOKUP(tblTransactions[[#This Row],[Product_ID]],tblProducts[],5,FALSE)</f>
        <v>570.29</v>
      </c>
      <c r="M1455" s="4">
        <f>tblTransactions[[#This Row],[Total_Amount]]-(tblTransactions[[#This Row],[Cost_Prices]]*tblTransactions[[#This Row],[Quantity]]*(1-tblTransactions[[#This Row],[Discount]]))</f>
        <v>1131.4333000000001</v>
      </c>
      <c r="N1455" s="3">
        <f>tblTransactions[[#This Row],[Profit]]/tblTransactions[[#This Row],[Total_Amount]]</f>
        <v>0.24153526430617764</v>
      </c>
      <c r="O1455" t="str">
        <f>TEXT(tblTransactions[[#This Row],[Date]], "MMM-YYYY")</f>
        <v>Nov-2023</v>
      </c>
      <c r="P1455" t="str">
        <f>"Q"&amp;ROUNDUP(MONTH(tblTransactions[[#This Row],[Date]])/3,0)&amp;"-"&amp;YEAR(tblTransactions[[#This Row],[Date]])</f>
        <v>Q4-2023</v>
      </c>
      <c r="Q1455">
        <f>YEAR(tblTransactions[[#This Row],[Date]])</f>
        <v>2023</v>
      </c>
      <c r="R1455" t="str">
        <f>TEXT(tblTransactions[[#This Row],[Date]],"DDDD")</f>
        <v>Wednesday</v>
      </c>
      <c r="S1455">
        <f>MONTH(tblTransactions[[#This Row],[Date]])</f>
        <v>11</v>
      </c>
      <c r="T1455" t="str">
        <f>VLOOKUP(E1455, Products!$A:$B,2,0)</f>
        <v>Routers Tec-1</v>
      </c>
      <c r="U1455" t="str">
        <f>VLOOKUP(E1455,Products!$A:$C,3,0)</f>
        <v>Technology</v>
      </c>
      <c r="V1455" t="str">
        <f>VLOOKUP(E1455,Products!$A:$D,4,0)</f>
        <v>Routers</v>
      </c>
      <c r="W1455" t="str">
        <f>VLOOKUP(D1455,Customers!$A:$C,3,0)</f>
        <v>B2B</v>
      </c>
      <c r="X1455" t="str">
        <f>VLOOKUP(C1455,Sales_Representatives!$A:$B,2,0)</f>
        <v>Michael Davis</v>
      </c>
    </row>
    <row r="1456" spans="1:24" x14ac:dyDescent="0.3">
      <c r="A1456" t="s">
        <v>2128</v>
      </c>
      <c r="B1456" t="s">
        <v>2125</v>
      </c>
      <c r="C1456" t="s">
        <v>131</v>
      </c>
      <c r="D1456" t="s">
        <v>2129</v>
      </c>
      <c r="E1456" t="s">
        <v>96</v>
      </c>
      <c r="F1456">
        <v>6</v>
      </c>
      <c r="G1456">
        <v>751.9</v>
      </c>
      <c r="H1456">
        <v>7.0000000000000007E-2</v>
      </c>
      <c r="I1456" s="4">
        <v>4195.6000000000004</v>
      </c>
      <c r="J1456" t="s">
        <v>44</v>
      </c>
      <c r="K1456" t="s">
        <v>17</v>
      </c>
      <c r="L1456" s="4">
        <f>VLOOKUP(tblTransactions[[#This Row],[Product_ID]],tblProducts[],5,FALSE)</f>
        <v>570.29</v>
      </c>
      <c r="M1456" s="4">
        <f>tblTransactions[[#This Row],[Total_Amount]]-(tblTransactions[[#This Row],[Cost_Prices]]*tblTransactions[[#This Row],[Quantity]]*(1-tblTransactions[[#This Row],[Discount]]))</f>
        <v>1013.3818000000006</v>
      </c>
      <c r="N1456" s="3">
        <f>tblTransactions[[#This Row],[Profit]]/tblTransactions[[#This Row],[Total_Amount]]</f>
        <v>0.24153441700829451</v>
      </c>
      <c r="O1456" t="str">
        <f>TEXT(tblTransactions[[#This Row],[Date]], "MMM-YYYY")</f>
        <v>Nov-2023</v>
      </c>
      <c r="P1456" t="str">
        <f>"Q"&amp;ROUNDUP(MONTH(tblTransactions[[#This Row],[Date]])/3,0)&amp;"-"&amp;YEAR(tblTransactions[[#This Row],[Date]])</f>
        <v>Q4-2023</v>
      </c>
      <c r="Q1456">
        <f>YEAR(tblTransactions[[#This Row],[Date]])</f>
        <v>2023</v>
      </c>
      <c r="R1456" t="str">
        <f>TEXT(tblTransactions[[#This Row],[Date]],"DDDD")</f>
        <v>Wednesday</v>
      </c>
      <c r="S1456">
        <f>MONTH(tblTransactions[[#This Row],[Date]])</f>
        <v>11</v>
      </c>
      <c r="T1456" t="str">
        <f>VLOOKUP(E1456, Products!$A:$B,2,0)</f>
        <v>Routers Tec-1</v>
      </c>
      <c r="U1456" t="str">
        <f>VLOOKUP(E1456,Products!$A:$C,3,0)</f>
        <v>Technology</v>
      </c>
      <c r="V1456" t="str">
        <f>VLOOKUP(E1456,Products!$A:$D,4,0)</f>
        <v>Routers</v>
      </c>
      <c r="W1456" t="str">
        <f>VLOOKUP(D1456,Customers!$A:$C,3,0)</f>
        <v>B2C</v>
      </c>
      <c r="X1456" t="str">
        <f>VLOOKUP(C1456,Sales_Representatives!$A:$B,2,0)</f>
        <v>Michael Davis</v>
      </c>
    </row>
    <row r="1457" spans="1:24" x14ac:dyDescent="0.3">
      <c r="A1457" t="s">
        <v>2130</v>
      </c>
      <c r="B1457" t="s">
        <v>2131</v>
      </c>
      <c r="C1457" t="s">
        <v>27</v>
      </c>
      <c r="D1457" t="s">
        <v>1569</v>
      </c>
      <c r="E1457" t="s">
        <v>481</v>
      </c>
      <c r="F1457">
        <v>3</v>
      </c>
      <c r="G1457">
        <v>263.58999999999997</v>
      </c>
      <c r="H1457">
        <v>0.02</v>
      </c>
      <c r="I1457" s="4">
        <v>774.95</v>
      </c>
      <c r="J1457" t="s">
        <v>16</v>
      </c>
      <c r="K1457" t="s">
        <v>35</v>
      </c>
      <c r="L1457" s="4">
        <f>VLOOKUP(tblTransactions[[#This Row],[Product_ID]],tblProducts[],5,FALSE)</f>
        <v>133.65</v>
      </c>
      <c r="M1457" s="4">
        <f>tblTransactions[[#This Row],[Total_Amount]]-(tblTransactions[[#This Row],[Cost_Prices]]*tblTransactions[[#This Row],[Quantity]]*(1-tblTransactions[[#This Row],[Discount]]))</f>
        <v>382.01900000000001</v>
      </c>
      <c r="N1457" s="3">
        <f>tblTransactions[[#This Row],[Profit]]/tblTransactions[[#This Row],[Total_Amount]]</f>
        <v>0.4929595457771469</v>
      </c>
      <c r="O1457" t="str">
        <f>TEXT(tblTransactions[[#This Row],[Date]], "MMM-YYYY")</f>
        <v>Nov-2023</v>
      </c>
      <c r="P1457" t="str">
        <f>"Q"&amp;ROUNDUP(MONTH(tblTransactions[[#This Row],[Date]])/3,0)&amp;"-"&amp;YEAR(tblTransactions[[#This Row],[Date]])</f>
        <v>Q4-2023</v>
      </c>
      <c r="Q1457">
        <f>YEAR(tblTransactions[[#This Row],[Date]])</f>
        <v>2023</v>
      </c>
      <c r="R1457" t="str">
        <f>TEXT(tblTransactions[[#This Row],[Date]],"DDDD")</f>
        <v>Thursday</v>
      </c>
      <c r="S1457">
        <f>MONTH(tblTransactions[[#This Row],[Date]])</f>
        <v>11</v>
      </c>
      <c r="T1457" t="str">
        <f>VLOOKUP(E1457, Products!$A:$B,2,0)</f>
        <v>Folders Off-1</v>
      </c>
      <c r="U1457" t="str">
        <f>VLOOKUP(E1457,Products!$A:$C,3,0)</f>
        <v>Office Supplies</v>
      </c>
      <c r="V1457" t="str">
        <f>VLOOKUP(E1457,Products!$A:$D,4,0)</f>
        <v>Folders</v>
      </c>
      <c r="W1457" t="str">
        <f>VLOOKUP(D1457,Customers!$A:$C,3,0)</f>
        <v>Small Business</v>
      </c>
      <c r="X1457" t="str">
        <f>VLOOKUP(C1457,Sales_Representatives!$A:$B,2,0)</f>
        <v>Thomas Lopez</v>
      </c>
    </row>
    <row r="1458" spans="1:24" x14ac:dyDescent="0.3">
      <c r="A1458" t="s">
        <v>2132</v>
      </c>
      <c r="B1458" t="s">
        <v>2131</v>
      </c>
      <c r="C1458" t="s">
        <v>107</v>
      </c>
      <c r="D1458" t="s">
        <v>1543</v>
      </c>
      <c r="E1458" t="s">
        <v>481</v>
      </c>
      <c r="F1458">
        <v>2</v>
      </c>
      <c r="G1458">
        <v>263.58999999999997</v>
      </c>
      <c r="H1458">
        <v>0.02</v>
      </c>
      <c r="I1458" s="4">
        <v>516.64</v>
      </c>
      <c r="J1458" t="s">
        <v>109</v>
      </c>
      <c r="K1458" t="s">
        <v>22</v>
      </c>
      <c r="L1458" s="4">
        <f>VLOOKUP(tblTransactions[[#This Row],[Product_ID]],tblProducts[],5,FALSE)</f>
        <v>133.65</v>
      </c>
      <c r="M1458" s="4">
        <f>tblTransactions[[#This Row],[Total_Amount]]-(tblTransactions[[#This Row],[Cost_Prices]]*tblTransactions[[#This Row],[Quantity]]*(1-tblTransactions[[#This Row],[Discount]]))</f>
        <v>254.68599999999998</v>
      </c>
      <c r="N1458" s="3">
        <f>tblTransactions[[#This Row],[Profit]]/tblTransactions[[#This Row],[Total_Amount]]</f>
        <v>0.49296608857231339</v>
      </c>
      <c r="O1458" t="str">
        <f>TEXT(tblTransactions[[#This Row],[Date]], "MMM-YYYY")</f>
        <v>Nov-2023</v>
      </c>
      <c r="P1458" t="str">
        <f>"Q"&amp;ROUNDUP(MONTH(tblTransactions[[#This Row],[Date]])/3,0)&amp;"-"&amp;YEAR(tblTransactions[[#This Row],[Date]])</f>
        <v>Q4-2023</v>
      </c>
      <c r="Q1458">
        <f>YEAR(tblTransactions[[#This Row],[Date]])</f>
        <v>2023</v>
      </c>
      <c r="R1458" t="str">
        <f>TEXT(tblTransactions[[#This Row],[Date]],"DDDD")</f>
        <v>Thursday</v>
      </c>
      <c r="S1458">
        <f>MONTH(tblTransactions[[#This Row],[Date]])</f>
        <v>11</v>
      </c>
      <c r="T1458" t="str">
        <f>VLOOKUP(E1458, Products!$A:$B,2,0)</f>
        <v>Folders Off-1</v>
      </c>
      <c r="U1458" t="str">
        <f>VLOOKUP(E1458,Products!$A:$C,3,0)</f>
        <v>Office Supplies</v>
      </c>
      <c r="V1458" t="str">
        <f>VLOOKUP(E1458,Products!$A:$D,4,0)</f>
        <v>Folders</v>
      </c>
      <c r="W1458" t="str">
        <f>VLOOKUP(D1458,Customers!$A:$C,3,0)</f>
        <v>B2C</v>
      </c>
      <c r="X1458" t="str">
        <f>VLOOKUP(C1458,Sales_Representatives!$A:$B,2,0)</f>
        <v>Jennifer Brown</v>
      </c>
    </row>
    <row r="1459" spans="1:24" x14ac:dyDescent="0.3">
      <c r="A1459" t="s">
        <v>2133</v>
      </c>
      <c r="B1459" t="s">
        <v>2131</v>
      </c>
      <c r="C1459" t="s">
        <v>82</v>
      </c>
      <c r="D1459" t="s">
        <v>1691</v>
      </c>
      <c r="E1459" t="s">
        <v>264</v>
      </c>
      <c r="F1459">
        <v>7</v>
      </c>
      <c r="G1459">
        <v>607.29999999999995</v>
      </c>
      <c r="H1459">
        <v>0.06</v>
      </c>
      <c r="I1459" s="4">
        <v>3996.03</v>
      </c>
      <c r="J1459" t="s">
        <v>34</v>
      </c>
      <c r="K1459" t="s">
        <v>17</v>
      </c>
      <c r="L1459" s="4">
        <f>VLOOKUP(tblTransactions[[#This Row],[Product_ID]],tblProducts[],5,FALSE)</f>
        <v>436.37</v>
      </c>
      <c r="M1459" s="4">
        <f>tblTransactions[[#This Row],[Total_Amount]]-(tblTransactions[[#This Row],[Cost_Prices]]*tblTransactions[[#This Row],[Quantity]]*(1-tblTransactions[[#This Row],[Discount]]))</f>
        <v>1124.7154</v>
      </c>
      <c r="N1459" s="3">
        <f>tblTransactions[[#This Row],[Profit]]/tblTransactions[[#This Row],[Total_Amount]]</f>
        <v>0.28145819726078131</v>
      </c>
      <c r="O1459" t="str">
        <f>TEXT(tblTransactions[[#This Row],[Date]], "MMM-YYYY")</f>
        <v>Nov-2023</v>
      </c>
      <c r="P1459" t="str">
        <f>"Q"&amp;ROUNDUP(MONTH(tblTransactions[[#This Row],[Date]])/3,0)&amp;"-"&amp;YEAR(tblTransactions[[#This Row],[Date]])</f>
        <v>Q4-2023</v>
      </c>
      <c r="Q1459">
        <f>YEAR(tblTransactions[[#This Row],[Date]])</f>
        <v>2023</v>
      </c>
      <c r="R1459" t="str">
        <f>TEXT(tblTransactions[[#This Row],[Date]],"DDDD")</f>
        <v>Thursday</v>
      </c>
      <c r="S1459">
        <f>MONTH(tblTransactions[[#This Row],[Date]])</f>
        <v>11</v>
      </c>
      <c r="T1459" t="str">
        <f>VLOOKUP(E1459, Products!$A:$B,2,0)</f>
        <v>Tablets Ele-4</v>
      </c>
      <c r="U1459" t="str">
        <f>VLOOKUP(E1459,Products!$A:$C,3,0)</f>
        <v>Electronics</v>
      </c>
      <c r="V1459" t="str">
        <f>VLOOKUP(E1459,Products!$A:$D,4,0)</f>
        <v>Tablets</v>
      </c>
      <c r="W1459" t="str">
        <f>VLOOKUP(D1459,Customers!$A:$C,3,0)</f>
        <v>Small Business</v>
      </c>
      <c r="X1459" t="str">
        <f>VLOOKUP(C1459,Sales_Representatives!$A:$B,2,0)</f>
        <v>John Brown</v>
      </c>
    </row>
    <row r="1460" spans="1:24" x14ac:dyDescent="0.3">
      <c r="A1460" t="s">
        <v>2134</v>
      </c>
      <c r="B1460" t="s">
        <v>2131</v>
      </c>
      <c r="C1460" t="s">
        <v>59</v>
      </c>
      <c r="D1460" t="s">
        <v>1545</v>
      </c>
      <c r="E1460" t="s">
        <v>316</v>
      </c>
      <c r="F1460">
        <v>1</v>
      </c>
      <c r="G1460">
        <v>91.42</v>
      </c>
      <c r="H1460">
        <v>0.01</v>
      </c>
      <c r="I1460" s="4">
        <v>90.51</v>
      </c>
      <c r="J1460" t="s">
        <v>21</v>
      </c>
      <c r="K1460" t="s">
        <v>48</v>
      </c>
      <c r="L1460" s="4">
        <f>VLOOKUP(tblTransactions[[#This Row],[Product_ID]],tblProducts[],5,FALSE)</f>
        <v>50.09</v>
      </c>
      <c r="M1460" s="4">
        <f>tblTransactions[[#This Row],[Total_Amount]]-(tblTransactions[[#This Row],[Cost_Prices]]*tblTransactions[[#This Row],[Quantity]]*(1-tblTransactions[[#This Row],[Discount]]))</f>
        <v>40.920900000000003</v>
      </c>
      <c r="N1460" s="3">
        <f>tblTransactions[[#This Row],[Profit]]/tblTransactions[[#This Row],[Total_Amount]]</f>
        <v>0.45211468346039113</v>
      </c>
      <c r="O1460" t="str">
        <f>TEXT(tblTransactions[[#This Row],[Date]], "MMM-YYYY")</f>
        <v>Nov-2023</v>
      </c>
      <c r="P1460" t="str">
        <f>"Q"&amp;ROUNDUP(MONTH(tblTransactions[[#This Row],[Date]])/3,0)&amp;"-"&amp;YEAR(tblTransactions[[#This Row],[Date]])</f>
        <v>Q4-2023</v>
      </c>
      <c r="Q1460">
        <f>YEAR(tblTransactions[[#This Row],[Date]])</f>
        <v>2023</v>
      </c>
      <c r="R1460" t="str">
        <f>TEXT(tblTransactions[[#This Row],[Date]],"DDDD")</f>
        <v>Thursday</v>
      </c>
      <c r="S1460">
        <f>MONTH(tblTransactions[[#This Row],[Date]])</f>
        <v>11</v>
      </c>
      <c r="T1460" t="str">
        <f>VLOOKUP(E1460, Products!$A:$B,2,0)</f>
        <v>Binders Off-3</v>
      </c>
      <c r="U1460" t="str">
        <f>VLOOKUP(E1460,Products!$A:$C,3,0)</f>
        <v>Office Supplies</v>
      </c>
      <c r="V1460" t="str">
        <f>VLOOKUP(E1460,Products!$A:$D,4,0)</f>
        <v>Binders</v>
      </c>
      <c r="W1460" t="str">
        <f>VLOOKUP(D1460,Customers!$A:$C,3,0)</f>
        <v>Small Business</v>
      </c>
      <c r="X1460" t="str">
        <f>VLOOKUP(C1460,Sales_Representatives!$A:$B,2,0)</f>
        <v>Sarah Brown</v>
      </c>
    </row>
    <row r="1461" spans="1:24" x14ac:dyDescent="0.3">
      <c r="A1461" t="s">
        <v>2135</v>
      </c>
      <c r="B1461" t="s">
        <v>2131</v>
      </c>
      <c r="C1461" t="s">
        <v>107</v>
      </c>
      <c r="D1461" t="s">
        <v>1571</v>
      </c>
      <c r="E1461" t="s">
        <v>84</v>
      </c>
      <c r="F1461">
        <v>1</v>
      </c>
      <c r="G1461">
        <v>1841.77</v>
      </c>
      <c r="H1461">
        <v>0.02</v>
      </c>
      <c r="I1461" s="4">
        <v>1804.93</v>
      </c>
      <c r="J1461" t="s">
        <v>109</v>
      </c>
      <c r="K1461" t="s">
        <v>22</v>
      </c>
      <c r="L1461" s="4">
        <f>VLOOKUP(tblTransactions[[#This Row],[Product_ID]],tblProducts[],5,FALSE)</f>
        <v>1151.5899999999999</v>
      </c>
      <c r="M1461" s="4">
        <f>tblTransactions[[#This Row],[Total_Amount]]-(tblTransactions[[#This Row],[Cost_Prices]]*tblTransactions[[#This Row],[Quantity]]*(1-tblTransactions[[#This Row],[Discount]]))</f>
        <v>676.37180000000012</v>
      </c>
      <c r="N1461" s="3">
        <f>tblTransactions[[#This Row],[Profit]]/tblTransactions[[#This Row],[Total_Amount]]</f>
        <v>0.37473575152498995</v>
      </c>
      <c r="O1461" t="str">
        <f>TEXT(tblTransactions[[#This Row],[Date]], "MMM-YYYY")</f>
        <v>Nov-2023</v>
      </c>
      <c r="P1461" t="str">
        <f>"Q"&amp;ROUNDUP(MONTH(tblTransactions[[#This Row],[Date]])/3,0)&amp;"-"&amp;YEAR(tblTransactions[[#This Row],[Date]])</f>
        <v>Q4-2023</v>
      </c>
      <c r="Q1461">
        <f>YEAR(tblTransactions[[#This Row],[Date]])</f>
        <v>2023</v>
      </c>
      <c r="R1461" t="str">
        <f>TEXT(tblTransactions[[#This Row],[Date]],"DDDD")</f>
        <v>Thursday</v>
      </c>
      <c r="S1461">
        <f>MONTH(tblTransactions[[#This Row],[Date]])</f>
        <v>11</v>
      </c>
      <c r="T1461" t="str">
        <f>VLOOKUP(E1461, Products!$A:$B,2,0)</f>
        <v>Laptops Ele-2</v>
      </c>
      <c r="U1461" t="str">
        <f>VLOOKUP(E1461,Products!$A:$C,3,0)</f>
        <v>Electronics</v>
      </c>
      <c r="V1461" t="str">
        <f>VLOOKUP(E1461,Products!$A:$D,4,0)</f>
        <v>Laptops</v>
      </c>
      <c r="W1461" t="str">
        <f>VLOOKUP(D1461,Customers!$A:$C,3,0)</f>
        <v>B2C</v>
      </c>
      <c r="X1461" t="str">
        <f>VLOOKUP(C1461,Sales_Representatives!$A:$B,2,0)</f>
        <v>Jennifer Brown</v>
      </c>
    </row>
    <row r="1462" spans="1:24" x14ac:dyDescent="0.3">
      <c r="A1462" t="s">
        <v>2136</v>
      </c>
      <c r="B1462" t="s">
        <v>2131</v>
      </c>
      <c r="C1462" t="s">
        <v>131</v>
      </c>
      <c r="D1462" t="s">
        <v>2137</v>
      </c>
      <c r="E1462" t="s">
        <v>435</v>
      </c>
      <c r="F1462">
        <v>6</v>
      </c>
      <c r="G1462">
        <v>198.72</v>
      </c>
      <c r="H1462">
        <v>0.11</v>
      </c>
      <c r="I1462" s="4">
        <v>1061.1600000000001</v>
      </c>
      <c r="J1462" t="s">
        <v>44</v>
      </c>
      <c r="K1462" t="s">
        <v>22</v>
      </c>
      <c r="L1462" s="4">
        <f>VLOOKUP(tblTransactions[[#This Row],[Product_ID]],tblProducts[],5,FALSE)</f>
        <v>116.98</v>
      </c>
      <c r="M1462" s="4">
        <f>tblTransactions[[#This Row],[Total_Amount]]-(tblTransactions[[#This Row],[Cost_Prices]]*tblTransactions[[#This Row],[Quantity]]*(1-tblTransactions[[#This Row],[Discount]]))</f>
        <v>436.48680000000013</v>
      </c>
      <c r="N1462" s="3">
        <f>tblTransactions[[#This Row],[Profit]]/tblTransactions[[#This Row],[Total_Amount]]</f>
        <v>0.41132986543028394</v>
      </c>
      <c r="O1462" t="str">
        <f>TEXT(tblTransactions[[#This Row],[Date]], "MMM-YYYY")</f>
        <v>Nov-2023</v>
      </c>
      <c r="P1462" t="str">
        <f>"Q"&amp;ROUNDUP(MONTH(tblTransactions[[#This Row],[Date]])/3,0)&amp;"-"&amp;YEAR(tblTransactions[[#This Row],[Date]])</f>
        <v>Q4-2023</v>
      </c>
      <c r="Q1462">
        <f>YEAR(tblTransactions[[#This Row],[Date]])</f>
        <v>2023</v>
      </c>
      <c r="R1462" t="str">
        <f>TEXT(tblTransactions[[#This Row],[Date]],"DDDD")</f>
        <v>Thursday</v>
      </c>
      <c r="S1462">
        <f>MONTH(tblTransactions[[#This Row],[Date]])</f>
        <v>11</v>
      </c>
      <c r="T1462" t="str">
        <f>VLOOKUP(E1462, Products!$A:$B,2,0)</f>
        <v>Paper Off-4</v>
      </c>
      <c r="U1462" t="str">
        <f>VLOOKUP(E1462,Products!$A:$C,3,0)</f>
        <v>Office Supplies</v>
      </c>
      <c r="V1462" t="str">
        <f>VLOOKUP(E1462,Products!$A:$D,4,0)</f>
        <v>Paper</v>
      </c>
      <c r="W1462" t="str">
        <f>VLOOKUP(D1462,Customers!$A:$C,3,0)</f>
        <v>B2C</v>
      </c>
      <c r="X1462" t="str">
        <f>VLOOKUP(C1462,Sales_Representatives!$A:$B,2,0)</f>
        <v>Michael Davis</v>
      </c>
    </row>
    <row r="1463" spans="1:24" x14ac:dyDescent="0.3">
      <c r="A1463" t="s">
        <v>2138</v>
      </c>
      <c r="B1463" t="s">
        <v>2139</v>
      </c>
      <c r="C1463" t="s">
        <v>141</v>
      </c>
      <c r="D1463" t="s">
        <v>156</v>
      </c>
      <c r="E1463" t="s">
        <v>125</v>
      </c>
      <c r="F1463">
        <v>15</v>
      </c>
      <c r="G1463">
        <v>1201.4000000000001</v>
      </c>
      <c r="H1463">
        <v>0.14000000000000001</v>
      </c>
      <c r="I1463" s="4">
        <v>15498.06</v>
      </c>
      <c r="J1463" t="s">
        <v>109</v>
      </c>
      <c r="K1463" t="s">
        <v>39</v>
      </c>
      <c r="L1463" s="4">
        <f>VLOOKUP(tblTransactions[[#This Row],[Product_ID]],tblProducts[],5,FALSE)</f>
        <v>672.72</v>
      </c>
      <c r="M1463" s="4">
        <f>tblTransactions[[#This Row],[Total_Amount]]-(tblTransactions[[#This Row],[Cost_Prices]]*tblTransactions[[#This Row],[Quantity]]*(1-tblTransactions[[#This Row],[Discount]]))</f>
        <v>6819.9719999999979</v>
      </c>
      <c r="N1463" s="3">
        <f>tblTransactions[[#This Row],[Profit]]/tblTransactions[[#This Row],[Total_Amount]]</f>
        <v>0.44005327118361898</v>
      </c>
      <c r="O1463" t="str">
        <f>TEXT(tblTransactions[[#This Row],[Date]], "MMM-YYYY")</f>
        <v>Nov-2023</v>
      </c>
      <c r="P1463" t="str">
        <f>"Q"&amp;ROUNDUP(MONTH(tblTransactions[[#This Row],[Date]])/3,0)&amp;"-"&amp;YEAR(tblTransactions[[#This Row],[Date]])</f>
        <v>Q4-2023</v>
      </c>
      <c r="Q1463">
        <f>YEAR(tblTransactions[[#This Row],[Date]])</f>
        <v>2023</v>
      </c>
      <c r="R1463" t="str">
        <f>TEXT(tblTransactions[[#This Row],[Date]],"DDDD")</f>
        <v>Friday</v>
      </c>
      <c r="S1463">
        <f>MONTH(tblTransactions[[#This Row],[Date]])</f>
        <v>11</v>
      </c>
      <c r="T1463" t="str">
        <f>VLOOKUP(E1463, Products!$A:$B,2,0)</f>
        <v>Printers Tec-2</v>
      </c>
      <c r="U1463" t="str">
        <f>VLOOKUP(E1463,Products!$A:$C,3,0)</f>
        <v>Technology</v>
      </c>
      <c r="V1463" t="str">
        <f>VLOOKUP(E1463,Products!$A:$D,4,0)</f>
        <v>Printers</v>
      </c>
      <c r="W1463" t="str">
        <f>VLOOKUP(D1463,Customers!$A:$C,3,0)</f>
        <v>B2B</v>
      </c>
      <c r="X1463" t="str">
        <f>VLOOKUP(C1463,Sales_Representatives!$A:$B,2,0)</f>
        <v>Richard Garcia</v>
      </c>
    </row>
    <row r="1464" spans="1:24" x14ac:dyDescent="0.3">
      <c r="A1464" t="s">
        <v>2140</v>
      </c>
      <c r="B1464" t="s">
        <v>2139</v>
      </c>
      <c r="C1464" t="s">
        <v>31</v>
      </c>
      <c r="D1464" t="s">
        <v>2141</v>
      </c>
      <c r="E1464" t="s">
        <v>148</v>
      </c>
      <c r="F1464">
        <v>6</v>
      </c>
      <c r="G1464">
        <v>20.420000000000002</v>
      </c>
      <c r="H1464">
        <v>0.14000000000000001</v>
      </c>
      <c r="I1464" s="4">
        <v>105.37</v>
      </c>
      <c r="J1464" t="s">
        <v>34</v>
      </c>
      <c r="K1464" t="s">
        <v>22</v>
      </c>
      <c r="L1464" s="4">
        <f>VLOOKUP(tblTransactions[[#This Row],[Product_ID]],tblProducts[],5,FALSE)</f>
        <v>9.56</v>
      </c>
      <c r="M1464" s="4">
        <f>tblTransactions[[#This Row],[Total_Amount]]-(tblTransactions[[#This Row],[Cost_Prices]]*tblTransactions[[#This Row],[Quantity]]*(1-tblTransactions[[#This Row],[Discount]]))</f>
        <v>56.040400000000005</v>
      </c>
      <c r="N1464" s="3">
        <f>tblTransactions[[#This Row],[Profit]]/tblTransactions[[#This Row],[Total_Amount]]</f>
        <v>0.53184397836196262</v>
      </c>
      <c r="O1464" t="str">
        <f>TEXT(tblTransactions[[#This Row],[Date]], "MMM-YYYY")</f>
        <v>Nov-2023</v>
      </c>
      <c r="P1464" t="str">
        <f>"Q"&amp;ROUNDUP(MONTH(tblTransactions[[#This Row],[Date]])/3,0)&amp;"-"&amp;YEAR(tblTransactions[[#This Row],[Date]])</f>
        <v>Q4-2023</v>
      </c>
      <c r="Q1464">
        <f>YEAR(tblTransactions[[#This Row],[Date]])</f>
        <v>2023</v>
      </c>
      <c r="R1464" t="str">
        <f>TEXT(tblTransactions[[#This Row],[Date]],"DDDD")</f>
        <v>Friday</v>
      </c>
      <c r="S1464">
        <f>MONTH(tblTransactions[[#This Row],[Date]])</f>
        <v>11</v>
      </c>
      <c r="T1464" t="str">
        <f>VLOOKUP(E1464, Products!$A:$B,2,0)</f>
        <v>Cases Acc-3</v>
      </c>
      <c r="U1464" t="str">
        <f>VLOOKUP(E1464,Products!$A:$C,3,0)</f>
        <v>Accessories</v>
      </c>
      <c r="V1464" t="str">
        <f>VLOOKUP(E1464,Products!$A:$D,4,0)</f>
        <v>Cases</v>
      </c>
      <c r="W1464" t="str">
        <f>VLOOKUP(D1464,Customers!$A:$C,3,0)</f>
        <v>B2C</v>
      </c>
      <c r="X1464" t="str">
        <f>VLOOKUP(C1464,Sales_Representatives!$A:$B,2,0)</f>
        <v>Thomas Martinez</v>
      </c>
    </row>
    <row r="1465" spans="1:24" x14ac:dyDescent="0.3">
      <c r="A1465" t="s">
        <v>2142</v>
      </c>
      <c r="B1465" t="s">
        <v>2143</v>
      </c>
      <c r="C1465" t="s">
        <v>70</v>
      </c>
      <c r="D1465" t="s">
        <v>1604</v>
      </c>
      <c r="E1465" t="s">
        <v>68</v>
      </c>
      <c r="F1465">
        <v>7</v>
      </c>
      <c r="G1465">
        <v>522.63</v>
      </c>
      <c r="H1465">
        <v>7.0000000000000007E-2</v>
      </c>
      <c r="I1465" s="4">
        <v>3402.32</v>
      </c>
      <c r="J1465" t="s">
        <v>16</v>
      </c>
      <c r="K1465" t="s">
        <v>35</v>
      </c>
      <c r="L1465" s="4">
        <f>VLOOKUP(tblTransactions[[#This Row],[Product_ID]],tblProducts[],5,FALSE)</f>
        <v>355.82</v>
      </c>
      <c r="M1465" s="4">
        <f>tblTransactions[[#This Row],[Total_Amount]]-(tblTransactions[[#This Row],[Cost_Prices]]*tblTransactions[[#This Row],[Quantity]]*(1-tblTransactions[[#This Row],[Discount]]))</f>
        <v>1085.9318000000007</v>
      </c>
      <c r="N1465" s="3">
        <f>tblTransactions[[#This Row],[Profit]]/tblTransactions[[#This Row],[Total_Amount]]</f>
        <v>0.31917391662159961</v>
      </c>
      <c r="O1465" t="str">
        <f>TEXT(tblTransactions[[#This Row],[Date]], "MMM-YYYY")</f>
        <v>Nov-2023</v>
      </c>
      <c r="P1465" t="str">
        <f>"Q"&amp;ROUNDUP(MONTH(tblTransactions[[#This Row],[Date]])/3,0)&amp;"-"&amp;YEAR(tblTransactions[[#This Row],[Date]])</f>
        <v>Q4-2023</v>
      </c>
      <c r="Q1465">
        <f>YEAR(tblTransactions[[#This Row],[Date]])</f>
        <v>2023</v>
      </c>
      <c r="R1465" t="str">
        <f>TEXT(tblTransactions[[#This Row],[Date]],"DDDD")</f>
        <v>Saturday</v>
      </c>
      <c r="S1465">
        <f>MONTH(tblTransactions[[#This Row],[Date]])</f>
        <v>11</v>
      </c>
      <c r="T1465" t="str">
        <f>VLOOKUP(E1465, Products!$A:$B,2,0)</f>
        <v>Monitors Tec-3</v>
      </c>
      <c r="U1465" t="str">
        <f>VLOOKUP(E1465,Products!$A:$C,3,0)</f>
        <v>Technology</v>
      </c>
      <c r="V1465" t="str">
        <f>VLOOKUP(E1465,Products!$A:$D,4,0)</f>
        <v>Monitors</v>
      </c>
      <c r="W1465" t="str">
        <f>VLOOKUP(D1465,Customers!$A:$C,3,0)</f>
        <v>B2C</v>
      </c>
      <c r="X1465" t="str">
        <f>VLOOKUP(C1465,Sales_Representatives!$A:$B,2,0)</f>
        <v>Linda Smith</v>
      </c>
    </row>
    <row r="1466" spans="1:24" x14ac:dyDescent="0.3">
      <c r="A1466" t="s">
        <v>2144</v>
      </c>
      <c r="B1466" t="s">
        <v>2143</v>
      </c>
      <c r="C1466" t="s">
        <v>56</v>
      </c>
      <c r="D1466" t="s">
        <v>203</v>
      </c>
      <c r="E1466" t="s">
        <v>394</v>
      </c>
      <c r="F1466">
        <v>23</v>
      </c>
      <c r="G1466">
        <v>314.69</v>
      </c>
      <c r="H1466">
        <v>0.22</v>
      </c>
      <c r="I1466" s="4">
        <v>5645.54</v>
      </c>
      <c r="J1466" t="s">
        <v>34</v>
      </c>
      <c r="K1466" t="s">
        <v>39</v>
      </c>
      <c r="L1466" s="4">
        <f>VLOOKUP(tblTransactions[[#This Row],[Product_ID]],tblProducts[],5,FALSE)</f>
        <v>185.43</v>
      </c>
      <c r="M1466" s="4">
        <f>tblTransactions[[#This Row],[Total_Amount]]-(tblTransactions[[#This Row],[Cost_Prices]]*tblTransactions[[#This Row],[Quantity]]*(1-tblTransactions[[#This Row],[Discount]]))</f>
        <v>2318.9257999999995</v>
      </c>
      <c r="N1466" s="3">
        <f>tblTransactions[[#This Row],[Profit]]/tblTransactions[[#This Row],[Total_Amount]]</f>
        <v>0.4107535860165723</v>
      </c>
      <c r="O1466" t="str">
        <f>TEXT(tblTransactions[[#This Row],[Date]], "MMM-YYYY")</f>
        <v>Nov-2023</v>
      </c>
      <c r="P1466" t="str">
        <f>"Q"&amp;ROUNDUP(MONTH(tblTransactions[[#This Row],[Date]])/3,0)&amp;"-"&amp;YEAR(tblTransactions[[#This Row],[Date]])</f>
        <v>Q4-2023</v>
      </c>
      <c r="Q1466">
        <f>YEAR(tblTransactions[[#This Row],[Date]])</f>
        <v>2023</v>
      </c>
      <c r="R1466" t="str">
        <f>TEXT(tblTransactions[[#This Row],[Date]],"DDDD")</f>
        <v>Saturday</v>
      </c>
      <c r="S1466">
        <f>MONTH(tblTransactions[[#This Row],[Date]])</f>
        <v>11</v>
      </c>
      <c r="T1466" t="str">
        <f>VLOOKUP(E1466, Products!$A:$B,2,0)</f>
        <v>Desks Fur-1</v>
      </c>
      <c r="U1466" t="str">
        <f>VLOOKUP(E1466,Products!$A:$C,3,0)</f>
        <v>Furniture</v>
      </c>
      <c r="V1466" t="str">
        <f>VLOOKUP(E1466,Products!$A:$D,4,0)</f>
        <v>Desks</v>
      </c>
      <c r="W1466" t="str">
        <f>VLOOKUP(D1466,Customers!$A:$C,3,0)</f>
        <v>Enterprise</v>
      </c>
      <c r="X1466" t="str">
        <f>VLOOKUP(C1466,Sales_Representatives!$A:$B,2,0)</f>
        <v>Thomas Hernandez</v>
      </c>
    </row>
    <row r="1467" spans="1:24" x14ac:dyDescent="0.3">
      <c r="A1467" t="s">
        <v>2145</v>
      </c>
      <c r="B1467" t="s">
        <v>2143</v>
      </c>
      <c r="C1467" t="s">
        <v>141</v>
      </c>
      <c r="D1467" t="s">
        <v>1673</v>
      </c>
      <c r="E1467" t="s">
        <v>370</v>
      </c>
      <c r="F1467">
        <v>6</v>
      </c>
      <c r="G1467">
        <v>238.95</v>
      </c>
      <c r="H1467">
        <v>0.12</v>
      </c>
      <c r="I1467" s="4">
        <v>1261.6600000000001</v>
      </c>
      <c r="J1467" t="s">
        <v>109</v>
      </c>
      <c r="K1467" t="s">
        <v>22</v>
      </c>
      <c r="L1467" s="4">
        <f>VLOOKUP(tblTransactions[[#This Row],[Product_ID]],tblProducts[],5,FALSE)</f>
        <v>136.6</v>
      </c>
      <c r="M1467" s="4">
        <f>tblTransactions[[#This Row],[Total_Amount]]-(tblTransactions[[#This Row],[Cost_Prices]]*tblTransactions[[#This Row],[Quantity]]*(1-tblTransactions[[#This Row],[Discount]]))</f>
        <v>540.41200000000015</v>
      </c>
      <c r="N1467" s="3">
        <f>tblTransactions[[#This Row],[Profit]]/tblTransactions[[#This Row],[Total_Amount]]</f>
        <v>0.42833409951968049</v>
      </c>
      <c r="O1467" t="str">
        <f>TEXT(tblTransactions[[#This Row],[Date]], "MMM-YYYY")</f>
        <v>Nov-2023</v>
      </c>
      <c r="P1467" t="str">
        <f>"Q"&amp;ROUNDUP(MONTH(tblTransactions[[#This Row],[Date]])/3,0)&amp;"-"&amp;YEAR(tblTransactions[[#This Row],[Date]])</f>
        <v>Q4-2023</v>
      </c>
      <c r="Q1467">
        <f>YEAR(tblTransactions[[#This Row],[Date]])</f>
        <v>2023</v>
      </c>
      <c r="R1467" t="str">
        <f>TEXT(tblTransactions[[#This Row],[Date]],"DDDD")</f>
        <v>Saturday</v>
      </c>
      <c r="S1467">
        <f>MONTH(tblTransactions[[#This Row],[Date]])</f>
        <v>11</v>
      </c>
      <c r="T1467" t="str">
        <f>VLOOKUP(E1467, Products!$A:$B,2,0)</f>
        <v>Cables Acc-1</v>
      </c>
      <c r="U1467" t="str">
        <f>VLOOKUP(E1467,Products!$A:$C,3,0)</f>
        <v>Accessories</v>
      </c>
      <c r="V1467" t="str">
        <f>VLOOKUP(E1467,Products!$A:$D,4,0)</f>
        <v>Cables</v>
      </c>
      <c r="W1467" t="str">
        <f>VLOOKUP(D1467,Customers!$A:$C,3,0)</f>
        <v>B2C</v>
      </c>
      <c r="X1467" t="str">
        <f>VLOOKUP(C1467,Sales_Representatives!$A:$B,2,0)</f>
        <v>Richard Garcia</v>
      </c>
    </row>
    <row r="1468" spans="1:24" x14ac:dyDescent="0.3">
      <c r="A1468" t="s">
        <v>2146</v>
      </c>
      <c r="B1468" t="s">
        <v>2143</v>
      </c>
      <c r="C1468" t="s">
        <v>75</v>
      </c>
      <c r="D1468" t="s">
        <v>2147</v>
      </c>
      <c r="E1468" t="s">
        <v>25</v>
      </c>
      <c r="F1468">
        <v>16</v>
      </c>
      <c r="G1468">
        <v>1467.49</v>
      </c>
      <c r="H1468">
        <v>0.15</v>
      </c>
      <c r="I1468" s="4">
        <v>19957.86</v>
      </c>
      <c r="J1468" t="s">
        <v>44</v>
      </c>
      <c r="K1468" t="s">
        <v>48</v>
      </c>
      <c r="L1468" s="4">
        <f>VLOOKUP(tblTransactions[[#This Row],[Product_ID]],tblProducts[],5,FALSE)</f>
        <v>757.65</v>
      </c>
      <c r="M1468" s="4">
        <f>tblTransactions[[#This Row],[Total_Amount]]-(tblTransactions[[#This Row],[Cost_Prices]]*tblTransactions[[#This Row],[Quantity]]*(1-tblTransactions[[#This Row],[Discount]]))</f>
        <v>9653.8200000000015</v>
      </c>
      <c r="N1468" s="3">
        <f>tblTransactions[[#This Row],[Profit]]/tblTransactions[[#This Row],[Total_Amount]]</f>
        <v>0.48371017734366317</v>
      </c>
      <c r="O1468" t="str">
        <f>TEXT(tblTransactions[[#This Row],[Date]], "MMM-YYYY")</f>
        <v>Nov-2023</v>
      </c>
      <c r="P1468" t="str">
        <f>"Q"&amp;ROUNDUP(MONTH(tblTransactions[[#This Row],[Date]])/3,0)&amp;"-"&amp;YEAR(tblTransactions[[#This Row],[Date]])</f>
        <v>Q4-2023</v>
      </c>
      <c r="Q1468">
        <f>YEAR(tblTransactions[[#This Row],[Date]])</f>
        <v>2023</v>
      </c>
      <c r="R1468" t="str">
        <f>TEXT(tblTransactions[[#This Row],[Date]],"DDDD")</f>
        <v>Saturday</v>
      </c>
      <c r="S1468">
        <f>MONTH(tblTransactions[[#This Row],[Date]])</f>
        <v>11</v>
      </c>
      <c r="T1468" t="str">
        <f>VLOOKUP(E1468, Products!$A:$B,2,0)</f>
        <v>Tables Fur-3</v>
      </c>
      <c r="U1468" t="str">
        <f>VLOOKUP(E1468,Products!$A:$C,3,0)</f>
        <v>Furniture</v>
      </c>
      <c r="V1468" t="str">
        <f>VLOOKUP(E1468,Products!$A:$D,4,0)</f>
        <v>Tables</v>
      </c>
      <c r="W1468" t="str">
        <f>VLOOKUP(D1468,Customers!$A:$C,3,0)</f>
        <v>B2B</v>
      </c>
      <c r="X1468" t="str">
        <f>VLOOKUP(C1468,Sales_Representatives!$A:$B,2,0)</f>
        <v>Jessica Anderson</v>
      </c>
    </row>
    <row r="1469" spans="1:24" x14ac:dyDescent="0.3">
      <c r="A1469" t="s">
        <v>2148</v>
      </c>
      <c r="B1469" t="s">
        <v>2149</v>
      </c>
      <c r="C1469" t="s">
        <v>27</v>
      </c>
      <c r="D1469" t="s">
        <v>2150</v>
      </c>
      <c r="E1469" t="s">
        <v>347</v>
      </c>
      <c r="F1469">
        <v>6</v>
      </c>
      <c r="G1469">
        <v>1539.6</v>
      </c>
      <c r="H1469">
        <v>0.13</v>
      </c>
      <c r="I1469" s="4">
        <v>8036.71</v>
      </c>
      <c r="J1469" t="s">
        <v>16</v>
      </c>
      <c r="K1469" t="s">
        <v>39</v>
      </c>
      <c r="L1469" s="4">
        <f>VLOOKUP(tblTransactions[[#This Row],[Product_ID]],tblProducts[],5,FALSE)</f>
        <v>992.43</v>
      </c>
      <c r="M1469" s="4">
        <f>tblTransactions[[#This Row],[Total_Amount]]-(tblTransactions[[#This Row],[Cost_Prices]]*tblTransactions[[#This Row],[Quantity]]*(1-tblTransactions[[#This Row],[Discount]]))</f>
        <v>2856.2254000000003</v>
      </c>
      <c r="N1469" s="3">
        <f>tblTransactions[[#This Row],[Profit]]/tblTransactions[[#This Row],[Total_Amount]]</f>
        <v>0.35539734543115281</v>
      </c>
      <c r="O1469" t="str">
        <f>TEXT(tblTransactions[[#This Row],[Date]], "MMM-YYYY")</f>
        <v>Nov-2023</v>
      </c>
      <c r="P1469" t="str">
        <f>"Q"&amp;ROUNDUP(MONTH(tblTransactions[[#This Row],[Date]])/3,0)&amp;"-"&amp;YEAR(tblTransactions[[#This Row],[Date]])</f>
        <v>Q4-2023</v>
      </c>
      <c r="Q1469">
        <f>YEAR(tblTransactions[[#This Row],[Date]])</f>
        <v>2023</v>
      </c>
      <c r="R1469" t="str">
        <f>TEXT(tblTransactions[[#This Row],[Date]],"DDDD")</f>
        <v>Sunday</v>
      </c>
      <c r="S1469">
        <f>MONTH(tblTransactions[[#This Row],[Date]])</f>
        <v>11</v>
      </c>
      <c r="T1469" t="str">
        <f>VLOOKUP(E1469, Products!$A:$B,2,0)</f>
        <v>Routers Tec-2</v>
      </c>
      <c r="U1469" t="str">
        <f>VLOOKUP(E1469,Products!$A:$C,3,0)</f>
        <v>Technology</v>
      </c>
      <c r="V1469" t="str">
        <f>VLOOKUP(E1469,Products!$A:$D,4,0)</f>
        <v>Routers</v>
      </c>
      <c r="W1469" t="str">
        <f>VLOOKUP(D1469,Customers!$A:$C,3,0)</f>
        <v>Enterprise</v>
      </c>
      <c r="X1469" t="str">
        <f>VLOOKUP(C1469,Sales_Representatives!$A:$B,2,0)</f>
        <v>Thomas Lopez</v>
      </c>
    </row>
    <row r="1470" spans="1:24" x14ac:dyDescent="0.3">
      <c r="A1470" t="s">
        <v>2151</v>
      </c>
      <c r="B1470" t="s">
        <v>2149</v>
      </c>
      <c r="C1470" t="s">
        <v>141</v>
      </c>
      <c r="D1470" t="s">
        <v>50</v>
      </c>
      <c r="E1470" t="s">
        <v>481</v>
      </c>
      <c r="F1470">
        <v>2</v>
      </c>
      <c r="G1470">
        <v>263.58999999999997</v>
      </c>
      <c r="H1470">
        <v>0.03</v>
      </c>
      <c r="I1470" s="4">
        <v>511.36</v>
      </c>
      <c r="J1470" t="s">
        <v>109</v>
      </c>
      <c r="K1470" t="s">
        <v>22</v>
      </c>
      <c r="L1470" s="4">
        <f>VLOOKUP(tblTransactions[[#This Row],[Product_ID]],tblProducts[],5,FALSE)</f>
        <v>133.65</v>
      </c>
      <c r="M1470" s="4">
        <f>tblTransactions[[#This Row],[Total_Amount]]-(tblTransactions[[#This Row],[Cost_Prices]]*tblTransactions[[#This Row],[Quantity]]*(1-tblTransactions[[#This Row],[Discount]]))</f>
        <v>252.07900000000001</v>
      </c>
      <c r="N1470" s="3">
        <f>tblTransactions[[#This Row],[Profit]]/tblTransactions[[#This Row],[Total_Amount]]</f>
        <v>0.49295799436795995</v>
      </c>
      <c r="O1470" t="str">
        <f>TEXT(tblTransactions[[#This Row],[Date]], "MMM-YYYY")</f>
        <v>Nov-2023</v>
      </c>
      <c r="P1470" t="str">
        <f>"Q"&amp;ROUNDUP(MONTH(tblTransactions[[#This Row],[Date]])/3,0)&amp;"-"&amp;YEAR(tblTransactions[[#This Row],[Date]])</f>
        <v>Q4-2023</v>
      </c>
      <c r="Q1470">
        <f>YEAR(tblTransactions[[#This Row],[Date]])</f>
        <v>2023</v>
      </c>
      <c r="R1470" t="str">
        <f>TEXT(tblTransactions[[#This Row],[Date]],"DDDD")</f>
        <v>Sunday</v>
      </c>
      <c r="S1470">
        <f>MONTH(tblTransactions[[#This Row],[Date]])</f>
        <v>11</v>
      </c>
      <c r="T1470" t="str">
        <f>VLOOKUP(E1470, Products!$A:$B,2,0)</f>
        <v>Folders Off-1</v>
      </c>
      <c r="U1470" t="str">
        <f>VLOOKUP(E1470,Products!$A:$C,3,0)</f>
        <v>Office Supplies</v>
      </c>
      <c r="V1470" t="str">
        <f>VLOOKUP(E1470,Products!$A:$D,4,0)</f>
        <v>Folders</v>
      </c>
      <c r="W1470" t="str">
        <f>VLOOKUP(D1470,Customers!$A:$C,3,0)</f>
        <v>Small Business</v>
      </c>
      <c r="X1470" t="str">
        <f>VLOOKUP(C1470,Sales_Representatives!$A:$B,2,0)</f>
        <v>Richard Garcia</v>
      </c>
    </row>
    <row r="1471" spans="1:24" x14ac:dyDescent="0.3">
      <c r="A1471" t="s">
        <v>2152</v>
      </c>
      <c r="B1471" t="s">
        <v>2149</v>
      </c>
      <c r="C1471" t="s">
        <v>41</v>
      </c>
      <c r="D1471" t="s">
        <v>1780</v>
      </c>
      <c r="E1471" t="s">
        <v>20</v>
      </c>
      <c r="F1471">
        <v>5</v>
      </c>
      <c r="G1471">
        <v>1219.49</v>
      </c>
      <c r="H1471">
        <v>0</v>
      </c>
      <c r="I1471" s="4">
        <v>6097.45</v>
      </c>
      <c r="J1471" t="s">
        <v>44</v>
      </c>
      <c r="K1471" t="s">
        <v>39</v>
      </c>
      <c r="L1471" s="4">
        <f>VLOOKUP(tblTransactions[[#This Row],[Product_ID]],tblProducts[],5,FALSE)</f>
        <v>686.9</v>
      </c>
      <c r="M1471" s="4">
        <f>tblTransactions[[#This Row],[Total_Amount]]-(tblTransactions[[#This Row],[Cost_Prices]]*tblTransactions[[#This Row],[Quantity]]*(1-tblTransactions[[#This Row],[Discount]]))</f>
        <v>2662.95</v>
      </c>
      <c r="N1471" s="3">
        <f>tblTransactions[[#This Row],[Profit]]/tblTransactions[[#This Row],[Total_Amount]]</f>
        <v>0.43673174851782298</v>
      </c>
      <c r="O1471" t="str">
        <f>TEXT(tblTransactions[[#This Row],[Date]], "MMM-YYYY")</f>
        <v>Nov-2023</v>
      </c>
      <c r="P1471" t="str">
        <f>"Q"&amp;ROUNDUP(MONTH(tblTransactions[[#This Row],[Date]])/3,0)&amp;"-"&amp;YEAR(tblTransactions[[#This Row],[Date]])</f>
        <v>Q4-2023</v>
      </c>
      <c r="Q1471">
        <f>YEAR(tblTransactions[[#This Row],[Date]])</f>
        <v>2023</v>
      </c>
      <c r="R1471" t="str">
        <f>TEXT(tblTransactions[[#This Row],[Date]],"DDDD")</f>
        <v>Sunday</v>
      </c>
      <c r="S1471">
        <f>MONTH(tblTransactions[[#This Row],[Date]])</f>
        <v>11</v>
      </c>
      <c r="T1471" t="str">
        <f>VLOOKUP(E1471, Products!$A:$B,2,0)</f>
        <v>Laptops Ele-1</v>
      </c>
      <c r="U1471" t="str">
        <f>VLOOKUP(E1471,Products!$A:$C,3,0)</f>
        <v>Electronics</v>
      </c>
      <c r="V1471" t="str">
        <f>VLOOKUP(E1471,Products!$A:$D,4,0)</f>
        <v>Laptops</v>
      </c>
      <c r="W1471" t="str">
        <f>VLOOKUP(D1471,Customers!$A:$C,3,0)</f>
        <v>B2C</v>
      </c>
      <c r="X1471" t="str">
        <f>VLOOKUP(C1471,Sales_Representatives!$A:$B,2,0)</f>
        <v>Robert Jones</v>
      </c>
    </row>
    <row r="1472" spans="1:24" x14ac:dyDescent="0.3">
      <c r="A1472" t="s">
        <v>2153</v>
      </c>
      <c r="B1472" t="s">
        <v>2149</v>
      </c>
      <c r="C1472" t="s">
        <v>141</v>
      </c>
      <c r="D1472" t="s">
        <v>2121</v>
      </c>
      <c r="E1472" t="s">
        <v>159</v>
      </c>
      <c r="F1472">
        <v>7</v>
      </c>
      <c r="G1472">
        <v>78.09</v>
      </c>
      <c r="H1472">
        <v>0.1</v>
      </c>
      <c r="I1472" s="4">
        <v>491.97</v>
      </c>
      <c r="J1472" t="s">
        <v>109</v>
      </c>
      <c r="K1472" t="s">
        <v>39</v>
      </c>
      <c r="L1472" s="4">
        <f>VLOOKUP(tblTransactions[[#This Row],[Product_ID]],tblProducts[],5,FALSE)</f>
        <v>47.01</v>
      </c>
      <c r="M1472" s="4">
        <f>tblTransactions[[#This Row],[Total_Amount]]-(tblTransactions[[#This Row],[Cost_Prices]]*tblTransactions[[#This Row],[Quantity]]*(1-tblTransactions[[#This Row],[Discount]]))</f>
        <v>195.80700000000002</v>
      </c>
      <c r="N1472" s="3">
        <f>tblTransactions[[#This Row],[Profit]]/tblTransactions[[#This Row],[Total_Amount]]</f>
        <v>0.39800597597414478</v>
      </c>
      <c r="O1472" t="str">
        <f>TEXT(tblTransactions[[#This Row],[Date]], "MMM-YYYY")</f>
        <v>Nov-2023</v>
      </c>
      <c r="P1472" t="str">
        <f>"Q"&amp;ROUNDUP(MONTH(tblTransactions[[#This Row],[Date]])/3,0)&amp;"-"&amp;YEAR(tblTransactions[[#This Row],[Date]])</f>
        <v>Q4-2023</v>
      </c>
      <c r="Q1472">
        <f>YEAR(tblTransactions[[#This Row],[Date]])</f>
        <v>2023</v>
      </c>
      <c r="R1472" t="str">
        <f>TEXT(tblTransactions[[#This Row],[Date]],"DDDD")</f>
        <v>Sunday</v>
      </c>
      <c r="S1472">
        <f>MONTH(tblTransactions[[#This Row],[Date]])</f>
        <v>11</v>
      </c>
      <c r="T1472" t="str">
        <f>VLOOKUP(E1472, Products!$A:$B,2,0)</f>
        <v>Cables Acc-4</v>
      </c>
      <c r="U1472" t="str">
        <f>VLOOKUP(E1472,Products!$A:$C,3,0)</f>
        <v>Accessories</v>
      </c>
      <c r="V1472" t="str">
        <f>VLOOKUP(E1472,Products!$A:$D,4,0)</f>
        <v>Cables</v>
      </c>
      <c r="W1472" t="str">
        <f>VLOOKUP(D1472,Customers!$A:$C,3,0)</f>
        <v>B2C</v>
      </c>
      <c r="X1472" t="str">
        <f>VLOOKUP(C1472,Sales_Representatives!$A:$B,2,0)</f>
        <v>Richard Garcia</v>
      </c>
    </row>
    <row r="1473" spans="1:24" x14ac:dyDescent="0.3">
      <c r="A1473" t="s">
        <v>2154</v>
      </c>
      <c r="B1473" t="s">
        <v>2155</v>
      </c>
      <c r="C1473" t="s">
        <v>82</v>
      </c>
      <c r="D1473" t="s">
        <v>1969</v>
      </c>
      <c r="E1473" t="s">
        <v>84</v>
      </c>
      <c r="F1473">
        <v>9</v>
      </c>
      <c r="G1473">
        <v>1841.77</v>
      </c>
      <c r="H1473">
        <v>0.08</v>
      </c>
      <c r="I1473" s="4">
        <v>15249.86</v>
      </c>
      <c r="J1473" t="s">
        <v>34</v>
      </c>
      <c r="K1473" t="s">
        <v>39</v>
      </c>
      <c r="L1473" s="4">
        <f>VLOOKUP(tblTransactions[[#This Row],[Product_ID]],tblProducts[],5,FALSE)</f>
        <v>1151.5899999999999</v>
      </c>
      <c r="M1473" s="4">
        <f>tblTransactions[[#This Row],[Total_Amount]]-(tblTransactions[[#This Row],[Cost_Prices]]*tblTransactions[[#This Row],[Quantity]]*(1-tblTransactions[[#This Row],[Discount]]))</f>
        <v>5714.6948000000011</v>
      </c>
      <c r="N1473" s="3">
        <f>tblTransactions[[#This Row],[Profit]]/tblTransactions[[#This Row],[Total_Amount]]</f>
        <v>0.37473752545925015</v>
      </c>
      <c r="O1473" t="str">
        <f>TEXT(tblTransactions[[#This Row],[Date]], "MMM-YYYY")</f>
        <v>Nov-2023</v>
      </c>
      <c r="P1473" t="str">
        <f>"Q"&amp;ROUNDUP(MONTH(tblTransactions[[#This Row],[Date]])/3,0)&amp;"-"&amp;YEAR(tblTransactions[[#This Row],[Date]])</f>
        <v>Q4-2023</v>
      </c>
      <c r="Q1473">
        <f>YEAR(tblTransactions[[#This Row],[Date]])</f>
        <v>2023</v>
      </c>
      <c r="R1473" t="str">
        <f>TEXT(tblTransactions[[#This Row],[Date]],"DDDD")</f>
        <v>Monday</v>
      </c>
      <c r="S1473">
        <f>MONTH(tblTransactions[[#This Row],[Date]])</f>
        <v>11</v>
      </c>
      <c r="T1473" t="str">
        <f>VLOOKUP(E1473, Products!$A:$B,2,0)</f>
        <v>Laptops Ele-2</v>
      </c>
      <c r="U1473" t="str">
        <f>VLOOKUP(E1473,Products!$A:$C,3,0)</f>
        <v>Electronics</v>
      </c>
      <c r="V1473" t="str">
        <f>VLOOKUP(E1473,Products!$A:$D,4,0)</f>
        <v>Laptops</v>
      </c>
      <c r="W1473" t="str">
        <f>VLOOKUP(D1473,Customers!$A:$C,3,0)</f>
        <v>Enterprise</v>
      </c>
      <c r="X1473" t="str">
        <f>VLOOKUP(C1473,Sales_Representatives!$A:$B,2,0)</f>
        <v>John Brown</v>
      </c>
    </row>
    <row r="1474" spans="1:24" x14ac:dyDescent="0.3">
      <c r="A1474" t="s">
        <v>2156</v>
      </c>
      <c r="B1474" t="s">
        <v>2155</v>
      </c>
      <c r="C1474" t="s">
        <v>70</v>
      </c>
      <c r="D1474" t="s">
        <v>1749</v>
      </c>
      <c r="E1474" t="s">
        <v>224</v>
      </c>
      <c r="F1474">
        <v>13</v>
      </c>
      <c r="G1474">
        <v>505.37</v>
      </c>
      <c r="H1474">
        <v>0.15</v>
      </c>
      <c r="I1474" s="4">
        <v>5584.34</v>
      </c>
      <c r="J1474" t="s">
        <v>16</v>
      </c>
      <c r="K1474" t="s">
        <v>39</v>
      </c>
      <c r="L1474" s="4">
        <f>VLOOKUP(tblTransactions[[#This Row],[Product_ID]],tblProducts[],5,FALSE)</f>
        <v>281.14999999999998</v>
      </c>
      <c r="M1474" s="4">
        <f>tblTransactions[[#This Row],[Total_Amount]]-(tblTransactions[[#This Row],[Cost_Prices]]*tblTransactions[[#This Row],[Quantity]]*(1-tblTransactions[[#This Row],[Discount]]))</f>
        <v>2477.6325000000002</v>
      </c>
      <c r="N1474" s="3">
        <f>tblTransactions[[#This Row],[Profit]]/tblTransactions[[#This Row],[Total_Amount]]</f>
        <v>0.44367508067202216</v>
      </c>
      <c r="O1474" t="str">
        <f>TEXT(tblTransactions[[#This Row],[Date]], "MMM-YYYY")</f>
        <v>Nov-2023</v>
      </c>
      <c r="P1474" t="str">
        <f>"Q"&amp;ROUNDUP(MONTH(tblTransactions[[#This Row],[Date]])/3,0)&amp;"-"&amp;YEAR(tblTransactions[[#This Row],[Date]])</f>
        <v>Q4-2023</v>
      </c>
      <c r="Q1474">
        <f>YEAR(tblTransactions[[#This Row],[Date]])</f>
        <v>2023</v>
      </c>
      <c r="R1474" t="str">
        <f>TEXT(tblTransactions[[#This Row],[Date]],"DDDD")</f>
        <v>Monday</v>
      </c>
      <c r="S1474">
        <f>MONTH(tblTransactions[[#This Row],[Date]])</f>
        <v>11</v>
      </c>
      <c r="T1474" t="str">
        <f>VLOOKUP(E1474, Products!$A:$B,2,0)</f>
        <v>Desks Fur-3</v>
      </c>
      <c r="U1474" t="str">
        <f>VLOOKUP(E1474,Products!$A:$C,3,0)</f>
        <v>Furniture</v>
      </c>
      <c r="V1474" t="str">
        <f>VLOOKUP(E1474,Products!$A:$D,4,0)</f>
        <v>Desks</v>
      </c>
      <c r="W1474" t="str">
        <f>VLOOKUP(D1474,Customers!$A:$C,3,0)</f>
        <v>B2B</v>
      </c>
      <c r="X1474" t="str">
        <f>VLOOKUP(C1474,Sales_Representatives!$A:$B,2,0)</f>
        <v>Linda Smith</v>
      </c>
    </row>
    <row r="1475" spans="1:24" x14ac:dyDescent="0.3">
      <c r="A1475" t="s">
        <v>2157</v>
      </c>
      <c r="B1475" t="s">
        <v>2155</v>
      </c>
      <c r="C1475" t="s">
        <v>31</v>
      </c>
      <c r="D1475" t="s">
        <v>203</v>
      </c>
      <c r="E1475" t="s">
        <v>20</v>
      </c>
      <c r="F1475">
        <v>46</v>
      </c>
      <c r="G1475">
        <v>1219.49</v>
      </c>
      <c r="H1475">
        <v>0.19</v>
      </c>
      <c r="I1475" s="4">
        <v>45438.2</v>
      </c>
      <c r="J1475" t="s">
        <v>34</v>
      </c>
      <c r="K1475" t="s">
        <v>35</v>
      </c>
      <c r="L1475" s="4">
        <f>VLOOKUP(tblTransactions[[#This Row],[Product_ID]],tblProducts[],5,FALSE)</f>
        <v>686.9</v>
      </c>
      <c r="M1475" s="4">
        <f>tblTransactions[[#This Row],[Total_Amount]]-(tblTransactions[[#This Row],[Cost_Prices]]*tblTransactions[[#This Row],[Quantity]]*(1-tblTransactions[[#This Row],[Discount]]))</f>
        <v>19844.305999999997</v>
      </c>
      <c r="N1475" s="3">
        <f>tblTransactions[[#This Row],[Profit]]/tblTransactions[[#This Row],[Total_Amount]]</f>
        <v>0.43673178074835706</v>
      </c>
      <c r="O1475" t="str">
        <f>TEXT(tblTransactions[[#This Row],[Date]], "MMM-YYYY")</f>
        <v>Nov-2023</v>
      </c>
      <c r="P1475" t="str">
        <f>"Q"&amp;ROUNDUP(MONTH(tblTransactions[[#This Row],[Date]])/3,0)&amp;"-"&amp;YEAR(tblTransactions[[#This Row],[Date]])</f>
        <v>Q4-2023</v>
      </c>
      <c r="Q1475">
        <f>YEAR(tblTransactions[[#This Row],[Date]])</f>
        <v>2023</v>
      </c>
      <c r="R1475" t="str">
        <f>TEXT(tblTransactions[[#This Row],[Date]],"DDDD")</f>
        <v>Monday</v>
      </c>
      <c r="S1475">
        <f>MONTH(tblTransactions[[#This Row],[Date]])</f>
        <v>11</v>
      </c>
      <c r="T1475" t="str">
        <f>VLOOKUP(E1475, Products!$A:$B,2,0)</f>
        <v>Laptops Ele-1</v>
      </c>
      <c r="U1475" t="str">
        <f>VLOOKUP(E1475,Products!$A:$C,3,0)</f>
        <v>Electronics</v>
      </c>
      <c r="V1475" t="str">
        <f>VLOOKUP(E1475,Products!$A:$D,4,0)</f>
        <v>Laptops</v>
      </c>
      <c r="W1475" t="str">
        <f>VLOOKUP(D1475,Customers!$A:$C,3,0)</f>
        <v>Enterprise</v>
      </c>
      <c r="X1475" t="str">
        <f>VLOOKUP(C1475,Sales_Representatives!$A:$B,2,0)</f>
        <v>Thomas Martinez</v>
      </c>
    </row>
    <row r="1476" spans="1:24" x14ac:dyDescent="0.3">
      <c r="A1476" t="s">
        <v>2158</v>
      </c>
      <c r="B1476" t="s">
        <v>2155</v>
      </c>
      <c r="C1476" t="s">
        <v>131</v>
      </c>
      <c r="D1476" t="s">
        <v>2159</v>
      </c>
      <c r="E1476" t="s">
        <v>224</v>
      </c>
      <c r="F1476">
        <v>15</v>
      </c>
      <c r="G1476">
        <v>505.37</v>
      </c>
      <c r="H1476">
        <v>0.17</v>
      </c>
      <c r="I1476" s="4">
        <v>6291.86</v>
      </c>
      <c r="J1476" t="s">
        <v>44</v>
      </c>
      <c r="K1476" t="s">
        <v>22</v>
      </c>
      <c r="L1476" s="4">
        <f>VLOOKUP(tblTransactions[[#This Row],[Product_ID]],tblProducts[],5,FALSE)</f>
        <v>281.14999999999998</v>
      </c>
      <c r="M1476" s="4">
        <f>tblTransactions[[#This Row],[Total_Amount]]-(tblTransactions[[#This Row],[Cost_Prices]]*tblTransactions[[#This Row],[Quantity]]*(1-tblTransactions[[#This Row],[Discount]]))</f>
        <v>2791.5425</v>
      </c>
      <c r="N1476" s="3">
        <f>tblTransactions[[#This Row],[Profit]]/tblTransactions[[#This Row],[Total_Amount]]</f>
        <v>0.44367524070783521</v>
      </c>
      <c r="O1476" t="str">
        <f>TEXT(tblTransactions[[#This Row],[Date]], "MMM-YYYY")</f>
        <v>Nov-2023</v>
      </c>
      <c r="P1476" t="str">
        <f>"Q"&amp;ROUNDUP(MONTH(tblTransactions[[#This Row],[Date]])/3,0)&amp;"-"&amp;YEAR(tblTransactions[[#This Row],[Date]])</f>
        <v>Q4-2023</v>
      </c>
      <c r="Q1476">
        <f>YEAR(tblTransactions[[#This Row],[Date]])</f>
        <v>2023</v>
      </c>
      <c r="R1476" t="str">
        <f>TEXT(tblTransactions[[#This Row],[Date]],"DDDD")</f>
        <v>Monday</v>
      </c>
      <c r="S1476">
        <f>MONTH(tblTransactions[[#This Row],[Date]])</f>
        <v>11</v>
      </c>
      <c r="T1476" t="str">
        <f>VLOOKUP(E1476, Products!$A:$B,2,0)</f>
        <v>Desks Fur-3</v>
      </c>
      <c r="U1476" t="str">
        <f>VLOOKUP(E1476,Products!$A:$C,3,0)</f>
        <v>Furniture</v>
      </c>
      <c r="V1476" t="str">
        <f>VLOOKUP(E1476,Products!$A:$D,4,0)</f>
        <v>Desks</v>
      </c>
      <c r="W1476" t="str">
        <f>VLOOKUP(D1476,Customers!$A:$C,3,0)</f>
        <v>B2B</v>
      </c>
      <c r="X1476" t="str">
        <f>VLOOKUP(C1476,Sales_Representatives!$A:$B,2,0)</f>
        <v>Michael Davis</v>
      </c>
    </row>
    <row r="1477" spans="1:24" x14ac:dyDescent="0.3">
      <c r="A1477" t="s">
        <v>2160</v>
      </c>
      <c r="B1477" t="s">
        <v>2155</v>
      </c>
      <c r="C1477" t="s">
        <v>70</v>
      </c>
      <c r="D1477" t="s">
        <v>1765</v>
      </c>
      <c r="E1477" t="s">
        <v>232</v>
      </c>
      <c r="F1477">
        <v>3</v>
      </c>
      <c r="G1477">
        <v>60.21</v>
      </c>
      <c r="H1477">
        <v>0</v>
      </c>
      <c r="I1477" s="4">
        <v>180.63</v>
      </c>
      <c r="J1477" t="s">
        <v>16</v>
      </c>
      <c r="K1477" t="s">
        <v>35</v>
      </c>
      <c r="L1477" s="4">
        <f>VLOOKUP(tblTransactions[[#This Row],[Product_ID]],tblProducts[],5,FALSE)</f>
        <v>38.18</v>
      </c>
      <c r="M1477" s="4">
        <f>tblTransactions[[#This Row],[Total_Amount]]-(tblTransactions[[#This Row],[Cost_Prices]]*tblTransactions[[#This Row],[Quantity]]*(1-tblTransactions[[#This Row],[Discount]]))</f>
        <v>66.09</v>
      </c>
      <c r="N1477" s="3">
        <f>tblTransactions[[#This Row],[Profit]]/tblTransactions[[#This Row],[Total_Amount]]</f>
        <v>0.36588606543763497</v>
      </c>
      <c r="O1477" t="str">
        <f>TEXT(tblTransactions[[#This Row],[Date]], "MMM-YYYY")</f>
        <v>Nov-2023</v>
      </c>
      <c r="P1477" t="str">
        <f>"Q"&amp;ROUNDUP(MONTH(tblTransactions[[#This Row],[Date]])/3,0)&amp;"-"&amp;YEAR(tblTransactions[[#This Row],[Date]])</f>
        <v>Q4-2023</v>
      </c>
      <c r="Q1477">
        <f>YEAR(tblTransactions[[#This Row],[Date]])</f>
        <v>2023</v>
      </c>
      <c r="R1477" t="str">
        <f>TEXT(tblTransactions[[#This Row],[Date]],"DDDD")</f>
        <v>Monday</v>
      </c>
      <c r="S1477">
        <f>MONTH(tblTransactions[[#This Row],[Date]])</f>
        <v>11</v>
      </c>
      <c r="T1477" t="str">
        <f>VLOOKUP(E1477, Products!$A:$B,2,0)</f>
        <v>Cables Acc-3</v>
      </c>
      <c r="U1477" t="str">
        <f>VLOOKUP(E1477,Products!$A:$C,3,0)</f>
        <v>Accessories</v>
      </c>
      <c r="V1477" t="str">
        <f>VLOOKUP(E1477,Products!$A:$D,4,0)</f>
        <v>Cables</v>
      </c>
      <c r="W1477" t="str">
        <f>VLOOKUP(D1477,Customers!$A:$C,3,0)</f>
        <v>B2C</v>
      </c>
      <c r="X1477" t="str">
        <f>VLOOKUP(C1477,Sales_Representatives!$A:$B,2,0)</f>
        <v>Linda Smith</v>
      </c>
    </row>
    <row r="1478" spans="1:24" x14ac:dyDescent="0.3">
      <c r="A1478" t="s">
        <v>2161</v>
      </c>
      <c r="B1478" t="s">
        <v>2155</v>
      </c>
      <c r="C1478" t="s">
        <v>27</v>
      </c>
      <c r="D1478" t="s">
        <v>2162</v>
      </c>
      <c r="E1478" t="s">
        <v>206</v>
      </c>
      <c r="F1478">
        <v>4</v>
      </c>
      <c r="G1478">
        <v>292.51</v>
      </c>
      <c r="H1478">
        <v>0.02</v>
      </c>
      <c r="I1478" s="4">
        <v>1146.6400000000001</v>
      </c>
      <c r="J1478" t="s">
        <v>16</v>
      </c>
      <c r="K1478" t="s">
        <v>48</v>
      </c>
      <c r="L1478" s="4">
        <f>VLOOKUP(tblTransactions[[#This Row],[Product_ID]],tblProducts[],5,FALSE)</f>
        <v>122.08</v>
      </c>
      <c r="M1478" s="4">
        <f>tblTransactions[[#This Row],[Total_Amount]]-(tblTransactions[[#This Row],[Cost_Prices]]*tblTransactions[[#This Row],[Quantity]]*(1-tblTransactions[[#This Row],[Discount]]))</f>
        <v>668.08640000000014</v>
      </c>
      <c r="N1478" s="3">
        <f>tblTransactions[[#This Row],[Profit]]/tblTransactions[[#This Row],[Total_Amount]]</f>
        <v>0.5826470383032164</v>
      </c>
      <c r="O1478" t="str">
        <f>TEXT(tblTransactions[[#This Row],[Date]], "MMM-YYYY")</f>
        <v>Nov-2023</v>
      </c>
      <c r="P1478" t="str">
        <f>"Q"&amp;ROUNDUP(MONTH(tblTransactions[[#This Row],[Date]])/3,0)&amp;"-"&amp;YEAR(tblTransactions[[#This Row],[Date]])</f>
        <v>Q4-2023</v>
      </c>
      <c r="Q1478">
        <f>YEAR(tblTransactions[[#This Row],[Date]])</f>
        <v>2023</v>
      </c>
      <c r="R1478" t="str">
        <f>TEXT(tblTransactions[[#This Row],[Date]],"DDDD")</f>
        <v>Monday</v>
      </c>
      <c r="S1478">
        <f>MONTH(tblTransactions[[#This Row],[Date]])</f>
        <v>11</v>
      </c>
      <c r="T1478" t="str">
        <f>VLOOKUP(E1478, Products!$A:$B,2,0)</f>
        <v>Keyboards Acc-1</v>
      </c>
      <c r="U1478" t="str">
        <f>VLOOKUP(E1478,Products!$A:$C,3,0)</f>
        <v>Accessories</v>
      </c>
      <c r="V1478" t="str">
        <f>VLOOKUP(E1478,Products!$A:$D,4,0)</f>
        <v>Keyboards</v>
      </c>
      <c r="W1478" t="str">
        <f>VLOOKUP(D1478,Customers!$A:$C,3,0)</f>
        <v>Small Business</v>
      </c>
      <c r="X1478" t="str">
        <f>VLOOKUP(C1478,Sales_Representatives!$A:$B,2,0)</f>
        <v>Thomas Lopez</v>
      </c>
    </row>
    <row r="1479" spans="1:24" x14ac:dyDescent="0.3">
      <c r="A1479" t="s">
        <v>2163</v>
      </c>
      <c r="B1479" t="s">
        <v>2155</v>
      </c>
      <c r="C1479" t="s">
        <v>59</v>
      </c>
      <c r="D1479" t="s">
        <v>2094</v>
      </c>
      <c r="E1479" t="s">
        <v>53</v>
      </c>
      <c r="F1479">
        <v>6</v>
      </c>
      <c r="G1479">
        <v>2069.2199999999998</v>
      </c>
      <c r="H1479">
        <v>0.13</v>
      </c>
      <c r="I1479" s="4">
        <v>10801.33</v>
      </c>
      <c r="J1479" t="s">
        <v>21</v>
      </c>
      <c r="K1479" t="s">
        <v>35</v>
      </c>
      <c r="L1479" s="4">
        <f>VLOOKUP(tblTransactions[[#This Row],[Product_ID]],tblProducts[],5,FALSE)</f>
        <v>1451.18</v>
      </c>
      <c r="M1479" s="4">
        <f>tblTransactions[[#This Row],[Total_Amount]]-(tblTransactions[[#This Row],[Cost_Prices]]*tblTransactions[[#This Row],[Quantity]]*(1-tblTransactions[[#This Row],[Discount]]))</f>
        <v>3226.1704</v>
      </c>
      <c r="N1479" s="3">
        <f>tblTransactions[[#This Row],[Profit]]/tblTransactions[[#This Row],[Total_Amount]]</f>
        <v>0.2986826992601837</v>
      </c>
      <c r="O1479" t="str">
        <f>TEXT(tblTransactions[[#This Row],[Date]], "MMM-YYYY")</f>
        <v>Nov-2023</v>
      </c>
      <c r="P1479" t="str">
        <f>"Q"&amp;ROUNDUP(MONTH(tblTransactions[[#This Row],[Date]])/3,0)&amp;"-"&amp;YEAR(tblTransactions[[#This Row],[Date]])</f>
        <v>Q4-2023</v>
      </c>
      <c r="Q1479">
        <f>YEAR(tblTransactions[[#This Row],[Date]])</f>
        <v>2023</v>
      </c>
      <c r="R1479" t="str">
        <f>TEXT(tblTransactions[[#This Row],[Date]],"DDDD")</f>
        <v>Monday</v>
      </c>
      <c r="S1479">
        <f>MONTH(tblTransactions[[#This Row],[Date]])</f>
        <v>11</v>
      </c>
      <c r="T1479" t="str">
        <f>VLOOKUP(E1479, Products!$A:$B,2,0)</f>
        <v>Printers Tec-3</v>
      </c>
      <c r="U1479" t="str">
        <f>VLOOKUP(E1479,Products!$A:$C,3,0)</f>
        <v>Technology</v>
      </c>
      <c r="V1479" t="str">
        <f>VLOOKUP(E1479,Products!$A:$D,4,0)</f>
        <v>Printers</v>
      </c>
      <c r="W1479" t="str">
        <f>VLOOKUP(D1479,Customers!$A:$C,3,0)</f>
        <v>Small Business</v>
      </c>
      <c r="X1479" t="str">
        <f>VLOOKUP(C1479,Sales_Representatives!$A:$B,2,0)</f>
        <v>Sarah Brown</v>
      </c>
    </row>
    <row r="1480" spans="1:24" x14ac:dyDescent="0.3">
      <c r="A1480" t="s">
        <v>2164</v>
      </c>
      <c r="B1480" t="s">
        <v>2155</v>
      </c>
      <c r="C1480" t="s">
        <v>59</v>
      </c>
      <c r="D1480" t="s">
        <v>1918</v>
      </c>
      <c r="E1480" t="s">
        <v>347</v>
      </c>
      <c r="F1480">
        <v>7</v>
      </c>
      <c r="G1480">
        <v>1539.6</v>
      </c>
      <c r="H1480">
        <v>0.08</v>
      </c>
      <c r="I1480" s="4">
        <v>9915.02</v>
      </c>
      <c r="J1480" t="s">
        <v>21</v>
      </c>
      <c r="K1480" t="s">
        <v>35</v>
      </c>
      <c r="L1480" s="4">
        <f>VLOOKUP(tblTransactions[[#This Row],[Product_ID]],tblProducts[],5,FALSE)</f>
        <v>992.43</v>
      </c>
      <c r="M1480" s="4">
        <f>tblTransactions[[#This Row],[Total_Amount]]-(tblTransactions[[#This Row],[Cost_Prices]]*tblTransactions[[#This Row],[Quantity]]*(1-tblTransactions[[#This Row],[Discount]]))</f>
        <v>3523.7708000000011</v>
      </c>
      <c r="N1480" s="3">
        <f>tblTransactions[[#This Row],[Profit]]/tblTransactions[[#This Row],[Total_Amount]]</f>
        <v>0.35539724579476401</v>
      </c>
      <c r="O1480" t="str">
        <f>TEXT(tblTransactions[[#This Row],[Date]], "MMM-YYYY")</f>
        <v>Nov-2023</v>
      </c>
      <c r="P1480" t="str">
        <f>"Q"&amp;ROUNDUP(MONTH(tblTransactions[[#This Row],[Date]])/3,0)&amp;"-"&amp;YEAR(tblTransactions[[#This Row],[Date]])</f>
        <v>Q4-2023</v>
      </c>
      <c r="Q1480">
        <f>YEAR(tblTransactions[[#This Row],[Date]])</f>
        <v>2023</v>
      </c>
      <c r="R1480" t="str">
        <f>TEXT(tblTransactions[[#This Row],[Date]],"DDDD")</f>
        <v>Monday</v>
      </c>
      <c r="S1480">
        <f>MONTH(tblTransactions[[#This Row],[Date]])</f>
        <v>11</v>
      </c>
      <c r="T1480" t="str">
        <f>VLOOKUP(E1480, Products!$A:$B,2,0)</f>
        <v>Routers Tec-2</v>
      </c>
      <c r="U1480" t="str">
        <f>VLOOKUP(E1480,Products!$A:$C,3,0)</f>
        <v>Technology</v>
      </c>
      <c r="V1480" t="str">
        <f>VLOOKUP(E1480,Products!$A:$D,4,0)</f>
        <v>Routers</v>
      </c>
      <c r="W1480" t="str">
        <f>VLOOKUP(D1480,Customers!$A:$C,3,0)</f>
        <v>B2B</v>
      </c>
      <c r="X1480" t="str">
        <f>VLOOKUP(C1480,Sales_Representatives!$A:$B,2,0)</f>
        <v>Sarah Brown</v>
      </c>
    </row>
    <row r="1481" spans="1:24" x14ac:dyDescent="0.3">
      <c r="A1481" t="s">
        <v>2165</v>
      </c>
      <c r="B1481" t="s">
        <v>2155</v>
      </c>
      <c r="C1481" t="s">
        <v>41</v>
      </c>
      <c r="D1481" t="s">
        <v>2166</v>
      </c>
      <c r="E1481" t="s">
        <v>102</v>
      </c>
      <c r="F1481">
        <v>32</v>
      </c>
      <c r="G1481">
        <v>1097.75</v>
      </c>
      <c r="H1481">
        <v>0.25</v>
      </c>
      <c r="I1481" s="4">
        <v>26346</v>
      </c>
      <c r="J1481" t="s">
        <v>44</v>
      </c>
      <c r="K1481" t="s">
        <v>22</v>
      </c>
      <c r="L1481" s="4">
        <f>VLOOKUP(tblTransactions[[#This Row],[Product_ID]],tblProducts[],5,FALSE)</f>
        <v>680.12</v>
      </c>
      <c r="M1481" s="4">
        <f>tblTransactions[[#This Row],[Total_Amount]]-(tblTransactions[[#This Row],[Cost_Prices]]*tblTransactions[[#This Row],[Quantity]]*(1-tblTransactions[[#This Row],[Discount]]))</f>
        <v>10023.119999999999</v>
      </c>
      <c r="N1481" s="3">
        <f>tblTransactions[[#This Row],[Profit]]/tblTransactions[[#This Row],[Total_Amount]]</f>
        <v>0.38044181279890682</v>
      </c>
      <c r="O1481" t="str">
        <f>TEXT(tblTransactions[[#This Row],[Date]], "MMM-YYYY")</f>
        <v>Nov-2023</v>
      </c>
      <c r="P1481" t="str">
        <f>"Q"&amp;ROUNDUP(MONTH(tblTransactions[[#This Row],[Date]])/3,0)&amp;"-"&amp;YEAR(tblTransactions[[#This Row],[Date]])</f>
        <v>Q4-2023</v>
      </c>
      <c r="Q1481">
        <f>YEAR(tblTransactions[[#This Row],[Date]])</f>
        <v>2023</v>
      </c>
      <c r="R1481" t="str">
        <f>TEXT(tblTransactions[[#This Row],[Date]],"DDDD")</f>
        <v>Monday</v>
      </c>
      <c r="S1481">
        <f>MONTH(tblTransactions[[#This Row],[Date]])</f>
        <v>11</v>
      </c>
      <c r="T1481" t="str">
        <f>VLOOKUP(E1481, Products!$A:$B,2,0)</f>
        <v>Storage Fur-4</v>
      </c>
      <c r="U1481" t="str">
        <f>VLOOKUP(E1481,Products!$A:$C,3,0)</f>
        <v>Furniture</v>
      </c>
      <c r="V1481" t="str">
        <f>VLOOKUP(E1481,Products!$A:$D,4,0)</f>
        <v>Storage</v>
      </c>
      <c r="W1481" t="str">
        <f>VLOOKUP(D1481,Customers!$A:$C,3,0)</f>
        <v>Enterprise</v>
      </c>
      <c r="X1481" t="str">
        <f>VLOOKUP(C1481,Sales_Representatives!$A:$B,2,0)</f>
        <v>Robert Jones</v>
      </c>
    </row>
    <row r="1482" spans="1:24" x14ac:dyDescent="0.3">
      <c r="A1482" t="s">
        <v>2167</v>
      </c>
      <c r="B1482" t="s">
        <v>2155</v>
      </c>
      <c r="C1482" t="s">
        <v>31</v>
      </c>
      <c r="D1482" t="s">
        <v>1891</v>
      </c>
      <c r="E1482" t="s">
        <v>178</v>
      </c>
      <c r="F1482">
        <v>15</v>
      </c>
      <c r="G1482">
        <v>1623.35</v>
      </c>
      <c r="H1482">
        <v>0.15</v>
      </c>
      <c r="I1482" s="4">
        <v>20697.71</v>
      </c>
      <c r="J1482" t="s">
        <v>34</v>
      </c>
      <c r="K1482" t="s">
        <v>17</v>
      </c>
      <c r="L1482" s="4">
        <f>VLOOKUP(tblTransactions[[#This Row],[Product_ID]],tblProducts[],5,FALSE)</f>
        <v>981.45</v>
      </c>
      <c r="M1482" s="4">
        <f>tblTransactions[[#This Row],[Total_Amount]]-(tblTransactions[[#This Row],[Cost_Prices]]*tblTransactions[[#This Row],[Quantity]]*(1-tblTransactions[[#This Row],[Discount]]))</f>
        <v>8184.2224999999999</v>
      </c>
      <c r="N1482" s="3">
        <f>tblTransactions[[#This Row],[Profit]]/tblTransactions[[#This Row],[Total_Amount]]</f>
        <v>0.39541681181154825</v>
      </c>
      <c r="O1482" t="str">
        <f>TEXT(tblTransactions[[#This Row],[Date]], "MMM-YYYY")</f>
        <v>Nov-2023</v>
      </c>
      <c r="P1482" t="str">
        <f>"Q"&amp;ROUNDUP(MONTH(tblTransactions[[#This Row],[Date]])/3,0)&amp;"-"&amp;YEAR(tblTransactions[[#This Row],[Date]])</f>
        <v>Q4-2023</v>
      </c>
      <c r="Q1482">
        <f>YEAR(tblTransactions[[#This Row],[Date]])</f>
        <v>2023</v>
      </c>
      <c r="R1482" t="str">
        <f>TEXT(tblTransactions[[#This Row],[Date]],"DDDD")</f>
        <v>Monday</v>
      </c>
      <c r="S1482">
        <f>MONTH(tblTransactions[[#This Row],[Date]])</f>
        <v>11</v>
      </c>
      <c r="T1482" t="str">
        <f>VLOOKUP(E1482, Products!$A:$B,2,0)</f>
        <v>Tablets Ele-1</v>
      </c>
      <c r="U1482" t="str">
        <f>VLOOKUP(E1482,Products!$A:$C,3,0)</f>
        <v>Electronics</v>
      </c>
      <c r="V1482" t="str">
        <f>VLOOKUP(E1482,Products!$A:$D,4,0)</f>
        <v>Tablets</v>
      </c>
      <c r="W1482" t="str">
        <f>VLOOKUP(D1482,Customers!$A:$C,3,0)</f>
        <v>B2B</v>
      </c>
      <c r="X1482" t="str">
        <f>VLOOKUP(C1482,Sales_Representatives!$A:$B,2,0)</f>
        <v>Thomas Martinez</v>
      </c>
    </row>
    <row r="1483" spans="1:24" x14ac:dyDescent="0.3">
      <c r="A1483" t="s">
        <v>2168</v>
      </c>
      <c r="B1483" t="s">
        <v>2155</v>
      </c>
      <c r="C1483" t="s">
        <v>56</v>
      </c>
      <c r="D1483" t="s">
        <v>1523</v>
      </c>
      <c r="E1483" t="s">
        <v>304</v>
      </c>
      <c r="F1483">
        <v>7</v>
      </c>
      <c r="G1483">
        <v>13.43</v>
      </c>
      <c r="H1483">
        <v>0.13</v>
      </c>
      <c r="I1483" s="4">
        <v>81.790000000000006</v>
      </c>
      <c r="J1483" t="s">
        <v>34</v>
      </c>
      <c r="K1483" t="s">
        <v>22</v>
      </c>
      <c r="L1483" s="4">
        <f>VLOOKUP(tblTransactions[[#This Row],[Product_ID]],tblProducts[],5,FALSE)</f>
        <v>5.8</v>
      </c>
      <c r="M1483" s="4">
        <f>tblTransactions[[#This Row],[Total_Amount]]-(tblTransactions[[#This Row],[Cost_Prices]]*tblTransactions[[#This Row],[Quantity]]*(1-tblTransactions[[#This Row],[Discount]]))</f>
        <v>46.468000000000004</v>
      </c>
      <c r="N1483" s="3">
        <f>tblTransactions[[#This Row],[Profit]]/tblTransactions[[#This Row],[Total_Amount]]</f>
        <v>0.56813791417043646</v>
      </c>
      <c r="O1483" t="str">
        <f>TEXT(tblTransactions[[#This Row],[Date]], "MMM-YYYY")</f>
        <v>Nov-2023</v>
      </c>
      <c r="P1483" t="str">
        <f>"Q"&amp;ROUNDUP(MONTH(tblTransactions[[#This Row],[Date]])/3,0)&amp;"-"&amp;YEAR(tblTransactions[[#This Row],[Date]])</f>
        <v>Q4-2023</v>
      </c>
      <c r="Q1483">
        <f>YEAR(tblTransactions[[#This Row],[Date]])</f>
        <v>2023</v>
      </c>
      <c r="R1483" t="str">
        <f>TEXT(tblTransactions[[#This Row],[Date]],"DDDD")</f>
        <v>Monday</v>
      </c>
      <c r="S1483">
        <f>MONTH(tblTransactions[[#This Row],[Date]])</f>
        <v>11</v>
      </c>
      <c r="T1483" t="str">
        <f>VLOOKUP(E1483, Products!$A:$B,2,0)</f>
        <v>Pens Off-1</v>
      </c>
      <c r="U1483" t="str">
        <f>VLOOKUP(E1483,Products!$A:$C,3,0)</f>
        <v>Office Supplies</v>
      </c>
      <c r="V1483" t="str">
        <f>VLOOKUP(E1483,Products!$A:$D,4,0)</f>
        <v>Pens</v>
      </c>
      <c r="W1483" t="str">
        <f>VLOOKUP(D1483,Customers!$A:$C,3,0)</f>
        <v>Small Business</v>
      </c>
      <c r="X1483" t="str">
        <f>VLOOKUP(C1483,Sales_Representatives!$A:$B,2,0)</f>
        <v>Thomas Hernandez</v>
      </c>
    </row>
    <row r="1484" spans="1:24" x14ac:dyDescent="0.3">
      <c r="A1484" t="s">
        <v>2169</v>
      </c>
      <c r="B1484" t="s">
        <v>2170</v>
      </c>
      <c r="C1484" t="s">
        <v>27</v>
      </c>
      <c r="D1484" t="s">
        <v>1638</v>
      </c>
      <c r="E1484" t="s">
        <v>116</v>
      </c>
      <c r="F1484">
        <v>1</v>
      </c>
      <c r="G1484">
        <v>232.86</v>
      </c>
      <c r="H1484">
        <v>0.08</v>
      </c>
      <c r="I1484" s="4">
        <v>214.23</v>
      </c>
      <c r="J1484" t="s">
        <v>16</v>
      </c>
      <c r="K1484" t="s">
        <v>39</v>
      </c>
      <c r="L1484" s="4">
        <f>VLOOKUP(tblTransactions[[#This Row],[Product_ID]],tblProducts[],5,FALSE)</f>
        <v>116.79</v>
      </c>
      <c r="M1484" s="4">
        <f>tblTransactions[[#This Row],[Total_Amount]]-(tblTransactions[[#This Row],[Cost_Prices]]*tblTransactions[[#This Row],[Quantity]]*(1-tblTransactions[[#This Row],[Discount]]))</f>
        <v>106.78319999999998</v>
      </c>
      <c r="N1484" s="3">
        <f>tblTransactions[[#This Row],[Profit]]/tblTransactions[[#This Row],[Total_Amount]]</f>
        <v>0.49845119731130089</v>
      </c>
      <c r="O1484" t="str">
        <f>TEXT(tblTransactions[[#This Row],[Date]], "MMM-YYYY")</f>
        <v>Nov-2023</v>
      </c>
      <c r="P1484" t="str">
        <f>"Q"&amp;ROUNDUP(MONTH(tblTransactions[[#This Row],[Date]])/3,0)&amp;"-"&amp;YEAR(tblTransactions[[#This Row],[Date]])</f>
        <v>Q4-2023</v>
      </c>
      <c r="Q1484">
        <f>YEAR(tblTransactions[[#This Row],[Date]])</f>
        <v>2023</v>
      </c>
      <c r="R1484" t="str">
        <f>TEXT(tblTransactions[[#This Row],[Date]],"DDDD")</f>
        <v>Tuesday</v>
      </c>
      <c r="S1484">
        <f>MONTH(tblTransactions[[#This Row],[Date]])</f>
        <v>11</v>
      </c>
      <c r="T1484" t="str">
        <f>VLOOKUP(E1484, Products!$A:$B,2,0)</f>
        <v>Folders Off-4</v>
      </c>
      <c r="U1484" t="str">
        <f>VLOOKUP(E1484,Products!$A:$C,3,0)</f>
        <v>Office Supplies</v>
      </c>
      <c r="V1484" t="str">
        <f>VLOOKUP(E1484,Products!$A:$D,4,0)</f>
        <v>Folders</v>
      </c>
      <c r="W1484" t="str">
        <f>VLOOKUP(D1484,Customers!$A:$C,3,0)</f>
        <v>B2C</v>
      </c>
      <c r="X1484" t="str">
        <f>VLOOKUP(C1484,Sales_Representatives!$A:$B,2,0)</f>
        <v>Thomas Lopez</v>
      </c>
    </row>
    <row r="1485" spans="1:24" x14ac:dyDescent="0.3">
      <c r="A1485" t="s">
        <v>2171</v>
      </c>
      <c r="B1485" t="s">
        <v>2170</v>
      </c>
      <c r="C1485" t="s">
        <v>13</v>
      </c>
      <c r="D1485" t="s">
        <v>1513</v>
      </c>
      <c r="E1485" t="s">
        <v>125</v>
      </c>
      <c r="F1485">
        <v>5</v>
      </c>
      <c r="G1485">
        <v>1201.4000000000001</v>
      </c>
      <c r="H1485">
        <v>0.01</v>
      </c>
      <c r="I1485" s="4">
        <v>5946.93</v>
      </c>
      <c r="J1485" t="s">
        <v>16</v>
      </c>
      <c r="K1485" t="s">
        <v>48</v>
      </c>
      <c r="L1485" s="4">
        <f>VLOOKUP(tblTransactions[[#This Row],[Product_ID]],tblProducts[],5,FALSE)</f>
        <v>672.72</v>
      </c>
      <c r="M1485" s="4">
        <f>tblTransactions[[#This Row],[Total_Amount]]-(tblTransactions[[#This Row],[Cost_Prices]]*tblTransactions[[#This Row],[Quantity]]*(1-tblTransactions[[#This Row],[Discount]]))</f>
        <v>2616.9659999999999</v>
      </c>
      <c r="N1485" s="3">
        <f>tblTransactions[[#This Row],[Profit]]/tblTransactions[[#This Row],[Total_Amount]]</f>
        <v>0.44005327118361909</v>
      </c>
      <c r="O1485" t="str">
        <f>TEXT(tblTransactions[[#This Row],[Date]], "MMM-YYYY")</f>
        <v>Nov-2023</v>
      </c>
      <c r="P1485" t="str">
        <f>"Q"&amp;ROUNDUP(MONTH(tblTransactions[[#This Row],[Date]])/3,0)&amp;"-"&amp;YEAR(tblTransactions[[#This Row],[Date]])</f>
        <v>Q4-2023</v>
      </c>
      <c r="Q1485">
        <f>YEAR(tblTransactions[[#This Row],[Date]])</f>
        <v>2023</v>
      </c>
      <c r="R1485" t="str">
        <f>TEXT(tblTransactions[[#This Row],[Date]],"DDDD")</f>
        <v>Tuesday</v>
      </c>
      <c r="S1485">
        <f>MONTH(tblTransactions[[#This Row],[Date]])</f>
        <v>11</v>
      </c>
      <c r="T1485" t="str">
        <f>VLOOKUP(E1485, Products!$A:$B,2,0)</f>
        <v>Printers Tec-2</v>
      </c>
      <c r="U1485" t="str">
        <f>VLOOKUP(E1485,Products!$A:$C,3,0)</f>
        <v>Technology</v>
      </c>
      <c r="V1485" t="str">
        <f>VLOOKUP(E1485,Products!$A:$D,4,0)</f>
        <v>Printers</v>
      </c>
      <c r="W1485" t="str">
        <f>VLOOKUP(D1485,Customers!$A:$C,3,0)</f>
        <v>B2C</v>
      </c>
      <c r="X1485" t="str">
        <f>VLOOKUP(C1485,Sales_Representatives!$A:$B,2,0)</f>
        <v>Jennifer Rodriguez</v>
      </c>
    </row>
    <row r="1486" spans="1:24" x14ac:dyDescent="0.3">
      <c r="A1486" t="s">
        <v>2172</v>
      </c>
      <c r="B1486" t="s">
        <v>2170</v>
      </c>
      <c r="C1486" t="s">
        <v>107</v>
      </c>
      <c r="D1486" t="s">
        <v>2173</v>
      </c>
      <c r="E1486" t="s">
        <v>194</v>
      </c>
      <c r="F1486">
        <v>2</v>
      </c>
      <c r="G1486">
        <v>82.84</v>
      </c>
      <c r="H1486">
        <v>0.06</v>
      </c>
      <c r="I1486" s="4">
        <v>155.74</v>
      </c>
      <c r="J1486" t="s">
        <v>109</v>
      </c>
      <c r="K1486" t="s">
        <v>22</v>
      </c>
      <c r="L1486" s="4">
        <f>VLOOKUP(tblTransactions[[#This Row],[Product_ID]],tblProducts[],5,FALSE)</f>
        <v>52.98</v>
      </c>
      <c r="M1486" s="4">
        <f>tblTransactions[[#This Row],[Total_Amount]]-(tblTransactions[[#This Row],[Cost_Prices]]*tblTransactions[[#This Row],[Quantity]]*(1-tblTransactions[[#This Row],[Discount]]))</f>
        <v>56.13760000000002</v>
      </c>
      <c r="N1486" s="3">
        <f>tblTransactions[[#This Row],[Profit]]/tblTransactions[[#This Row],[Total_Amount]]</f>
        <v>0.36045717221009388</v>
      </c>
      <c r="O1486" t="str">
        <f>TEXT(tblTransactions[[#This Row],[Date]], "MMM-YYYY")</f>
        <v>Nov-2023</v>
      </c>
      <c r="P1486" t="str">
        <f>"Q"&amp;ROUNDUP(MONTH(tblTransactions[[#This Row],[Date]])/3,0)&amp;"-"&amp;YEAR(tblTransactions[[#This Row],[Date]])</f>
        <v>Q4-2023</v>
      </c>
      <c r="Q1486">
        <f>YEAR(tblTransactions[[#This Row],[Date]])</f>
        <v>2023</v>
      </c>
      <c r="R1486" t="str">
        <f>TEXT(tblTransactions[[#This Row],[Date]],"DDDD")</f>
        <v>Tuesday</v>
      </c>
      <c r="S1486">
        <f>MONTH(tblTransactions[[#This Row],[Date]])</f>
        <v>11</v>
      </c>
      <c r="T1486" t="str">
        <f>VLOOKUP(E1486, Products!$A:$B,2,0)</f>
        <v>Binders Off-2</v>
      </c>
      <c r="U1486" t="str">
        <f>VLOOKUP(E1486,Products!$A:$C,3,0)</f>
        <v>Office Supplies</v>
      </c>
      <c r="V1486" t="str">
        <f>VLOOKUP(E1486,Products!$A:$D,4,0)</f>
        <v>Binders</v>
      </c>
      <c r="W1486" t="str">
        <f>VLOOKUP(D1486,Customers!$A:$C,3,0)</f>
        <v>B2C</v>
      </c>
      <c r="X1486" t="str">
        <f>VLOOKUP(C1486,Sales_Representatives!$A:$B,2,0)</f>
        <v>Jennifer Brown</v>
      </c>
    </row>
    <row r="1487" spans="1:24" x14ac:dyDescent="0.3">
      <c r="A1487" t="s">
        <v>2174</v>
      </c>
      <c r="B1487" t="s">
        <v>2170</v>
      </c>
      <c r="C1487" t="s">
        <v>59</v>
      </c>
      <c r="D1487" t="s">
        <v>128</v>
      </c>
      <c r="E1487" t="s">
        <v>157</v>
      </c>
      <c r="F1487">
        <v>8</v>
      </c>
      <c r="G1487">
        <v>1227.68</v>
      </c>
      <c r="H1487">
        <v>0.11</v>
      </c>
      <c r="I1487" s="4">
        <v>8741.08</v>
      </c>
      <c r="J1487" t="s">
        <v>21</v>
      </c>
      <c r="K1487" t="s">
        <v>35</v>
      </c>
      <c r="L1487" s="4">
        <f>VLOOKUP(tblTransactions[[#This Row],[Product_ID]],tblProducts[],5,FALSE)</f>
        <v>846.42</v>
      </c>
      <c r="M1487" s="4">
        <f>tblTransactions[[#This Row],[Total_Amount]]-(tblTransactions[[#This Row],[Cost_Prices]]*tblTransactions[[#This Row],[Quantity]]*(1-tblTransactions[[#This Row],[Discount]]))</f>
        <v>2714.5695999999998</v>
      </c>
      <c r="N1487" s="3">
        <f>tblTransactions[[#This Row],[Profit]]/tblTransactions[[#This Row],[Total_Amount]]</f>
        <v>0.31055311243004297</v>
      </c>
      <c r="O1487" t="str">
        <f>TEXT(tblTransactions[[#This Row],[Date]], "MMM-YYYY")</f>
        <v>Nov-2023</v>
      </c>
      <c r="P1487" t="str">
        <f>"Q"&amp;ROUNDUP(MONTH(tblTransactions[[#This Row],[Date]])/3,0)&amp;"-"&amp;YEAR(tblTransactions[[#This Row],[Date]])</f>
        <v>Q4-2023</v>
      </c>
      <c r="Q1487">
        <f>YEAR(tblTransactions[[#This Row],[Date]])</f>
        <v>2023</v>
      </c>
      <c r="R1487" t="str">
        <f>TEXT(tblTransactions[[#This Row],[Date]],"DDDD")</f>
        <v>Tuesday</v>
      </c>
      <c r="S1487">
        <f>MONTH(tblTransactions[[#This Row],[Date]])</f>
        <v>11</v>
      </c>
      <c r="T1487" t="str">
        <f>VLOOKUP(E1487, Products!$A:$B,2,0)</f>
        <v>Printers Tec-4</v>
      </c>
      <c r="U1487" t="str">
        <f>VLOOKUP(E1487,Products!$A:$C,3,0)</f>
        <v>Technology</v>
      </c>
      <c r="V1487" t="str">
        <f>VLOOKUP(E1487,Products!$A:$D,4,0)</f>
        <v>Printers</v>
      </c>
      <c r="W1487" t="str">
        <f>VLOOKUP(D1487,Customers!$A:$C,3,0)</f>
        <v>B2B</v>
      </c>
      <c r="X1487" t="str">
        <f>VLOOKUP(C1487,Sales_Representatives!$A:$B,2,0)</f>
        <v>Sarah Brown</v>
      </c>
    </row>
    <row r="1488" spans="1:24" x14ac:dyDescent="0.3">
      <c r="A1488" t="s">
        <v>2175</v>
      </c>
      <c r="B1488" t="s">
        <v>2170</v>
      </c>
      <c r="C1488" t="s">
        <v>127</v>
      </c>
      <c r="D1488" t="s">
        <v>1856</v>
      </c>
      <c r="E1488" t="s">
        <v>125</v>
      </c>
      <c r="F1488">
        <v>31</v>
      </c>
      <c r="G1488">
        <v>1201.4000000000001</v>
      </c>
      <c r="H1488">
        <v>0.24</v>
      </c>
      <c r="I1488" s="4">
        <v>28304.98</v>
      </c>
      <c r="J1488" t="s">
        <v>109</v>
      </c>
      <c r="K1488" t="s">
        <v>17</v>
      </c>
      <c r="L1488" s="4">
        <f>VLOOKUP(tblTransactions[[#This Row],[Product_ID]],tblProducts[],5,FALSE)</f>
        <v>672.72</v>
      </c>
      <c r="M1488" s="4">
        <f>tblTransactions[[#This Row],[Total_Amount]]-(tblTransactions[[#This Row],[Cost_Prices]]*tblTransactions[[#This Row],[Quantity]]*(1-tblTransactions[[#This Row],[Discount]]))</f>
        <v>12455.6968</v>
      </c>
      <c r="N1488" s="3">
        <f>tblTransactions[[#This Row],[Profit]]/tblTransactions[[#This Row],[Total_Amount]]</f>
        <v>0.44005319205312987</v>
      </c>
      <c r="O1488" t="str">
        <f>TEXT(tblTransactions[[#This Row],[Date]], "MMM-YYYY")</f>
        <v>Nov-2023</v>
      </c>
      <c r="P1488" t="str">
        <f>"Q"&amp;ROUNDUP(MONTH(tblTransactions[[#This Row],[Date]])/3,0)&amp;"-"&amp;YEAR(tblTransactions[[#This Row],[Date]])</f>
        <v>Q4-2023</v>
      </c>
      <c r="Q1488">
        <f>YEAR(tblTransactions[[#This Row],[Date]])</f>
        <v>2023</v>
      </c>
      <c r="R1488" t="str">
        <f>TEXT(tblTransactions[[#This Row],[Date]],"DDDD")</f>
        <v>Tuesday</v>
      </c>
      <c r="S1488">
        <f>MONTH(tblTransactions[[#This Row],[Date]])</f>
        <v>11</v>
      </c>
      <c r="T1488" t="str">
        <f>VLOOKUP(E1488, Products!$A:$B,2,0)</f>
        <v>Printers Tec-2</v>
      </c>
      <c r="U1488" t="str">
        <f>VLOOKUP(E1488,Products!$A:$C,3,0)</f>
        <v>Technology</v>
      </c>
      <c r="V1488" t="str">
        <f>VLOOKUP(E1488,Products!$A:$D,4,0)</f>
        <v>Printers</v>
      </c>
      <c r="W1488" t="str">
        <f>VLOOKUP(D1488,Customers!$A:$C,3,0)</f>
        <v>Enterprise</v>
      </c>
      <c r="X1488" t="str">
        <f>VLOOKUP(C1488,Sales_Representatives!$A:$B,2,0)</f>
        <v>Emily Hernandez</v>
      </c>
    </row>
    <row r="1489" spans="1:24" x14ac:dyDescent="0.3">
      <c r="A1489" t="s">
        <v>2176</v>
      </c>
      <c r="B1489" t="s">
        <v>2170</v>
      </c>
      <c r="C1489" t="s">
        <v>59</v>
      </c>
      <c r="D1489" t="s">
        <v>1526</v>
      </c>
      <c r="E1489" t="s">
        <v>347</v>
      </c>
      <c r="F1489">
        <v>2</v>
      </c>
      <c r="G1489">
        <v>1539.6</v>
      </c>
      <c r="H1489">
        <v>7.0000000000000007E-2</v>
      </c>
      <c r="I1489" s="4">
        <v>2863.66</v>
      </c>
      <c r="J1489" t="s">
        <v>21</v>
      </c>
      <c r="K1489" t="s">
        <v>48</v>
      </c>
      <c r="L1489" s="4">
        <f>VLOOKUP(tblTransactions[[#This Row],[Product_ID]],tblProducts[],5,FALSE)</f>
        <v>992.43</v>
      </c>
      <c r="M1489" s="4">
        <f>tblTransactions[[#This Row],[Total_Amount]]-(tblTransactions[[#This Row],[Cost_Prices]]*tblTransactions[[#This Row],[Quantity]]*(1-tblTransactions[[#This Row],[Discount]]))</f>
        <v>1017.7402</v>
      </c>
      <c r="N1489" s="3">
        <f>tblTransactions[[#This Row],[Profit]]/tblTransactions[[#This Row],[Total_Amount]]</f>
        <v>0.35539840623537711</v>
      </c>
      <c r="O1489" t="str">
        <f>TEXT(tblTransactions[[#This Row],[Date]], "MMM-YYYY")</f>
        <v>Nov-2023</v>
      </c>
      <c r="P1489" t="str">
        <f>"Q"&amp;ROUNDUP(MONTH(tblTransactions[[#This Row],[Date]])/3,0)&amp;"-"&amp;YEAR(tblTransactions[[#This Row],[Date]])</f>
        <v>Q4-2023</v>
      </c>
      <c r="Q1489">
        <f>YEAR(tblTransactions[[#This Row],[Date]])</f>
        <v>2023</v>
      </c>
      <c r="R1489" t="str">
        <f>TEXT(tblTransactions[[#This Row],[Date]],"DDDD")</f>
        <v>Tuesday</v>
      </c>
      <c r="S1489">
        <f>MONTH(tblTransactions[[#This Row],[Date]])</f>
        <v>11</v>
      </c>
      <c r="T1489" t="str">
        <f>VLOOKUP(E1489, Products!$A:$B,2,0)</f>
        <v>Routers Tec-2</v>
      </c>
      <c r="U1489" t="str">
        <f>VLOOKUP(E1489,Products!$A:$C,3,0)</f>
        <v>Technology</v>
      </c>
      <c r="V1489" t="str">
        <f>VLOOKUP(E1489,Products!$A:$D,4,0)</f>
        <v>Routers</v>
      </c>
      <c r="W1489" t="str">
        <f>VLOOKUP(D1489,Customers!$A:$C,3,0)</f>
        <v>B2C</v>
      </c>
      <c r="X1489" t="str">
        <f>VLOOKUP(C1489,Sales_Representatives!$A:$B,2,0)</f>
        <v>Sarah Brown</v>
      </c>
    </row>
    <row r="1490" spans="1:24" x14ac:dyDescent="0.3">
      <c r="A1490" t="s">
        <v>2177</v>
      </c>
      <c r="B1490" t="s">
        <v>2178</v>
      </c>
      <c r="C1490" t="s">
        <v>63</v>
      </c>
      <c r="D1490" t="s">
        <v>2179</v>
      </c>
      <c r="E1490" t="s">
        <v>299</v>
      </c>
      <c r="F1490">
        <v>6</v>
      </c>
      <c r="G1490">
        <v>963.44</v>
      </c>
      <c r="H1490">
        <v>0.13</v>
      </c>
      <c r="I1490" s="4">
        <v>5029.16</v>
      </c>
      <c r="J1490" t="s">
        <v>21</v>
      </c>
      <c r="K1490" t="s">
        <v>48</v>
      </c>
      <c r="L1490" s="4">
        <f>VLOOKUP(tblTransactions[[#This Row],[Product_ID]],tblProducts[],5,FALSE)</f>
        <v>578.96</v>
      </c>
      <c r="M1490" s="4">
        <f>tblTransactions[[#This Row],[Total_Amount]]-(tblTransactions[[#This Row],[Cost_Prices]]*tblTransactions[[#This Row],[Quantity]]*(1-tblTransactions[[#This Row],[Discount]]))</f>
        <v>2006.9887999999996</v>
      </c>
      <c r="N1490" s="3">
        <f>tblTransactions[[#This Row],[Profit]]/tblTransactions[[#This Row],[Total_Amount]]</f>
        <v>0.39907038153488844</v>
      </c>
      <c r="O1490" t="str">
        <f>TEXT(tblTransactions[[#This Row],[Date]], "MMM-YYYY")</f>
        <v>Nov-2023</v>
      </c>
      <c r="P1490" t="str">
        <f>"Q"&amp;ROUNDUP(MONTH(tblTransactions[[#This Row],[Date]])/3,0)&amp;"-"&amp;YEAR(tblTransactions[[#This Row],[Date]])</f>
        <v>Q4-2023</v>
      </c>
      <c r="Q1490">
        <f>YEAR(tblTransactions[[#This Row],[Date]])</f>
        <v>2023</v>
      </c>
      <c r="R1490" t="str">
        <f>TEXT(tblTransactions[[#This Row],[Date]],"DDDD")</f>
        <v>Wednesday</v>
      </c>
      <c r="S1490">
        <f>MONTH(tblTransactions[[#This Row],[Date]])</f>
        <v>11</v>
      </c>
      <c r="T1490" t="str">
        <f>VLOOKUP(E1490, Products!$A:$B,2,0)</f>
        <v>Chairs Fur-4</v>
      </c>
      <c r="U1490" t="str">
        <f>VLOOKUP(E1490,Products!$A:$C,3,0)</f>
        <v>Furniture</v>
      </c>
      <c r="V1490" t="str">
        <f>VLOOKUP(E1490,Products!$A:$D,4,0)</f>
        <v>Chairs</v>
      </c>
      <c r="W1490" t="str">
        <f>VLOOKUP(D1490,Customers!$A:$C,3,0)</f>
        <v>B2C</v>
      </c>
      <c r="X1490" t="str">
        <f>VLOOKUP(C1490,Sales_Representatives!$A:$B,2,0)</f>
        <v>Richard Wilson</v>
      </c>
    </row>
    <row r="1491" spans="1:24" x14ac:dyDescent="0.3">
      <c r="A1491" t="s">
        <v>2180</v>
      </c>
      <c r="B1491" t="s">
        <v>2178</v>
      </c>
      <c r="C1491" t="s">
        <v>41</v>
      </c>
      <c r="D1491" t="s">
        <v>1768</v>
      </c>
      <c r="E1491" t="s">
        <v>113</v>
      </c>
      <c r="F1491">
        <v>3</v>
      </c>
      <c r="G1491">
        <v>930.41</v>
      </c>
      <c r="H1491">
        <v>0.01</v>
      </c>
      <c r="I1491" s="4">
        <v>2763.32</v>
      </c>
      <c r="J1491" t="s">
        <v>44</v>
      </c>
      <c r="K1491" t="s">
        <v>39</v>
      </c>
      <c r="L1491" s="4">
        <f>VLOOKUP(tblTransactions[[#This Row],[Product_ID]],tblProducts[],5,FALSE)</f>
        <v>595.51</v>
      </c>
      <c r="M1491" s="4">
        <f>tblTransactions[[#This Row],[Total_Amount]]-(tblTransactions[[#This Row],[Cost_Prices]]*tblTransactions[[#This Row],[Quantity]]*(1-tblTransactions[[#This Row],[Discount]]))</f>
        <v>994.65530000000012</v>
      </c>
      <c r="N1491" s="3">
        <f>tblTransactions[[#This Row],[Profit]]/tblTransactions[[#This Row],[Total_Amount]]</f>
        <v>0.35994937249395659</v>
      </c>
      <c r="O1491" t="str">
        <f>TEXT(tblTransactions[[#This Row],[Date]], "MMM-YYYY")</f>
        <v>Nov-2023</v>
      </c>
      <c r="P1491" t="str">
        <f>"Q"&amp;ROUNDUP(MONTH(tblTransactions[[#This Row],[Date]])/3,0)&amp;"-"&amp;YEAR(tblTransactions[[#This Row],[Date]])</f>
        <v>Q4-2023</v>
      </c>
      <c r="Q1491">
        <f>YEAR(tblTransactions[[#This Row],[Date]])</f>
        <v>2023</v>
      </c>
      <c r="R1491" t="str">
        <f>TEXT(tblTransactions[[#This Row],[Date]],"DDDD")</f>
        <v>Wednesday</v>
      </c>
      <c r="S1491">
        <f>MONTH(tblTransactions[[#This Row],[Date]])</f>
        <v>11</v>
      </c>
      <c r="T1491" t="str">
        <f>VLOOKUP(E1491, Products!$A:$B,2,0)</f>
        <v>Phones Ele-1</v>
      </c>
      <c r="U1491" t="str">
        <f>VLOOKUP(E1491,Products!$A:$C,3,0)</f>
        <v>Electronics</v>
      </c>
      <c r="V1491" t="str">
        <f>VLOOKUP(E1491,Products!$A:$D,4,0)</f>
        <v>Phones</v>
      </c>
      <c r="W1491" t="str">
        <f>VLOOKUP(D1491,Customers!$A:$C,3,0)</f>
        <v>B2C</v>
      </c>
      <c r="X1491" t="str">
        <f>VLOOKUP(C1491,Sales_Representatives!$A:$B,2,0)</f>
        <v>Robert Jones</v>
      </c>
    </row>
    <row r="1492" spans="1:24" x14ac:dyDescent="0.3">
      <c r="A1492" t="s">
        <v>2181</v>
      </c>
      <c r="B1492" t="s">
        <v>2178</v>
      </c>
      <c r="C1492" t="s">
        <v>31</v>
      </c>
      <c r="D1492" t="s">
        <v>1986</v>
      </c>
      <c r="E1492" t="s">
        <v>91</v>
      </c>
      <c r="F1492">
        <v>2</v>
      </c>
      <c r="G1492">
        <v>286.62</v>
      </c>
      <c r="H1492">
        <v>7.0000000000000007E-2</v>
      </c>
      <c r="I1492" s="4">
        <v>533.11</v>
      </c>
      <c r="J1492" t="s">
        <v>34</v>
      </c>
      <c r="K1492" t="s">
        <v>17</v>
      </c>
      <c r="L1492" s="4">
        <f>VLOOKUP(tblTransactions[[#This Row],[Product_ID]],tblProducts[],5,FALSE)</f>
        <v>145.54</v>
      </c>
      <c r="M1492" s="4">
        <f>tblTransactions[[#This Row],[Total_Amount]]-(tblTransactions[[#This Row],[Cost_Prices]]*tblTransactions[[#This Row],[Quantity]]*(1-tblTransactions[[#This Row],[Discount]]))</f>
        <v>262.40560000000005</v>
      </c>
      <c r="N1492" s="3">
        <f>tblTransactions[[#This Row],[Profit]]/tblTransactions[[#This Row],[Total_Amount]]</f>
        <v>0.49221661570782771</v>
      </c>
      <c r="O1492" t="str">
        <f>TEXT(tblTransactions[[#This Row],[Date]], "MMM-YYYY")</f>
        <v>Nov-2023</v>
      </c>
      <c r="P1492" t="str">
        <f>"Q"&amp;ROUNDUP(MONTH(tblTransactions[[#This Row],[Date]])/3,0)&amp;"-"&amp;YEAR(tblTransactions[[#This Row],[Date]])</f>
        <v>Q4-2023</v>
      </c>
      <c r="Q1492">
        <f>YEAR(tblTransactions[[#This Row],[Date]])</f>
        <v>2023</v>
      </c>
      <c r="R1492" t="str">
        <f>TEXT(tblTransactions[[#This Row],[Date]],"DDDD")</f>
        <v>Wednesday</v>
      </c>
      <c r="S1492">
        <f>MONTH(tblTransactions[[#This Row],[Date]])</f>
        <v>11</v>
      </c>
      <c r="T1492" t="str">
        <f>VLOOKUP(E1492, Products!$A:$B,2,0)</f>
        <v>Chairs Fur-1</v>
      </c>
      <c r="U1492" t="str">
        <f>VLOOKUP(E1492,Products!$A:$C,3,0)</f>
        <v>Furniture</v>
      </c>
      <c r="V1492" t="str">
        <f>VLOOKUP(E1492,Products!$A:$D,4,0)</f>
        <v>Chairs</v>
      </c>
      <c r="W1492" t="str">
        <f>VLOOKUP(D1492,Customers!$A:$C,3,0)</f>
        <v>B2C</v>
      </c>
      <c r="X1492" t="str">
        <f>VLOOKUP(C1492,Sales_Representatives!$A:$B,2,0)</f>
        <v>Thomas Martinez</v>
      </c>
    </row>
    <row r="1493" spans="1:24" x14ac:dyDescent="0.3">
      <c r="A1493" t="s">
        <v>2182</v>
      </c>
      <c r="B1493" t="s">
        <v>2178</v>
      </c>
      <c r="C1493" t="s">
        <v>41</v>
      </c>
      <c r="D1493" t="s">
        <v>1879</v>
      </c>
      <c r="E1493" t="s">
        <v>125</v>
      </c>
      <c r="F1493">
        <v>5</v>
      </c>
      <c r="G1493">
        <v>1201.4000000000001</v>
      </c>
      <c r="H1493">
        <v>0.04</v>
      </c>
      <c r="I1493" s="4">
        <v>5766.72</v>
      </c>
      <c r="J1493" t="s">
        <v>44</v>
      </c>
      <c r="K1493" t="s">
        <v>17</v>
      </c>
      <c r="L1493" s="4">
        <f>VLOOKUP(tblTransactions[[#This Row],[Product_ID]],tblProducts[],5,FALSE)</f>
        <v>672.72</v>
      </c>
      <c r="M1493" s="4">
        <f>tblTransactions[[#This Row],[Total_Amount]]-(tblTransactions[[#This Row],[Cost_Prices]]*tblTransactions[[#This Row],[Quantity]]*(1-tblTransactions[[#This Row],[Discount]]))</f>
        <v>2537.6640000000002</v>
      </c>
      <c r="N1493" s="3">
        <f>tblTransactions[[#This Row],[Profit]]/tblTransactions[[#This Row],[Total_Amount]]</f>
        <v>0.44005327118361914</v>
      </c>
      <c r="O1493" t="str">
        <f>TEXT(tblTransactions[[#This Row],[Date]], "MMM-YYYY")</f>
        <v>Nov-2023</v>
      </c>
      <c r="P1493" t="str">
        <f>"Q"&amp;ROUNDUP(MONTH(tblTransactions[[#This Row],[Date]])/3,0)&amp;"-"&amp;YEAR(tblTransactions[[#This Row],[Date]])</f>
        <v>Q4-2023</v>
      </c>
      <c r="Q1493">
        <f>YEAR(tblTransactions[[#This Row],[Date]])</f>
        <v>2023</v>
      </c>
      <c r="R1493" t="str">
        <f>TEXT(tblTransactions[[#This Row],[Date]],"DDDD")</f>
        <v>Wednesday</v>
      </c>
      <c r="S1493">
        <f>MONTH(tblTransactions[[#This Row],[Date]])</f>
        <v>11</v>
      </c>
      <c r="T1493" t="str">
        <f>VLOOKUP(E1493, Products!$A:$B,2,0)</f>
        <v>Printers Tec-2</v>
      </c>
      <c r="U1493" t="str">
        <f>VLOOKUP(E1493,Products!$A:$C,3,0)</f>
        <v>Technology</v>
      </c>
      <c r="V1493" t="str">
        <f>VLOOKUP(E1493,Products!$A:$D,4,0)</f>
        <v>Printers</v>
      </c>
      <c r="W1493" t="str">
        <f>VLOOKUP(D1493,Customers!$A:$C,3,0)</f>
        <v>B2C</v>
      </c>
      <c r="X1493" t="str">
        <f>VLOOKUP(C1493,Sales_Representatives!$A:$B,2,0)</f>
        <v>Robert Jones</v>
      </c>
    </row>
    <row r="1494" spans="1:24" x14ac:dyDescent="0.3">
      <c r="A1494" t="s">
        <v>2183</v>
      </c>
      <c r="B1494" t="s">
        <v>2178</v>
      </c>
      <c r="C1494" t="s">
        <v>70</v>
      </c>
      <c r="D1494" t="s">
        <v>1737</v>
      </c>
      <c r="E1494" t="s">
        <v>72</v>
      </c>
      <c r="F1494">
        <v>2</v>
      </c>
      <c r="G1494">
        <v>404.76</v>
      </c>
      <c r="H1494">
        <v>0.04</v>
      </c>
      <c r="I1494" s="4">
        <v>777.14</v>
      </c>
      <c r="J1494" t="s">
        <v>16</v>
      </c>
      <c r="K1494" t="s">
        <v>22</v>
      </c>
      <c r="L1494" s="4">
        <f>VLOOKUP(tblTransactions[[#This Row],[Product_ID]],tblProducts[],5,FALSE)</f>
        <v>226.76</v>
      </c>
      <c r="M1494" s="4">
        <f>tblTransactions[[#This Row],[Total_Amount]]-(tblTransactions[[#This Row],[Cost_Prices]]*tblTransactions[[#This Row],[Quantity]]*(1-tblTransactions[[#This Row],[Discount]]))</f>
        <v>341.76080000000002</v>
      </c>
      <c r="N1494" s="3">
        <f>tblTransactions[[#This Row],[Profit]]/tblTransactions[[#This Row],[Total_Amount]]</f>
        <v>0.43976735208585327</v>
      </c>
      <c r="O1494" t="str">
        <f>TEXT(tblTransactions[[#This Row],[Date]], "MMM-YYYY")</f>
        <v>Nov-2023</v>
      </c>
      <c r="P1494" t="str">
        <f>"Q"&amp;ROUNDUP(MONTH(tblTransactions[[#This Row],[Date]])/3,0)&amp;"-"&amp;YEAR(tblTransactions[[#This Row],[Date]])</f>
        <v>Q4-2023</v>
      </c>
      <c r="Q1494">
        <f>YEAR(tblTransactions[[#This Row],[Date]])</f>
        <v>2023</v>
      </c>
      <c r="R1494" t="str">
        <f>TEXT(tblTransactions[[#This Row],[Date]],"DDDD")</f>
        <v>Wednesday</v>
      </c>
      <c r="S1494">
        <f>MONTH(tblTransactions[[#This Row],[Date]])</f>
        <v>11</v>
      </c>
      <c r="T1494" t="str">
        <f>VLOOKUP(E1494, Products!$A:$B,2,0)</f>
        <v>Tablets Ele-2</v>
      </c>
      <c r="U1494" t="str">
        <f>VLOOKUP(E1494,Products!$A:$C,3,0)</f>
        <v>Electronics</v>
      </c>
      <c r="V1494" t="str">
        <f>VLOOKUP(E1494,Products!$A:$D,4,0)</f>
        <v>Tablets</v>
      </c>
      <c r="W1494" t="str">
        <f>VLOOKUP(D1494,Customers!$A:$C,3,0)</f>
        <v>B2B</v>
      </c>
      <c r="X1494" t="str">
        <f>VLOOKUP(C1494,Sales_Representatives!$A:$B,2,0)</f>
        <v>Linda Smith</v>
      </c>
    </row>
    <row r="1495" spans="1:24" x14ac:dyDescent="0.3">
      <c r="A1495" t="s">
        <v>2184</v>
      </c>
      <c r="B1495" t="s">
        <v>2185</v>
      </c>
      <c r="C1495" t="s">
        <v>127</v>
      </c>
      <c r="D1495" t="s">
        <v>1969</v>
      </c>
      <c r="E1495" t="s">
        <v>68</v>
      </c>
      <c r="F1495">
        <v>46</v>
      </c>
      <c r="G1495">
        <v>522.63</v>
      </c>
      <c r="H1495">
        <v>0.19</v>
      </c>
      <c r="I1495" s="4">
        <v>19473.189999999999</v>
      </c>
      <c r="J1495" t="s">
        <v>109</v>
      </c>
      <c r="K1495" t="s">
        <v>35</v>
      </c>
      <c r="L1495" s="4">
        <f>VLOOKUP(tblTransactions[[#This Row],[Product_ID]],tblProducts[],5,FALSE)</f>
        <v>355.82</v>
      </c>
      <c r="M1495" s="4">
        <f>tblTransactions[[#This Row],[Total_Amount]]-(tblTransactions[[#This Row],[Cost_Prices]]*tblTransactions[[#This Row],[Quantity]]*(1-tblTransactions[[#This Row],[Discount]]))</f>
        <v>6215.3367999999991</v>
      </c>
      <c r="N1495" s="3">
        <f>tblTransactions[[#This Row],[Profit]]/tblTransactions[[#This Row],[Total_Amount]]</f>
        <v>0.31917404390343851</v>
      </c>
      <c r="O1495" t="str">
        <f>TEXT(tblTransactions[[#This Row],[Date]], "MMM-YYYY")</f>
        <v>Nov-2023</v>
      </c>
      <c r="P1495" t="str">
        <f>"Q"&amp;ROUNDUP(MONTH(tblTransactions[[#This Row],[Date]])/3,0)&amp;"-"&amp;YEAR(tblTransactions[[#This Row],[Date]])</f>
        <v>Q4-2023</v>
      </c>
      <c r="Q1495">
        <f>YEAR(tblTransactions[[#This Row],[Date]])</f>
        <v>2023</v>
      </c>
      <c r="R1495" t="str">
        <f>TEXT(tblTransactions[[#This Row],[Date]],"DDDD")</f>
        <v>Thursday</v>
      </c>
      <c r="S1495">
        <f>MONTH(tblTransactions[[#This Row],[Date]])</f>
        <v>11</v>
      </c>
      <c r="T1495" t="str">
        <f>VLOOKUP(E1495, Products!$A:$B,2,0)</f>
        <v>Monitors Tec-3</v>
      </c>
      <c r="U1495" t="str">
        <f>VLOOKUP(E1495,Products!$A:$C,3,0)</f>
        <v>Technology</v>
      </c>
      <c r="V1495" t="str">
        <f>VLOOKUP(E1495,Products!$A:$D,4,0)</f>
        <v>Monitors</v>
      </c>
      <c r="W1495" t="str">
        <f>VLOOKUP(D1495,Customers!$A:$C,3,0)</f>
        <v>Enterprise</v>
      </c>
      <c r="X1495" t="str">
        <f>VLOOKUP(C1495,Sales_Representatives!$A:$B,2,0)</f>
        <v>Emily Hernandez</v>
      </c>
    </row>
    <row r="1496" spans="1:24" x14ac:dyDescent="0.3">
      <c r="A1496" t="s">
        <v>2186</v>
      </c>
      <c r="B1496" t="s">
        <v>2185</v>
      </c>
      <c r="C1496" t="s">
        <v>13</v>
      </c>
      <c r="D1496" t="s">
        <v>1487</v>
      </c>
      <c r="E1496" t="s">
        <v>91</v>
      </c>
      <c r="F1496">
        <v>6</v>
      </c>
      <c r="G1496">
        <v>286.62</v>
      </c>
      <c r="H1496">
        <v>0.13</v>
      </c>
      <c r="I1496" s="4">
        <v>1496.16</v>
      </c>
      <c r="J1496" t="s">
        <v>16</v>
      </c>
      <c r="K1496" t="s">
        <v>22</v>
      </c>
      <c r="L1496" s="4">
        <f>VLOOKUP(tblTransactions[[#This Row],[Product_ID]],tblProducts[],5,FALSE)</f>
        <v>145.54</v>
      </c>
      <c r="M1496" s="4">
        <f>tblTransactions[[#This Row],[Total_Amount]]-(tblTransactions[[#This Row],[Cost_Prices]]*tblTransactions[[#This Row],[Quantity]]*(1-tblTransactions[[#This Row],[Discount]]))</f>
        <v>736.44120000000009</v>
      </c>
      <c r="N1496" s="3">
        <f>tblTransactions[[#This Row],[Profit]]/tblTransactions[[#This Row],[Total_Amount]]</f>
        <v>0.49222088546679504</v>
      </c>
      <c r="O1496" t="str">
        <f>TEXT(tblTransactions[[#This Row],[Date]], "MMM-YYYY")</f>
        <v>Nov-2023</v>
      </c>
      <c r="P1496" t="str">
        <f>"Q"&amp;ROUNDUP(MONTH(tblTransactions[[#This Row],[Date]])/3,0)&amp;"-"&amp;YEAR(tblTransactions[[#This Row],[Date]])</f>
        <v>Q4-2023</v>
      </c>
      <c r="Q1496">
        <f>YEAR(tblTransactions[[#This Row],[Date]])</f>
        <v>2023</v>
      </c>
      <c r="R1496" t="str">
        <f>TEXT(tblTransactions[[#This Row],[Date]],"DDDD")</f>
        <v>Thursday</v>
      </c>
      <c r="S1496">
        <f>MONTH(tblTransactions[[#This Row],[Date]])</f>
        <v>11</v>
      </c>
      <c r="T1496" t="str">
        <f>VLOOKUP(E1496, Products!$A:$B,2,0)</f>
        <v>Chairs Fur-1</v>
      </c>
      <c r="U1496" t="str">
        <f>VLOOKUP(E1496,Products!$A:$C,3,0)</f>
        <v>Furniture</v>
      </c>
      <c r="V1496" t="str">
        <f>VLOOKUP(E1496,Products!$A:$D,4,0)</f>
        <v>Chairs</v>
      </c>
      <c r="W1496" t="str">
        <f>VLOOKUP(D1496,Customers!$A:$C,3,0)</f>
        <v>B2B</v>
      </c>
      <c r="X1496" t="str">
        <f>VLOOKUP(C1496,Sales_Representatives!$A:$B,2,0)</f>
        <v>Jennifer Rodriguez</v>
      </c>
    </row>
    <row r="1497" spans="1:24" x14ac:dyDescent="0.3">
      <c r="A1497" t="s">
        <v>2187</v>
      </c>
      <c r="B1497" t="s">
        <v>2185</v>
      </c>
      <c r="C1497" t="s">
        <v>70</v>
      </c>
      <c r="D1497" t="s">
        <v>2188</v>
      </c>
      <c r="E1497" t="s">
        <v>159</v>
      </c>
      <c r="F1497">
        <v>6</v>
      </c>
      <c r="G1497">
        <v>78.09</v>
      </c>
      <c r="H1497">
        <v>0.14000000000000001</v>
      </c>
      <c r="I1497" s="4">
        <v>402.94</v>
      </c>
      <c r="J1497" t="s">
        <v>16</v>
      </c>
      <c r="K1497" t="s">
        <v>22</v>
      </c>
      <c r="L1497" s="4">
        <f>VLOOKUP(tblTransactions[[#This Row],[Product_ID]],tblProducts[],5,FALSE)</f>
        <v>47.01</v>
      </c>
      <c r="M1497" s="4">
        <f>tblTransactions[[#This Row],[Total_Amount]]-(tblTransactions[[#This Row],[Cost_Prices]]*tblTransactions[[#This Row],[Quantity]]*(1-tblTransactions[[#This Row],[Discount]]))</f>
        <v>160.36840000000001</v>
      </c>
      <c r="N1497" s="3">
        <f>tblTransactions[[#This Row],[Profit]]/tblTransactions[[#This Row],[Total_Amount]]</f>
        <v>0.3979957313743982</v>
      </c>
      <c r="O1497" t="str">
        <f>TEXT(tblTransactions[[#This Row],[Date]], "MMM-YYYY")</f>
        <v>Nov-2023</v>
      </c>
      <c r="P1497" t="str">
        <f>"Q"&amp;ROUNDUP(MONTH(tblTransactions[[#This Row],[Date]])/3,0)&amp;"-"&amp;YEAR(tblTransactions[[#This Row],[Date]])</f>
        <v>Q4-2023</v>
      </c>
      <c r="Q1497">
        <f>YEAR(tblTransactions[[#This Row],[Date]])</f>
        <v>2023</v>
      </c>
      <c r="R1497" t="str">
        <f>TEXT(tblTransactions[[#This Row],[Date]],"DDDD")</f>
        <v>Thursday</v>
      </c>
      <c r="S1497">
        <f>MONTH(tblTransactions[[#This Row],[Date]])</f>
        <v>11</v>
      </c>
      <c r="T1497" t="str">
        <f>VLOOKUP(E1497, Products!$A:$B,2,0)</f>
        <v>Cables Acc-4</v>
      </c>
      <c r="U1497" t="str">
        <f>VLOOKUP(E1497,Products!$A:$C,3,0)</f>
        <v>Accessories</v>
      </c>
      <c r="V1497" t="str">
        <f>VLOOKUP(E1497,Products!$A:$D,4,0)</f>
        <v>Cables</v>
      </c>
      <c r="W1497" t="str">
        <f>VLOOKUP(D1497,Customers!$A:$C,3,0)</f>
        <v>B2C</v>
      </c>
      <c r="X1497" t="str">
        <f>VLOOKUP(C1497,Sales_Representatives!$A:$B,2,0)</f>
        <v>Linda Smith</v>
      </c>
    </row>
    <row r="1498" spans="1:24" x14ac:dyDescent="0.3">
      <c r="A1498" t="s">
        <v>2189</v>
      </c>
      <c r="B1498" t="s">
        <v>2185</v>
      </c>
      <c r="C1498" t="s">
        <v>70</v>
      </c>
      <c r="D1498" t="s">
        <v>42</v>
      </c>
      <c r="E1498" t="s">
        <v>61</v>
      </c>
      <c r="F1498">
        <v>4</v>
      </c>
      <c r="G1498">
        <v>92.07</v>
      </c>
      <c r="H1498">
        <v>0.02</v>
      </c>
      <c r="I1498" s="4">
        <v>360.91</v>
      </c>
      <c r="J1498" t="s">
        <v>16</v>
      </c>
      <c r="K1498" t="s">
        <v>48</v>
      </c>
      <c r="L1498" s="4">
        <f>VLOOKUP(tblTransactions[[#This Row],[Product_ID]],tblProducts[],5,FALSE)</f>
        <v>56.98</v>
      </c>
      <c r="M1498" s="4">
        <f>tblTransactions[[#This Row],[Total_Amount]]-(tblTransactions[[#This Row],[Cost_Prices]]*tblTransactions[[#This Row],[Quantity]]*(1-tblTransactions[[#This Row],[Discount]]))</f>
        <v>137.54840000000004</v>
      </c>
      <c r="N1498" s="3">
        <f>tblTransactions[[#This Row],[Profit]]/tblTransactions[[#This Row],[Total_Amount]]</f>
        <v>0.38111551356293821</v>
      </c>
      <c r="O1498" t="str">
        <f>TEXT(tblTransactions[[#This Row],[Date]], "MMM-YYYY")</f>
        <v>Nov-2023</v>
      </c>
      <c r="P1498" t="str">
        <f>"Q"&amp;ROUNDUP(MONTH(tblTransactions[[#This Row],[Date]])/3,0)&amp;"-"&amp;YEAR(tblTransactions[[#This Row],[Date]])</f>
        <v>Q4-2023</v>
      </c>
      <c r="Q1498">
        <f>YEAR(tblTransactions[[#This Row],[Date]])</f>
        <v>2023</v>
      </c>
      <c r="R1498" t="str">
        <f>TEXT(tblTransactions[[#This Row],[Date]],"DDDD")</f>
        <v>Thursday</v>
      </c>
      <c r="S1498">
        <f>MONTH(tblTransactions[[#This Row],[Date]])</f>
        <v>11</v>
      </c>
      <c r="T1498" t="str">
        <f>VLOOKUP(E1498, Products!$A:$B,2,0)</f>
        <v>Pens Off-4</v>
      </c>
      <c r="U1498" t="str">
        <f>VLOOKUP(E1498,Products!$A:$C,3,0)</f>
        <v>Office Supplies</v>
      </c>
      <c r="V1498" t="str">
        <f>VLOOKUP(E1498,Products!$A:$D,4,0)</f>
        <v>Pens</v>
      </c>
      <c r="W1498" t="str">
        <f>VLOOKUP(D1498,Customers!$A:$C,3,0)</f>
        <v>B2C</v>
      </c>
      <c r="X1498" t="str">
        <f>VLOOKUP(C1498,Sales_Representatives!$A:$B,2,0)</f>
        <v>Linda Smith</v>
      </c>
    </row>
    <row r="1499" spans="1:24" x14ac:dyDescent="0.3">
      <c r="A1499" t="s">
        <v>2190</v>
      </c>
      <c r="B1499" t="s">
        <v>2185</v>
      </c>
      <c r="C1499" t="s">
        <v>82</v>
      </c>
      <c r="D1499" t="s">
        <v>1576</v>
      </c>
      <c r="E1499" t="s">
        <v>29</v>
      </c>
      <c r="F1499">
        <v>5</v>
      </c>
      <c r="G1499">
        <v>1363.46</v>
      </c>
      <c r="H1499">
        <v>0.05</v>
      </c>
      <c r="I1499" s="4">
        <v>6476.44</v>
      </c>
      <c r="J1499" t="s">
        <v>34</v>
      </c>
      <c r="K1499" t="s">
        <v>22</v>
      </c>
      <c r="L1499" s="4">
        <f>VLOOKUP(tblTransactions[[#This Row],[Product_ID]],tblProducts[],5,FALSE)</f>
        <v>995.41</v>
      </c>
      <c r="M1499" s="4">
        <f>tblTransactions[[#This Row],[Total_Amount]]-(tblTransactions[[#This Row],[Cost_Prices]]*tblTransactions[[#This Row],[Quantity]]*(1-tblTransactions[[#This Row],[Discount]]))</f>
        <v>1748.2424999999994</v>
      </c>
      <c r="N1499" s="3">
        <f>tblTransactions[[#This Row],[Profit]]/tblTransactions[[#This Row],[Total_Amount]]</f>
        <v>0.26993880897530115</v>
      </c>
      <c r="O1499" t="str">
        <f>TEXT(tblTransactions[[#This Row],[Date]], "MMM-YYYY")</f>
        <v>Nov-2023</v>
      </c>
      <c r="P1499" t="str">
        <f>"Q"&amp;ROUNDUP(MONTH(tblTransactions[[#This Row],[Date]])/3,0)&amp;"-"&amp;YEAR(tblTransactions[[#This Row],[Date]])</f>
        <v>Q4-2023</v>
      </c>
      <c r="Q1499">
        <f>YEAR(tblTransactions[[#This Row],[Date]])</f>
        <v>2023</v>
      </c>
      <c r="R1499" t="str">
        <f>TEXT(tblTransactions[[#This Row],[Date]],"DDDD")</f>
        <v>Thursday</v>
      </c>
      <c r="S1499">
        <f>MONTH(tblTransactions[[#This Row],[Date]])</f>
        <v>11</v>
      </c>
      <c r="T1499" t="str">
        <f>VLOOKUP(E1499, Products!$A:$B,2,0)</f>
        <v>Phones Ele-3</v>
      </c>
      <c r="U1499" t="str">
        <f>VLOOKUP(E1499,Products!$A:$C,3,0)</f>
        <v>Electronics</v>
      </c>
      <c r="V1499" t="str">
        <f>VLOOKUP(E1499,Products!$A:$D,4,0)</f>
        <v>Phones</v>
      </c>
      <c r="W1499" t="str">
        <f>VLOOKUP(D1499,Customers!$A:$C,3,0)</f>
        <v>B2C</v>
      </c>
      <c r="X1499" t="str">
        <f>VLOOKUP(C1499,Sales_Representatives!$A:$B,2,0)</f>
        <v>John Brown</v>
      </c>
    </row>
    <row r="1500" spans="1:24" x14ac:dyDescent="0.3">
      <c r="A1500" t="s">
        <v>2191</v>
      </c>
      <c r="B1500" t="s">
        <v>2185</v>
      </c>
      <c r="C1500" t="s">
        <v>127</v>
      </c>
      <c r="D1500" t="s">
        <v>2192</v>
      </c>
      <c r="E1500" t="s">
        <v>99</v>
      </c>
      <c r="F1500">
        <v>3</v>
      </c>
      <c r="G1500">
        <v>325.14</v>
      </c>
      <c r="H1500">
        <v>7.0000000000000007E-2</v>
      </c>
      <c r="I1500" s="4">
        <v>907.14</v>
      </c>
      <c r="J1500" t="s">
        <v>109</v>
      </c>
      <c r="K1500" t="s">
        <v>17</v>
      </c>
      <c r="L1500" s="4">
        <f>VLOOKUP(tblTransactions[[#This Row],[Product_ID]],tblProducts[],5,FALSE)</f>
        <v>209.04</v>
      </c>
      <c r="M1500" s="4">
        <f>tblTransactions[[#This Row],[Total_Amount]]-(tblTransactions[[#This Row],[Cost_Prices]]*tblTransactions[[#This Row],[Quantity]]*(1-tblTransactions[[#This Row],[Discount]]))</f>
        <v>323.91840000000002</v>
      </c>
      <c r="N1500" s="3">
        <f>tblTransactions[[#This Row],[Profit]]/tblTransactions[[#This Row],[Total_Amount]]</f>
        <v>0.35707652622527947</v>
      </c>
      <c r="O1500" t="str">
        <f>TEXT(tblTransactions[[#This Row],[Date]], "MMM-YYYY")</f>
        <v>Nov-2023</v>
      </c>
      <c r="P1500" t="str">
        <f>"Q"&amp;ROUNDUP(MONTH(tblTransactions[[#This Row],[Date]])/3,0)&amp;"-"&amp;YEAR(tblTransactions[[#This Row],[Date]])</f>
        <v>Q4-2023</v>
      </c>
      <c r="Q1500">
        <f>YEAR(tblTransactions[[#This Row],[Date]])</f>
        <v>2023</v>
      </c>
      <c r="R1500" t="str">
        <f>TEXT(tblTransactions[[#This Row],[Date]],"DDDD")</f>
        <v>Thursday</v>
      </c>
      <c r="S1500">
        <f>MONTH(tblTransactions[[#This Row],[Date]])</f>
        <v>11</v>
      </c>
      <c r="T1500" t="str">
        <f>VLOOKUP(E1500, Products!$A:$B,2,0)</f>
        <v>Monitors Tec-1</v>
      </c>
      <c r="U1500" t="str">
        <f>VLOOKUP(E1500,Products!$A:$C,3,0)</f>
        <v>Technology</v>
      </c>
      <c r="V1500" t="str">
        <f>VLOOKUP(E1500,Products!$A:$D,4,0)</f>
        <v>Monitors</v>
      </c>
      <c r="W1500" t="str">
        <f>VLOOKUP(D1500,Customers!$A:$C,3,0)</f>
        <v>B2C</v>
      </c>
      <c r="X1500" t="str">
        <f>VLOOKUP(C1500,Sales_Representatives!$A:$B,2,0)</f>
        <v>Emily Hernandez</v>
      </c>
    </row>
    <row r="1501" spans="1:24" x14ac:dyDescent="0.3">
      <c r="A1501" t="s">
        <v>2193</v>
      </c>
      <c r="B1501" t="s">
        <v>2194</v>
      </c>
      <c r="C1501" t="s">
        <v>107</v>
      </c>
      <c r="D1501" t="s">
        <v>1824</v>
      </c>
      <c r="E1501" t="s">
        <v>148</v>
      </c>
      <c r="F1501">
        <v>2</v>
      </c>
      <c r="G1501">
        <v>20.420000000000002</v>
      </c>
      <c r="H1501">
        <v>0.05</v>
      </c>
      <c r="I1501" s="4">
        <v>38.799999999999997</v>
      </c>
      <c r="J1501" t="s">
        <v>109</v>
      </c>
      <c r="K1501" t="s">
        <v>35</v>
      </c>
      <c r="L1501" s="4">
        <f>VLOOKUP(tblTransactions[[#This Row],[Product_ID]],tblProducts[],5,FALSE)</f>
        <v>9.56</v>
      </c>
      <c r="M1501" s="4">
        <f>tblTransactions[[#This Row],[Total_Amount]]-(tblTransactions[[#This Row],[Cost_Prices]]*tblTransactions[[#This Row],[Quantity]]*(1-tblTransactions[[#This Row],[Discount]]))</f>
        <v>20.635999999999996</v>
      </c>
      <c r="N1501" s="3">
        <f>tblTransactions[[#This Row],[Profit]]/tblTransactions[[#This Row],[Total_Amount]]</f>
        <v>0.53185567010309276</v>
      </c>
      <c r="O1501" t="str">
        <f>TEXT(tblTransactions[[#This Row],[Date]], "MMM-YYYY")</f>
        <v>Nov-2023</v>
      </c>
      <c r="P1501" t="str">
        <f>"Q"&amp;ROUNDUP(MONTH(tblTransactions[[#This Row],[Date]])/3,0)&amp;"-"&amp;YEAR(tblTransactions[[#This Row],[Date]])</f>
        <v>Q4-2023</v>
      </c>
      <c r="Q1501">
        <f>YEAR(tblTransactions[[#This Row],[Date]])</f>
        <v>2023</v>
      </c>
      <c r="R1501" t="str">
        <f>TEXT(tblTransactions[[#This Row],[Date]],"DDDD")</f>
        <v>Friday</v>
      </c>
      <c r="S1501">
        <f>MONTH(tblTransactions[[#This Row],[Date]])</f>
        <v>11</v>
      </c>
      <c r="T1501" t="str">
        <f>VLOOKUP(E1501, Products!$A:$B,2,0)</f>
        <v>Cases Acc-3</v>
      </c>
      <c r="U1501" t="str">
        <f>VLOOKUP(E1501,Products!$A:$C,3,0)</f>
        <v>Accessories</v>
      </c>
      <c r="V1501" t="str">
        <f>VLOOKUP(E1501,Products!$A:$D,4,0)</f>
        <v>Cases</v>
      </c>
      <c r="W1501" t="str">
        <f>VLOOKUP(D1501,Customers!$A:$C,3,0)</f>
        <v>B2C</v>
      </c>
      <c r="X1501" t="str">
        <f>VLOOKUP(C1501,Sales_Representatives!$A:$B,2,0)</f>
        <v>Jennifer Brown</v>
      </c>
    </row>
    <row r="1502" spans="1:24" x14ac:dyDescent="0.3">
      <c r="A1502" t="s">
        <v>2195</v>
      </c>
      <c r="B1502" t="s">
        <v>2194</v>
      </c>
      <c r="C1502" t="s">
        <v>107</v>
      </c>
      <c r="D1502" t="s">
        <v>1819</v>
      </c>
      <c r="E1502" t="s">
        <v>316</v>
      </c>
      <c r="F1502">
        <v>1</v>
      </c>
      <c r="G1502">
        <v>91.42</v>
      </c>
      <c r="H1502">
        <v>0.1</v>
      </c>
      <c r="I1502" s="4">
        <v>82.28</v>
      </c>
      <c r="J1502" t="s">
        <v>109</v>
      </c>
      <c r="K1502" t="s">
        <v>17</v>
      </c>
      <c r="L1502" s="4">
        <f>VLOOKUP(tblTransactions[[#This Row],[Product_ID]],tblProducts[],5,FALSE)</f>
        <v>50.09</v>
      </c>
      <c r="M1502" s="4">
        <f>tblTransactions[[#This Row],[Total_Amount]]-(tblTransactions[[#This Row],[Cost_Prices]]*tblTransactions[[#This Row],[Quantity]]*(1-tblTransactions[[#This Row],[Discount]]))</f>
        <v>37.198999999999998</v>
      </c>
      <c r="N1502" s="3">
        <f>tblTransactions[[#This Row],[Profit]]/tblTransactions[[#This Row],[Total_Amount]]</f>
        <v>0.45210257656781716</v>
      </c>
      <c r="O1502" t="str">
        <f>TEXT(tblTransactions[[#This Row],[Date]], "MMM-YYYY")</f>
        <v>Nov-2023</v>
      </c>
      <c r="P1502" t="str">
        <f>"Q"&amp;ROUNDUP(MONTH(tblTransactions[[#This Row],[Date]])/3,0)&amp;"-"&amp;YEAR(tblTransactions[[#This Row],[Date]])</f>
        <v>Q4-2023</v>
      </c>
      <c r="Q1502">
        <f>YEAR(tblTransactions[[#This Row],[Date]])</f>
        <v>2023</v>
      </c>
      <c r="R1502" t="str">
        <f>TEXT(tblTransactions[[#This Row],[Date]],"DDDD")</f>
        <v>Friday</v>
      </c>
      <c r="S1502">
        <f>MONTH(tblTransactions[[#This Row],[Date]])</f>
        <v>11</v>
      </c>
      <c r="T1502" t="str">
        <f>VLOOKUP(E1502, Products!$A:$B,2,0)</f>
        <v>Binders Off-3</v>
      </c>
      <c r="U1502" t="str">
        <f>VLOOKUP(E1502,Products!$A:$C,3,0)</f>
        <v>Office Supplies</v>
      </c>
      <c r="V1502" t="str">
        <f>VLOOKUP(E1502,Products!$A:$D,4,0)</f>
        <v>Binders</v>
      </c>
      <c r="W1502" t="str">
        <f>VLOOKUP(D1502,Customers!$A:$C,3,0)</f>
        <v>Small Business</v>
      </c>
      <c r="X1502" t="str">
        <f>VLOOKUP(C1502,Sales_Representatives!$A:$B,2,0)</f>
        <v>Jennifer Brown</v>
      </c>
    </row>
    <row r="1503" spans="1:24" x14ac:dyDescent="0.3">
      <c r="A1503" t="s">
        <v>2196</v>
      </c>
      <c r="B1503" t="s">
        <v>2194</v>
      </c>
      <c r="C1503" t="s">
        <v>59</v>
      </c>
      <c r="D1503" t="s">
        <v>2159</v>
      </c>
      <c r="E1503" t="s">
        <v>198</v>
      </c>
      <c r="F1503">
        <v>14</v>
      </c>
      <c r="G1503">
        <v>1802.96</v>
      </c>
      <c r="H1503">
        <v>0.17</v>
      </c>
      <c r="I1503" s="4">
        <v>20950.400000000001</v>
      </c>
      <c r="J1503" t="s">
        <v>21</v>
      </c>
      <c r="K1503" t="s">
        <v>48</v>
      </c>
      <c r="L1503" s="4">
        <f>VLOOKUP(tblTransactions[[#This Row],[Product_ID]],tblProducts[],5,FALSE)</f>
        <v>1282.18</v>
      </c>
      <c r="M1503" s="4">
        <f>tblTransactions[[#This Row],[Total_Amount]]-(tblTransactions[[#This Row],[Cost_Prices]]*tblTransactions[[#This Row],[Quantity]]*(1-tblTransactions[[#This Row],[Discount]]))</f>
        <v>6051.4684000000016</v>
      </c>
      <c r="N1503" s="3">
        <f>tblTransactions[[#This Row],[Profit]]/tblTransactions[[#This Row],[Total_Amount]]</f>
        <v>0.28884739193523756</v>
      </c>
      <c r="O1503" t="str">
        <f>TEXT(tblTransactions[[#This Row],[Date]], "MMM-YYYY")</f>
        <v>Nov-2023</v>
      </c>
      <c r="P1503" t="str">
        <f>"Q"&amp;ROUNDUP(MONTH(tblTransactions[[#This Row],[Date]])/3,0)&amp;"-"&amp;YEAR(tblTransactions[[#This Row],[Date]])</f>
        <v>Q4-2023</v>
      </c>
      <c r="Q1503">
        <f>YEAR(tblTransactions[[#This Row],[Date]])</f>
        <v>2023</v>
      </c>
      <c r="R1503" t="str">
        <f>TEXT(tblTransactions[[#This Row],[Date]],"DDDD")</f>
        <v>Friday</v>
      </c>
      <c r="S1503">
        <f>MONTH(tblTransactions[[#This Row],[Date]])</f>
        <v>11</v>
      </c>
      <c r="T1503" t="str">
        <f>VLOOKUP(E1503, Products!$A:$B,2,0)</f>
        <v>Tablets Ele-3</v>
      </c>
      <c r="U1503" t="str">
        <f>VLOOKUP(E1503,Products!$A:$C,3,0)</f>
        <v>Electronics</v>
      </c>
      <c r="V1503" t="str">
        <f>VLOOKUP(E1503,Products!$A:$D,4,0)</f>
        <v>Tablets</v>
      </c>
      <c r="W1503" t="str">
        <f>VLOOKUP(D1503,Customers!$A:$C,3,0)</f>
        <v>B2B</v>
      </c>
      <c r="X1503" t="str">
        <f>VLOOKUP(C1503,Sales_Representatives!$A:$B,2,0)</f>
        <v>Sarah Brown</v>
      </c>
    </row>
    <row r="1504" spans="1:24" x14ac:dyDescent="0.3">
      <c r="A1504" t="s">
        <v>2197</v>
      </c>
      <c r="B1504" t="s">
        <v>2194</v>
      </c>
      <c r="C1504" t="s">
        <v>56</v>
      </c>
      <c r="D1504" t="s">
        <v>47</v>
      </c>
      <c r="E1504" t="s">
        <v>159</v>
      </c>
      <c r="F1504">
        <v>3</v>
      </c>
      <c r="G1504">
        <v>78.09</v>
      </c>
      <c r="H1504">
        <v>0.09</v>
      </c>
      <c r="I1504" s="4">
        <v>213.19</v>
      </c>
      <c r="J1504" t="s">
        <v>34</v>
      </c>
      <c r="K1504" t="s">
        <v>48</v>
      </c>
      <c r="L1504" s="4">
        <f>VLOOKUP(tblTransactions[[#This Row],[Product_ID]],tblProducts[],5,FALSE)</f>
        <v>47.01</v>
      </c>
      <c r="M1504" s="4">
        <f>tblTransactions[[#This Row],[Total_Amount]]-(tblTransactions[[#This Row],[Cost_Prices]]*tblTransactions[[#This Row],[Quantity]]*(1-tblTransactions[[#This Row],[Discount]]))</f>
        <v>84.852699999999999</v>
      </c>
      <c r="N1504" s="3">
        <f>tblTransactions[[#This Row],[Profit]]/tblTransactions[[#This Row],[Total_Amount]]</f>
        <v>0.39801444720671703</v>
      </c>
      <c r="O1504" t="str">
        <f>TEXT(tblTransactions[[#This Row],[Date]], "MMM-YYYY")</f>
        <v>Nov-2023</v>
      </c>
      <c r="P1504" t="str">
        <f>"Q"&amp;ROUNDUP(MONTH(tblTransactions[[#This Row],[Date]])/3,0)&amp;"-"&amp;YEAR(tblTransactions[[#This Row],[Date]])</f>
        <v>Q4-2023</v>
      </c>
      <c r="Q1504">
        <f>YEAR(tblTransactions[[#This Row],[Date]])</f>
        <v>2023</v>
      </c>
      <c r="R1504" t="str">
        <f>TEXT(tblTransactions[[#This Row],[Date]],"DDDD")</f>
        <v>Friday</v>
      </c>
      <c r="S1504">
        <f>MONTH(tblTransactions[[#This Row],[Date]])</f>
        <v>11</v>
      </c>
      <c r="T1504" t="str">
        <f>VLOOKUP(E1504, Products!$A:$B,2,0)</f>
        <v>Cables Acc-4</v>
      </c>
      <c r="U1504" t="str">
        <f>VLOOKUP(E1504,Products!$A:$C,3,0)</f>
        <v>Accessories</v>
      </c>
      <c r="V1504" t="str">
        <f>VLOOKUP(E1504,Products!$A:$D,4,0)</f>
        <v>Cables</v>
      </c>
      <c r="W1504" t="str">
        <f>VLOOKUP(D1504,Customers!$A:$C,3,0)</f>
        <v>B2C</v>
      </c>
      <c r="X1504" t="str">
        <f>VLOOKUP(C1504,Sales_Representatives!$A:$B,2,0)</f>
        <v>Thomas Hernandez</v>
      </c>
    </row>
    <row r="1505" spans="1:24" x14ac:dyDescent="0.3">
      <c r="A1505" t="s">
        <v>2198</v>
      </c>
      <c r="B1505" t="s">
        <v>2194</v>
      </c>
      <c r="C1505" t="s">
        <v>131</v>
      </c>
      <c r="D1505" t="s">
        <v>47</v>
      </c>
      <c r="E1505" t="s">
        <v>157</v>
      </c>
      <c r="F1505">
        <v>1</v>
      </c>
      <c r="G1505">
        <v>1227.68</v>
      </c>
      <c r="H1505">
        <v>0.04</v>
      </c>
      <c r="I1505" s="4">
        <v>1178.57</v>
      </c>
      <c r="J1505" t="s">
        <v>44</v>
      </c>
      <c r="K1505" t="s">
        <v>35</v>
      </c>
      <c r="L1505" s="4">
        <f>VLOOKUP(tblTransactions[[#This Row],[Product_ID]],tblProducts[],5,FALSE)</f>
        <v>846.42</v>
      </c>
      <c r="M1505" s="4">
        <f>tblTransactions[[#This Row],[Total_Amount]]-(tblTransactions[[#This Row],[Cost_Prices]]*tblTransactions[[#This Row],[Quantity]]*(1-tblTransactions[[#This Row],[Discount]]))</f>
        <v>366.0068</v>
      </c>
      <c r="N1505" s="3">
        <f>tblTransactions[[#This Row],[Profit]]/tblTransactions[[#This Row],[Total_Amount]]</f>
        <v>0.31055160066860688</v>
      </c>
      <c r="O1505" t="str">
        <f>TEXT(tblTransactions[[#This Row],[Date]], "MMM-YYYY")</f>
        <v>Nov-2023</v>
      </c>
      <c r="P1505" t="str">
        <f>"Q"&amp;ROUNDUP(MONTH(tblTransactions[[#This Row],[Date]])/3,0)&amp;"-"&amp;YEAR(tblTransactions[[#This Row],[Date]])</f>
        <v>Q4-2023</v>
      </c>
      <c r="Q1505">
        <f>YEAR(tblTransactions[[#This Row],[Date]])</f>
        <v>2023</v>
      </c>
      <c r="R1505" t="str">
        <f>TEXT(tblTransactions[[#This Row],[Date]],"DDDD")</f>
        <v>Friday</v>
      </c>
      <c r="S1505">
        <f>MONTH(tblTransactions[[#This Row],[Date]])</f>
        <v>11</v>
      </c>
      <c r="T1505" t="str">
        <f>VLOOKUP(E1505, Products!$A:$B,2,0)</f>
        <v>Printers Tec-4</v>
      </c>
      <c r="U1505" t="str">
        <f>VLOOKUP(E1505,Products!$A:$C,3,0)</f>
        <v>Technology</v>
      </c>
      <c r="V1505" t="str">
        <f>VLOOKUP(E1505,Products!$A:$D,4,0)</f>
        <v>Printers</v>
      </c>
      <c r="W1505" t="str">
        <f>VLOOKUP(D1505,Customers!$A:$C,3,0)</f>
        <v>B2C</v>
      </c>
      <c r="X1505" t="str">
        <f>VLOOKUP(C1505,Sales_Representatives!$A:$B,2,0)</f>
        <v>Michael Davis</v>
      </c>
    </row>
    <row r="1506" spans="1:24" x14ac:dyDescent="0.3">
      <c r="A1506" t="s">
        <v>2199</v>
      </c>
      <c r="B1506" t="s">
        <v>2200</v>
      </c>
      <c r="C1506" t="s">
        <v>63</v>
      </c>
      <c r="D1506" t="s">
        <v>2201</v>
      </c>
      <c r="E1506" t="s">
        <v>102</v>
      </c>
      <c r="F1506">
        <v>3</v>
      </c>
      <c r="G1506">
        <v>1097.75</v>
      </c>
      <c r="H1506">
        <v>0.1</v>
      </c>
      <c r="I1506" s="4">
        <v>2963.92</v>
      </c>
      <c r="J1506" t="s">
        <v>21</v>
      </c>
      <c r="K1506" t="s">
        <v>35</v>
      </c>
      <c r="L1506" s="4">
        <f>VLOOKUP(tblTransactions[[#This Row],[Product_ID]],tblProducts[],5,FALSE)</f>
        <v>680.12</v>
      </c>
      <c r="M1506" s="4">
        <f>tblTransactions[[#This Row],[Total_Amount]]-(tblTransactions[[#This Row],[Cost_Prices]]*tblTransactions[[#This Row],[Quantity]]*(1-tblTransactions[[#This Row],[Discount]]))</f>
        <v>1127.596</v>
      </c>
      <c r="N1506" s="3">
        <f>tblTransactions[[#This Row],[Profit]]/tblTransactions[[#This Row],[Total_Amount]]</f>
        <v>0.38044076763205487</v>
      </c>
      <c r="O1506" t="str">
        <f>TEXT(tblTransactions[[#This Row],[Date]], "MMM-YYYY")</f>
        <v>Nov-2023</v>
      </c>
      <c r="P1506" t="str">
        <f>"Q"&amp;ROUNDUP(MONTH(tblTransactions[[#This Row],[Date]])/3,0)&amp;"-"&amp;YEAR(tblTransactions[[#This Row],[Date]])</f>
        <v>Q4-2023</v>
      </c>
      <c r="Q1506">
        <f>YEAR(tblTransactions[[#This Row],[Date]])</f>
        <v>2023</v>
      </c>
      <c r="R1506" t="str">
        <f>TEXT(tblTransactions[[#This Row],[Date]],"DDDD")</f>
        <v>Saturday</v>
      </c>
      <c r="S1506">
        <f>MONTH(tblTransactions[[#This Row],[Date]])</f>
        <v>11</v>
      </c>
      <c r="T1506" t="str">
        <f>VLOOKUP(E1506, Products!$A:$B,2,0)</f>
        <v>Storage Fur-4</v>
      </c>
      <c r="U1506" t="str">
        <f>VLOOKUP(E1506,Products!$A:$C,3,0)</f>
        <v>Furniture</v>
      </c>
      <c r="V1506" t="str">
        <f>VLOOKUP(E1506,Products!$A:$D,4,0)</f>
        <v>Storage</v>
      </c>
      <c r="W1506" t="str">
        <f>VLOOKUP(D1506,Customers!$A:$C,3,0)</f>
        <v>B2C</v>
      </c>
      <c r="X1506" t="str">
        <f>VLOOKUP(C1506,Sales_Representatives!$A:$B,2,0)</f>
        <v>Richard Wilson</v>
      </c>
    </row>
    <row r="1507" spans="1:24" x14ac:dyDescent="0.3">
      <c r="A1507" t="s">
        <v>2202</v>
      </c>
      <c r="B1507" t="s">
        <v>2200</v>
      </c>
      <c r="C1507" t="s">
        <v>19</v>
      </c>
      <c r="D1507" t="s">
        <v>47</v>
      </c>
      <c r="E1507" t="s">
        <v>290</v>
      </c>
      <c r="F1507">
        <v>3</v>
      </c>
      <c r="G1507">
        <v>729.32</v>
      </c>
      <c r="H1507">
        <v>0.05</v>
      </c>
      <c r="I1507" s="4">
        <v>2078.56</v>
      </c>
      <c r="J1507" t="s">
        <v>21</v>
      </c>
      <c r="K1507" t="s">
        <v>35</v>
      </c>
      <c r="L1507" s="4">
        <f>VLOOKUP(tblTransactions[[#This Row],[Product_ID]],tblProducts[],5,FALSE)</f>
        <v>482.7</v>
      </c>
      <c r="M1507" s="4">
        <f>tblTransactions[[#This Row],[Total_Amount]]-(tblTransactions[[#This Row],[Cost_Prices]]*tblTransactions[[#This Row],[Quantity]]*(1-tblTransactions[[#This Row],[Discount]]))</f>
        <v>702.86500000000001</v>
      </c>
      <c r="N1507" s="3">
        <f>tblTransactions[[#This Row],[Profit]]/tblTransactions[[#This Row],[Total_Amount]]</f>
        <v>0.33814996920945273</v>
      </c>
      <c r="O1507" t="str">
        <f>TEXT(tblTransactions[[#This Row],[Date]], "MMM-YYYY")</f>
        <v>Nov-2023</v>
      </c>
      <c r="P1507" t="str">
        <f>"Q"&amp;ROUNDUP(MONTH(tblTransactions[[#This Row],[Date]])/3,0)&amp;"-"&amp;YEAR(tblTransactions[[#This Row],[Date]])</f>
        <v>Q4-2023</v>
      </c>
      <c r="Q1507">
        <f>YEAR(tblTransactions[[#This Row],[Date]])</f>
        <v>2023</v>
      </c>
      <c r="R1507" t="str">
        <f>TEXT(tblTransactions[[#This Row],[Date]],"DDDD")</f>
        <v>Saturday</v>
      </c>
      <c r="S1507">
        <f>MONTH(tblTransactions[[#This Row],[Date]])</f>
        <v>11</v>
      </c>
      <c r="T1507" t="str">
        <f>VLOOKUP(E1507, Products!$A:$B,2,0)</f>
        <v>Tables Fur-1</v>
      </c>
      <c r="U1507" t="str">
        <f>VLOOKUP(E1507,Products!$A:$C,3,0)</f>
        <v>Furniture</v>
      </c>
      <c r="V1507" t="str">
        <f>VLOOKUP(E1507,Products!$A:$D,4,0)</f>
        <v>Tables</v>
      </c>
      <c r="W1507" t="str">
        <f>VLOOKUP(D1507,Customers!$A:$C,3,0)</f>
        <v>B2C</v>
      </c>
      <c r="X1507" t="str">
        <f>VLOOKUP(C1507,Sales_Representatives!$A:$B,2,0)</f>
        <v>Robert Jones</v>
      </c>
    </row>
    <row r="1508" spans="1:24" x14ac:dyDescent="0.3">
      <c r="A1508" t="s">
        <v>2203</v>
      </c>
      <c r="B1508" t="s">
        <v>2200</v>
      </c>
      <c r="C1508" t="s">
        <v>107</v>
      </c>
      <c r="D1508" t="s">
        <v>2204</v>
      </c>
      <c r="E1508" t="s">
        <v>200</v>
      </c>
      <c r="F1508">
        <v>36</v>
      </c>
      <c r="G1508">
        <v>544.77</v>
      </c>
      <c r="H1508">
        <v>0.17</v>
      </c>
      <c r="I1508" s="4">
        <v>16277.73</v>
      </c>
      <c r="J1508" t="s">
        <v>109</v>
      </c>
      <c r="K1508" t="s">
        <v>39</v>
      </c>
      <c r="L1508" s="4">
        <f>VLOOKUP(tblTransactions[[#This Row],[Product_ID]],tblProducts[],5,FALSE)</f>
        <v>318.2</v>
      </c>
      <c r="M1508" s="4">
        <f>tblTransactions[[#This Row],[Total_Amount]]-(tblTransactions[[#This Row],[Cost_Prices]]*tblTransactions[[#This Row],[Quantity]]*(1-tblTransactions[[#This Row],[Discount]]))</f>
        <v>6769.9140000000007</v>
      </c>
      <c r="N1508" s="3">
        <f>tblTransactions[[#This Row],[Profit]]/tblTransactions[[#This Row],[Total_Amount]]</f>
        <v>0.41590037431509191</v>
      </c>
      <c r="O1508" t="str">
        <f>TEXT(tblTransactions[[#This Row],[Date]], "MMM-YYYY")</f>
        <v>Nov-2023</v>
      </c>
      <c r="P1508" t="str">
        <f>"Q"&amp;ROUNDUP(MONTH(tblTransactions[[#This Row],[Date]])/3,0)&amp;"-"&amp;YEAR(tblTransactions[[#This Row],[Date]])</f>
        <v>Q4-2023</v>
      </c>
      <c r="Q1508">
        <f>YEAR(tblTransactions[[#This Row],[Date]])</f>
        <v>2023</v>
      </c>
      <c r="R1508" t="str">
        <f>TEXT(tblTransactions[[#This Row],[Date]],"DDDD")</f>
        <v>Saturday</v>
      </c>
      <c r="S1508">
        <f>MONTH(tblTransactions[[#This Row],[Date]])</f>
        <v>11</v>
      </c>
      <c r="T1508" t="str">
        <f>VLOOKUP(E1508, Products!$A:$B,2,0)</f>
        <v>Desks Fur-4</v>
      </c>
      <c r="U1508" t="str">
        <f>VLOOKUP(E1508,Products!$A:$C,3,0)</f>
        <v>Furniture</v>
      </c>
      <c r="V1508" t="str">
        <f>VLOOKUP(E1508,Products!$A:$D,4,0)</f>
        <v>Desks</v>
      </c>
      <c r="W1508" t="str">
        <f>VLOOKUP(D1508,Customers!$A:$C,3,0)</f>
        <v>Enterprise</v>
      </c>
      <c r="X1508" t="str">
        <f>VLOOKUP(C1508,Sales_Representatives!$A:$B,2,0)</f>
        <v>Jennifer Brown</v>
      </c>
    </row>
    <row r="1509" spans="1:24" x14ac:dyDescent="0.3">
      <c r="A1509" t="s">
        <v>2205</v>
      </c>
      <c r="B1509" t="s">
        <v>2200</v>
      </c>
      <c r="C1509" t="s">
        <v>59</v>
      </c>
      <c r="D1509" t="s">
        <v>2206</v>
      </c>
      <c r="E1509" t="s">
        <v>248</v>
      </c>
      <c r="F1509">
        <v>5</v>
      </c>
      <c r="G1509">
        <v>82.29</v>
      </c>
      <c r="H1509">
        <v>0.05</v>
      </c>
      <c r="I1509" s="4">
        <v>390.88</v>
      </c>
      <c r="J1509" t="s">
        <v>21</v>
      </c>
      <c r="K1509" t="s">
        <v>35</v>
      </c>
      <c r="L1509" s="4">
        <f>VLOOKUP(tblTransactions[[#This Row],[Product_ID]],tblProducts[],5,FALSE)</f>
        <v>51.11</v>
      </c>
      <c r="M1509" s="4">
        <f>tblTransactions[[#This Row],[Total_Amount]]-(tblTransactions[[#This Row],[Cost_Prices]]*tblTransactions[[#This Row],[Quantity]]*(1-tblTransactions[[#This Row],[Discount]]))</f>
        <v>148.10749999999999</v>
      </c>
      <c r="N1509" s="3">
        <f>tblTransactions[[#This Row],[Profit]]/tblTransactions[[#This Row],[Total_Amount]]</f>
        <v>0.37890784895620139</v>
      </c>
      <c r="O1509" t="str">
        <f>TEXT(tblTransactions[[#This Row],[Date]], "MMM-YYYY")</f>
        <v>Nov-2023</v>
      </c>
      <c r="P1509" t="str">
        <f>"Q"&amp;ROUNDUP(MONTH(tblTransactions[[#This Row],[Date]])/3,0)&amp;"-"&amp;YEAR(tblTransactions[[#This Row],[Date]])</f>
        <v>Q4-2023</v>
      </c>
      <c r="Q1509">
        <f>YEAR(tblTransactions[[#This Row],[Date]])</f>
        <v>2023</v>
      </c>
      <c r="R1509" t="str">
        <f>TEXT(tblTransactions[[#This Row],[Date]],"DDDD")</f>
        <v>Saturday</v>
      </c>
      <c r="S1509">
        <f>MONTH(tblTransactions[[#This Row],[Date]])</f>
        <v>11</v>
      </c>
      <c r="T1509" t="str">
        <f>VLOOKUP(E1509, Products!$A:$B,2,0)</f>
        <v>Keyboards Acc-2</v>
      </c>
      <c r="U1509" t="str">
        <f>VLOOKUP(E1509,Products!$A:$C,3,0)</f>
        <v>Accessories</v>
      </c>
      <c r="V1509" t="str">
        <f>VLOOKUP(E1509,Products!$A:$D,4,0)</f>
        <v>Keyboards</v>
      </c>
      <c r="W1509" t="str">
        <f>VLOOKUP(D1509,Customers!$A:$C,3,0)</f>
        <v>B2C</v>
      </c>
      <c r="X1509" t="str">
        <f>VLOOKUP(C1509,Sales_Representatives!$A:$B,2,0)</f>
        <v>Sarah Brown</v>
      </c>
    </row>
    <row r="1510" spans="1:24" x14ac:dyDescent="0.3">
      <c r="A1510" t="s">
        <v>2207</v>
      </c>
      <c r="B1510" t="s">
        <v>2200</v>
      </c>
      <c r="C1510" t="s">
        <v>13</v>
      </c>
      <c r="D1510" t="s">
        <v>2208</v>
      </c>
      <c r="E1510" t="s">
        <v>89</v>
      </c>
      <c r="F1510">
        <v>2</v>
      </c>
      <c r="G1510">
        <v>555.08000000000004</v>
      </c>
      <c r="H1510">
        <v>7.0000000000000007E-2</v>
      </c>
      <c r="I1510" s="4">
        <v>1032.45</v>
      </c>
      <c r="J1510" t="s">
        <v>16</v>
      </c>
      <c r="K1510" t="s">
        <v>17</v>
      </c>
      <c r="L1510" s="4">
        <f>VLOOKUP(tblTransactions[[#This Row],[Product_ID]],tblProducts[],5,FALSE)</f>
        <v>402.82</v>
      </c>
      <c r="M1510" s="4">
        <f>tblTransactions[[#This Row],[Total_Amount]]-(tblTransactions[[#This Row],[Cost_Prices]]*tblTransactions[[#This Row],[Quantity]]*(1-tblTransactions[[#This Row],[Discount]]))</f>
        <v>283.20480000000009</v>
      </c>
      <c r="N1510" s="3">
        <f>tblTransactions[[#This Row],[Profit]]/tblTransactions[[#This Row],[Total_Amount]]</f>
        <v>0.27430364666569818</v>
      </c>
      <c r="O1510" t="str">
        <f>TEXT(tblTransactions[[#This Row],[Date]], "MMM-YYYY")</f>
        <v>Nov-2023</v>
      </c>
      <c r="P1510" t="str">
        <f>"Q"&amp;ROUNDUP(MONTH(tblTransactions[[#This Row],[Date]])/3,0)&amp;"-"&amp;YEAR(tblTransactions[[#This Row],[Date]])</f>
        <v>Q4-2023</v>
      </c>
      <c r="Q1510">
        <f>YEAR(tblTransactions[[#This Row],[Date]])</f>
        <v>2023</v>
      </c>
      <c r="R1510" t="str">
        <f>TEXT(tblTransactions[[#This Row],[Date]],"DDDD")</f>
        <v>Saturday</v>
      </c>
      <c r="S1510">
        <f>MONTH(tblTransactions[[#This Row],[Date]])</f>
        <v>11</v>
      </c>
      <c r="T1510" t="str">
        <f>VLOOKUP(E1510, Products!$A:$B,2,0)</f>
        <v>Laptops Ele-3</v>
      </c>
      <c r="U1510" t="str">
        <f>VLOOKUP(E1510,Products!$A:$C,3,0)</f>
        <v>Electronics</v>
      </c>
      <c r="V1510" t="str">
        <f>VLOOKUP(E1510,Products!$A:$D,4,0)</f>
        <v>Laptops</v>
      </c>
      <c r="W1510" t="str">
        <f>VLOOKUP(D1510,Customers!$A:$C,3,0)</f>
        <v>B2B</v>
      </c>
      <c r="X1510" t="str">
        <f>VLOOKUP(C1510,Sales_Representatives!$A:$B,2,0)</f>
        <v>Jennifer Rodriguez</v>
      </c>
    </row>
    <row r="1511" spans="1:24" x14ac:dyDescent="0.3">
      <c r="A1511" t="s">
        <v>2209</v>
      </c>
      <c r="B1511" t="s">
        <v>2200</v>
      </c>
      <c r="C1511" t="s">
        <v>75</v>
      </c>
      <c r="D1511" t="s">
        <v>1965</v>
      </c>
      <c r="E1511" t="s">
        <v>53</v>
      </c>
      <c r="F1511">
        <v>12</v>
      </c>
      <c r="G1511">
        <v>2069.2199999999998</v>
      </c>
      <c r="H1511">
        <v>0.11</v>
      </c>
      <c r="I1511" s="4">
        <v>22099.27</v>
      </c>
      <c r="J1511" t="s">
        <v>44</v>
      </c>
      <c r="K1511" t="s">
        <v>22</v>
      </c>
      <c r="L1511" s="4">
        <f>VLOOKUP(tblTransactions[[#This Row],[Product_ID]],tblProducts[],5,FALSE)</f>
        <v>1451.18</v>
      </c>
      <c r="M1511" s="4">
        <f>tblTransactions[[#This Row],[Total_Amount]]-(tblTransactions[[#This Row],[Cost_Prices]]*tblTransactions[[#This Row],[Quantity]]*(1-tblTransactions[[#This Row],[Discount]]))</f>
        <v>6600.6676000000007</v>
      </c>
      <c r="N1511" s="3">
        <f>tblTransactions[[#This Row],[Profit]]/tblTransactions[[#This Row],[Total_Amount]]</f>
        <v>0.2986826080680493</v>
      </c>
      <c r="O1511" t="str">
        <f>TEXT(tblTransactions[[#This Row],[Date]], "MMM-YYYY")</f>
        <v>Nov-2023</v>
      </c>
      <c r="P1511" t="str">
        <f>"Q"&amp;ROUNDUP(MONTH(tblTransactions[[#This Row],[Date]])/3,0)&amp;"-"&amp;YEAR(tblTransactions[[#This Row],[Date]])</f>
        <v>Q4-2023</v>
      </c>
      <c r="Q1511">
        <f>YEAR(tblTransactions[[#This Row],[Date]])</f>
        <v>2023</v>
      </c>
      <c r="R1511" t="str">
        <f>TEXT(tblTransactions[[#This Row],[Date]],"DDDD")</f>
        <v>Saturday</v>
      </c>
      <c r="S1511">
        <f>MONTH(tblTransactions[[#This Row],[Date]])</f>
        <v>11</v>
      </c>
      <c r="T1511" t="str">
        <f>VLOOKUP(E1511, Products!$A:$B,2,0)</f>
        <v>Printers Tec-3</v>
      </c>
      <c r="U1511" t="str">
        <f>VLOOKUP(E1511,Products!$A:$C,3,0)</f>
        <v>Technology</v>
      </c>
      <c r="V1511" t="str">
        <f>VLOOKUP(E1511,Products!$A:$D,4,0)</f>
        <v>Printers</v>
      </c>
      <c r="W1511" t="str">
        <f>VLOOKUP(D1511,Customers!$A:$C,3,0)</f>
        <v>B2B</v>
      </c>
      <c r="X1511" t="str">
        <f>VLOOKUP(C1511,Sales_Representatives!$A:$B,2,0)</f>
        <v>Jessica Anderson</v>
      </c>
    </row>
    <row r="1512" spans="1:24" x14ac:dyDescent="0.3">
      <c r="A1512" t="s">
        <v>2210</v>
      </c>
      <c r="B1512" t="s">
        <v>2200</v>
      </c>
      <c r="C1512" t="s">
        <v>70</v>
      </c>
      <c r="D1512" t="s">
        <v>1557</v>
      </c>
      <c r="E1512" t="s">
        <v>248</v>
      </c>
      <c r="F1512">
        <v>4</v>
      </c>
      <c r="G1512">
        <v>82.29</v>
      </c>
      <c r="H1512">
        <v>7.0000000000000007E-2</v>
      </c>
      <c r="I1512" s="4">
        <v>306.12</v>
      </c>
      <c r="J1512" t="s">
        <v>16</v>
      </c>
      <c r="K1512" t="s">
        <v>35</v>
      </c>
      <c r="L1512" s="4">
        <f>VLOOKUP(tblTransactions[[#This Row],[Product_ID]],tblProducts[],5,FALSE)</f>
        <v>51.11</v>
      </c>
      <c r="M1512" s="4">
        <f>tblTransactions[[#This Row],[Total_Amount]]-(tblTransactions[[#This Row],[Cost_Prices]]*tblTransactions[[#This Row],[Quantity]]*(1-tblTransactions[[#This Row],[Discount]]))</f>
        <v>115.99080000000001</v>
      </c>
      <c r="N1512" s="3">
        <f>tblTransactions[[#This Row],[Profit]]/tblTransactions[[#This Row],[Total_Amount]]</f>
        <v>0.37890631125049001</v>
      </c>
      <c r="O1512" t="str">
        <f>TEXT(tblTransactions[[#This Row],[Date]], "MMM-YYYY")</f>
        <v>Nov-2023</v>
      </c>
      <c r="P1512" t="str">
        <f>"Q"&amp;ROUNDUP(MONTH(tblTransactions[[#This Row],[Date]])/3,0)&amp;"-"&amp;YEAR(tblTransactions[[#This Row],[Date]])</f>
        <v>Q4-2023</v>
      </c>
      <c r="Q1512">
        <f>YEAR(tblTransactions[[#This Row],[Date]])</f>
        <v>2023</v>
      </c>
      <c r="R1512" t="str">
        <f>TEXT(tblTransactions[[#This Row],[Date]],"DDDD")</f>
        <v>Saturday</v>
      </c>
      <c r="S1512">
        <f>MONTH(tblTransactions[[#This Row],[Date]])</f>
        <v>11</v>
      </c>
      <c r="T1512" t="str">
        <f>VLOOKUP(E1512, Products!$A:$B,2,0)</f>
        <v>Keyboards Acc-2</v>
      </c>
      <c r="U1512" t="str">
        <f>VLOOKUP(E1512,Products!$A:$C,3,0)</f>
        <v>Accessories</v>
      </c>
      <c r="V1512" t="str">
        <f>VLOOKUP(E1512,Products!$A:$D,4,0)</f>
        <v>Keyboards</v>
      </c>
      <c r="W1512" t="str">
        <f>VLOOKUP(D1512,Customers!$A:$C,3,0)</f>
        <v>B2C</v>
      </c>
      <c r="X1512" t="str">
        <f>VLOOKUP(C1512,Sales_Representatives!$A:$B,2,0)</f>
        <v>Linda Smith</v>
      </c>
    </row>
    <row r="1513" spans="1:24" x14ac:dyDescent="0.3">
      <c r="A1513" t="s">
        <v>2211</v>
      </c>
      <c r="B1513" t="s">
        <v>2212</v>
      </c>
      <c r="C1513" t="s">
        <v>127</v>
      </c>
      <c r="D1513" t="s">
        <v>2213</v>
      </c>
      <c r="E1513" t="s">
        <v>314</v>
      </c>
      <c r="F1513">
        <v>7</v>
      </c>
      <c r="G1513">
        <v>204.97</v>
      </c>
      <c r="H1513">
        <v>0.12</v>
      </c>
      <c r="I1513" s="4">
        <v>1262.6199999999999</v>
      </c>
      <c r="J1513" t="s">
        <v>109</v>
      </c>
      <c r="K1513" t="s">
        <v>39</v>
      </c>
      <c r="L1513" s="4">
        <f>VLOOKUP(tblTransactions[[#This Row],[Product_ID]],tblProducts[],5,FALSE)</f>
        <v>121.53</v>
      </c>
      <c r="M1513" s="4">
        <f>tblTransactions[[#This Row],[Total_Amount]]-(tblTransactions[[#This Row],[Cost_Prices]]*tblTransactions[[#This Row],[Quantity]]*(1-tblTransactions[[#This Row],[Discount]]))</f>
        <v>513.99519999999984</v>
      </c>
      <c r="N1513" s="3">
        <f>tblTransactions[[#This Row],[Profit]]/tblTransactions[[#This Row],[Total_Amount]]</f>
        <v>0.40708621754763896</v>
      </c>
      <c r="O1513" t="str">
        <f>TEXT(tblTransactions[[#This Row],[Date]], "MMM-YYYY")</f>
        <v>Nov-2023</v>
      </c>
      <c r="P1513" t="str">
        <f>"Q"&amp;ROUNDUP(MONTH(tblTransactions[[#This Row],[Date]])/3,0)&amp;"-"&amp;YEAR(tblTransactions[[#This Row],[Date]])</f>
        <v>Q4-2023</v>
      </c>
      <c r="Q1513">
        <f>YEAR(tblTransactions[[#This Row],[Date]])</f>
        <v>2023</v>
      </c>
      <c r="R1513" t="str">
        <f>TEXT(tblTransactions[[#This Row],[Date]],"DDDD")</f>
        <v>Sunday</v>
      </c>
      <c r="S1513">
        <f>MONTH(tblTransactions[[#This Row],[Date]])</f>
        <v>11</v>
      </c>
      <c r="T1513" t="str">
        <f>VLOOKUP(E1513, Products!$A:$B,2,0)</f>
        <v>Adapters Acc-3</v>
      </c>
      <c r="U1513" t="str">
        <f>VLOOKUP(E1513,Products!$A:$C,3,0)</f>
        <v>Accessories</v>
      </c>
      <c r="V1513" t="str">
        <f>VLOOKUP(E1513,Products!$A:$D,4,0)</f>
        <v>Adapters</v>
      </c>
      <c r="W1513" t="str">
        <f>VLOOKUP(D1513,Customers!$A:$C,3,0)</f>
        <v>B2C</v>
      </c>
      <c r="X1513" t="str">
        <f>VLOOKUP(C1513,Sales_Representatives!$A:$B,2,0)</f>
        <v>Emily Hernandez</v>
      </c>
    </row>
    <row r="1514" spans="1:24" x14ac:dyDescent="0.3">
      <c r="A1514" t="s">
        <v>2214</v>
      </c>
      <c r="B1514" t="s">
        <v>2212</v>
      </c>
      <c r="C1514" t="s">
        <v>59</v>
      </c>
      <c r="D1514" t="s">
        <v>1854</v>
      </c>
      <c r="E1514" t="s">
        <v>15</v>
      </c>
      <c r="F1514">
        <v>3</v>
      </c>
      <c r="G1514">
        <v>477.48</v>
      </c>
      <c r="H1514">
        <v>0.06</v>
      </c>
      <c r="I1514" s="4">
        <v>1346.49</v>
      </c>
      <c r="J1514" t="s">
        <v>21</v>
      </c>
      <c r="K1514" t="s">
        <v>35</v>
      </c>
      <c r="L1514" s="4">
        <f>VLOOKUP(tblTransactions[[#This Row],[Product_ID]],tblProducts[],5,FALSE)</f>
        <v>275.51</v>
      </c>
      <c r="M1514" s="4">
        <f>tblTransactions[[#This Row],[Total_Amount]]-(tblTransactions[[#This Row],[Cost_Prices]]*tblTransactions[[#This Row],[Quantity]]*(1-tblTransactions[[#This Row],[Discount]]))</f>
        <v>569.55180000000007</v>
      </c>
      <c r="N1514" s="3">
        <f>tblTransactions[[#This Row],[Profit]]/tblTransactions[[#This Row],[Total_Amount]]</f>
        <v>0.42298999621237443</v>
      </c>
      <c r="O1514" t="str">
        <f>TEXT(tblTransactions[[#This Row],[Date]], "MMM-YYYY")</f>
        <v>Nov-2023</v>
      </c>
      <c r="P1514" t="str">
        <f>"Q"&amp;ROUNDUP(MONTH(tblTransactions[[#This Row],[Date]])/3,0)&amp;"-"&amp;YEAR(tblTransactions[[#This Row],[Date]])</f>
        <v>Q4-2023</v>
      </c>
      <c r="Q1514">
        <f>YEAR(tblTransactions[[#This Row],[Date]])</f>
        <v>2023</v>
      </c>
      <c r="R1514" t="str">
        <f>TEXT(tblTransactions[[#This Row],[Date]],"DDDD")</f>
        <v>Sunday</v>
      </c>
      <c r="S1514">
        <f>MONTH(tblTransactions[[#This Row],[Date]])</f>
        <v>11</v>
      </c>
      <c r="T1514" t="str">
        <f>VLOOKUP(E1514, Products!$A:$B,2,0)</f>
        <v>Laptops Ele-4</v>
      </c>
      <c r="U1514" t="str">
        <f>VLOOKUP(E1514,Products!$A:$C,3,0)</f>
        <v>Electronics</v>
      </c>
      <c r="V1514" t="str">
        <f>VLOOKUP(E1514,Products!$A:$D,4,0)</f>
        <v>Laptops</v>
      </c>
      <c r="W1514" t="str">
        <f>VLOOKUP(D1514,Customers!$A:$C,3,0)</f>
        <v>Small Business</v>
      </c>
      <c r="X1514" t="str">
        <f>VLOOKUP(C1514,Sales_Representatives!$A:$B,2,0)</f>
        <v>Sarah Brown</v>
      </c>
    </row>
    <row r="1515" spans="1:24" x14ac:dyDescent="0.3">
      <c r="A1515" t="s">
        <v>2215</v>
      </c>
      <c r="B1515" t="s">
        <v>2212</v>
      </c>
      <c r="C1515" t="s">
        <v>70</v>
      </c>
      <c r="D1515" t="s">
        <v>2068</v>
      </c>
      <c r="E1515" t="s">
        <v>33</v>
      </c>
      <c r="F1515">
        <v>1</v>
      </c>
      <c r="G1515">
        <v>322.7</v>
      </c>
      <c r="H1515">
        <v>0.09</v>
      </c>
      <c r="I1515" s="4">
        <v>293.66000000000003</v>
      </c>
      <c r="J1515" t="s">
        <v>16</v>
      </c>
      <c r="K1515" t="s">
        <v>48</v>
      </c>
      <c r="L1515" s="4">
        <f>VLOOKUP(tblTransactions[[#This Row],[Product_ID]],tblProducts[],5,FALSE)</f>
        <v>139.81</v>
      </c>
      <c r="M1515" s="4">
        <f>tblTransactions[[#This Row],[Total_Amount]]-(tblTransactions[[#This Row],[Cost_Prices]]*tblTransactions[[#This Row],[Quantity]]*(1-tblTransactions[[#This Row],[Discount]]))</f>
        <v>166.43290000000002</v>
      </c>
      <c r="N1515" s="3">
        <f>tblTransactions[[#This Row],[Profit]]/tblTransactions[[#This Row],[Total_Amount]]</f>
        <v>0.56675372880201591</v>
      </c>
      <c r="O1515" t="str">
        <f>TEXT(tblTransactions[[#This Row],[Date]], "MMM-YYYY")</f>
        <v>Nov-2023</v>
      </c>
      <c r="P1515" t="str">
        <f>"Q"&amp;ROUNDUP(MONTH(tblTransactions[[#This Row],[Date]])/3,0)&amp;"-"&amp;YEAR(tblTransactions[[#This Row],[Date]])</f>
        <v>Q4-2023</v>
      </c>
      <c r="Q1515">
        <f>YEAR(tblTransactions[[#This Row],[Date]])</f>
        <v>2023</v>
      </c>
      <c r="R1515" t="str">
        <f>TEXT(tblTransactions[[#This Row],[Date]],"DDDD")</f>
        <v>Sunday</v>
      </c>
      <c r="S1515">
        <f>MONTH(tblTransactions[[#This Row],[Date]])</f>
        <v>11</v>
      </c>
      <c r="T1515" t="str">
        <f>VLOOKUP(E1515, Products!$A:$B,2,0)</f>
        <v>Adapters Acc-1</v>
      </c>
      <c r="U1515" t="str">
        <f>VLOOKUP(E1515,Products!$A:$C,3,0)</f>
        <v>Accessories</v>
      </c>
      <c r="V1515" t="str">
        <f>VLOOKUP(E1515,Products!$A:$D,4,0)</f>
        <v>Adapters</v>
      </c>
      <c r="W1515" t="str">
        <f>VLOOKUP(D1515,Customers!$A:$C,3,0)</f>
        <v>Small Business</v>
      </c>
      <c r="X1515" t="str">
        <f>VLOOKUP(C1515,Sales_Representatives!$A:$B,2,0)</f>
        <v>Linda Smith</v>
      </c>
    </row>
    <row r="1516" spans="1:24" x14ac:dyDescent="0.3">
      <c r="A1516" t="s">
        <v>2216</v>
      </c>
      <c r="B1516" t="s">
        <v>2212</v>
      </c>
      <c r="C1516" t="s">
        <v>31</v>
      </c>
      <c r="D1516" t="s">
        <v>2217</v>
      </c>
      <c r="E1516" t="s">
        <v>137</v>
      </c>
      <c r="F1516">
        <v>6</v>
      </c>
      <c r="G1516">
        <v>241.39</v>
      </c>
      <c r="H1516">
        <v>0.05</v>
      </c>
      <c r="I1516" s="4">
        <v>1375.92</v>
      </c>
      <c r="J1516" t="s">
        <v>34</v>
      </c>
      <c r="K1516" t="s">
        <v>48</v>
      </c>
      <c r="L1516" s="4">
        <f>VLOOKUP(tblTransactions[[#This Row],[Product_ID]],tblProducts[],5,FALSE)</f>
        <v>124.07</v>
      </c>
      <c r="M1516" s="4">
        <f>tblTransactions[[#This Row],[Total_Amount]]-(tblTransactions[[#This Row],[Cost_Prices]]*tblTransactions[[#This Row],[Quantity]]*(1-tblTransactions[[#This Row],[Discount]]))</f>
        <v>668.72100000000012</v>
      </c>
      <c r="N1516" s="3">
        <f>tblTransactions[[#This Row],[Profit]]/tblTransactions[[#This Row],[Total_Amount]]</f>
        <v>0.48601735566021287</v>
      </c>
      <c r="O1516" t="str">
        <f>TEXT(tblTransactions[[#This Row],[Date]], "MMM-YYYY")</f>
        <v>Nov-2023</v>
      </c>
      <c r="P1516" t="str">
        <f>"Q"&amp;ROUNDUP(MONTH(tblTransactions[[#This Row],[Date]])/3,0)&amp;"-"&amp;YEAR(tblTransactions[[#This Row],[Date]])</f>
        <v>Q4-2023</v>
      </c>
      <c r="Q1516">
        <f>YEAR(tblTransactions[[#This Row],[Date]])</f>
        <v>2023</v>
      </c>
      <c r="R1516" t="str">
        <f>TEXT(tblTransactions[[#This Row],[Date]],"DDDD")</f>
        <v>Sunday</v>
      </c>
      <c r="S1516">
        <f>MONTH(tblTransactions[[#This Row],[Date]])</f>
        <v>11</v>
      </c>
      <c r="T1516" t="str">
        <f>VLOOKUP(E1516, Products!$A:$B,2,0)</f>
        <v>Desks Fur-2</v>
      </c>
      <c r="U1516" t="str">
        <f>VLOOKUP(E1516,Products!$A:$C,3,0)</f>
        <v>Furniture</v>
      </c>
      <c r="V1516" t="str">
        <f>VLOOKUP(E1516,Products!$A:$D,4,0)</f>
        <v>Desks</v>
      </c>
      <c r="W1516" t="str">
        <f>VLOOKUP(D1516,Customers!$A:$C,3,0)</f>
        <v>Enterprise</v>
      </c>
      <c r="X1516" t="str">
        <f>VLOOKUP(C1516,Sales_Representatives!$A:$B,2,0)</f>
        <v>Thomas Martinez</v>
      </c>
    </row>
    <row r="1517" spans="1:24" x14ac:dyDescent="0.3">
      <c r="A1517" t="s">
        <v>2218</v>
      </c>
      <c r="B1517" t="s">
        <v>2212</v>
      </c>
      <c r="C1517" t="s">
        <v>131</v>
      </c>
      <c r="D1517" t="s">
        <v>1845</v>
      </c>
      <c r="E1517" t="s">
        <v>159</v>
      </c>
      <c r="F1517">
        <v>1</v>
      </c>
      <c r="G1517">
        <v>78.09</v>
      </c>
      <c r="H1517">
        <v>0.05</v>
      </c>
      <c r="I1517" s="4">
        <v>74.19</v>
      </c>
      <c r="J1517" t="s">
        <v>44</v>
      </c>
      <c r="K1517" t="s">
        <v>22</v>
      </c>
      <c r="L1517" s="4">
        <f>VLOOKUP(tblTransactions[[#This Row],[Product_ID]],tblProducts[],5,FALSE)</f>
        <v>47.01</v>
      </c>
      <c r="M1517" s="4">
        <f>tblTransactions[[#This Row],[Total_Amount]]-(tblTransactions[[#This Row],[Cost_Prices]]*tblTransactions[[#This Row],[Quantity]]*(1-tblTransactions[[#This Row],[Discount]]))</f>
        <v>29.530500000000004</v>
      </c>
      <c r="N1517" s="3">
        <f>tblTransactions[[#This Row],[Profit]]/tblTransactions[[#This Row],[Total_Amount]]</f>
        <v>0.39803881924787715</v>
      </c>
      <c r="O1517" t="str">
        <f>TEXT(tblTransactions[[#This Row],[Date]], "MMM-YYYY")</f>
        <v>Nov-2023</v>
      </c>
      <c r="P1517" t="str">
        <f>"Q"&amp;ROUNDUP(MONTH(tblTransactions[[#This Row],[Date]])/3,0)&amp;"-"&amp;YEAR(tblTransactions[[#This Row],[Date]])</f>
        <v>Q4-2023</v>
      </c>
      <c r="Q1517">
        <f>YEAR(tblTransactions[[#This Row],[Date]])</f>
        <v>2023</v>
      </c>
      <c r="R1517" t="str">
        <f>TEXT(tblTransactions[[#This Row],[Date]],"DDDD")</f>
        <v>Sunday</v>
      </c>
      <c r="S1517">
        <f>MONTH(tblTransactions[[#This Row],[Date]])</f>
        <v>11</v>
      </c>
      <c r="T1517" t="str">
        <f>VLOOKUP(E1517, Products!$A:$B,2,0)</f>
        <v>Cables Acc-4</v>
      </c>
      <c r="U1517" t="str">
        <f>VLOOKUP(E1517,Products!$A:$C,3,0)</f>
        <v>Accessories</v>
      </c>
      <c r="V1517" t="str">
        <f>VLOOKUP(E1517,Products!$A:$D,4,0)</f>
        <v>Cables</v>
      </c>
      <c r="W1517" t="str">
        <f>VLOOKUP(D1517,Customers!$A:$C,3,0)</f>
        <v>B2C</v>
      </c>
      <c r="X1517" t="str">
        <f>VLOOKUP(C1517,Sales_Representatives!$A:$B,2,0)</f>
        <v>Michael Davis</v>
      </c>
    </row>
    <row r="1518" spans="1:24" x14ac:dyDescent="0.3">
      <c r="A1518" t="s">
        <v>2219</v>
      </c>
      <c r="B1518" t="s">
        <v>2220</v>
      </c>
      <c r="C1518" t="s">
        <v>75</v>
      </c>
      <c r="D1518" t="s">
        <v>1906</v>
      </c>
      <c r="E1518" t="s">
        <v>102</v>
      </c>
      <c r="F1518">
        <v>10</v>
      </c>
      <c r="G1518">
        <v>1097.75</v>
      </c>
      <c r="H1518">
        <v>0.06</v>
      </c>
      <c r="I1518" s="4">
        <v>10318.85</v>
      </c>
      <c r="J1518" t="s">
        <v>44</v>
      </c>
      <c r="K1518" t="s">
        <v>35</v>
      </c>
      <c r="L1518" s="4">
        <f>VLOOKUP(tblTransactions[[#This Row],[Product_ID]],tblProducts[],5,FALSE)</f>
        <v>680.12</v>
      </c>
      <c r="M1518" s="4">
        <f>tblTransactions[[#This Row],[Total_Amount]]-(tblTransactions[[#This Row],[Cost_Prices]]*tblTransactions[[#This Row],[Quantity]]*(1-tblTransactions[[#This Row],[Discount]]))</f>
        <v>3925.7220000000007</v>
      </c>
      <c r="N1518" s="3">
        <f>tblTransactions[[#This Row],[Profit]]/tblTransactions[[#This Row],[Total_Amount]]</f>
        <v>0.38044181279890693</v>
      </c>
      <c r="O1518" t="str">
        <f>TEXT(tblTransactions[[#This Row],[Date]], "MMM-YYYY")</f>
        <v>Nov-2023</v>
      </c>
      <c r="P1518" t="str">
        <f>"Q"&amp;ROUNDUP(MONTH(tblTransactions[[#This Row],[Date]])/3,0)&amp;"-"&amp;YEAR(tblTransactions[[#This Row],[Date]])</f>
        <v>Q4-2023</v>
      </c>
      <c r="Q1518">
        <f>YEAR(tblTransactions[[#This Row],[Date]])</f>
        <v>2023</v>
      </c>
      <c r="R1518" t="str">
        <f>TEXT(tblTransactions[[#This Row],[Date]],"DDDD")</f>
        <v>Monday</v>
      </c>
      <c r="S1518">
        <f>MONTH(tblTransactions[[#This Row],[Date]])</f>
        <v>11</v>
      </c>
      <c r="T1518" t="str">
        <f>VLOOKUP(E1518, Products!$A:$B,2,0)</f>
        <v>Storage Fur-4</v>
      </c>
      <c r="U1518" t="str">
        <f>VLOOKUP(E1518,Products!$A:$C,3,0)</f>
        <v>Furniture</v>
      </c>
      <c r="V1518" t="str">
        <f>VLOOKUP(E1518,Products!$A:$D,4,0)</f>
        <v>Storage</v>
      </c>
      <c r="W1518" t="str">
        <f>VLOOKUP(D1518,Customers!$A:$C,3,0)</f>
        <v>B2B</v>
      </c>
      <c r="X1518" t="str">
        <f>VLOOKUP(C1518,Sales_Representatives!$A:$B,2,0)</f>
        <v>Jessica Anderson</v>
      </c>
    </row>
    <row r="1519" spans="1:24" x14ac:dyDescent="0.3">
      <c r="A1519" t="s">
        <v>2221</v>
      </c>
      <c r="B1519" t="s">
        <v>2220</v>
      </c>
      <c r="C1519" t="s">
        <v>13</v>
      </c>
      <c r="D1519" t="s">
        <v>1475</v>
      </c>
      <c r="E1519" t="s">
        <v>290</v>
      </c>
      <c r="F1519">
        <v>23</v>
      </c>
      <c r="G1519">
        <v>729.32</v>
      </c>
      <c r="H1519">
        <v>0.17</v>
      </c>
      <c r="I1519" s="4">
        <v>13922.72</v>
      </c>
      <c r="J1519" t="s">
        <v>16</v>
      </c>
      <c r="K1519" t="s">
        <v>48</v>
      </c>
      <c r="L1519" s="4">
        <f>VLOOKUP(tblTransactions[[#This Row],[Product_ID]],tblProducts[],5,FALSE)</f>
        <v>482.7</v>
      </c>
      <c r="M1519" s="4">
        <f>tblTransactions[[#This Row],[Total_Amount]]-(tblTransactions[[#This Row],[Cost_Prices]]*tblTransactions[[#This Row],[Quantity]]*(1-tblTransactions[[#This Row],[Discount]]))</f>
        <v>4707.976999999999</v>
      </c>
      <c r="N1519" s="3">
        <f>tblTransactions[[#This Row],[Profit]]/tblTransactions[[#This Row],[Total_Amount]]</f>
        <v>0.33815066308882169</v>
      </c>
      <c r="O1519" t="str">
        <f>TEXT(tblTransactions[[#This Row],[Date]], "MMM-YYYY")</f>
        <v>Nov-2023</v>
      </c>
      <c r="P1519" t="str">
        <f>"Q"&amp;ROUNDUP(MONTH(tblTransactions[[#This Row],[Date]])/3,0)&amp;"-"&amp;YEAR(tblTransactions[[#This Row],[Date]])</f>
        <v>Q4-2023</v>
      </c>
      <c r="Q1519">
        <f>YEAR(tblTransactions[[#This Row],[Date]])</f>
        <v>2023</v>
      </c>
      <c r="R1519" t="str">
        <f>TEXT(tblTransactions[[#This Row],[Date]],"DDDD")</f>
        <v>Monday</v>
      </c>
      <c r="S1519">
        <f>MONTH(tblTransactions[[#This Row],[Date]])</f>
        <v>11</v>
      </c>
      <c r="T1519" t="str">
        <f>VLOOKUP(E1519, Products!$A:$B,2,0)</f>
        <v>Tables Fur-1</v>
      </c>
      <c r="U1519" t="str">
        <f>VLOOKUP(E1519,Products!$A:$C,3,0)</f>
        <v>Furniture</v>
      </c>
      <c r="V1519" t="str">
        <f>VLOOKUP(E1519,Products!$A:$D,4,0)</f>
        <v>Tables</v>
      </c>
      <c r="W1519" t="str">
        <f>VLOOKUP(D1519,Customers!$A:$C,3,0)</f>
        <v>Enterprise</v>
      </c>
      <c r="X1519" t="str">
        <f>VLOOKUP(C1519,Sales_Representatives!$A:$B,2,0)</f>
        <v>Jennifer Rodriguez</v>
      </c>
    </row>
    <row r="1520" spans="1:24" x14ac:dyDescent="0.3">
      <c r="A1520" t="s">
        <v>2222</v>
      </c>
      <c r="B1520" t="s">
        <v>2220</v>
      </c>
      <c r="C1520" t="s">
        <v>127</v>
      </c>
      <c r="D1520" t="s">
        <v>1463</v>
      </c>
      <c r="E1520" t="s">
        <v>248</v>
      </c>
      <c r="F1520">
        <v>3</v>
      </c>
      <c r="G1520">
        <v>82.29</v>
      </c>
      <c r="H1520">
        <v>0.01</v>
      </c>
      <c r="I1520" s="4">
        <v>244.4</v>
      </c>
      <c r="J1520" t="s">
        <v>109</v>
      </c>
      <c r="K1520" t="s">
        <v>17</v>
      </c>
      <c r="L1520" s="4">
        <f>VLOOKUP(tblTransactions[[#This Row],[Product_ID]],tblProducts[],5,FALSE)</f>
        <v>51.11</v>
      </c>
      <c r="M1520" s="4">
        <f>tblTransactions[[#This Row],[Total_Amount]]-(tblTransactions[[#This Row],[Cost_Prices]]*tblTransactions[[#This Row],[Quantity]]*(1-tblTransactions[[#This Row],[Discount]]))</f>
        <v>92.603300000000019</v>
      </c>
      <c r="N1520" s="3">
        <f>tblTransactions[[#This Row],[Profit]]/tblTransactions[[#This Row],[Total_Amount]]</f>
        <v>0.37890057283142398</v>
      </c>
      <c r="O1520" t="str">
        <f>TEXT(tblTransactions[[#This Row],[Date]], "MMM-YYYY")</f>
        <v>Nov-2023</v>
      </c>
      <c r="P1520" t="str">
        <f>"Q"&amp;ROUNDUP(MONTH(tblTransactions[[#This Row],[Date]])/3,0)&amp;"-"&amp;YEAR(tblTransactions[[#This Row],[Date]])</f>
        <v>Q4-2023</v>
      </c>
      <c r="Q1520">
        <f>YEAR(tblTransactions[[#This Row],[Date]])</f>
        <v>2023</v>
      </c>
      <c r="R1520" t="str">
        <f>TEXT(tblTransactions[[#This Row],[Date]],"DDDD")</f>
        <v>Monday</v>
      </c>
      <c r="S1520">
        <f>MONTH(tblTransactions[[#This Row],[Date]])</f>
        <v>11</v>
      </c>
      <c r="T1520" t="str">
        <f>VLOOKUP(E1520, Products!$A:$B,2,0)</f>
        <v>Keyboards Acc-2</v>
      </c>
      <c r="U1520" t="str">
        <f>VLOOKUP(E1520,Products!$A:$C,3,0)</f>
        <v>Accessories</v>
      </c>
      <c r="V1520" t="str">
        <f>VLOOKUP(E1520,Products!$A:$D,4,0)</f>
        <v>Keyboards</v>
      </c>
      <c r="W1520" t="str">
        <f>VLOOKUP(D1520,Customers!$A:$C,3,0)</f>
        <v>Small Business</v>
      </c>
      <c r="X1520" t="str">
        <f>VLOOKUP(C1520,Sales_Representatives!$A:$B,2,0)</f>
        <v>Emily Hernandez</v>
      </c>
    </row>
    <row r="1521" spans="1:24" x14ac:dyDescent="0.3">
      <c r="A1521" t="s">
        <v>2223</v>
      </c>
      <c r="B1521" t="s">
        <v>2220</v>
      </c>
      <c r="C1521" t="s">
        <v>82</v>
      </c>
      <c r="D1521" t="s">
        <v>2224</v>
      </c>
      <c r="E1521" t="s">
        <v>105</v>
      </c>
      <c r="F1521">
        <v>16</v>
      </c>
      <c r="G1521">
        <v>1342.04</v>
      </c>
      <c r="H1521">
        <v>0.15</v>
      </c>
      <c r="I1521" s="4">
        <v>18251.740000000002</v>
      </c>
      <c r="J1521" t="s">
        <v>34</v>
      </c>
      <c r="K1521" t="s">
        <v>35</v>
      </c>
      <c r="L1521" s="4">
        <f>VLOOKUP(tblTransactions[[#This Row],[Product_ID]],tblProducts[],5,FALSE)</f>
        <v>792.89</v>
      </c>
      <c r="M1521" s="4">
        <f>tblTransactions[[#This Row],[Total_Amount]]-(tblTransactions[[#This Row],[Cost_Prices]]*tblTransactions[[#This Row],[Quantity]]*(1-tblTransactions[[#This Row],[Discount]]))</f>
        <v>7468.4360000000015</v>
      </c>
      <c r="N1521" s="3">
        <f>tblTransactions[[#This Row],[Profit]]/tblTransactions[[#This Row],[Total_Amount]]</f>
        <v>0.40919035664544867</v>
      </c>
      <c r="O1521" t="str">
        <f>TEXT(tblTransactions[[#This Row],[Date]], "MMM-YYYY")</f>
        <v>Nov-2023</v>
      </c>
      <c r="P1521" t="str">
        <f>"Q"&amp;ROUNDUP(MONTH(tblTransactions[[#This Row],[Date]])/3,0)&amp;"-"&amp;YEAR(tblTransactions[[#This Row],[Date]])</f>
        <v>Q4-2023</v>
      </c>
      <c r="Q1521">
        <f>YEAR(tblTransactions[[#This Row],[Date]])</f>
        <v>2023</v>
      </c>
      <c r="R1521" t="str">
        <f>TEXT(tblTransactions[[#This Row],[Date]],"DDDD")</f>
        <v>Monday</v>
      </c>
      <c r="S1521">
        <f>MONTH(tblTransactions[[#This Row],[Date]])</f>
        <v>11</v>
      </c>
      <c r="T1521" t="str">
        <f>VLOOKUP(E1521, Products!$A:$B,2,0)</f>
        <v>Cameras Ele-1</v>
      </c>
      <c r="U1521" t="str">
        <f>VLOOKUP(E1521,Products!$A:$C,3,0)</f>
        <v>Electronics</v>
      </c>
      <c r="V1521" t="str">
        <f>VLOOKUP(E1521,Products!$A:$D,4,0)</f>
        <v>Cameras</v>
      </c>
      <c r="W1521" t="str">
        <f>VLOOKUP(D1521,Customers!$A:$C,3,0)</f>
        <v>B2B</v>
      </c>
      <c r="X1521" t="str">
        <f>VLOOKUP(C1521,Sales_Representatives!$A:$B,2,0)</f>
        <v>John Brown</v>
      </c>
    </row>
    <row r="1522" spans="1:24" x14ac:dyDescent="0.3">
      <c r="A1522" t="s">
        <v>2225</v>
      </c>
      <c r="B1522" t="s">
        <v>2220</v>
      </c>
      <c r="C1522" t="s">
        <v>41</v>
      </c>
      <c r="D1522" t="s">
        <v>1472</v>
      </c>
      <c r="E1522" t="s">
        <v>299</v>
      </c>
      <c r="F1522">
        <v>2</v>
      </c>
      <c r="G1522">
        <v>963.44</v>
      </c>
      <c r="H1522">
        <v>0.08</v>
      </c>
      <c r="I1522" s="4">
        <v>1772.73</v>
      </c>
      <c r="J1522" t="s">
        <v>44</v>
      </c>
      <c r="K1522" t="s">
        <v>22</v>
      </c>
      <c r="L1522" s="4">
        <f>VLOOKUP(tblTransactions[[#This Row],[Product_ID]],tblProducts[],5,FALSE)</f>
        <v>578.96</v>
      </c>
      <c r="M1522" s="4">
        <f>tblTransactions[[#This Row],[Total_Amount]]-(tblTransactions[[#This Row],[Cost_Prices]]*tblTransactions[[#This Row],[Quantity]]*(1-tblTransactions[[#This Row],[Discount]]))</f>
        <v>707.44359999999983</v>
      </c>
      <c r="N1522" s="3">
        <f>tblTransactions[[#This Row],[Profit]]/tblTransactions[[#This Row],[Total_Amount]]</f>
        <v>0.39907013476389513</v>
      </c>
      <c r="O1522" t="str">
        <f>TEXT(tblTransactions[[#This Row],[Date]], "MMM-YYYY")</f>
        <v>Nov-2023</v>
      </c>
      <c r="P1522" t="str">
        <f>"Q"&amp;ROUNDUP(MONTH(tblTransactions[[#This Row],[Date]])/3,0)&amp;"-"&amp;YEAR(tblTransactions[[#This Row],[Date]])</f>
        <v>Q4-2023</v>
      </c>
      <c r="Q1522">
        <f>YEAR(tblTransactions[[#This Row],[Date]])</f>
        <v>2023</v>
      </c>
      <c r="R1522" t="str">
        <f>TEXT(tblTransactions[[#This Row],[Date]],"DDDD")</f>
        <v>Monday</v>
      </c>
      <c r="S1522">
        <f>MONTH(tblTransactions[[#This Row],[Date]])</f>
        <v>11</v>
      </c>
      <c r="T1522" t="str">
        <f>VLOOKUP(E1522, Products!$A:$B,2,0)</f>
        <v>Chairs Fur-4</v>
      </c>
      <c r="U1522" t="str">
        <f>VLOOKUP(E1522,Products!$A:$C,3,0)</f>
        <v>Furniture</v>
      </c>
      <c r="V1522" t="str">
        <f>VLOOKUP(E1522,Products!$A:$D,4,0)</f>
        <v>Chairs</v>
      </c>
      <c r="W1522" t="str">
        <f>VLOOKUP(D1522,Customers!$A:$C,3,0)</f>
        <v>B2B</v>
      </c>
      <c r="X1522" t="str">
        <f>VLOOKUP(C1522,Sales_Representatives!$A:$B,2,0)</f>
        <v>Robert Jones</v>
      </c>
    </row>
    <row r="1523" spans="1:24" x14ac:dyDescent="0.3">
      <c r="A1523" t="s">
        <v>2226</v>
      </c>
      <c r="B1523" t="s">
        <v>2220</v>
      </c>
      <c r="C1523" t="s">
        <v>63</v>
      </c>
      <c r="D1523" t="s">
        <v>2050</v>
      </c>
      <c r="E1523" t="s">
        <v>258</v>
      </c>
      <c r="F1523">
        <v>2</v>
      </c>
      <c r="G1523">
        <v>73.33</v>
      </c>
      <c r="H1523">
        <v>7.0000000000000007E-2</v>
      </c>
      <c r="I1523" s="4">
        <v>136.38999999999999</v>
      </c>
      <c r="J1523" t="s">
        <v>21</v>
      </c>
      <c r="K1523" t="s">
        <v>22</v>
      </c>
      <c r="L1523" s="4">
        <f>VLOOKUP(tblTransactions[[#This Row],[Product_ID]],tblProducts[],5,FALSE)</f>
        <v>38.049999999999997</v>
      </c>
      <c r="M1523" s="4">
        <f>tblTransactions[[#This Row],[Total_Amount]]-(tblTransactions[[#This Row],[Cost_Prices]]*tblTransactions[[#This Row],[Quantity]]*(1-tblTransactions[[#This Row],[Discount]]))</f>
        <v>65.61699999999999</v>
      </c>
      <c r="N1523" s="3">
        <f>tblTransactions[[#This Row],[Profit]]/tblTransactions[[#This Row],[Total_Amount]]</f>
        <v>0.48109832099127497</v>
      </c>
      <c r="O1523" t="str">
        <f>TEXT(tblTransactions[[#This Row],[Date]], "MMM-YYYY")</f>
        <v>Nov-2023</v>
      </c>
      <c r="P1523" t="str">
        <f>"Q"&amp;ROUNDUP(MONTH(tblTransactions[[#This Row],[Date]])/3,0)&amp;"-"&amp;YEAR(tblTransactions[[#This Row],[Date]])</f>
        <v>Q4-2023</v>
      </c>
      <c r="Q1523">
        <f>YEAR(tblTransactions[[#This Row],[Date]])</f>
        <v>2023</v>
      </c>
      <c r="R1523" t="str">
        <f>TEXT(tblTransactions[[#This Row],[Date]],"DDDD")</f>
        <v>Monday</v>
      </c>
      <c r="S1523">
        <f>MONTH(tblTransactions[[#This Row],[Date]])</f>
        <v>11</v>
      </c>
      <c r="T1523" t="str">
        <f>VLOOKUP(E1523, Products!$A:$B,2,0)</f>
        <v>Keyboards Acc-3</v>
      </c>
      <c r="U1523" t="str">
        <f>VLOOKUP(E1523,Products!$A:$C,3,0)</f>
        <v>Accessories</v>
      </c>
      <c r="V1523" t="str">
        <f>VLOOKUP(E1523,Products!$A:$D,4,0)</f>
        <v>Keyboards</v>
      </c>
      <c r="W1523" t="str">
        <f>VLOOKUP(D1523,Customers!$A:$C,3,0)</f>
        <v>B2C</v>
      </c>
      <c r="X1523" t="str">
        <f>VLOOKUP(C1523,Sales_Representatives!$A:$B,2,0)</f>
        <v>Richard Wilson</v>
      </c>
    </row>
    <row r="1524" spans="1:24" x14ac:dyDescent="0.3">
      <c r="A1524" t="s">
        <v>2227</v>
      </c>
      <c r="B1524" t="s">
        <v>2228</v>
      </c>
      <c r="C1524" t="s">
        <v>75</v>
      </c>
      <c r="D1524" t="s">
        <v>1888</v>
      </c>
      <c r="E1524" t="s">
        <v>84</v>
      </c>
      <c r="F1524">
        <v>6</v>
      </c>
      <c r="G1524">
        <v>1841.77</v>
      </c>
      <c r="H1524">
        <v>0.06</v>
      </c>
      <c r="I1524" s="4">
        <v>10387.58</v>
      </c>
      <c r="J1524" t="s">
        <v>44</v>
      </c>
      <c r="K1524" t="s">
        <v>48</v>
      </c>
      <c r="L1524" s="4">
        <f>VLOOKUP(tblTransactions[[#This Row],[Product_ID]],tblProducts[],5,FALSE)</f>
        <v>1151.5899999999999</v>
      </c>
      <c r="M1524" s="4">
        <f>tblTransactions[[#This Row],[Total_Amount]]-(tblTransactions[[#This Row],[Cost_Prices]]*tblTransactions[[#This Row],[Quantity]]*(1-tblTransactions[[#This Row],[Discount]]))</f>
        <v>3892.6124000000009</v>
      </c>
      <c r="N1524" s="3">
        <f>tblTransactions[[#This Row],[Profit]]/tblTransactions[[#This Row],[Total_Amount]]</f>
        <v>0.37473717651272009</v>
      </c>
      <c r="O1524" t="str">
        <f>TEXT(tblTransactions[[#This Row],[Date]], "MMM-YYYY")</f>
        <v>Nov-2023</v>
      </c>
      <c r="P1524" t="str">
        <f>"Q"&amp;ROUNDUP(MONTH(tblTransactions[[#This Row],[Date]])/3,0)&amp;"-"&amp;YEAR(tblTransactions[[#This Row],[Date]])</f>
        <v>Q4-2023</v>
      </c>
      <c r="Q1524">
        <f>YEAR(tblTransactions[[#This Row],[Date]])</f>
        <v>2023</v>
      </c>
      <c r="R1524" t="str">
        <f>TEXT(tblTransactions[[#This Row],[Date]],"DDDD")</f>
        <v>Tuesday</v>
      </c>
      <c r="S1524">
        <f>MONTH(tblTransactions[[#This Row],[Date]])</f>
        <v>11</v>
      </c>
      <c r="T1524" t="str">
        <f>VLOOKUP(E1524, Products!$A:$B,2,0)</f>
        <v>Laptops Ele-2</v>
      </c>
      <c r="U1524" t="str">
        <f>VLOOKUP(E1524,Products!$A:$C,3,0)</f>
        <v>Electronics</v>
      </c>
      <c r="V1524" t="str">
        <f>VLOOKUP(E1524,Products!$A:$D,4,0)</f>
        <v>Laptops</v>
      </c>
      <c r="W1524" t="str">
        <f>VLOOKUP(D1524,Customers!$A:$C,3,0)</f>
        <v>B2C</v>
      </c>
      <c r="X1524" t="str">
        <f>VLOOKUP(C1524,Sales_Representatives!$A:$B,2,0)</f>
        <v>Jessica Anderson</v>
      </c>
    </row>
    <row r="1525" spans="1:24" x14ac:dyDescent="0.3">
      <c r="A1525" t="s">
        <v>2229</v>
      </c>
      <c r="B1525" t="s">
        <v>2228</v>
      </c>
      <c r="C1525" t="s">
        <v>41</v>
      </c>
      <c r="D1525" t="s">
        <v>1752</v>
      </c>
      <c r="E1525" t="s">
        <v>29</v>
      </c>
      <c r="F1525">
        <v>17</v>
      </c>
      <c r="G1525">
        <v>1363.46</v>
      </c>
      <c r="H1525">
        <v>0.15</v>
      </c>
      <c r="I1525" s="4">
        <v>19702</v>
      </c>
      <c r="J1525" t="s">
        <v>44</v>
      </c>
      <c r="K1525" t="s">
        <v>17</v>
      </c>
      <c r="L1525" s="4">
        <f>VLOOKUP(tblTransactions[[#This Row],[Product_ID]],tblProducts[],5,FALSE)</f>
        <v>995.41</v>
      </c>
      <c r="M1525" s="4">
        <f>tblTransactions[[#This Row],[Total_Amount]]-(tblTransactions[[#This Row],[Cost_Prices]]*tblTransactions[[#This Row],[Quantity]]*(1-tblTransactions[[#This Row],[Discount]]))</f>
        <v>5318.325499999999</v>
      </c>
      <c r="N1525" s="3">
        <f>tblTransactions[[#This Row],[Profit]]/tblTransactions[[#This Row],[Total_Amount]]</f>
        <v>0.26993835651202919</v>
      </c>
      <c r="O1525" t="str">
        <f>TEXT(tblTransactions[[#This Row],[Date]], "MMM-YYYY")</f>
        <v>Nov-2023</v>
      </c>
      <c r="P1525" t="str">
        <f>"Q"&amp;ROUNDUP(MONTH(tblTransactions[[#This Row],[Date]])/3,0)&amp;"-"&amp;YEAR(tblTransactions[[#This Row],[Date]])</f>
        <v>Q4-2023</v>
      </c>
      <c r="Q1525">
        <f>YEAR(tblTransactions[[#This Row],[Date]])</f>
        <v>2023</v>
      </c>
      <c r="R1525" t="str">
        <f>TEXT(tblTransactions[[#This Row],[Date]],"DDDD")</f>
        <v>Tuesday</v>
      </c>
      <c r="S1525">
        <f>MONTH(tblTransactions[[#This Row],[Date]])</f>
        <v>11</v>
      </c>
      <c r="T1525" t="str">
        <f>VLOOKUP(E1525, Products!$A:$B,2,0)</f>
        <v>Phones Ele-3</v>
      </c>
      <c r="U1525" t="str">
        <f>VLOOKUP(E1525,Products!$A:$C,3,0)</f>
        <v>Electronics</v>
      </c>
      <c r="V1525" t="str">
        <f>VLOOKUP(E1525,Products!$A:$D,4,0)</f>
        <v>Phones</v>
      </c>
      <c r="W1525" t="str">
        <f>VLOOKUP(D1525,Customers!$A:$C,3,0)</f>
        <v>B2B</v>
      </c>
      <c r="X1525" t="str">
        <f>VLOOKUP(C1525,Sales_Representatives!$A:$B,2,0)</f>
        <v>Robert Jones</v>
      </c>
    </row>
    <row r="1526" spans="1:24" x14ac:dyDescent="0.3">
      <c r="A1526" t="s">
        <v>2230</v>
      </c>
      <c r="B1526" t="s">
        <v>2228</v>
      </c>
      <c r="C1526" t="s">
        <v>19</v>
      </c>
      <c r="D1526" t="s">
        <v>1545</v>
      </c>
      <c r="E1526" t="s">
        <v>145</v>
      </c>
      <c r="F1526">
        <v>1</v>
      </c>
      <c r="G1526">
        <v>93.43</v>
      </c>
      <c r="H1526">
        <v>0.01</v>
      </c>
      <c r="I1526" s="4">
        <v>92.5</v>
      </c>
      <c r="J1526" t="s">
        <v>21</v>
      </c>
      <c r="K1526" t="s">
        <v>17</v>
      </c>
      <c r="L1526" s="4">
        <f>VLOOKUP(tblTransactions[[#This Row],[Product_ID]],tblProducts[],5,FALSE)</f>
        <v>45.74</v>
      </c>
      <c r="M1526" s="4">
        <f>tblTransactions[[#This Row],[Total_Amount]]-(tblTransactions[[#This Row],[Cost_Prices]]*tblTransactions[[#This Row],[Quantity]]*(1-tblTransactions[[#This Row],[Discount]]))</f>
        <v>47.217399999999998</v>
      </c>
      <c r="N1526" s="3">
        <f>tblTransactions[[#This Row],[Profit]]/tblTransactions[[#This Row],[Total_Amount]]</f>
        <v>0.51045837837837837</v>
      </c>
      <c r="O1526" t="str">
        <f>TEXT(tblTransactions[[#This Row],[Date]], "MMM-YYYY")</f>
        <v>Nov-2023</v>
      </c>
      <c r="P1526" t="str">
        <f>"Q"&amp;ROUNDUP(MONTH(tblTransactions[[#This Row],[Date]])/3,0)&amp;"-"&amp;YEAR(tblTransactions[[#This Row],[Date]])</f>
        <v>Q4-2023</v>
      </c>
      <c r="Q1526">
        <f>YEAR(tblTransactions[[#This Row],[Date]])</f>
        <v>2023</v>
      </c>
      <c r="R1526" t="str">
        <f>TEXT(tblTransactions[[#This Row],[Date]],"DDDD")</f>
        <v>Tuesday</v>
      </c>
      <c r="S1526">
        <f>MONTH(tblTransactions[[#This Row],[Date]])</f>
        <v>11</v>
      </c>
      <c r="T1526" t="str">
        <f>VLOOKUP(E1526, Products!$A:$B,2,0)</f>
        <v>Paper Off-1</v>
      </c>
      <c r="U1526" t="str">
        <f>VLOOKUP(E1526,Products!$A:$C,3,0)</f>
        <v>Office Supplies</v>
      </c>
      <c r="V1526" t="str">
        <f>VLOOKUP(E1526,Products!$A:$D,4,0)</f>
        <v>Paper</v>
      </c>
      <c r="W1526" t="str">
        <f>VLOOKUP(D1526,Customers!$A:$C,3,0)</f>
        <v>Small Business</v>
      </c>
      <c r="X1526" t="str">
        <f>VLOOKUP(C1526,Sales_Representatives!$A:$B,2,0)</f>
        <v>Robert Jones</v>
      </c>
    </row>
    <row r="1527" spans="1:24" x14ac:dyDescent="0.3">
      <c r="A1527" t="s">
        <v>2231</v>
      </c>
      <c r="B1527" t="s">
        <v>2228</v>
      </c>
      <c r="C1527" t="s">
        <v>19</v>
      </c>
      <c r="D1527" t="s">
        <v>2232</v>
      </c>
      <c r="E1527" t="s">
        <v>258</v>
      </c>
      <c r="F1527">
        <v>5</v>
      </c>
      <c r="G1527">
        <v>73.33</v>
      </c>
      <c r="H1527">
        <v>0.08</v>
      </c>
      <c r="I1527" s="4">
        <v>337.32</v>
      </c>
      <c r="J1527" t="s">
        <v>21</v>
      </c>
      <c r="K1527" t="s">
        <v>35</v>
      </c>
      <c r="L1527" s="4">
        <f>VLOOKUP(tblTransactions[[#This Row],[Product_ID]],tblProducts[],5,FALSE)</f>
        <v>38.049999999999997</v>
      </c>
      <c r="M1527" s="4">
        <f>tblTransactions[[#This Row],[Total_Amount]]-(tblTransactions[[#This Row],[Cost_Prices]]*tblTransactions[[#This Row],[Quantity]]*(1-tblTransactions[[#This Row],[Discount]]))</f>
        <v>162.29</v>
      </c>
      <c r="N1527" s="3">
        <f>tblTransactions[[#This Row],[Profit]]/tblTransactions[[#This Row],[Total_Amount]]</f>
        <v>0.4811158543815961</v>
      </c>
      <c r="O1527" t="str">
        <f>TEXT(tblTransactions[[#This Row],[Date]], "MMM-YYYY")</f>
        <v>Nov-2023</v>
      </c>
      <c r="P1527" t="str">
        <f>"Q"&amp;ROUNDUP(MONTH(tblTransactions[[#This Row],[Date]])/3,0)&amp;"-"&amp;YEAR(tblTransactions[[#This Row],[Date]])</f>
        <v>Q4-2023</v>
      </c>
      <c r="Q1527">
        <f>YEAR(tblTransactions[[#This Row],[Date]])</f>
        <v>2023</v>
      </c>
      <c r="R1527" t="str">
        <f>TEXT(tblTransactions[[#This Row],[Date]],"DDDD")</f>
        <v>Tuesday</v>
      </c>
      <c r="S1527">
        <f>MONTH(tblTransactions[[#This Row],[Date]])</f>
        <v>11</v>
      </c>
      <c r="T1527" t="str">
        <f>VLOOKUP(E1527, Products!$A:$B,2,0)</f>
        <v>Keyboards Acc-3</v>
      </c>
      <c r="U1527" t="str">
        <f>VLOOKUP(E1527,Products!$A:$C,3,0)</f>
        <v>Accessories</v>
      </c>
      <c r="V1527" t="str">
        <f>VLOOKUP(E1527,Products!$A:$D,4,0)</f>
        <v>Keyboards</v>
      </c>
      <c r="W1527" t="str">
        <f>VLOOKUP(D1527,Customers!$A:$C,3,0)</f>
        <v>B2C</v>
      </c>
      <c r="X1527" t="str">
        <f>VLOOKUP(C1527,Sales_Representatives!$A:$B,2,0)</f>
        <v>Robert Jones</v>
      </c>
    </row>
    <row r="1528" spans="1:24" x14ac:dyDescent="0.3">
      <c r="A1528" t="s">
        <v>2233</v>
      </c>
      <c r="B1528" t="s">
        <v>2228</v>
      </c>
      <c r="C1528" t="s">
        <v>59</v>
      </c>
      <c r="D1528" t="s">
        <v>2208</v>
      </c>
      <c r="E1528" t="s">
        <v>113</v>
      </c>
      <c r="F1528">
        <v>6</v>
      </c>
      <c r="G1528">
        <v>930.41</v>
      </c>
      <c r="H1528">
        <v>0.12</v>
      </c>
      <c r="I1528" s="4">
        <v>4912.5600000000004</v>
      </c>
      <c r="J1528" t="s">
        <v>21</v>
      </c>
      <c r="K1528" t="s">
        <v>39</v>
      </c>
      <c r="L1528" s="4">
        <f>VLOOKUP(tblTransactions[[#This Row],[Product_ID]],tblProducts[],5,FALSE)</f>
        <v>595.51</v>
      </c>
      <c r="M1528" s="4">
        <f>tblTransactions[[#This Row],[Total_Amount]]-(tblTransactions[[#This Row],[Cost_Prices]]*tblTransactions[[#This Row],[Quantity]]*(1-tblTransactions[[#This Row],[Discount]]))</f>
        <v>1768.2672000000002</v>
      </c>
      <c r="N1528" s="3">
        <f>tblTransactions[[#This Row],[Profit]]/tblTransactions[[#This Row],[Total_Amount]]</f>
        <v>0.35994821437295427</v>
      </c>
      <c r="O1528" t="str">
        <f>TEXT(tblTransactions[[#This Row],[Date]], "MMM-YYYY")</f>
        <v>Nov-2023</v>
      </c>
      <c r="P1528" t="str">
        <f>"Q"&amp;ROUNDUP(MONTH(tblTransactions[[#This Row],[Date]])/3,0)&amp;"-"&amp;YEAR(tblTransactions[[#This Row],[Date]])</f>
        <v>Q4-2023</v>
      </c>
      <c r="Q1528">
        <f>YEAR(tblTransactions[[#This Row],[Date]])</f>
        <v>2023</v>
      </c>
      <c r="R1528" t="str">
        <f>TEXT(tblTransactions[[#This Row],[Date]],"DDDD")</f>
        <v>Tuesday</v>
      </c>
      <c r="S1528">
        <f>MONTH(tblTransactions[[#This Row],[Date]])</f>
        <v>11</v>
      </c>
      <c r="T1528" t="str">
        <f>VLOOKUP(E1528, Products!$A:$B,2,0)</f>
        <v>Phones Ele-1</v>
      </c>
      <c r="U1528" t="str">
        <f>VLOOKUP(E1528,Products!$A:$C,3,0)</f>
        <v>Electronics</v>
      </c>
      <c r="V1528" t="str">
        <f>VLOOKUP(E1528,Products!$A:$D,4,0)</f>
        <v>Phones</v>
      </c>
      <c r="W1528" t="str">
        <f>VLOOKUP(D1528,Customers!$A:$C,3,0)</f>
        <v>B2B</v>
      </c>
      <c r="X1528" t="str">
        <f>VLOOKUP(C1528,Sales_Representatives!$A:$B,2,0)</f>
        <v>Sarah Brown</v>
      </c>
    </row>
    <row r="1529" spans="1:24" x14ac:dyDescent="0.3">
      <c r="A1529" t="s">
        <v>2234</v>
      </c>
      <c r="B1529" t="s">
        <v>2228</v>
      </c>
      <c r="C1529" t="s">
        <v>59</v>
      </c>
      <c r="D1529" t="s">
        <v>2235</v>
      </c>
      <c r="E1529" t="s">
        <v>200</v>
      </c>
      <c r="F1529">
        <v>4</v>
      </c>
      <c r="G1529">
        <v>544.77</v>
      </c>
      <c r="H1529">
        <v>0.06</v>
      </c>
      <c r="I1529" s="4">
        <v>2048.34</v>
      </c>
      <c r="J1529" t="s">
        <v>21</v>
      </c>
      <c r="K1529" t="s">
        <v>39</v>
      </c>
      <c r="L1529" s="4">
        <f>VLOOKUP(tblTransactions[[#This Row],[Product_ID]],tblProducts[],5,FALSE)</f>
        <v>318.2</v>
      </c>
      <c r="M1529" s="4">
        <f>tblTransactions[[#This Row],[Total_Amount]]-(tblTransactions[[#This Row],[Cost_Prices]]*tblTransactions[[#This Row],[Quantity]]*(1-tblTransactions[[#This Row],[Discount]]))</f>
        <v>851.90800000000036</v>
      </c>
      <c r="N1529" s="3">
        <f>tblTransactions[[#This Row],[Profit]]/tblTransactions[[#This Row],[Total_Amount]]</f>
        <v>0.41590165695148279</v>
      </c>
      <c r="O1529" t="str">
        <f>TEXT(tblTransactions[[#This Row],[Date]], "MMM-YYYY")</f>
        <v>Nov-2023</v>
      </c>
      <c r="P1529" t="str">
        <f>"Q"&amp;ROUNDUP(MONTH(tblTransactions[[#This Row],[Date]])/3,0)&amp;"-"&amp;YEAR(tblTransactions[[#This Row],[Date]])</f>
        <v>Q4-2023</v>
      </c>
      <c r="Q1529">
        <f>YEAR(tblTransactions[[#This Row],[Date]])</f>
        <v>2023</v>
      </c>
      <c r="R1529" t="str">
        <f>TEXT(tblTransactions[[#This Row],[Date]],"DDDD")</f>
        <v>Tuesday</v>
      </c>
      <c r="S1529">
        <f>MONTH(tblTransactions[[#This Row],[Date]])</f>
        <v>11</v>
      </c>
      <c r="T1529" t="str">
        <f>VLOOKUP(E1529, Products!$A:$B,2,0)</f>
        <v>Desks Fur-4</v>
      </c>
      <c r="U1529" t="str">
        <f>VLOOKUP(E1529,Products!$A:$C,3,0)</f>
        <v>Furniture</v>
      </c>
      <c r="V1529" t="str">
        <f>VLOOKUP(E1529,Products!$A:$D,4,0)</f>
        <v>Desks</v>
      </c>
      <c r="W1529" t="str">
        <f>VLOOKUP(D1529,Customers!$A:$C,3,0)</f>
        <v>B2C</v>
      </c>
      <c r="X1529" t="str">
        <f>VLOOKUP(C1529,Sales_Representatives!$A:$B,2,0)</f>
        <v>Sarah Brown</v>
      </c>
    </row>
    <row r="1530" spans="1:24" x14ac:dyDescent="0.3">
      <c r="A1530" t="s">
        <v>2236</v>
      </c>
      <c r="B1530" t="s">
        <v>2237</v>
      </c>
      <c r="C1530" t="s">
        <v>56</v>
      </c>
      <c r="D1530" t="s">
        <v>1658</v>
      </c>
      <c r="E1530" t="s">
        <v>283</v>
      </c>
      <c r="F1530">
        <v>8</v>
      </c>
      <c r="G1530">
        <v>456.88</v>
      </c>
      <c r="H1530">
        <v>0.1</v>
      </c>
      <c r="I1530" s="4">
        <v>3289.54</v>
      </c>
      <c r="J1530" t="s">
        <v>34</v>
      </c>
      <c r="K1530" t="s">
        <v>22</v>
      </c>
      <c r="L1530" s="4">
        <f>VLOOKUP(tblTransactions[[#This Row],[Product_ID]],tblProducts[],5,FALSE)</f>
        <v>313.23</v>
      </c>
      <c r="M1530" s="4">
        <f>tblTransactions[[#This Row],[Total_Amount]]-(tblTransactions[[#This Row],[Cost_Prices]]*tblTransactions[[#This Row],[Quantity]]*(1-tblTransactions[[#This Row],[Discount]]))</f>
        <v>1034.2839999999997</v>
      </c>
      <c r="N1530" s="3">
        <f>tblTransactions[[#This Row],[Profit]]/tblTransactions[[#This Row],[Total_Amount]]</f>
        <v>0.31441599737349285</v>
      </c>
      <c r="O1530" t="str">
        <f>TEXT(tblTransactions[[#This Row],[Date]], "MMM-YYYY")</f>
        <v>Nov-2023</v>
      </c>
      <c r="P1530" t="str">
        <f>"Q"&amp;ROUNDUP(MONTH(tblTransactions[[#This Row],[Date]])/3,0)&amp;"-"&amp;YEAR(tblTransactions[[#This Row],[Date]])</f>
        <v>Q4-2023</v>
      </c>
      <c r="Q1530">
        <f>YEAR(tblTransactions[[#This Row],[Date]])</f>
        <v>2023</v>
      </c>
      <c r="R1530" t="str">
        <f>TEXT(tblTransactions[[#This Row],[Date]],"DDDD")</f>
        <v>Wednesday</v>
      </c>
      <c r="S1530">
        <f>MONTH(tblTransactions[[#This Row],[Date]])</f>
        <v>11</v>
      </c>
      <c r="T1530" t="str">
        <f>VLOOKUP(E1530, Products!$A:$B,2,0)</f>
        <v>Chairs Fur-3</v>
      </c>
      <c r="U1530" t="str">
        <f>VLOOKUP(E1530,Products!$A:$C,3,0)</f>
        <v>Furniture</v>
      </c>
      <c r="V1530" t="str">
        <f>VLOOKUP(E1530,Products!$A:$D,4,0)</f>
        <v>Chairs</v>
      </c>
      <c r="W1530" t="str">
        <f>VLOOKUP(D1530,Customers!$A:$C,3,0)</f>
        <v>Enterprise</v>
      </c>
      <c r="X1530" t="str">
        <f>VLOOKUP(C1530,Sales_Representatives!$A:$B,2,0)</f>
        <v>Thomas Hernandez</v>
      </c>
    </row>
    <row r="1531" spans="1:24" x14ac:dyDescent="0.3">
      <c r="A1531" t="s">
        <v>2238</v>
      </c>
      <c r="B1531" t="s">
        <v>2237</v>
      </c>
      <c r="C1531" t="s">
        <v>107</v>
      </c>
      <c r="D1531" t="s">
        <v>247</v>
      </c>
      <c r="E1531" t="s">
        <v>77</v>
      </c>
      <c r="F1531">
        <v>3</v>
      </c>
      <c r="G1531">
        <v>236.82</v>
      </c>
      <c r="H1531">
        <v>0.03</v>
      </c>
      <c r="I1531" s="4">
        <v>689.15</v>
      </c>
      <c r="J1531" t="s">
        <v>109</v>
      </c>
      <c r="K1531" t="s">
        <v>35</v>
      </c>
      <c r="L1531" s="4">
        <f>VLOOKUP(tblTransactions[[#This Row],[Product_ID]],tblProducts[],5,FALSE)</f>
        <v>110.79</v>
      </c>
      <c r="M1531" s="4">
        <f>tblTransactions[[#This Row],[Total_Amount]]-(tblTransactions[[#This Row],[Cost_Prices]]*tblTransactions[[#This Row],[Quantity]]*(1-tblTransactions[[#This Row],[Discount]]))</f>
        <v>366.75110000000001</v>
      </c>
      <c r="N1531" s="3">
        <f>tblTransactions[[#This Row],[Profit]]/tblTransactions[[#This Row],[Total_Amount]]</f>
        <v>0.53217891605601109</v>
      </c>
      <c r="O1531" t="str">
        <f>TEXT(tblTransactions[[#This Row],[Date]], "MMM-YYYY")</f>
        <v>Nov-2023</v>
      </c>
      <c r="P1531" t="str">
        <f>"Q"&amp;ROUNDUP(MONTH(tblTransactions[[#This Row],[Date]])/3,0)&amp;"-"&amp;YEAR(tblTransactions[[#This Row],[Date]])</f>
        <v>Q4-2023</v>
      </c>
      <c r="Q1531">
        <f>YEAR(tblTransactions[[#This Row],[Date]])</f>
        <v>2023</v>
      </c>
      <c r="R1531" t="str">
        <f>TEXT(tblTransactions[[#This Row],[Date]],"DDDD")</f>
        <v>Wednesday</v>
      </c>
      <c r="S1531">
        <f>MONTH(tblTransactions[[#This Row],[Date]])</f>
        <v>11</v>
      </c>
      <c r="T1531" t="str">
        <f>VLOOKUP(E1531, Products!$A:$B,2,0)</f>
        <v>Binders Off-4</v>
      </c>
      <c r="U1531" t="str">
        <f>VLOOKUP(E1531,Products!$A:$C,3,0)</f>
        <v>Office Supplies</v>
      </c>
      <c r="V1531" t="str">
        <f>VLOOKUP(E1531,Products!$A:$D,4,0)</f>
        <v>Binders</v>
      </c>
      <c r="W1531" t="str">
        <f>VLOOKUP(D1531,Customers!$A:$C,3,0)</f>
        <v>B2C</v>
      </c>
      <c r="X1531" t="str">
        <f>VLOOKUP(C1531,Sales_Representatives!$A:$B,2,0)</f>
        <v>Jennifer Brown</v>
      </c>
    </row>
    <row r="1532" spans="1:24" x14ac:dyDescent="0.3">
      <c r="A1532" t="s">
        <v>2239</v>
      </c>
      <c r="B1532" t="s">
        <v>2237</v>
      </c>
      <c r="C1532" t="s">
        <v>13</v>
      </c>
      <c r="D1532" t="s">
        <v>1801</v>
      </c>
      <c r="E1532" t="s">
        <v>61</v>
      </c>
      <c r="F1532">
        <v>4</v>
      </c>
      <c r="G1532">
        <v>92.07</v>
      </c>
      <c r="H1532">
        <v>0.08</v>
      </c>
      <c r="I1532" s="4">
        <v>338.82</v>
      </c>
      <c r="J1532" t="s">
        <v>16</v>
      </c>
      <c r="K1532" t="s">
        <v>35</v>
      </c>
      <c r="L1532" s="4">
        <f>VLOOKUP(tblTransactions[[#This Row],[Product_ID]],tblProducts[],5,FALSE)</f>
        <v>56.98</v>
      </c>
      <c r="M1532" s="4">
        <f>tblTransactions[[#This Row],[Total_Amount]]-(tblTransactions[[#This Row],[Cost_Prices]]*tblTransactions[[#This Row],[Quantity]]*(1-tblTransactions[[#This Row],[Discount]]))</f>
        <v>129.1336</v>
      </c>
      <c r="N1532" s="3">
        <f>tblTransactions[[#This Row],[Profit]]/tblTransactions[[#This Row],[Total_Amount]]</f>
        <v>0.38112744229974621</v>
      </c>
      <c r="O1532" t="str">
        <f>TEXT(tblTransactions[[#This Row],[Date]], "MMM-YYYY")</f>
        <v>Nov-2023</v>
      </c>
      <c r="P1532" t="str">
        <f>"Q"&amp;ROUNDUP(MONTH(tblTransactions[[#This Row],[Date]])/3,0)&amp;"-"&amp;YEAR(tblTransactions[[#This Row],[Date]])</f>
        <v>Q4-2023</v>
      </c>
      <c r="Q1532">
        <f>YEAR(tblTransactions[[#This Row],[Date]])</f>
        <v>2023</v>
      </c>
      <c r="R1532" t="str">
        <f>TEXT(tblTransactions[[#This Row],[Date]],"DDDD")</f>
        <v>Wednesday</v>
      </c>
      <c r="S1532">
        <f>MONTH(tblTransactions[[#This Row],[Date]])</f>
        <v>11</v>
      </c>
      <c r="T1532" t="str">
        <f>VLOOKUP(E1532, Products!$A:$B,2,0)</f>
        <v>Pens Off-4</v>
      </c>
      <c r="U1532" t="str">
        <f>VLOOKUP(E1532,Products!$A:$C,3,0)</f>
        <v>Office Supplies</v>
      </c>
      <c r="V1532" t="str">
        <f>VLOOKUP(E1532,Products!$A:$D,4,0)</f>
        <v>Pens</v>
      </c>
      <c r="W1532" t="str">
        <f>VLOOKUP(D1532,Customers!$A:$C,3,0)</f>
        <v>Small Business</v>
      </c>
      <c r="X1532" t="str">
        <f>VLOOKUP(C1532,Sales_Representatives!$A:$B,2,0)</f>
        <v>Jennifer Rodriguez</v>
      </c>
    </row>
    <row r="1533" spans="1:24" x14ac:dyDescent="0.3">
      <c r="A1533" t="s">
        <v>2240</v>
      </c>
      <c r="B1533" t="s">
        <v>2241</v>
      </c>
      <c r="C1533" t="s">
        <v>107</v>
      </c>
      <c r="D1533" t="s">
        <v>1762</v>
      </c>
      <c r="E1533" t="s">
        <v>125</v>
      </c>
      <c r="F1533">
        <v>19</v>
      </c>
      <c r="G1533">
        <v>1201.4000000000001</v>
      </c>
      <c r="H1533">
        <v>0.12</v>
      </c>
      <c r="I1533" s="4">
        <v>20087.41</v>
      </c>
      <c r="J1533" t="s">
        <v>109</v>
      </c>
      <c r="K1533" t="s">
        <v>48</v>
      </c>
      <c r="L1533" s="4">
        <f>VLOOKUP(tblTransactions[[#This Row],[Product_ID]],tblProducts[],5,FALSE)</f>
        <v>672.72</v>
      </c>
      <c r="M1533" s="4">
        <f>tblTransactions[[#This Row],[Total_Amount]]-(tblTransactions[[#This Row],[Cost_Prices]]*tblTransactions[[#This Row],[Quantity]]*(1-tblTransactions[[#This Row],[Discount]]))</f>
        <v>8839.5316000000003</v>
      </c>
      <c r="N1533" s="3">
        <f>tblTransactions[[#This Row],[Profit]]/tblTransactions[[#This Row],[Total_Amount]]</f>
        <v>0.44005332693463223</v>
      </c>
      <c r="O1533" t="str">
        <f>TEXT(tblTransactions[[#This Row],[Date]], "MMM-YYYY")</f>
        <v>Nov-2023</v>
      </c>
      <c r="P1533" t="str">
        <f>"Q"&amp;ROUNDUP(MONTH(tblTransactions[[#This Row],[Date]])/3,0)&amp;"-"&amp;YEAR(tblTransactions[[#This Row],[Date]])</f>
        <v>Q4-2023</v>
      </c>
      <c r="Q1533">
        <f>YEAR(tblTransactions[[#This Row],[Date]])</f>
        <v>2023</v>
      </c>
      <c r="R1533" t="str">
        <f>TEXT(tblTransactions[[#This Row],[Date]],"DDDD")</f>
        <v>Thursday</v>
      </c>
      <c r="S1533">
        <f>MONTH(tblTransactions[[#This Row],[Date]])</f>
        <v>11</v>
      </c>
      <c r="T1533" t="str">
        <f>VLOOKUP(E1533, Products!$A:$B,2,0)</f>
        <v>Printers Tec-2</v>
      </c>
      <c r="U1533" t="str">
        <f>VLOOKUP(E1533,Products!$A:$C,3,0)</f>
        <v>Technology</v>
      </c>
      <c r="V1533" t="str">
        <f>VLOOKUP(E1533,Products!$A:$D,4,0)</f>
        <v>Printers</v>
      </c>
      <c r="W1533" t="str">
        <f>VLOOKUP(D1533,Customers!$A:$C,3,0)</f>
        <v>Enterprise</v>
      </c>
      <c r="X1533" t="str">
        <f>VLOOKUP(C1533,Sales_Representatives!$A:$B,2,0)</f>
        <v>Jennifer Brown</v>
      </c>
    </row>
    <row r="1534" spans="1:24" x14ac:dyDescent="0.3">
      <c r="A1534" t="s">
        <v>2242</v>
      </c>
      <c r="B1534" t="s">
        <v>2241</v>
      </c>
      <c r="C1534" t="s">
        <v>31</v>
      </c>
      <c r="D1534" t="s">
        <v>2243</v>
      </c>
      <c r="E1534" t="s">
        <v>314</v>
      </c>
      <c r="F1534">
        <v>1</v>
      </c>
      <c r="G1534">
        <v>204.97</v>
      </c>
      <c r="H1534">
        <v>0.1</v>
      </c>
      <c r="I1534" s="4">
        <v>184.47</v>
      </c>
      <c r="J1534" t="s">
        <v>34</v>
      </c>
      <c r="K1534" t="s">
        <v>39</v>
      </c>
      <c r="L1534" s="4">
        <f>VLOOKUP(tblTransactions[[#This Row],[Product_ID]],tblProducts[],5,FALSE)</f>
        <v>121.53</v>
      </c>
      <c r="M1534" s="4">
        <f>tblTransactions[[#This Row],[Total_Amount]]-(tblTransactions[[#This Row],[Cost_Prices]]*tblTransactions[[#This Row],[Quantity]]*(1-tblTransactions[[#This Row],[Discount]]))</f>
        <v>75.092999999999989</v>
      </c>
      <c r="N1534" s="3">
        <f>tblTransactions[[#This Row],[Profit]]/tblTransactions[[#This Row],[Total_Amount]]</f>
        <v>0.40707432102780933</v>
      </c>
      <c r="O1534" t="str">
        <f>TEXT(tblTransactions[[#This Row],[Date]], "MMM-YYYY")</f>
        <v>Nov-2023</v>
      </c>
      <c r="P1534" t="str">
        <f>"Q"&amp;ROUNDUP(MONTH(tblTransactions[[#This Row],[Date]])/3,0)&amp;"-"&amp;YEAR(tblTransactions[[#This Row],[Date]])</f>
        <v>Q4-2023</v>
      </c>
      <c r="Q1534">
        <f>YEAR(tblTransactions[[#This Row],[Date]])</f>
        <v>2023</v>
      </c>
      <c r="R1534" t="str">
        <f>TEXT(tblTransactions[[#This Row],[Date]],"DDDD")</f>
        <v>Thursday</v>
      </c>
      <c r="S1534">
        <f>MONTH(tblTransactions[[#This Row],[Date]])</f>
        <v>11</v>
      </c>
      <c r="T1534" t="str">
        <f>VLOOKUP(E1534, Products!$A:$B,2,0)</f>
        <v>Adapters Acc-3</v>
      </c>
      <c r="U1534" t="str">
        <f>VLOOKUP(E1534,Products!$A:$C,3,0)</f>
        <v>Accessories</v>
      </c>
      <c r="V1534" t="str">
        <f>VLOOKUP(E1534,Products!$A:$D,4,0)</f>
        <v>Adapters</v>
      </c>
      <c r="W1534" t="str">
        <f>VLOOKUP(D1534,Customers!$A:$C,3,0)</f>
        <v>B2C</v>
      </c>
      <c r="X1534" t="str">
        <f>VLOOKUP(C1534,Sales_Representatives!$A:$B,2,0)</f>
        <v>Thomas Martinez</v>
      </c>
    </row>
    <row r="1535" spans="1:24" x14ac:dyDescent="0.3">
      <c r="A1535" t="s">
        <v>2244</v>
      </c>
      <c r="B1535" t="s">
        <v>2241</v>
      </c>
      <c r="C1535" t="s">
        <v>141</v>
      </c>
      <c r="D1535" t="s">
        <v>1496</v>
      </c>
      <c r="E1535" t="s">
        <v>191</v>
      </c>
      <c r="F1535">
        <v>32</v>
      </c>
      <c r="G1535">
        <v>1012.75</v>
      </c>
      <c r="H1535">
        <v>0.17</v>
      </c>
      <c r="I1535" s="4">
        <v>26898.639999999999</v>
      </c>
      <c r="J1535" t="s">
        <v>109</v>
      </c>
      <c r="K1535" t="s">
        <v>35</v>
      </c>
      <c r="L1535" s="4">
        <f>VLOOKUP(tblTransactions[[#This Row],[Product_ID]],tblProducts[],5,FALSE)</f>
        <v>518.53</v>
      </c>
      <c r="M1535" s="4">
        <f>tblTransactions[[#This Row],[Total_Amount]]-(tblTransactions[[#This Row],[Cost_Prices]]*tblTransactions[[#This Row],[Quantity]]*(1-tblTransactions[[#This Row],[Discount]]))</f>
        <v>13126.483200000001</v>
      </c>
      <c r="N1535" s="3">
        <f>tblTransactions[[#This Row],[Profit]]/tblTransactions[[#This Row],[Total_Amount]]</f>
        <v>0.48799802517896818</v>
      </c>
      <c r="O1535" t="str">
        <f>TEXT(tblTransactions[[#This Row],[Date]], "MMM-YYYY")</f>
        <v>Nov-2023</v>
      </c>
      <c r="P1535" t="str">
        <f>"Q"&amp;ROUNDUP(MONTH(tblTransactions[[#This Row],[Date]])/3,0)&amp;"-"&amp;YEAR(tblTransactions[[#This Row],[Date]])</f>
        <v>Q4-2023</v>
      </c>
      <c r="Q1535">
        <f>YEAR(tblTransactions[[#This Row],[Date]])</f>
        <v>2023</v>
      </c>
      <c r="R1535" t="str">
        <f>TEXT(tblTransactions[[#This Row],[Date]],"DDDD")</f>
        <v>Thursday</v>
      </c>
      <c r="S1535">
        <f>MONTH(tblTransactions[[#This Row],[Date]])</f>
        <v>11</v>
      </c>
      <c r="T1535" t="str">
        <f>VLOOKUP(E1535, Products!$A:$B,2,0)</f>
        <v>Tables Fur-4</v>
      </c>
      <c r="U1535" t="str">
        <f>VLOOKUP(E1535,Products!$A:$C,3,0)</f>
        <v>Furniture</v>
      </c>
      <c r="V1535" t="str">
        <f>VLOOKUP(E1535,Products!$A:$D,4,0)</f>
        <v>Tables</v>
      </c>
      <c r="W1535" t="str">
        <f>VLOOKUP(D1535,Customers!$A:$C,3,0)</f>
        <v>Enterprise</v>
      </c>
      <c r="X1535" t="str">
        <f>VLOOKUP(C1535,Sales_Representatives!$A:$B,2,0)</f>
        <v>Richard Garcia</v>
      </c>
    </row>
    <row r="1536" spans="1:24" x14ac:dyDescent="0.3">
      <c r="A1536" t="s">
        <v>2245</v>
      </c>
      <c r="B1536" t="s">
        <v>2241</v>
      </c>
      <c r="C1536" t="s">
        <v>63</v>
      </c>
      <c r="D1536" t="s">
        <v>1475</v>
      </c>
      <c r="E1536" t="s">
        <v>129</v>
      </c>
      <c r="F1536">
        <v>17</v>
      </c>
      <c r="G1536">
        <v>1283.71</v>
      </c>
      <c r="H1536">
        <v>0.17</v>
      </c>
      <c r="I1536" s="4">
        <v>18113.150000000001</v>
      </c>
      <c r="J1536" t="s">
        <v>21</v>
      </c>
      <c r="K1536" t="s">
        <v>35</v>
      </c>
      <c r="L1536" s="4">
        <f>VLOOKUP(tblTransactions[[#This Row],[Product_ID]],tblProducts[],5,FALSE)</f>
        <v>970.14</v>
      </c>
      <c r="M1536" s="4">
        <f>tblTransactions[[#This Row],[Total_Amount]]-(tblTransactions[[#This Row],[Cost_Prices]]*tblTransactions[[#This Row],[Quantity]]*(1-tblTransactions[[#This Row],[Discount]]))</f>
        <v>4424.4746000000014</v>
      </c>
      <c r="N1536" s="3">
        <f>tblTransactions[[#This Row],[Profit]]/tblTransactions[[#This Row],[Total_Amount]]</f>
        <v>0.24426864460350634</v>
      </c>
      <c r="O1536" t="str">
        <f>TEXT(tblTransactions[[#This Row],[Date]], "MMM-YYYY")</f>
        <v>Nov-2023</v>
      </c>
      <c r="P1536" t="str">
        <f>"Q"&amp;ROUNDUP(MONTH(tblTransactions[[#This Row],[Date]])/3,0)&amp;"-"&amp;YEAR(tblTransactions[[#This Row],[Date]])</f>
        <v>Q4-2023</v>
      </c>
      <c r="Q1536">
        <f>YEAR(tblTransactions[[#This Row],[Date]])</f>
        <v>2023</v>
      </c>
      <c r="R1536" t="str">
        <f>TEXT(tblTransactions[[#This Row],[Date]],"DDDD")</f>
        <v>Thursday</v>
      </c>
      <c r="S1536">
        <f>MONTH(tblTransactions[[#This Row],[Date]])</f>
        <v>11</v>
      </c>
      <c r="T1536" t="str">
        <f>VLOOKUP(E1536, Products!$A:$B,2,0)</f>
        <v>Cameras Ele-3</v>
      </c>
      <c r="U1536" t="str">
        <f>VLOOKUP(E1536,Products!$A:$C,3,0)</f>
        <v>Electronics</v>
      </c>
      <c r="V1536" t="str">
        <f>VLOOKUP(E1536,Products!$A:$D,4,0)</f>
        <v>Cameras</v>
      </c>
      <c r="W1536" t="str">
        <f>VLOOKUP(D1536,Customers!$A:$C,3,0)</f>
        <v>Enterprise</v>
      </c>
      <c r="X1536" t="str">
        <f>VLOOKUP(C1536,Sales_Representatives!$A:$B,2,0)</f>
        <v>Richard Wilson</v>
      </c>
    </row>
    <row r="1537" spans="1:24" x14ac:dyDescent="0.3">
      <c r="A1537" t="s">
        <v>2246</v>
      </c>
      <c r="B1537" t="s">
        <v>2241</v>
      </c>
      <c r="C1537" t="s">
        <v>82</v>
      </c>
      <c r="D1537" t="s">
        <v>1716</v>
      </c>
      <c r="E1537" t="s">
        <v>79</v>
      </c>
      <c r="F1537">
        <v>40</v>
      </c>
      <c r="G1537">
        <v>1452.36</v>
      </c>
      <c r="H1537">
        <v>0.16</v>
      </c>
      <c r="I1537" s="4">
        <v>48799.3</v>
      </c>
      <c r="J1537" t="s">
        <v>34</v>
      </c>
      <c r="K1537" t="s">
        <v>17</v>
      </c>
      <c r="L1537" s="4">
        <f>VLOOKUP(tblTransactions[[#This Row],[Product_ID]],tblProducts[],5,FALSE)</f>
        <v>778.71</v>
      </c>
      <c r="M1537" s="4">
        <f>tblTransactions[[#This Row],[Total_Amount]]-(tblTransactions[[#This Row],[Cost_Prices]]*tblTransactions[[#This Row],[Quantity]]*(1-tblTransactions[[#This Row],[Discount]]))</f>
        <v>22634.644000000004</v>
      </c>
      <c r="N1537" s="3">
        <f>tblTransactions[[#This Row],[Profit]]/tblTransactions[[#This Row],[Total_Amount]]</f>
        <v>0.46383132544934053</v>
      </c>
      <c r="O1537" t="str">
        <f>TEXT(tblTransactions[[#This Row],[Date]], "MMM-YYYY")</f>
        <v>Nov-2023</v>
      </c>
      <c r="P1537" t="str">
        <f>"Q"&amp;ROUNDUP(MONTH(tblTransactions[[#This Row],[Date]])/3,0)&amp;"-"&amp;YEAR(tblTransactions[[#This Row],[Date]])</f>
        <v>Q4-2023</v>
      </c>
      <c r="Q1537">
        <f>YEAR(tblTransactions[[#This Row],[Date]])</f>
        <v>2023</v>
      </c>
      <c r="R1537" t="str">
        <f>TEXT(tblTransactions[[#This Row],[Date]],"DDDD")</f>
        <v>Thursday</v>
      </c>
      <c r="S1537">
        <f>MONTH(tblTransactions[[#This Row],[Date]])</f>
        <v>11</v>
      </c>
      <c r="T1537" t="str">
        <f>VLOOKUP(E1537, Products!$A:$B,2,0)</f>
        <v>Tables Fur-2</v>
      </c>
      <c r="U1537" t="str">
        <f>VLOOKUP(E1537,Products!$A:$C,3,0)</f>
        <v>Furniture</v>
      </c>
      <c r="V1537" t="str">
        <f>VLOOKUP(E1537,Products!$A:$D,4,0)</f>
        <v>Tables</v>
      </c>
      <c r="W1537" t="str">
        <f>VLOOKUP(D1537,Customers!$A:$C,3,0)</f>
        <v>Enterprise</v>
      </c>
      <c r="X1537" t="str">
        <f>VLOOKUP(C1537,Sales_Representatives!$A:$B,2,0)</f>
        <v>John Brown</v>
      </c>
    </row>
    <row r="1538" spans="1:24" x14ac:dyDescent="0.3">
      <c r="A1538" t="s">
        <v>2247</v>
      </c>
      <c r="B1538" t="s">
        <v>2241</v>
      </c>
      <c r="C1538" t="s">
        <v>31</v>
      </c>
      <c r="D1538" t="s">
        <v>2052</v>
      </c>
      <c r="E1538" t="s">
        <v>72</v>
      </c>
      <c r="F1538">
        <v>19</v>
      </c>
      <c r="G1538">
        <v>404.76</v>
      </c>
      <c r="H1538">
        <v>0.17</v>
      </c>
      <c r="I1538" s="4">
        <v>6383.07</v>
      </c>
      <c r="J1538" t="s">
        <v>34</v>
      </c>
      <c r="K1538" t="s">
        <v>22</v>
      </c>
      <c r="L1538" s="4">
        <f>VLOOKUP(tblTransactions[[#This Row],[Product_ID]],tblProducts[],5,FALSE)</f>
        <v>226.76</v>
      </c>
      <c r="M1538" s="4">
        <f>tblTransactions[[#This Row],[Total_Amount]]-(tblTransactions[[#This Row],[Cost_Prices]]*tblTransactions[[#This Row],[Quantity]]*(1-tblTransactions[[#This Row],[Discount]]))</f>
        <v>2807.0648000000001</v>
      </c>
      <c r="N1538" s="3">
        <f>tblTransactions[[#This Row],[Profit]]/tblTransactions[[#This Row],[Total_Amount]]</f>
        <v>0.43976719666242109</v>
      </c>
      <c r="O1538" t="str">
        <f>TEXT(tblTransactions[[#This Row],[Date]], "MMM-YYYY")</f>
        <v>Nov-2023</v>
      </c>
      <c r="P1538" t="str">
        <f>"Q"&amp;ROUNDUP(MONTH(tblTransactions[[#This Row],[Date]])/3,0)&amp;"-"&amp;YEAR(tblTransactions[[#This Row],[Date]])</f>
        <v>Q4-2023</v>
      </c>
      <c r="Q1538">
        <f>YEAR(tblTransactions[[#This Row],[Date]])</f>
        <v>2023</v>
      </c>
      <c r="R1538" t="str">
        <f>TEXT(tblTransactions[[#This Row],[Date]],"DDDD")</f>
        <v>Thursday</v>
      </c>
      <c r="S1538">
        <f>MONTH(tblTransactions[[#This Row],[Date]])</f>
        <v>11</v>
      </c>
      <c r="T1538" t="str">
        <f>VLOOKUP(E1538, Products!$A:$B,2,0)</f>
        <v>Tablets Ele-2</v>
      </c>
      <c r="U1538" t="str">
        <f>VLOOKUP(E1538,Products!$A:$C,3,0)</f>
        <v>Electronics</v>
      </c>
      <c r="V1538" t="str">
        <f>VLOOKUP(E1538,Products!$A:$D,4,0)</f>
        <v>Tablets</v>
      </c>
      <c r="W1538" t="str">
        <f>VLOOKUP(D1538,Customers!$A:$C,3,0)</f>
        <v>B2B</v>
      </c>
      <c r="X1538" t="str">
        <f>VLOOKUP(C1538,Sales_Representatives!$A:$B,2,0)</f>
        <v>Thomas Martinez</v>
      </c>
    </row>
    <row r="1539" spans="1:24" x14ac:dyDescent="0.3">
      <c r="A1539" t="s">
        <v>2248</v>
      </c>
      <c r="B1539" t="s">
        <v>2249</v>
      </c>
      <c r="C1539" t="s">
        <v>82</v>
      </c>
      <c r="D1539" t="s">
        <v>1526</v>
      </c>
      <c r="E1539" t="s">
        <v>258</v>
      </c>
      <c r="F1539">
        <v>6</v>
      </c>
      <c r="G1539">
        <v>73.33</v>
      </c>
      <c r="H1539">
        <v>0.08</v>
      </c>
      <c r="I1539" s="4">
        <v>404.78</v>
      </c>
      <c r="J1539" t="s">
        <v>34</v>
      </c>
      <c r="K1539" t="s">
        <v>17</v>
      </c>
      <c r="L1539" s="4">
        <f>VLOOKUP(tblTransactions[[#This Row],[Product_ID]],tblProducts[],5,FALSE)</f>
        <v>38.049999999999997</v>
      </c>
      <c r="M1539" s="4">
        <f>tblTransactions[[#This Row],[Total_Amount]]-(tblTransactions[[#This Row],[Cost_Prices]]*tblTransactions[[#This Row],[Quantity]]*(1-tblTransactions[[#This Row],[Discount]]))</f>
        <v>194.74399999999997</v>
      </c>
      <c r="N1539" s="3">
        <f>tblTransactions[[#This Row],[Profit]]/tblTransactions[[#This Row],[Total_Amount]]</f>
        <v>0.4811107268145659</v>
      </c>
      <c r="O1539" t="str">
        <f>TEXT(tblTransactions[[#This Row],[Date]], "MMM-YYYY")</f>
        <v>Dec-2023</v>
      </c>
      <c r="P1539" t="str">
        <f>"Q"&amp;ROUNDUP(MONTH(tblTransactions[[#This Row],[Date]])/3,0)&amp;"-"&amp;YEAR(tblTransactions[[#This Row],[Date]])</f>
        <v>Q4-2023</v>
      </c>
      <c r="Q1539">
        <f>YEAR(tblTransactions[[#This Row],[Date]])</f>
        <v>2023</v>
      </c>
      <c r="R1539" t="str">
        <f>TEXT(tblTransactions[[#This Row],[Date]],"DDDD")</f>
        <v>Friday</v>
      </c>
      <c r="S1539">
        <f>MONTH(tblTransactions[[#This Row],[Date]])</f>
        <v>12</v>
      </c>
      <c r="T1539" t="str">
        <f>VLOOKUP(E1539, Products!$A:$B,2,0)</f>
        <v>Keyboards Acc-3</v>
      </c>
      <c r="U1539" t="str">
        <f>VLOOKUP(E1539,Products!$A:$C,3,0)</f>
        <v>Accessories</v>
      </c>
      <c r="V1539" t="str">
        <f>VLOOKUP(E1539,Products!$A:$D,4,0)</f>
        <v>Keyboards</v>
      </c>
      <c r="W1539" t="str">
        <f>VLOOKUP(D1539,Customers!$A:$C,3,0)</f>
        <v>B2C</v>
      </c>
      <c r="X1539" t="str">
        <f>VLOOKUP(C1539,Sales_Representatives!$A:$B,2,0)</f>
        <v>John Brown</v>
      </c>
    </row>
    <row r="1540" spans="1:24" x14ac:dyDescent="0.3">
      <c r="A1540" t="s">
        <v>2250</v>
      </c>
      <c r="B1540" t="s">
        <v>2249</v>
      </c>
      <c r="C1540" t="s">
        <v>13</v>
      </c>
      <c r="D1540" t="s">
        <v>1805</v>
      </c>
      <c r="E1540" t="s">
        <v>255</v>
      </c>
      <c r="F1540">
        <v>44</v>
      </c>
      <c r="G1540">
        <v>1444.13</v>
      </c>
      <c r="H1540">
        <v>0.21</v>
      </c>
      <c r="I1540" s="4">
        <v>50197.96</v>
      </c>
      <c r="J1540" t="s">
        <v>16</v>
      </c>
      <c r="K1540" t="s">
        <v>39</v>
      </c>
      <c r="L1540" s="4">
        <f>VLOOKUP(tblTransactions[[#This Row],[Product_ID]],tblProducts[],5,FALSE)</f>
        <v>874.43</v>
      </c>
      <c r="M1540" s="4">
        <f>tblTransactions[[#This Row],[Total_Amount]]-(tblTransactions[[#This Row],[Cost_Prices]]*tblTransactions[[#This Row],[Quantity]]*(1-tblTransactions[[#This Row],[Discount]]))</f>
        <v>19802.7732</v>
      </c>
      <c r="N1540" s="3">
        <f>tblTransactions[[#This Row],[Profit]]/tblTransactions[[#This Row],[Total_Amount]]</f>
        <v>0.3944935849982748</v>
      </c>
      <c r="O1540" t="str">
        <f>TEXT(tblTransactions[[#This Row],[Date]], "MMM-YYYY")</f>
        <v>Dec-2023</v>
      </c>
      <c r="P1540" t="str">
        <f>"Q"&amp;ROUNDUP(MONTH(tblTransactions[[#This Row],[Date]])/3,0)&amp;"-"&amp;YEAR(tblTransactions[[#This Row],[Date]])</f>
        <v>Q4-2023</v>
      </c>
      <c r="Q1540">
        <f>YEAR(tblTransactions[[#This Row],[Date]])</f>
        <v>2023</v>
      </c>
      <c r="R1540" t="str">
        <f>TEXT(tblTransactions[[#This Row],[Date]],"DDDD")</f>
        <v>Friday</v>
      </c>
      <c r="S1540">
        <f>MONTH(tblTransactions[[#This Row],[Date]])</f>
        <v>12</v>
      </c>
      <c r="T1540" t="str">
        <f>VLOOKUP(E1540, Products!$A:$B,2,0)</f>
        <v>Printers Tec-1</v>
      </c>
      <c r="U1540" t="str">
        <f>VLOOKUP(E1540,Products!$A:$C,3,0)</f>
        <v>Technology</v>
      </c>
      <c r="V1540" t="str">
        <f>VLOOKUP(E1540,Products!$A:$D,4,0)</f>
        <v>Printers</v>
      </c>
      <c r="W1540" t="str">
        <f>VLOOKUP(D1540,Customers!$A:$C,3,0)</f>
        <v>Enterprise</v>
      </c>
      <c r="X1540" t="str">
        <f>VLOOKUP(C1540,Sales_Representatives!$A:$B,2,0)</f>
        <v>Jennifer Rodriguez</v>
      </c>
    </row>
    <row r="1541" spans="1:24" x14ac:dyDescent="0.3">
      <c r="A1541" t="s">
        <v>2251</v>
      </c>
      <c r="B1541" t="s">
        <v>2249</v>
      </c>
      <c r="C1541" t="s">
        <v>75</v>
      </c>
      <c r="D1541" t="s">
        <v>83</v>
      </c>
      <c r="E1541" t="s">
        <v>198</v>
      </c>
      <c r="F1541">
        <v>1</v>
      </c>
      <c r="G1541">
        <v>1802.96</v>
      </c>
      <c r="H1541">
        <v>0.05</v>
      </c>
      <c r="I1541" s="4">
        <v>1712.81</v>
      </c>
      <c r="J1541" t="s">
        <v>44</v>
      </c>
      <c r="K1541" t="s">
        <v>35</v>
      </c>
      <c r="L1541" s="4">
        <f>VLOOKUP(tblTransactions[[#This Row],[Product_ID]],tblProducts[],5,FALSE)</f>
        <v>1282.18</v>
      </c>
      <c r="M1541" s="4">
        <f>tblTransactions[[#This Row],[Total_Amount]]-(tblTransactions[[#This Row],[Cost_Prices]]*tblTransactions[[#This Row],[Quantity]]*(1-tblTransactions[[#This Row],[Discount]]))</f>
        <v>494.73900000000003</v>
      </c>
      <c r="N1541" s="3">
        <f>tblTransactions[[#This Row],[Profit]]/tblTransactions[[#This Row],[Total_Amount]]</f>
        <v>0.28884639860813521</v>
      </c>
      <c r="O1541" t="str">
        <f>TEXT(tblTransactions[[#This Row],[Date]], "MMM-YYYY")</f>
        <v>Dec-2023</v>
      </c>
      <c r="P1541" t="str">
        <f>"Q"&amp;ROUNDUP(MONTH(tblTransactions[[#This Row],[Date]])/3,0)&amp;"-"&amp;YEAR(tblTransactions[[#This Row],[Date]])</f>
        <v>Q4-2023</v>
      </c>
      <c r="Q1541">
        <f>YEAR(tblTransactions[[#This Row],[Date]])</f>
        <v>2023</v>
      </c>
      <c r="R1541" t="str">
        <f>TEXT(tblTransactions[[#This Row],[Date]],"DDDD")</f>
        <v>Friday</v>
      </c>
      <c r="S1541">
        <f>MONTH(tblTransactions[[#This Row],[Date]])</f>
        <v>12</v>
      </c>
      <c r="T1541" t="str">
        <f>VLOOKUP(E1541, Products!$A:$B,2,0)</f>
        <v>Tablets Ele-3</v>
      </c>
      <c r="U1541" t="str">
        <f>VLOOKUP(E1541,Products!$A:$C,3,0)</f>
        <v>Electronics</v>
      </c>
      <c r="V1541" t="str">
        <f>VLOOKUP(E1541,Products!$A:$D,4,0)</f>
        <v>Tablets</v>
      </c>
      <c r="W1541" t="str">
        <f>VLOOKUP(D1541,Customers!$A:$C,3,0)</f>
        <v>Small Business</v>
      </c>
      <c r="X1541" t="str">
        <f>VLOOKUP(C1541,Sales_Representatives!$A:$B,2,0)</f>
        <v>Jessica Anderson</v>
      </c>
    </row>
    <row r="1542" spans="1:24" x14ac:dyDescent="0.3">
      <c r="A1542" t="s">
        <v>2252</v>
      </c>
      <c r="B1542" t="s">
        <v>2249</v>
      </c>
      <c r="C1542" t="s">
        <v>56</v>
      </c>
      <c r="D1542" t="s">
        <v>1741</v>
      </c>
      <c r="E1542" t="s">
        <v>113</v>
      </c>
      <c r="F1542">
        <v>3</v>
      </c>
      <c r="G1542">
        <v>930.41</v>
      </c>
      <c r="H1542">
        <v>0.09</v>
      </c>
      <c r="I1542" s="4">
        <v>2540.02</v>
      </c>
      <c r="J1542" t="s">
        <v>34</v>
      </c>
      <c r="K1542" t="s">
        <v>35</v>
      </c>
      <c r="L1542" s="4">
        <f>VLOOKUP(tblTransactions[[#This Row],[Product_ID]],tblProducts[],5,FALSE)</f>
        <v>595.51</v>
      </c>
      <c r="M1542" s="4">
        <f>tblTransactions[[#This Row],[Total_Amount]]-(tblTransactions[[#This Row],[Cost_Prices]]*tblTransactions[[#This Row],[Quantity]]*(1-tblTransactions[[#This Row],[Discount]]))</f>
        <v>914.27769999999987</v>
      </c>
      <c r="N1542" s="3">
        <f>tblTransactions[[#This Row],[Profit]]/tblTransactions[[#This Row],[Total_Amount]]</f>
        <v>0.35994901614947911</v>
      </c>
      <c r="O1542" t="str">
        <f>TEXT(tblTransactions[[#This Row],[Date]], "MMM-YYYY")</f>
        <v>Dec-2023</v>
      </c>
      <c r="P1542" t="str">
        <f>"Q"&amp;ROUNDUP(MONTH(tblTransactions[[#This Row],[Date]])/3,0)&amp;"-"&amp;YEAR(tblTransactions[[#This Row],[Date]])</f>
        <v>Q4-2023</v>
      </c>
      <c r="Q1542">
        <f>YEAR(tblTransactions[[#This Row],[Date]])</f>
        <v>2023</v>
      </c>
      <c r="R1542" t="str">
        <f>TEXT(tblTransactions[[#This Row],[Date]],"DDDD")</f>
        <v>Friday</v>
      </c>
      <c r="S1542">
        <f>MONTH(tblTransactions[[#This Row],[Date]])</f>
        <v>12</v>
      </c>
      <c r="T1542" t="str">
        <f>VLOOKUP(E1542, Products!$A:$B,2,0)</f>
        <v>Phones Ele-1</v>
      </c>
      <c r="U1542" t="str">
        <f>VLOOKUP(E1542,Products!$A:$C,3,0)</f>
        <v>Electronics</v>
      </c>
      <c r="V1542" t="str">
        <f>VLOOKUP(E1542,Products!$A:$D,4,0)</f>
        <v>Phones</v>
      </c>
      <c r="W1542" t="str">
        <f>VLOOKUP(D1542,Customers!$A:$C,3,0)</f>
        <v>B2B</v>
      </c>
      <c r="X1542" t="str">
        <f>VLOOKUP(C1542,Sales_Representatives!$A:$B,2,0)</f>
        <v>Thomas Hernandez</v>
      </c>
    </row>
    <row r="1543" spans="1:24" x14ac:dyDescent="0.3">
      <c r="A1543" t="s">
        <v>2253</v>
      </c>
      <c r="B1543" t="s">
        <v>2254</v>
      </c>
      <c r="C1543" t="s">
        <v>63</v>
      </c>
      <c r="D1543" t="s">
        <v>2255</v>
      </c>
      <c r="E1543" t="s">
        <v>243</v>
      </c>
      <c r="F1543">
        <v>6</v>
      </c>
      <c r="G1543">
        <v>384.18</v>
      </c>
      <c r="H1543">
        <v>0.1</v>
      </c>
      <c r="I1543" s="4">
        <v>2074.5700000000002</v>
      </c>
      <c r="J1543" t="s">
        <v>21</v>
      </c>
      <c r="K1543" t="s">
        <v>17</v>
      </c>
      <c r="L1543" s="4">
        <f>VLOOKUP(tblTransactions[[#This Row],[Product_ID]],tblProducts[],5,FALSE)</f>
        <v>266.92</v>
      </c>
      <c r="M1543" s="4">
        <f>tblTransactions[[#This Row],[Total_Amount]]-(tblTransactions[[#This Row],[Cost_Prices]]*tblTransactions[[#This Row],[Quantity]]*(1-tblTransactions[[#This Row],[Discount]]))</f>
        <v>633.20200000000023</v>
      </c>
      <c r="N1543" s="3">
        <f>tblTransactions[[#This Row],[Profit]]/tblTransactions[[#This Row],[Total_Amount]]</f>
        <v>0.30522084094535262</v>
      </c>
      <c r="O1543" t="str">
        <f>TEXT(tblTransactions[[#This Row],[Date]], "MMM-YYYY")</f>
        <v>Dec-2023</v>
      </c>
      <c r="P1543" t="str">
        <f>"Q"&amp;ROUNDUP(MONTH(tblTransactions[[#This Row],[Date]])/3,0)&amp;"-"&amp;YEAR(tblTransactions[[#This Row],[Date]])</f>
        <v>Q4-2023</v>
      </c>
      <c r="Q1543">
        <f>YEAR(tblTransactions[[#This Row],[Date]])</f>
        <v>2023</v>
      </c>
      <c r="R1543" t="str">
        <f>TEXT(tblTransactions[[#This Row],[Date]],"DDDD")</f>
        <v>Saturday</v>
      </c>
      <c r="S1543">
        <f>MONTH(tblTransactions[[#This Row],[Date]])</f>
        <v>12</v>
      </c>
      <c r="T1543" t="str">
        <f>VLOOKUP(E1543, Products!$A:$B,2,0)</f>
        <v>Routers Tec-3</v>
      </c>
      <c r="U1543" t="str">
        <f>VLOOKUP(E1543,Products!$A:$C,3,0)</f>
        <v>Technology</v>
      </c>
      <c r="V1543" t="str">
        <f>VLOOKUP(E1543,Products!$A:$D,4,0)</f>
        <v>Routers</v>
      </c>
      <c r="W1543" t="str">
        <f>VLOOKUP(D1543,Customers!$A:$C,3,0)</f>
        <v>Small Business</v>
      </c>
      <c r="X1543" t="str">
        <f>VLOOKUP(C1543,Sales_Representatives!$A:$B,2,0)</f>
        <v>Richard Wilson</v>
      </c>
    </row>
    <row r="1544" spans="1:24" x14ac:dyDescent="0.3">
      <c r="A1544" t="s">
        <v>2256</v>
      </c>
      <c r="B1544" t="s">
        <v>2254</v>
      </c>
      <c r="C1544" t="s">
        <v>13</v>
      </c>
      <c r="D1544" t="s">
        <v>1918</v>
      </c>
      <c r="E1544" t="s">
        <v>102</v>
      </c>
      <c r="F1544">
        <v>12</v>
      </c>
      <c r="G1544">
        <v>1097.75</v>
      </c>
      <c r="H1544">
        <v>0.14000000000000001</v>
      </c>
      <c r="I1544" s="4">
        <v>11328.78</v>
      </c>
      <c r="J1544" t="s">
        <v>16</v>
      </c>
      <c r="K1544" t="s">
        <v>17</v>
      </c>
      <c r="L1544" s="4">
        <f>VLOOKUP(tblTransactions[[#This Row],[Product_ID]],tblProducts[],5,FALSE)</f>
        <v>680.12</v>
      </c>
      <c r="M1544" s="4">
        <f>tblTransactions[[#This Row],[Total_Amount]]-(tblTransactions[[#This Row],[Cost_Prices]]*tblTransactions[[#This Row],[Quantity]]*(1-tblTransactions[[#This Row],[Discount]]))</f>
        <v>4309.9416000000001</v>
      </c>
      <c r="N1544" s="3">
        <f>tblTransactions[[#This Row],[Profit]]/tblTransactions[[#This Row],[Total_Amount]]</f>
        <v>0.38044181279890682</v>
      </c>
      <c r="O1544" t="str">
        <f>TEXT(tblTransactions[[#This Row],[Date]], "MMM-YYYY")</f>
        <v>Dec-2023</v>
      </c>
      <c r="P1544" t="str">
        <f>"Q"&amp;ROUNDUP(MONTH(tblTransactions[[#This Row],[Date]])/3,0)&amp;"-"&amp;YEAR(tblTransactions[[#This Row],[Date]])</f>
        <v>Q4-2023</v>
      </c>
      <c r="Q1544">
        <f>YEAR(tblTransactions[[#This Row],[Date]])</f>
        <v>2023</v>
      </c>
      <c r="R1544" t="str">
        <f>TEXT(tblTransactions[[#This Row],[Date]],"DDDD")</f>
        <v>Saturday</v>
      </c>
      <c r="S1544">
        <f>MONTH(tblTransactions[[#This Row],[Date]])</f>
        <v>12</v>
      </c>
      <c r="T1544" t="str">
        <f>VLOOKUP(E1544, Products!$A:$B,2,0)</f>
        <v>Storage Fur-4</v>
      </c>
      <c r="U1544" t="str">
        <f>VLOOKUP(E1544,Products!$A:$C,3,0)</f>
        <v>Furniture</v>
      </c>
      <c r="V1544" t="str">
        <f>VLOOKUP(E1544,Products!$A:$D,4,0)</f>
        <v>Storage</v>
      </c>
      <c r="W1544" t="str">
        <f>VLOOKUP(D1544,Customers!$A:$C,3,0)</f>
        <v>B2B</v>
      </c>
      <c r="X1544" t="str">
        <f>VLOOKUP(C1544,Sales_Representatives!$A:$B,2,0)</f>
        <v>Jennifer Rodriguez</v>
      </c>
    </row>
    <row r="1545" spans="1:24" x14ac:dyDescent="0.3">
      <c r="A1545" t="s">
        <v>2257</v>
      </c>
      <c r="B1545" t="s">
        <v>2254</v>
      </c>
      <c r="C1545" t="s">
        <v>127</v>
      </c>
      <c r="D1545" t="s">
        <v>1866</v>
      </c>
      <c r="E1545" t="s">
        <v>53</v>
      </c>
      <c r="F1545">
        <v>15</v>
      </c>
      <c r="G1545">
        <v>2069.2199999999998</v>
      </c>
      <c r="H1545">
        <v>0.2</v>
      </c>
      <c r="I1545" s="4">
        <v>24830.639999999999</v>
      </c>
      <c r="J1545" t="s">
        <v>109</v>
      </c>
      <c r="K1545" t="s">
        <v>35</v>
      </c>
      <c r="L1545" s="4">
        <f>VLOOKUP(tblTransactions[[#This Row],[Product_ID]],tblProducts[],5,FALSE)</f>
        <v>1451.18</v>
      </c>
      <c r="M1545" s="4">
        <f>tblTransactions[[#This Row],[Total_Amount]]-(tblTransactions[[#This Row],[Cost_Prices]]*tblTransactions[[#This Row],[Quantity]]*(1-tblTransactions[[#This Row],[Discount]]))</f>
        <v>7416.48</v>
      </c>
      <c r="N1545" s="3">
        <f>tblTransactions[[#This Row],[Profit]]/tblTransactions[[#This Row],[Total_Amount]]</f>
        <v>0.2986825953741023</v>
      </c>
      <c r="O1545" t="str">
        <f>TEXT(tblTransactions[[#This Row],[Date]], "MMM-YYYY")</f>
        <v>Dec-2023</v>
      </c>
      <c r="P1545" t="str">
        <f>"Q"&amp;ROUNDUP(MONTH(tblTransactions[[#This Row],[Date]])/3,0)&amp;"-"&amp;YEAR(tblTransactions[[#This Row],[Date]])</f>
        <v>Q4-2023</v>
      </c>
      <c r="Q1545">
        <f>YEAR(tblTransactions[[#This Row],[Date]])</f>
        <v>2023</v>
      </c>
      <c r="R1545" t="str">
        <f>TEXT(tblTransactions[[#This Row],[Date]],"DDDD")</f>
        <v>Saturday</v>
      </c>
      <c r="S1545">
        <f>MONTH(tblTransactions[[#This Row],[Date]])</f>
        <v>12</v>
      </c>
      <c r="T1545" t="str">
        <f>VLOOKUP(E1545, Products!$A:$B,2,0)</f>
        <v>Printers Tec-3</v>
      </c>
      <c r="U1545" t="str">
        <f>VLOOKUP(E1545,Products!$A:$C,3,0)</f>
        <v>Technology</v>
      </c>
      <c r="V1545" t="str">
        <f>VLOOKUP(E1545,Products!$A:$D,4,0)</f>
        <v>Printers</v>
      </c>
      <c r="W1545" t="str">
        <f>VLOOKUP(D1545,Customers!$A:$C,3,0)</f>
        <v>B2B</v>
      </c>
      <c r="X1545" t="str">
        <f>VLOOKUP(C1545,Sales_Representatives!$A:$B,2,0)</f>
        <v>Emily Hernandez</v>
      </c>
    </row>
    <row r="1546" spans="1:24" x14ac:dyDescent="0.3">
      <c r="A1546" t="s">
        <v>2258</v>
      </c>
      <c r="B1546" t="s">
        <v>2254</v>
      </c>
      <c r="C1546" t="s">
        <v>27</v>
      </c>
      <c r="D1546" t="s">
        <v>24</v>
      </c>
      <c r="E1546" t="s">
        <v>157</v>
      </c>
      <c r="F1546">
        <v>12</v>
      </c>
      <c r="G1546">
        <v>1227.68</v>
      </c>
      <c r="H1546">
        <v>0.16</v>
      </c>
      <c r="I1546" s="4">
        <v>12375.01</v>
      </c>
      <c r="J1546" t="s">
        <v>16</v>
      </c>
      <c r="K1546" t="s">
        <v>35</v>
      </c>
      <c r="L1546" s="4">
        <f>VLOOKUP(tblTransactions[[#This Row],[Product_ID]],tblProducts[],5,FALSE)</f>
        <v>846.42</v>
      </c>
      <c r="M1546" s="4">
        <f>tblTransactions[[#This Row],[Total_Amount]]-(tblTransactions[[#This Row],[Cost_Prices]]*tblTransactions[[#This Row],[Quantity]]*(1-tblTransactions[[#This Row],[Discount]]))</f>
        <v>3843.0964000000022</v>
      </c>
      <c r="N1546" s="3">
        <f>tblTransactions[[#This Row],[Profit]]/tblTransactions[[#This Row],[Total_Amount]]</f>
        <v>0.31055299349253068</v>
      </c>
      <c r="O1546" t="str">
        <f>TEXT(tblTransactions[[#This Row],[Date]], "MMM-YYYY")</f>
        <v>Dec-2023</v>
      </c>
      <c r="P1546" t="str">
        <f>"Q"&amp;ROUNDUP(MONTH(tblTransactions[[#This Row],[Date]])/3,0)&amp;"-"&amp;YEAR(tblTransactions[[#This Row],[Date]])</f>
        <v>Q4-2023</v>
      </c>
      <c r="Q1546">
        <f>YEAR(tblTransactions[[#This Row],[Date]])</f>
        <v>2023</v>
      </c>
      <c r="R1546" t="str">
        <f>TEXT(tblTransactions[[#This Row],[Date]],"DDDD")</f>
        <v>Saturday</v>
      </c>
      <c r="S1546">
        <f>MONTH(tblTransactions[[#This Row],[Date]])</f>
        <v>12</v>
      </c>
      <c r="T1546" t="str">
        <f>VLOOKUP(E1546, Products!$A:$B,2,0)</f>
        <v>Printers Tec-4</v>
      </c>
      <c r="U1546" t="str">
        <f>VLOOKUP(E1546,Products!$A:$C,3,0)</f>
        <v>Technology</v>
      </c>
      <c r="V1546" t="str">
        <f>VLOOKUP(E1546,Products!$A:$D,4,0)</f>
        <v>Printers</v>
      </c>
      <c r="W1546" t="str">
        <f>VLOOKUP(D1546,Customers!$A:$C,3,0)</f>
        <v>B2B</v>
      </c>
      <c r="X1546" t="str">
        <f>VLOOKUP(C1546,Sales_Representatives!$A:$B,2,0)</f>
        <v>Thomas Lopez</v>
      </c>
    </row>
    <row r="1547" spans="1:24" x14ac:dyDescent="0.3">
      <c r="A1547" t="s">
        <v>2259</v>
      </c>
      <c r="B1547" t="s">
        <v>2254</v>
      </c>
      <c r="C1547" t="s">
        <v>70</v>
      </c>
      <c r="D1547" t="s">
        <v>60</v>
      </c>
      <c r="E1547" t="s">
        <v>148</v>
      </c>
      <c r="F1547">
        <v>2</v>
      </c>
      <c r="G1547">
        <v>20.420000000000002</v>
      </c>
      <c r="H1547">
        <v>0.09</v>
      </c>
      <c r="I1547" s="4">
        <v>37.159999999999997</v>
      </c>
      <c r="J1547" t="s">
        <v>16</v>
      </c>
      <c r="K1547" t="s">
        <v>22</v>
      </c>
      <c r="L1547" s="4">
        <f>VLOOKUP(tblTransactions[[#This Row],[Product_ID]],tblProducts[],5,FALSE)</f>
        <v>9.56</v>
      </c>
      <c r="M1547" s="4">
        <f>tblTransactions[[#This Row],[Total_Amount]]-(tblTransactions[[#This Row],[Cost_Prices]]*tblTransactions[[#This Row],[Quantity]]*(1-tblTransactions[[#This Row],[Discount]]))</f>
        <v>19.760799999999996</v>
      </c>
      <c r="N1547" s="3">
        <f>tblTransactions[[#This Row],[Profit]]/tblTransactions[[#This Row],[Total_Amount]]</f>
        <v>0.53177610333692138</v>
      </c>
      <c r="O1547" t="str">
        <f>TEXT(tblTransactions[[#This Row],[Date]], "MMM-YYYY")</f>
        <v>Dec-2023</v>
      </c>
      <c r="P1547" t="str">
        <f>"Q"&amp;ROUNDUP(MONTH(tblTransactions[[#This Row],[Date]])/3,0)&amp;"-"&amp;YEAR(tblTransactions[[#This Row],[Date]])</f>
        <v>Q4-2023</v>
      </c>
      <c r="Q1547">
        <f>YEAR(tblTransactions[[#This Row],[Date]])</f>
        <v>2023</v>
      </c>
      <c r="R1547" t="str">
        <f>TEXT(tblTransactions[[#This Row],[Date]],"DDDD")</f>
        <v>Saturday</v>
      </c>
      <c r="S1547">
        <f>MONTH(tblTransactions[[#This Row],[Date]])</f>
        <v>12</v>
      </c>
      <c r="T1547" t="str">
        <f>VLOOKUP(E1547, Products!$A:$B,2,0)</f>
        <v>Cases Acc-3</v>
      </c>
      <c r="U1547" t="str">
        <f>VLOOKUP(E1547,Products!$A:$C,3,0)</f>
        <v>Accessories</v>
      </c>
      <c r="V1547" t="str">
        <f>VLOOKUP(E1547,Products!$A:$D,4,0)</f>
        <v>Cases</v>
      </c>
      <c r="W1547" t="str">
        <f>VLOOKUP(D1547,Customers!$A:$C,3,0)</f>
        <v>B2C</v>
      </c>
      <c r="X1547" t="str">
        <f>VLOOKUP(C1547,Sales_Representatives!$A:$B,2,0)</f>
        <v>Linda Smith</v>
      </c>
    </row>
    <row r="1548" spans="1:24" x14ac:dyDescent="0.3">
      <c r="A1548" t="s">
        <v>2260</v>
      </c>
      <c r="B1548" t="s">
        <v>2254</v>
      </c>
      <c r="C1548" t="s">
        <v>59</v>
      </c>
      <c r="D1548" t="s">
        <v>2068</v>
      </c>
      <c r="E1548" t="s">
        <v>283</v>
      </c>
      <c r="F1548">
        <v>5</v>
      </c>
      <c r="G1548">
        <v>456.88</v>
      </c>
      <c r="H1548">
        <v>0.1</v>
      </c>
      <c r="I1548" s="4">
        <v>2055.96</v>
      </c>
      <c r="J1548" t="s">
        <v>21</v>
      </c>
      <c r="K1548" t="s">
        <v>22</v>
      </c>
      <c r="L1548" s="4">
        <f>VLOOKUP(tblTransactions[[#This Row],[Product_ID]],tblProducts[],5,FALSE)</f>
        <v>313.23</v>
      </c>
      <c r="M1548" s="4">
        <f>tblTransactions[[#This Row],[Total_Amount]]-(tblTransactions[[#This Row],[Cost_Prices]]*tblTransactions[[#This Row],[Quantity]]*(1-tblTransactions[[#This Row],[Discount]]))</f>
        <v>646.42499999999995</v>
      </c>
      <c r="N1548" s="3">
        <f>tblTransactions[[#This Row],[Profit]]/tblTransactions[[#This Row],[Total_Amount]]</f>
        <v>0.31441516371913847</v>
      </c>
      <c r="O1548" t="str">
        <f>TEXT(tblTransactions[[#This Row],[Date]], "MMM-YYYY")</f>
        <v>Dec-2023</v>
      </c>
      <c r="P1548" t="str">
        <f>"Q"&amp;ROUNDUP(MONTH(tblTransactions[[#This Row],[Date]])/3,0)&amp;"-"&amp;YEAR(tblTransactions[[#This Row],[Date]])</f>
        <v>Q4-2023</v>
      </c>
      <c r="Q1548">
        <f>YEAR(tblTransactions[[#This Row],[Date]])</f>
        <v>2023</v>
      </c>
      <c r="R1548" t="str">
        <f>TEXT(tblTransactions[[#This Row],[Date]],"DDDD")</f>
        <v>Saturday</v>
      </c>
      <c r="S1548">
        <f>MONTH(tblTransactions[[#This Row],[Date]])</f>
        <v>12</v>
      </c>
      <c r="T1548" t="str">
        <f>VLOOKUP(E1548, Products!$A:$B,2,0)</f>
        <v>Chairs Fur-3</v>
      </c>
      <c r="U1548" t="str">
        <f>VLOOKUP(E1548,Products!$A:$C,3,0)</f>
        <v>Furniture</v>
      </c>
      <c r="V1548" t="str">
        <f>VLOOKUP(E1548,Products!$A:$D,4,0)</f>
        <v>Chairs</v>
      </c>
      <c r="W1548" t="str">
        <f>VLOOKUP(D1548,Customers!$A:$C,3,0)</f>
        <v>Small Business</v>
      </c>
      <c r="X1548" t="str">
        <f>VLOOKUP(C1548,Sales_Representatives!$A:$B,2,0)</f>
        <v>Sarah Brown</v>
      </c>
    </row>
    <row r="1549" spans="1:24" x14ac:dyDescent="0.3">
      <c r="A1549" t="s">
        <v>2261</v>
      </c>
      <c r="B1549" t="s">
        <v>2254</v>
      </c>
      <c r="C1549" t="s">
        <v>107</v>
      </c>
      <c r="D1549" t="s">
        <v>2262</v>
      </c>
      <c r="E1549" t="s">
        <v>204</v>
      </c>
      <c r="F1549">
        <v>15</v>
      </c>
      <c r="G1549">
        <v>715.62</v>
      </c>
      <c r="H1549">
        <v>0.12</v>
      </c>
      <c r="I1549" s="4">
        <v>9446.18</v>
      </c>
      <c r="J1549" t="s">
        <v>109</v>
      </c>
      <c r="K1549" t="s">
        <v>17</v>
      </c>
      <c r="L1549" s="4">
        <f>VLOOKUP(tblTransactions[[#This Row],[Product_ID]],tblProducts[],5,FALSE)</f>
        <v>459.58</v>
      </c>
      <c r="M1549" s="4">
        <f>tblTransactions[[#This Row],[Total_Amount]]-(tblTransactions[[#This Row],[Cost_Prices]]*tblTransactions[[#This Row],[Quantity]]*(1-tblTransactions[[#This Row],[Discount]]))</f>
        <v>3379.7240000000002</v>
      </c>
      <c r="N1549" s="3">
        <f>tblTransactions[[#This Row],[Profit]]/tblTransactions[[#This Row],[Total_Amount]]</f>
        <v>0.35778738071897848</v>
      </c>
      <c r="O1549" t="str">
        <f>TEXT(tblTransactions[[#This Row],[Date]], "MMM-YYYY")</f>
        <v>Dec-2023</v>
      </c>
      <c r="P1549" t="str">
        <f>"Q"&amp;ROUNDUP(MONTH(tblTransactions[[#This Row],[Date]])/3,0)&amp;"-"&amp;YEAR(tblTransactions[[#This Row],[Date]])</f>
        <v>Q4-2023</v>
      </c>
      <c r="Q1549">
        <f>YEAR(tblTransactions[[#This Row],[Date]])</f>
        <v>2023</v>
      </c>
      <c r="R1549" t="str">
        <f>TEXT(tblTransactions[[#This Row],[Date]],"DDDD")</f>
        <v>Saturday</v>
      </c>
      <c r="S1549">
        <f>MONTH(tblTransactions[[#This Row],[Date]])</f>
        <v>12</v>
      </c>
      <c r="T1549" t="str">
        <f>VLOOKUP(E1549, Products!$A:$B,2,0)</f>
        <v>Cameras Ele-2</v>
      </c>
      <c r="U1549" t="str">
        <f>VLOOKUP(E1549,Products!$A:$C,3,0)</f>
        <v>Electronics</v>
      </c>
      <c r="V1549" t="str">
        <f>VLOOKUP(E1549,Products!$A:$D,4,0)</f>
        <v>Cameras</v>
      </c>
      <c r="W1549" t="str">
        <f>VLOOKUP(D1549,Customers!$A:$C,3,0)</f>
        <v>B2B</v>
      </c>
      <c r="X1549" t="str">
        <f>VLOOKUP(C1549,Sales_Representatives!$A:$B,2,0)</f>
        <v>Jennifer Brown</v>
      </c>
    </row>
    <row r="1550" spans="1:24" x14ac:dyDescent="0.3">
      <c r="A1550" t="s">
        <v>2263</v>
      </c>
      <c r="B1550" t="s">
        <v>2254</v>
      </c>
      <c r="C1550" t="s">
        <v>107</v>
      </c>
      <c r="D1550" t="s">
        <v>1813</v>
      </c>
      <c r="E1550" t="s">
        <v>89</v>
      </c>
      <c r="F1550">
        <v>27</v>
      </c>
      <c r="G1550">
        <v>555.08000000000004</v>
      </c>
      <c r="H1550">
        <v>0.22</v>
      </c>
      <c r="I1550" s="4">
        <v>11689.98</v>
      </c>
      <c r="J1550" t="s">
        <v>109</v>
      </c>
      <c r="K1550" t="s">
        <v>48</v>
      </c>
      <c r="L1550" s="4">
        <f>VLOOKUP(tblTransactions[[#This Row],[Product_ID]],tblProducts[],5,FALSE)</f>
        <v>402.82</v>
      </c>
      <c r="M1550" s="4">
        <f>tblTransactions[[#This Row],[Total_Amount]]-(tblTransactions[[#This Row],[Cost_Prices]]*tblTransactions[[#This Row],[Quantity]]*(1-tblTransactions[[#This Row],[Discount]]))</f>
        <v>3206.5907999999999</v>
      </c>
      <c r="N1550" s="3">
        <f>tblTransactions[[#This Row],[Profit]]/tblTransactions[[#This Row],[Total_Amount]]</f>
        <v>0.27430250522242128</v>
      </c>
      <c r="O1550" t="str">
        <f>TEXT(tblTransactions[[#This Row],[Date]], "MMM-YYYY")</f>
        <v>Dec-2023</v>
      </c>
      <c r="P1550" t="str">
        <f>"Q"&amp;ROUNDUP(MONTH(tblTransactions[[#This Row],[Date]])/3,0)&amp;"-"&amp;YEAR(tblTransactions[[#This Row],[Date]])</f>
        <v>Q4-2023</v>
      </c>
      <c r="Q1550">
        <f>YEAR(tblTransactions[[#This Row],[Date]])</f>
        <v>2023</v>
      </c>
      <c r="R1550" t="str">
        <f>TEXT(tblTransactions[[#This Row],[Date]],"DDDD")</f>
        <v>Saturday</v>
      </c>
      <c r="S1550">
        <f>MONTH(tblTransactions[[#This Row],[Date]])</f>
        <v>12</v>
      </c>
      <c r="T1550" t="str">
        <f>VLOOKUP(E1550, Products!$A:$B,2,0)</f>
        <v>Laptops Ele-3</v>
      </c>
      <c r="U1550" t="str">
        <f>VLOOKUP(E1550,Products!$A:$C,3,0)</f>
        <v>Electronics</v>
      </c>
      <c r="V1550" t="str">
        <f>VLOOKUP(E1550,Products!$A:$D,4,0)</f>
        <v>Laptops</v>
      </c>
      <c r="W1550" t="str">
        <f>VLOOKUP(D1550,Customers!$A:$C,3,0)</f>
        <v>Enterprise</v>
      </c>
      <c r="X1550" t="str">
        <f>VLOOKUP(C1550,Sales_Representatives!$A:$B,2,0)</f>
        <v>Jennifer Brown</v>
      </c>
    </row>
    <row r="1551" spans="1:24" x14ac:dyDescent="0.3">
      <c r="A1551" t="s">
        <v>2264</v>
      </c>
      <c r="B1551" t="s">
        <v>2265</v>
      </c>
      <c r="C1551" t="s">
        <v>63</v>
      </c>
      <c r="D1551" t="s">
        <v>1978</v>
      </c>
      <c r="E1551" t="s">
        <v>217</v>
      </c>
      <c r="F1551">
        <v>3</v>
      </c>
      <c r="G1551">
        <v>145.51</v>
      </c>
      <c r="H1551">
        <v>0.08</v>
      </c>
      <c r="I1551" s="4">
        <v>401.61</v>
      </c>
      <c r="J1551" t="s">
        <v>21</v>
      </c>
      <c r="K1551" t="s">
        <v>35</v>
      </c>
      <c r="L1551" s="4">
        <f>VLOOKUP(tblTransactions[[#This Row],[Product_ID]],tblProducts[],5,FALSE)</f>
        <v>64.510000000000005</v>
      </c>
      <c r="M1551" s="4">
        <f>tblTransactions[[#This Row],[Total_Amount]]-(tblTransactions[[#This Row],[Cost_Prices]]*tblTransactions[[#This Row],[Quantity]]*(1-tblTransactions[[#This Row],[Discount]]))</f>
        <v>223.56239999999997</v>
      </c>
      <c r="N1551" s="3">
        <f>tblTransactions[[#This Row],[Profit]]/tblTransactions[[#This Row],[Total_Amount]]</f>
        <v>0.55666542167774702</v>
      </c>
      <c r="O1551" t="str">
        <f>TEXT(tblTransactions[[#This Row],[Date]], "MMM-YYYY")</f>
        <v>Dec-2023</v>
      </c>
      <c r="P1551" t="str">
        <f>"Q"&amp;ROUNDUP(MONTH(tblTransactions[[#This Row],[Date]])/3,0)&amp;"-"&amp;YEAR(tblTransactions[[#This Row],[Date]])</f>
        <v>Q4-2023</v>
      </c>
      <c r="Q1551">
        <f>YEAR(tblTransactions[[#This Row],[Date]])</f>
        <v>2023</v>
      </c>
      <c r="R1551" t="str">
        <f>TEXT(tblTransactions[[#This Row],[Date]],"DDDD")</f>
        <v>Sunday</v>
      </c>
      <c r="S1551">
        <f>MONTH(tblTransactions[[#This Row],[Date]])</f>
        <v>12</v>
      </c>
      <c r="T1551" t="str">
        <f>VLOOKUP(E1551, Products!$A:$B,2,0)</f>
        <v>Cables Acc-2</v>
      </c>
      <c r="U1551" t="str">
        <f>VLOOKUP(E1551,Products!$A:$C,3,0)</f>
        <v>Accessories</v>
      </c>
      <c r="V1551" t="str">
        <f>VLOOKUP(E1551,Products!$A:$D,4,0)</f>
        <v>Cables</v>
      </c>
      <c r="W1551" t="str">
        <f>VLOOKUP(D1551,Customers!$A:$C,3,0)</f>
        <v>B2C</v>
      </c>
      <c r="X1551" t="str">
        <f>VLOOKUP(C1551,Sales_Representatives!$A:$B,2,0)</f>
        <v>Richard Wilson</v>
      </c>
    </row>
    <row r="1552" spans="1:24" x14ac:dyDescent="0.3">
      <c r="A1552" t="s">
        <v>2266</v>
      </c>
      <c r="B1552" t="s">
        <v>2265</v>
      </c>
      <c r="C1552" t="s">
        <v>82</v>
      </c>
      <c r="D1552" t="s">
        <v>1511</v>
      </c>
      <c r="E1552" t="s">
        <v>168</v>
      </c>
      <c r="F1552">
        <v>3</v>
      </c>
      <c r="G1552">
        <v>101.59</v>
      </c>
      <c r="H1552">
        <v>0.01</v>
      </c>
      <c r="I1552" s="4">
        <v>301.72000000000003</v>
      </c>
      <c r="J1552" t="s">
        <v>34</v>
      </c>
      <c r="K1552" t="s">
        <v>17</v>
      </c>
      <c r="L1552" s="4">
        <f>VLOOKUP(tblTransactions[[#This Row],[Product_ID]],tblProducts[],5,FALSE)</f>
        <v>50.58</v>
      </c>
      <c r="M1552" s="4">
        <f>tblTransactions[[#This Row],[Total_Amount]]-(tblTransactions[[#This Row],[Cost_Prices]]*tblTransactions[[#This Row],[Quantity]]*(1-tblTransactions[[#This Row],[Discount]]))</f>
        <v>151.49740000000003</v>
      </c>
      <c r="N1552" s="3">
        <f>tblTransactions[[#This Row],[Profit]]/tblTransactions[[#This Row],[Total_Amount]]</f>
        <v>0.50211255468646432</v>
      </c>
      <c r="O1552" t="str">
        <f>TEXT(tblTransactions[[#This Row],[Date]], "MMM-YYYY")</f>
        <v>Dec-2023</v>
      </c>
      <c r="P1552" t="str">
        <f>"Q"&amp;ROUNDUP(MONTH(tblTransactions[[#This Row],[Date]])/3,0)&amp;"-"&amp;YEAR(tblTransactions[[#This Row],[Date]])</f>
        <v>Q4-2023</v>
      </c>
      <c r="Q1552">
        <f>YEAR(tblTransactions[[#This Row],[Date]])</f>
        <v>2023</v>
      </c>
      <c r="R1552" t="str">
        <f>TEXT(tblTransactions[[#This Row],[Date]],"DDDD")</f>
        <v>Sunday</v>
      </c>
      <c r="S1552">
        <f>MONTH(tblTransactions[[#This Row],[Date]])</f>
        <v>12</v>
      </c>
      <c r="T1552" t="str">
        <f>VLOOKUP(E1552, Products!$A:$B,2,0)</f>
        <v>Cases Acc-4</v>
      </c>
      <c r="U1552" t="str">
        <f>VLOOKUP(E1552,Products!$A:$C,3,0)</f>
        <v>Accessories</v>
      </c>
      <c r="V1552" t="str">
        <f>VLOOKUP(E1552,Products!$A:$D,4,0)</f>
        <v>Cases</v>
      </c>
      <c r="W1552" t="str">
        <f>VLOOKUP(D1552,Customers!$A:$C,3,0)</f>
        <v>B2C</v>
      </c>
      <c r="X1552" t="str">
        <f>VLOOKUP(C1552,Sales_Representatives!$A:$B,2,0)</f>
        <v>John Brown</v>
      </c>
    </row>
    <row r="1553" spans="1:24" x14ac:dyDescent="0.3">
      <c r="A1553" t="s">
        <v>2267</v>
      </c>
      <c r="B1553" t="s">
        <v>2265</v>
      </c>
      <c r="C1553" t="s">
        <v>31</v>
      </c>
      <c r="D1553" t="s">
        <v>2268</v>
      </c>
      <c r="E1553" t="s">
        <v>38</v>
      </c>
      <c r="F1553">
        <v>17</v>
      </c>
      <c r="G1553">
        <v>581.47</v>
      </c>
      <c r="H1553">
        <v>0.17</v>
      </c>
      <c r="I1553" s="4">
        <v>8204.5400000000009</v>
      </c>
      <c r="J1553" t="s">
        <v>34</v>
      </c>
      <c r="K1553" t="s">
        <v>35</v>
      </c>
      <c r="L1553" s="4">
        <f>VLOOKUP(tblTransactions[[#This Row],[Product_ID]],tblProducts[],5,FALSE)</f>
        <v>372.07</v>
      </c>
      <c r="M1553" s="4">
        <f>tblTransactions[[#This Row],[Total_Amount]]-(tblTransactions[[#This Row],[Cost_Prices]]*tblTransactions[[#This Row],[Quantity]]*(1-tblTransactions[[#This Row],[Discount]]))</f>
        <v>2954.6323000000011</v>
      </c>
      <c r="N1553" s="3">
        <f>tblTransactions[[#This Row],[Profit]]/tblTransactions[[#This Row],[Total_Amount]]</f>
        <v>0.36012162778169171</v>
      </c>
      <c r="O1553" t="str">
        <f>TEXT(tblTransactions[[#This Row],[Date]], "MMM-YYYY")</f>
        <v>Dec-2023</v>
      </c>
      <c r="P1553" t="str">
        <f>"Q"&amp;ROUNDUP(MONTH(tblTransactions[[#This Row],[Date]])/3,0)&amp;"-"&amp;YEAR(tblTransactions[[#This Row],[Date]])</f>
        <v>Q4-2023</v>
      </c>
      <c r="Q1553">
        <f>YEAR(tblTransactions[[#This Row],[Date]])</f>
        <v>2023</v>
      </c>
      <c r="R1553" t="str">
        <f>TEXT(tblTransactions[[#This Row],[Date]],"DDDD")</f>
        <v>Sunday</v>
      </c>
      <c r="S1553">
        <f>MONTH(tblTransactions[[#This Row],[Date]])</f>
        <v>12</v>
      </c>
      <c r="T1553" t="str">
        <f>VLOOKUP(E1553, Products!$A:$B,2,0)</f>
        <v>Storage Fur-3</v>
      </c>
      <c r="U1553" t="str">
        <f>VLOOKUP(E1553,Products!$A:$C,3,0)</f>
        <v>Furniture</v>
      </c>
      <c r="V1553" t="str">
        <f>VLOOKUP(E1553,Products!$A:$D,4,0)</f>
        <v>Storage</v>
      </c>
      <c r="W1553" t="str">
        <f>VLOOKUP(D1553,Customers!$A:$C,3,0)</f>
        <v>Enterprise</v>
      </c>
      <c r="X1553" t="str">
        <f>VLOOKUP(C1553,Sales_Representatives!$A:$B,2,0)</f>
        <v>Thomas Martinez</v>
      </c>
    </row>
    <row r="1554" spans="1:24" x14ac:dyDescent="0.3">
      <c r="A1554" t="s">
        <v>2269</v>
      </c>
      <c r="B1554" t="s">
        <v>2265</v>
      </c>
      <c r="C1554" t="s">
        <v>59</v>
      </c>
      <c r="D1554" t="s">
        <v>1518</v>
      </c>
      <c r="E1554" t="s">
        <v>304</v>
      </c>
      <c r="F1554">
        <v>5</v>
      </c>
      <c r="G1554">
        <v>13.43</v>
      </c>
      <c r="H1554">
        <v>0.08</v>
      </c>
      <c r="I1554" s="4">
        <v>61.78</v>
      </c>
      <c r="J1554" t="s">
        <v>21</v>
      </c>
      <c r="K1554" t="s">
        <v>39</v>
      </c>
      <c r="L1554" s="4">
        <f>VLOOKUP(tblTransactions[[#This Row],[Product_ID]],tblProducts[],5,FALSE)</f>
        <v>5.8</v>
      </c>
      <c r="M1554" s="4">
        <f>tblTransactions[[#This Row],[Total_Amount]]-(tblTransactions[[#This Row],[Cost_Prices]]*tblTransactions[[#This Row],[Quantity]]*(1-tblTransactions[[#This Row],[Discount]]))</f>
        <v>35.1</v>
      </c>
      <c r="N1554" s="3">
        <f>tblTransactions[[#This Row],[Profit]]/tblTransactions[[#This Row],[Total_Amount]]</f>
        <v>0.56814503075428946</v>
      </c>
      <c r="O1554" t="str">
        <f>TEXT(tblTransactions[[#This Row],[Date]], "MMM-YYYY")</f>
        <v>Dec-2023</v>
      </c>
      <c r="P1554" t="str">
        <f>"Q"&amp;ROUNDUP(MONTH(tblTransactions[[#This Row],[Date]])/3,0)&amp;"-"&amp;YEAR(tblTransactions[[#This Row],[Date]])</f>
        <v>Q4-2023</v>
      </c>
      <c r="Q1554">
        <f>YEAR(tblTransactions[[#This Row],[Date]])</f>
        <v>2023</v>
      </c>
      <c r="R1554" t="str">
        <f>TEXT(tblTransactions[[#This Row],[Date]],"DDDD")</f>
        <v>Sunday</v>
      </c>
      <c r="S1554">
        <f>MONTH(tblTransactions[[#This Row],[Date]])</f>
        <v>12</v>
      </c>
      <c r="T1554" t="str">
        <f>VLOOKUP(E1554, Products!$A:$B,2,0)</f>
        <v>Pens Off-1</v>
      </c>
      <c r="U1554" t="str">
        <f>VLOOKUP(E1554,Products!$A:$C,3,0)</f>
        <v>Office Supplies</v>
      </c>
      <c r="V1554" t="str">
        <f>VLOOKUP(E1554,Products!$A:$D,4,0)</f>
        <v>Pens</v>
      </c>
      <c r="W1554" t="str">
        <f>VLOOKUP(D1554,Customers!$A:$C,3,0)</f>
        <v>B2C</v>
      </c>
      <c r="X1554" t="str">
        <f>VLOOKUP(C1554,Sales_Representatives!$A:$B,2,0)</f>
        <v>Sarah Brown</v>
      </c>
    </row>
    <row r="1555" spans="1:24" x14ac:dyDescent="0.3">
      <c r="A1555" t="s">
        <v>2270</v>
      </c>
      <c r="B1555" t="s">
        <v>2265</v>
      </c>
      <c r="C1555" t="s">
        <v>31</v>
      </c>
      <c r="D1555" t="s">
        <v>1526</v>
      </c>
      <c r="E1555" t="s">
        <v>217</v>
      </c>
      <c r="F1555">
        <v>2</v>
      </c>
      <c r="G1555">
        <v>145.51</v>
      </c>
      <c r="H1555">
        <v>0.02</v>
      </c>
      <c r="I1555" s="4">
        <v>285.2</v>
      </c>
      <c r="J1555" t="s">
        <v>34</v>
      </c>
      <c r="K1555" t="s">
        <v>17</v>
      </c>
      <c r="L1555" s="4">
        <f>VLOOKUP(tblTransactions[[#This Row],[Product_ID]],tblProducts[],5,FALSE)</f>
        <v>64.510000000000005</v>
      </c>
      <c r="M1555" s="4">
        <f>tblTransactions[[#This Row],[Total_Amount]]-(tblTransactions[[#This Row],[Cost_Prices]]*tblTransactions[[#This Row],[Quantity]]*(1-tblTransactions[[#This Row],[Discount]]))</f>
        <v>158.76039999999998</v>
      </c>
      <c r="N1555" s="3">
        <f>tblTransactions[[#This Row],[Profit]]/tblTransactions[[#This Row],[Total_Amount]]</f>
        <v>0.5566633941093968</v>
      </c>
      <c r="O1555" t="str">
        <f>TEXT(tblTransactions[[#This Row],[Date]], "MMM-YYYY")</f>
        <v>Dec-2023</v>
      </c>
      <c r="P1555" t="str">
        <f>"Q"&amp;ROUNDUP(MONTH(tblTransactions[[#This Row],[Date]])/3,0)&amp;"-"&amp;YEAR(tblTransactions[[#This Row],[Date]])</f>
        <v>Q4-2023</v>
      </c>
      <c r="Q1555">
        <f>YEAR(tblTransactions[[#This Row],[Date]])</f>
        <v>2023</v>
      </c>
      <c r="R1555" t="str">
        <f>TEXT(tblTransactions[[#This Row],[Date]],"DDDD")</f>
        <v>Sunday</v>
      </c>
      <c r="S1555">
        <f>MONTH(tblTransactions[[#This Row],[Date]])</f>
        <v>12</v>
      </c>
      <c r="T1555" t="str">
        <f>VLOOKUP(E1555, Products!$A:$B,2,0)</f>
        <v>Cables Acc-2</v>
      </c>
      <c r="U1555" t="str">
        <f>VLOOKUP(E1555,Products!$A:$C,3,0)</f>
        <v>Accessories</v>
      </c>
      <c r="V1555" t="str">
        <f>VLOOKUP(E1555,Products!$A:$D,4,0)</f>
        <v>Cables</v>
      </c>
      <c r="W1555" t="str">
        <f>VLOOKUP(D1555,Customers!$A:$C,3,0)</f>
        <v>B2C</v>
      </c>
      <c r="X1555" t="str">
        <f>VLOOKUP(C1555,Sales_Representatives!$A:$B,2,0)</f>
        <v>Thomas Martinez</v>
      </c>
    </row>
    <row r="1556" spans="1:24" x14ac:dyDescent="0.3">
      <c r="A1556" t="s">
        <v>2271</v>
      </c>
      <c r="B1556" t="s">
        <v>2265</v>
      </c>
      <c r="C1556" t="s">
        <v>41</v>
      </c>
      <c r="D1556" t="s">
        <v>2032</v>
      </c>
      <c r="E1556" t="s">
        <v>283</v>
      </c>
      <c r="F1556">
        <v>7</v>
      </c>
      <c r="G1556">
        <v>456.88</v>
      </c>
      <c r="H1556">
        <v>0.08</v>
      </c>
      <c r="I1556" s="4">
        <v>2942.31</v>
      </c>
      <c r="J1556" t="s">
        <v>44</v>
      </c>
      <c r="K1556" t="s">
        <v>39</v>
      </c>
      <c r="L1556" s="4">
        <f>VLOOKUP(tblTransactions[[#This Row],[Product_ID]],tblProducts[],5,FALSE)</f>
        <v>313.23</v>
      </c>
      <c r="M1556" s="4">
        <f>tblTransactions[[#This Row],[Total_Amount]]-(tblTransactions[[#This Row],[Cost_Prices]]*tblTransactions[[#This Row],[Quantity]]*(1-tblTransactions[[#This Row],[Discount]]))</f>
        <v>925.10879999999975</v>
      </c>
      <c r="N1556" s="3">
        <f>tblTransactions[[#This Row],[Profit]]/tblTransactions[[#This Row],[Total_Amount]]</f>
        <v>0.31441581614445785</v>
      </c>
      <c r="O1556" t="str">
        <f>TEXT(tblTransactions[[#This Row],[Date]], "MMM-YYYY")</f>
        <v>Dec-2023</v>
      </c>
      <c r="P1556" t="str">
        <f>"Q"&amp;ROUNDUP(MONTH(tblTransactions[[#This Row],[Date]])/3,0)&amp;"-"&amp;YEAR(tblTransactions[[#This Row],[Date]])</f>
        <v>Q4-2023</v>
      </c>
      <c r="Q1556">
        <f>YEAR(tblTransactions[[#This Row],[Date]])</f>
        <v>2023</v>
      </c>
      <c r="R1556" t="str">
        <f>TEXT(tblTransactions[[#This Row],[Date]],"DDDD")</f>
        <v>Sunday</v>
      </c>
      <c r="S1556">
        <f>MONTH(tblTransactions[[#This Row],[Date]])</f>
        <v>12</v>
      </c>
      <c r="T1556" t="str">
        <f>VLOOKUP(E1556, Products!$A:$B,2,0)</f>
        <v>Chairs Fur-3</v>
      </c>
      <c r="U1556" t="str">
        <f>VLOOKUP(E1556,Products!$A:$C,3,0)</f>
        <v>Furniture</v>
      </c>
      <c r="V1556" t="str">
        <f>VLOOKUP(E1556,Products!$A:$D,4,0)</f>
        <v>Chairs</v>
      </c>
      <c r="W1556" t="str">
        <f>VLOOKUP(D1556,Customers!$A:$C,3,0)</f>
        <v>B2C</v>
      </c>
      <c r="X1556" t="str">
        <f>VLOOKUP(C1556,Sales_Representatives!$A:$B,2,0)</f>
        <v>Robert Jones</v>
      </c>
    </row>
    <row r="1557" spans="1:24" x14ac:dyDescent="0.3">
      <c r="A1557" t="s">
        <v>2272</v>
      </c>
      <c r="B1557" t="s">
        <v>2273</v>
      </c>
      <c r="C1557" t="s">
        <v>41</v>
      </c>
      <c r="D1557" t="s">
        <v>2114</v>
      </c>
      <c r="E1557" t="s">
        <v>324</v>
      </c>
      <c r="F1557">
        <v>13</v>
      </c>
      <c r="G1557">
        <v>245.76</v>
      </c>
      <c r="H1557">
        <v>0.19</v>
      </c>
      <c r="I1557" s="4">
        <v>2587.85</v>
      </c>
      <c r="J1557" t="s">
        <v>44</v>
      </c>
      <c r="K1557" t="s">
        <v>22</v>
      </c>
      <c r="L1557" s="4">
        <f>VLOOKUP(tblTransactions[[#This Row],[Product_ID]],tblProducts[],5,FALSE)</f>
        <v>161.94</v>
      </c>
      <c r="M1557" s="4">
        <f>tblTransactions[[#This Row],[Total_Amount]]-(tblTransactions[[#This Row],[Cost_Prices]]*tblTransactions[[#This Row],[Quantity]]*(1-tblTransactions[[#This Row],[Discount]]))</f>
        <v>882.62179999999989</v>
      </c>
      <c r="N1557" s="3">
        <f>tblTransactions[[#This Row],[Profit]]/tblTransactions[[#This Row],[Total_Amount]]</f>
        <v>0.34106374017041169</v>
      </c>
      <c r="O1557" t="str">
        <f>TEXT(tblTransactions[[#This Row],[Date]], "MMM-YYYY")</f>
        <v>Dec-2023</v>
      </c>
      <c r="P1557" t="str">
        <f>"Q"&amp;ROUNDUP(MONTH(tblTransactions[[#This Row],[Date]])/3,0)&amp;"-"&amp;YEAR(tblTransactions[[#This Row],[Date]])</f>
        <v>Q4-2023</v>
      </c>
      <c r="Q1557">
        <f>YEAR(tblTransactions[[#This Row],[Date]])</f>
        <v>2023</v>
      </c>
      <c r="R1557" t="str">
        <f>TEXT(tblTransactions[[#This Row],[Date]],"DDDD")</f>
        <v>Monday</v>
      </c>
      <c r="S1557">
        <f>MONTH(tblTransactions[[#This Row],[Date]])</f>
        <v>12</v>
      </c>
      <c r="T1557" t="str">
        <f>VLOOKUP(E1557, Products!$A:$B,2,0)</f>
        <v>Storage Fur-1</v>
      </c>
      <c r="U1557" t="str">
        <f>VLOOKUP(E1557,Products!$A:$C,3,0)</f>
        <v>Furniture</v>
      </c>
      <c r="V1557" t="str">
        <f>VLOOKUP(E1557,Products!$A:$D,4,0)</f>
        <v>Storage</v>
      </c>
      <c r="W1557" t="str">
        <f>VLOOKUP(D1557,Customers!$A:$C,3,0)</f>
        <v>B2B</v>
      </c>
      <c r="X1557" t="str">
        <f>VLOOKUP(C1557,Sales_Representatives!$A:$B,2,0)</f>
        <v>Robert Jones</v>
      </c>
    </row>
    <row r="1558" spans="1:24" x14ac:dyDescent="0.3">
      <c r="A1558" t="s">
        <v>2274</v>
      </c>
      <c r="B1558" t="s">
        <v>2273</v>
      </c>
      <c r="C1558" t="s">
        <v>75</v>
      </c>
      <c r="D1558" t="s">
        <v>1947</v>
      </c>
      <c r="E1558" t="s">
        <v>72</v>
      </c>
      <c r="F1558">
        <v>11</v>
      </c>
      <c r="G1558">
        <v>404.76</v>
      </c>
      <c r="H1558">
        <v>0.18</v>
      </c>
      <c r="I1558" s="4">
        <v>3650.94</v>
      </c>
      <c r="J1558" t="s">
        <v>44</v>
      </c>
      <c r="K1558" t="s">
        <v>22</v>
      </c>
      <c r="L1558" s="4">
        <f>VLOOKUP(tblTransactions[[#This Row],[Product_ID]],tblProducts[],5,FALSE)</f>
        <v>226.76</v>
      </c>
      <c r="M1558" s="4">
        <f>tblTransactions[[#This Row],[Total_Amount]]-(tblTransactions[[#This Row],[Cost_Prices]]*tblTransactions[[#This Row],[Quantity]]*(1-tblTransactions[[#This Row],[Discount]]))</f>
        <v>1605.5648000000001</v>
      </c>
      <c r="N1558" s="3">
        <f>tblTransactions[[#This Row],[Profit]]/tblTransactions[[#This Row],[Total_Amount]]</f>
        <v>0.43976751192843488</v>
      </c>
      <c r="O1558" t="str">
        <f>TEXT(tblTransactions[[#This Row],[Date]], "MMM-YYYY")</f>
        <v>Dec-2023</v>
      </c>
      <c r="P1558" t="str">
        <f>"Q"&amp;ROUNDUP(MONTH(tblTransactions[[#This Row],[Date]])/3,0)&amp;"-"&amp;YEAR(tblTransactions[[#This Row],[Date]])</f>
        <v>Q4-2023</v>
      </c>
      <c r="Q1558">
        <f>YEAR(tblTransactions[[#This Row],[Date]])</f>
        <v>2023</v>
      </c>
      <c r="R1558" t="str">
        <f>TEXT(tblTransactions[[#This Row],[Date]],"DDDD")</f>
        <v>Monday</v>
      </c>
      <c r="S1558">
        <f>MONTH(tblTransactions[[#This Row],[Date]])</f>
        <v>12</v>
      </c>
      <c r="T1558" t="str">
        <f>VLOOKUP(E1558, Products!$A:$B,2,0)</f>
        <v>Tablets Ele-2</v>
      </c>
      <c r="U1558" t="str">
        <f>VLOOKUP(E1558,Products!$A:$C,3,0)</f>
        <v>Electronics</v>
      </c>
      <c r="V1558" t="str">
        <f>VLOOKUP(E1558,Products!$A:$D,4,0)</f>
        <v>Tablets</v>
      </c>
      <c r="W1558" t="str">
        <f>VLOOKUP(D1558,Customers!$A:$C,3,0)</f>
        <v>Enterprise</v>
      </c>
      <c r="X1558" t="str">
        <f>VLOOKUP(C1558,Sales_Representatives!$A:$B,2,0)</f>
        <v>Jessica Anderson</v>
      </c>
    </row>
    <row r="1559" spans="1:24" x14ac:dyDescent="0.3">
      <c r="A1559" t="s">
        <v>2275</v>
      </c>
      <c r="B1559" t="s">
        <v>2273</v>
      </c>
      <c r="C1559" t="s">
        <v>75</v>
      </c>
      <c r="D1559" t="s">
        <v>190</v>
      </c>
      <c r="E1559" t="s">
        <v>290</v>
      </c>
      <c r="F1559">
        <v>14</v>
      </c>
      <c r="G1559">
        <v>729.32</v>
      </c>
      <c r="H1559">
        <v>0.11</v>
      </c>
      <c r="I1559" s="4">
        <v>9087.33</v>
      </c>
      <c r="J1559" t="s">
        <v>44</v>
      </c>
      <c r="K1559" t="s">
        <v>22</v>
      </c>
      <c r="L1559" s="4">
        <f>VLOOKUP(tblTransactions[[#This Row],[Product_ID]],tblProducts[],5,FALSE)</f>
        <v>482.7</v>
      </c>
      <c r="M1559" s="4">
        <f>tblTransactions[[#This Row],[Total_Amount]]-(tblTransactions[[#This Row],[Cost_Prices]]*tblTransactions[[#This Row],[Quantity]]*(1-tblTransactions[[#This Row],[Discount]]))</f>
        <v>3072.8879999999999</v>
      </c>
      <c r="N1559" s="3">
        <f>tblTransactions[[#This Row],[Profit]]/tblTransactions[[#This Row],[Total_Amount]]</f>
        <v>0.33815080997388669</v>
      </c>
      <c r="O1559" t="str">
        <f>TEXT(tblTransactions[[#This Row],[Date]], "MMM-YYYY")</f>
        <v>Dec-2023</v>
      </c>
      <c r="P1559" t="str">
        <f>"Q"&amp;ROUNDUP(MONTH(tblTransactions[[#This Row],[Date]])/3,0)&amp;"-"&amp;YEAR(tblTransactions[[#This Row],[Date]])</f>
        <v>Q4-2023</v>
      </c>
      <c r="Q1559">
        <f>YEAR(tblTransactions[[#This Row],[Date]])</f>
        <v>2023</v>
      </c>
      <c r="R1559" t="str">
        <f>TEXT(tblTransactions[[#This Row],[Date]],"DDDD")</f>
        <v>Monday</v>
      </c>
      <c r="S1559">
        <f>MONTH(tblTransactions[[#This Row],[Date]])</f>
        <v>12</v>
      </c>
      <c r="T1559" t="str">
        <f>VLOOKUP(E1559, Products!$A:$B,2,0)</f>
        <v>Tables Fur-1</v>
      </c>
      <c r="U1559" t="str">
        <f>VLOOKUP(E1559,Products!$A:$C,3,0)</f>
        <v>Furniture</v>
      </c>
      <c r="V1559" t="str">
        <f>VLOOKUP(E1559,Products!$A:$D,4,0)</f>
        <v>Tables</v>
      </c>
      <c r="W1559" t="str">
        <f>VLOOKUP(D1559,Customers!$A:$C,3,0)</f>
        <v>B2B</v>
      </c>
      <c r="X1559" t="str">
        <f>VLOOKUP(C1559,Sales_Representatives!$A:$B,2,0)</f>
        <v>Jessica Anderson</v>
      </c>
    </row>
    <row r="1560" spans="1:24" x14ac:dyDescent="0.3">
      <c r="A1560" t="s">
        <v>2276</v>
      </c>
      <c r="B1560" t="s">
        <v>2273</v>
      </c>
      <c r="C1560" t="s">
        <v>127</v>
      </c>
      <c r="D1560" t="s">
        <v>1794</v>
      </c>
      <c r="E1560" t="s">
        <v>394</v>
      </c>
      <c r="F1560">
        <v>4</v>
      </c>
      <c r="G1560">
        <v>314.69</v>
      </c>
      <c r="H1560">
        <v>0.05</v>
      </c>
      <c r="I1560" s="4">
        <v>1195.82</v>
      </c>
      <c r="J1560" t="s">
        <v>109</v>
      </c>
      <c r="K1560" t="s">
        <v>39</v>
      </c>
      <c r="L1560" s="4">
        <f>VLOOKUP(tblTransactions[[#This Row],[Product_ID]],tblProducts[],5,FALSE)</f>
        <v>185.43</v>
      </c>
      <c r="M1560" s="4">
        <f>tblTransactions[[#This Row],[Total_Amount]]-(tblTransactions[[#This Row],[Cost_Prices]]*tblTransactions[[#This Row],[Quantity]]*(1-tblTransactions[[#This Row],[Discount]]))</f>
        <v>491.18599999999992</v>
      </c>
      <c r="N1560" s="3">
        <f>tblTransactions[[#This Row],[Profit]]/tblTransactions[[#This Row],[Total_Amount]]</f>
        <v>0.41075245438276659</v>
      </c>
      <c r="O1560" t="str">
        <f>TEXT(tblTransactions[[#This Row],[Date]], "MMM-YYYY")</f>
        <v>Dec-2023</v>
      </c>
      <c r="P1560" t="str">
        <f>"Q"&amp;ROUNDUP(MONTH(tblTransactions[[#This Row],[Date]])/3,0)&amp;"-"&amp;YEAR(tblTransactions[[#This Row],[Date]])</f>
        <v>Q4-2023</v>
      </c>
      <c r="Q1560">
        <f>YEAR(tblTransactions[[#This Row],[Date]])</f>
        <v>2023</v>
      </c>
      <c r="R1560" t="str">
        <f>TEXT(tblTransactions[[#This Row],[Date]],"DDDD")</f>
        <v>Monday</v>
      </c>
      <c r="S1560">
        <f>MONTH(tblTransactions[[#This Row],[Date]])</f>
        <v>12</v>
      </c>
      <c r="T1560" t="str">
        <f>VLOOKUP(E1560, Products!$A:$B,2,0)</f>
        <v>Desks Fur-1</v>
      </c>
      <c r="U1560" t="str">
        <f>VLOOKUP(E1560,Products!$A:$C,3,0)</f>
        <v>Furniture</v>
      </c>
      <c r="V1560" t="str">
        <f>VLOOKUP(E1560,Products!$A:$D,4,0)</f>
        <v>Desks</v>
      </c>
      <c r="W1560" t="str">
        <f>VLOOKUP(D1560,Customers!$A:$C,3,0)</f>
        <v>B2B</v>
      </c>
      <c r="X1560" t="str">
        <f>VLOOKUP(C1560,Sales_Representatives!$A:$B,2,0)</f>
        <v>Emily Hernandez</v>
      </c>
    </row>
    <row r="1561" spans="1:24" x14ac:dyDescent="0.3">
      <c r="A1561" t="s">
        <v>2277</v>
      </c>
      <c r="B1561" t="s">
        <v>2273</v>
      </c>
      <c r="C1561" t="s">
        <v>13</v>
      </c>
      <c r="D1561" t="s">
        <v>2278</v>
      </c>
      <c r="E1561" t="s">
        <v>157</v>
      </c>
      <c r="F1561">
        <v>3</v>
      </c>
      <c r="G1561">
        <v>1227.68</v>
      </c>
      <c r="H1561">
        <v>0.04</v>
      </c>
      <c r="I1561" s="4">
        <v>3535.72</v>
      </c>
      <c r="J1561" t="s">
        <v>16</v>
      </c>
      <c r="K1561" t="s">
        <v>39</v>
      </c>
      <c r="L1561" s="4">
        <f>VLOOKUP(tblTransactions[[#This Row],[Product_ID]],tblProducts[],5,FALSE)</f>
        <v>846.42</v>
      </c>
      <c r="M1561" s="4">
        <f>tblTransactions[[#This Row],[Total_Amount]]-(tblTransactions[[#This Row],[Cost_Prices]]*tblTransactions[[#This Row],[Quantity]]*(1-tblTransactions[[#This Row],[Discount]]))</f>
        <v>1098.0304000000001</v>
      </c>
      <c r="N1561" s="3">
        <f>tblTransactions[[#This Row],[Profit]]/tblTransactions[[#This Row],[Total_Amount]]</f>
        <v>0.31055355062052431</v>
      </c>
      <c r="O1561" t="str">
        <f>TEXT(tblTransactions[[#This Row],[Date]], "MMM-YYYY")</f>
        <v>Dec-2023</v>
      </c>
      <c r="P1561" t="str">
        <f>"Q"&amp;ROUNDUP(MONTH(tblTransactions[[#This Row],[Date]])/3,0)&amp;"-"&amp;YEAR(tblTransactions[[#This Row],[Date]])</f>
        <v>Q4-2023</v>
      </c>
      <c r="Q1561">
        <f>YEAR(tblTransactions[[#This Row],[Date]])</f>
        <v>2023</v>
      </c>
      <c r="R1561" t="str">
        <f>TEXT(tblTransactions[[#This Row],[Date]],"DDDD")</f>
        <v>Monday</v>
      </c>
      <c r="S1561">
        <f>MONTH(tblTransactions[[#This Row],[Date]])</f>
        <v>12</v>
      </c>
      <c r="T1561" t="str">
        <f>VLOOKUP(E1561, Products!$A:$B,2,0)</f>
        <v>Printers Tec-4</v>
      </c>
      <c r="U1561" t="str">
        <f>VLOOKUP(E1561,Products!$A:$C,3,0)</f>
        <v>Technology</v>
      </c>
      <c r="V1561" t="str">
        <f>VLOOKUP(E1561,Products!$A:$D,4,0)</f>
        <v>Printers</v>
      </c>
      <c r="W1561" t="str">
        <f>VLOOKUP(D1561,Customers!$A:$C,3,0)</f>
        <v>B2B</v>
      </c>
      <c r="X1561" t="str">
        <f>VLOOKUP(C1561,Sales_Representatives!$A:$B,2,0)</f>
        <v>Jennifer Rodriguez</v>
      </c>
    </row>
    <row r="1562" spans="1:24" x14ac:dyDescent="0.3">
      <c r="A1562" t="s">
        <v>2279</v>
      </c>
      <c r="B1562" t="s">
        <v>2280</v>
      </c>
      <c r="C1562" t="s">
        <v>127</v>
      </c>
      <c r="D1562" t="s">
        <v>2007</v>
      </c>
      <c r="E1562" t="s">
        <v>299</v>
      </c>
      <c r="F1562">
        <v>19</v>
      </c>
      <c r="G1562">
        <v>963.44</v>
      </c>
      <c r="H1562">
        <v>0.17</v>
      </c>
      <c r="I1562" s="4">
        <v>15193.45</v>
      </c>
      <c r="J1562" t="s">
        <v>109</v>
      </c>
      <c r="K1562" t="s">
        <v>39</v>
      </c>
      <c r="L1562" s="4">
        <f>VLOOKUP(tblTransactions[[#This Row],[Product_ID]],tblProducts[],5,FALSE)</f>
        <v>578.96</v>
      </c>
      <c r="M1562" s="4">
        <f>tblTransactions[[#This Row],[Total_Amount]]-(tblTransactions[[#This Row],[Cost_Prices]]*tblTransactions[[#This Row],[Quantity]]*(1-tblTransactions[[#This Row],[Discount]]))</f>
        <v>6063.2507999999998</v>
      </c>
      <c r="N1562" s="3">
        <f>tblTransactions[[#This Row],[Profit]]/tblTransactions[[#This Row],[Total_Amount]]</f>
        <v>0.39907004663193674</v>
      </c>
      <c r="O1562" t="str">
        <f>TEXT(tblTransactions[[#This Row],[Date]], "MMM-YYYY")</f>
        <v>Dec-2023</v>
      </c>
      <c r="P1562" t="str">
        <f>"Q"&amp;ROUNDUP(MONTH(tblTransactions[[#This Row],[Date]])/3,0)&amp;"-"&amp;YEAR(tblTransactions[[#This Row],[Date]])</f>
        <v>Q4-2023</v>
      </c>
      <c r="Q1562">
        <f>YEAR(tblTransactions[[#This Row],[Date]])</f>
        <v>2023</v>
      </c>
      <c r="R1562" t="str">
        <f>TEXT(tblTransactions[[#This Row],[Date]],"DDDD")</f>
        <v>Tuesday</v>
      </c>
      <c r="S1562">
        <f>MONTH(tblTransactions[[#This Row],[Date]])</f>
        <v>12</v>
      </c>
      <c r="T1562" t="str">
        <f>VLOOKUP(E1562, Products!$A:$B,2,0)</f>
        <v>Chairs Fur-4</v>
      </c>
      <c r="U1562" t="str">
        <f>VLOOKUP(E1562,Products!$A:$C,3,0)</f>
        <v>Furniture</v>
      </c>
      <c r="V1562" t="str">
        <f>VLOOKUP(E1562,Products!$A:$D,4,0)</f>
        <v>Chairs</v>
      </c>
      <c r="W1562" t="str">
        <f>VLOOKUP(D1562,Customers!$A:$C,3,0)</f>
        <v>Enterprise</v>
      </c>
      <c r="X1562" t="str">
        <f>VLOOKUP(C1562,Sales_Representatives!$A:$B,2,0)</f>
        <v>Emily Hernandez</v>
      </c>
    </row>
    <row r="1563" spans="1:24" x14ac:dyDescent="0.3">
      <c r="A1563" t="s">
        <v>2281</v>
      </c>
      <c r="B1563" t="s">
        <v>2280</v>
      </c>
      <c r="C1563" t="s">
        <v>41</v>
      </c>
      <c r="D1563" t="s">
        <v>1705</v>
      </c>
      <c r="E1563" t="s">
        <v>481</v>
      </c>
      <c r="F1563">
        <v>5</v>
      </c>
      <c r="G1563">
        <v>263.58999999999997</v>
      </c>
      <c r="H1563">
        <v>0.01</v>
      </c>
      <c r="I1563" s="4">
        <v>1304.77</v>
      </c>
      <c r="J1563" t="s">
        <v>44</v>
      </c>
      <c r="K1563" t="s">
        <v>48</v>
      </c>
      <c r="L1563" s="4">
        <f>VLOOKUP(tblTransactions[[#This Row],[Product_ID]],tblProducts[],5,FALSE)</f>
        <v>133.65</v>
      </c>
      <c r="M1563" s="4">
        <f>tblTransactions[[#This Row],[Total_Amount]]-(tblTransactions[[#This Row],[Cost_Prices]]*tblTransactions[[#This Row],[Quantity]]*(1-tblTransactions[[#This Row],[Discount]]))</f>
        <v>643.20249999999999</v>
      </c>
      <c r="N1563" s="3">
        <f>tblTransactions[[#This Row],[Profit]]/tblTransactions[[#This Row],[Total_Amount]]</f>
        <v>0.49296236118243064</v>
      </c>
      <c r="O1563" t="str">
        <f>TEXT(tblTransactions[[#This Row],[Date]], "MMM-YYYY")</f>
        <v>Dec-2023</v>
      </c>
      <c r="P1563" t="str">
        <f>"Q"&amp;ROUNDUP(MONTH(tblTransactions[[#This Row],[Date]])/3,0)&amp;"-"&amp;YEAR(tblTransactions[[#This Row],[Date]])</f>
        <v>Q4-2023</v>
      </c>
      <c r="Q1563">
        <f>YEAR(tblTransactions[[#This Row],[Date]])</f>
        <v>2023</v>
      </c>
      <c r="R1563" t="str">
        <f>TEXT(tblTransactions[[#This Row],[Date]],"DDDD")</f>
        <v>Tuesday</v>
      </c>
      <c r="S1563">
        <f>MONTH(tblTransactions[[#This Row],[Date]])</f>
        <v>12</v>
      </c>
      <c r="T1563" t="str">
        <f>VLOOKUP(E1563, Products!$A:$B,2,0)</f>
        <v>Folders Off-1</v>
      </c>
      <c r="U1563" t="str">
        <f>VLOOKUP(E1563,Products!$A:$C,3,0)</f>
        <v>Office Supplies</v>
      </c>
      <c r="V1563" t="str">
        <f>VLOOKUP(E1563,Products!$A:$D,4,0)</f>
        <v>Folders</v>
      </c>
      <c r="W1563" t="str">
        <f>VLOOKUP(D1563,Customers!$A:$C,3,0)</f>
        <v>B2C</v>
      </c>
      <c r="X1563" t="str">
        <f>VLOOKUP(C1563,Sales_Representatives!$A:$B,2,0)</f>
        <v>Robert Jones</v>
      </c>
    </row>
    <row r="1564" spans="1:24" x14ac:dyDescent="0.3">
      <c r="A1564" t="s">
        <v>2282</v>
      </c>
      <c r="B1564" t="s">
        <v>2280</v>
      </c>
      <c r="C1564" t="s">
        <v>131</v>
      </c>
      <c r="D1564" t="s">
        <v>2206</v>
      </c>
      <c r="E1564" t="s">
        <v>314</v>
      </c>
      <c r="F1564">
        <v>7</v>
      </c>
      <c r="G1564">
        <v>204.97</v>
      </c>
      <c r="H1564">
        <v>0.12</v>
      </c>
      <c r="I1564" s="4">
        <v>1262.6199999999999</v>
      </c>
      <c r="J1564" t="s">
        <v>44</v>
      </c>
      <c r="K1564" t="s">
        <v>17</v>
      </c>
      <c r="L1564" s="4">
        <f>VLOOKUP(tblTransactions[[#This Row],[Product_ID]],tblProducts[],5,FALSE)</f>
        <v>121.53</v>
      </c>
      <c r="M1564" s="4">
        <f>tblTransactions[[#This Row],[Total_Amount]]-(tblTransactions[[#This Row],[Cost_Prices]]*tblTransactions[[#This Row],[Quantity]]*(1-tblTransactions[[#This Row],[Discount]]))</f>
        <v>513.99519999999984</v>
      </c>
      <c r="N1564" s="3">
        <f>tblTransactions[[#This Row],[Profit]]/tblTransactions[[#This Row],[Total_Amount]]</f>
        <v>0.40708621754763896</v>
      </c>
      <c r="O1564" t="str">
        <f>TEXT(tblTransactions[[#This Row],[Date]], "MMM-YYYY")</f>
        <v>Dec-2023</v>
      </c>
      <c r="P1564" t="str">
        <f>"Q"&amp;ROUNDUP(MONTH(tblTransactions[[#This Row],[Date]])/3,0)&amp;"-"&amp;YEAR(tblTransactions[[#This Row],[Date]])</f>
        <v>Q4-2023</v>
      </c>
      <c r="Q1564">
        <f>YEAR(tblTransactions[[#This Row],[Date]])</f>
        <v>2023</v>
      </c>
      <c r="R1564" t="str">
        <f>TEXT(tblTransactions[[#This Row],[Date]],"DDDD")</f>
        <v>Tuesday</v>
      </c>
      <c r="S1564">
        <f>MONTH(tblTransactions[[#This Row],[Date]])</f>
        <v>12</v>
      </c>
      <c r="T1564" t="str">
        <f>VLOOKUP(E1564, Products!$A:$B,2,0)</f>
        <v>Adapters Acc-3</v>
      </c>
      <c r="U1564" t="str">
        <f>VLOOKUP(E1564,Products!$A:$C,3,0)</f>
        <v>Accessories</v>
      </c>
      <c r="V1564" t="str">
        <f>VLOOKUP(E1564,Products!$A:$D,4,0)</f>
        <v>Adapters</v>
      </c>
      <c r="W1564" t="str">
        <f>VLOOKUP(D1564,Customers!$A:$C,3,0)</f>
        <v>B2C</v>
      </c>
      <c r="X1564" t="str">
        <f>VLOOKUP(C1564,Sales_Representatives!$A:$B,2,0)</f>
        <v>Michael Davis</v>
      </c>
    </row>
    <row r="1565" spans="1:24" x14ac:dyDescent="0.3">
      <c r="A1565" t="s">
        <v>2283</v>
      </c>
      <c r="B1565" t="s">
        <v>2284</v>
      </c>
      <c r="C1565" t="s">
        <v>131</v>
      </c>
      <c r="D1565" t="s">
        <v>1441</v>
      </c>
      <c r="E1565" t="s">
        <v>159</v>
      </c>
      <c r="F1565">
        <v>3</v>
      </c>
      <c r="G1565">
        <v>78.09</v>
      </c>
      <c r="H1565">
        <v>0.03</v>
      </c>
      <c r="I1565" s="4">
        <v>227.24</v>
      </c>
      <c r="J1565" t="s">
        <v>44</v>
      </c>
      <c r="K1565" t="s">
        <v>35</v>
      </c>
      <c r="L1565" s="4">
        <f>VLOOKUP(tblTransactions[[#This Row],[Product_ID]],tblProducts[],5,FALSE)</f>
        <v>47.01</v>
      </c>
      <c r="M1565" s="4">
        <f>tblTransactions[[#This Row],[Total_Amount]]-(tblTransactions[[#This Row],[Cost_Prices]]*tblTransactions[[#This Row],[Quantity]]*(1-tblTransactions[[#This Row],[Discount]]))</f>
        <v>90.440899999999999</v>
      </c>
      <c r="N1565" s="3">
        <f>tblTransactions[[#This Row],[Profit]]/tblTransactions[[#This Row],[Total_Amount]]</f>
        <v>0.3979972716071114</v>
      </c>
      <c r="O1565" t="str">
        <f>TEXT(tblTransactions[[#This Row],[Date]], "MMM-YYYY")</f>
        <v>Dec-2023</v>
      </c>
      <c r="P1565" t="str">
        <f>"Q"&amp;ROUNDUP(MONTH(tblTransactions[[#This Row],[Date]])/3,0)&amp;"-"&amp;YEAR(tblTransactions[[#This Row],[Date]])</f>
        <v>Q4-2023</v>
      </c>
      <c r="Q1565">
        <f>YEAR(tblTransactions[[#This Row],[Date]])</f>
        <v>2023</v>
      </c>
      <c r="R1565" t="str">
        <f>TEXT(tblTransactions[[#This Row],[Date]],"DDDD")</f>
        <v>Wednesday</v>
      </c>
      <c r="S1565">
        <f>MONTH(tblTransactions[[#This Row],[Date]])</f>
        <v>12</v>
      </c>
      <c r="T1565" t="str">
        <f>VLOOKUP(E1565, Products!$A:$B,2,0)</f>
        <v>Cables Acc-4</v>
      </c>
      <c r="U1565" t="str">
        <f>VLOOKUP(E1565,Products!$A:$C,3,0)</f>
        <v>Accessories</v>
      </c>
      <c r="V1565" t="str">
        <f>VLOOKUP(E1565,Products!$A:$D,4,0)</f>
        <v>Cables</v>
      </c>
      <c r="W1565" t="str">
        <f>VLOOKUP(D1565,Customers!$A:$C,3,0)</f>
        <v>Small Business</v>
      </c>
      <c r="X1565" t="str">
        <f>VLOOKUP(C1565,Sales_Representatives!$A:$B,2,0)</f>
        <v>Michael Davis</v>
      </c>
    </row>
    <row r="1566" spans="1:24" x14ac:dyDescent="0.3">
      <c r="A1566" t="s">
        <v>2285</v>
      </c>
      <c r="B1566" t="s">
        <v>2284</v>
      </c>
      <c r="C1566" t="s">
        <v>141</v>
      </c>
      <c r="D1566" t="s">
        <v>1643</v>
      </c>
      <c r="E1566" t="s">
        <v>15</v>
      </c>
      <c r="F1566">
        <v>5</v>
      </c>
      <c r="G1566">
        <v>477.48</v>
      </c>
      <c r="H1566">
        <v>0</v>
      </c>
      <c r="I1566" s="4">
        <v>2387.4</v>
      </c>
      <c r="J1566" t="s">
        <v>109</v>
      </c>
      <c r="K1566" t="s">
        <v>39</v>
      </c>
      <c r="L1566" s="4">
        <f>VLOOKUP(tblTransactions[[#This Row],[Product_ID]],tblProducts[],5,FALSE)</f>
        <v>275.51</v>
      </c>
      <c r="M1566" s="4">
        <f>tblTransactions[[#This Row],[Total_Amount]]-(tblTransactions[[#This Row],[Cost_Prices]]*tblTransactions[[#This Row],[Quantity]]*(1-tblTransactions[[#This Row],[Discount]]))</f>
        <v>1009.8500000000001</v>
      </c>
      <c r="N1566" s="3">
        <f>tblTransactions[[#This Row],[Profit]]/tblTransactions[[#This Row],[Total_Amount]]</f>
        <v>0.42299153891262464</v>
      </c>
      <c r="O1566" t="str">
        <f>TEXT(tblTransactions[[#This Row],[Date]], "MMM-YYYY")</f>
        <v>Dec-2023</v>
      </c>
      <c r="P1566" t="str">
        <f>"Q"&amp;ROUNDUP(MONTH(tblTransactions[[#This Row],[Date]])/3,0)&amp;"-"&amp;YEAR(tblTransactions[[#This Row],[Date]])</f>
        <v>Q4-2023</v>
      </c>
      <c r="Q1566">
        <f>YEAR(tblTransactions[[#This Row],[Date]])</f>
        <v>2023</v>
      </c>
      <c r="R1566" t="str">
        <f>TEXT(tblTransactions[[#This Row],[Date]],"DDDD")</f>
        <v>Wednesday</v>
      </c>
      <c r="S1566">
        <f>MONTH(tblTransactions[[#This Row],[Date]])</f>
        <v>12</v>
      </c>
      <c r="T1566" t="str">
        <f>VLOOKUP(E1566, Products!$A:$B,2,0)</f>
        <v>Laptops Ele-4</v>
      </c>
      <c r="U1566" t="str">
        <f>VLOOKUP(E1566,Products!$A:$C,3,0)</f>
        <v>Electronics</v>
      </c>
      <c r="V1566" t="str">
        <f>VLOOKUP(E1566,Products!$A:$D,4,0)</f>
        <v>Laptops</v>
      </c>
      <c r="W1566" t="str">
        <f>VLOOKUP(D1566,Customers!$A:$C,3,0)</f>
        <v>B2C</v>
      </c>
      <c r="X1566" t="str">
        <f>VLOOKUP(C1566,Sales_Representatives!$A:$B,2,0)</f>
        <v>Richard Garcia</v>
      </c>
    </row>
    <row r="1567" spans="1:24" x14ac:dyDescent="0.3">
      <c r="A1567" t="s">
        <v>2286</v>
      </c>
      <c r="B1567" t="s">
        <v>2284</v>
      </c>
      <c r="C1567" t="s">
        <v>131</v>
      </c>
      <c r="D1567" t="s">
        <v>2287</v>
      </c>
      <c r="E1567" t="s">
        <v>283</v>
      </c>
      <c r="F1567">
        <v>15</v>
      </c>
      <c r="G1567">
        <v>456.88</v>
      </c>
      <c r="H1567">
        <v>0.12</v>
      </c>
      <c r="I1567" s="4">
        <v>6030.82</v>
      </c>
      <c r="J1567" t="s">
        <v>44</v>
      </c>
      <c r="K1567" t="s">
        <v>35</v>
      </c>
      <c r="L1567" s="4">
        <f>VLOOKUP(tblTransactions[[#This Row],[Product_ID]],tblProducts[],5,FALSE)</f>
        <v>313.23</v>
      </c>
      <c r="M1567" s="4">
        <f>tblTransactions[[#This Row],[Total_Amount]]-(tblTransactions[[#This Row],[Cost_Prices]]*tblTransactions[[#This Row],[Quantity]]*(1-tblTransactions[[#This Row],[Discount]]))</f>
        <v>1896.1839999999993</v>
      </c>
      <c r="N1567" s="3">
        <f>tblTransactions[[#This Row],[Profit]]/tblTransactions[[#This Row],[Total_Amount]]</f>
        <v>0.3144156184399467</v>
      </c>
      <c r="O1567" t="str">
        <f>TEXT(tblTransactions[[#This Row],[Date]], "MMM-YYYY")</f>
        <v>Dec-2023</v>
      </c>
      <c r="P1567" t="str">
        <f>"Q"&amp;ROUNDUP(MONTH(tblTransactions[[#This Row],[Date]])/3,0)&amp;"-"&amp;YEAR(tblTransactions[[#This Row],[Date]])</f>
        <v>Q4-2023</v>
      </c>
      <c r="Q1567">
        <f>YEAR(tblTransactions[[#This Row],[Date]])</f>
        <v>2023</v>
      </c>
      <c r="R1567" t="str">
        <f>TEXT(tblTransactions[[#This Row],[Date]],"DDDD")</f>
        <v>Wednesday</v>
      </c>
      <c r="S1567">
        <f>MONTH(tblTransactions[[#This Row],[Date]])</f>
        <v>12</v>
      </c>
      <c r="T1567" t="str">
        <f>VLOOKUP(E1567, Products!$A:$B,2,0)</f>
        <v>Chairs Fur-3</v>
      </c>
      <c r="U1567" t="str">
        <f>VLOOKUP(E1567,Products!$A:$C,3,0)</f>
        <v>Furniture</v>
      </c>
      <c r="V1567" t="str">
        <f>VLOOKUP(E1567,Products!$A:$D,4,0)</f>
        <v>Chairs</v>
      </c>
      <c r="W1567" t="str">
        <f>VLOOKUP(D1567,Customers!$A:$C,3,0)</f>
        <v>B2B</v>
      </c>
      <c r="X1567" t="str">
        <f>VLOOKUP(C1567,Sales_Representatives!$A:$B,2,0)</f>
        <v>Michael Davis</v>
      </c>
    </row>
    <row r="1568" spans="1:24" x14ac:dyDescent="0.3">
      <c r="A1568" t="s">
        <v>2288</v>
      </c>
      <c r="B1568" t="s">
        <v>2289</v>
      </c>
      <c r="C1568" t="s">
        <v>107</v>
      </c>
      <c r="D1568" t="s">
        <v>1959</v>
      </c>
      <c r="E1568" t="s">
        <v>508</v>
      </c>
      <c r="F1568">
        <v>7</v>
      </c>
      <c r="G1568">
        <v>237.69</v>
      </c>
      <c r="H1568">
        <v>0.08</v>
      </c>
      <c r="I1568" s="4">
        <v>1530.72</v>
      </c>
      <c r="J1568" t="s">
        <v>109</v>
      </c>
      <c r="K1568" t="s">
        <v>39</v>
      </c>
      <c r="L1568" s="4">
        <f>VLOOKUP(tblTransactions[[#This Row],[Product_ID]],tblProducts[],5,FALSE)</f>
        <v>115.31</v>
      </c>
      <c r="M1568" s="4">
        <f>tblTransactions[[#This Row],[Total_Amount]]-(tblTransactions[[#This Row],[Cost_Prices]]*tblTransactions[[#This Row],[Quantity]]*(1-tblTransactions[[#This Row],[Discount]]))</f>
        <v>788.1235999999999</v>
      </c>
      <c r="N1568" s="3">
        <f>tblTransactions[[#This Row],[Profit]]/tblTransactions[[#This Row],[Total_Amount]]</f>
        <v>0.51487117173617636</v>
      </c>
      <c r="O1568" t="str">
        <f>TEXT(tblTransactions[[#This Row],[Date]], "MMM-YYYY")</f>
        <v>Dec-2023</v>
      </c>
      <c r="P1568" t="str">
        <f>"Q"&amp;ROUNDUP(MONTH(tblTransactions[[#This Row],[Date]])/3,0)&amp;"-"&amp;YEAR(tblTransactions[[#This Row],[Date]])</f>
        <v>Q4-2023</v>
      </c>
      <c r="Q1568">
        <f>YEAR(tblTransactions[[#This Row],[Date]])</f>
        <v>2023</v>
      </c>
      <c r="R1568" t="str">
        <f>TEXT(tblTransactions[[#This Row],[Date]],"DDDD")</f>
        <v>Thursday</v>
      </c>
      <c r="S1568">
        <f>MONTH(tblTransactions[[#This Row],[Date]])</f>
        <v>12</v>
      </c>
      <c r="T1568" t="str">
        <f>VLOOKUP(E1568, Products!$A:$B,2,0)</f>
        <v>Folders Off-3</v>
      </c>
      <c r="U1568" t="str">
        <f>VLOOKUP(E1568,Products!$A:$C,3,0)</f>
        <v>Office Supplies</v>
      </c>
      <c r="V1568" t="str">
        <f>VLOOKUP(E1568,Products!$A:$D,4,0)</f>
        <v>Folders</v>
      </c>
      <c r="W1568" t="str">
        <f>VLOOKUP(D1568,Customers!$A:$C,3,0)</f>
        <v>Small Business</v>
      </c>
      <c r="X1568" t="str">
        <f>VLOOKUP(C1568,Sales_Representatives!$A:$B,2,0)</f>
        <v>Jennifer Brown</v>
      </c>
    </row>
    <row r="1569" spans="1:24" x14ac:dyDescent="0.3">
      <c r="A1569" t="s">
        <v>2290</v>
      </c>
      <c r="B1569" t="s">
        <v>2289</v>
      </c>
      <c r="C1569" t="s">
        <v>70</v>
      </c>
      <c r="D1569" t="s">
        <v>212</v>
      </c>
      <c r="E1569" t="s">
        <v>178</v>
      </c>
      <c r="F1569">
        <v>5</v>
      </c>
      <c r="G1569">
        <v>1623.35</v>
      </c>
      <c r="H1569">
        <v>0.09</v>
      </c>
      <c r="I1569" s="4">
        <v>7386.24</v>
      </c>
      <c r="J1569" t="s">
        <v>16</v>
      </c>
      <c r="K1569" t="s">
        <v>35</v>
      </c>
      <c r="L1569" s="4">
        <f>VLOOKUP(tblTransactions[[#This Row],[Product_ID]],tblProducts[],5,FALSE)</f>
        <v>981.45</v>
      </c>
      <c r="M1569" s="4">
        <f>tblTransactions[[#This Row],[Total_Amount]]-(tblTransactions[[#This Row],[Cost_Prices]]*tblTransactions[[#This Row],[Quantity]]*(1-tblTransactions[[#This Row],[Discount]]))</f>
        <v>2920.6424999999999</v>
      </c>
      <c r="N1569" s="3">
        <f>tblTransactions[[#This Row],[Profit]]/tblTransactions[[#This Row],[Total_Amount]]</f>
        <v>0.39541668020535481</v>
      </c>
      <c r="O1569" t="str">
        <f>TEXT(tblTransactions[[#This Row],[Date]], "MMM-YYYY")</f>
        <v>Dec-2023</v>
      </c>
      <c r="P1569" t="str">
        <f>"Q"&amp;ROUNDUP(MONTH(tblTransactions[[#This Row],[Date]])/3,0)&amp;"-"&amp;YEAR(tblTransactions[[#This Row],[Date]])</f>
        <v>Q4-2023</v>
      </c>
      <c r="Q1569">
        <f>YEAR(tblTransactions[[#This Row],[Date]])</f>
        <v>2023</v>
      </c>
      <c r="R1569" t="str">
        <f>TEXT(tblTransactions[[#This Row],[Date]],"DDDD")</f>
        <v>Thursday</v>
      </c>
      <c r="S1569">
        <f>MONTH(tblTransactions[[#This Row],[Date]])</f>
        <v>12</v>
      </c>
      <c r="T1569" t="str">
        <f>VLOOKUP(E1569, Products!$A:$B,2,0)</f>
        <v>Tablets Ele-1</v>
      </c>
      <c r="U1569" t="str">
        <f>VLOOKUP(E1569,Products!$A:$C,3,0)</f>
        <v>Electronics</v>
      </c>
      <c r="V1569" t="str">
        <f>VLOOKUP(E1569,Products!$A:$D,4,0)</f>
        <v>Tablets</v>
      </c>
      <c r="W1569" t="str">
        <f>VLOOKUP(D1569,Customers!$A:$C,3,0)</f>
        <v>B2C</v>
      </c>
      <c r="X1569" t="str">
        <f>VLOOKUP(C1569,Sales_Representatives!$A:$B,2,0)</f>
        <v>Linda Smith</v>
      </c>
    </row>
    <row r="1570" spans="1:24" x14ac:dyDescent="0.3">
      <c r="A1570" t="s">
        <v>2291</v>
      </c>
      <c r="B1570" t="s">
        <v>2289</v>
      </c>
      <c r="C1570" t="s">
        <v>19</v>
      </c>
      <c r="D1570" t="s">
        <v>1586</v>
      </c>
      <c r="E1570" t="s">
        <v>243</v>
      </c>
      <c r="F1570">
        <v>8</v>
      </c>
      <c r="G1570">
        <v>384.18</v>
      </c>
      <c r="H1570">
        <v>0.14000000000000001</v>
      </c>
      <c r="I1570" s="4">
        <v>2643.16</v>
      </c>
      <c r="J1570" t="s">
        <v>21</v>
      </c>
      <c r="K1570" t="s">
        <v>17</v>
      </c>
      <c r="L1570" s="4">
        <f>VLOOKUP(tblTransactions[[#This Row],[Product_ID]],tblProducts[],5,FALSE)</f>
        <v>266.92</v>
      </c>
      <c r="M1570" s="4">
        <f>tblTransactions[[#This Row],[Total_Amount]]-(tblTransactions[[#This Row],[Cost_Prices]]*tblTransactions[[#This Row],[Quantity]]*(1-tblTransactions[[#This Row],[Discount]]))</f>
        <v>806.75039999999967</v>
      </c>
      <c r="N1570" s="3">
        <f>tblTransactions[[#This Row],[Profit]]/tblTransactions[[#This Row],[Total_Amount]]</f>
        <v>0.30522193132462649</v>
      </c>
      <c r="O1570" t="str">
        <f>TEXT(tblTransactions[[#This Row],[Date]], "MMM-YYYY")</f>
        <v>Dec-2023</v>
      </c>
      <c r="P1570" t="str">
        <f>"Q"&amp;ROUNDUP(MONTH(tblTransactions[[#This Row],[Date]])/3,0)&amp;"-"&amp;YEAR(tblTransactions[[#This Row],[Date]])</f>
        <v>Q4-2023</v>
      </c>
      <c r="Q1570">
        <f>YEAR(tblTransactions[[#This Row],[Date]])</f>
        <v>2023</v>
      </c>
      <c r="R1570" t="str">
        <f>TEXT(tblTransactions[[#This Row],[Date]],"DDDD")</f>
        <v>Thursday</v>
      </c>
      <c r="S1570">
        <f>MONTH(tblTransactions[[#This Row],[Date]])</f>
        <v>12</v>
      </c>
      <c r="T1570" t="str">
        <f>VLOOKUP(E1570, Products!$A:$B,2,0)</f>
        <v>Routers Tec-3</v>
      </c>
      <c r="U1570" t="str">
        <f>VLOOKUP(E1570,Products!$A:$C,3,0)</f>
        <v>Technology</v>
      </c>
      <c r="V1570" t="str">
        <f>VLOOKUP(E1570,Products!$A:$D,4,0)</f>
        <v>Routers</v>
      </c>
      <c r="W1570" t="str">
        <f>VLOOKUP(D1570,Customers!$A:$C,3,0)</f>
        <v>B2B</v>
      </c>
      <c r="X1570" t="str">
        <f>VLOOKUP(C1570,Sales_Representatives!$A:$B,2,0)</f>
        <v>Robert Jones</v>
      </c>
    </row>
    <row r="1571" spans="1:24" x14ac:dyDescent="0.3">
      <c r="A1571" t="s">
        <v>2292</v>
      </c>
      <c r="B1571" t="s">
        <v>2289</v>
      </c>
      <c r="C1571" t="s">
        <v>27</v>
      </c>
      <c r="D1571" t="s">
        <v>101</v>
      </c>
      <c r="E1571" t="s">
        <v>508</v>
      </c>
      <c r="F1571">
        <v>4</v>
      </c>
      <c r="G1571">
        <v>237.69</v>
      </c>
      <c r="H1571">
        <v>0</v>
      </c>
      <c r="I1571" s="4">
        <v>950.76</v>
      </c>
      <c r="J1571" t="s">
        <v>16</v>
      </c>
      <c r="K1571" t="s">
        <v>48</v>
      </c>
      <c r="L1571" s="4">
        <f>VLOOKUP(tblTransactions[[#This Row],[Product_ID]],tblProducts[],5,FALSE)</f>
        <v>115.31</v>
      </c>
      <c r="M1571" s="4">
        <f>tblTransactions[[#This Row],[Total_Amount]]-(tblTransactions[[#This Row],[Cost_Prices]]*tblTransactions[[#This Row],[Quantity]]*(1-tblTransactions[[#This Row],[Discount]]))</f>
        <v>489.52</v>
      </c>
      <c r="N1571" s="3">
        <f>tblTransactions[[#This Row],[Profit]]/tblTransactions[[#This Row],[Total_Amount]]</f>
        <v>0.51487231267617484</v>
      </c>
      <c r="O1571" t="str">
        <f>TEXT(tblTransactions[[#This Row],[Date]], "MMM-YYYY")</f>
        <v>Dec-2023</v>
      </c>
      <c r="P1571" t="str">
        <f>"Q"&amp;ROUNDUP(MONTH(tblTransactions[[#This Row],[Date]])/3,0)&amp;"-"&amp;YEAR(tblTransactions[[#This Row],[Date]])</f>
        <v>Q4-2023</v>
      </c>
      <c r="Q1571">
        <f>YEAR(tblTransactions[[#This Row],[Date]])</f>
        <v>2023</v>
      </c>
      <c r="R1571" t="str">
        <f>TEXT(tblTransactions[[#This Row],[Date]],"DDDD")</f>
        <v>Thursday</v>
      </c>
      <c r="S1571">
        <f>MONTH(tblTransactions[[#This Row],[Date]])</f>
        <v>12</v>
      </c>
      <c r="T1571" t="str">
        <f>VLOOKUP(E1571, Products!$A:$B,2,0)</f>
        <v>Folders Off-3</v>
      </c>
      <c r="U1571" t="str">
        <f>VLOOKUP(E1571,Products!$A:$C,3,0)</f>
        <v>Office Supplies</v>
      </c>
      <c r="V1571" t="str">
        <f>VLOOKUP(E1571,Products!$A:$D,4,0)</f>
        <v>Folders</v>
      </c>
      <c r="W1571" t="str">
        <f>VLOOKUP(D1571,Customers!$A:$C,3,0)</f>
        <v>B2C</v>
      </c>
      <c r="X1571" t="str">
        <f>VLOOKUP(C1571,Sales_Representatives!$A:$B,2,0)</f>
        <v>Thomas Lopez</v>
      </c>
    </row>
    <row r="1572" spans="1:24" x14ac:dyDescent="0.3">
      <c r="A1572" t="s">
        <v>2293</v>
      </c>
      <c r="B1572" t="s">
        <v>2289</v>
      </c>
      <c r="C1572" t="s">
        <v>127</v>
      </c>
      <c r="D1572" t="s">
        <v>1470</v>
      </c>
      <c r="E1572" t="s">
        <v>91</v>
      </c>
      <c r="F1572">
        <v>3</v>
      </c>
      <c r="G1572">
        <v>286.62</v>
      </c>
      <c r="H1572">
        <v>0.01</v>
      </c>
      <c r="I1572" s="4">
        <v>851.26</v>
      </c>
      <c r="J1572" t="s">
        <v>109</v>
      </c>
      <c r="K1572" t="s">
        <v>48</v>
      </c>
      <c r="L1572" s="4">
        <f>VLOOKUP(tblTransactions[[#This Row],[Product_ID]],tblProducts[],5,FALSE)</f>
        <v>145.54</v>
      </c>
      <c r="M1572" s="4">
        <f>tblTransactions[[#This Row],[Total_Amount]]-(tblTransactions[[#This Row],[Cost_Prices]]*tblTransactions[[#This Row],[Quantity]]*(1-tblTransactions[[#This Row],[Discount]]))</f>
        <v>419.00619999999998</v>
      </c>
      <c r="N1572" s="3">
        <f>tblTransactions[[#This Row],[Profit]]/tblTransactions[[#This Row],[Total_Amount]]</f>
        <v>0.49221882856001692</v>
      </c>
      <c r="O1572" t="str">
        <f>TEXT(tblTransactions[[#This Row],[Date]], "MMM-YYYY")</f>
        <v>Dec-2023</v>
      </c>
      <c r="P1572" t="str">
        <f>"Q"&amp;ROUNDUP(MONTH(tblTransactions[[#This Row],[Date]])/3,0)&amp;"-"&amp;YEAR(tblTransactions[[#This Row],[Date]])</f>
        <v>Q4-2023</v>
      </c>
      <c r="Q1572">
        <f>YEAR(tblTransactions[[#This Row],[Date]])</f>
        <v>2023</v>
      </c>
      <c r="R1572" t="str">
        <f>TEXT(tblTransactions[[#This Row],[Date]],"DDDD")</f>
        <v>Thursday</v>
      </c>
      <c r="S1572">
        <f>MONTH(tblTransactions[[#This Row],[Date]])</f>
        <v>12</v>
      </c>
      <c r="T1572" t="str">
        <f>VLOOKUP(E1572, Products!$A:$B,2,0)</f>
        <v>Chairs Fur-1</v>
      </c>
      <c r="U1572" t="str">
        <f>VLOOKUP(E1572,Products!$A:$C,3,0)</f>
        <v>Furniture</v>
      </c>
      <c r="V1572" t="str">
        <f>VLOOKUP(E1572,Products!$A:$D,4,0)</f>
        <v>Chairs</v>
      </c>
      <c r="W1572" t="str">
        <f>VLOOKUP(D1572,Customers!$A:$C,3,0)</f>
        <v>Small Business</v>
      </c>
      <c r="X1572" t="str">
        <f>VLOOKUP(C1572,Sales_Representatives!$A:$B,2,0)</f>
        <v>Emily Hernandez</v>
      </c>
    </row>
    <row r="1573" spans="1:24" x14ac:dyDescent="0.3">
      <c r="A1573" t="s">
        <v>2294</v>
      </c>
      <c r="B1573" t="s">
        <v>2295</v>
      </c>
      <c r="C1573" t="s">
        <v>63</v>
      </c>
      <c r="D1573" t="s">
        <v>1502</v>
      </c>
      <c r="E1573" t="s">
        <v>310</v>
      </c>
      <c r="F1573">
        <v>4</v>
      </c>
      <c r="G1573">
        <v>274.13</v>
      </c>
      <c r="H1573">
        <v>7.0000000000000007E-2</v>
      </c>
      <c r="I1573" s="4">
        <v>1019.76</v>
      </c>
      <c r="J1573" t="s">
        <v>21</v>
      </c>
      <c r="K1573" t="s">
        <v>17</v>
      </c>
      <c r="L1573" s="4">
        <f>VLOOKUP(tblTransactions[[#This Row],[Product_ID]],tblProducts[],5,FALSE)</f>
        <v>134.41999999999999</v>
      </c>
      <c r="M1573" s="4">
        <f>tblTransactions[[#This Row],[Total_Amount]]-(tblTransactions[[#This Row],[Cost_Prices]]*tblTransactions[[#This Row],[Quantity]]*(1-tblTransactions[[#This Row],[Discount]]))</f>
        <v>519.71760000000006</v>
      </c>
      <c r="N1573" s="3">
        <f>tblTransactions[[#This Row],[Profit]]/tblTransactions[[#This Row],[Total_Amount]]</f>
        <v>0.5096469757590022</v>
      </c>
      <c r="O1573" t="str">
        <f>TEXT(tblTransactions[[#This Row],[Date]], "MMM-YYYY")</f>
        <v>Dec-2023</v>
      </c>
      <c r="P1573" t="str">
        <f>"Q"&amp;ROUNDUP(MONTH(tblTransactions[[#This Row],[Date]])/3,0)&amp;"-"&amp;YEAR(tblTransactions[[#This Row],[Date]])</f>
        <v>Q4-2023</v>
      </c>
      <c r="Q1573">
        <f>YEAR(tblTransactions[[#This Row],[Date]])</f>
        <v>2023</v>
      </c>
      <c r="R1573" t="str">
        <f>TEXT(tblTransactions[[#This Row],[Date]],"DDDD")</f>
        <v>Friday</v>
      </c>
      <c r="S1573">
        <f>MONTH(tblTransactions[[#This Row],[Date]])</f>
        <v>12</v>
      </c>
      <c r="T1573" t="str">
        <f>VLOOKUP(E1573, Products!$A:$B,2,0)</f>
        <v>Adapters Acc-4</v>
      </c>
      <c r="U1573" t="str">
        <f>VLOOKUP(E1573,Products!$A:$C,3,0)</f>
        <v>Accessories</v>
      </c>
      <c r="V1573" t="str">
        <f>VLOOKUP(E1573,Products!$A:$D,4,0)</f>
        <v>Adapters</v>
      </c>
      <c r="W1573" t="str">
        <f>VLOOKUP(D1573,Customers!$A:$C,3,0)</f>
        <v>Small Business</v>
      </c>
      <c r="X1573" t="str">
        <f>VLOOKUP(C1573,Sales_Representatives!$A:$B,2,0)</f>
        <v>Richard Wilson</v>
      </c>
    </row>
    <row r="1574" spans="1:24" x14ac:dyDescent="0.3">
      <c r="A1574" t="s">
        <v>2296</v>
      </c>
      <c r="B1574" t="s">
        <v>2295</v>
      </c>
      <c r="C1574" t="s">
        <v>56</v>
      </c>
      <c r="D1574" t="s">
        <v>2297</v>
      </c>
      <c r="E1574" t="s">
        <v>65</v>
      </c>
      <c r="F1574">
        <v>5</v>
      </c>
      <c r="G1574">
        <v>49.44</v>
      </c>
      <c r="H1574">
        <v>0.06</v>
      </c>
      <c r="I1574" s="4">
        <v>232.37</v>
      </c>
      <c r="J1574" t="s">
        <v>34</v>
      </c>
      <c r="K1574" t="s">
        <v>48</v>
      </c>
      <c r="L1574" s="4">
        <f>VLOOKUP(tblTransactions[[#This Row],[Product_ID]],tblProducts[],5,FALSE)</f>
        <v>22.34</v>
      </c>
      <c r="M1574" s="4">
        <f>tblTransactions[[#This Row],[Total_Amount]]-(tblTransactions[[#This Row],[Cost_Prices]]*tblTransactions[[#This Row],[Quantity]]*(1-tblTransactions[[#This Row],[Discount]]))</f>
        <v>127.37200000000001</v>
      </c>
      <c r="N1574" s="3">
        <f>tblTransactions[[#This Row],[Profit]]/tblTransactions[[#This Row],[Total_Amount]]</f>
        <v>0.54814304772561007</v>
      </c>
      <c r="O1574" t="str">
        <f>TEXT(tblTransactions[[#This Row],[Date]], "MMM-YYYY")</f>
        <v>Dec-2023</v>
      </c>
      <c r="P1574" t="str">
        <f>"Q"&amp;ROUNDUP(MONTH(tblTransactions[[#This Row],[Date]])/3,0)&amp;"-"&amp;YEAR(tblTransactions[[#This Row],[Date]])</f>
        <v>Q4-2023</v>
      </c>
      <c r="Q1574">
        <f>YEAR(tblTransactions[[#This Row],[Date]])</f>
        <v>2023</v>
      </c>
      <c r="R1574" t="str">
        <f>TEXT(tblTransactions[[#This Row],[Date]],"DDDD")</f>
        <v>Friday</v>
      </c>
      <c r="S1574">
        <f>MONTH(tblTransactions[[#This Row],[Date]])</f>
        <v>12</v>
      </c>
      <c r="T1574" t="str">
        <f>VLOOKUP(E1574, Products!$A:$B,2,0)</f>
        <v>Folders Off-2</v>
      </c>
      <c r="U1574" t="str">
        <f>VLOOKUP(E1574,Products!$A:$C,3,0)</f>
        <v>Office Supplies</v>
      </c>
      <c r="V1574" t="str">
        <f>VLOOKUP(E1574,Products!$A:$D,4,0)</f>
        <v>Folders</v>
      </c>
      <c r="W1574" t="str">
        <f>VLOOKUP(D1574,Customers!$A:$C,3,0)</f>
        <v>B2C</v>
      </c>
      <c r="X1574" t="str">
        <f>VLOOKUP(C1574,Sales_Representatives!$A:$B,2,0)</f>
        <v>Thomas Hernandez</v>
      </c>
    </row>
    <row r="1575" spans="1:24" x14ac:dyDescent="0.3">
      <c r="A1575" t="s">
        <v>2298</v>
      </c>
      <c r="B1575" t="s">
        <v>2295</v>
      </c>
      <c r="C1575" t="s">
        <v>31</v>
      </c>
      <c r="D1575" t="s">
        <v>1971</v>
      </c>
      <c r="E1575" t="s">
        <v>200</v>
      </c>
      <c r="F1575">
        <v>19</v>
      </c>
      <c r="G1575">
        <v>544.77</v>
      </c>
      <c r="H1575">
        <v>0.12</v>
      </c>
      <c r="I1575" s="4">
        <v>9108.5499999999993</v>
      </c>
      <c r="J1575" t="s">
        <v>34</v>
      </c>
      <c r="K1575" t="s">
        <v>35</v>
      </c>
      <c r="L1575" s="4">
        <f>VLOOKUP(tblTransactions[[#This Row],[Product_ID]],tblProducts[],5,FALSE)</f>
        <v>318.2</v>
      </c>
      <c r="M1575" s="4">
        <f>tblTransactions[[#This Row],[Total_Amount]]-(tblTransactions[[#This Row],[Cost_Prices]]*tblTransactions[[#This Row],[Quantity]]*(1-tblTransactions[[#This Row],[Discount]]))</f>
        <v>3788.2459999999992</v>
      </c>
      <c r="N1575" s="3">
        <f>tblTransactions[[#This Row],[Profit]]/tblTransactions[[#This Row],[Total_Amount]]</f>
        <v>0.41590000603828264</v>
      </c>
      <c r="O1575" t="str">
        <f>TEXT(tblTransactions[[#This Row],[Date]], "MMM-YYYY")</f>
        <v>Dec-2023</v>
      </c>
      <c r="P1575" t="str">
        <f>"Q"&amp;ROUNDUP(MONTH(tblTransactions[[#This Row],[Date]])/3,0)&amp;"-"&amp;YEAR(tblTransactions[[#This Row],[Date]])</f>
        <v>Q4-2023</v>
      </c>
      <c r="Q1575">
        <f>YEAR(tblTransactions[[#This Row],[Date]])</f>
        <v>2023</v>
      </c>
      <c r="R1575" t="str">
        <f>TEXT(tblTransactions[[#This Row],[Date]],"DDDD")</f>
        <v>Friday</v>
      </c>
      <c r="S1575">
        <f>MONTH(tblTransactions[[#This Row],[Date]])</f>
        <v>12</v>
      </c>
      <c r="T1575" t="str">
        <f>VLOOKUP(E1575, Products!$A:$B,2,0)</f>
        <v>Desks Fur-4</v>
      </c>
      <c r="U1575" t="str">
        <f>VLOOKUP(E1575,Products!$A:$C,3,0)</f>
        <v>Furniture</v>
      </c>
      <c r="V1575" t="str">
        <f>VLOOKUP(E1575,Products!$A:$D,4,0)</f>
        <v>Desks</v>
      </c>
      <c r="W1575" t="str">
        <f>VLOOKUP(D1575,Customers!$A:$C,3,0)</f>
        <v>B2B</v>
      </c>
      <c r="X1575" t="str">
        <f>VLOOKUP(C1575,Sales_Representatives!$A:$B,2,0)</f>
        <v>Thomas Martinez</v>
      </c>
    </row>
    <row r="1576" spans="1:24" x14ac:dyDescent="0.3">
      <c r="A1576" t="s">
        <v>2299</v>
      </c>
      <c r="B1576" t="s">
        <v>2295</v>
      </c>
      <c r="C1576" t="s">
        <v>70</v>
      </c>
      <c r="D1576" t="s">
        <v>2300</v>
      </c>
      <c r="E1576" t="s">
        <v>87</v>
      </c>
      <c r="F1576">
        <v>11</v>
      </c>
      <c r="G1576">
        <v>1047.8900000000001</v>
      </c>
      <c r="H1576">
        <v>0.15</v>
      </c>
      <c r="I1576" s="4">
        <v>9797.77</v>
      </c>
      <c r="J1576" t="s">
        <v>16</v>
      </c>
      <c r="K1576" t="s">
        <v>22</v>
      </c>
      <c r="L1576" s="4">
        <f>VLOOKUP(tblTransactions[[#This Row],[Product_ID]],tblProducts[],5,FALSE)</f>
        <v>742.63</v>
      </c>
      <c r="M1576" s="4">
        <f>tblTransactions[[#This Row],[Total_Amount]]-(tblTransactions[[#This Row],[Cost_Prices]]*tblTransactions[[#This Row],[Quantity]]*(1-tblTransactions[[#This Row],[Discount]]))</f>
        <v>2854.1795000000002</v>
      </c>
      <c r="N1576" s="3">
        <f>tblTransactions[[#This Row],[Profit]]/tblTransactions[[#This Row],[Total_Amount]]</f>
        <v>0.29130909380399828</v>
      </c>
      <c r="O1576" t="str">
        <f>TEXT(tblTransactions[[#This Row],[Date]], "MMM-YYYY")</f>
        <v>Dec-2023</v>
      </c>
      <c r="P1576" t="str">
        <f>"Q"&amp;ROUNDUP(MONTH(tblTransactions[[#This Row],[Date]])/3,0)&amp;"-"&amp;YEAR(tblTransactions[[#This Row],[Date]])</f>
        <v>Q4-2023</v>
      </c>
      <c r="Q1576">
        <f>YEAR(tblTransactions[[#This Row],[Date]])</f>
        <v>2023</v>
      </c>
      <c r="R1576" t="str">
        <f>TEXT(tblTransactions[[#This Row],[Date]],"DDDD")</f>
        <v>Friday</v>
      </c>
      <c r="S1576">
        <f>MONTH(tblTransactions[[#This Row],[Date]])</f>
        <v>12</v>
      </c>
      <c r="T1576" t="str">
        <f>VLOOKUP(E1576, Products!$A:$B,2,0)</f>
        <v>Monitors Tec-2</v>
      </c>
      <c r="U1576" t="str">
        <f>VLOOKUP(E1576,Products!$A:$C,3,0)</f>
        <v>Technology</v>
      </c>
      <c r="V1576" t="str">
        <f>VLOOKUP(E1576,Products!$A:$D,4,0)</f>
        <v>Monitors</v>
      </c>
      <c r="W1576" t="str">
        <f>VLOOKUP(D1576,Customers!$A:$C,3,0)</f>
        <v>Enterprise</v>
      </c>
      <c r="X1576" t="str">
        <f>VLOOKUP(C1576,Sales_Representatives!$A:$B,2,0)</f>
        <v>Linda Smith</v>
      </c>
    </row>
    <row r="1577" spans="1:24" x14ac:dyDescent="0.3">
      <c r="A1577" t="s">
        <v>2301</v>
      </c>
      <c r="B1577" t="s">
        <v>2295</v>
      </c>
      <c r="C1577" t="s">
        <v>70</v>
      </c>
      <c r="D1577" t="s">
        <v>2074</v>
      </c>
      <c r="E1577" t="s">
        <v>172</v>
      </c>
      <c r="F1577">
        <v>5</v>
      </c>
      <c r="G1577">
        <v>1371.15</v>
      </c>
      <c r="H1577">
        <v>0.05</v>
      </c>
      <c r="I1577" s="4">
        <v>6512.96</v>
      </c>
      <c r="J1577" t="s">
        <v>16</v>
      </c>
      <c r="K1577" t="s">
        <v>17</v>
      </c>
      <c r="L1577" s="4">
        <f>VLOOKUP(tblTransactions[[#This Row],[Product_ID]],tblProducts[],5,FALSE)</f>
        <v>989.81</v>
      </c>
      <c r="M1577" s="4">
        <f>tblTransactions[[#This Row],[Total_Amount]]-(tblTransactions[[#This Row],[Cost_Prices]]*tblTransactions[[#This Row],[Quantity]]*(1-tblTransactions[[#This Row],[Discount]]))</f>
        <v>1811.3625000000011</v>
      </c>
      <c r="N1577" s="3">
        <f>tblTransactions[[#This Row],[Profit]]/tblTransactions[[#This Row],[Total_Amount]]</f>
        <v>0.27811663206898263</v>
      </c>
      <c r="O1577" t="str">
        <f>TEXT(tblTransactions[[#This Row],[Date]], "MMM-YYYY")</f>
        <v>Dec-2023</v>
      </c>
      <c r="P1577" t="str">
        <f>"Q"&amp;ROUNDUP(MONTH(tblTransactions[[#This Row],[Date]])/3,0)&amp;"-"&amp;YEAR(tblTransactions[[#This Row],[Date]])</f>
        <v>Q4-2023</v>
      </c>
      <c r="Q1577">
        <f>YEAR(tblTransactions[[#This Row],[Date]])</f>
        <v>2023</v>
      </c>
      <c r="R1577" t="str">
        <f>TEXT(tblTransactions[[#This Row],[Date]],"DDDD")</f>
        <v>Friday</v>
      </c>
      <c r="S1577">
        <f>MONTH(tblTransactions[[#This Row],[Date]])</f>
        <v>12</v>
      </c>
      <c r="T1577" t="str">
        <f>VLOOKUP(E1577, Products!$A:$B,2,0)</f>
        <v>Cameras Ele-4</v>
      </c>
      <c r="U1577" t="str">
        <f>VLOOKUP(E1577,Products!$A:$C,3,0)</f>
        <v>Electronics</v>
      </c>
      <c r="V1577" t="str">
        <f>VLOOKUP(E1577,Products!$A:$D,4,0)</f>
        <v>Cameras</v>
      </c>
      <c r="W1577" t="str">
        <f>VLOOKUP(D1577,Customers!$A:$C,3,0)</f>
        <v>B2C</v>
      </c>
      <c r="X1577" t="str">
        <f>VLOOKUP(C1577,Sales_Representatives!$A:$B,2,0)</f>
        <v>Linda Smith</v>
      </c>
    </row>
    <row r="1578" spans="1:24" x14ac:dyDescent="0.3">
      <c r="A1578" t="s">
        <v>2302</v>
      </c>
      <c r="B1578" t="s">
        <v>2295</v>
      </c>
      <c r="C1578" t="s">
        <v>56</v>
      </c>
      <c r="D1578" t="s">
        <v>2068</v>
      </c>
      <c r="E1578" t="s">
        <v>258</v>
      </c>
      <c r="F1578">
        <v>3</v>
      </c>
      <c r="G1578">
        <v>73.33</v>
      </c>
      <c r="H1578">
        <v>7.0000000000000007E-2</v>
      </c>
      <c r="I1578" s="4">
        <v>204.59</v>
      </c>
      <c r="J1578" t="s">
        <v>34</v>
      </c>
      <c r="K1578" t="s">
        <v>39</v>
      </c>
      <c r="L1578" s="4">
        <f>VLOOKUP(tblTransactions[[#This Row],[Product_ID]],tblProducts[],5,FALSE)</f>
        <v>38.049999999999997</v>
      </c>
      <c r="M1578" s="4">
        <f>tblTransactions[[#This Row],[Total_Amount]]-(tblTransactions[[#This Row],[Cost_Prices]]*tblTransactions[[#This Row],[Quantity]]*(1-tblTransactions[[#This Row],[Discount]]))</f>
        <v>98.430500000000023</v>
      </c>
      <c r="N1578" s="3">
        <f>tblTransactions[[#This Row],[Profit]]/tblTransactions[[#This Row],[Total_Amount]]</f>
        <v>0.48111100249279054</v>
      </c>
      <c r="O1578" t="str">
        <f>TEXT(tblTransactions[[#This Row],[Date]], "MMM-YYYY")</f>
        <v>Dec-2023</v>
      </c>
      <c r="P1578" t="str">
        <f>"Q"&amp;ROUNDUP(MONTH(tblTransactions[[#This Row],[Date]])/3,0)&amp;"-"&amp;YEAR(tblTransactions[[#This Row],[Date]])</f>
        <v>Q4-2023</v>
      </c>
      <c r="Q1578">
        <f>YEAR(tblTransactions[[#This Row],[Date]])</f>
        <v>2023</v>
      </c>
      <c r="R1578" t="str">
        <f>TEXT(tblTransactions[[#This Row],[Date]],"DDDD")</f>
        <v>Friday</v>
      </c>
      <c r="S1578">
        <f>MONTH(tblTransactions[[#This Row],[Date]])</f>
        <v>12</v>
      </c>
      <c r="T1578" t="str">
        <f>VLOOKUP(E1578, Products!$A:$B,2,0)</f>
        <v>Keyboards Acc-3</v>
      </c>
      <c r="U1578" t="str">
        <f>VLOOKUP(E1578,Products!$A:$C,3,0)</f>
        <v>Accessories</v>
      </c>
      <c r="V1578" t="str">
        <f>VLOOKUP(E1578,Products!$A:$D,4,0)</f>
        <v>Keyboards</v>
      </c>
      <c r="W1578" t="str">
        <f>VLOOKUP(D1578,Customers!$A:$C,3,0)</f>
        <v>Small Business</v>
      </c>
      <c r="X1578" t="str">
        <f>VLOOKUP(C1578,Sales_Representatives!$A:$B,2,0)</f>
        <v>Thomas Hernandez</v>
      </c>
    </row>
    <row r="1579" spans="1:24" x14ac:dyDescent="0.3">
      <c r="A1579" t="s">
        <v>2303</v>
      </c>
      <c r="B1579" t="s">
        <v>2295</v>
      </c>
      <c r="C1579" t="s">
        <v>41</v>
      </c>
      <c r="D1579" t="s">
        <v>1496</v>
      </c>
      <c r="E1579" t="s">
        <v>68</v>
      </c>
      <c r="F1579">
        <v>29</v>
      </c>
      <c r="G1579">
        <v>522.63</v>
      </c>
      <c r="H1579">
        <v>0.23</v>
      </c>
      <c r="I1579" s="4">
        <v>11670.33</v>
      </c>
      <c r="J1579" t="s">
        <v>44</v>
      </c>
      <c r="K1579" t="s">
        <v>48</v>
      </c>
      <c r="L1579" s="4">
        <f>VLOOKUP(tblTransactions[[#This Row],[Product_ID]],tblProducts[],5,FALSE)</f>
        <v>355.82</v>
      </c>
      <c r="M1579" s="4">
        <f>tblTransactions[[#This Row],[Total_Amount]]-(tblTransactions[[#This Row],[Cost_Prices]]*tblTransactions[[#This Row],[Quantity]]*(1-tblTransactions[[#This Row],[Discount]]))</f>
        <v>3724.8693999999996</v>
      </c>
      <c r="N1579" s="3">
        <f>tblTransactions[[#This Row],[Profit]]/tblTransactions[[#This Row],[Total_Amount]]</f>
        <v>0.31917429927002916</v>
      </c>
      <c r="O1579" t="str">
        <f>TEXT(tblTransactions[[#This Row],[Date]], "MMM-YYYY")</f>
        <v>Dec-2023</v>
      </c>
      <c r="P1579" t="str">
        <f>"Q"&amp;ROUNDUP(MONTH(tblTransactions[[#This Row],[Date]])/3,0)&amp;"-"&amp;YEAR(tblTransactions[[#This Row],[Date]])</f>
        <v>Q4-2023</v>
      </c>
      <c r="Q1579">
        <f>YEAR(tblTransactions[[#This Row],[Date]])</f>
        <v>2023</v>
      </c>
      <c r="R1579" t="str">
        <f>TEXT(tblTransactions[[#This Row],[Date]],"DDDD")</f>
        <v>Friday</v>
      </c>
      <c r="S1579">
        <f>MONTH(tblTransactions[[#This Row],[Date]])</f>
        <v>12</v>
      </c>
      <c r="T1579" t="str">
        <f>VLOOKUP(E1579, Products!$A:$B,2,0)</f>
        <v>Monitors Tec-3</v>
      </c>
      <c r="U1579" t="str">
        <f>VLOOKUP(E1579,Products!$A:$C,3,0)</f>
        <v>Technology</v>
      </c>
      <c r="V1579" t="str">
        <f>VLOOKUP(E1579,Products!$A:$D,4,0)</f>
        <v>Monitors</v>
      </c>
      <c r="W1579" t="str">
        <f>VLOOKUP(D1579,Customers!$A:$C,3,0)</f>
        <v>Enterprise</v>
      </c>
      <c r="X1579" t="str">
        <f>VLOOKUP(C1579,Sales_Representatives!$A:$B,2,0)</f>
        <v>Robert Jones</v>
      </c>
    </row>
    <row r="1580" spans="1:24" x14ac:dyDescent="0.3">
      <c r="A1580" t="s">
        <v>2304</v>
      </c>
      <c r="B1580" t="s">
        <v>2305</v>
      </c>
      <c r="C1580" t="s">
        <v>141</v>
      </c>
      <c r="D1580" t="s">
        <v>1441</v>
      </c>
      <c r="E1580" t="s">
        <v>121</v>
      </c>
      <c r="F1580">
        <v>4</v>
      </c>
      <c r="G1580">
        <v>183.9</v>
      </c>
      <c r="H1580">
        <v>0.06</v>
      </c>
      <c r="I1580" s="4">
        <v>691.46</v>
      </c>
      <c r="J1580" t="s">
        <v>109</v>
      </c>
      <c r="K1580" t="s">
        <v>35</v>
      </c>
      <c r="L1580" s="4">
        <f>VLOOKUP(tblTransactions[[#This Row],[Product_ID]],tblProducts[],5,FALSE)</f>
        <v>116.83</v>
      </c>
      <c r="M1580" s="4">
        <f>tblTransactions[[#This Row],[Total_Amount]]-(tblTransactions[[#This Row],[Cost_Prices]]*tblTransactions[[#This Row],[Quantity]]*(1-tblTransactions[[#This Row],[Discount]]))</f>
        <v>252.17920000000009</v>
      </c>
      <c r="N1580" s="3">
        <f>tblTransactions[[#This Row],[Profit]]/tblTransactions[[#This Row],[Total_Amount]]</f>
        <v>0.36470540595262213</v>
      </c>
      <c r="O1580" t="str">
        <f>TEXT(tblTransactions[[#This Row],[Date]], "MMM-YYYY")</f>
        <v>Dec-2023</v>
      </c>
      <c r="P1580" t="str">
        <f>"Q"&amp;ROUNDUP(MONTH(tblTransactions[[#This Row],[Date]])/3,0)&amp;"-"&amp;YEAR(tblTransactions[[#This Row],[Date]])</f>
        <v>Q4-2023</v>
      </c>
      <c r="Q1580">
        <f>YEAR(tblTransactions[[#This Row],[Date]])</f>
        <v>2023</v>
      </c>
      <c r="R1580" t="str">
        <f>TEXT(tblTransactions[[#This Row],[Date]],"DDDD")</f>
        <v>Saturday</v>
      </c>
      <c r="S1580">
        <f>MONTH(tblTransactions[[#This Row],[Date]])</f>
        <v>12</v>
      </c>
      <c r="T1580" t="str">
        <f>VLOOKUP(E1580, Products!$A:$B,2,0)</f>
        <v>Pens Off-3</v>
      </c>
      <c r="U1580" t="str">
        <f>VLOOKUP(E1580,Products!$A:$C,3,0)</f>
        <v>Office Supplies</v>
      </c>
      <c r="V1580" t="str">
        <f>VLOOKUP(E1580,Products!$A:$D,4,0)</f>
        <v>Pens</v>
      </c>
      <c r="W1580" t="str">
        <f>VLOOKUP(D1580,Customers!$A:$C,3,0)</f>
        <v>Small Business</v>
      </c>
      <c r="X1580" t="str">
        <f>VLOOKUP(C1580,Sales_Representatives!$A:$B,2,0)</f>
        <v>Richard Garcia</v>
      </c>
    </row>
    <row r="1581" spans="1:24" x14ac:dyDescent="0.3">
      <c r="A1581" t="s">
        <v>2306</v>
      </c>
      <c r="B1581" t="s">
        <v>2305</v>
      </c>
      <c r="C1581" t="s">
        <v>75</v>
      </c>
      <c r="D1581" t="s">
        <v>98</v>
      </c>
      <c r="E1581" t="s">
        <v>508</v>
      </c>
      <c r="F1581">
        <v>4</v>
      </c>
      <c r="G1581">
        <v>237.69</v>
      </c>
      <c r="H1581">
        <v>0.06</v>
      </c>
      <c r="I1581" s="4">
        <v>893.71</v>
      </c>
      <c r="J1581" t="s">
        <v>44</v>
      </c>
      <c r="K1581" t="s">
        <v>22</v>
      </c>
      <c r="L1581" s="4">
        <f>VLOOKUP(tblTransactions[[#This Row],[Product_ID]],tblProducts[],5,FALSE)</f>
        <v>115.31</v>
      </c>
      <c r="M1581" s="4">
        <f>tblTransactions[[#This Row],[Total_Amount]]-(tblTransactions[[#This Row],[Cost_Prices]]*tblTransactions[[#This Row],[Quantity]]*(1-tblTransactions[[#This Row],[Discount]]))</f>
        <v>460.14440000000008</v>
      </c>
      <c r="N1581" s="3">
        <f>tblTransactions[[#This Row],[Profit]]/tblTransactions[[#This Row],[Total_Amount]]</f>
        <v>0.51486992424835798</v>
      </c>
      <c r="O1581" t="str">
        <f>TEXT(tblTransactions[[#This Row],[Date]], "MMM-YYYY")</f>
        <v>Dec-2023</v>
      </c>
      <c r="P1581" t="str">
        <f>"Q"&amp;ROUNDUP(MONTH(tblTransactions[[#This Row],[Date]])/3,0)&amp;"-"&amp;YEAR(tblTransactions[[#This Row],[Date]])</f>
        <v>Q4-2023</v>
      </c>
      <c r="Q1581">
        <f>YEAR(tblTransactions[[#This Row],[Date]])</f>
        <v>2023</v>
      </c>
      <c r="R1581" t="str">
        <f>TEXT(tblTransactions[[#This Row],[Date]],"DDDD")</f>
        <v>Saturday</v>
      </c>
      <c r="S1581">
        <f>MONTH(tblTransactions[[#This Row],[Date]])</f>
        <v>12</v>
      </c>
      <c r="T1581" t="str">
        <f>VLOOKUP(E1581, Products!$A:$B,2,0)</f>
        <v>Folders Off-3</v>
      </c>
      <c r="U1581" t="str">
        <f>VLOOKUP(E1581,Products!$A:$C,3,0)</f>
        <v>Office Supplies</v>
      </c>
      <c r="V1581" t="str">
        <f>VLOOKUP(E1581,Products!$A:$D,4,0)</f>
        <v>Folders</v>
      </c>
      <c r="W1581" t="str">
        <f>VLOOKUP(D1581,Customers!$A:$C,3,0)</f>
        <v>B2C</v>
      </c>
      <c r="X1581" t="str">
        <f>VLOOKUP(C1581,Sales_Representatives!$A:$B,2,0)</f>
        <v>Jessica Anderson</v>
      </c>
    </row>
    <row r="1582" spans="1:24" x14ac:dyDescent="0.3">
      <c r="A1582" t="s">
        <v>2307</v>
      </c>
      <c r="B1582" t="s">
        <v>2305</v>
      </c>
      <c r="C1582" t="s">
        <v>70</v>
      </c>
      <c r="D1582" t="s">
        <v>1576</v>
      </c>
      <c r="E1582" t="s">
        <v>176</v>
      </c>
      <c r="F1582">
        <v>7</v>
      </c>
      <c r="G1582">
        <v>1462.68</v>
      </c>
      <c r="H1582">
        <v>0.12</v>
      </c>
      <c r="I1582" s="4">
        <v>9010.11</v>
      </c>
      <c r="J1582" t="s">
        <v>16</v>
      </c>
      <c r="K1582" t="s">
        <v>39</v>
      </c>
      <c r="L1582" s="4">
        <f>VLOOKUP(tblTransactions[[#This Row],[Product_ID]],tblProducts[],5,FALSE)</f>
        <v>775.94</v>
      </c>
      <c r="M1582" s="4">
        <f>tblTransactions[[#This Row],[Total_Amount]]-(tblTransactions[[#This Row],[Cost_Prices]]*tblTransactions[[#This Row],[Quantity]]*(1-tblTransactions[[#This Row],[Discount]]))</f>
        <v>4230.3196000000007</v>
      </c>
      <c r="N1582" s="3">
        <f>tblTransactions[[#This Row],[Profit]]/tblTransactions[[#This Row],[Total_Amount]]</f>
        <v>0.46950809701546381</v>
      </c>
      <c r="O1582" t="str">
        <f>TEXT(tblTransactions[[#This Row],[Date]], "MMM-YYYY")</f>
        <v>Dec-2023</v>
      </c>
      <c r="P1582" t="str">
        <f>"Q"&amp;ROUNDUP(MONTH(tblTransactions[[#This Row],[Date]])/3,0)&amp;"-"&amp;YEAR(tblTransactions[[#This Row],[Date]])</f>
        <v>Q4-2023</v>
      </c>
      <c r="Q1582">
        <f>YEAR(tblTransactions[[#This Row],[Date]])</f>
        <v>2023</v>
      </c>
      <c r="R1582" t="str">
        <f>TEXT(tblTransactions[[#This Row],[Date]],"DDDD")</f>
        <v>Saturday</v>
      </c>
      <c r="S1582">
        <f>MONTH(tblTransactions[[#This Row],[Date]])</f>
        <v>12</v>
      </c>
      <c r="T1582" t="str">
        <f>VLOOKUP(E1582, Products!$A:$B,2,0)</f>
        <v>Chairs Fur-2</v>
      </c>
      <c r="U1582" t="str">
        <f>VLOOKUP(E1582,Products!$A:$C,3,0)</f>
        <v>Furniture</v>
      </c>
      <c r="V1582" t="str">
        <f>VLOOKUP(E1582,Products!$A:$D,4,0)</f>
        <v>Chairs</v>
      </c>
      <c r="W1582" t="str">
        <f>VLOOKUP(D1582,Customers!$A:$C,3,0)</f>
        <v>B2C</v>
      </c>
      <c r="X1582" t="str">
        <f>VLOOKUP(C1582,Sales_Representatives!$A:$B,2,0)</f>
        <v>Linda Smith</v>
      </c>
    </row>
    <row r="1583" spans="1:24" x14ac:dyDescent="0.3">
      <c r="A1583" t="s">
        <v>2308</v>
      </c>
      <c r="B1583" t="s">
        <v>2305</v>
      </c>
      <c r="C1583" t="s">
        <v>63</v>
      </c>
      <c r="D1583" t="s">
        <v>2309</v>
      </c>
      <c r="E1583" t="s">
        <v>53</v>
      </c>
      <c r="F1583">
        <v>19</v>
      </c>
      <c r="G1583">
        <v>2069.2199999999998</v>
      </c>
      <c r="H1583">
        <v>0.16</v>
      </c>
      <c r="I1583" s="4">
        <v>33024.75</v>
      </c>
      <c r="J1583" t="s">
        <v>21</v>
      </c>
      <c r="K1583" t="s">
        <v>22</v>
      </c>
      <c r="L1583" s="4">
        <f>VLOOKUP(tblTransactions[[#This Row],[Product_ID]],tblProducts[],5,FALSE)</f>
        <v>1451.18</v>
      </c>
      <c r="M1583" s="4">
        <f>tblTransactions[[#This Row],[Total_Amount]]-(tblTransactions[[#This Row],[Cost_Prices]]*tblTransactions[[#This Row],[Quantity]]*(1-tblTransactions[[#This Row],[Discount]]))</f>
        <v>9863.9171999999999</v>
      </c>
      <c r="N1583" s="3">
        <f>tblTransactions[[#This Row],[Profit]]/tblTransactions[[#This Row],[Total_Amount]]</f>
        <v>0.29868256989076375</v>
      </c>
      <c r="O1583" t="str">
        <f>TEXT(tblTransactions[[#This Row],[Date]], "MMM-YYYY")</f>
        <v>Dec-2023</v>
      </c>
      <c r="P1583" t="str">
        <f>"Q"&amp;ROUNDUP(MONTH(tblTransactions[[#This Row],[Date]])/3,0)&amp;"-"&amp;YEAR(tblTransactions[[#This Row],[Date]])</f>
        <v>Q4-2023</v>
      </c>
      <c r="Q1583">
        <f>YEAR(tblTransactions[[#This Row],[Date]])</f>
        <v>2023</v>
      </c>
      <c r="R1583" t="str">
        <f>TEXT(tblTransactions[[#This Row],[Date]],"DDDD")</f>
        <v>Saturday</v>
      </c>
      <c r="S1583">
        <f>MONTH(tblTransactions[[#This Row],[Date]])</f>
        <v>12</v>
      </c>
      <c r="T1583" t="str">
        <f>VLOOKUP(E1583, Products!$A:$B,2,0)</f>
        <v>Printers Tec-3</v>
      </c>
      <c r="U1583" t="str">
        <f>VLOOKUP(E1583,Products!$A:$C,3,0)</f>
        <v>Technology</v>
      </c>
      <c r="V1583" t="str">
        <f>VLOOKUP(E1583,Products!$A:$D,4,0)</f>
        <v>Printers</v>
      </c>
      <c r="W1583" t="str">
        <f>VLOOKUP(D1583,Customers!$A:$C,3,0)</f>
        <v>B2B</v>
      </c>
      <c r="X1583" t="str">
        <f>VLOOKUP(C1583,Sales_Representatives!$A:$B,2,0)</f>
        <v>Richard Wilson</v>
      </c>
    </row>
    <row r="1584" spans="1:24" x14ac:dyDescent="0.3">
      <c r="A1584" t="s">
        <v>2310</v>
      </c>
      <c r="B1584" t="s">
        <v>2305</v>
      </c>
      <c r="C1584" t="s">
        <v>82</v>
      </c>
      <c r="D1584" t="s">
        <v>144</v>
      </c>
      <c r="E1584" t="s">
        <v>304</v>
      </c>
      <c r="F1584">
        <v>1</v>
      </c>
      <c r="G1584">
        <v>13.43</v>
      </c>
      <c r="H1584">
        <v>0.02</v>
      </c>
      <c r="I1584" s="4">
        <v>13.16</v>
      </c>
      <c r="J1584" t="s">
        <v>34</v>
      </c>
      <c r="K1584" t="s">
        <v>39</v>
      </c>
      <c r="L1584" s="4">
        <f>VLOOKUP(tblTransactions[[#This Row],[Product_ID]],tblProducts[],5,FALSE)</f>
        <v>5.8</v>
      </c>
      <c r="M1584" s="4">
        <f>tblTransactions[[#This Row],[Total_Amount]]-(tblTransactions[[#This Row],[Cost_Prices]]*tblTransactions[[#This Row],[Quantity]]*(1-tblTransactions[[#This Row],[Discount]]))</f>
        <v>7.476</v>
      </c>
      <c r="N1584" s="3">
        <f>tblTransactions[[#This Row],[Profit]]/tblTransactions[[#This Row],[Total_Amount]]</f>
        <v>0.56808510638297871</v>
      </c>
      <c r="O1584" t="str">
        <f>TEXT(tblTransactions[[#This Row],[Date]], "MMM-YYYY")</f>
        <v>Dec-2023</v>
      </c>
      <c r="P1584" t="str">
        <f>"Q"&amp;ROUNDUP(MONTH(tblTransactions[[#This Row],[Date]])/3,0)&amp;"-"&amp;YEAR(tblTransactions[[#This Row],[Date]])</f>
        <v>Q4-2023</v>
      </c>
      <c r="Q1584">
        <f>YEAR(tblTransactions[[#This Row],[Date]])</f>
        <v>2023</v>
      </c>
      <c r="R1584" t="str">
        <f>TEXT(tblTransactions[[#This Row],[Date]],"DDDD")</f>
        <v>Saturday</v>
      </c>
      <c r="S1584">
        <f>MONTH(tblTransactions[[#This Row],[Date]])</f>
        <v>12</v>
      </c>
      <c r="T1584" t="str">
        <f>VLOOKUP(E1584, Products!$A:$B,2,0)</f>
        <v>Pens Off-1</v>
      </c>
      <c r="U1584" t="str">
        <f>VLOOKUP(E1584,Products!$A:$C,3,0)</f>
        <v>Office Supplies</v>
      </c>
      <c r="V1584" t="str">
        <f>VLOOKUP(E1584,Products!$A:$D,4,0)</f>
        <v>Pens</v>
      </c>
      <c r="W1584" t="str">
        <f>VLOOKUP(D1584,Customers!$A:$C,3,0)</f>
        <v>B2C</v>
      </c>
      <c r="X1584" t="str">
        <f>VLOOKUP(C1584,Sales_Representatives!$A:$B,2,0)</f>
        <v>John Brown</v>
      </c>
    </row>
    <row r="1585" spans="1:24" x14ac:dyDescent="0.3">
      <c r="A1585" t="s">
        <v>2311</v>
      </c>
      <c r="B1585" t="s">
        <v>2305</v>
      </c>
      <c r="C1585" t="s">
        <v>70</v>
      </c>
      <c r="D1585" t="s">
        <v>2162</v>
      </c>
      <c r="E1585" t="s">
        <v>61</v>
      </c>
      <c r="F1585">
        <v>6</v>
      </c>
      <c r="G1585">
        <v>92.07</v>
      </c>
      <c r="H1585">
        <v>7.0000000000000007E-2</v>
      </c>
      <c r="I1585" s="4">
        <v>513.75</v>
      </c>
      <c r="J1585" t="s">
        <v>16</v>
      </c>
      <c r="K1585" t="s">
        <v>22</v>
      </c>
      <c r="L1585" s="4">
        <f>VLOOKUP(tblTransactions[[#This Row],[Product_ID]],tblProducts[],5,FALSE)</f>
        <v>56.98</v>
      </c>
      <c r="M1585" s="4">
        <f>tblTransactions[[#This Row],[Total_Amount]]-(tblTransactions[[#This Row],[Cost_Prices]]*tblTransactions[[#This Row],[Quantity]]*(1-tblTransactions[[#This Row],[Discount]]))</f>
        <v>195.80160000000001</v>
      </c>
      <c r="N1585" s="3">
        <f>tblTransactions[[#This Row],[Profit]]/tblTransactions[[#This Row],[Total_Amount]]</f>
        <v>0.38112233576642335</v>
      </c>
      <c r="O1585" t="str">
        <f>TEXT(tblTransactions[[#This Row],[Date]], "MMM-YYYY")</f>
        <v>Dec-2023</v>
      </c>
      <c r="P1585" t="str">
        <f>"Q"&amp;ROUNDUP(MONTH(tblTransactions[[#This Row],[Date]])/3,0)&amp;"-"&amp;YEAR(tblTransactions[[#This Row],[Date]])</f>
        <v>Q4-2023</v>
      </c>
      <c r="Q1585">
        <f>YEAR(tblTransactions[[#This Row],[Date]])</f>
        <v>2023</v>
      </c>
      <c r="R1585" t="str">
        <f>TEXT(tblTransactions[[#This Row],[Date]],"DDDD")</f>
        <v>Saturday</v>
      </c>
      <c r="S1585">
        <f>MONTH(tblTransactions[[#This Row],[Date]])</f>
        <v>12</v>
      </c>
      <c r="T1585" t="str">
        <f>VLOOKUP(E1585, Products!$A:$B,2,0)</f>
        <v>Pens Off-4</v>
      </c>
      <c r="U1585" t="str">
        <f>VLOOKUP(E1585,Products!$A:$C,3,0)</f>
        <v>Office Supplies</v>
      </c>
      <c r="V1585" t="str">
        <f>VLOOKUP(E1585,Products!$A:$D,4,0)</f>
        <v>Pens</v>
      </c>
      <c r="W1585" t="str">
        <f>VLOOKUP(D1585,Customers!$A:$C,3,0)</f>
        <v>Small Business</v>
      </c>
      <c r="X1585" t="str">
        <f>VLOOKUP(C1585,Sales_Representatives!$A:$B,2,0)</f>
        <v>Linda Smith</v>
      </c>
    </row>
    <row r="1586" spans="1:24" x14ac:dyDescent="0.3">
      <c r="A1586" t="s">
        <v>2312</v>
      </c>
      <c r="B1586" t="s">
        <v>2305</v>
      </c>
      <c r="C1586" t="s">
        <v>127</v>
      </c>
      <c r="D1586" t="s">
        <v>1658</v>
      </c>
      <c r="E1586" t="s">
        <v>89</v>
      </c>
      <c r="F1586">
        <v>35</v>
      </c>
      <c r="G1586">
        <v>555.08000000000004</v>
      </c>
      <c r="H1586">
        <v>0.21</v>
      </c>
      <c r="I1586" s="4">
        <v>15347.96</v>
      </c>
      <c r="J1586" t="s">
        <v>109</v>
      </c>
      <c r="K1586" t="s">
        <v>17</v>
      </c>
      <c r="L1586" s="4">
        <f>VLOOKUP(tblTransactions[[#This Row],[Product_ID]],tblProducts[],5,FALSE)</f>
        <v>402.82</v>
      </c>
      <c r="M1586" s="4">
        <f>tblTransactions[[#This Row],[Total_Amount]]-(tblTransactions[[#This Row],[Cost_Prices]]*tblTransactions[[#This Row],[Quantity]]*(1-tblTransactions[[#This Row],[Discount]]))</f>
        <v>4209.9869999999992</v>
      </c>
      <c r="N1586" s="3">
        <f>tblTransactions[[#This Row],[Profit]]/tblTransactions[[#This Row],[Total_Amount]]</f>
        <v>0.27430270863359035</v>
      </c>
      <c r="O1586" t="str">
        <f>TEXT(tblTransactions[[#This Row],[Date]], "MMM-YYYY")</f>
        <v>Dec-2023</v>
      </c>
      <c r="P1586" t="str">
        <f>"Q"&amp;ROUNDUP(MONTH(tblTransactions[[#This Row],[Date]])/3,0)&amp;"-"&amp;YEAR(tblTransactions[[#This Row],[Date]])</f>
        <v>Q4-2023</v>
      </c>
      <c r="Q1586">
        <f>YEAR(tblTransactions[[#This Row],[Date]])</f>
        <v>2023</v>
      </c>
      <c r="R1586" t="str">
        <f>TEXT(tblTransactions[[#This Row],[Date]],"DDDD")</f>
        <v>Saturday</v>
      </c>
      <c r="S1586">
        <f>MONTH(tblTransactions[[#This Row],[Date]])</f>
        <v>12</v>
      </c>
      <c r="T1586" t="str">
        <f>VLOOKUP(E1586, Products!$A:$B,2,0)</f>
        <v>Laptops Ele-3</v>
      </c>
      <c r="U1586" t="str">
        <f>VLOOKUP(E1586,Products!$A:$C,3,0)</f>
        <v>Electronics</v>
      </c>
      <c r="V1586" t="str">
        <f>VLOOKUP(E1586,Products!$A:$D,4,0)</f>
        <v>Laptops</v>
      </c>
      <c r="W1586" t="str">
        <f>VLOOKUP(D1586,Customers!$A:$C,3,0)</f>
        <v>Enterprise</v>
      </c>
      <c r="X1586" t="str">
        <f>VLOOKUP(C1586,Sales_Representatives!$A:$B,2,0)</f>
        <v>Emily Hernandez</v>
      </c>
    </row>
    <row r="1587" spans="1:24" x14ac:dyDescent="0.3">
      <c r="A1587" t="s">
        <v>2313</v>
      </c>
      <c r="B1587" t="s">
        <v>2305</v>
      </c>
      <c r="C1587" t="s">
        <v>107</v>
      </c>
      <c r="D1587" t="s">
        <v>83</v>
      </c>
      <c r="E1587" t="s">
        <v>255</v>
      </c>
      <c r="F1587">
        <v>6</v>
      </c>
      <c r="G1587">
        <v>1444.13</v>
      </c>
      <c r="H1587">
        <v>0.1</v>
      </c>
      <c r="I1587" s="4">
        <v>7798.3</v>
      </c>
      <c r="J1587" t="s">
        <v>109</v>
      </c>
      <c r="K1587" t="s">
        <v>48</v>
      </c>
      <c r="L1587" s="4">
        <f>VLOOKUP(tblTransactions[[#This Row],[Product_ID]],tblProducts[],5,FALSE)</f>
        <v>874.43</v>
      </c>
      <c r="M1587" s="4">
        <f>tblTransactions[[#This Row],[Total_Amount]]-(tblTransactions[[#This Row],[Cost_Prices]]*tblTransactions[[#This Row],[Quantity]]*(1-tblTransactions[[#This Row],[Discount]]))</f>
        <v>3076.3779999999997</v>
      </c>
      <c r="N1587" s="3">
        <f>tblTransactions[[#This Row],[Profit]]/tblTransactions[[#This Row],[Total_Amount]]</f>
        <v>0.39449341523152476</v>
      </c>
      <c r="O1587" t="str">
        <f>TEXT(tblTransactions[[#This Row],[Date]], "MMM-YYYY")</f>
        <v>Dec-2023</v>
      </c>
      <c r="P1587" t="str">
        <f>"Q"&amp;ROUNDUP(MONTH(tblTransactions[[#This Row],[Date]])/3,0)&amp;"-"&amp;YEAR(tblTransactions[[#This Row],[Date]])</f>
        <v>Q4-2023</v>
      </c>
      <c r="Q1587">
        <f>YEAR(tblTransactions[[#This Row],[Date]])</f>
        <v>2023</v>
      </c>
      <c r="R1587" t="str">
        <f>TEXT(tblTransactions[[#This Row],[Date]],"DDDD")</f>
        <v>Saturday</v>
      </c>
      <c r="S1587">
        <f>MONTH(tblTransactions[[#This Row],[Date]])</f>
        <v>12</v>
      </c>
      <c r="T1587" t="str">
        <f>VLOOKUP(E1587, Products!$A:$B,2,0)</f>
        <v>Printers Tec-1</v>
      </c>
      <c r="U1587" t="str">
        <f>VLOOKUP(E1587,Products!$A:$C,3,0)</f>
        <v>Technology</v>
      </c>
      <c r="V1587" t="str">
        <f>VLOOKUP(E1587,Products!$A:$D,4,0)</f>
        <v>Printers</v>
      </c>
      <c r="W1587" t="str">
        <f>VLOOKUP(D1587,Customers!$A:$C,3,0)</f>
        <v>Small Business</v>
      </c>
      <c r="X1587" t="str">
        <f>VLOOKUP(C1587,Sales_Representatives!$A:$B,2,0)</f>
        <v>Jennifer Brown</v>
      </c>
    </row>
    <row r="1588" spans="1:24" x14ac:dyDescent="0.3">
      <c r="A1588" t="s">
        <v>2314</v>
      </c>
      <c r="B1588" t="s">
        <v>2315</v>
      </c>
      <c r="C1588" t="s">
        <v>127</v>
      </c>
      <c r="D1588" t="s">
        <v>1502</v>
      </c>
      <c r="E1588" t="s">
        <v>194</v>
      </c>
      <c r="F1588">
        <v>5</v>
      </c>
      <c r="G1588">
        <v>82.84</v>
      </c>
      <c r="H1588">
        <v>0.1</v>
      </c>
      <c r="I1588" s="4">
        <v>372.78</v>
      </c>
      <c r="J1588" t="s">
        <v>109</v>
      </c>
      <c r="K1588" t="s">
        <v>48</v>
      </c>
      <c r="L1588" s="4">
        <f>VLOOKUP(tblTransactions[[#This Row],[Product_ID]],tblProducts[],5,FALSE)</f>
        <v>52.98</v>
      </c>
      <c r="M1588" s="4">
        <f>tblTransactions[[#This Row],[Total_Amount]]-(tblTransactions[[#This Row],[Cost_Prices]]*tblTransactions[[#This Row],[Quantity]]*(1-tblTransactions[[#This Row],[Discount]]))</f>
        <v>134.36999999999998</v>
      </c>
      <c r="N1588" s="3">
        <f>tblTransactions[[#This Row],[Profit]]/tblTransactions[[#This Row],[Total_Amount]]</f>
        <v>0.3604538870111057</v>
      </c>
      <c r="O1588" t="str">
        <f>TEXT(tblTransactions[[#This Row],[Date]], "MMM-YYYY")</f>
        <v>Dec-2023</v>
      </c>
      <c r="P1588" t="str">
        <f>"Q"&amp;ROUNDUP(MONTH(tblTransactions[[#This Row],[Date]])/3,0)&amp;"-"&amp;YEAR(tblTransactions[[#This Row],[Date]])</f>
        <v>Q4-2023</v>
      </c>
      <c r="Q1588">
        <f>YEAR(tblTransactions[[#This Row],[Date]])</f>
        <v>2023</v>
      </c>
      <c r="R1588" t="str">
        <f>TEXT(tblTransactions[[#This Row],[Date]],"DDDD")</f>
        <v>Sunday</v>
      </c>
      <c r="S1588">
        <f>MONTH(tblTransactions[[#This Row],[Date]])</f>
        <v>12</v>
      </c>
      <c r="T1588" t="str">
        <f>VLOOKUP(E1588, Products!$A:$B,2,0)</f>
        <v>Binders Off-2</v>
      </c>
      <c r="U1588" t="str">
        <f>VLOOKUP(E1588,Products!$A:$C,3,0)</f>
        <v>Office Supplies</v>
      </c>
      <c r="V1588" t="str">
        <f>VLOOKUP(E1588,Products!$A:$D,4,0)</f>
        <v>Binders</v>
      </c>
      <c r="W1588" t="str">
        <f>VLOOKUP(D1588,Customers!$A:$C,3,0)</f>
        <v>Small Business</v>
      </c>
      <c r="X1588" t="str">
        <f>VLOOKUP(C1588,Sales_Representatives!$A:$B,2,0)</f>
        <v>Emily Hernandez</v>
      </c>
    </row>
    <row r="1589" spans="1:24" x14ac:dyDescent="0.3">
      <c r="A1589" t="s">
        <v>2316</v>
      </c>
      <c r="B1589" t="s">
        <v>2315</v>
      </c>
      <c r="C1589" t="s">
        <v>107</v>
      </c>
      <c r="D1589" t="s">
        <v>2052</v>
      </c>
      <c r="E1589" t="s">
        <v>176</v>
      </c>
      <c r="F1589">
        <v>15</v>
      </c>
      <c r="G1589">
        <v>1462.68</v>
      </c>
      <c r="H1589">
        <v>0.12</v>
      </c>
      <c r="I1589" s="4">
        <v>19307.38</v>
      </c>
      <c r="J1589" t="s">
        <v>109</v>
      </c>
      <c r="K1589" t="s">
        <v>39</v>
      </c>
      <c r="L1589" s="4">
        <f>VLOOKUP(tblTransactions[[#This Row],[Product_ID]],tblProducts[],5,FALSE)</f>
        <v>775.94</v>
      </c>
      <c r="M1589" s="4">
        <f>tblTransactions[[#This Row],[Total_Amount]]-(tblTransactions[[#This Row],[Cost_Prices]]*tblTransactions[[#This Row],[Quantity]]*(1-tblTransactions[[#This Row],[Discount]]))</f>
        <v>9064.9719999999998</v>
      </c>
      <c r="N1589" s="3">
        <f>tblTransactions[[#This Row],[Profit]]/tblTransactions[[#This Row],[Total_Amount]]</f>
        <v>0.46950813626706467</v>
      </c>
      <c r="O1589" t="str">
        <f>TEXT(tblTransactions[[#This Row],[Date]], "MMM-YYYY")</f>
        <v>Dec-2023</v>
      </c>
      <c r="P1589" t="str">
        <f>"Q"&amp;ROUNDUP(MONTH(tblTransactions[[#This Row],[Date]])/3,0)&amp;"-"&amp;YEAR(tblTransactions[[#This Row],[Date]])</f>
        <v>Q4-2023</v>
      </c>
      <c r="Q1589">
        <f>YEAR(tblTransactions[[#This Row],[Date]])</f>
        <v>2023</v>
      </c>
      <c r="R1589" t="str">
        <f>TEXT(tblTransactions[[#This Row],[Date]],"DDDD")</f>
        <v>Sunday</v>
      </c>
      <c r="S1589">
        <f>MONTH(tblTransactions[[#This Row],[Date]])</f>
        <v>12</v>
      </c>
      <c r="T1589" t="str">
        <f>VLOOKUP(E1589, Products!$A:$B,2,0)</f>
        <v>Chairs Fur-2</v>
      </c>
      <c r="U1589" t="str">
        <f>VLOOKUP(E1589,Products!$A:$C,3,0)</f>
        <v>Furniture</v>
      </c>
      <c r="V1589" t="str">
        <f>VLOOKUP(E1589,Products!$A:$D,4,0)</f>
        <v>Chairs</v>
      </c>
      <c r="W1589" t="str">
        <f>VLOOKUP(D1589,Customers!$A:$C,3,0)</f>
        <v>B2B</v>
      </c>
      <c r="X1589" t="str">
        <f>VLOOKUP(C1589,Sales_Representatives!$A:$B,2,0)</f>
        <v>Jennifer Brown</v>
      </c>
    </row>
    <row r="1590" spans="1:24" x14ac:dyDescent="0.3">
      <c r="A1590" t="s">
        <v>2317</v>
      </c>
      <c r="B1590" t="s">
        <v>2315</v>
      </c>
      <c r="C1590" t="s">
        <v>63</v>
      </c>
      <c r="D1590" t="s">
        <v>1969</v>
      </c>
      <c r="E1590" t="s">
        <v>84</v>
      </c>
      <c r="F1590">
        <v>25</v>
      </c>
      <c r="G1590">
        <v>1841.77</v>
      </c>
      <c r="H1590">
        <v>0.21</v>
      </c>
      <c r="I1590" s="4">
        <v>36374.959999999999</v>
      </c>
      <c r="J1590" t="s">
        <v>21</v>
      </c>
      <c r="K1590" t="s">
        <v>22</v>
      </c>
      <c r="L1590" s="4">
        <f>VLOOKUP(tblTransactions[[#This Row],[Product_ID]],tblProducts[],5,FALSE)</f>
        <v>1151.5899999999999</v>
      </c>
      <c r="M1590" s="4">
        <f>tblTransactions[[#This Row],[Total_Amount]]-(tblTransactions[[#This Row],[Cost_Prices]]*tblTransactions[[#This Row],[Quantity]]*(1-tblTransactions[[#This Row],[Discount]]))</f>
        <v>13631.057500000003</v>
      </c>
      <c r="N1590" s="3">
        <f>tblTransactions[[#This Row],[Profit]]/tblTransactions[[#This Row],[Total_Amount]]</f>
        <v>0.37473738802736833</v>
      </c>
      <c r="O1590" t="str">
        <f>TEXT(tblTransactions[[#This Row],[Date]], "MMM-YYYY")</f>
        <v>Dec-2023</v>
      </c>
      <c r="P1590" t="str">
        <f>"Q"&amp;ROUNDUP(MONTH(tblTransactions[[#This Row],[Date]])/3,0)&amp;"-"&amp;YEAR(tblTransactions[[#This Row],[Date]])</f>
        <v>Q4-2023</v>
      </c>
      <c r="Q1590">
        <f>YEAR(tblTransactions[[#This Row],[Date]])</f>
        <v>2023</v>
      </c>
      <c r="R1590" t="str">
        <f>TEXT(tblTransactions[[#This Row],[Date]],"DDDD")</f>
        <v>Sunday</v>
      </c>
      <c r="S1590">
        <f>MONTH(tblTransactions[[#This Row],[Date]])</f>
        <v>12</v>
      </c>
      <c r="T1590" t="str">
        <f>VLOOKUP(E1590, Products!$A:$B,2,0)</f>
        <v>Laptops Ele-2</v>
      </c>
      <c r="U1590" t="str">
        <f>VLOOKUP(E1590,Products!$A:$C,3,0)</f>
        <v>Electronics</v>
      </c>
      <c r="V1590" t="str">
        <f>VLOOKUP(E1590,Products!$A:$D,4,0)</f>
        <v>Laptops</v>
      </c>
      <c r="W1590" t="str">
        <f>VLOOKUP(D1590,Customers!$A:$C,3,0)</f>
        <v>Enterprise</v>
      </c>
      <c r="X1590" t="str">
        <f>VLOOKUP(C1590,Sales_Representatives!$A:$B,2,0)</f>
        <v>Richard Wilson</v>
      </c>
    </row>
    <row r="1591" spans="1:24" x14ac:dyDescent="0.3">
      <c r="A1591" t="s">
        <v>2318</v>
      </c>
      <c r="B1591" t="s">
        <v>2315</v>
      </c>
      <c r="C1591" t="s">
        <v>131</v>
      </c>
      <c r="D1591" t="s">
        <v>124</v>
      </c>
      <c r="E1591" t="s">
        <v>157</v>
      </c>
      <c r="F1591">
        <v>19</v>
      </c>
      <c r="G1591">
        <v>1227.68</v>
      </c>
      <c r="H1591">
        <v>0.16</v>
      </c>
      <c r="I1591" s="4">
        <v>19593.77</v>
      </c>
      <c r="J1591" t="s">
        <v>44</v>
      </c>
      <c r="K1591" t="s">
        <v>39</v>
      </c>
      <c r="L1591" s="4">
        <f>VLOOKUP(tblTransactions[[#This Row],[Product_ID]],tblProducts[],5,FALSE)</f>
        <v>846.42</v>
      </c>
      <c r="M1591" s="4">
        <f>tblTransactions[[#This Row],[Total_Amount]]-(tblTransactions[[#This Row],[Cost_Prices]]*tblTransactions[[#This Row],[Quantity]]*(1-tblTransactions[[#This Row],[Discount]]))</f>
        <v>6084.9068000000007</v>
      </c>
      <c r="N1591" s="3">
        <f>tblTransactions[[#This Row],[Profit]]/tblTransactions[[#This Row],[Total_Amount]]</f>
        <v>0.31055314010524776</v>
      </c>
      <c r="O1591" t="str">
        <f>TEXT(tblTransactions[[#This Row],[Date]], "MMM-YYYY")</f>
        <v>Dec-2023</v>
      </c>
      <c r="P1591" t="str">
        <f>"Q"&amp;ROUNDUP(MONTH(tblTransactions[[#This Row],[Date]])/3,0)&amp;"-"&amp;YEAR(tblTransactions[[#This Row],[Date]])</f>
        <v>Q4-2023</v>
      </c>
      <c r="Q1591">
        <f>YEAR(tblTransactions[[#This Row],[Date]])</f>
        <v>2023</v>
      </c>
      <c r="R1591" t="str">
        <f>TEXT(tblTransactions[[#This Row],[Date]],"DDDD")</f>
        <v>Sunday</v>
      </c>
      <c r="S1591">
        <f>MONTH(tblTransactions[[#This Row],[Date]])</f>
        <v>12</v>
      </c>
      <c r="T1591" t="str">
        <f>VLOOKUP(E1591, Products!$A:$B,2,0)</f>
        <v>Printers Tec-4</v>
      </c>
      <c r="U1591" t="str">
        <f>VLOOKUP(E1591,Products!$A:$C,3,0)</f>
        <v>Technology</v>
      </c>
      <c r="V1591" t="str">
        <f>VLOOKUP(E1591,Products!$A:$D,4,0)</f>
        <v>Printers</v>
      </c>
      <c r="W1591" t="str">
        <f>VLOOKUP(D1591,Customers!$A:$C,3,0)</f>
        <v>B2B</v>
      </c>
      <c r="X1591" t="str">
        <f>VLOOKUP(C1591,Sales_Representatives!$A:$B,2,0)</f>
        <v>Michael Davis</v>
      </c>
    </row>
    <row r="1592" spans="1:24" x14ac:dyDescent="0.3">
      <c r="A1592" t="s">
        <v>2319</v>
      </c>
      <c r="B1592" t="s">
        <v>2315</v>
      </c>
      <c r="C1592" t="s">
        <v>31</v>
      </c>
      <c r="D1592" t="s">
        <v>2320</v>
      </c>
      <c r="E1592" t="s">
        <v>102</v>
      </c>
      <c r="F1592">
        <v>41</v>
      </c>
      <c r="G1592">
        <v>1097.75</v>
      </c>
      <c r="H1592">
        <v>0.21</v>
      </c>
      <c r="I1592" s="4">
        <v>35556.120000000003</v>
      </c>
      <c r="J1592" t="s">
        <v>34</v>
      </c>
      <c r="K1592" t="s">
        <v>48</v>
      </c>
      <c r="L1592" s="4">
        <f>VLOOKUP(tblTransactions[[#This Row],[Product_ID]],tblProducts[],5,FALSE)</f>
        <v>680.12</v>
      </c>
      <c r="M1592" s="4">
        <f>tblTransactions[[#This Row],[Total_Amount]]-(tblTransactions[[#This Row],[Cost_Prices]]*tblTransactions[[#This Row],[Quantity]]*(1-tblTransactions[[#This Row],[Discount]]))</f>
        <v>13527.033200000002</v>
      </c>
      <c r="N1592" s="3">
        <f>tblTransactions[[#This Row],[Profit]]/tblTransactions[[#This Row],[Total_Amount]]</f>
        <v>0.38044176923691336</v>
      </c>
      <c r="O1592" t="str">
        <f>TEXT(tblTransactions[[#This Row],[Date]], "MMM-YYYY")</f>
        <v>Dec-2023</v>
      </c>
      <c r="P1592" t="str">
        <f>"Q"&amp;ROUNDUP(MONTH(tblTransactions[[#This Row],[Date]])/3,0)&amp;"-"&amp;YEAR(tblTransactions[[#This Row],[Date]])</f>
        <v>Q4-2023</v>
      </c>
      <c r="Q1592">
        <f>YEAR(tblTransactions[[#This Row],[Date]])</f>
        <v>2023</v>
      </c>
      <c r="R1592" t="str">
        <f>TEXT(tblTransactions[[#This Row],[Date]],"DDDD")</f>
        <v>Sunday</v>
      </c>
      <c r="S1592">
        <f>MONTH(tblTransactions[[#This Row],[Date]])</f>
        <v>12</v>
      </c>
      <c r="T1592" t="str">
        <f>VLOOKUP(E1592, Products!$A:$B,2,0)</f>
        <v>Storage Fur-4</v>
      </c>
      <c r="U1592" t="str">
        <f>VLOOKUP(E1592,Products!$A:$C,3,0)</f>
        <v>Furniture</v>
      </c>
      <c r="V1592" t="str">
        <f>VLOOKUP(E1592,Products!$A:$D,4,0)</f>
        <v>Storage</v>
      </c>
      <c r="W1592" t="str">
        <f>VLOOKUP(D1592,Customers!$A:$C,3,0)</f>
        <v>Enterprise</v>
      </c>
      <c r="X1592" t="str">
        <f>VLOOKUP(C1592,Sales_Representatives!$A:$B,2,0)</f>
        <v>Thomas Martinez</v>
      </c>
    </row>
    <row r="1593" spans="1:24" x14ac:dyDescent="0.3">
      <c r="A1593" t="s">
        <v>2321</v>
      </c>
      <c r="B1593" t="s">
        <v>2315</v>
      </c>
      <c r="C1593" t="s">
        <v>131</v>
      </c>
      <c r="D1593" t="s">
        <v>1921</v>
      </c>
      <c r="E1593" t="s">
        <v>587</v>
      </c>
      <c r="F1593">
        <v>2</v>
      </c>
      <c r="G1593">
        <v>58.54</v>
      </c>
      <c r="H1593">
        <v>7.0000000000000007E-2</v>
      </c>
      <c r="I1593" s="4">
        <v>108.88</v>
      </c>
      <c r="J1593" t="s">
        <v>44</v>
      </c>
      <c r="K1593" t="s">
        <v>35</v>
      </c>
      <c r="L1593" s="4">
        <f>VLOOKUP(tblTransactions[[#This Row],[Product_ID]],tblProducts[],5,FALSE)</f>
        <v>25.43</v>
      </c>
      <c r="M1593" s="4">
        <f>tblTransactions[[#This Row],[Total_Amount]]-(tblTransactions[[#This Row],[Cost_Prices]]*tblTransactions[[#This Row],[Quantity]]*(1-tblTransactions[[#This Row],[Discount]]))</f>
        <v>61.580199999999998</v>
      </c>
      <c r="N1593" s="3">
        <f>tblTransactions[[#This Row],[Profit]]/tblTransactions[[#This Row],[Total_Amount]]</f>
        <v>0.56557861866274795</v>
      </c>
      <c r="O1593" t="str">
        <f>TEXT(tblTransactions[[#This Row],[Date]], "MMM-YYYY")</f>
        <v>Dec-2023</v>
      </c>
      <c r="P1593" t="str">
        <f>"Q"&amp;ROUNDUP(MONTH(tblTransactions[[#This Row],[Date]])/3,0)&amp;"-"&amp;YEAR(tblTransactions[[#This Row],[Date]])</f>
        <v>Q4-2023</v>
      </c>
      <c r="Q1593">
        <f>YEAR(tblTransactions[[#This Row],[Date]])</f>
        <v>2023</v>
      </c>
      <c r="R1593" t="str">
        <f>TEXT(tblTransactions[[#This Row],[Date]],"DDDD")</f>
        <v>Sunday</v>
      </c>
      <c r="S1593">
        <f>MONTH(tblTransactions[[#This Row],[Date]])</f>
        <v>12</v>
      </c>
      <c r="T1593" t="str">
        <f>VLOOKUP(E1593, Products!$A:$B,2,0)</f>
        <v>Paper Off-2</v>
      </c>
      <c r="U1593" t="str">
        <f>VLOOKUP(E1593,Products!$A:$C,3,0)</f>
        <v>Office Supplies</v>
      </c>
      <c r="V1593" t="str">
        <f>VLOOKUP(E1593,Products!$A:$D,4,0)</f>
        <v>Paper</v>
      </c>
      <c r="W1593" t="str">
        <f>VLOOKUP(D1593,Customers!$A:$C,3,0)</f>
        <v>Small Business</v>
      </c>
      <c r="X1593" t="str">
        <f>VLOOKUP(C1593,Sales_Representatives!$A:$B,2,0)</f>
        <v>Michael Davis</v>
      </c>
    </row>
    <row r="1594" spans="1:24" x14ac:dyDescent="0.3">
      <c r="A1594" t="s">
        <v>2322</v>
      </c>
      <c r="B1594" t="s">
        <v>2315</v>
      </c>
      <c r="C1594" t="s">
        <v>107</v>
      </c>
      <c r="D1594" t="s">
        <v>1683</v>
      </c>
      <c r="E1594" t="s">
        <v>68</v>
      </c>
      <c r="F1594">
        <v>7</v>
      </c>
      <c r="G1594">
        <v>522.63</v>
      </c>
      <c r="H1594">
        <v>0.09</v>
      </c>
      <c r="I1594" s="4">
        <v>3329.15</v>
      </c>
      <c r="J1594" t="s">
        <v>109</v>
      </c>
      <c r="K1594" t="s">
        <v>39</v>
      </c>
      <c r="L1594" s="4">
        <f>VLOOKUP(tblTransactions[[#This Row],[Product_ID]],tblProducts[],5,FALSE)</f>
        <v>355.82</v>
      </c>
      <c r="M1594" s="4">
        <f>tblTransactions[[#This Row],[Total_Amount]]-(tblTransactions[[#This Row],[Cost_Prices]]*tblTransactions[[#This Row],[Quantity]]*(1-tblTransactions[[#This Row],[Discount]]))</f>
        <v>1062.5766000000003</v>
      </c>
      <c r="N1594" s="3">
        <f>tblTransactions[[#This Row],[Profit]]/tblTransactions[[#This Row],[Total_Amount]]</f>
        <v>0.31917354279620935</v>
      </c>
      <c r="O1594" t="str">
        <f>TEXT(tblTransactions[[#This Row],[Date]], "MMM-YYYY")</f>
        <v>Dec-2023</v>
      </c>
      <c r="P1594" t="str">
        <f>"Q"&amp;ROUNDUP(MONTH(tblTransactions[[#This Row],[Date]])/3,0)&amp;"-"&amp;YEAR(tblTransactions[[#This Row],[Date]])</f>
        <v>Q4-2023</v>
      </c>
      <c r="Q1594">
        <f>YEAR(tblTransactions[[#This Row],[Date]])</f>
        <v>2023</v>
      </c>
      <c r="R1594" t="str">
        <f>TEXT(tblTransactions[[#This Row],[Date]],"DDDD")</f>
        <v>Sunday</v>
      </c>
      <c r="S1594">
        <f>MONTH(tblTransactions[[#This Row],[Date]])</f>
        <v>12</v>
      </c>
      <c r="T1594" t="str">
        <f>VLOOKUP(E1594, Products!$A:$B,2,0)</f>
        <v>Monitors Tec-3</v>
      </c>
      <c r="U1594" t="str">
        <f>VLOOKUP(E1594,Products!$A:$C,3,0)</f>
        <v>Technology</v>
      </c>
      <c r="V1594" t="str">
        <f>VLOOKUP(E1594,Products!$A:$D,4,0)</f>
        <v>Monitors</v>
      </c>
      <c r="W1594" t="str">
        <f>VLOOKUP(D1594,Customers!$A:$C,3,0)</f>
        <v>B2C</v>
      </c>
      <c r="X1594" t="str">
        <f>VLOOKUP(C1594,Sales_Representatives!$A:$B,2,0)</f>
        <v>Jennifer Brown</v>
      </c>
    </row>
    <row r="1595" spans="1:24" x14ac:dyDescent="0.3">
      <c r="A1595" t="s">
        <v>2323</v>
      </c>
      <c r="B1595" t="s">
        <v>2315</v>
      </c>
      <c r="C1595" t="s">
        <v>19</v>
      </c>
      <c r="D1595" t="s">
        <v>2137</v>
      </c>
      <c r="E1595" t="s">
        <v>345</v>
      </c>
      <c r="F1595">
        <v>2</v>
      </c>
      <c r="G1595">
        <v>13.97</v>
      </c>
      <c r="H1595">
        <v>0.03</v>
      </c>
      <c r="I1595" s="4">
        <v>27.1</v>
      </c>
      <c r="J1595" t="s">
        <v>21</v>
      </c>
      <c r="K1595" t="s">
        <v>35</v>
      </c>
      <c r="L1595" s="4">
        <f>VLOOKUP(tblTransactions[[#This Row],[Product_ID]],tblProducts[],5,FALSE)</f>
        <v>8.69</v>
      </c>
      <c r="M1595" s="4">
        <f>tblTransactions[[#This Row],[Total_Amount]]-(tblTransactions[[#This Row],[Cost_Prices]]*tblTransactions[[#This Row],[Quantity]]*(1-tblTransactions[[#This Row],[Discount]]))</f>
        <v>10.241400000000002</v>
      </c>
      <c r="N1595" s="3">
        <f>tblTransactions[[#This Row],[Profit]]/tblTransactions[[#This Row],[Total_Amount]]</f>
        <v>0.37791143911439123</v>
      </c>
      <c r="O1595" t="str">
        <f>TEXT(tblTransactions[[#This Row],[Date]], "MMM-YYYY")</f>
        <v>Dec-2023</v>
      </c>
      <c r="P1595" t="str">
        <f>"Q"&amp;ROUNDUP(MONTH(tblTransactions[[#This Row],[Date]])/3,0)&amp;"-"&amp;YEAR(tblTransactions[[#This Row],[Date]])</f>
        <v>Q4-2023</v>
      </c>
      <c r="Q1595">
        <f>YEAR(tblTransactions[[#This Row],[Date]])</f>
        <v>2023</v>
      </c>
      <c r="R1595" t="str">
        <f>TEXT(tblTransactions[[#This Row],[Date]],"DDDD")</f>
        <v>Sunday</v>
      </c>
      <c r="S1595">
        <f>MONTH(tblTransactions[[#This Row],[Date]])</f>
        <v>12</v>
      </c>
      <c r="T1595" t="str">
        <f>VLOOKUP(E1595, Products!$A:$B,2,0)</f>
        <v>Cases Acc-2</v>
      </c>
      <c r="U1595" t="str">
        <f>VLOOKUP(E1595,Products!$A:$C,3,0)</f>
        <v>Accessories</v>
      </c>
      <c r="V1595" t="str">
        <f>VLOOKUP(E1595,Products!$A:$D,4,0)</f>
        <v>Cases</v>
      </c>
      <c r="W1595" t="str">
        <f>VLOOKUP(D1595,Customers!$A:$C,3,0)</f>
        <v>B2C</v>
      </c>
      <c r="X1595" t="str">
        <f>VLOOKUP(C1595,Sales_Representatives!$A:$B,2,0)</f>
        <v>Robert Jones</v>
      </c>
    </row>
    <row r="1596" spans="1:24" x14ac:dyDescent="0.3">
      <c r="A1596" t="s">
        <v>2324</v>
      </c>
      <c r="B1596" t="s">
        <v>2315</v>
      </c>
      <c r="C1596" t="s">
        <v>107</v>
      </c>
      <c r="D1596" t="s">
        <v>1472</v>
      </c>
      <c r="E1596" t="s">
        <v>89</v>
      </c>
      <c r="F1596">
        <v>2</v>
      </c>
      <c r="G1596">
        <v>555.08000000000004</v>
      </c>
      <c r="H1596">
        <v>0.02</v>
      </c>
      <c r="I1596" s="4">
        <v>1087.96</v>
      </c>
      <c r="J1596" t="s">
        <v>109</v>
      </c>
      <c r="K1596" t="s">
        <v>35</v>
      </c>
      <c r="L1596" s="4">
        <f>VLOOKUP(tblTransactions[[#This Row],[Product_ID]],tblProducts[],5,FALSE)</f>
        <v>402.82</v>
      </c>
      <c r="M1596" s="4">
        <f>tblTransactions[[#This Row],[Total_Amount]]-(tblTransactions[[#This Row],[Cost_Prices]]*tblTransactions[[#This Row],[Quantity]]*(1-tblTransactions[[#This Row],[Discount]]))</f>
        <v>298.43280000000004</v>
      </c>
      <c r="N1596" s="3">
        <f>tblTransactions[[#This Row],[Profit]]/tblTransactions[[#This Row],[Total_Amount]]</f>
        <v>0.27430493768153241</v>
      </c>
      <c r="O1596" t="str">
        <f>TEXT(tblTransactions[[#This Row],[Date]], "MMM-YYYY")</f>
        <v>Dec-2023</v>
      </c>
      <c r="P1596" t="str">
        <f>"Q"&amp;ROUNDUP(MONTH(tblTransactions[[#This Row],[Date]])/3,0)&amp;"-"&amp;YEAR(tblTransactions[[#This Row],[Date]])</f>
        <v>Q4-2023</v>
      </c>
      <c r="Q1596">
        <f>YEAR(tblTransactions[[#This Row],[Date]])</f>
        <v>2023</v>
      </c>
      <c r="R1596" t="str">
        <f>TEXT(tblTransactions[[#This Row],[Date]],"DDDD")</f>
        <v>Sunday</v>
      </c>
      <c r="S1596">
        <f>MONTH(tblTransactions[[#This Row],[Date]])</f>
        <v>12</v>
      </c>
      <c r="T1596" t="str">
        <f>VLOOKUP(E1596, Products!$A:$B,2,0)</f>
        <v>Laptops Ele-3</v>
      </c>
      <c r="U1596" t="str">
        <f>VLOOKUP(E1596,Products!$A:$C,3,0)</f>
        <v>Electronics</v>
      </c>
      <c r="V1596" t="str">
        <f>VLOOKUP(E1596,Products!$A:$D,4,0)</f>
        <v>Laptops</v>
      </c>
      <c r="W1596" t="str">
        <f>VLOOKUP(D1596,Customers!$A:$C,3,0)</f>
        <v>B2B</v>
      </c>
      <c r="X1596" t="str">
        <f>VLOOKUP(C1596,Sales_Representatives!$A:$B,2,0)</f>
        <v>Jennifer Brown</v>
      </c>
    </row>
    <row r="1597" spans="1:24" x14ac:dyDescent="0.3">
      <c r="A1597" t="s">
        <v>2325</v>
      </c>
      <c r="B1597" t="s">
        <v>2326</v>
      </c>
      <c r="C1597" t="s">
        <v>107</v>
      </c>
      <c r="D1597" t="s">
        <v>1638</v>
      </c>
      <c r="E1597" t="s">
        <v>113</v>
      </c>
      <c r="F1597">
        <v>7</v>
      </c>
      <c r="G1597">
        <v>930.41</v>
      </c>
      <c r="H1597">
        <v>0.08</v>
      </c>
      <c r="I1597" s="4">
        <v>5991.84</v>
      </c>
      <c r="J1597" t="s">
        <v>109</v>
      </c>
      <c r="K1597" t="s">
        <v>39</v>
      </c>
      <c r="L1597" s="4">
        <f>VLOOKUP(tblTransactions[[#This Row],[Product_ID]],tblProducts[],5,FALSE)</f>
        <v>595.51</v>
      </c>
      <c r="M1597" s="4">
        <f>tblTransactions[[#This Row],[Total_Amount]]-(tblTransactions[[#This Row],[Cost_Prices]]*tblTransactions[[#This Row],[Quantity]]*(1-tblTransactions[[#This Row],[Discount]]))</f>
        <v>2156.7556000000004</v>
      </c>
      <c r="N1597" s="3">
        <f>tblTransactions[[#This Row],[Profit]]/tblTransactions[[#This Row],[Total_Amount]]</f>
        <v>0.35994879703062838</v>
      </c>
      <c r="O1597" t="str">
        <f>TEXT(tblTransactions[[#This Row],[Date]], "MMM-YYYY")</f>
        <v>Dec-2023</v>
      </c>
      <c r="P1597" t="str">
        <f>"Q"&amp;ROUNDUP(MONTH(tblTransactions[[#This Row],[Date]])/3,0)&amp;"-"&amp;YEAR(tblTransactions[[#This Row],[Date]])</f>
        <v>Q4-2023</v>
      </c>
      <c r="Q1597">
        <f>YEAR(tblTransactions[[#This Row],[Date]])</f>
        <v>2023</v>
      </c>
      <c r="R1597" t="str">
        <f>TEXT(tblTransactions[[#This Row],[Date]],"DDDD")</f>
        <v>Monday</v>
      </c>
      <c r="S1597">
        <f>MONTH(tblTransactions[[#This Row],[Date]])</f>
        <v>12</v>
      </c>
      <c r="T1597" t="str">
        <f>VLOOKUP(E1597, Products!$A:$B,2,0)</f>
        <v>Phones Ele-1</v>
      </c>
      <c r="U1597" t="str">
        <f>VLOOKUP(E1597,Products!$A:$C,3,0)</f>
        <v>Electronics</v>
      </c>
      <c r="V1597" t="str">
        <f>VLOOKUP(E1597,Products!$A:$D,4,0)</f>
        <v>Phones</v>
      </c>
      <c r="W1597" t="str">
        <f>VLOOKUP(D1597,Customers!$A:$C,3,0)</f>
        <v>B2C</v>
      </c>
      <c r="X1597" t="str">
        <f>VLOOKUP(C1597,Sales_Representatives!$A:$B,2,0)</f>
        <v>Jennifer Brown</v>
      </c>
    </row>
    <row r="1598" spans="1:24" x14ac:dyDescent="0.3">
      <c r="A1598" t="s">
        <v>2327</v>
      </c>
      <c r="B1598" t="s">
        <v>2326</v>
      </c>
      <c r="C1598" t="s">
        <v>56</v>
      </c>
      <c r="D1598" t="s">
        <v>1569</v>
      </c>
      <c r="E1598" t="s">
        <v>255</v>
      </c>
      <c r="F1598">
        <v>4</v>
      </c>
      <c r="G1598">
        <v>1444.13</v>
      </c>
      <c r="H1598">
        <v>7.0000000000000007E-2</v>
      </c>
      <c r="I1598" s="4">
        <v>5372.16</v>
      </c>
      <c r="J1598" t="s">
        <v>34</v>
      </c>
      <c r="K1598" t="s">
        <v>35</v>
      </c>
      <c r="L1598" s="4">
        <f>VLOOKUP(tblTransactions[[#This Row],[Product_ID]],tblProducts[],5,FALSE)</f>
        <v>874.43</v>
      </c>
      <c r="M1598" s="4">
        <f>tblTransactions[[#This Row],[Total_Amount]]-(tblTransactions[[#This Row],[Cost_Prices]]*tblTransactions[[#This Row],[Quantity]]*(1-tblTransactions[[#This Row],[Discount]]))</f>
        <v>2119.2804000000001</v>
      </c>
      <c r="N1598" s="3">
        <f>tblTransactions[[#This Row],[Profit]]/tblTransactions[[#This Row],[Total_Amount]]</f>
        <v>0.39449316476054325</v>
      </c>
      <c r="O1598" t="str">
        <f>TEXT(tblTransactions[[#This Row],[Date]], "MMM-YYYY")</f>
        <v>Dec-2023</v>
      </c>
      <c r="P1598" t="str">
        <f>"Q"&amp;ROUNDUP(MONTH(tblTransactions[[#This Row],[Date]])/3,0)&amp;"-"&amp;YEAR(tblTransactions[[#This Row],[Date]])</f>
        <v>Q4-2023</v>
      </c>
      <c r="Q1598">
        <f>YEAR(tblTransactions[[#This Row],[Date]])</f>
        <v>2023</v>
      </c>
      <c r="R1598" t="str">
        <f>TEXT(tblTransactions[[#This Row],[Date]],"DDDD")</f>
        <v>Monday</v>
      </c>
      <c r="S1598">
        <f>MONTH(tblTransactions[[#This Row],[Date]])</f>
        <v>12</v>
      </c>
      <c r="T1598" t="str">
        <f>VLOOKUP(E1598, Products!$A:$B,2,0)</f>
        <v>Printers Tec-1</v>
      </c>
      <c r="U1598" t="str">
        <f>VLOOKUP(E1598,Products!$A:$C,3,0)</f>
        <v>Technology</v>
      </c>
      <c r="V1598" t="str">
        <f>VLOOKUP(E1598,Products!$A:$D,4,0)</f>
        <v>Printers</v>
      </c>
      <c r="W1598" t="str">
        <f>VLOOKUP(D1598,Customers!$A:$C,3,0)</f>
        <v>Small Business</v>
      </c>
      <c r="X1598" t="str">
        <f>VLOOKUP(C1598,Sales_Representatives!$A:$B,2,0)</f>
        <v>Thomas Hernandez</v>
      </c>
    </row>
    <row r="1599" spans="1:24" x14ac:dyDescent="0.3">
      <c r="A1599" t="s">
        <v>2328</v>
      </c>
      <c r="B1599" t="s">
        <v>2326</v>
      </c>
      <c r="C1599" t="s">
        <v>131</v>
      </c>
      <c r="D1599" t="s">
        <v>2329</v>
      </c>
      <c r="E1599" t="s">
        <v>137</v>
      </c>
      <c r="F1599">
        <v>1</v>
      </c>
      <c r="G1599">
        <v>241.39</v>
      </c>
      <c r="H1599">
        <v>7.0000000000000007E-2</v>
      </c>
      <c r="I1599" s="4">
        <v>224.49</v>
      </c>
      <c r="J1599" t="s">
        <v>44</v>
      </c>
      <c r="K1599" t="s">
        <v>48</v>
      </c>
      <c r="L1599" s="4">
        <f>VLOOKUP(tblTransactions[[#This Row],[Product_ID]],tblProducts[],5,FALSE)</f>
        <v>124.07</v>
      </c>
      <c r="M1599" s="4">
        <f>tblTransactions[[#This Row],[Total_Amount]]-(tblTransactions[[#This Row],[Cost_Prices]]*tblTransactions[[#This Row],[Quantity]]*(1-tblTransactions[[#This Row],[Discount]]))</f>
        <v>109.10490000000003</v>
      </c>
      <c r="N1599" s="3">
        <f>tblTransactions[[#This Row],[Profit]]/tblTransactions[[#This Row],[Total_Amount]]</f>
        <v>0.4860122945342778</v>
      </c>
      <c r="O1599" t="str">
        <f>TEXT(tblTransactions[[#This Row],[Date]], "MMM-YYYY")</f>
        <v>Dec-2023</v>
      </c>
      <c r="P1599" t="str">
        <f>"Q"&amp;ROUNDUP(MONTH(tblTransactions[[#This Row],[Date]])/3,0)&amp;"-"&amp;YEAR(tblTransactions[[#This Row],[Date]])</f>
        <v>Q4-2023</v>
      </c>
      <c r="Q1599">
        <f>YEAR(tblTransactions[[#This Row],[Date]])</f>
        <v>2023</v>
      </c>
      <c r="R1599" t="str">
        <f>TEXT(tblTransactions[[#This Row],[Date]],"DDDD")</f>
        <v>Monday</v>
      </c>
      <c r="S1599">
        <f>MONTH(tblTransactions[[#This Row],[Date]])</f>
        <v>12</v>
      </c>
      <c r="T1599" t="str">
        <f>VLOOKUP(E1599, Products!$A:$B,2,0)</f>
        <v>Desks Fur-2</v>
      </c>
      <c r="U1599" t="str">
        <f>VLOOKUP(E1599,Products!$A:$C,3,0)</f>
        <v>Furniture</v>
      </c>
      <c r="V1599" t="str">
        <f>VLOOKUP(E1599,Products!$A:$D,4,0)</f>
        <v>Desks</v>
      </c>
      <c r="W1599" t="str">
        <f>VLOOKUP(D1599,Customers!$A:$C,3,0)</f>
        <v>B2C</v>
      </c>
      <c r="X1599" t="str">
        <f>VLOOKUP(C1599,Sales_Representatives!$A:$B,2,0)</f>
        <v>Michael Davis</v>
      </c>
    </row>
    <row r="1600" spans="1:24" x14ac:dyDescent="0.3">
      <c r="A1600" t="s">
        <v>2330</v>
      </c>
      <c r="B1600" t="s">
        <v>2326</v>
      </c>
      <c r="C1600" t="s">
        <v>131</v>
      </c>
      <c r="D1600" t="s">
        <v>327</v>
      </c>
      <c r="E1600" t="s">
        <v>108</v>
      </c>
      <c r="F1600">
        <v>6</v>
      </c>
      <c r="G1600">
        <v>155.75</v>
      </c>
      <c r="H1600">
        <v>0.05</v>
      </c>
      <c r="I1600" s="4">
        <v>887.78</v>
      </c>
      <c r="J1600" t="s">
        <v>44</v>
      </c>
      <c r="K1600" t="s">
        <v>35</v>
      </c>
      <c r="L1600" s="4">
        <f>VLOOKUP(tblTransactions[[#This Row],[Product_ID]],tblProducts[],5,FALSE)</f>
        <v>80.8</v>
      </c>
      <c r="M1600" s="4">
        <f>tblTransactions[[#This Row],[Total_Amount]]-(tblTransactions[[#This Row],[Cost_Prices]]*tblTransactions[[#This Row],[Quantity]]*(1-tblTransactions[[#This Row],[Discount]]))</f>
        <v>427.22</v>
      </c>
      <c r="N1600" s="3">
        <f>tblTransactions[[#This Row],[Profit]]/tblTransactions[[#This Row],[Total_Amount]]</f>
        <v>0.48122282547477985</v>
      </c>
      <c r="O1600" t="str">
        <f>TEXT(tblTransactions[[#This Row],[Date]], "MMM-YYYY")</f>
        <v>Dec-2023</v>
      </c>
      <c r="P1600" t="str">
        <f>"Q"&amp;ROUNDUP(MONTH(tblTransactions[[#This Row],[Date]])/3,0)&amp;"-"&amp;YEAR(tblTransactions[[#This Row],[Date]])</f>
        <v>Q4-2023</v>
      </c>
      <c r="Q1600">
        <f>YEAR(tblTransactions[[#This Row],[Date]])</f>
        <v>2023</v>
      </c>
      <c r="R1600" t="str">
        <f>TEXT(tblTransactions[[#This Row],[Date]],"DDDD")</f>
        <v>Monday</v>
      </c>
      <c r="S1600">
        <f>MONTH(tblTransactions[[#This Row],[Date]])</f>
        <v>12</v>
      </c>
      <c r="T1600" t="str">
        <f>VLOOKUP(E1600, Products!$A:$B,2,0)</f>
        <v>Cases Acc-1</v>
      </c>
      <c r="U1600" t="str">
        <f>VLOOKUP(E1600,Products!$A:$C,3,0)</f>
        <v>Accessories</v>
      </c>
      <c r="V1600" t="str">
        <f>VLOOKUP(E1600,Products!$A:$D,4,0)</f>
        <v>Cases</v>
      </c>
      <c r="W1600" t="str">
        <f>VLOOKUP(D1600,Customers!$A:$C,3,0)</f>
        <v>B2C</v>
      </c>
      <c r="X1600" t="str">
        <f>VLOOKUP(C1600,Sales_Representatives!$A:$B,2,0)</f>
        <v>Michael Davis</v>
      </c>
    </row>
    <row r="1601" spans="1:24" x14ac:dyDescent="0.3">
      <c r="A1601" t="s">
        <v>2331</v>
      </c>
      <c r="B1601" t="s">
        <v>2326</v>
      </c>
      <c r="C1601" t="s">
        <v>70</v>
      </c>
      <c r="D1601" t="s">
        <v>1991</v>
      </c>
      <c r="E1601" t="s">
        <v>87</v>
      </c>
      <c r="F1601">
        <v>2</v>
      </c>
      <c r="G1601">
        <v>1047.8900000000001</v>
      </c>
      <c r="H1601">
        <v>0.06</v>
      </c>
      <c r="I1601" s="4">
        <v>1970.03</v>
      </c>
      <c r="J1601" t="s">
        <v>16</v>
      </c>
      <c r="K1601" t="s">
        <v>48</v>
      </c>
      <c r="L1601" s="4">
        <f>VLOOKUP(tblTransactions[[#This Row],[Product_ID]],tblProducts[],5,FALSE)</f>
        <v>742.63</v>
      </c>
      <c r="M1601" s="4">
        <f>tblTransactions[[#This Row],[Total_Amount]]-(tblTransactions[[#This Row],[Cost_Prices]]*tblTransactions[[#This Row],[Quantity]]*(1-tblTransactions[[#This Row],[Discount]]))</f>
        <v>573.88560000000007</v>
      </c>
      <c r="N1601" s="3">
        <f>tblTransactions[[#This Row],[Profit]]/tblTransactions[[#This Row],[Total_Amount]]</f>
        <v>0.29130805114642927</v>
      </c>
      <c r="O1601" t="str">
        <f>TEXT(tblTransactions[[#This Row],[Date]], "MMM-YYYY")</f>
        <v>Dec-2023</v>
      </c>
      <c r="P1601" t="str">
        <f>"Q"&amp;ROUNDUP(MONTH(tblTransactions[[#This Row],[Date]])/3,0)&amp;"-"&amp;YEAR(tblTransactions[[#This Row],[Date]])</f>
        <v>Q4-2023</v>
      </c>
      <c r="Q1601">
        <f>YEAR(tblTransactions[[#This Row],[Date]])</f>
        <v>2023</v>
      </c>
      <c r="R1601" t="str">
        <f>TEXT(tblTransactions[[#This Row],[Date]],"DDDD")</f>
        <v>Monday</v>
      </c>
      <c r="S1601">
        <f>MONTH(tblTransactions[[#This Row],[Date]])</f>
        <v>12</v>
      </c>
      <c r="T1601" t="str">
        <f>VLOOKUP(E1601, Products!$A:$B,2,0)</f>
        <v>Monitors Tec-2</v>
      </c>
      <c r="U1601" t="str">
        <f>VLOOKUP(E1601,Products!$A:$C,3,0)</f>
        <v>Technology</v>
      </c>
      <c r="V1601" t="str">
        <f>VLOOKUP(E1601,Products!$A:$D,4,0)</f>
        <v>Monitors</v>
      </c>
      <c r="W1601" t="str">
        <f>VLOOKUP(D1601,Customers!$A:$C,3,0)</f>
        <v>Small Business</v>
      </c>
      <c r="X1601" t="str">
        <f>VLOOKUP(C1601,Sales_Representatives!$A:$B,2,0)</f>
        <v>Linda Smith</v>
      </c>
    </row>
    <row r="1602" spans="1:24" x14ac:dyDescent="0.3">
      <c r="A1602" t="s">
        <v>2332</v>
      </c>
      <c r="B1602" t="s">
        <v>2326</v>
      </c>
      <c r="C1602" t="s">
        <v>75</v>
      </c>
      <c r="D1602" t="s">
        <v>1578</v>
      </c>
      <c r="E1602" t="s">
        <v>290</v>
      </c>
      <c r="F1602">
        <v>19</v>
      </c>
      <c r="G1602">
        <v>729.32</v>
      </c>
      <c r="H1602">
        <v>0.2</v>
      </c>
      <c r="I1602" s="4">
        <v>11085.66</v>
      </c>
      <c r="J1602" t="s">
        <v>44</v>
      </c>
      <c r="K1602" t="s">
        <v>17</v>
      </c>
      <c r="L1602" s="4">
        <f>VLOOKUP(tblTransactions[[#This Row],[Product_ID]],tblProducts[],5,FALSE)</f>
        <v>482.7</v>
      </c>
      <c r="M1602" s="4">
        <f>tblTransactions[[#This Row],[Total_Amount]]-(tblTransactions[[#This Row],[Cost_Prices]]*tblTransactions[[#This Row],[Quantity]]*(1-tblTransactions[[#This Row],[Discount]]))</f>
        <v>3748.62</v>
      </c>
      <c r="N1602" s="3">
        <f>tblTransactions[[#This Row],[Profit]]/tblTransactions[[#This Row],[Total_Amount]]</f>
        <v>0.33815036723117975</v>
      </c>
      <c r="O1602" t="str">
        <f>TEXT(tblTransactions[[#This Row],[Date]], "MMM-YYYY")</f>
        <v>Dec-2023</v>
      </c>
      <c r="P1602" t="str">
        <f>"Q"&amp;ROUNDUP(MONTH(tblTransactions[[#This Row],[Date]])/3,0)&amp;"-"&amp;YEAR(tblTransactions[[#This Row],[Date]])</f>
        <v>Q4-2023</v>
      </c>
      <c r="Q1602">
        <f>YEAR(tblTransactions[[#This Row],[Date]])</f>
        <v>2023</v>
      </c>
      <c r="R1602" t="str">
        <f>TEXT(tblTransactions[[#This Row],[Date]],"DDDD")</f>
        <v>Monday</v>
      </c>
      <c r="S1602">
        <f>MONTH(tblTransactions[[#This Row],[Date]])</f>
        <v>12</v>
      </c>
      <c r="T1602" t="str">
        <f>VLOOKUP(E1602, Products!$A:$B,2,0)</f>
        <v>Tables Fur-1</v>
      </c>
      <c r="U1602" t="str">
        <f>VLOOKUP(E1602,Products!$A:$C,3,0)</f>
        <v>Furniture</v>
      </c>
      <c r="V1602" t="str">
        <f>VLOOKUP(E1602,Products!$A:$D,4,0)</f>
        <v>Tables</v>
      </c>
      <c r="W1602" t="str">
        <f>VLOOKUP(D1602,Customers!$A:$C,3,0)</f>
        <v>Enterprise</v>
      </c>
      <c r="X1602" t="str">
        <f>VLOOKUP(C1602,Sales_Representatives!$A:$B,2,0)</f>
        <v>Jessica Anderson</v>
      </c>
    </row>
    <row r="1603" spans="1:24" x14ac:dyDescent="0.3">
      <c r="A1603" t="s">
        <v>2333</v>
      </c>
      <c r="B1603" t="s">
        <v>2326</v>
      </c>
      <c r="C1603" t="s">
        <v>82</v>
      </c>
      <c r="D1603" t="s">
        <v>2334</v>
      </c>
      <c r="E1603" t="s">
        <v>96</v>
      </c>
      <c r="F1603">
        <v>2</v>
      </c>
      <c r="G1603">
        <v>751.9</v>
      </c>
      <c r="H1603">
        <v>0.02</v>
      </c>
      <c r="I1603" s="4">
        <v>1473.72</v>
      </c>
      <c r="J1603" t="s">
        <v>34</v>
      </c>
      <c r="K1603" t="s">
        <v>48</v>
      </c>
      <c r="L1603" s="4">
        <f>VLOOKUP(tblTransactions[[#This Row],[Product_ID]],tblProducts[],5,FALSE)</f>
        <v>570.29</v>
      </c>
      <c r="M1603" s="4">
        <f>tblTransactions[[#This Row],[Total_Amount]]-(tblTransactions[[#This Row],[Cost_Prices]]*tblTransactions[[#This Row],[Quantity]]*(1-tblTransactions[[#This Row],[Discount]]))</f>
        <v>355.9516000000001</v>
      </c>
      <c r="N1603" s="3">
        <f>tblTransactions[[#This Row],[Profit]]/tblTransactions[[#This Row],[Total_Amount]]</f>
        <v>0.24153271991965916</v>
      </c>
      <c r="O1603" t="str">
        <f>TEXT(tblTransactions[[#This Row],[Date]], "MMM-YYYY")</f>
        <v>Dec-2023</v>
      </c>
      <c r="P1603" t="str">
        <f>"Q"&amp;ROUNDUP(MONTH(tblTransactions[[#This Row],[Date]])/3,0)&amp;"-"&amp;YEAR(tblTransactions[[#This Row],[Date]])</f>
        <v>Q4-2023</v>
      </c>
      <c r="Q1603">
        <f>YEAR(tblTransactions[[#This Row],[Date]])</f>
        <v>2023</v>
      </c>
      <c r="R1603" t="str">
        <f>TEXT(tblTransactions[[#This Row],[Date]],"DDDD")</f>
        <v>Monday</v>
      </c>
      <c r="S1603">
        <f>MONTH(tblTransactions[[#This Row],[Date]])</f>
        <v>12</v>
      </c>
      <c r="T1603" t="str">
        <f>VLOOKUP(E1603, Products!$A:$B,2,0)</f>
        <v>Routers Tec-1</v>
      </c>
      <c r="U1603" t="str">
        <f>VLOOKUP(E1603,Products!$A:$C,3,0)</f>
        <v>Technology</v>
      </c>
      <c r="V1603" t="str">
        <f>VLOOKUP(E1603,Products!$A:$D,4,0)</f>
        <v>Routers</v>
      </c>
      <c r="W1603" t="str">
        <f>VLOOKUP(D1603,Customers!$A:$C,3,0)</f>
        <v>B2B</v>
      </c>
      <c r="X1603" t="str">
        <f>VLOOKUP(C1603,Sales_Representatives!$A:$B,2,0)</f>
        <v>John Brown</v>
      </c>
    </row>
    <row r="1604" spans="1:24" x14ac:dyDescent="0.3">
      <c r="A1604" t="s">
        <v>2335</v>
      </c>
      <c r="B1604" t="s">
        <v>2326</v>
      </c>
      <c r="C1604" t="s">
        <v>70</v>
      </c>
      <c r="D1604" t="s">
        <v>1557</v>
      </c>
      <c r="E1604" t="s">
        <v>129</v>
      </c>
      <c r="F1604">
        <v>1</v>
      </c>
      <c r="G1604">
        <v>1283.71</v>
      </c>
      <c r="H1604">
        <v>0.01</v>
      </c>
      <c r="I1604" s="4">
        <v>1270.8699999999999</v>
      </c>
      <c r="J1604" t="s">
        <v>16</v>
      </c>
      <c r="K1604" t="s">
        <v>39</v>
      </c>
      <c r="L1604" s="4">
        <f>VLOOKUP(tblTransactions[[#This Row],[Product_ID]],tblProducts[],5,FALSE)</f>
        <v>970.14</v>
      </c>
      <c r="M1604" s="4">
        <f>tblTransactions[[#This Row],[Total_Amount]]-(tblTransactions[[#This Row],[Cost_Prices]]*tblTransactions[[#This Row],[Quantity]]*(1-tblTransactions[[#This Row],[Discount]]))</f>
        <v>310.43139999999994</v>
      </c>
      <c r="N1604" s="3">
        <f>tblTransactions[[#This Row],[Profit]]/tblTransactions[[#This Row],[Total_Amount]]</f>
        <v>0.24426684082557615</v>
      </c>
      <c r="O1604" t="str">
        <f>TEXT(tblTransactions[[#This Row],[Date]], "MMM-YYYY")</f>
        <v>Dec-2023</v>
      </c>
      <c r="P1604" t="str">
        <f>"Q"&amp;ROUNDUP(MONTH(tblTransactions[[#This Row],[Date]])/3,0)&amp;"-"&amp;YEAR(tblTransactions[[#This Row],[Date]])</f>
        <v>Q4-2023</v>
      </c>
      <c r="Q1604">
        <f>YEAR(tblTransactions[[#This Row],[Date]])</f>
        <v>2023</v>
      </c>
      <c r="R1604" t="str">
        <f>TEXT(tblTransactions[[#This Row],[Date]],"DDDD")</f>
        <v>Monday</v>
      </c>
      <c r="S1604">
        <f>MONTH(tblTransactions[[#This Row],[Date]])</f>
        <v>12</v>
      </c>
      <c r="T1604" t="str">
        <f>VLOOKUP(E1604, Products!$A:$B,2,0)</f>
        <v>Cameras Ele-3</v>
      </c>
      <c r="U1604" t="str">
        <f>VLOOKUP(E1604,Products!$A:$C,3,0)</f>
        <v>Electronics</v>
      </c>
      <c r="V1604" t="str">
        <f>VLOOKUP(E1604,Products!$A:$D,4,0)</f>
        <v>Cameras</v>
      </c>
      <c r="W1604" t="str">
        <f>VLOOKUP(D1604,Customers!$A:$C,3,0)</f>
        <v>B2C</v>
      </c>
      <c r="X1604" t="str">
        <f>VLOOKUP(C1604,Sales_Representatives!$A:$B,2,0)</f>
        <v>Linda Smith</v>
      </c>
    </row>
    <row r="1605" spans="1:24" x14ac:dyDescent="0.3">
      <c r="A1605" t="s">
        <v>2336</v>
      </c>
      <c r="B1605" t="s">
        <v>2337</v>
      </c>
      <c r="C1605" t="s">
        <v>63</v>
      </c>
      <c r="D1605" t="s">
        <v>1754</v>
      </c>
      <c r="E1605" t="s">
        <v>370</v>
      </c>
      <c r="F1605">
        <v>1</v>
      </c>
      <c r="G1605">
        <v>238.95</v>
      </c>
      <c r="H1605">
        <v>0.04</v>
      </c>
      <c r="I1605" s="4">
        <v>229.39</v>
      </c>
      <c r="J1605" t="s">
        <v>21</v>
      </c>
      <c r="K1605" t="s">
        <v>17</v>
      </c>
      <c r="L1605" s="4">
        <f>VLOOKUP(tblTransactions[[#This Row],[Product_ID]],tblProducts[],5,FALSE)</f>
        <v>136.6</v>
      </c>
      <c r="M1605" s="4">
        <f>tblTransactions[[#This Row],[Total_Amount]]-(tblTransactions[[#This Row],[Cost_Prices]]*tblTransactions[[#This Row],[Quantity]]*(1-tblTransactions[[#This Row],[Discount]]))</f>
        <v>98.253999999999991</v>
      </c>
      <c r="N1605" s="3">
        <f>tblTransactions[[#This Row],[Profit]]/tblTransactions[[#This Row],[Total_Amount]]</f>
        <v>0.4283273028466803</v>
      </c>
      <c r="O1605" t="str">
        <f>TEXT(tblTransactions[[#This Row],[Date]], "MMM-YYYY")</f>
        <v>Dec-2023</v>
      </c>
      <c r="P1605" t="str">
        <f>"Q"&amp;ROUNDUP(MONTH(tblTransactions[[#This Row],[Date]])/3,0)&amp;"-"&amp;YEAR(tblTransactions[[#This Row],[Date]])</f>
        <v>Q4-2023</v>
      </c>
      <c r="Q1605">
        <f>YEAR(tblTransactions[[#This Row],[Date]])</f>
        <v>2023</v>
      </c>
      <c r="R1605" t="str">
        <f>TEXT(tblTransactions[[#This Row],[Date]],"DDDD")</f>
        <v>Tuesday</v>
      </c>
      <c r="S1605">
        <f>MONTH(tblTransactions[[#This Row],[Date]])</f>
        <v>12</v>
      </c>
      <c r="T1605" t="str">
        <f>VLOOKUP(E1605, Products!$A:$B,2,0)</f>
        <v>Cables Acc-1</v>
      </c>
      <c r="U1605" t="str">
        <f>VLOOKUP(E1605,Products!$A:$C,3,0)</f>
        <v>Accessories</v>
      </c>
      <c r="V1605" t="str">
        <f>VLOOKUP(E1605,Products!$A:$D,4,0)</f>
        <v>Cables</v>
      </c>
      <c r="W1605" t="str">
        <f>VLOOKUP(D1605,Customers!$A:$C,3,0)</f>
        <v>Small Business</v>
      </c>
      <c r="X1605" t="str">
        <f>VLOOKUP(C1605,Sales_Representatives!$A:$B,2,0)</f>
        <v>Richard Wilson</v>
      </c>
    </row>
    <row r="1606" spans="1:24" x14ac:dyDescent="0.3">
      <c r="A1606" t="s">
        <v>2338</v>
      </c>
      <c r="B1606" t="s">
        <v>2337</v>
      </c>
      <c r="C1606" t="s">
        <v>141</v>
      </c>
      <c r="D1606" t="s">
        <v>67</v>
      </c>
      <c r="E1606" t="s">
        <v>159</v>
      </c>
      <c r="F1606">
        <v>4</v>
      </c>
      <c r="G1606">
        <v>78.09</v>
      </c>
      <c r="H1606">
        <v>0.01</v>
      </c>
      <c r="I1606" s="4">
        <v>309.24</v>
      </c>
      <c r="J1606" t="s">
        <v>109</v>
      </c>
      <c r="K1606" t="s">
        <v>22</v>
      </c>
      <c r="L1606" s="4">
        <f>VLOOKUP(tblTransactions[[#This Row],[Product_ID]],tblProducts[],5,FALSE)</f>
        <v>47.01</v>
      </c>
      <c r="M1606" s="4">
        <f>tblTransactions[[#This Row],[Total_Amount]]-(tblTransactions[[#This Row],[Cost_Prices]]*tblTransactions[[#This Row],[Quantity]]*(1-tblTransactions[[#This Row],[Discount]]))</f>
        <v>123.08040000000003</v>
      </c>
      <c r="N1606" s="3">
        <f>tblTransactions[[#This Row],[Profit]]/tblTransactions[[#This Row],[Total_Amount]]</f>
        <v>0.39800931315483129</v>
      </c>
      <c r="O1606" t="str">
        <f>TEXT(tblTransactions[[#This Row],[Date]], "MMM-YYYY")</f>
        <v>Dec-2023</v>
      </c>
      <c r="P1606" t="str">
        <f>"Q"&amp;ROUNDUP(MONTH(tblTransactions[[#This Row],[Date]])/3,0)&amp;"-"&amp;YEAR(tblTransactions[[#This Row],[Date]])</f>
        <v>Q4-2023</v>
      </c>
      <c r="Q1606">
        <f>YEAR(tblTransactions[[#This Row],[Date]])</f>
        <v>2023</v>
      </c>
      <c r="R1606" t="str">
        <f>TEXT(tblTransactions[[#This Row],[Date]],"DDDD")</f>
        <v>Tuesday</v>
      </c>
      <c r="S1606">
        <f>MONTH(tblTransactions[[#This Row],[Date]])</f>
        <v>12</v>
      </c>
      <c r="T1606" t="str">
        <f>VLOOKUP(E1606, Products!$A:$B,2,0)</f>
        <v>Cables Acc-4</v>
      </c>
      <c r="U1606" t="str">
        <f>VLOOKUP(E1606,Products!$A:$C,3,0)</f>
        <v>Accessories</v>
      </c>
      <c r="V1606" t="str">
        <f>VLOOKUP(E1606,Products!$A:$D,4,0)</f>
        <v>Cables</v>
      </c>
      <c r="W1606" t="str">
        <f>VLOOKUP(D1606,Customers!$A:$C,3,0)</f>
        <v>B2C</v>
      </c>
      <c r="X1606" t="str">
        <f>VLOOKUP(C1606,Sales_Representatives!$A:$B,2,0)</f>
        <v>Richard Garcia</v>
      </c>
    </row>
    <row r="1607" spans="1:24" x14ac:dyDescent="0.3">
      <c r="A1607" t="s">
        <v>2339</v>
      </c>
      <c r="B1607" t="s">
        <v>2340</v>
      </c>
      <c r="C1607" t="s">
        <v>56</v>
      </c>
      <c r="D1607" t="s">
        <v>2341</v>
      </c>
      <c r="E1607" t="s">
        <v>99</v>
      </c>
      <c r="F1607">
        <v>2</v>
      </c>
      <c r="G1607">
        <v>325.14</v>
      </c>
      <c r="H1607">
        <v>7.0000000000000007E-2</v>
      </c>
      <c r="I1607" s="4">
        <v>604.76</v>
      </c>
      <c r="J1607" t="s">
        <v>34</v>
      </c>
      <c r="K1607" t="s">
        <v>17</v>
      </c>
      <c r="L1607" s="4">
        <f>VLOOKUP(tblTransactions[[#This Row],[Product_ID]],tblProducts[],5,FALSE)</f>
        <v>209.04</v>
      </c>
      <c r="M1607" s="4">
        <f>tblTransactions[[#This Row],[Total_Amount]]-(tblTransactions[[#This Row],[Cost_Prices]]*tblTransactions[[#This Row],[Quantity]]*(1-tblTransactions[[#This Row],[Discount]]))</f>
        <v>215.94560000000001</v>
      </c>
      <c r="N1607" s="3">
        <f>tblTransactions[[#This Row],[Profit]]/tblTransactions[[#This Row],[Total_Amount]]</f>
        <v>0.35707652622527947</v>
      </c>
      <c r="O1607" t="str">
        <f>TEXT(tblTransactions[[#This Row],[Date]], "MMM-YYYY")</f>
        <v>Dec-2023</v>
      </c>
      <c r="P1607" t="str">
        <f>"Q"&amp;ROUNDUP(MONTH(tblTransactions[[#This Row],[Date]])/3,0)&amp;"-"&amp;YEAR(tblTransactions[[#This Row],[Date]])</f>
        <v>Q4-2023</v>
      </c>
      <c r="Q1607">
        <f>YEAR(tblTransactions[[#This Row],[Date]])</f>
        <v>2023</v>
      </c>
      <c r="R1607" t="str">
        <f>TEXT(tblTransactions[[#This Row],[Date]],"DDDD")</f>
        <v>Wednesday</v>
      </c>
      <c r="S1607">
        <f>MONTH(tblTransactions[[#This Row],[Date]])</f>
        <v>12</v>
      </c>
      <c r="T1607" t="str">
        <f>VLOOKUP(E1607, Products!$A:$B,2,0)</f>
        <v>Monitors Tec-1</v>
      </c>
      <c r="U1607" t="str">
        <f>VLOOKUP(E1607,Products!$A:$C,3,0)</f>
        <v>Technology</v>
      </c>
      <c r="V1607" t="str">
        <f>VLOOKUP(E1607,Products!$A:$D,4,0)</f>
        <v>Monitors</v>
      </c>
      <c r="W1607" t="str">
        <f>VLOOKUP(D1607,Customers!$A:$C,3,0)</f>
        <v>B2C</v>
      </c>
      <c r="X1607" t="str">
        <f>VLOOKUP(C1607,Sales_Representatives!$A:$B,2,0)</f>
        <v>Thomas Hernandez</v>
      </c>
    </row>
    <row r="1608" spans="1:24" x14ac:dyDescent="0.3">
      <c r="A1608" t="s">
        <v>2342</v>
      </c>
      <c r="B1608" t="s">
        <v>2340</v>
      </c>
      <c r="C1608" t="s">
        <v>27</v>
      </c>
      <c r="D1608" t="s">
        <v>2108</v>
      </c>
      <c r="E1608" t="s">
        <v>38</v>
      </c>
      <c r="F1608">
        <v>6</v>
      </c>
      <c r="G1608">
        <v>581.47</v>
      </c>
      <c r="H1608">
        <v>7.0000000000000007E-2</v>
      </c>
      <c r="I1608" s="4">
        <v>3244.6</v>
      </c>
      <c r="J1608" t="s">
        <v>16</v>
      </c>
      <c r="K1608" t="s">
        <v>48</v>
      </c>
      <c r="L1608" s="4">
        <f>VLOOKUP(tblTransactions[[#This Row],[Product_ID]],tblProducts[],5,FALSE)</f>
        <v>372.07</v>
      </c>
      <c r="M1608" s="4">
        <f>tblTransactions[[#This Row],[Total_Amount]]-(tblTransactions[[#This Row],[Cost_Prices]]*tblTransactions[[#This Row],[Quantity]]*(1-tblTransactions[[#This Row],[Discount]]))</f>
        <v>1168.4494</v>
      </c>
      <c r="N1608" s="3">
        <f>tblTransactions[[#This Row],[Profit]]/tblTransactions[[#This Row],[Total_Amount]]</f>
        <v>0.3601212476114159</v>
      </c>
      <c r="O1608" t="str">
        <f>TEXT(tblTransactions[[#This Row],[Date]], "MMM-YYYY")</f>
        <v>Dec-2023</v>
      </c>
      <c r="P1608" t="str">
        <f>"Q"&amp;ROUNDUP(MONTH(tblTransactions[[#This Row],[Date]])/3,0)&amp;"-"&amp;YEAR(tblTransactions[[#This Row],[Date]])</f>
        <v>Q4-2023</v>
      </c>
      <c r="Q1608">
        <f>YEAR(tblTransactions[[#This Row],[Date]])</f>
        <v>2023</v>
      </c>
      <c r="R1608" t="str">
        <f>TEXT(tblTransactions[[#This Row],[Date]],"DDDD")</f>
        <v>Wednesday</v>
      </c>
      <c r="S1608">
        <f>MONTH(tblTransactions[[#This Row],[Date]])</f>
        <v>12</v>
      </c>
      <c r="T1608" t="str">
        <f>VLOOKUP(E1608, Products!$A:$B,2,0)</f>
        <v>Storage Fur-3</v>
      </c>
      <c r="U1608" t="str">
        <f>VLOOKUP(E1608,Products!$A:$C,3,0)</f>
        <v>Furniture</v>
      </c>
      <c r="V1608" t="str">
        <f>VLOOKUP(E1608,Products!$A:$D,4,0)</f>
        <v>Storage</v>
      </c>
      <c r="W1608" t="str">
        <f>VLOOKUP(D1608,Customers!$A:$C,3,0)</f>
        <v>Small Business</v>
      </c>
      <c r="X1608" t="str">
        <f>VLOOKUP(C1608,Sales_Representatives!$A:$B,2,0)</f>
        <v>Thomas Lopez</v>
      </c>
    </row>
    <row r="1609" spans="1:24" x14ac:dyDescent="0.3">
      <c r="A1609" t="s">
        <v>2343</v>
      </c>
      <c r="B1609" t="s">
        <v>2344</v>
      </c>
      <c r="C1609" t="s">
        <v>70</v>
      </c>
      <c r="D1609" t="s">
        <v>2047</v>
      </c>
      <c r="E1609" t="s">
        <v>108</v>
      </c>
      <c r="F1609">
        <v>1</v>
      </c>
      <c r="G1609">
        <v>155.75</v>
      </c>
      <c r="H1609">
        <v>0.08</v>
      </c>
      <c r="I1609" s="4">
        <v>143.29</v>
      </c>
      <c r="J1609" t="s">
        <v>16</v>
      </c>
      <c r="K1609" t="s">
        <v>39</v>
      </c>
      <c r="L1609" s="4">
        <f>VLOOKUP(tblTransactions[[#This Row],[Product_ID]],tblProducts[],5,FALSE)</f>
        <v>80.8</v>
      </c>
      <c r="M1609" s="4">
        <f>tblTransactions[[#This Row],[Total_Amount]]-(tblTransactions[[#This Row],[Cost_Prices]]*tblTransactions[[#This Row],[Quantity]]*(1-tblTransactions[[#This Row],[Discount]]))</f>
        <v>68.953999999999994</v>
      </c>
      <c r="N1609" s="3">
        <f>tblTransactions[[#This Row],[Profit]]/tblTransactions[[#This Row],[Total_Amount]]</f>
        <v>0.48121990369181378</v>
      </c>
      <c r="O1609" t="str">
        <f>TEXT(tblTransactions[[#This Row],[Date]], "MMM-YYYY")</f>
        <v>Dec-2023</v>
      </c>
      <c r="P1609" t="str">
        <f>"Q"&amp;ROUNDUP(MONTH(tblTransactions[[#This Row],[Date]])/3,0)&amp;"-"&amp;YEAR(tblTransactions[[#This Row],[Date]])</f>
        <v>Q4-2023</v>
      </c>
      <c r="Q1609">
        <f>YEAR(tblTransactions[[#This Row],[Date]])</f>
        <v>2023</v>
      </c>
      <c r="R1609" t="str">
        <f>TEXT(tblTransactions[[#This Row],[Date]],"DDDD")</f>
        <v>Thursday</v>
      </c>
      <c r="S1609">
        <f>MONTH(tblTransactions[[#This Row],[Date]])</f>
        <v>12</v>
      </c>
      <c r="T1609" t="str">
        <f>VLOOKUP(E1609, Products!$A:$B,2,0)</f>
        <v>Cases Acc-1</v>
      </c>
      <c r="U1609" t="str">
        <f>VLOOKUP(E1609,Products!$A:$C,3,0)</f>
        <v>Accessories</v>
      </c>
      <c r="V1609" t="str">
        <f>VLOOKUP(E1609,Products!$A:$D,4,0)</f>
        <v>Cases</v>
      </c>
      <c r="W1609" t="str">
        <f>VLOOKUP(D1609,Customers!$A:$C,3,0)</f>
        <v>B2C</v>
      </c>
      <c r="X1609" t="str">
        <f>VLOOKUP(C1609,Sales_Representatives!$A:$B,2,0)</f>
        <v>Linda Smith</v>
      </c>
    </row>
    <row r="1610" spans="1:24" x14ac:dyDescent="0.3">
      <c r="A1610" t="s">
        <v>2345</v>
      </c>
      <c r="B1610" t="s">
        <v>2344</v>
      </c>
      <c r="C1610" t="s">
        <v>82</v>
      </c>
      <c r="D1610" t="s">
        <v>1552</v>
      </c>
      <c r="E1610" t="s">
        <v>89</v>
      </c>
      <c r="F1610">
        <v>35</v>
      </c>
      <c r="G1610">
        <v>555.08000000000004</v>
      </c>
      <c r="H1610">
        <v>0.19</v>
      </c>
      <c r="I1610" s="4">
        <v>15736.52</v>
      </c>
      <c r="J1610" t="s">
        <v>34</v>
      </c>
      <c r="K1610" t="s">
        <v>17</v>
      </c>
      <c r="L1610" s="4">
        <f>VLOOKUP(tblTransactions[[#This Row],[Product_ID]],tblProducts[],5,FALSE)</f>
        <v>402.82</v>
      </c>
      <c r="M1610" s="4">
        <f>tblTransactions[[#This Row],[Total_Amount]]-(tblTransactions[[#This Row],[Cost_Prices]]*tblTransactions[[#This Row],[Quantity]]*(1-tblTransactions[[#This Row],[Discount]]))</f>
        <v>4316.5730000000003</v>
      </c>
      <c r="N1610" s="3">
        <f>tblTransactions[[#This Row],[Profit]]/tblTransactions[[#This Row],[Total_Amount]]</f>
        <v>0.27430289543050179</v>
      </c>
      <c r="O1610" t="str">
        <f>TEXT(tblTransactions[[#This Row],[Date]], "MMM-YYYY")</f>
        <v>Dec-2023</v>
      </c>
      <c r="P1610" t="str">
        <f>"Q"&amp;ROUNDUP(MONTH(tblTransactions[[#This Row],[Date]])/3,0)&amp;"-"&amp;YEAR(tblTransactions[[#This Row],[Date]])</f>
        <v>Q4-2023</v>
      </c>
      <c r="Q1610">
        <f>YEAR(tblTransactions[[#This Row],[Date]])</f>
        <v>2023</v>
      </c>
      <c r="R1610" t="str">
        <f>TEXT(tblTransactions[[#This Row],[Date]],"DDDD")</f>
        <v>Thursday</v>
      </c>
      <c r="S1610">
        <f>MONTH(tblTransactions[[#This Row],[Date]])</f>
        <v>12</v>
      </c>
      <c r="T1610" t="str">
        <f>VLOOKUP(E1610, Products!$A:$B,2,0)</f>
        <v>Laptops Ele-3</v>
      </c>
      <c r="U1610" t="str">
        <f>VLOOKUP(E1610,Products!$A:$C,3,0)</f>
        <v>Electronics</v>
      </c>
      <c r="V1610" t="str">
        <f>VLOOKUP(E1610,Products!$A:$D,4,0)</f>
        <v>Laptops</v>
      </c>
      <c r="W1610" t="str">
        <f>VLOOKUP(D1610,Customers!$A:$C,3,0)</f>
        <v>Enterprise</v>
      </c>
      <c r="X1610" t="str">
        <f>VLOOKUP(C1610,Sales_Representatives!$A:$B,2,0)</f>
        <v>John Brown</v>
      </c>
    </row>
    <row r="1611" spans="1:24" x14ac:dyDescent="0.3">
      <c r="A1611" t="s">
        <v>2346</v>
      </c>
      <c r="B1611" t="s">
        <v>2344</v>
      </c>
      <c r="C1611" t="s">
        <v>59</v>
      </c>
      <c r="D1611" t="s">
        <v>1610</v>
      </c>
      <c r="E1611" t="s">
        <v>38</v>
      </c>
      <c r="F1611">
        <v>4</v>
      </c>
      <c r="G1611">
        <v>581.47</v>
      </c>
      <c r="H1611">
        <v>0.1</v>
      </c>
      <c r="I1611" s="4">
        <v>2093.29</v>
      </c>
      <c r="J1611" t="s">
        <v>21</v>
      </c>
      <c r="K1611" t="s">
        <v>35</v>
      </c>
      <c r="L1611" s="4">
        <f>VLOOKUP(tblTransactions[[#This Row],[Product_ID]],tblProducts[],5,FALSE)</f>
        <v>372.07</v>
      </c>
      <c r="M1611" s="4">
        <f>tblTransactions[[#This Row],[Total_Amount]]-(tblTransactions[[#This Row],[Cost_Prices]]*tblTransactions[[#This Row],[Quantity]]*(1-tblTransactions[[#This Row],[Discount]]))</f>
        <v>753.83799999999997</v>
      </c>
      <c r="N1611" s="3">
        <f>tblTransactions[[#This Row],[Profit]]/tblTransactions[[#This Row],[Total_Amount]]</f>
        <v>0.36012114900467684</v>
      </c>
      <c r="O1611" t="str">
        <f>TEXT(tblTransactions[[#This Row],[Date]], "MMM-YYYY")</f>
        <v>Dec-2023</v>
      </c>
      <c r="P1611" t="str">
        <f>"Q"&amp;ROUNDUP(MONTH(tblTransactions[[#This Row],[Date]])/3,0)&amp;"-"&amp;YEAR(tblTransactions[[#This Row],[Date]])</f>
        <v>Q4-2023</v>
      </c>
      <c r="Q1611">
        <f>YEAR(tblTransactions[[#This Row],[Date]])</f>
        <v>2023</v>
      </c>
      <c r="R1611" t="str">
        <f>TEXT(tblTransactions[[#This Row],[Date]],"DDDD")</f>
        <v>Thursday</v>
      </c>
      <c r="S1611">
        <f>MONTH(tblTransactions[[#This Row],[Date]])</f>
        <v>12</v>
      </c>
      <c r="T1611" t="str">
        <f>VLOOKUP(E1611, Products!$A:$B,2,0)</f>
        <v>Storage Fur-3</v>
      </c>
      <c r="U1611" t="str">
        <f>VLOOKUP(E1611,Products!$A:$C,3,0)</f>
        <v>Furniture</v>
      </c>
      <c r="V1611" t="str">
        <f>VLOOKUP(E1611,Products!$A:$D,4,0)</f>
        <v>Storage</v>
      </c>
      <c r="W1611" t="str">
        <f>VLOOKUP(D1611,Customers!$A:$C,3,0)</f>
        <v>B2C</v>
      </c>
      <c r="X1611" t="str">
        <f>VLOOKUP(C1611,Sales_Representatives!$A:$B,2,0)</f>
        <v>Sarah Brown</v>
      </c>
    </row>
    <row r="1612" spans="1:24" x14ac:dyDescent="0.3">
      <c r="A1612" t="s">
        <v>2347</v>
      </c>
      <c r="B1612" t="s">
        <v>2348</v>
      </c>
      <c r="C1612" t="s">
        <v>13</v>
      </c>
      <c r="D1612" t="s">
        <v>118</v>
      </c>
      <c r="E1612" t="s">
        <v>316</v>
      </c>
      <c r="F1612">
        <v>3</v>
      </c>
      <c r="G1612">
        <v>91.42</v>
      </c>
      <c r="H1612">
        <v>0.1</v>
      </c>
      <c r="I1612" s="4">
        <v>246.83</v>
      </c>
      <c r="J1612" t="s">
        <v>16</v>
      </c>
      <c r="K1612" t="s">
        <v>22</v>
      </c>
      <c r="L1612" s="4">
        <f>VLOOKUP(tblTransactions[[#This Row],[Product_ID]],tblProducts[],5,FALSE)</f>
        <v>50.09</v>
      </c>
      <c r="M1612" s="4">
        <f>tblTransactions[[#This Row],[Total_Amount]]-(tblTransactions[[#This Row],[Cost_Prices]]*tblTransactions[[#This Row],[Quantity]]*(1-tblTransactions[[#This Row],[Discount]]))</f>
        <v>111.58699999999999</v>
      </c>
      <c r="N1612" s="3">
        <f>tblTransactions[[#This Row],[Profit]]/tblTransactions[[#This Row],[Total_Amount]]</f>
        <v>0.45208037920836197</v>
      </c>
      <c r="O1612" t="str">
        <f>TEXT(tblTransactions[[#This Row],[Date]], "MMM-YYYY")</f>
        <v>Dec-2023</v>
      </c>
      <c r="P1612" t="str">
        <f>"Q"&amp;ROUNDUP(MONTH(tblTransactions[[#This Row],[Date]])/3,0)&amp;"-"&amp;YEAR(tblTransactions[[#This Row],[Date]])</f>
        <v>Q4-2023</v>
      </c>
      <c r="Q1612">
        <f>YEAR(tblTransactions[[#This Row],[Date]])</f>
        <v>2023</v>
      </c>
      <c r="R1612" t="str">
        <f>TEXT(tblTransactions[[#This Row],[Date]],"DDDD")</f>
        <v>Friday</v>
      </c>
      <c r="S1612">
        <f>MONTH(tblTransactions[[#This Row],[Date]])</f>
        <v>12</v>
      </c>
      <c r="T1612" t="str">
        <f>VLOOKUP(E1612, Products!$A:$B,2,0)</f>
        <v>Binders Off-3</v>
      </c>
      <c r="U1612" t="str">
        <f>VLOOKUP(E1612,Products!$A:$C,3,0)</f>
        <v>Office Supplies</v>
      </c>
      <c r="V1612" t="str">
        <f>VLOOKUP(E1612,Products!$A:$D,4,0)</f>
        <v>Binders</v>
      </c>
      <c r="W1612" t="str">
        <f>VLOOKUP(D1612,Customers!$A:$C,3,0)</f>
        <v>B2C</v>
      </c>
      <c r="X1612" t="str">
        <f>VLOOKUP(C1612,Sales_Representatives!$A:$B,2,0)</f>
        <v>Jennifer Rodriguez</v>
      </c>
    </row>
    <row r="1613" spans="1:24" x14ac:dyDescent="0.3">
      <c r="A1613" t="s">
        <v>2349</v>
      </c>
      <c r="B1613" t="s">
        <v>2348</v>
      </c>
      <c r="C1613" t="s">
        <v>131</v>
      </c>
      <c r="D1613" t="s">
        <v>247</v>
      </c>
      <c r="E1613" t="s">
        <v>137</v>
      </c>
      <c r="F1613">
        <v>4</v>
      </c>
      <c r="G1613">
        <v>241.39</v>
      </c>
      <c r="H1613">
        <v>0.05</v>
      </c>
      <c r="I1613" s="4">
        <v>917.28</v>
      </c>
      <c r="J1613" t="s">
        <v>44</v>
      </c>
      <c r="K1613" t="s">
        <v>17</v>
      </c>
      <c r="L1613" s="4">
        <f>VLOOKUP(tblTransactions[[#This Row],[Product_ID]],tblProducts[],5,FALSE)</f>
        <v>124.07</v>
      </c>
      <c r="M1613" s="4">
        <f>tblTransactions[[#This Row],[Total_Amount]]-(tblTransactions[[#This Row],[Cost_Prices]]*tblTransactions[[#This Row],[Quantity]]*(1-tblTransactions[[#This Row],[Discount]]))</f>
        <v>445.81400000000002</v>
      </c>
      <c r="N1613" s="3">
        <f>tblTransactions[[#This Row],[Profit]]/tblTransactions[[#This Row],[Total_Amount]]</f>
        <v>0.48601735566021281</v>
      </c>
      <c r="O1613" t="str">
        <f>TEXT(tblTransactions[[#This Row],[Date]], "MMM-YYYY")</f>
        <v>Dec-2023</v>
      </c>
      <c r="P1613" t="str">
        <f>"Q"&amp;ROUNDUP(MONTH(tblTransactions[[#This Row],[Date]])/3,0)&amp;"-"&amp;YEAR(tblTransactions[[#This Row],[Date]])</f>
        <v>Q4-2023</v>
      </c>
      <c r="Q1613">
        <f>YEAR(tblTransactions[[#This Row],[Date]])</f>
        <v>2023</v>
      </c>
      <c r="R1613" t="str">
        <f>TEXT(tblTransactions[[#This Row],[Date]],"DDDD")</f>
        <v>Friday</v>
      </c>
      <c r="S1613">
        <f>MONTH(tblTransactions[[#This Row],[Date]])</f>
        <v>12</v>
      </c>
      <c r="T1613" t="str">
        <f>VLOOKUP(E1613, Products!$A:$B,2,0)</f>
        <v>Desks Fur-2</v>
      </c>
      <c r="U1613" t="str">
        <f>VLOOKUP(E1613,Products!$A:$C,3,0)</f>
        <v>Furniture</v>
      </c>
      <c r="V1613" t="str">
        <f>VLOOKUP(E1613,Products!$A:$D,4,0)</f>
        <v>Desks</v>
      </c>
      <c r="W1613" t="str">
        <f>VLOOKUP(D1613,Customers!$A:$C,3,0)</f>
        <v>B2C</v>
      </c>
      <c r="X1613" t="str">
        <f>VLOOKUP(C1613,Sales_Representatives!$A:$B,2,0)</f>
        <v>Michael Davis</v>
      </c>
    </row>
    <row r="1614" spans="1:24" x14ac:dyDescent="0.3">
      <c r="A1614" t="s">
        <v>2350</v>
      </c>
      <c r="B1614" t="s">
        <v>2348</v>
      </c>
      <c r="C1614" t="s">
        <v>56</v>
      </c>
      <c r="D1614" t="s">
        <v>1725</v>
      </c>
      <c r="E1614" t="s">
        <v>198</v>
      </c>
      <c r="F1614">
        <v>4</v>
      </c>
      <c r="G1614">
        <v>1802.96</v>
      </c>
      <c r="H1614">
        <v>0</v>
      </c>
      <c r="I1614" s="4">
        <v>7211.84</v>
      </c>
      <c r="J1614" t="s">
        <v>34</v>
      </c>
      <c r="K1614" t="s">
        <v>17</v>
      </c>
      <c r="L1614" s="4">
        <f>VLOOKUP(tblTransactions[[#This Row],[Product_ID]],tblProducts[],5,FALSE)</f>
        <v>1282.18</v>
      </c>
      <c r="M1614" s="4">
        <f>tblTransactions[[#This Row],[Total_Amount]]-(tblTransactions[[#This Row],[Cost_Prices]]*tblTransactions[[#This Row],[Quantity]]*(1-tblTransactions[[#This Row],[Discount]]))</f>
        <v>2083.12</v>
      </c>
      <c r="N1614" s="3">
        <f>tblTransactions[[#This Row],[Profit]]/tblTransactions[[#This Row],[Total_Amount]]</f>
        <v>0.28884722900119802</v>
      </c>
      <c r="O1614" t="str">
        <f>TEXT(tblTransactions[[#This Row],[Date]], "MMM-YYYY")</f>
        <v>Dec-2023</v>
      </c>
      <c r="P1614" t="str">
        <f>"Q"&amp;ROUNDUP(MONTH(tblTransactions[[#This Row],[Date]])/3,0)&amp;"-"&amp;YEAR(tblTransactions[[#This Row],[Date]])</f>
        <v>Q4-2023</v>
      </c>
      <c r="Q1614">
        <f>YEAR(tblTransactions[[#This Row],[Date]])</f>
        <v>2023</v>
      </c>
      <c r="R1614" t="str">
        <f>TEXT(tblTransactions[[#This Row],[Date]],"DDDD")</f>
        <v>Friday</v>
      </c>
      <c r="S1614">
        <f>MONTH(tblTransactions[[#This Row],[Date]])</f>
        <v>12</v>
      </c>
      <c r="T1614" t="str">
        <f>VLOOKUP(E1614, Products!$A:$B,2,0)</f>
        <v>Tablets Ele-3</v>
      </c>
      <c r="U1614" t="str">
        <f>VLOOKUP(E1614,Products!$A:$C,3,0)</f>
        <v>Electronics</v>
      </c>
      <c r="V1614" t="str">
        <f>VLOOKUP(E1614,Products!$A:$D,4,0)</f>
        <v>Tablets</v>
      </c>
      <c r="W1614" t="str">
        <f>VLOOKUP(D1614,Customers!$A:$C,3,0)</f>
        <v>B2C</v>
      </c>
      <c r="X1614" t="str">
        <f>VLOOKUP(C1614,Sales_Representatives!$A:$B,2,0)</f>
        <v>Thomas Hernandez</v>
      </c>
    </row>
    <row r="1615" spans="1:24" x14ac:dyDescent="0.3">
      <c r="A1615" t="s">
        <v>2351</v>
      </c>
      <c r="B1615" t="s">
        <v>2348</v>
      </c>
      <c r="C1615" t="s">
        <v>70</v>
      </c>
      <c r="D1615" t="s">
        <v>2208</v>
      </c>
      <c r="E1615" t="s">
        <v>15</v>
      </c>
      <c r="F1615">
        <v>10</v>
      </c>
      <c r="G1615">
        <v>477.48</v>
      </c>
      <c r="H1615">
        <v>0.12</v>
      </c>
      <c r="I1615" s="4">
        <v>4201.82</v>
      </c>
      <c r="J1615" t="s">
        <v>16</v>
      </c>
      <c r="K1615" t="s">
        <v>48</v>
      </c>
      <c r="L1615" s="4">
        <f>VLOOKUP(tblTransactions[[#This Row],[Product_ID]],tblProducts[],5,FALSE)</f>
        <v>275.51</v>
      </c>
      <c r="M1615" s="4">
        <f>tblTransactions[[#This Row],[Total_Amount]]-(tblTransactions[[#This Row],[Cost_Prices]]*tblTransactions[[#This Row],[Quantity]]*(1-tblTransactions[[#This Row],[Discount]]))</f>
        <v>1777.3319999999999</v>
      </c>
      <c r="N1615" s="3">
        <f>tblTransactions[[#This Row],[Profit]]/tblTransactions[[#This Row],[Total_Amount]]</f>
        <v>0.42299098961878423</v>
      </c>
      <c r="O1615" t="str">
        <f>TEXT(tblTransactions[[#This Row],[Date]], "MMM-YYYY")</f>
        <v>Dec-2023</v>
      </c>
      <c r="P1615" t="str">
        <f>"Q"&amp;ROUNDUP(MONTH(tblTransactions[[#This Row],[Date]])/3,0)&amp;"-"&amp;YEAR(tblTransactions[[#This Row],[Date]])</f>
        <v>Q4-2023</v>
      </c>
      <c r="Q1615">
        <f>YEAR(tblTransactions[[#This Row],[Date]])</f>
        <v>2023</v>
      </c>
      <c r="R1615" t="str">
        <f>TEXT(tblTransactions[[#This Row],[Date]],"DDDD")</f>
        <v>Friday</v>
      </c>
      <c r="S1615">
        <f>MONTH(tblTransactions[[#This Row],[Date]])</f>
        <v>12</v>
      </c>
      <c r="T1615" t="str">
        <f>VLOOKUP(E1615, Products!$A:$B,2,0)</f>
        <v>Laptops Ele-4</v>
      </c>
      <c r="U1615" t="str">
        <f>VLOOKUP(E1615,Products!$A:$C,3,0)</f>
        <v>Electronics</v>
      </c>
      <c r="V1615" t="str">
        <f>VLOOKUP(E1615,Products!$A:$D,4,0)</f>
        <v>Laptops</v>
      </c>
      <c r="W1615" t="str">
        <f>VLOOKUP(D1615,Customers!$A:$C,3,0)</f>
        <v>B2B</v>
      </c>
      <c r="X1615" t="str">
        <f>VLOOKUP(C1615,Sales_Representatives!$A:$B,2,0)</f>
        <v>Linda Smith</v>
      </c>
    </row>
    <row r="1616" spans="1:24" x14ac:dyDescent="0.3">
      <c r="A1616" t="s">
        <v>2352</v>
      </c>
      <c r="B1616" t="s">
        <v>2348</v>
      </c>
      <c r="C1616" t="s">
        <v>127</v>
      </c>
      <c r="D1616" t="s">
        <v>1765</v>
      </c>
      <c r="E1616" t="s">
        <v>243</v>
      </c>
      <c r="F1616">
        <v>6</v>
      </c>
      <c r="G1616">
        <v>384.18</v>
      </c>
      <c r="H1616">
        <v>0.14000000000000001</v>
      </c>
      <c r="I1616" s="4">
        <v>1982.37</v>
      </c>
      <c r="J1616" t="s">
        <v>109</v>
      </c>
      <c r="K1616" t="s">
        <v>35</v>
      </c>
      <c r="L1616" s="4">
        <f>VLOOKUP(tblTransactions[[#This Row],[Product_ID]],tblProducts[],5,FALSE)</f>
        <v>266.92</v>
      </c>
      <c r="M1616" s="4">
        <f>tblTransactions[[#This Row],[Total_Amount]]-(tblTransactions[[#This Row],[Cost_Prices]]*tblTransactions[[#This Row],[Quantity]]*(1-tblTransactions[[#This Row],[Discount]]))</f>
        <v>605.06279999999992</v>
      </c>
      <c r="N1616" s="3">
        <f>tblTransactions[[#This Row],[Profit]]/tblTransactions[[#This Row],[Total_Amount]]</f>
        <v>0.30522193132462655</v>
      </c>
      <c r="O1616" t="str">
        <f>TEXT(tblTransactions[[#This Row],[Date]], "MMM-YYYY")</f>
        <v>Dec-2023</v>
      </c>
      <c r="P1616" t="str">
        <f>"Q"&amp;ROUNDUP(MONTH(tblTransactions[[#This Row],[Date]])/3,0)&amp;"-"&amp;YEAR(tblTransactions[[#This Row],[Date]])</f>
        <v>Q4-2023</v>
      </c>
      <c r="Q1616">
        <f>YEAR(tblTransactions[[#This Row],[Date]])</f>
        <v>2023</v>
      </c>
      <c r="R1616" t="str">
        <f>TEXT(tblTransactions[[#This Row],[Date]],"DDDD")</f>
        <v>Friday</v>
      </c>
      <c r="S1616">
        <f>MONTH(tblTransactions[[#This Row],[Date]])</f>
        <v>12</v>
      </c>
      <c r="T1616" t="str">
        <f>VLOOKUP(E1616, Products!$A:$B,2,0)</f>
        <v>Routers Tec-3</v>
      </c>
      <c r="U1616" t="str">
        <f>VLOOKUP(E1616,Products!$A:$C,3,0)</f>
        <v>Technology</v>
      </c>
      <c r="V1616" t="str">
        <f>VLOOKUP(E1616,Products!$A:$D,4,0)</f>
        <v>Routers</v>
      </c>
      <c r="W1616" t="str">
        <f>VLOOKUP(D1616,Customers!$A:$C,3,0)</f>
        <v>B2C</v>
      </c>
      <c r="X1616" t="str">
        <f>VLOOKUP(C1616,Sales_Representatives!$A:$B,2,0)</f>
        <v>Emily Hernandez</v>
      </c>
    </row>
    <row r="1617" spans="1:24" x14ac:dyDescent="0.3">
      <c r="A1617" t="s">
        <v>2353</v>
      </c>
      <c r="B1617" t="s">
        <v>2348</v>
      </c>
      <c r="C1617" t="s">
        <v>127</v>
      </c>
      <c r="D1617" t="s">
        <v>212</v>
      </c>
      <c r="E1617" t="s">
        <v>116</v>
      </c>
      <c r="F1617">
        <v>7</v>
      </c>
      <c r="G1617">
        <v>232.86</v>
      </c>
      <c r="H1617">
        <v>0.1</v>
      </c>
      <c r="I1617" s="4">
        <v>1467.02</v>
      </c>
      <c r="J1617" t="s">
        <v>109</v>
      </c>
      <c r="K1617" t="s">
        <v>22</v>
      </c>
      <c r="L1617" s="4">
        <f>VLOOKUP(tblTransactions[[#This Row],[Product_ID]],tblProducts[],5,FALSE)</f>
        <v>116.79</v>
      </c>
      <c r="M1617" s="4">
        <f>tblTransactions[[#This Row],[Total_Amount]]-(tblTransactions[[#This Row],[Cost_Prices]]*tblTransactions[[#This Row],[Quantity]]*(1-tblTransactions[[#This Row],[Discount]]))</f>
        <v>731.24299999999994</v>
      </c>
      <c r="N1617" s="3">
        <f>tblTransactions[[#This Row],[Profit]]/tblTransactions[[#This Row],[Total_Amount]]</f>
        <v>0.49845469046093438</v>
      </c>
      <c r="O1617" t="str">
        <f>TEXT(tblTransactions[[#This Row],[Date]], "MMM-YYYY")</f>
        <v>Dec-2023</v>
      </c>
      <c r="P1617" t="str">
        <f>"Q"&amp;ROUNDUP(MONTH(tblTransactions[[#This Row],[Date]])/3,0)&amp;"-"&amp;YEAR(tblTransactions[[#This Row],[Date]])</f>
        <v>Q4-2023</v>
      </c>
      <c r="Q1617">
        <f>YEAR(tblTransactions[[#This Row],[Date]])</f>
        <v>2023</v>
      </c>
      <c r="R1617" t="str">
        <f>TEXT(tblTransactions[[#This Row],[Date]],"DDDD")</f>
        <v>Friday</v>
      </c>
      <c r="S1617">
        <f>MONTH(tblTransactions[[#This Row],[Date]])</f>
        <v>12</v>
      </c>
      <c r="T1617" t="str">
        <f>VLOOKUP(E1617, Products!$A:$B,2,0)</f>
        <v>Folders Off-4</v>
      </c>
      <c r="U1617" t="str">
        <f>VLOOKUP(E1617,Products!$A:$C,3,0)</f>
        <v>Office Supplies</v>
      </c>
      <c r="V1617" t="str">
        <f>VLOOKUP(E1617,Products!$A:$D,4,0)</f>
        <v>Folders</v>
      </c>
      <c r="W1617" t="str">
        <f>VLOOKUP(D1617,Customers!$A:$C,3,0)</f>
        <v>B2C</v>
      </c>
      <c r="X1617" t="str">
        <f>VLOOKUP(C1617,Sales_Representatives!$A:$B,2,0)</f>
        <v>Emily Hernandez</v>
      </c>
    </row>
    <row r="1618" spans="1:24" x14ac:dyDescent="0.3">
      <c r="A1618" t="s">
        <v>2354</v>
      </c>
      <c r="B1618" t="s">
        <v>2348</v>
      </c>
      <c r="C1618" t="s">
        <v>13</v>
      </c>
      <c r="D1618" t="s">
        <v>1538</v>
      </c>
      <c r="E1618" t="s">
        <v>221</v>
      </c>
      <c r="F1618">
        <v>3</v>
      </c>
      <c r="G1618">
        <v>210.02</v>
      </c>
      <c r="H1618">
        <v>0.08</v>
      </c>
      <c r="I1618" s="4">
        <v>579.66</v>
      </c>
      <c r="J1618" t="s">
        <v>16</v>
      </c>
      <c r="K1618" t="s">
        <v>22</v>
      </c>
      <c r="L1618" s="4">
        <f>VLOOKUP(tblTransactions[[#This Row],[Product_ID]],tblProducts[],5,FALSE)</f>
        <v>131.66</v>
      </c>
      <c r="M1618" s="4">
        <f>tblTransactions[[#This Row],[Total_Amount]]-(tblTransactions[[#This Row],[Cost_Prices]]*tblTransactions[[#This Row],[Quantity]]*(1-tblTransactions[[#This Row],[Discount]]))</f>
        <v>216.27839999999992</v>
      </c>
      <c r="N1618" s="3">
        <f>tblTransactions[[#This Row],[Profit]]/tblTransactions[[#This Row],[Total_Amount]]</f>
        <v>0.37311251423248099</v>
      </c>
      <c r="O1618" t="str">
        <f>TEXT(tblTransactions[[#This Row],[Date]], "MMM-YYYY")</f>
        <v>Dec-2023</v>
      </c>
      <c r="P1618" t="str">
        <f>"Q"&amp;ROUNDUP(MONTH(tblTransactions[[#This Row],[Date]])/3,0)&amp;"-"&amp;YEAR(tblTransactions[[#This Row],[Date]])</f>
        <v>Q4-2023</v>
      </c>
      <c r="Q1618">
        <f>YEAR(tblTransactions[[#This Row],[Date]])</f>
        <v>2023</v>
      </c>
      <c r="R1618" t="str">
        <f>TEXT(tblTransactions[[#This Row],[Date]],"DDDD")</f>
        <v>Friday</v>
      </c>
      <c r="S1618">
        <f>MONTH(tblTransactions[[#This Row],[Date]])</f>
        <v>12</v>
      </c>
      <c r="T1618" t="str">
        <f>VLOOKUP(E1618, Products!$A:$B,2,0)</f>
        <v>Storage Fur-2</v>
      </c>
      <c r="U1618" t="str">
        <f>VLOOKUP(E1618,Products!$A:$C,3,0)</f>
        <v>Furniture</v>
      </c>
      <c r="V1618" t="str">
        <f>VLOOKUP(E1618,Products!$A:$D,4,0)</f>
        <v>Storage</v>
      </c>
      <c r="W1618" t="str">
        <f>VLOOKUP(D1618,Customers!$A:$C,3,0)</f>
        <v>B2C</v>
      </c>
      <c r="X1618" t="str">
        <f>VLOOKUP(C1618,Sales_Representatives!$A:$B,2,0)</f>
        <v>Jennifer Rodriguez</v>
      </c>
    </row>
    <row r="1619" spans="1:24" x14ac:dyDescent="0.3">
      <c r="A1619" t="s">
        <v>2355</v>
      </c>
      <c r="B1619" t="s">
        <v>2348</v>
      </c>
      <c r="C1619" t="s">
        <v>107</v>
      </c>
      <c r="D1619" t="s">
        <v>1545</v>
      </c>
      <c r="E1619" t="s">
        <v>108</v>
      </c>
      <c r="F1619">
        <v>4</v>
      </c>
      <c r="G1619">
        <v>155.75</v>
      </c>
      <c r="H1619">
        <v>0.03</v>
      </c>
      <c r="I1619" s="4">
        <v>604.30999999999995</v>
      </c>
      <c r="J1619" t="s">
        <v>109</v>
      </c>
      <c r="K1619" t="s">
        <v>35</v>
      </c>
      <c r="L1619" s="4">
        <f>VLOOKUP(tblTransactions[[#This Row],[Product_ID]],tblProducts[],5,FALSE)</f>
        <v>80.8</v>
      </c>
      <c r="M1619" s="4">
        <f>tblTransactions[[#This Row],[Total_Amount]]-(tblTransactions[[#This Row],[Cost_Prices]]*tblTransactions[[#This Row],[Quantity]]*(1-tblTransactions[[#This Row],[Discount]]))</f>
        <v>290.80599999999998</v>
      </c>
      <c r="N1619" s="3">
        <f>tblTransactions[[#This Row],[Profit]]/tblTransactions[[#This Row],[Total_Amount]]</f>
        <v>0.48121990369181383</v>
      </c>
      <c r="O1619" t="str">
        <f>TEXT(tblTransactions[[#This Row],[Date]], "MMM-YYYY")</f>
        <v>Dec-2023</v>
      </c>
      <c r="P1619" t="str">
        <f>"Q"&amp;ROUNDUP(MONTH(tblTransactions[[#This Row],[Date]])/3,0)&amp;"-"&amp;YEAR(tblTransactions[[#This Row],[Date]])</f>
        <v>Q4-2023</v>
      </c>
      <c r="Q1619">
        <f>YEAR(tblTransactions[[#This Row],[Date]])</f>
        <v>2023</v>
      </c>
      <c r="R1619" t="str">
        <f>TEXT(tblTransactions[[#This Row],[Date]],"DDDD")</f>
        <v>Friday</v>
      </c>
      <c r="S1619">
        <f>MONTH(tblTransactions[[#This Row],[Date]])</f>
        <v>12</v>
      </c>
      <c r="T1619" t="str">
        <f>VLOOKUP(E1619, Products!$A:$B,2,0)</f>
        <v>Cases Acc-1</v>
      </c>
      <c r="U1619" t="str">
        <f>VLOOKUP(E1619,Products!$A:$C,3,0)</f>
        <v>Accessories</v>
      </c>
      <c r="V1619" t="str">
        <f>VLOOKUP(E1619,Products!$A:$D,4,0)</f>
        <v>Cases</v>
      </c>
      <c r="W1619" t="str">
        <f>VLOOKUP(D1619,Customers!$A:$C,3,0)</f>
        <v>Small Business</v>
      </c>
      <c r="X1619" t="str">
        <f>VLOOKUP(C1619,Sales_Representatives!$A:$B,2,0)</f>
        <v>Jennifer Brown</v>
      </c>
    </row>
    <row r="1620" spans="1:24" x14ac:dyDescent="0.3">
      <c r="A1620" t="s">
        <v>2356</v>
      </c>
      <c r="B1620" t="s">
        <v>2348</v>
      </c>
      <c r="C1620" t="s">
        <v>107</v>
      </c>
      <c r="D1620" t="s">
        <v>1483</v>
      </c>
      <c r="E1620" t="s">
        <v>121</v>
      </c>
      <c r="F1620">
        <v>7</v>
      </c>
      <c r="G1620">
        <v>183.9</v>
      </c>
      <c r="H1620">
        <v>0.12</v>
      </c>
      <c r="I1620" s="4">
        <v>1132.82</v>
      </c>
      <c r="J1620" t="s">
        <v>109</v>
      </c>
      <c r="K1620" t="s">
        <v>48</v>
      </c>
      <c r="L1620" s="4">
        <f>VLOOKUP(tblTransactions[[#This Row],[Product_ID]],tblProducts[],5,FALSE)</f>
        <v>116.83</v>
      </c>
      <c r="M1620" s="4">
        <f>tblTransactions[[#This Row],[Total_Amount]]-(tblTransactions[[#This Row],[Cost_Prices]]*tblTransactions[[#This Row],[Quantity]]*(1-tblTransactions[[#This Row],[Discount]]))</f>
        <v>413.1472</v>
      </c>
      <c r="N1620" s="3">
        <f>tblTransactions[[#This Row],[Profit]]/tblTransactions[[#This Row],[Total_Amount]]</f>
        <v>0.36470683780300489</v>
      </c>
      <c r="O1620" t="str">
        <f>TEXT(tblTransactions[[#This Row],[Date]], "MMM-YYYY")</f>
        <v>Dec-2023</v>
      </c>
      <c r="P1620" t="str">
        <f>"Q"&amp;ROUNDUP(MONTH(tblTransactions[[#This Row],[Date]])/3,0)&amp;"-"&amp;YEAR(tblTransactions[[#This Row],[Date]])</f>
        <v>Q4-2023</v>
      </c>
      <c r="Q1620">
        <f>YEAR(tblTransactions[[#This Row],[Date]])</f>
        <v>2023</v>
      </c>
      <c r="R1620" t="str">
        <f>TEXT(tblTransactions[[#This Row],[Date]],"DDDD")</f>
        <v>Friday</v>
      </c>
      <c r="S1620">
        <f>MONTH(tblTransactions[[#This Row],[Date]])</f>
        <v>12</v>
      </c>
      <c r="T1620" t="str">
        <f>VLOOKUP(E1620, Products!$A:$B,2,0)</f>
        <v>Pens Off-3</v>
      </c>
      <c r="U1620" t="str">
        <f>VLOOKUP(E1620,Products!$A:$C,3,0)</f>
        <v>Office Supplies</v>
      </c>
      <c r="V1620" t="str">
        <f>VLOOKUP(E1620,Products!$A:$D,4,0)</f>
        <v>Pens</v>
      </c>
      <c r="W1620" t="str">
        <f>VLOOKUP(D1620,Customers!$A:$C,3,0)</f>
        <v>B2C</v>
      </c>
      <c r="X1620" t="str">
        <f>VLOOKUP(C1620,Sales_Representatives!$A:$B,2,0)</f>
        <v>Jennifer Brown</v>
      </c>
    </row>
    <row r="1621" spans="1:24" x14ac:dyDescent="0.3">
      <c r="A1621" t="s">
        <v>2357</v>
      </c>
      <c r="B1621" t="s">
        <v>2358</v>
      </c>
      <c r="C1621" t="s">
        <v>131</v>
      </c>
      <c r="D1621" t="s">
        <v>2359</v>
      </c>
      <c r="E1621" t="s">
        <v>84</v>
      </c>
      <c r="F1621">
        <v>1</v>
      </c>
      <c r="G1621">
        <v>1841.77</v>
      </c>
      <c r="H1621">
        <v>0.01</v>
      </c>
      <c r="I1621" s="4">
        <v>1823.35</v>
      </c>
      <c r="J1621" t="s">
        <v>44</v>
      </c>
      <c r="K1621" t="s">
        <v>22</v>
      </c>
      <c r="L1621" s="4">
        <f>VLOOKUP(tblTransactions[[#This Row],[Product_ID]],tblProducts[],5,FALSE)</f>
        <v>1151.5899999999999</v>
      </c>
      <c r="M1621" s="4">
        <f>tblTransactions[[#This Row],[Total_Amount]]-(tblTransactions[[#This Row],[Cost_Prices]]*tblTransactions[[#This Row],[Quantity]]*(1-tblTransactions[[#This Row],[Discount]]))</f>
        <v>683.27590000000009</v>
      </c>
      <c r="N1621" s="3">
        <f>tblTransactions[[#This Row],[Profit]]/tblTransactions[[#This Row],[Total_Amount]]</f>
        <v>0.37473655633860758</v>
      </c>
      <c r="O1621" t="str">
        <f>TEXT(tblTransactions[[#This Row],[Date]], "MMM-YYYY")</f>
        <v>Dec-2023</v>
      </c>
      <c r="P1621" t="str">
        <f>"Q"&amp;ROUNDUP(MONTH(tblTransactions[[#This Row],[Date]])/3,0)&amp;"-"&amp;YEAR(tblTransactions[[#This Row],[Date]])</f>
        <v>Q4-2023</v>
      </c>
      <c r="Q1621">
        <f>YEAR(tblTransactions[[#This Row],[Date]])</f>
        <v>2023</v>
      </c>
      <c r="R1621" t="str">
        <f>TEXT(tblTransactions[[#This Row],[Date]],"DDDD")</f>
        <v>Saturday</v>
      </c>
      <c r="S1621">
        <f>MONTH(tblTransactions[[#This Row],[Date]])</f>
        <v>12</v>
      </c>
      <c r="T1621" t="str">
        <f>VLOOKUP(E1621, Products!$A:$B,2,0)</f>
        <v>Laptops Ele-2</v>
      </c>
      <c r="U1621" t="str">
        <f>VLOOKUP(E1621,Products!$A:$C,3,0)</f>
        <v>Electronics</v>
      </c>
      <c r="V1621" t="str">
        <f>VLOOKUP(E1621,Products!$A:$D,4,0)</f>
        <v>Laptops</v>
      </c>
      <c r="W1621" t="str">
        <f>VLOOKUP(D1621,Customers!$A:$C,3,0)</f>
        <v>B2C</v>
      </c>
      <c r="X1621" t="str">
        <f>VLOOKUP(C1621,Sales_Representatives!$A:$B,2,0)</f>
        <v>Michael Davis</v>
      </c>
    </row>
    <row r="1622" spans="1:24" x14ac:dyDescent="0.3">
      <c r="A1622" t="s">
        <v>2360</v>
      </c>
      <c r="B1622" t="s">
        <v>2358</v>
      </c>
      <c r="C1622" t="s">
        <v>19</v>
      </c>
      <c r="D1622" t="s">
        <v>1447</v>
      </c>
      <c r="E1622" t="s">
        <v>299</v>
      </c>
      <c r="F1622">
        <v>17</v>
      </c>
      <c r="G1622">
        <v>963.44</v>
      </c>
      <c r="H1622">
        <v>0.1</v>
      </c>
      <c r="I1622" s="4">
        <v>14740.63</v>
      </c>
      <c r="J1622" t="s">
        <v>21</v>
      </c>
      <c r="K1622" t="s">
        <v>39</v>
      </c>
      <c r="L1622" s="4">
        <f>VLOOKUP(tblTransactions[[#This Row],[Product_ID]],tblProducts[],5,FALSE)</f>
        <v>578.96</v>
      </c>
      <c r="M1622" s="4">
        <f>tblTransactions[[#This Row],[Total_Amount]]-(tblTransactions[[#This Row],[Cost_Prices]]*tblTransactions[[#This Row],[Quantity]]*(1-tblTransactions[[#This Row],[Discount]]))</f>
        <v>5882.5419999999995</v>
      </c>
      <c r="N1622" s="3">
        <f>tblTransactions[[#This Row],[Profit]]/tblTransactions[[#This Row],[Total_Amount]]</f>
        <v>0.3990699176358134</v>
      </c>
      <c r="O1622" t="str">
        <f>TEXT(tblTransactions[[#This Row],[Date]], "MMM-YYYY")</f>
        <v>Dec-2023</v>
      </c>
      <c r="P1622" t="str">
        <f>"Q"&amp;ROUNDUP(MONTH(tblTransactions[[#This Row],[Date]])/3,0)&amp;"-"&amp;YEAR(tblTransactions[[#This Row],[Date]])</f>
        <v>Q4-2023</v>
      </c>
      <c r="Q1622">
        <f>YEAR(tblTransactions[[#This Row],[Date]])</f>
        <v>2023</v>
      </c>
      <c r="R1622" t="str">
        <f>TEXT(tblTransactions[[#This Row],[Date]],"DDDD")</f>
        <v>Saturday</v>
      </c>
      <c r="S1622">
        <f>MONTH(tblTransactions[[#This Row],[Date]])</f>
        <v>12</v>
      </c>
      <c r="T1622" t="str">
        <f>VLOOKUP(E1622, Products!$A:$B,2,0)</f>
        <v>Chairs Fur-4</v>
      </c>
      <c r="U1622" t="str">
        <f>VLOOKUP(E1622,Products!$A:$C,3,0)</f>
        <v>Furniture</v>
      </c>
      <c r="V1622" t="str">
        <f>VLOOKUP(E1622,Products!$A:$D,4,0)</f>
        <v>Chairs</v>
      </c>
      <c r="W1622" t="str">
        <f>VLOOKUP(D1622,Customers!$A:$C,3,0)</f>
        <v>B2B</v>
      </c>
      <c r="X1622" t="str">
        <f>VLOOKUP(C1622,Sales_Representatives!$A:$B,2,0)</f>
        <v>Robert Jones</v>
      </c>
    </row>
    <row r="1623" spans="1:24" x14ac:dyDescent="0.3">
      <c r="A1623" t="s">
        <v>2361</v>
      </c>
      <c r="B1623" t="s">
        <v>2358</v>
      </c>
      <c r="C1623" t="s">
        <v>127</v>
      </c>
      <c r="D1623" t="s">
        <v>1621</v>
      </c>
      <c r="E1623" t="s">
        <v>479</v>
      </c>
      <c r="F1623">
        <v>5</v>
      </c>
      <c r="G1623">
        <v>239.6</v>
      </c>
      <c r="H1623">
        <v>0.04</v>
      </c>
      <c r="I1623" s="4">
        <v>1150.08</v>
      </c>
      <c r="J1623" t="s">
        <v>109</v>
      </c>
      <c r="K1623" t="s">
        <v>39</v>
      </c>
      <c r="L1623" s="4">
        <f>VLOOKUP(tblTransactions[[#This Row],[Product_ID]],tblProducts[],5,FALSE)</f>
        <v>107.49</v>
      </c>
      <c r="M1623" s="4">
        <f>tblTransactions[[#This Row],[Total_Amount]]-(tblTransactions[[#This Row],[Cost_Prices]]*tblTransactions[[#This Row],[Quantity]]*(1-tblTransactions[[#This Row],[Discount]]))</f>
        <v>634.12800000000004</v>
      </c>
      <c r="N1623" s="3">
        <f>tblTransactions[[#This Row],[Profit]]/tblTransactions[[#This Row],[Total_Amount]]</f>
        <v>0.5513772954924876</v>
      </c>
      <c r="O1623" t="str">
        <f>TEXT(tblTransactions[[#This Row],[Date]], "MMM-YYYY")</f>
        <v>Dec-2023</v>
      </c>
      <c r="P1623" t="str">
        <f>"Q"&amp;ROUNDUP(MONTH(tblTransactions[[#This Row],[Date]])/3,0)&amp;"-"&amp;YEAR(tblTransactions[[#This Row],[Date]])</f>
        <v>Q4-2023</v>
      </c>
      <c r="Q1623">
        <f>YEAR(tblTransactions[[#This Row],[Date]])</f>
        <v>2023</v>
      </c>
      <c r="R1623" t="str">
        <f>TEXT(tblTransactions[[#This Row],[Date]],"DDDD")</f>
        <v>Saturday</v>
      </c>
      <c r="S1623">
        <f>MONTH(tblTransactions[[#This Row],[Date]])</f>
        <v>12</v>
      </c>
      <c r="T1623" t="str">
        <f>VLOOKUP(E1623, Products!$A:$B,2,0)</f>
        <v>Pens Off-2</v>
      </c>
      <c r="U1623" t="str">
        <f>VLOOKUP(E1623,Products!$A:$C,3,0)</f>
        <v>Office Supplies</v>
      </c>
      <c r="V1623" t="str">
        <f>VLOOKUP(E1623,Products!$A:$D,4,0)</f>
        <v>Pens</v>
      </c>
      <c r="W1623" t="str">
        <f>VLOOKUP(D1623,Customers!$A:$C,3,0)</f>
        <v>B2C</v>
      </c>
      <c r="X1623" t="str">
        <f>VLOOKUP(C1623,Sales_Representatives!$A:$B,2,0)</f>
        <v>Emily Hernandez</v>
      </c>
    </row>
    <row r="1624" spans="1:24" x14ac:dyDescent="0.3">
      <c r="A1624" t="s">
        <v>2362</v>
      </c>
      <c r="B1624" t="s">
        <v>2358</v>
      </c>
      <c r="C1624" t="s">
        <v>19</v>
      </c>
      <c r="D1624" t="s">
        <v>2094</v>
      </c>
      <c r="E1624" t="s">
        <v>316</v>
      </c>
      <c r="F1624">
        <v>4</v>
      </c>
      <c r="G1624">
        <v>91.42</v>
      </c>
      <c r="H1624">
        <v>0.06</v>
      </c>
      <c r="I1624" s="4">
        <v>343.74</v>
      </c>
      <c r="J1624" t="s">
        <v>21</v>
      </c>
      <c r="K1624" t="s">
        <v>17</v>
      </c>
      <c r="L1624" s="4">
        <f>VLOOKUP(tblTransactions[[#This Row],[Product_ID]],tblProducts[],5,FALSE)</f>
        <v>50.09</v>
      </c>
      <c r="M1624" s="4">
        <f>tblTransactions[[#This Row],[Total_Amount]]-(tblTransactions[[#This Row],[Cost_Prices]]*tblTransactions[[#This Row],[Quantity]]*(1-tblTransactions[[#This Row],[Discount]]))</f>
        <v>155.4016</v>
      </c>
      <c r="N1624" s="3">
        <f>tblTransactions[[#This Row],[Profit]]/tblTransactions[[#This Row],[Total_Amount]]</f>
        <v>0.45209053354279399</v>
      </c>
      <c r="O1624" t="str">
        <f>TEXT(tblTransactions[[#This Row],[Date]], "MMM-YYYY")</f>
        <v>Dec-2023</v>
      </c>
      <c r="P1624" t="str">
        <f>"Q"&amp;ROUNDUP(MONTH(tblTransactions[[#This Row],[Date]])/3,0)&amp;"-"&amp;YEAR(tblTransactions[[#This Row],[Date]])</f>
        <v>Q4-2023</v>
      </c>
      <c r="Q1624">
        <f>YEAR(tblTransactions[[#This Row],[Date]])</f>
        <v>2023</v>
      </c>
      <c r="R1624" t="str">
        <f>TEXT(tblTransactions[[#This Row],[Date]],"DDDD")</f>
        <v>Saturday</v>
      </c>
      <c r="S1624">
        <f>MONTH(tblTransactions[[#This Row],[Date]])</f>
        <v>12</v>
      </c>
      <c r="T1624" t="str">
        <f>VLOOKUP(E1624, Products!$A:$B,2,0)</f>
        <v>Binders Off-3</v>
      </c>
      <c r="U1624" t="str">
        <f>VLOOKUP(E1624,Products!$A:$C,3,0)</f>
        <v>Office Supplies</v>
      </c>
      <c r="V1624" t="str">
        <f>VLOOKUP(E1624,Products!$A:$D,4,0)</f>
        <v>Binders</v>
      </c>
      <c r="W1624" t="str">
        <f>VLOOKUP(D1624,Customers!$A:$C,3,0)</f>
        <v>Small Business</v>
      </c>
      <c r="X1624" t="str">
        <f>VLOOKUP(C1624,Sales_Representatives!$A:$B,2,0)</f>
        <v>Robert Jones</v>
      </c>
    </row>
    <row r="1625" spans="1:24" x14ac:dyDescent="0.3">
      <c r="A1625" t="s">
        <v>2363</v>
      </c>
      <c r="B1625" t="s">
        <v>2358</v>
      </c>
      <c r="C1625" t="s">
        <v>13</v>
      </c>
      <c r="D1625" t="s">
        <v>1598</v>
      </c>
      <c r="E1625" t="s">
        <v>184</v>
      </c>
      <c r="F1625">
        <v>2</v>
      </c>
      <c r="G1625">
        <v>276.35000000000002</v>
      </c>
      <c r="H1625">
        <v>0.09</v>
      </c>
      <c r="I1625" s="4">
        <v>502.96</v>
      </c>
      <c r="J1625" t="s">
        <v>16</v>
      </c>
      <c r="K1625" t="s">
        <v>39</v>
      </c>
      <c r="L1625" s="4">
        <f>VLOOKUP(tblTransactions[[#This Row],[Product_ID]],tblProducts[],5,FALSE)</f>
        <v>130.15</v>
      </c>
      <c r="M1625" s="4">
        <f>tblTransactions[[#This Row],[Total_Amount]]-(tblTransactions[[#This Row],[Cost_Prices]]*tblTransactions[[#This Row],[Quantity]]*(1-tblTransactions[[#This Row],[Discount]]))</f>
        <v>266.08699999999999</v>
      </c>
      <c r="N1625" s="3">
        <f>tblTransactions[[#This Row],[Profit]]/tblTransactions[[#This Row],[Total_Amount]]</f>
        <v>0.52904207094003497</v>
      </c>
      <c r="O1625" t="str">
        <f>TEXT(tblTransactions[[#This Row],[Date]], "MMM-YYYY")</f>
        <v>Dec-2023</v>
      </c>
      <c r="P1625" t="str">
        <f>"Q"&amp;ROUNDUP(MONTH(tblTransactions[[#This Row],[Date]])/3,0)&amp;"-"&amp;YEAR(tblTransactions[[#This Row],[Date]])</f>
        <v>Q4-2023</v>
      </c>
      <c r="Q1625">
        <f>YEAR(tblTransactions[[#This Row],[Date]])</f>
        <v>2023</v>
      </c>
      <c r="R1625" t="str">
        <f>TEXT(tblTransactions[[#This Row],[Date]],"DDDD")</f>
        <v>Saturday</v>
      </c>
      <c r="S1625">
        <f>MONTH(tblTransactions[[#This Row],[Date]])</f>
        <v>12</v>
      </c>
      <c r="T1625" t="str">
        <f>VLOOKUP(E1625, Products!$A:$B,2,0)</f>
        <v>Binders Off-1</v>
      </c>
      <c r="U1625" t="str">
        <f>VLOOKUP(E1625,Products!$A:$C,3,0)</f>
        <v>Office Supplies</v>
      </c>
      <c r="V1625" t="str">
        <f>VLOOKUP(E1625,Products!$A:$D,4,0)</f>
        <v>Binders</v>
      </c>
      <c r="W1625" t="str">
        <f>VLOOKUP(D1625,Customers!$A:$C,3,0)</f>
        <v>B2C</v>
      </c>
      <c r="X1625" t="str">
        <f>VLOOKUP(C1625,Sales_Representatives!$A:$B,2,0)</f>
        <v>Jennifer Rodriguez</v>
      </c>
    </row>
    <row r="1626" spans="1:24" x14ac:dyDescent="0.3">
      <c r="A1626" t="s">
        <v>2364</v>
      </c>
      <c r="B1626" t="s">
        <v>2365</v>
      </c>
      <c r="C1626" t="s">
        <v>131</v>
      </c>
      <c r="D1626" t="s">
        <v>212</v>
      </c>
      <c r="E1626" t="s">
        <v>15</v>
      </c>
      <c r="F1626">
        <v>7</v>
      </c>
      <c r="G1626">
        <v>477.48</v>
      </c>
      <c r="H1626">
        <v>0.12</v>
      </c>
      <c r="I1626" s="4">
        <v>2941.28</v>
      </c>
      <c r="J1626" t="s">
        <v>44</v>
      </c>
      <c r="K1626" t="s">
        <v>48</v>
      </c>
      <c r="L1626" s="4">
        <f>VLOOKUP(tblTransactions[[#This Row],[Product_ID]],tblProducts[],5,FALSE)</f>
        <v>275.51</v>
      </c>
      <c r="M1626" s="4">
        <f>tblTransactions[[#This Row],[Total_Amount]]-(tblTransactions[[#This Row],[Cost_Prices]]*tblTransactions[[#This Row],[Quantity]]*(1-tblTransactions[[#This Row],[Discount]]))</f>
        <v>1244.1384000000003</v>
      </c>
      <c r="N1626" s="3">
        <f>tblTransactions[[#This Row],[Profit]]/tblTransactions[[#This Row],[Total_Amount]]</f>
        <v>0.42299216667573308</v>
      </c>
      <c r="O1626" t="str">
        <f>TEXT(tblTransactions[[#This Row],[Date]], "MMM-YYYY")</f>
        <v>Dec-2023</v>
      </c>
      <c r="P1626" t="str">
        <f>"Q"&amp;ROUNDUP(MONTH(tblTransactions[[#This Row],[Date]])/3,0)&amp;"-"&amp;YEAR(tblTransactions[[#This Row],[Date]])</f>
        <v>Q4-2023</v>
      </c>
      <c r="Q1626">
        <f>YEAR(tblTransactions[[#This Row],[Date]])</f>
        <v>2023</v>
      </c>
      <c r="R1626" t="str">
        <f>TEXT(tblTransactions[[#This Row],[Date]],"DDDD")</f>
        <v>Sunday</v>
      </c>
      <c r="S1626">
        <f>MONTH(tblTransactions[[#This Row],[Date]])</f>
        <v>12</v>
      </c>
      <c r="T1626" t="str">
        <f>VLOOKUP(E1626, Products!$A:$B,2,0)</f>
        <v>Laptops Ele-4</v>
      </c>
      <c r="U1626" t="str">
        <f>VLOOKUP(E1626,Products!$A:$C,3,0)</f>
        <v>Electronics</v>
      </c>
      <c r="V1626" t="str">
        <f>VLOOKUP(E1626,Products!$A:$D,4,0)</f>
        <v>Laptops</v>
      </c>
      <c r="W1626" t="str">
        <f>VLOOKUP(D1626,Customers!$A:$C,3,0)</f>
        <v>B2C</v>
      </c>
      <c r="X1626" t="str">
        <f>VLOOKUP(C1626,Sales_Representatives!$A:$B,2,0)</f>
        <v>Michael Davis</v>
      </c>
    </row>
    <row r="1627" spans="1:24" x14ac:dyDescent="0.3">
      <c r="A1627" t="s">
        <v>2366</v>
      </c>
      <c r="B1627" t="s">
        <v>2365</v>
      </c>
      <c r="C1627" t="s">
        <v>107</v>
      </c>
      <c r="D1627" t="s">
        <v>2192</v>
      </c>
      <c r="E1627" t="s">
        <v>145</v>
      </c>
      <c r="F1627">
        <v>4</v>
      </c>
      <c r="G1627">
        <v>93.43</v>
      </c>
      <c r="H1627">
        <v>0.02</v>
      </c>
      <c r="I1627" s="4">
        <v>366.25</v>
      </c>
      <c r="J1627" t="s">
        <v>109</v>
      </c>
      <c r="K1627" t="s">
        <v>39</v>
      </c>
      <c r="L1627" s="4">
        <f>VLOOKUP(tblTransactions[[#This Row],[Product_ID]],tblProducts[],5,FALSE)</f>
        <v>45.74</v>
      </c>
      <c r="M1627" s="4">
        <f>tblTransactions[[#This Row],[Total_Amount]]-(tblTransactions[[#This Row],[Cost_Prices]]*tblTransactions[[#This Row],[Quantity]]*(1-tblTransactions[[#This Row],[Discount]]))</f>
        <v>186.94919999999999</v>
      </c>
      <c r="N1627" s="3">
        <f>tblTransactions[[#This Row],[Profit]]/tblTransactions[[#This Row],[Total_Amount]]</f>
        <v>0.51044150170648461</v>
      </c>
      <c r="O1627" t="str">
        <f>TEXT(tblTransactions[[#This Row],[Date]], "MMM-YYYY")</f>
        <v>Dec-2023</v>
      </c>
      <c r="P1627" t="str">
        <f>"Q"&amp;ROUNDUP(MONTH(tblTransactions[[#This Row],[Date]])/3,0)&amp;"-"&amp;YEAR(tblTransactions[[#This Row],[Date]])</f>
        <v>Q4-2023</v>
      </c>
      <c r="Q1627">
        <f>YEAR(tblTransactions[[#This Row],[Date]])</f>
        <v>2023</v>
      </c>
      <c r="R1627" t="str">
        <f>TEXT(tblTransactions[[#This Row],[Date]],"DDDD")</f>
        <v>Sunday</v>
      </c>
      <c r="S1627">
        <f>MONTH(tblTransactions[[#This Row],[Date]])</f>
        <v>12</v>
      </c>
      <c r="T1627" t="str">
        <f>VLOOKUP(E1627, Products!$A:$B,2,0)</f>
        <v>Paper Off-1</v>
      </c>
      <c r="U1627" t="str">
        <f>VLOOKUP(E1627,Products!$A:$C,3,0)</f>
        <v>Office Supplies</v>
      </c>
      <c r="V1627" t="str">
        <f>VLOOKUP(E1627,Products!$A:$D,4,0)</f>
        <v>Paper</v>
      </c>
      <c r="W1627" t="str">
        <f>VLOOKUP(D1627,Customers!$A:$C,3,0)</f>
        <v>B2C</v>
      </c>
      <c r="X1627" t="str">
        <f>VLOOKUP(C1627,Sales_Representatives!$A:$B,2,0)</f>
        <v>Jennifer Brown</v>
      </c>
    </row>
    <row r="1628" spans="1:24" x14ac:dyDescent="0.3">
      <c r="A1628" t="s">
        <v>2367</v>
      </c>
      <c r="B1628" t="s">
        <v>2365</v>
      </c>
      <c r="C1628" t="s">
        <v>59</v>
      </c>
      <c r="D1628" t="s">
        <v>1571</v>
      </c>
      <c r="E1628" t="s">
        <v>224</v>
      </c>
      <c r="F1628">
        <v>7</v>
      </c>
      <c r="G1628">
        <v>505.37</v>
      </c>
      <c r="H1628">
        <v>7.0000000000000007E-2</v>
      </c>
      <c r="I1628" s="4">
        <v>3289.96</v>
      </c>
      <c r="J1628" t="s">
        <v>21</v>
      </c>
      <c r="K1628" t="s">
        <v>48</v>
      </c>
      <c r="L1628" s="4">
        <f>VLOOKUP(tblTransactions[[#This Row],[Product_ID]],tblProducts[],5,FALSE)</f>
        <v>281.14999999999998</v>
      </c>
      <c r="M1628" s="4">
        <f>tblTransactions[[#This Row],[Total_Amount]]-(tblTransactions[[#This Row],[Cost_Prices]]*tblTransactions[[#This Row],[Quantity]]*(1-tblTransactions[[#This Row],[Discount]]))</f>
        <v>1459.6735000000003</v>
      </c>
      <c r="N1628" s="3">
        <f>tblTransactions[[#This Row],[Profit]]/tblTransactions[[#This Row],[Total_Amount]]</f>
        <v>0.44367515106566657</v>
      </c>
      <c r="O1628" t="str">
        <f>TEXT(tblTransactions[[#This Row],[Date]], "MMM-YYYY")</f>
        <v>Dec-2023</v>
      </c>
      <c r="P1628" t="str">
        <f>"Q"&amp;ROUNDUP(MONTH(tblTransactions[[#This Row],[Date]])/3,0)&amp;"-"&amp;YEAR(tblTransactions[[#This Row],[Date]])</f>
        <v>Q4-2023</v>
      </c>
      <c r="Q1628">
        <f>YEAR(tblTransactions[[#This Row],[Date]])</f>
        <v>2023</v>
      </c>
      <c r="R1628" t="str">
        <f>TEXT(tblTransactions[[#This Row],[Date]],"DDDD")</f>
        <v>Sunday</v>
      </c>
      <c r="S1628">
        <f>MONTH(tblTransactions[[#This Row],[Date]])</f>
        <v>12</v>
      </c>
      <c r="T1628" t="str">
        <f>VLOOKUP(E1628, Products!$A:$B,2,0)</f>
        <v>Desks Fur-3</v>
      </c>
      <c r="U1628" t="str">
        <f>VLOOKUP(E1628,Products!$A:$C,3,0)</f>
        <v>Furniture</v>
      </c>
      <c r="V1628" t="str">
        <f>VLOOKUP(E1628,Products!$A:$D,4,0)</f>
        <v>Desks</v>
      </c>
      <c r="W1628" t="str">
        <f>VLOOKUP(D1628,Customers!$A:$C,3,0)</f>
        <v>B2C</v>
      </c>
      <c r="X1628" t="str">
        <f>VLOOKUP(C1628,Sales_Representatives!$A:$B,2,0)</f>
        <v>Sarah Brown</v>
      </c>
    </row>
    <row r="1629" spans="1:24" x14ac:dyDescent="0.3">
      <c r="A1629" t="s">
        <v>2368</v>
      </c>
      <c r="B1629" t="s">
        <v>2369</v>
      </c>
      <c r="C1629" t="s">
        <v>59</v>
      </c>
      <c r="D1629" t="s">
        <v>1576</v>
      </c>
      <c r="E1629" t="s">
        <v>191</v>
      </c>
      <c r="F1629">
        <v>2</v>
      </c>
      <c r="G1629">
        <v>1012.75</v>
      </c>
      <c r="H1629">
        <v>0.05</v>
      </c>
      <c r="I1629" s="4">
        <v>1924.22</v>
      </c>
      <c r="J1629" t="s">
        <v>21</v>
      </c>
      <c r="K1629" t="s">
        <v>22</v>
      </c>
      <c r="L1629" s="4">
        <f>VLOOKUP(tblTransactions[[#This Row],[Product_ID]],tblProducts[],5,FALSE)</f>
        <v>518.53</v>
      </c>
      <c r="M1629" s="4">
        <f>tblTransactions[[#This Row],[Total_Amount]]-(tblTransactions[[#This Row],[Cost_Prices]]*tblTransactions[[#This Row],[Quantity]]*(1-tblTransactions[[#This Row],[Discount]]))</f>
        <v>939.01300000000015</v>
      </c>
      <c r="N1629" s="3">
        <f>tblTransactions[[#This Row],[Profit]]/tblTransactions[[#This Row],[Total_Amount]]</f>
        <v>0.48799669476463198</v>
      </c>
      <c r="O1629" t="str">
        <f>TEXT(tblTransactions[[#This Row],[Date]], "MMM-YYYY")</f>
        <v>Dec-2023</v>
      </c>
      <c r="P1629" t="str">
        <f>"Q"&amp;ROUNDUP(MONTH(tblTransactions[[#This Row],[Date]])/3,0)&amp;"-"&amp;YEAR(tblTransactions[[#This Row],[Date]])</f>
        <v>Q4-2023</v>
      </c>
      <c r="Q1629">
        <f>YEAR(tblTransactions[[#This Row],[Date]])</f>
        <v>2023</v>
      </c>
      <c r="R1629" t="str">
        <f>TEXT(tblTransactions[[#This Row],[Date]],"DDDD")</f>
        <v>Monday</v>
      </c>
      <c r="S1629">
        <f>MONTH(tblTransactions[[#This Row],[Date]])</f>
        <v>12</v>
      </c>
      <c r="T1629" t="str">
        <f>VLOOKUP(E1629, Products!$A:$B,2,0)</f>
        <v>Tables Fur-4</v>
      </c>
      <c r="U1629" t="str">
        <f>VLOOKUP(E1629,Products!$A:$C,3,0)</f>
        <v>Furniture</v>
      </c>
      <c r="V1629" t="str">
        <f>VLOOKUP(E1629,Products!$A:$D,4,0)</f>
        <v>Tables</v>
      </c>
      <c r="W1629" t="str">
        <f>VLOOKUP(D1629,Customers!$A:$C,3,0)</f>
        <v>B2C</v>
      </c>
      <c r="X1629" t="str">
        <f>VLOOKUP(C1629,Sales_Representatives!$A:$B,2,0)</f>
        <v>Sarah Brown</v>
      </c>
    </row>
    <row r="1630" spans="1:24" x14ac:dyDescent="0.3">
      <c r="A1630" t="s">
        <v>2370</v>
      </c>
      <c r="B1630" t="s">
        <v>2369</v>
      </c>
      <c r="C1630" t="s">
        <v>13</v>
      </c>
      <c r="D1630" t="s">
        <v>1683</v>
      </c>
      <c r="E1630" t="s">
        <v>345</v>
      </c>
      <c r="F1630">
        <v>1</v>
      </c>
      <c r="G1630">
        <v>13.97</v>
      </c>
      <c r="H1630">
        <v>0.1</v>
      </c>
      <c r="I1630" s="4">
        <v>12.57</v>
      </c>
      <c r="J1630" t="s">
        <v>16</v>
      </c>
      <c r="K1630" t="s">
        <v>35</v>
      </c>
      <c r="L1630" s="4">
        <f>VLOOKUP(tblTransactions[[#This Row],[Product_ID]],tblProducts[],5,FALSE)</f>
        <v>8.69</v>
      </c>
      <c r="M1630" s="4">
        <f>tblTransactions[[#This Row],[Total_Amount]]-(tblTransactions[[#This Row],[Cost_Prices]]*tblTransactions[[#This Row],[Quantity]]*(1-tblTransactions[[#This Row],[Discount]]))</f>
        <v>4.7490000000000006</v>
      </c>
      <c r="N1630" s="3">
        <f>tblTransactions[[#This Row],[Profit]]/tblTransactions[[#This Row],[Total_Amount]]</f>
        <v>0.3778042959427208</v>
      </c>
      <c r="O1630" t="str">
        <f>TEXT(tblTransactions[[#This Row],[Date]], "MMM-YYYY")</f>
        <v>Dec-2023</v>
      </c>
      <c r="P1630" t="str">
        <f>"Q"&amp;ROUNDUP(MONTH(tblTransactions[[#This Row],[Date]])/3,0)&amp;"-"&amp;YEAR(tblTransactions[[#This Row],[Date]])</f>
        <v>Q4-2023</v>
      </c>
      <c r="Q1630">
        <f>YEAR(tblTransactions[[#This Row],[Date]])</f>
        <v>2023</v>
      </c>
      <c r="R1630" t="str">
        <f>TEXT(tblTransactions[[#This Row],[Date]],"DDDD")</f>
        <v>Monday</v>
      </c>
      <c r="S1630">
        <f>MONTH(tblTransactions[[#This Row],[Date]])</f>
        <v>12</v>
      </c>
      <c r="T1630" t="str">
        <f>VLOOKUP(E1630, Products!$A:$B,2,0)</f>
        <v>Cases Acc-2</v>
      </c>
      <c r="U1630" t="str">
        <f>VLOOKUP(E1630,Products!$A:$C,3,0)</f>
        <v>Accessories</v>
      </c>
      <c r="V1630" t="str">
        <f>VLOOKUP(E1630,Products!$A:$D,4,0)</f>
        <v>Cases</v>
      </c>
      <c r="W1630" t="str">
        <f>VLOOKUP(D1630,Customers!$A:$C,3,0)</f>
        <v>B2C</v>
      </c>
      <c r="X1630" t="str">
        <f>VLOOKUP(C1630,Sales_Representatives!$A:$B,2,0)</f>
        <v>Jennifer Rodriguez</v>
      </c>
    </row>
    <row r="1631" spans="1:24" x14ac:dyDescent="0.3">
      <c r="A1631" t="s">
        <v>2371</v>
      </c>
      <c r="B1631" t="s">
        <v>2369</v>
      </c>
      <c r="C1631" t="s">
        <v>19</v>
      </c>
      <c r="D1631" t="s">
        <v>2129</v>
      </c>
      <c r="E1631" t="s">
        <v>248</v>
      </c>
      <c r="F1631">
        <v>6</v>
      </c>
      <c r="G1631">
        <v>82.29</v>
      </c>
      <c r="H1631">
        <v>0.08</v>
      </c>
      <c r="I1631" s="4">
        <v>454.24</v>
      </c>
      <c r="J1631" t="s">
        <v>21</v>
      </c>
      <c r="K1631" t="s">
        <v>35</v>
      </c>
      <c r="L1631" s="4">
        <f>VLOOKUP(tblTransactions[[#This Row],[Product_ID]],tblProducts[],5,FALSE)</f>
        <v>51.11</v>
      </c>
      <c r="M1631" s="4">
        <f>tblTransactions[[#This Row],[Total_Amount]]-(tblTransactions[[#This Row],[Cost_Prices]]*tblTransactions[[#This Row],[Quantity]]*(1-tblTransactions[[#This Row],[Discount]]))</f>
        <v>172.11280000000005</v>
      </c>
      <c r="N1631" s="3">
        <f>tblTransactions[[#This Row],[Profit]]/tblTransactions[[#This Row],[Total_Amount]]</f>
        <v>0.37890278266995431</v>
      </c>
      <c r="O1631" t="str">
        <f>TEXT(tblTransactions[[#This Row],[Date]], "MMM-YYYY")</f>
        <v>Dec-2023</v>
      </c>
      <c r="P1631" t="str">
        <f>"Q"&amp;ROUNDUP(MONTH(tblTransactions[[#This Row],[Date]])/3,0)&amp;"-"&amp;YEAR(tblTransactions[[#This Row],[Date]])</f>
        <v>Q4-2023</v>
      </c>
      <c r="Q1631">
        <f>YEAR(tblTransactions[[#This Row],[Date]])</f>
        <v>2023</v>
      </c>
      <c r="R1631" t="str">
        <f>TEXT(tblTransactions[[#This Row],[Date]],"DDDD")</f>
        <v>Monday</v>
      </c>
      <c r="S1631">
        <f>MONTH(tblTransactions[[#This Row],[Date]])</f>
        <v>12</v>
      </c>
      <c r="T1631" t="str">
        <f>VLOOKUP(E1631, Products!$A:$B,2,0)</f>
        <v>Keyboards Acc-2</v>
      </c>
      <c r="U1631" t="str">
        <f>VLOOKUP(E1631,Products!$A:$C,3,0)</f>
        <v>Accessories</v>
      </c>
      <c r="V1631" t="str">
        <f>VLOOKUP(E1631,Products!$A:$D,4,0)</f>
        <v>Keyboards</v>
      </c>
      <c r="W1631" t="str">
        <f>VLOOKUP(D1631,Customers!$A:$C,3,0)</f>
        <v>B2C</v>
      </c>
      <c r="X1631" t="str">
        <f>VLOOKUP(C1631,Sales_Representatives!$A:$B,2,0)</f>
        <v>Robert Jones</v>
      </c>
    </row>
    <row r="1632" spans="1:24" x14ac:dyDescent="0.3">
      <c r="A1632" t="s">
        <v>2372</v>
      </c>
      <c r="B1632" t="s">
        <v>2369</v>
      </c>
      <c r="C1632" t="s">
        <v>70</v>
      </c>
      <c r="D1632" t="s">
        <v>1902</v>
      </c>
      <c r="E1632" t="s">
        <v>290</v>
      </c>
      <c r="F1632">
        <v>12</v>
      </c>
      <c r="G1632">
        <v>729.32</v>
      </c>
      <c r="H1632">
        <v>0.15</v>
      </c>
      <c r="I1632" s="4">
        <v>7439.06</v>
      </c>
      <c r="J1632" t="s">
        <v>16</v>
      </c>
      <c r="K1632" t="s">
        <v>39</v>
      </c>
      <c r="L1632" s="4">
        <f>VLOOKUP(tblTransactions[[#This Row],[Product_ID]],tblProducts[],5,FALSE)</f>
        <v>482.7</v>
      </c>
      <c r="M1632" s="4">
        <f>tblTransactions[[#This Row],[Total_Amount]]-(tblTransactions[[#This Row],[Cost_Prices]]*tblTransactions[[#This Row],[Quantity]]*(1-tblTransactions[[#This Row],[Discount]]))</f>
        <v>2515.5200000000004</v>
      </c>
      <c r="N1632" s="3">
        <f>tblTransactions[[#This Row],[Profit]]/tblTransactions[[#This Row],[Total_Amount]]</f>
        <v>0.33815025016601563</v>
      </c>
      <c r="O1632" t="str">
        <f>TEXT(tblTransactions[[#This Row],[Date]], "MMM-YYYY")</f>
        <v>Dec-2023</v>
      </c>
      <c r="P1632" t="str">
        <f>"Q"&amp;ROUNDUP(MONTH(tblTransactions[[#This Row],[Date]])/3,0)&amp;"-"&amp;YEAR(tblTransactions[[#This Row],[Date]])</f>
        <v>Q4-2023</v>
      </c>
      <c r="Q1632">
        <f>YEAR(tblTransactions[[#This Row],[Date]])</f>
        <v>2023</v>
      </c>
      <c r="R1632" t="str">
        <f>TEXT(tblTransactions[[#This Row],[Date]],"DDDD")</f>
        <v>Monday</v>
      </c>
      <c r="S1632">
        <f>MONTH(tblTransactions[[#This Row],[Date]])</f>
        <v>12</v>
      </c>
      <c r="T1632" t="str">
        <f>VLOOKUP(E1632, Products!$A:$B,2,0)</f>
        <v>Tables Fur-1</v>
      </c>
      <c r="U1632" t="str">
        <f>VLOOKUP(E1632,Products!$A:$C,3,0)</f>
        <v>Furniture</v>
      </c>
      <c r="V1632" t="str">
        <f>VLOOKUP(E1632,Products!$A:$D,4,0)</f>
        <v>Tables</v>
      </c>
      <c r="W1632" t="str">
        <f>VLOOKUP(D1632,Customers!$A:$C,3,0)</f>
        <v>B2B</v>
      </c>
      <c r="X1632" t="str">
        <f>VLOOKUP(C1632,Sales_Representatives!$A:$B,2,0)</f>
        <v>Linda Smith</v>
      </c>
    </row>
    <row r="1633" spans="1:24" x14ac:dyDescent="0.3">
      <c r="A1633" t="s">
        <v>2373</v>
      </c>
      <c r="B1633" t="s">
        <v>2369</v>
      </c>
      <c r="C1633" t="s">
        <v>75</v>
      </c>
      <c r="D1633" t="s">
        <v>2065</v>
      </c>
      <c r="E1633" t="s">
        <v>221</v>
      </c>
      <c r="F1633">
        <v>9</v>
      </c>
      <c r="G1633">
        <v>210.02</v>
      </c>
      <c r="H1633">
        <v>7.0000000000000007E-2</v>
      </c>
      <c r="I1633" s="4">
        <v>1757.87</v>
      </c>
      <c r="J1633" t="s">
        <v>44</v>
      </c>
      <c r="K1633" t="s">
        <v>39</v>
      </c>
      <c r="L1633" s="4">
        <f>VLOOKUP(tblTransactions[[#This Row],[Product_ID]],tblProducts[],5,FALSE)</f>
        <v>131.66</v>
      </c>
      <c r="M1633" s="4">
        <f>tblTransactions[[#This Row],[Total_Amount]]-(tblTransactions[[#This Row],[Cost_Prices]]*tblTransactions[[#This Row],[Quantity]]*(1-tblTransactions[[#This Row],[Discount]]))</f>
        <v>655.87580000000003</v>
      </c>
      <c r="N1633" s="3">
        <f>tblTransactions[[#This Row],[Profit]]/tblTransactions[[#This Row],[Total_Amount]]</f>
        <v>0.37310825032567829</v>
      </c>
      <c r="O1633" t="str">
        <f>TEXT(tblTransactions[[#This Row],[Date]], "MMM-YYYY")</f>
        <v>Dec-2023</v>
      </c>
      <c r="P1633" t="str">
        <f>"Q"&amp;ROUNDUP(MONTH(tblTransactions[[#This Row],[Date]])/3,0)&amp;"-"&amp;YEAR(tblTransactions[[#This Row],[Date]])</f>
        <v>Q4-2023</v>
      </c>
      <c r="Q1633">
        <f>YEAR(tblTransactions[[#This Row],[Date]])</f>
        <v>2023</v>
      </c>
      <c r="R1633" t="str">
        <f>TEXT(tblTransactions[[#This Row],[Date]],"DDDD")</f>
        <v>Monday</v>
      </c>
      <c r="S1633">
        <f>MONTH(tblTransactions[[#This Row],[Date]])</f>
        <v>12</v>
      </c>
      <c r="T1633" t="str">
        <f>VLOOKUP(E1633, Products!$A:$B,2,0)</f>
        <v>Storage Fur-2</v>
      </c>
      <c r="U1633" t="str">
        <f>VLOOKUP(E1633,Products!$A:$C,3,0)</f>
        <v>Furniture</v>
      </c>
      <c r="V1633" t="str">
        <f>VLOOKUP(E1633,Products!$A:$D,4,0)</f>
        <v>Storage</v>
      </c>
      <c r="W1633" t="str">
        <f>VLOOKUP(D1633,Customers!$A:$C,3,0)</f>
        <v>B2B</v>
      </c>
      <c r="X1633" t="str">
        <f>VLOOKUP(C1633,Sales_Representatives!$A:$B,2,0)</f>
        <v>Jessica Anderson</v>
      </c>
    </row>
    <row r="1634" spans="1:24" x14ac:dyDescent="0.3">
      <c r="A1634" t="s">
        <v>2374</v>
      </c>
      <c r="B1634" t="s">
        <v>2369</v>
      </c>
      <c r="C1634" t="s">
        <v>141</v>
      </c>
      <c r="D1634" t="s">
        <v>2334</v>
      </c>
      <c r="E1634" t="s">
        <v>91</v>
      </c>
      <c r="F1634">
        <v>6</v>
      </c>
      <c r="G1634">
        <v>286.62</v>
      </c>
      <c r="H1634">
        <v>0.09</v>
      </c>
      <c r="I1634" s="4">
        <v>1564.95</v>
      </c>
      <c r="J1634" t="s">
        <v>109</v>
      </c>
      <c r="K1634" t="s">
        <v>22</v>
      </c>
      <c r="L1634" s="4">
        <f>VLOOKUP(tblTransactions[[#This Row],[Product_ID]],tblProducts[],5,FALSE)</f>
        <v>145.54</v>
      </c>
      <c r="M1634" s="4">
        <f>tblTransactions[[#This Row],[Total_Amount]]-(tblTransactions[[#This Row],[Cost_Prices]]*tblTransactions[[#This Row],[Quantity]]*(1-tblTransactions[[#This Row],[Discount]]))</f>
        <v>770.30160000000001</v>
      </c>
      <c r="N1634" s="3">
        <f>tblTransactions[[#This Row],[Profit]]/tblTransactions[[#This Row],[Total_Amount]]</f>
        <v>0.49222122112527555</v>
      </c>
      <c r="O1634" t="str">
        <f>TEXT(tblTransactions[[#This Row],[Date]], "MMM-YYYY")</f>
        <v>Dec-2023</v>
      </c>
      <c r="P1634" t="str">
        <f>"Q"&amp;ROUNDUP(MONTH(tblTransactions[[#This Row],[Date]])/3,0)&amp;"-"&amp;YEAR(tblTransactions[[#This Row],[Date]])</f>
        <v>Q4-2023</v>
      </c>
      <c r="Q1634">
        <f>YEAR(tblTransactions[[#This Row],[Date]])</f>
        <v>2023</v>
      </c>
      <c r="R1634" t="str">
        <f>TEXT(tblTransactions[[#This Row],[Date]],"DDDD")</f>
        <v>Monday</v>
      </c>
      <c r="S1634">
        <f>MONTH(tblTransactions[[#This Row],[Date]])</f>
        <v>12</v>
      </c>
      <c r="T1634" t="str">
        <f>VLOOKUP(E1634, Products!$A:$B,2,0)</f>
        <v>Chairs Fur-1</v>
      </c>
      <c r="U1634" t="str">
        <f>VLOOKUP(E1634,Products!$A:$C,3,0)</f>
        <v>Furniture</v>
      </c>
      <c r="V1634" t="str">
        <f>VLOOKUP(E1634,Products!$A:$D,4,0)</f>
        <v>Chairs</v>
      </c>
      <c r="W1634" t="str">
        <f>VLOOKUP(D1634,Customers!$A:$C,3,0)</f>
        <v>B2B</v>
      </c>
      <c r="X1634" t="str">
        <f>VLOOKUP(C1634,Sales_Representatives!$A:$B,2,0)</f>
        <v>Richard Garcia</v>
      </c>
    </row>
    <row r="1635" spans="1:24" x14ac:dyDescent="0.3">
      <c r="A1635" t="s">
        <v>2375</v>
      </c>
      <c r="B1635" t="s">
        <v>2369</v>
      </c>
      <c r="C1635" t="s">
        <v>31</v>
      </c>
      <c r="D1635" t="s">
        <v>2376</v>
      </c>
      <c r="E1635" t="s">
        <v>43</v>
      </c>
      <c r="F1635">
        <v>5</v>
      </c>
      <c r="G1635">
        <v>39.32</v>
      </c>
      <c r="H1635">
        <v>0.03</v>
      </c>
      <c r="I1635" s="4">
        <v>190.7</v>
      </c>
      <c r="J1635" t="s">
        <v>34</v>
      </c>
      <c r="K1635" t="s">
        <v>22</v>
      </c>
      <c r="L1635" s="4">
        <f>VLOOKUP(tblTransactions[[#This Row],[Product_ID]],tblProducts[],5,FALSE)</f>
        <v>15.81</v>
      </c>
      <c r="M1635" s="4">
        <f>tblTransactions[[#This Row],[Total_Amount]]-(tblTransactions[[#This Row],[Cost_Prices]]*tblTransactions[[#This Row],[Quantity]]*(1-tblTransactions[[#This Row],[Discount]]))</f>
        <v>114.02149999999999</v>
      </c>
      <c r="N1635" s="3">
        <f>tblTransactions[[#This Row],[Profit]]/tblTransactions[[#This Row],[Total_Amount]]</f>
        <v>0.59791033036182484</v>
      </c>
      <c r="O1635" t="str">
        <f>TEXT(tblTransactions[[#This Row],[Date]], "MMM-YYYY")</f>
        <v>Dec-2023</v>
      </c>
      <c r="P1635" t="str">
        <f>"Q"&amp;ROUNDUP(MONTH(tblTransactions[[#This Row],[Date]])/3,0)&amp;"-"&amp;YEAR(tblTransactions[[#This Row],[Date]])</f>
        <v>Q4-2023</v>
      </c>
      <c r="Q1635">
        <f>YEAR(tblTransactions[[#This Row],[Date]])</f>
        <v>2023</v>
      </c>
      <c r="R1635" t="str">
        <f>TEXT(tblTransactions[[#This Row],[Date]],"DDDD")</f>
        <v>Monday</v>
      </c>
      <c r="S1635">
        <f>MONTH(tblTransactions[[#This Row],[Date]])</f>
        <v>12</v>
      </c>
      <c r="T1635" t="str">
        <f>VLOOKUP(E1635, Products!$A:$B,2,0)</f>
        <v>Paper Off-3</v>
      </c>
      <c r="U1635" t="str">
        <f>VLOOKUP(E1635,Products!$A:$C,3,0)</f>
        <v>Office Supplies</v>
      </c>
      <c r="V1635" t="str">
        <f>VLOOKUP(E1635,Products!$A:$D,4,0)</f>
        <v>Paper</v>
      </c>
      <c r="W1635" t="str">
        <f>VLOOKUP(D1635,Customers!$A:$C,3,0)</f>
        <v>B2C</v>
      </c>
      <c r="X1635" t="str">
        <f>VLOOKUP(C1635,Sales_Representatives!$A:$B,2,0)</f>
        <v>Thomas Martinez</v>
      </c>
    </row>
    <row r="1636" spans="1:24" x14ac:dyDescent="0.3">
      <c r="A1636" t="s">
        <v>2377</v>
      </c>
      <c r="B1636" t="s">
        <v>2369</v>
      </c>
      <c r="C1636" t="s">
        <v>31</v>
      </c>
      <c r="D1636" t="s">
        <v>1656</v>
      </c>
      <c r="E1636" t="s">
        <v>243</v>
      </c>
      <c r="F1636">
        <v>6</v>
      </c>
      <c r="G1636">
        <v>384.18</v>
      </c>
      <c r="H1636">
        <v>0.08</v>
      </c>
      <c r="I1636" s="4">
        <v>2120.67</v>
      </c>
      <c r="J1636" t="s">
        <v>34</v>
      </c>
      <c r="K1636" t="s">
        <v>35</v>
      </c>
      <c r="L1636" s="4">
        <f>VLOOKUP(tblTransactions[[#This Row],[Product_ID]],tblProducts[],5,FALSE)</f>
        <v>266.92</v>
      </c>
      <c r="M1636" s="4">
        <f>tblTransactions[[#This Row],[Total_Amount]]-(tblTransactions[[#This Row],[Cost_Prices]]*tblTransactions[[#This Row],[Quantity]]*(1-tblTransactions[[#This Row],[Discount]]))</f>
        <v>647.27160000000003</v>
      </c>
      <c r="N1636" s="3">
        <f>tblTransactions[[#This Row],[Profit]]/tblTransactions[[#This Row],[Total_Amount]]</f>
        <v>0.30522033131038778</v>
      </c>
      <c r="O1636" t="str">
        <f>TEXT(tblTransactions[[#This Row],[Date]], "MMM-YYYY")</f>
        <v>Dec-2023</v>
      </c>
      <c r="P1636" t="str">
        <f>"Q"&amp;ROUNDUP(MONTH(tblTransactions[[#This Row],[Date]])/3,0)&amp;"-"&amp;YEAR(tblTransactions[[#This Row],[Date]])</f>
        <v>Q4-2023</v>
      </c>
      <c r="Q1636">
        <f>YEAR(tblTransactions[[#This Row],[Date]])</f>
        <v>2023</v>
      </c>
      <c r="R1636" t="str">
        <f>TEXT(tblTransactions[[#This Row],[Date]],"DDDD")</f>
        <v>Monday</v>
      </c>
      <c r="S1636">
        <f>MONTH(tblTransactions[[#This Row],[Date]])</f>
        <v>12</v>
      </c>
      <c r="T1636" t="str">
        <f>VLOOKUP(E1636, Products!$A:$B,2,0)</f>
        <v>Routers Tec-3</v>
      </c>
      <c r="U1636" t="str">
        <f>VLOOKUP(E1636,Products!$A:$C,3,0)</f>
        <v>Technology</v>
      </c>
      <c r="V1636" t="str">
        <f>VLOOKUP(E1636,Products!$A:$D,4,0)</f>
        <v>Routers</v>
      </c>
      <c r="W1636" t="str">
        <f>VLOOKUP(D1636,Customers!$A:$C,3,0)</f>
        <v>B2C</v>
      </c>
      <c r="X1636" t="str">
        <f>VLOOKUP(C1636,Sales_Representatives!$A:$B,2,0)</f>
        <v>Thomas Martinez</v>
      </c>
    </row>
    <row r="1637" spans="1:24" x14ac:dyDescent="0.3">
      <c r="A1637" t="s">
        <v>2378</v>
      </c>
      <c r="B1637" t="s">
        <v>2369</v>
      </c>
      <c r="C1637" t="s">
        <v>82</v>
      </c>
      <c r="D1637" t="s">
        <v>1702</v>
      </c>
      <c r="E1637" t="s">
        <v>145</v>
      </c>
      <c r="F1637">
        <v>1</v>
      </c>
      <c r="G1637">
        <v>93.43</v>
      </c>
      <c r="H1637">
        <v>7.0000000000000007E-2</v>
      </c>
      <c r="I1637" s="4">
        <v>86.89</v>
      </c>
      <c r="J1637" t="s">
        <v>34</v>
      </c>
      <c r="K1637" t="s">
        <v>48</v>
      </c>
      <c r="L1637" s="4">
        <f>VLOOKUP(tblTransactions[[#This Row],[Product_ID]],tblProducts[],5,FALSE)</f>
        <v>45.74</v>
      </c>
      <c r="M1637" s="4">
        <f>tblTransactions[[#This Row],[Total_Amount]]-(tblTransactions[[#This Row],[Cost_Prices]]*tblTransactions[[#This Row],[Quantity]]*(1-tblTransactions[[#This Row],[Discount]]))</f>
        <v>44.351800000000004</v>
      </c>
      <c r="N1637" s="3">
        <f>tblTransactions[[#This Row],[Profit]]/tblTransactions[[#This Row],[Total_Amount]]</f>
        <v>0.51043618368051569</v>
      </c>
      <c r="O1637" t="str">
        <f>TEXT(tblTransactions[[#This Row],[Date]], "MMM-YYYY")</f>
        <v>Dec-2023</v>
      </c>
      <c r="P1637" t="str">
        <f>"Q"&amp;ROUNDUP(MONTH(tblTransactions[[#This Row],[Date]])/3,0)&amp;"-"&amp;YEAR(tblTransactions[[#This Row],[Date]])</f>
        <v>Q4-2023</v>
      </c>
      <c r="Q1637">
        <f>YEAR(tblTransactions[[#This Row],[Date]])</f>
        <v>2023</v>
      </c>
      <c r="R1637" t="str">
        <f>TEXT(tblTransactions[[#This Row],[Date]],"DDDD")</f>
        <v>Monday</v>
      </c>
      <c r="S1637">
        <f>MONTH(tblTransactions[[#This Row],[Date]])</f>
        <v>12</v>
      </c>
      <c r="T1637" t="str">
        <f>VLOOKUP(E1637, Products!$A:$B,2,0)</f>
        <v>Paper Off-1</v>
      </c>
      <c r="U1637" t="str">
        <f>VLOOKUP(E1637,Products!$A:$C,3,0)</f>
        <v>Office Supplies</v>
      </c>
      <c r="V1637" t="str">
        <f>VLOOKUP(E1637,Products!$A:$D,4,0)</f>
        <v>Paper</v>
      </c>
      <c r="W1637" t="str">
        <f>VLOOKUP(D1637,Customers!$A:$C,3,0)</f>
        <v>B2C</v>
      </c>
      <c r="X1637" t="str">
        <f>VLOOKUP(C1637,Sales_Representatives!$A:$B,2,0)</f>
        <v>John Brown</v>
      </c>
    </row>
    <row r="1638" spans="1:24" x14ac:dyDescent="0.3">
      <c r="A1638" t="s">
        <v>2379</v>
      </c>
      <c r="B1638" t="s">
        <v>2380</v>
      </c>
      <c r="C1638" t="s">
        <v>82</v>
      </c>
      <c r="D1638" t="s">
        <v>1845</v>
      </c>
      <c r="E1638" t="s">
        <v>314</v>
      </c>
      <c r="F1638">
        <v>2</v>
      </c>
      <c r="G1638">
        <v>204.97</v>
      </c>
      <c r="H1638">
        <v>0.02</v>
      </c>
      <c r="I1638" s="4">
        <v>401.74</v>
      </c>
      <c r="J1638" t="s">
        <v>34</v>
      </c>
      <c r="K1638" t="s">
        <v>17</v>
      </c>
      <c r="L1638" s="4">
        <f>VLOOKUP(tblTransactions[[#This Row],[Product_ID]],tblProducts[],5,FALSE)</f>
        <v>121.53</v>
      </c>
      <c r="M1638" s="4">
        <f>tblTransactions[[#This Row],[Total_Amount]]-(tblTransactions[[#This Row],[Cost_Prices]]*tblTransactions[[#This Row],[Quantity]]*(1-tblTransactions[[#This Row],[Discount]]))</f>
        <v>163.5412</v>
      </c>
      <c r="N1638" s="3">
        <f>tblTransactions[[#This Row],[Profit]]/tblTransactions[[#This Row],[Total_Amount]]</f>
        <v>0.40708219246278687</v>
      </c>
      <c r="O1638" t="str">
        <f>TEXT(tblTransactions[[#This Row],[Date]], "MMM-YYYY")</f>
        <v>Dec-2023</v>
      </c>
      <c r="P1638" t="str">
        <f>"Q"&amp;ROUNDUP(MONTH(tblTransactions[[#This Row],[Date]])/3,0)&amp;"-"&amp;YEAR(tblTransactions[[#This Row],[Date]])</f>
        <v>Q4-2023</v>
      </c>
      <c r="Q1638">
        <f>YEAR(tblTransactions[[#This Row],[Date]])</f>
        <v>2023</v>
      </c>
      <c r="R1638" t="str">
        <f>TEXT(tblTransactions[[#This Row],[Date]],"DDDD")</f>
        <v>Tuesday</v>
      </c>
      <c r="S1638">
        <f>MONTH(tblTransactions[[#This Row],[Date]])</f>
        <v>12</v>
      </c>
      <c r="T1638" t="str">
        <f>VLOOKUP(E1638, Products!$A:$B,2,0)</f>
        <v>Adapters Acc-3</v>
      </c>
      <c r="U1638" t="str">
        <f>VLOOKUP(E1638,Products!$A:$C,3,0)</f>
        <v>Accessories</v>
      </c>
      <c r="V1638" t="str">
        <f>VLOOKUP(E1638,Products!$A:$D,4,0)</f>
        <v>Adapters</v>
      </c>
      <c r="W1638" t="str">
        <f>VLOOKUP(D1638,Customers!$A:$C,3,0)</f>
        <v>B2C</v>
      </c>
      <c r="X1638" t="str">
        <f>VLOOKUP(C1638,Sales_Representatives!$A:$B,2,0)</f>
        <v>John Brown</v>
      </c>
    </row>
    <row r="1639" spans="1:24" x14ac:dyDescent="0.3">
      <c r="A1639" t="s">
        <v>2381</v>
      </c>
      <c r="B1639" t="s">
        <v>2380</v>
      </c>
      <c r="C1639" t="s">
        <v>131</v>
      </c>
      <c r="D1639" t="s">
        <v>1576</v>
      </c>
      <c r="E1639" t="s">
        <v>25</v>
      </c>
      <c r="F1639">
        <v>3</v>
      </c>
      <c r="G1639">
        <v>1467.49</v>
      </c>
      <c r="H1639">
        <v>0.01</v>
      </c>
      <c r="I1639" s="4">
        <v>4358.45</v>
      </c>
      <c r="J1639" t="s">
        <v>44</v>
      </c>
      <c r="K1639" t="s">
        <v>39</v>
      </c>
      <c r="L1639" s="4">
        <f>VLOOKUP(tblTransactions[[#This Row],[Product_ID]],tblProducts[],5,FALSE)</f>
        <v>757.65</v>
      </c>
      <c r="M1639" s="4">
        <f>tblTransactions[[#This Row],[Total_Amount]]-(tblTransactions[[#This Row],[Cost_Prices]]*tblTransactions[[#This Row],[Quantity]]*(1-tblTransactions[[#This Row],[Discount]]))</f>
        <v>2108.2294999999999</v>
      </c>
      <c r="N1639" s="3">
        <f>tblTransactions[[#This Row],[Profit]]/tblTransactions[[#This Row],[Total_Amount]]</f>
        <v>0.48371083756840161</v>
      </c>
      <c r="O1639" t="str">
        <f>TEXT(tblTransactions[[#This Row],[Date]], "MMM-YYYY")</f>
        <v>Dec-2023</v>
      </c>
      <c r="P1639" t="str">
        <f>"Q"&amp;ROUNDUP(MONTH(tblTransactions[[#This Row],[Date]])/3,0)&amp;"-"&amp;YEAR(tblTransactions[[#This Row],[Date]])</f>
        <v>Q4-2023</v>
      </c>
      <c r="Q1639">
        <f>YEAR(tblTransactions[[#This Row],[Date]])</f>
        <v>2023</v>
      </c>
      <c r="R1639" t="str">
        <f>TEXT(tblTransactions[[#This Row],[Date]],"DDDD")</f>
        <v>Tuesday</v>
      </c>
      <c r="S1639">
        <f>MONTH(tblTransactions[[#This Row],[Date]])</f>
        <v>12</v>
      </c>
      <c r="T1639" t="str">
        <f>VLOOKUP(E1639, Products!$A:$B,2,0)</f>
        <v>Tables Fur-3</v>
      </c>
      <c r="U1639" t="str">
        <f>VLOOKUP(E1639,Products!$A:$C,3,0)</f>
        <v>Furniture</v>
      </c>
      <c r="V1639" t="str">
        <f>VLOOKUP(E1639,Products!$A:$D,4,0)</f>
        <v>Tables</v>
      </c>
      <c r="W1639" t="str">
        <f>VLOOKUP(D1639,Customers!$A:$C,3,0)</f>
        <v>B2C</v>
      </c>
      <c r="X1639" t="str">
        <f>VLOOKUP(C1639,Sales_Representatives!$A:$B,2,0)</f>
        <v>Michael Davis</v>
      </c>
    </row>
    <row r="1640" spans="1:24" x14ac:dyDescent="0.3">
      <c r="A1640" t="s">
        <v>2382</v>
      </c>
      <c r="B1640" t="s">
        <v>2380</v>
      </c>
      <c r="C1640" t="s">
        <v>63</v>
      </c>
      <c r="D1640" t="s">
        <v>1906</v>
      </c>
      <c r="E1640" t="s">
        <v>137</v>
      </c>
      <c r="F1640">
        <v>5</v>
      </c>
      <c r="G1640">
        <v>241.39</v>
      </c>
      <c r="H1640">
        <v>0.08</v>
      </c>
      <c r="I1640" s="4">
        <v>1110.3900000000001</v>
      </c>
      <c r="J1640" t="s">
        <v>21</v>
      </c>
      <c r="K1640" t="s">
        <v>48</v>
      </c>
      <c r="L1640" s="4">
        <f>VLOOKUP(tblTransactions[[#This Row],[Product_ID]],tblProducts[],5,FALSE)</f>
        <v>124.07</v>
      </c>
      <c r="M1640" s="4">
        <f>tblTransactions[[#This Row],[Total_Amount]]-(tblTransactions[[#This Row],[Cost_Prices]]*tblTransactions[[#This Row],[Quantity]]*(1-tblTransactions[[#This Row],[Discount]]))</f>
        <v>539.66800000000012</v>
      </c>
      <c r="N1640" s="3">
        <f>tblTransactions[[#This Row],[Profit]]/tblTransactions[[#This Row],[Total_Amount]]</f>
        <v>0.48601662478948843</v>
      </c>
      <c r="O1640" t="str">
        <f>TEXT(tblTransactions[[#This Row],[Date]], "MMM-YYYY")</f>
        <v>Dec-2023</v>
      </c>
      <c r="P1640" t="str">
        <f>"Q"&amp;ROUNDUP(MONTH(tblTransactions[[#This Row],[Date]])/3,0)&amp;"-"&amp;YEAR(tblTransactions[[#This Row],[Date]])</f>
        <v>Q4-2023</v>
      </c>
      <c r="Q1640">
        <f>YEAR(tblTransactions[[#This Row],[Date]])</f>
        <v>2023</v>
      </c>
      <c r="R1640" t="str">
        <f>TEXT(tblTransactions[[#This Row],[Date]],"DDDD")</f>
        <v>Tuesday</v>
      </c>
      <c r="S1640">
        <f>MONTH(tblTransactions[[#This Row],[Date]])</f>
        <v>12</v>
      </c>
      <c r="T1640" t="str">
        <f>VLOOKUP(E1640, Products!$A:$B,2,0)</f>
        <v>Desks Fur-2</v>
      </c>
      <c r="U1640" t="str">
        <f>VLOOKUP(E1640,Products!$A:$C,3,0)</f>
        <v>Furniture</v>
      </c>
      <c r="V1640" t="str">
        <f>VLOOKUP(E1640,Products!$A:$D,4,0)</f>
        <v>Desks</v>
      </c>
      <c r="W1640" t="str">
        <f>VLOOKUP(D1640,Customers!$A:$C,3,0)</f>
        <v>B2B</v>
      </c>
      <c r="X1640" t="str">
        <f>VLOOKUP(C1640,Sales_Representatives!$A:$B,2,0)</f>
        <v>Richard Wilson</v>
      </c>
    </row>
    <row r="1641" spans="1:24" x14ac:dyDescent="0.3">
      <c r="A1641" t="s">
        <v>2383</v>
      </c>
      <c r="B1641" t="s">
        <v>2380</v>
      </c>
      <c r="C1641" t="s">
        <v>41</v>
      </c>
      <c r="D1641" t="s">
        <v>1505</v>
      </c>
      <c r="E1641" t="s">
        <v>72</v>
      </c>
      <c r="F1641">
        <v>5</v>
      </c>
      <c r="G1641">
        <v>404.76</v>
      </c>
      <c r="H1641">
        <v>0.03</v>
      </c>
      <c r="I1641" s="4">
        <v>1963.09</v>
      </c>
      <c r="J1641" t="s">
        <v>44</v>
      </c>
      <c r="K1641" t="s">
        <v>17</v>
      </c>
      <c r="L1641" s="4">
        <f>VLOOKUP(tblTransactions[[#This Row],[Product_ID]],tblProducts[],5,FALSE)</f>
        <v>226.76</v>
      </c>
      <c r="M1641" s="4">
        <f>tblTransactions[[#This Row],[Total_Amount]]-(tblTransactions[[#This Row],[Cost_Prices]]*tblTransactions[[#This Row],[Quantity]]*(1-tblTransactions[[#This Row],[Discount]]))</f>
        <v>863.30400000000009</v>
      </c>
      <c r="N1641" s="3">
        <f>tblTransactions[[#This Row],[Profit]]/tblTransactions[[#This Row],[Total_Amount]]</f>
        <v>0.43976791690650968</v>
      </c>
      <c r="O1641" t="str">
        <f>TEXT(tblTransactions[[#This Row],[Date]], "MMM-YYYY")</f>
        <v>Dec-2023</v>
      </c>
      <c r="P1641" t="str">
        <f>"Q"&amp;ROUNDUP(MONTH(tblTransactions[[#This Row],[Date]])/3,0)&amp;"-"&amp;YEAR(tblTransactions[[#This Row],[Date]])</f>
        <v>Q4-2023</v>
      </c>
      <c r="Q1641">
        <f>YEAR(tblTransactions[[#This Row],[Date]])</f>
        <v>2023</v>
      </c>
      <c r="R1641" t="str">
        <f>TEXT(tblTransactions[[#This Row],[Date]],"DDDD")</f>
        <v>Tuesday</v>
      </c>
      <c r="S1641">
        <f>MONTH(tblTransactions[[#This Row],[Date]])</f>
        <v>12</v>
      </c>
      <c r="T1641" t="str">
        <f>VLOOKUP(E1641, Products!$A:$B,2,0)</f>
        <v>Tablets Ele-2</v>
      </c>
      <c r="U1641" t="str">
        <f>VLOOKUP(E1641,Products!$A:$C,3,0)</f>
        <v>Electronics</v>
      </c>
      <c r="V1641" t="str">
        <f>VLOOKUP(E1641,Products!$A:$D,4,0)</f>
        <v>Tablets</v>
      </c>
      <c r="W1641" t="str">
        <f>VLOOKUP(D1641,Customers!$A:$C,3,0)</f>
        <v>B2C</v>
      </c>
      <c r="X1641" t="str">
        <f>VLOOKUP(C1641,Sales_Representatives!$A:$B,2,0)</f>
        <v>Robert Jones</v>
      </c>
    </row>
    <row r="1642" spans="1:24" x14ac:dyDescent="0.3">
      <c r="A1642" t="s">
        <v>2384</v>
      </c>
      <c r="B1642" t="s">
        <v>2380</v>
      </c>
      <c r="C1642" t="s">
        <v>19</v>
      </c>
      <c r="D1642" t="s">
        <v>1877</v>
      </c>
      <c r="E1642" t="s">
        <v>324</v>
      </c>
      <c r="F1642">
        <v>6</v>
      </c>
      <c r="G1642">
        <v>245.76</v>
      </c>
      <c r="H1642">
        <v>0.14000000000000001</v>
      </c>
      <c r="I1642" s="4">
        <v>1268.1199999999999</v>
      </c>
      <c r="J1642" t="s">
        <v>21</v>
      </c>
      <c r="K1642" t="s">
        <v>17</v>
      </c>
      <c r="L1642" s="4">
        <f>VLOOKUP(tblTransactions[[#This Row],[Product_ID]],tblProducts[],5,FALSE)</f>
        <v>161.94</v>
      </c>
      <c r="M1642" s="4">
        <f>tblTransactions[[#This Row],[Total_Amount]]-(tblTransactions[[#This Row],[Cost_Prices]]*tblTransactions[[#This Row],[Quantity]]*(1-tblTransactions[[#This Row],[Discount]]))</f>
        <v>432.50959999999986</v>
      </c>
      <c r="N1642" s="3">
        <f>tblTransactions[[#This Row],[Profit]]/tblTransactions[[#This Row],[Total_Amount]]</f>
        <v>0.34106362173926752</v>
      </c>
      <c r="O1642" t="str">
        <f>TEXT(tblTransactions[[#This Row],[Date]], "MMM-YYYY")</f>
        <v>Dec-2023</v>
      </c>
      <c r="P1642" t="str">
        <f>"Q"&amp;ROUNDUP(MONTH(tblTransactions[[#This Row],[Date]])/3,0)&amp;"-"&amp;YEAR(tblTransactions[[#This Row],[Date]])</f>
        <v>Q4-2023</v>
      </c>
      <c r="Q1642">
        <f>YEAR(tblTransactions[[#This Row],[Date]])</f>
        <v>2023</v>
      </c>
      <c r="R1642" t="str">
        <f>TEXT(tblTransactions[[#This Row],[Date]],"DDDD")</f>
        <v>Tuesday</v>
      </c>
      <c r="S1642">
        <f>MONTH(tblTransactions[[#This Row],[Date]])</f>
        <v>12</v>
      </c>
      <c r="T1642" t="str">
        <f>VLOOKUP(E1642, Products!$A:$B,2,0)</f>
        <v>Storage Fur-1</v>
      </c>
      <c r="U1642" t="str">
        <f>VLOOKUP(E1642,Products!$A:$C,3,0)</f>
        <v>Furniture</v>
      </c>
      <c r="V1642" t="str">
        <f>VLOOKUP(E1642,Products!$A:$D,4,0)</f>
        <v>Storage</v>
      </c>
      <c r="W1642" t="str">
        <f>VLOOKUP(D1642,Customers!$A:$C,3,0)</f>
        <v>Small Business</v>
      </c>
      <c r="X1642" t="str">
        <f>VLOOKUP(C1642,Sales_Representatives!$A:$B,2,0)</f>
        <v>Robert Jones</v>
      </c>
    </row>
    <row r="1643" spans="1:24" x14ac:dyDescent="0.3">
      <c r="A1643" t="s">
        <v>2385</v>
      </c>
      <c r="B1643" t="s">
        <v>2380</v>
      </c>
      <c r="C1643" t="s">
        <v>141</v>
      </c>
      <c r="D1643" t="s">
        <v>1828</v>
      </c>
      <c r="E1643" t="s">
        <v>25</v>
      </c>
      <c r="F1643">
        <v>12</v>
      </c>
      <c r="G1643">
        <v>1467.49</v>
      </c>
      <c r="H1643">
        <v>0.12</v>
      </c>
      <c r="I1643" s="4">
        <v>15496.69</v>
      </c>
      <c r="J1643" t="s">
        <v>109</v>
      </c>
      <c r="K1643" t="s">
        <v>39</v>
      </c>
      <c r="L1643" s="4">
        <f>VLOOKUP(tblTransactions[[#This Row],[Product_ID]],tblProducts[],5,FALSE)</f>
        <v>757.65</v>
      </c>
      <c r="M1643" s="4">
        <f>tblTransactions[[#This Row],[Total_Amount]]-(tblTransactions[[#This Row],[Cost_Prices]]*tblTransactions[[#This Row],[Quantity]]*(1-tblTransactions[[#This Row],[Discount]]))</f>
        <v>7495.9060000000009</v>
      </c>
      <c r="N1643" s="3">
        <f>tblTransactions[[#This Row],[Profit]]/tblTransactions[[#This Row],[Total_Amount]]</f>
        <v>0.48371013422866438</v>
      </c>
      <c r="O1643" t="str">
        <f>TEXT(tblTransactions[[#This Row],[Date]], "MMM-YYYY")</f>
        <v>Dec-2023</v>
      </c>
      <c r="P1643" t="str">
        <f>"Q"&amp;ROUNDUP(MONTH(tblTransactions[[#This Row],[Date]])/3,0)&amp;"-"&amp;YEAR(tblTransactions[[#This Row],[Date]])</f>
        <v>Q4-2023</v>
      </c>
      <c r="Q1643">
        <f>YEAR(tblTransactions[[#This Row],[Date]])</f>
        <v>2023</v>
      </c>
      <c r="R1643" t="str">
        <f>TEXT(tblTransactions[[#This Row],[Date]],"DDDD")</f>
        <v>Tuesday</v>
      </c>
      <c r="S1643">
        <f>MONTH(tblTransactions[[#This Row],[Date]])</f>
        <v>12</v>
      </c>
      <c r="T1643" t="str">
        <f>VLOOKUP(E1643, Products!$A:$B,2,0)</f>
        <v>Tables Fur-3</v>
      </c>
      <c r="U1643" t="str">
        <f>VLOOKUP(E1643,Products!$A:$C,3,0)</f>
        <v>Furniture</v>
      </c>
      <c r="V1643" t="str">
        <f>VLOOKUP(E1643,Products!$A:$D,4,0)</f>
        <v>Tables</v>
      </c>
      <c r="W1643" t="str">
        <f>VLOOKUP(D1643,Customers!$A:$C,3,0)</f>
        <v>B2B</v>
      </c>
      <c r="X1643" t="str">
        <f>VLOOKUP(C1643,Sales_Representatives!$A:$B,2,0)</f>
        <v>Richard Garcia</v>
      </c>
    </row>
    <row r="1644" spans="1:24" x14ac:dyDescent="0.3">
      <c r="A1644" t="s">
        <v>2386</v>
      </c>
      <c r="B1644" t="s">
        <v>2380</v>
      </c>
      <c r="C1644" t="s">
        <v>127</v>
      </c>
      <c r="D1644" t="s">
        <v>1986</v>
      </c>
      <c r="E1644" t="s">
        <v>137</v>
      </c>
      <c r="F1644">
        <v>7</v>
      </c>
      <c r="G1644">
        <v>241.39</v>
      </c>
      <c r="H1644">
        <v>0.12</v>
      </c>
      <c r="I1644" s="4">
        <v>1486.96</v>
      </c>
      <c r="J1644" t="s">
        <v>109</v>
      </c>
      <c r="K1644" t="s">
        <v>22</v>
      </c>
      <c r="L1644" s="4">
        <f>VLOOKUP(tblTransactions[[#This Row],[Product_ID]],tblProducts[],5,FALSE)</f>
        <v>124.07</v>
      </c>
      <c r="M1644" s="4">
        <f>tblTransactions[[#This Row],[Total_Amount]]-(tblTransactions[[#This Row],[Cost_Prices]]*tblTransactions[[#This Row],[Quantity]]*(1-tblTransactions[[#This Row],[Discount]]))</f>
        <v>722.68880000000001</v>
      </c>
      <c r="N1644" s="3">
        <f>tblTransactions[[#This Row],[Profit]]/tblTransactions[[#This Row],[Total_Amount]]</f>
        <v>0.48601764674234682</v>
      </c>
      <c r="O1644" t="str">
        <f>TEXT(tblTransactions[[#This Row],[Date]], "MMM-YYYY")</f>
        <v>Dec-2023</v>
      </c>
      <c r="P1644" t="str">
        <f>"Q"&amp;ROUNDUP(MONTH(tblTransactions[[#This Row],[Date]])/3,0)&amp;"-"&amp;YEAR(tblTransactions[[#This Row],[Date]])</f>
        <v>Q4-2023</v>
      </c>
      <c r="Q1644">
        <f>YEAR(tblTransactions[[#This Row],[Date]])</f>
        <v>2023</v>
      </c>
      <c r="R1644" t="str">
        <f>TEXT(tblTransactions[[#This Row],[Date]],"DDDD")</f>
        <v>Tuesday</v>
      </c>
      <c r="S1644">
        <f>MONTH(tblTransactions[[#This Row],[Date]])</f>
        <v>12</v>
      </c>
      <c r="T1644" t="str">
        <f>VLOOKUP(E1644, Products!$A:$B,2,0)</f>
        <v>Desks Fur-2</v>
      </c>
      <c r="U1644" t="str">
        <f>VLOOKUP(E1644,Products!$A:$C,3,0)</f>
        <v>Furniture</v>
      </c>
      <c r="V1644" t="str">
        <f>VLOOKUP(E1644,Products!$A:$D,4,0)</f>
        <v>Desks</v>
      </c>
      <c r="W1644" t="str">
        <f>VLOOKUP(D1644,Customers!$A:$C,3,0)</f>
        <v>B2C</v>
      </c>
      <c r="X1644" t="str">
        <f>VLOOKUP(C1644,Sales_Representatives!$A:$B,2,0)</f>
        <v>Emily Hernandez</v>
      </c>
    </row>
    <row r="1645" spans="1:24" x14ac:dyDescent="0.3">
      <c r="A1645" t="s">
        <v>2387</v>
      </c>
      <c r="B1645" t="s">
        <v>2388</v>
      </c>
      <c r="C1645" t="s">
        <v>127</v>
      </c>
      <c r="D1645" t="s">
        <v>1569</v>
      </c>
      <c r="E1645" t="s">
        <v>157</v>
      </c>
      <c r="F1645">
        <v>7</v>
      </c>
      <c r="G1645">
        <v>1227.68</v>
      </c>
      <c r="H1645">
        <v>0.11</v>
      </c>
      <c r="I1645" s="4">
        <v>7648.45</v>
      </c>
      <c r="J1645" t="s">
        <v>109</v>
      </c>
      <c r="K1645" t="s">
        <v>48</v>
      </c>
      <c r="L1645" s="4">
        <f>VLOOKUP(tblTransactions[[#This Row],[Product_ID]],tblProducts[],5,FALSE)</f>
        <v>846.42</v>
      </c>
      <c r="M1645" s="4">
        <f>tblTransactions[[#This Row],[Total_Amount]]-(tblTransactions[[#This Row],[Cost_Prices]]*tblTransactions[[#This Row],[Quantity]]*(1-tblTransactions[[#This Row],[Discount]]))</f>
        <v>2375.2534000000005</v>
      </c>
      <c r="N1645" s="3">
        <f>tblTransactions[[#This Row],[Profit]]/tblTransactions[[#This Row],[Total_Amount]]</f>
        <v>0.31055356314024418</v>
      </c>
      <c r="O1645" t="str">
        <f>TEXT(tblTransactions[[#This Row],[Date]], "MMM-YYYY")</f>
        <v>Dec-2023</v>
      </c>
      <c r="P1645" t="str">
        <f>"Q"&amp;ROUNDUP(MONTH(tblTransactions[[#This Row],[Date]])/3,0)&amp;"-"&amp;YEAR(tblTransactions[[#This Row],[Date]])</f>
        <v>Q4-2023</v>
      </c>
      <c r="Q1645">
        <f>YEAR(tblTransactions[[#This Row],[Date]])</f>
        <v>2023</v>
      </c>
      <c r="R1645" t="str">
        <f>TEXT(tblTransactions[[#This Row],[Date]],"DDDD")</f>
        <v>Wednesday</v>
      </c>
      <c r="S1645">
        <f>MONTH(tblTransactions[[#This Row],[Date]])</f>
        <v>12</v>
      </c>
      <c r="T1645" t="str">
        <f>VLOOKUP(E1645, Products!$A:$B,2,0)</f>
        <v>Printers Tec-4</v>
      </c>
      <c r="U1645" t="str">
        <f>VLOOKUP(E1645,Products!$A:$C,3,0)</f>
        <v>Technology</v>
      </c>
      <c r="V1645" t="str">
        <f>VLOOKUP(E1645,Products!$A:$D,4,0)</f>
        <v>Printers</v>
      </c>
      <c r="W1645" t="str">
        <f>VLOOKUP(D1645,Customers!$A:$C,3,0)</f>
        <v>Small Business</v>
      </c>
      <c r="X1645" t="str">
        <f>VLOOKUP(C1645,Sales_Representatives!$A:$B,2,0)</f>
        <v>Emily Hernandez</v>
      </c>
    </row>
    <row r="1646" spans="1:24" x14ac:dyDescent="0.3">
      <c r="A1646" t="s">
        <v>2389</v>
      </c>
      <c r="B1646" t="s">
        <v>2388</v>
      </c>
      <c r="C1646" t="s">
        <v>127</v>
      </c>
      <c r="D1646" t="s">
        <v>2041</v>
      </c>
      <c r="E1646" t="s">
        <v>450</v>
      </c>
      <c r="F1646">
        <v>2</v>
      </c>
      <c r="G1646">
        <v>2083.92</v>
      </c>
      <c r="H1646">
        <v>0.06</v>
      </c>
      <c r="I1646" s="4">
        <v>3917.77</v>
      </c>
      <c r="J1646" t="s">
        <v>109</v>
      </c>
      <c r="K1646" t="s">
        <v>17</v>
      </c>
      <c r="L1646" s="4">
        <f>VLOOKUP(tblTransactions[[#This Row],[Product_ID]],tblProducts[],5,FALSE)</f>
        <v>1425.78</v>
      </c>
      <c r="M1646" s="4">
        <f>tblTransactions[[#This Row],[Total_Amount]]-(tblTransactions[[#This Row],[Cost_Prices]]*tblTransactions[[#This Row],[Quantity]]*(1-tblTransactions[[#This Row],[Discount]]))</f>
        <v>1237.3036000000002</v>
      </c>
      <c r="N1646" s="3">
        <f>tblTransactions[[#This Row],[Profit]]/tblTransactions[[#This Row],[Total_Amount]]</f>
        <v>0.31581833543061494</v>
      </c>
      <c r="O1646" t="str">
        <f>TEXT(tblTransactions[[#This Row],[Date]], "MMM-YYYY")</f>
        <v>Dec-2023</v>
      </c>
      <c r="P1646" t="str">
        <f>"Q"&amp;ROUNDUP(MONTH(tblTransactions[[#This Row],[Date]])/3,0)&amp;"-"&amp;YEAR(tblTransactions[[#This Row],[Date]])</f>
        <v>Q4-2023</v>
      </c>
      <c r="Q1646">
        <f>YEAR(tblTransactions[[#This Row],[Date]])</f>
        <v>2023</v>
      </c>
      <c r="R1646" t="str">
        <f>TEXT(tblTransactions[[#This Row],[Date]],"DDDD")</f>
        <v>Wednesday</v>
      </c>
      <c r="S1646">
        <f>MONTH(tblTransactions[[#This Row],[Date]])</f>
        <v>12</v>
      </c>
      <c r="T1646" t="str">
        <f>VLOOKUP(E1646, Products!$A:$B,2,0)</f>
        <v>Monitors Tec-4</v>
      </c>
      <c r="U1646" t="str">
        <f>VLOOKUP(E1646,Products!$A:$C,3,0)</f>
        <v>Technology</v>
      </c>
      <c r="V1646" t="str">
        <f>VLOOKUP(E1646,Products!$A:$D,4,0)</f>
        <v>Monitors</v>
      </c>
      <c r="W1646" t="str">
        <f>VLOOKUP(D1646,Customers!$A:$C,3,0)</f>
        <v>B2C</v>
      </c>
      <c r="X1646" t="str">
        <f>VLOOKUP(C1646,Sales_Representatives!$A:$B,2,0)</f>
        <v>Emily Hernandez</v>
      </c>
    </row>
    <row r="1647" spans="1:24" x14ac:dyDescent="0.3">
      <c r="A1647" t="s">
        <v>2390</v>
      </c>
      <c r="B1647" t="s">
        <v>2388</v>
      </c>
      <c r="C1647" t="s">
        <v>70</v>
      </c>
      <c r="D1647" t="s">
        <v>2208</v>
      </c>
      <c r="E1647" t="s">
        <v>324</v>
      </c>
      <c r="F1647">
        <v>17</v>
      </c>
      <c r="G1647">
        <v>245.76</v>
      </c>
      <c r="H1647">
        <v>0.19</v>
      </c>
      <c r="I1647" s="4">
        <v>3384.12</v>
      </c>
      <c r="J1647" t="s">
        <v>16</v>
      </c>
      <c r="K1647" t="s">
        <v>17</v>
      </c>
      <c r="L1647" s="4">
        <f>VLOOKUP(tblTransactions[[#This Row],[Product_ID]],tblProducts[],5,FALSE)</f>
        <v>161.94</v>
      </c>
      <c r="M1647" s="4">
        <f>tblTransactions[[#This Row],[Total_Amount]]-(tblTransactions[[#This Row],[Cost_Prices]]*tblTransactions[[#This Row],[Quantity]]*(1-tblTransactions[[#This Row],[Discount]]))</f>
        <v>1154.2061999999996</v>
      </c>
      <c r="N1647" s="3">
        <f>tblTransactions[[#This Row],[Profit]]/tblTransactions[[#This Row],[Total_Amount]]</f>
        <v>0.34106538775220729</v>
      </c>
      <c r="O1647" t="str">
        <f>TEXT(tblTransactions[[#This Row],[Date]], "MMM-YYYY")</f>
        <v>Dec-2023</v>
      </c>
      <c r="P1647" t="str">
        <f>"Q"&amp;ROUNDUP(MONTH(tblTransactions[[#This Row],[Date]])/3,0)&amp;"-"&amp;YEAR(tblTransactions[[#This Row],[Date]])</f>
        <v>Q4-2023</v>
      </c>
      <c r="Q1647">
        <f>YEAR(tblTransactions[[#This Row],[Date]])</f>
        <v>2023</v>
      </c>
      <c r="R1647" t="str">
        <f>TEXT(tblTransactions[[#This Row],[Date]],"DDDD")</f>
        <v>Wednesday</v>
      </c>
      <c r="S1647">
        <f>MONTH(tblTransactions[[#This Row],[Date]])</f>
        <v>12</v>
      </c>
      <c r="T1647" t="str">
        <f>VLOOKUP(E1647, Products!$A:$B,2,0)</f>
        <v>Storage Fur-1</v>
      </c>
      <c r="U1647" t="str">
        <f>VLOOKUP(E1647,Products!$A:$C,3,0)</f>
        <v>Furniture</v>
      </c>
      <c r="V1647" t="str">
        <f>VLOOKUP(E1647,Products!$A:$D,4,0)</f>
        <v>Storage</v>
      </c>
      <c r="W1647" t="str">
        <f>VLOOKUP(D1647,Customers!$A:$C,3,0)</f>
        <v>B2B</v>
      </c>
      <c r="X1647" t="str">
        <f>VLOOKUP(C1647,Sales_Representatives!$A:$B,2,0)</f>
        <v>Linda Smith</v>
      </c>
    </row>
    <row r="1648" spans="1:24" x14ac:dyDescent="0.3">
      <c r="A1648" t="s">
        <v>2391</v>
      </c>
      <c r="B1648" t="s">
        <v>2388</v>
      </c>
      <c r="C1648" t="s">
        <v>82</v>
      </c>
      <c r="D1648" t="s">
        <v>1902</v>
      </c>
      <c r="E1648" t="s">
        <v>113</v>
      </c>
      <c r="F1648">
        <v>6</v>
      </c>
      <c r="G1648">
        <v>930.41</v>
      </c>
      <c r="H1648">
        <v>0.11</v>
      </c>
      <c r="I1648" s="4">
        <v>4968.3900000000003</v>
      </c>
      <c r="J1648" t="s">
        <v>34</v>
      </c>
      <c r="K1648" t="s">
        <v>22</v>
      </c>
      <c r="L1648" s="4">
        <f>VLOOKUP(tblTransactions[[#This Row],[Product_ID]],tblProducts[],5,FALSE)</f>
        <v>595.51</v>
      </c>
      <c r="M1648" s="4">
        <f>tblTransactions[[#This Row],[Total_Amount]]-(tblTransactions[[#This Row],[Cost_Prices]]*tblTransactions[[#This Row],[Quantity]]*(1-tblTransactions[[#This Row],[Discount]]))</f>
        <v>1788.3666000000003</v>
      </c>
      <c r="N1648" s="3">
        <f>tblTransactions[[#This Row],[Profit]]/tblTransactions[[#This Row],[Total_Amount]]</f>
        <v>0.35994891705361298</v>
      </c>
      <c r="O1648" t="str">
        <f>TEXT(tblTransactions[[#This Row],[Date]], "MMM-YYYY")</f>
        <v>Dec-2023</v>
      </c>
      <c r="P1648" t="str">
        <f>"Q"&amp;ROUNDUP(MONTH(tblTransactions[[#This Row],[Date]])/3,0)&amp;"-"&amp;YEAR(tblTransactions[[#This Row],[Date]])</f>
        <v>Q4-2023</v>
      </c>
      <c r="Q1648">
        <f>YEAR(tblTransactions[[#This Row],[Date]])</f>
        <v>2023</v>
      </c>
      <c r="R1648" t="str">
        <f>TEXT(tblTransactions[[#This Row],[Date]],"DDDD")</f>
        <v>Wednesday</v>
      </c>
      <c r="S1648">
        <f>MONTH(tblTransactions[[#This Row],[Date]])</f>
        <v>12</v>
      </c>
      <c r="T1648" t="str">
        <f>VLOOKUP(E1648, Products!$A:$B,2,0)</f>
        <v>Phones Ele-1</v>
      </c>
      <c r="U1648" t="str">
        <f>VLOOKUP(E1648,Products!$A:$C,3,0)</f>
        <v>Electronics</v>
      </c>
      <c r="V1648" t="str">
        <f>VLOOKUP(E1648,Products!$A:$D,4,0)</f>
        <v>Phones</v>
      </c>
      <c r="W1648" t="str">
        <f>VLOOKUP(D1648,Customers!$A:$C,3,0)</f>
        <v>B2B</v>
      </c>
      <c r="X1648" t="str">
        <f>VLOOKUP(C1648,Sales_Representatives!$A:$B,2,0)</f>
        <v>John Brown</v>
      </c>
    </row>
    <row r="1649" spans="1:24" x14ac:dyDescent="0.3">
      <c r="A1649" t="s">
        <v>2392</v>
      </c>
      <c r="B1649" t="s">
        <v>2388</v>
      </c>
      <c r="C1649" t="s">
        <v>70</v>
      </c>
      <c r="D1649" t="s">
        <v>1691</v>
      </c>
      <c r="E1649" t="s">
        <v>310</v>
      </c>
      <c r="F1649">
        <v>5</v>
      </c>
      <c r="G1649">
        <v>274.13</v>
      </c>
      <c r="H1649">
        <v>0.05</v>
      </c>
      <c r="I1649" s="4">
        <v>1302.1199999999999</v>
      </c>
      <c r="J1649" t="s">
        <v>16</v>
      </c>
      <c r="K1649" t="s">
        <v>22</v>
      </c>
      <c r="L1649" s="4">
        <f>VLOOKUP(tblTransactions[[#This Row],[Product_ID]],tblProducts[],5,FALSE)</f>
        <v>134.41999999999999</v>
      </c>
      <c r="M1649" s="4">
        <f>tblTransactions[[#This Row],[Total_Amount]]-(tblTransactions[[#This Row],[Cost_Prices]]*tblTransactions[[#This Row],[Quantity]]*(1-tblTransactions[[#This Row],[Discount]]))</f>
        <v>663.625</v>
      </c>
      <c r="N1649" s="3">
        <f>tblTransactions[[#This Row],[Profit]]/tblTransactions[[#This Row],[Total_Amount]]</f>
        <v>0.50964964826590486</v>
      </c>
      <c r="O1649" t="str">
        <f>TEXT(tblTransactions[[#This Row],[Date]], "MMM-YYYY")</f>
        <v>Dec-2023</v>
      </c>
      <c r="P1649" t="str">
        <f>"Q"&amp;ROUNDUP(MONTH(tblTransactions[[#This Row],[Date]])/3,0)&amp;"-"&amp;YEAR(tblTransactions[[#This Row],[Date]])</f>
        <v>Q4-2023</v>
      </c>
      <c r="Q1649">
        <f>YEAR(tblTransactions[[#This Row],[Date]])</f>
        <v>2023</v>
      </c>
      <c r="R1649" t="str">
        <f>TEXT(tblTransactions[[#This Row],[Date]],"DDDD")</f>
        <v>Wednesday</v>
      </c>
      <c r="S1649">
        <f>MONTH(tblTransactions[[#This Row],[Date]])</f>
        <v>12</v>
      </c>
      <c r="T1649" t="str">
        <f>VLOOKUP(E1649, Products!$A:$B,2,0)</f>
        <v>Adapters Acc-4</v>
      </c>
      <c r="U1649" t="str">
        <f>VLOOKUP(E1649,Products!$A:$C,3,0)</f>
        <v>Accessories</v>
      </c>
      <c r="V1649" t="str">
        <f>VLOOKUP(E1649,Products!$A:$D,4,0)</f>
        <v>Adapters</v>
      </c>
      <c r="W1649" t="str">
        <f>VLOOKUP(D1649,Customers!$A:$C,3,0)</f>
        <v>Small Business</v>
      </c>
      <c r="X1649" t="str">
        <f>VLOOKUP(C1649,Sales_Representatives!$A:$B,2,0)</f>
        <v>Linda Smith</v>
      </c>
    </row>
    <row r="1650" spans="1:24" x14ac:dyDescent="0.3">
      <c r="A1650" t="s">
        <v>2393</v>
      </c>
      <c r="B1650" t="s">
        <v>2388</v>
      </c>
      <c r="C1650" t="s">
        <v>127</v>
      </c>
      <c r="D1650" t="s">
        <v>1942</v>
      </c>
      <c r="E1650" t="s">
        <v>129</v>
      </c>
      <c r="F1650">
        <v>11</v>
      </c>
      <c r="G1650">
        <v>1283.71</v>
      </c>
      <c r="H1650">
        <v>0.2</v>
      </c>
      <c r="I1650" s="4">
        <v>11296.65</v>
      </c>
      <c r="J1650" t="s">
        <v>109</v>
      </c>
      <c r="K1650" t="s">
        <v>17</v>
      </c>
      <c r="L1650" s="4">
        <f>VLOOKUP(tblTransactions[[#This Row],[Product_ID]],tblProducts[],5,FALSE)</f>
        <v>970.14</v>
      </c>
      <c r="M1650" s="4">
        <f>tblTransactions[[#This Row],[Total_Amount]]-(tblTransactions[[#This Row],[Cost_Prices]]*tblTransactions[[#This Row],[Quantity]]*(1-tblTransactions[[#This Row],[Discount]]))</f>
        <v>2759.4179999999997</v>
      </c>
      <c r="N1650" s="3">
        <f>tblTransactions[[#This Row],[Profit]]/tblTransactions[[#This Row],[Total_Amount]]</f>
        <v>0.24426869912761745</v>
      </c>
      <c r="O1650" t="str">
        <f>TEXT(tblTransactions[[#This Row],[Date]], "MMM-YYYY")</f>
        <v>Dec-2023</v>
      </c>
      <c r="P1650" t="str">
        <f>"Q"&amp;ROUNDUP(MONTH(tblTransactions[[#This Row],[Date]])/3,0)&amp;"-"&amp;YEAR(tblTransactions[[#This Row],[Date]])</f>
        <v>Q4-2023</v>
      </c>
      <c r="Q1650">
        <f>YEAR(tblTransactions[[#This Row],[Date]])</f>
        <v>2023</v>
      </c>
      <c r="R1650" t="str">
        <f>TEXT(tblTransactions[[#This Row],[Date]],"DDDD")</f>
        <v>Wednesday</v>
      </c>
      <c r="S1650">
        <f>MONTH(tblTransactions[[#This Row],[Date]])</f>
        <v>12</v>
      </c>
      <c r="T1650" t="str">
        <f>VLOOKUP(E1650, Products!$A:$B,2,0)</f>
        <v>Cameras Ele-3</v>
      </c>
      <c r="U1650" t="str">
        <f>VLOOKUP(E1650,Products!$A:$C,3,0)</f>
        <v>Electronics</v>
      </c>
      <c r="V1650" t="str">
        <f>VLOOKUP(E1650,Products!$A:$D,4,0)</f>
        <v>Cameras</v>
      </c>
      <c r="W1650" t="str">
        <f>VLOOKUP(D1650,Customers!$A:$C,3,0)</f>
        <v>B2B</v>
      </c>
      <c r="X1650" t="str">
        <f>VLOOKUP(C1650,Sales_Representatives!$A:$B,2,0)</f>
        <v>Emily Hernandez</v>
      </c>
    </row>
    <row r="1651" spans="1:24" x14ac:dyDescent="0.3">
      <c r="A1651" t="s">
        <v>2394</v>
      </c>
      <c r="B1651" t="s">
        <v>2388</v>
      </c>
      <c r="C1651" t="s">
        <v>31</v>
      </c>
      <c r="D1651" t="s">
        <v>1699</v>
      </c>
      <c r="E1651" t="s">
        <v>243</v>
      </c>
      <c r="F1651">
        <v>16</v>
      </c>
      <c r="G1651">
        <v>384.18</v>
      </c>
      <c r="H1651">
        <v>0.11</v>
      </c>
      <c r="I1651" s="4">
        <v>5470.72</v>
      </c>
      <c r="J1651" t="s">
        <v>34</v>
      </c>
      <c r="K1651" t="s">
        <v>22</v>
      </c>
      <c r="L1651" s="4">
        <f>VLOOKUP(tblTransactions[[#This Row],[Product_ID]],tblProducts[],5,FALSE)</f>
        <v>266.92</v>
      </c>
      <c r="M1651" s="4">
        <f>tblTransactions[[#This Row],[Total_Amount]]-(tblTransactions[[#This Row],[Cost_Prices]]*tblTransactions[[#This Row],[Quantity]]*(1-tblTransactions[[#This Row],[Discount]]))</f>
        <v>1669.7791999999999</v>
      </c>
      <c r="N1651" s="3">
        <f>tblTransactions[[#This Row],[Profit]]/tblTransactions[[#This Row],[Total_Amount]]</f>
        <v>0.30522110435189514</v>
      </c>
      <c r="O1651" t="str">
        <f>TEXT(tblTransactions[[#This Row],[Date]], "MMM-YYYY")</f>
        <v>Dec-2023</v>
      </c>
      <c r="P1651" t="str">
        <f>"Q"&amp;ROUNDUP(MONTH(tblTransactions[[#This Row],[Date]])/3,0)&amp;"-"&amp;YEAR(tblTransactions[[#This Row],[Date]])</f>
        <v>Q4-2023</v>
      </c>
      <c r="Q1651">
        <f>YEAR(tblTransactions[[#This Row],[Date]])</f>
        <v>2023</v>
      </c>
      <c r="R1651" t="str">
        <f>TEXT(tblTransactions[[#This Row],[Date]],"DDDD")</f>
        <v>Wednesday</v>
      </c>
      <c r="S1651">
        <f>MONTH(tblTransactions[[#This Row],[Date]])</f>
        <v>12</v>
      </c>
      <c r="T1651" t="str">
        <f>VLOOKUP(E1651, Products!$A:$B,2,0)</f>
        <v>Routers Tec-3</v>
      </c>
      <c r="U1651" t="str">
        <f>VLOOKUP(E1651,Products!$A:$C,3,0)</f>
        <v>Technology</v>
      </c>
      <c r="V1651" t="str">
        <f>VLOOKUP(E1651,Products!$A:$D,4,0)</f>
        <v>Routers</v>
      </c>
      <c r="W1651" t="str">
        <f>VLOOKUP(D1651,Customers!$A:$C,3,0)</f>
        <v>B2B</v>
      </c>
      <c r="X1651" t="str">
        <f>VLOOKUP(C1651,Sales_Representatives!$A:$B,2,0)</f>
        <v>Thomas Martinez</v>
      </c>
    </row>
    <row r="1652" spans="1:24" x14ac:dyDescent="0.3">
      <c r="A1652" t="s">
        <v>2395</v>
      </c>
      <c r="B1652" t="s">
        <v>2388</v>
      </c>
      <c r="C1652" t="s">
        <v>59</v>
      </c>
      <c r="D1652" t="s">
        <v>1776</v>
      </c>
      <c r="E1652" t="s">
        <v>20</v>
      </c>
      <c r="F1652">
        <v>6</v>
      </c>
      <c r="G1652">
        <v>1219.49</v>
      </c>
      <c r="H1652">
        <v>0.13</v>
      </c>
      <c r="I1652" s="4">
        <v>6365.74</v>
      </c>
      <c r="J1652" t="s">
        <v>21</v>
      </c>
      <c r="K1652" t="s">
        <v>22</v>
      </c>
      <c r="L1652" s="4">
        <f>VLOOKUP(tblTransactions[[#This Row],[Product_ID]],tblProducts[],5,FALSE)</f>
        <v>686.9</v>
      </c>
      <c r="M1652" s="4">
        <f>tblTransactions[[#This Row],[Total_Amount]]-(tblTransactions[[#This Row],[Cost_Prices]]*tblTransactions[[#This Row],[Quantity]]*(1-tblTransactions[[#This Row],[Discount]]))</f>
        <v>2780.1220000000003</v>
      </c>
      <c r="N1652" s="3">
        <f>tblTransactions[[#This Row],[Profit]]/tblTransactions[[#This Row],[Total_Amount]]</f>
        <v>0.43673194318335345</v>
      </c>
      <c r="O1652" t="str">
        <f>TEXT(tblTransactions[[#This Row],[Date]], "MMM-YYYY")</f>
        <v>Dec-2023</v>
      </c>
      <c r="P1652" t="str">
        <f>"Q"&amp;ROUNDUP(MONTH(tblTransactions[[#This Row],[Date]])/3,0)&amp;"-"&amp;YEAR(tblTransactions[[#This Row],[Date]])</f>
        <v>Q4-2023</v>
      </c>
      <c r="Q1652">
        <f>YEAR(tblTransactions[[#This Row],[Date]])</f>
        <v>2023</v>
      </c>
      <c r="R1652" t="str">
        <f>TEXT(tblTransactions[[#This Row],[Date]],"DDDD")</f>
        <v>Wednesday</v>
      </c>
      <c r="S1652">
        <f>MONTH(tblTransactions[[#This Row],[Date]])</f>
        <v>12</v>
      </c>
      <c r="T1652" t="str">
        <f>VLOOKUP(E1652, Products!$A:$B,2,0)</f>
        <v>Laptops Ele-1</v>
      </c>
      <c r="U1652" t="str">
        <f>VLOOKUP(E1652,Products!$A:$C,3,0)</f>
        <v>Electronics</v>
      </c>
      <c r="V1652" t="str">
        <f>VLOOKUP(E1652,Products!$A:$D,4,0)</f>
        <v>Laptops</v>
      </c>
      <c r="W1652" t="str">
        <f>VLOOKUP(D1652,Customers!$A:$C,3,0)</f>
        <v>B2C</v>
      </c>
      <c r="X1652" t="str">
        <f>VLOOKUP(C1652,Sales_Representatives!$A:$B,2,0)</f>
        <v>Sarah Brown</v>
      </c>
    </row>
    <row r="1653" spans="1:24" x14ac:dyDescent="0.3">
      <c r="A1653" t="s">
        <v>2396</v>
      </c>
      <c r="B1653" t="s">
        <v>2388</v>
      </c>
      <c r="C1653" t="s">
        <v>19</v>
      </c>
      <c r="D1653" t="s">
        <v>1513</v>
      </c>
      <c r="E1653" t="s">
        <v>87</v>
      </c>
      <c r="F1653">
        <v>1</v>
      </c>
      <c r="G1653">
        <v>1047.8900000000001</v>
      </c>
      <c r="H1653">
        <v>0.02</v>
      </c>
      <c r="I1653" s="4">
        <v>1026.93</v>
      </c>
      <c r="J1653" t="s">
        <v>21</v>
      </c>
      <c r="K1653" t="s">
        <v>48</v>
      </c>
      <c r="L1653" s="4">
        <f>VLOOKUP(tblTransactions[[#This Row],[Product_ID]],tblProducts[],5,FALSE)</f>
        <v>742.63</v>
      </c>
      <c r="M1653" s="4">
        <f>tblTransactions[[#This Row],[Total_Amount]]-(tblTransactions[[#This Row],[Cost_Prices]]*tblTransactions[[#This Row],[Quantity]]*(1-tblTransactions[[#This Row],[Discount]]))</f>
        <v>299.15260000000012</v>
      </c>
      <c r="N1653" s="3">
        <f>tblTransactions[[#This Row],[Profit]]/tblTransactions[[#This Row],[Total_Amount]]</f>
        <v>0.29130768406804758</v>
      </c>
      <c r="O1653" t="str">
        <f>TEXT(tblTransactions[[#This Row],[Date]], "MMM-YYYY")</f>
        <v>Dec-2023</v>
      </c>
      <c r="P1653" t="str">
        <f>"Q"&amp;ROUNDUP(MONTH(tblTransactions[[#This Row],[Date]])/3,0)&amp;"-"&amp;YEAR(tblTransactions[[#This Row],[Date]])</f>
        <v>Q4-2023</v>
      </c>
      <c r="Q1653">
        <f>YEAR(tblTransactions[[#This Row],[Date]])</f>
        <v>2023</v>
      </c>
      <c r="R1653" t="str">
        <f>TEXT(tblTransactions[[#This Row],[Date]],"DDDD")</f>
        <v>Wednesday</v>
      </c>
      <c r="S1653">
        <f>MONTH(tblTransactions[[#This Row],[Date]])</f>
        <v>12</v>
      </c>
      <c r="T1653" t="str">
        <f>VLOOKUP(E1653, Products!$A:$B,2,0)</f>
        <v>Monitors Tec-2</v>
      </c>
      <c r="U1653" t="str">
        <f>VLOOKUP(E1653,Products!$A:$C,3,0)</f>
        <v>Technology</v>
      </c>
      <c r="V1653" t="str">
        <f>VLOOKUP(E1653,Products!$A:$D,4,0)</f>
        <v>Monitors</v>
      </c>
      <c r="W1653" t="str">
        <f>VLOOKUP(D1653,Customers!$A:$C,3,0)</f>
        <v>B2C</v>
      </c>
      <c r="X1653" t="str">
        <f>VLOOKUP(C1653,Sales_Representatives!$A:$B,2,0)</f>
        <v>Robert Jones</v>
      </c>
    </row>
    <row r="1654" spans="1:24" x14ac:dyDescent="0.3">
      <c r="A1654" t="s">
        <v>2397</v>
      </c>
      <c r="B1654" t="s">
        <v>2388</v>
      </c>
      <c r="C1654" t="s">
        <v>63</v>
      </c>
      <c r="D1654" t="s">
        <v>1578</v>
      </c>
      <c r="E1654" t="s">
        <v>178</v>
      </c>
      <c r="F1654">
        <v>8</v>
      </c>
      <c r="G1654">
        <v>1623.35</v>
      </c>
      <c r="H1654">
        <v>0.13</v>
      </c>
      <c r="I1654" s="4">
        <v>11298.52</v>
      </c>
      <c r="J1654" t="s">
        <v>21</v>
      </c>
      <c r="K1654" t="s">
        <v>17</v>
      </c>
      <c r="L1654" s="4">
        <f>VLOOKUP(tblTransactions[[#This Row],[Product_ID]],tblProducts[],5,FALSE)</f>
        <v>981.45</v>
      </c>
      <c r="M1654" s="4">
        <f>tblTransactions[[#This Row],[Total_Amount]]-(tblTransactions[[#This Row],[Cost_Prices]]*tblTransactions[[#This Row],[Quantity]]*(1-tblTransactions[[#This Row],[Discount]]))</f>
        <v>4467.6279999999997</v>
      </c>
      <c r="N1654" s="3">
        <f>tblTransactions[[#This Row],[Profit]]/tblTransactions[[#This Row],[Total_Amount]]</f>
        <v>0.39541709887666698</v>
      </c>
      <c r="O1654" t="str">
        <f>TEXT(tblTransactions[[#This Row],[Date]], "MMM-YYYY")</f>
        <v>Dec-2023</v>
      </c>
      <c r="P1654" t="str">
        <f>"Q"&amp;ROUNDUP(MONTH(tblTransactions[[#This Row],[Date]])/3,0)&amp;"-"&amp;YEAR(tblTransactions[[#This Row],[Date]])</f>
        <v>Q4-2023</v>
      </c>
      <c r="Q1654">
        <f>YEAR(tblTransactions[[#This Row],[Date]])</f>
        <v>2023</v>
      </c>
      <c r="R1654" t="str">
        <f>TEXT(tblTransactions[[#This Row],[Date]],"DDDD")</f>
        <v>Wednesday</v>
      </c>
      <c r="S1654">
        <f>MONTH(tblTransactions[[#This Row],[Date]])</f>
        <v>12</v>
      </c>
      <c r="T1654" t="str">
        <f>VLOOKUP(E1654, Products!$A:$B,2,0)</f>
        <v>Tablets Ele-1</v>
      </c>
      <c r="U1654" t="str">
        <f>VLOOKUP(E1654,Products!$A:$C,3,0)</f>
        <v>Electronics</v>
      </c>
      <c r="V1654" t="str">
        <f>VLOOKUP(E1654,Products!$A:$D,4,0)</f>
        <v>Tablets</v>
      </c>
      <c r="W1654" t="str">
        <f>VLOOKUP(D1654,Customers!$A:$C,3,0)</f>
        <v>Enterprise</v>
      </c>
      <c r="X1654" t="str">
        <f>VLOOKUP(C1654,Sales_Representatives!$A:$B,2,0)</f>
        <v>Richard Wilson</v>
      </c>
    </row>
    <row r="1655" spans="1:24" x14ac:dyDescent="0.3">
      <c r="A1655" t="s">
        <v>2398</v>
      </c>
      <c r="B1655" t="s">
        <v>2399</v>
      </c>
      <c r="C1655" t="s">
        <v>75</v>
      </c>
      <c r="D1655" t="s">
        <v>1439</v>
      </c>
      <c r="E1655" t="s">
        <v>316</v>
      </c>
      <c r="F1655">
        <v>4</v>
      </c>
      <c r="G1655">
        <v>91.42</v>
      </c>
      <c r="H1655">
        <v>0.06</v>
      </c>
      <c r="I1655" s="4">
        <v>343.74</v>
      </c>
      <c r="J1655" t="s">
        <v>44</v>
      </c>
      <c r="K1655" t="s">
        <v>17</v>
      </c>
      <c r="L1655" s="4">
        <f>VLOOKUP(tblTransactions[[#This Row],[Product_ID]],tblProducts[],5,FALSE)</f>
        <v>50.09</v>
      </c>
      <c r="M1655" s="4">
        <f>tblTransactions[[#This Row],[Total_Amount]]-(tblTransactions[[#This Row],[Cost_Prices]]*tblTransactions[[#This Row],[Quantity]]*(1-tblTransactions[[#This Row],[Discount]]))</f>
        <v>155.4016</v>
      </c>
      <c r="N1655" s="3">
        <f>tblTransactions[[#This Row],[Profit]]/tblTransactions[[#This Row],[Total_Amount]]</f>
        <v>0.45209053354279399</v>
      </c>
      <c r="O1655" t="str">
        <f>TEXT(tblTransactions[[#This Row],[Date]], "MMM-YYYY")</f>
        <v>Dec-2023</v>
      </c>
      <c r="P1655" t="str">
        <f>"Q"&amp;ROUNDUP(MONTH(tblTransactions[[#This Row],[Date]])/3,0)&amp;"-"&amp;YEAR(tblTransactions[[#This Row],[Date]])</f>
        <v>Q4-2023</v>
      </c>
      <c r="Q1655">
        <f>YEAR(tblTransactions[[#This Row],[Date]])</f>
        <v>2023</v>
      </c>
      <c r="R1655" t="str">
        <f>TEXT(tblTransactions[[#This Row],[Date]],"DDDD")</f>
        <v>Thursday</v>
      </c>
      <c r="S1655">
        <f>MONTH(tblTransactions[[#This Row],[Date]])</f>
        <v>12</v>
      </c>
      <c r="T1655" t="str">
        <f>VLOOKUP(E1655, Products!$A:$B,2,0)</f>
        <v>Binders Off-3</v>
      </c>
      <c r="U1655" t="str">
        <f>VLOOKUP(E1655,Products!$A:$C,3,0)</f>
        <v>Office Supplies</v>
      </c>
      <c r="V1655" t="str">
        <f>VLOOKUP(E1655,Products!$A:$D,4,0)</f>
        <v>Binders</v>
      </c>
      <c r="W1655" t="str">
        <f>VLOOKUP(D1655,Customers!$A:$C,3,0)</f>
        <v>B2C</v>
      </c>
      <c r="X1655" t="str">
        <f>VLOOKUP(C1655,Sales_Representatives!$A:$B,2,0)</f>
        <v>Jessica Anderson</v>
      </c>
    </row>
    <row r="1656" spans="1:24" x14ac:dyDescent="0.3">
      <c r="A1656" t="s">
        <v>2400</v>
      </c>
      <c r="B1656" t="s">
        <v>2399</v>
      </c>
      <c r="C1656" t="s">
        <v>27</v>
      </c>
      <c r="D1656" t="s">
        <v>2070</v>
      </c>
      <c r="E1656" t="s">
        <v>339</v>
      </c>
      <c r="F1656">
        <v>7</v>
      </c>
      <c r="G1656">
        <v>1100.8800000000001</v>
      </c>
      <c r="H1656">
        <v>0.12</v>
      </c>
      <c r="I1656" s="4">
        <v>6781.42</v>
      </c>
      <c r="J1656" t="s">
        <v>16</v>
      </c>
      <c r="K1656" t="s">
        <v>39</v>
      </c>
      <c r="L1656" s="4">
        <f>VLOOKUP(tblTransactions[[#This Row],[Product_ID]],tblProducts[],5,FALSE)</f>
        <v>761.53</v>
      </c>
      <c r="M1656" s="4">
        <f>tblTransactions[[#This Row],[Total_Amount]]-(tblTransactions[[#This Row],[Cost_Prices]]*tblTransactions[[#This Row],[Quantity]]*(1-tblTransactions[[#This Row],[Discount]]))</f>
        <v>2090.3951999999999</v>
      </c>
      <c r="N1656" s="3">
        <f>tblTransactions[[#This Row],[Profit]]/tblTransactions[[#This Row],[Total_Amount]]</f>
        <v>0.30825331567724751</v>
      </c>
      <c r="O1656" t="str">
        <f>TEXT(tblTransactions[[#This Row],[Date]], "MMM-YYYY")</f>
        <v>Dec-2023</v>
      </c>
      <c r="P1656" t="str">
        <f>"Q"&amp;ROUNDUP(MONTH(tblTransactions[[#This Row],[Date]])/3,0)&amp;"-"&amp;YEAR(tblTransactions[[#This Row],[Date]])</f>
        <v>Q4-2023</v>
      </c>
      <c r="Q1656">
        <f>YEAR(tblTransactions[[#This Row],[Date]])</f>
        <v>2023</v>
      </c>
      <c r="R1656" t="str">
        <f>TEXT(tblTransactions[[#This Row],[Date]],"DDDD")</f>
        <v>Thursday</v>
      </c>
      <c r="S1656">
        <f>MONTH(tblTransactions[[#This Row],[Date]])</f>
        <v>12</v>
      </c>
      <c r="T1656" t="str">
        <f>VLOOKUP(E1656, Products!$A:$B,2,0)</f>
        <v>Phones Ele-2</v>
      </c>
      <c r="U1656" t="str">
        <f>VLOOKUP(E1656,Products!$A:$C,3,0)</f>
        <v>Electronics</v>
      </c>
      <c r="V1656" t="str">
        <f>VLOOKUP(E1656,Products!$A:$D,4,0)</f>
        <v>Phones</v>
      </c>
      <c r="W1656" t="str">
        <f>VLOOKUP(D1656,Customers!$A:$C,3,0)</f>
        <v>Small Business</v>
      </c>
      <c r="X1656" t="str">
        <f>VLOOKUP(C1656,Sales_Representatives!$A:$B,2,0)</f>
        <v>Thomas Lopez</v>
      </c>
    </row>
    <row r="1657" spans="1:24" x14ac:dyDescent="0.3">
      <c r="A1657" t="s">
        <v>2401</v>
      </c>
      <c r="B1657" t="s">
        <v>2399</v>
      </c>
      <c r="C1657" t="s">
        <v>56</v>
      </c>
      <c r="D1657" t="s">
        <v>1649</v>
      </c>
      <c r="E1657" t="s">
        <v>91</v>
      </c>
      <c r="F1657">
        <v>23</v>
      </c>
      <c r="G1657">
        <v>286.62</v>
      </c>
      <c r="H1657">
        <v>0.24</v>
      </c>
      <c r="I1657" s="4">
        <v>5010.12</v>
      </c>
      <c r="J1657" t="s">
        <v>34</v>
      </c>
      <c r="K1657" t="s">
        <v>48</v>
      </c>
      <c r="L1657" s="4">
        <f>VLOOKUP(tblTransactions[[#This Row],[Product_ID]],tblProducts[],5,FALSE)</f>
        <v>145.54</v>
      </c>
      <c r="M1657" s="4">
        <f>tblTransactions[[#This Row],[Total_Amount]]-(tblTransactions[[#This Row],[Cost_Prices]]*tblTransactions[[#This Row],[Quantity]]*(1-tblTransactions[[#This Row],[Discount]]))</f>
        <v>2466.0808000000002</v>
      </c>
      <c r="N1657" s="3">
        <f>tblTransactions[[#This Row],[Profit]]/tblTransactions[[#This Row],[Total_Amount]]</f>
        <v>0.49221990690841744</v>
      </c>
      <c r="O1657" t="str">
        <f>TEXT(tblTransactions[[#This Row],[Date]], "MMM-YYYY")</f>
        <v>Dec-2023</v>
      </c>
      <c r="P1657" t="str">
        <f>"Q"&amp;ROUNDUP(MONTH(tblTransactions[[#This Row],[Date]])/3,0)&amp;"-"&amp;YEAR(tblTransactions[[#This Row],[Date]])</f>
        <v>Q4-2023</v>
      </c>
      <c r="Q1657">
        <f>YEAR(tblTransactions[[#This Row],[Date]])</f>
        <v>2023</v>
      </c>
      <c r="R1657" t="str">
        <f>TEXT(tblTransactions[[#This Row],[Date]],"DDDD")</f>
        <v>Thursday</v>
      </c>
      <c r="S1657">
        <f>MONTH(tblTransactions[[#This Row],[Date]])</f>
        <v>12</v>
      </c>
      <c r="T1657" t="str">
        <f>VLOOKUP(E1657, Products!$A:$B,2,0)</f>
        <v>Chairs Fur-1</v>
      </c>
      <c r="U1657" t="str">
        <f>VLOOKUP(E1657,Products!$A:$C,3,0)</f>
        <v>Furniture</v>
      </c>
      <c r="V1657" t="str">
        <f>VLOOKUP(E1657,Products!$A:$D,4,0)</f>
        <v>Chairs</v>
      </c>
      <c r="W1657" t="str">
        <f>VLOOKUP(D1657,Customers!$A:$C,3,0)</f>
        <v>Enterprise</v>
      </c>
      <c r="X1657" t="str">
        <f>VLOOKUP(C1657,Sales_Representatives!$A:$B,2,0)</f>
        <v>Thomas Hernandez</v>
      </c>
    </row>
    <row r="1658" spans="1:24" x14ac:dyDescent="0.3">
      <c r="A1658" t="s">
        <v>2402</v>
      </c>
      <c r="B1658" t="s">
        <v>2403</v>
      </c>
      <c r="C1658" t="s">
        <v>13</v>
      </c>
      <c r="D1658" t="s">
        <v>1445</v>
      </c>
      <c r="E1658" t="s">
        <v>61</v>
      </c>
      <c r="F1658">
        <v>1</v>
      </c>
      <c r="G1658">
        <v>92.07</v>
      </c>
      <c r="H1658">
        <v>0.1</v>
      </c>
      <c r="I1658" s="4">
        <v>82.86</v>
      </c>
      <c r="J1658" t="s">
        <v>16</v>
      </c>
      <c r="K1658" t="s">
        <v>39</v>
      </c>
      <c r="L1658" s="4">
        <f>VLOOKUP(tblTransactions[[#This Row],[Product_ID]],tblProducts[],5,FALSE)</f>
        <v>56.98</v>
      </c>
      <c r="M1658" s="4">
        <f>tblTransactions[[#This Row],[Total_Amount]]-(tblTransactions[[#This Row],[Cost_Prices]]*tblTransactions[[#This Row],[Quantity]]*(1-tblTransactions[[#This Row],[Discount]]))</f>
        <v>31.578000000000003</v>
      </c>
      <c r="N1658" s="3">
        <f>tblTransactions[[#This Row],[Profit]]/tblTransactions[[#This Row],[Total_Amount]]</f>
        <v>0.38110065170166552</v>
      </c>
      <c r="O1658" t="str">
        <f>TEXT(tblTransactions[[#This Row],[Date]], "MMM-YYYY")</f>
        <v>Dec-2023</v>
      </c>
      <c r="P1658" t="str">
        <f>"Q"&amp;ROUNDUP(MONTH(tblTransactions[[#This Row],[Date]])/3,0)&amp;"-"&amp;YEAR(tblTransactions[[#This Row],[Date]])</f>
        <v>Q4-2023</v>
      </c>
      <c r="Q1658">
        <f>YEAR(tblTransactions[[#This Row],[Date]])</f>
        <v>2023</v>
      </c>
      <c r="R1658" t="str">
        <f>TEXT(tblTransactions[[#This Row],[Date]],"DDDD")</f>
        <v>Friday</v>
      </c>
      <c r="S1658">
        <f>MONTH(tblTransactions[[#This Row],[Date]])</f>
        <v>12</v>
      </c>
      <c r="T1658" t="str">
        <f>VLOOKUP(E1658, Products!$A:$B,2,0)</f>
        <v>Pens Off-4</v>
      </c>
      <c r="U1658" t="str">
        <f>VLOOKUP(E1658,Products!$A:$C,3,0)</f>
        <v>Office Supplies</v>
      </c>
      <c r="V1658" t="str">
        <f>VLOOKUP(E1658,Products!$A:$D,4,0)</f>
        <v>Pens</v>
      </c>
      <c r="W1658" t="str">
        <f>VLOOKUP(D1658,Customers!$A:$C,3,0)</f>
        <v>B2C</v>
      </c>
      <c r="X1658" t="str">
        <f>VLOOKUP(C1658,Sales_Representatives!$A:$B,2,0)</f>
        <v>Jennifer Rodriguez</v>
      </c>
    </row>
    <row r="1659" spans="1:24" x14ac:dyDescent="0.3">
      <c r="A1659" t="s">
        <v>2404</v>
      </c>
      <c r="B1659" t="s">
        <v>2403</v>
      </c>
      <c r="C1659" t="s">
        <v>19</v>
      </c>
      <c r="D1659" t="s">
        <v>2405</v>
      </c>
      <c r="E1659" t="s">
        <v>168</v>
      </c>
      <c r="F1659">
        <v>7</v>
      </c>
      <c r="G1659">
        <v>101.59</v>
      </c>
      <c r="H1659">
        <v>0.11</v>
      </c>
      <c r="I1659" s="4">
        <v>632.91</v>
      </c>
      <c r="J1659" t="s">
        <v>21</v>
      </c>
      <c r="K1659" t="s">
        <v>48</v>
      </c>
      <c r="L1659" s="4">
        <f>VLOOKUP(tblTransactions[[#This Row],[Product_ID]],tblProducts[],5,FALSE)</f>
        <v>50.58</v>
      </c>
      <c r="M1659" s="4">
        <f>tblTransactions[[#This Row],[Total_Amount]]-(tblTransactions[[#This Row],[Cost_Prices]]*tblTransactions[[#This Row],[Quantity]]*(1-tblTransactions[[#This Row],[Discount]]))</f>
        <v>317.79659999999996</v>
      </c>
      <c r="N1659" s="3">
        <f>tblTransactions[[#This Row],[Profit]]/tblTransactions[[#This Row],[Total_Amount]]</f>
        <v>0.50211973266341181</v>
      </c>
      <c r="O1659" t="str">
        <f>TEXT(tblTransactions[[#This Row],[Date]], "MMM-YYYY")</f>
        <v>Dec-2023</v>
      </c>
      <c r="P1659" t="str">
        <f>"Q"&amp;ROUNDUP(MONTH(tblTransactions[[#This Row],[Date]])/3,0)&amp;"-"&amp;YEAR(tblTransactions[[#This Row],[Date]])</f>
        <v>Q4-2023</v>
      </c>
      <c r="Q1659">
        <f>YEAR(tblTransactions[[#This Row],[Date]])</f>
        <v>2023</v>
      </c>
      <c r="R1659" t="str">
        <f>TEXT(tblTransactions[[#This Row],[Date]],"DDDD")</f>
        <v>Friday</v>
      </c>
      <c r="S1659">
        <f>MONTH(tblTransactions[[#This Row],[Date]])</f>
        <v>12</v>
      </c>
      <c r="T1659" t="str">
        <f>VLOOKUP(E1659, Products!$A:$B,2,0)</f>
        <v>Cases Acc-4</v>
      </c>
      <c r="U1659" t="str">
        <f>VLOOKUP(E1659,Products!$A:$C,3,0)</f>
        <v>Accessories</v>
      </c>
      <c r="V1659" t="str">
        <f>VLOOKUP(E1659,Products!$A:$D,4,0)</f>
        <v>Cases</v>
      </c>
      <c r="W1659" t="str">
        <f>VLOOKUP(D1659,Customers!$A:$C,3,0)</f>
        <v>B2C</v>
      </c>
      <c r="X1659" t="str">
        <f>VLOOKUP(C1659,Sales_Representatives!$A:$B,2,0)</f>
        <v>Robert Jones</v>
      </c>
    </row>
    <row r="1660" spans="1:24" x14ac:dyDescent="0.3">
      <c r="A1660" t="s">
        <v>2406</v>
      </c>
      <c r="B1660" t="s">
        <v>2403</v>
      </c>
      <c r="C1660" t="s">
        <v>13</v>
      </c>
      <c r="D1660" t="s">
        <v>2407</v>
      </c>
      <c r="E1660" t="s">
        <v>310</v>
      </c>
      <c r="F1660">
        <v>7</v>
      </c>
      <c r="G1660">
        <v>274.13</v>
      </c>
      <c r="H1660">
        <v>0.09</v>
      </c>
      <c r="I1660" s="4">
        <v>1746.21</v>
      </c>
      <c r="J1660" t="s">
        <v>16</v>
      </c>
      <c r="K1660" t="s">
        <v>39</v>
      </c>
      <c r="L1660" s="4">
        <f>VLOOKUP(tblTransactions[[#This Row],[Product_ID]],tblProducts[],5,FALSE)</f>
        <v>134.41999999999999</v>
      </c>
      <c r="M1660" s="4">
        <f>tblTransactions[[#This Row],[Total_Amount]]-(tblTransactions[[#This Row],[Cost_Prices]]*tblTransactions[[#This Row],[Quantity]]*(1-tblTransactions[[#This Row],[Discount]]))</f>
        <v>889.95460000000003</v>
      </c>
      <c r="N1660" s="3">
        <f>tblTransactions[[#This Row],[Profit]]/tblTransactions[[#This Row],[Total_Amount]]</f>
        <v>0.50964924035482562</v>
      </c>
      <c r="O1660" t="str">
        <f>TEXT(tblTransactions[[#This Row],[Date]], "MMM-YYYY")</f>
        <v>Dec-2023</v>
      </c>
      <c r="P1660" t="str">
        <f>"Q"&amp;ROUNDUP(MONTH(tblTransactions[[#This Row],[Date]])/3,0)&amp;"-"&amp;YEAR(tblTransactions[[#This Row],[Date]])</f>
        <v>Q4-2023</v>
      </c>
      <c r="Q1660">
        <f>YEAR(tblTransactions[[#This Row],[Date]])</f>
        <v>2023</v>
      </c>
      <c r="R1660" t="str">
        <f>TEXT(tblTransactions[[#This Row],[Date]],"DDDD")</f>
        <v>Friday</v>
      </c>
      <c r="S1660">
        <f>MONTH(tblTransactions[[#This Row],[Date]])</f>
        <v>12</v>
      </c>
      <c r="T1660" t="str">
        <f>VLOOKUP(E1660, Products!$A:$B,2,0)</f>
        <v>Adapters Acc-4</v>
      </c>
      <c r="U1660" t="str">
        <f>VLOOKUP(E1660,Products!$A:$C,3,0)</f>
        <v>Accessories</v>
      </c>
      <c r="V1660" t="str">
        <f>VLOOKUP(E1660,Products!$A:$D,4,0)</f>
        <v>Adapters</v>
      </c>
      <c r="W1660" t="str">
        <f>VLOOKUP(D1660,Customers!$A:$C,3,0)</f>
        <v>B2C</v>
      </c>
      <c r="X1660" t="str">
        <f>VLOOKUP(C1660,Sales_Representatives!$A:$B,2,0)</f>
        <v>Jennifer Rodriguez</v>
      </c>
    </row>
    <row r="1661" spans="1:24" x14ac:dyDescent="0.3">
      <c r="A1661" t="s">
        <v>2408</v>
      </c>
      <c r="B1661" t="s">
        <v>2403</v>
      </c>
      <c r="C1661" t="s">
        <v>27</v>
      </c>
      <c r="D1661" t="s">
        <v>101</v>
      </c>
      <c r="E1661" t="s">
        <v>61</v>
      </c>
      <c r="F1661">
        <v>2</v>
      </c>
      <c r="G1661">
        <v>92.07</v>
      </c>
      <c r="H1661">
        <v>7.0000000000000007E-2</v>
      </c>
      <c r="I1661" s="4">
        <v>171.25</v>
      </c>
      <c r="J1661" t="s">
        <v>16</v>
      </c>
      <c r="K1661" t="s">
        <v>48</v>
      </c>
      <c r="L1661" s="4">
        <f>VLOOKUP(tblTransactions[[#This Row],[Product_ID]],tblProducts[],5,FALSE)</f>
        <v>56.98</v>
      </c>
      <c r="M1661" s="4">
        <f>tblTransactions[[#This Row],[Total_Amount]]-(tblTransactions[[#This Row],[Cost_Prices]]*tblTransactions[[#This Row],[Quantity]]*(1-tblTransactions[[#This Row],[Discount]]))</f>
        <v>65.267200000000017</v>
      </c>
      <c r="N1661" s="3">
        <f>tblTransactions[[#This Row],[Profit]]/tblTransactions[[#This Row],[Total_Amount]]</f>
        <v>0.38112233576642346</v>
      </c>
      <c r="O1661" t="str">
        <f>TEXT(tblTransactions[[#This Row],[Date]], "MMM-YYYY")</f>
        <v>Dec-2023</v>
      </c>
      <c r="P1661" t="str">
        <f>"Q"&amp;ROUNDUP(MONTH(tblTransactions[[#This Row],[Date]])/3,0)&amp;"-"&amp;YEAR(tblTransactions[[#This Row],[Date]])</f>
        <v>Q4-2023</v>
      </c>
      <c r="Q1661">
        <f>YEAR(tblTransactions[[#This Row],[Date]])</f>
        <v>2023</v>
      </c>
      <c r="R1661" t="str">
        <f>TEXT(tblTransactions[[#This Row],[Date]],"DDDD")</f>
        <v>Friday</v>
      </c>
      <c r="S1661">
        <f>MONTH(tblTransactions[[#This Row],[Date]])</f>
        <v>12</v>
      </c>
      <c r="T1661" t="str">
        <f>VLOOKUP(E1661, Products!$A:$B,2,0)</f>
        <v>Pens Off-4</v>
      </c>
      <c r="U1661" t="str">
        <f>VLOOKUP(E1661,Products!$A:$C,3,0)</f>
        <v>Office Supplies</v>
      </c>
      <c r="V1661" t="str">
        <f>VLOOKUP(E1661,Products!$A:$D,4,0)</f>
        <v>Pens</v>
      </c>
      <c r="W1661" t="str">
        <f>VLOOKUP(D1661,Customers!$A:$C,3,0)</f>
        <v>B2C</v>
      </c>
      <c r="X1661" t="str">
        <f>VLOOKUP(C1661,Sales_Representatives!$A:$B,2,0)</f>
        <v>Thomas Lopez</v>
      </c>
    </row>
    <row r="1662" spans="1:24" x14ac:dyDescent="0.3">
      <c r="A1662" t="s">
        <v>2409</v>
      </c>
      <c r="B1662" t="s">
        <v>2403</v>
      </c>
      <c r="C1662" t="s">
        <v>59</v>
      </c>
      <c r="D1662" t="s">
        <v>1600</v>
      </c>
      <c r="E1662" t="s">
        <v>264</v>
      </c>
      <c r="F1662">
        <v>3</v>
      </c>
      <c r="G1662">
        <v>607.29999999999995</v>
      </c>
      <c r="H1662">
        <v>0.05</v>
      </c>
      <c r="I1662" s="4">
        <v>1730.8</v>
      </c>
      <c r="J1662" t="s">
        <v>21</v>
      </c>
      <c r="K1662" t="s">
        <v>35</v>
      </c>
      <c r="L1662" s="4">
        <f>VLOOKUP(tblTransactions[[#This Row],[Product_ID]],tblProducts[],5,FALSE)</f>
        <v>436.37</v>
      </c>
      <c r="M1662" s="4">
        <f>tblTransactions[[#This Row],[Total_Amount]]-(tblTransactions[[#This Row],[Cost_Prices]]*tblTransactions[[#This Row],[Quantity]]*(1-tblTransactions[[#This Row],[Discount]]))</f>
        <v>487.14549999999986</v>
      </c>
      <c r="N1662" s="3">
        <f>tblTransactions[[#This Row],[Profit]]/tblTransactions[[#This Row],[Total_Amount]]</f>
        <v>0.28145684076727517</v>
      </c>
      <c r="O1662" t="str">
        <f>TEXT(tblTransactions[[#This Row],[Date]], "MMM-YYYY")</f>
        <v>Dec-2023</v>
      </c>
      <c r="P1662" t="str">
        <f>"Q"&amp;ROUNDUP(MONTH(tblTransactions[[#This Row],[Date]])/3,0)&amp;"-"&amp;YEAR(tblTransactions[[#This Row],[Date]])</f>
        <v>Q4-2023</v>
      </c>
      <c r="Q1662">
        <f>YEAR(tblTransactions[[#This Row],[Date]])</f>
        <v>2023</v>
      </c>
      <c r="R1662" t="str">
        <f>TEXT(tblTransactions[[#This Row],[Date]],"DDDD")</f>
        <v>Friday</v>
      </c>
      <c r="S1662">
        <f>MONTH(tblTransactions[[#This Row],[Date]])</f>
        <v>12</v>
      </c>
      <c r="T1662" t="str">
        <f>VLOOKUP(E1662, Products!$A:$B,2,0)</f>
        <v>Tablets Ele-4</v>
      </c>
      <c r="U1662" t="str">
        <f>VLOOKUP(E1662,Products!$A:$C,3,0)</f>
        <v>Electronics</v>
      </c>
      <c r="V1662" t="str">
        <f>VLOOKUP(E1662,Products!$A:$D,4,0)</f>
        <v>Tablets</v>
      </c>
      <c r="W1662" t="str">
        <f>VLOOKUP(D1662,Customers!$A:$C,3,0)</f>
        <v>B2C</v>
      </c>
      <c r="X1662" t="str">
        <f>VLOOKUP(C1662,Sales_Representatives!$A:$B,2,0)</f>
        <v>Sarah Brown</v>
      </c>
    </row>
    <row r="1663" spans="1:24" x14ac:dyDescent="0.3">
      <c r="A1663" t="s">
        <v>2410</v>
      </c>
      <c r="B1663" t="s">
        <v>2403</v>
      </c>
      <c r="C1663" t="s">
        <v>63</v>
      </c>
      <c r="D1663" t="s">
        <v>2411</v>
      </c>
      <c r="E1663" t="s">
        <v>176</v>
      </c>
      <c r="F1663">
        <v>15</v>
      </c>
      <c r="G1663">
        <v>1462.68</v>
      </c>
      <c r="H1663">
        <v>0.17</v>
      </c>
      <c r="I1663" s="4">
        <v>18210.37</v>
      </c>
      <c r="J1663" t="s">
        <v>21</v>
      </c>
      <c r="K1663" t="s">
        <v>22</v>
      </c>
      <c r="L1663" s="4">
        <f>VLOOKUP(tblTransactions[[#This Row],[Product_ID]],tblProducts[],5,FALSE)</f>
        <v>775.94</v>
      </c>
      <c r="M1663" s="4">
        <f>tblTransactions[[#This Row],[Total_Amount]]-(tblTransactions[[#This Row],[Cost_Prices]]*tblTransactions[[#This Row],[Quantity]]*(1-tblTransactions[[#This Row],[Discount]]))</f>
        <v>8549.9169999999995</v>
      </c>
      <c r="N1663" s="3">
        <f>tblTransactions[[#This Row],[Profit]]/tblTransactions[[#This Row],[Total_Amount]]</f>
        <v>0.46950814288781612</v>
      </c>
      <c r="O1663" t="str">
        <f>TEXT(tblTransactions[[#This Row],[Date]], "MMM-YYYY")</f>
        <v>Dec-2023</v>
      </c>
      <c r="P1663" t="str">
        <f>"Q"&amp;ROUNDUP(MONTH(tblTransactions[[#This Row],[Date]])/3,0)&amp;"-"&amp;YEAR(tblTransactions[[#This Row],[Date]])</f>
        <v>Q4-2023</v>
      </c>
      <c r="Q1663">
        <f>YEAR(tblTransactions[[#This Row],[Date]])</f>
        <v>2023</v>
      </c>
      <c r="R1663" t="str">
        <f>TEXT(tblTransactions[[#This Row],[Date]],"DDDD")</f>
        <v>Friday</v>
      </c>
      <c r="S1663">
        <f>MONTH(tblTransactions[[#This Row],[Date]])</f>
        <v>12</v>
      </c>
      <c r="T1663" t="str">
        <f>VLOOKUP(E1663, Products!$A:$B,2,0)</f>
        <v>Chairs Fur-2</v>
      </c>
      <c r="U1663" t="str">
        <f>VLOOKUP(E1663,Products!$A:$C,3,0)</f>
        <v>Furniture</v>
      </c>
      <c r="V1663" t="str">
        <f>VLOOKUP(E1663,Products!$A:$D,4,0)</f>
        <v>Chairs</v>
      </c>
      <c r="W1663" t="str">
        <f>VLOOKUP(D1663,Customers!$A:$C,3,0)</f>
        <v>B2B</v>
      </c>
      <c r="X1663" t="str">
        <f>VLOOKUP(C1663,Sales_Representatives!$A:$B,2,0)</f>
        <v>Richard Wilson</v>
      </c>
    </row>
    <row r="1664" spans="1:24" x14ac:dyDescent="0.3">
      <c r="A1664" t="s">
        <v>2412</v>
      </c>
      <c r="B1664" t="s">
        <v>2403</v>
      </c>
      <c r="C1664" t="s">
        <v>19</v>
      </c>
      <c r="D1664" t="s">
        <v>67</v>
      </c>
      <c r="E1664" t="s">
        <v>481</v>
      </c>
      <c r="F1664">
        <v>6</v>
      </c>
      <c r="G1664">
        <v>263.58999999999997</v>
      </c>
      <c r="H1664">
        <v>0.1</v>
      </c>
      <c r="I1664" s="4">
        <v>1423.39</v>
      </c>
      <c r="J1664" t="s">
        <v>21</v>
      </c>
      <c r="K1664" t="s">
        <v>35</v>
      </c>
      <c r="L1664" s="4">
        <f>VLOOKUP(tblTransactions[[#This Row],[Product_ID]],tblProducts[],5,FALSE)</f>
        <v>133.65</v>
      </c>
      <c r="M1664" s="4">
        <f>tblTransactions[[#This Row],[Total_Amount]]-(tblTransactions[[#This Row],[Cost_Prices]]*tblTransactions[[#This Row],[Quantity]]*(1-tblTransactions[[#This Row],[Discount]]))</f>
        <v>701.68</v>
      </c>
      <c r="N1664" s="3">
        <f>tblTransactions[[#This Row],[Profit]]/tblTransactions[[#This Row],[Total_Amount]]</f>
        <v>0.49296398035675387</v>
      </c>
      <c r="O1664" t="str">
        <f>TEXT(tblTransactions[[#This Row],[Date]], "MMM-YYYY")</f>
        <v>Dec-2023</v>
      </c>
      <c r="P1664" t="str">
        <f>"Q"&amp;ROUNDUP(MONTH(tblTransactions[[#This Row],[Date]])/3,0)&amp;"-"&amp;YEAR(tblTransactions[[#This Row],[Date]])</f>
        <v>Q4-2023</v>
      </c>
      <c r="Q1664">
        <f>YEAR(tblTransactions[[#This Row],[Date]])</f>
        <v>2023</v>
      </c>
      <c r="R1664" t="str">
        <f>TEXT(tblTransactions[[#This Row],[Date]],"DDDD")</f>
        <v>Friday</v>
      </c>
      <c r="S1664">
        <f>MONTH(tblTransactions[[#This Row],[Date]])</f>
        <v>12</v>
      </c>
      <c r="T1664" t="str">
        <f>VLOOKUP(E1664, Products!$A:$B,2,0)</f>
        <v>Folders Off-1</v>
      </c>
      <c r="U1664" t="str">
        <f>VLOOKUP(E1664,Products!$A:$C,3,0)</f>
        <v>Office Supplies</v>
      </c>
      <c r="V1664" t="str">
        <f>VLOOKUP(E1664,Products!$A:$D,4,0)</f>
        <v>Folders</v>
      </c>
      <c r="W1664" t="str">
        <f>VLOOKUP(D1664,Customers!$A:$C,3,0)</f>
        <v>B2C</v>
      </c>
      <c r="X1664" t="str">
        <f>VLOOKUP(C1664,Sales_Representatives!$A:$B,2,0)</f>
        <v>Robert Jones</v>
      </c>
    </row>
    <row r="1665" spans="1:24" x14ac:dyDescent="0.3">
      <c r="A1665" t="s">
        <v>2413</v>
      </c>
      <c r="B1665" t="s">
        <v>2403</v>
      </c>
      <c r="C1665" t="s">
        <v>31</v>
      </c>
      <c r="D1665" t="s">
        <v>1691</v>
      </c>
      <c r="E1665" t="s">
        <v>217</v>
      </c>
      <c r="F1665">
        <v>6</v>
      </c>
      <c r="G1665">
        <v>145.51</v>
      </c>
      <c r="H1665">
        <v>0.12</v>
      </c>
      <c r="I1665" s="4">
        <v>768.29</v>
      </c>
      <c r="J1665" t="s">
        <v>34</v>
      </c>
      <c r="K1665" t="s">
        <v>17</v>
      </c>
      <c r="L1665" s="4">
        <f>VLOOKUP(tblTransactions[[#This Row],[Product_ID]],tblProducts[],5,FALSE)</f>
        <v>64.510000000000005</v>
      </c>
      <c r="M1665" s="4">
        <f>tblTransactions[[#This Row],[Total_Amount]]-(tblTransactions[[#This Row],[Cost_Prices]]*tblTransactions[[#This Row],[Quantity]]*(1-tblTransactions[[#This Row],[Discount]]))</f>
        <v>427.67719999999991</v>
      </c>
      <c r="N1665" s="3">
        <f>tblTransactions[[#This Row],[Profit]]/tblTransactions[[#This Row],[Total_Amount]]</f>
        <v>0.55666115659451498</v>
      </c>
      <c r="O1665" t="str">
        <f>TEXT(tblTransactions[[#This Row],[Date]], "MMM-YYYY")</f>
        <v>Dec-2023</v>
      </c>
      <c r="P1665" t="str">
        <f>"Q"&amp;ROUNDUP(MONTH(tblTransactions[[#This Row],[Date]])/3,0)&amp;"-"&amp;YEAR(tblTransactions[[#This Row],[Date]])</f>
        <v>Q4-2023</v>
      </c>
      <c r="Q1665">
        <f>YEAR(tblTransactions[[#This Row],[Date]])</f>
        <v>2023</v>
      </c>
      <c r="R1665" t="str">
        <f>TEXT(tblTransactions[[#This Row],[Date]],"DDDD")</f>
        <v>Friday</v>
      </c>
      <c r="S1665">
        <f>MONTH(tblTransactions[[#This Row],[Date]])</f>
        <v>12</v>
      </c>
      <c r="T1665" t="str">
        <f>VLOOKUP(E1665, Products!$A:$B,2,0)</f>
        <v>Cables Acc-2</v>
      </c>
      <c r="U1665" t="str">
        <f>VLOOKUP(E1665,Products!$A:$C,3,0)</f>
        <v>Accessories</v>
      </c>
      <c r="V1665" t="str">
        <f>VLOOKUP(E1665,Products!$A:$D,4,0)</f>
        <v>Cables</v>
      </c>
      <c r="W1665" t="str">
        <f>VLOOKUP(D1665,Customers!$A:$C,3,0)</f>
        <v>Small Business</v>
      </c>
      <c r="X1665" t="str">
        <f>VLOOKUP(C1665,Sales_Representatives!$A:$B,2,0)</f>
        <v>Thomas Martinez</v>
      </c>
    </row>
    <row r="1666" spans="1:24" x14ac:dyDescent="0.3">
      <c r="A1666" t="s">
        <v>2414</v>
      </c>
      <c r="B1666" t="s">
        <v>2403</v>
      </c>
      <c r="C1666" t="s">
        <v>82</v>
      </c>
      <c r="D1666" t="s">
        <v>2232</v>
      </c>
      <c r="E1666" t="s">
        <v>184</v>
      </c>
      <c r="F1666">
        <v>2</v>
      </c>
      <c r="G1666">
        <v>276.35000000000002</v>
      </c>
      <c r="H1666">
        <v>0</v>
      </c>
      <c r="I1666" s="4">
        <v>552.70000000000005</v>
      </c>
      <c r="J1666" t="s">
        <v>34</v>
      </c>
      <c r="K1666" t="s">
        <v>17</v>
      </c>
      <c r="L1666" s="4">
        <f>VLOOKUP(tblTransactions[[#This Row],[Product_ID]],tblProducts[],5,FALSE)</f>
        <v>130.15</v>
      </c>
      <c r="M1666" s="4">
        <f>tblTransactions[[#This Row],[Total_Amount]]-(tblTransactions[[#This Row],[Cost_Prices]]*tblTransactions[[#This Row],[Quantity]]*(1-tblTransactions[[#This Row],[Discount]]))</f>
        <v>292.40000000000003</v>
      </c>
      <c r="N1666" s="3">
        <f>tblTransactions[[#This Row],[Profit]]/tblTransactions[[#This Row],[Total_Amount]]</f>
        <v>0.52903926180568117</v>
      </c>
      <c r="O1666" t="str">
        <f>TEXT(tblTransactions[[#This Row],[Date]], "MMM-YYYY")</f>
        <v>Dec-2023</v>
      </c>
      <c r="P1666" t="str">
        <f>"Q"&amp;ROUNDUP(MONTH(tblTransactions[[#This Row],[Date]])/3,0)&amp;"-"&amp;YEAR(tblTransactions[[#This Row],[Date]])</f>
        <v>Q4-2023</v>
      </c>
      <c r="Q1666">
        <f>YEAR(tblTransactions[[#This Row],[Date]])</f>
        <v>2023</v>
      </c>
      <c r="R1666" t="str">
        <f>TEXT(tblTransactions[[#This Row],[Date]],"DDDD")</f>
        <v>Friday</v>
      </c>
      <c r="S1666">
        <f>MONTH(tblTransactions[[#This Row],[Date]])</f>
        <v>12</v>
      </c>
      <c r="T1666" t="str">
        <f>VLOOKUP(E1666, Products!$A:$B,2,0)</f>
        <v>Binders Off-1</v>
      </c>
      <c r="U1666" t="str">
        <f>VLOOKUP(E1666,Products!$A:$C,3,0)</f>
        <v>Office Supplies</v>
      </c>
      <c r="V1666" t="str">
        <f>VLOOKUP(E1666,Products!$A:$D,4,0)</f>
        <v>Binders</v>
      </c>
      <c r="W1666" t="str">
        <f>VLOOKUP(D1666,Customers!$A:$C,3,0)</f>
        <v>B2C</v>
      </c>
      <c r="X1666" t="str">
        <f>VLOOKUP(C1666,Sales_Representatives!$A:$B,2,0)</f>
        <v>John Brown</v>
      </c>
    </row>
    <row r="1667" spans="1:24" x14ac:dyDescent="0.3">
      <c r="A1667" t="s">
        <v>2415</v>
      </c>
      <c r="B1667" t="s">
        <v>2403</v>
      </c>
      <c r="C1667" t="s">
        <v>75</v>
      </c>
      <c r="D1667" t="s">
        <v>1666</v>
      </c>
      <c r="E1667" t="s">
        <v>152</v>
      </c>
      <c r="F1667">
        <v>24</v>
      </c>
      <c r="G1667">
        <v>859.93</v>
      </c>
      <c r="H1667">
        <v>0.23</v>
      </c>
      <c r="I1667" s="4">
        <v>15891.51</v>
      </c>
      <c r="J1667" t="s">
        <v>44</v>
      </c>
      <c r="K1667" t="s">
        <v>17</v>
      </c>
      <c r="L1667" s="4">
        <f>VLOOKUP(tblTransactions[[#This Row],[Product_ID]],tblProducts[],5,FALSE)</f>
        <v>579.79</v>
      </c>
      <c r="M1667" s="4">
        <f>tblTransactions[[#This Row],[Total_Amount]]-(tblTransactions[[#This Row],[Cost_Prices]]*tblTransactions[[#This Row],[Quantity]]*(1-tblTransactions[[#This Row],[Discount]]))</f>
        <v>5176.9908000000014</v>
      </c>
      <c r="N1667" s="3">
        <f>tblTransactions[[#This Row],[Profit]]/tblTransactions[[#This Row],[Total_Amount]]</f>
        <v>0.32577085500370961</v>
      </c>
      <c r="O1667" t="str">
        <f>TEXT(tblTransactions[[#This Row],[Date]], "MMM-YYYY")</f>
        <v>Dec-2023</v>
      </c>
      <c r="P1667" t="str">
        <f>"Q"&amp;ROUNDUP(MONTH(tblTransactions[[#This Row],[Date]])/3,0)&amp;"-"&amp;YEAR(tblTransactions[[#This Row],[Date]])</f>
        <v>Q4-2023</v>
      </c>
      <c r="Q1667">
        <f>YEAR(tblTransactions[[#This Row],[Date]])</f>
        <v>2023</v>
      </c>
      <c r="R1667" t="str">
        <f>TEXT(tblTransactions[[#This Row],[Date]],"DDDD")</f>
        <v>Friday</v>
      </c>
      <c r="S1667">
        <f>MONTH(tblTransactions[[#This Row],[Date]])</f>
        <v>12</v>
      </c>
      <c r="T1667" t="str">
        <f>VLOOKUP(E1667, Products!$A:$B,2,0)</f>
        <v>Phones Ele-4</v>
      </c>
      <c r="U1667" t="str">
        <f>VLOOKUP(E1667,Products!$A:$C,3,0)</f>
        <v>Electronics</v>
      </c>
      <c r="V1667" t="str">
        <f>VLOOKUP(E1667,Products!$A:$D,4,0)</f>
        <v>Phones</v>
      </c>
      <c r="W1667" t="str">
        <f>VLOOKUP(D1667,Customers!$A:$C,3,0)</f>
        <v>Enterprise</v>
      </c>
      <c r="X1667" t="str">
        <f>VLOOKUP(C1667,Sales_Representatives!$A:$B,2,0)</f>
        <v>Jessica Anderson</v>
      </c>
    </row>
    <row r="1668" spans="1:24" x14ac:dyDescent="0.3">
      <c r="A1668" t="s">
        <v>2416</v>
      </c>
      <c r="B1668" t="s">
        <v>2403</v>
      </c>
      <c r="C1668" t="s">
        <v>63</v>
      </c>
      <c r="D1668" t="s">
        <v>2417</v>
      </c>
      <c r="E1668" t="s">
        <v>204</v>
      </c>
      <c r="F1668">
        <v>2</v>
      </c>
      <c r="G1668">
        <v>715.62</v>
      </c>
      <c r="H1668">
        <v>0.05</v>
      </c>
      <c r="I1668" s="4">
        <v>1359.68</v>
      </c>
      <c r="J1668" t="s">
        <v>21</v>
      </c>
      <c r="K1668" t="s">
        <v>35</v>
      </c>
      <c r="L1668" s="4">
        <f>VLOOKUP(tblTransactions[[#This Row],[Product_ID]],tblProducts[],5,FALSE)</f>
        <v>459.58</v>
      </c>
      <c r="M1668" s="4">
        <f>tblTransactions[[#This Row],[Total_Amount]]-(tblTransactions[[#This Row],[Cost_Prices]]*tblTransactions[[#This Row],[Quantity]]*(1-tblTransactions[[#This Row],[Discount]]))</f>
        <v>486.47800000000018</v>
      </c>
      <c r="N1668" s="3">
        <f>tblTransactions[[#This Row],[Profit]]/tblTransactions[[#This Row],[Total_Amount]]</f>
        <v>0.3577885973170159</v>
      </c>
      <c r="O1668" t="str">
        <f>TEXT(tblTransactions[[#This Row],[Date]], "MMM-YYYY")</f>
        <v>Dec-2023</v>
      </c>
      <c r="P1668" t="str">
        <f>"Q"&amp;ROUNDUP(MONTH(tblTransactions[[#This Row],[Date]])/3,0)&amp;"-"&amp;YEAR(tblTransactions[[#This Row],[Date]])</f>
        <v>Q4-2023</v>
      </c>
      <c r="Q1668">
        <f>YEAR(tblTransactions[[#This Row],[Date]])</f>
        <v>2023</v>
      </c>
      <c r="R1668" t="str">
        <f>TEXT(tblTransactions[[#This Row],[Date]],"DDDD")</f>
        <v>Friday</v>
      </c>
      <c r="S1668">
        <f>MONTH(tblTransactions[[#This Row],[Date]])</f>
        <v>12</v>
      </c>
      <c r="T1668" t="str">
        <f>VLOOKUP(E1668, Products!$A:$B,2,0)</f>
        <v>Cameras Ele-2</v>
      </c>
      <c r="U1668" t="str">
        <f>VLOOKUP(E1668,Products!$A:$C,3,0)</f>
        <v>Electronics</v>
      </c>
      <c r="V1668" t="str">
        <f>VLOOKUP(E1668,Products!$A:$D,4,0)</f>
        <v>Cameras</v>
      </c>
      <c r="W1668" t="str">
        <f>VLOOKUP(D1668,Customers!$A:$C,3,0)</f>
        <v>B2B</v>
      </c>
      <c r="X1668" t="str">
        <f>VLOOKUP(C1668,Sales_Representatives!$A:$B,2,0)</f>
        <v>Richard Wilson</v>
      </c>
    </row>
    <row r="1669" spans="1:24" x14ac:dyDescent="0.3">
      <c r="A1669" t="s">
        <v>2418</v>
      </c>
      <c r="B1669" t="s">
        <v>2419</v>
      </c>
      <c r="C1669" t="s">
        <v>13</v>
      </c>
      <c r="D1669" t="s">
        <v>2088</v>
      </c>
      <c r="E1669" t="s">
        <v>91</v>
      </c>
      <c r="F1669">
        <v>27</v>
      </c>
      <c r="G1669">
        <v>286.62</v>
      </c>
      <c r="H1669">
        <v>0.25</v>
      </c>
      <c r="I1669" s="4">
        <v>5804.06</v>
      </c>
      <c r="J1669" t="s">
        <v>16</v>
      </c>
      <c r="K1669" t="s">
        <v>22</v>
      </c>
      <c r="L1669" s="4">
        <f>VLOOKUP(tblTransactions[[#This Row],[Product_ID]],tblProducts[],5,FALSE)</f>
        <v>145.54</v>
      </c>
      <c r="M1669" s="4">
        <f>tblTransactions[[#This Row],[Total_Amount]]-(tblTransactions[[#This Row],[Cost_Prices]]*tblTransactions[[#This Row],[Quantity]]*(1-tblTransactions[[#This Row],[Discount]]))</f>
        <v>2856.8750000000005</v>
      </c>
      <c r="N1669" s="3">
        <f>tblTransactions[[#This Row],[Profit]]/tblTransactions[[#This Row],[Total_Amount]]</f>
        <v>0.49222010110164272</v>
      </c>
      <c r="O1669" t="str">
        <f>TEXT(tblTransactions[[#This Row],[Date]], "MMM-YYYY")</f>
        <v>Dec-2023</v>
      </c>
      <c r="P1669" t="str">
        <f>"Q"&amp;ROUNDUP(MONTH(tblTransactions[[#This Row],[Date]])/3,0)&amp;"-"&amp;YEAR(tblTransactions[[#This Row],[Date]])</f>
        <v>Q4-2023</v>
      </c>
      <c r="Q1669">
        <f>YEAR(tblTransactions[[#This Row],[Date]])</f>
        <v>2023</v>
      </c>
      <c r="R1669" t="str">
        <f>TEXT(tblTransactions[[#This Row],[Date]],"DDDD")</f>
        <v>Saturday</v>
      </c>
      <c r="S1669">
        <f>MONTH(tblTransactions[[#This Row],[Date]])</f>
        <v>12</v>
      </c>
      <c r="T1669" t="str">
        <f>VLOOKUP(E1669, Products!$A:$B,2,0)</f>
        <v>Chairs Fur-1</v>
      </c>
      <c r="U1669" t="str">
        <f>VLOOKUP(E1669,Products!$A:$C,3,0)</f>
        <v>Furniture</v>
      </c>
      <c r="V1669" t="str">
        <f>VLOOKUP(E1669,Products!$A:$D,4,0)</f>
        <v>Chairs</v>
      </c>
      <c r="W1669" t="str">
        <f>VLOOKUP(D1669,Customers!$A:$C,3,0)</f>
        <v>Enterprise</v>
      </c>
      <c r="X1669" t="str">
        <f>VLOOKUP(C1669,Sales_Representatives!$A:$B,2,0)</f>
        <v>Jennifer Rodriguez</v>
      </c>
    </row>
    <row r="1670" spans="1:24" x14ac:dyDescent="0.3">
      <c r="A1670" t="s">
        <v>2420</v>
      </c>
      <c r="B1670" t="s">
        <v>2419</v>
      </c>
      <c r="C1670" t="s">
        <v>59</v>
      </c>
      <c r="D1670" t="s">
        <v>1739</v>
      </c>
      <c r="E1670" t="s">
        <v>248</v>
      </c>
      <c r="F1670">
        <v>6</v>
      </c>
      <c r="G1670">
        <v>82.29</v>
      </c>
      <c r="H1670">
        <v>0.11</v>
      </c>
      <c r="I1670" s="4">
        <v>439.43</v>
      </c>
      <c r="J1670" t="s">
        <v>21</v>
      </c>
      <c r="K1670" t="s">
        <v>35</v>
      </c>
      <c r="L1670" s="4">
        <f>VLOOKUP(tblTransactions[[#This Row],[Product_ID]],tblProducts[],5,FALSE)</f>
        <v>51.11</v>
      </c>
      <c r="M1670" s="4">
        <f>tblTransactions[[#This Row],[Total_Amount]]-(tblTransactions[[#This Row],[Cost_Prices]]*tblTransactions[[#This Row],[Quantity]]*(1-tblTransactions[[#This Row],[Discount]]))</f>
        <v>166.50260000000003</v>
      </c>
      <c r="N1670" s="3">
        <f>tblTransactions[[#This Row],[Profit]]/tblTransactions[[#This Row],[Total_Amount]]</f>
        <v>0.37890585531256404</v>
      </c>
      <c r="O1670" t="str">
        <f>TEXT(tblTransactions[[#This Row],[Date]], "MMM-YYYY")</f>
        <v>Dec-2023</v>
      </c>
      <c r="P1670" t="str">
        <f>"Q"&amp;ROUNDUP(MONTH(tblTransactions[[#This Row],[Date]])/3,0)&amp;"-"&amp;YEAR(tblTransactions[[#This Row],[Date]])</f>
        <v>Q4-2023</v>
      </c>
      <c r="Q1670">
        <f>YEAR(tblTransactions[[#This Row],[Date]])</f>
        <v>2023</v>
      </c>
      <c r="R1670" t="str">
        <f>TEXT(tblTransactions[[#This Row],[Date]],"DDDD")</f>
        <v>Saturday</v>
      </c>
      <c r="S1670">
        <f>MONTH(tblTransactions[[#This Row],[Date]])</f>
        <v>12</v>
      </c>
      <c r="T1670" t="str">
        <f>VLOOKUP(E1670, Products!$A:$B,2,0)</f>
        <v>Keyboards Acc-2</v>
      </c>
      <c r="U1670" t="str">
        <f>VLOOKUP(E1670,Products!$A:$C,3,0)</f>
        <v>Accessories</v>
      </c>
      <c r="V1670" t="str">
        <f>VLOOKUP(E1670,Products!$A:$D,4,0)</f>
        <v>Keyboards</v>
      </c>
      <c r="W1670" t="str">
        <f>VLOOKUP(D1670,Customers!$A:$C,3,0)</f>
        <v>B2C</v>
      </c>
      <c r="X1670" t="str">
        <f>VLOOKUP(C1670,Sales_Representatives!$A:$B,2,0)</f>
        <v>Sarah Brown</v>
      </c>
    </row>
    <row r="1671" spans="1:24" x14ac:dyDescent="0.3">
      <c r="A1671" t="s">
        <v>2421</v>
      </c>
      <c r="B1671" t="s">
        <v>2419</v>
      </c>
      <c r="C1671" t="s">
        <v>41</v>
      </c>
      <c r="D1671" t="s">
        <v>1608</v>
      </c>
      <c r="E1671" t="s">
        <v>91</v>
      </c>
      <c r="F1671">
        <v>7</v>
      </c>
      <c r="G1671">
        <v>286.62</v>
      </c>
      <c r="H1671">
        <v>0.08</v>
      </c>
      <c r="I1671" s="4">
        <v>1845.83</v>
      </c>
      <c r="J1671" t="s">
        <v>44</v>
      </c>
      <c r="K1671" t="s">
        <v>39</v>
      </c>
      <c r="L1671" s="4">
        <f>VLOOKUP(tblTransactions[[#This Row],[Product_ID]],tblProducts[],5,FALSE)</f>
        <v>145.54</v>
      </c>
      <c r="M1671" s="4">
        <f>tblTransactions[[#This Row],[Total_Amount]]-(tblTransactions[[#This Row],[Cost_Prices]]*tblTransactions[[#This Row],[Quantity]]*(1-tblTransactions[[#This Row],[Discount]]))</f>
        <v>908.55239999999992</v>
      </c>
      <c r="N1671" s="3">
        <f>tblTransactions[[#This Row],[Profit]]/tblTransactions[[#This Row],[Total_Amount]]</f>
        <v>0.49221889339755015</v>
      </c>
      <c r="O1671" t="str">
        <f>TEXT(tblTransactions[[#This Row],[Date]], "MMM-YYYY")</f>
        <v>Dec-2023</v>
      </c>
      <c r="P1671" t="str">
        <f>"Q"&amp;ROUNDUP(MONTH(tblTransactions[[#This Row],[Date]])/3,0)&amp;"-"&amp;YEAR(tblTransactions[[#This Row],[Date]])</f>
        <v>Q4-2023</v>
      </c>
      <c r="Q1671">
        <f>YEAR(tblTransactions[[#This Row],[Date]])</f>
        <v>2023</v>
      </c>
      <c r="R1671" t="str">
        <f>TEXT(tblTransactions[[#This Row],[Date]],"DDDD")</f>
        <v>Saturday</v>
      </c>
      <c r="S1671">
        <f>MONTH(tblTransactions[[#This Row],[Date]])</f>
        <v>12</v>
      </c>
      <c r="T1671" t="str">
        <f>VLOOKUP(E1671, Products!$A:$B,2,0)</f>
        <v>Chairs Fur-1</v>
      </c>
      <c r="U1671" t="str">
        <f>VLOOKUP(E1671,Products!$A:$C,3,0)</f>
        <v>Furniture</v>
      </c>
      <c r="V1671" t="str">
        <f>VLOOKUP(E1671,Products!$A:$D,4,0)</f>
        <v>Chairs</v>
      </c>
      <c r="W1671" t="str">
        <f>VLOOKUP(D1671,Customers!$A:$C,3,0)</f>
        <v>B2C</v>
      </c>
      <c r="X1671" t="str">
        <f>VLOOKUP(C1671,Sales_Representatives!$A:$B,2,0)</f>
        <v>Robert Jones</v>
      </c>
    </row>
    <row r="1672" spans="1:24" x14ac:dyDescent="0.3">
      <c r="A1672" t="s">
        <v>2422</v>
      </c>
      <c r="B1672" t="s">
        <v>2419</v>
      </c>
      <c r="C1672" t="s">
        <v>27</v>
      </c>
      <c r="D1672" t="s">
        <v>1638</v>
      </c>
      <c r="E1672" t="s">
        <v>283</v>
      </c>
      <c r="F1672">
        <v>4</v>
      </c>
      <c r="G1672">
        <v>456.88</v>
      </c>
      <c r="H1672">
        <v>0.02</v>
      </c>
      <c r="I1672" s="4">
        <v>1790.97</v>
      </c>
      <c r="J1672" t="s">
        <v>16</v>
      </c>
      <c r="K1672" t="s">
        <v>48</v>
      </c>
      <c r="L1672" s="4">
        <f>VLOOKUP(tblTransactions[[#This Row],[Product_ID]],tblProducts[],5,FALSE)</f>
        <v>313.23</v>
      </c>
      <c r="M1672" s="4">
        <f>tblTransactions[[#This Row],[Total_Amount]]-(tblTransactions[[#This Row],[Cost_Prices]]*tblTransactions[[#This Row],[Quantity]]*(1-tblTransactions[[#This Row],[Discount]]))</f>
        <v>563.10840000000007</v>
      </c>
      <c r="N1672" s="3">
        <f>tblTransactions[[#This Row],[Profit]]/tblTransactions[[#This Row],[Total_Amount]]</f>
        <v>0.3144153168394781</v>
      </c>
      <c r="O1672" t="str">
        <f>TEXT(tblTransactions[[#This Row],[Date]], "MMM-YYYY")</f>
        <v>Dec-2023</v>
      </c>
      <c r="P1672" t="str">
        <f>"Q"&amp;ROUNDUP(MONTH(tblTransactions[[#This Row],[Date]])/3,0)&amp;"-"&amp;YEAR(tblTransactions[[#This Row],[Date]])</f>
        <v>Q4-2023</v>
      </c>
      <c r="Q1672">
        <f>YEAR(tblTransactions[[#This Row],[Date]])</f>
        <v>2023</v>
      </c>
      <c r="R1672" t="str">
        <f>TEXT(tblTransactions[[#This Row],[Date]],"DDDD")</f>
        <v>Saturday</v>
      </c>
      <c r="S1672">
        <f>MONTH(tblTransactions[[#This Row],[Date]])</f>
        <v>12</v>
      </c>
      <c r="T1672" t="str">
        <f>VLOOKUP(E1672, Products!$A:$B,2,0)</f>
        <v>Chairs Fur-3</v>
      </c>
      <c r="U1672" t="str">
        <f>VLOOKUP(E1672,Products!$A:$C,3,0)</f>
        <v>Furniture</v>
      </c>
      <c r="V1672" t="str">
        <f>VLOOKUP(E1672,Products!$A:$D,4,0)</f>
        <v>Chairs</v>
      </c>
      <c r="W1672" t="str">
        <f>VLOOKUP(D1672,Customers!$A:$C,3,0)</f>
        <v>B2C</v>
      </c>
      <c r="X1672" t="str">
        <f>VLOOKUP(C1672,Sales_Representatives!$A:$B,2,0)</f>
        <v>Thomas Lopez</v>
      </c>
    </row>
    <row r="1673" spans="1:24" x14ac:dyDescent="0.3">
      <c r="A1673" t="s">
        <v>2423</v>
      </c>
      <c r="B1673" t="s">
        <v>2424</v>
      </c>
      <c r="C1673" t="s">
        <v>31</v>
      </c>
      <c r="D1673" t="s">
        <v>2405</v>
      </c>
      <c r="E1673" t="s">
        <v>194</v>
      </c>
      <c r="F1673">
        <v>2</v>
      </c>
      <c r="G1673">
        <v>82.84</v>
      </c>
      <c r="H1673">
        <v>0.06</v>
      </c>
      <c r="I1673" s="4">
        <v>155.74</v>
      </c>
      <c r="J1673" t="s">
        <v>34</v>
      </c>
      <c r="K1673" t="s">
        <v>48</v>
      </c>
      <c r="L1673" s="4">
        <f>VLOOKUP(tblTransactions[[#This Row],[Product_ID]],tblProducts[],5,FALSE)</f>
        <v>52.98</v>
      </c>
      <c r="M1673" s="4">
        <f>tblTransactions[[#This Row],[Total_Amount]]-(tblTransactions[[#This Row],[Cost_Prices]]*tblTransactions[[#This Row],[Quantity]]*(1-tblTransactions[[#This Row],[Discount]]))</f>
        <v>56.13760000000002</v>
      </c>
      <c r="N1673" s="3">
        <f>tblTransactions[[#This Row],[Profit]]/tblTransactions[[#This Row],[Total_Amount]]</f>
        <v>0.36045717221009388</v>
      </c>
      <c r="O1673" t="str">
        <f>TEXT(tblTransactions[[#This Row],[Date]], "MMM-YYYY")</f>
        <v>Dec-2023</v>
      </c>
      <c r="P1673" t="str">
        <f>"Q"&amp;ROUNDUP(MONTH(tblTransactions[[#This Row],[Date]])/3,0)&amp;"-"&amp;YEAR(tblTransactions[[#This Row],[Date]])</f>
        <v>Q4-2023</v>
      </c>
      <c r="Q1673">
        <f>YEAR(tblTransactions[[#This Row],[Date]])</f>
        <v>2023</v>
      </c>
      <c r="R1673" t="str">
        <f>TEXT(tblTransactions[[#This Row],[Date]],"DDDD")</f>
        <v>Sunday</v>
      </c>
      <c r="S1673">
        <f>MONTH(tblTransactions[[#This Row],[Date]])</f>
        <v>12</v>
      </c>
      <c r="T1673" t="str">
        <f>VLOOKUP(E1673, Products!$A:$B,2,0)</f>
        <v>Binders Off-2</v>
      </c>
      <c r="U1673" t="str">
        <f>VLOOKUP(E1673,Products!$A:$C,3,0)</f>
        <v>Office Supplies</v>
      </c>
      <c r="V1673" t="str">
        <f>VLOOKUP(E1673,Products!$A:$D,4,0)</f>
        <v>Binders</v>
      </c>
      <c r="W1673" t="str">
        <f>VLOOKUP(D1673,Customers!$A:$C,3,0)</f>
        <v>B2C</v>
      </c>
      <c r="X1673" t="str">
        <f>VLOOKUP(C1673,Sales_Representatives!$A:$B,2,0)</f>
        <v>Thomas Martinez</v>
      </c>
    </row>
    <row r="1674" spans="1:24" x14ac:dyDescent="0.3">
      <c r="A1674" t="s">
        <v>2425</v>
      </c>
      <c r="B1674" t="s">
        <v>2424</v>
      </c>
      <c r="C1674" t="s">
        <v>59</v>
      </c>
      <c r="D1674" t="s">
        <v>1502</v>
      </c>
      <c r="E1674" t="s">
        <v>176</v>
      </c>
      <c r="F1674">
        <v>3</v>
      </c>
      <c r="G1674">
        <v>1462.68</v>
      </c>
      <c r="H1674">
        <v>7.0000000000000007E-2</v>
      </c>
      <c r="I1674" s="4">
        <v>4080.88</v>
      </c>
      <c r="J1674" t="s">
        <v>21</v>
      </c>
      <c r="K1674" t="s">
        <v>48</v>
      </c>
      <c r="L1674" s="4">
        <f>VLOOKUP(tblTransactions[[#This Row],[Product_ID]],tblProducts[],5,FALSE)</f>
        <v>775.94</v>
      </c>
      <c r="M1674" s="4">
        <f>tblTransactions[[#This Row],[Total_Amount]]-(tblTransactions[[#This Row],[Cost_Prices]]*tblTransactions[[#This Row],[Quantity]]*(1-tblTransactions[[#This Row],[Discount]]))</f>
        <v>1916.0074</v>
      </c>
      <c r="N1674" s="3">
        <f>tblTransactions[[#This Row],[Profit]]/tblTransactions[[#This Row],[Total_Amount]]</f>
        <v>0.46950839034718</v>
      </c>
      <c r="O1674" t="str">
        <f>TEXT(tblTransactions[[#This Row],[Date]], "MMM-YYYY")</f>
        <v>Dec-2023</v>
      </c>
      <c r="P1674" t="str">
        <f>"Q"&amp;ROUNDUP(MONTH(tblTransactions[[#This Row],[Date]])/3,0)&amp;"-"&amp;YEAR(tblTransactions[[#This Row],[Date]])</f>
        <v>Q4-2023</v>
      </c>
      <c r="Q1674">
        <f>YEAR(tblTransactions[[#This Row],[Date]])</f>
        <v>2023</v>
      </c>
      <c r="R1674" t="str">
        <f>TEXT(tblTransactions[[#This Row],[Date]],"DDDD")</f>
        <v>Sunday</v>
      </c>
      <c r="S1674">
        <f>MONTH(tblTransactions[[#This Row],[Date]])</f>
        <v>12</v>
      </c>
      <c r="T1674" t="str">
        <f>VLOOKUP(E1674, Products!$A:$B,2,0)</f>
        <v>Chairs Fur-2</v>
      </c>
      <c r="U1674" t="str">
        <f>VLOOKUP(E1674,Products!$A:$C,3,0)</f>
        <v>Furniture</v>
      </c>
      <c r="V1674" t="str">
        <f>VLOOKUP(E1674,Products!$A:$D,4,0)</f>
        <v>Chairs</v>
      </c>
      <c r="W1674" t="str">
        <f>VLOOKUP(D1674,Customers!$A:$C,3,0)</f>
        <v>Small Business</v>
      </c>
      <c r="X1674" t="str">
        <f>VLOOKUP(C1674,Sales_Representatives!$A:$B,2,0)</f>
        <v>Sarah Brown</v>
      </c>
    </row>
    <row r="1675" spans="1:24" x14ac:dyDescent="0.3">
      <c r="A1675" t="s">
        <v>2426</v>
      </c>
      <c r="B1675" t="s">
        <v>2424</v>
      </c>
      <c r="C1675" t="s">
        <v>13</v>
      </c>
      <c r="D1675" t="s">
        <v>2427</v>
      </c>
      <c r="E1675" t="s">
        <v>248</v>
      </c>
      <c r="F1675">
        <v>7</v>
      </c>
      <c r="G1675">
        <v>82.29</v>
      </c>
      <c r="H1675">
        <v>0.11</v>
      </c>
      <c r="I1675" s="4">
        <v>512.66999999999996</v>
      </c>
      <c r="J1675" t="s">
        <v>16</v>
      </c>
      <c r="K1675" t="s">
        <v>22</v>
      </c>
      <c r="L1675" s="4">
        <f>VLOOKUP(tblTransactions[[#This Row],[Product_ID]],tblProducts[],5,FALSE)</f>
        <v>51.11</v>
      </c>
      <c r="M1675" s="4">
        <f>tblTransactions[[#This Row],[Total_Amount]]-(tblTransactions[[#This Row],[Cost_Prices]]*tblTransactions[[#This Row],[Quantity]]*(1-tblTransactions[[#This Row],[Discount]]))</f>
        <v>194.25469999999996</v>
      </c>
      <c r="N1675" s="3">
        <f>tblTransactions[[#This Row],[Profit]]/tblTransactions[[#This Row],[Total_Amount]]</f>
        <v>0.37890787446115431</v>
      </c>
      <c r="O1675" t="str">
        <f>TEXT(tblTransactions[[#This Row],[Date]], "MMM-YYYY")</f>
        <v>Dec-2023</v>
      </c>
      <c r="P1675" t="str">
        <f>"Q"&amp;ROUNDUP(MONTH(tblTransactions[[#This Row],[Date]])/3,0)&amp;"-"&amp;YEAR(tblTransactions[[#This Row],[Date]])</f>
        <v>Q4-2023</v>
      </c>
      <c r="Q1675">
        <f>YEAR(tblTransactions[[#This Row],[Date]])</f>
        <v>2023</v>
      </c>
      <c r="R1675" t="str">
        <f>TEXT(tblTransactions[[#This Row],[Date]],"DDDD")</f>
        <v>Sunday</v>
      </c>
      <c r="S1675">
        <f>MONTH(tblTransactions[[#This Row],[Date]])</f>
        <v>12</v>
      </c>
      <c r="T1675" t="str">
        <f>VLOOKUP(E1675, Products!$A:$B,2,0)</f>
        <v>Keyboards Acc-2</v>
      </c>
      <c r="U1675" t="str">
        <f>VLOOKUP(E1675,Products!$A:$C,3,0)</f>
        <v>Accessories</v>
      </c>
      <c r="V1675" t="str">
        <f>VLOOKUP(E1675,Products!$A:$D,4,0)</f>
        <v>Keyboards</v>
      </c>
      <c r="W1675" t="str">
        <f>VLOOKUP(D1675,Customers!$A:$C,3,0)</f>
        <v>Small Business</v>
      </c>
      <c r="X1675" t="str">
        <f>VLOOKUP(C1675,Sales_Representatives!$A:$B,2,0)</f>
        <v>Jennifer Rodriguez</v>
      </c>
    </row>
    <row r="1676" spans="1:24" x14ac:dyDescent="0.3">
      <c r="A1676" t="s">
        <v>2428</v>
      </c>
      <c r="B1676" t="s">
        <v>2424</v>
      </c>
      <c r="C1676" t="s">
        <v>59</v>
      </c>
      <c r="D1676" t="s">
        <v>1475</v>
      </c>
      <c r="E1676" t="s">
        <v>38</v>
      </c>
      <c r="F1676">
        <v>17</v>
      </c>
      <c r="G1676">
        <v>581.47</v>
      </c>
      <c r="H1676">
        <v>0.11</v>
      </c>
      <c r="I1676" s="4">
        <v>8797.64</v>
      </c>
      <c r="J1676" t="s">
        <v>21</v>
      </c>
      <c r="K1676" t="s">
        <v>17</v>
      </c>
      <c r="L1676" s="4">
        <f>VLOOKUP(tblTransactions[[#This Row],[Product_ID]],tblProducts[],5,FALSE)</f>
        <v>372.07</v>
      </c>
      <c r="M1676" s="4">
        <f>tblTransactions[[#This Row],[Total_Amount]]-(tblTransactions[[#This Row],[Cost_Prices]]*tblTransactions[[#This Row],[Quantity]]*(1-tblTransactions[[#This Row],[Discount]]))</f>
        <v>3168.2208999999993</v>
      </c>
      <c r="N1676" s="3">
        <f>tblTransactions[[#This Row],[Profit]]/tblTransactions[[#This Row],[Total_Amount]]</f>
        <v>0.3601216803597328</v>
      </c>
      <c r="O1676" t="str">
        <f>TEXT(tblTransactions[[#This Row],[Date]], "MMM-YYYY")</f>
        <v>Dec-2023</v>
      </c>
      <c r="P1676" t="str">
        <f>"Q"&amp;ROUNDUP(MONTH(tblTransactions[[#This Row],[Date]])/3,0)&amp;"-"&amp;YEAR(tblTransactions[[#This Row],[Date]])</f>
        <v>Q4-2023</v>
      </c>
      <c r="Q1676">
        <f>YEAR(tblTransactions[[#This Row],[Date]])</f>
        <v>2023</v>
      </c>
      <c r="R1676" t="str">
        <f>TEXT(tblTransactions[[#This Row],[Date]],"DDDD")</f>
        <v>Sunday</v>
      </c>
      <c r="S1676">
        <f>MONTH(tblTransactions[[#This Row],[Date]])</f>
        <v>12</v>
      </c>
      <c r="T1676" t="str">
        <f>VLOOKUP(E1676, Products!$A:$B,2,0)</f>
        <v>Storage Fur-3</v>
      </c>
      <c r="U1676" t="str">
        <f>VLOOKUP(E1676,Products!$A:$C,3,0)</f>
        <v>Furniture</v>
      </c>
      <c r="V1676" t="str">
        <f>VLOOKUP(E1676,Products!$A:$D,4,0)</f>
        <v>Storage</v>
      </c>
      <c r="W1676" t="str">
        <f>VLOOKUP(D1676,Customers!$A:$C,3,0)</f>
        <v>Enterprise</v>
      </c>
      <c r="X1676" t="str">
        <f>VLOOKUP(C1676,Sales_Representatives!$A:$B,2,0)</f>
        <v>Sarah Brown</v>
      </c>
    </row>
    <row r="1677" spans="1:24" x14ac:dyDescent="0.3">
      <c r="A1677" t="s">
        <v>2429</v>
      </c>
      <c r="B1677" t="s">
        <v>2424</v>
      </c>
      <c r="C1677" t="s">
        <v>107</v>
      </c>
      <c r="D1677" t="s">
        <v>2430</v>
      </c>
      <c r="E1677" t="s">
        <v>347</v>
      </c>
      <c r="F1677">
        <v>17</v>
      </c>
      <c r="G1677">
        <v>1539.6</v>
      </c>
      <c r="H1677">
        <v>0.11</v>
      </c>
      <c r="I1677" s="4">
        <v>23294.15</v>
      </c>
      <c r="J1677" t="s">
        <v>109</v>
      </c>
      <c r="K1677" t="s">
        <v>35</v>
      </c>
      <c r="L1677" s="4">
        <f>VLOOKUP(tblTransactions[[#This Row],[Product_ID]],tblProducts[],5,FALSE)</f>
        <v>992.43</v>
      </c>
      <c r="M1677" s="4">
        <f>tblTransactions[[#This Row],[Total_Amount]]-(tblTransactions[[#This Row],[Cost_Prices]]*tblTransactions[[#This Row],[Quantity]]*(1-tblTransactions[[#This Row],[Discount]]))</f>
        <v>8278.684100000004</v>
      </c>
      <c r="N1677" s="3">
        <f>tblTransactions[[#This Row],[Profit]]/tblTransactions[[#This Row],[Total_Amount]]</f>
        <v>0.35539756119025606</v>
      </c>
      <c r="O1677" t="str">
        <f>TEXT(tblTransactions[[#This Row],[Date]], "MMM-YYYY")</f>
        <v>Dec-2023</v>
      </c>
      <c r="P1677" t="str">
        <f>"Q"&amp;ROUNDUP(MONTH(tblTransactions[[#This Row],[Date]])/3,0)&amp;"-"&amp;YEAR(tblTransactions[[#This Row],[Date]])</f>
        <v>Q4-2023</v>
      </c>
      <c r="Q1677">
        <f>YEAR(tblTransactions[[#This Row],[Date]])</f>
        <v>2023</v>
      </c>
      <c r="R1677" t="str">
        <f>TEXT(tblTransactions[[#This Row],[Date]],"DDDD")</f>
        <v>Sunday</v>
      </c>
      <c r="S1677">
        <f>MONTH(tblTransactions[[#This Row],[Date]])</f>
        <v>12</v>
      </c>
      <c r="T1677" t="str">
        <f>VLOOKUP(E1677, Products!$A:$B,2,0)</f>
        <v>Routers Tec-2</v>
      </c>
      <c r="U1677" t="str">
        <f>VLOOKUP(E1677,Products!$A:$C,3,0)</f>
        <v>Technology</v>
      </c>
      <c r="V1677" t="str">
        <f>VLOOKUP(E1677,Products!$A:$D,4,0)</f>
        <v>Routers</v>
      </c>
      <c r="W1677" t="str">
        <f>VLOOKUP(D1677,Customers!$A:$C,3,0)</f>
        <v>B2B</v>
      </c>
      <c r="X1677" t="str">
        <f>VLOOKUP(C1677,Sales_Representatives!$A:$B,2,0)</f>
        <v>Jennifer Brown</v>
      </c>
    </row>
    <row r="1678" spans="1:24" x14ac:dyDescent="0.3">
      <c r="A1678" t="s">
        <v>2431</v>
      </c>
      <c r="B1678" t="s">
        <v>2424</v>
      </c>
      <c r="C1678" t="s">
        <v>75</v>
      </c>
      <c r="D1678" t="s">
        <v>2411</v>
      </c>
      <c r="E1678" t="s">
        <v>15</v>
      </c>
      <c r="F1678">
        <v>7</v>
      </c>
      <c r="G1678">
        <v>477.48</v>
      </c>
      <c r="H1678">
        <v>0.09</v>
      </c>
      <c r="I1678" s="4">
        <v>3041.55</v>
      </c>
      <c r="J1678" t="s">
        <v>44</v>
      </c>
      <c r="K1678" t="s">
        <v>39</v>
      </c>
      <c r="L1678" s="4">
        <f>VLOOKUP(tblTransactions[[#This Row],[Product_ID]],tblProducts[],5,FALSE)</f>
        <v>275.51</v>
      </c>
      <c r="M1678" s="4">
        <f>tblTransactions[[#This Row],[Total_Amount]]-(tblTransactions[[#This Row],[Cost_Prices]]*tblTransactions[[#This Row],[Quantity]]*(1-tblTransactions[[#This Row],[Discount]]))</f>
        <v>1286.5513000000001</v>
      </c>
      <c r="N1678" s="3">
        <f>tblTransactions[[#This Row],[Profit]]/tblTransactions[[#This Row],[Total_Amount]]</f>
        <v>0.42299199421347666</v>
      </c>
      <c r="O1678" t="str">
        <f>TEXT(tblTransactions[[#This Row],[Date]], "MMM-YYYY")</f>
        <v>Dec-2023</v>
      </c>
      <c r="P1678" t="str">
        <f>"Q"&amp;ROUNDUP(MONTH(tblTransactions[[#This Row],[Date]])/3,0)&amp;"-"&amp;YEAR(tblTransactions[[#This Row],[Date]])</f>
        <v>Q4-2023</v>
      </c>
      <c r="Q1678">
        <f>YEAR(tblTransactions[[#This Row],[Date]])</f>
        <v>2023</v>
      </c>
      <c r="R1678" t="str">
        <f>TEXT(tblTransactions[[#This Row],[Date]],"DDDD")</f>
        <v>Sunday</v>
      </c>
      <c r="S1678">
        <f>MONTH(tblTransactions[[#This Row],[Date]])</f>
        <v>12</v>
      </c>
      <c r="T1678" t="str">
        <f>VLOOKUP(E1678, Products!$A:$B,2,0)</f>
        <v>Laptops Ele-4</v>
      </c>
      <c r="U1678" t="str">
        <f>VLOOKUP(E1678,Products!$A:$C,3,0)</f>
        <v>Electronics</v>
      </c>
      <c r="V1678" t="str">
        <f>VLOOKUP(E1678,Products!$A:$D,4,0)</f>
        <v>Laptops</v>
      </c>
      <c r="W1678" t="str">
        <f>VLOOKUP(D1678,Customers!$A:$C,3,0)</f>
        <v>B2B</v>
      </c>
      <c r="X1678" t="str">
        <f>VLOOKUP(C1678,Sales_Representatives!$A:$B,2,0)</f>
        <v>Jessica Anderson</v>
      </c>
    </row>
    <row r="1679" spans="1:24" x14ac:dyDescent="0.3">
      <c r="A1679" t="s">
        <v>2432</v>
      </c>
      <c r="B1679" t="s">
        <v>2433</v>
      </c>
      <c r="C1679" t="s">
        <v>27</v>
      </c>
      <c r="D1679" t="s">
        <v>2204</v>
      </c>
      <c r="E1679" t="s">
        <v>29</v>
      </c>
      <c r="F1679">
        <v>11</v>
      </c>
      <c r="G1679">
        <v>1363.46</v>
      </c>
      <c r="H1679">
        <v>0.11</v>
      </c>
      <c r="I1679" s="4">
        <v>13348.27</v>
      </c>
      <c r="J1679" t="s">
        <v>16</v>
      </c>
      <c r="K1679" t="s">
        <v>17</v>
      </c>
      <c r="L1679" s="4">
        <f>VLOOKUP(tblTransactions[[#This Row],[Product_ID]],tblProducts[],5,FALSE)</f>
        <v>995.41</v>
      </c>
      <c r="M1679" s="4">
        <f>tblTransactions[[#This Row],[Total_Amount]]-(tblTransactions[[#This Row],[Cost_Prices]]*tblTransactions[[#This Row],[Quantity]]*(1-tblTransactions[[#This Row],[Discount]]))</f>
        <v>3603.2060999999994</v>
      </c>
      <c r="N1679" s="3">
        <f>tblTransactions[[#This Row],[Profit]]/tblTransactions[[#This Row],[Total_Amount]]</f>
        <v>0.26993805938896948</v>
      </c>
      <c r="O1679" t="str">
        <f>TEXT(tblTransactions[[#This Row],[Date]], "MMM-YYYY")</f>
        <v>Dec-2023</v>
      </c>
      <c r="P1679" t="str">
        <f>"Q"&amp;ROUNDUP(MONTH(tblTransactions[[#This Row],[Date]])/3,0)&amp;"-"&amp;YEAR(tblTransactions[[#This Row],[Date]])</f>
        <v>Q4-2023</v>
      </c>
      <c r="Q1679">
        <f>YEAR(tblTransactions[[#This Row],[Date]])</f>
        <v>2023</v>
      </c>
      <c r="R1679" t="str">
        <f>TEXT(tblTransactions[[#This Row],[Date]],"DDDD")</f>
        <v>Monday</v>
      </c>
      <c r="S1679">
        <f>MONTH(tblTransactions[[#This Row],[Date]])</f>
        <v>12</v>
      </c>
      <c r="T1679" t="str">
        <f>VLOOKUP(E1679, Products!$A:$B,2,0)</f>
        <v>Phones Ele-3</v>
      </c>
      <c r="U1679" t="str">
        <f>VLOOKUP(E1679,Products!$A:$C,3,0)</f>
        <v>Electronics</v>
      </c>
      <c r="V1679" t="str">
        <f>VLOOKUP(E1679,Products!$A:$D,4,0)</f>
        <v>Phones</v>
      </c>
      <c r="W1679" t="str">
        <f>VLOOKUP(D1679,Customers!$A:$C,3,0)</f>
        <v>Enterprise</v>
      </c>
      <c r="X1679" t="str">
        <f>VLOOKUP(C1679,Sales_Representatives!$A:$B,2,0)</f>
        <v>Thomas Lopez</v>
      </c>
    </row>
    <row r="1680" spans="1:24" x14ac:dyDescent="0.3">
      <c r="A1680" t="s">
        <v>2434</v>
      </c>
      <c r="B1680" t="s">
        <v>2433</v>
      </c>
      <c r="C1680" t="s">
        <v>131</v>
      </c>
      <c r="D1680" t="s">
        <v>1936</v>
      </c>
      <c r="E1680" t="s">
        <v>87</v>
      </c>
      <c r="F1680">
        <v>5</v>
      </c>
      <c r="G1680">
        <v>1047.8900000000001</v>
      </c>
      <c r="H1680">
        <v>0.06</v>
      </c>
      <c r="I1680" s="4">
        <v>4925.08</v>
      </c>
      <c r="J1680" t="s">
        <v>44</v>
      </c>
      <c r="K1680" t="s">
        <v>35</v>
      </c>
      <c r="L1680" s="4">
        <f>VLOOKUP(tblTransactions[[#This Row],[Product_ID]],tblProducts[],5,FALSE)</f>
        <v>742.63</v>
      </c>
      <c r="M1680" s="4">
        <f>tblTransactions[[#This Row],[Total_Amount]]-(tblTransactions[[#This Row],[Cost_Prices]]*tblTransactions[[#This Row],[Quantity]]*(1-tblTransactions[[#This Row],[Discount]]))</f>
        <v>1434.7190000000001</v>
      </c>
      <c r="N1680" s="3">
        <f>tblTransactions[[#This Row],[Profit]]/tblTransactions[[#This Row],[Total_Amount]]</f>
        <v>0.29130877061895444</v>
      </c>
      <c r="O1680" t="str">
        <f>TEXT(tblTransactions[[#This Row],[Date]], "MMM-YYYY")</f>
        <v>Dec-2023</v>
      </c>
      <c r="P1680" t="str">
        <f>"Q"&amp;ROUNDUP(MONTH(tblTransactions[[#This Row],[Date]])/3,0)&amp;"-"&amp;YEAR(tblTransactions[[#This Row],[Date]])</f>
        <v>Q4-2023</v>
      </c>
      <c r="Q1680">
        <f>YEAR(tblTransactions[[#This Row],[Date]])</f>
        <v>2023</v>
      </c>
      <c r="R1680" t="str">
        <f>TEXT(tblTransactions[[#This Row],[Date]],"DDDD")</f>
        <v>Monday</v>
      </c>
      <c r="S1680">
        <f>MONTH(tblTransactions[[#This Row],[Date]])</f>
        <v>12</v>
      </c>
      <c r="T1680" t="str">
        <f>VLOOKUP(E1680, Products!$A:$B,2,0)</f>
        <v>Monitors Tec-2</v>
      </c>
      <c r="U1680" t="str">
        <f>VLOOKUP(E1680,Products!$A:$C,3,0)</f>
        <v>Technology</v>
      </c>
      <c r="V1680" t="str">
        <f>VLOOKUP(E1680,Products!$A:$D,4,0)</f>
        <v>Monitors</v>
      </c>
      <c r="W1680" t="str">
        <f>VLOOKUP(D1680,Customers!$A:$C,3,0)</f>
        <v>Enterprise</v>
      </c>
      <c r="X1680" t="str">
        <f>VLOOKUP(C1680,Sales_Representatives!$A:$B,2,0)</f>
        <v>Michael Davis</v>
      </c>
    </row>
    <row r="1681" spans="1:24" x14ac:dyDescent="0.3">
      <c r="A1681" t="s">
        <v>2435</v>
      </c>
      <c r="B1681" t="s">
        <v>2433</v>
      </c>
      <c r="C1681" t="s">
        <v>56</v>
      </c>
      <c r="D1681" t="s">
        <v>101</v>
      </c>
      <c r="E1681" t="s">
        <v>178</v>
      </c>
      <c r="F1681">
        <v>4</v>
      </c>
      <c r="G1681">
        <v>1623.35</v>
      </c>
      <c r="H1681">
        <v>0</v>
      </c>
      <c r="I1681" s="4">
        <v>6493.4</v>
      </c>
      <c r="J1681" t="s">
        <v>34</v>
      </c>
      <c r="K1681" t="s">
        <v>17</v>
      </c>
      <c r="L1681" s="4">
        <f>VLOOKUP(tblTransactions[[#This Row],[Product_ID]],tblProducts[],5,FALSE)</f>
        <v>981.45</v>
      </c>
      <c r="M1681" s="4">
        <f>tblTransactions[[#This Row],[Total_Amount]]-(tblTransactions[[#This Row],[Cost_Prices]]*tblTransactions[[#This Row],[Quantity]]*(1-tblTransactions[[#This Row],[Discount]]))</f>
        <v>2567.5999999999995</v>
      </c>
      <c r="N1681" s="3">
        <f>tblTransactions[[#This Row],[Profit]]/tblTransactions[[#This Row],[Total_Amount]]</f>
        <v>0.39541688483691129</v>
      </c>
      <c r="O1681" t="str">
        <f>TEXT(tblTransactions[[#This Row],[Date]], "MMM-YYYY")</f>
        <v>Dec-2023</v>
      </c>
      <c r="P1681" t="str">
        <f>"Q"&amp;ROUNDUP(MONTH(tblTransactions[[#This Row],[Date]])/3,0)&amp;"-"&amp;YEAR(tblTransactions[[#This Row],[Date]])</f>
        <v>Q4-2023</v>
      </c>
      <c r="Q1681">
        <f>YEAR(tblTransactions[[#This Row],[Date]])</f>
        <v>2023</v>
      </c>
      <c r="R1681" t="str">
        <f>TEXT(tblTransactions[[#This Row],[Date]],"DDDD")</f>
        <v>Monday</v>
      </c>
      <c r="S1681">
        <f>MONTH(tblTransactions[[#This Row],[Date]])</f>
        <v>12</v>
      </c>
      <c r="T1681" t="str">
        <f>VLOOKUP(E1681, Products!$A:$B,2,0)</f>
        <v>Tablets Ele-1</v>
      </c>
      <c r="U1681" t="str">
        <f>VLOOKUP(E1681,Products!$A:$C,3,0)</f>
        <v>Electronics</v>
      </c>
      <c r="V1681" t="str">
        <f>VLOOKUP(E1681,Products!$A:$D,4,0)</f>
        <v>Tablets</v>
      </c>
      <c r="W1681" t="str">
        <f>VLOOKUP(D1681,Customers!$A:$C,3,0)</f>
        <v>B2C</v>
      </c>
      <c r="X1681" t="str">
        <f>VLOOKUP(C1681,Sales_Representatives!$A:$B,2,0)</f>
        <v>Thomas Hernandez</v>
      </c>
    </row>
    <row r="1682" spans="1:24" x14ac:dyDescent="0.3">
      <c r="A1682" t="s">
        <v>2436</v>
      </c>
      <c r="B1682" t="s">
        <v>2433</v>
      </c>
      <c r="C1682" t="s">
        <v>27</v>
      </c>
      <c r="D1682" t="s">
        <v>1752</v>
      </c>
      <c r="E1682" t="s">
        <v>172</v>
      </c>
      <c r="F1682">
        <v>10</v>
      </c>
      <c r="G1682">
        <v>1371.15</v>
      </c>
      <c r="H1682">
        <v>0.14000000000000001</v>
      </c>
      <c r="I1682" s="4">
        <v>11791.89</v>
      </c>
      <c r="J1682" t="s">
        <v>16</v>
      </c>
      <c r="K1682" t="s">
        <v>48</v>
      </c>
      <c r="L1682" s="4">
        <f>VLOOKUP(tblTransactions[[#This Row],[Product_ID]],tblProducts[],5,FALSE)</f>
        <v>989.81</v>
      </c>
      <c r="M1682" s="4">
        <f>tblTransactions[[#This Row],[Total_Amount]]-(tblTransactions[[#This Row],[Cost_Prices]]*tblTransactions[[#This Row],[Quantity]]*(1-tblTransactions[[#This Row],[Discount]]))</f>
        <v>3279.5240000000013</v>
      </c>
      <c r="N1682" s="3">
        <f>tblTransactions[[#This Row],[Profit]]/tblTransactions[[#This Row],[Total_Amount]]</f>
        <v>0.27811690916384069</v>
      </c>
      <c r="O1682" t="str">
        <f>TEXT(tblTransactions[[#This Row],[Date]], "MMM-YYYY")</f>
        <v>Dec-2023</v>
      </c>
      <c r="P1682" t="str">
        <f>"Q"&amp;ROUNDUP(MONTH(tblTransactions[[#This Row],[Date]])/3,0)&amp;"-"&amp;YEAR(tblTransactions[[#This Row],[Date]])</f>
        <v>Q4-2023</v>
      </c>
      <c r="Q1682">
        <f>YEAR(tblTransactions[[#This Row],[Date]])</f>
        <v>2023</v>
      </c>
      <c r="R1682" t="str">
        <f>TEXT(tblTransactions[[#This Row],[Date]],"DDDD")</f>
        <v>Monday</v>
      </c>
      <c r="S1682">
        <f>MONTH(tblTransactions[[#This Row],[Date]])</f>
        <v>12</v>
      </c>
      <c r="T1682" t="str">
        <f>VLOOKUP(E1682, Products!$A:$B,2,0)</f>
        <v>Cameras Ele-4</v>
      </c>
      <c r="U1682" t="str">
        <f>VLOOKUP(E1682,Products!$A:$C,3,0)</f>
        <v>Electronics</v>
      </c>
      <c r="V1682" t="str">
        <f>VLOOKUP(E1682,Products!$A:$D,4,0)</f>
        <v>Cameras</v>
      </c>
      <c r="W1682" t="str">
        <f>VLOOKUP(D1682,Customers!$A:$C,3,0)</f>
        <v>B2B</v>
      </c>
      <c r="X1682" t="str">
        <f>VLOOKUP(C1682,Sales_Representatives!$A:$B,2,0)</f>
        <v>Thomas Lopez</v>
      </c>
    </row>
    <row r="1683" spans="1:24" x14ac:dyDescent="0.3">
      <c r="A1683" t="s">
        <v>2437</v>
      </c>
      <c r="B1683" t="s">
        <v>2433</v>
      </c>
      <c r="C1683" t="s">
        <v>131</v>
      </c>
      <c r="D1683" t="s">
        <v>1988</v>
      </c>
      <c r="E1683" t="s">
        <v>283</v>
      </c>
      <c r="F1683">
        <v>7</v>
      </c>
      <c r="G1683">
        <v>456.88</v>
      </c>
      <c r="H1683">
        <v>0.09</v>
      </c>
      <c r="I1683" s="4">
        <v>2910.33</v>
      </c>
      <c r="J1683" t="s">
        <v>44</v>
      </c>
      <c r="K1683" t="s">
        <v>22</v>
      </c>
      <c r="L1683" s="4">
        <f>VLOOKUP(tblTransactions[[#This Row],[Product_ID]],tblProducts[],5,FALSE)</f>
        <v>313.23</v>
      </c>
      <c r="M1683" s="4">
        <f>tblTransactions[[#This Row],[Total_Amount]]-(tblTransactions[[#This Row],[Cost_Prices]]*tblTransactions[[#This Row],[Quantity]]*(1-tblTransactions[[#This Row],[Discount]]))</f>
        <v>915.05489999999963</v>
      </c>
      <c r="N1683" s="3">
        <f>tblTransactions[[#This Row],[Profit]]/tblTransactions[[#This Row],[Total_Amount]]</f>
        <v>0.31441620022471667</v>
      </c>
      <c r="O1683" t="str">
        <f>TEXT(tblTransactions[[#This Row],[Date]], "MMM-YYYY")</f>
        <v>Dec-2023</v>
      </c>
      <c r="P1683" t="str">
        <f>"Q"&amp;ROUNDUP(MONTH(tblTransactions[[#This Row],[Date]])/3,0)&amp;"-"&amp;YEAR(tblTransactions[[#This Row],[Date]])</f>
        <v>Q4-2023</v>
      </c>
      <c r="Q1683">
        <f>YEAR(tblTransactions[[#This Row],[Date]])</f>
        <v>2023</v>
      </c>
      <c r="R1683" t="str">
        <f>TEXT(tblTransactions[[#This Row],[Date]],"DDDD")</f>
        <v>Monday</v>
      </c>
      <c r="S1683">
        <f>MONTH(tblTransactions[[#This Row],[Date]])</f>
        <v>12</v>
      </c>
      <c r="T1683" t="str">
        <f>VLOOKUP(E1683, Products!$A:$B,2,0)</f>
        <v>Chairs Fur-3</v>
      </c>
      <c r="U1683" t="str">
        <f>VLOOKUP(E1683,Products!$A:$C,3,0)</f>
        <v>Furniture</v>
      </c>
      <c r="V1683" t="str">
        <f>VLOOKUP(E1683,Products!$A:$D,4,0)</f>
        <v>Chairs</v>
      </c>
      <c r="W1683" t="str">
        <f>VLOOKUP(D1683,Customers!$A:$C,3,0)</f>
        <v>Enterprise</v>
      </c>
      <c r="X1683" t="str">
        <f>VLOOKUP(C1683,Sales_Representatives!$A:$B,2,0)</f>
        <v>Michael Davis</v>
      </c>
    </row>
    <row r="1684" spans="1:24" x14ac:dyDescent="0.3">
      <c r="A1684" t="s">
        <v>2438</v>
      </c>
      <c r="B1684" t="s">
        <v>2433</v>
      </c>
      <c r="C1684" t="s">
        <v>82</v>
      </c>
      <c r="D1684" t="s">
        <v>2121</v>
      </c>
      <c r="E1684" t="s">
        <v>206</v>
      </c>
      <c r="F1684">
        <v>5</v>
      </c>
      <c r="G1684">
        <v>292.51</v>
      </c>
      <c r="H1684">
        <v>7.0000000000000007E-2</v>
      </c>
      <c r="I1684" s="4">
        <v>1360.17</v>
      </c>
      <c r="J1684" t="s">
        <v>34</v>
      </c>
      <c r="K1684" t="s">
        <v>17</v>
      </c>
      <c r="L1684" s="4">
        <f>VLOOKUP(tblTransactions[[#This Row],[Product_ID]],tblProducts[],5,FALSE)</f>
        <v>122.08</v>
      </c>
      <c r="M1684" s="4">
        <f>tblTransactions[[#This Row],[Total_Amount]]-(tblTransactions[[#This Row],[Cost_Prices]]*tblTransactions[[#This Row],[Quantity]]*(1-tblTransactions[[#This Row],[Discount]]))</f>
        <v>792.49800000000016</v>
      </c>
      <c r="N1684" s="3">
        <f>tblTransactions[[#This Row],[Profit]]/tblTransactions[[#This Row],[Total_Amount]]</f>
        <v>0.58264628686120123</v>
      </c>
      <c r="O1684" t="str">
        <f>TEXT(tblTransactions[[#This Row],[Date]], "MMM-YYYY")</f>
        <v>Dec-2023</v>
      </c>
      <c r="P1684" t="str">
        <f>"Q"&amp;ROUNDUP(MONTH(tblTransactions[[#This Row],[Date]])/3,0)&amp;"-"&amp;YEAR(tblTransactions[[#This Row],[Date]])</f>
        <v>Q4-2023</v>
      </c>
      <c r="Q1684">
        <f>YEAR(tblTransactions[[#This Row],[Date]])</f>
        <v>2023</v>
      </c>
      <c r="R1684" t="str">
        <f>TEXT(tblTransactions[[#This Row],[Date]],"DDDD")</f>
        <v>Monday</v>
      </c>
      <c r="S1684">
        <f>MONTH(tblTransactions[[#This Row],[Date]])</f>
        <v>12</v>
      </c>
      <c r="T1684" t="str">
        <f>VLOOKUP(E1684, Products!$A:$B,2,0)</f>
        <v>Keyboards Acc-1</v>
      </c>
      <c r="U1684" t="str">
        <f>VLOOKUP(E1684,Products!$A:$C,3,0)</f>
        <v>Accessories</v>
      </c>
      <c r="V1684" t="str">
        <f>VLOOKUP(E1684,Products!$A:$D,4,0)</f>
        <v>Keyboards</v>
      </c>
      <c r="W1684" t="str">
        <f>VLOOKUP(D1684,Customers!$A:$C,3,0)</f>
        <v>B2C</v>
      </c>
      <c r="X1684" t="str">
        <f>VLOOKUP(C1684,Sales_Representatives!$A:$B,2,0)</f>
        <v>John Brown</v>
      </c>
    </row>
    <row r="1685" spans="1:24" x14ac:dyDescent="0.3">
      <c r="A1685" t="s">
        <v>2439</v>
      </c>
      <c r="B1685" t="s">
        <v>2433</v>
      </c>
      <c r="C1685" t="s">
        <v>82</v>
      </c>
      <c r="D1685" t="s">
        <v>1900</v>
      </c>
      <c r="E1685" t="s">
        <v>121</v>
      </c>
      <c r="F1685">
        <v>1</v>
      </c>
      <c r="G1685">
        <v>183.9</v>
      </c>
      <c r="H1685">
        <v>0.1</v>
      </c>
      <c r="I1685" s="4">
        <v>165.51</v>
      </c>
      <c r="J1685" t="s">
        <v>34</v>
      </c>
      <c r="K1685" t="s">
        <v>48</v>
      </c>
      <c r="L1685" s="4">
        <f>VLOOKUP(tblTransactions[[#This Row],[Product_ID]],tblProducts[],5,FALSE)</f>
        <v>116.83</v>
      </c>
      <c r="M1685" s="4">
        <f>tblTransactions[[#This Row],[Total_Amount]]-(tblTransactions[[#This Row],[Cost_Prices]]*tblTransactions[[#This Row],[Quantity]]*(1-tblTransactions[[#This Row],[Discount]]))</f>
        <v>60.362999999999985</v>
      </c>
      <c r="N1685" s="3">
        <f>tblTransactions[[#This Row],[Profit]]/tblTransactions[[#This Row],[Total_Amount]]</f>
        <v>0.36470908102229466</v>
      </c>
      <c r="O1685" t="str">
        <f>TEXT(tblTransactions[[#This Row],[Date]], "MMM-YYYY")</f>
        <v>Dec-2023</v>
      </c>
      <c r="P1685" t="str">
        <f>"Q"&amp;ROUNDUP(MONTH(tblTransactions[[#This Row],[Date]])/3,0)&amp;"-"&amp;YEAR(tblTransactions[[#This Row],[Date]])</f>
        <v>Q4-2023</v>
      </c>
      <c r="Q1685">
        <f>YEAR(tblTransactions[[#This Row],[Date]])</f>
        <v>2023</v>
      </c>
      <c r="R1685" t="str">
        <f>TEXT(tblTransactions[[#This Row],[Date]],"DDDD")</f>
        <v>Monday</v>
      </c>
      <c r="S1685">
        <f>MONTH(tblTransactions[[#This Row],[Date]])</f>
        <v>12</v>
      </c>
      <c r="T1685" t="str">
        <f>VLOOKUP(E1685, Products!$A:$B,2,0)</f>
        <v>Pens Off-3</v>
      </c>
      <c r="U1685" t="str">
        <f>VLOOKUP(E1685,Products!$A:$C,3,0)</f>
        <v>Office Supplies</v>
      </c>
      <c r="V1685" t="str">
        <f>VLOOKUP(E1685,Products!$A:$D,4,0)</f>
        <v>Pens</v>
      </c>
      <c r="W1685" t="str">
        <f>VLOOKUP(D1685,Customers!$A:$C,3,0)</f>
        <v>B2C</v>
      </c>
      <c r="X1685" t="str">
        <f>VLOOKUP(C1685,Sales_Representatives!$A:$B,2,0)</f>
        <v>John Brown</v>
      </c>
    </row>
    <row r="1686" spans="1:24" x14ac:dyDescent="0.3">
      <c r="A1686" t="s">
        <v>2440</v>
      </c>
      <c r="B1686" t="s">
        <v>2433</v>
      </c>
      <c r="C1686" t="s">
        <v>127</v>
      </c>
      <c r="D1686" t="s">
        <v>1619</v>
      </c>
      <c r="E1686" t="s">
        <v>172</v>
      </c>
      <c r="F1686">
        <v>6</v>
      </c>
      <c r="G1686">
        <v>1371.15</v>
      </c>
      <c r="H1686">
        <v>7.0000000000000007E-2</v>
      </c>
      <c r="I1686" s="4">
        <v>7651.02</v>
      </c>
      <c r="J1686" t="s">
        <v>109</v>
      </c>
      <c r="K1686" t="s">
        <v>22</v>
      </c>
      <c r="L1686" s="4">
        <f>VLOOKUP(tblTransactions[[#This Row],[Product_ID]],tblProducts[],5,FALSE)</f>
        <v>989.81</v>
      </c>
      <c r="M1686" s="4">
        <f>tblTransactions[[#This Row],[Total_Amount]]-(tblTransactions[[#This Row],[Cost_Prices]]*tblTransactions[[#This Row],[Quantity]]*(1-tblTransactions[[#This Row],[Discount]]))</f>
        <v>2127.8802000000014</v>
      </c>
      <c r="N1686" s="3">
        <f>tblTransactions[[#This Row],[Profit]]/tblTransactions[[#This Row],[Total_Amount]]</f>
        <v>0.27811719221750841</v>
      </c>
      <c r="O1686" t="str">
        <f>TEXT(tblTransactions[[#This Row],[Date]], "MMM-YYYY")</f>
        <v>Dec-2023</v>
      </c>
      <c r="P1686" t="str">
        <f>"Q"&amp;ROUNDUP(MONTH(tblTransactions[[#This Row],[Date]])/3,0)&amp;"-"&amp;YEAR(tblTransactions[[#This Row],[Date]])</f>
        <v>Q4-2023</v>
      </c>
      <c r="Q1686">
        <f>YEAR(tblTransactions[[#This Row],[Date]])</f>
        <v>2023</v>
      </c>
      <c r="R1686" t="str">
        <f>TEXT(tblTransactions[[#This Row],[Date]],"DDDD")</f>
        <v>Monday</v>
      </c>
      <c r="S1686">
        <f>MONTH(tblTransactions[[#This Row],[Date]])</f>
        <v>12</v>
      </c>
      <c r="T1686" t="str">
        <f>VLOOKUP(E1686, Products!$A:$B,2,0)</f>
        <v>Cameras Ele-4</v>
      </c>
      <c r="U1686" t="str">
        <f>VLOOKUP(E1686,Products!$A:$C,3,0)</f>
        <v>Electronics</v>
      </c>
      <c r="V1686" t="str">
        <f>VLOOKUP(E1686,Products!$A:$D,4,0)</f>
        <v>Cameras</v>
      </c>
      <c r="W1686" t="str">
        <f>VLOOKUP(D1686,Customers!$A:$C,3,0)</f>
        <v>B2B</v>
      </c>
      <c r="X1686" t="str">
        <f>VLOOKUP(C1686,Sales_Representatives!$A:$B,2,0)</f>
        <v>Emily Hernandez</v>
      </c>
    </row>
    <row r="1687" spans="1:24" x14ac:dyDescent="0.3">
      <c r="A1687" t="s">
        <v>2441</v>
      </c>
      <c r="B1687" t="s">
        <v>2433</v>
      </c>
      <c r="C1687" t="s">
        <v>70</v>
      </c>
      <c r="D1687" t="s">
        <v>2126</v>
      </c>
      <c r="E1687" t="s">
        <v>587</v>
      </c>
      <c r="F1687">
        <v>6</v>
      </c>
      <c r="G1687">
        <v>58.54</v>
      </c>
      <c r="H1687">
        <v>0.06</v>
      </c>
      <c r="I1687" s="4">
        <v>330.17</v>
      </c>
      <c r="J1687" t="s">
        <v>16</v>
      </c>
      <c r="K1687" t="s">
        <v>17</v>
      </c>
      <c r="L1687" s="4">
        <f>VLOOKUP(tblTransactions[[#This Row],[Product_ID]],tblProducts[],5,FALSE)</f>
        <v>25.43</v>
      </c>
      <c r="M1687" s="4">
        <f>tblTransactions[[#This Row],[Total_Amount]]-(tblTransactions[[#This Row],[Cost_Prices]]*tblTransactions[[#This Row],[Quantity]]*(1-tblTransactions[[#This Row],[Discount]]))</f>
        <v>186.74480000000003</v>
      </c>
      <c r="N1687" s="3">
        <f>tblTransactions[[#This Row],[Profit]]/tblTransactions[[#This Row],[Total_Amount]]</f>
        <v>0.56560196262531426</v>
      </c>
      <c r="O1687" t="str">
        <f>TEXT(tblTransactions[[#This Row],[Date]], "MMM-YYYY")</f>
        <v>Dec-2023</v>
      </c>
      <c r="P1687" t="str">
        <f>"Q"&amp;ROUNDUP(MONTH(tblTransactions[[#This Row],[Date]])/3,0)&amp;"-"&amp;YEAR(tblTransactions[[#This Row],[Date]])</f>
        <v>Q4-2023</v>
      </c>
      <c r="Q1687">
        <f>YEAR(tblTransactions[[#This Row],[Date]])</f>
        <v>2023</v>
      </c>
      <c r="R1687" t="str">
        <f>TEXT(tblTransactions[[#This Row],[Date]],"DDDD")</f>
        <v>Monday</v>
      </c>
      <c r="S1687">
        <f>MONTH(tblTransactions[[#This Row],[Date]])</f>
        <v>12</v>
      </c>
      <c r="T1687" t="str">
        <f>VLOOKUP(E1687, Products!$A:$B,2,0)</f>
        <v>Paper Off-2</v>
      </c>
      <c r="U1687" t="str">
        <f>VLOOKUP(E1687,Products!$A:$C,3,0)</f>
        <v>Office Supplies</v>
      </c>
      <c r="V1687" t="str">
        <f>VLOOKUP(E1687,Products!$A:$D,4,0)</f>
        <v>Paper</v>
      </c>
      <c r="W1687" t="str">
        <f>VLOOKUP(D1687,Customers!$A:$C,3,0)</f>
        <v>B2C</v>
      </c>
      <c r="X1687" t="str">
        <f>VLOOKUP(C1687,Sales_Representatives!$A:$B,2,0)</f>
        <v>Linda Smith</v>
      </c>
    </row>
    <row r="1688" spans="1:24" x14ac:dyDescent="0.3">
      <c r="A1688" t="s">
        <v>2442</v>
      </c>
      <c r="B1688" t="s">
        <v>2443</v>
      </c>
      <c r="C1688" t="s">
        <v>131</v>
      </c>
      <c r="D1688" t="s">
        <v>1921</v>
      </c>
      <c r="E1688" t="s">
        <v>290</v>
      </c>
      <c r="F1688">
        <v>6</v>
      </c>
      <c r="G1688">
        <v>729.32</v>
      </c>
      <c r="H1688">
        <v>0.11</v>
      </c>
      <c r="I1688" s="4">
        <v>3894.57</v>
      </c>
      <c r="J1688" t="s">
        <v>44</v>
      </c>
      <c r="K1688" t="s">
        <v>22</v>
      </c>
      <c r="L1688" s="4">
        <f>VLOOKUP(tblTransactions[[#This Row],[Product_ID]],tblProducts[],5,FALSE)</f>
        <v>482.7</v>
      </c>
      <c r="M1688" s="4">
        <f>tblTransactions[[#This Row],[Total_Amount]]-(tblTransactions[[#This Row],[Cost_Prices]]*tblTransactions[[#This Row],[Quantity]]*(1-tblTransactions[[#This Row],[Discount]]))</f>
        <v>1316.9520000000002</v>
      </c>
      <c r="N1688" s="3">
        <f>tblTransactions[[#This Row],[Profit]]/tblTransactions[[#This Row],[Total_Amount]]</f>
        <v>0.33815080997388675</v>
      </c>
      <c r="O1688" t="str">
        <f>TEXT(tblTransactions[[#This Row],[Date]], "MMM-YYYY")</f>
        <v>Dec-2023</v>
      </c>
      <c r="P1688" t="str">
        <f>"Q"&amp;ROUNDUP(MONTH(tblTransactions[[#This Row],[Date]])/3,0)&amp;"-"&amp;YEAR(tblTransactions[[#This Row],[Date]])</f>
        <v>Q4-2023</v>
      </c>
      <c r="Q1688">
        <f>YEAR(tblTransactions[[#This Row],[Date]])</f>
        <v>2023</v>
      </c>
      <c r="R1688" t="str">
        <f>TEXT(tblTransactions[[#This Row],[Date]],"DDDD")</f>
        <v>Tuesday</v>
      </c>
      <c r="S1688">
        <f>MONTH(tblTransactions[[#This Row],[Date]])</f>
        <v>12</v>
      </c>
      <c r="T1688" t="str">
        <f>VLOOKUP(E1688, Products!$A:$B,2,0)</f>
        <v>Tables Fur-1</v>
      </c>
      <c r="U1688" t="str">
        <f>VLOOKUP(E1688,Products!$A:$C,3,0)</f>
        <v>Furniture</v>
      </c>
      <c r="V1688" t="str">
        <f>VLOOKUP(E1688,Products!$A:$D,4,0)</f>
        <v>Tables</v>
      </c>
      <c r="W1688" t="str">
        <f>VLOOKUP(D1688,Customers!$A:$C,3,0)</f>
        <v>Small Business</v>
      </c>
      <c r="X1688" t="str">
        <f>VLOOKUP(C1688,Sales_Representatives!$A:$B,2,0)</f>
        <v>Michael Davis</v>
      </c>
    </row>
    <row r="1689" spans="1:24" x14ac:dyDescent="0.3">
      <c r="A1689" t="s">
        <v>2444</v>
      </c>
      <c r="B1689" t="s">
        <v>2443</v>
      </c>
      <c r="C1689" t="s">
        <v>131</v>
      </c>
      <c r="D1689" t="s">
        <v>1666</v>
      </c>
      <c r="E1689" t="s">
        <v>339</v>
      </c>
      <c r="F1689">
        <v>40</v>
      </c>
      <c r="G1689">
        <v>1100.8800000000001</v>
      </c>
      <c r="H1689">
        <v>0.18</v>
      </c>
      <c r="I1689" s="4">
        <v>36108.86</v>
      </c>
      <c r="J1689" t="s">
        <v>44</v>
      </c>
      <c r="K1689" t="s">
        <v>35</v>
      </c>
      <c r="L1689" s="4">
        <f>VLOOKUP(tblTransactions[[#This Row],[Product_ID]],tblProducts[],5,FALSE)</f>
        <v>761.53</v>
      </c>
      <c r="M1689" s="4">
        <f>tblTransactions[[#This Row],[Total_Amount]]-(tblTransactions[[#This Row],[Cost_Prices]]*tblTransactions[[#This Row],[Quantity]]*(1-tblTransactions[[#This Row],[Discount]]))</f>
        <v>11130.675999999999</v>
      </c>
      <c r="N1689" s="3">
        <f>tblTransactions[[#This Row],[Profit]]/tblTransactions[[#This Row],[Total_Amount]]</f>
        <v>0.30825332065315825</v>
      </c>
      <c r="O1689" t="str">
        <f>TEXT(tblTransactions[[#This Row],[Date]], "MMM-YYYY")</f>
        <v>Dec-2023</v>
      </c>
      <c r="P1689" t="str">
        <f>"Q"&amp;ROUNDUP(MONTH(tblTransactions[[#This Row],[Date]])/3,0)&amp;"-"&amp;YEAR(tblTransactions[[#This Row],[Date]])</f>
        <v>Q4-2023</v>
      </c>
      <c r="Q1689">
        <f>YEAR(tblTransactions[[#This Row],[Date]])</f>
        <v>2023</v>
      </c>
      <c r="R1689" t="str">
        <f>TEXT(tblTransactions[[#This Row],[Date]],"DDDD")</f>
        <v>Tuesday</v>
      </c>
      <c r="S1689">
        <f>MONTH(tblTransactions[[#This Row],[Date]])</f>
        <v>12</v>
      </c>
      <c r="T1689" t="str">
        <f>VLOOKUP(E1689, Products!$A:$B,2,0)</f>
        <v>Phones Ele-2</v>
      </c>
      <c r="U1689" t="str">
        <f>VLOOKUP(E1689,Products!$A:$C,3,0)</f>
        <v>Electronics</v>
      </c>
      <c r="V1689" t="str">
        <f>VLOOKUP(E1689,Products!$A:$D,4,0)</f>
        <v>Phones</v>
      </c>
      <c r="W1689" t="str">
        <f>VLOOKUP(D1689,Customers!$A:$C,3,0)</f>
        <v>Enterprise</v>
      </c>
      <c r="X1689" t="str">
        <f>VLOOKUP(C1689,Sales_Representatives!$A:$B,2,0)</f>
        <v>Michael Davis</v>
      </c>
    </row>
    <row r="1690" spans="1:24" x14ac:dyDescent="0.3">
      <c r="A1690" t="s">
        <v>2445</v>
      </c>
      <c r="B1690" t="s">
        <v>2443</v>
      </c>
      <c r="C1690" t="s">
        <v>127</v>
      </c>
      <c r="D1690" t="s">
        <v>2446</v>
      </c>
      <c r="E1690" t="s">
        <v>87</v>
      </c>
      <c r="F1690">
        <v>9</v>
      </c>
      <c r="G1690">
        <v>1047.8900000000001</v>
      </c>
      <c r="H1690">
        <v>0.12</v>
      </c>
      <c r="I1690" s="4">
        <v>8299.2900000000009</v>
      </c>
      <c r="J1690" t="s">
        <v>109</v>
      </c>
      <c r="K1690" t="s">
        <v>22</v>
      </c>
      <c r="L1690" s="4">
        <f>VLOOKUP(tblTransactions[[#This Row],[Product_ID]],tblProducts[],5,FALSE)</f>
        <v>742.63</v>
      </c>
      <c r="M1690" s="4">
        <f>tblTransactions[[#This Row],[Total_Amount]]-(tblTransactions[[#This Row],[Cost_Prices]]*tblTransactions[[#This Row],[Quantity]]*(1-tblTransactions[[#This Row],[Discount]]))</f>
        <v>2417.6604000000007</v>
      </c>
      <c r="N1690" s="3">
        <f>tblTransactions[[#This Row],[Profit]]/tblTransactions[[#This Row],[Total_Amount]]</f>
        <v>0.29130930477185402</v>
      </c>
      <c r="O1690" t="str">
        <f>TEXT(tblTransactions[[#This Row],[Date]], "MMM-YYYY")</f>
        <v>Dec-2023</v>
      </c>
      <c r="P1690" t="str">
        <f>"Q"&amp;ROUNDUP(MONTH(tblTransactions[[#This Row],[Date]])/3,0)&amp;"-"&amp;YEAR(tblTransactions[[#This Row],[Date]])</f>
        <v>Q4-2023</v>
      </c>
      <c r="Q1690">
        <f>YEAR(tblTransactions[[#This Row],[Date]])</f>
        <v>2023</v>
      </c>
      <c r="R1690" t="str">
        <f>TEXT(tblTransactions[[#This Row],[Date]],"DDDD")</f>
        <v>Tuesday</v>
      </c>
      <c r="S1690">
        <f>MONTH(tblTransactions[[#This Row],[Date]])</f>
        <v>12</v>
      </c>
      <c r="T1690" t="str">
        <f>VLOOKUP(E1690, Products!$A:$B,2,0)</f>
        <v>Monitors Tec-2</v>
      </c>
      <c r="U1690" t="str">
        <f>VLOOKUP(E1690,Products!$A:$C,3,0)</f>
        <v>Technology</v>
      </c>
      <c r="V1690" t="str">
        <f>VLOOKUP(E1690,Products!$A:$D,4,0)</f>
        <v>Monitors</v>
      </c>
      <c r="W1690" t="str">
        <f>VLOOKUP(D1690,Customers!$A:$C,3,0)</f>
        <v>B2B</v>
      </c>
      <c r="X1690" t="str">
        <f>VLOOKUP(C1690,Sales_Representatives!$A:$B,2,0)</f>
        <v>Emily Hernandez</v>
      </c>
    </row>
    <row r="1691" spans="1:24" x14ac:dyDescent="0.3">
      <c r="A1691" t="s">
        <v>2447</v>
      </c>
      <c r="B1691" t="s">
        <v>2443</v>
      </c>
      <c r="C1691" t="s">
        <v>41</v>
      </c>
      <c r="D1691" t="s">
        <v>2000</v>
      </c>
      <c r="E1691" t="s">
        <v>105</v>
      </c>
      <c r="F1691">
        <v>14</v>
      </c>
      <c r="G1691">
        <v>1342.04</v>
      </c>
      <c r="H1691">
        <v>0.19</v>
      </c>
      <c r="I1691" s="4">
        <v>15218.73</v>
      </c>
      <c r="J1691" t="s">
        <v>44</v>
      </c>
      <c r="K1691" t="s">
        <v>35</v>
      </c>
      <c r="L1691" s="4">
        <f>VLOOKUP(tblTransactions[[#This Row],[Product_ID]],tblProducts[],5,FALSE)</f>
        <v>792.89</v>
      </c>
      <c r="M1691" s="4">
        <f>tblTransactions[[#This Row],[Total_Amount]]-(tblTransactions[[#This Row],[Cost_Prices]]*tblTransactions[[#This Row],[Quantity]]*(1-tblTransactions[[#This Row],[Discount]]))</f>
        <v>6227.357399999999</v>
      </c>
      <c r="N1691" s="3">
        <f>tblTransactions[[#This Row],[Profit]]/tblTransactions[[#This Row],[Total_Amount]]</f>
        <v>0.40919034636924362</v>
      </c>
      <c r="O1691" t="str">
        <f>TEXT(tblTransactions[[#This Row],[Date]], "MMM-YYYY")</f>
        <v>Dec-2023</v>
      </c>
      <c r="P1691" t="str">
        <f>"Q"&amp;ROUNDUP(MONTH(tblTransactions[[#This Row],[Date]])/3,0)&amp;"-"&amp;YEAR(tblTransactions[[#This Row],[Date]])</f>
        <v>Q4-2023</v>
      </c>
      <c r="Q1691">
        <f>YEAR(tblTransactions[[#This Row],[Date]])</f>
        <v>2023</v>
      </c>
      <c r="R1691" t="str">
        <f>TEXT(tblTransactions[[#This Row],[Date]],"DDDD")</f>
        <v>Tuesday</v>
      </c>
      <c r="S1691">
        <f>MONTH(tblTransactions[[#This Row],[Date]])</f>
        <v>12</v>
      </c>
      <c r="T1691" t="str">
        <f>VLOOKUP(E1691, Products!$A:$B,2,0)</f>
        <v>Cameras Ele-1</v>
      </c>
      <c r="U1691" t="str">
        <f>VLOOKUP(E1691,Products!$A:$C,3,0)</f>
        <v>Electronics</v>
      </c>
      <c r="V1691" t="str">
        <f>VLOOKUP(E1691,Products!$A:$D,4,0)</f>
        <v>Cameras</v>
      </c>
      <c r="W1691" t="str">
        <f>VLOOKUP(D1691,Customers!$A:$C,3,0)</f>
        <v>B2B</v>
      </c>
      <c r="X1691" t="str">
        <f>VLOOKUP(C1691,Sales_Representatives!$A:$B,2,0)</f>
        <v>Robert Jones</v>
      </c>
    </row>
    <row r="1692" spans="1:24" x14ac:dyDescent="0.3">
      <c r="A1692" t="s">
        <v>2448</v>
      </c>
      <c r="B1692" t="s">
        <v>2443</v>
      </c>
      <c r="C1692" t="s">
        <v>63</v>
      </c>
      <c r="D1692" t="s">
        <v>2449</v>
      </c>
      <c r="E1692" t="s">
        <v>113</v>
      </c>
      <c r="F1692">
        <v>5</v>
      </c>
      <c r="G1692">
        <v>930.41</v>
      </c>
      <c r="H1692">
        <v>0.1</v>
      </c>
      <c r="I1692" s="4">
        <v>4186.84</v>
      </c>
      <c r="J1692" t="s">
        <v>21</v>
      </c>
      <c r="K1692" t="s">
        <v>35</v>
      </c>
      <c r="L1692" s="4">
        <f>VLOOKUP(tblTransactions[[#This Row],[Product_ID]],tblProducts[],5,FALSE)</f>
        <v>595.51</v>
      </c>
      <c r="M1692" s="4">
        <f>tblTransactions[[#This Row],[Total_Amount]]-(tblTransactions[[#This Row],[Cost_Prices]]*tblTransactions[[#This Row],[Quantity]]*(1-tblTransactions[[#This Row],[Discount]]))</f>
        <v>1507.0450000000001</v>
      </c>
      <c r="N1692" s="3">
        <f>tblTransactions[[#This Row],[Profit]]/tblTransactions[[#This Row],[Total_Amount]]</f>
        <v>0.35994807539815232</v>
      </c>
      <c r="O1692" t="str">
        <f>TEXT(tblTransactions[[#This Row],[Date]], "MMM-YYYY")</f>
        <v>Dec-2023</v>
      </c>
      <c r="P1692" t="str">
        <f>"Q"&amp;ROUNDUP(MONTH(tblTransactions[[#This Row],[Date]])/3,0)&amp;"-"&amp;YEAR(tblTransactions[[#This Row],[Date]])</f>
        <v>Q4-2023</v>
      </c>
      <c r="Q1692">
        <f>YEAR(tblTransactions[[#This Row],[Date]])</f>
        <v>2023</v>
      </c>
      <c r="R1692" t="str">
        <f>TEXT(tblTransactions[[#This Row],[Date]],"DDDD")</f>
        <v>Tuesday</v>
      </c>
      <c r="S1692">
        <f>MONTH(tblTransactions[[#This Row],[Date]])</f>
        <v>12</v>
      </c>
      <c r="T1692" t="str">
        <f>VLOOKUP(E1692, Products!$A:$B,2,0)</f>
        <v>Phones Ele-1</v>
      </c>
      <c r="U1692" t="str">
        <f>VLOOKUP(E1692,Products!$A:$C,3,0)</f>
        <v>Electronics</v>
      </c>
      <c r="V1692" t="str">
        <f>VLOOKUP(E1692,Products!$A:$D,4,0)</f>
        <v>Phones</v>
      </c>
      <c r="W1692" t="str">
        <f>VLOOKUP(D1692,Customers!$A:$C,3,0)</f>
        <v>B2B</v>
      </c>
      <c r="X1692" t="str">
        <f>VLOOKUP(C1692,Sales_Representatives!$A:$B,2,0)</f>
        <v>Richard Wilson</v>
      </c>
    </row>
    <row r="1693" spans="1:24" x14ac:dyDescent="0.3">
      <c r="A1693" t="s">
        <v>2450</v>
      </c>
      <c r="B1693" t="s">
        <v>2443</v>
      </c>
      <c r="C1693" t="s">
        <v>13</v>
      </c>
      <c r="D1693" t="s">
        <v>2451</v>
      </c>
      <c r="E1693" t="s">
        <v>299</v>
      </c>
      <c r="F1693">
        <v>13</v>
      </c>
      <c r="G1693">
        <v>963.44</v>
      </c>
      <c r="H1693">
        <v>0.13</v>
      </c>
      <c r="I1693" s="4">
        <v>10896.51</v>
      </c>
      <c r="J1693" t="s">
        <v>16</v>
      </c>
      <c r="K1693" t="s">
        <v>17</v>
      </c>
      <c r="L1693" s="4">
        <f>VLOOKUP(tblTransactions[[#This Row],[Product_ID]],tblProducts[],5,FALSE)</f>
        <v>578.96</v>
      </c>
      <c r="M1693" s="4">
        <f>tblTransactions[[#This Row],[Total_Amount]]-(tblTransactions[[#This Row],[Cost_Prices]]*tblTransactions[[#This Row],[Quantity]]*(1-tblTransactions[[#This Row],[Discount]]))</f>
        <v>4348.4723999999997</v>
      </c>
      <c r="N1693" s="3">
        <f>tblTransactions[[#This Row],[Profit]]/tblTransactions[[#This Row],[Total_Amount]]</f>
        <v>0.39907019770550384</v>
      </c>
      <c r="O1693" t="str">
        <f>TEXT(tblTransactions[[#This Row],[Date]], "MMM-YYYY")</f>
        <v>Dec-2023</v>
      </c>
      <c r="P1693" t="str">
        <f>"Q"&amp;ROUNDUP(MONTH(tblTransactions[[#This Row],[Date]])/3,0)&amp;"-"&amp;YEAR(tblTransactions[[#This Row],[Date]])</f>
        <v>Q4-2023</v>
      </c>
      <c r="Q1693">
        <f>YEAR(tblTransactions[[#This Row],[Date]])</f>
        <v>2023</v>
      </c>
      <c r="R1693" t="str">
        <f>TEXT(tblTransactions[[#This Row],[Date]],"DDDD")</f>
        <v>Tuesday</v>
      </c>
      <c r="S1693">
        <f>MONTH(tblTransactions[[#This Row],[Date]])</f>
        <v>12</v>
      </c>
      <c r="T1693" t="str">
        <f>VLOOKUP(E1693, Products!$A:$B,2,0)</f>
        <v>Chairs Fur-4</v>
      </c>
      <c r="U1693" t="str">
        <f>VLOOKUP(E1693,Products!$A:$C,3,0)</f>
        <v>Furniture</v>
      </c>
      <c r="V1693" t="str">
        <f>VLOOKUP(E1693,Products!$A:$D,4,0)</f>
        <v>Chairs</v>
      </c>
      <c r="W1693" t="str">
        <f>VLOOKUP(D1693,Customers!$A:$C,3,0)</f>
        <v>B2B</v>
      </c>
      <c r="X1693" t="str">
        <f>VLOOKUP(C1693,Sales_Representatives!$A:$B,2,0)</f>
        <v>Jennifer Rodriguez</v>
      </c>
    </row>
    <row r="1694" spans="1:24" x14ac:dyDescent="0.3">
      <c r="A1694" t="s">
        <v>2452</v>
      </c>
      <c r="B1694" t="s">
        <v>2443</v>
      </c>
      <c r="C1694" t="s">
        <v>141</v>
      </c>
      <c r="D1694" t="s">
        <v>1934</v>
      </c>
      <c r="E1694" t="s">
        <v>96</v>
      </c>
      <c r="F1694">
        <v>4</v>
      </c>
      <c r="G1694">
        <v>751.9</v>
      </c>
      <c r="H1694">
        <v>0.03</v>
      </c>
      <c r="I1694" s="4">
        <v>2917.37</v>
      </c>
      <c r="J1694" t="s">
        <v>109</v>
      </c>
      <c r="K1694" t="s">
        <v>17</v>
      </c>
      <c r="L1694" s="4">
        <f>VLOOKUP(tblTransactions[[#This Row],[Product_ID]],tblProducts[],5,FALSE)</f>
        <v>570.29</v>
      </c>
      <c r="M1694" s="4">
        <f>tblTransactions[[#This Row],[Total_Amount]]-(tblTransactions[[#This Row],[Cost_Prices]]*tblTransactions[[#This Row],[Quantity]]*(1-tblTransactions[[#This Row],[Discount]]))</f>
        <v>704.64480000000003</v>
      </c>
      <c r="N1694" s="3">
        <f>tblTransactions[[#This Row],[Profit]]/tblTransactions[[#This Row],[Total_Amount]]</f>
        <v>0.24153425859592717</v>
      </c>
      <c r="O1694" t="str">
        <f>TEXT(tblTransactions[[#This Row],[Date]], "MMM-YYYY")</f>
        <v>Dec-2023</v>
      </c>
      <c r="P1694" t="str">
        <f>"Q"&amp;ROUNDUP(MONTH(tblTransactions[[#This Row],[Date]])/3,0)&amp;"-"&amp;YEAR(tblTransactions[[#This Row],[Date]])</f>
        <v>Q4-2023</v>
      </c>
      <c r="Q1694">
        <f>YEAR(tblTransactions[[#This Row],[Date]])</f>
        <v>2023</v>
      </c>
      <c r="R1694" t="str">
        <f>TEXT(tblTransactions[[#This Row],[Date]],"DDDD")</f>
        <v>Tuesday</v>
      </c>
      <c r="S1694">
        <f>MONTH(tblTransactions[[#This Row],[Date]])</f>
        <v>12</v>
      </c>
      <c r="T1694" t="str">
        <f>VLOOKUP(E1694, Products!$A:$B,2,0)</f>
        <v>Routers Tec-1</v>
      </c>
      <c r="U1694" t="str">
        <f>VLOOKUP(E1694,Products!$A:$C,3,0)</f>
        <v>Technology</v>
      </c>
      <c r="V1694" t="str">
        <f>VLOOKUP(E1694,Products!$A:$D,4,0)</f>
        <v>Routers</v>
      </c>
      <c r="W1694" t="str">
        <f>VLOOKUP(D1694,Customers!$A:$C,3,0)</f>
        <v>B2C</v>
      </c>
      <c r="X1694" t="str">
        <f>VLOOKUP(C1694,Sales_Representatives!$A:$B,2,0)</f>
        <v>Richard Garcia</v>
      </c>
    </row>
    <row r="1695" spans="1:24" x14ac:dyDescent="0.3">
      <c r="A1695" t="s">
        <v>2453</v>
      </c>
      <c r="B1695" t="s">
        <v>2443</v>
      </c>
      <c r="C1695" t="s">
        <v>75</v>
      </c>
      <c r="D1695" t="s">
        <v>1643</v>
      </c>
      <c r="E1695" t="s">
        <v>221</v>
      </c>
      <c r="F1695">
        <v>1</v>
      </c>
      <c r="G1695">
        <v>210.02</v>
      </c>
      <c r="H1695">
        <v>7.0000000000000007E-2</v>
      </c>
      <c r="I1695" s="4">
        <v>195.32</v>
      </c>
      <c r="J1695" t="s">
        <v>44</v>
      </c>
      <c r="K1695" t="s">
        <v>22</v>
      </c>
      <c r="L1695" s="4">
        <f>VLOOKUP(tblTransactions[[#This Row],[Product_ID]],tblProducts[],5,FALSE)</f>
        <v>131.66</v>
      </c>
      <c r="M1695" s="4">
        <f>tblTransactions[[#This Row],[Total_Amount]]-(tblTransactions[[#This Row],[Cost_Prices]]*tblTransactions[[#This Row],[Quantity]]*(1-tblTransactions[[#This Row],[Discount]]))</f>
        <v>72.876200000000011</v>
      </c>
      <c r="N1695" s="3">
        <f>tblTransactions[[#This Row],[Profit]]/tblTransactions[[#This Row],[Total_Amount]]</f>
        <v>0.37311181650624625</v>
      </c>
      <c r="O1695" t="str">
        <f>TEXT(tblTransactions[[#This Row],[Date]], "MMM-YYYY")</f>
        <v>Dec-2023</v>
      </c>
      <c r="P1695" t="str">
        <f>"Q"&amp;ROUNDUP(MONTH(tblTransactions[[#This Row],[Date]])/3,0)&amp;"-"&amp;YEAR(tblTransactions[[#This Row],[Date]])</f>
        <v>Q4-2023</v>
      </c>
      <c r="Q1695">
        <f>YEAR(tblTransactions[[#This Row],[Date]])</f>
        <v>2023</v>
      </c>
      <c r="R1695" t="str">
        <f>TEXT(tblTransactions[[#This Row],[Date]],"DDDD")</f>
        <v>Tuesday</v>
      </c>
      <c r="S1695">
        <f>MONTH(tblTransactions[[#This Row],[Date]])</f>
        <v>12</v>
      </c>
      <c r="T1695" t="str">
        <f>VLOOKUP(E1695, Products!$A:$B,2,0)</f>
        <v>Storage Fur-2</v>
      </c>
      <c r="U1695" t="str">
        <f>VLOOKUP(E1695,Products!$A:$C,3,0)</f>
        <v>Furniture</v>
      </c>
      <c r="V1695" t="str">
        <f>VLOOKUP(E1695,Products!$A:$D,4,0)</f>
        <v>Storage</v>
      </c>
      <c r="W1695" t="str">
        <f>VLOOKUP(D1695,Customers!$A:$C,3,0)</f>
        <v>B2C</v>
      </c>
      <c r="X1695" t="str">
        <f>VLOOKUP(C1695,Sales_Representatives!$A:$B,2,0)</f>
        <v>Jessica Anderson</v>
      </c>
    </row>
    <row r="1696" spans="1:24" x14ac:dyDescent="0.3">
      <c r="A1696" t="s">
        <v>2454</v>
      </c>
      <c r="B1696" t="s">
        <v>2443</v>
      </c>
      <c r="C1696" t="s">
        <v>19</v>
      </c>
      <c r="D1696" t="s">
        <v>2065</v>
      </c>
      <c r="E1696" t="s">
        <v>324</v>
      </c>
      <c r="F1696">
        <v>17</v>
      </c>
      <c r="G1696">
        <v>245.76</v>
      </c>
      <c r="H1696">
        <v>0.16</v>
      </c>
      <c r="I1696" s="4">
        <v>3509.45</v>
      </c>
      <c r="J1696" t="s">
        <v>21</v>
      </c>
      <c r="K1696" t="s">
        <v>17</v>
      </c>
      <c r="L1696" s="4">
        <f>VLOOKUP(tblTransactions[[#This Row],[Product_ID]],tblProducts[],5,FALSE)</f>
        <v>161.94</v>
      </c>
      <c r="M1696" s="4">
        <f>tblTransactions[[#This Row],[Total_Amount]]-(tblTransactions[[#This Row],[Cost_Prices]]*tblTransactions[[#This Row],[Quantity]]*(1-tblTransactions[[#This Row],[Discount]]))</f>
        <v>1196.9467999999997</v>
      </c>
      <c r="N1696" s="3">
        <f>tblTransactions[[#This Row],[Profit]]/tblTransactions[[#This Row],[Total_Amount]]</f>
        <v>0.34106392739603064</v>
      </c>
      <c r="O1696" t="str">
        <f>TEXT(tblTransactions[[#This Row],[Date]], "MMM-YYYY")</f>
        <v>Dec-2023</v>
      </c>
      <c r="P1696" t="str">
        <f>"Q"&amp;ROUNDUP(MONTH(tblTransactions[[#This Row],[Date]])/3,0)&amp;"-"&amp;YEAR(tblTransactions[[#This Row],[Date]])</f>
        <v>Q4-2023</v>
      </c>
      <c r="Q1696">
        <f>YEAR(tblTransactions[[#This Row],[Date]])</f>
        <v>2023</v>
      </c>
      <c r="R1696" t="str">
        <f>TEXT(tblTransactions[[#This Row],[Date]],"DDDD")</f>
        <v>Tuesday</v>
      </c>
      <c r="S1696">
        <f>MONTH(tblTransactions[[#This Row],[Date]])</f>
        <v>12</v>
      </c>
      <c r="T1696" t="str">
        <f>VLOOKUP(E1696, Products!$A:$B,2,0)</f>
        <v>Storage Fur-1</v>
      </c>
      <c r="U1696" t="str">
        <f>VLOOKUP(E1696,Products!$A:$C,3,0)</f>
        <v>Furniture</v>
      </c>
      <c r="V1696" t="str">
        <f>VLOOKUP(E1696,Products!$A:$D,4,0)</f>
        <v>Storage</v>
      </c>
      <c r="W1696" t="str">
        <f>VLOOKUP(D1696,Customers!$A:$C,3,0)</f>
        <v>B2B</v>
      </c>
      <c r="X1696" t="str">
        <f>VLOOKUP(C1696,Sales_Representatives!$A:$B,2,0)</f>
        <v>Robert Jones</v>
      </c>
    </row>
    <row r="1697" spans="1:24" x14ac:dyDescent="0.3">
      <c r="A1697" t="s">
        <v>2455</v>
      </c>
      <c r="B1697" t="s">
        <v>2456</v>
      </c>
      <c r="C1697" t="s">
        <v>63</v>
      </c>
      <c r="D1697" t="s">
        <v>203</v>
      </c>
      <c r="E1697" t="s">
        <v>204</v>
      </c>
      <c r="F1697">
        <v>25</v>
      </c>
      <c r="G1697">
        <v>715.62</v>
      </c>
      <c r="H1697">
        <v>0.17</v>
      </c>
      <c r="I1697" s="4">
        <v>14849.12</v>
      </c>
      <c r="J1697" t="s">
        <v>21</v>
      </c>
      <c r="K1697" t="s">
        <v>17</v>
      </c>
      <c r="L1697" s="4">
        <f>VLOOKUP(tblTransactions[[#This Row],[Product_ID]],tblProducts[],5,FALSE)</f>
        <v>459.58</v>
      </c>
      <c r="M1697" s="4">
        <f>tblTransactions[[#This Row],[Total_Amount]]-(tblTransactions[[#This Row],[Cost_Prices]]*tblTransactions[[#This Row],[Quantity]]*(1-tblTransactions[[#This Row],[Discount]]))</f>
        <v>5312.8350000000009</v>
      </c>
      <c r="N1697" s="3">
        <f>tblTransactions[[#This Row],[Profit]]/tblTransactions[[#This Row],[Total_Amount]]</f>
        <v>0.35778786891075032</v>
      </c>
      <c r="O1697" t="str">
        <f>TEXT(tblTransactions[[#This Row],[Date]], "MMM-YYYY")</f>
        <v>Dec-2023</v>
      </c>
      <c r="P1697" t="str">
        <f>"Q"&amp;ROUNDUP(MONTH(tblTransactions[[#This Row],[Date]])/3,0)&amp;"-"&amp;YEAR(tblTransactions[[#This Row],[Date]])</f>
        <v>Q4-2023</v>
      </c>
      <c r="Q1697">
        <f>YEAR(tblTransactions[[#This Row],[Date]])</f>
        <v>2023</v>
      </c>
      <c r="R1697" t="str">
        <f>TEXT(tblTransactions[[#This Row],[Date]],"DDDD")</f>
        <v>Wednesday</v>
      </c>
      <c r="S1697">
        <f>MONTH(tblTransactions[[#This Row],[Date]])</f>
        <v>12</v>
      </c>
      <c r="T1697" t="str">
        <f>VLOOKUP(E1697, Products!$A:$B,2,0)</f>
        <v>Cameras Ele-2</v>
      </c>
      <c r="U1697" t="str">
        <f>VLOOKUP(E1697,Products!$A:$C,3,0)</f>
        <v>Electronics</v>
      </c>
      <c r="V1697" t="str">
        <f>VLOOKUP(E1697,Products!$A:$D,4,0)</f>
        <v>Cameras</v>
      </c>
      <c r="W1697" t="str">
        <f>VLOOKUP(D1697,Customers!$A:$C,3,0)</f>
        <v>Enterprise</v>
      </c>
      <c r="X1697" t="str">
        <f>VLOOKUP(C1697,Sales_Representatives!$A:$B,2,0)</f>
        <v>Richard Wilson</v>
      </c>
    </row>
    <row r="1698" spans="1:24" x14ac:dyDescent="0.3">
      <c r="A1698" t="s">
        <v>2457</v>
      </c>
      <c r="B1698" t="s">
        <v>2456</v>
      </c>
      <c r="C1698" t="s">
        <v>56</v>
      </c>
      <c r="D1698" t="s">
        <v>1520</v>
      </c>
      <c r="E1698" t="s">
        <v>243</v>
      </c>
      <c r="F1698">
        <v>2</v>
      </c>
      <c r="G1698">
        <v>384.18</v>
      </c>
      <c r="H1698">
        <v>0.08</v>
      </c>
      <c r="I1698" s="4">
        <v>706.89</v>
      </c>
      <c r="J1698" t="s">
        <v>34</v>
      </c>
      <c r="K1698" t="s">
        <v>22</v>
      </c>
      <c r="L1698" s="4">
        <f>VLOOKUP(tblTransactions[[#This Row],[Product_ID]],tblProducts[],5,FALSE)</f>
        <v>266.92</v>
      </c>
      <c r="M1698" s="4">
        <f>tblTransactions[[#This Row],[Total_Amount]]-(tblTransactions[[#This Row],[Cost_Prices]]*tblTransactions[[#This Row],[Quantity]]*(1-tblTransactions[[#This Row],[Discount]]))</f>
        <v>215.75719999999995</v>
      </c>
      <c r="N1698" s="3">
        <f>tblTransactions[[#This Row],[Profit]]/tblTransactions[[#This Row],[Total_Amount]]</f>
        <v>0.30522033131038767</v>
      </c>
      <c r="O1698" t="str">
        <f>TEXT(tblTransactions[[#This Row],[Date]], "MMM-YYYY")</f>
        <v>Dec-2023</v>
      </c>
      <c r="P1698" t="str">
        <f>"Q"&amp;ROUNDUP(MONTH(tblTransactions[[#This Row],[Date]])/3,0)&amp;"-"&amp;YEAR(tblTransactions[[#This Row],[Date]])</f>
        <v>Q4-2023</v>
      </c>
      <c r="Q1698">
        <f>YEAR(tblTransactions[[#This Row],[Date]])</f>
        <v>2023</v>
      </c>
      <c r="R1698" t="str">
        <f>TEXT(tblTransactions[[#This Row],[Date]],"DDDD")</f>
        <v>Wednesday</v>
      </c>
      <c r="S1698">
        <f>MONTH(tblTransactions[[#This Row],[Date]])</f>
        <v>12</v>
      </c>
      <c r="T1698" t="str">
        <f>VLOOKUP(E1698, Products!$A:$B,2,0)</f>
        <v>Routers Tec-3</v>
      </c>
      <c r="U1698" t="str">
        <f>VLOOKUP(E1698,Products!$A:$C,3,0)</f>
        <v>Technology</v>
      </c>
      <c r="V1698" t="str">
        <f>VLOOKUP(E1698,Products!$A:$D,4,0)</f>
        <v>Routers</v>
      </c>
      <c r="W1698" t="str">
        <f>VLOOKUP(D1698,Customers!$A:$C,3,0)</f>
        <v>B2C</v>
      </c>
      <c r="X1698" t="str">
        <f>VLOOKUP(C1698,Sales_Representatives!$A:$B,2,0)</f>
        <v>Thomas Hernandez</v>
      </c>
    </row>
    <row r="1699" spans="1:24" x14ac:dyDescent="0.3">
      <c r="A1699" t="s">
        <v>2458</v>
      </c>
      <c r="B1699" t="s">
        <v>2456</v>
      </c>
      <c r="C1699" t="s">
        <v>75</v>
      </c>
      <c r="D1699" t="s">
        <v>76</v>
      </c>
      <c r="E1699" t="s">
        <v>96</v>
      </c>
      <c r="F1699">
        <v>4</v>
      </c>
      <c r="G1699">
        <v>751.9</v>
      </c>
      <c r="H1699">
        <v>0.02</v>
      </c>
      <c r="I1699" s="4">
        <v>2947.45</v>
      </c>
      <c r="J1699" t="s">
        <v>44</v>
      </c>
      <c r="K1699" t="s">
        <v>22</v>
      </c>
      <c r="L1699" s="4">
        <f>VLOOKUP(tblTransactions[[#This Row],[Product_ID]],tblProducts[],5,FALSE)</f>
        <v>570.29</v>
      </c>
      <c r="M1699" s="4">
        <f>tblTransactions[[#This Row],[Total_Amount]]-(tblTransactions[[#This Row],[Cost_Prices]]*tblTransactions[[#This Row],[Quantity]]*(1-tblTransactions[[#This Row],[Discount]]))</f>
        <v>711.91319999999996</v>
      </c>
      <c r="N1699" s="3">
        <f>tblTransactions[[#This Row],[Profit]]/tblTransactions[[#This Row],[Total_Amount]]</f>
        <v>0.24153529321956269</v>
      </c>
      <c r="O1699" t="str">
        <f>TEXT(tblTransactions[[#This Row],[Date]], "MMM-YYYY")</f>
        <v>Dec-2023</v>
      </c>
      <c r="P1699" t="str">
        <f>"Q"&amp;ROUNDUP(MONTH(tblTransactions[[#This Row],[Date]])/3,0)&amp;"-"&amp;YEAR(tblTransactions[[#This Row],[Date]])</f>
        <v>Q4-2023</v>
      </c>
      <c r="Q1699">
        <f>YEAR(tblTransactions[[#This Row],[Date]])</f>
        <v>2023</v>
      </c>
      <c r="R1699" t="str">
        <f>TEXT(tblTransactions[[#This Row],[Date]],"DDDD")</f>
        <v>Wednesday</v>
      </c>
      <c r="S1699">
        <f>MONTH(tblTransactions[[#This Row],[Date]])</f>
        <v>12</v>
      </c>
      <c r="T1699" t="str">
        <f>VLOOKUP(E1699, Products!$A:$B,2,0)</f>
        <v>Routers Tec-1</v>
      </c>
      <c r="U1699" t="str">
        <f>VLOOKUP(E1699,Products!$A:$C,3,0)</f>
        <v>Technology</v>
      </c>
      <c r="V1699" t="str">
        <f>VLOOKUP(E1699,Products!$A:$D,4,0)</f>
        <v>Routers</v>
      </c>
      <c r="W1699" t="str">
        <f>VLOOKUP(D1699,Customers!$A:$C,3,0)</f>
        <v>Small Business</v>
      </c>
      <c r="X1699" t="str">
        <f>VLOOKUP(C1699,Sales_Representatives!$A:$B,2,0)</f>
        <v>Jessica Anderson</v>
      </c>
    </row>
    <row r="1700" spans="1:24" x14ac:dyDescent="0.3">
      <c r="A1700" t="s">
        <v>2459</v>
      </c>
      <c r="B1700" t="s">
        <v>2456</v>
      </c>
      <c r="C1700" t="s">
        <v>13</v>
      </c>
      <c r="D1700" t="s">
        <v>1756</v>
      </c>
      <c r="E1700" t="s">
        <v>172</v>
      </c>
      <c r="F1700">
        <v>2</v>
      </c>
      <c r="G1700">
        <v>1371.15</v>
      </c>
      <c r="H1700">
        <v>0.05</v>
      </c>
      <c r="I1700" s="4">
        <v>2605.19</v>
      </c>
      <c r="J1700" t="s">
        <v>16</v>
      </c>
      <c r="K1700" t="s">
        <v>48</v>
      </c>
      <c r="L1700" s="4">
        <f>VLOOKUP(tblTransactions[[#This Row],[Product_ID]],tblProducts[],5,FALSE)</f>
        <v>989.81</v>
      </c>
      <c r="M1700" s="4">
        <f>tblTransactions[[#This Row],[Total_Amount]]-(tblTransactions[[#This Row],[Cost_Prices]]*tblTransactions[[#This Row],[Quantity]]*(1-tblTransactions[[#This Row],[Discount]]))</f>
        <v>724.55100000000016</v>
      </c>
      <c r="N1700" s="3">
        <f>tblTransactions[[#This Row],[Profit]]/tblTransactions[[#This Row],[Total_Amount]]</f>
        <v>0.27811829463494031</v>
      </c>
      <c r="O1700" t="str">
        <f>TEXT(tblTransactions[[#This Row],[Date]], "MMM-YYYY")</f>
        <v>Dec-2023</v>
      </c>
      <c r="P1700" t="str">
        <f>"Q"&amp;ROUNDUP(MONTH(tblTransactions[[#This Row],[Date]])/3,0)&amp;"-"&amp;YEAR(tblTransactions[[#This Row],[Date]])</f>
        <v>Q4-2023</v>
      </c>
      <c r="Q1700">
        <f>YEAR(tblTransactions[[#This Row],[Date]])</f>
        <v>2023</v>
      </c>
      <c r="R1700" t="str">
        <f>TEXT(tblTransactions[[#This Row],[Date]],"DDDD")</f>
        <v>Wednesday</v>
      </c>
      <c r="S1700">
        <f>MONTH(tblTransactions[[#This Row],[Date]])</f>
        <v>12</v>
      </c>
      <c r="T1700" t="str">
        <f>VLOOKUP(E1700, Products!$A:$B,2,0)</f>
        <v>Cameras Ele-4</v>
      </c>
      <c r="U1700" t="str">
        <f>VLOOKUP(E1700,Products!$A:$C,3,0)</f>
        <v>Electronics</v>
      </c>
      <c r="V1700" t="str">
        <f>VLOOKUP(E1700,Products!$A:$D,4,0)</f>
        <v>Cameras</v>
      </c>
      <c r="W1700" t="str">
        <f>VLOOKUP(D1700,Customers!$A:$C,3,0)</f>
        <v>B2C</v>
      </c>
      <c r="X1700" t="str">
        <f>VLOOKUP(C1700,Sales_Representatives!$A:$B,2,0)</f>
        <v>Jennifer Rodriguez</v>
      </c>
    </row>
    <row r="1701" spans="1:24" x14ac:dyDescent="0.3">
      <c r="A1701" t="s">
        <v>2460</v>
      </c>
      <c r="B1701" t="s">
        <v>2456</v>
      </c>
      <c r="C1701" t="s">
        <v>31</v>
      </c>
      <c r="D1701" t="s">
        <v>288</v>
      </c>
      <c r="E1701" t="s">
        <v>204</v>
      </c>
      <c r="F1701">
        <v>1</v>
      </c>
      <c r="G1701">
        <v>715.62</v>
      </c>
      <c r="H1701">
        <v>0.05</v>
      </c>
      <c r="I1701" s="4">
        <v>679.84</v>
      </c>
      <c r="J1701" t="s">
        <v>34</v>
      </c>
      <c r="K1701" t="s">
        <v>48</v>
      </c>
      <c r="L1701" s="4">
        <f>VLOOKUP(tblTransactions[[#This Row],[Product_ID]],tblProducts[],5,FALSE)</f>
        <v>459.58</v>
      </c>
      <c r="M1701" s="4">
        <f>tblTransactions[[#This Row],[Total_Amount]]-(tblTransactions[[#This Row],[Cost_Prices]]*tblTransactions[[#This Row],[Quantity]]*(1-tblTransactions[[#This Row],[Discount]]))</f>
        <v>243.23900000000009</v>
      </c>
      <c r="N1701" s="3">
        <f>tblTransactions[[#This Row],[Profit]]/tblTransactions[[#This Row],[Total_Amount]]</f>
        <v>0.3577885973170159</v>
      </c>
      <c r="O1701" t="str">
        <f>TEXT(tblTransactions[[#This Row],[Date]], "MMM-YYYY")</f>
        <v>Dec-2023</v>
      </c>
      <c r="P1701" t="str">
        <f>"Q"&amp;ROUNDUP(MONTH(tblTransactions[[#This Row],[Date]])/3,0)&amp;"-"&amp;YEAR(tblTransactions[[#This Row],[Date]])</f>
        <v>Q4-2023</v>
      </c>
      <c r="Q1701">
        <f>YEAR(tblTransactions[[#This Row],[Date]])</f>
        <v>2023</v>
      </c>
      <c r="R1701" t="str">
        <f>TEXT(tblTransactions[[#This Row],[Date]],"DDDD")</f>
        <v>Wednesday</v>
      </c>
      <c r="S1701">
        <f>MONTH(tblTransactions[[#This Row],[Date]])</f>
        <v>12</v>
      </c>
      <c r="T1701" t="str">
        <f>VLOOKUP(E1701, Products!$A:$B,2,0)</f>
        <v>Cameras Ele-2</v>
      </c>
      <c r="U1701" t="str">
        <f>VLOOKUP(E1701,Products!$A:$C,3,0)</f>
        <v>Electronics</v>
      </c>
      <c r="V1701" t="str">
        <f>VLOOKUP(E1701,Products!$A:$D,4,0)</f>
        <v>Cameras</v>
      </c>
      <c r="W1701" t="str">
        <f>VLOOKUP(D1701,Customers!$A:$C,3,0)</f>
        <v>B2C</v>
      </c>
      <c r="X1701" t="str">
        <f>VLOOKUP(C1701,Sales_Representatives!$A:$B,2,0)</f>
        <v>Thomas Martinez</v>
      </c>
    </row>
    <row r="1702" spans="1:24" x14ac:dyDescent="0.3">
      <c r="A1702" t="s">
        <v>2461</v>
      </c>
      <c r="B1702" t="s">
        <v>2456</v>
      </c>
      <c r="C1702" t="s">
        <v>107</v>
      </c>
      <c r="D1702" t="s">
        <v>1854</v>
      </c>
      <c r="E1702" t="s">
        <v>243</v>
      </c>
      <c r="F1702">
        <v>6</v>
      </c>
      <c r="G1702">
        <v>384.18</v>
      </c>
      <c r="H1702">
        <v>0.13</v>
      </c>
      <c r="I1702" s="4">
        <v>2005.42</v>
      </c>
      <c r="J1702" t="s">
        <v>109</v>
      </c>
      <c r="K1702" t="s">
        <v>17</v>
      </c>
      <c r="L1702" s="4">
        <f>VLOOKUP(tblTransactions[[#This Row],[Product_ID]],tblProducts[],5,FALSE)</f>
        <v>266.92</v>
      </c>
      <c r="M1702" s="4">
        <f>tblTransactions[[#This Row],[Total_Amount]]-(tblTransactions[[#This Row],[Cost_Prices]]*tblTransactions[[#This Row],[Quantity]]*(1-tblTransactions[[#This Row],[Discount]]))</f>
        <v>612.09760000000006</v>
      </c>
      <c r="N1702" s="3">
        <f>tblTransactions[[#This Row],[Profit]]/tblTransactions[[#This Row],[Total_Amount]]</f>
        <v>0.30522164933031487</v>
      </c>
      <c r="O1702" t="str">
        <f>TEXT(tblTransactions[[#This Row],[Date]], "MMM-YYYY")</f>
        <v>Dec-2023</v>
      </c>
      <c r="P1702" t="str">
        <f>"Q"&amp;ROUNDUP(MONTH(tblTransactions[[#This Row],[Date]])/3,0)&amp;"-"&amp;YEAR(tblTransactions[[#This Row],[Date]])</f>
        <v>Q4-2023</v>
      </c>
      <c r="Q1702">
        <f>YEAR(tblTransactions[[#This Row],[Date]])</f>
        <v>2023</v>
      </c>
      <c r="R1702" t="str">
        <f>TEXT(tblTransactions[[#This Row],[Date]],"DDDD")</f>
        <v>Wednesday</v>
      </c>
      <c r="S1702">
        <f>MONTH(tblTransactions[[#This Row],[Date]])</f>
        <v>12</v>
      </c>
      <c r="T1702" t="str">
        <f>VLOOKUP(E1702, Products!$A:$B,2,0)</f>
        <v>Routers Tec-3</v>
      </c>
      <c r="U1702" t="str">
        <f>VLOOKUP(E1702,Products!$A:$C,3,0)</f>
        <v>Technology</v>
      </c>
      <c r="V1702" t="str">
        <f>VLOOKUP(E1702,Products!$A:$D,4,0)</f>
        <v>Routers</v>
      </c>
      <c r="W1702" t="str">
        <f>VLOOKUP(D1702,Customers!$A:$C,3,0)</f>
        <v>Small Business</v>
      </c>
      <c r="X1702" t="str">
        <f>VLOOKUP(C1702,Sales_Representatives!$A:$B,2,0)</f>
        <v>Jennifer Brown</v>
      </c>
    </row>
    <row r="1703" spans="1:24" x14ac:dyDescent="0.3">
      <c r="A1703" t="s">
        <v>2462</v>
      </c>
      <c r="B1703" t="s">
        <v>2456</v>
      </c>
      <c r="C1703" t="s">
        <v>70</v>
      </c>
      <c r="D1703" t="s">
        <v>1561</v>
      </c>
      <c r="E1703" t="s">
        <v>102</v>
      </c>
      <c r="F1703">
        <v>3</v>
      </c>
      <c r="G1703">
        <v>1097.75</v>
      </c>
      <c r="H1703">
        <v>0.1</v>
      </c>
      <c r="I1703" s="4">
        <v>2963.92</v>
      </c>
      <c r="J1703" t="s">
        <v>16</v>
      </c>
      <c r="K1703" t="s">
        <v>48</v>
      </c>
      <c r="L1703" s="4">
        <f>VLOOKUP(tblTransactions[[#This Row],[Product_ID]],tblProducts[],5,FALSE)</f>
        <v>680.12</v>
      </c>
      <c r="M1703" s="4">
        <f>tblTransactions[[#This Row],[Total_Amount]]-(tblTransactions[[#This Row],[Cost_Prices]]*tblTransactions[[#This Row],[Quantity]]*(1-tblTransactions[[#This Row],[Discount]]))</f>
        <v>1127.596</v>
      </c>
      <c r="N1703" s="3">
        <f>tblTransactions[[#This Row],[Profit]]/tblTransactions[[#This Row],[Total_Amount]]</f>
        <v>0.38044076763205487</v>
      </c>
      <c r="O1703" t="str">
        <f>TEXT(tblTransactions[[#This Row],[Date]], "MMM-YYYY")</f>
        <v>Dec-2023</v>
      </c>
      <c r="P1703" t="str">
        <f>"Q"&amp;ROUNDUP(MONTH(tblTransactions[[#This Row],[Date]])/3,0)&amp;"-"&amp;YEAR(tblTransactions[[#This Row],[Date]])</f>
        <v>Q4-2023</v>
      </c>
      <c r="Q1703">
        <f>YEAR(tblTransactions[[#This Row],[Date]])</f>
        <v>2023</v>
      </c>
      <c r="R1703" t="str">
        <f>TEXT(tblTransactions[[#This Row],[Date]],"DDDD")</f>
        <v>Wednesday</v>
      </c>
      <c r="S1703">
        <f>MONTH(tblTransactions[[#This Row],[Date]])</f>
        <v>12</v>
      </c>
      <c r="T1703" t="str">
        <f>VLOOKUP(E1703, Products!$A:$B,2,0)</f>
        <v>Storage Fur-4</v>
      </c>
      <c r="U1703" t="str">
        <f>VLOOKUP(E1703,Products!$A:$C,3,0)</f>
        <v>Furniture</v>
      </c>
      <c r="V1703" t="str">
        <f>VLOOKUP(E1703,Products!$A:$D,4,0)</f>
        <v>Storage</v>
      </c>
      <c r="W1703" t="str">
        <f>VLOOKUP(D1703,Customers!$A:$C,3,0)</f>
        <v>B2B</v>
      </c>
      <c r="X1703" t="str">
        <f>VLOOKUP(C1703,Sales_Representatives!$A:$B,2,0)</f>
        <v>Linda Smith</v>
      </c>
    </row>
    <row r="1704" spans="1:24" x14ac:dyDescent="0.3">
      <c r="A1704" t="s">
        <v>2463</v>
      </c>
      <c r="B1704" t="s">
        <v>2456</v>
      </c>
      <c r="C1704" t="s">
        <v>59</v>
      </c>
      <c r="D1704" t="s">
        <v>1635</v>
      </c>
      <c r="E1704" t="s">
        <v>347</v>
      </c>
      <c r="F1704">
        <v>34</v>
      </c>
      <c r="G1704">
        <v>1539.6</v>
      </c>
      <c r="H1704">
        <v>0.21</v>
      </c>
      <c r="I1704" s="4">
        <v>41353.660000000003</v>
      </c>
      <c r="J1704" t="s">
        <v>21</v>
      </c>
      <c r="K1704" t="s">
        <v>17</v>
      </c>
      <c r="L1704" s="4">
        <f>VLOOKUP(tblTransactions[[#This Row],[Product_ID]],tblProducts[],5,FALSE)</f>
        <v>992.43</v>
      </c>
      <c r="M1704" s="4">
        <f>tblTransactions[[#This Row],[Total_Amount]]-(tblTransactions[[#This Row],[Cost_Prices]]*tblTransactions[[#This Row],[Quantity]]*(1-tblTransactions[[#This Row],[Discount]]))</f>
        <v>14696.990200000007</v>
      </c>
      <c r="N1704" s="3">
        <f>tblTransactions[[#This Row],[Profit]]/tblTransactions[[#This Row],[Total_Amount]]</f>
        <v>0.35539756819589863</v>
      </c>
      <c r="O1704" t="str">
        <f>TEXT(tblTransactions[[#This Row],[Date]], "MMM-YYYY")</f>
        <v>Dec-2023</v>
      </c>
      <c r="P1704" t="str">
        <f>"Q"&amp;ROUNDUP(MONTH(tblTransactions[[#This Row],[Date]])/3,0)&amp;"-"&amp;YEAR(tblTransactions[[#This Row],[Date]])</f>
        <v>Q4-2023</v>
      </c>
      <c r="Q1704">
        <f>YEAR(tblTransactions[[#This Row],[Date]])</f>
        <v>2023</v>
      </c>
      <c r="R1704" t="str">
        <f>TEXT(tblTransactions[[#This Row],[Date]],"DDDD")</f>
        <v>Wednesday</v>
      </c>
      <c r="S1704">
        <f>MONTH(tblTransactions[[#This Row],[Date]])</f>
        <v>12</v>
      </c>
      <c r="T1704" t="str">
        <f>VLOOKUP(E1704, Products!$A:$B,2,0)</f>
        <v>Routers Tec-2</v>
      </c>
      <c r="U1704" t="str">
        <f>VLOOKUP(E1704,Products!$A:$C,3,0)</f>
        <v>Technology</v>
      </c>
      <c r="V1704" t="str">
        <f>VLOOKUP(E1704,Products!$A:$D,4,0)</f>
        <v>Routers</v>
      </c>
      <c r="W1704" t="str">
        <f>VLOOKUP(D1704,Customers!$A:$C,3,0)</f>
        <v>Enterprise</v>
      </c>
      <c r="X1704" t="str">
        <f>VLOOKUP(C1704,Sales_Representatives!$A:$B,2,0)</f>
        <v>Sarah Brown</v>
      </c>
    </row>
    <row r="1705" spans="1:24" x14ac:dyDescent="0.3">
      <c r="A1705" t="s">
        <v>2464</v>
      </c>
      <c r="B1705" t="s">
        <v>2456</v>
      </c>
      <c r="C1705" t="s">
        <v>31</v>
      </c>
      <c r="D1705" t="s">
        <v>527</v>
      </c>
      <c r="E1705" t="s">
        <v>108</v>
      </c>
      <c r="F1705">
        <v>2</v>
      </c>
      <c r="G1705">
        <v>155.75</v>
      </c>
      <c r="H1705">
        <v>0.1</v>
      </c>
      <c r="I1705" s="4">
        <v>280.35000000000002</v>
      </c>
      <c r="J1705" t="s">
        <v>34</v>
      </c>
      <c r="K1705" t="s">
        <v>17</v>
      </c>
      <c r="L1705" s="4">
        <f>VLOOKUP(tblTransactions[[#This Row],[Product_ID]],tblProducts[],5,FALSE)</f>
        <v>80.8</v>
      </c>
      <c r="M1705" s="4">
        <f>tblTransactions[[#This Row],[Total_Amount]]-(tblTransactions[[#This Row],[Cost_Prices]]*tblTransactions[[#This Row],[Quantity]]*(1-tblTransactions[[#This Row],[Discount]]))</f>
        <v>134.91000000000003</v>
      </c>
      <c r="N1705" s="3">
        <f>tblTransactions[[#This Row],[Profit]]/tblTransactions[[#This Row],[Total_Amount]]</f>
        <v>0.48121990369181383</v>
      </c>
      <c r="O1705" t="str">
        <f>TEXT(tblTransactions[[#This Row],[Date]], "MMM-YYYY")</f>
        <v>Dec-2023</v>
      </c>
      <c r="P1705" t="str">
        <f>"Q"&amp;ROUNDUP(MONTH(tblTransactions[[#This Row],[Date]])/3,0)&amp;"-"&amp;YEAR(tblTransactions[[#This Row],[Date]])</f>
        <v>Q4-2023</v>
      </c>
      <c r="Q1705">
        <f>YEAR(tblTransactions[[#This Row],[Date]])</f>
        <v>2023</v>
      </c>
      <c r="R1705" t="str">
        <f>TEXT(tblTransactions[[#This Row],[Date]],"DDDD")</f>
        <v>Wednesday</v>
      </c>
      <c r="S1705">
        <f>MONTH(tblTransactions[[#This Row],[Date]])</f>
        <v>12</v>
      </c>
      <c r="T1705" t="str">
        <f>VLOOKUP(E1705, Products!$A:$B,2,0)</f>
        <v>Cases Acc-1</v>
      </c>
      <c r="U1705" t="str">
        <f>VLOOKUP(E1705,Products!$A:$C,3,0)</f>
        <v>Accessories</v>
      </c>
      <c r="V1705" t="str">
        <f>VLOOKUP(E1705,Products!$A:$D,4,0)</f>
        <v>Cases</v>
      </c>
      <c r="W1705" t="str">
        <f>VLOOKUP(D1705,Customers!$A:$C,3,0)</f>
        <v>B2C</v>
      </c>
      <c r="X1705" t="str">
        <f>VLOOKUP(C1705,Sales_Representatives!$A:$B,2,0)</f>
        <v>Thomas Martinez</v>
      </c>
    </row>
    <row r="1706" spans="1:24" x14ac:dyDescent="0.3">
      <c r="A1706" t="s">
        <v>2465</v>
      </c>
      <c r="B1706" t="s">
        <v>2456</v>
      </c>
      <c r="C1706" t="s">
        <v>13</v>
      </c>
      <c r="D1706" t="s">
        <v>2466</v>
      </c>
      <c r="E1706" t="s">
        <v>20</v>
      </c>
      <c r="F1706">
        <v>4</v>
      </c>
      <c r="G1706">
        <v>1219.49</v>
      </c>
      <c r="H1706">
        <v>0.06</v>
      </c>
      <c r="I1706" s="4">
        <v>4585.28</v>
      </c>
      <c r="J1706" t="s">
        <v>16</v>
      </c>
      <c r="K1706" t="s">
        <v>22</v>
      </c>
      <c r="L1706" s="4">
        <f>VLOOKUP(tblTransactions[[#This Row],[Product_ID]],tblProducts[],5,FALSE)</f>
        <v>686.9</v>
      </c>
      <c r="M1706" s="4">
        <f>tblTransactions[[#This Row],[Total_Amount]]-(tblTransactions[[#This Row],[Cost_Prices]]*tblTransactions[[#This Row],[Quantity]]*(1-tblTransactions[[#This Row],[Discount]]))</f>
        <v>2002.5360000000001</v>
      </c>
      <c r="N1706" s="3">
        <f>tblTransactions[[#This Row],[Profit]]/tblTransactions[[#This Row],[Total_Amount]]</f>
        <v>0.43673145369530325</v>
      </c>
      <c r="O1706" t="str">
        <f>TEXT(tblTransactions[[#This Row],[Date]], "MMM-YYYY")</f>
        <v>Dec-2023</v>
      </c>
      <c r="P1706" t="str">
        <f>"Q"&amp;ROUNDUP(MONTH(tblTransactions[[#This Row],[Date]])/3,0)&amp;"-"&amp;YEAR(tblTransactions[[#This Row],[Date]])</f>
        <v>Q4-2023</v>
      </c>
      <c r="Q1706">
        <f>YEAR(tblTransactions[[#This Row],[Date]])</f>
        <v>2023</v>
      </c>
      <c r="R1706" t="str">
        <f>TEXT(tblTransactions[[#This Row],[Date]],"DDDD")</f>
        <v>Wednesday</v>
      </c>
      <c r="S1706">
        <f>MONTH(tblTransactions[[#This Row],[Date]])</f>
        <v>12</v>
      </c>
      <c r="T1706" t="str">
        <f>VLOOKUP(E1706, Products!$A:$B,2,0)</f>
        <v>Laptops Ele-1</v>
      </c>
      <c r="U1706" t="str">
        <f>VLOOKUP(E1706,Products!$A:$C,3,0)</f>
        <v>Electronics</v>
      </c>
      <c r="V1706" t="str">
        <f>VLOOKUP(E1706,Products!$A:$D,4,0)</f>
        <v>Laptops</v>
      </c>
      <c r="W1706" t="str">
        <f>VLOOKUP(D1706,Customers!$A:$C,3,0)</f>
        <v>B2C</v>
      </c>
      <c r="X1706" t="str">
        <f>VLOOKUP(C1706,Sales_Representatives!$A:$B,2,0)</f>
        <v>Jennifer Rodriguez</v>
      </c>
    </row>
    <row r="1707" spans="1:24" x14ac:dyDescent="0.3">
      <c r="A1707" t="s">
        <v>2467</v>
      </c>
      <c r="B1707" t="s">
        <v>2468</v>
      </c>
      <c r="C1707" t="s">
        <v>131</v>
      </c>
      <c r="D1707" t="s">
        <v>2469</v>
      </c>
      <c r="E1707" t="s">
        <v>264</v>
      </c>
      <c r="F1707">
        <v>1</v>
      </c>
      <c r="G1707">
        <v>607.29999999999995</v>
      </c>
      <c r="H1707">
        <v>0.06</v>
      </c>
      <c r="I1707" s="4">
        <v>570.86</v>
      </c>
      <c r="J1707" t="s">
        <v>44</v>
      </c>
      <c r="K1707" t="s">
        <v>48</v>
      </c>
      <c r="L1707" s="4">
        <f>VLOOKUP(tblTransactions[[#This Row],[Product_ID]],tblProducts[],5,FALSE)</f>
        <v>436.37</v>
      </c>
      <c r="M1707" s="4">
        <f>tblTransactions[[#This Row],[Total_Amount]]-(tblTransactions[[#This Row],[Cost_Prices]]*tblTransactions[[#This Row],[Quantity]]*(1-tblTransactions[[#This Row],[Discount]]))</f>
        <v>160.67220000000003</v>
      </c>
      <c r="N1707" s="3">
        <f>tblTransactions[[#This Row],[Profit]]/tblTransactions[[#This Row],[Total_Amount]]</f>
        <v>0.28145639911712156</v>
      </c>
      <c r="O1707" t="str">
        <f>TEXT(tblTransactions[[#This Row],[Date]], "MMM-YYYY")</f>
        <v>Dec-2023</v>
      </c>
      <c r="P1707" t="str">
        <f>"Q"&amp;ROUNDUP(MONTH(tblTransactions[[#This Row],[Date]])/3,0)&amp;"-"&amp;YEAR(tblTransactions[[#This Row],[Date]])</f>
        <v>Q4-2023</v>
      </c>
      <c r="Q1707">
        <f>YEAR(tblTransactions[[#This Row],[Date]])</f>
        <v>2023</v>
      </c>
      <c r="R1707" t="str">
        <f>TEXT(tblTransactions[[#This Row],[Date]],"DDDD")</f>
        <v>Thursday</v>
      </c>
      <c r="S1707">
        <f>MONTH(tblTransactions[[#This Row],[Date]])</f>
        <v>12</v>
      </c>
      <c r="T1707" t="str">
        <f>VLOOKUP(E1707, Products!$A:$B,2,0)</f>
        <v>Tablets Ele-4</v>
      </c>
      <c r="U1707" t="str">
        <f>VLOOKUP(E1707,Products!$A:$C,3,0)</f>
        <v>Electronics</v>
      </c>
      <c r="V1707" t="str">
        <f>VLOOKUP(E1707,Products!$A:$D,4,0)</f>
        <v>Tablets</v>
      </c>
      <c r="W1707" t="str">
        <f>VLOOKUP(D1707,Customers!$A:$C,3,0)</f>
        <v>B2C</v>
      </c>
      <c r="X1707" t="str">
        <f>VLOOKUP(C1707,Sales_Representatives!$A:$B,2,0)</f>
        <v>Michael Davis</v>
      </c>
    </row>
    <row r="1708" spans="1:24" x14ac:dyDescent="0.3">
      <c r="A1708" t="s">
        <v>2470</v>
      </c>
      <c r="B1708" t="s">
        <v>2468</v>
      </c>
      <c r="C1708" t="s">
        <v>141</v>
      </c>
      <c r="D1708" t="s">
        <v>362</v>
      </c>
      <c r="E1708" t="s">
        <v>508</v>
      </c>
      <c r="F1708">
        <v>1</v>
      </c>
      <c r="G1708">
        <v>237.69</v>
      </c>
      <c r="H1708">
        <v>0.02</v>
      </c>
      <c r="I1708" s="4">
        <v>232.94</v>
      </c>
      <c r="J1708" t="s">
        <v>109</v>
      </c>
      <c r="K1708" t="s">
        <v>48</v>
      </c>
      <c r="L1708" s="4">
        <f>VLOOKUP(tblTransactions[[#This Row],[Product_ID]],tblProducts[],5,FALSE)</f>
        <v>115.31</v>
      </c>
      <c r="M1708" s="4">
        <f>tblTransactions[[#This Row],[Total_Amount]]-(tblTransactions[[#This Row],[Cost_Prices]]*tblTransactions[[#This Row],[Quantity]]*(1-tblTransactions[[#This Row],[Discount]]))</f>
        <v>119.9362</v>
      </c>
      <c r="N1708" s="3">
        <f>tblTransactions[[#This Row],[Profit]]/tblTransactions[[#This Row],[Total_Amount]]</f>
        <v>0.51488022666781141</v>
      </c>
      <c r="O1708" t="str">
        <f>TEXT(tblTransactions[[#This Row],[Date]], "MMM-YYYY")</f>
        <v>Dec-2023</v>
      </c>
      <c r="P1708" t="str">
        <f>"Q"&amp;ROUNDUP(MONTH(tblTransactions[[#This Row],[Date]])/3,0)&amp;"-"&amp;YEAR(tblTransactions[[#This Row],[Date]])</f>
        <v>Q4-2023</v>
      </c>
      <c r="Q1708">
        <f>YEAR(tblTransactions[[#This Row],[Date]])</f>
        <v>2023</v>
      </c>
      <c r="R1708" t="str">
        <f>TEXT(tblTransactions[[#This Row],[Date]],"DDDD")</f>
        <v>Thursday</v>
      </c>
      <c r="S1708">
        <f>MONTH(tblTransactions[[#This Row],[Date]])</f>
        <v>12</v>
      </c>
      <c r="T1708" t="str">
        <f>VLOOKUP(E1708, Products!$A:$B,2,0)</f>
        <v>Folders Off-3</v>
      </c>
      <c r="U1708" t="str">
        <f>VLOOKUP(E1708,Products!$A:$C,3,0)</f>
        <v>Office Supplies</v>
      </c>
      <c r="V1708" t="str">
        <f>VLOOKUP(E1708,Products!$A:$D,4,0)</f>
        <v>Folders</v>
      </c>
      <c r="W1708" t="str">
        <f>VLOOKUP(D1708,Customers!$A:$C,3,0)</f>
        <v>Small Business</v>
      </c>
      <c r="X1708" t="str">
        <f>VLOOKUP(C1708,Sales_Representatives!$A:$B,2,0)</f>
        <v>Richard Garcia</v>
      </c>
    </row>
    <row r="1709" spans="1:24" x14ac:dyDescent="0.3">
      <c r="A1709" t="s">
        <v>2471</v>
      </c>
      <c r="B1709" t="s">
        <v>2468</v>
      </c>
      <c r="C1709" t="s">
        <v>63</v>
      </c>
      <c r="D1709" t="s">
        <v>2150</v>
      </c>
      <c r="E1709" t="s">
        <v>125</v>
      </c>
      <c r="F1709">
        <v>37</v>
      </c>
      <c r="G1709">
        <v>1201.4000000000001</v>
      </c>
      <c r="H1709">
        <v>0.21</v>
      </c>
      <c r="I1709" s="4">
        <v>35116.92</v>
      </c>
      <c r="J1709" t="s">
        <v>21</v>
      </c>
      <c r="K1709" t="s">
        <v>39</v>
      </c>
      <c r="L1709" s="4">
        <f>VLOOKUP(tblTransactions[[#This Row],[Product_ID]],tblProducts[],5,FALSE)</f>
        <v>672.72</v>
      </c>
      <c r="M1709" s="4">
        <f>tblTransactions[[#This Row],[Total_Amount]]-(tblTransactions[[#This Row],[Cost_Prices]]*tblTransactions[[#This Row],[Quantity]]*(1-tblTransactions[[#This Row],[Discount]]))</f>
        <v>15453.314399999999</v>
      </c>
      <c r="N1709" s="3">
        <f>tblTransactions[[#This Row],[Profit]]/tblTransactions[[#This Row],[Total_Amount]]</f>
        <v>0.4400532392931954</v>
      </c>
      <c r="O1709" t="str">
        <f>TEXT(tblTransactions[[#This Row],[Date]], "MMM-YYYY")</f>
        <v>Dec-2023</v>
      </c>
      <c r="P1709" t="str">
        <f>"Q"&amp;ROUNDUP(MONTH(tblTransactions[[#This Row],[Date]])/3,0)&amp;"-"&amp;YEAR(tblTransactions[[#This Row],[Date]])</f>
        <v>Q4-2023</v>
      </c>
      <c r="Q1709">
        <f>YEAR(tblTransactions[[#This Row],[Date]])</f>
        <v>2023</v>
      </c>
      <c r="R1709" t="str">
        <f>TEXT(tblTransactions[[#This Row],[Date]],"DDDD")</f>
        <v>Thursday</v>
      </c>
      <c r="S1709">
        <f>MONTH(tblTransactions[[#This Row],[Date]])</f>
        <v>12</v>
      </c>
      <c r="T1709" t="str">
        <f>VLOOKUP(E1709, Products!$A:$B,2,0)</f>
        <v>Printers Tec-2</v>
      </c>
      <c r="U1709" t="str">
        <f>VLOOKUP(E1709,Products!$A:$C,3,0)</f>
        <v>Technology</v>
      </c>
      <c r="V1709" t="str">
        <f>VLOOKUP(E1709,Products!$A:$D,4,0)</f>
        <v>Printers</v>
      </c>
      <c r="W1709" t="str">
        <f>VLOOKUP(D1709,Customers!$A:$C,3,0)</f>
        <v>Enterprise</v>
      </c>
      <c r="X1709" t="str">
        <f>VLOOKUP(C1709,Sales_Representatives!$A:$B,2,0)</f>
        <v>Richard Wilson</v>
      </c>
    </row>
    <row r="1710" spans="1:24" x14ac:dyDescent="0.3">
      <c r="A1710" t="s">
        <v>2472</v>
      </c>
      <c r="B1710" t="s">
        <v>2468</v>
      </c>
      <c r="C1710" t="s">
        <v>107</v>
      </c>
      <c r="D1710" t="s">
        <v>1697</v>
      </c>
      <c r="E1710" t="s">
        <v>91</v>
      </c>
      <c r="F1710">
        <v>3</v>
      </c>
      <c r="G1710">
        <v>286.62</v>
      </c>
      <c r="H1710">
        <v>0.06</v>
      </c>
      <c r="I1710" s="4">
        <v>808.27</v>
      </c>
      <c r="J1710" t="s">
        <v>109</v>
      </c>
      <c r="K1710" t="s">
        <v>48</v>
      </c>
      <c r="L1710" s="4">
        <f>VLOOKUP(tblTransactions[[#This Row],[Product_ID]],tblProducts[],5,FALSE)</f>
        <v>145.54</v>
      </c>
      <c r="M1710" s="4">
        <f>tblTransactions[[#This Row],[Total_Amount]]-(tblTransactions[[#This Row],[Cost_Prices]]*tblTransactions[[#This Row],[Quantity]]*(1-tblTransactions[[#This Row],[Discount]]))</f>
        <v>397.84719999999999</v>
      </c>
      <c r="N1710" s="3">
        <f>tblTransactions[[#This Row],[Profit]]/tblTransactions[[#This Row],[Total_Amount]]</f>
        <v>0.49222066883590881</v>
      </c>
      <c r="O1710" t="str">
        <f>TEXT(tblTransactions[[#This Row],[Date]], "MMM-YYYY")</f>
        <v>Dec-2023</v>
      </c>
      <c r="P1710" t="str">
        <f>"Q"&amp;ROUNDUP(MONTH(tblTransactions[[#This Row],[Date]])/3,0)&amp;"-"&amp;YEAR(tblTransactions[[#This Row],[Date]])</f>
        <v>Q4-2023</v>
      </c>
      <c r="Q1710">
        <f>YEAR(tblTransactions[[#This Row],[Date]])</f>
        <v>2023</v>
      </c>
      <c r="R1710" t="str">
        <f>TEXT(tblTransactions[[#This Row],[Date]],"DDDD")</f>
        <v>Thursday</v>
      </c>
      <c r="S1710">
        <f>MONTH(tblTransactions[[#This Row],[Date]])</f>
        <v>12</v>
      </c>
      <c r="T1710" t="str">
        <f>VLOOKUP(E1710, Products!$A:$B,2,0)</f>
        <v>Chairs Fur-1</v>
      </c>
      <c r="U1710" t="str">
        <f>VLOOKUP(E1710,Products!$A:$C,3,0)</f>
        <v>Furniture</v>
      </c>
      <c r="V1710" t="str">
        <f>VLOOKUP(E1710,Products!$A:$D,4,0)</f>
        <v>Chairs</v>
      </c>
      <c r="W1710" t="str">
        <f>VLOOKUP(D1710,Customers!$A:$C,3,0)</f>
        <v>B2C</v>
      </c>
      <c r="X1710" t="str">
        <f>VLOOKUP(C1710,Sales_Representatives!$A:$B,2,0)</f>
        <v>Jennifer Brown</v>
      </c>
    </row>
    <row r="1711" spans="1:24" x14ac:dyDescent="0.3">
      <c r="A1711" t="s">
        <v>2473</v>
      </c>
      <c r="B1711" t="s">
        <v>2468</v>
      </c>
      <c r="C1711" t="s">
        <v>13</v>
      </c>
      <c r="D1711" t="s">
        <v>1969</v>
      </c>
      <c r="E1711" t="s">
        <v>87</v>
      </c>
      <c r="F1711">
        <v>46</v>
      </c>
      <c r="G1711">
        <v>1047.8900000000001</v>
      </c>
      <c r="H1711">
        <v>0.16</v>
      </c>
      <c r="I1711" s="4">
        <v>40490.47</v>
      </c>
      <c r="J1711" t="s">
        <v>16</v>
      </c>
      <c r="K1711" t="s">
        <v>35</v>
      </c>
      <c r="L1711" s="4">
        <f>VLOOKUP(tblTransactions[[#This Row],[Product_ID]],tblProducts[],5,FALSE)</f>
        <v>742.63</v>
      </c>
      <c r="M1711" s="4">
        <f>tblTransactions[[#This Row],[Total_Amount]]-(tblTransactions[[#This Row],[Cost_Prices]]*tblTransactions[[#This Row],[Quantity]]*(1-tblTransactions[[#This Row],[Discount]]))</f>
        <v>11795.246800000001</v>
      </c>
      <c r="N1711" s="3">
        <f>tblTransactions[[#This Row],[Profit]]/tblTransactions[[#This Row],[Total_Amount]]</f>
        <v>0.291309209302831</v>
      </c>
      <c r="O1711" t="str">
        <f>TEXT(tblTransactions[[#This Row],[Date]], "MMM-YYYY")</f>
        <v>Dec-2023</v>
      </c>
      <c r="P1711" t="str">
        <f>"Q"&amp;ROUNDUP(MONTH(tblTransactions[[#This Row],[Date]])/3,0)&amp;"-"&amp;YEAR(tblTransactions[[#This Row],[Date]])</f>
        <v>Q4-2023</v>
      </c>
      <c r="Q1711">
        <f>YEAR(tblTransactions[[#This Row],[Date]])</f>
        <v>2023</v>
      </c>
      <c r="R1711" t="str">
        <f>TEXT(tblTransactions[[#This Row],[Date]],"DDDD")</f>
        <v>Thursday</v>
      </c>
      <c r="S1711">
        <f>MONTH(tblTransactions[[#This Row],[Date]])</f>
        <v>12</v>
      </c>
      <c r="T1711" t="str">
        <f>VLOOKUP(E1711, Products!$A:$B,2,0)</f>
        <v>Monitors Tec-2</v>
      </c>
      <c r="U1711" t="str">
        <f>VLOOKUP(E1711,Products!$A:$C,3,0)</f>
        <v>Technology</v>
      </c>
      <c r="V1711" t="str">
        <f>VLOOKUP(E1711,Products!$A:$D,4,0)</f>
        <v>Monitors</v>
      </c>
      <c r="W1711" t="str">
        <f>VLOOKUP(D1711,Customers!$A:$C,3,0)</f>
        <v>Enterprise</v>
      </c>
      <c r="X1711" t="str">
        <f>VLOOKUP(C1711,Sales_Representatives!$A:$B,2,0)</f>
        <v>Jennifer Rodriguez</v>
      </c>
    </row>
    <row r="1712" spans="1:24" x14ac:dyDescent="0.3">
      <c r="A1712" t="s">
        <v>2474</v>
      </c>
      <c r="B1712" t="s">
        <v>2468</v>
      </c>
      <c r="C1712" t="s">
        <v>131</v>
      </c>
      <c r="D1712" t="s">
        <v>2056</v>
      </c>
      <c r="E1712" t="s">
        <v>206</v>
      </c>
      <c r="F1712">
        <v>2</v>
      </c>
      <c r="G1712">
        <v>292.51</v>
      </c>
      <c r="H1712">
        <v>0.05</v>
      </c>
      <c r="I1712" s="4">
        <v>555.77</v>
      </c>
      <c r="J1712" t="s">
        <v>44</v>
      </c>
      <c r="K1712" t="s">
        <v>22</v>
      </c>
      <c r="L1712" s="4">
        <f>VLOOKUP(tblTransactions[[#This Row],[Product_ID]],tblProducts[],5,FALSE)</f>
        <v>122.08</v>
      </c>
      <c r="M1712" s="4">
        <f>tblTransactions[[#This Row],[Total_Amount]]-(tblTransactions[[#This Row],[Cost_Prices]]*tblTransactions[[#This Row],[Quantity]]*(1-tblTransactions[[#This Row],[Discount]]))</f>
        <v>323.81799999999998</v>
      </c>
      <c r="N1712" s="3">
        <f>tblTransactions[[#This Row],[Profit]]/tblTransactions[[#This Row],[Total_Amount]]</f>
        <v>0.58264749806574656</v>
      </c>
      <c r="O1712" t="str">
        <f>TEXT(tblTransactions[[#This Row],[Date]], "MMM-YYYY")</f>
        <v>Dec-2023</v>
      </c>
      <c r="P1712" t="str">
        <f>"Q"&amp;ROUNDUP(MONTH(tblTransactions[[#This Row],[Date]])/3,0)&amp;"-"&amp;YEAR(tblTransactions[[#This Row],[Date]])</f>
        <v>Q4-2023</v>
      </c>
      <c r="Q1712">
        <f>YEAR(tblTransactions[[#This Row],[Date]])</f>
        <v>2023</v>
      </c>
      <c r="R1712" t="str">
        <f>TEXT(tblTransactions[[#This Row],[Date]],"DDDD")</f>
        <v>Thursday</v>
      </c>
      <c r="S1712">
        <f>MONTH(tblTransactions[[#This Row],[Date]])</f>
        <v>12</v>
      </c>
      <c r="T1712" t="str">
        <f>VLOOKUP(E1712, Products!$A:$B,2,0)</f>
        <v>Keyboards Acc-1</v>
      </c>
      <c r="U1712" t="str">
        <f>VLOOKUP(E1712,Products!$A:$C,3,0)</f>
        <v>Accessories</v>
      </c>
      <c r="V1712" t="str">
        <f>VLOOKUP(E1712,Products!$A:$D,4,0)</f>
        <v>Keyboards</v>
      </c>
      <c r="W1712" t="str">
        <f>VLOOKUP(D1712,Customers!$A:$C,3,0)</f>
        <v>Small Business</v>
      </c>
      <c r="X1712" t="str">
        <f>VLOOKUP(C1712,Sales_Representatives!$A:$B,2,0)</f>
        <v>Michael Davis</v>
      </c>
    </row>
    <row r="1713" spans="1:24" x14ac:dyDescent="0.3">
      <c r="A1713" t="s">
        <v>2475</v>
      </c>
      <c r="B1713" t="s">
        <v>2476</v>
      </c>
      <c r="C1713" t="s">
        <v>19</v>
      </c>
      <c r="D1713" t="s">
        <v>1670</v>
      </c>
      <c r="E1713" t="s">
        <v>704</v>
      </c>
      <c r="F1713">
        <v>1</v>
      </c>
      <c r="G1713">
        <v>291.81</v>
      </c>
      <c r="H1713">
        <v>7.0000000000000007E-2</v>
      </c>
      <c r="I1713" s="4">
        <v>271.38</v>
      </c>
      <c r="J1713" t="s">
        <v>21</v>
      </c>
      <c r="K1713" t="s">
        <v>17</v>
      </c>
      <c r="L1713" s="4">
        <f>VLOOKUP(tblTransactions[[#This Row],[Product_ID]],tblProducts[],5,FALSE)</f>
        <v>123.61</v>
      </c>
      <c r="M1713" s="4">
        <f>tblTransactions[[#This Row],[Total_Amount]]-(tblTransactions[[#This Row],[Cost_Prices]]*tblTransactions[[#This Row],[Quantity]]*(1-tblTransactions[[#This Row],[Discount]]))</f>
        <v>156.42270000000002</v>
      </c>
      <c r="N1713" s="3">
        <f>tblTransactions[[#This Row],[Profit]]/tblTransactions[[#This Row],[Total_Amount]]</f>
        <v>0.57639730267521561</v>
      </c>
      <c r="O1713" t="str">
        <f>TEXT(tblTransactions[[#This Row],[Date]], "MMM-YYYY")</f>
        <v>Dec-2023</v>
      </c>
      <c r="P1713" t="str">
        <f>"Q"&amp;ROUNDUP(MONTH(tblTransactions[[#This Row],[Date]])/3,0)&amp;"-"&amp;YEAR(tblTransactions[[#This Row],[Date]])</f>
        <v>Q4-2023</v>
      </c>
      <c r="Q1713">
        <f>YEAR(tblTransactions[[#This Row],[Date]])</f>
        <v>2023</v>
      </c>
      <c r="R1713" t="str">
        <f>TEXT(tblTransactions[[#This Row],[Date]],"DDDD")</f>
        <v>Friday</v>
      </c>
      <c r="S1713">
        <f>MONTH(tblTransactions[[#This Row],[Date]])</f>
        <v>12</v>
      </c>
      <c r="T1713" t="str">
        <f>VLOOKUP(E1713, Products!$A:$B,2,0)</f>
        <v>Keyboards Acc-4</v>
      </c>
      <c r="U1713" t="str">
        <f>VLOOKUP(E1713,Products!$A:$C,3,0)</f>
        <v>Accessories</v>
      </c>
      <c r="V1713" t="str">
        <f>VLOOKUP(E1713,Products!$A:$D,4,0)</f>
        <v>Keyboards</v>
      </c>
      <c r="W1713" t="str">
        <f>VLOOKUP(D1713,Customers!$A:$C,3,0)</f>
        <v>Small Business</v>
      </c>
      <c r="X1713" t="str">
        <f>VLOOKUP(C1713,Sales_Representatives!$A:$B,2,0)</f>
        <v>Robert Jones</v>
      </c>
    </row>
    <row r="1714" spans="1:24" x14ac:dyDescent="0.3">
      <c r="A1714" t="s">
        <v>2477</v>
      </c>
      <c r="B1714" t="s">
        <v>2476</v>
      </c>
      <c r="C1714" t="s">
        <v>63</v>
      </c>
      <c r="D1714" t="s">
        <v>1658</v>
      </c>
      <c r="E1714" t="s">
        <v>84</v>
      </c>
      <c r="F1714">
        <v>36</v>
      </c>
      <c r="G1714">
        <v>1841.77</v>
      </c>
      <c r="H1714">
        <v>0.22</v>
      </c>
      <c r="I1714" s="4">
        <v>51716.9</v>
      </c>
      <c r="J1714" t="s">
        <v>21</v>
      </c>
      <c r="K1714" t="s">
        <v>17</v>
      </c>
      <c r="L1714" s="4">
        <f>VLOOKUP(tblTransactions[[#This Row],[Product_ID]],tblProducts[],5,FALSE)</f>
        <v>1151.5899999999999</v>
      </c>
      <c r="M1714" s="4">
        <f>tblTransactions[[#This Row],[Total_Amount]]-(tblTransactions[[#This Row],[Cost_Prices]]*tblTransactions[[#This Row],[Quantity]]*(1-tblTransactions[[#This Row],[Discount]]))</f>
        <v>19380.252800000002</v>
      </c>
      <c r="N1714" s="3">
        <f>tblTransactions[[#This Row],[Profit]]/tblTransactions[[#This Row],[Total_Amount]]</f>
        <v>0.37473732570977769</v>
      </c>
      <c r="O1714" t="str">
        <f>TEXT(tblTransactions[[#This Row],[Date]], "MMM-YYYY")</f>
        <v>Dec-2023</v>
      </c>
      <c r="P1714" t="str">
        <f>"Q"&amp;ROUNDUP(MONTH(tblTransactions[[#This Row],[Date]])/3,0)&amp;"-"&amp;YEAR(tblTransactions[[#This Row],[Date]])</f>
        <v>Q4-2023</v>
      </c>
      <c r="Q1714">
        <f>YEAR(tblTransactions[[#This Row],[Date]])</f>
        <v>2023</v>
      </c>
      <c r="R1714" t="str">
        <f>TEXT(tblTransactions[[#This Row],[Date]],"DDDD")</f>
        <v>Friday</v>
      </c>
      <c r="S1714">
        <f>MONTH(tblTransactions[[#This Row],[Date]])</f>
        <v>12</v>
      </c>
      <c r="T1714" t="str">
        <f>VLOOKUP(E1714, Products!$A:$B,2,0)</f>
        <v>Laptops Ele-2</v>
      </c>
      <c r="U1714" t="str">
        <f>VLOOKUP(E1714,Products!$A:$C,3,0)</f>
        <v>Electronics</v>
      </c>
      <c r="V1714" t="str">
        <f>VLOOKUP(E1714,Products!$A:$D,4,0)</f>
        <v>Laptops</v>
      </c>
      <c r="W1714" t="str">
        <f>VLOOKUP(D1714,Customers!$A:$C,3,0)</f>
        <v>Enterprise</v>
      </c>
      <c r="X1714" t="str">
        <f>VLOOKUP(C1714,Sales_Representatives!$A:$B,2,0)</f>
        <v>Richard Wilson</v>
      </c>
    </row>
    <row r="1715" spans="1:24" x14ac:dyDescent="0.3">
      <c r="A1715" t="s">
        <v>2478</v>
      </c>
      <c r="B1715" t="s">
        <v>2476</v>
      </c>
      <c r="C1715" t="s">
        <v>82</v>
      </c>
      <c r="D1715" t="s">
        <v>1828</v>
      </c>
      <c r="E1715" t="s">
        <v>38</v>
      </c>
      <c r="F1715">
        <v>9</v>
      </c>
      <c r="G1715">
        <v>581.47</v>
      </c>
      <c r="H1715">
        <v>7.0000000000000007E-2</v>
      </c>
      <c r="I1715" s="4">
        <v>4866.8999999999996</v>
      </c>
      <c r="J1715" t="s">
        <v>34</v>
      </c>
      <c r="K1715" t="s">
        <v>22</v>
      </c>
      <c r="L1715" s="4">
        <f>VLOOKUP(tblTransactions[[#This Row],[Product_ID]],tblProducts[],5,FALSE)</f>
        <v>372.07</v>
      </c>
      <c r="M1715" s="4">
        <f>tblTransactions[[#This Row],[Total_Amount]]-(tblTransactions[[#This Row],[Cost_Prices]]*tblTransactions[[#This Row],[Quantity]]*(1-tblTransactions[[#This Row],[Discount]]))</f>
        <v>1752.6740999999997</v>
      </c>
      <c r="N1715" s="3">
        <f>tblTransactions[[#This Row],[Profit]]/tblTransactions[[#This Row],[Total_Amount]]</f>
        <v>0.36012124761141584</v>
      </c>
      <c r="O1715" t="str">
        <f>TEXT(tblTransactions[[#This Row],[Date]], "MMM-YYYY")</f>
        <v>Dec-2023</v>
      </c>
      <c r="P1715" t="str">
        <f>"Q"&amp;ROUNDUP(MONTH(tblTransactions[[#This Row],[Date]])/3,0)&amp;"-"&amp;YEAR(tblTransactions[[#This Row],[Date]])</f>
        <v>Q4-2023</v>
      </c>
      <c r="Q1715">
        <f>YEAR(tblTransactions[[#This Row],[Date]])</f>
        <v>2023</v>
      </c>
      <c r="R1715" t="str">
        <f>TEXT(tblTransactions[[#This Row],[Date]],"DDDD")</f>
        <v>Friday</v>
      </c>
      <c r="S1715">
        <f>MONTH(tblTransactions[[#This Row],[Date]])</f>
        <v>12</v>
      </c>
      <c r="T1715" t="str">
        <f>VLOOKUP(E1715, Products!$A:$B,2,0)</f>
        <v>Storage Fur-3</v>
      </c>
      <c r="U1715" t="str">
        <f>VLOOKUP(E1715,Products!$A:$C,3,0)</f>
        <v>Furniture</v>
      </c>
      <c r="V1715" t="str">
        <f>VLOOKUP(E1715,Products!$A:$D,4,0)</f>
        <v>Storage</v>
      </c>
      <c r="W1715" t="str">
        <f>VLOOKUP(D1715,Customers!$A:$C,3,0)</f>
        <v>B2B</v>
      </c>
      <c r="X1715" t="str">
        <f>VLOOKUP(C1715,Sales_Representatives!$A:$B,2,0)</f>
        <v>John Brown</v>
      </c>
    </row>
    <row r="1716" spans="1:24" x14ac:dyDescent="0.3">
      <c r="A1716" t="s">
        <v>2479</v>
      </c>
      <c r="B1716" t="s">
        <v>2476</v>
      </c>
      <c r="C1716" t="s">
        <v>41</v>
      </c>
      <c r="D1716" t="s">
        <v>1971</v>
      </c>
      <c r="E1716" t="s">
        <v>299</v>
      </c>
      <c r="F1716">
        <v>11</v>
      </c>
      <c r="G1716">
        <v>963.44</v>
      </c>
      <c r="H1716">
        <v>0.1</v>
      </c>
      <c r="I1716" s="4">
        <v>9538.06</v>
      </c>
      <c r="J1716" t="s">
        <v>44</v>
      </c>
      <c r="K1716" t="s">
        <v>48</v>
      </c>
      <c r="L1716" s="4">
        <f>VLOOKUP(tblTransactions[[#This Row],[Product_ID]],tblProducts[],5,FALSE)</f>
        <v>578.96</v>
      </c>
      <c r="M1716" s="4">
        <f>tblTransactions[[#This Row],[Total_Amount]]-(tblTransactions[[#This Row],[Cost_Prices]]*tblTransactions[[#This Row],[Quantity]]*(1-tblTransactions[[#This Row],[Discount]]))</f>
        <v>3806.3559999999989</v>
      </c>
      <c r="N1716" s="3">
        <f>tblTransactions[[#This Row],[Profit]]/tblTransactions[[#This Row],[Total_Amount]]</f>
        <v>0.39907025118315453</v>
      </c>
      <c r="O1716" t="str">
        <f>TEXT(tblTransactions[[#This Row],[Date]], "MMM-YYYY")</f>
        <v>Dec-2023</v>
      </c>
      <c r="P1716" t="str">
        <f>"Q"&amp;ROUNDUP(MONTH(tblTransactions[[#This Row],[Date]])/3,0)&amp;"-"&amp;YEAR(tblTransactions[[#This Row],[Date]])</f>
        <v>Q4-2023</v>
      </c>
      <c r="Q1716">
        <f>YEAR(tblTransactions[[#This Row],[Date]])</f>
        <v>2023</v>
      </c>
      <c r="R1716" t="str">
        <f>TEXT(tblTransactions[[#This Row],[Date]],"DDDD")</f>
        <v>Friday</v>
      </c>
      <c r="S1716">
        <f>MONTH(tblTransactions[[#This Row],[Date]])</f>
        <v>12</v>
      </c>
      <c r="T1716" t="str">
        <f>VLOOKUP(E1716, Products!$A:$B,2,0)</f>
        <v>Chairs Fur-4</v>
      </c>
      <c r="U1716" t="str">
        <f>VLOOKUP(E1716,Products!$A:$C,3,0)</f>
        <v>Furniture</v>
      </c>
      <c r="V1716" t="str">
        <f>VLOOKUP(E1716,Products!$A:$D,4,0)</f>
        <v>Chairs</v>
      </c>
      <c r="W1716" t="str">
        <f>VLOOKUP(D1716,Customers!$A:$C,3,0)</f>
        <v>B2B</v>
      </c>
      <c r="X1716" t="str">
        <f>VLOOKUP(C1716,Sales_Representatives!$A:$B,2,0)</f>
        <v>Robert Jones</v>
      </c>
    </row>
    <row r="1717" spans="1:24" x14ac:dyDescent="0.3">
      <c r="A1717" t="s">
        <v>2480</v>
      </c>
      <c r="B1717" t="s">
        <v>2476</v>
      </c>
      <c r="C1717" t="s">
        <v>27</v>
      </c>
      <c r="D1717" t="s">
        <v>1908</v>
      </c>
      <c r="E1717" t="s">
        <v>72</v>
      </c>
      <c r="F1717">
        <v>7</v>
      </c>
      <c r="G1717">
        <v>404.76</v>
      </c>
      <c r="H1717">
        <v>0.05</v>
      </c>
      <c r="I1717" s="4">
        <v>2691.65</v>
      </c>
      <c r="J1717" t="s">
        <v>16</v>
      </c>
      <c r="K1717" t="s">
        <v>48</v>
      </c>
      <c r="L1717" s="4">
        <f>VLOOKUP(tblTransactions[[#This Row],[Product_ID]],tblProducts[],5,FALSE)</f>
        <v>226.76</v>
      </c>
      <c r="M1717" s="4">
        <f>tblTransactions[[#This Row],[Total_Amount]]-(tblTransactions[[#This Row],[Cost_Prices]]*tblTransactions[[#This Row],[Quantity]]*(1-tblTransactions[[#This Row],[Discount]]))</f>
        <v>1183.6960000000001</v>
      </c>
      <c r="N1717" s="3">
        <f>tblTransactions[[#This Row],[Profit]]/tblTransactions[[#This Row],[Total_Amount]]</f>
        <v>0.43976594282317544</v>
      </c>
      <c r="O1717" t="str">
        <f>TEXT(tblTransactions[[#This Row],[Date]], "MMM-YYYY")</f>
        <v>Dec-2023</v>
      </c>
      <c r="P1717" t="str">
        <f>"Q"&amp;ROUNDUP(MONTH(tblTransactions[[#This Row],[Date]])/3,0)&amp;"-"&amp;YEAR(tblTransactions[[#This Row],[Date]])</f>
        <v>Q4-2023</v>
      </c>
      <c r="Q1717">
        <f>YEAR(tblTransactions[[#This Row],[Date]])</f>
        <v>2023</v>
      </c>
      <c r="R1717" t="str">
        <f>TEXT(tblTransactions[[#This Row],[Date]],"DDDD")</f>
        <v>Friday</v>
      </c>
      <c r="S1717">
        <f>MONTH(tblTransactions[[#This Row],[Date]])</f>
        <v>12</v>
      </c>
      <c r="T1717" t="str">
        <f>VLOOKUP(E1717, Products!$A:$B,2,0)</f>
        <v>Tablets Ele-2</v>
      </c>
      <c r="U1717" t="str">
        <f>VLOOKUP(E1717,Products!$A:$C,3,0)</f>
        <v>Electronics</v>
      </c>
      <c r="V1717" t="str">
        <f>VLOOKUP(E1717,Products!$A:$D,4,0)</f>
        <v>Tablets</v>
      </c>
      <c r="W1717" t="str">
        <f>VLOOKUP(D1717,Customers!$A:$C,3,0)</f>
        <v>B2C</v>
      </c>
      <c r="X1717" t="str">
        <f>VLOOKUP(C1717,Sales_Representatives!$A:$B,2,0)</f>
        <v>Thomas Lopez</v>
      </c>
    </row>
    <row r="1718" spans="1:24" x14ac:dyDescent="0.3">
      <c r="A1718" t="s">
        <v>2481</v>
      </c>
      <c r="B1718" t="s">
        <v>2476</v>
      </c>
      <c r="C1718" t="s">
        <v>56</v>
      </c>
      <c r="D1718" t="s">
        <v>1776</v>
      </c>
      <c r="E1718" t="s">
        <v>108</v>
      </c>
      <c r="F1718">
        <v>5</v>
      </c>
      <c r="G1718">
        <v>155.75</v>
      </c>
      <c r="H1718">
        <v>0.06</v>
      </c>
      <c r="I1718" s="4">
        <v>732.02</v>
      </c>
      <c r="J1718" t="s">
        <v>34</v>
      </c>
      <c r="K1718" t="s">
        <v>35</v>
      </c>
      <c r="L1718" s="4">
        <f>VLOOKUP(tblTransactions[[#This Row],[Product_ID]],tblProducts[],5,FALSE)</f>
        <v>80.8</v>
      </c>
      <c r="M1718" s="4">
        <f>tblTransactions[[#This Row],[Total_Amount]]-(tblTransactions[[#This Row],[Cost_Prices]]*tblTransactions[[#This Row],[Quantity]]*(1-tblTransactions[[#This Row],[Discount]]))</f>
        <v>352.26</v>
      </c>
      <c r="N1718" s="3">
        <f>tblTransactions[[#This Row],[Profit]]/tblTransactions[[#This Row],[Total_Amount]]</f>
        <v>0.48121636020873748</v>
      </c>
      <c r="O1718" t="str">
        <f>TEXT(tblTransactions[[#This Row],[Date]], "MMM-YYYY")</f>
        <v>Dec-2023</v>
      </c>
      <c r="P1718" t="str">
        <f>"Q"&amp;ROUNDUP(MONTH(tblTransactions[[#This Row],[Date]])/3,0)&amp;"-"&amp;YEAR(tblTransactions[[#This Row],[Date]])</f>
        <v>Q4-2023</v>
      </c>
      <c r="Q1718">
        <f>YEAR(tblTransactions[[#This Row],[Date]])</f>
        <v>2023</v>
      </c>
      <c r="R1718" t="str">
        <f>TEXT(tblTransactions[[#This Row],[Date]],"DDDD")</f>
        <v>Friday</v>
      </c>
      <c r="S1718">
        <f>MONTH(tblTransactions[[#This Row],[Date]])</f>
        <v>12</v>
      </c>
      <c r="T1718" t="str">
        <f>VLOOKUP(E1718, Products!$A:$B,2,0)</f>
        <v>Cases Acc-1</v>
      </c>
      <c r="U1718" t="str">
        <f>VLOOKUP(E1718,Products!$A:$C,3,0)</f>
        <v>Accessories</v>
      </c>
      <c r="V1718" t="str">
        <f>VLOOKUP(E1718,Products!$A:$D,4,0)</f>
        <v>Cases</v>
      </c>
      <c r="W1718" t="str">
        <f>VLOOKUP(D1718,Customers!$A:$C,3,0)</f>
        <v>B2C</v>
      </c>
      <c r="X1718" t="str">
        <f>VLOOKUP(C1718,Sales_Representatives!$A:$B,2,0)</f>
        <v>Thomas Hernandez</v>
      </c>
    </row>
    <row r="1719" spans="1:24" x14ac:dyDescent="0.3">
      <c r="A1719" t="s">
        <v>2482</v>
      </c>
      <c r="B1719" t="s">
        <v>2476</v>
      </c>
      <c r="C1719" t="s">
        <v>141</v>
      </c>
      <c r="D1719" t="s">
        <v>2224</v>
      </c>
      <c r="E1719" t="s">
        <v>347</v>
      </c>
      <c r="F1719">
        <v>7</v>
      </c>
      <c r="G1719">
        <v>1539.6</v>
      </c>
      <c r="H1719">
        <v>0.08</v>
      </c>
      <c r="I1719" s="4">
        <v>9915.02</v>
      </c>
      <c r="J1719" t="s">
        <v>109</v>
      </c>
      <c r="K1719" t="s">
        <v>17</v>
      </c>
      <c r="L1719" s="4">
        <f>VLOOKUP(tblTransactions[[#This Row],[Product_ID]],tblProducts[],5,FALSE)</f>
        <v>992.43</v>
      </c>
      <c r="M1719" s="4">
        <f>tblTransactions[[#This Row],[Total_Amount]]-(tblTransactions[[#This Row],[Cost_Prices]]*tblTransactions[[#This Row],[Quantity]]*(1-tblTransactions[[#This Row],[Discount]]))</f>
        <v>3523.7708000000011</v>
      </c>
      <c r="N1719" s="3">
        <f>tblTransactions[[#This Row],[Profit]]/tblTransactions[[#This Row],[Total_Amount]]</f>
        <v>0.35539724579476401</v>
      </c>
      <c r="O1719" t="str">
        <f>TEXT(tblTransactions[[#This Row],[Date]], "MMM-YYYY")</f>
        <v>Dec-2023</v>
      </c>
      <c r="P1719" t="str">
        <f>"Q"&amp;ROUNDUP(MONTH(tblTransactions[[#This Row],[Date]])/3,0)&amp;"-"&amp;YEAR(tblTransactions[[#This Row],[Date]])</f>
        <v>Q4-2023</v>
      </c>
      <c r="Q1719">
        <f>YEAR(tblTransactions[[#This Row],[Date]])</f>
        <v>2023</v>
      </c>
      <c r="R1719" t="str">
        <f>TEXT(tblTransactions[[#This Row],[Date]],"DDDD")</f>
        <v>Friday</v>
      </c>
      <c r="S1719">
        <f>MONTH(tblTransactions[[#This Row],[Date]])</f>
        <v>12</v>
      </c>
      <c r="T1719" t="str">
        <f>VLOOKUP(E1719, Products!$A:$B,2,0)</f>
        <v>Routers Tec-2</v>
      </c>
      <c r="U1719" t="str">
        <f>VLOOKUP(E1719,Products!$A:$C,3,0)</f>
        <v>Technology</v>
      </c>
      <c r="V1719" t="str">
        <f>VLOOKUP(E1719,Products!$A:$D,4,0)</f>
        <v>Routers</v>
      </c>
      <c r="W1719" t="str">
        <f>VLOOKUP(D1719,Customers!$A:$C,3,0)</f>
        <v>B2B</v>
      </c>
      <c r="X1719" t="str">
        <f>VLOOKUP(C1719,Sales_Representatives!$A:$B,2,0)</f>
        <v>Richard Garcia</v>
      </c>
    </row>
    <row r="1720" spans="1:24" x14ac:dyDescent="0.3">
      <c r="A1720" t="s">
        <v>2483</v>
      </c>
      <c r="B1720" t="s">
        <v>2476</v>
      </c>
      <c r="C1720" t="s">
        <v>107</v>
      </c>
      <c r="D1720" t="s">
        <v>1675</v>
      </c>
      <c r="E1720" t="s">
        <v>200</v>
      </c>
      <c r="F1720">
        <v>16</v>
      </c>
      <c r="G1720">
        <v>544.77</v>
      </c>
      <c r="H1720">
        <v>0.17</v>
      </c>
      <c r="I1720" s="4">
        <v>7234.55</v>
      </c>
      <c r="J1720" t="s">
        <v>109</v>
      </c>
      <c r="K1720" t="s">
        <v>22</v>
      </c>
      <c r="L1720" s="4">
        <f>VLOOKUP(tblTransactions[[#This Row],[Product_ID]],tblProducts[],5,FALSE)</f>
        <v>318.2</v>
      </c>
      <c r="M1720" s="4">
        <f>tblTransactions[[#This Row],[Total_Amount]]-(tblTransactions[[#This Row],[Cost_Prices]]*tblTransactions[[#This Row],[Quantity]]*(1-tblTransactions[[#This Row],[Discount]]))</f>
        <v>3008.8540000000003</v>
      </c>
      <c r="N1720" s="3">
        <f>tblTransactions[[#This Row],[Profit]]/tblTransactions[[#This Row],[Total_Amount]]</f>
        <v>0.4159006434401587</v>
      </c>
      <c r="O1720" t="str">
        <f>TEXT(tblTransactions[[#This Row],[Date]], "MMM-YYYY")</f>
        <v>Dec-2023</v>
      </c>
      <c r="P1720" t="str">
        <f>"Q"&amp;ROUNDUP(MONTH(tblTransactions[[#This Row],[Date]])/3,0)&amp;"-"&amp;YEAR(tblTransactions[[#This Row],[Date]])</f>
        <v>Q4-2023</v>
      </c>
      <c r="Q1720">
        <f>YEAR(tblTransactions[[#This Row],[Date]])</f>
        <v>2023</v>
      </c>
      <c r="R1720" t="str">
        <f>TEXT(tblTransactions[[#This Row],[Date]],"DDDD")</f>
        <v>Friday</v>
      </c>
      <c r="S1720">
        <f>MONTH(tblTransactions[[#This Row],[Date]])</f>
        <v>12</v>
      </c>
      <c r="T1720" t="str">
        <f>VLOOKUP(E1720, Products!$A:$B,2,0)</f>
        <v>Desks Fur-4</v>
      </c>
      <c r="U1720" t="str">
        <f>VLOOKUP(E1720,Products!$A:$C,3,0)</f>
        <v>Furniture</v>
      </c>
      <c r="V1720" t="str">
        <f>VLOOKUP(E1720,Products!$A:$D,4,0)</f>
        <v>Desks</v>
      </c>
      <c r="W1720" t="str">
        <f>VLOOKUP(D1720,Customers!$A:$C,3,0)</f>
        <v>B2B</v>
      </c>
      <c r="X1720" t="str">
        <f>VLOOKUP(C1720,Sales_Representatives!$A:$B,2,0)</f>
        <v>Jennifer Brown</v>
      </c>
    </row>
    <row r="1721" spans="1:24" x14ac:dyDescent="0.3">
      <c r="A1721" t="s">
        <v>2484</v>
      </c>
      <c r="B1721" t="s">
        <v>2476</v>
      </c>
      <c r="C1721" t="s">
        <v>19</v>
      </c>
      <c r="D1721" t="s">
        <v>2485</v>
      </c>
      <c r="E1721" t="s">
        <v>290</v>
      </c>
      <c r="F1721">
        <v>15</v>
      </c>
      <c r="G1721">
        <v>729.32</v>
      </c>
      <c r="H1721">
        <v>0.2</v>
      </c>
      <c r="I1721" s="4">
        <v>8751.84</v>
      </c>
      <c r="J1721" t="s">
        <v>21</v>
      </c>
      <c r="K1721" t="s">
        <v>48</v>
      </c>
      <c r="L1721" s="4">
        <f>VLOOKUP(tblTransactions[[#This Row],[Product_ID]],tblProducts[],5,FALSE)</f>
        <v>482.7</v>
      </c>
      <c r="M1721" s="4">
        <f>tblTransactions[[#This Row],[Total_Amount]]-(tblTransactions[[#This Row],[Cost_Prices]]*tblTransactions[[#This Row],[Quantity]]*(1-tblTransactions[[#This Row],[Discount]]))</f>
        <v>2959.4399999999996</v>
      </c>
      <c r="N1721" s="3">
        <f>tblTransactions[[#This Row],[Profit]]/tblTransactions[[#This Row],[Total_Amount]]</f>
        <v>0.33815060604398611</v>
      </c>
      <c r="O1721" t="str">
        <f>TEXT(tblTransactions[[#This Row],[Date]], "MMM-YYYY")</f>
        <v>Dec-2023</v>
      </c>
      <c r="P1721" t="str">
        <f>"Q"&amp;ROUNDUP(MONTH(tblTransactions[[#This Row],[Date]])/3,0)&amp;"-"&amp;YEAR(tblTransactions[[#This Row],[Date]])</f>
        <v>Q4-2023</v>
      </c>
      <c r="Q1721">
        <f>YEAR(tblTransactions[[#This Row],[Date]])</f>
        <v>2023</v>
      </c>
      <c r="R1721" t="str">
        <f>TEXT(tblTransactions[[#This Row],[Date]],"DDDD")</f>
        <v>Friday</v>
      </c>
      <c r="S1721">
        <f>MONTH(tblTransactions[[#This Row],[Date]])</f>
        <v>12</v>
      </c>
      <c r="T1721" t="str">
        <f>VLOOKUP(E1721, Products!$A:$B,2,0)</f>
        <v>Tables Fur-1</v>
      </c>
      <c r="U1721" t="str">
        <f>VLOOKUP(E1721,Products!$A:$C,3,0)</f>
        <v>Furniture</v>
      </c>
      <c r="V1721" t="str">
        <f>VLOOKUP(E1721,Products!$A:$D,4,0)</f>
        <v>Tables</v>
      </c>
      <c r="W1721" t="str">
        <f>VLOOKUP(D1721,Customers!$A:$C,3,0)</f>
        <v>B2B</v>
      </c>
      <c r="X1721" t="str">
        <f>VLOOKUP(C1721,Sales_Representatives!$A:$B,2,0)</f>
        <v>Robert Jones</v>
      </c>
    </row>
    <row r="1722" spans="1:24" x14ac:dyDescent="0.3">
      <c r="A1722" t="s">
        <v>2486</v>
      </c>
      <c r="B1722" t="s">
        <v>2476</v>
      </c>
      <c r="C1722" t="s">
        <v>27</v>
      </c>
      <c r="D1722" t="s">
        <v>2487</v>
      </c>
      <c r="E1722" t="s">
        <v>116</v>
      </c>
      <c r="F1722">
        <v>1</v>
      </c>
      <c r="G1722">
        <v>232.86</v>
      </c>
      <c r="H1722">
        <v>7.0000000000000007E-2</v>
      </c>
      <c r="I1722" s="4">
        <v>216.56</v>
      </c>
      <c r="J1722" t="s">
        <v>16</v>
      </c>
      <c r="K1722" t="s">
        <v>22</v>
      </c>
      <c r="L1722" s="4">
        <f>VLOOKUP(tblTransactions[[#This Row],[Product_ID]],tblProducts[],5,FALSE)</f>
        <v>116.79</v>
      </c>
      <c r="M1722" s="4">
        <f>tblTransactions[[#This Row],[Total_Amount]]-(tblTransactions[[#This Row],[Cost_Prices]]*tblTransactions[[#This Row],[Quantity]]*(1-tblTransactions[[#This Row],[Discount]]))</f>
        <v>107.9453</v>
      </c>
      <c r="N1722" s="3">
        <f>tblTransactions[[#This Row],[Profit]]/tblTransactions[[#This Row],[Total_Amount]]</f>
        <v>0.49845446989287034</v>
      </c>
      <c r="O1722" t="str">
        <f>TEXT(tblTransactions[[#This Row],[Date]], "MMM-YYYY")</f>
        <v>Dec-2023</v>
      </c>
      <c r="P1722" t="str">
        <f>"Q"&amp;ROUNDUP(MONTH(tblTransactions[[#This Row],[Date]])/3,0)&amp;"-"&amp;YEAR(tblTransactions[[#This Row],[Date]])</f>
        <v>Q4-2023</v>
      </c>
      <c r="Q1722">
        <f>YEAR(tblTransactions[[#This Row],[Date]])</f>
        <v>2023</v>
      </c>
      <c r="R1722" t="str">
        <f>TEXT(tblTransactions[[#This Row],[Date]],"DDDD")</f>
        <v>Friday</v>
      </c>
      <c r="S1722">
        <f>MONTH(tblTransactions[[#This Row],[Date]])</f>
        <v>12</v>
      </c>
      <c r="T1722" t="str">
        <f>VLOOKUP(E1722, Products!$A:$B,2,0)</f>
        <v>Folders Off-4</v>
      </c>
      <c r="U1722" t="str">
        <f>VLOOKUP(E1722,Products!$A:$C,3,0)</f>
        <v>Office Supplies</v>
      </c>
      <c r="V1722" t="str">
        <f>VLOOKUP(E1722,Products!$A:$D,4,0)</f>
        <v>Folders</v>
      </c>
      <c r="W1722" t="str">
        <f>VLOOKUP(D1722,Customers!$A:$C,3,0)</f>
        <v>B2C</v>
      </c>
      <c r="X1722" t="str">
        <f>VLOOKUP(C1722,Sales_Representatives!$A:$B,2,0)</f>
        <v>Thomas Lopez</v>
      </c>
    </row>
    <row r="1723" spans="1:24" x14ac:dyDescent="0.3">
      <c r="A1723" t="s">
        <v>2488</v>
      </c>
      <c r="B1723" t="s">
        <v>2489</v>
      </c>
      <c r="C1723" t="s">
        <v>131</v>
      </c>
      <c r="D1723" t="s">
        <v>76</v>
      </c>
      <c r="E1723" t="s">
        <v>113</v>
      </c>
      <c r="F1723">
        <v>6</v>
      </c>
      <c r="G1723">
        <v>930.41</v>
      </c>
      <c r="H1723">
        <v>0.14000000000000001</v>
      </c>
      <c r="I1723" s="4">
        <v>4800.92</v>
      </c>
      <c r="J1723" t="s">
        <v>44</v>
      </c>
      <c r="K1723" t="s">
        <v>17</v>
      </c>
      <c r="L1723" s="4">
        <f>VLOOKUP(tblTransactions[[#This Row],[Product_ID]],tblProducts[],5,FALSE)</f>
        <v>595.51</v>
      </c>
      <c r="M1723" s="4">
        <f>tblTransactions[[#This Row],[Total_Amount]]-(tblTransactions[[#This Row],[Cost_Prices]]*tblTransactions[[#This Row],[Quantity]]*(1-tblTransactions[[#This Row],[Discount]]))</f>
        <v>1728.0884000000001</v>
      </c>
      <c r="N1723" s="3">
        <f>tblTransactions[[#This Row],[Profit]]/tblTransactions[[#This Row],[Total_Amount]]</f>
        <v>0.3599494263599477</v>
      </c>
      <c r="O1723" t="str">
        <f>TEXT(tblTransactions[[#This Row],[Date]], "MMM-YYYY")</f>
        <v>Dec-2023</v>
      </c>
      <c r="P1723" t="str">
        <f>"Q"&amp;ROUNDUP(MONTH(tblTransactions[[#This Row],[Date]])/3,0)&amp;"-"&amp;YEAR(tblTransactions[[#This Row],[Date]])</f>
        <v>Q4-2023</v>
      </c>
      <c r="Q1723">
        <f>YEAR(tblTransactions[[#This Row],[Date]])</f>
        <v>2023</v>
      </c>
      <c r="R1723" t="str">
        <f>TEXT(tblTransactions[[#This Row],[Date]],"DDDD")</f>
        <v>Saturday</v>
      </c>
      <c r="S1723">
        <f>MONTH(tblTransactions[[#This Row],[Date]])</f>
        <v>12</v>
      </c>
      <c r="T1723" t="str">
        <f>VLOOKUP(E1723, Products!$A:$B,2,0)</f>
        <v>Phones Ele-1</v>
      </c>
      <c r="U1723" t="str">
        <f>VLOOKUP(E1723,Products!$A:$C,3,0)</f>
        <v>Electronics</v>
      </c>
      <c r="V1723" t="str">
        <f>VLOOKUP(E1723,Products!$A:$D,4,0)</f>
        <v>Phones</v>
      </c>
      <c r="W1723" t="str">
        <f>VLOOKUP(D1723,Customers!$A:$C,3,0)</f>
        <v>Small Business</v>
      </c>
      <c r="X1723" t="str">
        <f>VLOOKUP(C1723,Sales_Representatives!$A:$B,2,0)</f>
        <v>Michael Davis</v>
      </c>
    </row>
    <row r="1724" spans="1:24" x14ac:dyDescent="0.3">
      <c r="A1724" t="s">
        <v>2490</v>
      </c>
      <c r="B1724" t="s">
        <v>2489</v>
      </c>
      <c r="C1724" t="s">
        <v>70</v>
      </c>
      <c r="D1724" t="s">
        <v>2411</v>
      </c>
      <c r="E1724" t="s">
        <v>394</v>
      </c>
      <c r="F1724">
        <v>15</v>
      </c>
      <c r="G1724">
        <v>314.69</v>
      </c>
      <c r="H1724">
        <v>0.16</v>
      </c>
      <c r="I1724" s="4">
        <v>3965.09</v>
      </c>
      <c r="J1724" t="s">
        <v>16</v>
      </c>
      <c r="K1724" t="s">
        <v>35</v>
      </c>
      <c r="L1724" s="4">
        <f>VLOOKUP(tblTransactions[[#This Row],[Product_ID]],tblProducts[],5,FALSE)</f>
        <v>185.43</v>
      </c>
      <c r="M1724" s="4">
        <f>tblTransactions[[#This Row],[Total_Amount]]-(tblTransactions[[#This Row],[Cost_Prices]]*tblTransactions[[#This Row],[Quantity]]*(1-tblTransactions[[#This Row],[Discount]]))</f>
        <v>1628.672</v>
      </c>
      <c r="N1724" s="3">
        <f>tblTransactions[[#This Row],[Profit]]/tblTransactions[[#This Row],[Total_Amount]]</f>
        <v>0.41075284545874113</v>
      </c>
      <c r="O1724" t="str">
        <f>TEXT(tblTransactions[[#This Row],[Date]], "MMM-YYYY")</f>
        <v>Dec-2023</v>
      </c>
      <c r="P1724" t="str">
        <f>"Q"&amp;ROUNDUP(MONTH(tblTransactions[[#This Row],[Date]])/3,0)&amp;"-"&amp;YEAR(tblTransactions[[#This Row],[Date]])</f>
        <v>Q4-2023</v>
      </c>
      <c r="Q1724">
        <f>YEAR(tblTransactions[[#This Row],[Date]])</f>
        <v>2023</v>
      </c>
      <c r="R1724" t="str">
        <f>TEXT(tblTransactions[[#This Row],[Date]],"DDDD")</f>
        <v>Saturday</v>
      </c>
      <c r="S1724">
        <f>MONTH(tblTransactions[[#This Row],[Date]])</f>
        <v>12</v>
      </c>
      <c r="T1724" t="str">
        <f>VLOOKUP(E1724, Products!$A:$B,2,0)</f>
        <v>Desks Fur-1</v>
      </c>
      <c r="U1724" t="str">
        <f>VLOOKUP(E1724,Products!$A:$C,3,0)</f>
        <v>Furniture</v>
      </c>
      <c r="V1724" t="str">
        <f>VLOOKUP(E1724,Products!$A:$D,4,0)</f>
        <v>Desks</v>
      </c>
      <c r="W1724" t="str">
        <f>VLOOKUP(D1724,Customers!$A:$C,3,0)</f>
        <v>B2B</v>
      </c>
      <c r="X1724" t="str">
        <f>VLOOKUP(C1724,Sales_Representatives!$A:$B,2,0)</f>
        <v>Linda Smith</v>
      </c>
    </row>
    <row r="1725" spans="1:24" x14ac:dyDescent="0.3">
      <c r="A1725" t="s">
        <v>2491</v>
      </c>
      <c r="B1725" t="s">
        <v>2489</v>
      </c>
      <c r="C1725" t="s">
        <v>19</v>
      </c>
      <c r="D1725" t="s">
        <v>2032</v>
      </c>
      <c r="E1725" t="s">
        <v>84</v>
      </c>
      <c r="F1725">
        <v>4</v>
      </c>
      <c r="G1725">
        <v>1841.77</v>
      </c>
      <c r="H1725">
        <v>0.01</v>
      </c>
      <c r="I1725" s="4">
        <v>7293.41</v>
      </c>
      <c r="J1725" t="s">
        <v>21</v>
      </c>
      <c r="K1725" t="s">
        <v>17</v>
      </c>
      <c r="L1725" s="4">
        <f>VLOOKUP(tblTransactions[[#This Row],[Product_ID]],tblProducts[],5,FALSE)</f>
        <v>1151.5899999999999</v>
      </c>
      <c r="M1725" s="4">
        <f>tblTransactions[[#This Row],[Total_Amount]]-(tblTransactions[[#This Row],[Cost_Prices]]*tblTransactions[[#This Row],[Quantity]]*(1-tblTransactions[[#This Row],[Discount]]))</f>
        <v>2733.1136000000006</v>
      </c>
      <c r="N1725" s="3">
        <f>tblTransactions[[#This Row],[Profit]]/tblTransactions[[#This Row],[Total_Amount]]</f>
        <v>0.37473741363779089</v>
      </c>
      <c r="O1725" t="str">
        <f>TEXT(tblTransactions[[#This Row],[Date]], "MMM-YYYY")</f>
        <v>Dec-2023</v>
      </c>
      <c r="P1725" t="str">
        <f>"Q"&amp;ROUNDUP(MONTH(tblTransactions[[#This Row],[Date]])/3,0)&amp;"-"&amp;YEAR(tblTransactions[[#This Row],[Date]])</f>
        <v>Q4-2023</v>
      </c>
      <c r="Q1725">
        <f>YEAR(tblTransactions[[#This Row],[Date]])</f>
        <v>2023</v>
      </c>
      <c r="R1725" t="str">
        <f>TEXT(tblTransactions[[#This Row],[Date]],"DDDD")</f>
        <v>Saturday</v>
      </c>
      <c r="S1725">
        <f>MONTH(tblTransactions[[#This Row],[Date]])</f>
        <v>12</v>
      </c>
      <c r="T1725" t="str">
        <f>VLOOKUP(E1725, Products!$A:$B,2,0)</f>
        <v>Laptops Ele-2</v>
      </c>
      <c r="U1725" t="str">
        <f>VLOOKUP(E1725,Products!$A:$C,3,0)</f>
        <v>Electronics</v>
      </c>
      <c r="V1725" t="str">
        <f>VLOOKUP(E1725,Products!$A:$D,4,0)</f>
        <v>Laptops</v>
      </c>
      <c r="W1725" t="str">
        <f>VLOOKUP(D1725,Customers!$A:$C,3,0)</f>
        <v>B2C</v>
      </c>
      <c r="X1725" t="str">
        <f>VLOOKUP(C1725,Sales_Representatives!$A:$B,2,0)</f>
        <v>Robert Jones</v>
      </c>
    </row>
    <row r="1726" spans="1:24" x14ac:dyDescent="0.3">
      <c r="A1726" t="s">
        <v>2492</v>
      </c>
      <c r="B1726" t="s">
        <v>2489</v>
      </c>
      <c r="C1726" t="s">
        <v>56</v>
      </c>
      <c r="D1726" t="s">
        <v>1852</v>
      </c>
      <c r="E1726" t="s">
        <v>15</v>
      </c>
      <c r="F1726">
        <v>13</v>
      </c>
      <c r="G1726">
        <v>477.48</v>
      </c>
      <c r="H1726">
        <v>0.15</v>
      </c>
      <c r="I1726" s="4">
        <v>5276.15</v>
      </c>
      <c r="J1726" t="s">
        <v>34</v>
      </c>
      <c r="K1726" t="s">
        <v>17</v>
      </c>
      <c r="L1726" s="4">
        <f>VLOOKUP(tblTransactions[[#This Row],[Product_ID]],tblProducts[],5,FALSE)</f>
        <v>275.51</v>
      </c>
      <c r="M1726" s="4">
        <f>tblTransactions[[#This Row],[Total_Amount]]-(tblTransactions[[#This Row],[Cost_Prices]]*tblTransactions[[#This Row],[Quantity]]*(1-tblTransactions[[#This Row],[Discount]]))</f>
        <v>2231.7644999999998</v>
      </c>
      <c r="N1726" s="3">
        <f>tblTransactions[[#This Row],[Profit]]/tblTransactions[[#This Row],[Total_Amount]]</f>
        <v>0.42299110146603108</v>
      </c>
      <c r="O1726" t="str">
        <f>TEXT(tblTransactions[[#This Row],[Date]], "MMM-YYYY")</f>
        <v>Dec-2023</v>
      </c>
      <c r="P1726" t="str">
        <f>"Q"&amp;ROUNDUP(MONTH(tblTransactions[[#This Row],[Date]])/3,0)&amp;"-"&amp;YEAR(tblTransactions[[#This Row],[Date]])</f>
        <v>Q4-2023</v>
      </c>
      <c r="Q1726">
        <f>YEAR(tblTransactions[[#This Row],[Date]])</f>
        <v>2023</v>
      </c>
      <c r="R1726" t="str">
        <f>TEXT(tblTransactions[[#This Row],[Date]],"DDDD")</f>
        <v>Saturday</v>
      </c>
      <c r="S1726">
        <f>MONTH(tblTransactions[[#This Row],[Date]])</f>
        <v>12</v>
      </c>
      <c r="T1726" t="str">
        <f>VLOOKUP(E1726, Products!$A:$B,2,0)</f>
        <v>Laptops Ele-4</v>
      </c>
      <c r="U1726" t="str">
        <f>VLOOKUP(E1726,Products!$A:$C,3,0)</f>
        <v>Electronics</v>
      </c>
      <c r="V1726" t="str">
        <f>VLOOKUP(E1726,Products!$A:$D,4,0)</f>
        <v>Laptops</v>
      </c>
      <c r="W1726" t="str">
        <f>VLOOKUP(D1726,Customers!$A:$C,3,0)</f>
        <v>B2B</v>
      </c>
      <c r="X1726" t="str">
        <f>VLOOKUP(C1726,Sales_Representatives!$A:$B,2,0)</f>
        <v>Thomas Hernandez</v>
      </c>
    </row>
    <row r="1727" spans="1:24" x14ac:dyDescent="0.3">
      <c r="A1727" t="s">
        <v>2493</v>
      </c>
      <c r="B1727" t="s">
        <v>2489</v>
      </c>
      <c r="C1727" t="s">
        <v>13</v>
      </c>
      <c r="D1727" t="s">
        <v>132</v>
      </c>
      <c r="E1727" t="s">
        <v>157</v>
      </c>
      <c r="F1727">
        <v>18</v>
      </c>
      <c r="G1727">
        <v>1227.68</v>
      </c>
      <c r="H1727">
        <v>0.16</v>
      </c>
      <c r="I1727" s="4">
        <v>18562.52</v>
      </c>
      <c r="J1727" t="s">
        <v>16</v>
      </c>
      <c r="K1727" t="s">
        <v>48</v>
      </c>
      <c r="L1727" s="4">
        <f>VLOOKUP(tblTransactions[[#This Row],[Product_ID]],tblProducts[],5,FALSE)</f>
        <v>846.42</v>
      </c>
      <c r="M1727" s="4">
        <f>tblTransactions[[#This Row],[Total_Amount]]-(tblTransactions[[#This Row],[Cost_Prices]]*tblTransactions[[#This Row],[Quantity]]*(1-tblTransactions[[#This Row],[Discount]]))</f>
        <v>5764.6496000000006</v>
      </c>
      <c r="N1727" s="3">
        <f>tblTransactions[[#This Row],[Profit]]/tblTransactions[[#This Row],[Total_Amount]]</f>
        <v>0.31055317920196185</v>
      </c>
      <c r="O1727" t="str">
        <f>TEXT(tblTransactions[[#This Row],[Date]], "MMM-YYYY")</f>
        <v>Dec-2023</v>
      </c>
      <c r="P1727" t="str">
        <f>"Q"&amp;ROUNDUP(MONTH(tblTransactions[[#This Row],[Date]])/3,0)&amp;"-"&amp;YEAR(tblTransactions[[#This Row],[Date]])</f>
        <v>Q4-2023</v>
      </c>
      <c r="Q1727">
        <f>YEAR(tblTransactions[[#This Row],[Date]])</f>
        <v>2023</v>
      </c>
      <c r="R1727" t="str">
        <f>TEXT(tblTransactions[[#This Row],[Date]],"DDDD")</f>
        <v>Saturday</v>
      </c>
      <c r="S1727">
        <f>MONTH(tblTransactions[[#This Row],[Date]])</f>
        <v>12</v>
      </c>
      <c r="T1727" t="str">
        <f>VLOOKUP(E1727, Products!$A:$B,2,0)</f>
        <v>Printers Tec-4</v>
      </c>
      <c r="U1727" t="str">
        <f>VLOOKUP(E1727,Products!$A:$C,3,0)</f>
        <v>Technology</v>
      </c>
      <c r="V1727" t="str">
        <f>VLOOKUP(E1727,Products!$A:$D,4,0)</f>
        <v>Printers</v>
      </c>
      <c r="W1727" t="str">
        <f>VLOOKUP(D1727,Customers!$A:$C,3,0)</f>
        <v>B2B</v>
      </c>
      <c r="X1727" t="str">
        <f>VLOOKUP(C1727,Sales_Representatives!$A:$B,2,0)</f>
        <v>Jennifer Rodriguez</v>
      </c>
    </row>
    <row r="1728" spans="1:24" x14ac:dyDescent="0.3">
      <c r="A1728" t="s">
        <v>2494</v>
      </c>
      <c r="B1728" t="s">
        <v>2489</v>
      </c>
      <c r="C1728" t="s">
        <v>41</v>
      </c>
      <c r="D1728" t="s">
        <v>1765</v>
      </c>
      <c r="E1728" t="s">
        <v>339</v>
      </c>
      <c r="F1728">
        <v>7</v>
      </c>
      <c r="G1728">
        <v>1100.8800000000001</v>
      </c>
      <c r="H1728">
        <v>0.06</v>
      </c>
      <c r="I1728" s="4">
        <v>7243.79</v>
      </c>
      <c r="J1728" t="s">
        <v>44</v>
      </c>
      <c r="K1728" t="s">
        <v>48</v>
      </c>
      <c r="L1728" s="4">
        <f>VLOOKUP(tblTransactions[[#This Row],[Product_ID]],tblProducts[],5,FALSE)</f>
        <v>761.53</v>
      </c>
      <c r="M1728" s="4">
        <f>tblTransactions[[#This Row],[Total_Amount]]-(tblTransactions[[#This Row],[Cost_Prices]]*tblTransactions[[#This Row],[Quantity]]*(1-tblTransactions[[#This Row],[Discount]]))</f>
        <v>2232.9225999999999</v>
      </c>
      <c r="N1728" s="3">
        <f>tblTransactions[[#This Row],[Profit]]/tblTransactions[[#This Row],[Total_Amount]]</f>
        <v>0.30825335908412582</v>
      </c>
      <c r="O1728" t="str">
        <f>TEXT(tblTransactions[[#This Row],[Date]], "MMM-YYYY")</f>
        <v>Dec-2023</v>
      </c>
      <c r="P1728" t="str">
        <f>"Q"&amp;ROUNDUP(MONTH(tblTransactions[[#This Row],[Date]])/3,0)&amp;"-"&amp;YEAR(tblTransactions[[#This Row],[Date]])</f>
        <v>Q4-2023</v>
      </c>
      <c r="Q1728">
        <f>YEAR(tblTransactions[[#This Row],[Date]])</f>
        <v>2023</v>
      </c>
      <c r="R1728" t="str">
        <f>TEXT(tblTransactions[[#This Row],[Date]],"DDDD")</f>
        <v>Saturday</v>
      </c>
      <c r="S1728">
        <f>MONTH(tblTransactions[[#This Row],[Date]])</f>
        <v>12</v>
      </c>
      <c r="T1728" t="str">
        <f>VLOOKUP(E1728, Products!$A:$B,2,0)</f>
        <v>Phones Ele-2</v>
      </c>
      <c r="U1728" t="str">
        <f>VLOOKUP(E1728,Products!$A:$C,3,0)</f>
        <v>Electronics</v>
      </c>
      <c r="V1728" t="str">
        <f>VLOOKUP(E1728,Products!$A:$D,4,0)</f>
        <v>Phones</v>
      </c>
      <c r="W1728" t="str">
        <f>VLOOKUP(D1728,Customers!$A:$C,3,0)</f>
        <v>B2C</v>
      </c>
      <c r="X1728" t="str">
        <f>VLOOKUP(C1728,Sales_Representatives!$A:$B,2,0)</f>
        <v>Robert Jones</v>
      </c>
    </row>
    <row r="1729" spans="1:24" x14ac:dyDescent="0.3">
      <c r="A1729" t="s">
        <v>2495</v>
      </c>
      <c r="B1729" t="s">
        <v>2489</v>
      </c>
      <c r="C1729" t="s">
        <v>56</v>
      </c>
      <c r="D1729" t="s">
        <v>2334</v>
      </c>
      <c r="E1729" t="s">
        <v>200</v>
      </c>
      <c r="F1729">
        <v>17</v>
      </c>
      <c r="G1729">
        <v>544.77</v>
      </c>
      <c r="H1729">
        <v>0.16</v>
      </c>
      <c r="I1729" s="4">
        <v>7779.32</v>
      </c>
      <c r="J1729" t="s">
        <v>34</v>
      </c>
      <c r="K1729" t="s">
        <v>39</v>
      </c>
      <c r="L1729" s="4">
        <f>VLOOKUP(tblTransactions[[#This Row],[Product_ID]],tblProducts[],5,FALSE)</f>
        <v>318.2</v>
      </c>
      <c r="M1729" s="4">
        <f>tblTransactions[[#This Row],[Total_Amount]]-(tblTransactions[[#This Row],[Cost_Prices]]*tblTransactions[[#This Row],[Quantity]]*(1-tblTransactions[[#This Row],[Discount]]))</f>
        <v>3235.424</v>
      </c>
      <c r="N1729" s="3">
        <f>tblTransactions[[#This Row],[Profit]]/tblTransactions[[#This Row],[Total_Amount]]</f>
        <v>0.4159006185630621</v>
      </c>
      <c r="O1729" t="str">
        <f>TEXT(tblTransactions[[#This Row],[Date]], "MMM-YYYY")</f>
        <v>Dec-2023</v>
      </c>
      <c r="P1729" t="str">
        <f>"Q"&amp;ROUNDUP(MONTH(tblTransactions[[#This Row],[Date]])/3,0)&amp;"-"&amp;YEAR(tblTransactions[[#This Row],[Date]])</f>
        <v>Q4-2023</v>
      </c>
      <c r="Q1729">
        <f>YEAR(tblTransactions[[#This Row],[Date]])</f>
        <v>2023</v>
      </c>
      <c r="R1729" t="str">
        <f>TEXT(tblTransactions[[#This Row],[Date]],"DDDD")</f>
        <v>Saturday</v>
      </c>
      <c r="S1729">
        <f>MONTH(tblTransactions[[#This Row],[Date]])</f>
        <v>12</v>
      </c>
      <c r="T1729" t="str">
        <f>VLOOKUP(E1729, Products!$A:$B,2,0)</f>
        <v>Desks Fur-4</v>
      </c>
      <c r="U1729" t="str">
        <f>VLOOKUP(E1729,Products!$A:$C,3,0)</f>
        <v>Furniture</v>
      </c>
      <c r="V1729" t="str">
        <f>VLOOKUP(E1729,Products!$A:$D,4,0)</f>
        <v>Desks</v>
      </c>
      <c r="W1729" t="str">
        <f>VLOOKUP(D1729,Customers!$A:$C,3,0)</f>
        <v>B2B</v>
      </c>
      <c r="X1729" t="str">
        <f>VLOOKUP(C1729,Sales_Representatives!$A:$B,2,0)</f>
        <v>Thomas Hernandez</v>
      </c>
    </row>
    <row r="1730" spans="1:24" x14ac:dyDescent="0.3">
      <c r="A1730" t="s">
        <v>2496</v>
      </c>
      <c r="B1730" t="s">
        <v>2489</v>
      </c>
      <c r="C1730" t="s">
        <v>141</v>
      </c>
      <c r="D1730" t="s">
        <v>2287</v>
      </c>
      <c r="E1730" t="s">
        <v>99</v>
      </c>
      <c r="F1730">
        <v>7</v>
      </c>
      <c r="G1730">
        <v>325.14</v>
      </c>
      <c r="H1730">
        <v>0.06</v>
      </c>
      <c r="I1730" s="4">
        <v>2139.42</v>
      </c>
      <c r="J1730" t="s">
        <v>109</v>
      </c>
      <c r="K1730" t="s">
        <v>35</v>
      </c>
      <c r="L1730" s="4">
        <f>VLOOKUP(tblTransactions[[#This Row],[Product_ID]],tblProducts[],5,FALSE)</f>
        <v>209.04</v>
      </c>
      <c r="M1730" s="4">
        <f>tblTransactions[[#This Row],[Total_Amount]]-(tblTransactions[[#This Row],[Cost_Prices]]*tblTransactions[[#This Row],[Quantity]]*(1-tblTransactions[[#This Row],[Discount]]))</f>
        <v>763.93680000000018</v>
      </c>
      <c r="N1730" s="3">
        <f>tblTransactions[[#This Row],[Profit]]/tblTransactions[[#This Row],[Total_Amount]]</f>
        <v>0.35707659085172622</v>
      </c>
      <c r="O1730" t="str">
        <f>TEXT(tblTransactions[[#This Row],[Date]], "MMM-YYYY")</f>
        <v>Dec-2023</v>
      </c>
      <c r="P1730" t="str">
        <f>"Q"&amp;ROUNDUP(MONTH(tblTransactions[[#This Row],[Date]])/3,0)&amp;"-"&amp;YEAR(tblTransactions[[#This Row],[Date]])</f>
        <v>Q4-2023</v>
      </c>
      <c r="Q1730">
        <f>YEAR(tblTransactions[[#This Row],[Date]])</f>
        <v>2023</v>
      </c>
      <c r="R1730" t="str">
        <f>TEXT(tblTransactions[[#This Row],[Date]],"DDDD")</f>
        <v>Saturday</v>
      </c>
      <c r="S1730">
        <f>MONTH(tblTransactions[[#This Row],[Date]])</f>
        <v>12</v>
      </c>
      <c r="T1730" t="str">
        <f>VLOOKUP(E1730, Products!$A:$B,2,0)</f>
        <v>Monitors Tec-1</v>
      </c>
      <c r="U1730" t="str">
        <f>VLOOKUP(E1730,Products!$A:$C,3,0)</f>
        <v>Technology</v>
      </c>
      <c r="V1730" t="str">
        <f>VLOOKUP(E1730,Products!$A:$D,4,0)</f>
        <v>Monitors</v>
      </c>
      <c r="W1730" t="str">
        <f>VLOOKUP(D1730,Customers!$A:$C,3,0)</f>
        <v>B2B</v>
      </c>
      <c r="X1730" t="str">
        <f>VLOOKUP(C1730,Sales_Representatives!$A:$B,2,0)</f>
        <v>Richard Garcia</v>
      </c>
    </row>
    <row r="1731" spans="1:24" x14ac:dyDescent="0.3">
      <c r="A1731" t="s">
        <v>2497</v>
      </c>
      <c r="B1731" t="s">
        <v>2489</v>
      </c>
      <c r="C1731" t="s">
        <v>75</v>
      </c>
      <c r="D1731" t="s">
        <v>2088</v>
      </c>
      <c r="E1731" t="s">
        <v>290</v>
      </c>
      <c r="F1731">
        <v>6</v>
      </c>
      <c r="G1731">
        <v>729.32</v>
      </c>
      <c r="H1731">
        <v>0.12</v>
      </c>
      <c r="I1731" s="4">
        <v>3850.81</v>
      </c>
      <c r="J1731" t="s">
        <v>44</v>
      </c>
      <c r="K1731" t="s">
        <v>22</v>
      </c>
      <c r="L1731" s="4">
        <f>VLOOKUP(tblTransactions[[#This Row],[Product_ID]],tblProducts[],5,FALSE)</f>
        <v>482.7</v>
      </c>
      <c r="M1731" s="4">
        <f>tblTransactions[[#This Row],[Total_Amount]]-(tblTransactions[[#This Row],[Cost_Prices]]*tblTransactions[[#This Row],[Quantity]]*(1-tblTransactions[[#This Row],[Discount]]))</f>
        <v>1302.154</v>
      </c>
      <c r="N1731" s="3">
        <f>tblTransactions[[#This Row],[Profit]]/tblTransactions[[#This Row],[Total_Amount]]</f>
        <v>0.33815067479309546</v>
      </c>
      <c r="O1731" t="str">
        <f>TEXT(tblTransactions[[#This Row],[Date]], "MMM-YYYY")</f>
        <v>Dec-2023</v>
      </c>
      <c r="P1731" t="str">
        <f>"Q"&amp;ROUNDUP(MONTH(tblTransactions[[#This Row],[Date]])/3,0)&amp;"-"&amp;YEAR(tblTransactions[[#This Row],[Date]])</f>
        <v>Q4-2023</v>
      </c>
      <c r="Q1731">
        <f>YEAR(tblTransactions[[#This Row],[Date]])</f>
        <v>2023</v>
      </c>
      <c r="R1731" t="str">
        <f>TEXT(tblTransactions[[#This Row],[Date]],"DDDD")</f>
        <v>Saturday</v>
      </c>
      <c r="S1731">
        <f>MONTH(tblTransactions[[#This Row],[Date]])</f>
        <v>12</v>
      </c>
      <c r="T1731" t="str">
        <f>VLOOKUP(E1731, Products!$A:$B,2,0)</f>
        <v>Tables Fur-1</v>
      </c>
      <c r="U1731" t="str">
        <f>VLOOKUP(E1731,Products!$A:$C,3,0)</f>
        <v>Furniture</v>
      </c>
      <c r="V1731" t="str">
        <f>VLOOKUP(E1731,Products!$A:$D,4,0)</f>
        <v>Tables</v>
      </c>
      <c r="W1731" t="str">
        <f>VLOOKUP(D1731,Customers!$A:$C,3,0)</f>
        <v>Enterprise</v>
      </c>
      <c r="X1731" t="str">
        <f>VLOOKUP(C1731,Sales_Representatives!$A:$B,2,0)</f>
        <v>Jessica Anderson</v>
      </c>
    </row>
    <row r="1732" spans="1:24" x14ac:dyDescent="0.3">
      <c r="A1732" t="s">
        <v>2498</v>
      </c>
      <c r="B1732" t="s">
        <v>2489</v>
      </c>
      <c r="C1732" t="s">
        <v>82</v>
      </c>
      <c r="D1732" t="s">
        <v>2162</v>
      </c>
      <c r="E1732" t="s">
        <v>20</v>
      </c>
      <c r="F1732">
        <v>4</v>
      </c>
      <c r="G1732">
        <v>1219.49</v>
      </c>
      <c r="H1732">
        <v>0.03</v>
      </c>
      <c r="I1732" s="4">
        <v>4731.62</v>
      </c>
      <c r="J1732" t="s">
        <v>34</v>
      </c>
      <c r="K1732" t="s">
        <v>48</v>
      </c>
      <c r="L1732" s="4">
        <f>VLOOKUP(tblTransactions[[#This Row],[Product_ID]],tblProducts[],5,FALSE)</f>
        <v>686.9</v>
      </c>
      <c r="M1732" s="4">
        <f>tblTransactions[[#This Row],[Total_Amount]]-(tblTransactions[[#This Row],[Cost_Prices]]*tblTransactions[[#This Row],[Quantity]]*(1-tblTransactions[[#This Row],[Discount]]))</f>
        <v>2066.4479999999999</v>
      </c>
      <c r="N1732" s="3">
        <f>tblTransactions[[#This Row],[Profit]]/tblTransactions[[#This Row],[Total_Amount]]</f>
        <v>0.43673160566571279</v>
      </c>
      <c r="O1732" t="str">
        <f>TEXT(tblTransactions[[#This Row],[Date]], "MMM-YYYY")</f>
        <v>Dec-2023</v>
      </c>
      <c r="P1732" t="str">
        <f>"Q"&amp;ROUNDUP(MONTH(tblTransactions[[#This Row],[Date]])/3,0)&amp;"-"&amp;YEAR(tblTransactions[[#This Row],[Date]])</f>
        <v>Q4-2023</v>
      </c>
      <c r="Q1732">
        <f>YEAR(tblTransactions[[#This Row],[Date]])</f>
        <v>2023</v>
      </c>
      <c r="R1732" t="str">
        <f>TEXT(tblTransactions[[#This Row],[Date]],"DDDD")</f>
        <v>Saturday</v>
      </c>
      <c r="S1732">
        <f>MONTH(tblTransactions[[#This Row],[Date]])</f>
        <v>12</v>
      </c>
      <c r="T1732" t="str">
        <f>VLOOKUP(E1732, Products!$A:$B,2,0)</f>
        <v>Laptops Ele-1</v>
      </c>
      <c r="U1732" t="str">
        <f>VLOOKUP(E1732,Products!$A:$C,3,0)</f>
        <v>Electronics</v>
      </c>
      <c r="V1732" t="str">
        <f>VLOOKUP(E1732,Products!$A:$D,4,0)</f>
        <v>Laptops</v>
      </c>
      <c r="W1732" t="str">
        <f>VLOOKUP(D1732,Customers!$A:$C,3,0)</f>
        <v>Small Business</v>
      </c>
      <c r="X1732" t="str">
        <f>VLOOKUP(C1732,Sales_Representatives!$A:$B,2,0)</f>
        <v>John Brown</v>
      </c>
    </row>
    <row r="1733" spans="1:24" x14ac:dyDescent="0.3">
      <c r="A1733" t="s">
        <v>2499</v>
      </c>
      <c r="B1733" t="s">
        <v>2489</v>
      </c>
      <c r="C1733" t="s">
        <v>59</v>
      </c>
      <c r="D1733" t="s">
        <v>57</v>
      </c>
      <c r="E1733" t="s">
        <v>232</v>
      </c>
      <c r="F1733">
        <v>1</v>
      </c>
      <c r="G1733">
        <v>60.21</v>
      </c>
      <c r="H1733">
        <v>0.05</v>
      </c>
      <c r="I1733" s="4">
        <v>57.2</v>
      </c>
      <c r="J1733" t="s">
        <v>21</v>
      </c>
      <c r="K1733" t="s">
        <v>35</v>
      </c>
      <c r="L1733" s="4">
        <f>VLOOKUP(tblTransactions[[#This Row],[Product_ID]],tblProducts[],5,FALSE)</f>
        <v>38.18</v>
      </c>
      <c r="M1733" s="4">
        <f>tblTransactions[[#This Row],[Total_Amount]]-(tblTransactions[[#This Row],[Cost_Prices]]*tblTransactions[[#This Row],[Quantity]]*(1-tblTransactions[[#This Row],[Discount]]))</f>
        <v>20.929000000000002</v>
      </c>
      <c r="N1733" s="3">
        <f>tblTransactions[[#This Row],[Profit]]/tblTransactions[[#This Row],[Total_Amount]]</f>
        <v>0.36589160839160839</v>
      </c>
      <c r="O1733" t="str">
        <f>TEXT(tblTransactions[[#This Row],[Date]], "MMM-YYYY")</f>
        <v>Dec-2023</v>
      </c>
      <c r="P1733" t="str">
        <f>"Q"&amp;ROUNDUP(MONTH(tblTransactions[[#This Row],[Date]])/3,0)&amp;"-"&amp;YEAR(tblTransactions[[#This Row],[Date]])</f>
        <v>Q4-2023</v>
      </c>
      <c r="Q1733">
        <f>YEAR(tblTransactions[[#This Row],[Date]])</f>
        <v>2023</v>
      </c>
      <c r="R1733" t="str">
        <f>TEXT(tblTransactions[[#This Row],[Date]],"DDDD")</f>
        <v>Saturday</v>
      </c>
      <c r="S1733">
        <f>MONTH(tblTransactions[[#This Row],[Date]])</f>
        <v>12</v>
      </c>
      <c r="T1733" t="str">
        <f>VLOOKUP(E1733, Products!$A:$B,2,0)</f>
        <v>Cables Acc-3</v>
      </c>
      <c r="U1733" t="str">
        <f>VLOOKUP(E1733,Products!$A:$C,3,0)</f>
        <v>Accessories</v>
      </c>
      <c r="V1733" t="str">
        <f>VLOOKUP(E1733,Products!$A:$D,4,0)</f>
        <v>Cables</v>
      </c>
      <c r="W1733" t="str">
        <f>VLOOKUP(D1733,Customers!$A:$C,3,0)</f>
        <v>Small Business</v>
      </c>
      <c r="X1733" t="str">
        <f>VLOOKUP(C1733,Sales_Representatives!$A:$B,2,0)</f>
        <v>Sarah Brown</v>
      </c>
    </row>
    <row r="1734" spans="1:24" x14ac:dyDescent="0.3">
      <c r="A1734" t="s">
        <v>2500</v>
      </c>
      <c r="B1734" t="s">
        <v>2489</v>
      </c>
      <c r="C1734" t="s">
        <v>107</v>
      </c>
      <c r="D1734" t="s">
        <v>1458</v>
      </c>
      <c r="E1734" t="s">
        <v>450</v>
      </c>
      <c r="F1734">
        <v>21</v>
      </c>
      <c r="G1734">
        <v>2083.92</v>
      </c>
      <c r="H1734">
        <v>0.24</v>
      </c>
      <c r="I1734" s="4">
        <v>33259.360000000001</v>
      </c>
      <c r="J1734" t="s">
        <v>109</v>
      </c>
      <c r="K1734" t="s">
        <v>48</v>
      </c>
      <c r="L1734" s="4">
        <f>VLOOKUP(tblTransactions[[#This Row],[Product_ID]],tblProducts[],5,FALSE)</f>
        <v>1425.78</v>
      </c>
      <c r="M1734" s="4">
        <f>tblTransactions[[#This Row],[Total_Amount]]-(tblTransactions[[#This Row],[Cost_Prices]]*tblTransactions[[#This Row],[Quantity]]*(1-tblTransactions[[#This Row],[Discount]]))</f>
        <v>10503.911199999999</v>
      </c>
      <c r="N1734" s="3">
        <f>tblTransactions[[#This Row],[Profit]]/tblTransactions[[#This Row],[Total_Amount]]</f>
        <v>0.3158181997488827</v>
      </c>
      <c r="O1734" t="str">
        <f>TEXT(tblTransactions[[#This Row],[Date]], "MMM-YYYY")</f>
        <v>Dec-2023</v>
      </c>
      <c r="P1734" t="str">
        <f>"Q"&amp;ROUNDUP(MONTH(tblTransactions[[#This Row],[Date]])/3,0)&amp;"-"&amp;YEAR(tblTransactions[[#This Row],[Date]])</f>
        <v>Q4-2023</v>
      </c>
      <c r="Q1734">
        <f>YEAR(tblTransactions[[#This Row],[Date]])</f>
        <v>2023</v>
      </c>
      <c r="R1734" t="str">
        <f>TEXT(tblTransactions[[#This Row],[Date]],"DDDD")</f>
        <v>Saturday</v>
      </c>
      <c r="S1734">
        <f>MONTH(tblTransactions[[#This Row],[Date]])</f>
        <v>12</v>
      </c>
      <c r="T1734" t="str">
        <f>VLOOKUP(E1734, Products!$A:$B,2,0)</f>
        <v>Monitors Tec-4</v>
      </c>
      <c r="U1734" t="str">
        <f>VLOOKUP(E1734,Products!$A:$C,3,0)</f>
        <v>Technology</v>
      </c>
      <c r="V1734" t="str">
        <f>VLOOKUP(E1734,Products!$A:$D,4,0)</f>
        <v>Monitors</v>
      </c>
      <c r="W1734" t="str">
        <f>VLOOKUP(D1734,Customers!$A:$C,3,0)</f>
        <v>Enterprise</v>
      </c>
      <c r="X1734" t="str">
        <f>VLOOKUP(C1734,Sales_Representatives!$A:$B,2,0)</f>
        <v>Jennifer Brown</v>
      </c>
    </row>
    <row r="1735" spans="1:24" x14ac:dyDescent="0.3">
      <c r="A1735" t="s">
        <v>2501</v>
      </c>
      <c r="B1735" t="s">
        <v>2502</v>
      </c>
      <c r="C1735" t="s">
        <v>59</v>
      </c>
      <c r="D1735" t="s">
        <v>2159</v>
      </c>
      <c r="E1735" t="s">
        <v>137</v>
      </c>
      <c r="F1735">
        <v>4</v>
      </c>
      <c r="G1735">
        <v>241.39</v>
      </c>
      <c r="H1735">
        <v>0.09</v>
      </c>
      <c r="I1735" s="4">
        <v>878.66</v>
      </c>
      <c r="J1735" t="s">
        <v>21</v>
      </c>
      <c r="K1735" t="s">
        <v>35</v>
      </c>
      <c r="L1735" s="4">
        <f>VLOOKUP(tblTransactions[[#This Row],[Product_ID]],tblProducts[],5,FALSE)</f>
        <v>124.07</v>
      </c>
      <c r="M1735" s="4">
        <f>tblTransactions[[#This Row],[Total_Amount]]-(tblTransactions[[#This Row],[Cost_Prices]]*tblTransactions[[#This Row],[Quantity]]*(1-tblTransactions[[#This Row],[Discount]]))</f>
        <v>427.04519999999997</v>
      </c>
      <c r="N1735" s="3">
        <f>tblTransactions[[#This Row],[Profit]]/tblTransactions[[#This Row],[Total_Amount]]</f>
        <v>0.48601871030887939</v>
      </c>
      <c r="O1735" t="str">
        <f>TEXT(tblTransactions[[#This Row],[Date]], "MMM-YYYY")</f>
        <v>Dec-2023</v>
      </c>
      <c r="P1735" t="str">
        <f>"Q"&amp;ROUNDUP(MONTH(tblTransactions[[#This Row],[Date]])/3,0)&amp;"-"&amp;YEAR(tblTransactions[[#This Row],[Date]])</f>
        <v>Q4-2023</v>
      </c>
      <c r="Q1735">
        <f>YEAR(tblTransactions[[#This Row],[Date]])</f>
        <v>2023</v>
      </c>
      <c r="R1735" t="str">
        <f>TEXT(tblTransactions[[#This Row],[Date]],"DDDD")</f>
        <v>Sunday</v>
      </c>
      <c r="S1735">
        <f>MONTH(tblTransactions[[#This Row],[Date]])</f>
        <v>12</v>
      </c>
      <c r="T1735" t="str">
        <f>VLOOKUP(E1735, Products!$A:$B,2,0)</f>
        <v>Desks Fur-2</v>
      </c>
      <c r="U1735" t="str">
        <f>VLOOKUP(E1735,Products!$A:$C,3,0)</f>
        <v>Furniture</v>
      </c>
      <c r="V1735" t="str">
        <f>VLOOKUP(E1735,Products!$A:$D,4,0)</f>
        <v>Desks</v>
      </c>
      <c r="W1735" t="str">
        <f>VLOOKUP(D1735,Customers!$A:$C,3,0)</f>
        <v>B2B</v>
      </c>
      <c r="X1735" t="str">
        <f>VLOOKUP(C1735,Sales_Representatives!$A:$B,2,0)</f>
        <v>Sarah Brown</v>
      </c>
    </row>
    <row r="1736" spans="1:24" x14ac:dyDescent="0.3">
      <c r="A1736" t="s">
        <v>2503</v>
      </c>
      <c r="B1736" t="s">
        <v>2502</v>
      </c>
      <c r="C1736" t="s">
        <v>41</v>
      </c>
      <c r="D1736" t="s">
        <v>2166</v>
      </c>
      <c r="E1736" t="s">
        <v>264</v>
      </c>
      <c r="F1736">
        <v>47</v>
      </c>
      <c r="G1736">
        <v>607.29999999999995</v>
      </c>
      <c r="H1736">
        <v>0.21</v>
      </c>
      <c r="I1736" s="4">
        <v>22549.05</v>
      </c>
      <c r="J1736" t="s">
        <v>44</v>
      </c>
      <c r="K1736" t="s">
        <v>35</v>
      </c>
      <c r="L1736" s="4">
        <f>VLOOKUP(tblTransactions[[#This Row],[Product_ID]],tblProducts[],5,FALSE)</f>
        <v>436.37</v>
      </c>
      <c r="M1736" s="4">
        <f>tblTransactions[[#This Row],[Total_Amount]]-(tblTransactions[[#This Row],[Cost_Prices]]*tblTransactions[[#This Row],[Quantity]]*(1-tblTransactions[[#This Row],[Discount]]))</f>
        <v>6346.6318999999985</v>
      </c>
      <c r="N1736" s="3">
        <f>tblTransactions[[#This Row],[Profit]]/tblTransactions[[#This Row],[Total_Amount]]</f>
        <v>0.28145894838141733</v>
      </c>
      <c r="O1736" t="str">
        <f>TEXT(tblTransactions[[#This Row],[Date]], "MMM-YYYY")</f>
        <v>Dec-2023</v>
      </c>
      <c r="P1736" t="str">
        <f>"Q"&amp;ROUNDUP(MONTH(tblTransactions[[#This Row],[Date]])/3,0)&amp;"-"&amp;YEAR(tblTransactions[[#This Row],[Date]])</f>
        <v>Q4-2023</v>
      </c>
      <c r="Q1736">
        <f>YEAR(tblTransactions[[#This Row],[Date]])</f>
        <v>2023</v>
      </c>
      <c r="R1736" t="str">
        <f>TEXT(tblTransactions[[#This Row],[Date]],"DDDD")</f>
        <v>Sunday</v>
      </c>
      <c r="S1736">
        <f>MONTH(tblTransactions[[#This Row],[Date]])</f>
        <v>12</v>
      </c>
      <c r="T1736" t="str">
        <f>VLOOKUP(E1736, Products!$A:$B,2,0)</f>
        <v>Tablets Ele-4</v>
      </c>
      <c r="U1736" t="str">
        <f>VLOOKUP(E1736,Products!$A:$C,3,0)</f>
        <v>Electronics</v>
      </c>
      <c r="V1736" t="str">
        <f>VLOOKUP(E1736,Products!$A:$D,4,0)</f>
        <v>Tablets</v>
      </c>
      <c r="W1736" t="str">
        <f>VLOOKUP(D1736,Customers!$A:$C,3,0)</f>
        <v>Enterprise</v>
      </c>
      <c r="X1736" t="str">
        <f>VLOOKUP(C1736,Sales_Representatives!$A:$B,2,0)</f>
        <v>Robert Jones</v>
      </c>
    </row>
    <row r="1737" spans="1:24" x14ac:dyDescent="0.3">
      <c r="A1737" t="s">
        <v>2504</v>
      </c>
      <c r="B1737" t="s">
        <v>2502</v>
      </c>
      <c r="C1737" t="s">
        <v>63</v>
      </c>
      <c r="D1737" t="s">
        <v>2505</v>
      </c>
      <c r="E1737" t="s">
        <v>376</v>
      </c>
      <c r="F1737">
        <v>6</v>
      </c>
      <c r="G1737">
        <v>229.65</v>
      </c>
      <c r="H1737">
        <v>0.12</v>
      </c>
      <c r="I1737" s="4">
        <v>1212.55</v>
      </c>
      <c r="J1737" t="s">
        <v>21</v>
      </c>
      <c r="K1737" t="s">
        <v>22</v>
      </c>
      <c r="L1737" s="4">
        <f>VLOOKUP(tblTransactions[[#This Row],[Product_ID]],tblProducts[],5,FALSE)</f>
        <v>96.84</v>
      </c>
      <c r="M1737" s="4">
        <f>tblTransactions[[#This Row],[Total_Amount]]-(tblTransactions[[#This Row],[Cost_Prices]]*tblTransactions[[#This Row],[Quantity]]*(1-tblTransactions[[#This Row],[Discount]]))</f>
        <v>701.23479999999995</v>
      </c>
      <c r="N1737" s="3">
        <f>tblTransactions[[#This Row],[Profit]]/tblTransactions[[#This Row],[Total_Amount]]</f>
        <v>0.57831413137602572</v>
      </c>
      <c r="O1737" t="str">
        <f>TEXT(tblTransactions[[#This Row],[Date]], "MMM-YYYY")</f>
        <v>Dec-2023</v>
      </c>
      <c r="P1737" t="str">
        <f>"Q"&amp;ROUNDUP(MONTH(tblTransactions[[#This Row],[Date]])/3,0)&amp;"-"&amp;YEAR(tblTransactions[[#This Row],[Date]])</f>
        <v>Q4-2023</v>
      </c>
      <c r="Q1737">
        <f>YEAR(tblTransactions[[#This Row],[Date]])</f>
        <v>2023</v>
      </c>
      <c r="R1737" t="str">
        <f>TEXT(tblTransactions[[#This Row],[Date]],"DDDD")</f>
        <v>Sunday</v>
      </c>
      <c r="S1737">
        <f>MONTH(tblTransactions[[#This Row],[Date]])</f>
        <v>12</v>
      </c>
      <c r="T1737" t="str">
        <f>VLOOKUP(E1737, Products!$A:$B,2,0)</f>
        <v>Adapters Acc-2</v>
      </c>
      <c r="U1737" t="str">
        <f>VLOOKUP(E1737,Products!$A:$C,3,0)</f>
        <v>Accessories</v>
      </c>
      <c r="V1737" t="str">
        <f>VLOOKUP(E1737,Products!$A:$D,4,0)</f>
        <v>Adapters</v>
      </c>
      <c r="W1737" t="str">
        <f>VLOOKUP(D1737,Customers!$A:$C,3,0)</f>
        <v>B2C</v>
      </c>
      <c r="X1737" t="str">
        <f>VLOOKUP(C1737,Sales_Representatives!$A:$B,2,0)</f>
        <v>Richard Wilson</v>
      </c>
    </row>
    <row r="1738" spans="1:24" x14ac:dyDescent="0.3">
      <c r="A1738" t="s">
        <v>2506</v>
      </c>
      <c r="B1738" t="s">
        <v>2502</v>
      </c>
      <c r="C1738" t="s">
        <v>27</v>
      </c>
      <c r="D1738" t="s">
        <v>2507</v>
      </c>
      <c r="E1738" t="s">
        <v>99</v>
      </c>
      <c r="F1738">
        <v>4</v>
      </c>
      <c r="G1738">
        <v>325.14</v>
      </c>
      <c r="H1738">
        <v>0.03</v>
      </c>
      <c r="I1738" s="4">
        <v>1261.54</v>
      </c>
      <c r="J1738" t="s">
        <v>16</v>
      </c>
      <c r="K1738" t="s">
        <v>35</v>
      </c>
      <c r="L1738" s="4">
        <f>VLOOKUP(tblTransactions[[#This Row],[Product_ID]],tblProducts[],5,FALSE)</f>
        <v>209.04</v>
      </c>
      <c r="M1738" s="4">
        <f>tblTransactions[[#This Row],[Total_Amount]]-(tblTransactions[[#This Row],[Cost_Prices]]*tblTransactions[[#This Row],[Quantity]]*(1-tblTransactions[[#This Row],[Discount]]))</f>
        <v>450.46479999999997</v>
      </c>
      <c r="N1738" s="3">
        <f>tblTransactions[[#This Row],[Profit]]/tblTransactions[[#This Row],[Total_Amount]]</f>
        <v>0.35707532063985287</v>
      </c>
      <c r="O1738" t="str">
        <f>TEXT(tblTransactions[[#This Row],[Date]], "MMM-YYYY")</f>
        <v>Dec-2023</v>
      </c>
      <c r="P1738" t="str">
        <f>"Q"&amp;ROUNDUP(MONTH(tblTransactions[[#This Row],[Date]])/3,0)&amp;"-"&amp;YEAR(tblTransactions[[#This Row],[Date]])</f>
        <v>Q4-2023</v>
      </c>
      <c r="Q1738">
        <f>YEAR(tblTransactions[[#This Row],[Date]])</f>
        <v>2023</v>
      </c>
      <c r="R1738" t="str">
        <f>TEXT(tblTransactions[[#This Row],[Date]],"DDDD")</f>
        <v>Sunday</v>
      </c>
      <c r="S1738">
        <f>MONTH(tblTransactions[[#This Row],[Date]])</f>
        <v>12</v>
      </c>
      <c r="T1738" t="str">
        <f>VLOOKUP(E1738, Products!$A:$B,2,0)</f>
        <v>Monitors Tec-1</v>
      </c>
      <c r="U1738" t="str">
        <f>VLOOKUP(E1738,Products!$A:$C,3,0)</f>
        <v>Technology</v>
      </c>
      <c r="V1738" t="str">
        <f>VLOOKUP(E1738,Products!$A:$D,4,0)</f>
        <v>Monitors</v>
      </c>
      <c r="W1738" t="str">
        <f>VLOOKUP(D1738,Customers!$A:$C,3,0)</f>
        <v>B2B</v>
      </c>
      <c r="X1738" t="str">
        <f>VLOOKUP(C1738,Sales_Representatives!$A:$B,2,0)</f>
        <v>Thomas Lopez</v>
      </c>
    </row>
    <row r="1739" spans="1:24" x14ac:dyDescent="0.3">
      <c r="A1739" t="s">
        <v>2508</v>
      </c>
      <c r="B1739" t="s">
        <v>2502</v>
      </c>
      <c r="C1739" t="s">
        <v>82</v>
      </c>
      <c r="D1739" t="s">
        <v>1557</v>
      </c>
      <c r="E1739" t="s">
        <v>704</v>
      </c>
      <c r="F1739">
        <v>1</v>
      </c>
      <c r="G1739">
        <v>291.81</v>
      </c>
      <c r="H1739">
        <v>0.05</v>
      </c>
      <c r="I1739" s="4">
        <v>277.22000000000003</v>
      </c>
      <c r="J1739" t="s">
        <v>34</v>
      </c>
      <c r="K1739" t="s">
        <v>48</v>
      </c>
      <c r="L1739" s="4">
        <f>VLOOKUP(tblTransactions[[#This Row],[Product_ID]],tblProducts[],5,FALSE)</f>
        <v>123.61</v>
      </c>
      <c r="M1739" s="4">
        <f>tblTransactions[[#This Row],[Total_Amount]]-(tblTransactions[[#This Row],[Cost_Prices]]*tblTransactions[[#This Row],[Quantity]]*(1-tblTransactions[[#This Row],[Discount]]))</f>
        <v>159.79050000000004</v>
      </c>
      <c r="N1739" s="3">
        <f>tblTransactions[[#This Row],[Profit]]/tblTransactions[[#This Row],[Total_Amount]]</f>
        <v>0.5764032176610635</v>
      </c>
      <c r="O1739" t="str">
        <f>TEXT(tblTransactions[[#This Row],[Date]], "MMM-YYYY")</f>
        <v>Dec-2023</v>
      </c>
      <c r="P1739" t="str">
        <f>"Q"&amp;ROUNDUP(MONTH(tblTransactions[[#This Row],[Date]])/3,0)&amp;"-"&amp;YEAR(tblTransactions[[#This Row],[Date]])</f>
        <v>Q4-2023</v>
      </c>
      <c r="Q1739">
        <f>YEAR(tblTransactions[[#This Row],[Date]])</f>
        <v>2023</v>
      </c>
      <c r="R1739" t="str">
        <f>TEXT(tblTransactions[[#This Row],[Date]],"DDDD")</f>
        <v>Sunday</v>
      </c>
      <c r="S1739">
        <f>MONTH(tblTransactions[[#This Row],[Date]])</f>
        <v>12</v>
      </c>
      <c r="T1739" t="str">
        <f>VLOOKUP(E1739, Products!$A:$B,2,0)</f>
        <v>Keyboards Acc-4</v>
      </c>
      <c r="U1739" t="str">
        <f>VLOOKUP(E1739,Products!$A:$C,3,0)</f>
        <v>Accessories</v>
      </c>
      <c r="V1739" t="str">
        <f>VLOOKUP(E1739,Products!$A:$D,4,0)</f>
        <v>Keyboards</v>
      </c>
      <c r="W1739" t="str">
        <f>VLOOKUP(D1739,Customers!$A:$C,3,0)</f>
        <v>B2C</v>
      </c>
      <c r="X1739" t="str">
        <f>VLOOKUP(C1739,Sales_Representatives!$A:$B,2,0)</f>
        <v>John Brown</v>
      </c>
    </row>
    <row r="1740" spans="1:24" x14ac:dyDescent="0.3">
      <c r="A1740" t="s">
        <v>2509</v>
      </c>
      <c r="B1740" t="s">
        <v>2502</v>
      </c>
      <c r="C1740" t="s">
        <v>70</v>
      </c>
      <c r="D1740" t="s">
        <v>1582</v>
      </c>
      <c r="E1740" t="s">
        <v>194</v>
      </c>
      <c r="F1740">
        <v>2</v>
      </c>
      <c r="G1740">
        <v>82.84</v>
      </c>
      <c r="H1740">
        <v>0.05</v>
      </c>
      <c r="I1740" s="4">
        <v>157.4</v>
      </c>
      <c r="J1740" t="s">
        <v>16</v>
      </c>
      <c r="K1740" t="s">
        <v>35</v>
      </c>
      <c r="L1740" s="4">
        <f>VLOOKUP(tblTransactions[[#This Row],[Product_ID]],tblProducts[],5,FALSE)</f>
        <v>52.98</v>
      </c>
      <c r="M1740" s="4">
        <f>tblTransactions[[#This Row],[Total_Amount]]-(tblTransactions[[#This Row],[Cost_Prices]]*tblTransactions[[#This Row],[Quantity]]*(1-tblTransactions[[#This Row],[Discount]]))</f>
        <v>56.738000000000014</v>
      </c>
      <c r="N1740" s="3">
        <f>tblTransactions[[#This Row],[Profit]]/tblTransactions[[#This Row],[Total_Amount]]</f>
        <v>0.36047013977128345</v>
      </c>
      <c r="O1740" t="str">
        <f>TEXT(tblTransactions[[#This Row],[Date]], "MMM-YYYY")</f>
        <v>Dec-2023</v>
      </c>
      <c r="P1740" t="str">
        <f>"Q"&amp;ROUNDUP(MONTH(tblTransactions[[#This Row],[Date]])/3,0)&amp;"-"&amp;YEAR(tblTransactions[[#This Row],[Date]])</f>
        <v>Q4-2023</v>
      </c>
      <c r="Q1740">
        <f>YEAR(tblTransactions[[#This Row],[Date]])</f>
        <v>2023</v>
      </c>
      <c r="R1740" t="str">
        <f>TEXT(tblTransactions[[#This Row],[Date]],"DDDD")</f>
        <v>Sunday</v>
      </c>
      <c r="S1740">
        <f>MONTH(tblTransactions[[#This Row],[Date]])</f>
        <v>12</v>
      </c>
      <c r="T1740" t="str">
        <f>VLOOKUP(E1740, Products!$A:$B,2,0)</f>
        <v>Binders Off-2</v>
      </c>
      <c r="U1740" t="str">
        <f>VLOOKUP(E1740,Products!$A:$C,3,0)</f>
        <v>Office Supplies</v>
      </c>
      <c r="V1740" t="str">
        <f>VLOOKUP(E1740,Products!$A:$D,4,0)</f>
        <v>Binders</v>
      </c>
      <c r="W1740" t="str">
        <f>VLOOKUP(D1740,Customers!$A:$C,3,0)</f>
        <v>Small Business</v>
      </c>
      <c r="X1740" t="str">
        <f>VLOOKUP(C1740,Sales_Representatives!$A:$B,2,0)</f>
        <v>Linda Smith</v>
      </c>
    </row>
    <row r="1741" spans="1:24" x14ac:dyDescent="0.3">
      <c r="A1741" t="s">
        <v>2510</v>
      </c>
      <c r="B1741" t="s">
        <v>2502</v>
      </c>
      <c r="C1741" t="s">
        <v>75</v>
      </c>
      <c r="D1741" t="s">
        <v>1862</v>
      </c>
      <c r="E1741" t="s">
        <v>178</v>
      </c>
      <c r="F1741">
        <v>14</v>
      </c>
      <c r="G1741">
        <v>1623.35</v>
      </c>
      <c r="H1741">
        <v>0.13</v>
      </c>
      <c r="I1741" s="4">
        <v>19772.400000000001</v>
      </c>
      <c r="J1741" t="s">
        <v>44</v>
      </c>
      <c r="K1741" t="s">
        <v>35</v>
      </c>
      <c r="L1741" s="4">
        <f>VLOOKUP(tblTransactions[[#This Row],[Product_ID]],tblProducts[],5,FALSE)</f>
        <v>981.45</v>
      </c>
      <c r="M1741" s="4">
        <f>tblTransactions[[#This Row],[Total_Amount]]-(tblTransactions[[#This Row],[Cost_Prices]]*tblTransactions[[#This Row],[Quantity]]*(1-tblTransactions[[#This Row],[Discount]]))</f>
        <v>7818.3389999999999</v>
      </c>
      <c r="N1741" s="3">
        <f>tblTransactions[[#This Row],[Profit]]/tblTransactions[[#This Row],[Total_Amount]]</f>
        <v>0.39541679310554101</v>
      </c>
      <c r="O1741" t="str">
        <f>TEXT(tblTransactions[[#This Row],[Date]], "MMM-YYYY")</f>
        <v>Dec-2023</v>
      </c>
      <c r="P1741" t="str">
        <f>"Q"&amp;ROUNDUP(MONTH(tblTransactions[[#This Row],[Date]])/3,0)&amp;"-"&amp;YEAR(tblTransactions[[#This Row],[Date]])</f>
        <v>Q4-2023</v>
      </c>
      <c r="Q1741">
        <f>YEAR(tblTransactions[[#This Row],[Date]])</f>
        <v>2023</v>
      </c>
      <c r="R1741" t="str">
        <f>TEXT(tblTransactions[[#This Row],[Date]],"DDDD")</f>
        <v>Sunday</v>
      </c>
      <c r="S1741">
        <f>MONTH(tblTransactions[[#This Row],[Date]])</f>
        <v>12</v>
      </c>
      <c r="T1741" t="str">
        <f>VLOOKUP(E1741, Products!$A:$B,2,0)</f>
        <v>Tablets Ele-1</v>
      </c>
      <c r="U1741" t="str">
        <f>VLOOKUP(E1741,Products!$A:$C,3,0)</f>
        <v>Electronics</v>
      </c>
      <c r="V1741" t="str">
        <f>VLOOKUP(E1741,Products!$A:$D,4,0)</f>
        <v>Tablets</v>
      </c>
      <c r="W1741" t="str">
        <f>VLOOKUP(D1741,Customers!$A:$C,3,0)</f>
        <v>B2B</v>
      </c>
      <c r="X1741" t="str">
        <f>VLOOKUP(C1741,Sales_Representatives!$A:$B,2,0)</f>
        <v>Jessica Anderson</v>
      </c>
    </row>
    <row r="1742" spans="1:24" x14ac:dyDescent="0.3">
      <c r="A1742" t="s">
        <v>2511</v>
      </c>
      <c r="B1742" t="s">
        <v>2502</v>
      </c>
      <c r="C1742" t="s">
        <v>131</v>
      </c>
      <c r="D1742" t="s">
        <v>2512</v>
      </c>
      <c r="E1742" t="s">
        <v>347</v>
      </c>
      <c r="F1742">
        <v>6</v>
      </c>
      <c r="G1742">
        <v>1539.6</v>
      </c>
      <c r="H1742">
        <v>0.1</v>
      </c>
      <c r="I1742" s="4">
        <v>8313.84</v>
      </c>
      <c r="J1742" t="s">
        <v>44</v>
      </c>
      <c r="K1742" t="s">
        <v>17</v>
      </c>
      <c r="L1742" s="4">
        <f>VLOOKUP(tblTransactions[[#This Row],[Product_ID]],tblProducts[],5,FALSE)</f>
        <v>992.43</v>
      </c>
      <c r="M1742" s="4">
        <f>tblTransactions[[#This Row],[Total_Amount]]-(tblTransactions[[#This Row],[Cost_Prices]]*tblTransactions[[#This Row],[Quantity]]*(1-tblTransactions[[#This Row],[Discount]]))</f>
        <v>2954.7179999999998</v>
      </c>
      <c r="N1742" s="3">
        <f>tblTransactions[[#This Row],[Profit]]/tblTransactions[[#This Row],[Total_Amount]]</f>
        <v>0.3553975058456742</v>
      </c>
      <c r="O1742" t="str">
        <f>TEXT(tblTransactions[[#This Row],[Date]], "MMM-YYYY")</f>
        <v>Dec-2023</v>
      </c>
      <c r="P1742" t="str">
        <f>"Q"&amp;ROUNDUP(MONTH(tblTransactions[[#This Row],[Date]])/3,0)&amp;"-"&amp;YEAR(tblTransactions[[#This Row],[Date]])</f>
        <v>Q4-2023</v>
      </c>
      <c r="Q1742">
        <f>YEAR(tblTransactions[[#This Row],[Date]])</f>
        <v>2023</v>
      </c>
      <c r="R1742" t="str">
        <f>TEXT(tblTransactions[[#This Row],[Date]],"DDDD")</f>
        <v>Sunday</v>
      </c>
      <c r="S1742">
        <f>MONTH(tblTransactions[[#This Row],[Date]])</f>
        <v>12</v>
      </c>
      <c r="T1742" t="str">
        <f>VLOOKUP(E1742, Products!$A:$B,2,0)</f>
        <v>Routers Tec-2</v>
      </c>
      <c r="U1742" t="str">
        <f>VLOOKUP(E1742,Products!$A:$C,3,0)</f>
        <v>Technology</v>
      </c>
      <c r="V1742" t="str">
        <f>VLOOKUP(E1742,Products!$A:$D,4,0)</f>
        <v>Routers</v>
      </c>
      <c r="W1742" t="str">
        <f>VLOOKUP(D1742,Customers!$A:$C,3,0)</f>
        <v>Small Business</v>
      </c>
      <c r="X1742" t="str">
        <f>VLOOKUP(C1742,Sales_Representatives!$A:$B,2,0)</f>
        <v>Michael Davis</v>
      </c>
    </row>
    <row r="1743" spans="1:24" x14ac:dyDescent="0.3">
      <c r="A1743" t="s">
        <v>2513</v>
      </c>
      <c r="B1743" t="s">
        <v>2514</v>
      </c>
      <c r="C1743" t="s">
        <v>56</v>
      </c>
      <c r="D1743" t="s">
        <v>112</v>
      </c>
      <c r="E1743" t="s">
        <v>84</v>
      </c>
      <c r="F1743">
        <v>26</v>
      </c>
      <c r="G1743">
        <v>1841.77</v>
      </c>
      <c r="H1743">
        <v>0.18</v>
      </c>
      <c r="I1743" s="4">
        <v>39266.54</v>
      </c>
      <c r="J1743" t="s">
        <v>34</v>
      </c>
      <c r="K1743" t="s">
        <v>35</v>
      </c>
      <c r="L1743" s="4">
        <f>VLOOKUP(tblTransactions[[#This Row],[Product_ID]],tblProducts[],5,FALSE)</f>
        <v>1151.5899999999999</v>
      </c>
      <c r="M1743" s="4">
        <f>tblTransactions[[#This Row],[Total_Amount]]-(tblTransactions[[#This Row],[Cost_Prices]]*tblTransactions[[#This Row],[Quantity]]*(1-tblTransactions[[#This Row],[Discount]]))</f>
        <v>14714.641200000002</v>
      </c>
      <c r="N1743" s="3">
        <f>tblTransactions[[#This Row],[Profit]]/tblTransactions[[#This Row],[Total_Amount]]</f>
        <v>0.37473740237871739</v>
      </c>
      <c r="O1743" t="str">
        <f>TEXT(tblTransactions[[#This Row],[Date]], "MMM-YYYY")</f>
        <v>Jan-2024</v>
      </c>
      <c r="P1743" t="str">
        <f>"Q"&amp;ROUNDUP(MONTH(tblTransactions[[#This Row],[Date]])/3,0)&amp;"-"&amp;YEAR(tblTransactions[[#This Row],[Date]])</f>
        <v>Q1-2024</v>
      </c>
      <c r="Q1743">
        <f>YEAR(tblTransactions[[#This Row],[Date]])</f>
        <v>2024</v>
      </c>
      <c r="R1743" t="str">
        <f>TEXT(tblTransactions[[#This Row],[Date]],"DDDD")</f>
        <v>Monday</v>
      </c>
      <c r="S1743">
        <f>MONTH(tblTransactions[[#This Row],[Date]])</f>
        <v>1</v>
      </c>
      <c r="T1743" t="str">
        <f>VLOOKUP(E1743, Products!$A:$B,2,0)</f>
        <v>Laptops Ele-2</v>
      </c>
      <c r="U1743" t="str">
        <f>VLOOKUP(E1743,Products!$A:$C,3,0)</f>
        <v>Electronics</v>
      </c>
      <c r="V1743" t="str">
        <f>VLOOKUP(E1743,Products!$A:$D,4,0)</f>
        <v>Laptops</v>
      </c>
      <c r="W1743" t="str">
        <f>VLOOKUP(D1743,Customers!$A:$C,3,0)</f>
        <v>Enterprise</v>
      </c>
      <c r="X1743" t="str">
        <f>VLOOKUP(C1743,Sales_Representatives!$A:$B,2,0)</f>
        <v>Thomas Hernandez</v>
      </c>
    </row>
    <row r="1744" spans="1:24" x14ac:dyDescent="0.3">
      <c r="A1744" t="s">
        <v>2515</v>
      </c>
      <c r="B1744" t="s">
        <v>2514</v>
      </c>
      <c r="C1744" t="s">
        <v>59</v>
      </c>
      <c r="D1744" t="s">
        <v>527</v>
      </c>
      <c r="E1744" t="s">
        <v>152</v>
      </c>
      <c r="F1744">
        <v>2</v>
      </c>
      <c r="G1744">
        <v>859.93</v>
      </c>
      <c r="H1744">
        <v>0.08</v>
      </c>
      <c r="I1744" s="4">
        <v>1582.27</v>
      </c>
      <c r="J1744" t="s">
        <v>21</v>
      </c>
      <c r="K1744" t="s">
        <v>35</v>
      </c>
      <c r="L1744" s="4">
        <f>VLOOKUP(tblTransactions[[#This Row],[Product_ID]],tblProducts[],5,FALSE)</f>
        <v>579.79</v>
      </c>
      <c r="M1744" s="4">
        <f>tblTransactions[[#This Row],[Total_Amount]]-(tblTransactions[[#This Row],[Cost_Prices]]*tblTransactions[[#This Row],[Quantity]]*(1-tblTransactions[[#This Row],[Discount]]))</f>
        <v>515.45640000000003</v>
      </c>
      <c r="N1744" s="3">
        <f>tblTransactions[[#This Row],[Profit]]/tblTransactions[[#This Row],[Total_Amount]]</f>
        <v>0.3257701909282234</v>
      </c>
      <c r="O1744" t="str">
        <f>TEXT(tblTransactions[[#This Row],[Date]], "MMM-YYYY")</f>
        <v>Jan-2024</v>
      </c>
      <c r="P1744" t="str">
        <f>"Q"&amp;ROUNDUP(MONTH(tblTransactions[[#This Row],[Date]])/3,0)&amp;"-"&amp;YEAR(tblTransactions[[#This Row],[Date]])</f>
        <v>Q1-2024</v>
      </c>
      <c r="Q1744">
        <f>YEAR(tblTransactions[[#This Row],[Date]])</f>
        <v>2024</v>
      </c>
      <c r="R1744" t="str">
        <f>TEXT(tblTransactions[[#This Row],[Date]],"DDDD")</f>
        <v>Monday</v>
      </c>
      <c r="S1744">
        <f>MONTH(tblTransactions[[#This Row],[Date]])</f>
        <v>1</v>
      </c>
      <c r="T1744" t="str">
        <f>VLOOKUP(E1744, Products!$A:$B,2,0)</f>
        <v>Phones Ele-4</v>
      </c>
      <c r="U1744" t="str">
        <f>VLOOKUP(E1744,Products!$A:$C,3,0)</f>
        <v>Electronics</v>
      </c>
      <c r="V1744" t="str">
        <f>VLOOKUP(E1744,Products!$A:$D,4,0)</f>
        <v>Phones</v>
      </c>
      <c r="W1744" t="str">
        <f>VLOOKUP(D1744,Customers!$A:$C,3,0)</f>
        <v>B2C</v>
      </c>
      <c r="X1744" t="str">
        <f>VLOOKUP(C1744,Sales_Representatives!$A:$B,2,0)</f>
        <v>Sarah Brown</v>
      </c>
    </row>
    <row r="1745" spans="1:24" x14ac:dyDescent="0.3">
      <c r="A1745" t="s">
        <v>2516</v>
      </c>
      <c r="B1745" t="s">
        <v>2514</v>
      </c>
      <c r="C1745" t="s">
        <v>75</v>
      </c>
      <c r="D1745" t="s">
        <v>1515</v>
      </c>
      <c r="E1745" t="s">
        <v>217</v>
      </c>
      <c r="F1745">
        <v>4</v>
      </c>
      <c r="G1745">
        <v>145.51</v>
      </c>
      <c r="H1745">
        <v>0.06</v>
      </c>
      <c r="I1745" s="4">
        <v>547.12</v>
      </c>
      <c r="J1745" t="s">
        <v>44</v>
      </c>
      <c r="K1745" t="s">
        <v>17</v>
      </c>
      <c r="L1745" s="4">
        <f>VLOOKUP(tblTransactions[[#This Row],[Product_ID]],tblProducts[],5,FALSE)</f>
        <v>64.510000000000005</v>
      </c>
      <c r="M1745" s="4">
        <f>tblTransactions[[#This Row],[Total_Amount]]-(tblTransactions[[#This Row],[Cost_Prices]]*tblTransactions[[#This Row],[Quantity]]*(1-tblTransactions[[#This Row],[Discount]]))</f>
        <v>304.56240000000003</v>
      </c>
      <c r="N1745" s="3">
        <f>tblTransactions[[#This Row],[Profit]]/tblTransactions[[#This Row],[Total_Amount]]</f>
        <v>0.55666471706389831</v>
      </c>
      <c r="O1745" t="str">
        <f>TEXT(tblTransactions[[#This Row],[Date]], "MMM-YYYY")</f>
        <v>Jan-2024</v>
      </c>
      <c r="P1745" t="str">
        <f>"Q"&amp;ROUNDUP(MONTH(tblTransactions[[#This Row],[Date]])/3,0)&amp;"-"&amp;YEAR(tblTransactions[[#This Row],[Date]])</f>
        <v>Q1-2024</v>
      </c>
      <c r="Q1745">
        <f>YEAR(tblTransactions[[#This Row],[Date]])</f>
        <v>2024</v>
      </c>
      <c r="R1745" t="str">
        <f>TEXT(tblTransactions[[#This Row],[Date]],"DDDD")</f>
        <v>Monday</v>
      </c>
      <c r="S1745">
        <f>MONTH(tblTransactions[[#This Row],[Date]])</f>
        <v>1</v>
      </c>
      <c r="T1745" t="str">
        <f>VLOOKUP(E1745, Products!$A:$B,2,0)</f>
        <v>Cables Acc-2</v>
      </c>
      <c r="U1745" t="str">
        <f>VLOOKUP(E1745,Products!$A:$C,3,0)</f>
        <v>Accessories</v>
      </c>
      <c r="V1745" t="str">
        <f>VLOOKUP(E1745,Products!$A:$D,4,0)</f>
        <v>Cables</v>
      </c>
      <c r="W1745" t="str">
        <f>VLOOKUP(D1745,Customers!$A:$C,3,0)</f>
        <v>B2C</v>
      </c>
      <c r="X1745" t="str">
        <f>VLOOKUP(C1745,Sales_Representatives!$A:$B,2,0)</f>
        <v>Jessica Anderson</v>
      </c>
    </row>
    <row r="1746" spans="1:24" x14ac:dyDescent="0.3">
      <c r="A1746" t="s">
        <v>2517</v>
      </c>
      <c r="B1746" t="s">
        <v>2514</v>
      </c>
      <c r="C1746" t="s">
        <v>127</v>
      </c>
      <c r="D1746" t="s">
        <v>2329</v>
      </c>
      <c r="E1746" t="s">
        <v>159</v>
      </c>
      <c r="F1746">
        <v>3</v>
      </c>
      <c r="G1746">
        <v>78.09</v>
      </c>
      <c r="H1746">
        <v>0.05</v>
      </c>
      <c r="I1746" s="4">
        <v>222.56</v>
      </c>
      <c r="J1746" t="s">
        <v>109</v>
      </c>
      <c r="K1746" t="s">
        <v>35</v>
      </c>
      <c r="L1746" s="4">
        <f>VLOOKUP(tblTransactions[[#This Row],[Product_ID]],tblProducts[],5,FALSE)</f>
        <v>47.01</v>
      </c>
      <c r="M1746" s="4">
        <f>tblTransactions[[#This Row],[Total_Amount]]-(tblTransactions[[#This Row],[Cost_Prices]]*tblTransactions[[#This Row],[Quantity]]*(1-tblTransactions[[#This Row],[Discount]]))</f>
        <v>88.581500000000005</v>
      </c>
      <c r="N1746" s="3">
        <f>tblTransactions[[#This Row],[Profit]]/tblTransactions[[#This Row],[Total_Amount]]</f>
        <v>0.39801177210639832</v>
      </c>
      <c r="O1746" t="str">
        <f>TEXT(tblTransactions[[#This Row],[Date]], "MMM-YYYY")</f>
        <v>Jan-2024</v>
      </c>
      <c r="P1746" t="str">
        <f>"Q"&amp;ROUNDUP(MONTH(tblTransactions[[#This Row],[Date]])/3,0)&amp;"-"&amp;YEAR(tblTransactions[[#This Row],[Date]])</f>
        <v>Q1-2024</v>
      </c>
      <c r="Q1746">
        <f>YEAR(tblTransactions[[#This Row],[Date]])</f>
        <v>2024</v>
      </c>
      <c r="R1746" t="str">
        <f>TEXT(tblTransactions[[#This Row],[Date]],"DDDD")</f>
        <v>Monday</v>
      </c>
      <c r="S1746">
        <f>MONTH(tblTransactions[[#This Row],[Date]])</f>
        <v>1</v>
      </c>
      <c r="T1746" t="str">
        <f>VLOOKUP(E1746, Products!$A:$B,2,0)</f>
        <v>Cables Acc-4</v>
      </c>
      <c r="U1746" t="str">
        <f>VLOOKUP(E1746,Products!$A:$C,3,0)</f>
        <v>Accessories</v>
      </c>
      <c r="V1746" t="str">
        <f>VLOOKUP(E1746,Products!$A:$D,4,0)</f>
        <v>Cables</v>
      </c>
      <c r="W1746" t="str">
        <f>VLOOKUP(D1746,Customers!$A:$C,3,0)</f>
        <v>B2C</v>
      </c>
      <c r="X1746" t="str">
        <f>VLOOKUP(C1746,Sales_Representatives!$A:$B,2,0)</f>
        <v>Emily Hernandez</v>
      </c>
    </row>
    <row r="1747" spans="1:24" x14ac:dyDescent="0.3">
      <c r="A1747" t="s">
        <v>2518</v>
      </c>
      <c r="B1747" t="s">
        <v>2514</v>
      </c>
      <c r="C1747" t="s">
        <v>13</v>
      </c>
      <c r="D1747" t="s">
        <v>1722</v>
      </c>
      <c r="E1747" t="s">
        <v>84</v>
      </c>
      <c r="F1747">
        <v>6</v>
      </c>
      <c r="G1747">
        <v>1841.77</v>
      </c>
      <c r="H1747">
        <v>0.06</v>
      </c>
      <c r="I1747" s="4">
        <v>10387.58</v>
      </c>
      <c r="J1747" t="s">
        <v>16</v>
      </c>
      <c r="K1747" t="s">
        <v>22</v>
      </c>
      <c r="L1747" s="4">
        <f>VLOOKUP(tblTransactions[[#This Row],[Product_ID]],tblProducts[],5,FALSE)</f>
        <v>1151.5899999999999</v>
      </c>
      <c r="M1747" s="4">
        <f>tblTransactions[[#This Row],[Total_Amount]]-(tblTransactions[[#This Row],[Cost_Prices]]*tblTransactions[[#This Row],[Quantity]]*(1-tblTransactions[[#This Row],[Discount]]))</f>
        <v>3892.6124000000009</v>
      </c>
      <c r="N1747" s="3">
        <f>tblTransactions[[#This Row],[Profit]]/tblTransactions[[#This Row],[Total_Amount]]</f>
        <v>0.37473717651272009</v>
      </c>
      <c r="O1747" t="str">
        <f>TEXT(tblTransactions[[#This Row],[Date]], "MMM-YYYY")</f>
        <v>Jan-2024</v>
      </c>
      <c r="P1747" t="str">
        <f>"Q"&amp;ROUNDUP(MONTH(tblTransactions[[#This Row],[Date]])/3,0)&amp;"-"&amp;YEAR(tblTransactions[[#This Row],[Date]])</f>
        <v>Q1-2024</v>
      </c>
      <c r="Q1747">
        <f>YEAR(tblTransactions[[#This Row],[Date]])</f>
        <v>2024</v>
      </c>
      <c r="R1747" t="str">
        <f>TEXT(tblTransactions[[#This Row],[Date]],"DDDD")</f>
        <v>Monday</v>
      </c>
      <c r="S1747">
        <f>MONTH(tblTransactions[[#This Row],[Date]])</f>
        <v>1</v>
      </c>
      <c r="T1747" t="str">
        <f>VLOOKUP(E1747, Products!$A:$B,2,0)</f>
        <v>Laptops Ele-2</v>
      </c>
      <c r="U1747" t="str">
        <f>VLOOKUP(E1747,Products!$A:$C,3,0)</f>
        <v>Electronics</v>
      </c>
      <c r="V1747" t="str">
        <f>VLOOKUP(E1747,Products!$A:$D,4,0)</f>
        <v>Laptops</v>
      </c>
      <c r="W1747" t="str">
        <f>VLOOKUP(D1747,Customers!$A:$C,3,0)</f>
        <v>B2C</v>
      </c>
      <c r="X1747" t="str">
        <f>VLOOKUP(C1747,Sales_Representatives!$A:$B,2,0)</f>
        <v>Jennifer Rodriguez</v>
      </c>
    </row>
    <row r="1748" spans="1:24" x14ac:dyDescent="0.3">
      <c r="A1748" t="s">
        <v>2519</v>
      </c>
      <c r="B1748" t="s">
        <v>2520</v>
      </c>
      <c r="C1748" t="s">
        <v>19</v>
      </c>
      <c r="D1748" t="s">
        <v>1651</v>
      </c>
      <c r="E1748" t="s">
        <v>200</v>
      </c>
      <c r="F1748">
        <v>41</v>
      </c>
      <c r="G1748">
        <v>544.77</v>
      </c>
      <c r="H1748">
        <v>0.21</v>
      </c>
      <c r="I1748" s="4">
        <v>17645.099999999999</v>
      </c>
      <c r="J1748" t="s">
        <v>21</v>
      </c>
      <c r="K1748" t="s">
        <v>39</v>
      </c>
      <c r="L1748" s="4">
        <f>VLOOKUP(tblTransactions[[#This Row],[Product_ID]],tblProducts[],5,FALSE)</f>
        <v>318.2</v>
      </c>
      <c r="M1748" s="4">
        <f>tblTransactions[[#This Row],[Total_Amount]]-(tblTransactions[[#This Row],[Cost_Prices]]*tblTransactions[[#This Row],[Quantity]]*(1-tblTransactions[[#This Row],[Discount]]))</f>
        <v>7338.601999999999</v>
      </c>
      <c r="N1748" s="3">
        <f>tblTransactions[[#This Row],[Profit]]/tblTransactions[[#This Row],[Total_Amount]]</f>
        <v>0.41590027826422066</v>
      </c>
      <c r="O1748" t="str">
        <f>TEXT(tblTransactions[[#This Row],[Date]], "MMM-YYYY")</f>
        <v>Jan-2024</v>
      </c>
      <c r="P1748" t="str">
        <f>"Q"&amp;ROUNDUP(MONTH(tblTransactions[[#This Row],[Date]])/3,0)&amp;"-"&amp;YEAR(tblTransactions[[#This Row],[Date]])</f>
        <v>Q1-2024</v>
      </c>
      <c r="Q1748">
        <f>YEAR(tblTransactions[[#This Row],[Date]])</f>
        <v>2024</v>
      </c>
      <c r="R1748" t="str">
        <f>TEXT(tblTransactions[[#This Row],[Date]],"DDDD")</f>
        <v>Tuesday</v>
      </c>
      <c r="S1748">
        <f>MONTH(tblTransactions[[#This Row],[Date]])</f>
        <v>1</v>
      </c>
      <c r="T1748" t="str">
        <f>VLOOKUP(E1748, Products!$A:$B,2,0)</f>
        <v>Desks Fur-4</v>
      </c>
      <c r="U1748" t="str">
        <f>VLOOKUP(E1748,Products!$A:$C,3,0)</f>
        <v>Furniture</v>
      </c>
      <c r="V1748" t="str">
        <f>VLOOKUP(E1748,Products!$A:$D,4,0)</f>
        <v>Desks</v>
      </c>
      <c r="W1748" t="str">
        <f>VLOOKUP(D1748,Customers!$A:$C,3,0)</f>
        <v>Enterprise</v>
      </c>
      <c r="X1748" t="str">
        <f>VLOOKUP(C1748,Sales_Representatives!$A:$B,2,0)</f>
        <v>Robert Jones</v>
      </c>
    </row>
    <row r="1749" spans="1:24" x14ac:dyDescent="0.3">
      <c r="A1749" t="s">
        <v>2521</v>
      </c>
      <c r="B1749" t="s">
        <v>2520</v>
      </c>
      <c r="C1749" t="s">
        <v>59</v>
      </c>
      <c r="D1749" t="s">
        <v>1702</v>
      </c>
      <c r="E1749" t="s">
        <v>243</v>
      </c>
      <c r="F1749">
        <v>7</v>
      </c>
      <c r="G1749">
        <v>384.18</v>
      </c>
      <c r="H1749">
        <v>0.12</v>
      </c>
      <c r="I1749" s="4">
        <v>2366.5500000000002</v>
      </c>
      <c r="J1749" t="s">
        <v>21</v>
      </c>
      <c r="K1749" t="s">
        <v>39</v>
      </c>
      <c r="L1749" s="4">
        <f>VLOOKUP(tblTransactions[[#This Row],[Product_ID]],tblProducts[],5,FALSE)</f>
        <v>266.92</v>
      </c>
      <c r="M1749" s="4">
        <f>tblTransactions[[#This Row],[Total_Amount]]-(tblTransactions[[#This Row],[Cost_Prices]]*tblTransactions[[#This Row],[Quantity]]*(1-tblTransactions[[#This Row],[Discount]]))</f>
        <v>722.32280000000014</v>
      </c>
      <c r="N1749" s="3">
        <f>tblTransactions[[#This Row],[Profit]]/tblTransactions[[#This Row],[Total_Amount]]</f>
        <v>0.30522186304958698</v>
      </c>
      <c r="O1749" t="str">
        <f>TEXT(tblTransactions[[#This Row],[Date]], "MMM-YYYY")</f>
        <v>Jan-2024</v>
      </c>
      <c r="P1749" t="str">
        <f>"Q"&amp;ROUNDUP(MONTH(tblTransactions[[#This Row],[Date]])/3,0)&amp;"-"&amp;YEAR(tblTransactions[[#This Row],[Date]])</f>
        <v>Q1-2024</v>
      </c>
      <c r="Q1749">
        <f>YEAR(tblTransactions[[#This Row],[Date]])</f>
        <v>2024</v>
      </c>
      <c r="R1749" t="str">
        <f>TEXT(tblTransactions[[#This Row],[Date]],"DDDD")</f>
        <v>Tuesday</v>
      </c>
      <c r="S1749">
        <f>MONTH(tblTransactions[[#This Row],[Date]])</f>
        <v>1</v>
      </c>
      <c r="T1749" t="str">
        <f>VLOOKUP(E1749, Products!$A:$B,2,0)</f>
        <v>Routers Tec-3</v>
      </c>
      <c r="U1749" t="str">
        <f>VLOOKUP(E1749,Products!$A:$C,3,0)</f>
        <v>Technology</v>
      </c>
      <c r="V1749" t="str">
        <f>VLOOKUP(E1749,Products!$A:$D,4,0)</f>
        <v>Routers</v>
      </c>
      <c r="W1749" t="str">
        <f>VLOOKUP(D1749,Customers!$A:$C,3,0)</f>
        <v>B2C</v>
      </c>
      <c r="X1749" t="str">
        <f>VLOOKUP(C1749,Sales_Representatives!$A:$B,2,0)</f>
        <v>Sarah Brown</v>
      </c>
    </row>
    <row r="1750" spans="1:24" x14ac:dyDescent="0.3">
      <c r="A1750" t="s">
        <v>2522</v>
      </c>
      <c r="B1750" t="s">
        <v>2520</v>
      </c>
      <c r="C1750" t="s">
        <v>31</v>
      </c>
      <c r="D1750" t="s">
        <v>1646</v>
      </c>
      <c r="E1750" t="s">
        <v>113</v>
      </c>
      <c r="F1750">
        <v>6</v>
      </c>
      <c r="G1750">
        <v>930.41</v>
      </c>
      <c r="H1750">
        <v>0.1</v>
      </c>
      <c r="I1750" s="4">
        <v>5024.21</v>
      </c>
      <c r="J1750" t="s">
        <v>34</v>
      </c>
      <c r="K1750" t="s">
        <v>39</v>
      </c>
      <c r="L1750" s="4">
        <f>VLOOKUP(tblTransactions[[#This Row],[Product_ID]],tblProducts[],5,FALSE)</f>
        <v>595.51</v>
      </c>
      <c r="M1750" s="4">
        <f>tblTransactions[[#This Row],[Total_Amount]]-(tblTransactions[[#This Row],[Cost_Prices]]*tblTransactions[[#This Row],[Quantity]]*(1-tblTransactions[[#This Row],[Discount]]))</f>
        <v>1808.4560000000001</v>
      </c>
      <c r="N1750" s="3">
        <f>tblTransactions[[#This Row],[Profit]]/tblTransactions[[#This Row],[Total_Amount]]</f>
        <v>0.35994833018524308</v>
      </c>
      <c r="O1750" t="str">
        <f>TEXT(tblTransactions[[#This Row],[Date]], "MMM-YYYY")</f>
        <v>Jan-2024</v>
      </c>
      <c r="P1750" t="str">
        <f>"Q"&amp;ROUNDUP(MONTH(tblTransactions[[#This Row],[Date]])/3,0)&amp;"-"&amp;YEAR(tblTransactions[[#This Row],[Date]])</f>
        <v>Q1-2024</v>
      </c>
      <c r="Q1750">
        <f>YEAR(tblTransactions[[#This Row],[Date]])</f>
        <v>2024</v>
      </c>
      <c r="R1750" t="str">
        <f>TEXT(tblTransactions[[#This Row],[Date]],"DDDD")</f>
        <v>Tuesday</v>
      </c>
      <c r="S1750">
        <f>MONTH(tblTransactions[[#This Row],[Date]])</f>
        <v>1</v>
      </c>
      <c r="T1750" t="str">
        <f>VLOOKUP(E1750, Products!$A:$B,2,0)</f>
        <v>Phones Ele-1</v>
      </c>
      <c r="U1750" t="str">
        <f>VLOOKUP(E1750,Products!$A:$C,3,0)</f>
        <v>Electronics</v>
      </c>
      <c r="V1750" t="str">
        <f>VLOOKUP(E1750,Products!$A:$D,4,0)</f>
        <v>Phones</v>
      </c>
      <c r="W1750" t="str">
        <f>VLOOKUP(D1750,Customers!$A:$C,3,0)</f>
        <v>B2B</v>
      </c>
      <c r="X1750" t="str">
        <f>VLOOKUP(C1750,Sales_Representatives!$A:$B,2,0)</f>
        <v>Thomas Martinez</v>
      </c>
    </row>
    <row r="1751" spans="1:24" x14ac:dyDescent="0.3">
      <c r="A1751" t="s">
        <v>2523</v>
      </c>
      <c r="B1751" t="s">
        <v>2520</v>
      </c>
      <c r="C1751" t="s">
        <v>131</v>
      </c>
      <c r="D1751" t="s">
        <v>2300</v>
      </c>
      <c r="E1751" t="s">
        <v>25</v>
      </c>
      <c r="F1751">
        <v>17</v>
      </c>
      <c r="G1751">
        <v>1467.49</v>
      </c>
      <c r="H1751">
        <v>0.18</v>
      </c>
      <c r="I1751" s="4">
        <v>20456.810000000001</v>
      </c>
      <c r="J1751" t="s">
        <v>44</v>
      </c>
      <c r="K1751" t="s">
        <v>17</v>
      </c>
      <c r="L1751" s="4">
        <f>VLOOKUP(tblTransactions[[#This Row],[Product_ID]],tblProducts[],5,FALSE)</f>
        <v>757.65</v>
      </c>
      <c r="M1751" s="4">
        <f>tblTransactions[[#This Row],[Total_Amount]]-(tblTransactions[[#This Row],[Cost_Prices]]*tblTransactions[[#This Row],[Quantity]]*(1-tblTransactions[[#This Row],[Discount]]))</f>
        <v>9895.1690000000017</v>
      </c>
      <c r="N1751" s="3">
        <f>tblTransactions[[#This Row],[Profit]]/tblTransactions[[#This Row],[Total_Amount]]</f>
        <v>0.48371026567680891</v>
      </c>
      <c r="O1751" t="str">
        <f>TEXT(tblTransactions[[#This Row],[Date]], "MMM-YYYY")</f>
        <v>Jan-2024</v>
      </c>
      <c r="P1751" t="str">
        <f>"Q"&amp;ROUNDUP(MONTH(tblTransactions[[#This Row],[Date]])/3,0)&amp;"-"&amp;YEAR(tblTransactions[[#This Row],[Date]])</f>
        <v>Q1-2024</v>
      </c>
      <c r="Q1751">
        <f>YEAR(tblTransactions[[#This Row],[Date]])</f>
        <v>2024</v>
      </c>
      <c r="R1751" t="str">
        <f>TEXT(tblTransactions[[#This Row],[Date]],"DDDD")</f>
        <v>Tuesday</v>
      </c>
      <c r="S1751">
        <f>MONTH(tblTransactions[[#This Row],[Date]])</f>
        <v>1</v>
      </c>
      <c r="T1751" t="str">
        <f>VLOOKUP(E1751, Products!$A:$B,2,0)</f>
        <v>Tables Fur-3</v>
      </c>
      <c r="U1751" t="str">
        <f>VLOOKUP(E1751,Products!$A:$C,3,0)</f>
        <v>Furniture</v>
      </c>
      <c r="V1751" t="str">
        <f>VLOOKUP(E1751,Products!$A:$D,4,0)</f>
        <v>Tables</v>
      </c>
      <c r="W1751" t="str">
        <f>VLOOKUP(D1751,Customers!$A:$C,3,0)</f>
        <v>Enterprise</v>
      </c>
      <c r="X1751" t="str">
        <f>VLOOKUP(C1751,Sales_Representatives!$A:$B,2,0)</f>
        <v>Michael Davis</v>
      </c>
    </row>
    <row r="1752" spans="1:24" x14ac:dyDescent="0.3">
      <c r="A1752" t="s">
        <v>2524</v>
      </c>
      <c r="B1752" t="s">
        <v>2520</v>
      </c>
      <c r="C1752" t="s">
        <v>13</v>
      </c>
      <c r="D1752" t="s">
        <v>237</v>
      </c>
      <c r="E1752" t="s">
        <v>72</v>
      </c>
      <c r="F1752">
        <v>16</v>
      </c>
      <c r="G1752">
        <v>404.76</v>
      </c>
      <c r="H1752">
        <v>0.12</v>
      </c>
      <c r="I1752" s="4">
        <v>5699.02</v>
      </c>
      <c r="J1752" t="s">
        <v>16</v>
      </c>
      <c r="K1752" t="s">
        <v>39</v>
      </c>
      <c r="L1752" s="4">
        <f>VLOOKUP(tblTransactions[[#This Row],[Product_ID]],tblProducts[],5,FALSE)</f>
        <v>226.76</v>
      </c>
      <c r="M1752" s="4">
        <f>tblTransactions[[#This Row],[Total_Amount]]-(tblTransactions[[#This Row],[Cost_Prices]]*tblTransactions[[#This Row],[Quantity]]*(1-tblTransactions[[#This Row],[Discount]]))</f>
        <v>2506.2392000000004</v>
      </c>
      <c r="N1752" s="3">
        <f>tblTransactions[[#This Row],[Profit]]/tblTransactions[[#This Row],[Total_Amount]]</f>
        <v>0.4397666967303151</v>
      </c>
      <c r="O1752" t="str">
        <f>TEXT(tblTransactions[[#This Row],[Date]], "MMM-YYYY")</f>
        <v>Jan-2024</v>
      </c>
      <c r="P1752" t="str">
        <f>"Q"&amp;ROUNDUP(MONTH(tblTransactions[[#This Row],[Date]])/3,0)&amp;"-"&amp;YEAR(tblTransactions[[#This Row],[Date]])</f>
        <v>Q1-2024</v>
      </c>
      <c r="Q1752">
        <f>YEAR(tblTransactions[[#This Row],[Date]])</f>
        <v>2024</v>
      </c>
      <c r="R1752" t="str">
        <f>TEXT(tblTransactions[[#This Row],[Date]],"DDDD")</f>
        <v>Tuesday</v>
      </c>
      <c r="S1752">
        <f>MONTH(tblTransactions[[#This Row],[Date]])</f>
        <v>1</v>
      </c>
      <c r="T1752" t="str">
        <f>VLOOKUP(E1752, Products!$A:$B,2,0)</f>
        <v>Tablets Ele-2</v>
      </c>
      <c r="U1752" t="str">
        <f>VLOOKUP(E1752,Products!$A:$C,3,0)</f>
        <v>Electronics</v>
      </c>
      <c r="V1752" t="str">
        <f>VLOOKUP(E1752,Products!$A:$D,4,0)</f>
        <v>Tablets</v>
      </c>
      <c r="W1752" t="str">
        <f>VLOOKUP(D1752,Customers!$A:$C,3,0)</f>
        <v>B2B</v>
      </c>
      <c r="X1752" t="str">
        <f>VLOOKUP(C1752,Sales_Representatives!$A:$B,2,0)</f>
        <v>Jennifer Rodriguez</v>
      </c>
    </row>
    <row r="1753" spans="1:24" x14ac:dyDescent="0.3">
      <c r="A1753" t="s">
        <v>2525</v>
      </c>
      <c r="B1753" t="s">
        <v>2526</v>
      </c>
      <c r="C1753" t="s">
        <v>56</v>
      </c>
      <c r="D1753" t="s">
        <v>2527</v>
      </c>
      <c r="E1753" t="s">
        <v>198</v>
      </c>
      <c r="F1753">
        <v>3</v>
      </c>
      <c r="G1753">
        <v>1802.96</v>
      </c>
      <c r="H1753">
        <v>7.0000000000000007E-2</v>
      </c>
      <c r="I1753" s="4">
        <v>5030.26</v>
      </c>
      <c r="J1753" t="s">
        <v>34</v>
      </c>
      <c r="K1753" t="s">
        <v>35</v>
      </c>
      <c r="L1753" s="4">
        <f>VLOOKUP(tblTransactions[[#This Row],[Product_ID]],tblProducts[],5,FALSE)</f>
        <v>1282.18</v>
      </c>
      <c r="M1753" s="4">
        <f>tblTransactions[[#This Row],[Total_Amount]]-(tblTransactions[[#This Row],[Cost_Prices]]*tblTransactions[[#This Row],[Quantity]]*(1-tblTransactions[[#This Row],[Discount]]))</f>
        <v>1452.9778000000006</v>
      </c>
      <c r="N1753" s="3">
        <f>tblTransactions[[#This Row],[Profit]]/tblTransactions[[#This Row],[Total_Amount]]</f>
        <v>0.28884745520112293</v>
      </c>
      <c r="O1753" t="str">
        <f>TEXT(tblTransactions[[#This Row],[Date]], "MMM-YYYY")</f>
        <v>Jan-2024</v>
      </c>
      <c r="P1753" t="str">
        <f>"Q"&amp;ROUNDUP(MONTH(tblTransactions[[#This Row],[Date]])/3,0)&amp;"-"&amp;YEAR(tblTransactions[[#This Row],[Date]])</f>
        <v>Q1-2024</v>
      </c>
      <c r="Q1753">
        <f>YEAR(tblTransactions[[#This Row],[Date]])</f>
        <v>2024</v>
      </c>
      <c r="R1753" t="str">
        <f>TEXT(tblTransactions[[#This Row],[Date]],"DDDD")</f>
        <v>Wednesday</v>
      </c>
      <c r="S1753">
        <f>MONTH(tblTransactions[[#This Row],[Date]])</f>
        <v>1</v>
      </c>
      <c r="T1753" t="str">
        <f>VLOOKUP(E1753, Products!$A:$B,2,0)</f>
        <v>Tablets Ele-3</v>
      </c>
      <c r="U1753" t="str">
        <f>VLOOKUP(E1753,Products!$A:$C,3,0)</f>
        <v>Electronics</v>
      </c>
      <c r="V1753" t="str">
        <f>VLOOKUP(E1753,Products!$A:$D,4,0)</f>
        <v>Tablets</v>
      </c>
      <c r="W1753" t="str">
        <f>VLOOKUP(D1753,Customers!$A:$C,3,0)</f>
        <v>B2C</v>
      </c>
      <c r="X1753" t="str">
        <f>VLOOKUP(C1753,Sales_Representatives!$A:$B,2,0)</f>
        <v>Thomas Hernandez</v>
      </c>
    </row>
    <row r="1754" spans="1:24" x14ac:dyDescent="0.3">
      <c r="A1754" t="s">
        <v>2528</v>
      </c>
      <c r="B1754" t="s">
        <v>2526</v>
      </c>
      <c r="C1754" t="s">
        <v>19</v>
      </c>
      <c r="D1754" t="s">
        <v>2159</v>
      </c>
      <c r="E1754" t="s">
        <v>20</v>
      </c>
      <c r="F1754">
        <v>12</v>
      </c>
      <c r="G1754">
        <v>1219.49</v>
      </c>
      <c r="H1754">
        <v>0.14000000000000001</v>
      </c>
      <c r="I1754" s="4">
        <v>12585.14</v>
      </c>
      <c r="J1754" t="s">
        <v>21</v>
      </c>
      <c r="K1754" t="s">
        <v>35</v>
      </c>
      <c r="L1754" s="4">
        <f>VLOOKUP(tblTransactions[[#This Row],[Product_ID]],tblProducts[],5,FALSE)</f>
        <v>686.9</v>
      </c>
      <c r="M1754" s="4">
        <f>tblTransactions[[#This Row],[Total_Amount]]-(tblTransactions[[#This Row],[Cost_Prices]]*tblTransactions[[#This Row],[Quantity]]*(1-tblTransactions[[#This Row],[Discount]]))</f>
        <v>5496.3320000000003</v>
      </c>
      <c r="N1754" s="3">
        <f>tblTransactions[[#This Row],[Profit]]/tblTransactions[[#This Row],[Total_Amount]]</f>
        <v>0.43673189173898747</v>
      </c>
      <c r="O1754" t="str">
        <f>TEXT(tblTransactions[[#This Row],[Date]], "MMM-YYYY")</f>
        <v>Jan-2024</v>
      </c>
      <c r="P1754" t="str">
        <f>"Q"&amp;ROUNDUP(MONTH(tblTransactions[[#This Row],[Date]])/3,0)&amp;"-"&amp;YEAR(tblTransactions[[#This Row],[Date]])</f>
        <v>Q1-2024</v>
      </c>
      <c r="Q1754">
        <f>YEAR(tblTransactions[[#This Row],[Date]])</f>
        <v>2024</v>
      </c>
      <c r="R1754" t="str">
        <f>TEXT(tblTransactions[[#This Row],[Date]],"DDDD")</f>
        <v>Wednesday</v>
      </c>
      <c r="S1754">
        <f>MONTH(tblTransactions[[#This Row],[Date]])</f>
        <v>1</v>
      </c>
      <c r="T1754" t="str">
        <f>VLOOKUP(E1754, Products!$A:$B,2,0)</f>
        <v>Laptops Ele-1</v>
      </c>
      <c r="U1754" t="str">
        <f>VLOOKUP(E1754,Products!$A:$C,3,0)</f>
        <v>Electronics</v>
      </c>
      <c r="V1754" t="str">
        <f>VLOOKUP(E1754,Products!$A:$D,4,0)</f>
        <v>Laptops</v>
      </c>
      <c r="W1754" t="str">
        <f>VLOOKUP(D1754,Customers!$A:$C,3,0)</f>
        <v>B2B</v>
      </c>
      <c r="X1754" t="str">
        <f>VLOOKUP(C1754,Sales_Representatives!$A:$B,2,0)</f>
        <v>Robert Jones</v>
      </c>
    </row>
    <row r="1755" spans="1:24" x14ac:dyDescent="0.3">
      <c r="A1755" t="s">
        <v>2529</v>
      </c>
      <c r="B1755" t="s">
        <v>2530</v>
      </c>
      <c r="C1755" t="s">
        <v>27</v>
      </c>
      <c r="D1755" t="s">
        <v>2485</v>
      </c>
      <c r="E1755" t="s">
        <v>29</v>
      </c>
      <c r="F1755">
        <v>7</v>
      </c>
      <c r="G1755">
        <v>1363.46</v>
      </c>
      <c r="H1755">
        <v>0.1</v>
      </c>
      <c r="I1755" s="4">
        <v>8589.7999999999993</v>
      </c>
      <c r="J1755" t="s">
        <v>16</v>
      </c>
      <c r="K1755" t="s">
        <v>48</v>
      </c>
      <c r="L1755" s="4">
        <f>VLOOKUP(tblTransactions[[#This Row],[Product_ID]],tblProducts[],5,FALSE)</f>
        <v>995.41</v>
      </c>
      <c r="M1755" s="4">
        <f>tblTransactions[[#This Row],[Total_Amount]]-(tblTransactions[[#This Row],[Cost_Prices]]*tblTransactions[[#This Row],[Quantity]]*(1-tblTransactions[[#This Row],[Discount]]))</f>
        <v>2318.7169999999996</v>
      </c>
      <c r="N1755" s="3">
        <f>tblTransactions[[#This Row],[Profit]]/tblTransactions[[#This Row],[Total_Amount]]</f>
        <v>0.26993841532980978</v>
      </c>
      <c r="O1755" t="str">
        <f>TEXT(tblTransactions[[#This Row],[Date]], "MMM-YYYY")</f>
        <v>Jan-2024</v>
      </c>
      <c r="P1755" t="str">
        <f>"Q"&amp;ROUNDUP(MONTH(tblTransactions[[#This Row],[Date]])/3,0)&amp;"-"&amp;YEAR(tblTransactions[[#This Row],[Date]])</f>
        <v>Q1-2024</v>
      </c>
      <c r="Q1755">
        <f>YEAR(tblTransactions[[#This Row],[Date]])</f>
        <v>2024</v>
      </c>
      <c r="R1755" t="str">
        <f>TEXT(tblTransactions[[#This Row],[Date]],"DDDD")</f>
        <v>Thursday</v>
      </c>
      <c r="S1755">
        <f>MONTH(tblTransactions[[#This Row],[Date]])</f>
        <v>1</v>
      </c>
      <c r="T1755" t="str">
        <f>VLOOKUP(E1755, Products!$A:$B,2,0)</f>
        <v>Phones Ele-3</v>
      </c>
      <c r="U1755" t="str">
        <f>VLOOKUP(E1755,Products!$A:$C,3,0)</f>
        <v>Electronics</v>
      </c>
      <c r="V1755" t="str">
        <f>VLOOKUP(E1755,Products!$A:$D,4,0)</f>
        <v>Phones</v>
      </c>
      <c r="W1755" t="str">
        <f>VLOOKUP(D1755,Customers!$A:$C,3,0)</f>
        <v>B2B</v>
      </c>
      <c r="X1755" t="str">
        <f>VLOOKUP(C1755,Sales_Representatives!$A:$B,2,0)</f>
        <v>Thomas Lopez</v>
      </c>
    </row>
    <row r="1756" spans="1:24" x14ac:dyDescent="0.3">
      <c r="A1756" t="s">
        <v>2531</v>
      </c>
      <c r="B1756" t="s">
        <v>2530</v>
      </c>
      <c r="C1756" t="s">
        <v>31</v>
      </c>
      <c r="D1756" t="s">
        <v>52</v>
      </c>
      <c r="E1756" t="s">
        <v>481</v>
      </c>
      <c r="F1756">
        <v>6</v>
      </c>
      <c r="G1756">
        <v>263.58999999999997</v>
      </c>
      <c r="H1756">
        <v>0.15</v>
      </c>
      <c r="I1756" s="4">
        <v>1344.31</v>
      </c>
      <c r="J1756" t="s">
        <v>34</v>
      </c>
      <c r="K1756" t="s">
        <v>48</v>
      </c>
      <c r="L1756" s="4">
        <f>VLOOKUP(tblTransactions[[#This Row],[Product_ID]],tblProducts[],5,FALSE)</f>
        <v>133.65</v>
      </c>
      <c r="M1756" s="4">
        <f>tblTransactions[[#This Row],[Total_Amount]]-(tblTransactions[[#This Row],[Cost_Prices]]*tblTransactions[[#This Row],[Quantity]]*(1-tblTransactions[[#This Row],[Discount]]))</f>
        <v>662.69499999999994</v>
      </c>
      <c r="N1756" s="3">
        <f>tblTransactions[[#This Row],[Profit]]/tblTransactions[[#This Row],[Total_Amount]]</f>
        <v>0.49296293265690205</v>
      </c>
      <c r="O1756" t="str">
        <f>TEXT(tblTransactions[[#This Row],[Date]], "MMM-YYYY")</f>
        <v>Jan-2024</v>
      </c>
      <c r="P1756" t="str">
        <f>"Q"&amp;ROUNDUP(MONTH(tblTransactions[[#This Row],[Date]])/3,0)&amp;"-"&amp;YEAR(tblTransactions[[#This Row],[Date]])</f>
        <v>Q1-2024</v>
      </c>
      <c r="Q1756">
        <f>YEAR(tblTransactions[[#This Row],[Date]])</f>
        <v>2024</v>
      </c>
      <c r="R1756" t="str">
        <f>TEXT(tblTransactions[[#This Row],[Date]],"DDDD")</f>
        <v>Thursday</v>
      </c>
      <c r="S1756">
        <f>MONTH(tblTransactions[[#This Row],[Date]])</f>
        <v>1</v>
      </c>
      <c r="T1756" t="str">
        <f>VLOOKUP(E1756, Products!$A:$B,2,0)</f>
        <v>Folders Off-1</v>
      </c>
      <c r="U1756" t="str">
        <f>VLOOKUP(E1756,Products!$A:$C,3,0)</f>
        <v>Office Supplies</v>
      </c>
      <c r="V1756" t="str">
        <f>VLOOKUP(E1756,Products!$A:$D,4,0)</f>
        <v>Folders</v>
      </c>
      <c r="W1756" t="str">
        <f>VLOOKUP(D1756,Customers!$A:$C,3,0)</f>
        <v>B2C</v>
      </c>
      <c r="X1756" t="str">
        <f>VLOOKUP(C1756,Sales_Representatives!$A:$B,2,0)</f>
        <v>Thomas Martinez</v>
      </c>
    </row>
    <row r="1757" spans="1:24" x14ac:dyDescent="0.3">
      <c r="A1757" t="s">
        <v>2532</v>
      </c>
      <c r="B1757" t="s">
        <v>2530</v>
      </c>
      <c r="C1757" t="s">
        <v>13</v>
      </c>
      <c r="D1757" t="s">
        <v>212</v>
      </c>
      <c r="E1757" t="s">
        <v>283</v>
      </c>
      <c r="F1757">
        <v>1</v>
      </c>
      <c r="G1757">
        <v>456.88</v>
      </c>
      <c r="H1757">
        <v>0.05</v>
      </c>
      <c r="I1757" s="4">
        <v>434.04</v>
      </c>
      <c r="J1757" t="s">
        <v>16</v>
      </c>
      <c r="K1757" t="s">
        <v>35</v>
      </c>
      <c r="L1757" s="4">
        <f>VLOOKUP(tblTransactions[[#This Row],[Product_ID]],tblProducts[],5,FALSE)</f>
        <v>313.23</v>
      </c>
      <c r="M1757" s="4">
        <f>tblTransactions[[#This Row],[Total_Amount]]-(tblTransactions[[#This Row],[Cost_Prices]]*tblTransactions[[#This Row],[Quantity]]*(1-tblTransactions[[#This Row],[Discount]]))</f>
        <v>136.47149999999999</v>
      </c>
      <c r="N1757" s="3">
        <f>tblTransactions[[#This Row],[Profit]]/tblTransactions[[#This Row],[Total_Amount]]</f>
        <v>0.31442148189106989</v>
      </c>
      <c r="O1757" t="str">
        <f>TEXT(tblTransactions[[#This Row],[Date]], "MMM-YYYY")</f>
        <v>Jan-2024</v>
      </c>
      <c r="P1757" t="str">
        <f>"Q"&amp;ROUNDUP(MONTH(tblTransactions[[#This Row],[Date]])/3,0)&amp;"-"&amp;YEAR(tblTransactions[[#This Row],[Date]])</f>
        <v>Q1-2024</v>
      </c>
      <c r="Q1757">
        <f>YEAR(tblTransactions[[#This Row],[Date]])</f>
        <v>2024</v>
      </c>
      <c r="R1757" t="str">
        <f>TEXT(tblTransactions[[#This Row],[Date]],"DDDD")</f>
        <v>Thursday</v>
      </c>
      <c r="S1757">
        <f>MONTH(tblTransactions[[#This Row],[Date]])</f>
        <v>1</v>
      </c>
      <c r="T1757" t="str">
        <f>VLOOKUP(E1757, Products!$A:$B,2,0)</f>
        <v>Chairs Fur-3</v>
      </c>
      <c r="U1757" t="str">
        <f>VLOOKUP(E1757,Products!$A:$C,3,0)</f>
        <v>Furniture</v>
      </c>
      <c r="V1757" t="str">
        <f>VLOOKUP(E1757,Products!$A:$D,4,0)</f>
        <v>Chairs</v>
      </c>
      <c r="W1757" t="str">
        <f>VLOOKUP(D1757,Customers!$A:$C,3,0)</f>
        <v>B2C</v>
      </c>
      <c r="X1757" t="str">
        <f>VLOOKUP(C1757,Sales_Representatives!$A:$B,2,0)</f>
        <v>Jennifer Rodriguez</v>
      </c>
    </row>
    <row r="1758" spans="1:24" x14ac:dyDescent="0.3">
      <c r="A1758" t="s">
        <v>2533</v>
      </c>
      <c r="B1758" t="s">
        <v>2534</v>
      </c>
      <c r="C1758" t="s">
        <v>82</v>
      </c>
      <c r="D1758" t="s">
        <v>1608</v>
      </c>
      <c r="E1758" t="s">
        <v>87</v>
      </c>
      <c r="F1758">
        <v>7</v>
      </c>
      <c r="G1758">
        <v>1047.8900000000001</v>
      </c>
      <c r="H1758">
        <v>0.15</v>
      </c>
      <c r="I1758" s="4">
        <v>6234.95</v>
      </c>
      <c r="J1758" t="s">
        <v>34</v>
      </c>
      <c r="K1758" t="s">
        <v>48</v>
      </c>
      <c r="L1758" s="4">
        <f>VLOOKUP(tblTransactions[[#This Row],[Product_ID]],tblProducts[],5,FALSE)</f>
        <v>742.63</v>
      </c>
      <c r="M1758" s="4">
        <f>tblTransactions[[#This Row],[Total_Amount]]-(tblTransactions[[#This Row],[Cost_Prices]]*tblTransactions[[#This Row],[Quantity]]*(1-tblTransactions[[#This Row],[Discount]]))</f>
        <v>1816.3015000000005</v>
      </c>
      <c r="N1758" s="3">
        <f>tblTransactions[[#This Row],[Profit]]/tblTransactions[[#This Row],[Total_Amount]]</f>
        <v>0.29130971379080833</v>
      </c>
      <c r="O1758" t="str">
        <f>TEXT(tblTransactions[[#This Row],[Date]], "MMM-YYYY")</f>
        <v>Jan-2024</v>
      </c>
      <c r="P1758" t="str">
        <f>"Q"&amp;ROUNDUP(MONTH(tblTransactions[[#This Row],[Date]])/3,0)&amp;"-"&amp;YEAR(tblTransactions[[#This Row],[Date]])</f>
        <v>Q1-2024</v>
      </c>
      <c r="Q1758">
        <f>YEAR(tblTransactions[[#This Row],[Date]])</f>
        <v>2024</v>
      </c>
      <c r="R1758" t="str">
        <f>TEXT(tblTransactions[[#This Row],[Date]],"DDDD")</f>
        <v>Friday</v>
      </c>
      <c r="S1758">
        <f>MONTH(tblTransactions[[#This Row],[Date]])</f>
        <v>1</v>
      </c>
      <c r="T1758" t="str">
        <f>VLOOKUP(E1758, Products!$A:$B,2,0)</f>
        <v>Monitors Tec-2</v>
      </c>
      <c r="U1758" t="str">
        <f>VLOOKUP(E1758,Products!$A:$C,3,0)</f>
        <v>Technology</v>
      </c>
      <c r="V1758" t="str">
        <f>VLOOKUP(E1758,Products!$A:$D,4,0)</f>
        <v>Monitors</v>
      </c>
      <c r="W1758" t="str">
        <f>VLOOKUP(D1758,Customers!$A:$C,3,0)</f>
        <v>B2C</v>
      </c>
      <c r="X1758" t="str">
        <f>VLOOKUP(C1758,Sales_Representatives!$A:$B,2,0)</f>
        <v>John Brown</v>
      </c>
    </row>
    <row r="1759" spans="1:24" x14ac:dyDescent="0.3">
      <c r="A1759" t="s">
        <v>2535</v>
      </c>
      <c r="B1759" t="s">
        <v>2534</v>
      </c>
      <c r="C1759" t="s">
        <v>59</v>
      </c>
      <c r="D1759" t="s">
        <v>1600</v>
      </c>
      <c r="E1759" t="s">
        <v>224</v>
      </c>
      <c r="F1759">
        <v>5</v>
      </c>
      <c r="G1759">
        <v>505.37</v>
      </c>
      <c r="H1759">
        <v>0.08</v>
      </c>
      <c r="I1759" s="4">
        <v>2324.6999999999998</v>
      </c>
      <c r="J1759" t="s">
        <v>21</v>
      </c>
      <c r="K1759" t="s">
        <v>17</v>
      </c>
      <c r="L1759" s="4">
        <f>VLOOKUP(tblTransactions[[#This Row],[Product_ID]],tblProducts[],5,FALSE)</f>
        <v>281.14999999999998</v>
      </c>
      <c r="M1759" s="4">
        <f>tblTransactions[[#This Row],[Total_Amount]]-(tblTransactions[[#This Row],[Cost_Prices]]*tblTransactions[[#This Row],[Quantity]]*(1-tblTransactions[[#This Row],[Discount]]))</f>
        <v>1031.4099999999999</v>
      </c>
      <c r="N1759" s="3">
        <f>tblTransactions[[#This Row],[Profit]]/tblTransactions[[#This Row],[Total_Amount]]</f>
        <v>0.44367445261754201</v>
      </c>
      <c r="O1759" t="str">
        <f>TEXT(tblTransactions[[#This Row],[Date]], "MMM-YYYY")</f>
        <v>Jan-2024</v>
      </c>
      <c r="P1759" t="str">
        <f>"Q"&amp;ROUNDUP(MONTH(tblTransactions[[#This Row],[Date]])/3,0)&amp;"-"&amp;YEAR(tblTransactions[[#This Row],[Date]])</f>
        <v>Q1-2024</v>
      </c>
      <c r="Q1759">
        <f>YEAR(tblTransactions[[#This Row],[Date]])</f>
        <v>2024</v>
      </c>
      <c r="R1759" t="str">
        <f>TEXT(tblTransactions[[#This Row],[Date]],"DDDD")</f>
        <v>Friday</v>
      </c>
      <c r="S1759">
        <f>MONTH(tblTransactions[[#This Row],[Date]])</f>
        <v>1</v>
      </c>
      <c r="T1759" t="str">
        <f>VLOOKUP(E1759, Products!$A:$B,2,0)</f>
        <v>Desks Fur-3</v>
      </c>
      <c r="U1759" t="str">
        <f>VLOOKUP(E1759,Products!$A:$C,3,0)</f>
        <v>Furniture</v>
      </c>
      <c r="V1759" t="str">
        <f>VLOOKUP(E1759,Products!$A:$D,4,0)</f>
        <v>Desks</v>
      </c>
      <c r="W1759" t="str">
        <f>VLOOKUP(D1759,Customers!$A:$C,3,0)</f>
        <v>B2C</v>
      </c>
      <c r="X1759" t="str">
        <f>VLOOKUP(C1759,Sales_Representatives!$A:$B,2,0)</f>
        <v>Sarah Brown</v>
      </c>
    </row>
    <row r="1760" spans="1:24" x14ac:dyDescent="0.3">
      <c r="A1760" t="s">
        <v>2536</v>
      </c>
      <c r="B1760" t="s">
        <v>2534</v>
      </c>
      <c r="C1760" t="s">
        <v>41</v>
      </c>
      <c r="D1760" t="s">
        <v>2213</v>
      </c>
      <c r="E1760" t="s">
        <v>72</v>
      </c>
      <c r="F1760">
        <v>7</v>
      </c>
      <c r="G1760">
        <v>404.76</v>
      </c>
      <c r="H1760">
        <v>0.12</v>
      </c>
      <c r="I1760" s="4">
        <v>2493.3200000000002</v>
      </c>
      <c r="J1760" t="s">
        <v>44</v>
      </c>
      <c r="K1760" t="s">
        <v>48</v>
      </c>
      <c r="L1760" s="4">
        <f>VLOOKUP(tblTransactions[[#This Row],[Product_ID]],tblProducts[],5,FALSE)</f>
        <v>226.76</v>
      </c>
      <c r="M1760" s="4">
        <f>tblTransactions[[#This Row],[Total_Amount]]-(tblTransactions[[#This Row],[Cost_Prices]]*tblTransactions[[#This Row],[Quantity]]*(1-tblTransactions[[#This Row],[Discount]]))</f>
        <v>1096.4784000000002</v>
      </c>
      <c r="N1760" s="3">
        <f>tblTransactions[[#This Row],[Profit]]/tblTransactions[[#This Row],[Total_Amount]]</f>
        <v>0.43976641586318649</v>
      </c>
      <c r="O1760" t="str">
        <f>TEXT(tblTransactions[[#This Row],[Date]], "MMM-YYYY")</f>
        <v>Jan-2024</v>
      </c>
      <c r="P1760" t="str">
        <f>"Q"&amp;ROUNDUP(MONTH(tblTransactions[[#This Row],[Date]])/3,0)&amp;"-"&amp;YEAR(tblTransactions[[#This Row],[Date]])</f>
        <v>Q1-2024</v>
      </c>
      <c r="Q1760">
        <f>YEAR(tblTransactions[[#This Row],[Date]])</f>
        <v>2024</v>
      </c>
      <c r="R1760" t="str">
        <f>TEXT(tblTransactions[[#This Row],[Date]],"DDDD")</f>
        <v>Friday</v>
      </c>
      <c r="S1760">
        <f>MONTH(tblTransactions[[#This Row],[Date]])</f>
        <v>1</v>
      </c>
      <c r="T1760" t="str">
        <f>VLOOKUP(E1760, Products!$A:$B,2,0)</f>
        <v>Tablets Ele-2</v>
      </c>
      <c r="U1760" t="str">
        <f>VLOOKUP(E1760,Products!$A:$C,3,0)</f>
        <v>Electronics</v>
      </c>
      <c r="V1760" t="str">
        <f>VLOOKUP(E1760,Products!$A:$D,4,0)</f>
        <v>Tablets</v>
      </c>
      <c r="W1760" t="str">
        <f>VLOOKUP(D1760,Customers!$A:$C,3,0)</f>
        <v>B2C</v>
      </c>
      <c r="X1760" t="str">
        <f>VLOOKUP(C1760,Sales_Representatives!$A:$B,2,0)</f>
        <v>Robert Jones</v>
      </c>
    </row>
    <row r="1761" spans="1:24" x14ac:dyDescent="0.3">
      <c r="A1761" t="s">
        <v>2537</v>
      </c>
      <c r="B1761" t="s">
        <v>2534</v>
      </c>
      <c r="C1761" t="s">
        <v>131</v>
      </c>
      <c r="D1761" t="s">
        <v>95</v>
      </c>
      <c r="E1761" t="s">
        <v>324</v>
      </c>
      <c r="F1761">
        <v>41</v>
      </c>
      <c r="G1761">
        <v>245.76</v>
      </c>
      <c r="H1761">
        <v>0.17</v>
      </c>
      <c r="I1761" s="4">
        <v>8363.2099999999991</v>
      </c>
      <c r="J1761" t="s">
        <v>44</v>
      </c>
      <c r="K1761" t="s">
        <v>17</v>
      </c>
      <c r="L1761" s="4">
        <f>VLOOKUP(tblTransactions[[#This Row],[Product_ID]],tblProducts[],5,FALSE)</f>
        <v>161.94</v>
      </c>
      <c r="M1761" s="4">
        <f>tblTransactions[[#This Row],[Total_Amount]]-(tblTransactions[[#This Row],[Cost_Prices]]*tblTransactions[[#This Row],[Quantity]]*(1-tblTransactions[[#This Row],[Discount]]))</f>
        <v>2852.3917999999994</v>
      </c>
      <c r="N1761" s="3">
        <f>tblTransactions[[#This Row],[Profit]]/tblTransactions[[#This Row],[Total_Amount]]</f>
        <v>0.34106423251359225</v>
      </c>
      <c r="O1761" t="str">
        <f>TEXT(tblTransactions[[#This Row],[Date]], "MMM-YYYY")</f>
        <v>Jan-2024</v>
      </c>
      <c r="P1761" t="str">
        <f>"Q"&amp;ROUNDUP(MONTH(tblTransactions[[#This Row],[Date]])/3,0)&amp;"-"&amp;YEAR(tblTransactions[[#This Row],[Date]])</f>
        <v>Q1-2024</v>
      </c>
      <c r="Q1761">
        <f>YEAR(tblTransactions[[#This Row],[Date]])</f>
        <v>2024</v>
      </c>
      <c r="R1761" t="str">
        <f>TEXT(tblTransactions[[#This Row],[Date]],"DDDD")</f>
        <v>Friday</v>
      </c>
      <c r="S1761">
        <f>MONTH(tblTransactions[[#This Row],[Date]])</f>
        <v>1</v>
      </c>
      <c r="T1761" t="str">
        <f>VLOOKUP(E1761, Products!$A:$B,2,0)</f>
        <v>Storage Fur-1</v>
      </c>
      <c r="U1761" t="str">
        <f>VLOOKUP(E1761,Products!$A:$C,3,0)</f>
        <v>Furniture</v>
      </c>
      <c r="V1761" t="str">
        <f>VLOOKUP(E1761,Products!$A:$D,4,0)</f>
        <v>Storage</v>
      </c>
      <c r="W1761" t="str">
        <f>VLOOKUP(D1761,Customers!$A:$C,3,0)</f>
        <v>Enterprise</v>
      </c>
      <c r="X1761" t="str">
        <f>VLOOKUP(C1761,Sales_Representatives!$A:$B,2,0)</f>
        <v>Michael Davis</v>
      </c>
    </row>
    <row r="1762" spans="1:24" x14ac:dyDescent="0.3">
      <c r="A1762" t="s">
        <v>2538</v>
      </c>
      <c r="B1762" t="s">
        <v>2539</v>
      </c>
      <c r="C1762" t="s">
        <v>131</v>
      </c>
      <c r="D1762" t="s">
        <v>1813</v>
      </c>
      <c r="E1762" t="s">
        <v>191</v>
      </c>
      <c r="F1762">
        <v>15</v>
      </c>
      <c r="G1762">
        <v>1012.75</v>
      </c>
      <c r="H1762">
        <v>0.1</v>
      </c>
      <c r="I1762" s="4">
        <v>13672.12</v>
      </c>
      <c r="J1762" t="s">
        <v>44</v>
      </c>
      <c r="K1762" t="s">
        <v>39</v>
      </c>
      <c r="L1762" s="4">
        <f>VLOOKUP(tblTransactions[[#This Row],[Product_ID]],tblProducts[],5,FALSE)</f>
        <v>518.53</v>
      </c>
      <c r="M1762" s="4">
        <f>tblTransactions[[#This Row],[Total_Amount]]-(tblTransactions[[#This Row],[Cost_Prices]]*tblTransactions[[#This Row],[Quantity]]*(1-tblTransactions[[#This Row],[Discount]]))</f>
        <v>6671.9650000000011</v>
      </c>
      <c r="N1762" s="3">
        <f>tblTransactions[[#This Row],[Profit]]/tblTransactions[[#This Row],[Total_Amount]]</f>
        <v>0.48799783793588708</v>
      </c>
      <c r="O1762" t="str">
        <f>TEXT(tblTransactions[[#This Row],[Date]], "MMM-YYYY")</f>
        <v>Jan-2024</v>
      </c>
      <c r="P1762" t="str">
        <f>"Q"&amp;ROUNDUP(MONTH(tblTransactions[[#This Row],[Date]])/3,0)&amp;"-"&amp;YEAR(tblTransactions[[#This Row],[Date]])</f>
        <v>Q1-2024</v>
      </c>
      <c r="Q1762">
        <f>YEAR(tblTransactions[[#This Row],[Date]])</f>
        <v>2024</v>
      </c>
      <c r="R1762" t="str">
        <f>TEXT(tblTransactions[[#This Row],[Date]],"DDDD")</f>
        <v>Saturday</v>
      </c>
      <c r="S1762">
        <f>MONTH(tblTransactions[[#This Row],[Date]])</f>
        <v>1</v>
      </c>
      <c r="T1762" t="str">
        <f>VLOOKUP(E1762, Products!$A:$B,2,0)</f>
        <v>Tables Fur-4</v>
      </c>
      <c r="U1762" t="str">
        <f>VLOOKUP(E1762,Products!$A:$C,3,0)</f>
        <v>Furniture</v>
      </c>
      <c r="V1762" t="str">
        <f>VLOOKUP(E1762,Products!$A:$D,4,0)</f>
        <v>Tables</v>
      </c>
      <c r="W1762" t="str">
        <f>VLOOKUP(D1762,Customers!$A:$C,3,0)</f>
        <v>Enterprise</v>
      </c>
      <c r="X1762" t="str">
        <f>VLOOKUP(C1762,Sales_Representatives!$A:$B,2,0)</f>
        <v>Michael Davis</v>
      </c>
    </row>
    <row r="1763" spans="1:24" x14ac:dyDescent="0.3">
      <c r="A1763" t="s">
        <v>2540</v>
      </c>
      <c r="B1763" t="s">
        <v>2539</v>
      </c>
      <c r="C1763" t="s">
        <v>82</v>
      </c>
      <c r="D1763" t="s">
        <v>1627</v>
      </c>
      <c r="E1763" t="s">
        <v>15</v>
      </c>
      <c r="F1763">
        <v>16</v>
      </c>
      <c r="G1763">
        <v>477.48</v>
      </c>
      <c r="H1763">
        <v>0.11</v>
      </c>
      <c r="I1763" s="4">
        <v>6799.32</v>
      </c>
      <c r="J1763" t="s">
        <v>34</v>
      </c>
      <c r="K1763" t="s">
        <v>35</v>
      </c>
      <c r="L1763" s="4">
        <f>VLOOKUP(tblTransactions[[#This Row],[Product_ID]],tblProducts[],5,FALSE)</f>
        <v>275.51</v>
      </c>
      <c r="M1763" s="4">
        <f>tblTransactions[[#This Row],[Total_Amount]]-(tblTransactions[[#This Row],[Cost_Prices]]*tblTransactions[[#This Row],[Quantity]]*(1-tblTransactions[[#This Row],[Discount]]))</f>
        <v>2876.0575999999996</v>
      </c>
      <c r="N1763" s="3">
        <f>tblTransactions[[#This Row],[Profit]]/tblTransactions[[#This Row],[Total_Amount]]</f>
        <v>0.42299194625344883</v>
      </c>
      <c r="O1763" t="str">
        <f>TEXT(tblTransactions[[#This Row],[Date]], "MMM-YYYY")</f>
        <v>Jan-2024</v>
      </c>
      <c r="P1763" t="str">
        <f>"Q"&amp;ROUNDUP(MONTH(tblTransactions[[#This Row],[Date]])/3,0)&amp;"-"&amp;YEAR(tblTransactions[[#This Row],[Date]])</f>
        <v>Q1-2024</v>
      </c>
      <c r="Q1763">
        <f>YEAR(tblTransactions[[#This Row],[Date]])</f>
        <v>2024</v>
      </c>
      <c r="R1763" t="str">
        <f>TEXT(tblTransactions[[#This Row],[Date]],"DDDD")</f>
        <v>Saturday</v>
      </c>
      <c r="S1763">
        <f>MONTH(tblTransactions[[#This Row],[Date]])</f>
        <v>1</v>
      </c>
      <c r="T1763" t="str">
        <f>VLOOKUP(E1763, Products!$A:$B,2,0)</f>
        <v>Laptops Ele-4</v>
      </c>
      <c r="U1763" t="str">
        <f>VLOOKUP(E1763,Products!$A:$C,3,0)</f>
        <v>Electronics</v>
      </c>
      <c r="V1763" t="str">
        <f>VLOOKUP(E1763,Products!$A:$D,4,0)</f>
        <v>Laptops</v>
      </c>
      <c r="W1763" t="str">
        <f>VLOOKUP(D1763,Customers!$A:$C,3,0)</f>
        <v>Enterprise</v>
      </c>
      <c r="X1763" t="str">
        <f>VLOOKUP(C1763,Sales_Representatives!$A:$B,2,0)</f>
        <v>John Brown</v>
      </c>
    </row>
    <row r="1764" spans="1:24" x14ac:dyDescent="0.3">
      <c r="A1764" t="s">
        <v>2541</v>
      </c>
      <c r="B1764" t="s">
        <v>2539</v>
      </c>
      <c r="C1764" t="s">
        <v>56</v>
      </c>
      <c r="D1764" t="s">
        <v>1965</v>
      </c>
      <c r="E1764" t="s">
        <v>99</v>
      </c>
      <c r="F1764">
        <v>8</v>
      </c>
      <c r="G1764">
        <v>325.14</v>
      </c>
      <c r="H1764">
        <v>0.06</v>
      </c>
      <c r="I1764" s="4">
        <v>2445.0500000000002</v>
      </c>
      <c r="J1764" t="s">
        <v>34</v>
      </c>
      <c r="K1764" t="s">
        <v>22</v>
      </c>
      <c r="L1764" s="4">
        <f>VLOOKUP(tblTransactions[[#This Row],[Product_ID]],tblProducts[],5,FALSE)</f>
        <v>209.04</v>
      </c>
      <c r="M1764" s="4">
        <f>tblTransactions[[#This Row],[Total_Amount]]-(tblTransactions[[#This Row],[Cost_Prices]]*tblTransactions[[#This Row],[Quantity]]*(1-tblTransactions[[#This Row],[Discount]]))</f>
        <v>873.06920000000036</v>
      </c>
      <c r="N1764" s="3">
        <f>tblTransactions[[#This Row],[Profit]]/tblTransactions[[#This Row],[Total_Amount]]</f>
        <v>0.35707621521032301</v>
      </c>
      <c r="O1764" t="str">
        <f>TEXT(tblTransactions[[#This Row],[Date]], "MMM-YYYY")</f>
        <v>Jan-2024</v>
      </c>
      <c r="P1764" t="str">
        <f>"Q"&amp;ROUNDUP(MONTH(tblTransactions[[#This Row],[Date]])/3,0)&amp;"-"&amp;YEAR(tblTransactions[[#This Row],[Date]])</f>
        <v>Q1-2024</v>
      </c>
      <c r="Q1764">
        <f>YEAR(tblTransactions[[#This Row],[Date]])</f>
        <v>2024</v>
      </c>
      <c r="R1764" t="str">
        <f>TEXT(tblTransactions[[#This Row],[Date]],"DDDD")</f>
        <v>Saturday</v>
      </c>
      <c r="S1764">
        <f>MONTH(tblTransactions[[#This Row],[Date]])</f>
        <v>1</v>
      </c>
      <c r="T1764" t="str">
        <f>VLOOKUP(E1764, Products!$A:$B,2,0)</f>
        <v>Monitors Tec-1</v>
      </c>
      <c r="U1764" t="str">
        <f>VLOOKUP(E1764,Products!$A:$C,3,0)</f>
        <v>Technology</v>
      </c>
      <c r="V1764" t="str">
        <f>VLOOKUP(E1764,Products!$A:$D,4,0)</f>
        <v>Monitors</v>
      </c>
      <c r="W1764" t="str">
        <f>VLOOKUP(D1764,Customers!$A:$C,3,0)</f>
        <v>B2B</v>
      </c>
      <c r="X1764" t="str">
        <f>VLOOKUP(C1764,Sales_Representatives!$A:$B,2,0)</f>
        <v>Thomas Hernandez</v>
      </c>
    </row>
    <row r="1765" spans="1:24" x14ac:dyDescent="0.3">
      <c r="A1765" t="s">
        <v>2542</v>
      </c>
      <c r="B1765" t="s">
        <v>2539</v>
      </c>
      <c r="C1765" t="s">
        <v>141</v>
      </c>
      <c r="D1765" t="s">
        <v>2159</v>
      </c>
      <c r="E1765" t="s">
        <v>172</v>
      </c>
      <c r="F1765">
        <v>10</v>
      </c>
      <c r="G1765">
        <v>1371.15</v>
      </c>
      <c r="H1765">
        <v>7.0000000000000007E-2</v>
      </c>
      <c r="I1765" s="4">
        <v>12751.7</v>
      </c>
      <c r="J1765" t="s">
        <v>109</v>
      </c>
      <c r="K1765" t="s">
        <v>22</v>
      </c>
      <c r="L1765" s="4">
        <f>VLOOKUP(tblTransactions[[#This Row],[Product_ID]],tblProducts[],5,FALSE)</f>
        <v>989.81</v>
      </c>
      <c r="M1765" s="4">
        <f>tblTransactions[[#This Row],[Total_Amount]]-(tblTransactions[[#This Row],[Cost_Prices]]*tblTransactions[[#This Row],[Quantity]]*(1-tblTransactions[[#This Row],[Discount]]))</f>
        <v>3546.4670000000024</v>
      </c>
      <c r="N1765" s="3">
        <f>tblTransactions[[#This Row],[Profit]]/tblTransactions[[#This Row],[Total_Amount]]</f>
        <v>0.27811719221750841</v>
      </c>
      <c r="O1765" t="str">
        <f>TEXT(tblTransactions[[#This Row],[Date]], "MMM-YYYY")</f>
        <v>Jan-2024</v>
      </c>
      <c r="P1765" t="str">
        <f>"Q"&amp;ROUNDUP(MONTH(tblTransactions[[#This Row],[Date]])/3,0)&amp;"-"&amp;YEAR(tblTransactions[[#This Row],[Date]])</f>
        <v>Q1-2024</v>
      </c>
      <c r="Q1765">
        <f>YEAR(tblTransactions[[#This Row],[Date]])</f>
        <v>2024</v>
      </c>
      <c r="R1765" t="str">
        <f>TEXT(tblTransactions[[#This Row],[Date]],"DDDD")</f>
        <v>Saturday</v>
      </c>
      <c r="S1765">
        <f>MONTH(tblTransactions[[#This Row],[Date]])</f>
        <v>1</v>
      </c>
      <c r="T1765" t="str">
        <f>VLOOKUP(E1765, Products!$A:$B,2,0)</f>
        <v>Cameras Ele-4</v>
      </c>
      <c r="U1765" t="str">
        <f>VLOOKUP(E1765,Products!$A:$C,3,0)</f>
        <v>Electronics</v>
      </c>
      <c r="V1765" t="str">
        <f>VLOOKUP(E1765,Products!$A:$D,4,0)</f>
        <v>Cameras</v>
      </c>
      <c r="W1765" t="str">
        <f>VLOOKUP(D1765,Customers!$A:$C,3,0)</f>
        <v>B2B</v>
      </c>
      <c r="X1765" t="str">
        <f>VLOOKUP(C1765,Sales_Representatives!$A:$B,2,0)</f>
        <v>Richard Garcia</v>
      </c>
    </row>
    <row r="1766" spans="1:24" x14ac:dyDescent="0.3">
      <c r="A1766" t="s">
        <v>2543</v>
      </c>
      <c r="B1766" t="s">
        <v>2539</v>
      </c>
      <c r="C1766" t="s">
        <v>63</v>
      </c>
      <c r="D1766" t="s">
        <v>1596</v>
      </c>
      <c r="E1766" t="s">
        <v>79</v>
      </c>
      <c r="F1766">
        <v>22</v>
      </c>
      <c r="G1766">
        <v>1452.36</v>
      </c>
      <c r="H1766">
        <v>0.19</v>
      </c>
      <c r="I1766" s="4">
        <v>25881.06</v>
      </c>
      <c r="J1766" t="s">
        <v>21</v>
      </c>
      <c r="K1766" t="s">
        <v>39</v>
      </c>
      <c r="L1766" s="4">
        <f>VLOOKUP(tblTransactions[[#This Row],[Product_ID]],tblProducts[],5,FALSE)</f>
        <v>778.71</v>
      </c>
      <c r="M1766" s="4">
        <f>tblTransactions[[#This Row],[Total_Amount]]-(tblTransactions[[#This Row],[Cost_Prices]]*tblTransactions[[#This Row],[Quantity]]*(1-tblTransactions[[#This Row],[Discount]]))</f>
        <v>12004.447799999998</v>
      </c>
      <c r="N1766" s="3">
        <f>tblTransactions[[#This Row],[Profit]]/tblTransactions[[#This Row],[Total_Amount]]</f>
        <v>0.46383138094034776</v>
      </c>
      <c r="O1766" t="str">
        <f>TEXT(tblTransactions[[#This Row],[Date]], "MMM-YYYY")</f>
        <v>Jan-2024</v>
      </c>
      <c r="P1766" t="str">
        <f>"Q"&amp;ROUNDUP(MONTH(tblTransactions[[#This Row],[Date]])/3,0)&amp;"-"&amp;YEAR(tblTransactions[[#This Row],[Date]])</f>
        <v>Q1-2024</v>
      </c>
      <c r="Q1766">
        <f>YEAR(tblTransactions[[#This Row],[Date]])</f>
        <v>2024</v>
      </c>
      <c r="R1766" t="str">
        <f>TEXT(tblTransactions[[#This Row],[Date]],"DDDD")</f>
        <v>Saturday</v>
      </c>
      <c r="S1766">
        <f>MONTH(tblTransactions[[#This Row],[Date]])</f>
        <v>1</v>
      </c>
      <c r="T1766" t="str">
        <f>VLOOKUP(E1766, Products!$A:$B,2,0)</f>
        <v>Tables Fur-2</v>
      </c>
      <c r="U1766" t="str">
        <f>VLOOKUP(E1766,Products!$A:$C,3,0)</f>
        <v>Furniture</v>
      </c>
      <c r="V1766" t="str">
        <f>VLOOKUP(E1766,Products!$A:$D,4,0)</f>
        <v>Tables</v>
      </c>
      <c r="W1766" t="str">
        <f>VLOOKUP(D1766,Customers!$A:$C,3,0)</f>
        <v>Enterprise</v>
      </c>
      <c r="X1766" t="str">
        <f>VLOOKUP(C1766,Sales_Representatives!$A:$B,2,0)</f>
        <v>Richard Wilson</v>
      </c>
    </row>
    <row r="1767" spans="1:24" x14ac:dyDescent="0.3">
      <c r="A1767" t="s">
        <v>2544</v>
      </c>
      <c r="B1767" t="s">
        <v>2545</v>
      </c>
      <c r="C1767" t="s">
        <v>31</v>
      </c>
      <c r="D1767" t="s">
        <v>1540</v>
      </c>
      <c r="E1767" t="s">
        <v>217</v>
      </c>
      <c r="F1767">
        <v>6</v>
      </c>
      <c r="G1767">
        <v>145.51</v>
      </c>
      <c r="H1767">
        <v>0.08</v>
      </c>
      <c r="I1767" s="4">
        <v>803.22</v>
      </c>
      <c r="J1767" t="s">
        <v>34</v>
      </c>
      <c r="K1767" t="s">
        <v>17</v>
      </c>
      <c r="L1767" s="4">
        <f>VLOOKUP(tblTransactions[[#This Row],[Product_ID]],tblProducts[],5,FALSE)</f>
        <v>64.510000000000005</v>
      </c>
      <c r="M1767" s="4">
        <f>tblTransactions[[#This Row],[Total_Amount]]-(tblTransactions[[#This Row],[Cost_Prices]]*tblTransactions[[#This Row],[Quantity]]*(1-tblTransactions[[#This Row],[Discount]]))</f>
        <v>447.12479999999994</v>
      </c>
      <c r="N1767" s="3">
        <f>tblTransactions[[#This Row],[Profit]]/tblTransactions[[#This Row],[Total_Amount]]</f>
        <v>0.55666542167774702</v>
      </c>
      <c r="O1767" t="str">
        <f>TEXT(tblTransactions[[#This Row],[Date]], "MMM-YYYY")</f>
        <v>Jan-2024</v>
      </c>
      <c r="P1767" t="str">
        <f>"Q"&amp;ROUNDUP(MONTH(tblTransactions[[#This Row],[Date]])/3,0)&amp;"-"&amp;YEAR(tblTransactions[[#This Row],[Date]])</f>
        <v>Q1-2024</v>
      </c>
      <c r="Q1767">
        <f>YEAR(tblTransactions[[#This Row],[Date]])</f>
        <v>2024</v>
      </c>
      <c r="R1767" t="str">
        <f>TEXT(tblTransactions[[#This Row],[Date]],"DDDD")</f>
        <v>Sunday</v>
      </c>
      <c r="S1767">
        <f>MONTH(tblTransactions[[#This Row],[Date]])</f>
        <v>1</v>
      </c>
      <c r="T1767" t="str">
        <f>VLOOKUP(E1767, Products!$A:$B,2,0)</f>
        <v>Cables Acc-2</v>
      </c>
      <c r="U1767" t="str">
        <f>VLOOKUP(E1767,Products!$A:$C,3,0)</f>
        <v>Accessories</v>
      </c>
      <c r="V1767" t="str">
        <f>VLOOKUP(E1767,Products!$A:$D,4,0)</f>
        <v>Cables</v>
      </c>
      <c r="W1767" t="str">
        <f>VLOOKUP(D1767,Customers!$A:$C,3,0)</f>
        <v>B2C</v>
      </c>
      <c r="X1767" t="str">
        <f>VLOOKUP(C1767,Sales_Representatives!$A:$B,2,0)</f>
        <v>Thomas Martinez</v>
      </c>
    </row>
    <row r="1768" spans="1:24" x14ac:dyDescent="0.3">
      <c r="A1768" t="s">
        <v>2546</v>
      </c>
      <c r="B1768" t="s">
        <v>2545</v>
      </c>
      <c r="C1768" t="s">
        <v>56</v>
      </c>
      <c r="D1768" t="s">
        <v>2121</v>
      </c>
      <c r="E1768" t="s">
        <v>435</v>
      </c>
      <c r="F1768">
        <v>1</v>
      </c>
      <c r="G1768">
        <v>198.72</v>
      </c>
      <c r="H1768">
        <v>0.03</v>
      </c>
      <c r="I1768" s="4">
        <v>192.76</v>
      </c>
      <c r="J1768" t="s">
        <v>34</v>
      </c>
      <c r="K1768" t="s">
        <v>22</v>
      </c>
      <c r="L1768" s="4">
        <f>VLOOKUP(tblTransactions[[#This Row],[Product_ID]],tblProducts[],5,FALSE)</f>
        <v>116.98</v>
      </c>
      <c r="M1768" s="4">
        <f>tblTransactions[[#This Row],[Total_Amount]]-(tblTransactions[[#This Row],[Cost_Prices]]*tblTransactions[[#This Row],[Quantity]]*(1-tblTransactions[[#This Row],[Discount]]))</f>
        <v>79.289399999999986</v>
      </c>
      <c r="N1768" s="3">
        <f>tblTransactions[[#This Row],[Profit]]/tblTransactions[[#This Row],[Total_Amount]]</f>
        <v>0.41133741440132804</v>
      </c>
      <c r="O1768" t="str">
        <f>TEXT(tblTransactions[[#This Row],[Date]], "MMM-YYYY")</f>
        <v>Jan-2024</v>
      </c>
      <c r="P1768" t="str">
        <f>"Q"&amp;ROUNDUP(MONTH(tblTransactions[[#This Row],[Date]])/3,0)&amp;"-"&amp;YEAR(tblTransactions[[#This Row],[Date]])</f>
        <v>Q1-2024</v>
      </c>
      <c r="Q1768">
        <f>YEAR(tblTransactions[[#This Row],[Date]])</f>
        <v>2024</v>
      </c>
      <c r="R1768" t="str">
        <f>TEXT(tblTransactions[[#This Row],[Date]],"DDDD")</f>
        <v>Sunday</v>
      </c>
      <c r="S1768">
        <f>MONTH(tblTransactions[[#This Row],[Date]])</f>
        <v>1</v>
      </c>
      <c r="T1768" t="str">
        <f>VLOOKUP(E1768, Products!$A:$B,2,0)</f>
        <v>Paper Off-4</v>
      </c>
      <c r="U1768" t="str">
        <f>VLOOKUP(E1768,Products!$A:$C,3,0)</f>
        <v>Office Supplies</v>
      </c>
      <c r="V1768" t="str">
        <f>VLOOKUP(E1768,Products!$A:$D,4,0)</f>
        <v>Paper</v>
      </c>
      <c r="W1768" t="str">
        <f>VLOOKUP(D1768,Customers!$A:$C,3,0)</f>
        <v>B2C</v>
      </c>
      <c r="X1768" t="str">
        <f>VLOOKUP(C1768,Sales_Representatives!$A:$B,2,0)</f>
        <v>Thomas Hernandez</v>
      </c>
    </row>
    <row r="1769" spans="1:24" x14ac:dyDescent="0.3">
      <c r="A1769" t="s">
        <v>2547</v>
      </c>
      <c r="B1769" t="s">
        <v>2548</v>
      </c>
      <c r="C1769" t="s">
        <v>127</v>
      </c>
      <c r="D1769" t="s">
        <v>1856</v>
      </c>
      <c r="E1769" t="s">
        <v>255</v>
      </c>
      <c r="F1769">
        <v>17</v>
      </c>
      <c r="G1769">
        <v>1444.13</v>
      </c>
      <c r="H1769">
        <v>0.13</v>
      </c>
      <c r="I1769" s="4">
        <v>21358.68</v>
      </c>
      <c r="J1769" t="s">
        <v>109</v>
      </c>
      <c r="K1769" t="s">
        <v>17</v>
      </c>
      <c r="L1769" s="4">
        <f>VLOOKUP(tblTransactions[[#This Row],[Product_ID]],tblProducts[],5,FALSE)</f>
        <v>874.43</v>
      </c>
      <c r="M1769" s="4">
        <f>tblTransactions[[#This Row],[Total_Amount]]-(tblTransactions[[#This Row],[Cost_Prices]]*tblTransactions[[#This Row],[Quantity]]*(1-tblTransactions[[#This Row],[Discount]]))</f>
        <v>8425.8603000000003</v>
      </c>
      <c r="N1769" s="3">
        <f>tblTransactions[[#This Row],[Profit]]/tblTransactions[[#This Row],[Total_Amount]]</f>
        <v>0.39449349397996508</v>
      </c>
      <c r="O1769" t="str">
        <f>TEXT(tblTransactions[[#This Row],[Date]], "MMM-YYYY")</f>
        <v>Jan-2024</v>
      </c>
      <c r="P1769" t="str">
        <f>"Q"&amp;ROUNDUP(MONTH(tblTransactions[[#This Row],[Date]])/3,0)&amp;"-"&amp;YEAR(tblTransactions[[#This Row],[Date]])</f>
        <v>Q1-2024</v>
      </c>
      <c r="Q1769">
        <f>YEAR(tblTransactions[[#This Row],[Date]])</f>
        <v>2024</v>
      </c>
      <c r="R1769" t="str">
        <f>TEXT(tblTransactions[[#This Row],[Date]],"DDDD")</f>
        <v>Monday</v>
      </c>
      <c r="S1769">
        <f>MONTH(tblTransactions[[#This Row],[Date]])</f>
        <v>1</v>
      </c>
      <c r="T1769" t="str">
        <f>VLOOKUP(E1769, Products!$A:$B,2,0)</f>
        <v>Printers Tec-1</v>
      </c>
      <c r="U1769" t="str">
        <f>VLOOKUP(E1769,Products!$A:$C,3,0)</f>
        <v>Technology</v>
      </c>
      <c r="V1769" t="str">
        <f>VLOOKUP(E1769,Products!$A:$D,4,0)</f>
        <v>Printers</v>
      </c>
      <c r="W1769" t="str">
        <f>VLOOKUP(D1769,Customers!$A:$C,3,0)</f>
        <v>Enterprise</v>
      </c>
      <c r="X1769" t="str">
        <f>VLOOKUP(C1769,Sales_Representatives!$A:$B,2,0)</f>
        <v>Emily Hernandez</v>
      </c>
    </row>
    <row r="1770" spans="1:24" x14ac:dyDescent="0.3">
      <c r="A1770" t="s">
        <v>2549</v>
      </c>
      <c r="B1770" t="s">
        <v>2548</v>
      </c>
      <c r="C1770" t="s">
        <v>56</v>
      </c>
      <c r="D1770" t="s">
        <v>98</v>
      </c>
      <c r="E1770" t="s">
        <v>232</v>
      </c>
      <c r="F1770">
        <v>7</v>
      </c>
      <c r="G1770">
        <v>60.21</v>
      </c>
      <c r="H1770">
        <v>0.08</v>
      </c>
      <c r="I1770" s="4">
        <v>387.75</v>
      </c>
      <c r="J1770" t="s">
        <v>34</v>
      </c>
      <c r="K1770" t="s">
        <v>48</v>
      </c>
      <c r="L1770" s="4">
        <f>VLOOKUP(tblTransactions[[#This Row],[Product_ID]],tblProducts[],5,FALSE)</f>
        <v>38.18</v>
      </c>
      <c r="M1770" s="4">
        <f>tblTransactions[[#This Row],[Total_Amount]]-(tblTransactions[[#This Row],[Cost_Prices]]*tblTransactions[[#This Row],[Quantity]]*(1-tblTransactions[[#This Row],[Discount]]))</f>
        <v>141.8708</v>
      </c>
      <c r="N1770" s="3">
        <f>tblTransactions[[#This Row],[Profit]]/tblTransactions[[#This Row],[Total_Amount]]</f>
        <v>0.36588214055448098</v>
      </c>
      <c r="O1770" t="str">
        <f>TEXT(tblTransactions[[#This Row],[Date]], "MMM-YYYY")</f>
        <v>Jan-2024</v>
      </c>
      <c r="P1770" t="str">
        <f>"Q"&amp;ROUNDUP(MONTH(tblTransactions[[#This Row],[Date]])/3,0)&amp;"-"&amp;YEAR(tblTransactions[[#This Row],[Date]])</f>
        <v>Q1-2024</v>
      </c>
      <c r="Q1770">
        <f>YEAR(tblTransactions[[#This Row],[Date]])</f>
        <v>2024</v>
      </c>
      <c r="R1770" t="str">
        <f>TEXT(tblTransactions[[#This Row],[Date]],"DDDD")</f>
        <v>Monday</v>
      </c>
      <c r="S1770">
        <f>MONTH(tblTransactions[[#This Row],[Date]])</f>
        <v>1</v>
      </c>
      <c r="T1770" t="str">
        <f>VLOOKUP(E1770, Products!$A:$B,2,0)</f>
        <v>Cables Acc-3</v>
      </c>
      <c r="U1770" t="str">
        <f>VLOOKUP(E1770,Products!$A:$C,3,0)</f>
        <v>Accessories</v>
      </c>
      <c r="V1770" t="str">
        <f>VLOOKUP(E1770,Products!$A:$D,4,0)</f>
        <v>Cables</v>
      </c>
      <c r="W1770" t="str">
        <f>VLOOKUP(D1770,Customers!$A:$C,3,0)</f>
        <v>B2C</v>
      </c>
      <c r="X1770" t="str">
        <f>VLOOKUP(C1770,Sales_Representatives!$A:$B,2,0)</f>
        <v>Thomas Hernandez</v>
      </c>
    </row>
    <row r="1771" spans="1:24" x14ac:dyDescent="0.3">
      <c r="A1771" t="s">
        <v>2550</v>
      </c>
      <c r="B1771" t="s">
        <v>2551</v>
      </c>
      <c r="C1771" t="s">
        <v>63</v>
      </c>
      <c r="D1771" t="s">
        <v>1934</v>
      </c>
      <c r="E1771" t="s">
        <v>91</v>
      </c>
      <c r="F1771">
        <v>7</v>
      </c>
      <c r="G1771">
        <v>286.62</v>
      </c>
      <c r="H1771">
        <v>0.05</v>
      </c>
      <c r="I1771" s="4">
        <v>1906.02</v>
      </c>
      <c r="J1771" t="s">
        <v>21</v>
      </c>
      <c r="K1771" t="s">
        <v>22</v>
      </c>
      <c r="L1771" s="4">
        <f>VLOOKUP(tblTransactions[[#This Row],[Product_ID]],tblProducts[],5,FALSE)</f>
        <v>145.54</v>
      </c>
      <c r="M1771" s="4">
        <f>tblTransactions[[#This Row],[Total_Amount]]-(tblTransactions[[#This Row],[Cost_Prices]]*tblTransactions[[#This Row],[Quantity]]*(1-tblTransactions[[#This Row],[Discount]]))</f>
        <v>938.17900000000009</v>
      </c>
      <c r="N1771" s="3">
        <f>tblTransactions[[#This Row],[Profit]]/tblTransactions[[#This Row],[Total_Amount]]</f>
        <v>0.49221886444003743</v>
      </c>
      <c r="O1771" t="str">
        <f>TEXT(tblTransactions[[#This Row],[Date]], "MMM-YYYY")</f>
        <v>Jan-2024</v>
      </c>
      <c r="P1771" t="str">
        <f>"Q"&amp;ROUNDUP(MONTH(tblTransactions[[#This Row],[Date]])/3,0)&amp;"-"&amp;YEAR(tblTransactions[[#This Row],[Date]])</f>
        <v>Q1-2024</v>
      </c>
      <c r="Q1771">
        <f>YEAR(tblTransactions[[#This Row],[Date]])</f>
        <v>2024</v>
      </c>
      <c r="R1771" t="str">
        <f>TEXT(tblTransactions[[#This Row],[Date]],"DDDD")</f>
        <v>Tuesday</v>
      </c>
      <c r="S1771">
        <f>MONTH(tblTransactions[[#This Row],[Date]])</f>
        <v>1</v>
      </c>
      <c r="T1771" t="str">
        <f>VLOOKUP(E1771, Products!$A:$B,2,0)</f>
        <v>Chairs Fur-1</v>
      </c>
      <c r="U1771" t="str">
        <f>VLOOKUP(E1771,Products!$A:$C,3,0)</f>
        <v>Furniture</v>
      </c>
      <c r="V1771" t="str">
        <f>VLOOKUP(E1771,Products!$A:$D,4,0)</f>
        <v>Chairs</v>
      </c>
      <c r="W1771" t="str">
        <f>VLOOKUP(D1771,Customers!$A:$C,3,0)</f>
        <v>B2C</v>
      </c>
      <c r="X1771" t="str">
        <f>VLOOKUP(C1771,Sales_Representatives!$A:$B,2,0)</f>
        <v>Richard Wilson</v>
      </c>
    </row>
    <row r="1772" spans="1:24" x14ac:dyDescent="0.3">
      <c r="A1772" t="s">
        <v>2552</v>
      </c>
      <c r="B1772" t="s">
        <v>2551</v>
      </c>
      <c r="C1772" t="s">
        <v>13</v>
      </c>
      <c r="D1772" t="s">
        <v>2192</v>
      </c>
      <c r="E1772" t="s">
        <v>96</v>
      </c>
      <c r="F1772">
        <v>2</v>
      </c>
      <c r="G1772">
        <v>751.9</v>
      </c>
      <c r="H1772">
        <v>0.08</v>
      </c>
      <c r="I1772" s="4">
        <v>1383.5</v>
      </c>
      <c r="J1772" t="s">
        <v>16</v>
      </c>
      <c r="K1772" t="s">
        <v>35</v>
      </c>
      <c r="L1772" s="4">
        <f>VLOOKUP(tblTransactions[[#This Row],[Product_ID]],tblProducts[],5,FALSE)</f>
        <v>570.29</v>
      </c>
      <c r="M1772" s="4">
        <f>tblTransactions[[#This Row],[Total_Amount]]-(tblTransactions[[#This Row],[Cost_Prices]]*tblTransactions[[#This Row],[Quantity]]*(1-tblTransactions[[#This Row],[Discount]]))</f>
        <v>334.16640000000007</v>
      </c>
      <c r="N1772" s="3">
        <f>tblTransactions[[#This Row],[Profit]]/tblTransactions[[#This Row],[Total_Amount]]</f>
        <v>0.24153697144922304</v>
      </c>
      <c r="O1772" t="str">
        <f>TEXT(tblTransactions[[#This Row],[Date]], "MMM-YYYY")</f>
        <v>Jan-2024</v>
      </c>
      <c r="P1772" t="str">
        <f>"Q"&amp;ROUNDUP(MONTH(tblTransactions[[#This Row],[Date]])/3,0)&amp;"-"&amp;YEAR(tblTransactions[[#This Row],[Date]])</f>
        <v>Q1-2024</v>
      </c>
      <c r="Q1772">
        <f>YEAR(tblTransactions[[#This Row],[Date]])</f>
        <v>2024</v>
      </c>
      <c r="R1772" t="str">
        <f>TEXT(tblTransactions[[#This Row],[Date]],"DDDD")</f>
        <v>Tuesday</v>
      </c>
      <c r="S1772">
        <f>MONTH(tblTransactions[[#This Row],[Date]])</f>
        <v>1</v>
      </c>
      <c r="T1772" t="str">
        <f>VLOOKUP(E1772, Products!$A:$B,2,0)</f>
        <v>Routers Tec-1</v>
      </c>
      <c r="U1772" t="str">
        <f>VLOOKUP(E1772,Products!$A:$C,3,0)</f>
        <v>Technology</v>
      </c>
      <c r="V1772" t="str">
        <f>VLOOKUP(E1772,Products!$A:$D,4,0)</f>
        <v>Routers</v>
      </c>
      <c r="W1772" t="str">
        <f>VLOOKUP(D1772,Customers!$A:$C,3,0)</f>
        <v>B2C</v>
      </c>
      <c r="X1772" t="str">
        <f>VLOOKUP(C1772,Sales_Representatives!$A:$B,2,0)</f>
        <v>Jennifer Rodriguez</v>
      </c>
    </row>
    <row r="1773" spans="1:24" x14ac:dyDescent="0.3">
      <c r="A1773" t="s">
        <v>2553</v>
      </c>
      <c r="B1773" t="s">
        <v>2551</v>
      </c>
      <c r="C1773" t="s">
        <v>63</v>
      </c>
      <c r="D1773" t="s">
        <v>203</v>
      </c>
      <c r="E1773" t="s">
        <v>198</v>
      </c>
      <c r="F1773">
        <v>23</v>
      </c>
      <c r="G1773">
        <v>1802.96</v>
      </c>
      <c r="H1773">
        <v>0.21</v>
      </c>
      <c r="I1773" s="4">
        <v>32759.78</v>
      </c>
      <c r="J1773" t="s">
        <v>21</v>
      </c>
      <c r="K1773" t="s">
        <v>48</v>
      </c>
      <c r="L1773" s="4">
        <f>VLOOKUP(tblTransactions[[#This Row],[Product_ID]],tblProducts[],5,FALSE)</f>
        <v>1282.18</v>
      </c>
      <c r="M1773" s="4">
        <f>tblTransactions[[#This Row],[Total_Amount]]-(tblTransactions[[#This Row],[Cost_Prices]]*tblTransactions[[#This Row],[Quantity]]*(1-tblTransactions[[#This Row],[Discount]]))</f>
        <v>9462.5693999999967</v>
      </c>
      <c r="N1773" s="3">
        <f>tblTransactions[[#This Row],[Profit]]/tblTransactions[[#This Row],[Total_Amount]]</f>
        <v>0.2888471595352593</v>
      </c>
      <c r="O1773" t="str">
        <f>TEXT(tblTransactions[[#This Row],[Date]], "MMM-YYYY")</f>
        <v>Jan-2024</v>
      </c>
      <c r="P1773" t="str">
        <f>"Q"&amp;ROUNDUP(MONTH(tblTransactions[[#This Row],[Date]])/3,0)&amp;"-"&amp;YEAR(tblTransactions[[#This Row],[Date]])</f>
        <v>Q1-2024</v>
      </c>
      <c r="Q1773">
        <f>YEAR(tblTransactions[[#This Row],[Date]])</f>
        <v>2024</v>
      </c>
      <c r="R1773" t="str">
        <f>TEXT(tblTransactions[[#This Row],[Date]],"DDDD")</f>
        <v>Tuesday</v>
      </c>
      <c r="S1773">
        <f>MONTH(tblTransactions[[#This Row],[Date]])</f>
        <v>1</v>
      </c>
      <c r="T1773" t="str">
        <f>VLOOKUP(E1773, Products!$A:$B,2,0)</f>
        <v>Tablets Ele-3</v>
      </c>
      <c r="U1773" t="str">
        <f>VLOOKUP(E1773,Products!$A:$C,3,0)</f>
        <v>Electronics</v>
      </c>
      <c r="V1773" t="str">
        <f>VLOOKUP(E1773,Products!$A:$D,4,0)</f>
        <v>Tablets</v>
      </c>
      <c r="W1773" t="str">
        <f>VLOOKUP(D1773,Customers!$A:$C,3,0)</f>
        <v>Enterprise</v>
      </c>
      <c r="X1773" t="str">
        <f>VLOOKUP(C1773,Sales_Representatives!$A:$B,2,0)</f>
        <v>Richard Wilson</v>
      </c>
    </row>
    <row r="1774" spans="1:24" x14ac:dyDescent="0.3">
      <c r="A1774" t="s">
        <v>2554</v>
      </c>
      <c r="B1774" t="s">
        <v>2555</v>
      </c>
      <c r="C1774" t="s">
        <v>56</v>
      </c>
      <c r="D1774" t="s">
        <v>2179</v>
      </c>
      <c r="E1774" t="s">
        <v>102</v>
      </c>
      <c r="F1774">
        <v>2</v>
      </c>
      <c r="G1774">
        <v>1097.75</v>
      </c>
      <c r="H1774">
        <v>7.0000000000000007E-2</v>
      </c>
      <c r="I1774" s="4">
        <v>2041.82</v>
      </c>
      <c r="J1774" t="s">
        <v>34</v>
      </c>
      <c r="K1774" t="s">
        <v>39</v>
      </c>
      <c r="L1774" s="4">
        <f>VLOOKUP(tblTransactions[[#This Row],[Product_ID]],tblProducts[],5,FALSE)</f>
        <v>680.12</v>
      </c>
      <c r="M1774" s="4">
        <f>tblTransactions[[#This Row],[Total_Amount]]-(tblTransactions[[#This Row],[Cost_Prices]]*tblTransactions[[#This Row],[Quantity]]*(1-tblTransactions[[#This Row],[Discount]]))</f>
        <v>776.79680000000008</v>
      </c>
      <c r="N1774" s="3">
        <f>tblTransactions[[#This Row],[Profit]]/tblTransactions[[#This Row],[Total_Amount]]</f>
        <v>0.38044332997032065</v>
      </c>
      <c r="O1774" t="str">
        <f>TEXT(tblTransactions[[#This Row],[Date]], "MMM-YYYY")</f>
        <v>Jan-2024</v>
      </c>
      <c r="P1774" t="str">
        <f>"Q"&amp;ROUNDUP(MONTH(tblTransactions[[#This Row],[Date]])/3,0)&amp;"-"&amp;YEAR(tblTransactions[[#This Row],[Date]])</f>
        <v>Q1-2024</v>
      </c>
      <c r="Q1774">
        <f>YEAR(tblTransactions[[#This Row],[Date]])</f>
        <v>2024</v>
      </c>
      <c r="R1774" t="str">
        <f>TEXT(tblTransactions[[#This Row],[Date]],"DDDD")</f>
        <v>Wednesday</v>
      </c>
      <c r="S1774">
        <f>MONTH(tblTransactions[[#This Row],[Date]])</f>
        <v>1</v>
      </c>
      <c r="T1774" t="str">
        <f>VLOOKUP(E1774, Products!$A:$B,2,0)</f>
        <v>Storage Fur-4</v>
      </c>
      <c r="U1774" t="str">
        <f>VLOOKUP(E1774,Products!$A:$C,3,0)</f>
        <v>Furniture</v>
      </c>
      <c r="V1774" t="str">
        <f>VLOOKUP(E1774,Products!$A:$D,4,0)</f>
        <v>Storage</v>
      </c>
      <c r="W1774" t="str">
        <f>VLOOKUP(D1774,Customers!$A:$C,3,0)</f>
        <v>B2C</v>
      </c>
      <c r="X1774" t="str">
        <f>VLOOKUP(C1774,Sales_Representatives!$A:$B,2,0)</f>
        <v>Thomas Hernandez</v>
      </c>
    </row>
    <row r="1775" spans="1:24" x14ac:dyDescent="0.3">
      <c r="A1775" t="s">
        <v>2556</v>
      </c>
      <c r="B1775" t="s">
        <v>2555</v>
      </c>
      <c r="C1775" t="s">
        <v>141</v>
      </c>
      <c r="D1775" t="s">
        <v>2557</v>
      </c>
      <c r="E1775" t="s">
        <v>290</v>
      </c>
      <c r="F1775">
        <v>12</v>
      </c>
      <c r="G1775">
        <v>729.32</v>
      </c>
      <c r="H1775">
        <v>0.12</v>
      </c>
      <c r="I1775" s="4">
        <v>7701.62</v>
      </c>
      <c r="J1775" t="s">
        <v>109</v>
      </c>
      <c r="K1775" t="s">
        <v>48</v>
      </c>
      <c r="L1775" s="4">
        <f>VLOOKUP(tblTransactions[[#This Row],[Product_ID]],tblProducts[],5,FALSE)</f>
        <v>482.7</v>
      </c>
      <c r="M1775" s="4">
        <f>tblTransactions[[#This Row],[Total_Amount]]-(tblTransactions[[#This Row],[Cost_Prices]]*tblTransactions[[#This Row],[Quantity]]*(1-tblTransactions[[#This Row],[Discount]]))</f>
        <v>2604.308</v>
      </c>
      <c r="N1775" s="3">
        <f>tblTransactions[[#This Row],[Profit]]/tblTransactions[[#This Row],[Total_Amount]]</f>
        <v>0.33815067479309546</v>
      </c>
      <c r="O1775" t="str">
        <f>TEXT(tblTransactions[[#This Row],[Date]], "MMM-YYYY")</f>
        <v>Jan-2024</v>
      </c>
      <c r="P1775" t="str">
        <f>"Q"&amp;ROUNDUP(MONTH(tblTransactions[[#This Row],[Date]])/3,0)&amp;"-"&amp;YEAR(tblTransactions[[#This Row],[Date]])</f>
        <v>Q1-2024</v>
      </c>
      <c r="Q1775">
        <f>YEAR(tblTransactions[[#This Row],[Date]])</f>
        <v>2024</v>
      </c>
      <c r="R1775" t="str">
        <f>TEXT(tblTransactions[[#This Row],[Date]],"DDDD")</f>
        <v>Wednesday</v>
      </c>
      <c r="S1775">
        <f>MONTH(tblTransactions[[#This Row],[Date]])</f>
        <v>1</v>
      </c>
      <c r="T1775" t="str">
        <f>VLOOKUP(E1775, Products!$A:$B,2,0)</f>
        <v>Tables Fur-1</v>
      </c>
      <c r="U1775" t="str">
        <f>VLOOKUP(E1775,Products!$A:$C,3,0)</f>
        <v>Furniture</v>
      </c>
      <c r="V1775" t="str">
        <f>VLOOKUP(E1775,Products!$A:$D,4,0)</f>
        <v>Tables</v>
      </c>
      <c r="W1775" t="str">
        <f>VLOOKUP(D1775,Customers!$A:$C,3,0)</f>
        <v>B2B</v>
      </c>
      <c r="X1775" t="str">
        <f>VLOOKUP(C1775,Sales_Representatives!$A:$B,2,0)</f>
        <v>Richard Garcia</v>
      </c>
    </row>
    <row r="1776" spans="1:24" x14ac:dyDescent="0.3">
      <c r="A1776" t="s">
        <v>2558</v>
      </c>
      <c r="B1776" t="s">
        <v>2555</v>
      </c>
      <c r="C1776" t="s">
        <v>56</v>
      </c>
      <c r="D1776" t="s">
        <v>216</v>
      </c>
      <c r="E1776" t="s">
        <v>299</v>
      </c>
      <c r="F1776">
        <v>1</v>
      </c>
      <c r="G1776">
        <v>963.44</v>
      </c>
      <c r="H1776">
        <v>0.02</v>
      </c>
      <c r="I1776" s="4">
        <v>944.17</v>
      </c>
      <c r="J1776" t="s">
        <v>34</v>
      </c>
      <c r="K1776" t="s">
        <v>17</v>
      </c>
      <c r="L1776" s="4">
        <f>VLOOKUP(tblTransactions[[#This Row],[Product_ID]],tblProducts[],5,FALSE)</f>
        <v>578.96</v>
      </c>
      <c r="M1776" s="4">
        <f>tblTransactions[[#This Row],[Total_Amount]]-(tblTransactions[[#This Row],[Cost_Prices]]*tblTransactions[[#This Row],[Quantity]]*(1-tblTransactions[[#This Row],[Discount]]))</f>
        <v>376.78919999999994</v>
      </c>
      <c r="N1776" s="3">
        <f>tblTransactions[[#This Row],[Profit]]/tblTransactions[[#This Row],[Total_Amount]]</f>
        <v>0.39906923541311412</v>
      </c>
      <c r="O1776" t="str">
        <f>TEXT(tblTransactions[[#This Row],[Date]], "MMM-YYYY")</f>
        <v>Jan-2024</v>
      </c>
      <c r="P1776" t="str">
        <f>"Q"&amp;ROUNDUP(MONTH(tblTransactions[[#This Row],[Date]])/3,0)&amp;"-"&amp;YEAR(tblTransactions[[#This Row],[Date]])</f>
        <v>Q1-2024</v>
      </c>
      <c r="Q1776">
        <f>YEAR(tblTransactions[[#This Row],[Date]])</f>
        <v>2024</v>
      </c>
      <c r="R1776" t="str">
        <f>TEXT(tblTransactions[[#This Row],[Date]],"DDDD")</f>
        <v>Wednesday</v>
      </c>
      <c r="S1776">
        <f>MONTH(tblTransactions[[#This Row],[Date]])</f>
        <v>1</v>
      </c>
      <c r="T1776" t="str">
        <f>VLOOKUP(E1776, Products!$A:$B,2,0)</f>
        <v>Chairs Fur-4</v>
      </c>
      <c r="U1776" t="str">
        <f>VLOOKUP(E1776,Products!$A:$C,3,0)</f>
        <v>Furniture</v>
      </c>
      <c r="V1776" t="str">
        <f>VLOOKUP(E1776,Products!$A:$D,4,0)</f>
        <v>Chairs</v>
      </c>
      <c r="W1776" t="str">
        <f>VLOOKUP(D1776,Customers!$A:$C,3,0)</f>
        <v>Small Business</v>
      </c>
      <c r="X1776" t="str">
        <f>VLOOKUP(C1776,Sales_Representatives!$A:$B,2,0)</f>
        <v>Thomas Hernandez</v>
      </c>
    </row>
    <row r="1777" spans="1:24" x14ac:dyDescent="0.3">
      <c r="A1777" t="s">
        <v>2559</v>
      </c>
      <c r="B1777" t="s">
        <v>2555</v>
      </c>
      <c r="C1777" t="s">
        <v>63</v>
      </c>
      <c r="D1777" t="s">
        <v>2505</v>
      </c>
      <c r="E1777" t="s">
        <v>347</v>
      </c>
      <c r="F1777">
        <v>4</v>
      </c>
      <c r="G1777">
        <v>1539.6</v>
      </c>
      <c r="H1777">
        <v>0.04</v>
      </c>
      <c r="I1777" s="4">
        <v>5912.06</v>
      </c>
      <c r="J1777" t="s">
        <v>21</v>
      </c>
      <c r="K1777" t="s">
        <v>17</v>
      </c>
      <c r="L1777" s="4">
        <f>VLOOKUP(tblTransactions[[#This Row],[Product_ID]],tblProducts[],5,FALSE)</f>
        <v>992.43</v>
      </c>
      <c r="M1777" s="4">
        <f>tblTransactions[[#This Row],[Total_Amount]]-(tblTransactions[[#This Row],[Cost_Prices]]*tblTransactions[[#This Row],[Quantity]]*(1-tblTransactions[[#This Row],[Discount]]))</f>
        <v>2101.1288000000009</v>
      </c>
      <c r="N1777" s="3">
        <f>tblTransactions[[#This Row],[Profit]]/tblTransactions[[#This Row],[Total_Amount]]</f>
        <v>0.35539706971850771</v>
      </c>
      <c r="O1777" t="str">
        <f>TEXT(tblTransactions[[#This Row],[Date]], "MMM-YYYY")</f>
        <v>Jan-2024</v>
      </c>
      <c r="P1777" t="str">
        <f>"Q"&amp;ROUNDUP(MONTH(tblTransactions[[#This Row],[Date]])/3,0)&amp;"-"&amp;YEAR(tblTransactions[[#This Row],[Date]])</f>
        <v>Q1-2024</v>
      </c>
      <c r="Q1777">
        <f>YEAR(tblTransactions[[#This Row],[Date]])</f>
        <v>2024</v>
      </c>
      <c r="R1777" t="str">
        <f>TEXT(tblTransactions[[#This Row],[Date]],"DDDD")</f>
        <v>Wednesday</v>
      </c>
      <c r="S1777">
        <f>MONTH(tblTransactions[[#This Row],[Date]])</f>
        <v>1</v>
      </c>
      <c r="T1777" t="str">
        <f>VLOOKUP(E1777, Products!$A:$B,2,0)</f>
        <v>Routers Tec-2</v>
      </c>
      <c r="U1777" t="str">
        <f>VLOOKUP(E1777,Products!$A:$C,3,0)</f>
        <v>Technology</v>
      </c>
      <c r="V1777" t="str">
        <f>VLOOKUP(E1777,Products!$A:$D,4,0)</f>
        <v>Routers</v>
      </c>
      <c r="W1777" t="str">
        <f>VLOOKUP(D1777,Customers!$A:$C,3,0)</f>
        <v>B2C</v>
      </c>
      <c r="X1777" t="str">
        <f>VLOOKUP(C1777,Sales_Representatives!$A:$B,2,0)</f>
        <v>Richard Wilson</v>
      </c>
    </row>
    <row r="1778" spans="1:24" x14ac:dyDescent="0.3">
      <c r="A1778" t="s">
        <v>2560</v>
      </c>
      <c r="B1778" t="s">
        <v>2555</v>
      </c>
      <c r="C1778" t="s">
        <v>59</v>
      </c>
      <c r="D1778" t="s">
        <v>1994</v>
      </c>
      <c r="E1778" t="s">
        <v>33</v>
      </c>
      <c r="F1778">
        <v>5</v>
      </c>
      <c r="G1778">
        <v>322.7</v>
      </c>
      <c r="H1778">
        <v>0.04</v>
      </c>
      <c r="I1778" s="4">
        <v>1548.96</v>
      </c>
      <c r="J1778" t="s">
        <v>21</v>
      </c>
      <c r="K1778" t="s">
        <v>39</v>
      </c>
      <c r="L1778" s="4">
        <f>VLOOKUP(tblTransactions[[#This Row],[Product_ID]],tblProducts[],5,FALSE)</f>
        <v>139.81</v>
      </c>
      <c r="M1778" s="4">
        <f>tblTransactions[[#This Row],[Total_Amount]]-(tblTransactions[[#This Row],[Cost_Prices]]*tblTransactions[[#This Row],[Quantity]]*(1-tblTransactions[[#This Row],[Discount]]))</f>
        <v>877.87200000000007</v>
      </c>
      <c r="N1778" s="3">
        <f>tblTransactions[[#This Row],[Profit]]/tblTransactions[[#This Row],[Total_Amount]]</f>
        <v>0.56674930275797963</v>
      </c>
      <c r="O1778" t="str">
        <f>TEXT(tblTransactions[[#This Row],[Date]], "MMM-YYYY")</f>
        <v>Jan-2024</v>
      </c>
      <c r="P1778" t="str">
        <f>"Q"&amp;ROUNDUP(MONTH(tblTransactions[[#This Row],[Date]])/3,0)&amp;"-"&amp;YEAR(tblTransactions[[#This Row],[Date]])</f>
        <v>Q1-2024</v>
      </c>
      <c r="Q1778">
        <f>YEAR(tblTransactions[[#This Row],[Date]])</f>
        <v>2024</v>
      </c>
      <c r="R1778" t="str">
        <f>TEXT(tblTransactions[[#This Row],[Date]],"DDDD")</f>
        <v>Wednesday</v>
      </c>
      <c r="S1778">
        <f>MONTH(tblTransactions[[#This Row],[Date]])</f>
        <v>1</v>
      </c>
      <c r="T1778" t="str">
        <f>VLOOKUP(E1778, Products!$A:$B,2,0)</f>
        <v>Adapters Acc-1</v>
      </c>
      <c r="U1778" t="str">
        <f>VLOOKUP(E1778,Products!$A:$C,3,0)</f>
        <v>Accessories</v>
      </c>
      <c r="V1778" t="str">
        <f>VLOOKUP(E1778,Products!$A:$D,4,0)</f>
        <v>Adapters</v>
      </c>
      <c r="W1778" t="str">
        <f>VLOOKUP(D1778,Customers!$A:$C,3,0)</f>
        <v>B2C</v>
      </c>
      <c r="X1778" t="str">
        <f>VLOOKUP(C1778,Sales_Representatives!$A:$B,2,0)</f>
        <v>Sarah Brown</v>
      </c>
    </row>
    <row r="1779" spans="1:24" x14ac:dyDescent="0.3">
      <c r="A1779" t="s">
        <v>2561</v>
      </c>
      <c r="B1779" t="s">
        <v>2555</v>
      </c>
      <c r="C1779" t="s">
        <v>107</v>
      </c>
      <c r="D1779" t="s">
        <v>2562</v>
      </c>
      <c r="E1779" t="s">
        <v>102</v>
      </c>
      <c r="F1779">
        <v>4</v>
      </c>
      <c r="G1779">
        <v>1097.75</v>
      </c>
      <c r="H1779">
        <v>0.06</v>
      </c>
      <c r="I1779" s="4">
        <v>4127.54</v>
      </c>
      <c r="J1779" t="s">
        <v>109</v>
      </c>
      <c r="K1779" t="s">
        <v>48</v>
      </c>
      <c r="L1779" s="4">
        <f>VLOOKUP(tblTransactions[[#This Row],[Product_ID]],tblProducts[],5,FALSE)</f>
        <v>680.12</v>
      </c>
      <c r="M1779" s="4">
        <f>tblTransactions[[#This Row],[Total_Amount]]-(tblTransactions[[#This Row],[Cost_Prices]]*tblTransactions[[#This Row],[Quantity]]*(1-tblTransactions[[#This Row],[Discount]]))</f>
        <v>1570.2888000000003</v>
      </c>
      <c r="N1779" s="3">
        <f>tblTransactions[[#This Row],[Profit]]/tblTransactions[[#This Row],[Total_Amount]]</f>
        <v>0.38044181279890693</v>
      </c>
      <c r="O1779" t="str">
        <f>TEXT(tblTransactions[[#This Row],[Date]], "MMM-YYYY")</f>
        <v>Jan-2024</v>
      </c>
      <c r="P1779" t="str">
        <f>"Q"&amp;ROUNDUP(MONTH(tblTransactions[[#This Row],[Date]])/3,0)&amp;"-"&amp;YEAR(tblTransactions[[#This Row],[Date]])</f>
        <v>Q1-2024</v>
      </c>
      <c r="Q1779">
        <f>YEAR(tblTransactions[[#This Row],[Date]])</f>
        <v>2024</v>
      </c>
      <c r="R1779" t="str">
        <f>TEXT(tblTransactions[[#This Row],[Date]],"DDDD")</f>
        <v>Wednesday</v>
      </c>
      <c r="S1779">
        <f>MONTH(tblTransactions[[#This Row],[Date]])</f>
        <v>1</v>
      </c>
      <c r="T1779" t="str">
        <f>VLOOKUP(E1779, Products!$A:$B,2,0)</f>
        <v>Storage Fur-4</v>
      </c>
      <c r="U1779" t="str">
        <f>VLOOKUP(E1779,Products!$A:$C,3,0)</f>
        <v>Furniture</v>
      </c>
      <c r="V1779" t="str">
        <f>VLOOKUP(E1779,Products!$A:$D,4,0)</f>
        <v>Storage</v>
      </c>
      <c r="W1779" t="str">
        <f>VLOOKUP(D1779,Customers!$A:$C,3,0)</f>
        <v>B2C</v>
      </c>
      <c r="X1779" t="str">
        <f>VLOOKUP(C1779,Sales_Representatives!$A:$B,2,0)</f>
        <v>Jennifer Brown</v>
      </c>
    </row>
    <row r="1780" spans="1:24" x14ac:dyDescent="0.3">
      <c r="A1780" t="s">
        <v>2563</v>
      </c>
      <c r="B1780" t="s">
        <v>2564</v>
      </c>
      <c r="C1780" t="s">
        <v>13</v>
      </c>
      <c r="D1780" t="s">
        <v>1563</v>
      </c>
      <c r="E1780" t="s">
        <v>435</v>
      </c>
      <c r="F1780">
        <v>4</v>
      </c>
      <c r="G1780">
        <v>198.72</v>
      </c>
      <c r="H1780">
        <v>0.09</v>
      </c>
      <c r="I1780" s="4">
        <v>723.34</v>
      </c>
      <c r="J1780" t="s">
        <v>16</v>
      </c>
      <c r="K1780" t="s">
        <v>22</v>
      </c>
      <c r="L1780" s="4">
        <f>VLOOKUP(tblTransactions[[#This Row],[Product_ID]],tblProducts[],5,FALSE)</f>
        <v>116.98</v>
      </c>
      <c r="M1780" s="4">
        <f>tblTransactions[[#This Row],[Total_Amount]]-(tblTransactions[[#This Row],[Cost_Prices]]*tblTransactions[[#This Row],[Quantity]]*(1-tblTransactions[[#This Row],[Discount]]))</f>
        <v>297.53280000000001</v>
      </c>
      <c r="N1780" s="3">
        <f>tblTransactions[[#This Row],[Profit]]/tblTransactions[[#This Row],[Total_Amount]]</f>
        <v>0.41133187712555647</v>
      </c>
      <c r="O1780" t="str">
        <f>TEXT(tblTransactions[[#This Row],[Date]], "MMM-YYYY")</f>
        <v>Jan-2024</v>
      </c>
      <c r="P1780" t="str">
        <f>"Q"&amp;ROUNDUP(MONTH(tblTransactions[[#This Row],[Date]])/3,0)&amp;"-"&amp;YEAR(tblTransactions[[#This Row],[Date]])</f>
        <v>Q1-2024</v>
      </c>
      <c r="Q1780">
        <f>YEAR(tblTransactions[[#This Row],[Date]])</f>
        <v>2024</v>
      </c>
      <c r="R1780" t="str">
        <f>TEXT(tblTransactions[[#This Row],[Date]],"DDDD")</f>
        <v>Thursday</v>
      </c>
      <c r="S1780">
        <f>MONTH(tblTransactions[[#This Row],[Date]])</f>
        <v>1</v>
      </c>
      <c r="T1780" t="str">
        <f>VLOOKUP(E1780, Products!$A:$B,2,0)</f>
        <v>Paper Off-4</v>
      </c>
      <c r="U1780" t="str">
        <f>VLOOKUP(E1780,Products!$A:$C,3,0)</f>
        <v>Office Supplies</v>
      </c>
      <c r="V1780" t="str">
        <f>VLOOKUP(E1780,Products!$A:$D,4,0)</f>
        <v>Paper</v>
      </c>
      <c r="W1780" t="str">
        <f>VLOOKUP(D1780,Customers!$A:$C,3,0)</f>
        <v>B2C</v>
      </c>
      <c r="X1780" t="str">
        <f>VLOOKUP(C1780,Sales_Representatives!$A:$B,2,0)</f>
        <v>Jennifer Rodriguez</v>
      </c>
    </row>
    <row r="1781" spans="1:24" x14ac:dyDescent="0.3">
      <c r="A1781" t="s">
        <v>2565</v>
      </c>
      <c r="B1781" t="s">
        <v>2564</v>
      </c>
      <c r="C1781" t="s">
        <v>141</v>
      </c>
      <c r="D1781" t="s">
        <v>2469</v>
      </c>
      <c r="E1781" t="s">
        <v>159</v>
      </c>
      <c r="F1781">
        <v>3</v>
      </c>
      <c r="G1781">
        <v>78.09</v>
      </c>
      <c r="H1781">
        <v>0.08</v>
      </c>
      <c r="I1781" s="4">
        <v>215.53</v>
      </c>
      <c r="J1781" t="s">
        <v>109</v>
      </c>
      <c r="K1781" t="s">
        <v>22</v>
      </c>
      <c r="L1781" s="4">
        <f>VLOOKUP(tblTransactions[[#This Row],[Product_ID]],tblProducts[],5,FALSE)</f>
        <v>47.01</v>
      </c>
      <c r="M1781" s="4">
        <f>tblTransactions[[#This Row],[Total_Amount]]-(tblTransactions[[#This Row],[Cost_Prices]]*tblTransactions[[#This Row],[Quantity]]*(1-tblTransactions[[#This Row],[Discount]]))</f>
        <v>85.782399999999996</v>
      </c>
      <c r="N1781" s="3">
        <f>tblTransactions[[#This Row],[Profit]]/tblTransactions[[#This Row],[Total_Amount]]</f>
        <v>0.39800677399897921</v>
      </c>
      <c r="O1781" t="str">
        <f>TEXT(tblTransactions[[#This Row],[Date]], "MMM-YYYY")</f>
        <v>Jan-2024</v>
      </c>
      <c r="P1781" t="str">
        <f>"Q"&amp;ROUNDUP(MONTH(tblTransactions[[#This Row],[Date]])/3,0)&amp;"-"&amp;YEAR(tblTransactions[[#This Row],[Date]])</f>
        <v>Q1-2024</v>
      </c>
      <c r="Q1781">
        <f>YEAR(tblTransactions[[#This Row],[Date]])</f>
        <v>2024</v>
      </c>
      <c r="R1781" t="str">
        <f>TEXT(tblTransactions[[#This Row],[Date]],"DDDD")</f>
        <v>Thursday</v>
      </c>
      <c r="S1781">
        <f>MONTH(tblTransactions[[#This Row],[Date]])</f>
        <v>1</v>
      </c>
      <c r="T1781" t="str">
        <f>VLOOKUP(E1781, Products!$A:$B,2,0)</f>
        <v>Cables Acc-4</v>
      </c>
      <c r="U1781" t="str">
        <f>VLOOKUP(E1781,Products!$A:$C,3,0)</f>
        <v>Accessories</v>
      </c>
      <c r="V1781" t="str">
        <f>VLOOKUP(E1781,Products!$A:$D,4,0)</f>
        <v>Cables</v>
      </c>
      <c r="W1781" t="str">
        <f>VLOOKUP(D1781,Customers!$A:$C,3,0)</f>
        <v>B2C</v>
      </c>
      <c r="X1781" t="str">
        <f>VLOOKUP(C1781,Sales_Representatives!$A:$B,2,0)</f>
        <v>Richard Garcia</v>
      </c>
    </row>
    <row r="1782" spans="1:24" x14ac:dyDescent="0.3">
      <c r="A1782" t="s">
        <v>2566</v>
      </c>
      <c r="B1782" t="s">
        <v>2564</v>
      </c>
      <c r="C1782" t="s">
        <v>31</v>
      </c>
      <c r="D1782" t="s">
        <v>2567</v>
      </c>
      <c r="E1782" t="s">
        <v>15</v>
      </c>
      <c r="F1782">
        <v>16</v>
      </c>
      <c r="G1782">
        <v>477.48</v>
      </c>
      <c r="H1782">
        <v>0.13</v>
      </c>
      <c r="I1782" s="4">
        <v>6646.52</v>
      </c>
      <c r="J1782" t="s">
        <v>34</v>
      </c>
      <c r="K1782" t="s">
        <v>17</v>
      </c>
      <c r="L1782" s="4">
        <f>VLOOKUP(tblTransactions[[#This Row],[Product_ID]],tblProducts[],5,FALSE)</f>
        <v>275.51</v>
      </c>
      <c r="M1782" s="4">
        <f>tblTransactions[[#This Row],[Total_Amount]]-(tblTransactions[[#This Row],[Cost_Prices]]*tblTransactions[[#This Row],[Quantity]]*(1-tblTransactions[[#This Row],[Discount]]))</f>
        <v>2811.4208000000008</v>
      </c>
      <c r="N1782" s="3">
        <f>tblTransactions[[#This Row],[Profit]]/tblTransactions[[#This Row],[Total_Amount]]</f>
        <v>0.42299140001083285</v>
      </c>
      <c r="O1782" t="str">
        <f>TEXT(tblTransactions[[#This Row],[Date]], "MMM-YYYY")</f>
        <v>Jan-2024</v>
      </c>
      <c r="P1782" t="str">
        <f>"Q"&amp;ROUNDUP(MONTH(tblTransactions[[#This Row],[Date]])/3,0)&amp;"-"&amp;YEAR(tblTransactions[[#This Row],[Date]])</f>
        <v>Q1-2024</v>
      </c>
      <c r="Q1782">
        <f>YEAR(tblTransactions[[#This Row],[Date]])</f>
        <v>2024</v>
      </c>
      <c r="R1782" t="str">
        <f>TEXT(tblTransactions[[#This Row],[Date]],"DDDD")</f>
        <v>Thursday</v>
      </c>
      <c r="S1782">
        <f>MONTH(tblTransactions[[#This Row],[Date]])</f>
        <v>1</v>
      </c>
      <c r="T1782" t="str">
        <f>VLOOKUP(E1782, Products!$A:$B,2,0)</f>
        <v>Laptops Ele-4</v>
      </c>
      <c r="U1782" t="str">
        <f>VLOOKUP(E1782,Products!$A:$C,3,0)</f>
        <v>Electronics</v>
      </c>
      <c r="V1782" t="str">
        <f>VLOOKUP(E1782,Products!$A:$D,4,0)</f>
        <v>Laptops</v>
      </c>
      <c r="W1782" t="str">
        <f>VLOOKUP(D1782,Customers!$A:$C,3,0)</f>
        <v>B2B</v>
      </c>
      <c r="X1782" t="str">
        <f>VLOOKUP(C1782,Sales_Representatives!$A:$B,2,0)</f>
        <v>Thomas Martinez</v>
      </c>
    </row>
    <row r="1783" spans="1:24" x14ac:dyDescent="0.3">
      <c r="A1783" t="s">
        <v>2568</v>
      </c>
      <c r="B1783" t="s">
        <v>2564</v>
      </c>
      <c r="C1783" t="s">
        <v>75</v>
      </c>
      <c r="D1783" t="s">
        <v>2126</v>
      </c>
      <c r="E1783" t="s">
        <v>53</v>
      </c>
      <c r="F1783">
        <v>4</v>
      </c>
      <c r="G1783">
        <v>2069.2199999999998</v>
      </c>
      <c r="H1783">
        <v>0.09</v>
      </c>
      <c r="I1783" s="4">
        <v>7531.96</v>
      </c>
      <c r="J1783" t="s">
        <v>44</v>
      </c>
      <c r="K1783" t="s">
        <v>35</v>
      </c>
      <c r="L1783" s="4">
        <f>VLOOKUP(tblTransactions[[#This Row],[Product_ID]],tblProducts[],5,FALSE)</f>
        <v>1451.18</v>
      </c>
      <c r="M1783" s="4">
        <f>tblTransactions[[#This Row],[Total_Amount]]-(tblTransactions[[#This Row],[Cost_Prices]]*tblTransactions[[#This Row],[Quantity]]*(1-tblTransactions[[#This Row],[Discount]]))</f>
        <v>2249.6647999999996</v>
      </c>
      <c r="N1783" s="3">
        <f>tblTransactions[[#This Row],[Profit]]/tblTransactions[[#This Row],[Total_Amount]]</f>
        <v>0.29868252088433817</v>
      </c>
      <c r="O1783" t="str">
        <f>TEXT(tblTransactions[[#This Row],[Date]], "MMM-YYYY")</f>
        <v>Jan-2024</v>
      </c>
      <c r="P1783" t="str">
        <f>"Q"&amp;ROUNDUP(MONTH(tblTransactions[[#This Row],[Date]])/3,0)&amp;"-"&amp;YEAR(tblTransactions[[#This Row],[Date]])</f>
        <v>Q1-2024</v>
      </c>
      <c r="Q1783">
        <f>YEAR(tblTransactions[[#This Row],[Date]])</f>
        <v>2024</v>
      </c>
      <c r="R1783" t="str">
        <f>TEXT(tblTransactions[[#This Row],[Date]],"DDDD")</f>
        <v>Thursday</v>
      </c>
      <c r="S1783">
        <f>MONTH(tblTransactions[[#This Row],[Date]])</f>
        <v>1</v>
      </c>
      <c r="T1783" t="str">
        <f>VLOOKUP(E1783, Products!$A:$B,2,0)</f>
        <v>Printers Tec-3</v>
      </c>
      <c r="U1783" t="str">
        <f>VLOOKUP(E1783,Products!$A:$C,3,0)</f>
        <v>Technology</v>
      </c>
      <c r="V1783" t="str">
        <f>VLOOKUP(E1783,Products!$A:$D,4,0)</f>
        <v>Printers</v>
      </c>
      <c r="W1783" t="str">
        <f>VLOOKUP(D1783,Customers!$A:$C,3,0)</f>
        <v>B2C</v>
      </c>
      <c r="X1783" t="str">
        <f>VLOOKUP(C1783,Sales_Representatives!$A:$B,2,0)</f>
        <v>Jessica Anderson</v>
      </c>
    </row>
    <row r="1784" spans="1:24" x14ac:dyDescent="0.3">
      <c r="A1784" t="s">
        <v>2569</v>
      </c>
      <c r="B1784" t="s">
        <v>2564</v>
      </c>
      <c r="C1784" t="s">
        <v>127</v>
      </c>
      <c r="D1784" t="s">
        <v>1705</v>
      </c>
      <c r="E1784" t="s">
        <v>316</v>
      </c>
      <c r="F1784">
        <v>5</v>
      </c>
      <c r="G1784">
        <v>91.42</v>
      </c>
      <c r="H1784">
        <v>0.03</v>
      </c>
      <c r="I1784" s="4">
        <v>443.39</v>
      </c>
      <c r="J1784" t="s">
        <v>109</v>
      </c>
      <c r="K1784" t="s">
        <v>48</v>
      </c>
      <c r="L1784" s="4">
        <f>VLOOKUP(tblTransactions[[#This Row],[Product_ID]],tblProducts[],5,FALSE)</f>
        <v>50.09</v>
      </c>
      <c r="M1784" s="4">
        <f>tblTransactions[[#This Row],[Total_Amount]]-(tblTransactions[[#This Row],[Cost_Prices]]*tblTransactions[[#This Row],[Quantity]]*(1-tblTransactions[[#This Row],[Discount]]))</f>
        <v>200.45349999999996</v>
      </c>
      <c r="N1784" s="3">
        <f>tblTransactions[[#This Row],[Profit]]/tblTransactions[[#This Row],[Total_Amount]]</f>
        <v>0.45209296556079293</v>
      </c>
      <c r="O1784" t="str">
        <f>TEXT(tblTransactions[[#This Row],[Date]], "MMM-YYYY")</f>
        <v>Jan-2024</v>
      </c>
      <c r="P1784" t="str">
        <f>"Q"&amp;ROUNDUP(MONTH(tblTransactions[[#This Row],[Date]])/3,0)&amp;"-"&amp;YEAR(tblTransactions[[#This Row],[Date]])</f>
        <v>Q1-2024</v>
      </c>
      <c r="Q1784">
        <f>YEAR(tblTransactions[[#This Row],[Date]])</f>
        <v>2024</v>
      </c>
      <c r="R1784" t="str">
        <f>TEXT(tblTransactions[[#This Row],[Date]],"DDDD")</f>
        <v>Thursday</v>
      </c>
      <c r="S1784">
        <f>MONTH(tblTransactions[[#This Row],[Date]])</f>
        <v>1</v>
      </c>
      <c r="T1784" t="str">
        <f>VLOOKUP(E1784, Products!$A:$B,2,0)</f>
        <v>Binders Off-3</v>
      </c>
      <c r="U1784" t="str">
        <f>VLOOKUP(E1784,Products!$A:$C,3,0)</f>
        <v>Office Supplies</v>
      </c>
      <c r="V1784" t="str">
        <f>VLOOKUP(E1784,Products!$A:$D,4,0)</f>
        <v>Binders</v>
      </c>
      <c r="W1784" t="str">
        <f>VLOOKUP(D1784,Customers!$A:$C,3,0)</f>
        <v>B2C</v>
      </c>
      <c r="X1784" t="str">
        <f>VLOOKUP(C1784,Sales_Representatives!$A:$B,2,0)</f>
        <v>Emily Hernandez</v>
      </c>
    </row>
    <row r="1785" spans="1:24" x14ac:dyDescent="0.3">
      <c r="A1785" t="s">
        <v>2570</v>
      </c>
      <c r="B1785" t="s">
        <v>2564</v>
      </c>
      <c r="C1785" t="s">
        <v>141</v>
      </c>
      <c r="D1785" t="s">
        <v>67</v>
      </c>
      <c r="E1785" t="s">
        <v>481</v>
      </c>
      <c r="F1785">
        <v>7</v>
      </c>
      <c r="G1785">
        <v>263.58999999999997</v>
      </c>
      <c r="H1785">
        <v>0.08</v>
      </c>
      <c r="I1785" s="4">
        <v>1697.52</v>
      </c>
      <c r="J1785" t="s">
        <v>109</v>
      </c>
      <c r="K1785" t="s">
        <v>48</v>
      </c>
      <c r="L1785" s="4">
        <f>VLOOKUP(tblTransactions[[#This Row],[Product_ID]],tblProducts[],5,FALSE)</f>
        <v>133.65</v>
      </c>
      <c r="M1785" s="4">
        <f>tblTransactions[[#This Row],[Total_Amount]]-(tblTransactions[[#This Row],[Cost_Prices]]*tblTransactions[[#This Row],[Quantity]]*(1-tblTransactions[[#This Row],[Discount]]))</f>
        <v>836.81399999999985</v>
      </c>
      <c r="N1785" s="3">
        <f>tblTransactions[[#This Row],[Profit]]/tblTransactions[[#This Row],[Total_Amount]]</f>
        <v>0.49296267496111967</v>
      </c>
      <c r="O1785" t="str">
        <f>TEXT(tblTransactions[[#This Row],[Date]], "MMM-YYYY")</f>
        <v>Jan-2024</v>
      </c>
      <c r="P1785" t="str">
        <f>"Q"&amp;ROUNDUP(MONTH(tblTransactions[[#This Row],[Date]])/3,0)&amp;"-"&amp;YEAR(tblTransactions[[#This Row],[Date]])</f>
        <v>Q1-2024</v>
      </c>
      <c r="Q1785">
        <f>YEAR(tblTransactions[[#This Row],[Date]])</f>
        <v>2024</v>
      </c>
      <c r="R1785" t="str">
        <f>TEXT(tblTransactions[[#This Row],[Date]],"DDDD")</f>
        <v>Thursday</v>
      </c>
      <c r="S1785">
        <f>MONTH(tblTransactions[[#This Row],[Date]])</f>
        <v>1</v>
      </c>
      <c r="T1785" t="str">
        <f>VLOOKUP(E1785, Products!$A:$B,2,0)</f>
        <v>Folders Off-1</v>
      </c>
      <c r="U1785" t="str">
        <f>VLOOKUP(E1785,Products!$A:$C,3,0)</f>
        <v>Office Supplies</v>
      </c>
      <c r="V1785" t="str">
        <f>VLOOKUP(E1785,Products!$A:$D,4,0)</f>
        <v>Folders</v>
      </c>
      <c r="W1785" t="str">
        <f>VLOOKUP(D1785,Customers!$A:$C,3,0)</f>
        <v>B2C</v>
      </c>
      <c r="X1785" t="str">
        <f>VLOOKUP(C1785,Sales_Representatives!$A:$B,2,0)</f>
        <v>Richard Garcia</v>
      </c>
    </row>
    <row r="1786" spans="1:24" x14ac:dyDescent="0.3">
      <c r="A1786" t="s">
        <v>2571</v>
      </c>
      <c r="B1786" t="s">
        <v>2572</v>
      </c>
      <c r="C1786" t="s">
        <v>56</v>
      </c>
      <c r="D1786" t="s">
        <v>2573</v>
      </c>
      <c r="E1786" t="s">
        <v>178</v>
      </c>
      <c r="F1786">
        <v>4</v>
      </c>
      <c r="G1786">
        <v>1623.35</v>
      </c>
      <c r="H1786">
        <v>0.06</v>
      </c>
      <c r="I1786" s="4">
        <v>6103.8</v>
      </c>
      <c r="J1786" t="s">
        <v>34</v>
      </c>
      <c r="K1786" t="s">
        <v>48</v>
      </c>
      <c r="L1786" s="4">
        <f>VLOOKUP(tblTransactions[[#This Row],[Product_ID]],tblProducts[],5,FALSE)</f>
        <v>981.45</v>
      </c>
      <c r="M1786" s="4">
        <f>tblTransactions[[#This Row],[Total_Amount]]-(tblTransactions[[#This Row],[Cost_Prices]]*tblTransactions[[#This Row],[Quantity]]*(1-tblTransactions[[#This Row],[Discount]]))</f>
        <v>2413.5480000000002</v>
      </c>
      <c r="N1786" s="3">
        <f>tblTransactions[[#This Row],[Profit]]/tblTransactions[[#This Row],[Total_Amount]]</f>
        <v>0.39541728103804191</v>
      </c>
      <c r="O1786" t="str">
        <f>TEXT(tblTransactions[[#This Row],[Date]], "MMM-YYYY")</f>
        <v>Jan-2024</v>
      </c>
      <c r="P1786" t="str">
        <f>"Q"&amp;ROUNDUP(MONTH(tblTransactions[[#This Row],[Date]])/3,0)&amp;"-"&amp;YEAR(tblTransactions[[#This Row],[Date]])</f>
        <v>Q1-2024</v>
      </c>
      <c r="Q1786">
        <f>YEAR(tblTransactions[[#This Row],[Date]])</f>
        <v>2024</v>
      </c>
      <c r="R1786" t="str">
        <f>TEXT(tblTransactions[[#This Row],[Date]],"DDDD")</f>
        <v>Friday</v>
      </c>
      <c r="S1786">
        <f>MONTH(tblTransactions[[#This Row],[Date]])</f>
        <v>1</v>
      </c>
      <c r="T1786" t="str">
        <f>VLOOKUP(E1786, Products!$A:$B,2,0)</f>
        <v>Tablets Ele-1</v>
      </c>
      <c r="U1786" t="str">
        <f>VLOOKUP(E1786,Products!$A:$C,3,0)</f>
        <v>Electronics</v>
      </c>
      <c r="V1786" t="str">
        <f>VLOOKUP(E1786,Products!$A:$D,4,0)</f>
        <v>Tablets</v>
      </c>
      <c r="W1786" t="str">
        <f>VLOOKUP(D1786,Customers!$A:$C,3,0)</f>
        <v>Small Business</v>
      </c>
      <c r="X1786" t="str">
        <f>VLOOKUP(C1786,Sales_Representatives!$A:$B,2,0)</f>
        <v>Thomas Hernandez</v>
      </c>
    </row>
    <row r="1787" spans="1:24" x14ac:dyDescent="0.3">
      <c r="A1787" t="s">
        <v>2574</v>
      </c>
      <c r="B1787" t="s">
        <v>2572</v>
      </c>
      <c r="C1787" t="s">
        <v>56</v>
      </c>
      <c r="D1787" t="s">
        <v>527</v>
      </c>
      <c r="E1787" t="s">
        <v>264</v>
      </c>
      <c r="F1787">
        <v>2</v>
      </c>
      <c r="G1787">
        <v>607.29999999999995</v>
      </c>
      <c r="H1787">
        <v>0.02</v>
      </c>
      <c r="I1787" s="4">
        <v>1190.31</v>
      </c>
      <c r="J1787" t="s">
        <v>34</v>
      </c>
      <c r="K1787" t="s">
        <v>17</v>
      </c>
      <c r="L1787" s="4">
        <f>VLOOKUP(tblTransactions[[#This Row],[Product_ID]],tblProducts[],5,FALSE)</f>
        <v>436.37</v>
      </c>
      <c r="M1787" s="4">
        <f>tblTransactions[[#This Row],[Total_Amount]]-(tblTransactions[[#This Row],[Cost_Prices]]*tblTransactions[[#This Row],[Quantity]]*(1-tblTransactions[[#This Row],[Discount]]))</f>
        <v>335.02479999999991</v>
      </c>
      <c r="N1787" s="3">
        <f>tblTransactions[[#This Row],[Profit]]/tblTransactions[[#This Row],[Total_Amount]]</f>
        <v>0.28146012383328706</v>
      </c>
      <c r="O1787" t="str">
        <f>TEXT(tblTransactions[[#This Row],[Date]], "MMM-YYYY")</f>
        <v>Jan-2024</v>
      </c>
      <c r="P1787" t="str">
        <f>"Q"&amp;ROUNDUP(MONTH(tblTransactions[[#This Row],[Date]])/3,0)&amp;"-"&amp;YEAR(tblTransactions[[#This Row],[Date]])</f>
        <v>Q1-2024</v>
      </c>
      <c r="Q1787">
        <f>YEAR(tblTransactions[[#This Row],[Date]])</f>
        <v>2024</v>
      </c>
      <c r="R1787" t="str">
        <f>TEXT(tblTransactions[[#This Row],[Date]],"DDDD")</f>
        <v>Friday</v>
      </c>
      <c r="S1787">
        <f>MONTH(tblTransactions[[#This Row],[Date]])</f>
        <v>1</v>
      </c>
      <c r="T1787" t="str">
        <f>VLOOKUP(E1787, Products!$A:$B,2,0)</f>
        <v>Tablets Ele-4</v>
      </c>
      <c r="U1787" t="str">
        <f>VLOOKUP(E1787,Products!$A:$C,3,0)</f>
        <v>Electronics</v>
      </c>
      <c r="V1787" t="str">
        <f>VLOOKUP(E1787,Products!$A:$D,4,0)</f>
        <v>Tablets</v>
      </c>
      <c r="W1787" t="str">
        <f>VLOOKUP(D1787,Customers!$A:$C,3,0)</f>
        <v>B2C</v>
      </c>
      <c r="X1787" t="str">
        <f>VLOOKUP(C1787,Sales_Representatives!$A:$B,2,0)</f>
        <v>Thomas Hernandez</v>
      </c>
    </row>
    <row r="1788" spans="1:24" x14ac:dyDescent="0.3">
      <c r="A1788" t="s">
        <v>2575</v>
      </c>
      <c r="B1788" t="s">
        <v>2572</v>
      </c>
      <c r="C1788" t="s">
        <v>56</v>
      </c>
      <c r="D1788" t="s">
        <v>1801</v>
      </c>
      <c r="E1788" t="s">
        <v>79</v>
      </c>
      <c r="F1788">
        <v>6</v>
      </c>
      <c r="G1788">
        <v>1452.36</v>
      </c>
      <c r="H1788">
        <v>0.1</v>
      </c>
      <c r="I1788" s="4">
        <v>7842.74</v>
      </c>
      <c r="J1788" t="s">
        <v>34</v>
      </c>
      <c r="K1788" t="s">
        <v>35</v>
      </c>
      <c r="L1788" s="4">
        <f>VLOOKUP(tblTransactions[[#This Row],[Product_ID]],tblProducts[],5,FALSE)</f>
        <v>778.71</v>
      </c>
      <c r="M1788" s="4">
        <f>tblTransactions[[#This Row],[Total_Amount]]-(tblTransactions[[#This Row],[Cost_Prices]]*tblTransactions[[#This Row],[Quantity]]*(1-tblTransactions[[#This Row],[Discount]]))</f>
        <v>3637.7059999999992</v>
      </c>
      <c r="N1788" s="3">
        <f>tblTransactions[[#This Row],[Profit]]/tblTransactions[[#This Row],[Total_Amount]]</f>
        <v>0.46383100804055716</v>
      </c>
      <c r="O1788" t="str">
        <f>TEXT(tblTransactions[[#This Row],[Date]], "MMM-YYYY")</f>
        <v>Jan-2024</v>
      </c>
      <c r="P1788" t="str">
        <f>"Q"&amp;ROUNDUP(MONTH(tblTransactions[[#This Row],[Date]])/3,0)&amp;"-"&amp;YEAR(tblTransactions[[#This Row],[Date]])</f>
        <v>Q1-2024</v>
      </c>
      <c r="Q1788">
        <f>YEAR(tblTransactions[[#This Row],[Date]])</f>
        <v>2024</v>
      </c>
      <c r="R1788" t="str">
        <f>TEXT(tblTransactions[[#This Row],[Date]],"DDDD")</f>
        <v>Friday</v>
      </c>
      <c r="S1788">
        <f>MONTH(tblTransactions[[#This Row],[Date]])</f>
        <v>1</v>
      </c>
      <c r="T1788" t="str">
        <f>VLOOKUP(E1788, Products!$A:$B,2,0)</f>
        <v>Tables Fur-2</v>
      </c>
      <c r="U1788" t="str">
        <f>VLOOKUP(E1788,Products!$A:$C,3,0)</f>
        <v>Furniture</v>
      </c>
      <c r="V1788" t="str">
        <f>VLOOKUP(E1788,Products!$A:$D,4,0)</f>
        <v>Tables</v>
      </c>
      <c r="W1788" t="str">
        <f>VLOOKUP(D1788,Customers!$A:$C,3,0)</f>
        <v>Small Business</v>
      </c>
      <c r="X1788" t="str">
        <f>VLOOKUP(C1788,Sales_Representatives!$A:$B,2,0)</f>
        <v>Thomas Hernandez</v>
      </c>
    </row>
    <row r="1789" spans="1:24" x14ac:dyDescent="0.3">
      <c r="A1789" t="s">
        <v>2576</v>
      </c>
      <c r="B1789" t="s">
        <v>2572</v>
      </c>
      <c r="C1789" t="s">
        <v>82</v>
      </c>
      <c r="D1789" t="s">
        <v>2577</v>
      </c>
      <c r="E1789" t="s">
        <v>152</v>
      </c>
      <c r="F1789">
        <v>3</v>
      </c>
      <c r="G1789">
        <v>859.93</v>
      </c>
      <c r="H1789">
        <v>0.09</v>
      </c>
      <c r="I1789" s="4">
        <v>2347.61</v>
      </c>
      <c r="J1789" t="s">
        <v>34</v>
      </c>
      <c r="K1789" t="s">
        <v>35</v>
      </c>
      <c r="L1789" s="4">
        <f>VLOOKUP(tblTransactions[[#This Row],[Product_ID]],tblProducts[],5,FALSE)</f>
        <v>579.79</v>
      </c>
      <c r="M1789" s="4">
        <f>tblTransactions[[#This Row],[Total_Amount]]-(tblTransactions[[#This Row],[Cost_Prices]]*tblTransactions[[#This Row],[Quantity]]*(1-tblTransactions[[#This Row],[Discount]]))</f>
        <v>764.78330000000028</v>
      </c>
      <c r="N1789" s="3">
        <f>tblTransactions[[#This Row],[Profit]]/tblTransactions[[#This Row],[Total_Amount]]</f>
        <v>0.32577101818445153</v>
      </c>
      <c r="O1789" t="str">
        <f>TEXT(tblTransactions[[#This Row],[Date]], "MMM-YYYY")</f>
        <v>Jan-2024</v>
      </c>
      <c r="P1789" t="str">
        <f>"Q"&amp;ROUNDUP(MONTH(tblTransactions[[#This Row],[Date]])/3,0)&amp;"-"&amp;YEAR(tblTransactions[[#This Row],[Date]])</f>
        <v>Q1-2024</v>
      </c>
      <c r="Q1789">
        <f>YEAR(tblTransactions[[#This Row],[Date]])</f>
        <v>2024</v>
      </c>
      <c r="R1789" t="str">
        <f>TEXT(tblTransactions[[#This Row],[Date]],"DDDD")</f>
        <v>Friday</v>
      </c>
      <c r="S1789">
        <f>MONTH(tblTransactions[[#This Row],[Date]])</f>
        <v>1</v>
      </c>
      <c r="T1789" t="str">
        <f>VLOOKUP(E1789, Products!$A:$B,2,0)</f>
        <v>Phones Ele-4</v>
      </c>
      <c r="U1789" t="str">
        <f>VLOOKUP(E1789,Products!$A:$C,3,0)</f>
        <v>Electronics</v>
      </c>
      <c r="V1789" t="str">
        <f>VLOOKUP(E1789,Products!$A:$D,4,0)</f>
        <v>Phones</v>
      </c>
      <c r="W1789" t="str">
        <f>VLOOKUP(D1789,Customers!$A:$C,3,0)</f>
        <v>B2C</v>
      </c>
      <c r="X1789" t="str">
        <f>VLOOKUP(C1789,Sales_Representatives!$A:$B,2,0)</f>
        <v>John Brown</v>
      </c>
    </row>
    <row r="1790" spans="1:24" x14ac:dyDescent="0.3">
      <c r="A1790" t="s">
        <v>2578</v>
      </c>
      <c r="B1790" t="s">
        <v>2572</v>
      </c>
      <c r="C1790" t="s">
        <v>59</v>
      </c>
      <c r="D1790" t="s">
        <v>1654</v>
      </c>
      <c r="E1790" t="s">
        <v>33</v>
      </c>
      <c r="F1790">
        <v>3</v>
      </c>
      <c r="G1790">
        <v>322.7</v>
      </c>
      <c r="H1790">
        <v>0.01</v>
      </c>
      <c r="I1790" s="4">
        <v>958.42</v>
      </c>
      <c r="J1790" t="s">
        <v>21</v>
      </c>
      <c r="K1790" t="s">
        <v>48</v>
      </c>
      <c r="L1790" s="4">
        <f>VLOOKUP(tblTransactions[[#This Row],[Product_ID]],tblProducts[],5,FALSE)</f>
        <v>139.81</v>
      </c>
      <c r="M1790" s="4">
        <f>tblTransactions[[#This Row],[Total_Amount]]-(tblTransactions[[#This Row],[Cost_Prices]]*tblTransactions[[#This Row],[Quantity]]*(1-tblTransactions[[#This Row],[Discount]]))</f>
        <v>543.18429999999989</v>
      </c>
      <c r="N1790" s="3">
        <f>tblTransactions[[#This Row],[Profit]]/tblTransactions[[#This Row],[Total_Amount]]</f>
        <v>0.56674975480478273</v>
      </c>
      <c r="O1790" t="str">
        <f>TEXT(tblTransactions[[#This Row],[Date]], "MMM-YYYY")</f>
        <v>Jan-2024</v>
      </c>
      <c r="P1790" t="str">
        <f>"Q"&amp;ROUNDUP(MONTH(tblTransactions[[#This Row],[Date]])/3,0)&amp;"-"&amp;YEAR(tblTransactions[[#This Row],[Date]])</f>
        <v>Q1-2024</v>
      </c>
      <c r="Q1790">
        <f>YEAR(tblTransactions[[#This Row],[Date]])</f>
        <v>2024</v>
      </c>
      <c r="R1790" t="str">
        <f>TEXT(tblTransactions[[#This Row],[Date]],"DDDD")</f>
        <v>Friday</v>
      </c>
      <c r="S1790">
        <f>MONTH(tblTransactions[[#This Row],[Date]])</f>
        <v>1</v>
      </c>
      <c r="T1790" t="str">
        <f>VLOOKUP(E1790, Products!$A:$B,2,0)</f>
        <v>Adapters Acc-1</v>
      </c>
      <c r="U1790" t="str">
        <f>VLOOKUP(E1790,Products!$A:$C,3,0)</f>
        <v>Accessories</v>
      </c>
      <c r="V1790" t="str">
        <f>VLOOKUP(E1790,Products!$A:$D,4,0)</f>
        <v>Adapters</v>
      </c>
      <c r="W1790" t="str">
        <f>VLOOKUP(D1790,Customers!$A:$C,3,0)</f>
        <v>B2C</v>
      </c>
      <c r="X1790" t="str">
        <f>VLOOKUP(C1790,Sales_Representatives!$A:$B,2,0)</f>
        <v>Sarah Brown</v>
      </c>
    </row>
    <row r="1791" spans="1:24" x14ac:dyDescent="0.3">
      <c r="A1791" t="s">
        <v>2579</v>
      </c>
      <c r="B1791" t="s">
        <v>2580</v>
      </c>
      <c r="C1791" t="s">
        <v>19</v>
      </c>
      <c r="D1791" t="s">
        <v>2287</v>
      </c>
      <c r="E1791" t="s">
        <v>105</v>
      </c>
      <c r="F1791">
        <v>11</v>
      </c>
      <c r="G1791">
        <v>1342.04</v>
      </c>
      <c r="H1791">
        <v>0.19</v>
      </c>
      <c r="I1791" s="4">
        <v>11957.58</v>
      </c>
      <c r="J1791" t="s">
        <v>21</v>
      </c>
      <c r="K1791" t="s">
        <v>17</v>
      </c>
      <c r="L1791" s="4">
        <f>VLOOKUP(tblTransactions[[#This Row],[Product_ID]],tblProducts[],5,FALSE)</f>
        <v>792.89</v>
      </c>
      <c r="M1791" s="4">
        <f>tblTransactions[[#This Row],[Total_Amount]]-(tblTransactions[[#This Row],[Cost_Prices]]*tblTransactions[[#This Row],[Quantity]]*(1-tblTransactions[[#This Row],[Discount]]))</f>
        <v>4892.9301000000005</v>
      </c>
      <c r="N1791" s="3">
        <f>tblTransactions[[#This Row],[Profit]]/tblTransactions[[#This Row],[Total_Amount]]</f>
        <v>0.40919066399723025</v>
      </c>
      <c r="O1791" t="str">
        <f>TEXT(tblTransactions[[#This Row],[Date]], "MMM-YYYY")</f>
        <v>Jan-2024</v>
      </c>
      <c r="P1791" t="str">
        <f>"Q"&amp;ROUNDUP(MONTH(tblTransactions[[#This Row],[Date]])/3,0)&amp;"-"&amp;YEAR(tblTransactions[[#This Row],[Date]])</f>
        <v>Q1-2024</v>
      </c>
      <c r="Q1791">
        <f>YEAR(tblTransactions[[#This Row],[Date]])</f>
        <v>2024</v>
      </c>
      <c r="R1791" t="str">
        <f>TEXT(tblTransactions[[#This Row],[Date]],"DDDD")</f>
        <v>Saturday</v>
      </c>
      <c r="S1791">
        <f>MONTH(tblTransactions[[#This Row],[Date]])</f>
        <v>1</v>
      </c>
      <c r="T1791" t="str">
        <f>VLOOKUP(E1791, Products!$A:$B,2,0)</f>
        <v>Cameras Ele-1</v>
      </c>
      <c r="U1791" t="str">
        <f>VLOOKUP(E1791,Products!$A:$C,3,0)</f>
        <v>Electronics</v>
      </c>
      <c r="V1791" t="str">
        <f>VLOOKUP(E1791,Products!$A:$D,4,0)</f>
        <v>Cameras</v>
      </c>
      <c r="W1791" t="str">
        <f>VLOOKUP(D1791,Customers!$A:$C,3,0)</f>
        <v>B2B</v>
      </c>
      <c r="X1791" t="str">
        <f>VLOOKUP(C1791,Sales_Representatives!$A:$B,2,0)</f>
        <v>Robert Jones</v>
      </c>
    </row>
    <row r="1792" spans="1:24" x14ac:dyDescent="0.3">
      <c r="A1792" t="s">
        <v>2581</v>
      </c>
      <c r="B1792" t="s">
        <v>2580</v>
      </c>
      <c r="C1792" t="s">
        <v>127</v>
      </c>
      <c r="D1792" t="s">
        <v>2582</v>
      </c>
      <c r="E1792" t="s">
        <v>152</v>
      </c>
      <c r="F1792">
        <v>4</v>
      </c>
      <c r="G1792">
        <v>859.93</v>
      </c>
      <c r="H1792">
        <v>0.09</v>
      </c>
      <c r="I1792" s="4">
        <v>3130.15</v>
      </c>
      <c r="J1792" t="s">
        <v>109</v>
      </c>
      <c r="K1792" t="s">
        <v>22</v>
      </c>
      <c r="L1792" s="4">
        <f>VLOOKUP(tblTransactions[[#This Row],[Product_ID]],tblProducts[],5,FALSE)</f>
        <v>579.79</v>
      </c>
      <c r="M1792" s="4">
        <f>tblTransactions[[#This Row],[Total_Amount]]-(tblTransactions[[#This Row],[Cost_Prices]]*tblTransactions[[#This Row],[Quantity]]*(1-tblTransactions[[#This Row],[Discount]]))</f>
        <v>1019.7144000000003</v>
      </c>
      <c r="N1792" s="3">
        <f>tblTransactions[[#This Row],[Profit]]/tblTransactions[[#This Row],[Total_Amount]]</f>
        <v>0.32577173617877747</v>
      </c>
      <c r="O1792" t="str">
        <f>TEXT(tblTransactions[[#This Row],[Date]], "MMM-YYYY")</f>
        <v>Jan-2024</v>
      </c>
      <c r="P1792" t="str">
        <f>"Q"&amp;ROUNDUP(MONTH(tblTransactions[[#This Row],[Date]])/3,0)&amp;"-"&amp;YEAR(tblTransactions[[#This Row],[Date]])</f>
        <v>Q1-2024</v>
      </c>
      <c r="Q1792">
        <f>YEAR(tblTransactions[[#This Row],[Date]])</f>
        <v>2024</v>
      </c>
      <c r="R1792" t="str">
        <f>TEXT(tblTransactions[[#This Row],[Date]],"DDDD")</f>
        <v>Saturday</v>
      </c>
      <c r="S1792">
        <f>MONTH(tblTransactions[[#This Row],[Date]])</f>
        <v>1</v>
      </c>
      <c r="T1792" t="str">
        <f>VLOOKUP(E1792, Products!$A:$B,2,0)</f>
        <v>Phones Ele-4</v>
      </c>
      <c r="U1792" t="str">
        <f>VLOOKUP(E1792,Products!$A:$C,3,0)</f>
        <v>Electronics</v>
      </c>
      <c r="V1792" t="str">
        <f>VLOOKUP(E1792,Products!$A:$D,4,0)</f>
        <v>Phones</v>
      </c>
      <c r="W1792" t="str">
        <f>VLOOKUP(D1792,Customers!$A:$C,3,0)</f>
        <v>B2B</v>
      </c>
      <c r="X1792" t="str">
        <f>VLOOKUP(C1792,Sales_Representatives!$A:$B,2,0)</f>
        <v>Emily Hernandez</v>
      </c>
    </row>
    <row r="1793" spans="1:24" x14ac:dyDescent="0.3">
      <c r="A1793" t="s">
        <v>2583</v>
      </c>
      <c r="B1793" t="s">
        <v>2580</v>
      </c>
      <c r="C1793" t="s">
        <v>13</v>
      </c>
      <c r="D1793" t="s">
        <v>1801</v>
      </c>
      <c r="E1793" t="s">
        <v>376</v>
      </c>
      <c r="F1793">
        <v>5</v>
      </c>
      <c r="G1793">
        <v>229.65</v>
      </c>
      <c r="H1793">
        <v>0.08</v>
      </c>
      <c r="I1793" s="4">
        <v>1056.3900000000001</v>
      </c>
      <c r="J1793" t="s">
        <v>16</v>
      </c>
      <c r="K1793" t="s">
        <v>22</v>
      </c>
      <c r="L1793" s="4">
        <f>VLOOKUP(tblTransactions[[#This Row],[Product_ID]],tblProducts[],5,FALSE)</f>
        <v>96.84</v>
      </c>
      <c r="M1793" s="4">
        <f>tblTransactions[[#This Row],[Total_Amount]]-(tblTransactions[[#This Row],[Cost_Prices]]*tblTransactions[[#This Row],[Quantity]]*(1-tblTransactions[[#This Row],[Discount]]))</f>
        <v>610.92600000000004</v>
      </c>
      <c r="N1793" s="3">
        <f>tblTransactions[[#This Row],[Profit]]/tblTransactions[[#This Row],[Total_Amount]]</f>
        <v>0.57831482691051594</v>
      </c>
      <c r="O1793" t="str">
        <f>TEXT(tblTransactions[[#This Row],[Date]], "MMM-YYYY")</f>
        <v>Jan-2024</v>
      </c>
      <c r="P1793" t="str">
        <f>"Q"&amp;ROUNDUP(MONTH(tblTransactions[[#This Row],[Date]])/3,0)&amp;"-"&amp;YEAR(tblTransactions[[#This Row],[Date]])</f>
        <v>Q1-2024</v>
      </c>
      <c r="Q1793">
        <f>YEAR(tblTransactions[[#This Row],[Date]])</f>
        <v>2024</v>
      </c>
      <c r="R1793" t="str">
        <f>TEXT(tblTransactions[[#This Row],[Date]],"DDDD")</f>
        <v>Saturday</v>
      </c>
      <c r="S1793">
        <f>MONTH(tblTransactions[[#This Row],[Date]])</f>
        <v>1</v>
      </c>
      <c r="T1793" t="str">
        <f>VLOOKUP(E1793, Products!$A:$B,2,0)</f>
        <v>Adapters Acc-2</v>
      </c>
      <c r="U1793" t="str">
        <f>VLOOKUP(E1793,Products!$A:$C,3,0)</f>
        <v>Accessories</v>
      </c>
      <c r="V1793" t="str">
        <f>VLOOKUP(E1793,Products!$A:$D,4,0)</f>
        <v>Adapters</v>
      </c>
      <c r="W1793" t="str">
        <f>VLOOKUP(D1793,Customers!$A:$C,3,0)</f>
        <v>Small Business</v>
      </c>
      <c r="X1793" t="str">
        <f>VLOOKUP(C1793,Sales_Representatives!$A:$B,2,0)</f>
        <v>Jennifer Rodriguez</v>
      </c>
    </row>
    <row r="1794" spans="1:24" x14ac:dyDescent="0.3">
      <c r="A1794" t="s">
        <v>2584</v>
      </c>
      <c r="B1794" t="s">
        <v>2580</v>
      </c>
      <c r="C1794" t="s">
        <v>82</v>
      </c>
      <c r="D1794" t="s">
        <v>1716</v>
      </c>
      <c r="E1794" t="s">
        <v>172</v>
      </c>
      <c r="F1794">
        <v>37</v>
      </c>
      <c r="G1794">
        <v>1371.15</v>
      </c>
      <c r="H1794">
        <v>0.23</v>
      </c>
      <c r="I1794" s="4">
        <v>39064.06</v>
      </c>
      <c r="J1794" t="s">
        <v>34</v>
      </c>
      <c r="K1794" t="s">
        <v>17</v>
      </c>
      <c r="L1794" s="4">
        <f>VLOOKUP(tblTransactions[[#This Row],[Product_ID]],tblProducts[],5,FALSE)</f>
        <v>989.81</v>
      </c>
      <c r="M1794" s="4">
        <f>tblTransactions[[#This Row],[Total_Amount]]-(tblTransactions[[#This Row],[Cost_Prices]]*tblTransactions[[#This Row],[Quantity]]*(1-tblTransactions[[#This Row],[Discount]]))</f>
        <v>10864.373099999997</v>
      </c>
      <c r="N1794" s="3">
        <f>tblTransactions[[#This Row],[Profit]]/tblTransactions[[#This Row],[Total_Amount]]</f>
        <v>0.27811684448569857</v>
      </c>
      <c r="O1794" t="str">
        <f>TEXT(tblTransactions[[#This Row],[Date]], "MMM-YYYY")</f>
        <v>Jan-2024</v>
      </c>
      <c r="P1794" t="str">
        <f>"Q"&amp;ROUNDUP(MONTH(tblTransactions[[#This Row],[Date]])/3,0)&amp;"-"&amp;YEAR(tblTransactions[[#This Row],[Date]])</f>
        <v>Q1-2024</v>
      </c>
      <c r="Q1794">
        <f>YEAR(tblTransactions[[#This Row],[Date]])</f>
        <v>2024</v>
      </c>
      <c r="R1794" t="str">
        <f>TEXT(tblTransactions[[#This Row],[Date]],"DDDD")</f>
        <v>Saturday</v>
      </c>
      <c r="S1794">
        <f>MONTH(tblTransactions[[#This Row],[Date]])</f>
        <v>1</v>
      </c>
      <c r="T1794" t="str">
        <f>VLOOKUP(E1794, Products!$A:$B,2,0)</f>
        <v>Cameras Ele-4</v>
      </c>
      <c r="U1794" t="str">
        <f>VLOOKUP(E1794,Products!$A:$C,3,0)</f>
        <v>Electronics</v>
      </c>
      <c r="V1794" t="str">
        <f>VLOOKUP(E1794,Products!$A:$D,4,0)</f>
        <v>Cameras</v>
      </c>
      <c r="W1794" t="str">
        <f>VLOOKUP(D1794,Customers!$A:$C,3,0)</f>
        <v>Enterprise</v>
      </c>
      <c r="X1794" t="str">
        <f>VLOOKUP(C1794,Sales_Representatives!$A:$B,2,0)</f>
        <v>John Brown</v>
      </c>
    </row>
    <row r="1795" spans="1:24" x14ac:dyDescent="0.3">
      <c r="A1795" t="s">
        <v>2585</v>
      </c>
      <c r="B1795" t="s">
        <v>2580</v>
      </c>
      <c r="C1795" t="s">
        <v>41</v>
      </c>
      <c r="D1795" t="s">
        <v>1678</v>
      </c>
      <c r="E1795" t="s">
        <v>116</v>
      </c>
      <c r="F1795">
        <v>5</v>
      </c>
      <c r="G1795">
        <v>232.86</v>
      </c>
      <c r="H1795">
        <v>0.05</v>
      </c>
      <c r="I1795" s="4">
        <v>1106.0899999999999</v>
      </c>
      <c r="J1795" t="s">
        <v>44</v>
      </c>
      <c r="K1795" t="s">
        <v>35</v>
      </c>
      <c r="L1795" s="4">
        <f>VLOOKUP(tblTransactions[[#This Row],[Product_ID]],tblProducts[],5,FALSE)</f>
        <v>116.79</v>
      </c>
      <c r="M1795" s="4">
        <f>tblTransactions[[#This Row],[Total_Amount]]-(tblTransactions[[#This Row],[Cost_Prices]]*tblTransactions[[#This Row],[Quantity]]*(1-tblTransactions[[#This Row],[Discount]]))</f>
        <v>551.33749999999986</v>
      </c>
      <c r="N1795" s="3">
        <f>tblTransactions[[#This Row],[Profit]]/tblTransactions[[#This Row],[Total_Amount]]</f>
        <v>0.498456273901762</v>
      </c>
      <c r="O1795" t="str">
        <f>TEXT(tblTransactions[[#This Row],[Date]], "MMM-YYYY")</f>
        <v>Jan-2024</v>
      </c>
      <c r="P1795" t="str">
        <f>"Q"&amp;ROUNDUP(MONTH(tblTransactions[[#This Row],[Date]])/3,0)&amp;"-"&amp;YEAR(tblTransactions[[#This Row],[Date]])</f>
        <v>Q1-2024</v>
      </c>
      <c r="Q1795">
        <f>YEAR(tblTransactions[[#This Row],[Date]])</f>
        <v>2024</v>
      </c>
      <c r="R1795" t="str">
        <f>TEXT(tblTransactions[[#This Row],[Date]],"DDDD")</f>
        <v>Saturday</v>
      </c>
      <c r="S1795">
        <f>MONTH(tblTransactions[[#This Row],[Date]])</f>
        <v>1</v>
      </c>
      <c r="T1795" t="str">
        <f>VLOOKUP(E1795, Products!$A:$B,2,0)</f>
        <v>Folders Off-4</v>
      </c>
      <c r="U1795" t="str">
        <f>VLOOKUP(E1795,Products!$A:$C,3,0)</f>
        <v>Office Supplies</v>
      </c>
      <c r="V1795" t="str">
        <f>VLOOKUP(E1795,Products!$A:$D,4,0)</f>
        <v>Folders</v>
      </c>
      <c r="W1795" t="str">
        <f>VLOOKUP(D1795,Customers!$A:$C,3,0)</f>
        <v>B2C</v>
      </c>
      <c r="X1795" t="str">
        <f>VLOOKUP(C1795,Sales_Representatives!$A:$B,2,0)</f>
        <v>Robert Jones</v>
      </c>
    </row>
    <row r="1796" spans="1:24" x14ac:dyDescent="0.3">
      <c r="A1796" t="s">
        <v>2586</v>
      </c>
      <c r="B1796" t="s">
        <v>2580</v>
      </c>
      <c r="C1796" t="s">
        <v>41</v>
      </c>
      <c r="D1796" t="s">
        <v>2126</v>
      </c>
      <c r="E1796" t="s">
        <v>102</v>
      </c>
      <c r="F1796">
        <v>2</v>
      </c>
      <c r="G1796">
        <v>1097.75</v>
      </c>
      <c r="H1796">
        <v>0.08</v>
      </c>
      <c r="I1796" s="4">
        <v>2019.86</v>
      </c>
      <c r="J1796" t="s">
        <v>44</v>
      </c>
      <c r="K1796" t="s">
        <v>17</v>
      </c>
      <c r="L1796" s="4">
        <f>VLOOKUP(tblTransactions[[#This Row],[Product_ID]],tblProducts[],5,FALSE)</f>
        <v>680.12</v>
      </c>
      <c r="M1796" s="4">
        <f>tblTransactions[[#This Row],[Total_Amount]]-(tblTransactions[[#This Row],[Cost_Prices]]*tblTransactions[[#This Row],[Quantity]]*(1-tblTransactions[[#This Row],[Discount]]))</f>
        <v>768.4391999999998</v>
      </c>
      <c r="N1796" s="3">
        <f>tblTransactions[[#This Row],[Profit]]/tblTransactions[[#This Row],[Total_Amount]]</f>
        <v>0.38044181279890676</v>
      </c>
      <c r="O1796" t="str">
        <f>TEXT(tblTransactions[[#This Row],[Date]], "MMM-YYYY")</f>
        <v>Jan-2024</v>
      </c>
      <c r="P1796" t="str">
        <f>"Q"&amp;ROUNDUP(MONTH(tblTransactions[[#This Row],[Date]])/3,0)&amp;"-"&amp;YEAR(tblTransactions[[#This Row],[Date]])</f>
        <v>Q1-2024</v>
      </c>
      <c r="Q1796">
        <f>YEAR(tblTransactions[[#This Row],[Date]])</f>
        <v>2024</v>
      </c>
      <c r="R1796" t="str">
        <f>TEXT(tblTransactions[[#This Row],[Date]],"DDDD")</f>
        <v>Saturday</v>
      </c>
      <c r="S1796">
        <f>MONTH(tblTransactions[[#This Row],[Date]])</f>
        <v>1</v>
      </c>
      <c r="T1796" t="str">
        <f>VLOOKUP(E1796, Products!$A:$B,2,0)</f>
        <v>Storage Fur-4</v>
      </c>
      <c r="U1796" t="str">
        <f>VLOOKUP(E1796,Products!$A:$C,3,0)</f>
        <v>Furniture</v>
      </c>
      <c r="V1796" t="str">
        <f>VLOOKUP(E1796,Products!$A:$D,4,0)</f>
        <v>Storage</v>
      </c>
      <c r="W1796" t="str">
        <f>VLOOKUP(D1796,Customers!$A:$C,3,0)</f>
        <v>B2C</v>
      </c>
      <c r="X1796" t="str">
        <f>VLOOKUP(C1796,Sales_Representatives!$A:$B,2,0)</f>
        <v>Robert Jones</v>
      </c>
    </row>
    <row r="1797" spans="1:24" x14ac:dyDescent="0.3">
      <c r="A1797" t="s">
        <v>2587</v>
      </c>
      <c r="B1797" t="s">
        <v>2580</v>
      </c>
      <c r="C1797" t="s">
        <v>82</v>
      </c>
      <c r="D1797" t="s">
        <v>1997</v>
      </c>
      <c r="E1797" t="s">
        <v>68</v>
      </c>
      <c r="F1797">
        <v>18</v>
      </c>
      <c r="G1797">
        <v>522.63</v>
      </c>
      <c r="H1797">
        <v>0.15</v>
      </c>
      <c r="I1797" s="4">
        <v>7996.24</v>
      </c>
      <c r="J1797" t="s">
        <v>34</v>
      </c>
      <c r="K1797" t="s">
        <v>39</v>
      </c>
      <c r="L1797" s="4">
        <f>VLOOKUP(tblTransactions[[#This Row],[Product_ID]],tblProducts[],5,FALSE)</f>
        <v>355.82</v>
      </c>
      <c r="M1797" s="4">
        <f>tblTransactions[[#This Row],[Total_Amount]]-(tblTransactions[[#This Row],[Cost_Prices]]*tblTransactions[[#This Row],[Quantity]]*(1-tblTransactions[[#This Row],[Discount]]))</f>
        <v>2552.1939999999995</v>
      </c>
      <c r="N1797" s="3">
        <f>tblTransactions[[#This Row],[Profit]]/tblTransactions[[#This Row],[Total_Amount]]</f>
        <v>0.31917426190309439</v>
      </c>
      <c r="O1797" t="str">
        <f>TEXT(tblTransactions[[#This Row],[Date]], "MMM-YYYY")</f>
        <v>Jan-2024</v>
      </c>
      <c r="P1797" t="str">
        <f>"Q"&amp;ROUNDUP(MONTH(tblTransactions[[#This Row],[Date]])/3,0)&amp;"-"&amp;YEAR(tblTransactions[[#This Row],[Date]])</f>
        <v>Q1-2024</v>
      </c>
      <c r="Q1797">
        <f>YEAR(tblTransactions[[#This Row],[Date]])</f>
        <v>2024</v>
      </c>
      <c r="R1797" t="str">
        <f>TEXT(tblTransactions[[#This Row],[Date]],"DDDD")</f>
        <v>Saturday</v>
      </c>
      <c r="S1797">
        <f>MONTH(tblTransactions[[#This Row],[Date]])</f>
        <v>1</v>
      </c>
      <c r="T1797" t="str">
        <f>VLOOKUP(E1797, Products!$A:$B,2,0)</f>
        <v>Monitors Tec-3</v>
      </c>
      <c r="U1797" t="str">
        <f>VLOOKUP(E1797,Products!$A:$C,3,0)</f>
        <v>Technology</v>
      </c>
      <c r="V1797" t="str">
        <f>VLOOKUP(E1797,Products!$A:$D,4,0)</f>
        <v>Monitors</v>
      </c>
      <c r="W1797" t="str">
        <f>VLOOKUP(D1797,Customers!$A:$C,3,0)</f>
        <v>B2B</v>
      </c>
      <c r="X1797" t="str">
        <f>VLOOKUP(C1797,Sales_Representatives!$A:$B,2,0)</f>
        <v>John Brown</v>
      </c>
    </row>
    <row r="1798" spans="1:24" x14ac:dyDescent="0.3">
      <c r="A1798" t="s">
        <v>2588</v>
      </c>
      <c r="B1798" t="s">
        <v>2580</v>
      </c>
      <c r="C1798" t="s">
        <v>31</v>
      </c>
      <c r="D1798" t="s">
        <v>2262</v>
      </c>
      <c r="E1798" t="s">
        <v>129</v>
      </c>
      <c r="F1798">
        <v>12</v>
      </c>
      <c r="G1798">
        <v>1283.71</v>
      </c>
      <c r="H1798">
        <v>0.13</v>
      </c>
      <c r="I1798" s="4">
        <v>13401.93</v>
      </c>
      <c r="J1798" t="s">
        <v>34</v>
      </c>
      <c r="K1798" t="s">
        <v>48</v>
      </c>
      <c r="L1798" s="4">
        <f>VLOOKUP(tblTransactions[[#This Row],[Product_ID]],tblProducts[],5,FALSE)</f>
        <v>970.14</v>
      </c>
      <c r="M1798" s="4">
        <f>tblTransactions[[#This Row],[Total_Amount]]-(tblTransactions[[#This Row],[Cost_Prices]]*tblTransactions[[#This Row],[Quantity]]*(1-tblTransactions[[#This Row],[Discount]]))</f>
        <v>3273.6684000000005</v>
      </c>
      <c r="N1798" s="3">
        <f>tblTransactions[[#This Row],[Profit]]/tblTransactions[[#This Row],[Total_Amount]]</f>
        <v>0.24426842999478438</v>
      </c>
      <c r="O1798" t="str">
        <f>TEXT(tblTransactions[[#This Row],[Date]], "MMM-YYYY")</f>
        <v>Jan-2024</v>
      </c>
      <c r="P1798" t="str">
        <f>"Q"&amp;ROUNDUP(MONTH(tblTransactions[[#This Row],[Date]])/3,0)&amp;"-"&amp;YEAR(tblTransactions[[#This Row],[Date]])</f>
        <v>Q1-2024</v>
      </c>
      <c r="Q1798">
        <f>YEAR(tblTransactions[[#This Row],[Date]])</f>
        <v>2024</v>
      </c>
      <c r="R1798" t="str">
        <f>TEXT(tblTransactions[[#This Row],[Date]],"DDDD")</f>
        <v>Saturday</v>
      </c>
      <c r="S1798">
        <f>MONTH(tblTransactions[[#This Row],[Date]])</f>
        <v>1</v>
      </c>
      <c r="T1798" t="str">
        <f>VLOOKUP(E1798, Products!$A:$B,2,0)</f>
        <v>Cameras Ele-3</v>
      </c>
      <c r="U1798" t="str">
        <f>VLOOKUP(E1798,Products!$A:$C,3,0)</f>
        <v>Electronics</v>
      </c>
      <c r="V1798" t="str">
        <f>VLOOKUP(E1798,Products!$A:$D,4,0)</f>
        <v>Cameras</v>
      </c>
      <c r="W1798" t="str">
        <f>VLOOKUP(D1798,Customers!$A:$C,3,0)</f>
        <v>B2B</v>
      </c>
      <c r="X1798" t="str">
        <f>VLOOKUP(C1798,Sales_Representatives!$A:$B,2,0)</f>
        <v>Thomas Martinez</v>
      </c>
    </row>
    <row r="1799" spans="1:24" x14ac:dyDescent="0.3">
      <c r="A1799" t="s">
        <v>2589</v>
      </c>
      <c r="B1799" t="s">
        <v>2590</v>
      </c>
      <c r="C1799" t="s">
        <v>59</v>
      </c>
      <c r="D1799" t="s">
        <v>2591</v>
      </c>
      <c r="E1799" t="s">
        <v>157</v>
      </c>
      <c r="F1799">
        <v>1</v>
      </c>
      <c r="G1799">
        <v>1227.68</v>
      </c>
      <c r="H1799">
        <v>0.08</v>
      </c>
      <c r="I1799" s="4">
        <v>1129.47</v>
      </c>
      <c r="J1799" t="s">
        <v>21</v>
      </c>
      <c r="K1799" t="s">
        <v>17</v>
      </c>
      <c r="L1799" s="4">
        <f>VLOOKUP(tblTransactions[[#This Row],[Product_ID]],tblProducts[],5,FALSE)</f>
        <v>846.42</v>
      </c>
      <c r="M1799" s="4">
        <f>tblTransactions[[#This Row],[Total_Amount]]-(tblTransactions[[#This Row],[Cost_Prices]]*tblTransactions[[#This Row],[Quantity]]*(1-tblTransactions[[#This Row],[Discount]]))</f>
        <v>350.7636</v>
      </c>
      <c r="N1799" s="3">
        <f>tblTransactions[[#This Row],[Profit]]/tblTransactions[[#This Row],[Total_Amount]]</f>
        <v>0.31055592446014502</v>
      </c>
      <c r="O1799" t="str">
        <f>TEXT(tblTransactions[[#This Row],[Date]], "MMM-YYYY")</f>
        <v>Jan-2024</v>
      </c>
      <c r="P1799" t="str">
        <f>"Q"&amp;ROUNDUP(MONTH(tblTransactions[[#This Row],[Date]])/3,0)&amp;"-"&amp;YEAR(tblTransactions[[#This Row],[Date]])</f>
        <v>Q1-2024</v>
      </c>
      <c r="Q1799">
        <f>YEAR(tblTransactions[[#This Row],[Date]])</f>
        <v>2024</v>
      </c>
      <c r="R1799" t="str">
        <f>TEXT(tblTransactions[[#This Row],[Date]],"DDDD")</f>
        <v>Sunday</v>
      </c>
      <c r="S1799">
        <f>MONTH(tblTransactions[[#This Row],[Date]])</f>
        <v>1</v>
      </c>
      <c r="T1799" t="str">
        <f>VLOOKUP(E1799, Products!$A:$B,2,0)</f>
        <v>Printers Tec-4</v>
      </c>
      <c r="U1799" t="str">
        <f>VLOOKUP(E1799,Products!$A:$C,3,0)</f>
        <v>Technology</v>
      </c>
      <c r="V1799" t="str">
        <f>VLOOKUP(E1799,Products!$A:$D,4,0)</f>
        <v>Printers</v>
      </c>
      <c r="W1799" t="str">
        <f>VLOOKUP(D1799,Customers!$A:$C,3,0)</f>
        <v>B2C</v>
      </c>
      <c r="X1799" t="str">
        <f>VLOOKUP(C1799,Sales_Representatives!$A:$B,2,0)</f>
        <v>Sarah Brown</v>
      </c>
    </row>
    <row r="1800" spans="1:24" x14ac:dyDescent="0.3">
      <c r="A1800" t="s">
        <v>2592</v>
      </c>
      <c r="B1800" t="s">
        <v>2590</v>
      </c>
      <c r="C1800" t="s">
        <v>56</v>
      </c>
      <c r="D1800" t="s">
        <v>2065</v>
      </c>
      <c r="E1800" t="s">
        <v>204</v>
      </c>
      <c r="F1800">
        <v>7</v>
      </c>
      <c r="G1800">
        <v>715.62</v>
      </c>
      <c r="H1800">
        <v>0.14000000000000001</v>
      </c>
      <c r="I1800" s="4">
        <v>4308.03</v>
      </c>
      <c r="J1800" t="s">
        <v>34</v>
      </c>
      <c r="K1800" t="s">
        <v>22</v>
      </c>
      <c r="L1800" s="4">
        <f>VLOOKUP(tblTransactions[[#This Row],[Product_ID]],tblProducts[],5,FALSE)</f>
        <v>459.58</v>
      </c>
      <c r="M1800" s="4">
        <f>tblTransactions[[#This Row],[Total_Amount]]-(tblTransactions[[#This Row],[Cost_Prices]]*tblTransactions[[#This Row],[Quantity]]*(1-tblTransactions[[#This Row],[Discount]]))</f>
        <v>1541.3583999999996</v>
      </c>
      <c r="N1800" s="3">
        <f>tblTransactions[[#This Row],[Profit]]/tblTransactions[[#This Row],[Total_Amount]]</f>
        <v>0.35778729488884703</v>
      </c>
      <c r="O1800" t="str">
        <f>TEXT(tblTransactions[[#This Row],[Date]], "MMM-YYYY")</f>
        <v>Jan-2024</v>
      </c>
      <c r="P1800" t="str">
        <f>"Q"&amp;ROUNDUP(MONTH(tblTransactions[[#This Row],[Date]])/3,0)&amp;"-"&amp;YEAR(tblTransactions[[#This Row],[Date]])</f>
        <v>Q1-2024</v>
      </c>
      <c r="Q1800">
        <f>YEAR(tblTransactions[[#This Row],[Date]])</f>
        <v>2024</v>
      </c>
      <c r="R1800" t="str">
        <f>TEXT(tblTransactions[[#This Row],[Date]],"DDDD")</f>
        <v>Sunday</v>
      </c>
      <c r="S1800">
        <f>MONTH(tblTransactions[[#This Row],[Date]])</f>
        <v>1</v>
      </c>
      <c r="T1800" t="str">
        <f>VLOOKUP(E1800, Products!$A:$B,2,0)</f>
        <v>Cameras Ele-2</v>
      </c>
      <c r="U1800" t="str">
        <f>VLOOKUP(E1800,Products!$A:$C,3,0)</f>
        <v>Electronics</v>
      </c>
      <c r="V1800" t="str">
        <f>VLOOKUP(E1800,Products!$A:$D,4,0)</f>
        <v>Cameras</v>
      </c>
      <c r="W1800" t="str">
        <f>VLOOKUP(D1800,Customers!$A:$C,3,0)</f>
        <v>B2B</v>
      </c>
      <c r="X1800" t="str">
        <f>VLOOKUP(C1800,Sales_Representatives!$A:$B,2,0)</f>
        <v>Thomas Hernandez</v>
      </c>
    </row>
    <row r="1801" spans="1:24" x14ac:dyDescent="0.3">
      <c r="A1801" t="s">
        <v>2593</v>
      </c>
      <c r="B1801" t="s">
        <v>2590</v>
      </c>
      <c r="C1801" t="s">
        <v>41</v>
      </c>
      <c r="D1801" t="s">
        <v>2594</v>
      </c>
      <c r="E1801" t="s">
        <v>79</v>
      </c>
      <c r="F1801">
        <v>17</v>
      </c>
      <c r="G1801">
        <v>1452.36</v>
      </c>
      <c r="H1801">
        <v>0.2</v>
      </c>
      <c r="I1801" s="4">
        <v>19752.099999999999</v>
      </c>
      <c r="J1801" t="s">
        <v>44</v>
      </c>
      <c r="K1801" t="s">
        <v>48</v>
      </c>
      <c r="L1801" s="4">
        <f>VLOOKUP(tblTransactions[[#This Row],[Product_ID]],tblProducts[],5,FALSE)</f>
        <v>778.71</v>
      </c>
      <c r="M1801" s="4">
        <f>tblTransactions[[#This Row],[Total_Amount]]-(tblTransactions[[#This Row],[Cost_Prices]]*tblTransactions[[#This Row],[Quantity]]*(1-tblTransactions[[#This Row],[Discount]]))</f>
        <v>9161.6439999999984</v>
      </c>
      <c r="N1801" s="3">
        <f>tblTransactions[[#This Row],[Profit]]/tblTransactions[[#This Row],[Total_Amount]]</f>
        <v>0.46383139008004209</v>
      </c>
      <c r="O1801" t="str">
        <f>TEXT(tblTransactions[[#This Row],[Date]], "MMM-YYYY")</f>
        <v>Jan-2024</v>
      </c>
      <c r="P1801" t="str">
        <f>"Q"&amp;ROUNDUP(MONTH(tblTransactions[[#This Row],[Date]])/3,0)&amp;"-"&amp;YEAR(tblTransactions[[#This Row],[Date]])</f>
        <v>Q1-2024</v>
      </c>
      <c r="Q1801">
        <f>YEAR(tblTransactions[[#This Row],[Date]])</f>
        <v>2024</v>
      </c>
      <c r="R1801" t="str">
        <f>TEXT(tblTransactions[[#This Row],[Date]],"DDDD")</f>
        <v>Sunday</v>
      </c>
      <c r="S1801">
        <f>MONTH(tblTransactions[[#This Row],[Date]])</f>
        <v>1</v>
      </c>
      <c r="T1801" t="str">
        <f>VLOOKUP(E1801, Products!$A:$B,2,0)</f>
        <v>Tables Fur-2</v>
      </c>
      <c r="U1801" t="str">
        <f>VLOOKUP(E1801,Products!$A:$C,3,0)</f>
        <v>Furniture</v>
      </c>
      <c r="V1801" t="str">
        <f>VLOOKUP(E1801,Products!$A:$D,4,0)</f>
        <v>Tables</v>
      </c>
      <c r="W1801" t="str">
        <f>VLOOKUP(D1801,Customers!$A:$C,3,0)</f>
        <v>B2B</v>
      </c>
      <c r="X1801" t="str">
        <f>VLOOKUP(C1801,Sales_Representatives!$A:$B,2,0)</f>
        <v>Robert Jones</v>
      </c>
    </row>
    <row r="1802" spans="1:24" x14ac:dyDescent="0.3">
      <c r="A1802" t="s">
        <v>2595</v>
      </c>
      <c r="B1802" t="s">
        <v>2590</v>
      </c>
      <c r="C1802" t="s">
        <v>70</v>
      </c>
      <c r="D1802" t="s">
        <v>1494</v>
      </c>
      <c r="E1802" t="s">
        <v>72</v>
      </c>
      <c r="F1802">
        <v>6</v>
      </c>
      <c r="G1802">
        <v>404.76</v>
      </c>
      <c r="H1802">
        <v>0.14000000000000001</v>
      </c>
      <c r="I1802" s="4">
        <v>2088.56</v>
      </c>
      <c r="J1802" t="s">
        <v>16</v>
      </c>
      <c r="K1802" t="s">
        <v>17</v>
      </c>
      <c r="L1802" s="4">
        <f>VLOOKUP(tblTransactions[[#This Row],[Product_ID]],tblProducts[],5,FALSE)</f>
        <v>226.76</v>
      </c>
      <c r="M1802" s="4">
        <f>tblTransactions[[#This Row],[Total_Amount]]-(tblTransactions[[#This Row],[Cost_Prices]]*tblTransactions[[#This Row],[Quantity]]*(1-tblTransactions[[#This Row],[Discount]]))</f>
        <v>918.47839999999997</v>
      </c>
      <c r="N1802" s="3">
        <f>tblTransactions[[#This Row],[Profit]]/tblTransactions[[#This Row],[Total_Amount]]</f>
        <v>0.43976634619067684</v>
      </c>
      <c r="O1802" t="str">
        <f>TEXT(tblTransactions[[#This Row],[Date]], "MMM-YYYY")</f>
        <v>Jan-2024</v>
      </c>
      <c r="P1802" t="str">
        <f>"Q"&amp;ROUNDUP(MONTH(tblTransactions[[#This Row],[Date]])/3,0)&amp;"-"&amp;YEAR(tblTransactions[[#This Row],[Date]])</f>
        <v>Q1-2024</v>
      </c>
      <c r="Q1802">
        <f>YEAR(tblTransactions[[#This Row],[Date]])</f>
        <v>2024</v>
      </c>
      <c r="R1802" t="str">
        <f>TEXT(tblTransactions[[#This Row],[Date]],"DDDD")</f>
        <v>Sunday</v>
      </c>
      <c r="S1802">
        <f>MONTH(tblTransactions[[#This Row],[Date]])</f>
        <v>1</v>
      </c>
      <c r="T1802" t="str">
        <f>VLOOKUP(E1802, Products!$A:$B,2,0)</f>
        <v>Tablets Ele-2</v>
      </c>
      <c r="U1802" t="str">
        <f>VLOOKUP(E1802,Products!$A:$C,3,0)</f>
        <v>Electronics</v>
      </c>
      <c r="V1802" t="str">
        <f>VLOOKUP(E1802,Products!$A:$D,4,0)</f>
        <v>Tablets</v>
      </c>
      <c r="W1802" t="str">
        <f>VLOOKUP(D1802,Customers!$A:$C,3,0)</f>
        <v>Small Business</v>
      </c>
      <c r="X1802" t="str">
        <f>VLOOKUP(C1802,Sales_Representatives!$A:$B,2,0)</f>
        <v>Linda Smith</v>
      </c>
    </row>
    <row r="1803" spans="1:24" x14ac:dyDescent="0.3">
      <c r="A1803" t="s">
        <v>2596</v>
      </c>
      <c r="B1803" t="s">
        <v>2597</v>
      </c>
      <c r="C1803" t="s">
        <v>56</v>
      </c>
      <c r="D1803" t="s">
        <v>2451</v>
      </c>
      <c r="E1803" t="s">
        <v>283</v>
      </c>
      <c r="F1803">
        <v>7</v>
      </c>
      <c r="G1803">
        <v>456.88</v>
      </c>
      <c r="H1803">
        <v>0.11</v>
      </c>
      <c r="I1803" s="4">
        <v>2846.36</v>
      </c>
      <c r="J1803" t="s">
        <v>34</v>
      </c>
      <c r="K1803" t="s">
        <v>22</v>
      </c>
      <c r="L1803" s="4">
        <f>VLOOKUP(tblTransactions[[#This Row],[Product_ID]],tblProducts[],5,FALSE)</f>
        <v>313.23</v>
      </c>
      <c r="M1803" s="4">
        <f>tblTransactions[[#This Row],[Total_Amount]]-(tblTransactions[[#This Row],[Cost_Prices]]*tblTransactions[[#This Row],[Quantity]]*(1-tblTransactions[[#This Row],[Discount]]))</f>
        <v>894.93709999999987</v>
      </c>
      <c r="N1803" s="3">
        <f>tblTransactions[[#This Row],[Profit]]/tblTransactions[[#This Row],[Total_Amount]]</f>
        <v>0.31441458564622882</v>
      </c>
      <c r="O1803" t="str">
        <f>TEXT(tblTransactions[[#This Row],[Date]], "MMM-YYYY")</f>
        <v>Jan-2024</v>
      </c>
      <c r="P1803" t="str">
        <f>"Q"&amp;ROUNDUP(MONTH(tblTransactions[[#This Row],[Date]])/3,0)&amp;"-"&amp;YEAR(tblTransactions[[#This Row],[Date]])</f>
        <v>Q1-2024</v>
      </c>
      <c r="Q1803">
        <f>YEAR(tblTransactions[[#This Row],[Date]])</f>
        <v>2024</v>
      </c>
      <c r="R1803" t="str">
        <f>TEXT(tblTransactions[[#This Row],[Date]],"DDDD")</f>
        <v>Monday</v>
      </c>
      <c r="S1803">
        <f>MONTH(tblTransactions[[#This Row],[Date]])</f>
        <v>1</v>
      </c>
      <c r="T1803" t="str">
        <f>VLOOKUP(E1803, Products!$A:$B,2,0)</f>
        <v>Chairs Fur-3</v>
      </c>
      <c r="U1803" t="str">
        <f>VLOOKUP(E1803,Products!$A:$C,3,0)</f>
        <v>Furniture</v>
      </c>
      <c r="V1803" t="str">
        <f>VLOOKUP(E1803,Products!$A:$D,4,0)</f>
        <v>Chairs</v>
      </c>
      <c r="W1803" t="str">
        <f>VLOOKUP(D1803,Customers!$A:$C,3,0)</f>
        <v>B2B</v>
      </c>
      <c r="X1803" t="str">
        <f>VLOOKUP(C1803,Sales_Representatives!$A:$B,2,0)</f>
        <v>Thomas Hernandez</v>
      </c>
    </row>
    <row r="1804" spans="1:24" x14ac:dyDescent="0.3">
      <c r="A1804" t="s">
        <v>2598</v>
      </c>
      <c r="B1804" t="s">
        <v>2597</v>
      </c>
      <c r="C1804" t="s">
        <v>63</v>
      </c>
      <c r="D1804" t="s">
        <v>203</v>
      </c>
      <c r="E1804" t="s">
        <v>178</v>
      </c>
      <c r="F1804">
        <v>23</v>
      </c>
      <c r="G1804">
        <v>1623.35</v>
      </c>
      <c r="H1804">
        <v>0.2</v>
      </c>
      <c r="I1804" s="4">
        <v>29869.64</v>
      </c>
      <c r="J1804" t="s">
        <v>21</v>
      </c>
      <c r="K1804" t="s">
        <v>17</v>
      </c>
      <c r="L1804" s="4">
        <f>VLOOKUP(tblTransactions[[#This Row],[Product_ID]],tblProducts[],5,FALSE)</f>
        <v>981.45</v>
      </c>
      <c r="M1804" s="4">
        <f>tblTransactions[[#This Row],[Total_Amount]]-(tblTransactions[[#This Row],[Cost_Prices]]*tblTransactions[[#This Row],[Quantity]]*(1-tblTransactions[[#This Row],[Discount]]))</f>
        <v>11810.959999999995</v>
      </c>
      <c r="N1804" s="3">
        <f>tblTransactions[[#This Row],[Profit]]/tblTransactions[[#This Row],[Total_Amount]]</f>
        <v>0.39541688483691118</v>
      </c>
      <c r="O1804" t="str">
        <f>TEXT(tblTransactions[[#This Row],[Date]], "MMM-YYYY")</f>
        <v>Jan-2024</v>
      </c>
      <c r="P1804" t="str">
        <f>"Q"&amp;ROUNDUP(MONTH(tblTransactions[[#This Row],[Date]])/3,0)&amp;"-"&amp;YEAR(tblTransactions[[#This Row],[Date]])</f>
        <v>Q1-2024</v>
      </c>
      <c r="Q1804">
        <f>YEAR(tblTransactions[[#This Row],[Date]])</f>
        <v>2024</v>
      </c>
      <c r="R1804" t="str">
        <f>TEXT(tblTransactions[[#This Row],[Date]],"DDDD")</f>
        <v>Monday</v>
      </c>
      <c r="S1804">
        <f>MONTH(tblTransactions[[#This Row],[Date]])</f>
        <v>1</v>
      </c>
      <c r="T1804" t="str">
        <f>VLOOKUP(E1804, Products!$A:$B,2,0)</f>
        <v>Tablets Ele-1</v>
      </c>
      <c r="U1804" t="str">
        <f>VLOOKUP(E1804,Products!$A:$C,3,0)</f>
        <v>Electronics</v>
      </c>
      <c r="V1804" t="str">
        <f>VLOOKUP(E1804,Products!$A:$D,4,0)</f>
        <v>Tablets</v>
      </c>
      <c r="W1804" t="str">
        <f>VLOOKUP(D1804,Customers!$A:$C,3,0)</f>
        <v>Enterprise</v>
      </c>
      <c r="X1804" t="str">
        <f>VLOOKUP(C1804,Sales_Representatives!$A:$B,2,0)</f>
        <v>Richard Wilson</v>
      </c>
    </row>
    <row r="1805" spans="1:24" x14ac:dyDescent="0.3">
      <c r="A1805" t="s">
        <v>2599</v>
      </c>
      <c r="B1805" t="s">
        <v>2597</v>
      </c>
      <c r="C1805" t="s">
        <v>131</v>
      </c>
      <c r="D1805" t="s">
        <v>2600</v>
      </c>
      <c r="E1805" t="s">
        <v>283</v>
      </c>
      <c r="F1805">
        <v>25</v>
      </c>
      <c r="G1805">
        <v>456.88</v>
      </c>
      <c r="H1805">
        <v>0.21</v>
      </c>
      <c r="I1805" s="4">
        <v>9023.3799999999992</v>
      </c>
      <c r="J1805" t="s">
        <v>44</v>
      </c>
      <c r="K1805" t="s">
        <v>22</v>
      </c>
      <c r="L1805" s="4">
        <f>VLOOKUP(tblTransactions[[#This Row],[Product_ID]],tblProducts[],5,FALSE)</f>
        <v>313.23</v>
      </c>
      <c r="M1805" s="4">
        <f>tblTransactions[[#This Row],[Total_Amount]]-(tblTransactions[[#This Row],[Cost_Prices]]*tblTransactions[[#This Row],[Quantity]]*(1-tblTransactions[[#This Row],[Discount]]))</f>
        <v>2837.0874999999987</v>
      </c>
      <c r="N1805" s="3">
        <f>tblTransactions[[#This Row],[Profit]]/tblTransactions[[#This Row],[Total_Amount]]</f>
        <v>0.31441516371913841</v>
      </c>
      <c r="O1805" t="str">
        <f>TEXT(tblTransactions[[#This Row],[Date]], "MMM-YYYY")</f>
        <v>Jan-2024</v>
      </c>
      <c r="P1805" t="str">
        <f>"Q"&amp;ROUNDUP(MONTH(tblTransactions[[#This Row],[Date]])/3,0)&amp;"-"&amp;YEAR(tblTransactions[[#This Row],[Date]])</f>
        <v>Q1-2024</v>
      </c>
      <c r="Q1805">
        <f>YEAR(tblTransactions[[#This Row],[Date]])</f>
        <v>2024</v>
      </c>
      <c r="R1805" t="str">
        <f>TEXT(tblTransactions[[#This Row],[Date]],"DDDD")</f>
        <v>Monday</v>
      </c>
      <c r="S1805">
        <f>MONTH(tblTransactions[[#This Row],[Date]])</f>
        <v>1</v>
      </c>
      <c r="T1805" t="str">
        <f>VLOOKUP(E1805, Products!$A:$B,2,0)</f>
        <v>Chairs Fur-3</v>
      </c>
      <c r="U1805" t="str">
        <f>VLOOKUP(E1805,Products!$A:$C,3,0)</f>
        <v>Furniture</v>
      </c>
      <c r="V1805" t="str">
        <f>VLOOKUP(E1805,Products!$A:$D,4,0)</f>
        <v>Chairs</v>
      </c>
      <c r="W1805" t="str">
        <f>VLOOKUP(D1805,Customers!$A:$C,3,0)</f>
        <v>Enterprise</v>
      </c>
      <c r="X1805" t="str">
        <f>VLOOKUP(C1805,Sales_Representatives!$A:$B,2,0)</f>
        <v>Michael Davis</v>
      </c>
    </row>
    <row r="1806" spans="1:24" x14ac:dyDescent="0.3">
      <c r="A1806" t="s">
        <v>2601</v>
      </c>
      <c r="B1806" t="s">
        <v>2597</v>
      </c>
      <c r="C1806" t="s">
        <v>31</v>
      </c>
      <c r="D1806" t="s">
        <v>2485</v>
      </c>
      <c r="E1806" t="s">
        <v>204</v>
      </c>
      <c r="F1806">
        <v>10</v>
      </c>
      <c r="G1806">
        <v>715.62</v>
      </c>
      <c r="H1806">
        <v>0.09</v>
      </c>
      <c r="I1806" s="4">
        <v>6512.14</v>
      </c>
      <c r="J1806" t="s">
        <v>34</v>
      </c>
      <c r="K1806" t="s">
        <v>39</v>
      </c>
      <c r="L1806" s="4">
        <f>VLOOKUP(tblTransactions[[#This Row],[Product_ID]],tblProducts[],5,FALSE)</f>
        <v>459.58</v>
      </c>
      <c r="M1806" s="4">
        <f>tblTransactions[[#This Row],[Total_Amount]]-(tblTransactions[[#This Row],[Cost_Prices]]*tblTransactions[[#This Row],[Quantity]]*(1-tblTransactions[[#This Row],[Discount]]))</f>
        <v>2329.9620000000004</v>
      </c>
      <c r="N1806" s="3">
        <f>tblTransactions[[#This Row],[Profit]]/tblTransactions[[#This Row],[Total_Amount]]</f>
        <v>0.35778745542939805</v>
      </c>
      <c r="O1806" t="str">
        <f>TEXT(tblTransactions[[#This Row],[Date]], "MMM-YYYY")</f>
        <v>Jan-2024</v>
      </c>
      <c r="P1806" t="str">
        <f>"Q"&amp;ROUNDUP(MONTH(tblTransactions[[#This Row],[Date]])/3,0)&amp;"-"&amp;YEAR(tblTransactions[[#This Row],[Date]])</f>
        <v>Q1-2024</v>
      </c>
      <c r="Q1806">
        <f>YEAR(tblTransactions[[#This Row],[Date]])</f>
        <v>2024</v>
      </c>
      <c r="R1806" t="str">
        <f>TEXT(tblTransactions[[#This Row],[Date]],"DDDD")</f>
        <v>Monday</v>
      </c>
      <c r="S1806">
        <f>MONTH(tblTransactions[[#This Row],[Date]])</f>
        <v>1</v>
      </c>
      <c r="T1806" t="str">
        <f>VLOOKUP(E1806, Products!$A:$B,2,0)</f>
        <v>Cameras Ele-2</v>
      </c>
      <c r="U1806" t="str">
        <f>VLOOKUP(E1806,Products!$A:$C,3,0)</f>
        <v>Electronics</v>
      </c>
      <c r="V1806" t="str">
        <f>VLOOKUP(E1806,Products!$A:$D,4,0)</f>
        <v>Cameras</v>
      </c>
      <c r="W1806" t="str">
        <f>VLOOKUP(D1806,Customers!$A:$C,3,0)</f>
        <v>B2B</v>
      </c>
      <c r="X1806" t="str">
        <f>VLOOKUP(C1806,Sales_Representatives!$A:$B,2,0)</f>
        <v>Thomas Martinez</v>
      </c>
    </row>
    <row r="1807" spans="1:24" x14ac:dyDescent="0.3">
      <c r="A1807" t="s">
        <v>2602</v>
      </c>
      <c r="B1807" t="s">
        <v>2597</v>
      </c>
      <c r="C1807" t="s">
        <v>59</v>
      </c>
      <c r="D1807" t="s">
        <v>1938</v>
      </c>
      <c r="E1807" t="s">
        <v>347</v>
      </c>
      <c r="F1807">
        <v>1</v>
      </c>
      <c r="G1807">
        <v>1539.6</v>
      </c>
      <c r="H1807">
        <v>0.04</v>
      </c>
      <c r="I1807" s="4">
        <v>1478.02</v>
      </c>
      <c r="J1807" t="s">
        <v>21</v>
      </c>
      <c r="K1807" t="s">
        <v>17</v>
      </c>
      <c r="L1807" s="4">
        <f>VLOOKUP(tblTransactions[[#This Row],[Product_ID]],tblProducts[],5,FALSE)</f>
        <v>992.43</v>
      </c>
      <c r="M1807" s="4">
        <f>tblTransactions[[#This Row],[Total_Amount]]-(tblTransactions[[#This Row],[Cost_Prices]]*tblTransactions[[#This Row],[Quantity]]*(1-tblTransactions[[#This Row],[Discount]]))</f>
        <v>525.2872000000001</v>
      </c>
      <c r="N1807" s="3">
        <f>tblTransactions[[#This Row],[Profit]]/tblTransactions[[#This Row],[Total_Amount]]</f>
        <v>0.35539925034843922</v>
      </c>
      <c r="O1807" t="str">
        <f>TEXT(tblTransactions[[#This Row],[Date]], "MMM-YYYY")</f>
        <v>Jan-2024</v>
      </c>
      <c r="P1807" t="str">
        <f>"Q"&amp;ROUNDUP(MONTH(tblTransactions[[#This Row],[Date]])/3,0)&amp;"-"&amp;YEAR(tblTransactions[[#This Row],[Date]])</f>
        <v>Q1-2024</v>
      </c>
      <c r="Q1807">
        <f>YEAR(tblTransactions[[#This Row],[Date]])</f>
        <v>2024</v>
      </c>
      <c r="R1807" t="str">
        <f>TEXT(tblTransactions[[#This Row],[Date]],"DDDD")</f>
        <v>Monday</v>
      </c>
      <c r="S1807">
        <f>MONTH(tblTransactions[[#This Row],[Date]])</f>
        <v>1</v>
      </c>
      <c r="T1807" t="str">
        <f>VLOOKUP(E1807, Products!$A:$B,2,0)</f>
        <v>Routers Tec-2</v>
      </c>
      <c r="U1807" t="str">
        <f>VLOOKUP(E1807,Products!$A:$C,3,0)</f>
        <v>Technology</v>
      </c>
      <c r="V1807" t="str">
        <f>VLOOKUP(E1807,Products!$A:$D,4,0)</f>
        <v>Routers</v>
      </c>
      <c r="W1807" t="str">
        <f>VLOOKUP(D1807,Customers!$A:$C,3,0)</f>
        <v>B2C</v>
      </c>
      <c r="X1807" t="str">
        <f>VLOOKUP(C1807,Sales_Representatives!$A:$B,2,0)</f>
        <v>Sarah Brown</v>
      </c>
    </row>
    <row r="1808" spans="1:24" x14ac:dyDescent="0.3">
      <c r="A1808" t="s">
        <v>2603</v>
      </c>
      <c r="B1808" t="s">
        <v>2597</v>
      </c>
      <c r="C1808" t="s">
        <v>141</v>
      </c>
      <c r="D1808" t="s">
        <v>1986</v>
      </c>
      <c r="E1808" t="s">
        <v>89</v>
      </c>
      <c r="F1808">
        <v>2</v>
      </c>
      <c r="G1808">
        <v>555.08000000000004</v>
      </c>
      <c r="H1808">
        <v>0.01</v>
      </c>
      <c r="I1808" s="4">
        <v>1099.06</v>
      </c>
      <c r="J1808" t="s">
        <v>109</v>
      </c>
      <c r="K1808" t="s">
        <v>17</v>
      </c>
      <c r="L1808" s="4">
        <f>VLOOKUP(tblTransactions[[#This Row],[Product_ID]],tblProducts[],5,FALSE)</f>
        <v>402.82</v>
      </c>
      <c r="M1808" s="4">
        <f>tblTransactions[[#This Row],[Total_Amount]]-(tblTransactions[[#This Row],[Cost_Prices]]*tblTransactions[[#This Row],[Quantity]]*(1-tblTransactions[[#This Row],[Discount]]))</f>
        <v>301.47640000000001</v>
      </c>
      <c r="N1808" s="3">
        <f>tblTransactions[[#This Row],[Profit]]/tblTransactions[[#This Row],[Total_Amount]]</f>
        <v>0.27430385966189291</v>
      </c>
      <c r="O1808" t="str">
        <f>TEXT(tblTransactions[[#This Row],[Date]], "MMM-YYYY")</f>
        <v>Jan-2024</v>
      </c>
      <c r="P1808" t="str">
        <f>"Q"&amp;ROUNDUP(MONTH(tblTransactions[[#This Row],[Date]])/3,0)&amp;"-"&amp;YEAR(tblTransactions[[#This Row],[Date]])</f>
        <v>Q1-2024</v>
      </c>
      <c r="Q1808">
        <f>YEAR(tblTransactions[[#This Row],[Date]])</f>
        <v>2024</v>
      </c>
      <c r="R1808" t="str">
        <f>TEXT(tblTransactions[[#This Row],[Date]],"DDDD")</f>
        <v>Monday</v>
      </c>
      <c r="S1808">
        <f>MONTH(tblTransactions[[#This Row],[Date]])</f>
        <v>1</v>
      </c>
      <c r="T1808" t="str">
        <f>VLOOKUP(E1808, Products!$A:$B,2,0)</f>
        <v>Laptops Ele-3</v>
      </c>
      <c r="U1808" t="str">
        <f>VLOOKUP(E1808,Products!$A:$C,3,0)</f>
        <v>Electronics</v>
      </c>
      <c r="V1808" t="str">
        <f>VLOOKUP(E1808,Products!$A:$D,4,0)</f>
        <v>Laptops</v>
      </c>
      <c r="W1808" t="str">
        <f>VLOOKUP(D1808,Customers!$A:$C,3,0)</f>
        <v>B2C</v>
      </c>
      <c r="X1808" t="str">
        <f>VLOOKUP(C1808,Sales_Representatives!$A:$B,2,0)</f>
        <v>Richard Garcia</v>
      </c>
    </row>
    <row r="1809" spans="1:24" x14ac:dyDescent="0.3">
      <c r="A1809" t="s">
        <v>2604</v>
      </c>
      <c r="B1809" t="s">
        <v>2605</v>
      </c>
      <c r="C1809" t="s">
        <v>75</v>
      </c>
      <c r="D1809" t="s">
        <v>1822</v>
      </c>
      <c r="E1809" t="s">
        <v>72</v>
      </c>
      <c r="F1809">
        <v>3</v>
      </c>
      <c r="G1809">
        <v>404.76</v>
      </c>
      <c r="H1809">
        <v>0.06</v>
      </c>
      <c r="I1809" s="4">
        <v>1141.42</v>
      </c>
      <c r="J1809" t="s">
        <v>44</v>
      </c>
      <c r="K1809" t="s">
        <v>39</v>
      </c>
      <c r="L1809" s="4">
        <f>VLOOKUP(tblTransactions[[#This Row],[Product_ID]],tblProducts[],5,FALSE)</f>
        <v>226.76</v>
      </c>
      <c r="M1809" s="4">
        <f>tblTransactions[[#This Row],[Total_Amount]]-(tblTransactions[[#This Row],[Cost_Prices]]*tblTransactions[[#This Row],[Quantity]]*(1-tblTransactions[[#This Row],[Discount]]))</f>
        <v>501.95680000000016</v>
      </c>
      <c r="N1809" s="3">
        <f>tblTransactions[[#This Row],[Profit]]/tblTransactions[[#This Row],[Total_Amount]]</f>
        <v>0.43976520474496689</v>
      </c>
      <c r="O1809" t="str">
        <f>TEXT(tblTransactions[[#This Row],[Date]], "MMM-YYYY")</f>
        <v>Jan-2024</v>
      </c>
      <c r="P1809" t="str">
        <f>"Q"&amp;ROUNDUP(MONTH(tblTransactions[[#This Row],[Date]])/3,0)&amp;"-"&amp;YEAR(tblTransactions[[#This Row],[Date]])</f>
        <v>Q1-2024</v>
      </c>
      <c r="Q1809">
        <f>YEAR(tblTransactions[[#This Row],[Date]])</f>
        <v>2024</v>
      </c>
      <c r="R1809" t="str">
        <f>TEXT(tblTransactions[[#This Row],[Date]],"DDDD")</f>
        <v>Tuesday</v>
      </c>
      <c r="S1809">
        <f>MONTH(tblTransactions[[#This Row],[Date]])</f>
        <v>1</v>
      </c>
      <c r="T1809" t="str">
        <f>VLOOKUP(E1809, Products!$A:$B,2,0)</f>
        <v>Tablets Ele-2</v>
      </c>
      <c r="U1809" t="str">
        <f>VLOOKUP(E1809,Products!$A:$C,3,0)</f>
        <v>Electronics</v>
      </c>
      <c r="V1809" t="str">
        <f>VLOOKUP(E1809,Products!$A:$D,4,0)</f>
        <v>Tablets</v>
      </c>
      <c r="W1809" t="str">
        <f>VLOOKUP(D1809,Customers!$A:$C,3,0)</f>
        <v>B2C</v>
      </c>
      <c r="X1809" t="str">
        <f>VLOOKUP(C1809,Sales_Representatives!$A:$B,2,0)</f>
        <v>Jessica Anderson</v>
      </c>
    </row>
    <row r="1810" spans="1:24" x14ac:dyDescent="0.3">
      <c r="A1810" t="s">
        <v>2606</v>
      </c>
      <c r="B1810" t="s">
        <v>2605</v>
      </c>
      <c r="C1810" t="s">
        <v>19</v>
      </c>
      <c r="D1810" t="s">
        <v>1675</v>
      </c>
      <c r="E1810" t="s">
        <v>221</v>
      </c>
      <c r="F1810">
        <v>4</v>
      </c>
      <c r="G1810">
        <v>210.02</v>
      </c>
      <c r="H1810">
        <v>0.05</v>
      </c>
      <c r="I1810" s="4">
        <v>798.08</v>
      </c>
      <c r="J1810" t="s">
        <v>21</v>
      </c>
      <c r="K1810" t="s">
        <v>17</v>
      </c>
      <c r="L1810" s="4">
        <f>VLOOKUP(tblTransactions[[#This Row],[Product_ID]],tblProducts[],5,FALSE)</f>
        <v>131.66</v>
      </c>
      <c r="M1810" s="4">
        <f>tblTransactions[[#This Row],[Total_Amount]]-(tblTransactions[[#This Row],[Cost_Prices]]*tblTransactions[[#This Row],[Quantity]]*(1-tblTransactions[[#This Row],[Discount]]))</f>
        <v>297.77200000000011</v>
      </c>
      <c r="N1810" s="3">
        <f>tblTransactions[[#This Row],[Profit]]/tblTransactions[[#This Row],[Total_Amount]]</f>
        <v>0.37311046511627916</v>
      </c>
      <c r="O1810" t="str">
        <f>TEXT(tblTransactions[[#This Row],[Date]], "MMM-YYYY")</f>
        <v>Jan-2024</v>
      </c>
      <c r="P1810" t="str">
        <f>"Q"&amp;ROUNDUP(MONTH(tblTransactions[[#This Row],[Date]])/3,0)&amp;"-"&amp;YEAR(tblTransactions[[#This Row],[Date]])</f>
        <v>Q1-2024</v>
      </c>
      <c r="Q1810">
        <f>YEAR(tblTransactions[[#This Row],[Date]])</f>
        <v>2024</v>
      </c>
      <c r="R1810" t="str">
        <f>TEXT(tblTransactions[[#This Row],[Date]],"DDDD")</f>
        <v>Tuesday</v>
      </c>
      <c r="S1810">
        <f>MONTH(tblTransactions[[#This Row],[Date]])</f>
        <v>1</v>
      </c>
      <c r="T1810" t="str">
        <f>VLOOKUP(E1810, Products!$A:$B,2,0)</f>
        <v>Storage Fur-2</v>
      </c>
      <c r="U1810" t="str">
        <f>VLOOKUP(E1810,Products!$A:$C,3,0)</f>
        <v>Furniture</v>
      </c>
      <c r="V1810" t="str">
        <f>VLOOKUP(E1810,Products!$A:$D,4,0)</f>
        <v>Storage</v>
      </c>
      <c r="W1810" t="str">
        <f>VLOOKUP(D1810,Customers!$A:$C,3,0)</f>
        <v>B2B</v>
      </c>
      <c r="X1810" t="str">
        <f>VLOOKUP(C1810,Sales_Representatives!$A:$B,2,0)</f>
        <v>Robert Jones</v>
      </c>
    </row>
    <row r="1811" spans="1:24" x14ac:dyDescent="0.3">
      <c r="A1811" t="s">
        <v>2607</v>
      </c>
      <c r="B1811" t="s">
        <v>2605</v>
      </c>
      <c r="C1811" t="s">
        <v>82</v>
      </c>
      <c r="D1811" t="s">
        <v>2173</v>
      </c>
      <c r="E1811" t="s">
        <v>79</v>
      </c>
      <c r="F1811">
        <v>3</v>
      </c>
      <c r="G1811">
        <v>1452.36</v>
      </c>
      <c r="H1811">
        <v>0.04</v>
      </c>
      <c r="I1811" s="4">
        <v>4182.8</v>
      </c>
      <c r="J1811" t="s">
        <v>34</v>
      </c>
      <c r="K1811" t="s">
        <v>39</v>
      </c>
      <c r="L1811" s="4">
        <f>VLOOKUP(tblTransactions[[#This Row],[Product_ID]],tblProducts[],5,FALSE)</f>
        <v>778.71</v>
      </c>
      <c r="M1811" s="4">
        <f>tblTransactions[[#This Row],[Total_Amount]]-(tblTransactions[[#This Row],[Cost_Prices]]*tblTransactions[[#This Row],[Quantity]]*(1-tblTransactions[[#This Row],[Discount]]))</f>
        <v>1940.1152000000002</v>
      </c>
      <c r="N1811" s="3">
        <f>tblTransactions[[#This Row],[Profit]]/tblTransactions[[#This Row],[Total_Amount]]</f>
        <v>0.46383169168977723</v>
      </c>
      <c r="O1811" t="str">
        <f>TEXT(tblTransactions[[#This Row],[Date]], "MMM-YYYY")</f>
        <v>Jan-2024</v>
      </c>
      <c r="P1811" t="str">
        <f>"Q"&amp;ROUNDUP(MONTH(tblTransactions[[#This Row],[Date]])/3,0)&amp;"-"&amp;YEAR(tblTransactions[[#This Row],[Date]])</f>
        <v>Q1-2024</v>
      </c>
      <c r="Q1811">
        <f>YEAR(tblTransactions[[#This Row],[Date]])</f>
        <v>2024</v>
      </c>
      <c r="R1811" t="str">
        <f>TEXT(tblTransactions[[#This Row],[Date]],"DDDD")</f>
        <v>Tuesday</v>
      </c>
      <c r="S1811">
        <f>MONTH(tblTransactions[[#This Row],[Date]])</f>
        <v>1</v>
      </c>
      <c r="T1811" t="str">
        <f>VLOOKUP(E1811, Products!$A:$B,2,0)</f>
        <v>Tables Fur-2</v>
      </c>
      <c r="U1811" t="str">
        <f>VLOOKUP(E1811,Products!$A:$C,3,0)</f>
        <v>Furniture</v>
      </c>
      <c r="V1811" t="str">
        <f>VLOOKUP(E1811,Products!$A:$D,4,0)</f>
        <v>Tables</v>
      </c>
      <c r="W1811" t="str">
        <f>VLOOKUP(D1811,Customers!$A:$C,3,0)</f>
        <v>B2C</v>
      </c>
      <c r="X1811" t="str">
        <f>VLOOKUP(C1811,Sales_Representatives!$A:$B,2,0)</f>
        <v>John Brown</v>
      </c>
    </row>
    <row r="1812" spans="1:24" x14ac:dyDescent="0.3">
      <c r="A1812" t="s">
        <v>2608</v>
      </c>
      <c r="B1812" t="s">
        <v>2605</v>
      </c>
      <c r="C1812" t="s">
        <v>107</v>
      </c>
      <c r="D1812" t="s">
        <v>1936</v>
      </c>
      <c r="E1812" t="s">
        <v>15</v>
      </c>
      <c r="F1812">
        <v>16</v>
      </c>
      <c r="G1812">
        <v>477.48</v>
      </c>
      <c r="H1812">
        <v>0.16</v>
      </c>
      <c r="I1812" s="4">
        <v>6417.33</v>
      </c>
      <c r="J1812" t="s">
        <v>109</v>
      </c>
      <c r="K1812" t="s">
        <v>35</v>
      </c>
      <c r="L1812" s="4">
        <f>VLOOKUP(tblTransactions[[#This Row],[Product_ID]],tblProducts[],5,FALSE)</f>
        <v>275.51</v>
      </c>
      <c r="M1812" s="4">
        <f>tblTransactions[[#This Row],[Total_Amount]]-(tblTransactions[[#This Row],[Cost_Prices]]*tblTransactions[[#This Row],[Quantity]]*(1-tblTransactions[[#This Row],[Discount]]))</f>
        <v>2714.4756000000002</v>
      </c>
      <c r="N1812" s="3">
        <f>tblTransactions[[#This Row],[Profit]]/tblTransactions[[#This Row],[Total_Amount]]</f>
        <v>0.42299143101570286</v>
      </c>
      <c r="O1812" t="str">
        <f>TEXT(tblTransactions[[#This Row],[Date]], "MMM-YYYY")</f>
        <v>Jan-2024</v>
      </c>
      <c r="P1812" t="str">
        <f>"Q"&amp;ROUNDUP(MONTH(tblTransactions[[#This Row],[Date]])/3,0)&amp;"-"&amp;YEAR(tblTransactions[[#This Row],[Date]])</f>
        <v>Q1-2024</v>
      </c>
      <c r="Q1812">
        <f>YEAR(tblTransactions[[#This Row],[Date]])</f>
        <v>2024</v>
      </c>
      <c r="R1812" t="str">
        <f>TEXT(tblTransactions[[#This Row],[Date]],"DDDD")</f>
        <v>Tuesday</v>
      </c>
      <c r="S1812">
        <f>MONTH(tblTransactions[[#This Row],[Date]])</f>
        <v>1</v>
      </c>
      <c r="T1812" t="str">
        <f>VLOOKUP(E1812, Products!$A:$B,2,0)</f>
        <v>Laptops Ele-4</v>
      </c>
      <c r="U1812" t="str">
        <f>VLOOKUP(E1812,Products!$A:$C,3,0)</f>
        <v>Electronics</v>
      </c>
      <c r="V1812" t="str">
        <f>VLOOKUP(E1812,Products!$A:$D,4,0)</f>
        <v>Laptops</v>
      </c>
      <c r="W1812" t="str">
        <f>VLOOKUP(D1812,Customers!$A:$C,3,0)</f>
        <v>Enterprise</v>
      </c>
      <c r="X1812" t="str">
        <f>VLOOKUP(C1812,Sales_Representatives!$A:$B,2,0)</f>
        <v>Jennifer Brown</v>
      </c>
    </row>
    <row r="1813" spans="1:24" x14ac:dyDescent="0.3">
      <c r="A1813" t="s">
        <v>2609</v>
      </c>
      <c r="B1813" t="s">
        <v>2605</v>
      </c>
      <c r="C1813" t="s">
        <v>127</v>
      </c>
      <c r="D1813" t="s">
        <v>1741</v>
      </c>
      <c r="E1813" t="s">
        <v>347</v>
      </c>
      <c r="F1813">
        <v>12</v>
      </c>
      <c r="G1813">
        <v>1539.6</v>
      </c>
      <c r="H1813">
        <v>0.14000000000000001</v>
      </c>
      <c r="I1813" s="4">
        <v>15888.67</v>
      </c>
      <c r="J1813" t="s">
        <v>109</v>
      </c>
      <c r="K1813" t="s">
        <v>48</v>
      </c>
      <c r="L1813" s="4">
        <f>VLOOKUP(tblTransactions[[#This Row],[Product_ID]],tblProducts[],5,FALSE)</f>
        <v>992.43</v>
      </c>
      <c r="M1813" s="4">
        <f>tblTransactions[[#This Row],[Total_Amount]]-(tblTransactions[[#This Row],[Cost_Prices]]*tblTransactions[[#This Row],[Quantity]]*(1-tblTransactions[[#This Row],[Discount]]))</f>
        <v>5646.7924000000003</v>
      </c>
      <c r="N1813" s="3">
        <f>tblTransactions[[#This Row],[Profit]]/tblTransactions[[#This Row],[Total_Amount]]</f>
        <v>0.35539742470578095</v>
      </c>
      <c r="O1813" t="str">
        <f>TEXT(tblTransactions[[#This Row],[Date]], "MMM-YYYY")</f>
        <v>Jan-2024</v>
      </c>
      <c r="P1813" t="str">
        <f>"Q"&amp;ROUNDUP(MONTH(tblTransactions[[#This Row],[Date]])/3,0)&amp;"-"&amp;YEAR(tblTransactions[[#This Row],[Date]])</f>
        <v>Q1-2024</v>
      </c>
      <c r="Q1813">
        <f>YEAR(tblTransactions[[#This Row],[Date]])</f>
        <v>2024</v>
      </c>
      <c r="R1813" t="str">
        <f>TEXT(tblTransactions[[#This Row],[Date]],"DDDD")</f>
        <v>Tuesday</v>
      </c>
      <c r="S1813">
        <f>MONTH(tblTransactions[[#This Row],[Date]])</f>
        <v>1</v>
      </c>
      <c r="T1813" t="str">
        <f>VLOOKUP(E1813, Products!$A:$B,2,0)</f>
        <v>Routers Tec-2</v>
      </c>
      <c r="U1813" t="str">
        <f>VLOOKUP(E1813,Products!$A:$C,3,0)</f>
        <v>Technology</v>
      </c>
      <c r="V1813" t="str">
        <f>VLOOKUP(E1813,Products!$A:$D,4,0)</f>
        <v>Routers</v>
      </c>
      <c r="W1813" t="str">
        <f>VLOOKUP(D1813,Customers!$A:$C,3,0)</f>
        <v>B2B</v>
      </c>
      <c r="X1813" t="str">
        <f>VLOOKUP(C1813,Sales_Representatives!$A:$B,2,0)</f>
        <v>Emily Hernandez</v>
      </c>
    </row>
    <row r="1814" spans="1:24" x14ac:dyDescent="0.3">
      <c r="A1814" t="s">
        <v>2610</v>
      </c>
      <c r="B1814" t="s">
        <v>2605</v>
      </c>
      <c r="C1814" t="s">
        <v>59</v>
      </c>
      <c r="D1814" t="s">
        <v>156</v>
      </c>
      <c r="E1814" t="s">
        <v>113</v>
      </c>
      <c r="F1814">
        <v>6</v>
      </c>
      <c r="G1814">
        <v>930.41</v>
      </c>
      <c r="H1814">
        <v>7.0000000000000007E-2</v>
      </c>
      <c r="I1814" s="4">
        <v>5191.6899999999996</v>
      </c>
      <c r="J1814" t="s">
        <v>21</v>
      </c>
      <c r="K1814" t="s">
        <v>17</v>
      </c>
      <c r="L1814" s="4">
        <f>VLOOKUP(tblTransactions[[#This Row],[Product_ID]],tblProducts[],5,FALSE)</f>
        <v>595.51</v>
      </c>
      <c r="M1814" s="4">
        <f>tblTransactions[[#This Row],[Total_Amount]]-(tblTransactions[[#This Row],[Cost_Prices]]*tblTransactions[[#This Row],[Quantity]]*(1-tblTransactions[[#This Row],[Discount]]))</f>
        <v>1868.7442000000001</v>
      </c>
      <c r="N1814" s="3">
        <f>tblTransactions[[#This Row],[Profit]]/tblTransactions[[#This Row],[Total_Amount]]</f>
        <v>0.35994911098312887</v>
      </c>
      <c r="O1814" t="str">
        <f>TEXT(tblTransactions[[#This Row],[Date]], "MMM-YYYY")</f>
        <v>Jan-2024</v>
      </c>
      <c r="P1814" t="str">
        <f>"Q"&amp;ROUNDUP(MONTH(tblTransactions[[#This Row],[Date]])/3,0)&amp;"-"&amp;YEAR(tblTransactions[[#This Row],[Date]])</f>
        <v>Q1-2024</v>
      </c>
      <c r="Q1814">
        <f>YEAR(tblTransactions[[#This Row],[Date]])</f>
        <v>2024</v>
      </c>
      <c r="R1814" t="str">
        <f>TEXT(tblTransactions[[#This Row],[Date]],"DDDD")</f>
        <v>Tuesday</v>
      </c>
      <c r="S1814">
        <f>MONTH(tblTransactions[[#This Row],[Date]])</f>
        <v>1</v>
      </c>
      <c r="T1814" t="str">
        <f>VLOOKUP(E1814, Products!$A:$B,2,0)</f>
        <v>Phones Ele-1</v>
      </c>
      <c r="U1814" t="str">
        <f>VLOOKUP(E1814,Products!$A:$C,3,0)</f>
        <v>Electronics</v>
      </c>
      <c r="V1814" t="str">
        <f>VLOOKUP(E1814,Products!$A:$D,4,0)</f>
        <v>Phones</v>
      </c>
      <c r="W1814" t="str">
        <f>VLOOKUP(D1814,Customers!$A:$C,3,0)</f>
        <v>B2B</v>
      </c>
      <c r="X1814" t="str">
        <f>VLOOKUP(C1814,Sales_Representatives!$A:$B,2,0)</f>
        <v>Sarah Brown</v>
      </c>
    </row>
    <row r="1815" spans="1:24" x14ac:dyDescent="0.3">
      <c r="A1815" t="s">
        <v>2611</v>
      </c>
      <c r="B1815" t="s">
        <v>2605</v>
      </c>
      <c r="C1815" t="s">
        <v>31</v>
      </c>
      <c r="D1815" t="s">
        <v>2612</v>
      </c>
      <c r="E1815" t="s">
        <v>91</v>
      </c>
      <c r="F1815">
        <v>13</v>
      </c>
      <c r="G1815">
        <v>286.62</v>
      </c>
      <c r="H1815">
        <v>0.2</v>
      </c>
      <c r="I1815" s="4">
        <v>2980.85</v>
      </c>
      <c r="J1815" t="s">
        <v>34</v>
      </c>
      <c r="K1815" t="s">
        <v>48</v>
      </c>
      <c r="L1815" s="4">
        <f>VLOOKUP(tblTransactions[[#This Row],[Product_ID]],tblProducts[],5,FALSE)</f>
        <v>145.54</v>
      </c>
      <c r="M1815" s="4">
        <f>tblTransactions[[#This Row],[Total_Amount]]-(tblTransactions[[#This Row],[Cost_Prices]]*tblTransactions[[#This Row],[Quantity]]*(1-tblTransactions[[#This Row],[Discount]]))</f>
        <v>1467.2339999999999</v>
      </c>
      <c r="N1815" s="3">
        <f>tblTransactions[[#This Row],[Profit]]/tblTransactions[[#This Row],[Total_Amount]]</f>
        <v>0.49222000436117214</v>
      </c>
      <c r="O1815" t="str">
        <f>TEXT(tblTransactions[[#This Row],[Date]], "MMM-YYYY")</f>
        <v>Jan-2024</v>
      </c>
      <c r="P1815" t="str">
        <f>"Q"&amp;ROUNDUP(MONTH(tblTransactions[[#This Row],[Date]])/3,0)&amp;"-"&amp;YEAR(tblTransactions[[#This Row],[Date]])</f>
        <v>Q1-2024</v>
      </c>
      <c r="Q1815">
        <f>YEAR(tblTransactions[[#This Row],[Date]])</f>
        <v>2024</v>
      </c>
      <c r="R1815" t="str">
        <f>TEXT(tblTransactions[[#This Row],[Date]],"DDDD")</f>
        <v>Tuesday</v>
      </c>
      <c r="S1815">
        <f>MONTH(tblTransactions[[#This Row],[Date]])</f>
        <v>1</v>
      </c>
      <c r="T1815" t="str">
        <f>VLOOKUP(E1815, Products!$A:$B,2,0)</f>
        <v>Chairs Fur-1</v>
      </c>
      <c r="U1815" t="str">
        <f>VLOOKUP(E1815,Products!$A:$C,3,0)</f>
        <v>Furniture</v>
      </c>
      <c r="V1815" t="str">
        <f>VLOOKUP(E1815,Products!$A:$D,4,0)</f>
        <v>Chairs</v>
      </c>
      <c r="W1815" t="str">
        <f>VLOOKUP(D1815,Customers!$A:$C,3,0)</f>
        <v>B2B</v>
      </c>
      <c r="X1815" t="str">
        <f>VLOOKUP(C1815,Sales_Representatives!$A:$B,2,0)</f>
        <v>Thomas Martinez</v>
      </c>
    </row>
    <row r="1816" spans="1:24" x14ac:dyDescent="0.3">
      <c r="A1816" t="s">
        <v>2613</v>
      </c>
      <c r="B1816" t="s">
        <v>2605</v>
      </c>
      <c r="C1816" t="s">
        <v>27</v>
      </c>
      <c r="D1816" t="s">
        <v>2359</v>
      </c>
      <c r="E1816" t="s">
        <v>178</v>
      </c>
      <c r="F1816">
        <v>5</v>
      </c>
      <c r="G1816">
        <v>1623.35</v>
      </c>
      <c r="H1816">
        <v>0.09</v>
      </c>
      <c r="I1816" s="4">
        <v>7386.24</v>
      </c>
      <c r="J1816" t="s">
        <v>16</v>
      </c>
      <c r="K1816" t="s">
        <v>17</v>
      </c>
      <c r="L1816" s="4">
        <f>VLOOKUP(tblTransactions[[#This Row],[Product_ID]],tblProducts[],5,FALSE)</f>
        <v>981.45</v>
      </c>
      <c r="M1816" s="4">
        <f>tblTransactions[[#This Row],[Total_Amount]]-(tblTransactions[[#This Row],[Cost_Prices]]*tblTransactions[[#This Row],[Quantity]]*(1-tblTransactions[[#This Row],[Discount]]))</f>
        <v>2920.6424999999999</v>
      </c>
      <c r="N1816" s="3">
        <f>tblTransactions[[#This Row],[Profit]]/tblTransactions[[#This Row],[Total_Amount]]</f>
        <v>0.39541668020535481</v>
      </c>
      <c r="O1816" t="str">
        <f>TEXT(tblTransactions[[#This Row],[Date]], "MMM-YYYY")</f>
        <v>Jan-2024</v>
      </c>
      <c r="P1816" t="str">
        <f>"Q"&amp;ROUNDUP(MONTH(tblTransactions[[#This Row],[Date]])/3,0)&amp;"-"&amp;YEAR(tblTransactions[[#This Row],[Date]])</f>
        <v>Q1-2024</v>
      </c>
      <c r="Q1816">
        <f>YEAR(tblTransactions[[#This Row],[Date]])</f>
        <v>2024</v>
      </c>
      <c r="R1816" t="str">
        <f>TEXT(tblTransactions[[#This Row],[Date]],"DDDD")</f>
        <v>Tuesday</v>
      </c>
      <c r="S1816">
        <f>MONTH(tblTransactions[[#This Row],[Date]])</f>
        <v>1</v>
      </c>
      <c r="T1816" t="str">
        <f>VLOOKUP(E1816, Products!$A:$B,2,0)</f>
        <v>Tablets Ele-1</v>
      </c>
      <c r="U1816" t="str">
        <f>VLOOKUP(E1816,Products!$A:$C,3,0)</f>
        <v>Electronics</v>
      </c>
      <c r="V1816" t="str">
        <f>VLOOKUP(E1816,Products!$A:$D,4,0)</f>
        <v>Tablets</v>
      </c>
      <c r="W1816" t="str">
        <f>VLOOKUP(D1816,Customers!$A:$C,3,0)</f>
        <v>B2C</v>
      </c>
      <c r="X1816" t="str">
        <f>VLOOKUP(C1816,Sales_Representatives!$A:$B,2,0)</f>
        <v>Thomas Lopez</v>
      </c>
    </row>
    <row r="1817" spans="1:24" x14ac:dyDescent="0.3">
      <c r="A1817" t="s">
        <v>2614</v>
      </c>
      <c r="B1817" t="s">
        <v>2615</v>
      </c>
      <c r="C1817" t="s">
        <v>127</v>
      </c>
      <c r="D1817" t="s">
        <v>2166</v>
      </c>
      <c r="E1817" t="s">
        <v>152</v>
      </c>
      <c r="F1817">
        <v>49</v>
      </c>
      <c r="G1817">
        <v>859.93</v>
      </c>
      <c r="H1817">
        <v>0.22</v>
      </c>
      <c r="I1817" s="4">
        <v>32866.519999999997</v>
      </c>
      <c r="J1817" t="s">
        <v>109</v>
      </c>
      <c r="K1817" t="s">
        <v>35</v>
      </c>
      <c r="L1817" s="4">
        <f>VLOOKUP(tblTransactions[[#This Row],[Product_ID]],tblProducts[],5,FALSE)</f>
        <v>579.79</v>
      </c>
      <c r="M1817" s="4">
        <f>tblTransactions[[#This Row],[Total_Amount]]-(tblTransactions[[#This Row],[Cost_Prices]]*tblTransactions[[#This Row],[Quantity]]*(1-tblTransactions[[#This Row],[Discount]]))</f>
        <v>10706.946199999998</v>
      </c>
      <c r="N1817" s="3">
        <f>tblTransactions[[#This Row],[Profit]]/tblTransactions[[#This Row],[Total_Amount]]</f>
        <v>0.32577060790129286</v>
      </c>
      <c r="O1817" t="str">
        <f>TEXT(tblTransactions[[#This Row],[Date]], "MMM-YYYY")</f>
        <v>Jan-2024</v>
      </c>
      <c r="P1817" t="str">
        <f>"Q"&amp;ROUNDUP(MONTH(tblTransactions[[#This Row],[Date]])/3,0)&amp;"-"&amp;YEAR(tblTransactions[[#This Row],[Date]])</f>
        <v>Q1-2024</v>
      </c>
      <c r="Q1817">
        <f>YEAR(tblTransactions[[#This Row],[Date]])</f>
        <v>2024</v>
      </c>
      <c r="R1817" t="str">
        <f>TEXT(tblTransactions[[#This Row],[Date]],"DDDD")</f>
        <v>Wednesday</v>
      </c>
      <c r="S1817">
        <f>MONTH(tblTransactions[[#This Row],[Date]])</f>
        <v>1</v>
      </c>
      <c r="T1817" t="str">
        <f>VLOOKUP(E1817, Products!$A:$B,2,0)</f>
        <v>Phones Ele-4</v>
      </c>
      <c r="U1817" t="str">
        <f>VLOOKUP(E1817,Products!$A:$C,3,0)</f>
        <v>Electronics</v>
      </c>
      <c r="V1817" t="str">
        <f>VLOOKUP(E1817,Products!$A:$D,4,0)</f>
        <v>Phones</v>
      </c>
      <c r="W1817" t="str">
        <f>VLOOKUP(D1817,Customers!$A:$C,3,0)</f>
        <v>Enterprise</v>
      </c>
      <c r="X1817" t="str">
        <f>VLOOKUP(C1817,Sales_Representatives!$A:$B,2,0)</f>
        <v>Emily Hernandez</v>
      </c>
    </row>
    <row r="1818" spans="1:24" x14ac:dyDescent="0.3">
      <c r="A1818" t="s">
        <v>2616</v>
      </c>
      <c r="B1818" t="s">
        <v>2615</v>
      </c>
      <c r="C1818" t="s">
        <v>131</v>
      </c>
      <c r="D1818" t="s">
        <v>144</v>
      </c>
      <c r="E1818" t="s">
        <v>84</v>
      </c>
      <c r="F1818">
        <v>4</v>
      </c>
      <c r="G1818">
        <v>1841.77</v>
      </c>
      <c r="H1818">
        <v>0.04</v>
      </c>
      <c r="I1818" s="4">
        <v>7072.4</v>
      </c>
      <c r="J1818" t="s">
        <v>44</v>
      </c>
      <c r="K1818" t="s">
        <v>35</v>
      </c>
      <c r="L1818" s="4">
        <f>VLOOKUP(tblTransactions[[#This Row],[Product_ID]],tblProducts[],5,FALSE)</f>
        <v>1151.5899999999999</v>
      </c>
      <c r="M1818" s="4">
        <f>tblTransactions[[#This Row],[Total_Amount]]-(tblTransactions[[#This Row],[Cost_Prices]]*tblTransactions[[#This Row],[Quantity]]*(1-tblTransactions[[#This Row],[Discount]]))</f>
        <v>2650.2943999999998</v>
      </c>
      <c r="N1818" s="3">
        <f>tblTransactions[[#This Row],[Profit]]/tblTransactions[[#This Row],[Total_Amount]]</f>
        <v>0.37473762796221932</v>
      </c>
      <c r="O1818" t="str">
        <f>TEXT(tblTransactions[[#This Row],[Date]], "MMM-YYYY")</f>
        <v>Jan-2024</v>
      </c>
      <c r="P1818" t="str">
        <f>"Q"&amp;ROUNDUP(MONTH(tblTransactions[[#This Row],[Date]])/3,0)&amp;"-"&amp;YEAR(tblTransactions[[#This Row],[Date]])</f>
        <v>Q1-2024</v>
      </c>
      <c r="Q1818">
        <f>YEAR(tblTransactions[[#This Row],[Date]])</f>
        <v>2024</v>
      </c>
      <c r="R1818" t="str">
        <f>TEXT(tblTransactions[[#This Row],[Date]],"DDDD")</f>
        <v>Wednesday</v>
      </c>
      <c r="S1818">
        <f>MONTH(tblTransactions[[#This Row],[Date]])</f>
        <v>1</v>
      </c>
      <c r="T1818" t="str">
        <f>VLOOKUP(E1818, Products!$A:$B,2,0)</f>
        <v>Laptops Ele-2</v>
      </c>
      <c r="U1818" t="str">
        <f>VLOOKUP(E1818,Products!$A:$C,3,0)</f>
        <v>Electronics</v>
      </c>
      <c r="V1818" t="str">
        <f>VLOOKUP(E1818,Products!$A:$D,4,0)</f>
        <v>Laptops</v>
      </c>
      <c r="W1818" t="str">
        <f>VLOOKUP(D1818,Customers!$A:$C,3,0)</f>
        <v>B2C</v>
      </c>
      <c r="X1818" t="str">
        <f>VLOOKUP(C1818,Sales_Representatives!$A:$B,2,0)</f>
        <v>Michael Davis</v>
      </c>
    </row>
    <row r="1819" spans="1:24" x14ac:dyDescent="0.3">
      <c r="A1819" t="s">
        <v>2617</v>
      </c>
      <c r="B1819" t="s">
        <v>2615</v>
      </c>
      <c r="C1819" t="s">
        <v>27</v>
      </c>
      <c r="D1819" t="s">
        <v>2003</v>
      </c>
      <c r="E1819" t="s">
        <v>15</v>
      </c>
      <c r="F1819">
        <v>1</v>
      </c>
      <c r="G1819">
        <v>477.48</v>
      </c>
      <c r="H1819">
        <v>0.03</v>
      </c>
      <c r="I1819" s="4">
        <v>463.16</v>
      </c>
      <c r="J1819" t="s">
        <v>16</v>
      </c>
      <c r="K1819" t="s">
        <v>35</v>
      </c>
      <c r="L1819" s="4">
        <f>VLOOKUP(tblTransactions[[#This Row],[Product_ID]],tblProducts[],5,FALSE)</f>
        <v>275.51</v>
      </c>
      <c r="M1819" s="4">
        <f>tblTransactions[[#This Row],[Total_Amount]]-(tblTransactions[[#This Row],[Cost_Prices]]*tblTransactions[[#This Row],[Quantity]]*(1-tblTransactions[[#This Row],[Discount]]))</f>
        <v>195.91530000000006</v>
      </c>
      <c r="N1819" s="3">
        <f>tblTransactions[[#This Row],[Profit]]/tblTransactions[[#This Row],[Total_Amount]]</f>
        <v>0.4229970204680889</v>
      </c>
      <c r="O1819" t="str">
        <f>TEXT(tblTransactions[[#This Row],[Date]], "MMM-YYYY")</f>
        <v>Jan-2024</v>
      </c>
      <c r="P1819" t="str">
        <f>"Q"&amp;ROUNDUP(MONTH(tblTransactions[[#This Row],[Date]])/3,0)&amp;"-"&amp;YEAR(tblTransactions[[#This Row],[Date]])</f>
        <v>Q1-2024</v>
      </c>
      <c r="Q1819">
        <f>YEAR(tblTransactions[[#This Row],[Date]])</f>
        <v>2024</v>
      </c>
      <c r="R1819" t="str">
        <f>TEXT(tblTransactions[[#This Row],[Date]],"DDDD")</f>
        <v>Wednesday</v>
      </c>
      <c r="S1819">
        <f>MONTH(tblTransactions[[#This Row],[Date]])</f>
        <v>1</v>
      </c>
      <c r="T1819" t="str">
        <f>VLOOKUP(E1819, Products!$A:$B,2,0)</f>
        <v>Laptops Ele-4</v>
      </c>
      <c r="U1819" t="str">
        <f>VLOOKUP(E1819,Products!$A:$C,3,0)</f>
        <v>Electronics</v>
      </c>
      <c r="V1819" t="str">
        <f>VLOOKUP(E1819,Products!$A:$D,4,0)</f>
        <v>Laptops</v>
      </c>
      <c r="W1819" t="str">
        <f>VLOOKUP(D1819,Customers!$A:$C,3,0)</f>
        <v>Small Business</v>
      </c>
      <c r="X1819" t="str">
        <f>VLOOKUP(C1819,Sales_Representatives!$A:$B,2,0)</f>
        <v>Thomas Lopez</v>
      </c>
    </row>
    <row r="1820" spans="1:24" x14ac:dyDescent="0.3">
      <c r="A1820" t="s">
        <v>2618</v>
      </c>
      <c r="B1820" t="s">
        <v>2615</v>
      </c>
      <c r="C1820" t="s">
        <v>41</v>
      </c>
      <c r="D1820" t="s">
        <v>1573</v>
      </c>
      <c r="E1820" t="s">
        <v>221</v>
      </c>
      <c r="F1820">
        <v>7</v>
      </c>
      <c r="G1820">
        <v>210.02</v>
      </c>
      <c r="H1820">
        <v>0.14000000000000001</v>
      </c>
      <c r="I1820" s="4">
        <v>1264.32</v>
      </c>
      <c r="J1820" t="s">
        <v>44</v>
      </c>
      <c r="K1820" t="s">
        <v>48</v>
      </c>
      <c r="L1820" s="4">
        <f>VLOOKUP(tblTransactions[[#This Row],[Product_ID]],tblProducts[],5,FALSE)</f>
        <v>131.66</v>
      </c>
      <c r="M1820" s="4">
        <f>tblTransactions[[#This Row],[Total_Amount]]-(tblTransactions[[#This Row],[Cost_Prices]]*tblTransactions[[#This Row],[Quantity]]*(1-tblTransactions[[#This Row],[Discount]]))</f>
        <v>471.72679999999991</v>
      </c>
      <c r="N1820" s="3">
        <f>tblTransactions[[#This Row],[Profit]]/tblTransactions[[#This Row],[Total_Amount]]</f>
        <v>0.37310712477853702</v>
      </c>
      <c r="O1820" t="str">
        <f>TEXT(tblTransactions[[#This Row],[Date]], "MMM-YYYY")</f>
        <v>Jan-2024</v>
      </c>
      <c r="P1820" t="str">
        <f>"Q"&amp;ROUNDUP(MONTH(tblTransactions[[#This Row],[Date]])/3,0)&amp;"-"&amp;YEAR(tblTransactions[[#This Row],[Date]])</f>
        <v>Q1-2024</v>
      </c>
      <c r="Q1820">
        <f>YEAR(tblTransactions[[#This Row],[Date]])</f>
        <v>2024</v>
      </c>
      <c r="R1820" t="str">
        <f>TEXT(tblTransactions[[#This Row],[Date]],"DDDD")</f>
        <v>Wednesday</v>
      </c>
      <c r="S1820">
        <f>MONTH(tblTransactions[[#This Row],[Date]])</f>
        <v>1</v>
      </c>
      <c r="T1820" t="str">
        <f>VLOOKUP(E1820, Products!$A:$B,2,0)</f>
        <v>Storage Fur-2</v>
      </c>
      <c r="U1820" t="str">
        <f>VLOOKUP(E1820,Products!$A:$C,3,0)</f>
        <v>Furniture</v>
      </c>
      <c r="V1820" t="str">
        <f>VLOOKUP(E1820,Products!$A:$D,4,0)</f>
        <v>Storage</v>
      </c>
      <c r="W1820" t="str">
        <f>VLOOKUP(D1820,Customers!$A:$C,3,0)</f>
        <v>Small Business</v>
      </c>
      <c r="X1820" t="str">
        <f>VLOOKUP(C1820,Sales_Representatives!$A:$B,2,0)</f>
        <v>Robert Jones</v>
      </c>
    </row>
    <row r="1821" spans="1:24" x14ac:dyDescent="0.3">
      <c r="A1821" t="s">
        <v>2619</v>
      </c>
      <c r="B1821" t="s">
        <v>2615</v>
      </c>
      <c r="C1821" t="s">
        <v>107</v>
      </c>
      <c r="D1821" t="s">
        <v>2620</v>
      </c>
      <c r="E1821" t="s">
        <v>113</v>
      </c>
      <c r="F1821">
        <v>8</v>
      </c>
      <c r="G1821">
        <v>930.41</v>
      </c>
      <c r="H1821">
        <v>0.06</v>
      </c>
      <c r="I1821" s="4">
        <v>6996.68</v>
      </c>
      <c r="J1821" t="s">
        <v>109</v>
      </c>
      <c r="K1821" t="s">
        <v>48</v>
      </c>
      <c r="L1821" s="4">
        <f>VLOOKUP(tblTransactions[[#This Row],[Product_ID]],tblProducts[],5,FALSE)</f>
        <v>595.51</v>
      </c>
      <c r="M1821" s="4">
        <f>tblTransactions[[#This Row],[Total_Amount]]-(tblTransactions[[#This Row],[Cost_Prices]]*tblTransactions[[#This Row],[Quantity]]*(1-tblTransactions[[#This Row],[Discount]]))</f>
        <v>2518.4448000000002</v>
      </c>
      <c r="N1821" s="3">
        <f>tblTransactions[[#This Row],[Profit]]/tblTransactions[[#This Row],[Total_Amount]]</f>
        <v>0.35994854702516055</v>
      </c>
      <c r="O1821" t="str">
        <f>TEXT(tblTransactions[[#This Row],[Date]], "MMM-YYYY")</f>
        <v>Jan-2024</v>
      </c>
      <c r="P1821" t="str">
        <f>"Q"&amp;ROUNDUP(MONTH(tblTransactions[[#This Row],[Date]])/3,0)&amp;"-"&amp;YEAR(tblTransactions[[#This Row],[Date]])</f>
        <v>Q1-2024</v>
      </c>
      <c r="Q1821">
        <f>YEAR(tblTransactions[[#This Row],[Date]])</f>
        <v>2024</v>
      </c>
      <c r="R1821" t="str">
        <f>TEXT(tblTransactions[[#This Row],[Date]],"DDDD")</f>
        <v>Wednesday</v>
      </c>
      <c r="S1821">
        <f>MONTH(tblTransactions[[#This Row],[Date]])</f>
        <v>1</v>
      </c>
      <c r="T1821" t="str">
        <f>VLOOKUP(E1821, Products!$A:$B,2,0)</f>
        <v>Phones Ele-1</v>
      </c>
      <c r="U1821" t="str">
        <f>VLOOKUP(E1821,Products!$A:$C,3,0)</f>
        <v>Electronics</v>
      </c>
      <c r="V1821" t="str">
        <f>VLOOKUP(E1821,Products!$A:$D,4,0)</f>
        <v>Phones</v>
      </c>
      <c r="W1821" t="str">
        <f>VLOOKUP(D1821,Customers!$A:$C,3,0)</f>
        <v>Enterprise</v>
      </c>
      <c r="X1821" t="str">
        <f>VLOOKUP(C1821,Sales_Representatives!$A:$B,2,0)</f>
        <v>Jennifer Brown</v>
      </c>
    </row>
    <row r="1822" spans="1:24" x14ac:dyDescent="0.3">
      <c r="A1822" t="s">
        <v>2621</v>
      </c>
      <c r="B1822" t="s">
        <v>2615</v>
      </c>
      <c r="C1822" t="s">
        <v>127</v>
      </c>
      <c r="D1822" t="s">
        <v>1994</v>
      </c>
      <c r="E1822" t="s">
        <v>204</v>
      </c>
      <c r="F1822">
        <v>2</v>
      </c>
      <c r="G1822">
        <v>715.62</v>
      </c>
      <c r="H1822">
        <v>0.1</v>
      </c>
      <c r="I1822" s="4">
        <v>1288.1199999999999</v>
      </c>
      <c r="J1822" t="s">
        <v>109</v>
      </c>
      <c r="K1822" t="s">
        <v>35</v>
      </c>
      <c r="L1822" s="4">
        <f>VLOOKUP(tblTransactions[[#This Row],[Product_ID]],tblProducts[],5,FALSE)</f>
        <v>459.58</v>
      </c>
      <c r="M1822" s="4">
        <f>tblTransactions[[#This Row],[Total_Amount]]-(tblTransactions[[#This Row],[Cost_Prices]]*tblTransactions[[#This Row],[Quantity]]*(1-tblTransactions[[#This Row],[Discount]]))</f>
        <v>460.87599999999986</v>
      </c>
      <c r="N1822" s="3">
        <f>tblTransactions[[#This Row],[Profit]]/tblTransactions[[#This Row],[Total_Amount]]</f>
        <v>0.35778964692730486</v>
      </c>
      <c r="O1822" t="str">
        <f>TEXT(tblTransactions[[#This Row],[Date]], "MMM-YYYY")</f>
        <v>Jan-2024</v>
      </c>
      <c r="P1822" t="str">
        <f>"Q"&amp;ROUNDUP(MONTH(tblTransactions[[#This Row],[Date]])/3,0)&amp;"-"&amp;YEAR(tblTransactions[[#This Row],[Date]])</f>
        <v>Q1-2024</v>
      </c>
      <c r="Q1822">
        <f>YEAR(tblTransactions[[#This Row],[Date]])</f>
        <v>2024</v>
      </c>
      <c r="R1822" t="str">
        <f>TEXT(tblTransactions[[#This Row],[Date]],"DDDD")</f>
        <v>Wednesday</v>
      </c>
      <c r="S1822">
        <f>MONTH(tblTransactions[[#This Row],[Date]])</f>
        <v>1</v>
      </c>
      <c r="T1822" t="str">
        <f>VLOOKUP(E1822, Products!$A:$B,2,0)</f>
        <v>Cameras Ele-2</v>
      </c>
      <c r="U1822" t="str">
        <f>VLOOKUP(E1822,Products!$A:$C,3,0)</f>
        <v>Electronics</v>
      </c>
      <c r="V1822" t="str">
        <f>VLOOKUP(E1822,Products!$A:$D,4,0)</f>
        <v>Cameras</v>
      </c>
      <c r="W1822" t="str">
        <f>VLOOKUP(D1822,Customers!$A:$C,3,0)</f>
        <v>B2C</v>
      </c>
      <c r="X1822" t="str">
        <f>VLOOKUP(C1822,Sales_Representatives!$A:$B,2,0)</f>
        <v>Emily Hernandez</v>
      </c>
    </row>
    <row r="1823" spans="1:24" x14ac:dyDescent="0.3">
      <c r="A1823" t="s">
        <v>2622</v>
      </c>
      <c r="B1823" t="s">
        <v>2615</v>
      </c>
      <c r="C1823" t="s">
        <v>63</v>
      </c>
      <c r="D1823" t="s">
        <v>1936</v>
      </c>
      <c r="E1823" t="s">
        <v>91</v>
      </c>
      <c r="F1823">
        <v>14</v>
      </c>
      <c r="G1823">
        <v>286.62</v>
      </c>
      <c r="H1823">
        <v>0.15</v>
      </c>
      <c r="I1823" s="4">
        <v>3410.78</v>
      </c>
      <c r="J1823" t="s">
        <v>21</v>
      </c>
      <c r="K1823" t="s">
        <v>17</v>
      </c>
      <c r="L1823" s="4">
        <f>VLOOKUP(tblTransactions[[#This Row],[Product_ID]],tblProducts[],5,FALSE)</f>
        <v>145.54</v>
      </c>
      <c r="M1823" s="4">
        <f>tblTransactions[[#This Row],[Total_Amount]]-(tblTransactions[[#This Row],[Cost_Prices]]*tblTransactions[[#This Row],[Quantity]]*(1-tblTransactions[[#This Row],[Discount]]))</f>
        <v>1678.8540000000003</v>
      </c>
      <c r="N1823" s="3">
        <f>tblTransactions[[#This Row],[Profit]]/tblTransactions[[#This Row],[Total_Amount]]</f>
        <v>0.49221996141645025</v>
      </c>
      <c r="O1823" t="str">
        <f>TEXT(tblTransactions[[#This Row],[Date]], "MMM-YYYY")</f>
        <v>Jan-2024</v>
      </c>
      <c r="P1823" t="str">
        <f>"Q"&amp;ROUNDUP(MONTH(tblTransactions[[#This Row],[Date]])/3,0)&amp;"-"&amp;YEAR(tblTransactions[[#This Row],[Date]])</f>
        <v>Q1-2024</v>
      </c>
      <c r="Q1823">
        <f>YEAR(tblTransactions[[#This Row],[Date]])</f>
        <v>2024</v>
      </c>
      <c r="R1823" t="str">
        <f>TEXT(tblTransactions[[#This Row],[Date]],"DDDD")</f>
        <v>Wednesday</v>
      </c>
      <c r="S1823">
        <f>MONTH(tblTransactions[[#This Row],[Date]])</f>
        <v>1</v>
      </c>
      <c r="T1823" t="str">
        <f>VLOOKUP(E1823, Products!$A:$B,2,0)</f>
        <v>Chairs Fur-1</v>
      </c>
      <c r="U1823" t="str">
        <f>VLOOKUP(E1823,Products!$A:$C,3,0)</f>
        <v>Furniture</v>
      </c>
      <c r="V1823" t="str">
        <f>VLOOKUP(E1823,Products!$A:$D,4,0)</f>
        <v>Chairs</v>
      </c>
      <c r="W1823" t="str">
        <f>VLOOKUP(D1823,Customers!$A:$C,3,0)</f>
        <v>Enterprise</v>
      </c>
      <c r="X1823" t="str">
        <f>VLOOKUP(C1823,Sales_Representatives!$A:$B,2,0)</f>
        <v>Richard Wilson</v>
      </c>
    </row>
    <row r="1824" spans="1:24" x14ac:dyDescent="0.3">
      <c r="A1824" t="s">
        <v>2623</v>
      </c>
      <c r="B1824" t="s">
        <v>2624</v>
      </c>
      <c r="C1824" t="s">
        <v>131</v>
      </c>
      <c r="D1824" t="s">
        <v>1697</v>
      </c>
      <c r="E1824" t="s">
        <v>113</v>
      </c>
      <c r="F1824">
        <v>1</v>
      </c>
      <c r="G1824">
        <v>930.41</v>
      </c>
      <c r="H1824">
        <v>0.06</v>
      </c>
      <c r="I1824" s="4">
        <v>874.59</v>
      </c>
      <c r="J1824" t="s">
        <v>44</v>
      </c>
      <c r="K1824" t="s">
        <v>48</v>
      </c>
      <c r="L1824" s="4">
        <f>VLOOKUP(tblTransactions[[#This Row],[Product_ID]],tblProducts[],5,FALSE)</f>
        <v>595.51</v>
      </c>
      <c r="M1824" s="4">
        <f>tblTransactions[[#This Row],[Total_Amount]]-(tblTransactions[[#This Row],[Cost_Prices]]*tblTransactions[[#This Row],[Quantity]]*(1-tblTransactions[[#This Row],[Discount]]))</f>
        <v>314.81060000000002</v>
      </c>
      <c r="N1824" s="3">
        <f>tblTransactions[[#This Row],[Profit]]/tblTransactions[[#This Row],[Total_Amount]]</f>
        <v>0.3599522061766085</v>
      </c>
      <c r="O1824" t="str">
        <f>TEXT(tblTransactions[[#This Row],[Date]], "MMM-YYYY")</f>
        <v>Jan-2024</v>
      </c>
      <c r="P1824" t="str">
        <f>"Q"&amp;ROUNDUP(MONTH(tblTransactions[[#This Row],[Date]])/3,0)&amp;"-"&amp;YEAR(tblTransactions[[#This Row],[Date]])</f>
        <v>Q1-2024</v>
      </c>
      <c r="Q1824">
        <f>YEAR(tblTransactions[[#This Row],[Date]])</f>
        <v>2024</v>
      </c>
      <c r="R1824" t="str">
        <f>TEXT(tblTransactions[[#This Row],[Date]],"DDDD")</f>
        <v>Thursday</v>
      </c>
      <c r="S1824">
        <f>MONTH(tblTransactions[[#This Row],[Date]])</f>
        <v>1</v>
      </c>
      <c r="T1824" t="str">
        <f>VLOOKUP(E1824, Products!$A:$B,2,0)</f>
        <v>Phones Ele-1</v>
      </c>
      <c r="U1824" t="str">
        <f>VLOOKUP(E1824,Products!$A:$C,3,0)</f>
        <v>Electronics</v>
      </c>
      <c r="V1824" t="str">
        <f>VLOOKUP(E1824,Products!$A:$D,4,0)</f>
        <v>Phones</v>
      </c>
      <c r="W1824" t="str">
        <f>VLOOKUP(D1824,Customers!$A:$C,3,0)</f>
        <v>B2C</v>
      </c>
      <c r="X1824" t="str">
        <f>VLOOKUP(C1824,Sales_Representatives!$A:$B,2,0)</f>
        <v>Michael Davis</v>
      </c>
    </row>
    <row r="1825" spans="1:24" x14ac:dyDescent="0.3">
      <c r="A1825" t="s">
        <v>2625</v>
      </c>
      <c r="B1825" t="s">
        <v>2624</v>
      </c>
      <c r="C1825" t="s">
        <v>27</v>
      </c>
      <c r="D1825" t="s">
        <v>1712</v>
      </c>
      <c r="E1825" t="s">
        <v>172</v>
      </c>
      <c r="F1825">
        <v>19</v>
      </c>
      <c r="G1825">
        <v>1371.15</v>
      </c>
      <c r="H1825">
        <v>0.12</v>
      </c>
      <c r="I1825" s="4">
        <v>22925.63</v>
      </c>
      <c r="J1825" t="s">
        <v>16</v>
      </c>
      <c r="K1825" t="s">
        <v>22</v>
      </c>
      <c r="L1825" s="4">
        <f>VLOOKUP(tblTransactions[[#This Row],[Product_ID]],tblProducts[],5,FALSE)</f>
        <v>989.81</v>
      </c>
      <c r="M1825" s="4">
        <f>tblTransactions[[#This Row],[Total_Amount]]-(tblTransactions[[#This Row],[Cost_Prices]]*tblTransactions[[#This Row],[Quantity]]*(1-tblTransactions[[#This Row],[Discount]]))</f>
        <v>6376.0068000000028</v>
      </c>
      <c r="N1825" s="3">
        <f>tblTransactions[[#This Row],[Profit]]/tblTransactions[[#This Row],[Total_Amount]]</f>
        <v>0.27811697213991515</v>
      </c>
      <c r="O1825" t="str">
        <f>TEXT(tblTransactions[[#This Row],[Date]], "MMM-YYYY")</f>
        <v>Jan-2024</v>
      </c>
      <c r="P1825" t="str">
        <f>"Q"&amp;ROUNDUP(MONTH(tblTransactions[[#This Row],[Date]])/3,0)&amp;"-"&amp;YEAR(tblTransactions[[#This Row],[Date]])</f>
        <v>Q1-2024</v>
      </c>
      <c r="Q1825">
        <f>YEAR(tblTransactions[[#This Row],[Date]])</f>
        <v>2024</v>
      </c>
      <c r="R1825" t="str">
        <f>TEXT(tblTransactions[[#This Row],[Date]],"DDDD")</f>
        <v>Thursday</v>
      </c>
      <c r="S1825">
        <f>MONTH(tblTransactions[[#This Row],[Date]])</f>
        <v>1</v>
      </c>
      <c r="T1825" t="str">
        <f>VLOOKUP(E1825, Products!$A:$B,2,0)</f>
        <v>Cameras Ele-4</v>
      </c>
      <c r="U1825" t="str">
        <f>VLOOKUP(E1825,Products!$A:$C,3,0)</f>
        <v>Electronics</v>
      </c>
      <c r="V1825" t="str">
        <f>VLOOKUP(E1825,Products!$A:$D,4,0)</f>
        <v>Cameras</v>
      </c>
      <c r="W1825" t="str">
        <f>VLOOKUP(D1825,Customers!$A:$C,3,0)</f>
        <v>B2B</v>
      </c>
      <c r="X1825" t="str">
        <f>VLOOKUP(C1825,Sales_Representatives!$A:$B,2,0)</f>
        <v>Thomas Lopez</v>
      </c>
    </row>
    <row r="1826" spans="1:24" x14ac:dyDescent="0.3">
      <c r="A1826" t="s">
        <v>2626</v>
      </c>
      <c r="B1826" t="s">
        <v>2624</v>
      </c>
      <c r="C1826" t="s">
        <v>70</v>
      </c>
      <c r="D1826" t="s">
        <v>2627</v>
      </c>
      <c r="E1826" t="s">
        <v>224</v>
      </c>
      <c r="F1826">
        <v>6</v>
      </c>
      <c r="G1826">
        <v>505.37</v>
      </c>
      <c r="H1826">
        <v>7.0000000000000007E-2</v>
      </c>
      <c r="I1826" s="4">
        <v>2819.96</v>
      </c>
      <c r="J1826" t="s">
        <v>16</v>
      </c>
      <c r="K1826" t="s">
        <v>39</v>
      </c>
      <c r="L1826" s="4">
        <f>VLOOKUP(tblTransactions[[#This Row],[Product_ID]],tblProducts[],5,FALSE)</f>
        <v>281.14999999999998</v>
      </c>
      <c r="M1826" s="4">
        <f>tblTransactions[[#This Row],[Total_Amount]]-(tblTransactions[[#This Row],[Cost_Prices]]*tblTransactions[[#This Row],[Quantity]]*(1-tblTransactions[[#This Row],[Discount]]))</f>
        <v>1251.1430000000003</v>
      </c>
      <c r="N1826" s="3">
        <f>tblTransactions[[#This Row],[Profit]]/tblTransactions[[#This Row],[Total_Amount]]</f>
        <v>0.44367402374501774</v>
      </c>
      <c r="O1826" t="str">
        <f>TEXT(tblTransactions[[#This Row],[Date]], "MMM-YYYY")</f>
        <v>Jan-2024</v>
      </c>
      <c r="P1826" t="str">
        <f>"Q"&amp;ROUNDUP(MONTH(tblTransactions[[#This Row],[Date]])/3,0)&amp;"-"&amp;YEAR(tblTransactions[[#This Row],[Date]])</f>
        <v>Q1-2024</v>
      </c>
      <c r="Q1826">
        <f>YEAR(tblTransactions[[#This Row],[Date]])</f>
        <v>2024</v>
      </c>
      <c r="R1826" t="str">
        <f>TEXT(tblTransactions[[#This Row],[Date]],"DDDD")</f>
        <v>Thursday</v>
      </c>
      <c r="S1826">
        <f>MONTH(tblTransactions[[#This Row],[Date]])</f>
        <v>1</v>
      </c>
      <c r="T1826" t="str">
        <f>VLOOKUP(E1826, Products!$A:$B,2,0)</f>
        <v>Desks Fur-3</v>
      </c>
      <c r="U1826" t="str">
        <f>VLOOKUP(E1826,Products!$A:$C,3,0)</f>
        <v>Furniture</v>
      </c>
      <c r="V1826" t="str">
        <f>VLOOKUP(E1826,Products!$A:$D,4,0)</f>
        <v>Desks</v>
      </c>
      <c r="W1826" t="str">
        <f>VLOOKUP(D1826,Customers!$A:$C,3,0)</f>
        <v>B2C</v>
      </c>
      <c r="X1826" t="str">
        <f>VLOOKUP(C1826,Sales_Representatives!$A:$B,2,0)</f>
        <v>Linda Smith</v>
      </c>
    </row>
    <row r="1827" spans="1:24" x14ac:dyDescent="0.3">
      <c r="A1827" t="s">
        <v>2628</v>
      </c>
      <c r="B1827" t="s">
        <v>2629</v>
      </c>
      <c r="C1827" t="s">
        <v>19</v>
      </c>
      <c r="D1827" t="s">
        <v>1502</v>
      </c>
      <c r="E1827" t="s">
        <v>224</v>
      </c>
      <c r="F1827">
        <v>7</v>
      </c>
      <c r="G1827">
        <v>505.37</v>
      </c>
      <c r="H1827">
        <v>0.1</v>
      </c>
      <c r="I1827" s="4">
        <v>3183.83</v>
      </c>
      <c r="J1827" t="s">
        <v>21</v>
      </c>
      <c r="K1827" t="s">
        <v>48</v>
      </c>
      <c r="L1827" s="4">
        <f>VLOOKUP(tblTransactions[[#This Row],[Product_ID]],tblProducts[],5,FALSE)</f>
        <v>281.14999999999998</v>
      </c>
      <c r="M1827" s="4">
        <f>tblTransactions[[#This Row],[Total_Amount]]-(tblTransactions[[#This Row],[Cost_Prices]]*tblTransactions[[#This Row],[Quantity]]*(1-tblTransactions[[#This Row],[Discount]]))</f>
        <v>1412.585</v>
      </c>
      <c r="N1827" s="3">
        <f>tblTransactions[[#This Row],[Profit]]/tblTransactions[[#This Row],[Total_Amount]]</f>
        <v>0.4436747565039591</v>
      </c>
      <c r="O1827" t="str">
        <f>TEXT(tblTransactions[[#This Row],[Date]], "MMM-YYYY")</f>
        <v>Jan-2024</v>
      </c>
      <c r="P1827" t="str">
        <f>"Q"&amp;ROUNDUP(MONTH(tblTransactions[[#This Row],[Date]])/3,0)&amp;"-"&amp;YEAR(tblTransactions[[#This Row],[Date]])</f>
        <v>Q1-2024</v>
      </c>
      <c r="Q1827">
        <f>YEAR(tblTransactions[[#This Row],[Date]])</f>
        <v>2024</v>
      </c>
      <c r="R1827" t="str">
        <f>TEXT(tblTransactions[[#This Row],[Date]],"DDDD")</f>
        <v>Friday</v>
      </c>
      <c r="S1827">
        <f>MONTH(tblTransactions[[#This Row],[Date]])</f>
        <v>1</v>
      </c>
      <c r="T1827" t="str">
        <f>VLOOKUP(E1827, Products!$A:$B,2,0)</f>
        <v>Desks Fur-3</v>
      </c>
      <c r="U1827" t="str">
        <f>VLOOKUP(E1827,Products!$A:$C,3,0)</f>
        <v>Furniture</v>
      </c>
      <c r="V1827" t="str">
        <f>VLOOKUP(E1827,Products!$A:$D,4,0)</f>
        <v>Desks</v>
      </c>
      <c r="W1827" t="str">
        <f>VLOOKUP(D1827,Customers!$A:$C,3,0)</f>
        <v>Small Business</v>
      </c>
      <c r="X1827" t="str">
        <f>VLOOKUP(C1827,Sales_Representatives!$A:$B,2,0)</f>
        <v>Robert Jones</v>
      </c>
    </row>
    <row r="1828" spans="1:24" x14ac:dyDescent="0.3">
      <c r="A1828" t="s">
        <v>2630</v>
      </c>
      <c r="B1828" t="s">
        <v>2629</v>
      </c>
      <c r="C1828" t="s">
        <v>31</v>
      </c>
      <c r="D1828" t="s">
        <v>2255</v>
      </c>
      <c r="E1828" t="s">
        <v>178</v>
      </c>
      <c r="F1828">
        <v>6</v>
      </c>
      <c r="G1828">
        <v>1623.35</v>
      </c>
      <c r="H1828">
        <v>0.13</v>
      </c>
      <c r="I1828" s="4">
        <v>8473.89</v>
      </c>
      <c r="J1828" t="s">
        <v>34</v>
      </c>
      <c r="K1828" t="s">
        <v>22</v>
      </c>
      <c r="L1828" s="4">
        <f>VLOOKUP(tblTransactions[[#This Row],[Product_ID]],tblProducts[],5,FALSE)</f>
        <v>981.45</v>
      </c>
      <c r="M1828" s="4">
        <f>tblTransactions[[#This Row],[Total_Amount]]-(tblTransactions[[#This Row],[Cost_Prices]]*tblTransactions[[#This Row],[Quantity]]*(1-tblTransactions[[#This Row],[Discount]]))</f>
        <v>3350.7209999999986</v>
      </c>
      <c r="N1828" s="3">
        <f>tblTransactions[[#This Row],[Profit]]/tblTransactions[[#This Row],[Total_Amount]]</f>
        <v>0.39541709887666687</v>
      </c>
      <c r="O1828" t="str">
        <f>TEXT(tblTransactions[[#This Row],[Date]], "MMM-YYYY")</f>
        <v>Jan-2024</v>
      </c>
      <c r="P1828" t="str">
        <f>"Q"&amp;ROUNDUP(MONTH(tblTransactions[[#This Row],[Date]])/3,0)&amp;"-"&amp;YEAR(tblTransactions[[#This Row],[Date]])</f>
        <v>Q1-2024</v>
      </c>
      <c r="Q1828">
        <f>YEAR(tblTransactions[[#This Row],[Date]])</f>
        <v>2024</v>
      </c>
      <c r="R1828" t="str">
        <f>TEXT(tblTransactions[[#This Row],[Date]],"DDDD")</f>
        <v>Friday</v>
      </c>
      <c r="S1828">
        <f>MONTH(tblTransactions[[#This Row],[Date]])</f>
        <v>1</v>
      </c>
      <c r="T1828" t="str">
        <f>VLOOKUP(E1828, Products!$A:$B,2,0)</f>
        <v>Tablets Ele-1</v>
      </c>
      <c r="U1828" t="str">
        <f>VLOOKUP(E1828,Products!$A:$C,3,0)</f>
        <v>Electronics</v>
      </c>
      <c r="V1828" t="str">
        <f>VLOOKUP(E1828,Products!$A:$D,4,0)</f>
        <v>Tablets</v>
      </c>
      <c r="W1828" t="str">
        <f>VLOOKUP(D1828,Customers!$A:$C,3,0)</f>
        <v>Small Business</v>
      </c>
      <c r="X1828" t="str">
        <f>VLOOKUP(C1828,Sales_Representatives!$A:$B,2,0)</f>
        <v>Thomas Martinez</v>
      </c>
    </row>
    <row r="1829" spans="1:24" x14ac:dyDescent="0.3">
      <c r="A1829" t="s">
        <v>2631</v>
      </c>
      <c r="B1829" t="s">
        <v>2629</v>
      </c>
      <c r="C1829" t="s">
        <v>27</v>
      </c>
      <c r="D1829" t="s">
        <v>1613</v>
      </c>
      <c r="E1829" t="s">
        <v>243</v>
      </c>
      <c r="F1829">
        <v>27</v>
      </c>
      <c r="G1829">
        <v>384.18</v>
      </c>
      <c r="H1829">
        <v>0.24</v>
      </c>
      <c r="I1829" s="4">
        <v>7883.37</v>
      </c>
      <c r="J1829" t="s">
        <v>16</v>
      </c>
      <c r="K1829" t="s">
        <v>48</v>
      </c>
      <c r="L1829" s="4">
        <f>VLOOKUP(tblTransactions[[#This Row],[Product_ID]],tblProducts[],5,FALSE)</f>
        <v>266.92</v>
      </c>
      <c r="M1829" s="4">
        <f>tblTransactions[[#This Row],[Total_Amount]]-(tblTransactions[[#This Row],[Cost_Prices]]*tblTransactions[[#This Row],[Quantity]]*(1-tblTransactions[[#This Row],[Discount]]))</f>
        <v>2406.1715999999997</v>
      </c>
      <c r="N1829" s="3">
        <f>tblTransactions[[#This Row],[Profit]]/tblTransactions[[#This Row],[Total_Amount]]</f>
        <v>0.30522119347436433</v>
      </c>
      <c r="O1829" t="str">
        <f>TEXT(tblTransactions[[#This Row],[Date]], "MMM-YYYY")</f>
        <v>Jan-2024</v>
      </c>
      <c r="P1829" t="str">
        <f>"Q"&amp;ROUNDUP(MONTH(tblTransactions[[#This Row],[Date]])/3,0)&amp;"-"&amp;YEAR(tblTransactions[[#This Row],[Date]])</f>
        <v>Q1-2024</v>
      </c>
      <c r="Q1829">
        <f>YEAR(tblTransactions[[#This Row],[Date]])</f>
        <v>2024</v>
      </c>
      <c r="R1829" t="str">
        <f>TEXT(tblTransactions[[#This Row],[Date]],"DDDD")</f>
        <v>Friday</v>
      </c>
      <c r="S1829">
        <f>MONTH(tblTransactions[[#This Row],[Date]])</f>
        <v>1</v>
      </c>
      <c r="T1829" t="str">
        <f>VLOOKUP(E1829, Products!$A:$B,2,0)</f>
        <v>Routers Tec-3</v>
      </c>
      <c r="U1829" t="str">
        <f>VLOOKUP(E1829,Products!$A:$C,3,0)</f>
        <v>Technology</v>
      </c>
      <c r="V1829" t="str">
        <f>VLOOKUP(E1829,Products!$A:$D,4,0)</f>
        <v>Routers</v>
      </c>
      <c r="W1829" t="str">
        <f>VLOOKUP(D1829,Customers!$A:$C,3,0)</f>
        <v>Enterprise</v>
      </c>
      <c r="X1829" t="str">
        <f>VLOOKUP(C1829,Sales_Representatives!$A:$B,2,0)</f>
        <v>Thomas Lopez</v>
      </c>
    </row>
    <row r="1830" spans="1:24" x14ac:dyDescent="0.3">
      <c r="A1830" t="s">
        <v>2632</v>
      </c>
      <c r="B1830" t="s">
        <v>2629</v>
      </c>
      <c r="C1830" t="s">
        <v>131</v>
      </c>
      <c r="D1830" t="s">
        <v>1475</v>
      </c>
      <c r="E1830" t="s">
        <v>176</v>
      </c>
      <c r="F1830">
        <v>48</v>
      </c>
      <c r="G1830">
        <v>1462.68</v>
      </c>
      <c r="H1830">
        <v>0.24</v>
      </c>
      <c r="I1830" s="4">
        <v>53358.57</v>
      </c>
      <c r="J1830" t="s">
        <v>44</v>
      </c>
      <c r="K1830" t="s">
        <v>35</v>
      </c>
      <c r="L1830" s="4">
        <f>VLOOKUP(tblTransactions[[#This Row],[Product_ID]],tblProducts[],5,FALSE)</f>
        <v>775.94</v>
      </c>
      <c r="M1830" s="4">
        <f>tblTransactions[[#This Row],[Total_Amount]]-(tblTransactions[[#This Row],[Cost_Prices]]*tblTransactions[[#This Row],[Quantity]]*(1-tblTransactions[[#This Row],[Discount]]))</f>
        <v>25052.278799999996</v>
      </c>
      <c r="N1830" s="3">
        <f>tblTransactions[[#This Row],[Profit]]/tblTransactions[[#This Row],[Total_Amount]]</f>
        <v>0.4695080621538395</v>
      </c>
      <c r="O1830" t="str">
        <f>TEXT(tblTransactions[[#This Row],[Date]], "MMM-YYYY")</f>
        <v>Jan-2024</v>
      </c>
      <c r="P1830" t="str">
        <f>"Q"&amp;ROUNDUP(MONTH(tblTransactions[[#This Row],[Date]])/3,0)&amp;"-"&amp;YEAR(tblTransactions[[#This Row],[Date]])</f>
        <v>Q1-2024</v>
      </c>
      <c r="Q1830">
        <f>YEAR(tblTransactions[[#This Row],[Date]])</f>
        <v>2024</v>
      </c>
      <c r="R1830" t="str">
        <f>TEXT(tblTransactions[[#This Row],[Date]],"DDDD")</f>
        <v>Friday</v>
      </c>
      <c r="S1830">
        <f>MONTH(tblTransactions[[#This Row],[Date]])</f>
        <v>1</v>
      </c>
      <c r="T1830" t="str">
        <f>VLOOKUP(E1830, Products!$A:$B,2,0)</f>
        <v>Chairs Fur-2</v>
      </c>
      <c r="U1830" t="str">
        <f>VLOOKUP(E1830,Products!$A:$C,3,0)</f>
        <v>Furniture</v>
      </c>
      <c r="V1830" t="str">
        <f>VLOOKUP(E1830,Products!$A:$D,4,0)</f>
        <v>Chairs</v>
      </c>
      <c r="W1830" t="str">
        <f>VLOOKUP(D1830,Customers!$A:$C,3,0)</f>
        <v>Enterprise</v>
      </c>
      <c r="X1830" t="str">
        <f>VLOOKUP(C1830,Sales_Representatives!$A:$B,2,0)</f>
        <v>Michael Davis</v>
      </c>
    </row>
    <row r="1831" spans="1:24" x14ac:dyDescent="0.3">
      <c r="A1831" t="s">
        <v>2633</v>
      </c>
      <c r="B1831" t="s">
        <v>2634</v>
      </c>
      <c r="C1831" t="s">
        <v>75</v>
      </c>
      <c r="D1831" t="s">
        <v>1877</v>
      </c>
      <c r="E1831" t="s">
        <v>316</v>
      </c>
      <c r="F1831">
        <v>4</v>
      </c>
      <c r="G1831">
        <v>91.42</v>
      </c>
      <c r="H1831">
        <v>7.0000000000000007E-2</v>
      </c>
      <c r="I1831" s="4">
        <v>340.08</v>
      </c>
      <c r="J1831" t="s">
        <v>44</v>
      </c>
      <c r="K1831" t="s">
        <v>17</v>
      </c>
      <c r="L1831" s="4">
        <f>VLOOKUP(tblTransactions[[#This Row],[Product_ID]],tblProducts[],5,FALSE)</f>
        <v>50.09</v>
      </c>
      <c r="M1831" s="4">
        <f>tblTransactions[[#This Row],[Total_Amount]]-(tblTransactions[[#This Row],[Cost_Prices]]*tblTransactions[[#This Row],[Quantity]]*(1-tblTransactions[[#This Row],[Discount]]))</f>
        <v>153.74519999999998</v>
      </c>
      <c r="N1831" s="3">
        <f>tblTransactions[[#This Row],[Profit]]/tblTransactions[[#This Row],[Total_Amount]]</f>
        <v>0.45208539167254763</v>
      </c>
      <c r="O1831" t="str">
        <f>TEXT(tblTransactions[[#This Row],[Date]], "MMM-YYYY")</f>
        <v>Jan-2024</v>
      </c>
      <c r="P1831" t="str">
        <f>"Q"&amp;ROUNDUP(MONTH(tblTransactions[[#This Row],[Date]])/3,0)&amp;"-"&amp;YEAR(tblTransactions[[#This Row],[Date]])</f>
        <v>Q1-2024</v>
      </c>
      <c r="Q1831">
        <f>YEAR(tblTransactions[[#This Row],[Date]])</f>
        <v>2024</v>
      </c>
      <c r="R1831" t="str">
        <f>TEXT(tblTransactions[[#This Row],[Date]],"DDDD")</f>
        <v>Saturday</v>
      </c>
      <c r="S1831">
        <f>MONTH(tblTransactions[[#This Row],[Date]])</f>
        <v>1</v>
      </c>
      <c r="T1831" t="str">
        <f>VLOOKUP(E1831, Products!$A:$B,2,0)</f>
        <v>Binders Off-3</v>
      </c>
      <c r="U1831" t="str">
        <f>VLOOKUP(E1831,Products!$A:$C,3,0)</f>
        <v>Office Supplies</v>
      </c>
      <c r="V1831" t="str">
        <f>VLOOKUP(E1831,Products!$A:$D,4,0)</f>
        <v>Binders</v>
      </c>
      <c r="W1831" t="str">
        <f>VLOOKUP(D1831,Customers!$A:$C,3,0)</f>
        <v>Small Business</v>
      </c>
      <c r="X1831" t="str">
        <f>VLOOKUP(C1831,Sales_Representatives!$A:$B,2,0)</f>
        <v>Jessica Anderson</v>
      </c>
    </row>
    <row r="1832" spans="1:24" x14ac:dyDescent="0.3">
      <c r="A1832" t="s">
        <v>2635</v>
      </c>
      <c r="B1832" t="s">
        <v>2634</v>
      </c>
      <c r="C1832" t="s">
        <v>82</v>
      </c>
      <c r="D1832" t="s">
        <v>1513</v>
      </c>
      <c r="E1832" t="s">
        <v>91</v>
      </c>
      <c r="F1832">
        <v>5</v>
      </c>
      <c r="G1832">
        <v>286.62</v>
      </c>
      <c r="H1832">
        <v>0.09</v>
      </c>
      <c r="I1832" s="4">
        <v>1304.1199999999999</v>
      </c>
      <c r="J1832" t="s">
        <v>34</v>
      </c>
      <c r="K1832" t="s">
        <v>35</v>
      </c>
      <c r="L1832" s="4">
        <f>VLOOKUP(tblTransactions[[#This Row],[Product_ID]],tblProducts[],5,FALSE)</f>
        <v>145.54</v>
      </c>
      <c r="M1832" s="4">
        <f>tblTransactions[[#This Row],[Total_Amount]]-(tblTransactions[[#This Row],[Cost_Prices]]*tblTransactions[[#This Row],[Quantity]]*(1-tblTransactions[[#This Row],[Discount]]))</f>
        <v>641.9129999999999</v>
      </c>
      <c r="N1832" s="3">
        <f>tblTransactions[[#This Row],[Profit]]/tblTransactions[[#This Row],[Total_Amount]]</f>
        <v>0.49221927429991102</v>
      </c>
      <c r="O1832" t="str">
        <f>TEXT(tblTransactions[[#This Row],[Date]], "MMM-YYYY")</f>
        <v>Jan-2024</v>
      </c>
      <c r="P1832" t="str">
        <f>"Q"&amp;ROUNDUP(MONTH(tblTransactions[[#This Row],[Date]])/3,0)&amp;"-"&amp;YEAR(tblTransactions[[#This Row],[Date]])</f>
        <v>Q1-2024</v>
      </c>
      <c r="Q1832">
        <f>YEAR(tblTransactions[[#This Row],[Date]])</f>
        <v>2024</v>
      </c>
      <c r="R1832" t="str">
        <f>TEXT(tblTransactions[[#This Row],[Date]],"DDDD")</f>
        <v>Saturday</v>
      </c>
      <c r="S1832">
        <f>MONTH(tblTransactions[[#This Row],[Date]])</f>
        <v>1</v>
      </c>
      <c r="T1832" t="str">
        <f>VLOOKUP(E1832, Products!$A:$B,2,0)</f>
        <v>Chairs Fur-1</v>
      </c>
      <c r="U1832" t="str">
        <f>VLOOKUP(E1832,Products!$A:$C,3,0)</f>
        <v>Furniture</v>
      </c>
      <c r="V1832" t="str">
        <f>VLOOKUP(E1832,Products!$A:$D,4,0)</f>
        <v>Chairs</v>
      </c>
      <c r="W1832" t="str">
        <f>VLOOKUP(D1832,Customers!$A:$C,3,0)</f>
        <v>B2C</v>
      </c>
      <c r="X1832" t="str">
        <f>VLOOKUP(C1832,Sales_Representatives!$A:$B,2,0)</f>
        <v>John Brown</v>
      </c>
    </row>
    <row r="1833" spans="1:24" x14ac:dyDescent="0.3">
      <c r="A1833" t="s">
        <v>2636</v>
      </c>
      <c r="B1833" t="s">
        <v>2634</v>
      </c>
      <c r="C1833" t="s">
        <v>56</v>
      </c>
      <c r="D1833" t="s">
        <v>2068</v>
      </c>
      <c r="E1833" t="s">
        <v>450</v>
      </c>
      <c r="F1833">
        <v>3</v>
      </c>
      <c r="G1833">
        <v>2083.92</v>
      </c>
      <c r="H1833">
        <v>7.0000000000000007E-2</v>
      </c>
      <c r="I1833" s="4">
        <v>5814.14</v>
      </c>
      <c r="J1833" t="s">
        <v>34</v>
      </c>
      <c r="K1833" t="s">
        <v>22</v>
      </c>
      <c r="L1833" s="4">
        <f>VLOOKUP(tblTransactions[[#This Row],[Product_ID]],tblProducts[],5,FALSE)</f>
        <v>1425.78</v>
      </c>
      <c r="M1833" s="4">
        <f>tblTransactions[[#This Row],[Total_Amount]]-(tblTransactions[[#This Row],[Cost_Prices]]*tblTransactions[[#This Row],[Quantity]]*(1-tblTransactions[[#This Row],[Discount]]))</f>
        <v>1836.2138000000004</v>
      </c>
      <c r="N1833" s="3">
        <f>tblTransactions[[#This Row],[Profit]]/tblTransactions[[#This Row],[Total_Amount]]</f>
        <v>0.31581864213796029</v>
      </c>
      <c r="O1833" t="str">
        <f>TEXT(tblTransactions[[#This Row],[Date]], "MMM-YYYY")</f>
        <v>Jan-2024</v>
      </c>
      <c r="P1833" t="str">
        <f>"Q"&amp;ROUNDUP(MONTH(tblTransactions[[#This Row],[Date]])/3,0)&amp;"-"&amp;YEAR(tblTransactions[[#This Row],[Date]])</f>
        <v>Q1-2024</v>
      </c>
      <c r="Q1833">
        <f>YEAR(tblTransactions[[#This Row],[Date]])</f>
        <v>2024</v>
      </c>
      <c r="R1833" t="str">
        <f>TEXT(tblTransactions[[#This Row],[Date]],"DDDD")</f>
        <v>Saturday</v>
      </c>
      <c r="S1833">
        <f>MONTH(tblTransactions[[#This Row],[Date]])</f>
        <v>1</v>
      </c>
      <c r="T1833" t="str">
        <f>VLOOKUP(E1833, Products!$A:$B,2,0)</f>
        <v>Monitors Tec-4</v>
      </c>
      <c r="U1833" t="str">
        <f>VLOOKUP(E1833,Products!$A:$C,3,0)</f>
        <v>Technology</v>
      </c>
      <c r="V1833" t="str">
        <f>VLOOKUP(E1833,Products!$A:$D,4,0)</f>
        <v>Monitors</v>
      </c>
      <c r="W1833" t="str">
        <f>VLOOKUP(D1833,Customers!$A:$C,3,0)</f>
        <v>Small Business</v>
      </c>
      <c r="X1833" t="str">
        <f>VLOOKUP(C1833,Sales_Representatives!$A:$B,2,0)</f>
        <v>Thomas Hernandez</v>
      </c>
    </row>
    <row r="1834" spans="1:24" x14ac:dyDescent="0.3">
      <c r="A1834" t="s">
        <v>2637</v>
      </c>
      <c r="B1834" t="s">
        <v>2638</v>
      </c>
      <c r="C1834" t="s">
        <v>127</v>
      </c>
      <c r="D1834" t="s">
        <v>1780</v>
      </c>
      <c r="E1834" t="s">
        <v>587</v>
      </c>
      <c r="F1834">
        <v>7</v>
      </c>
      <c r="G1834">
        <v>58.54</v>
      </c>
      <c r="H1834">
        <v>0.09</v>
      </c>
      <c r="I1834" s="4">
        <v>372.9</v>
      </c>
      <c r="J1834" t="s">
        <v>109</v>
      </c>
      <c r="K1834" t="s">
        <v>22</v>
      </c>
      <c r="L1834" s="4">
        <f>VLOOKUP(tblTransactions[[#This Row],[Product_ID]],tblProducts[],5,FALSE)</f>
        <v>25.43</v>
      </c>
      <c r="M1834" s="4">
        <f>tblTransactions[[#This Row],[Total_Amount]]-(tblTransactions[[#This Row],[Cost_Prices]]*tblTransactions[[#This Row],[Quantity]]*(1-tblTransactions[[#This Row],[Discount]]))</f>
        <v>210.91089999999997</v>
      </c>
      <c r="N1834" s="3">
        <f>tblTransactions[[#This Row],[Profit]]/tblTransactions[[#This Row],[Total_Amount]]</f>
        <v>0.56559640654330912</v>
      </c>
      <c r="O1834" t="str">
        <f>TEXT(tblTransactions[[#This Row],[Date]], "MMM-YYYY")</f>
        <v>Jan-2024</v>
      </c>
      <c r="P1834" t="str">
        <f>"Q"&amp;ROUNDUP(MONTH(tblTransactions[[#This Row],[Date]])/3,0)&amp;"-"&amp;YEAR(tblTransactions[[#This Row],[Date]])</f>
        <v>Q1-2024</v>
      </c>
      <c r="Q1834">
        <f>YEAR(tblTransactions[[#This Row],[Date]])</f>
        <v>2024</v>
      </c>
      <c r="R1834" t="str">
        <f>TEXT(tblTransactions[[#This Row],[Date]],"DDDD")</f>
        <v>Sunday</v>
      </c>
      <c r="S1834">
        <f>MONTH(tblTransactions[[#This Row],[Date]])</f>
        <v>1</v>
      </c>
      <c r="T1834" t="str">
        <f>VLOOKUP(E1834, Products!$A:$B,2,0)</f>
        <v>Paper Off-2</v>
      </c>
      <c r="U1834" t="str">
        <f>VLOOKUP(E1834,Products!$A:$C,3,0)</f>
        <v>Office Supplies</v>
      </c>
      <c r="V1834" t="str">
        <f>VLOOKUP(E1834,Products!$A:$D,4,0)</f>
        <v>Paper</v>
      </c>
      <c r="W1834" t="str">
        <f>VLOOKUP(D1834,Customers!$A:$C,3,0)</f>
        <v>B2C</v>
      </c>
      <c r="X1834" t="str">
        <f>VLOOKUP(C1834,Sales_Representatives!$A:$B,2,0)</f>
        <v>Emily Hernandez</v>
      </c>
    </row>
    <row r="1835" spans="1:24" x14ac:dyDescent="0.3">
      <c r="A1835" t="s">
        <v>2639</v>
      </c>
      <c r="B1835" t="s">
        <v>2638</v>
      </c>
      <c r="C1835" t="s">
        <v>41</v>
      </c>
      <c r="D1835" t="s">
        <v>2000</v>
      </c>
      <c r="E1835" t="s">
        <v>113</v>
      </c>
      <c r="F1835">
        <v>8</v>
      </c>
      <c r="G1835">
        <v>930.41</v>
      </c>
      <c r="H1835">
        <v>0.08</v>
      </c>
      <c r="I1835" s="4">
        <v>6847.82</v>
      </c>
      <c r="J1835" t="s">
        <v>44</v>
      </c>
      <c r="K1835" t="s">
        <v>22</v>
      </c>
      <c r="L1835" s="4">
        <f>VLOOKUP(tblTransactions[[#This Row],[Product_ID]],tblProducts[],5,FALSE)</f>
        <v>595.51</v>
      </c>
      <c r="M1835" s="4">
        <f>tblTransactions[[#This Row],[Total_Amount]]-(tblTransactions[[#This Row],[Cost_Prices]]*tblTransactions[[#This Row],[Quantity]]*(1-tblTransactions[[#This Row],[Discount]]))</f>
        <v>2464.8663999999999</v>
      </c>
      <c r="N1835" s="3">
        <f>tblTransactions[[#This Row],[Profit]]/tblTransactions[[#This Row],[Total_Amount]]</f>
        <v>0.35994906408170774</v>
      </c>
      <c r="O1835" t="str">
        <f>TEXT(tblTransactions[[#This Row],[Date]], "MMM-YYYY")</f>
        <v>Jan-2024</v>
      </c>
      <c r="P1835" t="str">
        <f>"Q"&amp;ROUNDUP(MONTH(tblTransactions[[#This Row],[Date]])/3,0)&amp;"-"&amp;YEAR(tblTransactions[[#This Row],[Date]])</f>
        <v>Q1-2024</v>
      </c>
      <c r="Q1835">
        <f>YEAR(tblTransactions[[#This Row],[Date]])</f>
        <v>2024</v>
      </c>
      <c r="R1835" t="str">
        <f>TEXT(tblTransactions[[#This Row],[Date]],"DDDD")</f>
        <v>Sunday</v>
      </c>
      <c r="S1835">
        <f>MONTH(tblTransactions[[#This Row],[Date]])</f>
        <v>1</v>
      </c>
      <c r="T1835" t="str">
        <f>VLOOKUP(E1835, Products!$A:$B,2,0)</f>
        <v>Phones Ele-1</v>
      </c>
      <c r="U1835" t="str">
        <f>VLOOKUP(E1835,Products!$A:$C,3,0)</f>
        <v>Electronics</v>
      </c>
      <c r="V1835" t="str">
        <f>VLOOKUP(E1835,Products!$A:$D,4,0)</f>
        <v>Phones</v>
      </c>
      <c r="W1835" t="str">
        <f>VLOOKUP(D1835,Customers!$A:$C,3,0)</f>
        <v>B2B</v>
      </c>
      <c r="X1835" t="str">
        <f>VLOOKUP(C1835,Sales_Representatives!$A:$B,2,0)</f>
        <v>Robert Jones</v>
      </c>
    </row>
    <row r="1836" spans="1:24" x14ac:dyDescent="0.3">
      <c r="A1836" t="s">
        <v>2640</v>
      </c>
      <c r="B1836" t="s">
        <v>2638</v>
      </c>
      <c r="C1836" t="s">
        <v>31</v>
      </c>
      <c r="D1836" t="s">
        <v>1675</v>
      </c>
      <c r="E1836" t="s">
        <v>450</v>
      </c>
      <c r="F1836">
        <v>12</v>
      </c>
      <c r="G1836">
        <v>2083.92</v>
      </c>
      <c r="H1836">
        <v>0.17</v>
      </c>
      <c r="I1836" s="4">
        <v>20755.84</v>
      </c>
      <c r="J1836" t="s">
        <v>34</v>
      </c>
      <c r="K1836" t="s">
        <v>22</v>
      </c>
      <c r="L1836" s="4">
        <f>VLOOKUP(tblTransactions[[#This Row],[Product_ID]],tblProducts[],5,FALSE)</f>
        <v>1425.78</v>
      </c>
      <c r="M1836" s="4">
        <f>tblTransactions[[#This Row],[Total_Amount]]-(tblTransactions[[#This Row],[Cost_Prices]]*tblTransactions[[#This Row],[Quantity]]*(1-tblTransactions[[#This Row],[Discount]]))</f>
        <v>6555.0712000000003</v>
      </c>
      <c r="N1836" s="3">
        <f>tblTransactions[[#This Row],[Profit]]/tblTransactions[[#This Row],[Total_Amount]]</f>
        <v>0.31581816009373748</v>
      </c>
      <c r="O1836" t="str">
        <f>TEXT(tblTransactions[[#This Row],[Date]], "MMM-YYYY")</f>
        <v>Jan-2024</v>
      </c>
      <c r="P1836" t="str">
        <f>"Q"&amp;ROUNDUP(MONTH(tblTransactions[[#This Row],[Date]])/3,0)&amp;"-"&amp;YEAR(tblTransactions[[#This Row],[Date]])</f>
        <v>Q1-2024</v>
      </c>
      <c r="Q1836">
        <f>YEAR(tblTransactions[[#This Row],[Date]])</f>
        <v>2024</v>
      </c>
      <c r="R1836" t="str">
        <f>TEXT(tblTransactions[[#This Row],[Date]],"DDDD")</f>
        <v>Sunday</v>
      </c>
      <c r="S1836">
        <f>MONTH(tblTransactions[[#This Row],[Date]])</f>
        <v>1</v>
      </c>
      <c r="T1836" t="str">
        <f>VLOOKUP(E1836, Products!$A:$B,2,0)</f>
        <v>Monitors Tec-4</v>
      </c>
      <c r="U1836" t="str">
        <f>VLOOKUP(E1836,Products!$A:$C,3,0)</f>
        <v>Technology</v>
      </c>
      <c r="V1836" t="str">
        <f>VLOOKUP(E1836,Products!$A:$D,4,0)</f>
        <v>Monitors</v>
      </c>
      <c r="W1836" t="str">
        <f>VLOOKUP(D1836,Customers!$A:$C,3,0)</f>
        <v>B2B</v>
      </c>
      <c r="X1836" t="str">
        <f>VLOOKUP(C1836,Sales_Representatives!$A:$B,2,0)</f>
        <v>Thomas Martinez</v>
      </c>
    </row>
    <row r="1837" spans="1:24" x14ac:dyDescent="0.3">
      <c r="A1837" t="s">
        <v>2641</v>
      </c>
      <c r="B1837" t="s">
        <v>2638</v>
      </c>
      <c r="C1837" t="s">
        <v>59</v>
      </c>
      <c r="D1837" t="s">
        <v>1515</v>
      </c>
      <c r="E1837" t="s">
        <v>178</v>
      </c>
      <c r="F1837">
        <v>4</v>
      </c>
      <c r="G1837">
        <v>1623.35</v>
      </c>
      <c r="H1837">
        <v>0.09</v>
      </c>
      <c r="I1837" s="4">
        <v>5908.99</v>
      </c>
      <c r="J1837" t="s">
        <v>21</v>
      </c>
      <c r="K1837" t="s">
        <v>48</v>
      </c>
      <c r="L1837" s="4">
        <f>VLOOKUP(tblTransactions[[#This Row],[Product_ID]],tblProducts[],5,FALSE)</f>
        <v>981.45</v>
      </c>
      <c r="M1837" s="4">
        <f>tblTransactions[[#This Row],[Total_Amount]]-(tblTransactions[[#This Row],[Cost_Prices]]*tblTransactions[[#This Row],[Quantity]]*(1-tblTransactions[[#This Row],[Discount]]))</f>
        <v>2336.5119999999997</v>
      </c>
      <c r="N1837" s="3">
        <f>tblTransactions[[#This Row],[Profit]]/tblTransactions[[#This Row],[Total_Amount]]</f>
        <v>0.39541647557365978</v>
      </c>
      <c r="O1837" t="str">
        <f>TEXT(tblTransactions[[#This Row],[Date]], "MMM-YYYY")</f>
        <v>Jan-2024</v>
      </c>
      <c r="P1837" t="str">
        <f>"Q"&amp;ROUNDUP(MONTH(tblTransactions[[#This Row],[Date]])/3,0)&amp;"-"&amp;YEAR(tblTransactions[[#This Row],[Date]])</f>
        <v>Q1-2024</v>
      </c>
      <c r="Q1837">
        <f>YEAR(tblTransactions[[#This Row],[Date]])</f>
        <v>2024</v>
      </c>
      <c r="R1837" t="str">
        <f>TEXT(tblTransactions[[#This Row],[Date]],"DDDD")</f>
        <v>Sunday</v>
      </c>
      <c r="S1837">
        <f>MONTH(tblTransactions[[#This Row],[Date]])</f>
        <v>1</v>
      </c>
      <c r="T1837" t="str">
        <f>VLOOKUP(E1837, Products!$A:$B,2,0)</f>
        <v>Tablets Ele-1</v>
      </c>
      <c r="U1837" t="str">
        <f>VLOOKUP(E1837,Products!$A:$C,3,0)</f>
        <v>Electronics</v>
      </c>
      <c r="V1837" t="str">
        <f>VLOOKUP(E1837,Products!$A:$D,4,0)</f>
        <v>Tablets</v>
      </c>
      <c r="W1837" t="str">
        <f>VLOOKUP(D1837,Customers!$A:$C,3,0)</f>
        <v>B2C</v>
      </c>
      <c r="X1837" t="str">
        <f>VLOOKUP(C1837,Sales_Representatives!$A:$B,2,0)</f>
        <v>Sarah Brown</v>
      </c>
    </row>
    <row r="1838" spans="1:24" x14ac:dyDescent="0.3">
      <c r="A1838" t="s">
        <v>2642</v>
      </c>
      <c r="B1838" t="s">
        <v>2638</v>
      </c>
      <c r="C1838" t="s">
        <v>63</v>
      </c>
      <c r="D1838" t="s">
        <v>2594</v>
      </c>
      <c r="E1838" t="s">
        <v>264</v>
      </c>
      <c r="F1838">
        <v>12</v>
      </c>
      <c r="G1838">
        <v>607.29999999999995</v>
      </c>
      <c r="H1838">
        <v>0.16</v>
      </c>
      <c r="I1838" s="4">
        <v>6121.58</v>
      </c>
      <c r="J1838" t="s">
        <v>21</v>
      </c>
      <c r="K1838" t="s">
        <v>22</v>
      </c>
      <c r="L1838" s="4">
        <f>VLOOKUP(tblTransactions[[#This Row],[Product_ID]],tblProducts[],5,FALSE)</f>
        <v>436.37</v>
      </c>
      <c r="M1838" s="4">
        <f>tblTransactions[[#This Row],[Total_Amount]]-(tblTransactions[[#This Row],[Cost_Prices]]*tblTransactions[[#This Row],[Quantity]]*(1-tblTransactions[[#This Row],[Discount]]))</f>
        <v>1722.9703999999992</v>
      </c>
      <c r="N1838" s="3">
        <f>tblTransactions[[#This Row],[Profit]]/tblTransactions[[#This Row],[Total_Amount]]</f>
        <v>0.28145844700224437</v>
      </c>
      <c r="O1838" t="str">
        <f>TEXT(tblTransactions[[#This Row],[Date]], "MMM-YYYY")</f>
        <v>Jan-2024</v>
      </c>
      <c r="P1838" t="str">
        <f>"Q"&amp;ROUNDUP(MONTH(tblTransactions[[#This Row],[Date]])/3,0)&amp;"-"&amp;YEAR(tblTransactions[[#This Row],[Date]])</f>
        <v>Q1-2024</v>
      </c>
      <c r="Q1838">
        <f>YEAR(tblTransactions[[#This Row],[Date]])</f>
        <v>2024</v>
      </c>
      <c r="R1838" t="str">
        <f>TEXT(tblTransactions[[#This Row],[Date]],"DDDD")</f>
        <v>Sunday</v>
      </c>
      <c r="S1838">
        <f>MONTH(tblTransactions[[#This Row],[Date]])</f>
        <v>1</v>
      </c>
      <c r="T1838" t="str">
        <f>VLOOKUP(E1838, Products!$A:$B,2,0)</f>
        <v>Tablets Ele-4</v>
      </c>
      <c r="U1838" t="str">
        <f>VLOOKUP(E1838,Products!$A:$C,3,0)</f>
        <v>Electronics</v>
      </c>
      <c r="V1838" t="str">
        <f>VLOOKUP(E1838,Products!$A:$D,4,0)</f>
        <v>Tablets</v>
      </c>
      <c r="W1838" t="str">
        <f>VLOOKUP(D1838,Customers!$A:$C,3,0)</f>
        <v>B2B</v>
      </c>
      <c r="X1838" t="str">
        <f>VLOOKUP(C1838,Sales_Representatives!$A:$B,2,0)</f>
        <v>Richard Wilson</v>
      </c>
    </row>
    <row r="1839" spans="1:24" x14ac:dyDescent="0.3">
      <c r="A1839" t="s">
        <v>2643</v>
      </c>
      <c r="B1839" t="s">
        <v>2644</v>
      </c>
      <c r="C1839" t="s">
        <v>19</v>
      </c>
      <c r="D1839" t="s">
        <v>1840</v>
      </c>
      <c r="E1839" t="s">
        <v>176</v>
      </c>
      <c r="F1839">
        <v>4</v>
      </c>
      <c r="G1839">
        <v>1462.68</v>
      </c>
      <c r="H1839">
        <v>0.09</v>
      </c>
      <c r="I1839" s="4">
        <v>5324.16</v>
      </c>
      <c r="J1839" t="s">
        <v>21</v>
      </c>
      <c r="K1839" t="s">
        <v>17</v>
      </c>
      <c r="L1839" s="4">
        <f>VLOOKUP(tblTransactions[[#This Row],[Product_ID]],tblProducts[],5,FALSE)</f>
        <v>775.94</v>
      </c>
      <c r="M1839" s="4">
        <f>tblTransactions[[#This Row],[Total_Amount]]-(tblTransactions[[#This Row],[Cost_Prices]]*tblTransactions[[#This Row],[Quantity]]*(1-tblTransactions[[#This Row],[Discount]]))</f>
        <v>2499.7383999999997</v>
      </c>
      <c r="N1839" s="3">
        <f>tblTransactions[[#This Row],[Profit]]/tblTransactions[[#This Row],[Total_Amount]]</f>
        <v>0.46950850462796007</v>
      </c>
      <c r="O1839" t="str">
        <f>TEXT(tblTransactions[[#This Row],[Date]], "MMM-YYYY")</f>
        <v>Jan-2024</v>
      </c>
      <c r="P1839" t="str">
        <f>"Q"&amp;ROUNDUP(MONTH(tblTransactions[[#This Row],[Date]])/3,0)&amp;"-"&amp;YEAR(tblTransactions[[#This Row],[Date]])</f>
        <v>Q1-2024</v>
      </c>
      <c r="Q1839">
        <f>YEAR(tblTransactions[[#This Row],[Date]])</f>
        <v>2024</v>
      </c>
      <c r="R1839" t="str">
        <f>TEXT(tblTransactions[[#This Row],[Date]],"DDDD")</f>
        <v>Monday</v>
      </c>
      <c r="S1839">
        <f>MONTH(tblTransactions[[#This Row],[Date]])</f>
        <v>1</v>
      </c>
      <c r="T1839" t="str">
        <f>VLOOKUP(E1839, Products!$A:$B,2,0)</f>
        <v>Chairs Fur-2</v>
      </c>
      <c r="U1839" t="str">
        <f>VLOOKUP(E1839,Products!$A:$C,3,0)</f>
        <v>Furniture</v>
      </c>
      <c r="V1839" t="str">
        <f>VLOOKUP(E1839,Products!$A:$D,4,0)</f>
        <v>Chairs</v>
      </c>
      <c r="W1839" t="str">
        <f>VLOOKUP(D1839,Customers!$A:$C,3,0)</f>
        <v>Small Business</v>
      </c>
      <c r="X1839" t="str">
        <f>VLOOKUP(C1839,Sales_Representatives!$A:$B,2,0)</f>
        <v>Robert Jones</v>
      </c>
    </row>
    <row r="1840" spans="1:24" x14ac:dyDescent="0.3">
      <c r="A1840" t="s">
        <v>2645</v>
      </c>
      <c r="B1840" t="s">
        <v>2644</v>
      </c>
      <c r="C1840" t="s">
        <v>70</v>
      </c>
      <c r="D1840" t="s">
        <v>76</v>
      </c>
      <c r="E1840" t="s">
        <v>224</v>
      </c>
      <c r="F1840">
        <v>2</v>
      </c>
      <c r="G1840">
        <v>505.37</v>
      </c>
      <c r="H1840">
        <v>0.02</v>
      </c>
      <c r="I1840" s="4">
        <v>990.53</v>
      </c>
      <c r="J1840" t="s">
        <v>16</v>
      </c>
      <c r="K1840" t="s">
        <v>22</v>
      </c>
      <c r="L1840" s="4">
        <f>VLOOKUP(tblTransactions[[#This Row],[Product_ID]],tblProducts[],5,FALSE)</f>
        <v>281.14999999999998</v>
      </c>
      <c r="M1840" s="4">
        <f>tblTransactions[[#This Row],[Total_Amount]]-(tblTransactions[[#This Row],[Cost_Prices]]*tblTransactions[[#This Row],[Quantity]]*(1-tblTransactions[[#This Row],[Discount]]))</f>
        <v>439.476</v>
      </c>
      <c r="N1840" s="3">
        <f>tblTransactions[[#This Row],[Profit]]/tblTransactions[[#This Row],[Total_Amount]]</f>
        <v>0.44367762712891079</v>
      </c>
      <c r="O1840" t="str">
        <f>TEXT(tblTransactions[[#This Row],[Date]], "MMM-YYYY")</f>
        <v>Jan-2024</v>
      </c>
      <c r="P1840" t="str">
        <f>"Q"&amp;ROUNDUP(MONTH(tblTransactions[[#This Row],[Date]])/3,0)&amp;"-"&amp;YEAR(tblTransactions[[#This Row],[Date]])</f>
        <v>Q1-2024</v>
      </c>
      <c r="Q1840">
        <f>YEAR(tblTransactions[[#This Row],[Date]])</f>
        <v>2024</v>
      </c>
      <c r="R1840" t="str">
        <f>TEXT(tblTransactions[[#This Row],[Date]],"DDDD")</f>
        <v>Monday</v>
      </c>
      <c r="S1840">
        <f>MONTH(tblTransactions[[#This Row],[Date]])</f>
        <v>1</v>
      </c>
      <c r="T1840" t="str">
        <f>VLOOKUP(E1840, Products!$A:$B,2,0)</f>
        <v>Desks Fur-3</v>
      </c>
      <c r="U1840" t="str">
        <f>VLOOKUP(E1840,Products!$A:$C,3,0)</f>
        <v>Furniture</v>
      </c>
      <c r="V1840" t="str">
        <f>VLOOKUP(E1840,Products!$A:$D,4,0)</f>
        <v>Desks</v>
      </c>
      <c r="W1840" t="str">
        <f>VLOOKUP(D1840,Customers!$A:$C,3,0)</f>
        <v>Small Business</v>
      </c>
      <c r="X1840" t="str">
        <f>VLOOKUP(C1840,Sales_Representatives!$A:$B,2,0)</f>
        <v>Linda Smith</v>
      </c>
    </row>
    <row r="1841" spans="1:24" x14ac:dyDescent="0.3">
      <c r="A1841" t="s">
        <v>2646</v>
      </c>
      <c r="B1841" t="s">
        <v>2644</v>
      </c>
      <c r="C1841" t="s">
        <v>31</v>
      </c>
      <c r="D1841" t="s">
        <v>2287</v>
      </c>
      <c r="E1841" t="s">
        <v>87</v>
      </c>
      <c r="F1841">
        <v>15</v>
      </c>
      <c r="G1841">
        <v>1047.8900000000001</v>
      </c>
      <c r="H1841">
        <v>0.14000000000000001</v>
      </c>
      <c r="I1841" s="4">
        <v>13517.78</v>
      </c>
      <c r="J1841" t="s">
        <v>34</v>
      </c>
      <c r="K1841" t="s">
        <v>22</v>
      </c>
      <c r="L1841" s="4">
        <f>VLOOKUP(tblTransactions[[#This Row],[Product_ID]],tblProducts[],5,FALSE)</f>
        <v>742.63</v>
      </c>
      <c r="M1841" s="4">
        <f>tblTransactions[[#This Row],[Total_Amount]]-(tblTransactions[[#This Row],[Cost_Prices]]*tblTransactions[[#This Row],[Quantity]]*(1-tblTransactions[[#This Row],[Discount]]))</f>
        <v>3937.853000000001</v>
      </c>
      <c r="N1841" s="3">
        <f>tblTransactions[[#This Row],[Profit]]/tblTransactions[[#This Row],[Total_Amount]]</f>
        <v>0.29130914987520146</v>
      </c>
      <c r="O1841" t="str">
        <f>TEXT(tblTransactions[[#This Row],[Date]], "MMM-YYYY")</f>
        <v>Jan-2024</v>
      </c>
      <c r="P1841" t="str">
        <f>"Q"&amp;ROUNDUP(MONTH(tblTransactions[[#This Row],[Date]])/3,0)&amp;"-"&amp;YEAR(tblTransactions[[#This Row],[Date]])</f>
        <v>Q1-2024</v>
      </c>
      <c r="Q1841">
        <f>YEAR(tblTransactions[[#This Row],[Date]])</f>
        <v>2024</v>
      </c>
      <c r="R1841" t="str">
        <f>TEXT(tblTransactions[[#This Row],[Date]],"DDDD")</f>
        <v>Monday</v>
      </c>
      <c r="S1841">
        <f>MONTH(tblTransactions[[#This Row],[Date]])</f>
        <v>1</v>
      </c>
      <c r="T1841" t="str">
        <f>VLOOKUP(E1841, Products!$A:$B,2,0)</f>
        <v>Monitors Tec-2</v>
      </c>
      <c r="U1841" t="str">
        <f>VLOOKUP(E1841,Products!$A:$C,3,0)</f>
        <v>Technology</v>
      </c>
      <c r="V1841" t="str">
        <f>VLOOKUP(E1841,Products!$A:$D,4,0)</f>
        <v>Monitors</v>
      </c>
      <c r="W1841" t="str">
        <f>VLOOKUP(D1841,Customers!$A:$C,3,0)</f>
        <v>B2B</v>
      </c>
      <c r="X1841" t="str">
        <f>VLOOKUP(C1841,Sales_Representatives!$A:$B,2,0)</f>
        <v>Thomas Martinez</v>
      </c>
    </row>
    <row r="1842" spans="1:24" x14ac:dyDescent="0.3">
      <c r="A1842" t="s">
        <v>2647</v>
      </c>
      <c r="B1842" t="s">
        <v>2644</v>
      </c>
      <c r="C1842" t="s">
        <v>82</v>
      </c>
      <c r="D1842" t="s">
        <v>52</v>
      </c>
      <c r="E1842" t="s">
        <v>339</v>
      </c>
      <c r="F1842">
        <v>1</v>
      </c>
      <c r="G1842">
        <v>1100.8800000000001</v>
      </c>
      <c r="H1842">
        <v>0.03</v>
      </c>
      <c r="I1842" s="4">
        <v>1067.8499999999999</v>
      </c>
      <c r="J1842" t="s">
        <v>34</v>
      </c>
      <c r="K1842" t="s">
        <v>17</v>
      </c>
      <c r="L1842" s="4">
        <f>VLOOKUP(tblTransactions[[#This Row],[Product_ID]],tblProducts[],5,FALSE)</f>
        <v>761.53</v>
      </c>
      <c r="M1842" s="4">
        <f>tblTransactions[[#This Row],[Total_Amount]]-(tblTransactions[[#This Row],[Cost_Prices]]*tblTransactions[[#This Row],[Quantity]]*(1-tblTransactions[[#This Row],[Discount]]))</f>
        <v>329.16589999999997</v>
      </c>
      <c r="N1842" s="3">
        <f>tblTransactions[[#This Row],[Profit]]/tblTransactions[[#This Row],[Total_Amount]]</f>
        <v>0.30825106522451656</v>
      </c>
      <c r="O1842" t="str">
        <f>TEXT(tblTransactions[[#This Row],[Date]], "MMM-YYYY")</f>
        <v>Jan-2024</v>
      </c>
      <c r="P1842" t="str">
        <f>"Q"&amp;ROUNDUP(MONTH(tblTransactions[[#This Row],[Date]])/3,0)&amp;"-"&amp;YEAR(tblTransactions[[#This Row],[Date]])</f>
        <v>Q1-2024</v>
      </c>
      <c r="Q1842">
        <f>YEAR(tblTransactions[[#This Row],[Date]])</f>
        <v>2024</v>
      </c>
      <c r="R1842" t="str">
        <f>TEXT(tblTransactions[[#This Row],[Date]],"DDDD")</f>
        <v>Monday</v>
      </c>
      <c r="S1842">
        <f>MONTH(tblTransactions[[#This Row],[Date]])</f>
        <v>1</v>
      </c>
      <c r="T1842" t="str">
        <f>VLOOKUP(E1842, Products!$A:$B,2,0)</f>
        <v>Phones Ele-2</v>
      </c>
      <c r="U1842" t="str">
        <f>VLOOKUP(E1842,Products!$A:$C,3,0)</f>
        <v>Electronics</v>
      </c>
      <c r="V1842" t="str">
        <f>VLOOKUP(E1842,Products!$A:$D,4,0)</f>
        <v>Phones</v>
      </c>
      <c r="W1842" t="str">
        <f>VLOOKUP(D1842,Customers!$A:$C,3,0)</f>
        <v>B2C</v>
      </c>
      <c r="X1842" t="str">
        <f>VLOOKUP(C1842,Sales_Representatives!$A:$B,2,0)</f>
        <v>John Brown</v>
      </c>
    </row>
    <row r="1843" spans="1:24" x14ac:dyDescent="0.3">
      <c r="A1843" t="s">
        <v>2648</v>
      </c>
      <c r="B1843" t="s">
        <v>2644</v>
      </c>
      <c r="C1843" t="s">
        <v>41</v>
      </c>
      <c r="D1843" t="s">
        <v>1883</v>
      </c>
      <c r="E1843" t="s">
        <v>148</v>
      </c>
      <c r="F1843">
        <v>7</v>
      </c>
      <c r="G1843">
        <v>20.420000000000002</v>
      </c>
      <c r="H1843">
        <v>0.06</v>
      </c>
      <c r="I1843" s="4">
        <v>134.36000000000001</v>
      </c>
      <c r="J1843" t="s">
        <v>44</v>
      </c>
      <c r="K1843" t="s">
        <v>22</v>
      </c>
      <c r="L1843" s="4">
        <f>VLOOKUP(tblTransactions[[#This Row],[Product_ID]],tblProducts[],5,FALSE)</f>
        <v>9.56</v>
      </c>
      <c r="M1843" s="4">
        <f>tblTransactions[[#This Row],[Total_Amount]]-(tblTransactions[[#This Row],[Cost_Prices]]*tblTransactions[[#This Row],[Quantity]]*(1-tblTransactions[[#This Row],[Discount]]))</f>
        <v>71.455200000000019</v>
      </c>
      <c r="N1843" s="3">
        <f>tblTransactions[[#This Row],[Profit]]/tblTransactions[[#This Row],[Total_Amount]]</f>
        <v>0.53181899374813946</v>
      </c>
      <c r="O1843" t="str">
        <f>TEXT(tblTransactions[[#This Row],[Date]], "MMM-YYYY")</f>
        <v>Jan-2024</v>
      </c>
      <c r="P1843" t="str">
        <f>"Q"&amp;ROUNDUP(MONTH(tblTransactions[[#This Row],[Date]])/3,0)&amp;"-"&amp;YEAR(tblTransactions[[#This Row],[Date]])</f>
        <v>Q1-2024</v>
      </c>
      <c r="Q1843">
        <f>YEAR(tblTransactions[[#This Row],[Date]])</f>
        <v>2024</v>
      </c>
      <c r="R1843" t="str">
        <f>TEXT(tblTransactions[[#This Row],[Date]],"DDDD")</f>
        <v>Monday</v>
      </c>
      <c r="S1843">
        <f>MONTH(tblTransactions[[#This Row],[Date]])</f>
        <v>1</v>
      </c>
      <c r="T1843" t="str">
        <f>VLOOKUP(E1843, Products!$A:$B,2,0)</f>
        <v>Cases Acc-3</v>
      </c>
      <c r="U1843" t="str">
        <f>VLOOKUP(E1843,Products!$A:$C,3,0)</f>
        <v>Accessories</v>
      </c>
      <c r="V1843" t="str">
        <f>VLOOKUP(E1843,Products!$A:$D,4,0)</f>
        <v>Cases</v>
      </c>
      <c r="W1843" t="str">
        <f>VLOOKUP(D1843,Customers!$A:$C,3,0)</f>
        <v>B2C</v>
      </c>
      <c r="X1843" t="str">
        <f>VLOOKUP(C1843,Sales_Representatives!$A:$B,2,0)</f>
        <v>Robert Jones</v>
      </c>
    </row>
    <row r="1844" spans="1:24" x14ac:dyDescent="0.3">
      <c r="A1844" t="s">
        <v>2649</v>
      </c>
      <c r="B1844" t="s">
        <v>2644</v>
      </c>
      <c r="C1844" t="s">
        <v>82</v>
      </c>
      <c r="D1844" t="s">
        <v>197</v>
      </c>
      <c r="E1844" t="s">
        <v>450</v>
      </c>
      <c r="F1844">
        <v>45</v>
      </c>
      <c r="G1844">
        <v>2083.92</v>
      </c>
      <c r="H1844">
        <v>0.17</v>
      </c>
      <c r="I1844" s="4">
        <v>77834.41</v>
      </c>
      <c r="J1844" t="s">
        <v>34</v>
      </c>
      <c r="K1844" t="s">
        <v>22</v>
      </c>
      <c r="L1844" s="4">
        <f>VLOOKUP(tblTransactions[[#This Row],[Product_ID]],tblProducts[],5,FALSE)</f>
        <v>1425.78</v>
      </c>
      <c r="M1844" s="4">
        <f>tblTransactions[[#This Row],[Total_Amount]]-(tblTransactions[[#This Row],[Cost_Prices]]*tblTransactions[[#This Row],[Quantity]]*(1-tblTransactions[[#This Row],[Discount]]))</f>
        <v>24581.527000000009</v>
      </c>
      <c r="N1844" s="3">
        <f>tblTransactions[[#This Row],[Profit]]/tblTransactions[[#This Row],[Total_Amount]]</f>
        <v>0.31581824799597003</v>
      </c>
      <c r="O1844" t="str">
        <f>TEXT(tblTransactions[[#This Row],[Date]], "MMM-YYYY")</f>
        <v>Jan-2024</v>
      </c>
      <c r="P1844" t="str">
        <f>"Q"&amp;ROUNDUP(MONTH(tblTransactions[[#This Row],[Date]])/3,0)&amp;"-"&amp;YEAR(tblTransactions[[#This Row],[Date]])</f>
        <v>Q1-2024</v>
      </c>
      <c r="Q1844">
        <f>YEAR(tblTransactions[[#This Row],[Date]])</f>
        <v>2024</v>
      </c>
      <c r="R1844" t="str">
        <f>TEXT(tblTransactions[[#This Row],[Date]],"DDDD")</f>
        <v>Monday</v>
      </c>
      <c r="S1844">
        <f>MONTH(tblTransactions[[#This Row],[Date]])</f>
        <v>1</v>
      </c>
      <c r="T1844" t="str">
        <f>VLOOKUP(E1844, Products!$A:$B,2,0)</f>
        <v>Monitors Tec-4</v>
      </c>
      <c r="U1844" t="str">
        <f>VLOOKUP(E1844,Products!$A:$C,3,0)</f>
        <v>Technology</v>
      </c>
      <c r="V1844" t="str">
        <f>VLOOKUP(E1844,Products!$A:$D,4,0)</f>
        <v>Monitors</v>
      </c>
      <c r="W1844" t="str">
        <f>VLOOKUP(D1844,Customers!$A:$C,3,0)</f>
        <v>Enterprise</v>
      </c>
      <c r="X1844" t="str">
        <f>VLOOKUP(C1844,Sales_Representatives!$A:$B,2,0)</f>
        <v>John Brown</v>
      </c>
    </row>
    <row r="1845" spans="1:24" x14ac:dyDescent="0.3">
      <c r="A1845" t="s">
        <v>2650</v>
      </c>
      <c r="B1845" t="s">
        <v>2651</v>
      </c>
      <c r="C1845" t="s">
        <v>82</v>
      </c>
      <c r="D1845" t="s">
        <v>2297</v>
      </c>
      <c r="E1845" t="s">
        <v>435</v>
      </c>
      <c r="F1845">
        <v>4</v>
      </c>
      <c r="G1845">
        <v>198.72</v>
      </c>
      <c r="H1845">
        <v>0.09</v>
      </c>
      <c r="I1845" s="4">
        <v>723.34</v>
      </c>
      <c r="J1845" t="s">
        <v>34</v>
      </c>
      <c r="K1845" t="s">
        <v>17</v>
      </c>
      <c r="L1845" s="4">
        <f>VLOOKUP(tblTransactions[[#This Row],[Product_ID]],tblProducts[],5,FALSE)</f>
        <v>116.98</v>
      </c>
      <c r="M1845" s="4">
        <f>tblTransactions[[#This Row],[Total_Amount]]-(tblTransactions[[#This Row],[Cost_Prices]]*tblTransactions[[#This Row],[Quantity]]*(1-tblTransactions[[#This Row],[Discount]]))</f>
        <v>297.53280000000001</v>
      </c>
      <c r="N1845" s="3">
        <f>tblTransactions[[#This Row],[Profit]]/tblTransactions[[#This Row],[Total_Amount]]</f>
        <v>0.41133187712555647</v>
      </c>
      <c r="O1845" t="str">
        <f>TEXT(tblTransactions[[#This Row],[Date]], "MMM-YYYY")</f>
        <v>Jan-2024</v>
      </c>
      <c r="P1845" t="str">
        <f>"Q"&amp;ROUNDUP(MONTH(tblTransactions[[#This Row],[Date]])/3,0)&amp;"-"&amp;YEAR(tblTransactions[[#This Row],[Date]])</f>
        <v>Q1-2024</v>
      </c>
      <c r="Q1845">
        <f>YEAR(tblTransactions[[#This Row],[Date]])</f>
        <v>2024</v>
      </c>
      <c r="R1845" t="str">
        <f>TEXT(tblTransactions[[#This Row],[Date]],"DDDD")</f>
        <v>Tuesday</v>
      </c>
      <c r="S1845">
        <f>MONTH(tblTransactions[[#This Row],[Date]])</f>
        <v>1</v>
      </c>
      <c r="T1845" t="str">
        <f>VLOOKUP(E1845, Products!$A:$B,2,0)</f>
        <v>Paper Off-4</v>
      </c>
      <c r="U1845" t="str">
        <f>VLOOKUP(E1845,Products!$A:$C,3,0)</f>
        <v>Office Supplies</v>
      </c>
      <c r="V1845" t="str">
        <f>VLOOKUP(E1845,Products!$A:$D,4,0)</f>
        <v>Paper</v>
      </c>
      <c r="W1845" t="str">
        <f>VLOOKUP(D1845,Customers!$A:$C,3,0)</f>
        <v>B2C</v>
      </c>
      <c r="X1845" t="str">
        <f>VLOOKUP(C1845,Sales_Representatives!$A:$B,2,0)</f>
        <v>John Brown</v>
      </c>
    </row>
    <row r="1846" spans="1:24" x14ac:dyDescent="0.3">
      <c r="A1846" t="s">
        <v>2652</v>
      </c>
      <c r="B1846" t="s">
        <v>2653</v>
      </c>
      <c r="C1846" t="s">
        <v>82</v>
      </c>
      <c r="D1846" t="s">
        <v>1702</v>
      </c>
      <c r="E1846" t="s">
        <v>15</v>
      </c>
      <c r="F1846">
        <v>4</v>
      </c>
      <c r="G1846">
        <v>477.48</v>
      </c>
      <c r="H1846">
        <v>0.05</v>
      </c>
      <c r="I1846" s="4">
        <v>1814.42</v>
      </c>
      <c r="J1846" t="s">
        <v>34</v>
      </c>
      <c r="K1846" t="s">
        <v>39</v>
      </c>
      <c r="L1846" s="4">
        <f>VLOOKUP(tblTransactions[[#This Row],[Product_ID]],tblProducts[],5,FALSE)</f>
        <v>275.51</v>
      </c>
      <c r="M1846" s="4">
        <f>tblTransactions[[#This Row],[Total_Amount]]-(tblTransactions[[#This Row],[Cost_Prices]]*tblTransactions[[#This Row],[Quantity]]*(1-tblTransactions[[#This Row],[Discount]]))</f>
        <v>767.4820000000002</v>
      </c>
      <c r="N1846" s="3">
        <f>tblTransactions[[#This Row],[Profit]]/tblTransactions[[#This Row],[Total_Amount]]</f>
        <v>0.42299026686213786</v>
      </c>
      <c r="O1846" t="str">
        <f>TEXT(tblTransactions[[#This Row],[Date]], "MMM-YYYY")</f>
        <v>Jan-2024</v>
      </c>
      <c r="P1846" t="str">
        <f>"Q"&amp;ROUNDUP(MONTH(tblTransactions[[#This Row],[Date]])/3,0)&amp;"-"&amp;YEAR(tblTransactions[[#This Row],[Date]])</f>
        <v>Q1-2024</v>
      </c>
      <c r="Q1846">
        <f>YEAR(tblTransactions[[#This Row],[Date]])</f>
        <v>2024</v>
      </c>
      <c r="R1846" t="str">
        <f>TEXT(tblTransactions[[#This Row],[Date]],"DDDD")</f>
        <v>Wednesday</v>
      </c>
      <c r="S1846">
        <f>MONTH(tblTransactions[[#This Row],[Date]])</f>
        <v>1</v>
      </c>
      <c r="T1846" t="str">
        <f>VLOOKUP(E1846, Products!$A:$B,2,0)</f>
        <v>Laptops Ele-4</v>
      </c>
      <c r="U1846" t="str">
        <f>VLOOKUP(E1846,Products!$A:$C,3,0)</f>
        <v>Electronics</v>
      </c>
      <c r="V1846" t="str">
        <f>VLOOKUP(E1846,Products!$A:$D,4,0)</f>
        <v>Laptops</v>
      </c>
      <c r="W1846" t="str">
        <f>VLOOKUP(D1846,Customers!$A:$C,3,0)</f>
        <v>B2C</v>
      </c>
      <c r="X1846" t="str">
        <f>VLOOKUP(C1846,Sales_Representatives!$A:$B,2,0)</f>
        <v>John Brown</v>
      </c>
    </row>
    <row r="1847" spans="1:24" x14ac:dyDescent="0.3">
      <c r="A1847" t="s">
        <v>2654</v>
      </c>
      <c r="B1847" t="s">
        <v>2655</v>
      </c>
      <c r="C1847" t="s">
        <v>82</v>
      </c>
      <c r="D1847" t="s">
        <v>2341</v>
      </c>
      <c r="E1847" t="s">
        <v>72</v>
      </c>
      <c r="F1847">
        <v>2</v>
      </c>
      <c r="G1847">
        <v>404.76</v>
      </c>
      <c r="H1847">
        <v>0.06</v>
      </c>
      <c r="I1847" s="4">
        <v>760.95</v>
      </c>
      <c r="J1847" t="s">
        <v>34</v>
      </c>
      <c r="K1847" t="s">
        <v>35</v>
      </c>
      <c r="L1847" s="4">
        <f>VLOOKUP(tblTransactions[[#This Row],[Product_ID]],tblProducts[],5,FALSE)</f>
        <v>226.76</v>
      </c>
      <c r="M1847" s="4">
        <f>tblTransactions[[#This Row],[Total_Amount]]-(tblTransactions[[#This Row],[Cost_Prices]]*tblTransactions[[#This Row],[Quantity]]*(1-tblTransactions[[#This Row],[Discount]]))</f>
        <v>334.64120000000008</v>
      </c>
      <c r="N1847" s="3">
        <f>tblTransactions[[#This Row],[Profit]]/tblTransactions[[#This Row],[Total_Amount]]</f>
        <v>0.43976765884749336</v>
      </c>
      <c r="O1847" t="str">
        <f>TEXT(tblTransactions[[#This Row],[Date]], "MMM-YYYY")</f>
        <v>Jan-2024</v>
      </c>
      <c r="P1847" t="str">
        <f>"Q"&amp;ROUNDUP(MONTH(tblTransactions[[#This Row],[Date]])/3,0)&amp;"-"&amp;YEAR(tblTransactions[[#This Row],[Date]])</f>
        <v>Q1-2024</v>
      </c>
      <c r="Q1847">
        <f>YEAR(tblTransactions[[#This Row],[Date]])</f>
        <v>2024</v>
      </c>
      <c r="R1847" t="str">
        <f>TEXT(tblTransactions[[#This Row],[Date]],"DDDD")</f>
        <v>Thursday</v>
      </c>
      <c r="S1847">
        <f>MONTH(tblTransactions[[#This Row],[Date]])</f>
        <v>1</v>
      </c>
      <c r="T1847" t="str">
        <f>VLOOKUP(E1847, Products!$A:$B,2,0)</f>
        <v>Tablets Ele-2</v>
      </c>
      <c r="U1847" t="str">
        <f>VLOOKUP(E1847,Products!$A:$C,3,0)</f>
        <v>Electronics</v>
      </c>
      <c r="V1847" t="str">
        <f>VLOOKUP(E1847,Products!$A:$D,4,0)</f>
        <v>Tablets</v>
      </c>
      <c r="W1847" t="str">
        <f>VLOOKUP(D1847,Customers!$A:$C,3,0)</f>
        <v>B2C</v>
      </c>
      <c r="X1847" t="str">
        <f>VLOOKUP(C1847,Sales_Representatives!$A:$B,2,0)</f>
        <v>John Brown</v>
      </c>
    </row>
    <row r="1848" spans="1:24" x14ac:dyDescent="0.3">
      <c r="A1848" t="s">
        <v>2656</v>
      </c>
      <c r="B1848" t="s">
        <v>2655</v>
      </c>
      <c r="C1848" t="s">
        <v>59</v>
      </c>
      <c r="D1848" t="s">
        <v>76</v>
      </c>
      <c r="E1848" t="s">
        <v>283</v>
      </c>
      <c r="F1848">
        <v>2</v>
      </c>
      <c r="G1848">
        <v>456.88</v>
      </c>
      <c r="H1848">
        <v>0.06</v>
      </c>
      <c r="I1848" s="4">
        <v>858.93</v>
      </c>
      <c r="J1848" t="s">
        <v>21</v>
      </c>
      <c r="K1848" t="s">
        <v>17</v>
      </c>
      <c r="L1848" s="4">
        <f>VLOOKUP(tblTransactions[[#This Row],[Product_ID]],tblProducts[],5,FALSE)</f>
        <v>313.23</v>
      </c>
      <c r="M1848" s="4">
        <f>tblTransactions[[#This Row],[Total_Amount]]-(tblTransactions[[#This Row],[Cost_Prices]]*tblTransactions[[#This Row],[Quantity]]*(1-tblTransactions[[#This Row],[Discount]]))</f>
        <v>270.05759999999998</v>
      </c>
      <c r="N1848" s="3">
        <f>tblTransactions[[#This Row],[Profit]]/tblTransactions[[#This Row],[Total_Amount]]</f>
        <v>0.31441165170619256</v>
      </c>
      <c r="O1848" t="str">
        <f>TEXT(tblTransactions[[#This Row],[Date]], "MMM-YYYY")</f>
        <v>Jan-2024</v>
      </c>
      <c r="P1848" t="str">
        <f>"Q"&amp;ROUNDUP(MONTH(tblTransactions[[#This Row],[Date]])/3,0)&amp;"-"&amp;YEAR(tblTransactions[[#This Row],[Date]])</f>
        <v>Q1-2024</v>
      </c>
      <c r="Q1848">
        <f>YEAR(tblTransactions[[#This Row],[Date]])</f>
        <v>2024</v>
      </c>
      <c r="R1848" t="str">
        <f>TEXT(tblTransactions[[#This Row],[Date]],"DDDD")</f>
        <v>Thursday</v>
      </c>
      <c r="S1848">
        <f>MONTH(tblTransactions[[#This Row],[Date]])</f>
        <v>1</v>
      </c>
      <c r="T1848" t="str">
        <f>VLOOKUP(E1848, Products!$A:$B,2,0)</f>
        <v>Chairs Fur-3</v>
      </c>
      <c r="U1848" t="str">
        <f>VLOOKUP(E1848,Products!$A:$C,3,0)</f>
        <v>Furniture</v>
      </c>
      <c r="V1848" t="str">
        <f>VLOOKUP(E1848,Products!$A:$D,4,0)</f>
        <v>Chairs</v>
      </c>
      <c r="W1848" t="str">
        <f>VLOOKUP(D1848,Customers!$A:$C,3,0)</f>
        <v>Small Business</v>
      </c>
      <c r="X1848" t="str">
        <f>VLOOKUP(C1848,Sales_Representatives!$A:$B,2,0)</f>
        <v>Sarah Brown</v>
      </c>
    </row>
    <row r="1849" spans="1:24" x14ac:dyDescent="0.3">
      <c r="A1849" t="s">
        <v>2657</v>
      </c>
      <c r="B1849" t="s">
        <v>2655</v>
      </c>
      <c r="C1849" t="s">
        <v>70</v>
      </c>
      <c r="D1849" t="s">
        <v>1638</v>
      </c>
      <c r="E1849" t="s">
        <v>224</v>
      </c>
      <c r="F1849">
        <v>4</v>
      </c>
      <c r="G1849">
        <v>505.37</v>
      </c>
      <c r="H1849">
        <v>0.04</v>
      </c>
      <c r="I1849" s="4">
        <v>1940.62</v>
      </c>
      <c r="J1849" t="s">
        <v>16</v>
      </c>
      <c r="K1849" t="s">
        <v>48</v>
      </c>
      <c r="L1849" s="4">
        <f>VLOOKUP(tblTransactions[[#This Row],[Product_ID]],tblProducts[],5,FALSE)</f>
        <v>281.14999999999998</v>
      </c>
      <c r="M1849" s="4">
        <f>tblTransactions[[#This Row],[Total_Amount]]-(tblTransactions[[#This Row],[Cost_Prices]]*tblTransactions[[#This Row],[Quantity]]*(1-tblTransactions[[#This Row],[Discount]]))</f>
        <v>861.00399999999991</v>
      </c>
      <c r="N1849" s="3">
        <f>tblTransactions[[#This Row],[Profit]]/tblTransactions[[#This Row],[Total_Amount]]</f>
        <v>0.44367470189939295</v>
      </c>
      <c r="O1849" t="str">
        <f>TEXT(tblTransactions[[#This Row],[Date]], "MMM-YYYY")</f>
        <v>Jan-2024</v>
      </c>
      <c r="P1849" t="str">
        <f>"Q"&amp;ROUNDUP(MONTH(tblTransactions[[#This Row],[Date]])/3,0)&amp;"-"&amp;YEAR(tblTransactions[[#This Row],[Date]])</f>
        <v>Q1-2024</v>
      </c>
      <c r="Q1849">
        <f>YEAR(tblTransactions[[#This Row],[Date]])</f>
        <v>2024</v>
      </c>
      <c r="R1849" t="str">
        <f>TEXT(tblTransactions[[#This Row],[Date]],"DDDD")</f>
        <v>Thursday</v>
      </c>
      <c r="S1849">
        <f>MONTH(tblTransactions[[#This Row],[Date]])</f>
        <v>1</v>
      </c>
      <c r="T1849" t="str">
        <f>VLOOKUP(E1849, Products!$A:$B,2,0)</f>
        <v>Desks Fur-3</v>
      </c>
      <c r="U1849" t="str">
        <f>VLOOKUP(E1849,Products!$A:$C,3,0)</f>
        <v>Furniture</v>
      </c>
      <c r="V1849" t="str">
        <f>VLOOKUP(E1849,Products!$A:$D,4,0)</f>
        <v>Desks</v>
      </c>
      <c r="W1849" t="str">
        <f>VLOOKUP(D1849,Customers!$A:$C,3,0)</f>
        <v>B2C</v>
      </c>
      <c r="X1849" t="str">
        <f>VLOOKUP(C1849,Sales_Representatives!$A:$B,2,0)</f>
        <v>Linda Smith</v>
      </c>
    </row>
    <row r="1850" spans="1:24" x14ac:dyDescent="0.3">
      <c r="A1850" t="s">
        <v>2658</v>
      </c>
      <c r="B1850" t="s">
        <v>2655</v>
      </c>
      <c r="C1850" t="s">
        <v>107</v>
      </c>
      <c r="D1850" t="s">
        <v>2121</v>
      </c>
      <c r="E1850" t="s">
        <v>33</v>
      </c>
      <c r="F1850">
        <v>7</v>
      </c>
      <c r="G1850">
        <v>322.7</v>
      </c>
      <c r="H1850">
        <v>0.14000000000000001</v>
      </c>
      <c r="I1850" s="4">
        <v>1942.65</v>
      </c>
      <c r="J1850" t="s">
        <v>109</v>
      </c>
      <c r="K1850" t="s">
        <v>17</v>
      </c>
      <c r="L1850" s="4">
        <f>VLOOKUP(tblTransactions[[#This Row],[Product_ID]],tblProducts[],5,FALSE)</f>
        <v>139.81</v>
      </c>
      <c r="M1850" s="4">
        <f>tblTransactions[[#This Row],[Total_Amount]]-(tblTransactions[[#This Row],[Cost_Prices]]*tblTransactions[[#This Row],[Quantity]]*(1-tblTransactions[[#This Row],[Discount]]))</f>
        <v>1100.9938000000002</v>
      </c>
      <c r="N1850" s="3">
        <f>tblTransactions[[#This Row],[Profit]]/tblTransactions[[#This Row],[Total_Amount]]</f>
        <v>0.56674841067613835</v>
      </c>
      <c r="O1850" t="str">
        <f>TEXT(tblTransactions[[#This Row],[Date]], "MMM-YYYY")</f>
        <v>Jan-2024</v>
      </c>
      <c r="P1850" t="str">
        <f>"Q"&amp;ROUNDUP(MONTH(tblTransactions[[#This Row],[Date]])/3,0)&amp;"-"&amp;YEAR(tblTransactions[[#This Row],[Date]])</f>
        <v>Q1-2024</v>
      </c>
      <c r="Q1850">
        <f>YEAR(tblTransactions[[#This Row],[Date]])</f>
        <v>2024</v>
      </c>
      <c r="R1850" t="str">
        <f>TEXT(tblTransactions[[#This Row],[Date]],"DDDD")</f>
        <v>Thursday</v>
      </c>
      <c r="S1850">
        <f>MONTH(tblTransactions[[#This Row],[Date]])</f>
        <v>1</v>
      </c>
      <c r="T1850" t="str">
        <f>VLOOKUP(E1850, Products!$A:$B,2,0)</f>
        <v>Adapters Acc-1</v>
      </c>
      <c r="U1850" t="str">
        <f>VLOOKUP(E1850,Products!$A:$C,3,0)</f>
        <v>Accessories</v>
      </c>
      <c r="V1850" t="str">
        <f>VLOOKUP(E1850,Products!$A:$D,4,0)</f>
        <v>Adapters</v>
      </c>
      <c r="W1850" t="str">
        <f>VLOOKUP(D1850,Customers!$A:$C,3,0)</f>
        <v>B2C</v>
      </c>
      <c r="X1850" t="str">
        <f>VLOOKUP(C1850,Sales_Representatives!$A:$B,2,0)</f>
        <v>Jennifer Brown</v>
      </c>
    </row>
    <row r="1851" spans="1:24" x14ac:dyDescent="0.3">
      <c r="A1851" t="s">
        <v>2659</v>
      </c>
      <c r="B1851" t="s">
        <v>2655</v>
      </c>
      <c r="C1851" t="s">
        <v>70</v>
      </c>
      <c r="D1851" t="s">
        <v>1888</v>
      </c>
      <c r="E1851" t="s">
        <v>87</v>
      </c>
      <c r="F1851">
        <v>3</v>
      </c>
      <c r="G1851">
        <v>1047.8900000000001</v>
      </c>
      <c r="H1851">
        <v>0.09</v>
      </c>
      <c r="I1851" s="4">
        <v>2860.74</v>
      </c>
      <c r="J1851" t="s">
        <v>16</v>
      </c>
      <c r="K1851" t="s">
        <v>48</v>
      </c>
      <c r="L1851" s="4">
        <f>VLOOKUP(tblTransactions[[#This Row],[Product_ID]],tblProducts[],5,FALSE)</f>
        <v>742.63</v>
      </c>
      <c r="M1851" s="4">
        <f>tblTransactions[[#This Row],[Total_Amount]]-(tblTransactions[[#This Row],[Cost_Prices]]*tblTransactions[[#This Row],[Quantity]]*(1-tblTransactions[[#This Row],[Discount]]))</f>
        <v>833.36009999999987</v>
      </c>
      <c r="N1851" s="3">
        <f>tblTransactions[[#This Row],[Profit]]/tblTransactions[[#This Row],[Total_Amount]]</f>
        <v>0.29130927662073447</v>
      </c>
      <c r="O1851" t="str">
        <f>TEXT(tblTransactions[[#This Row],[Date]], "MMM-YYYY")</f>
        <v>Jan-2024</v>
      </c>
      <c r="P1851" t="str">
        <f>"Q"&amp;ROUNDUP(MONTH(tblTransactions[[#This Row],[Date]])/3,0)&amp;"-"&amp;YEAR(tblTransactions[[#This Row],[Date]])</f>
        <v>Q1-2024</v>
      </c>
      <c r="Q1851">
        <f>YEAR(tblTransactions[[#This Row],[Date]])</f>
        <v>2024</v>
      </c>
      <c r="R1851" t="str">
        <f>TEXT(tblTransactions[[#This Row],[Date]],"DDDD")</f>
        <v>Thursday</v>
      </c>
      <c r="S1851">
        <f>MONTH(tblTransactions[[#This Row],[Date]])</f>
        <v>1</v>
      </c>
      <c r="T1851" t="str">
        <f>VLOOKUP(E1851, Products!$A:$B,2,0)</f>
        <v>Monitors Tec-2</v>
      </c>
      <c r="U1851" t="str">
        <f>VLOOKUP(E1851,Products!$A:$C,3,0)</f>
        <v>Technology</v>
      </c>
      <c r="V1851" t="str">
        <f>VLOOKUP(E1851,Products!$A:$D,4,0)</f>
        <v>Monitors</v>
      </c>
      <c r="W1851" t="str">
        <f>VLOOKUP(D1851,Customers!$A:$C,3,0)</f>
        <v>B2C</v>
      </c>
      <c r="X1851" t="str">
        <f>VLOOKUP(C1851,Sales_Representatives!$A:$B,2,0)</f>
        <v>Linda Smith</v>
      </c>
    </row>
    <row r="1852" spans="1:24" x14ac:dyDescent="0.3">
      <c r="A1852" t="s">
        <v>2660</v>
      </c>
      <c r="B1852" t="s">
        <v>2655</v>
      </c>
      <c r="C1852" t="s">
        <v>13</v>
      </c>
      <c r="D1852" t="s">
        <v>1697</v>
      </c>
      <c r="E1852" t="s">
        <v>450</v>
      </c>
      <c r="F1852">
        <v>5</v>
      </c>
      <c r="G1852">
        <v>2083.92</v>
      </c>
      <c r="H1852">
        <v>0.01</v>
      </c>
      <c r="I1852" s="4">
        <v>10315.4</v>
      </c>
      <c r="J1852" t="s">
        <v>16</v>
      </c>
      <c r="K1852" t="s">
        <v>48</v>
      </c>
      <c r="L1852" s="4">
        <f>VLOOKUP(tblTransactions[[#This Row],[Product_ID]],tblProducts[],5,FALSE)</f>
        <v>1425.78</v>
      </c>
      <c r="M1852" s="4">
        <f>tblTransactions[[#This Row],[Total_Amount]]-(tblTransactions[[#This Row],[Cost_Prices]]*tblTransactions[[#This Row],[Quantity]]*(1-tblTransactions[[#This Row],[Discount]]))</f>
        <v>3257.7889999999998</v>
      </c>
      <c r="N1852" s="3">
        <f>tblTransactions[[#This Row],[Profit]]/tblTransactions[[#This Row],[Total_Amount]]</f>
        <v>0.3158180002714388</v>
      </c>
      <c r="O1852" t="str">
        <f>TEXT(tblTransactions[[#This Row],[Date]], "MMM-YYYY")</f>
        <v>Jan-2024</v>
      </c>
      <c r="P1852" t="str">
        <f>"Q"&amp;ROUNDUP(MONTH(tblTransactions[[#This Row],[Date]])/3,0)&amp;"-"&amp;YEAR(tblTransactions[[#This Row],[Date]])</f>
        <v>Q1-2024</v>
      </c>
      <c r="Q1852">
        <f>YEAR(tblTransactions[[#This Row],[Date]])</f>
        <v>2024</v>
      </c>
      <c r="R1852" t="str">
        <f>TEXT(tblTransactions[[#This Row],[Date]],"DDDD")</f>
        <v>Thursday</v>
      </c>
      <c r="S1852">
        <f>MONTH(tblTransactions[[#This Row],[Date]])</f>
        <v>1</v>
      </c>
      <c r="T1852" t="str">
        <f>VLOOKUP(E1852, Products!$A:$B,2,0)</f>
        <v>Monitors Tec-4</v>
      </c>
      <c r="U1852" t="str">
        <f>VLOOKUP(E1852,Products!$A:$C,3,0)</f>
        <v>Technology</v>
      </c>
      <c r="V1852" t="str">
        <f>VLOOKUP(E1852,Products!$A:$D,4,0)</f>
        <v>Monitors</v>
      </c>
      <c r="W1852" t="str">
        <f>VLOOKUP(D1852,Customers!$A:$C,3,0)</f>
        <v>B2C</v>
      </c>
      <c r="X1852" t="str">
        <f>VLOOKUP(C1852,Sales_Representatives!$A:$B,2,0)</f>
        <v>Jennifer Rodriguez</v>
      </c>
    </row>
    <row r="1853" spans="1:24" x14ac:dyDescent="0.3">
      <c r="A1853" t="s">
        <v>2661</v>
      </c>
      <c r="B1853" t="s">
        <v>2662</v>
      </c>
      <c r="C1853" t="s">
        <v>70</v>
      </c>
      <c r="D1853" t="s">
        <v>1741</v>
      </c>
      <c r="E1853" t="s">
        <v>68</v>
      </c>
      <c r="F1853">
        <v>18</v>
      </c>
      <c r="G1853">
        <v>522.63</v>
      </c>
      <c r="H1853">
        <v>0.16</v>
      </c>
      <c r="I1853" s="4">
        <v>7902.17</v>
      </c>
      <c r="J1853" t="s">
        <v>16</v>
      </c>
      <c r="K1853" t="s">
        <v>39</v>
      </c>
      <c r="L1853" s="4">
        <f>VLOOKUP(tblTransactions[[#This Row],[Product_ID]],tblProducts[],5,FALSE)</f>
        <v>355.82</v>
      </c>
      <c r="M1853" s="4">
        <f>tblTransactions[[#This Row],[Total_Amount]]-(tblTransactions[[#This Row],[Cost_Prices]]*tblTransactions[[#This Row],[Quantity]]*(1-tblTransactions[[#This Row],[Discount]]))</f>
        <v>2522.1715999999997</v>
      </c>
      <c r="N1853" s="3">
        <f>tblTransactions[[#This Row],[Profit]]/tblTransactions[[#This Row],[Total_Amount]]</f>
        <v>0.31917455584984877</v>
      </c>
      <c r="O1853" t="str">
        <f>TEXT(tblTransactions[[#This Row],[Date]], "MMM-YYYY")</f>
        <v>Jan-2024</v>
      </c>
      <c r="P1853" t="str">
        <f>"Q"&amp;ROUNDUP(MONTH(tblTransactions[[#This Row],[Date]])/3,0)&amp;"-"&amp;YEAR(tblTransactions[[#This Row],[Date]])</f>
        <v>Q1-2024</v>
      </c>
      <c r="Q1853">
        <f>YEAR(tblTransactions[[#This Row],[Date]])</f>
        <v>2024</v>
      </c>
      <c r="R1853" t="str">
        <f>TEXT(tblTransactions[[#This Row],[Date]],"DDDD")</f>
        <v>Friday</v>
      </c>
      <c r="S1853">
        <f>MONTH(tblTransactions[[#This Row],[Date]])</f>
        <v>1</v>
      </c>
      <c r="T1853" t="str">
        <f>VLOOKUP(E1853, Products!$A:$B,2,0)</f>
        <v>Monitors Tec-3</v>
      </c>
      <c r="U1853" t="str">
        <f>VLOOKUP(E1853,Products!$A:$C,3,0)</f>
        <v>Technology</v>
      </c>
      <c r="V1853" t="str">
        <f>VLOOKUP(E1853,Products!$A:$D,4,0)</f>
        <v>Monitors</v>
      </c>
      <c r="W1853" t="str">
        <f>VLOOKUP(D1853,Customers!$A:$C,3,0)</f>
        <v>B2B</v>
      </c>
      <c r="X1853" t="str">
        <f>VLOOKUP(C1853,Sales_Representatives!$A:$B,2,0)</f>
        <v>Linda Smith</v>
      </c>
    </row>
    <row r="1854" spans="1:24" x14ac:dyDescent="0.3">
      <c r="A1854" t="s">
        <v>2663</v>
      </c>
      <c r="B1854" t="s">
        <v>2662</v>
      </c>
      <c r="C1854" t="s">
        <v>59</v>
      </c>
      <c r="D1854" t="s">
        <v>2201</v>
      </c>
      <c r="E1854" t="s">
        <v>345</v>
      </c>
      <c r="F1854">
        <v>7</v>
      </c>
      <c r="G1854">
        <v>13.97</v>
      </c>
      <c r="H1854">
        <v>0.05</v>
      </c>
      <c r="I1854" s="4">
        <v>92.9</v>
      </c>
      <c r="J1854" t="s">
        <v>21</v>
      </c>
      <c r="K1854" t="s">
        <v>39</v>
      </c>
      <c r="L1854" s="4">
        <f>VLOOKUP(tblTransactions[[#This Row],[Product_ID]],tblProducts[],5,FALSE)</f>
        <v>8.69</v>
      </c>
      <c r="M1854" s="4">
        <f>tblTransactions[[#This Row],[Total_Amount]]-(tblTransactions[[#This Row],[Cost_Prices]]*tblTransactions[[#This Row],[Quantity]]*(1-tblTransactions[[#This Row],[Discount]]))</f>
        <v>35.111500000000007</v>
      </c>
      <c r="N1854" s="3">
        <f>tblTransactions[[#This Row],[Profit]]/tblTransactions[[#This Row],[Total_Amount]]</f>
        <v>0.37794940796555443</v>
      </c>
      <c r="O1854" t="str">
        <f>TEXT(tblTransactions[[#This Row],[Date]], "MMM-YYYY")</f>
        <v>Jan-2024</v>
      </c>
      <c r="P1854" t="str">
        <f>"Q"&amp;ROUNDUP(MONTH(tblTransactions[[#This Row],[Date]])/3,0)&amp;"-"&amp;YEAR(tblTransactions[[#This Row],[Date]])</f>
        <v>Q1-2024</v>
      </c>
      <c r="Q1854">
        <f>YEAR(tblTransactions[[#This Row],[Date]])</f>
        <v>2024</v>
      </c>
      <c r="R1854" t="str">
        <f>TEXT(tblTransactions[[#This Row],[Date]],"DDDD")</f>
        <v>Friday</v>
      </c>
      <c r="S1854">
        <f>MONTH(tblTransactions[[#This Row],[Date]])</f>
        <v>1</v>
      </c>
      <c r="T1854" t="str">
        <f>VLOOKUP(E1854, Products!$A:$B,2,0)</f>
        <v>Cases Acc-2</v>
      </c>
      <c r="U1854" t="str">
        <f>VLOOKUP(E1854,Products!$A:$C,3,0)</f>
        <v>Accessories</v>
      </c>
      <c r="V1854" t="str">
        <f>VLOOKUP(E1854,Products!$A:$D,4,0)</f>
        <v>Cases</v>
      </c>
      <c r="W1854" t="str">
        <f>VLOOKUP(D1854,Customers!$A:$C,3,0)</f>
        <v>B2C</v>
      </c>
      <c r="X1854" t="str">
        <f>VLOOKUP(C1854,Sales_Representatives!$A:$B,2,0)</f>
        <v>Sarah Brown</v>
      </c>
    </row>
    <row r="1855" spans="1:24" x14ac:dyDescent="0.3">
      <c r="A1855" t="s">
        <v>2664</v>
      </c>
      <c r="B1855" t="s">
        <v>2662</v>
      </c>
      <c r="C1855" t="s">
        <v>31</v>
      </c>
      <c r="D1855" t="s">
        <v>2627</v>
      </c>
      <c r="E1855" t="s">
        <v>184</v>
      </c>
      <c r="F1855">
        <v>2</v>
      </c>
      <c r="G1855">
        <v>276.35000000000002</v>
      </c>
      <c r="H1855">
        <v>0.05</v>
      </c>
      <c r="I1855" s="4">
        <v>525.07000000000005</v>
      </c>
      <c r="J1855" t="s">
        <v>34</v>
      </c>
      <c r="K1855" t="s">
        <v>48</v>
      </c>
      <c r="L1855" s="4">
        <f>VLOOKUP(tblTransactions[[#This Row],[Product_ID]],tblProducts[],5,FALSE)</f>
        <v>130.15</v>
      </c>
      <c r="M1855" s="4">
        <f>tblTransactions[[#This Row],[Total_Amount]]-(tblTransactions[[#This Row],[Cost_Prices]]*tblTransactions[[#This Row],[Quantity]]*(1-tblTransactions[[#This Row],[Discount]]))</f>
        <v>277.78500000000008</v>
      </c>
      <c r="N1855" s="3">
        <f>tblTransactions[[#This Row],[Profit]]/tblTransactions[[#This Row],[Total_Amount]]</f>
        <v>0.5290437465480794</v>
      </c>
      <c r="O1855" t="str">
        <f>TEXT(tblTransactions[[#This Row],[Date]], "MMM-YYYY")</f>
        <v>Jan-2024</v>
      </c>
      <c r="P1855" t="str">
        <f>"Q"&amp;ROUNDUP(MONTH(tblTransactions[[#This Row],[Date]])/3,0)&amp;"-"&amp;YEAR(tblTransactions[[#This Row],[Date]])</f>
        <v>Q1-2024</v>
      </c>
      <c r="Q1855">
        <f>YEAR(tblTransactions[[#This Row],[Date]])</f>
        <v>2024</v>
      </c>
      <c r="R1855" t="str">
        <f>TEXT(tblTransactions[[#This Row],[Date]],"DDDD")</f>
        <v>Friday</v>
      </c>
      <c r="S1855">
        <f>MONTH(tblTransactions[[#This Row],[Date]])</f>
        <v>1</v>
      </c>
      <c r="T1855" t="str">
        <f>VLOOKUP(E1855, Products!$A:$B,2,0)</f>
        <v>Binders Off-1</v>
      </c>
      <c r="U1855" t="str">
        <f>VLOOKUP(E1855,Products!$A:$C,3,0)</f>
        <v>Office Supplies</v>
      </c>
      <c r="V1855" t="str">
        <f>VLOOKUP(E1855,Products!$A:$D,4,0)</f>
        <v>Binders</v>
      </c>
      <c r="W1855" t="str">
        <f>VLOOKUP(D1855,Customers!$A:$C,3,0)</f>
        <v>B2C</v>
      </c>
      <c r="X1855" t="str">
        <f>VLOOKUP(C1855,Sales_Representatives!$A:$B,2,0)</f>
        <v>Thomas Martinez</v>
      </c>
    </row>
    <row r="1856" spans="1:24" x14ac:dyDescent="0.3">
      <c r="A1856" t="s">
        <v>2665</v>
      </c>
      <c r="B1856" t="s">
        <v>2662</v>
      </c>
      <c r="C1856" t="s">
        <v>141</v>
      </c>
      <c r="D1856" t="s">
        <v>2201</v>
      </c>
      <c r="E1856" t="s">
        <v>84</v>
      </c>
      <c r="F1856">
        <v>3</v>
      </c>
      <c r="G1856">
        <v>1841.77</v>
      </c>
      <c r="H1856">
        <v>0.06</v>
      </c>
      <c r="I1856" s="4">
        <v>5193.79</v>
      </c>
      <c r="J1856" t="s">
        <v>109</v>
      </c>
      <c r="K1856" t="s">
        <v>35</v>
      </c>
      <c r="L1856" s="4">
        <f>VLOOKUP(tblTransactions[[#This Row],[Product_ID]],tblProducts[],5,FALSE)</f>
        <v>1151.5899999999999</v>
      </c>
      <c r="M1856" s="4">
        <f>tblTransactions[[#This Row],[Total_Amount]]-(tblTransactions[[#This Row],[Cost_Prices]]*tblTransactions[[#This Row],[Quantity]]*(1-tblTransactions[[#This Row],[Discount]]))</f>
        <v>1946.3062000000004</v>
      </c>
      <c r="N1856" s="3">
        <f>tblTransactions[[#This Row],[Profit]]/tblTransactions[[#This Row],[Total_Amount]]</f>
        <v>0.37473717651272009</v>
      </c>
      <c r="O1856" t="str">
        <f>TEXT(tblTransactions[[#This Row],[Date]], "MMM-YYYY")</f>
        <v>Jan-2024</v>
      </c>
      <c r="P1856" t="str">
        <f>"Q"&amp;ROUNDUP(MONTH(tblTransactions[[#This Row],[Date]])/3,0)&amp;"-"&amp;YEAR(tblTransactions[[#This Row],[Date]])</f>
        <v>Q1-2024</v>
      </c>
      <c r="Q1856">
        <f>YEAR(tblTransactions[[#This Row],[Date]])</f>
        <v>2024</v>
      </c>
      <c r="R1856" t="str">
        <f>TEXT(tblTransactions[[#This Row],[Date]],"DDDD")</f>
        <v>Friday</v>
      </c>
      <c r="S1856">
        <f>MONTH(tblTransactions[[#This Row],[Date]])</f>
        <v>1</v>
      </c>
      <c r="T1856" t="str">
        <f>VLOOKUP(E1856, Products!$A:$B,2,0)</f>
        <v>Laptops Ele-2</v>
      </c>
      <c r="U1856" t="str">
        <f>VLOOKUP(E1856,Products!$A:$C,3,0)</f>
        <v>Electronics</v>
      </c>
      <c r="V1856" t="str">
        <f>VLOOKUP(E1856,Products!$A:$D,4,0)</f>
        <v>Laptops</v>
      </c>
      <c r="W1856" t="str">
        <f>VLOOKUP(D1856,Customers!$A:$C,3,0)</f>
        <v>B2C</v>
      </c>
      <c r="X1856" t="str">
        <f>VLOOKUP(C1856,Sales_Representatives!$A:$B,2,0)</f>
        <v>Richard Garcia</v>
      </c>
    </row>
    <row r="1857" spans="1:24" x14ac:dyDescent="0.3">
      <c r="A1857" t="s">
        <v>2666</v>
      </c>
      <c r="B1857" t="s">
        <v>2662</v>
      </c>
      <c r="C1857" t="s">
        <v>63</v>
      </c>
      <c r="D1857" t="s">
        <v>1455</v>
      </c>
      <c r="E1857" t="s">
        <v>347</v>
      </c>
      <c r="F1857">
        <v>5</v>
      </c>
      <c r="G1857">
        <v>1539.6</v>
      </c>
      <c r="H1857">
        <v>0.06</v>
      </c>
      <c r="I1857" s="4">
        <v>7236.12</v>
      </c>
      <c r="J1857" t="s">
        <v>21</v>
      </c>
      <c r="K1857" t="s">
        <v>17</v>
      </c>
      <c r="L1857" s="4">
        <f>VLOOKUP(tblTransactions[[#This Row],[Product_ID]],tblProducts[],5,FALSE)</f>
        <v>992.43</v>
      </c>
      <c r="M1857" s="4">
        <f>tblTransactions[[#This Row],[Total_Amount]]-(tblTransactions[[#This Row],[Cost_Prices]]*tblTransactions[[#This Row],[Quantity]]*(1-tblTransactions[[#This Row],[Discount]]))</f>
        <v>2571.6990000000005</v>
      </c>
      <c r="N1857" s="3">
        <f>tblTransactions[[#This Row],[Profit]]/tblTransactions[[#This Row],[Total_Amount]]</f>
        <v>0.35539750584567426</v>
      </c>
      <c r="O1857" t="str">
        <f>TEXT(tblTransactions[[#This Row],[Date]], "MMM-YYYY")</f>
        <v>Jan-2024</v>
      </c>
      <c r="P1857" t="str">
        <f>"Q"&amp;ROUNDUP(MONTH(tblTransactions[[#This Row],[Date]])/3,0)&amp;"-"&amp;YEAR(tblTransactions[[#This Row],[Date]])</f>
        <v>Q1-2024</v>
      </c>
      <c r="Q1857">
        <f>YEAR(tblTransactions[[#This Row],[Date]])</f>
        <v>2024</v>
      </c>
      <c r="R1857" t="str">
        <f>TEXT(tblTransactions[[#This Row],[Date]],"DDDD")</f>
        <v>Friday</v>
      </c>
      <c r="S1857">
        <f>MONTH(tblTransactions[[#This Row],[Date]])</f>
        <v>1</v>
      </c>
      <c r="T1857" t="str">
        <f>VLOOKUP(E1857, Products!$A:$B,2,0)</f>
        <v>Routers Tec-2</v>
      </c>
      <c r="U1857" t="str">
        <f>VLOOKUP(E1857,Products!$A:$C,3,0)</f>
        <v>Technology</v>
      </c>
      <c r="V1857" t="str">
        <f>VLOOKUP(E1857,Products!$A:$D,4,0)</f>
        <v>Routers</v>
      </c>
      <c r="W1857" t="str">
        <f>VLOOKUP(D1857,Customers!$A:$C,3,0)</f>
        <v>Small Business</v>
      </c>
      <c r="X1857" t="str">
        <f>VLOOKUP(C1857,Sales_Representatives!$A:$B,2,0)</f>
        <v>Richard Wilson</v>
      </c>
    </row>
    <row r="1858" spans="1:24" x14ac:dyDescent="0.3">
      <c r="A1858" t="s">
        <v>2667</v>
      </c>
      <c r="B1858" t="s">
        <v>2662</v>
      </c>
      <c r="C1858" t="s">
        <v>107</v>
      </c>
      <c r="D1858" t="s">
        <v>1819</v>
      </c>
      <c r="E1858" t="s">
        <v>178</v>
      </c>
      <c r="F1858">
        <v>5</v>
      </c>
      <c r="G1858">
        <v>1623.35</v>
      </c>
      <c r="H1858">
        <v>0.05</v>
      </c>
      <c r="I1858" s="4">
        <v>7710.91</v>
      </c>
      <c r="J1858" t="s">
        <v>109</v>
      </c>
      <c r="K1858" t="s">
        <v>22</v>
      </c>
      <c r="L1858" s="4">
        <f>VLOOKUP(tblTransactions[[#This Row],[Product_ID]],tblProducts[],5,FALSE)</f>
        <v>981.45</v>
      </c>
      <c r="M1858" s="4">
        <f>tblTransactions[[#This Row],[Total_Amount]]-(tblTransactions[[#This Row],[Cost_Prices]]*tblTransactions[[#This Row],[Quantity]]*(1-tblTransactions[[#This Row],[Discount]]))</f>
        <v>3049.0225</v>
      </c>
      <c r="N1858" s="3">
        <f>tblTransactions[[#This Row],[Profit]]/tblTransactions[[#This Row],[Total_Amount]]</f>
        <v>0.39541668882142317</v>
      </c>
      <c r="O1858" t="str">
        <f>TEXT(tblTransactions[[#This Row],[Date]], "MMM-YYYY")</f>
        <v>Jan-2024</v>
      </c>
      <c r="P1858" t="str">
        <f>"Q"&amp;ROUNDUP(MONTH(tblTransactions[[#This Row],[Date]])/3,0)&amp;"-"&amp;YEAR(tblTransactions[[#This Row],[Date]])</f>
        <v>Q1-2024</v>
      </c>
      <c r="Q1858">
        <f>YEAR(tblTransactions[[#This Row],[Date]])</f>
        <v>2024</v>
      </c>
      <c r="R1858" t="str">
        <f>TEXT(tblTransactions[[#This Row],[Date]],"DDDD")</f>
        <v>Friday</v>
      </c>
      <c r="S1858">
        <f>MONTH(tblTransactions[[#This Row],[Date]])</f>
        <v>1</v>
      </c>
      <c r="T1858" t="str">
        <f>VLOOKUP(E1858, Products!$A:$B,2,0)</f>
        <v>Tablets Ele-1</v>
      </c>
      <c r="U1858" t="str">
        <f>VLOOKUP(E1858,Products!$A:$C,3,0)</f>
        <v>Electronics</v>
      </c>
      <c r="V1858" t="str">
        <f>VLOOKUP(E1858,Products!$A:$D,4,0)</f>
        <v>Tablets</v>
      </c>
      <c r="W1858" t="str">
        <f>VLOOKUP(D1858,Customers!$A:$C,3,0)</f>
        <v>Small Business</v>
      </c>
      <c r="X1858" t="str">
        <f>VLOOKUP(C1858,Sales_Representatives!$A:$B,2,0)</f>
        <v>Jennifer Brown</v>
      </c>
    </row>
    <row r="1859" spans="1:24" x14ac:dyDescent="0.3">
      <c r="A1859" t="s">
        <v>2668</v>
      </c>
      <c r="B1859" t="s">
        <v>2662</v>
      </c>
      <c r="C1859" t="s">
        <v>63</v>
      </c>
      <c r="D1859" t="s">
        <v>1455</v>
      </c>
      <c r="E1859" t="s">
        <v>450</v>
      </c>
      <c r="F1859">
        <v>2</v>
      </c>
      <c r="G1859">
        <v>2083.92</v>
      </c>
      <c r="H1859">
        <v>0.03</v>
      </c>
      <c r="I1859" s="4">
        <v>4042.8</v>
      </c>
      <c r="J1859" t="s">
        <v>21</v>
      </c>
      <c r="K1859" t="s">
        <v>39</v>
      </c>
      <c r="L1859" s="4">
        <f>VLOOKUP(tblTransactions[[#This Row],[Product_ID]],tblProducts[],5,FALSE)</f>
        <v>1425.78</v>
      </c>
      <c r="M1859" s="4">
        <f>tblTransactions[[#This Row],[Total_Amount]]-(tblTransactions[[#This Row],[Cost_Prices]]*tblTransactions[[#This Row],[Quantity]]*(1-tblTransactions[[#This Row],[Discount]]))</f>
        <v>1276.7868000000003</v>
      </c>
      <c r="N1859" s="3">
        <f>tblTransactions[[#This Row],[Profit]]/tblTransactions[[#This Row],[Total_Amount]]</f>
        <v>0.3158174532502227</v>
      </c>
      <c r="O1859" t="str">
        <f>TEXT(tblTransactions[[#This Row],[Date]], "MMM-YYYY")</f>
        <v>Jan-2024</v>
      </c>
      <c r="P1859" t="str">
        <f>"Q"&amp;ROUNDUP(MONTH(tblTransactions[[#This Row],[Date]])/3,0)&amp;"-"&amp;YEAR(tblTransactions[[#This Row],[Date]])</f>
        <v>Q1-2024</v>
      </c>
      <c r="Q1859">
        <f>YEAR(tblTransactions[[#This Row],[Date]])</f>
        <v>2024</v>
      </c>
      <c r="R1859" t="str">
        <f>TEXT(tblTransactions[[#This Row],[Date]],"DDDD")</f>
        <v>Friday</v>
      </c>
      <c r="S1859">
        <f>MONTH(tblTransactions[[#This Row],[Date]])</f>
        <v>1</v>
      </c>
      <c r="T1859" t="str">
        <f>VLOOKUP(E1859, Products!$A:$B,2,0)</f>
        <v>Monitors Tec-4</v>
      </c>
      <c r="U1859" t="str">
        <f>VLOOKUP(E1859,Products!$A:$C,3,0)</f>
        <v>Technology</v>
      </c>
      <c r="V1859" t="str">
        <f>VLOOKUP(E1859,Products!$A:$D,4,0)</f>
        <v>Monitors</v>
      </c>
      <c r="W1859" t="str">
        <f>VLOOKUP(D1859,Customers!$A:$C,3,0)</f>
        <v>Small Business</v>
      </c>
      <c r="X1859" t="str">
        <f>VLOOKUP(C1859,Sales_Representatives!$A:$B,2,0)</f>
        <v>Richard Wilson</v>
      </c>
    </row>
    <row r="1860" spans="1:24" x14ac:dyDescent="0.3">
      <c r="A1860" t="s">
        <v>2669</v>
      </c>
      <c r="B1860" t="s">
        <v>2670</v>
      </c>
      <c r="C1860" t="s">
        <v>75</v>
      </c>
      <c r="D1860" t="s">
        <v>2671</v>
      </c>
      <c r="E1860" t="s">
        <v>145</v>
      </c>
      <c r="F1860">
        <v>2</v>
      </c>
      <c r="G1860">
        <v>93.43</v>
      </c>
      <c r="H1860">
        <v>0.09</v>
      </c>
      <c r="I1860" s="4">
        <v>170.04</v>
      </c>
      <c r="J1860" t="s">
        <v>44</v>
      </c>
      <c r="K1860" t="s">
        <v>17</v>
      </c>
      <c r="L1860" s="4">
        <f>VLOOKUP(tblTransactions[[#This Row],[Product_ID]],tblProducts[],5,FALSE)</f>
        <v>45.74</v>
      </c>
      <c r="M1860" s="4">
        <f>tblTransactions[[#This Row],[Total_Amount]]-(tblTransactions[[#This Row],[Cost_Prices]]*tblTransactions[[#This Row],[Quantity]]*(1-tblTransactions[[#This Row],[Discount]]))</f>
        <v>86.793199999999985</v>
      </c>
      <c r="N1860" s="3">
        <f>tblTransactions[[#This Row],[Profit]]/tblTransactions[[#This Row],[Total_Amount]]</f>
        <v>0.51042813455657488</v>
      </c>
      <c r="O1860" t="str">
        <f>TEXT(tblTransactions[[#This Row],[Date]], "MMM-YYYY")</f>
        <v>Jan-2024</v>
      </c>
      <c r="P1860" t="str">
        <f>"Q"&amp;ROUNDUP(MONTH(tblTransactions[[#This Row],[Date]])/3,0)&amp;"-"&amp;YEAR(tblTransactions[[#This Row],[Date]])</f>
        <v>Q1-2024</v>
      </c>
      <c r="Q1860">
        <f>YEAR(tblTransactions[[#This Row],[Date]])</f>
        <v>2024</v>
      </c>
      <c r="R1860" t="str">
        <f>TEXT(tblTransactions[[#This Row],[Date]],"DDDD")</f>
        <v>Saturday</v>
      </c>
      <c r="S1860">
        <f>MONTH(tblTransactions[[#This Row],[Date]])</f>
        <v>1</v>
      </c>
      <c r="T1860" t="str">
        <f>VLOOKUP(E1860, Products!$A:$B,2,0)</f>
        <v>Paper Off-1</v>
      </c>
      <c r="U1860" t="str">
        <f>VLOOKUP(E1860,Products!$A:$C,3,0)</f>
        <v>Office Supplies</v>
      </c>
      <c r="V1860" t="str">
        <f>VLOOKUP(E1860,Products!$A:$D,4,0)</f>
        <v>Paper</v>
      </c>
      <c r="W1860" t="str">
        <f>VLOOKUP(D1860,Customers!$A:$C,3,0)</f>
        <v>Small Business</v>
      </c>
      <c r="X1860" t="str">
        <f>VLOOKUP(C1860,Sales_Representatives!$A:$B,2,0)</f>
        <v>Jessica Anderson</v>
      </c>
    </row>
    <row r="1861" spans="1:24" x14ac:dyDescent="0.3">
      <c r="A1861" t="s">
        <v>2672</v>
      </c>
      <c r="B1861" t="s">
        <v>2670</v>
      </c>
      <c r="C1861" t="s">
        <v>75</v>
      </c>
      <c r="D1861" t="s">
        <v>2287</v>
      </c>
      <c r="E1861" t="s">
        <v>172</v>
      </c>
      <c r="F1861">
        <v>9</v>
      </c>
      <c r="G1861">
        <v>1371.15</v>
      </c>
      <c r="H1861">
        <v>0.09</v>
      </c>
      <c r="I1861" s="4">
        <v>11229.72</v>
      </c>
      <c r="J1861" t="s">
        <v>44</v>
      </c>
      <c r="K1861" t="s">
        <v>39</v>
      </c>
      <c r="L1861" s="4">
        <f>VLOOKUP(tblTransactions[[#This Row],[Product_ID]],tblProducts[],5,FALSE)</f>
        <v>989.81</v>
      </c>
      <c r="M1861" s="4">
        <f>tblTransactions[[#This Row],[Total_Amount]]-(tblTransactions[[#This Row],[Cost_Prices]]*tblTransactions[[#This Row],[Quantity]]*(1-tblTransactions[[#This Row],[Discount]]))</f>
        <v>3123.1760999999997</v>
      </c>
      <c r="N1861" s="3">
        <f>tblTransactions[[#This Row],[Profit]]/tblTransactions[[#This Row],[Total_Amount]]</f>
        <v>0.27811700558874131</v>
      </c>
      <c r="O1861" t="str">
        <f>TEXT(tblTransactions[[#This Row],[Date]], "MMM-YYYY")</f>
        <v>Jan-2024</v>
      </c>
      <c r="P1861" t="str">
        <f>"Q"&amp;ROUNDUP(MONTH(tblTransactions[[#This Row],[Date]])/3,0)&amp;"-"&amp;YEAR(tblTransactions[[#This Row],[Date]])</f>
        <v>Q1-2024</v>
      </c>
      <c r="Q1861">
        <f>YEAR(tblTransactions[[#This Row],[Date]])</f>
        <v>2024</v>
      </c>
      <c r="R1861" t="str">
        <f>TEXT(tblTransactions[[#This Row],[Date]],"DDDD")</f>
        <v>Saturday</v>
      </c>
      <c r="S1861">
        <f>MONTH(tblTransactions[[#This Row],[Date]])</f>
        <v>1</v>
      </c>
      <c r="T1861" t="str">
        <f>VLOOKUP(E1861, Products!$A:$B,2,0)</f>
        <v>Cameras Ele-4</v>
      </c>
      <c r="U1861" t="str">
        <f>VLOOKUP(E1861,Products!$A:$C,3,0)</f>
        <v>Electronics</v>
      </c>
      <c r="V1861" t="str">
        <f>VLOOKUP(E1861,Products!$A:$D,4,0)</f>
        <v>Cameras</v>
      </c>
      <c r="W1861" t="str">
        <f>VLOOKUP(D1861,Customers!$A:$C,3,0)</f>
        <v>B2B</v>
      </c>
      <c r="X1861" t="str">
        <f>VLOOKUP(C1861,Sales_Representatives!$A:$B,2,0)</f>
        <v>Jessica Anderson</v>
      </c>
    </row>
    <row r="1862" spans="1:24" x14ac:dyDescent="0.3">
      <c r="A1862" t="s">
        <v>2673</v>
      </c>
      <c r="B1862" t="s">
        <v>2670</v>
      </c>
      <c r="C1862" t="s">
        <v>63</v>
      </c>
      <c r="D1862" t="s">
        <v>1991</v>
      </c>
      <c r="E1862" t="s">
        <v>258</v>
      </c>
      <c r="F1862">
        <v>6</v>
      </c>
      <c r="G1862">
        <v>73.33</v>
      </c>
      <c r="H1862">
        <v>0.05</v>
      </c>
      <c r="I1862" s="4">
        <v>417.98</v>
      </c>
      <c r="J1862" t="s">
        <v>21</v>
      </c>
      <c r="K1862" t="s">
        <v>35</v>
      </c>
      <c r="L1862" s="4">
        <f>VLOOKUP(tblTransactions[[#This Row],[Product_ID]],tblProducts[],5,FALSE)</f>
        <v>38.049999999999997</v>
      </c>
      <c r="M1862" s="4">
        <f>tblTransactions[[#This Row],[Total_Amount]]-(tblTransactions[[#This Row],[Cost_Prices]]*tblTransactions[[#This Row],[Quantity]]*(1-tblTransactions[[#This Row],[Discount]]))</f>
        <v>201.09500000000006</v>
      </c>
      <c r="N1862" s="3">
        <f>tblTransactions[[#This Row],[Profit]]/tblTransactions[[#This Row],[Total_Amount]]</f>
        <v>0.48111153643715021</v>
      </c>
      <c r="O1862" t="str">
        <f>TEXT(tblTransactions[[#This Row],[Date]], "MMM-YYYY")</f>
        <v>Jan-2024</v>
      </c>
      <c r="P1862" t="str">
        <f>"Q"&amp;ROUNDUP(MONTH(tblTransactions[[#This Row],[Date]])/3,0)&amp;"-"&amp;YEAR(tblTransactions[[#This Row],[Date]])</f>
        <v>Q1-2024</v>
      </c>
      <c r="Q1862">
        <f>YEAR(tblTransactions[[#This Row],[Date]])</f>
        <v>2024</v>
      </c>
      <c r="R1862" t="str">
        <f>TEXT(tblTransactions[[#This Row],[Date]],"DDDD")</f>
        <v>Saturday</v>
      </c>
      <c r="S1862">
        <f>MONTH(tblTransactions[[#This Row],[Date]])</f>
        <v>1</v>
      </c>
      <c r="T1862" t="str">
        <f>VLOOKUP(E1862, Products!$A:$B,2,0)</f>
        <v>Keyboards Acc-3</v>
      </c>
      <c r="U1862" t="str">
        <f>VLOOKUP(E1862,Products!$A:$C,3,0)</f>
        <v>Accessories</v>
      </c>
      <c r="V1862" t="str">
        <f>VLOOKUP(E1862,Products!$A:$D,4,0)</f>
        <v>Keyboards</v>
      </c>
      <c r="W1862" t="str">
        <f>VLOOKUP(D1862,Customers!$A:$C,3,0)</f>
        <v>Small Business</v>
      </c>
      <c r="X1862" t="str">
        <f>VLOOKUP(C1862,Sales_Representatives!$A:$B,2,0)</f>
        <v>Richard Wilson</v>
      </c>
    </row>
    <row r="1863" spans="1:24" x14ac:dyDescent="0.3">
      <c r="A1863" t="s">
        <v>2674</v>
      </c>
      <c r="B1863" t="s">
        <v>2670</v>
      </c>
      <c r="C1863" t="s">
        <v>75</v>
      </c>
      <c r="D1863" t="s">
        <v>2675</v>
      </c>
      <c r="E1863" t="s">
        <v>53</v>
      </c>
      <c r="F1863">
        <v>14</v>
      </c>
      <c r="G1863">
        <v>2069.2199999999998</v>
      </c>
      <c r="H1863">
        <v>0.15</v>
      </c>
      <c r="I1863" s="4">
        <v>24623.72</v>
      </c>
      <c r="J1863" t="s">
        <v>44</v>
      </c>
      <c r="K1863" t="s">
        <v>22</v>
      </c>
      <c r="L1863" s="4">
        <f>VLOOKUP(tblTransactions[[#This Row],[Product_ID]],tblProducts[],5,FALSE)</f>
        <v>1451.18</v>
      </c>
      <c r="M1863" s="4">
        <f>tblTransactions[[#This Row],[Total_Amount]]-(tblTransactions[[#This Row],[Cost_Prices]]*tblTransactions[[#This Row],[Quantity]]*(1-tblTransactions[[#This Row],[Discount]]))</f>
        <v>7354.6779999999999</v>
      </c>
      <c r="N1863" s="3">
        <f>tblTransactions[[#This Row],[Profit]]/tblTransactions[[#This Row],[Total_Amount]]</f>
        <v>0.29868265233685243</v>
      </c>
      <c r="O1863" t="str">
        <f>TEXT(tblTransactions[[#This Row],[Date]], "MMM-YYYY")</f>
        <v>Jan-2024</v>
      </c>
      <c r="P1863" t="str">
        <f>"Q"&amp;ROUNDUP(MONTH(tblTransactions[[#This Row],[Date]])/3,0)&amp;"-"&amp;YEAR(tblTransactions[[#This Row],[Date]])</f>
        <v>Q1-2024</v>
      </c>
      <c r="Q1863">
        <f>YEAR(tblTransactions[[#This Row],[Date]])</f>
        <v>2024</v>
      </c>
      <c r="R1863" t="str">
        <f>TEXT(tblTransactions[[#This Row],[Date]],"DDDD")</f>
        <v>Saturday</v>
      </c>
      <c r="S1863">
        <f>MONTH(tblTransactions[[#This Row],[Date]])</f>
        <v>1</v>
      </c>
      <c r="T1863" t="str">
        <f>VLOOKUP(E1863, Products!$A:$B,2,0)</f>
        <v>Printers Tec-3</v>
      </c>
      <c r="U1863" t="str">
        <f>VLOOKUP(E1863,Products!$A:$C,3,0)</f>
        <v>Technology</v>
      </c>
      <c r="V1863" t="str">
        <f>VLOOKUP(E1863,Products!$A:$D,4,0)</f>
        <v>Printers</v>
      </c>
      <c r="W1863" t="str">
        <f>VLOOKUP(D1863,Customers!$A:$C,3,0)</f>
        <v>B2B</v>
      </c>
      <c r="X1863" t="str">
        <f>VLOOKUP(C1863,Sales_Representatives!$A:$B,2,0)</f>
        <v>Jessica Anderson</v>
      </c>
    </row>
    <row r="1864" spans="1:24" x14ac:dyDescent="0.3">
      <c r="A1864" t="s">
        <v>2676</v>
      </c>
      <c r="B1864" t="s">
        <v>2677</v>
      </c>
      <c r="C1864" t="s">
        <v>19</v>
      </c>
      <c r="D1864" t="s">
        <v>2678</v>
      </c>
      <c r="E1864" t="s">
        <v>299</v>
      </c>
      <c r="F1864">
        <v>1</v>
      </c>
      <c r="G1864">
        <v>963.44</v>
      </c>
      <c r="H1864">
        <v>0.08</v>
      </c>
      <c r="I1864" s="4">
        <v>886.36</v>
      </c>
      <c r="J1864" t="s">
        <v>21</v>
      </c>
      <c r="K1864" t="s">
        <v>22</v>
      </c>
      <c r="L1864" s="4">
        <f>VLOOKUP(tblTransactions[[#This Row],[Product_ID]],tblProducts[],5,FALSE)</f>
        <v>578.96</v>
      </c>
      <c r="M1864" s="4">
        <f>tblTransactions[[#This Row],[Total_Amount]]-(tblTransactions[[#This Row],[Cost_Prices]]*tblTransactions[[#This Row],[Quantity]]*(1-tblTransactions[[#This Row],[Discount]]))</f>
        <v>353.71679999999992</v>
      </c>
      <c r="N1864" s="3">
        <f>tblTransactions[[#This Row],[Profit]]/tblTransactions[[#This Row],[Total_Amount]]</f>
        <v>0.39906674488920968</v>
      </c>
      <c r="O1864" t="str">
        <f>TEXT(tblTransactions[[#This Row],[Date]], "MMM-YYYY")</f>
        <v>Jan-2024</v>
      </c>
      <c r="P1864" t="str">
        <f>"Q"&amp;ROUNDUP(MONTH(tblTransactions[[#This Row],[Date]])/3,0)&amp;"-"&amp;YEAR(tblTransactions[[#This Row],[Date]])</f>
        <v>Q1-2024</v>
      </c>
      <c r="Q1864">
        <f>YEAR(tblTransactions[[#This Row],[Date]])</f>
        <v>2024</v>
      </c>
      <c r="R1864" t="str">
        <f>TEXT(tblTransactions[[#This Row],[Date]],"DDDD")</f>
        <v>Sunday</v>
      </c>
      <c r="S1864">
        <f>MONTH(tblTransactions[[#This Row],[Date]])</f>
        <v>1</v>
      </c>
      <c r="T1864" t="str">
        <f>VLOOKUP(E1864, Products!$A:$B,2,0)</f>
        <v>Chairs Fur-4</v>
      </c>
      <c r="U1864" t="str">
        <f>VLOOKUP(E1864,Products!$A:$C,3,0)</f>
        <v>Furniture</v>
      </c>
      <c r="V1864" t="str">
        <f>VLOOKUP(E1864,Products!$A:$D,4,0)</f>
        <v>Chairs</v>
      </c>
      <c r="W1864" t="str">
        <f>VLOOKUP(D1864,Customers!$A:$C,3,0)</f>
        <v>B2C</v>
      </c>
      <c r="X1864" t="str">
        <f>VLOOKUP(C1864,Sales_Representatives!$A:$B,2,0)</f>
        <v>Robert Jones</v>
      </c>
    </row>
    <row r="1865" spans="1:24" x14ac:dyDescent="0.3">
      <c r="A1865" t="s">
        <v>2679</v>
      </c>
      <c r="B1865" t="s">
        <v>2677</v>
      </c>
      <c r="C1865" t="s">
        <v>82</v>
      </c>
      <c r="D1865" t="s">
        <v>2680</v>
      </c>
      <c r="E1865" t="s">
        <v>15</v>
      </c>
      <c r="F1865">
        <v>3</v>
      </c>
      <c r="G1865">
        <v>477.48</v>
      </c>
      <c r="H1865">
        <v>0.02</v>
      </c>
      <c r="I1865" s="4">
        <v>1403.79</v>
      </c>
      <c r="J1865" t="s">
        <v>34</v>
      </c>
      <c r="K1865" t="s">
        <v>35</v>
      </c>
      <c r="L1865" s="4">
        <f>VLOOKUP(tblTransactions[[#This Row],[Product_ID]],tblProducts[],5,FALSE)</f>
        <v>275.51</v>
      </c>
      <c r="M1865" s="4">
        <f>tblTransactions[[#This Row],[Total_Amount]]-(tblTransactions[[#This Row],[Cost_Prices]]*tblTransactions[[#This Row],[Quantity]]*(1-tblTransactions[[#This Row],[Discount]]))</f>
        <v>593.79060000000004</v>
      </c>
      <c r="N1865" s="3">
        <f>tblTransactions[[#This Row],[Profit]]/tblTransactions[[#This Row],[Total_Amount]]</f>
        <v>0.42299104566922407</v>
      </c>
      <c r="O1865" t="str">
        <f>TEXT(tblTransactions[[#This Row],[Date]], "MMM-YYYY")</f>
        <v>Jan-2024</v>
      </c>
      <c r="P1865" t="str">
        <f>"Q"&amp;ROUNDUP(MONTH(tblTransactions[[#This Row],[Date]])/3,0)&amp;"-"&amp;YEAR(tblTransactions[[#This Row],[Date]])</f>
        <v>Q1-2024</v>
      </c>
      <c r="Q1865">
        <f>YEAR(tblTransactions[[#This Row],[Date]])</f>
        <v>2024</v>
      </c>
      <c r="R1865" t="str">
        <f>TEXT(tblTransactions[[#This Row],[Date]],"DDDD")</f>
        <v>Sunday</v>
      </c>
      <c r="S1865">
        <f>MONTH(tblTransactions[[#This Row],[Date]])</f>
        <v>1</v>
      </c>
      <c r="T1865" t="str">
        <f>VLOOKUP(E1865, Products!$A:$B,2,0)</f>
        <v>Laptops Ele-4</v>
      </c>
      <c r="U1865" t="str">
        <f>VLOOKUP(E1865,Products!$A:$C,3,0)</f>
        <v>Electronics</v>
      </c>
      <c r="V1865" t="str">
        <f>VLOOKUP(E1865,Products!$A:$D,4,0)</f>
        <v>Laptops</v>
      </c>
      <c r="W1865" t="str">
        <f>VLOOKUP(D1865,Customers!$A:$C,3,0)</f>
        <v>B2B</v>
      </c>
      <c r="X1865" t="str">
        <f>VLOOKUP(C1865,Sales_Representatives!$A:$B,2,0)</f>
        <v>John Brown</v>
      </c>
    </row>
    <row r="1866" spans="1:24" x14ac:dyDescent="0.3">
      <c r="A1866" t="s">
        <v>2681</v>
      </c>
      <c r="B1866" t="s">
        <v>2677</v>
      </c>
      <c r="C1866" t="s">
        <v>82</v>
      </c>
      <c r="D1866" t="s">
        <v>2000</v>
      </c>
      <c r="E1866" t="s">
        <v>339</v>
      </c>
      <c r="F1866">
        <v>8</v>
      </c>
      <c r="G1866">
        <v>1100.8800000000001</v>
      </c>
      <c r="H1866">
        <v>0.06</v>
      </c>
      <c r="I1866" s="4">
        <v>8278.6200000000008</v>
      </c>
      <c r="J1866" t="s">
        <v>34</v>
      </c>
      <c r="K1866" t="s">
        <v>17</v>
      </c>
      <c r="L1866" s="4">
        <f>VLOOKUP(tblTransactions[[#This Row],[Product_ID]],tblProducts[],5,FALSE)</f>
        <v>761.53</v>
      </c>
      <c r="M1866" s="4">
        <f>tblTransactions[[#This Row],[Total_Amount]]-(tblTransactions[[#This Row],[Cost_Prices]]*tblTransactions[[#This Row],[Quantity]]*(1-tblTransactions[[#This Row],[Discount]]))</f>
        <v>2551.9144000000015</v>
      </c>
      <c r="N1866" s="3">
        <f>tblTransactions[[#This Row],[Profit]]/tblTransactions[[#This Row],[Total_Amount]]</f>
        <v>0.30825359782185935</v>
      </c>
      <c r="O1866" t="str">
        <f>TEXT(tblTransactions[[#This Row],[Date]], "MMM-YYYY")</f>
        <v>Jan-2024</v>
      </c>
      <c r="P1866" t="str">
        <f>"Q"&amp;ROUNDUP(MONTH(tblTransactions[[#This Row],[Date]])/3,0)&amp;"-"&amp;YEAR(tblTransactions[[#This Row],[Date]])</f>
        <v>Q1-2024</v>
      </c>
      <c r="Q1866">
        <f>YEAR(tblTransactions[[#This Row],[Date]])</f>
        <v>2024</v>
      </c>
      <c r="R1866" t="str">
        <f>TEXT(tblTransactions[[#This Row],[Date]],"DDDD")</f>
        <v>Sunday</v>
      </c>
      <c r="S1866">
        <f>MONTH(tblTransactions[[#This Row],[Date]])</f>
        <v>1</v>
      </c>
      <c r="T1866" t="str">
        <f>VLOOKUP(E1866, Products!$A:$B,2,0)</f>
        <v>Phones Ele-2</v>
      </c>
      <c r="U1866" t="str">
        <f>VLOOKUP(E1866,Products!$A:$C,3,0)</f>
        <v>Electronics</v>
      </c>
      <c r="V1866" t="str">
        <f>VLOOKUP(E1866,Products!$A:$D,4,0)</f>
        <v>Phones</v>
      </c>
      <c r="W1866" t="str">
        <f>VLOOKUP(D1866,Customers!$A:$C,3,0)</f>
        <v>B2B</v>
      </c>
      <c r="X1866" t="str">
        <f>VLOOKUP(C1866,Sales_Representatives!$A:$B,2,0)</f>
        <v>John Brown</v>
      </c>
    </row>
    <row r="1867" spans="1:24" x14ac:dyDescent="0.3">
      <c r="A1867" t="s">
        <v>2682</v>
      </c>
      <c r="B1867" t="s">
        <v>2677</v>
      </c>
      <c r="C1867" t="s">
        <v>75</v>
      </c>
      <c r="D1867" t="s">
        <v>1994</v>
      </c>
      <c r="E1867" t="s">
        <v>450</v>
      </c>
      <c r="F1867">
        <v>4</v>
      </c>
      <c r="G1867">
        <v>2083.92</v>
      </c>
      <c r="H1867">
        <v>0.04</v>
      </c>
      <c r="I1867" s="4">
        <v>8002.25</v>
      </c>
      <c r="J1867" t="s">
        <v>44</v>
      </c>
      <c r="K1867" t="s">
        <v>22</v>
      </c>
      <c r="L1867" s="4">
        <f>VLOOKUP(tblTransactions[[#This Row],[Product_ID]],tblProducts[],5,FALSE)</f>
        <v>1425.78</v>
      </c>
      <c r="M1867" s="4">
        <f>tblTransactions[[#This Row],[Total_Amount]]-(tblTransactions[[#This Row],[Cost_Prices]]*tblTransactions[[#This Row],[Quantity]]*(1-tblTransactions[[#This Row],[Discount]]))</f>
        <v>2527.2548000000006</v>
      </c>
      <c r="N1867" s="3">
        <f>tblTransactions[[#This Row],[Profit]]/tblTransactions[[#This Row],[Total_Amount]]</f>
        <v>0.31581802618013693</v>
      </c>
      <c r="O1867" t="str">
        <f>TEXT(tblTransactions[[#This Row],[Date]], "MMM-YYYY")</f>
        <v>Jan-2024</v>
      </c>
      <c r="P1867" t="str">
        <f>"Q"&amp;ROUNDUP(MONTH(tblTransactions[[#This Row],[Date]])/3,0)&amp;"-"&amp;YEAR(tblTransactions[[#This Row],[Date]])</f>
        <v>Q1-2024</v>
      </c>
      <c r="Q1867">
        <f>YEAR(tblTransactions[[#This Row],[Date]])</f>
        <v>2024</v>
      </c>
      <c r="R1867" t="str">
        <f>TEXT(tblTransactions[[#This Row],[Date]],"DDDD")</f>
        <v>Sunday</v>
      </c>
      <c r="S1867">
        <f>MONTH(tblTransactions[[#This Row],[Date]])</f>
        <v>1</v>
      </c>
      <c r="T1867" t="str">
        <f>VLOOKUP(E1867, Products!$A:$B,2,0)</f>
        <v>Monitors Tec-4</v>
      </c>
      <c r="U1867" t="str">
        <f>VLOOKUP(E1867,Products!$A:$C,3,0)</f>
        <v>Technology</v>
      </c>
      <c r="V1867" t="str">
        <f>VLOOKUP(E1867,Products!$A:$D,4,0)</f>
        <v>Monitors</v>
      </c>
      <c r="W1867" t="str">
        <f>VLOOKUP(D1867,Customers!$A:$C,3,0)</f>
        <v>B2C</v>
      </c>
      <c r="X1867" t="str">
        <f>VLOOKUP(C1867,Sales_Representatives!$A:$B,2,0)</f>
        <v>Jessica Anderson</v>
      </c>
    </row>
    <row r="1868" spans="1:24" x14ac:dyDescent="0.3">
      <c r="A1868" t="s">
        <v>2683</v>
      </c>
      <c r="B1868" t="s">
        <v>2684</v>
      </c>
      <c r="C1868" t="s">
        <v>59</v>
      </c>
      <c r="D1868" t="s">
        <v>2446</v>
      </c>
      <c r="E1868" t="s">
        <v>347</v>
      </c>
      <c r="F1868">
        <v>18</v>
      </c>
      <c r="G1868">
        <v>1539.6</v>
      </c>
      <c r="H1868">
        <v>0.12</v>
      </c>
      <c r="I1868" s="4">
        <v>24387.26</v>
      </c>
      <c r="J1868" t="s">
        <v>21</v>
      </c>
      <c r="K1868" t="s">
        <v>22</v>
      </c>
      <c r="L1868" s="4">
        <f>VLOOKUP(tblTransactions[[#This Row],[Product_ID]],tblProducts[],5,FALSE)</f>
        <v>992.43</v>
      </c>
      <c r="M1868" s="4">
        <f>tblTransactions[[#This Row],[Total_Amount]]-(tblTransactions[[#This Row],[Cost_Prices]]*tblTransactions[[#This Row],[Quantity]]*(1-tblTransactions[[#This Row],[Discount]]))</f>
        <v>8667.1687999999995</v>
      </c>
      <c r="N1868" s="3">
        <f>tblTransactions[[#This Row],[Profit]]/tblTransactions[[#This Row],[Total_Amount]]</f>
        <v>0.35539740011793042</v>
      </c>
      <c r="O1868" t="str">
        <f>TEXT(tblTransactions[[#This Row],[Date]], "MMM-YYYY")</f>
        <v>Jan-2024</v>
      </c>
      <c r="P1868" t="str">
        <f>"Q"&amp;ROUNDUP(MONTH(tblTransactions[[#This Row],[Date]])/3,0)&amp;"-"&amp;YEAR(tblTransactions[[#This Row],[Date]])</f>
        <v>Q1-2024</v>
      </c>
      <c r="Q1868">
        <f>YEAR(tblTransactions[[#This Row],[Date]])</f>
        <v>2024</v>
      </c>
      <c r="R1868" t="str">
        <f>TEXT(tblTransactions[[#This Row],[Date]],"DDDD")</f>
        <v>Monday</v>
      </c>
      <c r="S1868">
        <f>MONTH(tblTransactions[[#This Row],[Date]])</f>
        <v>1</v>
      </c>
      <c r="T1868" t="str">
        <f>VLOOKUP(E1868, Products!$A:$B,2,0)</f>
        <v>Routers Tec-2</v>
      </c>
      <c r="U1868" t="str">
        <f>VLOOKUP(E1868,Products!$A:$C,3,0)</f>
        <v>Technology</v>
      </c>
      <c r="V1868" t="str">
        <f>VLOOKUP(E1868,Products!$A:$D,4,0)</f>
        <v>Routers</v>
      </c>
      <c r="W1868" t="str">
        <f>VLOOKUP(D1868,Customers!$A:$C,3,0)</f>
        <v>B2B</v>
      </c>
      <c r="X1868" t="str">
        <f>VLOOKUP(C1868,Sales_Representatives!$A:$B,2,0)</f>
        <v>Sarah Brown</v>
      </c>
    </row>
    <row r="1869" spans="1:24" x14ac:dyDescent="0.3">
      <c r="A1869" t="s">
        <v>2685</v>
      </c>
      <c r="B1869" t="s">
        <v>2684</v>
      </c>
      <c r="C1869" t="s">
        <v>19</v>
      </c>
      <c r="D1869" t="s">
        <v>2686</v>
      </c>
      <c r="E1869" t="s">
        <v>108</v>
      </c>
      <c r="F1869">
        <v>4</v>
      </c>
      <c r="G1869">
        <v>155.75</v>
      </c>
      <c r="H1869">
        <v>0.01</v>
      </c>
      <c r="I1869" s="4">
        <v>616.77</v>
      </c>
      <c r="J1869" t="s">
        <v>21</v>
      </c>
      <c r="K1869" t="s">
        <v>48</v>
      </c>
      <c r="L1869" s="4">
        <f>VLOOKUP(tblTransactions[[#This Row],[Product_ID]],tblProducts[],5,FALSE)</f>
        <v>80.8</v>
      </c>
      <c r="M1869" s="4">
        <f>tblTransactions[[#This Row],[Total_Amount]]-(tblTransactions[[#This Row],[Cost_Prices]]*tblTransactions[[#This Row],[Quantity]]*(1-tblTransactions[[#This Row],[Discount]]))</f>
        <v>296.80200000000002</v>
      </c>
      <c r="N1869" s="3">
        <f>tblTransactions[[#This Row],[Profit]]/tblTransactions[[#This Row],[Total_Amount]]</f>
        <v>0.48121990369181383</v>
      </c>
      <c r="O1869" t="str">
        <f>TEXT(tblTransactions[[#This Row],[Date]], "MMM-YYYY")</f>
        <v>Jan-2024</v>
      </c>
      <c r="P1869" t="str">
        <f>"Q"&amp;ROUNDUP(MONTH(tblTransactions[[#This Row],[Date]])/3,0)&amp;"-"&amp;YEAR(tblTransactions[[#This Row],[Date]])</f>
        <v>Q1-2024</v>
      </c>
      <c r="Q1869">
        <f>YEAR(tblTransactions[[#This Row],[Date]])</f>
        <v>2024</v>
      </c>
      <c r="R1869" t="str">
        <f>TEXT(tblTransactions[[#This Row],[Date]],"DDDD")</f>
        <v>Monday</v>
      </c>
      <c r="S1869">
        <f>MONTH(tblTransactions[[#This Row],[Date]])</f>
        <v>1</v>
      </c>
      <c r="T1869" t="str">
        <f>VLOOKUP(E1869, Products!$A:$B,2,0)</f>
        <v>Cases Acc-1</v>
      </c>
      <c r="U1869" t="str">
        <f>VLOOKUP(E1869,Products!$A:$C,3,0)</f>
        <v>Accessories</v>
      </c>
      <c r="V1869" t="str">
        <f>VLOOKUP(E1869,Products!$A:$D,4,0)</f>
        <v>Cases</v>
      </c>
      <c r="W1869" t="str">
        <f>VLOOKUP(D1869,Customers!$A:$C,3,0)</f>
        <v>Small Business</v>
      </c>
      <c r="X1869" t="str">
        <f>VLOOKUP(C1869,Sales_Representatives!$A:$B,2,0)</f>
        <v>Robert Jones</v>
      </c>
    </row>
    <row r="1870" spans="1:24" x14ac:dyDescent="0.3">
      <c r="A1870" t="s">
        <v>2687</v>
      </c>
      <c r="B1870" t="s">
        <v>2688</v>
      </c>
      <c r="C1870" t="s">
        <v>41</v>
      </c>
      <c r="D1870" t="s">
        <v>1463</v>
      </c>
      <c r="E1870" t="s">
        <v>116</v>
      </c>
      <c r="F1870">
        <v>2</v>
      </c>
      <c r="G1870">
        <v>232.86</v>
      </c>
      <c r="H1870">
        <v>0.06</v>
      </c>
      <c r="I1870" s="4">
        <v>437.78</v>
      </c>
      <c r="J1870" t="s">
        <v>44</v>
      </c>
      <c r="K1870" t="s">
        <v>22</v>
      </c>
      <c r="L1870" s="4">
        <f>VLOOKUP(tblTransactions[[#This Row],[Product_ID]],tblProducts[],5,FALSE)</f>
        <v>116.79</v>
      </c>
      <c r="M1870" s="4">
        <f>tblTransactions[[#This Row],[Total_Amount]]-(tblTransactions[[#This Row],[Cost_Prices]]*tblTransactions[[#This Row],[Quantity]]*(1-tblTransactions[[#This Row],[Discount]]))</f>
        <v>218.21479999999997</v>
      </c>
      <c r="N1870" s="3">
        <f>tblTransactions[[#This Row],[Profit]]/tblTransactions[[#This Row],[Total_Amount]]</f>
        <v>0.4984576728036913</v>
      </c>
      <c r="O1870" t="str">
        <f>TEXT(tblTransactions[[#This Row],[Date]], "MMM-YYYY")</f>
        <v>Jan-2024</v>
      </c>
      <c r="P1870" t="str">
        <f>"Q"&amp;ROUNDUP(MONTH(tblTransactions[[#This Row],[Date]])/3,0)&amp;"-"&amp;YEAR(tblTransactions[[#This Row],[Date]])</f>
        <v>Q1-2024</v>
      </c>
      <c r="Q1870">
        <f>YEAR(tblTransactions[[#This Row],[Date]])</f>
        <v>2024</v>
      </c>
      <c r="R1870" t="str">
        <f>TEXT(tblTransactions[[#This Row],[Date]],"DDDD")</f>
        <v>Tuesday</v>
      </c>
      <c r="S1870">
        <f>MONTH(tblTransactions[[#This Row],[Date]])</f>
        <v>1</v>
      </c>
      <c r="T1870" t="str">
        <f>VLOOKUP(E1870, Products!$A:$B,2,0)</f>
        <v>Folders Off-4</v>
      </c>
      <c r="U1870" t="str">
        <f>VLOOKUP(E1870,Products!$A:$C,3,0)</f>
        <v>Office Supplies</v>
      </c>
      <c r="V1870" t="str">
        <f>VLOOKUP(E1870,Products!$A:$D,4,0)</f>
        <v>Folders</v>
      </c>
      <c r="W1870" t="str">
        <f>VLOOKUP(D1870,Customers!$A:$C,3,0)</f>
        <v>Small Business</v>
      </c>
      <c r="X1870" t="str">
        <f>VLOOKUP(C1870,Sales_Representatives!$A:$B,2,0)</f>
        <v>Robert Jones</v>
      </c>
    </row>
    <row r="1871" spans="1:24" x14ac:dyDescent="0.3">
      <c r="A1871" t="s">
        <v>2689</v>
      </c>
      <c r="B1871" t="s">
        <v>2688</v>
      </c>
      <c r="C1871" t="s">
        <v>70</v>
      </c>
      <c r="D1871" t="s">
        <v>2690</v>
      </c>
      <c r="E1871" t="s">
        <v>91</v>
      </c>
      <c r="F1871">
        <v>45</v>
      </c>
      <c r="G1871">
        <v>286.62</v>
      </c>
      <c r="H1871">
        <v>0.16</v>
      </c>
      <c r="I1871" s="4">
        <v>10834.24</v>
      </c>
      <c r="J1871" t="s">
        <v>16</v>
      </c>
      <c r="K1871" t="s">
        <v>17</v>
      </c>
      <c r="L1871" s="4">
        <f>VLOOKUP(tblTransactions[[#This Row],[Product_ID]],tblProducts[],5,FALSE)</f>
        <v>145.54</v>
      </c>
      <c r="M1871" s="4">
        <f>tblTransactions[[#This Row],[Total_Amount]]-(tblTransactions[[#This Row],[Cost_Prices]]*tblTransactions[[#This Row],[Quantity]]*(1-tblTransactions[[#This Row],[Discount]]))</f>
        <v>5332.8280000000004</v>
      </c>
      <c r="N1871" s="3">
        <f>tblTransactions[[#This Row],[Profit]]/tblTransactions[[#This Row],[Total_Amount]]</f>
        <v>0.49221985113861244</v>
      </c>
      <c r="O1871" t="str">
        <f>TEXT(tblTransactions[[#This Row],[Date]], "MMM-YYYY")</f>
        <v>Jan-2024</v>
      </c>
      <c r="P1871" t="str">
        <f>"Q"&amp;ROUNDUP(MONTH(tblTransactions[[#This Row],[Date]])/3,0)&amp;"-"&amp;YEAR(tblTransactions[[#This Row],[Date]])</f>
        <v>Q1-2024</v>
      </c>
      <c r="Q1871">
        <f>YEAR(tblTransactions[[#This Row],[Date]])</f>
        <v>2024</v>
      </c>
      <c r="R1871" t="str">
        <f>TEXT(tblTransactions[[#This Row],[Date]],"DDDD")</f>
        <v>Tuesday</v>
      </c>
      <c r="S1871">
        <f>MONTH(tblTransactions[[#This Row],[Date]])</f>
        <v>1</v>
      </c>
      <c r="T1871" t="str">
        <f>VLOOKUP(E1871, Products!$A:$B,2,0)</f>
        <v>Chairs Fur-1</v>
      </c>
      <c r="U1871" t="str">
        <f>VLOOKUP(E1871,Products!$A:$C,3,0)</f>
        <v>Furniture</v>
      </c>
      <c r="V1871" t="str">
        <f>VLOOKUP(E1871,Products!$A:$D,4,0)</f>
        <v>Chairs</v>
      </c>
      <c r="W1871" t="str">
        <f>VLOOKUP(D1871,Customers!$A:$C,3,0)</f>
        <v>Enterprise</v>
      </c>
      <c r="X1871" t="str">
        <f>VLOOKUP(C1871,Sales_Representatives!$A:$B,2,0)</f>
        <v>Linda Smith</v>
      </c>
    </row>
    <row r="1872" spans="1:24" x14ac:dyDescent="0.3">
      <c r="A1872" t="s">
        <v>2691</v>
      </c>
      <c r="B1872" t="s">
        <v>2688</v>
      </c>
      <c r="C1872" t="s">
        <v>19</v>
      </c>
      <c r="D1872" t="s">
        <v>2224</v>
      </c>
      <c r="E1872" t="s">
        <v>91</v>
      </c>
      <c r="F1872">
        <v>5</v>
      </c>
      <c r="G1872">
        <v>286.62</v>
      </c>
      <c r="H1872">
        <v>0.01</v>
      </c>
      <c r="I1872" s="4">
        <v>1418.77</v>
      </c>
      <c r="J1872" t="s">
        <v>21</v>
      </c>
      <c r="K1872" t="s">
        <v>39</v>
      </c>
      <c r="L1872" s="4">
        <f>VLOOKUP(tblTransactions[[#This Row],[Product_ID]],tblProducts[],5,FALSE)</f>
        <v>145.54</v>
      </c>
      <c r="M1872" s="4">
        <f>tblTransactions[[#This Row],[Total_Amount]]-(tblTransactions[[#This Row],[Cost_Prices]]*tblTransactions[[#This Row],[Quantity]]*(1-tblTransactions[[#This Row],[Discount]]))</f>
        <v>698.34700000000009</v>
      </c>
      <c r="N1872" s="3">
        <f>tblTransactions[[#This Row],[Profit]]/tblTransactions[[#This Row],[Total_Amount]]</f>
        <v>0.49222002156797795</v>
      </c>
      <c r="O1872" t="str">
        <f>TEXT(tblTransactions[[#This Row],[Date]], "MMM-YYYY")</f>
        <v>Jan-2024</v>
      </c>
      <c r="P1872" t="str">
        <f>"Q"&amp;ROUNDUP(MONTH(tblTransactions[[#This Row],[Date]])/3,0)&amp;"-"&amp;YEAR(tblTransactions[[#This Row],[Date]])</f>
        <v>Q1-2024</v>
      </c>
      <c r="Q1872">
        <f>YEAR(tblTransactions[[#This Row],[Date]])</f>
        <v>2024</v>
      </c>
      <c r="R1872" t="str">
        <f>TEXT(tblTransactions[[#This Row],[Date]],"DDDD")</f>
        <v>Tuesday</v>
      </c>
      <c r="S1872">
        <f>MONTH(tblTransactions[[#This Row],[Date]])</f>
        <v>1</v>
      </c>
      <c r="T1872" t="str">
        <f>VLOOKUP(E1872, Products!$A:$B,2,0)</f>
        <v>Chairs Fur-1</v>
      </c>
      <c r="U1872" t="str">
        <f>VLOOKUP(E1872,Products!$A:$C,3,0)</f>
        <v>Furniture</v>
      </c>
      <c r="V1872" t="str">
        <f>VLOOKUP(E1872,Products!$A:$D,4,0)</f>
        <v>Chairs</v>
      </c>
      <c r="W1872" t="str">
        <f>VLOOKUP(D1872,Customers!$A:$C,3,0)</f>
        <v>B2B</v>
      </c>
      <c r="X1872" t="str">
        <f>VLOOKUP(C1872,Sales_Representatives!$A:$B,2,0)</f>
        <v>Robert Jones</v>
      </c>
    </row>
    <row r="1873" spans="1:24" x14ac:dyDescent="0.3">
      <c r="A1873" t="s">
        <v>2692</v>
      </c>
      <c r="B1873" t="s">
        <v>2688</v>
      </c>
      <c r="C1873" t="s">
        <v>56</v>
      </c>
      <c r="D1873" t="s">
        <v>2405</v>
      </c>
      <c r="E1873" t="s">
        <v>77</v>
      </c>
      <c r="F1873">
        <v>7</v>
      </c>
      <c r="G1873">
        <v>236.82</v>
      </c>
      <c r="H1873">
        <v>7.0000000000000007E-2</v>
      </c>
      <c r="I1873" s="4">
        <v>1541.7</v>
      </c>
      <c r="J1873" t="s">
        <v>34</v>
      </c>
      <c r="K1873" t="s">
        <v>39</v>
      </c>
      <c r="L1873" s="4">
        <f>VLOOKUP(tblTransactions[[#This Row],[Product_ID]],tblProducts[],5,FALSE)</f>
        <v>110.79</v>
      </c>
      <c r="M1873" s="4">
        <f>tblTransactions[[#This Row],[Total_Amount]]-(tblTransactions[[#This Row],[Cost_Prices]]*tblTransactions[[#This Row],[Quantity]]*(1-tblTransactions[[#This Row],[Discount]]))</f>
        <v>820.45709999999997</v>
      </c>
      <c r="N1873" s="3">
        <f>tblTransactions[[#This Row],[Profit]]/tblTransactions[[#This Row],[Total_Amount]]</f>
        <v>0.53217688266199648</v>
      </c>
      <c r="O1873" t="str">
        <f>TEXT(tblTransactions[[#This Row],[Date]], "MMM-YYYY")</f>
        <v>Jan-2024</v>
      </c>
      <c r="P1873" t="str">
        <f>"Q"&amp;ROUNDUP(MONTH(tblTransactions[[#This Row],[Date]])/3,0)&amp;"-"&amp;YEAR(tblTransactions[[#This Row],[Date]])</f>
        <v>Q1-2024</v>
      </c>
      <c r="Q1873">
        <f>YEAR(tblTransactions[[#This Row],[Date]])</f>
        <v>2024</v>
      </c>
      <c r="R1873" t="str">
        <f>TEXT(tblTransactions[[#This Row],[Date]],"DDDD")</f>
        <v>Tuesday</v>
      </c>
      <c r="S1873">
        <f>MONTH(tblTransactions[[#This Row],[Date]])</f>
        <v>1</v>
      </c>
      <c r="T1873" t="str">
        <f>VLOOKUP(E1873, Products!$A:$B,2,0)</f>
        <v>Binders Off-4</v>
      </c>
      <c r="U1873" t="str">
        <f>VLOOKUP(E1873,Products!$A:$C,3,0)</f>
        <v>Office Supplies</v>
      </c>
      <c r="V1873" t="str">
        <f>VLOOKUP(E1873,Products!$A:$D,4,0)</f>
        <v>Binders</v>
      </c>
      <c r="W1873" t="str">
        <f>VLOOKUP(D1873,Customers!$A:$C,3,0)</f>
        <v>B2C</v>
      </c>
      <c r="X1873" t="str">
        <f>VLOOKUP(C1873,Sales_Representatives!$A:$B,2,0)</f>
        <v>Thomas Hernandez</v>
      </c>
    </row>
    <row r="1874" spans="1:24" x14ac:dyDescent="0.3">
      <c r="A1874" t="s">
        <v>2693</v>
      </c>
      <c r="B1874" t="s">
        <v>2688</v>
      </c>
      <c r="C1874" t="s">
        <v>41</v>
      </c>
      <c r="D1874" t="s">
        <v>1822</v>
      </c>
      <c r="E1874" t="s">
        <v>96</v>
      </c>
      <c r="F1874">
        <v>2</v>
      </c>
      <c r="G1874">
        <v>751.9</v>
      </c>
      <c r="H1874">
        <v>0.05</v>
      </c>
      <c r="I1874" s="4">
        <v>1428.61</v>
      </c>
      <c r="J1874" t="s">
        <v>44</v>
      </c>
      <c r="K1874" t="s">
        <v>22</v>
      </c>
      <c r="L1874" s="4">
        <f>VLOOKUP(tblTransactions[[#This Row],[Product_ID]],tblProducts[],5,FALSE)</f>
        <v>570.29</v>
      </c>
      <c r="M1874" s="4">
        <f>tblTransactions[[#This Row],[Total_Amount]]-(tblTransactions[[#This Row],[Cost_Prices]]*tblTransactions[[#This Row],[Quantity]]*(1-tblTransactions[[#This Row],[Discount]]))</f>
        <v>345.05899999999997</v>
      </c>
      <c r="N1874" s="3">
        <f>tblTransactions[[#This Row],[Profit]]/tblTransactions[[#This Row],[Total_Amount]]</f>
        <v>0.24153477856097885</v>
      </c>
      <c r="O1874" t="str">
        <f>TEXT(tblTransactions[[#This Row],[Date]], "MMM-YYYY")</f>
        <v>Jan-2024</v>
      </c>
      <c r="P1874" t="str">
        <f>"Q"&amp;ROUNDUP(MONTH(tblTransactions[[#This Row],[Date]])/3,0)&amp;"-"&amp;YEAR(tblTransactions[[#This Row],[Date]])</f>
        <v>Q1-2024</v>
      </c>
      <c r="Q1874">
        <f>YEAR(tblTransactions[[#This Row],[Date]])</f>
        <v>2024</v>
      </c>
      <c r="R1874" t="str">
        <f>TEXT(tblTransactions[[#This Row],[Date]],"DDDD")</f>
        <v>Tuesday</v>
      </c>
      <c r="S1874">
        <f>MONTH(tblTransactions[[#This Row],[Date]])</f>
        <v>1</v>
      </c>
      <c r="T1874" t="str">
        <f>VLOOKUP(E1874, Products!$A:$B,2,0)</f>
        <v>Routers Tec-1</v>
      </c>
      <c r="U1874" t="str">
        <f>VLOOKUP(E1874,Products!$A:$C,3,0)</f>
        <v>Technology</v>
      </c>
      <c r="V1874" t="str">
        <f>VLOOKUP(E1874,Products!$A:$D,4,0)</f>
        <v>Routers</v>
      </c>
      <c r="W1874" t="str">
        <f>VLOOKUP(D1874,Customers!$A:$C,3,0)</f>
        <v>B2C</v>
      </c>
      <c r="X1874" t="str">
        <f>VLOOKUP(C1874,Sales_Representatives!$A:$B,2,0)</f>
        <v>Robert Jones</v>
      </c>
    </row>
    <row r="1875" spans="1:24" x14ac:dyDescent="0.3">
      <c r="A1875" t="s">
        <v>2694</v>
      </c>
      <c r="B1875" t="s">
        <v>2688</v>
      </c>
      <c r="C1875" t="s">
        <v>13</v>
      </c>
      <c r="D1875" t="s">
        <v>2278</v>
      </c>
      <c r="E1875" t="s">
        <v>204</v>
      </c>
      <c r="F1875">
        <v>13</v>
      </c>
      <c r="G1875">
        <v>715.62</v>
      </c>
      <c r="H1875">
        <v>0.13</v>
      </c>
      <c r="I1875" s="4">
        <v>8093.66</v>
      </c>
      <c r="J1875" t="s">
        <v>16</v>
      </c>
      <c r="K1875" t="s">
        <v>22</v>
      </c>
      <c r="L1875" s="4">
        <f>VLOOKUP(tblTransactions[[#This Row],[Product_ID]],tblProducts[],5,FALSE)</f>
        <v>459.58</v>
      </c>
      <c r="M1875" s="4">
        <f>tblTransactions[[#This Row],[Total_Amount]]-(tblTransactions[[#This Row],[Cost_Prices]]*tblTransactions[[#This Row],[Quantity]]*(1-tblTransactions[[#This Row],[Discount]]))</f>
        <v>2895.8101999999999</v>
      </c>
      <c r="N1875" s="3">
        <f>tblTransactions[[#This Row],[Profit]]/tblTransactions[[#This Row],[Total_Amount]]</f>
        <v>0.35778747810014255</v>
      </c>
      <c r="O1875" t="str">
        <f>TEXT(tblTransactions[[#This Row],[Date]], "MMM-YYYY")</f>
        <v>Jan-2024</v>
      </c>
      <c r="P1875" t="str">
        <f>"Q"&amp;ROUNDUP(MONTH(tblTransactions[[#This Row],[Date]])/3,0)&amp;"-"&amp;YEAR(tblTransactions[[#This Row],[Date]])</f>
        <v>Q1-2024</v>
      </c>
      <c r="Q1875">
        <f>YEAR(tblTransactions[[#This Row],[Date]])</f>
        <v>2024</v>
      </c>
      <c r="R1875" t="str">
        <f>TEXT(tblTransactions[[#This Row],[Date]],"DDDD")</f>
        <v>Tuesday</v>
      </c>
      <c r="S1875">
        <f>MONTH(tblTransactions[[#This Row],[Date]])</f>
        <v>1</v>
      </c>
      <c r="T1875" t="str">
        <f>VLOOKUP(E1875, Products!$A:$B,2,0)</f>
        <v>Cameras Ele-2</v>
      </c>
      <c r="U1875" t="str">
        <f>VLOOKUP(E1875,Products!$A:$C,3,0)</f>
        <v>Electronics</v>
      </c>
      <c r="V1875" t="str">
        <f>VLOOKUP(E1875,Products!$A:$D,4,0)</f>
        <v>Cameras</v>
      </c>
      <c r="W1875" t="str">
        <f>VLOOKUP(D1875,Customers!$A:$C,3,0)</f>
        <v>B2B</v>
      </c>
      <c r="X1875" t="str">
        <f>VLOOKUP(C1875,Sales_Representatives!$A:$B,2,0)</f>
        <v>Jennifer Rodriguez</v>
      </c>
    </row>
    <row r="1876" spans="1:24" x14ac:dyDescent="0.3">
      <c r="A1876" t="s">
        <v>2695</v>
      </c>
      <c r="B1876" t="s">
        <v>2688</v>
      </c>
      <c r="C1876" t="s">
        <v>19</v>
      </c>
      <c r="D1876" t="s">
        <v>2036</v>
      </c>
      <c r="E1876" t="s">
        <v>159</v>
      </c>
      <c r="F1876">
        <v>6</v>
      </c>
      <c r="G1876">
        <v>78.09</v>
      </c>
      <c r="H1876">
        <v>0.05</v>
      </c>
      <c r="I1876" s="4">
        <v>445.11</v>
      </c>
      <c r="J1876" t="s">
        <v>21</v>
      </c>
      <c r="K1876" t="s">
        <v>39</v>
      </c>
      <c r="L1876" s="4">
        <f>VLOOKUP(tblTransactions[[#This Row],[Product_ID]],tblProducts[],5,FALSE)</f>
        <v>47.01</v>
      </c>
      <c r="M1876" s="4">
        <f>tblTransactions[[#This Row],[Total_Amount]]-(tblTransactions[[#This Row],[Cost_Prices]]*tblTransactions[[#This Row],[Quantity]]*(1-tblTransactions[[#This Row],[Discount]]))</f>
        <v>177.15300000000002</v>
      </c>
      <c r="N1876" s="3">
        <f>tblTransactions[[#This Row],[Profit]]/tblTransactions[[#This Row],[Total_Amount]]</f>
        <v>0.39799824762418284</v>
      </c>
      <c r="O1876" t="str">
        <f>TEXT(tblTransactions[[#This Row],[Date]], "MMM-YYYY")</f>
        <v>Jan-2024</v>
      </c>
      <c r="P1876" t="str">
        <f>"Q"&amp;ROUNDUP(MONTH(tblTransactions[[#This Row],[Date]])/3,0)&amp;"-"&amp;YEAR(tblTransactions[[#This Row],[Date]])</f>
        <v>Q1-2024</v>
      </c>
      <c r="Q1876">
        <f>YEAR(tblTransactions[[#This Row],[Date]])</f>
        <v>2024</v>
      </c>
      <c r="R1876" t="str">
        <f>TEXT(tblTransactions[[#This Row],[Date]],"DDDD")</f>
        <v>Tuesday</v>
      </c>
      <c r="S1876">
        <f>MONTH(tblTransactions[[#This Row],[Date]])</f>
        <v>1</v>
      </c>
      <c r="T1876" t="str">
        <f>VLOOKUP(E1876, Products!$A:$B,2,0)</f>
        <v>Cables Acc-4</v>
      </c>
      <c r="U1876" t="str">
        <f>VLOOKUP(E1876,Products!$A:$C,3,0)</f>
        <v>Accessories</v>
      </c>
      <c r="V1876" t="str">
        <f>VLOOKUP(E1876,Products!$A:$D,4,0)</f>
        <v>Cables</v>
      </c>
      <c r="W1876" t="str">
        <f>VLOOKUP(D1876,Customers!$A:$C,3,0)</f>
        <v>B2C</v>
      </c>
      <c r="X1876" t="str">
        <f>VLOOKUP(C1876,Sales_Representatives!$A:$B,2,0)</f>
        <v>Robert Jones</v>
      </c>
    </row>
    <row r="1877" spans="1:24" x14ac:dyDescent="0.3">
      <c r="A1877" t="s">
        <v>2696</v>
      </c>
      <c r="B1877" t="s">
        <v>2697</v>
      </c>
      <c r="C1877" t="s">
        <v>141</v>
      </c>
      <c r="D1877" t="s">
        <v>42</v>
      </c>
      <c r="E1877" t="s">
        <v>450</v>
      </c>
      <c r="F1877">
        <v>5</v>
      </c>
      <c r="G1877">
        <v>2083.92</v>
      </c>
      <c r="H1877">
        <v>0.09</v>
      </c>
      <c r="I1877" s="4">
        <v>9481.84</v>
      </c>
      <c r="J1877" t="s">
        <v>109</v>
      </c>
      <c r="K1877" t="s">
        <v>22</v>
      </c>
      <c r="L1877" s="4">
        <f>VLOOKUP(tblTransactions[[#This Row],[Product_ID]],tblProducts[],5,FALSE)</f>
        <v>1425.78</v>
      </c>
      <c r="M1877" s="4">
        <f>tblTransactions[[#This Row],[Total_Amount]]-(tblTransactions[[#This Row],[Cost_Prices]]*tblTransactions[[#This Row],[Quantity]]*(1-tblTransactions[[#This Row],[Discount]]))</f>
        <v>2994.5410000000002</v>
      </c>
      <c r="N1877" s="3">
        <f>tblTransactions[[#This Row],[Profit]]/tblTransactions[[#This Row],[Total_Amount]]</f>
        <v>0.31581855420466914</v>
      </c>
      <c r="O1877" t="str">
        <f>TEXT(tblTransactions[[#This Row],[Date]], "MMM-YYYY")</f>
        <v>Jan-2024</v>
      </c>
      <c r="P1877" t="str">
        <f>"Q"&amp;ROUNDUP(MONTH(tblTransactions[[#This Row],[Date]])/3,0)&amp;"-"&amp;YEAR(tblTransactions[[#This Row],[Date]])</f>
        <v>Q1-2024</v>
      </c>
      <c r="Q1877">
        <f>YEAR(tblTransactions[[#This Row],[Date]])</f>
        <v>2024</v>
      </c>
      <c r="R1877" t="str">
        <f>TEXT(tblTransactions[[#This Row],[Date]],"DDDD")</f>
        <v>Wednesday</v>
      </c>
      <c r="S1877">
        <f>MONTH(tblTransactions[[#This Row],[Date]])</f>
        <v>1</v>
      </c>
      <c r="T1877" t="str">
        <f>VLOOKUP(E1877, Products!$A:$B,2,0)</f>
        <v>Monitors Tec-4</v>
      </c>
      <c r="U1877" t="str">
        <f>VLOOKUP(E1877,Products!$A:$C,3,0)</f>
        <v>Technology</v>
      </c>
      <c r="V1877" t="str">
        <f>VLOOKUP(E1877,Products!$A:$D,4,0)</f>
        <v>Monitors</v>
      </c>
      <c r="W1877" t="str">
        <f>VLOOKUP(D1877,Customers!$A:$C,3,0)</f>
        <v>B2C</v>
      </c>
      <c r="X1877" t="str">
        <f>VLOOKUP(C1877,Sales_Representatives!$A:$B,2,0)</f>
        <v>Richard Garcia</v>
      </c>
    </row>
    <row r="1878" spans="1:24" x14ac:dyDescent="0.3">
      <c r="A1878" t="s">
        <v>2698</v>
      </c>
      <c r="B1878" t="s">
        <v>2697</v>
      </c>
      <c r="C1878" t="s">
        <v>127</v>
      </c>
      <c r="D1878" t="s">
        <v>134</v>
      </c>
      <c r="E1878" t="s">
        <v>224</v>
      </c>
      <c r="F1878">
        <v>4</v>
      </c>
      <c r="G1878">
        <v>505.37</v>
      </c>
      <c r="H1878">
        <v>0.1</v>
      </c>
      <c r="I1878" s="4">
        <v>1819.33</v>
      </c>
      <c r="J1878" t="s">
        <v>109</v>
      </c>
      <c r="K1878" t="s">
        <v>22</v>
      </c>
      <c r="L1878" s="4">
        <f>VLOOKUP(tblTransactions[[#This Row],[Product_ID]],tblProducts[],5,FALSE)</f>
        <v>281.14999999999998</v>
      </c>
      <c r="M1878" s="4">
        <f>tblTransactions[[#This Row],[Total_Amount]]-(tblTransactions[[#This Row],[Cost_Prices]]*tblTransactions[[#This Row],[Quantity]]*(1-tblTransactions[[#This Row],[Discount]]))</f>
        <v>807.18999999999994</v>
      </c>
      <c r="N1878" s="3">
        <f>tblTransactions[[#This Row],[Profit]]/tblTransactions[[#This Row],[Total_Amount]]</f>
        <v>0.44367431966713017</v>
      </c>
      <c r="O1878" t="str">
        <f>TEXT(tblTransactions[[#This Row],[Date]], "MMM-YYYY")</f>
        <v>Jan-2024</v>
      </c>
      <c r="P1878" t="str">
        <f>"Q"&amp;ROUNDUP(MONTH(tblTransactions[[#This Row],[Date]])/3,0)&amp;"-"&amp;YEAR(tblTransactions[[#This Row],[Date]])</f>
        <v>Q1-2024</v>
      </c>
      <c r="Q1878">
        <f>YEAR(tblTransactions[[#This Row],[Date]])</f>
        <v>2024</v>
      </c>
      <c r="R1878" t="str">
        <f>TEXT(tblTransactions[[#This Row],[Date]],"DDDD")</f>
        <v>Wednesday</v>
      </c>
      <c r="S1878">
        <f>MONTH(tblTransactions[[#This Row],[Date]])</f>
        <v>1</v>
      </c>
      <c r="T1878" t="str">
        <f>VLOOKUP(E1878, Products!$A:$B,2,0)</f>
        <v>Desks Fur-3</v>
      </c>
      <c r="U1878" t="str">
        <f>VLOOKUP(E1878,Products!$A:$C,3,0)</f>
        <v>Furniture</v>
      </c>
      <c r="V1878" t="str">
        <f>VLOOKUP(E1878,Products!$A:$D,4,0)</f>
        <v>Desks</v>
      </c>
      <c r="W1878" t="str">
        <f>VLOOKUP(D1878,Customers!$A:$C,3,0)</f>
        <v>B2B</v>
      </c>
      <c r="X1878" t="str">
        <f>VLOOKUP(C1878,Sales_Representatives!$A:$B,2,0)</f>
        <v>Emily Hernandez</v>
      </c>
    </row>
    <row r="1879" spans="1:24" x14ac:dyDescent="0.3">
      <c r="A1879" t="s">
        <v>2699</v>
      </c>
      <c r="B1879" t="s">
        <v>2700</v>
      </c>
      <c r="C1879" t="s">
        <v>27</v>
      </c>
      <c r="D1879" t="s">
        <v>1485</v>
      </c>
      <c r="E1879" t="s">
        <v>204</v>
      </c>
      <c r="F1879">
        <v>6</v>
      </c>
      <c r="G1879">
        <v>715.62</v>
      </c>
      <c r="H1879">
        <v>0.13</v>
      </c>
      <c r="I1879" s="4">
        <v>3735.54</v>
      </c>
      <c r="J1879" t="s">
        <v>16</v>
      </c>
      <c r="K1879" t="s">
        <v>48</v>
      </c>
      <c r="L1879" s="4">
        <f>VLOOKUP(tblTransactions[[#This Row],[Product_ID]],tblProducts[],5,FALSE)</f>
        <v>459.58</v>
      </c>
      <c r="M1879" s="4">
        <f>tblTransactions[[#This Row],[Total_Amount]]-(tblTransactions[[#This Row],[Cost_Prices]]*tblTransactions[[#This Row],[Quantity]]*(1-tblTransactions[[#This Row],[Discount]]))</f>
        <v>1336.5324000000001</v>
      </c>
      <c r="N1879" s="3">
        <f>tblTransactions[[#This Row],[Profit]]/tblTransactions[[#This Row],[Total_Amount]]</f>
        <v>0.35778827157519394</v>
      </c>
      <c r="O1879" t="str">
        <f>TEXT(tblTransactions[[#This Row],[Date]], "MMM-YYYY")</f>
        <v>Feb-2024</v>
      </c>
      <c r="P1879" t="str">
        <f>"Q"&amp;ROUNDUP(MONTH(tblTransactions[[#This Row],[Date]])/3,0)&amp;"-"&amp;YEAR(tblTransactions[[#This Row],[Date]])</f>
        <v>Q1-2024</v>
      </c>
      <c r="Q1879">
        <f>YEAR(tblTransactions[[#This Row],[Date]])</f>
        <v>2024</v>
      </c>
      <c r="R1879" t="str">
        <f>TEXT(tblTransactions[[#This Row],[Date]],"DDDD")</f>
        <v>Thursday</v>
      </c>
      <c r="S1879">
        <f>MONTH(tblTransactions[[#This Row],[Date]])</f>
        <v>2</v>
      </c>
      <c r="T1879" t="str">
        <f>VLOOKUP(E1879, Products!$A:$B,2,0)</f>
        <v>Cameras Ele-2</v>
      </c>
      <c r="U1879" t="str">
        <f>VLOOKUP(E1879,Products!$A:$C,3,0)</f>
        <v>Electronics</v>
      </c>
      <c r="V1879" t="str">
        <f>VLOOKUP(E1879,Products!$A:$D,4,0)</f>
        <v>Cameras</v>
      </c>
      <c r="W1879" t="str">
        <f>VLOOKUP(D1879,Customers!$A:$C,3,0)</f>
        <v>B2B</v>
      </c>
      <c r="X1879" t="str">
        <f>VLOOKUP(C1879,Sales_Representatives!$A:$B,2,0)</f>
        <v>Thomas Lopez</v>
      </c>
    </row>
    <row r="1880" spans="1:24" x14ac:dyDescent="0.3">
      <c r="A1880" t="s">
        <v>2701</v>
      </c>
      <c r="B1880" t="s">
        <v>2700</v>
      </c>
      <c r="C1880" t="s">
        <v>70</v>
      </c>
      <c r="D1880" t="s">
        <v>2232</v>
      </c>
      <c r="E1880" t="s">
        <v>116</v>
      </c>
      <c r="F1880">
        <v>1</v>
      </c>
      <c r="G1880">
        <v>232.86</v>
      </c>
      <c r="H1880">
        <v>0.01</v>
      </c>
      <c r="I1880" s="4">
        <v>230.53</v>
      </c>
      <c r="J1880" t="s">
        <v>16</v>
      </c>
      <c r="K1880" t="s">
        <v>22</v>
      </c>
      <c r="L1880" s="4">
        <f>VLOOKUP(tblTransactions[[#This Row],[Product_ID]],tblProducts[],5,FALSE)</f>
        <v>116.79</v>
      </c>
      <c r="M1880" s="4">
        <f>tblTransactions[[#This Row],[Total_Amount]]-(tblTransactions[[#This Row],[Cost_Prices]]*tblTransactions[[#This Row],[Quantity]]*(1-tblTransactions[[#This Row],[Discount]]))</f>
        <v>114.9079</v>
      </c>
      <c r="N1880" s="3">
        <f>tblTransactions[[#This Row],[Profit]]/tblTransactions[[#This Row],[Total_Amount]]</f>
        <v>0.49845096082939311</v>
      </c>
      <c r="O1880" t="str">
        <f>TEXT(tblTransactions[[#This Row],[Date]], "MMM-YYYY")</f>
        <v>Feb-2024</v>
      </c>
      <c r="P1880" t="str">
        <f>"Q"&amp;ROUNDUP(MONTH(tblTransactions[[#This Row],[Date]])/3,0)&amp;"-"&amp;YEAR(tblTransactions[[#This Row],[Date]])</f>
        <v>Q1-2024</v>
      </c>
      <c r="Q1880">
        <f>YEAR(tblTransactions[[#This Row],[Date]])</f>
        <v>2024</v>
      </c>
      <c r="R1880" t="str">
        <f>TEXT(tblTransactions[[#This Row],[Date]],"DDDD")</f>
        <v>Thursday</v>
      </c>
      <c r="S1880">
        <f>MONTH(tblTransactions[[#This Row],[Date]])</f>
        <v>2</v>
      </c>
      <c r="T1880" t="str">
        <f>VLOOKUP(E1880, Products!$A:$B,2,0)</f>
        <v>Folders Off-4</v>
      </c>
      <c r="U1880" t="str">
        <f>VLOOKUP(E1880,Products!$A:$C,3,0)</f>
        <v>Office Supplies</v>
      </c>
      <c r="V1880" t="str">
        <f>VLOOKUP(E1880,Products!$A:$D,4,0)</f>
        <v>Folders</v>
      </c>
      <c r="W1880" t="str">
        <f>VLOOKUP(D1880,Customers!$A:$C,3,0)</f>
        <v>B2C</v>
      </c>
      <c r="X1880" t="str">
        <f>VLOOKUP(C1880,Sales_Representatives!$A:$B,2,0)</f>
        <v>Linda Smith</v>
      </c>
    </row>
    <row r="1881" spans="1:24" x14ac:dyDescent="0.3">
      <c r="A1881" t="s">
        <v>2702</v>
      </c>
      <c r="B1881" t="s">
        <v>2700</v>
      </c>
      <c r="C1881" t="s">
        <v>75</v>
      </c>
      <c r="D1881" t="s">
        <v>1646</v>
      </c>
      <c r="E1881" t="s">
        <v>283</v>
      </c>
      <c r="F1881">
        <v>4</v>
      </c>
      <c r="G1881">
        <v>456.88</v>
      </c>
      <c r="H1881">
        <v>0.08</v>
      </c>
      <c r="I1881" s="4">
        <v>1681.32</v>
      </c>
      <c r="J1881" t="s">
        <v>44</v>
      </c>
      <c r="K1881" t="s">
        <v>48</v>
      </c>
      <c r="L1881" s="4">
        <f>VLOOKUP(tblTransactions[[#This Row],[Product_ID]],tblProducts[],5,FALSE)</f>
        <v>313.23</v>
      </c>
      <c r="M1881" s="4">
        <f>tblTransactions[[#This Row],[Total_Amount]]-(tblTransactions[[#This Row],[Cost_Prices]]*tblTransactions[[#This Row],[Quantity]]*(1-tblTransactions[[#This Row],[Discount]]))</f>
        <v>528.63359999999989</v>
      </c>
      <c r="N1881" s="3">
        <f>tblTransactions[[#This Row],[Profit]]/tblTransactions[[#This Row],[Total_Amount]]</f>
        <v>0.31441581614445785</v>
      </c>
      <c r="O1881" t="str">
        <f>TEXT(tblTransactions[[#This Row],[Date]], "MMM-YYYY")</f>
        <v>Feb-2024</v>
      </c>
      <c r="P1881" t="str">
        <f>"Q"&amp;ROUNDUP(MONTH(tblTransactions[[#This Row],[Date]])/3,0)&amp;"-"&amp;YEAR(tblTransactions[[#This Row],[Date]])</f>
        <v>Q1-2024</v>
      </c>
      <c r="Q1881">
        <f>YEAR(tblTransactions[[#This Row],[Date]])</f>
        <v>2024</v>
      </c>
      <c r="R1881" t="str">
        <f>TEXT(tblTransactions[[#This Row],[Date]],"DDDD")</f>
        <v>Thursday</v>
      </c>
      <c r="S1881">
        <f>MONTH(tblTransactions[[#This Row],[Date]])</f>
        <v>2</v>
      </c>
      <c r="T1881" t="str">
        <f>VLOOKUP(E1881, Products!$A:$B,2,0)</f>
        <v>Chairs Fur-3</v>
      </c>
      <c r="U1881" t="str">
        <f>VLOOKUP(E1881,Products!$A:$C,3,0)</f>
        <v>Furniture</v>
      </c>
      <c r="V1881" t="str">
        <f>VLOOKUP(E1881,Products!$A:$D,4,0)</f>
        <v>Chairs</v>
      </c>
      <c r="W1881" t="str">
        <f>VLOOKUP(D1881,Customers!$A:$C,3,0)</f>
        <v>B2B</v>
      </c>
      <c r="X1881" t="str">
        <f>VLOOKUP(C1881,Sales_Representatives!$A:$B,2,0)</f>
        <v>Jessica Anderson</v>
      </c>
    </row>
    <row r="1882" spans="1:24" x14ac:dyDescent="0.3">
      <c r="A1882" t="s">
        <v>2703</v>
      </c>
      <c r="B1882" t="s">
        <v>2700</v>
      </c>
      <c r="C1882" t="s">
        <v>75</v>
      </c>
      <c r="D1882" t="s">
        <v>76</v>
      </c>
      <c r="E1882" t="s">
        <v>176</v>
      </c>
      <c r="F1882">
        <v>6</v>
      </c>
      <c r="G1882">
        <v>1462.68</v>
      </c>
      <c r="H1882">
        <v>0.05</v>
      </c>
      <c r="I1882" s="4">
        <v>8337.2800000000007</v>
      </c>
      <c r="J1882" t="s">
        <v>44</v>
      </c>
      <c r="K1882" t="s">
        <v>48</v>
      </c>
      <c r="L1882" s="4">
        <f>VLOOKUP(tblTransactions[[#This Row],[Product_ID]],tblProducts[],5,FALSE)</f>
        <v>775.94</v>
      </c>
      <c r="M1882" s="4">
        <f>tblTransactions[[#This Row],[Total_Amount]]-(tblTransactions[[#This Row],[Cost_Prices]]*tblTransactions[[#This Row],[Quantity]]*(1-tblTransactions[[#This Row],[Discount]]))</f>
        <v>3914.4220000000005</v>
      </c>
      <c r="N1882" s="3">
        <f>tblTransactions[[#This Row],[Profit]]/tblTransactions[[#This Row],[Total_Amount]]</f>
        <v>0.46950828087817614</v>
      </c>
      <c r="O1882" t="str">
        <f>TEXT(tblTransactions[[#This Row],[Date]], "MMM-YYYY")</f>
        <v>Feb-2024</v>
      </c>
      <c r="P1882" t="str">
        <f>"Q"&amp;ROUNDUP(MONTH(tblTransactions[[#This Row],[Date]])/3,0)&amp;"-"&amp;YEAR(tblTransactions[[#This Row],[Date]])</f>
        <v>Q1-2024</v>
      </c>
      <c r="Q1882">
        <f>YEAR(tblTransactions[[#This Row],[Date]])</f>
        <v>2024</v>
      </c>
      <c r="R1882" t="str">
        <f>TEXT(tblTransactions[[#This Row],[Date]],"DDDD")</f>
        <v>Thursday</v>
      </c>
      <c r="S1882">
        <f>MONTH(tblTransactions[[#This Row],[Date]])</f>
        <v>2</v>
      </c>
      <c r="T1882" t="str">
        <f>VLOOKUP(E1882, Products!$A:$B,2,0)</f>
        <v>Chairs Fur-2</v>
      </c>
      <c r="U1882" t="str">
        <f>VLOOKUP(E1882,Products!$A:$C,3,0)</f>
        <v>Furniture</v>
      </c>
      <c r="V1882" t="str">
        <f>VLOOKUP(E1882,Products!$A:$D,4,0)</f>
        <v>Chairs</v>
      </c>
      <c r="W1882" t="str">
        <f>VLOOKUP(D1882,Customers!$A:$C,3,0)</f>
        <v>Small Business</v>
      </c>
      <c r="X1882" t="str">
        <f>VLOOKUP(C1882,Sales_Representatives!$A:$B,2,0)</f>
        <v>Jessica Anderson</v>
      </c>
    </row>
    <row r="1883" spans="1:24" x14ac:dyDescent="0.3">
      <c r="A1883" t="s">
        <v>2704</v>
      </c>
      <c r="B1883" t="s">
        <v>2700</v>
      </c>
      <c r="C1883" t="s">
        <v>31</v>
      </c>
      <c r="D1883" t="s">
        <v>1623</v>
      </c>
      <c r="E1883" t="s">
        <v>191</v>
      </c>
      <c r="F1883">
        <v>7</v>
      </c>
      <c r="G1883">
        <v>1012.75</v>
      </c>
      <c r="H1883">
        <v>0.12</v>
      </c>
      <c r="I1883" s="4">
        <v>6238.54</v>
      </c>
      <c r="J1883" t="s">
        <v>34</v>
      </c>
      <c r="K1883" t="s">
        <v>35</v>
      </c>
      <c r="L1883" s="4">
        <f>VLOOKUP(tblTransactions[[#This Row],[Product_ID]],tblProducts[],5,FALSE)</f>
        <v>518.53</v>
      </c>
      <c r="M1883" s="4">
        <f>tblTransactions[[#This Row],[Total_Amount]]-(tblTransactions[[#This Row],[Cost_Prices]]*tblTransactions[[#This Row],[Quantity]]*(1-tblTransactions[[#This Row],[Discount]]))</f>
        <v>3044.3951999999999</v>
      </c>
      <c r="N1883" s="3">
        <f>tblTransactions[[#This Row],[Profit]]/tblTransactions[[#This Row],[Total_Amount]]</f>
        <v>0.48799802517896818</v>
      </c>
      <c r="O1883" t="str">
        <f>TEXT(tblTransactions[[#This Row],[Date]], "MMM-YYYY")</f>
        <v>Feb-2024</v>
      </c>
      <c r="P1883" t="str">
        <f>"Q"&amp;ROUNDUP(MONTH(tblTransactions[[#This Row],[Date]])/3,0)&amp;"-"&amp;YEAR(tblTransactions[[#This Row],[Date]])</f>
        <v>Q1-2024</v>
      </c>
      <c r="Q1883">
        <f>YEAR(tblTransactions[[#This Row],[Date]])</f>
        <v>2024</v>
      </c>
      <c r="R1883" t="str">
        <f>TEXT(tblTransactions[[#This Row],[Date]],"DDDD")</f>
        <v>Thursday</v>
      </c>
      <c r="S1883">
        <f>MONTH(tblTransactions[[#This Row],[Date]])</f>
        <v>2</v>
      </c>
      <c r="T1883" t="str">
        <f>VLOOKUP(E1883, Products!$A:$B,2,0)</f>
        <v>Tables Fur-4</v>
      </c>
      <c r="U1883" t="str">
        <f>VLOOKUP(E1883,Products!$A:$C,3,0)</f>
        <v>Furniture</v>
      </c>
      <c r="V1883" t="str">
        <f>VLOOKUP(E1883,Products!$A:$D,4,0)</f>
        <v>Tables</v>
      </c>
      <c r="W1883" t="str">
        <f>VLOOKUP(D1883,Customers!$A:$C,3,0)</f>
        <v>B2C</v>
      </c>
      <c r="X1883" t="str">
        <f>VLOOKUP(C1883,Sales_Representatives!$A:$B,2,0)</f>
        <v>Thomas Martinez</v>
      </c>
    </row>
    <row r="1884" spans="1:24" x14ac:dyDescent="0.3">
      <c r="A1884" t="s">
        <v>2705</v>
      </c>
      <c r="B1884" t="s">
        <v>2700</v>
      </c>
      <c r="C1884" t="s">
        <v>107</v>
      </c>
      <c r="D1884" t="s">
        <v>1458</v>
      </c>
      <c r="E1884" t="s">
        <v>20</v>
      </c>
      <c r="F1884">
        <v>25</v>
      </c>
      <c r="G1884">
        <v>1219.49</v>
      </c>
      <c r="H1884">
        <v>0.15</v>
      </c>
      <c r="I1884" s="4">
        <v>25914.16</v>
      </c>
      <c r="J1884" t="s">
        <v>109</v>
      </c>
      <c r="K1884" t="s">
        <v>17</v>
      </c>
      <c r="L1884" s="4">
        <f>VLOOKUP(tblTransactions[[#This Row],[Product_ID]],tblProducts[],5,FALSE)</f>
        <v>686.9</v>
      </c>
      <c r="M1884" s="4">
        <f>tblTransactions[[#This Row],[Total_Amount]]-(tblTransactions[[#This Row],[Cost_Prices]]*tblTransactions[[#This Row],[Quantity]]*(1-tblTransactions[[#This Row],[Discount]]))</f>
        <v>11317.535</v>
      </c>
      <c r="N1884" s="3">
        <f>tblTransactions[[#This Row],[Profit]]/tblTransactions[[#This Row],[Total_Amount]]</f>
        <v>0.43673169417800922</v>
      </c>
      <c r="O1884" t="str">
        <f>TEXT(tblTransactions[[#This Row],[Date]], "MMM-YYYY")</f>
        <v>Feb-2024</v>
      </c>
      <c r="P1884" t="str">
        <f>"Q"&amp;ROUNDUP(MONTH(tblTransactions[[#This Row],[Date]])/3,0)&amp;"-"&amp;YEAR(tblTransactions[[#This Row],[Date]])</f>
        <v>Q1-2024</v>
      </c>
      <c r="Q1884">
        <f>YEAR(tblTransactions[[#This Row],[Date]])</f>
        <v>2024</v>
      </c>
      <c r="R1884" t="str">
        <f>TEXT(tblTransactions[[#This Row],[Date]],"DDDD")</f>
        <v>Thursday</v>
      </c>
      <c r="S1884">
        <f>MONTH(tblTransactions[[#This Row],[Date]])</f>
        <v>2</v>
      </c>
      <c r="T1884" t="str">
        <f>VLOOKUP(E1884, Products!$A:$B,2,0)</f>
        <v>Laptops Ele-1</v>
      </c>
      <c r="U1884" t="str">
        <f>VLOOKUP(E1884,Products!$A:$C,3,0)</f>
        <v>Electronics</v>
      </c>
      <c r="V1884" t="str">
        <f>VLOOKUP(E1884,Products!$A:$D,4,0)</f>
        <v>Laptops</v>
      </c>
      <c r="W1884" t="str">
        <f>VLOOKUP(D1884,Customers!$A:$C,3,0)</f>
        <v>Enterprise</v>
      </c>
      <c r="X1884" t="str">
        <f>VLOOKUP(C1884,Sales_Representatives!$A:$B,2,0)</f>
        <v>Jennifer Brown</v>
      </c>
    </row>
    <row r="1885" spans="1:24" x14ac:dyDescent="0.3">
      <c r="A1885" t="s">
        <v>2706</v>
      </c>
      <c r="B1885" t="s">
        <v>2700</v>
      </c>
      <c r="C1885" t="s">
        <v>107</v>
      </c>
      <c r="D1885" t="s">
        <v>1705</v>
      </c>
      <c r="E1885" t="s">
        <v>204</v>
      </c>
      <c r="F1885">
        <v>3</v>
      </c>
      <c r="G1885">
        <v>715.62</v>
      </c>
      <c r="H1885">
        <v>0.08</v>
      </c>
      <c r="I1885" s="4">
        <v>1975.11</v>
      </c>
      <c r="J1885" t="s">
        <v>109</v>
      </c>
      <c r="K1885" t="s">
        <v>48</v>
      </c>
      <c r="L1885" s="4">
        <f>VLOOKUP(tblTransactions[[#This Row],[Product_ID]],tblProducts[],5,FALSE)</f>
        <v>459.58</v>
      </c>
      <c r="M1885" s="4">
        <f>tblTransactions[[#This Row],[Total_Amount]]-(tblTransactions[[#This Row],[Cost_Prices]]*tblTransactions[[#This Row],[Quantity]]*(1-tblTransactions[[#This Row],[Discount]]))</f>
        <v>706.66919999999982</v>
      </c>
      <c r="N1885" s="3">
        <f>tblTransactions[[#This Row],[Profit]]/tblTransactions[[#This Row],[Total_Amount]]</f>
        <v>0.35778726248158321</v>
      </c>
      <c r="O1885" t="str">
        <f>TEXT(tblTransactions[[#This Row],[Date]], "MMM-YYYY")</f>
        <v>Feb-2024</v>
      </c>
      <c r="P1885" t="str">
        <f>"Q"&amp;ROUNDUP(MONTH(tblTransactions[[#This Row],[Date]])/3,0)&amp;"-"&amp;YEAR(tblTransactions[[#This Row],[Date]])</f>
        <v>Q1-2024</v>
      </c>
      <c r="Q1885">
        <f>YEAR(tblTransactions[[#This Row],[Date]])</f>
        <v>2024</v>
      </c>
      <c r="R1885" t="str">
        <f>TEXT(tblTransactions[[#This Row],[Date]],"DDDD")</f>
        <v>Thursday</v>
      </c>
      <c r="S1885">
        <f>MONTH(tblTransactions[[#This Row],[Date]])</f>
        <v>2</v>
      </c>
      <c r="T1885" t="str">
        <f>VLOOKUP(E1885, Products!$A:$B,2,0)</f>
        <v>Cameras Ele-2</v>
      </c>
      <c r="U1885" t="str">
        <f>VLOOKUP(E1885,Products!$A:$C,3,0)</f>
        <v>Electronics</v>
      </c>
      <c r="V1885" t="str">
        <f>VLOOKUP(E1885,Products!$A:$D,4,0)</f>
        <v>Cameras</v>
      </c>
      <c r="W1885" t="str">
        <f>VLOOKUP(D1885,Customers!$A:$C,3,0)</f>
        <v>B2C</v>
      </c>
      <c r="X1885" t="str">
        <f>VLOOKUP(C1885,Sales_Representatives!$A:$B,2,0)</f>
        <v>Jennifer Brown</v>
      </c>
    </row>
    <row r="1886" spans="1:24" x14ac:dyDescent="0.3">
      <c r="A1886" t="s">
        <v>2707</v>
      </c>
      <c r="B1886" t="s">
        <v>2708</v>
      </c>
      <c r="C1886" t="s">
        <v>75</v>
      </c>
      <c r="D1886" t="s">
        <v>2620</v>
      </c>
      <c r="E1886" t="s">
        <v>91</v>
      </c>
      <c r="F1886">
        <v>35</v>
      </c>
      <c r="G1886">
        <v>286.62</v>
      </c>
      <c r="H1886">
        <v>0.23</v>
      </c>
      <c r="I1886" s="4">
        <v>7724.41</v>
      </c>
      <c r="J1886" t="s">
        <v>44</v>
      </c>
      <c r="K1886" t="s">
        <v>48</v>
      </c>
      <c r="L1886" s="4">
        <f>VLOOKUP(tblTransactions[[#This Row],[Product_ID]],tblProducts[],5,FALSE)</f>
        <v>145.54</v>
      </c>
      <c r="M1886" s="4">
        <f>tblTransactions[[#This Row],[Total_Amount]]-(tblTransactions[[#This Row],[Cost_Prices]]*tblTransactions[[#This Row],[Quantity]]*(1-tblTransactions[[#This Row],[Discount]]))</f>
        <v>3802.107</v>
      </c>
      <c r="N1886" s="3">
        <f>tblTransactions[[#This Row],[Profit]]/tblTransactions[[#This Row],[Total_Amount]]</f>
        <v>0.49221972940328129</v>
      </c>
      <c r="O1886" t="str">
        <f>TEXT(tblTransactions[[#This Row],[Date]], "MMM-YYYY")</f>
        <v>Feb-2024</v>
      </c>
      <c r="P1886" t="str">
        <f>"Q"&amp;ROUNDUP(MONTH(tblTransactions[[#This Row],[Date]])/3,0)&amp;"-"&amp;YEAR(tblTransactions[[#This Row],[Date]])</f>
        <v>Q1-2024</v>
      </c>
      <c r="Q1886">
        <f>YEAR(tblTransactions[[#This Row],[Date]])</f>
        <v>2024</v>
      </c>
      <c r="R1886" t="str">
        <f>TEXT(tblTransactions[[#This Row],[Date]],"DDDD")</f>
        <v>Friday</v>
      </c>
      <c r="S1886">
        <f>MONTH(tblTransactions[[#This Row],[Date]])</f>
        <v>2</v>
      </c>
      <c r="T1886" t="str">
        <f>VLOOKUP(E1886, Products!$A:$B,2,0)</f>
        <v>Chairs Fur-1</v>
      </c>
      <c r="U1886" t="str">
        <f>VLOOKUP(E1886,Products!$A:$C,3,0)</f>
        <v>Furniture</v>
      </c>
      <c r="V1886" t="str">
        <f>VLOOKUP(E1886,Products!$A:$D,4,0)</f>
        <v>Chairs</v>
      </c>
      <c r="W1886" t="str">
        <f>VLOOKUP(D1886,Customers!$A:$C,3,0)</f>
        <v>Enterprise</v>
      </c>
      <c r="X1886" t="str">
        <f>VLOOKUP(C1886,Sales_Representatives!$A:$B,2,0)</f>
        <v>Jessica Anderson</v>
      </c>
    </row>
    <row r="1887" spans="1:24" x14ac:dyDescent="0.3">
      <c r="A1887" t="s">
        <v>2709</v>
      </c>
      <c r="B1887" t="s">
        <v>2708</v>
      </c>
      <c r="C1887" t="s">
        <v>82</v>
      </c>
      <c r="D1887" t="s">
        <v>1893</v>
      </c>
      <c r="E1887" t="s">
        <v>255</v>
      </c>
      <c r="F1887">
        <v>15</v>
      </c>
      <c r="G1887">
        <v>1444.13</v>
      </c>
      <c r="H1887">
        <v>0.15</v>
      </c>
      <c r="I1887" s="4">
        <v>18412.66</v>
      </c>
      <c r="J1887" t="s">
        <v>34</v>
      </c>
      <c r="K1887" t="s">
        <v>35</v>
      </c>
      <c r="L1887" s="4">
        <f>VLOOKUP(tblTransactions[[#This Row],[Product_ID]],tblProducts[],5,FALSE)</f>
        <v>874.43</v>
      </c>
      <c r="M1887" s="4">
        <f>tblTransactions[[#This Row],[Total_Amount]]-(tblTransactions[[#This Row],[Cost_Prices]]*tblTransactions[[#This Row],[Quantity]]*(1-tblTransactions[[#This Row],[Discount]]))</f>
        <v>7263.6775000000016</v>
      </c>
      <c r="N1887" s="3">
        <f>tblTransactions[[#This Row],[Profit]]/tblTransactions[[#This Row],[Total_Amount]]</f>
        <v>0.3944936527367584</v>
      </c>
      <c r="O1887" t="str">
        <f>TEXT(tblTransactions[[#This Row],[Date]], "MMM-YYYY")</f>
        <v>Feb-2024</v>
      </c>
      <c r="P1887" t="str">
        <f>"Q"&amp;ROUNDUP(MONTH(tblTransactions[[#This Row],[Date]])/3,0)&amp;"-"&amp;YEAR(tblTransactions[[#This Row],[Date]])</f>
        <v>Q1-2024</v>
      </c>
      <c r="Q1887">
        <f>YEAR(tblTransactions[[#This Row],[Date]])</f>
        <v>2024</v>
      </c>
      <c r="R1887" t="str">
        <f>TEXT(tblTransactions[[#This Row],[Date]],"DDDD")</f>
        <v>Friday</v>
      </c>
      <c r="S1887">
        <f>MONTH(tblTransactions[[#This Row],[Date]])</f>
        <v>2</v>
      </c>
      <c r="T1887" t="str">
        <f>VLOOKUP(E1887, Products!$A:$B,2,0)</f>
        <v>Printers Tec-1</v>
      </c>
      <c r="U1887" t="str">
        <f>VLOOKUP(E1887,Products!$A:$C,3,0)</f>
        <v>Technology</v>
      </c>
      <c r="V1887" t="str">
        <f>VLOOKUP(E1887,Products!$A:$D,4,0)</f>
        <v>Printers</v>
      </c>
      <c r="W1887" t="str">
        <f>VLOOKUP(D1887,Customers!$A:$C,3,0)</f>
        <v>B2B</v>
      </c>
      <c r="X1887" t="str">
        <f>VLOOKUP(C1887,Sales_Representatives!$A:$B,2,0)</f>
        <v>John Brown</v>
      </c>
    </row>
    <row r="1888" spans="1:24" x14ac:dyDescent="0.3">
      <c r="A1888" t="s">
        <v>2710</v>
      </c>
      <c r="B1888" t="s">
        <v>2711</v>
      </c>
      <c r="C1888" t="s">
        <v>19</v>
      </c>
      <c r="D1888" t="s">
        <v>1854</v>
      </c>
      <c r="E1888" t="s">
        <v>194</v>
      </c>
      <c r="F1888">
        <v>5</v>
      </c>
      <c r="G1888">
        <v>82.84</v>
      </c>
      <c r="H1888">
        <v>0.03</v>
      </c>
      <c r="I1888" s="4">
        <v>401.77</v>
      </c>
      <c r="J1888" t="s">
        <v>21</v>
      </c>
      <c r="K1888" t="s">
        <v>17</v>
      </c>
      <c r="L1888" s="4">
        <f>VLOOKUP(tblTransactions[[#This Row],[Product_ID]],tblProducts[],5,FALSE)</f>
        <v>52.98</v>
      </c>
      <c r="M1888" s="4">
        <f>tblTransactions[[#This Row],[Total_Amount]]-(tblTransactions[[#This Row],[Cost_Prices]]*tblTransactions[[#This Row],[Quantity]]*(1-tblTransactions[[#This Row],[Discount]]))</f>
        <v>144.81700000000001</v>
      </c>
      <c r="N1888" s="3">
        <f>tblTransactions[[#This Row],[Profit]]/tblTransactions[[#This Row],[Total_Amount]]</f>
        <v>0.36044751972521594</v>
      </c>
      <c r="O1888" t="str">
        <f>TEXT(tblTransactions[[#This Row],[Date]], "MMM-YYYY")</f>
        <v>Feb-2024</v>
      </c>
      <c r="P1888" t="str">
        <f>"Q"&amp;ROUNDUP(MONTH(tblTransactions[[#This Row],[Date]])/3,0)&amp;"-"&amp;YEAR(tblTransactions[[#This Row],[Date]])</f>
        <v>Q1-2024</v>
      </c>
      <c r="Q1888">
        <f>YEAR(tblTransactions[[#This Row],[Date]])</f>
        <v>2024</v>
      </c>
      <c r="R1888" t="str">
        <f>TEXT(tblTransactions[[#This Row],[Date]],"DDDD")</f>
        <v>Saturday</v>
      </c>
      <c r="S1888">
        <f>MONTH(tblTransactions[[#This Row],[Date]])</f>
        <v>2</v>
      </c>
      <c r="T1888" t="str">
        <f>VLOOKUP(E1888, Products!$A:$B,2,0)</f>
        <v>Binders Off-2</v>
      </c>
      <c r="U1888" t="str">
        <f>VLOOKUP(E1888,Products!$A:$C,3,0)</f>
        <v>Office Supplies</v>
      </c>
      <c r="V1888" t="str">
        <f>VLOOKUP(E1888,Products!$A:$D,4,0)</f>
        <v>Binders</v>
      </c>
      <c r="W1888" t="str">
        <f>VLOOKUP(D1888,Customers!$A:$C,3,0)</f>
        <v>Small Business</v>
      </c>
      <c r="X1888" t="str">
        <f>VLOOKUP(C1888,Sales_Representatives!$A:$B,2,0)</f>
        <v>Robert Jones</v>
      </c>
    </row>
    <row r="1889" spans="1:24" x14ac:dyDescent="0.3">
      <c r="A1889" t="s">
        <v>2712</v>
      </c>
      <c r="B1889" t="s">
        <v>2711</v>
      </c>
      <c r="C1889" t="s">
        <v>19</v>
      </c>
      <c r="D1889" t="s">
        <v>216</v>
      </c>
      <c r="E1889" t="s">
        <v>198</v>
      </c>
      <c r="F1889">
        <v>6</v>
      </c>
      <c r="G1889">
        <v>1802.96</v>
      </c>
      <c r="H1889">
        <v>0.09</v>
      </c>
      <c r="I1889" s="4">
        <v>9844.16</v>
      </c>
      <c r="J1889" t="s">
        <v>21</v>
      </c>
      <c r="K1889" t="s">
        <v>22</v>
      </c>
      <c r="L1889" s="4">
        <f>VLOOKUP(tblTransactions[[#This Row],[Product_ID]],tblProducts[],5,FALSE)</f>
        <v>1282.18</v>
      </c>
      <c r="M1889" s="4">
        <f>tblTransactions[[#This Row],[Total_Amount]]-(tblTransactions[[#This Row],[Cost_Prices]]*tblTransactions[[#This Row],[Quantity]]*(1-tblTransactions[[#This Row],[Discount]]))</f>
        <v>2843.4571999999998</v>
      </c>
      <c r="N1889" s="3">
        <f>tblTransactions[[#This Row],[Profit]]/tblTransactions[[#This Row],[Total_Amount]]</f>
        <v>0.28884711341546659</v>
      </c>
      <c r="O1889" t="str">
        <f>TEXT(tblTransactions[[#This Row],[Date]], "MMM-YYYY")</f>
        <v>Feb-2024</v>
      </c>
      <c r="P1889" t="str">
        <f>"Q"&amp;ROUNDUP(MONTH(tblTransactions[[#This Row],[Date]])/3,0)&amp;"-"&amp;YEAR(tblTransactions[[#This Row],[Date]])</f>
        <v>Q1-2024</v>
      </c>
      <c r="Q1889">
        <f>YEAR(tblTransactions[[#This Row],[Date]])</f>
        <v>2024</v>
      </c>
      <c r="R1889" t="str">
        <f>TEXT(tblTransactions[[#This Row],[Date]],"DDDD")</f>
        <v>Saturday</v>
      </c>
      <c r="S1889">
        <f>MONTH(tblTransactions[[#This Row],[Date]])</f>
        <v>2</v>
      </c>
      <c r="T1889" t="str">
        <f>VLOOKUP(E1889, Products!$A:$B,2,0)</f>
        <v>Tablets Ele-3</v>
      </c>
      <c r="U1889" t="str">
        <f>VLOOKUP(E1889,Products!$A:$C,3,0)</f>
        <v>Electronics</v>
      </c>
      <c r="V1889" t="str">
        <f>VLOOKUP(E1889,Products!$A:$D,4,0)</f>
        <v>Tablets</v>
      </c>
      <c r="W1889" t="str">
        <f>VLOOKUP(D1889,Customers!$A:$C,3,0)</f>
        <v>Small Business</v>
      </c>
      <c r="X1889" t="str">
        <f>VLOOKUP(C1889,Sales_Representatives!$A:$B,2,0)</f>
        <v>Robert Jones</v>
      </c>
    </row>
    <row r="1890" spans="1:24" x14ac:dyDescent="0.3">
      <c r="A1890" t="s">
        <v>2713</v>
      </c>
      <c r="B1890" t="s">
        <v>2711</v>
      </c>
      <c r="C1890" t="s">
        <v>70</v>
      </c>
      <c r="D1890" t="s">
        <v>1921</v>
      </c>
      <c r="E1890" t="s">
        <v>264</v>
      </c>
      <c r="F1890">
        <v>2</v>
      </c>
      <c r="G1890">
        <v>607.29999999999995</v>
      </c>
      <c r="H1890">
        <v>0.09</v>
      </c>
      <c r="I1890" s="4">
        <v>1105.29</v>
      </c>
      <c r="J1890" t="s">
        <v>16</v>
      </c>
      <c r="K1890" t="s">
        <v>48</v>
      </c>
      <c r="L1890" s="4">
        <f>VLOOKUP(tblTransactions[[#This Row],[Product_ID]],tblProducts[],5,FALSE)</f>
        <v>436.37</v>
      </c>
      <c r="M1890" s="4">
        <f>tblTransactions[[#This Row],[Total_Amount]]-(tblTransactions[[#This Row],[Cost_Prices]]*tblTransactions[[#This Row],[Quantity]]*(1-tblTransactions[[#This Row],[Discount]]))</f>
        <v>311.09659999999997</v>
      </c>
      <c r="N1890" s="3">
        <f>tblTransactions[[#This Row],[Profit]]/tblTransactions[[#This Row],[Total_Amount]]</f>
        <v>0.2814615168869708</v>
      </c>
      <c r="O1890" t="str">
        <f>TEXT(tblTransactions[[#This Row],[Date]], "MMM-YYYY")</f>
        <v>Feb-2024</v>
      </c>
      <c r="P1890" t="str">
        <f>"Q"&amp;ROUNDUP(MONTH(tblTransactions[[#This Row],[Date]])/3,0)&amp;"-"&amp;YEAR(tblTransactions[[#This Row],[Date]])</f>
        <v>Q1-2024</v>
      </c>
      <c r="Q1890">
        <f>YEAR(tblTransactions[[#This Row],[Date]])</f>
        <v>2024</v>
      </c>
      <c r="R1890" t="str">
        <f>TEXT(tblTransactions[[#This Row],[Date]],"DDDD")</f>
        <v>Saturday</v>
      </c>
      <c r="S1890">
        <f>MONTH(tblTransactions[[#This Row],[Date]])</f>
        <v>2</v>
      </c>
      <c r="T1890" t="str">
        <f>VLOOKUP(E1890, Products!$A:$B,2,0)</f>
        <v>Tablets Ele-4</v>
      </c>
      <c r="U1890" t="str">
        <f>VLOOKUP(E1890,Products!$A:$C,3,0)</f>
        <v>Electronics</v>
      </c>
      <c r="V1890" t="str">
        <f>VLOOKUP(E1890,Products!$A:$D,4,0)</f>
        <v>Tablets</v>
      </c>
      <c r="W1890" t="str">
        <f>VLOOKUP(D1890,Customers!$A:$C,3,0)</f>
        <v>Small Business</v>
      </c>
      <c r="X1890" t="str">
        <f>VLOOKUP(C1890,Sales_Representatives!$A:$B,2,0)</f>
        <v>Linda Smith</v>
      </c>
    </row>
    <row r="1891" spans="1:24" x14ac:dyDescent="0.3">
      <c r="A1891" t="s">
        <v>2714</v>
      </c>
      <c r="B1891" t="s">
        <v>2711</v>
      </c>
      <c r="C1891" t="s">
        <v>59</v>
      </c>
      <c r="D1891" t="s">
        <v>1712</v>
      </c>
      <c r="E1891" t="s">
        <v>53</v>
      </c>
      <c r="F1891">
        <v>12</v>
      </c>
      <c r="G1891">
        <v>2069.2199999999998</v>
      </c>
      <c r="H1891">
        <v>0.12</v>
      </c>
      <c r="I1891" s="4">
        <v>21850.959999999999</v>
      </c>
      <c r="J1891" t="s">
        <v>21</v>
      </c>
      <c r="K1891" t="s">
        <v>39</v>
      </c>
      <c r="L1891" s="4">
        <f>VLOOKUP(tblTransactions[[#This Row],[Product_ID]],tblProducts[],5,FALSE)</f>
        <v>1451.18</v>
      </c>
      <c r="M1891" s="4">
        <f>tblTransactions[[#This Row],[Total_Amount]]-(tblTransactions[[#This Row],[Cost_Prices]]*tblTransactions[[#This Row],[Quantity]]*(1-tblTransactions[[#This Row],[Discount]]))</f>
        <v>6526.4991999999984</v>
      </c>
      <c r="N1891" s="3">
        <f>tblTransactions[[#This Row],[Profit]]/tblTransactions[[#This Row],[Total_Amount]]</f>
        <v>0.29868249266851427</v>
      </c>
      <c r="O1891" t="str">
        <f>TEXT(tblTransactions[[#This Row],[Date]], "MMM-YYYY")</f>
        <v>Feb-2024</v>
      </c>
      <c r="P1891" t="str">
        <f>"Q"&amp;ROUNDUP(MONTH(tblTransactions[[#This Row],[Date]])/3,0)&amp;"-"&amp;YEAR(tblTransactions[[#This Row],[Date]])</f>
        <v>Q1-2024</v>
      </c>
      <c r="Q1891">
        <f>YEAR(tblTransactions[[#This Row],[Date]])</f>
        <v>2024</v>
      </c>
      <c r="R1891" t="str">
        <f>TEXT(tblTransactions[[#This Row],[Date]],"DDDD")</f>
        <v>Saturday</v>
      </c>
      <c r="S1891">
        <f>MONTH(tblTransactions[[#This Row],[Date]])</f>
        <v>2</v>
      </c>
      <c r="T1891" t="str">
        <f>VLOOKUP(E1891, Products!$A:$B,2,0)</f>
        <v>Printers Tec-3</v>
      </c>
      <c r="U1891" t="str">
        <f>VLOOKUP(E1891,Products!$A:$C,3,0)</f>
        <v>Technology</v>
      </c>
      <c r="V1891" t="str">
        <f>VLOOKUP(E1891,Products!$A:$D,4,0)</f>
        <v>Printers</v>
      </c>
      <c r="W1891" t="str">
        <f>VLOOKUP(D1891,Customers!$A:$C,3,0)</f>
        <v>B2B</v>
      </c>
      <c r="X1891" t="str">
        <f>VLOOKUP(C1891,Sales_Representatives!$A:$B,2,0)</f>
        <v>Sarah Brown</v>
      </c>
    </row>
    <row r="1892" spans="1:24" x14ac:dyDescent="0.3">
      <c r="A1892" t="s">
        <v>2715</v>
      </c>
      <c r="B1892" t="s">
        <v>2711</v>
      </c>
      <c r="C1892" t="s">
        <v>19</v>
      </c>
      <c r="D1892" t="s">
        <v>2102</v>
      </c>
      <c r="E1892" t="s">
        <v>704</v>
      </c>
      <c r="F1892">
        <v>5</v>
      </c>
      <c r="G1892">
        <v>291.81</v>
      </c>
      <c r="H1892">
        <v>7.0000000000000007E-2</v>
      </c>
      <c r="I1892" s="4">
        <v>1356.92</v>
      </c>
      <c r="J1892" t="s">
        <v>21</v>
      </c>
      <c r="K1892" t="s">
        <v>22</v>
      </c>
      <c r="L1892" s="4">
        <f>VLOOKUP(tblTransactions[[#This Row],[Product_ID]],tblProducts[],5,FALSE)</f>
        <v>123.61</v>
      </c>
      <c r="M1892" s="4">
        <f>tblTransactions[[#This Row],[Total_Amount]]-(tblTransactions[[#This Row],[Cost_Prices]]*tblTransactions[[#This Row],[Quantity]]*(1-tblTransactions[[#This Row],[Discount]]))</f>
        <v>782.13350000000014</v>
      </c>
      <c r="N1892" s="3">
        <f>tblTransactions[[#This Row],[Profit]]/tblTransactions[[#This Row],[Total_Amount]]</f>
        <v>0.57640354626654489</v>
      </c>
      <c r="O1892" t="str">
        <f>TEXT(tblTransactions[[#This Row],[Date]], "MMM-YYYY")</f>
        <v>Feb-2024</v>
      </c>
      <c r="P1892" t="str">
        <f>"Q"&amp;ROUNDUP(MONTH(tblTransactions[[#This Row],[Date]])/3,0)&amp;"-"&amp;YEAR(tblTransactions[[#This Row],[Date]])</f>
        <v>Q1-2024</v>
      </c>
      <c r="Q1892">
        <f>YEAR(tblTransactions[[#This Row],[Date]])</f>
        <v>2024</v>
      </c>
      <c r="R1892" t="str">
        <f>TEXT(tblTransactions[[#This Row],[Date]],"DDDD")</f>
        <v>Saturday</v>
      </c>
      <c r="S1892">
        <f>MONTH(tblTransactions[[#This Row],[Date]])</f>
        <v>2</v>
      </c>
      <c r="T1892" t="str">
        <f>VLOOKUP(E1892, Products!$A:$B,2,0)</f>
        <v>Keyboards Acc-4</v>
      </c>
      <c r="U1892" t="str">
        <f>VLOOKUP(E1892,Products!$A:$C,3,0)</f>
        <v>Accessories</v>
      </c>
      <c r="V1892" t="str">
        <f>VLOOKUP(E1892,Products!$A:$D,4,0)</f>
        <v>Keyboards</v>
      </c>
      <c r="W1892" t="str">
        <f>VLOOKUP(D1892,Customers!$A:$C,3,0)</f>
        <v>B2C</v>
      </c>
      <c r="X1892" t="str">
        <f>VLOOKUP(C1892,Sales_Representatives!$A:$B,2,0)</f>
        <v>Robert Jones</v>
      </c>
    </row>
    <row r="1893" spans="1:24" x14ac:dyDescent="0.3">
      <c r="A1893" t="s">
        <v>2716</v>
      </c>
      <c r="B1893" t="s">
        <v>2711</v>
      </c>
      <c r="C1893" t="s">
        <v>63</v>
      </c>
      <c r="D1893" t="s">
        <v>1959</v>
      </c>
      <c r="E1893" t="s">
        <v>116</v>
      </c>
      <c r="F1893">
        <v>4</v>
      </c>
      <c r="G1893">
        <v>232.86</v>
      </c>
      <c r="H1893">
        <v>0.01</v>
      </c>
      <c r="I1893" s="4">
        <v>922.13</v>
      </c>
      <c r="J1893" t="s">
        <v>21</v>
      </c>
      <c r="K1893" t="s">
        <v>48</v>
      </c>
      <c r="L1893" s="4">
        <f>VLOOKUP(tblTransactions[[#This Row],[Product_ID]],tblProducts[],5,FALSE)</f>
        <v>116.79</v>
      </c>
      <c r="M1893" s="4">
        <f>tblTransactions[[#This Row],[Total_Amount]]-(tblTransactions[[#This Row],[Cost_Prices]]*tblTransactions[[#This Row],[Quantity]]*(1-tblTransactions[[#This Row],[Discount]]))</f>
        <v>459.64159999999998</v>
      </c>
      <c r="N1893" s="3">
        <f>tblTransactions[[#This Row],[Profit]]/tblTransactions[[#This Row],[Total_Amount]]</f>
        <v>0.49845639985685314</v>
      </c>
      <c r="O1893" t="str">
        <f>TEXT(tblTransactions[[#This Row],[Date]], "MMM-YYYY")</f>
        <v>Feb-2024</v>
      </c>
      <c r="P1893" t="str">
        <f>"Q"&amp;ROUNDUP(MONTH(tblTransactions[[#This Row],[Date]])/3,0)&amp;"-"&amp;YEAR(tblTransactions[[#This Row],[Date]])</f>
        <v>Q1-2024</v>
      </c>
      <c r="Q1893">
        <f>YEAR(tblTransactions[[#This Row],[Date]])</f>
        <v>2024</v>
      </c>
      <c r="R1893" t="str">
        <f>TEXT(tblTransactions[[#This Row],[Date]],"DDDD")</f>
        <v>Saturday</v>
      </c>
      <c r="S1893">
        <f>MONTH(tblTransactions[[#This Row],[Date]])</f>
        <v>2</v>
      </c>
      <c r="T1893" t="str">
        <f>VLOOKUP(E1893, Products!$A:$B,2,0)</f>
        <v>Folders Off-4</v>
      </c>
      <c r="U1893" t="str">
        <f>VLOOKUP(E1893,Products!$A:$C,3,0)</f>
        <v>Office Supplies</v>
      </c>
      <c r="V1893" t="str">
        <f>VLOOKUP(E1893,Products!$A:$D,4,0)</f>
        <v>Folders</v>
      </c>
      <c r="W1893" t="str">
        <f>VLOOKUP(D1893,Customers!$A:$C,3,0)</f>
        <v>Small Business</v>
      </c>
      <c r="X1893" t="str">
        <f>VLOOKUP(C1893,Sales_Representatives!$A:$B,2,0)</f>
        <v>Richard Wilson</v>
      </c>
    </row>
    <row r="1894" spans="1:24" x14ac:dyDescent="0.3">
      <c r="A1894" t="s">
        <v>2717</v>
      </c>
      <c r="B1894" t="s">
        <v>2711</v>
      </c>
      <c r="C1894" t="s">
        <v>59</v>
      </c>
      <c r="D1894" t="s">
        <v>2718</v>
      </c>
      <c r="E1894" t="s">
        <v>96</v>
      </c>
      <c r="F1894">
        <v>7</v>
      </c>
      <c r="G1894">
        <v>751.9</v>
      </c>
      <c r="H1894">
        <v>7.0000000000000007E-2</v>
      </c>
      <c r="I1894" s="4">
        <v>4894.87</v>
      </c>
      <c r="J1894" t="s">
        <v>21</v>
      </c>
      <c r="K1894" t="s">
        <v>48</v>
      </c>
      <c r="L1894" s="4">
        <f>VLOOKUP(tblTransactions[[#This Row],[Product_ID]],tblProducts[],5,FALSE)</f>
        <v>570.29</v>
      </c>
      <c r="M1894" s="4">
        <f>tblTransactions[[#This Row],[Total_Amount]]-(tblTransactions[[#This Row],[Cost_Prices]]*tblTransactions[[#This Row],[Quantity]]*(1-tblTransactions[[#This Row],[Discount]]))</f>
        <v>1182.2821000000004</v>
      </c>
      <c r="N1894" s="3">
        <f>tblTransactions[[#This Row],[Profit]]/tblTransactions[[#This Row],[Total_Amount]]</f>
        <v>0.2415349335120239</v>
      </c>
      <c r="O1894" t="str">
        <f>TEXT(tblTransactions[[#This Row],[Date]], "MMM-YYYY")</f>
        <v>Feb-2024</v>
      </c>
      <c r="P1894" t="str">
        <f>"Q"&amp;ROUNDUP(MONTH(tblTransactions[[#This Row],[Date]])/3,0)&amp;"-"&amp;YEAR(tblTransactions[[#This Row],[Date]])</f>
        <v>Q1-2024</v>
      </c>
      <c r="Q1894">
        <f>YEAR(tblTransactions[[#This Row],[Date]])</f>
        <v>2024</v>
      </c>
      <c r="R1894" t="str">
        <f>TEXT(tblTransactions[[#This Row],[Date]],"DDDD")</f>
        <v>Saturday</v>
      </c>
      <c r="S1894">
        <f>MONTH(tblTransactions[[#This Row],[Date]])</f>
        <v>2</v>
      </c>
      <c r="T1894" t="str">
        <f>VLOOKUP(E1894, Products!$A:$B,2,0)</f>
        <v>Routers Tec-1</v>
      </c>
      <c r="U1894" t="str">
        <f>VLOOKUP(E1894,Products!$A:$C,3,0)</f>
        <v>Technology</v>
      </c>
      <c r="V1894" t="str">
        <f>VLOOKUP(E1894,Products!$A:$D,4,0)</f>
        <v>Routers</v>
      </c>
      <c r="W1894" t="str">
        <f>VLOOKUP(D1894,Customers!$A:$C,3,0)</f>
        <v>B2C</v>
      </c>
      <c r="X1894" t="str">
        <f>VLOOKUP(C1894,Sales_Representatives!$A:$B,2,0)</f>
        <v>Sarah Brown</v>
      </c>
    </row>
    <row r="1895" spans="1:24" x14ac:dyDescent="0.3">
      <c r="A1895" t="s">
        <v>2719</v>
      </c>
      <c r="B1895" t="s">
        <v>2711</v>
      </c>
      <c r="C1895" t="s">
        <v>41</v>
      </c>
      <c r="D1895" t="s">
        <v>2268</v>
      </c>
      <c r="E1895" t="s">
        <v>299</v>
      </c>
      <c r="F1895">
        <v>8</v>
      </c>
      <c r="G1895">
        <v>963.44</v>
      </c>
      <c r="H1895">
        <v>0.08</v>
      </c>
      <c r="I1895" s="4">
        <v>7090.92</v>
      </c>
      <c r="J1895" t="s">
        <v>44</v>
      </c>
      <c r="K1895" t="s">
        <v>48</v>
      </c>
      <c r="L1895" s="4">
        <f>VLOOKUP(tblTransactions[[#This Row],[Product_ID]],tblProducts[],5,FALSE)</f>
        <v>578.96</v>
      </c>
      <c r="M1895" s="4">
        <f>tblTransactions[[#This Row],[Total_Amount]]-(tblTransactions[[#This Row],[Cost_Prices]]*tblTransactions[[#This Row],[Quantity]]*(1-tblTransactions[[#This Row],[Discount]]))</f>
        <v>2829.7743999999993</v>
      </c>
      <c r="N1895" s="3">
        <f>tblTransactions[[#This Row],[Profit]]/tblTransactions[[#This Row],[Total_Amount]]</f>
        <v>0.39907013476389513</v>
      </c>
      <c r="O1895" t="str">
        <f>TEXT(tblTransactions[[#This Row],[Date]], "MMM-YYYY")</f>
        <v>Feb-2024</v>
      </c>
      <c r="P1895" t="str">
        <f>"Q"&amp;ROUNDUP(MONTH(tblTransactions[[#This Row],[Date]])/3,0)&amp;"-"&amp;YEAR(tblTransactions[[#This Row],[Date]])</f>
        <v>Q1-2024</v>
      </c>
      <c r="Q1895">
        <f>YEAR(tblTransactions[[#This Row],[Date]])</f>
        <v>2024</v>
      </c>
      <c r="R1895" t="str">
        <f>TEXT(tblTransactions[[#This Row],[Date]],"DDDD")</f>
        <v>Saturday</v>
      </c>
      <c r="S1895">
        <f>MONTH(tblTransactions[[#This Row],[Date]])</f>
        <v>2</v>
      </c>
      <c r="T1895" t="str">
        <f>VLOOKUP(E1895, Products!$A:$B,2,0)</f>
        <v>Chairs Fur-4</v>
      </c>
      <c r="U1895" t="str">
        <f>VLOOKUP(E1895,Products!$A:$C,3,0)</f>
        <v>Furniture</v>
      </c>
      <c r="V1895" t="str">
        <f>VLOOKUP(E1895,Products!$A:$D,4,0)</f>
        <v>Chairs</v>
      </c>
      <c r="W1895" t="str">
        <f>VLOOKUP(D1895,Customers!$A:$C,3,0)</f>
        <v>Enterprise</v>
      </c>
      <c r="X1895" t="str">
        <f>VLOOKUP(C1895,Sales_Representatives!$A:$B,2,0)</f>
        <v>Robert Jones</v>
      </c>
    </row>
    <row r="1896" spans="1:24" x14ac:dyDescent="0.3">
      <c r="A1896" t="s">
        <v>2720</v>
      </c>
      <c r="B1896" t="s">
        <v>2721</v>
      </c>
      <c r="C1896" t="s">
        <v>56</v>
      </c>
      <c r="D1896" t="s">
        <v>2591</v>
      </c>
      <c r="E1896" t="s">
        <v>217</v>
      </c>
      <c r="F1896">
        <v>5</v>
      </c>
      <c r="G1896">
        <v>145.51</v>
      </c>
      <c r="H1896">
        <v>0.06</v>
      </c>
      <c r="I1896" s="4">
        <v>683.9</v>
      </c>
      <c r="J1896" t="s">
        <v>34</v>
      </c>
      <c r="K1896" t="s">
        <v>48</v>
      </c>
      <c r="L1896" s="4">
        <f>VLOOKUP(tblTransactions[[#This Row],[Product_ID]],tblProducts[],5,FALSE)</f>
        <v>64.510000000000005</v>
      </c>
      <c r="M1896" s="4">
        <f>tblTransactions[[#This Row],[Total_Amount]]-(tblTransactions[[#This Row],[Cost_Prices]]*tblTransactions[[#This Row],[Quantity]]*(1-tblTransactions[[#This Row],[Discount]]))</f>
        <v>380.70299999999997</v>
      </c>
      <c r="N1896" s="3">
        <f>tblTransactions[[#This Row],[Profit]]/tblTransactions[[#This Row],[Total_Amount]]</f>
        <v>0.5566647170638982</v>
      </c>
      <c r="O1896" t="str">
        <f>TEXT(tblTransactions[[#This Row],[Date]], "MMM-YYYY")</f>
        <v>Feb-2024</v>
      </c>
      <c r="P1896" t="str">
        <f>"Q"&amp;ROUNDUP(MONTH(tblTransactions[[#This Row],[Date]])/3,0)&amp;"-"&amp;YEAR(tblTransactions[[#This Row],[Date]])</f>
        <v>Q1-2024</v>
      </c>
      <c r="Q1896">
        <f>YEAR(tblTransactions[[#This Row],[Date]])</f>
        <v>2024</v>
      </c>
      <c r="R1896" t="str">
        <f>TEXT(tblTransactions[[#This Row],[Date]],"DDDD")</f>
        <v>Sunday</v>
      </c>
      <c r="S1896">
        <f>MONTH(tblTransactions[[#This Row],[Date]])</f>
        <v>2</v>
      </c>
      <c r="T1896" t="str">
        <f>VLOOKUP(E1896, Products!$A:$B,2,0)</f>
        <v>Cables Acc-2</v>
      </c>
      <c r="U1896" t="str">
        <f>VLOOKUP(E1896,Products!$A:$C,3,0)</f>
        <v>Accessories</v>
      </c>
      <c r="V1896" t="str">
        <f>VLOOKUP(E1896,Products!$A:$D,4,0)</f>
        <v>Cables</v>
      </c>
      <c r="W1896" t="str">
        <f>VLOOKUP(D1896,Customers!$A:$C,3,0)</f>
        <v>B2C</v>
      </c>
      <c r="X1896" t="str">
        <f>VLOOKUP(C1896,Sales_Representatives!$A:$B,2,0)</f>
        <v>Thomas Hernandez</v>
      </c>
    </row>
    <row r="1897" spans="1:24" x14ac:dyDescent="0.3">
      <c r="A1897" t="s">
        <v>2722</v>
      </c>
      <c r="B1897" t="s">
        <v>2721</v>
      </c>
      <c r="C1897" t="s">
        <v>31</v>
      </c>
      <c r="D1897" t="s">
        <v>1805</v>
      </c>
      <c r="E1897" t="s">
        <v>125</v>
      </c>
      <c r="F1897">
        <v>6</v>
      </c>
      <c r="G1897">
        <v>1201.4000000000001</v>
      </c>
      <c r="H1897">
        <v>0.11</v>
      </c>
      <c r="I1897" s="4">
        <v>6415.48</v>
      </c>
      <c r="J1897" t="s">
        <v>34</v>
      </c>
      <c r="K1897" t="s">
        <v>22</v>
      </c>
      <c r="L1897" s="4">
        <f>VLOOKUP(tblTransactions[[#This Row],[Product_ID]],tblProducts[],5,FALSE)</f>
        <v>672.72</v>
      </c>
      <c r="M1897" s="4">
        <f>tblTransactions[[#This Row],[Total_Amount]]-(tblTransactions[[#This Row],[Cost_Prices]]*tblTransactions[[#This Row],[Quantity]]*(1-tblTransactions[[#This Row],[Discount]]))</f>
        <v>2823.1551999999992</v>
      </c>
      <c r="N1897" s="3">
        <f>tblTransactions[[#This Row],[Profit]]/tblTransactions[[#This Row],[Total_Amount]]</f>
        <v>0.44005362030588507</v>
      </c>
      <c r="O1897" t="str">
        <f>TEXT(tblTransactions[[#This Row],[Date]], "MMM-YYYY")</f>
        <v>Feb-2024</v>
      </c>
      <c r="P1897" t="str">
        <f>"Q"&amp;ROUNDUP(MONTH(tblTransactions[[#This Row],[Date]])/3,0)&amp;"-"&amp;YEAR(tblTransactions[[#This Row],[Date]])</f>
        <v>Q1-2024</v>
      </c>
      <c r="Q1897">
        <f>YEAR(tblTransactions[[#This Row],[Date]])</f>
        <v>2024</v>
      </c>
      <c r="R1897" t="str">
        <f>TEXT(tblTransactions[[#This Row],[Date]],"DDDD")</f>
        <v>Sunday</v>
      </c>
      <c r="S1897">
        <f>MONTH(tblTransactions[[#This Row],[Date]])</f>
        <v>2</v>
      </c>
      <c r="T1897" t="str">
        <f>VLOOKUP(E1897, Products!$A:$B,2,0)</f>
        <v>Printers Tec-2</v>
      </c>
      <c r="U1897" t="str">
        <f>VLOOKUP(E1897,Products!$A:$C,3,0)</f>
        <v>Technology</v>
      </c>
      <c r="V1897" t="str">
        <f>VLOOKUP(E1897,Products!$A:$D,4,0)</f>
        <v>Printers</v>
      </c>
      <c r="W1897" t="str">
        <f>VLOOKUP(D1897,Customers!$A:$C,3,0)</f>
        <v>Enterprise</v>
      </c>
      <c r="X1897" t="str">
        <f>VLOOKUP(C1897,Sales_Representatives!$A:$B,2,0)</f>
        <v>Thomas Martinez</v>
      </c>
    </row>
    <row r="1898" spans="1:24" x14ac:dyDescent="0.3">
      <c r="A1898" t="s">
        <v>2723</v>
      </c>
      <c r="B1898" t="s">
        <v>2721</v>
      </c>
      <c r="C1898" t="s">
        <v>75</v>
      </c>
      <c r="D1898" t="s">
        <v>1832</v>
      </c>
      <c r="E1898" t="s">
        <v>137</v>
      </c>
      <c r="F1898">
        <v>3</v>
      </c>
      <c r="G1898">
        <v>241.39</v>
      </c>
      <c r="H1898">
        <v>0.05</v>
      </c>
      <c r="I1898" s="4">
        <v>687.96</v>
      </c>
      <c r="J1898" t="s">
        <v>44</v>
      </c>
      <c r="K1898" t="s">
        <v>39</v>
      </c>
      <c r="L1898" s="4">
        <f>VLOOKUP(tblTransactions[[#This Row],[Product_ID]],tblProducts[],5,FALSE)</f>
        <v>124.07</v>
      </c>
      <c r="M1898" s="4">
        <f>tblTransactions[[#This Row],[Total_Amount]]-(tblTransactions[[#This Row],[Cost_Prices]]*tblTransactions[[#This Row],[Quantity]]*(1-tblTransactions[[#This Row],[Discount]]))</f>
        <v>334.36050000000006</v>
      </c>
      <c r="N1898" s="3">
        <f>tblTransactions[[#This Row],[Profit]]/tblTransactions[[#This Row],[Total_Amount]]</f>
        <v>0.48601735566021287</v>
      </c>
      <c r="O1898" t="str">
        <f>TEXT(tblTransactions[[#This Row],[Date]], "MMM-YYYY")</f>
        <v>Feb-2024</v>
      </c>
      <c r="P1898" t="str">
        <f>"Q"&amp;ROUNDUP(MONTH(tblTransactions[[#This Row],[Date]])/3,0)&amp;"-"&amp;YEAR(tblTransactions[[#This Row],[Date]])</f>
        <v>Q1-2024</v>
      </c>
      <c r="Q1898">
        <f>YEAR(tblTransactions[[#This Row],[Date]])</f>
        <v>2024</v>
      </c>
      <c r="R1898" t="str">
        <f>TEXT(tblTransactions[[#This Row],[Date]],"DDDD")</f>
        <v>Sunday</v>
      </c>
      <c r="S1898">
        <f>MONTH(tblTransactions[[#This Row],[Date]])</f>
        <v>2</v>
      </c>
      <c r="T1898" t="str">
        <f>VLOOKUP(E1898, Products!$A:$B,2,0)</f>
        <v>Desks Fur-2</v>
      </c>
      <c r="U1898" t="str">
        <f>VLOOKUP(E1898,Products!$A:$C,3,0)</f>
        <v>Furniture</v>
      </c>
      <c r="V1898" t="str">
        <f>VLOOKUP(E1898,Products!$A:$D,4,0)</f>
        <v>Desks</v>
      </c>
      <c r="W1898" t="str">
        <f>VLOOKUP(D1898,Customers!$A:$C,3,0)</f>
        <v>Small Business</v>
      </c>
      <c r="X1898" t="str">
        <f>VLOOKUP(C1898,Sales_Representatives!$A:$B,2,0)</f>
        <v>Jessica Anderson</v>
      </c>
    </row>
    <row r="1899" spans="1:24" x14ac:dyDescent="0.3">
      <c r="A1899" t="s">
        <v>2724</v>
      </c>
      <c r="B1899" t="s">
        <v>2721</v>
      </c>
      <c r="C1899" t="s">
        <v>107</v>
      </c>
      <c r="D1899" t="s">
        <v>2179</v>
      </c>
      <c r="E1899" t="s">
        <v>113</v>
      </c>
      <c r="F1899">
        <v>4</v>
      </c>
      <c r="G1899">
        <v>930.41</v>
      </c>
      <c r="H1899">
        <v>0.04</v>
      </c>
      <c r="I1899" s="4">
        <v>3572.77</v>
      </c>
      <c r="J1899" t="s">
        <v>109</v>
      </c>
      <c r="K1899" t="s">
        <v>48</v>
      </c>
      <c r="L1899" s="4">
        <f>VLOOKUP(tblTransactions[[#This Row],[Product_ID]],tblProducts[],5,FALSE)</f>
        <v>595.51</v>
      </c>
      <c r="M1899" s="4">
        <f>tblTransactions[[#This Row],[Total_Amount]]-(tblTransactions[[#This Row],[Cost_Prices]]*tblTransactions[[#This Row],[Quantity]]*(1-tblTransactions[[#This Row],[Discount]]))</f>
        <v>1286.0116000000003</v>
      </c>
      <c r="N1899" s="3">
        <f>tblTransactions[[#This Row],[Profit]]/tblTransactions[[#This Row],[Total_Amount]]</f>
        <v>0.35994805151185222</v>
      </c>
      <c r="O1899" t="str">
        <f>TEXT(tblTransactions[[#This Row],[Date]], "MMM-YYYY")</f>
        <v>Feb-2024</v>
      </c>
      <c r="P1899" t="str">
        <f>"Q"&amp;ROUNDUP(MONTH(tblTransactions[[#This Row],[Date]])/3,0)&amp;"-"&amp;YEAR(tblTransactions[[#This Row],[Date]])</f>
        <v>Q1-2024</v>
      </c>
      <c r="Q1899">
        <f>YEAR(tblTransactions[[#This Row],[Date]])</f>
        <v>2024</v>
      </c>
      <c r="R1899" t="str">
        <f>TEXT(tblTransactions[[#This Row],[Date]],"DDDD")</f>
        <v>Sunday</v>
      </c>
      <c r="S1899">
        <f>MONTH(tblTransactions[[#This Row],[Date]])</f>
        <v>2</v>
      </c>
      <c r="T1899" t="str">
        <f>VLOOKUP(E1899, Products!$A:$B,2,0)</f>
        <v>Phones Ele-1</v>
      </c>
      <c r="U1899" t="str">
        <f>VLOOKUP(E1899,Products!$A:$C,3,0)</f>
        <v>Electronics</v>
      </c>
      <c r="V1899" t="str">
        <f>VLOOKUP(E1899,Products!$A:$D,4,0)</f>
        <v>Phones</v>
      </c>
      <c r="W1899" t="str">
        <f>VLOOKUP(D1899,Customers!$A:$C,3,0)</f>
        <v>B2C</v>
      </c>
      <c r="X1899" t="str">
        <f>VLOOKUP(C1899,Sales_Representatives!$A:$B,2,0)</f>
        <v>Jennifer Brown</v>
      </c>
    </row>
    <row r="1900" spans="1:24" x14ac:dyDescent="0.3">
      <c r="A1900" t="s">
        <v>2725</v>
      </c>
      <c r="B1900" t="s">
        <v>2726</v>
      </c>
      <c r="C1900" t="s">
        <v>41</v>
      </c>
      <c r="D1900" t="s">
        <v>183</v>
      </c>
      <c r="E1900" t="s">
        <v>89</v>
      </c>
      <c r="F1900">
        <v>3</v>
      </c>
      <c r="G1900">
        <v>555.08000000000004</v>
      </c>
      <c r="H1900">
        <v>0.04</v>
      </c>
      <c r="I1900" s="4">
        <v>1598.63</v>
      </c>
      <c r="J1900" t="s">
        <v>44</v>
      </c>
      <c r="K1900" t="s">
        <v>22</v>
      </c>
      <c r="L1900" s="4">
        <f>VLOOKUP(tblTransactions[[#This Row],[Product_ID]],tblProducts[],5,FALSE)</f>
        <v>402.82</v>
      </c>
      <c r="M1900" s="4">
        <f>tblTransactions[[#This Row],[Total_Amount]]-(tblTransactions[[#This Row],[Cost_Prices]]*tblTransactions[[#This Row],[Quantity]]*(1-tblTransactions[[#This Row],[Discount]]))</f>
        <v>438.50840000000017</v>
      </c>
      <c r="N1900" s="3">
        <f>tblTransactions[[#This Row],[Profit]]/tblTransactions[[#This Row],[Total_Amount]]</f>
        <v>0.27430262161976199</v>
      </c>
      <c r="O1900" t="str">
        <f>TEXT(tblTransactions[[#This Row],[Date]], "MMM-YYYY")</f>
        <v>Feb-2024</v>
      </c>
      <c r="P1900" t="str">
        <f>"Q"&amp;ROUNDUP(MONTH(tblTransactions[[#This Row],[Date]])/3,0)&amp;"-"&amp;YEAR(tblTransactions[[#This Row],[Date]])</f>
        <v>Q1-2024</v>
      </c>
      <c r="Q1900">
        <f>YEAR(tblTransactions[[#This Row],[Date]])</f>
        <v>2024</v>
      </c>
      <c r="R1900" t="str">
        <f>TEXT(tblTransactions[[#This Row],[Date]],"DDDD")</f>
        <v>Monday</v>
      </c>
      <c r="S1900">
        <f>MONTH(tblTransactions[[#This Row],[Date]])</f>
        <v>2</v>
      </c>
      <c r="T1900" t="str">
        <f>VLOOKUP(E1900, Products!$A:$B,2,0)</f>
        <v>Laptops Ele-3</v>
      </c>
      <c r="U1900" t="str">
        <f>VLOOKUP(E1900,Products!$A:$C,3,0)</f>
        <v>Electronics</v>
      </c>
      <c r="V1900" t="str">
        <f>VLOOKUP(E1900,Products!$A:$D,4,0)</f>
        <v>Laptops</v>
      </c>
      <c r="W1900" t="str">
        <f>VLOOKUP(D1900,Customers!$A:$C,3,0)</f>
        <v>Small Business</v>
      </c>
      <c r="X1900" t="str">
        <f>VLOOKUP(C1900,Sales_Representatives!$A:$B,2,0)</f>
        <v>Robert Jones</v>
      </c>
    </row>
    <row r="1901" spans="1:24" x14ac:dyDescent="0.3">
      <c r="A1901" t="s">
        <v>2727</v>
      </c>
      <c r="B1901" t="s">
        <v>2726</v>
      </c>
      <c r="C1901" t="s">
        <v>127</v>
      </c>
      <c r="D1901" t="s">
        <v>2449</v>
      </c>
      <c r="E1901" t="s">
        <v>224</v>
      </c>
      <c r="F1901">
        <v>3</v>
      </c>
      <c r="G1901">
        <v>505.37</v>
      </c>
      <c r="H1901">
        <v>0.06</v>
      </c>
      <c r="I1901" s="4">
        <v>1425.14</v>
      </c>
      <c r="J1901" t="s">
        <v>109</v>
      </c>
      <c r="K1901" t="s">
        <v>39</v>
      </c>
      <c r="L1901" s="4">
        <f>VLOOKUP(tblTransactions[[#This Row],[Product_ID]],tblProducts[],5,FALSE)</f>
        <v>281.14999999999998</v>
      </c>
      <c r="M1901" s="4">
        <f>tblTransactions[[#This Row],[Total_Amount]]-(tblTransactions[[#This Row],[Cost_Prices]]*tblTransactions[[#This Row],[Quantity]]*(1-tblTransactions[[#This Row],[Discount]]))</f>
        <v>632.29700000000025</v>
      </c>
      <c r="N1901" s="3">
        <f>tblTransactions[[#This Row],[Profit]]/tblTransactions[[#This Row],[Total_Amount]]</f>
        <v>0.44367360399680045</v>
      </c>
      <c r="O1901" t="str">
        <f>TEXT(tblTransactions[[#This Row],[Date]], "MMM-YYYY")</f>
        <v>Feb-2024</v>
      </c>
      <c r="P1901" t="str">
        <f>"Q"&amp;ROUNDUP(MONTH(tblTransactions[[#This Row],[Date]])/3,0)&amp;"-"&amp;YEAR(tblTransactions[[#This Row],[Date]])</f>
        <v>Q1-2024</v>
      </c>
      <c r="Q1901">
        <f>YEAR(tblTransactions[[#This Row],[Date]])</f>
        <v>2024</v>
      </c>
      <c r="R1901" t="str">
        <f>TEXT(tblTransactions[[#This Row],[Date]],"DDDD")</f>
        <v>Monday</v>
      </c>
      <c r="S1901">
        <f>MONTH(tblTransactions[[#This Row],[Date]])</f>
        <v>2</v>
      </c>
      <c r="T1901" t="str">
        <f>VLOOKUP(E1901, Products!$A:$B,2,0)</f>
        <v>Desks Fur-3</v>
      </c>
      <c r="U1901" t="str">
        <f>VLOOKUP(E1901,Products!$A:$C,3,0)</f>
        <v>Furniture</v>
      </c>
      <c r="V1901" t="str">
        <f>VLOOKUP(E1901,Products!$A:$D,4,0)</f>
        <v>Desks</v>
      </c>
      <c r="W1901" t="str">
        <f>VLOOKUP(D1901,Customers!$A:$C,3,0)</f>
        <v>B2B</v>
      </c>
      <c r="X1901" t="str">
        <f>VLOOKUP(C1901,Sales_Representatives!$A:$B,2,0)</f>
        <v>Emily Hernandez</v>
      </c>
    </row>
    <row r="1902" spans="1:24" x14ac:dyDescent="0.3">
      <c r="A1902" t="s">
        <v>2728</v>
      </c>
      <c r="B1902" t="s">
        <v>2726</v>
      </c>
      <c r="C1902" t="s">
        <v>59</v>
      </c>
      <c r="D1902" t="s">
        <v>2188</v>
      </c>
      <c r="E1902" t="s">
        <v>89</v>
      </c>
      <c r="F1902">
        <v>4</v>
      </c>
      <c r="G1902">
        <v>555.08000000000004</v>
      </c>
      <c r="H1902">
        <v>0.01</v>
      </c>
      <c r="I1902" s="4">
        <v>2198.12</v>
      </c>
      <c r="J1902" t="s">
        <v>21</v>
      </c>
      <c r="K1902" t="s">
        <v>35</v>
      </c>
      <c r="L1902" s="4">
        <f>VLOOKUP(tblTransactions[[#This Row],[Product_ID]],tblProducts[],5,FALSE)</f>
        <v>402.82</v>
      </c>
      <c r="M1902" s="4">
        <f>tblTransactions[[#This Row],[Total_Amount]]-(tblTransactions[[#This Row],[Cost_Prices]]*tblTransactions[[#This Row],[Quantity]]*(1-tblTransactions[[#This Row],[Discount]]))</f>
        <v>602.95280000000002</v>
      </c>
      <c r="N1902" s="3">
        <f>tblTransactions[[#This Row],[Profit]]/tblTransactions[[#This Row],[Total_Amount]]</f>
        <v>0.27430385966189291</v>
      </c>
      <c r="O1902" t="str">
        <f>TEXT(tblTransactions[[#This Row],[Date]], "MMM-YYYY")</f>
        <v>Feb-2024</v>
      </c>
      <c r="P1902" t="str">
        <f>"Q"&amp;ROUNDUP(MONTH(tblTransactions[[#This Row],[Date]])/3,0)&amp;"-"&amp;YEAR(tblTransactions[[#This Row],[Date]])</f>
        <v>Q1-2024</v>
      </c>
      <c r="Q1902">
        <f>YEAR(tblTransactions[[#This Row],[Date]])</f>
        <v>2024</v>
      </c>
      <c r="R1902" t="str">
        <f>TEXT(tblTransactions[[#This Row],[Date]],"DDDD")</f>
        <v>Monday</v>
      </c>
      <c r="S1902">
        <f>MONTH(tblTransactions[[#This Row],[Date]])</f>
        <v>2</v>
      </c>
      <c r="T1902" t="str">
        <f>VLOOKUP(E1902, Products!$A:$B,2,0)</f>
        <v>Laptops Ele-3</v>
      </c>
      <c r="U1902" t="str">
        <f>VLOOKUP(E1902,Products!$A:$C,3,0)</f>
        <v>Electronics</v>
      </c>
      <c r="V1902" t="str">
        <f>VLOOKUP(E1902,Products!$A:$D,4,0)</f>
        <v>Laptops</v>
      </c>
      <c r="W1902" t="str">
        <f>VLOOKUP(D1902,Customers!$A:$C,3,0)</f>
        <v>B2C</v>
      </c>
      <c r="X1902" t="str">
        <f>VLOOKUP(C1902,Sales_Representatives!$A:$B,2,0)</f>
        <v>Sarah Brown</v>
      </c>
    </row>
    <row r="1903" spans="1:24" x14ac:dyDescent="0.3">
      <c r="A1903" t="s">
        <v>2729</v>
      </c>
      <c r="B1903" t="s">
        <v>2726</v>
      </c>
      <c r="C1903" t="s">
        <v>27</v>
      </c>
      <c r="D1903" t="s">
        <v>237</v>
      </c>
      <c r="E1903" t="s">
        <v>102</v>
      </c>
      <c r="F1903">
        <v>14</v>
      </c>
      <c r="G1903">
        <v>1097.75</v>
      </c>
      <c r="H1903">
        <v>0.12</v>
      </c>
      <c r="I1903" s="4">
        <v>13524.28</v>
      </c>
      <c r="J1903" t="s">
        <v>16</v>
      </c>
      <c r="K1903" t="s">
        <v>22</v>
      </c>
      <c r="L1903" s="4">
        <f>VLOOKUP(tblTransactions[[#This Row],[Product_ID]],tblProducts[],5,FALSE)</f>
        <v>680.12</v>
      </c>
      <c r="M1903" s="4">
        <f>tblTransactions[[#This Row],[Total_Amount]]-(tblTransactions[[#This Row],[Cost_Prices]]*tblTransactions[[#This Row],[Quantity]]*(1-tblTransactions[[#This Row],[Discount]]))</f>
        <v>5145.2016000000003</v>
      </c>
      <c r="N1903" s="3">
        <f>tblTransactions[[#This Row],[Profit]]/tblTransactions[[#This Row],[Total_Amount]]</f>
        <v>0.38044181279890688</v>
      </c>
      <c r="O1903" t="str">
        <f>TEXT(tblTransactions[[#This Row],[Date]], "MMM-YYYY")</f>
        <v>Feb-2024</v>
      </c>
      <c r="P1903" t="str">
        <f>"Q"&amp;ROUNDUP(MONTH(tblTransactions[[#This Row],[Date]])/3,0)&amp;"-"&amp;YEAR(tblTransactions[[#This Row],[Date]])</f>
        <v>Q1-2024</v>
      </c>
      <c r="Q1903">
        <f>YEAR(tblTransactions[[#This Row],[Date]])</f>
        <v>2024</v>
      </c>
      <c r="R1903" t="str">
        <f>TEXT(tblTransactions[[#This Row],[Date]],"DDDD")</f>
        <v>Monday</v>
      </c>
      <c r="S1903">
        <f>MONTH(tblTransactions[[#This Row],[Date]])</f>
        <v>2</v>
      </c>
      <c r="T1903" t="str">
        <f>VLOOKUP(E1903, Products!$A:$B,2,0)</f>
        <v>Storage Fur-4</v>
      </c>
      <c r="U1903" t="str">
        <f>VLOOKUP(E1903,Products!$A:$C,3,0)</f>
        <v>Furniture</v>
      </c>
      <c r="V1903" t="str">
        <f>VLOOKUP(E1903,Products!$A:$D,4,0)</f>
        <v>Storage</v>
      </c>
      <c r="W1903" t="str">
        <f>VLOOKUP(D1903,Customers!$A:$C,3,0)</f>
        <v>B2B</v>
      </c>
      <c r="X1903" t="str">
        <f>VLOOKUP(C1903,Sales_Representatives!$A:$B,2,0)</f>
        <v>Thomas Lopez</v>
      </c>
    </row>
    <row r="1904" spans="1:24" x14ac:dyDescent="0.3">
      <c r="A1904" t="s">
        <v>2730</v>
      </c>
      <c r="B1904" t="s">
        <v>2726</v>
      </c>
      <c r="C1904" t="s">
        <v>131</v>
      </c>
      <c r="D1904" t="s">
        <v>1945</v>
      </c>
      <c r="E1904" t="s">
        <v>339</v>
      </c>
      <c r="F1904">
        <v>12</v>
      </c>
      <c r="G1904">
        <v>1100.8800000000001</v>
      </c>
      <c r="H1904">
        <v>0.12</v>
      </c>
      <c r="I1904" s="4">
        <v>11625.29</v>
      </c>
      <c r="J1904" t="s">
        <v>44</v>
      </c>
      <c r="K1904" t="s">
        <v>48</v>
      </c>
      <c r="L1904" s="4">
        <f>VLOOKUP(tblTransactions[[#This Row],[Product_ID]],tblProducts[],5,FALSE)</f>
        <v>761.53</v>
      </c>
      <c r="M1904" s="4">
        <f>tblTransactions[[#This Row],[Total_Amount]]-(tblTransactions[[#This Row],[Cost_Prices]]*tblTransactions[[#This Row],[Quantity]]*(1-tblTransactions[[#This Row],[Discount]]))</f>
        <v>3583.5332000000008</v>
      </c>
      <c r="N1904" s="3">
        <f>tblTransactions[[#This Row],[Profit]]/tblTransactions[[#This Row],[Total_Amount]]</f>
        <v>0.30825323067209509</v>
      </c>
      <c r="O1904" t="str">
        <f>TEXT(tblTransactions[[#This Row],[Date]], "MMM-YYYY")</f>
        <v>Feb-2024</v>
      </c>
      <c r="P1904" t="str">
        <f>"Q"&amp;ROUNDUP(MONTH(tblTransactions[[#This Row],[Date]])/3,0)&amp;"-"&amp;YEAR(tblTransactions[[#This Row],[Date]])</f>
        <v>Q1-2024</v>
      </c>
      <c r="Q1904">
        <f>YEAR(tblTransactions[[#This Row],[Date]])</f>
        <v>2024</v>
      </c>
      <c r="R1904" t="str">
        <f>TEXT(tblTransactions[[#This Row],[Date]],"DDDD")</f>
        <v>Monday</v>
      </c>
      <c r="S1904">
        <f>MONTH(tblTransactions[[#This Row],[Date]])</f>
        <v>2</v>
      </c>
      <c r="T1904" t="str">
        <f>VLOOKUP(E1904, Products!$A:$B,2,0)</f>
        <v>Phones Ele-2</v>
      </c>
      <c r="U1904" t="str">
        <f>VLOOKUP(E1904,Products!$A:$C,3,0)</f>
        <v>Electronics</v>
      </c>
      <c r="V1904" t="str">
        <f>VLOOKUP(E1904,Products!$A:$D,4,0)</f>
        <v>Phones</v>
      </c>
      <c r="W1904" t="str">
        <f>VLOOKUP(D1904,Customers!$A:$C,3,0)</f>
        <v>B2B</v>
      </c>
      <c r="X1904" t="str">
        <f>VLOOKUP(C1904,Sales_Representatives!$A:$B,2,0)</f>
        <v>Michael Davis</v>
      </c>
    </row>
    <row r="1905" spans="1:24" x14ac:dyDescent="0.3">
      <c r="A1905" t="s">
        <v>2731</v>
      </c>
      <c r="B1905" t="s">
        <v>2726</v>
      </c>
      <c r="C1905" t="s">
        <v>141</v>
      </c>
      <c r="D1905" t="s">
        <v>1906</v>
      </c>
      <c r="E1905" t="s">
        <v>96</v>
      </c>
      <c r="F1905">
        <v>10</v>
      </c>
      <c r="G1905">
        <v>751.9</v>
      </c>
      <c r="H1905">
        <v>0.14000000000000001</v>
      </c>
      <c r="I1905" s="4">
        <v>6466.34</v>
      </c>
      <c r="J1905" t="s">
        <v>109</v>
      </c>
      <c r="K1905" t="s">
        <v>22</v>
      </c>
      <c r="L1905" s="4">
        <f>VLOOKUP(tblTransactions[[#This Row],[Product_ID]],tblProducts[],5,FALSE)</f>
        <v>570.29</v>
      </c>
      <c r="M1905" s="4">
        <f>tblTransactions[[#This Row],[Total_Amount]]-(tblTransactions[[#This Row],[Cost_Prices]]*tblTransactions[[#This Row],[Quantity]]*(1-tblTransactions[[#This Row],[Discount]]))</f>
        <v>1561.8460000000005</v>
      </c>
      <c r="N1905" s="3">
        <f>tblTransactions[[#This Row],[Profit]]/tblTransactions[[#This Row],[Total_Amount]]</f>
        <v>0.24153477856097891</v>
      </c>
      <c r="O1905" t="str">
        <f>TEXT(tblTransactions[[#This Row],[Date]], "MMM-YYYY")</f>
        <v>Feb-2024</v>
      </c>
      <c r="P1905" t="str">
        <f>"Q"&amp;ROUNDUP(MONTH(tblTransactions[[#This Row],[Date]])/3,0)&amp;"-"&amp;YEAR(tblTransactions[[#This Row],[Date]])</f>
        <v>Q1-2024</v>
      </c>
      <c r="Q1905">
        <f>YEAR(tblTransactions[[#This Row],[Date]])</f>
        <v>2024</v>
      </c>
      <c r="R1905" t="str">
        <f>TEXT(tblTransactions[[#This Row],[Date]],"DDDD")</f>
        <v>Monday</v>
      </c>
      <c r="S1905">
        <f>MONTH(tblTransactions[[#This Row],[Date]])</f>
        <v>2</v>
      </c>
      <c r="T1905" t="str">
        <f>VLOOKUP(E1905, Products!$A:$B,2,0)</f>
        <v>Routers Tec-1</v>
      </c>
      <c r="U1905" t="str">
        <f>VLOOKUP(E1905,Products!$A:$C,3,0)</f>
        <v>Technology</v>
      </c>
      <c r="V1905" t="str">
        <f>VLOOKUP(E1905,Products!$A:$D,4,0)</f>
        <v>Routers</v>
      </c>
      <c r="W1905" t="str">
        <f>VLOOKUP(D1905,Customers!$A:$C,3,0)</f>
        <v>B2B</v>
      </c>
      <c r="X1905" t="str">
        <f>VLOOKUP(C1905,Sales_Representatives!$A:$B,2,0)</f>
        <v>Richard Garcia</v>
      </c>
    </row>
    <row r="1906" spans="1:24" x14ac:dyDescent="0.3">
      <c r="A1906" t="s">
        <v>2732</v>
      </c>
      <c r="B1906" t="s">
        <v>2726</v>
      </c>
      <c r="C1906" t="s">
        <v>107</v>
      </c>
      <c r="D1906" t="s">
        <v>1845</v>
      </c>
      <c r="E1906" t="s">
        <v>217</v>
      </c>
      <c r="F1906">
        <v>2</v>
      </c>
      <c r="G1906">
        <v>145.51</v>
      </c>
      <c r="H1906">
        <v>0.01</v>
      </c>
      <c r="I1906" s="4">
        <v>288.11</v>
      </c>
      <c r="J1906" t="s">
        <v>109</v>
      </c>
      <c r="K1906" t="s">
        <v>35</v>
      </c>
      <c r="L1906" s="4">
        <f>VLOOKUP(tblTransactions[[#This Row],[Product_ID]],tblProducts[],5,FALSE)</f>
        <v>64.510000000000005</v>
      </c>
      <c r="M1906" s="4">
        <f>tblTransactions[[#This Row],[Total_Amount]]-(tblTransactions[[#This Row],[Cost_Prices]]*tblTransactions[[#This Row],[Quantity]]*(1-tblTransactions[[#This Row],[Discount]]))</f>
        <v>160.3802</v>
      </c>
      <c r="N1906" s="3">
        <f>tblTransactions[[#This Row],[Profit]]/tblTransactions[[#This Row],[Total_Amount]]</f>
        <v>0.55666308007358301</v>
      </c>
      <c r="O1906" t="str">
        <f>TEXT(tblTransactions[[#This Row],[Date]], "MMM-YYYY")</f>
        <v>Feb-2024</v>
      </c>
      <c r="P1906" t="str">
        <f>"Q"&amp;ROUNDUP(MONTH(tblTransactions[[#This Row],[Date]])/3,0)&amp;"-"&amp;YEAR(tblTransactions[[#This Row],[Date]])</f>
        <v>Q1-2024</v>
      </c>
      <c r="Q1906">
        <f>YEAR(tblTransactions[[#This Row],[Date]])</f>
        <v>2024</v>
      </c>
      <c r="R1906" t="str">
        <f>TEXT(tblTransactions[[#This Row],[Date]],"DDDD")</f>
        <v>Monday</v>
      </c>
      <c r="S1906">
        <f>MONTH(tblTransactions[[#This Row],[Date]])</f>
        <v>2</v>
      </c>
      <c r="T1906" t="str">
        <f>VLOOKUP(E1906, Products!$A:$B,2,0)</f>
        <v>Cables Acc-2</v>
      </c>
      <c r="U1906" t="str">
        <f>VLOOKUP(E1906,Products!$A:$C,3,0)</f>
        <v>Accessories</v>
      </c>
      <c r="V1906" t="str">
        <f>VLOOKUP(E1906,Products!$A:$D,4,0)</f>
        <v>Cables</v>
      </c>
      <c r="W1906" t="str">
        <f>VLOOKUP(D1906,Customers!$A:$C,3,0)</f>
        <v>B2C</v>
      </c>
      <c r="X1906" t="str">
        <f>VLOOKUP(C1906,Sales_Representatives!$A:$B,2,0)</f>
        <v>Jennifer Brown</v>
      </c>
    </row>
    <row r="1907" spans="1:24" x14ac:dyDescent="0.3">
      <c r="A1907" t="s">
        <v>2733</v>
      </c>
      <c r="B1907" t="s">
        <v>2726</v>
      </c>
      <c r="C1907" t="s">
        <v>141</v>
      </c>
      <c r="D1907" t="s">
        <v>1728</v>
      </c>
      <c r="E1907" t="s">
        <v>157</v>
      </c>
      <c r="F1907">
        <v>9</v>
      </c>
      <c r="G1907">
        <v>1227.68</v>
      </c>
      <c r="H1907">
        <v>0.13</v>
      </c>
      <c r="I1907" s="4">
        <v>9612.73</v>
      </c>
      <c r="J1907" t="s">
        <v>109</v>
      </c>
      <c r="K1907" t="s">
        <v>39</v>
      </c>
      <c r="L1907" s="4">
        <f>VLOOKUP(tblTransactions[[#This Row],[Product_ID]],tblProducts[],5,FALSE)</f>
        <v>846.42</v>
      </c>
      <c r="M1907" s="4">
        <f>tblTransactions[[#This Row],[Total_Amount]]-(tblTransactions[[#This Row],[Cost_Prices]]*tblTransactions[[#This Row],[Quantity]]*(1-tblTransactions[[#This Row],[Discount]]))</f>
        <v>2985.2613999999994</v>
      </c>
      <c r="N1907" s="3">
        <f>tblTransactions[[#This Row],[Profit]]/tblTransactions[[#This Row],[Total_Amount]]</f>
        <v>0.31055292305099585</v>
      </c>
      <c r="O1907" t="str">
        <f>TEXT(tblTransactions[[#This Row],[Date]], "MMM-YYYY")</f>
        <v>Feb-2024</v>
      </c>
      <c r="P1907" t="str">
        <f>"Q"&amp;ROUNDUP(MONTH(tblTransactions[[#This Row],[Date]])/3,0)&amp;"-"&amp;YEAR(tblTransactions[[#This Row],[Date]])</f>
        <v>Q1-2024</v>
      </c>
      <c r="Q1907">
        <f>YEAR(tblTransactions[[#This Row],[Date]])</f>
        <v>2024</v>
      </c>
      <c r="R1907" t="str">
        <f>TEXT(tblTransactions[[#This Row],[Date]],"DDDD")</f>
        <v>Monday</v>
      </c>
      <c r="S1907">
        <f>MONTH(tblTransactions[[#This Row],[Date]])</f>
        <v>2</v>
      </c>
      <c r="T1907" t="str">
        <f>VLOOKUP(E1907, Products!$A:$B,2,0)</f>
        <v>Printers Tec-4</v>
      </c>
      <c r="U1907" t="str">
        <f>VLOOKUP(E1907,Products!$A:$C,3,0)</f>
        <v>Technology</v>
      </c>
      <c r="V1907" t="str">
        <f>VLOOKUP(E1907,Products!$A:$D,4,0)</f>
        <v>Printers</v>
      </c>
      <c r="W1907" t="str">
        <f>VLOOKUP(D1907,Customers!$A:$C,3,0)</f>
        <v>B2B</v>
      </c>
      <c r="X1907" t="str">
        <f>VLOOKUP(C1907,Sales_Representatives!$A:$B,2,0)</f>
        <v>Richard Garcia</v>
      </c>
    </row>
    <row r="1908" spans="1:24" x14ac:dyDescent="0.3">
      <c r="A1908" t="s">
        <v>2734</v>
      </c>
      <c r="B1908" t="s">
        <v>2726</v>
      </c>
      <c r="C1908" t="s">
        <v>82</v>
      </c>
      <c r="D1908" t="s">
        <v>1780</v>
      </c>
      <c r="E1908" t="s">
        <v>299</v>
      </c>
      <c r="F1908">
        <v>1</v>
      </c>
      <c r="G1908">
        <v>963.44</v>
      </c>
      <c r="H1908">
        <v>0.01</v>
      </c>
      <c r="I1908" s="4">
        <v>953.81</v>
      </c>
      <c r="J1908" t="s">
        <v>34</v>
      </c>
      <c r="K1908" t="s">
        <v>48</v>
      </c>
      <c r="L1908" s="4">
        <f>VLOOKUP(tblTransactions[[#This Row],[Product_ID]],tblProducts[],5,FALSE)</f>
        <v>578.96</v>
      </c>
      <c r="M1908" s="4">
        <f>tblTransactions[[#This Row],[Total_Amount]]-(tblTransactions[[#This Row],[Cost_Prices]]*tblTransactions[[#This Row],[Quantity]]*(1-tblTransactions[[#This Row],[Discount]]))</f>
        <v>380.63959999999986</v>
      </c>
      <c r="N1908" s="3">
        <f>tblTransactions[[#This Row],[Profit]]/tblTransactions[[#This Row],[Total_Amount]]</f>
        <v>0.39907277130665425</v>
      </c>
      <c r="O1908" t="str">
        <f>TEXT(tblTransactions[[#This Row],[Date]], "MMM-YYYY")</f>
        <v>Feb-2024</v>
      </c>
      <c r="P1908" t="str">
        <f>"Q"&amp;ROUNDUP(MONTH(tblTransactions[[#This Row],[Date]])/3,0)&amp;"-"&amp;YEAR(tblTransactions[[#This Row],[Date]])</f>
        <v>Q1-2024</v>
      </c>
      <c r="Q1908">
        <f>YEAR(tblTransactions[[#This Row],[Date]])</f>
        <v>2024</v>
      </c>
      <c r="R1908" t="str">
        <f>TEXT(tblTransactions[[#This Row],[Date]],"DDDD")</f>
        <v>Monday</v>
      </c>
      <c r="S1908">
        <f>MONTH(tblTransactions[[#This Row],[Date]])</f>
        <v>2</v>
      </c>
      <c r="T1908" t="str">
        <f>VLOOKUP(E1908, Products!$A:$B,2,0)</f>
        <v>Chairs Fur-4</v>
      </c>
      <c r="U1908" t="str">
        <f>VLOOKUP(E1908,Products!$A:$C,3,0)</f>
        <v>Furniture</v>
      </c>
      <c r="V1908" t="str">
        <f>VLOOKUP(E1908,Products!$A:$D,4,0)</f>
        <v>Chairs</v>
      </c>
      <c r="W1908" t="str">
        <f>VLOOKUP(D1908,Customers!$A:$C,3,0)</f>
        <v>B2C</v>
      </c>
      <c r="X1908" t="str">
        <f>VLOOKUP(C1908,Sales_Representatives!$A:$B,2,0)</f>
        <v>John Brown</v>
      </c>
    </row>
    <row r="1909" spans="1:24" x14ac:dyDescent="0.3">
      <c r="A1909" t="s">
        <v>2735</v>
      </c>
      <c r="B1909" t="s">
        <v>2736</v>
      </c>
      <c r="C1909" t="s">
        <v>107</v>
      </c>
      <c r="D1909" t="s">
        <v>112</v>
      </c>
      <c r="E1909" t="s">
        <v>137</v>
      </c>
      <c r="F1909">
        <v>16</v>
      </c>
      <c r="G1909">
        <v>241.39</v>
      </c>
      <c r="H1909">
        <v>0.15</v>
      </c>
      <c r="I1909" s="4">
        <v>3282.9</v>
      </c>
      <c r="J1909" t="s">
        <v>109</v>
      </c>
      <c r="K1909" t="s">
        <v>48</v>
      </c>
      <c r="L1909" s="4">
        <f>VLOOKUP(tblTransactions[[#This Row],[Product_ID]],tblProducts[],5,FALSE)</f>
        <v>124.07</v>
      </c>
      <c r="M1909" s="4">
        <f>tblTransactions[[#This Row],[Total_Amount]]-(tblTransactions[[#This Row],[Cost_Prices]]*tblTransactions[[#This Row],[Quantity]]*(1-tblTransactions[[#This Row],[Discount]]))</f>
        <v>1595.5480000000002</v>
      </c>
      <c r="N1909" s="3">
        <f>tblTransactions[[#This Row],[Profit]]/tblTransactions[[#This Row],[Total_Amount]]</f>
        <v>0.4860178500715831</v>
      </c>
      <c r="O1909" t="str">
        <f>TEXT(tblTransactions[[#This Row],[Date]], "MMM-YYYY")</f>
        <v>Feb-2024</v>
      </c>
      <c r="P1909" t="str">
        <f>"Q"&amp;ROUNDUP(MONTH(tblTransactions[[#This Row],[Date]])/3,0)&amp;"-"&amp;YEAR(tblTransactions[[#This Row],[Date]])</f>
        <v>Q1-2024</v>
      </c>
      <c r="Q1909">
        <f>YEAR(tblTransactions[[#This Row],[Date]])</f>
        <v>2024</v>
      </c>
      <c r="R1909" t="str">
        <f>TEXT(tblTransactions[[#This Row],[Date]],"DDDD")</f>
        <v>Tuesday</v>
      </c>
      <c r="S1909">
        <f>MONTH(tblTransactions[[#This Row],[Date]])</f>
        <v>2</v>
      </c>
      <c r="T1909" t="str">
        <f>VLOOKUP(E1909, Products!$A:$B,2,0)</f>
        <v>Desks Fur-2</v>
      </c>
      <c r="U1909" t="str">
        <f>VLOOKUP(E1909,Products!$A:$C,3,0)</f>
        <v>Furniture</v>
      </c>
      <c r="V1909" t="str">
        <f>VLOOKUP(E1909,Products!$A:$D,4,0)</f>
        <v>Desks</v>
      </c>
      <c r="W1909" t="str">
        <f>VLOOKUP(D1909,Customers!$A:$C,3,0)</f>
        <v>Enterprise</v>
      </c>
      <c r="X1909" t="str">
        <f>VLOOKUP(C1909,Sales_Representatives!$A:$B,2,0)</f>
        <v>Jennifer Brown</v>
      </c>
    </row>
    <row r="1910" spans="1:24" x14ac:dyDescent="0.3">
      <c r="A1910" t="s">
        <v>2737</v>
      </c>
      <c r="B1910" t="s">
        <v>2736</v>
      </c>
      <c r="C1910" t="s">
        <v>13</v>
      </c>
      <c r="D1910" t="s">
        <v>1513</v>
      </c>
      <c r="E1910" t="s">
        <v>172</v>
      </c>
      <c r="F1910">
        <v>6</v>
      </c>
      <c r="G1910">
        <v>1371.15</v>
      </c>
      <c r="H1910">
        <v>7.0000000000000007E-2</v>
      </c>
      <c r="I1910" s="4">
        <v>7651.02</v>
      </c>
      <c r="J1910" t="s">
        <v>16</v>
      </c>
      <c r="K1910" t="s">
        <v>35</v>
      </c>
      <c r="L1910" s="4">
        <f>VLOOKUP(tblTransactions[[#This Row],[Product_ID]],tblProducts[],5,FALSE)</f>
        <v>989.81</v>
      </c>
      <c r="M1910" s="4">
        <f>tblTransactions[[#This Row],[Total_Amount]]-(tblTransactions[[#This Row],[Cost_Prices]]*tblTransactions[[#This Row],[Quantity]]*(1-tblTransactions[[#This Row],[Discount]]))</f>
        <v>2127.8802000000014</v>
      </c>
      <c r="N1910" s="3">
        <f>tblTransactions[[#This Row],[Profit]]/tblTransactions[[#This Row],[Total_Amount]]</f>
        <v>0.27811719221750841</v>
      </c>
      <c r="O1910" t="str">
        <f>TEXT(tblTransactions[[#This Row],[Date]], "MMM-YYYY")</f>
        <v>Feb-2024</v>
      </c>
      <c r="P1910" t="str">
        <f>"Q"&amp;ROUNDUP(MONTH(tblTransactions[[#This Row],[Date]])/3,0)&amp;"-"&amp;YEAR(tblTransactions[[#This Row],[Date]])</f>
        <v>Q1-2024</v>
      </c>
      <c r="Q1910">
        <f>YEAR(tblTransactions[[#This Row],[Date]])</f>
        <v>2024</v>
      </c>
      <c r="R1910" t="str">
        <f>TEXT(tblTransactions[[#This Row],[Date]],"DDDD")</f>
        <v>Tuesday</v>
      </c>
      <c r="S1910">
        <f>MONTH(tblTransactions[[#This Row],[Date]])</f>
        <v>2</v>
      </c>
      <c r="T1910" t="str">
        <f>VLOOKUP(E1910, Products!$A:$B,2,0)</f>
        <v>Cameras Ele-4</v>
      </c>
      <c r="U1910" t="str">
        <f>VLOOKUP(E1910,Products!$A:$C,3,0)</f>
        <v>Electronics</v>
      </c>
      <c r="V1910" t="str">
        <f>VLOOKUP(E1910,Products!$A:$D,4,0)</f>
        <v>Cameras</v>
      </c>
      <c r="W1910" t="str">
        <f>VLOOKUP(D1910,Customers!$A:$C,3,0)</f>
        <v>B2C</v>
      </c>
      <c r="X1910" t="str">
        <f>VLOOKUP(C1910,Sales_Representatives!$A:$B,2,0)</f>
        <v>Jennifer Rodriguez</v>
      </c>
    </row>
    <row r="1911" spans="1:24" x14ac:dyDescent="0.3">
      <c r="A1911" t="s">
        <v>2738</v>
      </c>
      <c r="B1911" t="s">
        <v>2739</v>
      </c>
      <c r="C1911" t="s">
        <v>107</v>
      </c>
      <c r="D1911" t="s">
        <v>64</v>
      </c>
      <c r="E1911" t="s">
        <v>99</v>
      </c>
      <c r="F1911">
        <v>6</v>
      </c>
      <c r="G1911">
        <v>325.14</v>
      </c>
      <c r="H1911">
        <v>0.06</v>
      </c>
      <c r="I1911" s="4">
        <v>1833.79</v>
      </c>
      <c r="J1911" t="s">
        <v>109</v>
      </c>
      <c r="K1911" t="s">
        <v>39</v>
      </c>
      <c r="L1911" s="4">
        <f>VLOOKUP(tblTransactions[[#This Row],[Product_ID]],tblProducts[],5,FALSE)</f>
        <v>209.04</v>
      </c>
      <c r="M1911" s="4">
        <f>tblTransactions[[#This Row],[Total_Amount]]-(tblTransactions[[#This Row],[Cost_Prices]]*tblTransactions[[#This Row],[Quantity]]*(1-tblTransactions[[#This Row],[Discount]]))</f>
        <v>654.80439999999999</v>
      </c>
      <c r="N1911" s="3">
        <f>tblTransactions[[#This Row],[Profit]]/tblTransactions[[#This Row],[Total_Amount]]</f>
        <v>0.35707709170624774</v>
      </c>
      <c r="O1911" t="str">
        <f>TEXT(tblTransactions[[#This Row],[Date]], "MMM-YYYY")</f>
        <v>Feb-2024</v>
      </c>
      <c r="P1911" t="str">
        <f>"Q"&amp;ROUNDUP(MONTH(tblTransactions[[#This Row],[Date]])/3,0)&amp;"-"&amp;YEAR(tblTransactions[[#This Row],[Date]])</f>
        <v>Q1-2024</v>
      </c>
      <c r="Q1911">
        <f>YEAR(tblTransactions[[#This Row],[Date]])</f>
        <v>2024</v>
      </c>
      <c r="R1911" t="str">
        <f>TEXT(tblTransactions[[#This Row],[Date]],"DDDD")</f>
        <v>Wednesday</v>
      </c>
      <c r="S1911">
        <f>MONTH(tblTransactions[[#This Row],[Date]])</f>
        <v>2</v>
      </c>
      <c r="T1911" t="str">
        <f>VLOOKUP(E1911, Products!$A:$B,2,0)</f>
        <v>Monitors Tec-1</v>
      </c>
      <c r="U1911" t="str">
        <f>VLOOKUP(E1911,Products!$A:$C,3,0)</f>
        <v>Technology</v>
      </c>
      <c r="V1911" t="str">
        <f>VLOOKUP(E1911,Products!$A:$D,4,0)</f>
        <v>Monitors</v>
      </c>
      <c r="W1911" t="str">
        <f>VLOOKUP(D1911,Customers!$A:$C,3,0)</f>
        <v>Small Business</v>
      </c>
      <c r="X1911" t="str">
        <f>VLOOKUP(C1911,Sales_Representatives!$A:$B,2,0)</f>
        <v>Jennifer Brown</v>
      </c>
    </row>
    <row r="1912" spans="1:24" x14ac:dyDescent="0.3">
      <c r="A1912" t="s">
        <v>2740</v>
      </c>
      <c r="B1912" t="s">
        <v>2739</v>
      </c>
      <c r="C1912" t="s">
        <v>31</v>
      </c>
      <c r="D1912" t="s">
        <v>2591</v>
      </c>
      <c r="E1912" t="s">
        <v>450</v>
      </c>
      <c r="F1912">
        <v>6</v>
      </c>
      <c r="G1912">
        <v>2083.92</v>
      </c>
      <c r="H1912">
        <v>7.0000000000000007E-2</v>
      </c>
      <c r="I1912" s="4">
        <v>11628.27</v>
      </c>
      <c r="J1912" t="s">
        <v>34</v>
      </c>
      <c r="K1912" t="s">
        <v>22</v>
      </c>
      <c r="L1912" s="4">
        <f>VLOOKUP(tblTransactions[[#This Row],[Product_ID]],tblProducts[],5,FALSE)</f>
        <v>1425.78</v>
      </c>
      <c r="M1912" s="4">
        <f>tblTransactions[[#This Row],[Total_Amount]]-(tblTransactions[[#This Row],[Cost_Prices]]*tblTransactions[[#This Row],[Quantity]]*(1-tblTransactions[[#This Row],[Discount]]))</f>
        <v>3672.4176000000007</v>
      </c>
      <c r="N1912" s="3">
        <f>tblTransactions[[#This Row],[Profit]]/tblTransactions[[#This Row],[Total_Amount]]</f>
        <v>0.31581805376036165</v>
      </c>
      <c r="O1912" t="str">
        <f>TEXT(tblTransactions[[#This Row],[Date]], "MMM-YYYY")</f>
        <v>Feb-2024</v>
      </c>
      <c r="P1912" t="str">
        <f>"Q"&amp;ROUNDUP(MONTH(tblTransactions[[#This Row],[Date]])/3,0)&amp;"-"&amp;YEAR(tblTransactions[[#This Row],[Date]])</f>
        <v>Q1-2024</v>
      </c>
      <c r="Q1912">
        <f>YEAR(tblTransactions[[#This Row],[Date]])</f>
        <v>2024</v>
      </c>
      <c r="R1912" t="str">
        <f>TEXT(tblTransactions[[#This Row],[Date]],"DDDD")</f>
        <v>Wednesday</v>
      </c>
      <c r="S1912">
        <f>MONTH(tblTransactions[[#This Row],[Date]])</f>
        <v>2</v>
      </c>
      <c r="T1912" t="str">
        <f>VLOOKUP(E1912, Products!$A:$B,2,0)</f>
        <v>Monitors Tec-4</v>
      </c>
      <c r="U1912" t="str">
        <f>VLOOKUP(E1912,Products!$A:$C,3,0)</f>
        <v>Technology</v>
      </c>
      <c r="V1912" t="str">
        <f>VLOOKUP(E1912,Products!$A:$D,4,0)</f>
        <v>Monitors</v>
      </c>
      <c r="W1912" t="str">
        <f>VLOOKUP(D1912,Customers!$A:$C,3,0)</f>
        <v>B2C</v>
      </c>
      <c r="X1912" t="str">
        <f>VLOOKUP(C1912,Sales_Representatives!$A:$B,2,0)</f>
        <v>Thomas Martinez</v>
      </c>
    </row>
    <row r="1913" spans="1:24" x14ac:dyDescent="0.3">
      <c r="A1913" t="s">
        <v>2741</v>
      </c>
      <c r="B1913" t="s">
        <v>2739</v>
      </c>
      <c r="C1913" t="s">
        <v>13</v>
      </c>
      <c r="D1913" t="s">
        <v>1619</v>
      </c>
      <c r="E1913" t="s">
        <v>38</v>
      </c>
      <c r="F1913">
        <v>4</v>
      </c>
      <c r="G1913">
        <v>581.47</v>
      </c>
      <c r="H1913">
        <v>7.0000000000000007E-2</v>
      </c>
      <c r="I1913" s="4">
        <v>2163.0700000000002</v>
      </c>
      <c r="J1913" t="s">
        <v>16</v>
      </c>
      <c r="K1913" t="s">
        <v>48</v>
      </c>
      <c r="L1913" s="4">
        <f>VLOOKUP(tblTransactions[[#This Row],[Product_ID]],tblProducts[],5,FALSE)</f>
        <v>372.07</v>
      </c>
      <c r="M1913" s="4">
        <f>tblTransactions[[#This Row],[Total_Amount]]-(tblTransactions[[#This Row],[Cost_Prices]]*tblTransactions[[#This Row],[Quantity]]*(1-tblTransactions[[#This Row],[Discount]]))</f>
        <v>778.96960000000036</v>
      </c>
      <c r="N1913" s="3">
        <f>tblTransactions[[#This Row],[Profit]]/tblTransactions[[#This Row],[Total_Amount]]</f>
        <v>0.36012223367713497</v>
      </c>
      <c r="O1913" t="str">
        <f>TEXT(tblTransactions[[#This Row],[Date]], "MMM-YYYY")</f>
        <v>Feb-2024</v>
      </c>
      <c r="P1913" t="str">
        <f>"Q"&amp;ROUNDUP(MONTH(tblTransactions[[#This Row],[Date]])/3,0)&amp;"-"&amp;YEAR(tblTransactions[[#This Row],[Date]])</f>
        <v>Q1-2024</v>
      </c>
      <c r="Q1913">
        <f>YEAR(tblTransactions[[#This Row],[Date]])</f>
        <v>2024</v>
      </c>
      <c r="R1913" t="str">
        <f>TEXT(tblTransactions[[#This Row],[Date]],"DDDD")</f>
        <v>Wednesday</v>
      </c>
      <c r="S1913">
        <f>MONTH(tblTransactions[[#This Row],[Date]])</f>
        <v>2</v>
      </c>
      <c r="T1913" t="str">
        <f>VLOOKUP(E1913, Products!$A:$B,2,0)</f>
        <v>Storage Fur-3</v>
      </c>
      <c r="U1913" t="str">
        <f>VLOOKUP(E1913,Products!$A:$C,3,0)</f>
        <v>Furniture</v>
      </c>
      <c r="V1913" t="str">
        <f>VLOOKUP(E1913,Products!$A:$D,4,0)</f>
        <v>Storage</v>
      </c>
      <c r="W1913" t="str">
        <f>VLOOKUP(D1913,Customers!$A:$C,3,0)</f>
        <v>B2B</v>
      </c>
      <c r="X1913" t="str">
        <f>VLOOKUP(C1913,Sales_Representatives!$A:$B,2,0)</f>
        <v>Jennifer Rodriguez</v>
      </c>
    </row>
    <row r="1914" spans="1:24" x14ac:dyDescent="0.3">
      <c r="A1914" t="s">
        <v>2742</v>
      </c>
      <c r="B1914" t="s">
        <v>2739</v>
      </c>
      <c r="C1914" t="s">
        <v>107</v>
      </c>
      <c r="D1914" t="s">
        <v>327</v>
      </c>
      <c r="E1914" t="s">
        <v>102</v>
      </c>
      <c r="F1914">
        <v>1</v>
      </c>
      <c r="G1914">
        <v>1097.75</v>
      </c>
      <c r="H1914">
        <v>0.02</v>
      </c>
      <c r="I1914" s="4">
        <v>1075.8</v>
      </c>
      <c r="J1914" t="s">
        <v>109</v>
      </c>
      <c r="K1914" t="s">
        <v>39</v>
      </c>
      <c r="L1914" s="4">
        <f>VLOOKUP(tblTransactions[[#This Row],[Product_ID]],tblProducts[],5,FALSE)</f>
        <v>680.12</v>
      </c>
      <c r="M1914" s="4">
        <f>tblTransactions[[#This Row],[Total_Amount]]-(tblTransactions[[#This Row],[Cost_Prices]]*tblTransactions[[#This Row],[Quantity]]*(1-tblTransactions[[#This Row],[Discount]]))</f>
        <v>409.28239999999994</v>
      </c>
      <c r="N1914" s="3">
        <f>tblTransactions[[#This Row],[Profit]]/tblTransactions[[#This Row],[Total_Amount]]</f>
        <v>0.38044469232199291</v>
      </c>
      <c r="O1914" t="str">
        <f>TEXT(tblTransactions[[#This Row],[Date]], "MMM-YYYY")</f>
        <v>Feb-2024</v>
      </c>
      <c r="P1914" t="str">
        <f>"Q"&amp;ROUNDUP(MONTH(tblTransactions[[#This Row],[Date]])/3,0)&amp;"-"&amp;YEAR(tblTransactions[[#This Row],[Date]])</f>
        <v>Q1-2024</v>
      </c>
      <c r="Q1914">
        <f>YEAR(tblTransactions[[#This Row],[Date]])</f>
        <v>2024</v>
      </c>
      <c r="R1914" t="str">
        <f>TEXT(tblTransactions[[#This Row],[Date]],"DDDD")</f>
        <v>Wednesday</v>
      </c>
      <c r="S1914">
        <f>MONTH(tblTransactions[[#This Row],[Date]])</f>
        <v>2</v>
      </c>
      <c r="T1914" t="str">
        <f>VLOOKUP(E1914, Products!$A:$B,2,0)</f>
        <v>Storage Fur-4</v>
      </c>
      <c r="U1914" t="str">
        <f>VLOOKUP(E1914,Products!$A:$C,3,0)</f>
        <v>Furniture</v>
      </c>
      <c r="V1914" t="str">
        <f>VLOOKUP(E1914,Products!$A:$D,4,0)</f>
        <v>Storage</v>
      </c>
      <c r="W1914" t="str">
        <f>VLOOKUP(D1914,Customers!$A:$C,3,0)</f>
        <v>B2C</v>
      </c>
      <c r="X1914" t="str">
        <f>VLOOKUP(C1914,Sales_Representatives!$A:$B,2,0)</f>
        <v>Jennifer Brown</v>
      </c>
    </row>
    <row r="1915" spans="1:24" x14ac:dyDescent="0.3">
      <c r="A1915" t="s">
        <v>2743</v>
      </c>
      <c r="B1915" t="s">
        <v>2744</v>
      </c>
      <c r="C1915" t="s">
        <v>70</v>
      </c>
      <c r="D1915" t="s">
        <v>1945</v>
      </c>
      <c r="E1915" t="s">
        <v>129</v>
      </c>
      <c r="F1915">
        <v>4</v>
      </c>
      <c r="G1915">
        <v>1283.71</v>
      </c>
      <c r="H1915">
        <v>0.08</v>
      </c>
      <c r="I1915" s="4">
        <v>4724.05</v>
      </c>
      <c r="J1915" t="s">
        <v>16</v>
      </c>
      <c r="K1915" t="s">
        <v>39</v>
      </c>
      <c r="L1915" s="4">
        <f>VLOOKUP(tblTransactions[[#This Row],[Product_ID]],tblProducts[],5,FALSE)</f>
        <v>970.14</v>
      </c>
      <c r="M1915" s="4">
        <f>tblTransactions[[#This Row],[Total_Amount]]-(tblTransactions[[#This Row],[Cost_Prices]]*tblTransactions[[#This Row],[Quantity]]*(1-tblTransactions[[#This Row],[Discount]]))</f>
        <v>1153.9348</v>
      </c>
      <c r="N1915" s="3">
        <f>tblTransactions[[#This Row],[Profit]]/tblTransactions[[#This Row],[Total_Amount]]</f>
        <v>0.24426811739926546</v>
      </c>
      <c r="O1915" t="str">
        <f>TEXT(tblTransactions[[#This Row],[Date]], "MMM-YYYY")</f>
        <v>Feb-2024</v>
      </c>
      <c r="P1915" t="str">
        <f>"Q"&amp;ROUNDUP(MONTH(tblTransactions[[#This Row],[Date]])/3,0)&amp;"-"&amp;YEAR(tblTransactions[[#This Row],[Date]])</f>
        <v>Q1-2024</v>
      </c>
      <c r="Q1915">
        <f>YEAR(tblTransactions[[#This Row],[Date]])</f>
        <v>2024</v>
      </c>
      <c r="R1915" t="str">
        <f>TEXT(tblTransactions[[#This Row],[Date]],"DDDD")</f>
        <v>Thursday</v>
      </c>
      <c r="S1915">
        <f>MONTH(tblTransactions[[#This Row],[Date]])</f>
        <v>2</v>
      </c>
      <c r="T1915" t="str">
        <f>VLOOKUP(E1915, Products!$A:$B,2,0)</f>
        <v>Cameras Ele-3</v>
      </c>
      <c r="U1915" t="str">
        <f>VLOOKUP(E1915,Products!$A:$C,3,0)</f>
        <v>Electronics</v>
      </c>
      <c r="V1915" t="str">
        <f>VLOOKUP(E1915,Products!$A:$D,4,0)</f>
        <v>Cameras</v>
      </c>
      <c r="W1915" t="str">
        <f>VLOOKUP(D1915,Customers!$A:$C,3,0)</f>
        <v>B2B</v>
      </c>
      <c r="X1915" t="str">
        <f>VLOOKUP(C1915,Sales_Representatives!$A:$B,2,0)</f>
        <v>Linda Smith</v>
      </c>
    </row>
    <row r="1916" spans="1:24" x14ac:dyDescent="0.3">
      <c r="A1916" t="s">
        <v>2745</v>
      </c>
      <c r="B1916" t="s">
        <v>2744</v>
      </c>
      <c r="C1916" t="s">
        <v>63</v>
      </c>
      <c r="D1916" t="s">
        <v>1883</v>
      </c>
      <c r="E1916" t="s">
        <v>79</v>
      </c>
      <c r="F1916">
        <v>1</v>
      </c>
      <c r="G1916">
        <v>1452.36</v>
      </c>
      <c r="H1916">
        <v>0.08</v>
      </c>
      <c r="I1916" s="4">
        <v>1336.17</v>
      </c>
      <c r="J1916" t="s">
        <v>21</v>
      </c>
      <c r="K1916" t="s">
        <v>35</v>
      </c>
      <c r="L1916" s="4">
        <f>VLOOKUP(tblTransactions[[#This Row],[Product_ID]],tblProducts[],5,FALSE)</f>
        <v>778.71</v>
      </c>
      <c r="M1916" s="4">
        <f>tblTransactions[[#This Row],[Total_Amount]]-(tblTransactions[[#This Row],[Cost_Prices]]*tblTransactions[[#This Row],[Quantity]]*(1-tblTransactions[[#This Row],[Discount]]))</f>
        <v>619.7568</v>
      </c>
      <c r="N1916" s="3">
        <f>tblTransactions[[#This Row],[Profit]]/tblTransactions[[#This Row],[Total_Amount]]</f>
        <v>0.46383079997305732</v>
      </c>
      <c r="O1916" t="str">
        <f>TEXT(tblTransactions[[#This Row],[Date]], "MMM-YYYY")</f>
        <v>Feb-2024</v>
      </c>
      <c r="P1916" t="str">
        <f>"Q"&amp;ROUNDUP(MONTH(tblTransactions[[#This Row],[Date]])/3,0)&amp;"-"&amp;YEAR(tblTransactions[[#This Row],[Date]])</f>
        <v>Q1-2024</v>
      </c>
      <c r="Q1916">
        <f>YEAR(tblTransactions[[#This Row],[Date]])</f>
        <v>2024</v>
      </c>
      <c r="R1916" t="str">
        <f>TEXT(tblTransactions[[#This Row],[Date]],"DDDD")</f>
        <v>Thursday</v>
      </c>
      <c r="S1916">
        <f>MONTH(tblTransactions[[#This Row],[Date]])</f>
        <v>2</v>
      </c>
      <c r="T1916" t="str">
        <f>VLOOKUP(E1916, Products!$A:$B,2,0)</f>
        <v>Tables Fur-2</v>
      </c>
      <c r="U1916" t="str">
        <f>VLOOKUP(E1916,Products!$A:$C,3,0)</f>
        <v>Furniture</v>
      </c>
      <c r="V1916" t="str">
        <f>VLOOKUP(E1916,Products!$A:$D,4,0)</f>
        <v>Tables</v>
      </c>
      <c r="W1916" t="str">
        <f>VLOOKUP(D1916,Customers!$A:$C,3,0)</f>
        <v>B2C</v>
      </c>
      <c r="X1916" t="str">
        <f>VLOOKUP(C1916,Sales_Representatives!$A:$B,2,0)</f>
        <v>Richard Wilson</v>
      </c>
    </row>
    <row r="1917" spans="1:24" x14ac:dyDescent="0.3">
      <c r="A1917" t="s">
        <v>2746</v>
      </c>
      <c r="B1917" t="s">
        <v>2744</v>
      </c>
      <c r="C1917" t="s">
        <v>70</v>
      </c>
      <c r="D1917" t="s">
        <v>2129</v>
      </c>
      <c r="E1917" t="s">
        <v>310</v>
      </c>
      <c r="F1917">
        <v>6</v>
      </c>
      <c r="G1917">
        <v>274.13</v>
      </c>
      <c r="H1917">
        <v>0.1</v>
      </c>
      <c r="I1917" s="4">
        <v>1480.3</v>
      </c>
      <c r="J1917" t="s">
        <v>16</v>
      </c>
      <c r="K1917" t="s">
        <v>39</v>
      </c>
      <c r="L1917" s="4">
        <f>VLOOKUP(tblTransactions[[#This Row],[Product_ID]],tblProducts[],5,FALSE)</f>
        <v>134.41999999999999</v>
      </c>
      <c r="M1917" s="4">
        <f>tblTransactions[[#This Row],[Total_Amount]]-(tblTransactions[[#This Row],[Cost_Prices]]*tblTransactions[[#This Row],[Quantity]]*(1-tblTransactions[[#This Row],[Discount]]))</f>
        <v>754.4319999999999</v>
      </c>
      <c r="N1917" s="3">
        <f>tblTransactions[[#This Row],[Profit]]/tblTransactions[[#This Row],[Total_Amount]]</f>
        <v>0.50964804431534139</v>
      </c>
      <c r="O1917" t="str">
        <f>TEXT(tblTransactions[[#This Row],[Date]], "MMM-YYYY")</f>
        <v>Feb-2024</v>
      </c>
      <c r="P1917" t="str">
        <f>"Q"&amp;ROUNDUP(MONTH(tblTransactions[[#This Row],[Date]])/3,0)&amp;"-"&amp;YEAR(tblTransactions[[#This Row],[Date]])</f>
        <v>Q1-2024</v>
      </c>
      <c r="Q1917">
        <f>YEAR(tblTransactions[[#This Row],[Date]])</f>
        <v>2024</v>
      </c>
      <c r="R1917" t="str">
        <f>TEXT(tblTransactions[[#This Row],[Date]],"DDDD")</f>
        <v>Thursday</v>
      </c>
      <c r="S1917">
        <f>MONTH(tblTransactions[[#This Row],[Date]])</f>
        <v>2</v>
      </c>
      <c r="T1917" t="str">
        <f>VLOOKUP(E1917, Products!$A:$B,2,0)</f>
        <v>Adapters Acc-4</v>
      </c>
      <c r="U1917" t="str">
        <f>VLOOKUP(E1917,Products!$A:$C,3,0)</f>
        <v>Accessories</v>
      </c>
      <c r="V1917" t="str">
        <f>VLOOKUP(E1917,Products!$A:$D,4,0)</f>
        <v>Adapters</v>
      </c>
      <c r="W1917" t="str">
        <f>VLOOKUP(D1917,Customers!$A:$C,3,0)</f>
        <v>B2C</v>
      </c>
      <c r="X1917" t="str">
        <f>VLOOKUP(C1917,Sales_Representatives!$A:$B,2,0)</f>
        <v>Linda Smith</v>
      </c>
    </row>
    <row r="1918" spans="1:24" x14ac:dyDescent="0.3">
      <c r="A1918" t="s">
        <v>2747</v>
      </c>
      <c r="B1918" t="s">
        <v>2744</v>
      </c>
      <c r="C1918" t="s">
        <v>13</v>
      </c>
      <c r="D1918" t="s">
        <v>2680</v>
      </c>
      <c r="E1918" t="s">
        <v>191</v>
      </c>
      <c r="F1918">
        <v>17</v>
      </c>
      <c r="G1918">
        <v>1012.75</v>
      </c>
      <c r="H1918">
        <v>0.17</v>
      </c>
      <c r="I1918" s="4">
        <v>14289.9</v>
      </c>
      <c r="J1918" t="s">
        <v>16</v>
      </c>
      <c r="K1918" t="s">
        <v>39</v>
      </c>
      <c r="L1918" s="4">
        <f>VLOOKUP(tblTransactions[[#This Row],[Product_ID]],tblProducts[],5,FALSE)</f>
        <v>518.53</v>
      </c>
      <c r="M1918" s="4">
        <f>tblTransactions[[#This Row],[Total_Amount]]-(tblTransactions[[#This Row],[Cost_Prices]]*tblTransactions[[#This Row],[Quantity]]*(1-tblTransactions[[#This Row],[Discount]]))</f>
        <v>6973.4416999999994</v>
      </c>
      <c r="N1918" s="3">
        <f>tblTransactions[[#This Row],[Profit]]/tblTransactions[[#This Row],[Total_Amount]]</f>
        <v>0.48799793560486776</v>
      </c>
      <c r="O1918" t="str">
        <f>TEXT(tblTransactions[[#This Row],[Date]], "MMM-YYYY")</f>
        <v>Feb-2024</v>
      </c>
      <c r="P1918" t="str">
        <f>"Q"&amp;ROUNDUP(MONTH(tblTransactions[[#This Row],[Date]])/3,0)&amp;"-"&amp;YEAR(tblTransactions[[#This Row],[Date]])</f>
        <v>Q1-2024</v>
      </c>
      <c r="Q1918">
        <f>YEAR(tblTransactions[[#This Row],[Date]])</f>
        <v>2024</v>
      </c>
      <c r="R1918" t="str">
        <f>TEXT(tblTransactions[[#This Row],[Date]],"DDDD")</f>
        <v>Thursday</v>
      </c>
      <c r="S1918">
        <f>MONTH(tblTransactions[[#This Row],[Date]])</f>
        <v>2</v>
      </c>
      <c r="T1918" t="str">
        <f>VLOOKUP(E1918, Products!$A:$B,2,0)</f>
        <v>Tables Fur-4</v>
      </c>
      <c r="U1918" t="str">
        <f>VLOOKUP(E1918,Products!$A:$C,3,0)</f>
        <v>Furniture</v>
      </c>
      <c r="V1918" t="str">
        <f>VLOOKUP(E1918,Products!$A:$D,4,0)</f>
        <v>Tables</v>
      </c>
      <c r="W1918" t="str">
        <f>VLOOKUP(D1918,Customers!$A:$C,3,0)</f>
        <v>B2B</v>
      </c>
      <c r="X1918" t="str">
        <f>VLOOKUP(C1918,Sales_Representatives!$A:$B,2,0)</f>
        <v>Jennifer Rodriguez</v>
      </c>
    </row>
    <row r="1919" spans="1:24" x14ac:dyDescent="0.3">
      <c r="A1919" t="s">
        <v>2748</v>
      </c>
      <c r="B1919" t="s">
        <v>2744</v>
      </c>
      <c r="C1919" t="s">
        <v>59</v>
      </c>
      <c r="D1919" t="s">
        <v>2411</v>
      </c>
      <c r="E1919" t="s">
        <v>255</v>
      </c>
      <c r="F1919">
        <v>16</v>
      </c>
      <c r="G1919">
        <v>1444.13</v>
      </c>
      <c r="H1919">
        <v>0.12</v>
      </c>
      <c r="I1919" s="4">
        <v>20333.349999999999</v>
      </c>
      <c r="J1919" t="s">
        <v>21</v>
      </c>
      <c r="K1919" t="s">
        <v>17</v>
      </c>
      <c r="L1919" s="4">
        <f>VLOOKUP(tblTransactions[[#This Row],[Product_ID]],tblProducts[],5,FALSE)</f>
        <v>874.43</v>
      </c>
      <c r="M1919" s="4">
        <f>tblTransactions[[#This Row],[Total_Amount]]-(tblTransactions[[#This Row],[Cost_Prices]]*tblTransactions[[#This Row],[Quantity]]*(1-tblTransactions[[#This Row],[Discount]]))</f>
        <v>8021.3755999999994</v>
      </c>
      <c r="N1919" s="3">
        <f>tblTransactions[[#This Row],[Profit]]/tblTransactions[[#This Row],[Total_Amount]]</f>
        <v>0.39449355861183721</v>
      </c>
      <c r="O1919" t="str">
        <f>TEXT(tblTransactions[[#This Row],[Date]], "MMM-YYYY")</f>
        <v>Feb-2024</v>
      </c>
      <c r="P1919" t="str">
        <f>"Q"&amp;ROUNDUP(MONTH(tblTransactions[[#This Row],[Date]])/3,0)&amp;"-"&amp;YEAR(tblTransactions[[#This Row],[Date]])</f>
        <v>Q1-2024</v>
      </c>
      <c r="Q1919">
        <f>YEAR(tblTransactions[[#This Row],[Date]])</f>
        <v>2024</v>
      </c>
      <c r="R1919" t="str">
        <f>TEXT(tblTransactions[[#This Row],[Date]],"DDDD")</f>
        <v>Thursday</v>
      </c>
      <c r="S1919">
        <f>MONTH(tblTransactions[[#This Row],[Date]])</f>
        <v>2</v>
      </c>
      <c r="T1919" t="str">
        <f>VLOOKUP(E1919, Products!$A:$B,2,0)</f>
        <v>Printers Tec-1</v>
      </c>
      <c r="U1919" t="str">
        <f>VLOOKUP(E1919,Products!$A:$C,3,0)</f>
        <v>Technology</v>
      </c>
      <c r="V1919" t="str">
        <f>VLOOKUP(E1919,Products!$A:$D,4,0)</f>
        <v>Printers</v>
      </c>
      <c r="W1919" t="str">
        <f>VLOOKUP(D1919,Customers!$A:$C,3,0)</f>
        <v>B2B</v>
      </c>
      <c r="X1919" t="str">
        <f>VLOOKUP(C1919,Sales_Representatives!$A:$B,2,0)</f>
        <v>Sarah Brown</v>
      </c>
    </row>
    <row r="1920" spans="1:24" x14ac:dyDescent="0.3">
      <c r="A1920" t="s">
        <v>2749</v>
      </c>
      <c r="B1920" t="s">
        <v>2750</v>
      </c>
      <c r="C1920" t="s">
        <v>82</v>
      </c>
      <c r="D1920" t="s">
        <v>1900</v>
      </c>
      <c r="E1920" t="s">
        <v>450</v>
      </c>
      <c r="F1920">
        <v>7</v>
      </c>
      <c r="G1920">
        <v>2083.92</v>
      </c>
      <c r="H1920">
        <v>0.15</v>
      </c>
      <c r="I1920" s="4">
        <v>12399.32</v>
      </c>
      <c r="J1920" t="s">
        <v>34</v>
      </c>
      <c r="K1920" t="s">
        <v>48</v>
      </c>
      <c r="L1920" s="4">
        <f>VLOOKUP(tblTransactions[[#This Row],[Product_ID]],tblProducts[],5,FALSE)</f>
        <v>1425.78</v>
      </c>
      <c r="M1920" s="4">
        <f>tblTransactions[[#This Row],[Total_Amount]]-(tblTransactions[[#This Row],[Cost_Prices]]*tblTransactions[[#This Row],[Quantity]]*(1-tblTransactions[[#This Row],[Discount]]))</f>
        <v>3915.9290000000001</v>
      </c>
      <c r="N1920" s="3">
        <f>tblTransactions[[#This Row],[Profit]]/tblTransactions[[#This Row],[Total_Amount]]</f>
        <v>0.31581804486052462</v>
      </c>
      <c r="O1920" t="str">
        <f>TEXT(tblTransactions[[#This Row],[Date]], "MMM-YYYY")</f>
        <v>Feb-2024</v>
      </c>
      <c r="P1920" t="str">
        <f>"Q"&amp;ROUNDUP(MONTH(tblTransactions[[#This Row],[Date]])/3,0)&amp;"-"&amp;YEAR(tblTransactions[[#This Row],[Date]])</f>
        <v>Q1-2024</v>
      </c>
      <c r="Q1920">
        <f>YEAR(tblTransactions[[#This Row],[Date]])</f>
        <v>2024</v>
      </c>
      <c r="R1920" t="str">
        <f>TEXT(tblTransactions[[#This Row],[Date]],"DDDD")</f>
        <v>Friday</v>
      </c>
      <c r="S1920">
        <f>MONTH(tblTransactions[[#This Row],[Date]])</f>
        <v>2</v>
      </c>
      <c r="T1920" t="str">
        <f>VLOOKUP(E1920, Products!$A:$B,2,0)</f>
        <v>Monitors Tec-4</v>
      </c>
      <c r="U1920" t="str">
        <f>VLOOKUP(E1920,Products!$A:$C,3,0)</f>
        <v>Technology</v>
      </c>
      <c r="V1920" t="str">
        <f>VLOOKUP(E1920,Products!$A:$D,4,0)</f>
        <v>Monitors</v>
      </c>
      <c r="W1920" t="str">
        <f>VLOOKUP(D1920,Customers!$A:$C,3,0)</f>
        <v>B2C</v>
      </c>
      <c r="X1920" t="str">
        <f>VLOOKUP(C1920,Sales_Representatives!$A:$B,2,0)</f>
        <v>John Brown</v>
      </c>
    </row>
    <row r="1921" spans="1:24" x14ac:dyDescent="0.3">
      <c r="A1921" t="s">
        <v>2751</v>
      </c>
      <c r="B1921" t="s">
        <v>2750</v>
      </c>
      <c r="C1921" t="s">
        <v>56</v>
      </c>
      <c r="D1921" t="s">
        <v>1984</v>
      </c>
      <c r="E1921" t="s">
        <v>248</v>
      </c>
      <c r="F1921">
        <v>5</v>
      </c>
      <c r="G1921">
        <v>82.29</v>
      </c>
      <c r="H1921">
        <v>0.1</v>
      </c>
      <c r="I1921" s="4">
        <v>370.31</v>
      </c>
      <c r="J1921" t="s">
        <v>34</v>
      </c>
      <c r="K1921" t="s">
        <v>39</v>
      </c>
      <c r="L1921" s="4">
        <f>VLOOKUP(tblTransactions[[#This Row],[Product_ID]],tblProducts[],5,FALSE)</f>
        <v>51.11</v>
      </c>
      <c r="M1921" s="4">
        <f>tblTransactions[[#This Row],[Total_Amount]]-(tblTransactions[[#This Row],[Cost_Prices]]*tblTransactions[[#This Row],[Quantity]]*(1-tblTransactions[[#This Row],[Discount]]))</f>
        <v>140.315</v>
      </c>
      <c r="N1921" s="3">
        <f>tblTransactions[[#This Row],[Profit]]/tblTransactions[[#This Row],[Total_Amount]]</f>
        <v>0.37891226269881989</v>
      </c>
      <c r="O1921" t="str">
        <f>TEXT(tblTransactions[[#This Row],[Date]], "MMM-YYYY")</f>
        <v>Feb-2024</v>
      </c>
      <c r="P1921" t="str">
        <f>"Q"&amp;ROUNDUP(MONTH(tblTransactions[[#This Row],[Date]])/3,0)&amp;"-"&amp;YEAR(tblTransactions[[#This Row],[Date]])</f>
        <v>Q1-2024</v>
      </c>
      <c r="Q1921">
        <f>YEAR(tblTransactions[[#This Row],[Date]])</f>
        <v>2024</v>
      </c>
      <c r="R1921" t="str">
        <f>TEXT(tblTransactions[[#This Row],[Date]],"DDDD")</f>
        <v>Friday</v>
      </c>
      <c r="S1921">
        <f>MONTH(tblTransactions[[#This Row],[Date]])</f>
        <v>2</v>
      </c>
      <c r="T1921" t="str">
        <f>VLOOKUP(E1921, Products!$A:$B,2,0)</f>
        <v>Keyboards Acc-2</v>
      </c>
      <c r="U1921" t="str">
        <f>VLOOKUP(E1921,Products!$A:$C,3,0)</f>
        <v>Accessories</v>
      </c>
      <c r="V1921" t="str">
        <f>VLOOKUP(E1921,Products!$A:$D,4,0)</f>
        <v>Keyboards</v>
      </c>
      <c r="W1921" t="str">
        <f>VLOOKUP(D1921,Customers!$A:$C,3,0)</f>
        <v>B2C</v>
      </c>
      <c r="X1921" t="str">
        <f>VLOOKUP(C1921,Sales_Representatives!$A:$B,2,0)</f>
        <v>Thomas Hernandez</v>
      </c>
    </row>
    <row r="1922" spans="1:24" x14ac:dyDescent="0.3">
      <c r="A1922" t="s">
        <v>2752</v>
      </c>
      <c r="B1922" t="s">
        <v>2750</v>
      </c>
      <c r="C1922" t="s">
        <v>82</v>
      </c>
      <c r="D1922" t="s">
        <v>1986</v>
      </c>
      <c r="E1922" t="s">
        <v>157</v>
      </c>
      <c r="F1922">
        <v>2</v>
      </c>
      <c r="G1922">
        <v>1227.68</v>
      </c>
      <c r="H1922">
        <v>0.09</v>
      </c>
      <c r="I1922" s="4">
        <v>2234.38</v>
      </c>
      <c r="J1922" t="s">
        <v>34</v>
      </c>
      <c r="K1922" t="s">
        <v>17</v>
      </c>
      <c r="L1922" s="4">
        <f>VLOOKUP(tblTransactions[[#This Row],[Product_ID]],tblProducts[],5,FALSE)</f>
        <v>846.42</v>
      </c>
      <c r="M1922" s="4">
        <f>tblTransactions[[#This Row],[Total_Amount]]-(tblTransactions[[#This Row],[Cost_Prices]]*tblTransactions[[#This Row],[Quantity]]*(1-tblTransactions[[#This Row],[Discount]]))</f>
        <v>693.89560000000006</v>
      </c>
      <c r="N1922" s="3">
        <f>tblTransactions[[#This Row],[Profit]]/tblTransactions[[#This Row],[Total_Amount]]</f>
        <v>0.31055397917990674</v>
      </c>
      <c r="O1922" t="str">
        <f>TEXT(tblTransactions[[#This Row],[Date]], "MMM-YYYY")</f>
        <v>Feb-2024</v>
      </c>
      <c r="P1922" t="str">
        <f>"Q"&amp;ROUNDUP(MONTH(tblTransactions[[#This Row],[Date]])/3,0)&amp;"-"&amp;YEAR(tblTransactions[[#This Row],[Date]])</f>
        <v>Q1-2024</v>
      </c>
      <c r="Q1922">
        <f>YEAR(tblTransactions[[#This Row],[Date]])</f>
        <v>2024</v>
      </c>
      <c r="R1922" t="str">
        <f>TEXT(tblTransactions[[#This Row],[Date]],"DDDD")</f>
        <v>Friday</v>
      </c>
      <c r="S1922">
        <f>MONTH(tblTransactions[[#This Row],[Date]])</f>
        <v>2</v>
      </c>
      <c r="T1922" t="str">
        <f>VLOOKUP(E1922, Products!$A:$B,2,0)</f>
        <v>Printers Tec-4</v>
      </c>
      <c r="U1922" t="str">
        <f>VLOOKUP(E1922,Products!$A:$C,3,0)</f>
        <v>Technology</v>
      </c>
      <c r="V1922" t="str">
        <f>VLOOKUP(E1922,Products!$A:$D,4,0)</f>
        <v>Printers</v>
      </c>
      <c r="W1922" t="str">
        <f>VLOOKUP(D1922,Customers!$A:$C,3,0)</f>
        <v>B2C</v>
      </c>
      <c r="X1922" t="str">
        <f>VLOOKUP(C1922,Sales_Representatives!$A:$B,2,0)</f>
        <v>John Brown</v>
      </c>
    </row>
    <row r="1923" spans="1:24" x14ac:dyDescent="0.3">
      <c r="A1923" t="s">
        <v>2753</v>
      </c>
      <c r="B1923" t="s">
        <v>2750</v>
      </c>
      <c r="C1923" t="s">
        <v>131</v>
      </c>
      <c r="D1923" t="s">
        <v>1749</v>
      </c>
      <c r="E1923" t="s">
        <v>339</v>
      </c>
      <c r="F1923">
        <v>8</v>
      </c>
      <c r="G1923">
        <v>1100.8800000000001</v>
      </c>
      <c r="H1923">
        <v>0.09</v>
      </c>
      <c r="I1923" s="4">
        <v>8014.41</v>
      </c>
      <c r="J1923" t="s">
        <v>44</v>
      </c>
      <c r="K1923" t="s">
        <v>22</v>
      </c>
      <c r="L1923" s="4">
        <f>VLOOKUP(tblTransactions[[#This Row],[Product_ID]],tblProducts[],5,FALSE)</f>
        <v>761.53</v>
      </c>
      <c r="M1923" s="4">
        <f>tblTransactions[[#This Row],[Total_Amount]]-(tblTransactions[[#This Row],[Cost_Prices]]*tblTransactions[[#This Row],[Quantity]]*(1-tblTransactions[[#This Row],[Discount]]))</f>
        <v>2470.4715999999999</v>
      </c>
      <c r="N1923" s="3">
        <f>tblTransactions[[#This Row],[Profit]]/tblTransactions[[#This Row],[Total_Amount]]</f>
        <v>0.30825370800844976</v>
      </c>
      <c r="O1923" t="str">
        <f>TEXT(tblTransactions[[#This Row],[Date]], "MMM-YYYY")</f>
        <v>Feb-2024</v>
      </c>
      <c r="P1923" t="str">
        <f>"Q"&amp;ROUNDUP(MONTH(tblTransactions[[#This Row],[Date]])/3,0)&amp;"-"&amp;YEAR(tblTransactions[[#This Row],[Date]])</f>
        <v>Q1-2024</v>
      </c>
      <c r="Q1923">
        <f>YEAR(tblTransactions[[#This Row],[Date]])</f>
        <v>2024</v>
      </c>
      <c r="R1923" t="str">
        <f>TEXT(tblTransactions[[#This Row],[Date]],"DDDD")</f>
        <v>Friday</v>
      </c>
      <c r="S1923">
        <f>MONTH(tblTransactions[[#This Row],[Date]])</f>
        <v>2</v>
      </c>
      <c r="T1923" t="str">
        <f>VLOOKUP(E1923, Products!$A:$B,2,0)</f>
        <v>Phones Ele-2</v>
      </c>
      <c r="U1923" t="str">
        <f>VLOOKUP(E1923,Products!$A:$C,3,0)</f>
        <v>Electronics</v>
      </c>
      <c r="V1923" t="str">
        <f>VLOOKUP(E1923,Products!$A:$D,4,0)</f>
        <v>Phones</v>
      </c>
      <c r="W1923" t="str">
        <f>VLOOKUP(D1923,Customers!$A:$C,3,0)</f>
        <v>B2B</v>
      </c>
      <c r="X1923" t="str">
        <f>VLOOKUP(C1923,Sales_Representatives!$A:$B,2,0)</f>
        <v>Michael Davis</v>
      </c>
    </row>
    <row r="1924" spans="1:24" x14ac:dyDescent="0.3">
      <c r="A1924" t="s">
        <v>2754</v>
      </c>
      <c r="B1924" t="s">
        <v>2750</v>
      </c>
      <c r="C1924" t="s">
        <v>82</v>
      </c>
      <c r="D1924" t="s">
        <v>57</v>
      </c>
      <c r="E1924" t="s">
        <v>283</v>
      </c>
      <c r="F1924">
        <v>4</v>
      </c>
      <c r="G1924">
        <v>456.88</v>
      </c>
      <c r="H1924">
        <v>0.1</v>
      </c>
      <c r="I1924" s="4">
        <v>1644.77</v>
      </c>
      <c r="J1924" t="s">
        <v>34</v>
      </c>
      <c r="K1924" t="s">
        <v>17</v>
      </c>
      <c r="L1924" s="4">
        <f>VLOOKUP(tblTransactions[[#This Row],[Product_ID]],tblProducts[],5,FALSE)</f>
        <v>313.23</v>
      </c>
      <c r="M1924" s="4">
        <f>tblTransactions[[#This Row],[Total_Amount]]-(tblTransactions[[#This Row],[Cost_Prices]]*tblTransactions[[#This Row],[Quantity]]*(1-tblTransactions[[#This Row],[Discount]]))</f>
        <v>517.14199999999983</v>
      </c>
      <c r="N1924" s="3">
        <f>tblTransactions[[#This Row],[Profit]]/tblTransactions[[#This Row],[Total_Amount]]</f>
        <v>0.31441599737349285</v>
      </c>
      <c r="O1924" t="str">
        <f>TEXT(tblTransactions[[#This Row],[Date]], "MMM-YYYY")</f>
        <v>Feb-2024</v>
      </c>
      <c r="P1924" t="str">
        <f>"Q"&amp;ROUNDUP(MONTH(tblTransactions[[#This Row],[Date]])/3,0)&amp;"-"&amp;YEAR(tblTransactions[[#This Row],[Date]])</f>
        <v>Q1-2024</v>
      </c>
      <c r="Q1924">
        <f>YEAR(tblTransactions[[#This Row],[Date]])</f>
        <v>2024</v>
      </c>
      <c r="R1924" t="str">
        <f>TEXT(tblTransactions[[#This Row],[Date]],"DDDD")</f>
        <v>Friday</v>
      </c>
      <c r="S1924">
        <f>MONTH(tblTransactions[[#This Row],[Date]])</f>
        <v>2</v>
      </c>
      <c r="T1924" t="str">
        <f>VLOOKUP(E1924, Products!$A:$B,2,0)</f>
        <v>Chairs Fur-3</v>
      </c>
      <c r="U1924" t="str">
        <f>VLOOKUP(E1924,Products!$A:$C,3,0)</f>
        <v>Furniture</v>
      </c>
      <c r="V1924" t="str">
        <f>VLOOKUP(E1924,Products!$A:$D,4,0)</f>
        <v>Chairs</v>
      </c>
      <c r="W1924" t="str">
        <f>VLOOKUP(D1924,Customers!$A:$C,3,0)</f>
        <v>Small Business</v>
      </c>
      <c r="X1924" t="str">
        <f>VLOOKUP(C1924,Sales_Representatives!$A:$B,2,0)</f>
        <v>John Brown</v>
      </c>
    </row>
    <row r="1925" spans="1:24" x14ac:dyDescent="0.3">
      <c r="A1925" t="s">
        <v>2755</v>
      </c>
      <c r="B1925" t="s">
        <v>2750</v>
      </c>
      <c r="C1925" t="s">
        <v>82</v>
      </c>
      <c r="D1925" t="s">
        <v>2756</v>
      </c>
      <c r="E1925" t="s">
        <v>370</v>
      </c>
      <c r="F1925">
        <v>7</v>
      </c>
      <c r="G1925">
        <v>238.95</v>
      </c>
      <c r="H1925">
        <v>0.11</v>
      </c>
      <c r="I1925" s="4">
        <v>1488.66</v>
      </c>
      <c r="J1925" t="s">
        <v>34</v>
      </c>
      <c r="K1925" t="s">
        <v>48</v>
      </c>
      <c r="L1925" s="4">
        <f>VLOOKUP(tblTransactions[[#This Row],[Product_ID]],tblProducts[],5,FALSE)</f>
        <v>136.6</v>
      </c>
      <c r="M1925" s="4">
        <f>tblTransactions[[#This Row],[Total_Amount]]-(tblTransactions[[#This Row],[Cost_Prices]]*tblTransactions[[#This Row],[Quantity]]*(1-tblTransactions[[#This Row],[Discount]]))</f>
        <v>637.64200000000017</v>
      </c>
      <c r="N1925" s="3">
        <f>tblTransactions[[#This Row],[Profit]]/tblTransactions[[#This Row],[Total_Amount]]</f>
        <v>0.42833286311179192</v>
      </c>
      <c r="O1925" t="str">
        <f>TEXT(tblTransactions[[#This Row],[Date]], "MMM-YYYY")</f>
        <v>Feb-2024</v>
      </c>
      <c r="P1925" t="str">
        <f>"Q"&amp;ROUNDUP(MONTH(tblTransactions[[#This Row],[Date]])/3,0)&amp;"-"&amp;YEAR(tblTransactions[[#This Row],[Date]])</f>
        <v>Q1-2024</v>
      </c>
      <c r="Q1925">
        <f>YEAR(tblTransactions[[#This Row],[Date]])</f>
        <v>2024</v>
      </c>
      <c r="R1925" t="str">
        <f>TEXT(tblTransactions[[#This Row],[Date]],"DDDD")</f>
        <v>Friday</v>
      </c>
      <c r="S1925">
        <f>MONTH(tblTransactions[[#This Row],[Date]])</f>
        <v>2</v>
      </c>
      <c r="T1925" t="str">
        <f>VLOOKUP(E1925, Products!$A:$B,2,0)</f>
        <v>Cables Acc-1</v>
      </c>
      <c r="U1925" t="str">
        <f>VLOOKUP(E1925,Products!$A:$C,3,0)</f>
        <v>Accessories</v>
      </c>
      <c r="V1925" t="str">
        <f>VLOOKUP(E1925,Products!$A:$D,4,0)</f>
        <v>Cables</v>
      </c>
      <c r="W1925" t="str">
        <f>VLOOKUP(D1925,Customers!$A:$C,3,0)</f>
        <v>B2C</v>
      </c>
      <c r="X1925" t="str">
        <f>VLOOKUP(C1925,Sales_Representatives!$A:$B,2,0)</f>
        <v>John Brown</v>
      </c>
    </row>
    <row r="1926" spans="1:24" x14ac:dyDescent="0.3">
      <c r="A1926" t="s">
        <v>2757</v>
      </c>
      <c r="B1926" t="s">
        <v>2758</v>
      </c>
      <c r="C1926" t="s">
        <v>63</v>
      </c>
      <c r="D1926" t="s">
        <v>1545</v>
      </c>
      <c r="E1926" t="s">
        <v>587</v>
      </c>
      <c r="F1926">
        <v>5</v>
      </c>
      <c r="G1926">
        <v>58.54</v>
      </c>
      <c r="H1926">
        <v>0.1</v>
      </c>
      <c r="I1926" s="4">
        <v>263.43</v>
      </c>
      <c r="J1926" t="s">
        <v>21</v>
      </c>
      <c r="K1926" t="s">
        <v>17</v>
      </c>
      <c r="L1926" s="4">
        <f>VLOOKUP(tblTransactions[[#This Row],[Product_ID]],tblProducts[],5,FALSE)</f>
        <v>25.43</v>
      </c>
      <c r="M1926" s="4">
        <f>tblTransactions[[#This Row],[Total_Amount]]-(tblTransactions[[#This Row],[Cost_Prices]]*tblTransactions[[#This Row],[Quantity]]*(1-tblTransactions[[#This Row],[Discount]]))</f>
        <v>148.995</v>
      </c>
      <c r="N1926" s="3">
        <f>tblTransactions[[#This Row],[Profit]]/tblTransactions[[#This Row],[Total_Amount]]</f>
        <v>0.56559617355654257</v>
      </c>
      <c r="O1926" t="str">
        <f>TEXT(tblTransactions[[#This Row],[Date]], "MMM-YYYY")</f>
        <v>Feb-2024</v>
      </c>
      <c r="P1926" t="str">
        <f>"Q"&amp;ROUNDUP(MONTH(tblTransactions[[#This Row],[Date]])/3,0)&amp;"-"&amp;YEAR(tblTransactions[[#This Row],[Date]])</f>
        <v>Q1-2024</v>
      </c>
      <c r="Q1926">
        <f>YEAR(tblTransactions[[#This Row],[Date]])</f>
        <v>2024</v>
      </c>
      <c r="R1926" t="str">
        <f>TEXT(tblTransactions[[#This Row],[Date]],"DDDD")</f>
        <v>Saturday</v>
      </c>
      <c r="S1926">
        <f>MONTH(tblTransactions[[#This Row],[Date]])</f>
        <v>2</v>
      </c>
      <c r="T1926" t="str">
        <f>VLOOKUP(E1926, Products!$A:$B,2,0)</f>
        <v>Paper Off-2</v>
      </c>
      <c r="U1926" t="str">
        <f>VLOOKUP(E1926,Products!$A:$C,3,0)</f>
        <v>Office Supplies</v>
      </c>
      <c r="V1926" t="str">
        <f>VLOOKUP(E1926,Products!$A:$D,4,0)</f>
        <v>Paper</v>
      </c>
      <c r="W1926" t="str">
        <f>VLOOKUP(D1926,Customers!$A:$C,3,0)</f>
        <v>Small Business</v>
      </c>
      <c r="X1926" t="str">
        <f>VLOOKUP(C1926,Sales_Representatives!$A:$B,2,0)</f>
        <v>Richard Wilson</v>
      </c>
    </row>
    <row r="1927" spans="1:24" x14ac:dyDescent="0.3">
      <c r="A1927" t="s">
        <v>2759</v>
      </c>
      <c r="B1927" t="s">
        <v>2758</v>
      </c>
      <c r="C1927" t="s">
        <v>56</v>
      </c>
      <c r="D1927" t="s">
        <v>1737</v>
      </c>
      <c r="E1927" t="s">
        <v>102</v>
      </c>
      <c r="F1927">
        <v>9</v>
      </c>
      <c r="G1927">
        <v>1097.75</v>
      </c>
      <c r="H1927">
        <v>0.14000000000000001</v>
      </c>
      <c r="I1927" s="4">
        <v>8496.58</v>
      </c>
      <c r="J1927" t="s">
        <v>34</v>
      </c>
      <c r="K1927" t="s">
        <v>35</v>
      </c>
      <c r="L1927" s="4">
        <f>VLOOKUP(tblTransactions[[#This Row],[Product_ID]],tblProducts[],5,FALSE)</f>
        <v>680.12</v>
      </c>
      <c r="M1927" s="4">
        <f>tblTransactions[[#This Row],[Total_Amount]]-(tblTransactions[[#This Row],[Cost_Prices]]*tblTransactions[[#This Row],[Quantity]]*(1-tblTransactions[[#This Row],[Discount]]))</f>
        <v>3232.4512000000004</v>
      </c>
      <c r="N1927" s="3">
        <f>tblTransactions[[#This Row],[Profit]]/tblTransactions[[#This Row],[Total_Amount]]</f>
        <v>0.3804414482062195</v>
      </c>
      <c r="O1927" t="str">
        <f>TEXT(tblTransactions[[#This Row],[Date]], "MMM-YYYY")</f>
        <v>Feb-2024</v>
      </c>
      <c r="P1927" t="str">
        <f>"Q"&amp;ROUNDUP(MONTH(tblTransactions[[#This Row],[Date]])/3,0)&amp;"-"&amp;YEAR(tblTransactions[[#This Row],[Date]])</f>
        <v>Q1-2024</v>
      </c>
      <c r="Q1927">
        <f>YEAR(tblTransactions[[#This Row],[Date]])</f>
        <v>2024</v>
      </c>
      <c r="R1927" t="str">
        <f>TEXT(tblTransactions[[#This Row],[Date]],"DDDD")</f>
        <v>Saturday</v>
      </c>
      <c r="S1927">
        <f>MONTH(tblTransactions[[#This Row],[Date]])</f>
        <v>2</v>
      </c>
      <c r="T1927" t="str">
        <f>VLOOKUP(E1927, Products!$A:$B,2,0)</f>
        <v>Storage Fur-4</v>
      </c>
      <c r="U1927" t="str">
        <f>VLOOKUP(E1927,Products!$A:$C,3,0)</f>
        <v>Furniture</v>
      </c>
      <c r="V1927" t="str">
        <f>VLOOKUP(E1927,Products!$A:$D,4,0)</f>
        <v>Storage</v>
      </c>
      <c r="W1927" t="str">
        <f>VLOOKUP(D1927,Customers!$A:$C,3,0)</f>
        <v>B2B</v>
      </c>
      <c r="X1927" t="str">
        <f>VLOOKUP(C1927,Sales_Representatives!$A:$B,2,0)</f>
        <v>Thomas Hernandez</v>
      </c>
    </row>
    <row r="1928" spans="1:24" x14ac:dyDescent="0.3">
      <c r="A1928" t="s">
        <v>2760</v>
      </c>
      <c r="B1928" t="s">
        <v>2758</v>
      </c>
      <c r="C1928" t="s">
        <v>141</v>
      </c>
      <c r="D1928" t="s">
        <v>166</v>
      </c>
      <c r="E1928" t="s">
        <v>206</v>
      </c>
      <c r="F1928">
        <v>6</v>
      </c>
      <c r="G1928">
        <v>292.51</v>
      </c>
      <c r="H1928">
        <v>0.06</v>
      </c>
      <c r="I1928" s="4">
        <v>1649.76</v>
      </c>
      <c r="J1928" t="s">
        <v>109</v>
      </c>
      <c r="K1928" t="s">
        <v>48</v>
      </c>
      <c r="L1928" s="4">
        <f>VLOOKUP(tblTransactions[[#This Row],[Product_ID]],tblProducts[],5,FALSE)</f>
        <v>122.08</v>
      </c>
      <c r="M1928" s="4">
        <f>tblTransactions[[#This Row],[Total_Amount]]-(tblTransactions[[#This Row],[Cost_Prices]]*tblTransactions[[#This Row],[Quantity]]*(1-tblTransactions[[#This Row],[Discount]]))</f>
        <v>961.22879999999998</v>
      </c>
      <c r="N1928" s="3">
        <f>tblTransactions[[#This Row],[Profit]]/tblTransactions[[#This Row],[Total_Amount]]</f>
        <v>0.58264765784114048</v>
      </c>
      <c r="O1928" t="str">
        <f>TEXT(tblTransactions[[#This Row],[Date]], "MMM-YYYY")</f>
        <v>Feb-2024</v>
      </c>
      <c r="P1928" t="str">
        <f>"Q"&amp;ROUNDUP(MONTH(tblTransactions[[#This Row],[Date]])/3,0)&amp;"-"&amp;YEAR(tblTransactions[[#This Row],[Date]])</f>
        <v>Q1-2024</v>
      </c>
      <c r="Q1928">
        <f>YEAR(tblTransactions[[#This Row],[Date]])</f>
        <v>2024</v>
      </c>
      <c r="R1928" t="str">
        <f>TEXT(tblTransactions[[#This Row],[Date]],"DDDD")</f>
        <v>Saturday</v>
      </c>
      <c r="S1928">
        <f>MONTH(tblTransactions[[#This Row],[Date]])</f>
        <v>2</v>
      </c>
      <c r="T1928" t="str">
        <f>VLOOKUP(E1928, Products!$A:$B,2,0)</f>
        <v>Keyboards Acc-1</v>
      </c>
      <c r="U1928" t="str">
        <f>VLOOKUP(E1928,Products!$A:$C,3,0)</f>
        <v>Accessories</v>
      </c>
      <c r="V1928" t="str">
        <f>VLOOKUP(E1928,Products!$A:$D,4,0)</f>
        <v>Keyboards</v>
      </c>
      <c r="W1928" t="str">
        <f>VLOOKUP(D1928,Customers!$A:$C,3,0)</f>
        <v>B2C</v>
      </c>
      <c r="X1928" t="str">
        <f>VLOOKUP(C1928,Sales_Representatives!$A:$B,2,0)</f>
        <v>Richard Garcia</v>
      </c>
    </row>
    <row r="1929" spans="1:24" x14ac:dyDescent="0.3">
      <c r="A1929" t="s">
        <v>2761</v>
      </c>
      <c r="B1929" t="s">
        <v>2758</v>
      </c>
      <c r="C1929" t="s">
        <v>41</v>
      </c>
      <c r="D1929" t="s">
        <v>1945</v>
      </c>
      <c r="E1929" t="s">
        <v>87</v>
      </c>
      <c r="F1929">
        <v>13</v>
      </c>
      <c r="G1929">
        <v>1047.8900000000001</v>
      </c>
      <c r="H1929">
        <v>0.12</v>
      </c>
      <c r="I1929" s="4">
        <v>11987.86</v>
      </c>
      <c r="J1929" t="s">
        <v>44</v>
      </c>
      <c r="K1929" t="s">
        <v>35</v>
      </c>
      <c r="L1929" s="4">
        <f>VLOOKUP(tblTransactions[[#This Row],[Product_ID]],tblProducts[],5,FALSE)</f>
        <v>742.63</v>
      </c>
      <c r="M1929" s="4">
        <f>tblTransactions[[#This Row],[Total_Amount]]-(tblTransactions[[#This Row],[Cost_Prices]]*tblTransactions[[#This Row],[Quantity]]*(1-tblTransactions[[#This Row],[Discount]]))</f>
        <v>3492.1728000000003</v>
      </c>
      <c r="N1929" s="3">
        <f>tblTransactions[[#This Row],[Profit]]/tblTransactions[[#This Row],[Total_Amount]]</f>
        <v>0.29130910771397062</v>
      </c>
      <c r="O1929" t="str">
        <f>TEXT(tblTransactions[[#This Row],[Date]], "MMM-YYYY")</f>
        <v>Feb-2024</v>
      </c>
      <c r="P1929" t="str">
        <f>"Q"&amp;ROUNDUP(MONTH(tblTransactions[[#This Row],[Date]])/3,0)&amp;"-"&amp;YEAR(tblTransactions[[#This Row],[Date]])</f>
        <v>Q1-2024</v>
      </c>
      <c r="Q1929">
        <f>YEAR(tblTransactions[[#This Row],[Date]])</f>
        <v>2024</v>
      </c>
      <c r="R1929" t="str">
        <f>TEXT(tblTransactions[[#This Row],[Date]],"DDDD")</f>
        <v>Saturday</v>
      </c>
      <c r="S1929">
        <f>MONTH(tblTransactions[[#This Row],[Date]])</f>
        <v>2</v>
      </c>
      <c r="T1929" t="str">
        <f>VLOOKUP(E1929, Products!$A:$B,2,0)</f>
        <v>Monitors Tec-2</v>
      </c>
      <c r="U1929" t="str">
        <f>VLOOKUP(E1929,Products!$A:$C,3,0)</f>
        <v>Technology</v>
      </c>
      <c r="V1929" t="str">
        <f>VLOOKUP(E1929,Products!$A:$D,4,0)</f>
        <v>Monitors</v>
      </c>
      <c r="W1929" t="str">
        <f>VLOOKUP(D1929,Customers!$A:$C,3,0)</f>
        <v>B2B</v>
      </c>
      <c r="X1929" t="str">
        <f>VLOOKUP(C1929,Sales_Representatives!$A:$B,2,0)</f>
        <v>Robert Jones</v>
      </c>
    </row>
    <row r="1930" spans="1:24" x14ac:dyDescent="0.3">
      <c r="A1930" t="s">
        <v>2762</v>
      </c>
      <c r="B1930" t="s">
        <v>2758</v>
      </c>
      <c r="C1930" t="s">
        <v>127</v>
      </c>
      <c r="D1930" t="s">
        <v>2763</v>
      </c>
      <c r="E1930" t="s">
        <v>105</v>
      </c>
      <c r="F1930">
        <v>4</v>
      </c>
      <c r="G1930">
        <v>1342.04</v>
      </c>
      <c r="H1930">
        <v>0.06</v>
      </c>
      <c r="I1930" s="4">
        <v>5046.07</v>
      </c>
      <c r="J1930" t="s">
        <v>109</v>
      </c>
      <c r="K1930" t="s">
        <v>35</v>
      </c>
      <c r="L1930" s="4">
        <f>VLOOKUP(tblTransactions[[#This Row],[Product_ID]],tblProducts[],5,FALSE)</f>
        <v>792.89</v>
      </c>
      <c r="M1930" s="4">
        <f>tblTransactions[[#This Row],[Total_Amount]]-(tblTransactions[[#This Row],[Cost_Prices]]*tblTransactions[[#This Row],[Quantity]]*(1-tblTransactions[[#This Row],[Discount]]))</f>
        <v>2064.8035999999997</v>
      </c>
      <c r="N1930" s="3">
        <f>tblTransactions[[#This Row],[Profit]]/tblTransactions[[#This Row],[Total_Amount]]</f>
        <v>0.40919043929236015</v>
      </c>
      <c r="O1930" t="str">
        <f>TEXT(tblTransactions[[#This Row],[Date]], "MMM-YYYY")</f>
        <v>Feb-2024</v>
      </c>
      <c r="P1930" t="str">
        <f>"Q"&amp;ROUNDUP(MONTH(tblTransactions[[#This Row],[Date]])/3,0)&amp;"-"&amp;YEAR(tblTransactions[[#This Row],[Date]])</f>
        <v>Q1-2024</v>
      </c>
      <c r="Q1930">
        <f>YEAR(tblTransactions[[#This Row],[Date]])</f>
        <v>2024</v>
      </c>
      <c r="R1930" t="str">
        <f>TEXT(tblTransactions[[#This Row],[Date]],"DDDD")</f>
        <v>Saturday</v>
      </c>
      <c r="S1930">
        <f>MONTH(tblTransactions[[#This Row],[Date]])</f>
        <v>2</v>
      </c>
      <c r="T1930" t="str">
        <f>VLOOKUP(E1930, Products!$A:$B,2,0)</f>
        <v>Cameras Ele-1</v>
      </c>
      <c r="U1930" t="str">
        <f>VLOOKUP(E1930,Products!$A:$C,3,0)</f>
        <v>Electronics</v>
      </c>
      <c r="V1930" t="str">
        <f>VLOOKUP(E1930,Products!$A:$D,4,0)</f>
        <v>Cameras</v>
      </c>
      <c r="W1930" t="str">
        <f>VLOOKUP(D1930,Customers!$A:$C,3,0)</f>
        <v>B2C</v>
      </c>
      <c r="X1930" t="str">
        <f>VLOOKUP(C1930,Sales_Representatives!$A:$B,2,0)</f>
        <v>Emily Hernandez</v>
      </c>
    </row>
    <row r="1931" spans="1:24" x14ac:dyDescent="0.3">
      <c r="A1931" t="s">
        <v>2764</v>
      </c>
      <c r="B1931" t="s">
        <v>2758</v>
      </c>
      <c r="C1931" t="s">
        <v>59</v>
      </c>
      <c r="D1931" t="s">
        <v>1819</v>
      </c>
      <c r="E1931" t="s">
        <v>345</v>
      </c>
      <c r="F1931">
        <v>7</v>
      </c>
      <c r="G1931">
        <v>13.97</v>
      </c>
      <c r="H1931">
        <v>0.11</v>
      </c>
      <c r="I1931" s="4">
        <v>87.03</v>
      </c>
      <c r="J1931" t="s">
        <v>21</v>
      </c>
      <c r="K1931" t="s">
        <v>22</v>
      </c>
      <c r="L1931" s="4">
        <f>VLOOKUP(tblTransactions[[#This Row],[Product_ID]],tblProducts[],5,FALSE)</f>
        <v>8.69</v>
      </c>
      <c r="M1931" s="4">
        <f>tblTransactions[[#This Row],[Total_Amount]]-(tblTransactions[[#This Row],[Cost_Prices]]*tblTransactions[[#This Row],[Quantity]]*(1-tblTransactions[[#This Row],[Discount]]))</f>
        <v>32.891300000000001</v>
      </c>
      <c r="N1931" s="3">
        <f>tblTransactions[[#This Row],[Profit]]/tblTransactions[[#This Row],[Total_Amount]]</f>
        <v>0.37793059864414569</v>
      </c>
      <c r="O1931" t="str">
        <f>TEXT(tblTransactions[[#This Row],[Date]], "MMM-YYYY")</f>
        <v>Feb-2024</v>
      </c>
      <c r="P1931" t="str">
        <f>"Q"&amp;ROUNDUP(MONTH(tblTransactions[[#This Row],[Date]])/3,0)&amp;"-"&amp;YEAR(tblTransactions[[#This Row],[Date]])</f>
        <v>Q1-2024</v>
      </c>
      <c r="Q1931">
        <f>YEAR(tblTransactions[[#This Row],[Date]])</f>
        <v>2024</v>
      </c>
      <c r="R1931" t="str">
        <f>TEXT(tblTransactions[[#This Row],[Date]],"DDDD")</f>
        <v>Saturday</v>
      </c>
      <c r="S1931">
        <f>MONTH(tblTransactions[[#This Row],[Date]])</f>
        <v>2</v>
      </c>
      <c r="T1931" t="str">
        <f>VLOOKUP(E1931, Products!$A:$B,2,0)</f>
        <v>Cases Acc-2</v>
      </c>
      <c r="U1931" t="str">
        <f>VLOOKUP(E1931,Products!$A:$C,3,0)</f>
        <v>Accessories</v>
      </c>
      <c r="V1931" t="str">
        <f>VLOOKUP(E1931,Products!$A:$D,4,0)</f>
        <v>Cases</v>
      </c>
      <c r="W1931" t="str">
        <f>VLOOKUP(D1931,Customers!$A:$C,3,0)</f>
        <v>Small Business</v>
      </c>
      <c r="X1931" t="str">
        <f>VLOOKUP(C1931,Sales_Representatives!$A:$B,2,0)</f>
        <v>Sarah Brown</v>
      </c>
    </row>
    <row r="1932" spans="1:24" x14ac:dyDescent="0.3">
      <c r="A1932" t="s">
        <v>2765</v>
      </c>
      <c r="B1932" t="s">
        <v>2766</v>
      </c>
      <c r="C1932" t="s">
        <v>31</v>
      </c>
      <c r="D1932" t="s">
        <v>2137</v>
      </c>
      <c r="E1932" t="s">
        <v>224</v>
      </c>
      <c r="F1932">
        <v>3</v>
      </c>
      <c r="G1932">
        <v>505.37</v>
      </c>
      <c r="H1932">
        <v>0.04</v>
      </c>
      <c r="I1932" s="4">
        <v>1455.47</v>
      </c>
      <c r="J1932" t="s">
        <v>34</v>
      </c>
      <c r="K1932" t="s">
        <v>39</v>
      </c>
      <c r="L1932" s="4">
        <f>VLOOKUP(tblTransactions[[#This Row],[Product_ID]],tblProducts[],5,FALSE)</f>
        <v>281.14999999999998</v>
      </c>
      <c r="M1932" s="4">
        <f>tblTransactions[[#This Row],[Total_Amount]]-(tblTransactions[[#This Row],[Cost_Prices]]*tblTransactions[[#This Row],[Quantity]]*(1-tblTransactions[[#This Row],[Discount]]))</f>
        <v>645.75800000000015</v>
      </c>
      <c r="N1932" s="3">
        <f>tblTransactions[[#This Row],[Profit]]/tblTransactions[[#This Row],[Total_Amount]]</f>
        <v>0.44367661305282841</v>
      </c>
      <c r="O1932" t="str">
        <f>TEXT(tblTransactions[[#This Row],[Date]], "MMM-YYYY")</f>
        <v>Feb-2024</v>
      </c>
      <c r="P1932" t="str">
        <f>"Q"&amp;ROUNDUP(MONTH(tblTransactions[[#This Row],[Date]])/3,0)&amp;"-"&amp;YEAR(tblTransactions[[#This Row],[Date]])</f>
        <v>Q1-2024</v>
      </c>
      <c r="Q1932">
        <f>YEAR(tblTransactions[[#This Row],[Date]])</f>
        <v>2024</v>
      </c>
      <c r="R1932" t="str">
        <f>TEXT(tblTransactions[[#This Row],[Date]],"DDDD")</f>
        <v>Sunday</v>
      </c>
      <c r="S1932">
        <f>MONTH(tblTransactions[[#This Row],[Date]])</f>
        <v>2</v>
      </c>
      <c r="T1932" t="str">
        <f>VLOOKUP(E1932, Products!$A:$B,2,0)</f>
        <v>Desks Fur-3</v>
      </c>
      <c r="U1932" t="str">
        <f>VLOOKUP(E1932,Products!$A:$C,3,0)</f>
        <v>Furniture</v>
      </c>
      <c r="V1932" t="str">
        <f>VLOOKUP(E1932,Products!$A:$D,4,0)</f>
        <v>Desks</v>
      </c>
      <c r="W1932" t="str">
        <f>VLOOKUP(D1932,Customers!$A:$C,3,0)</f>
        <v>B2C</v>
      </c>
      <c r="X1932" t="str">
        <f>VLOOKUP(C1932,Sales_Representatives!$A:$B,2,0)</f>
        <v>Thomas Martinez</v>
      </c>
    </row>
    <row r="1933" spans="1:24" x14ac:dyDescent="0.3">
      <c r="A1933" t="s">
        <v>2767</v>
      </c>
      <c r="B1933" t="s">
        <v>2766</v>
      </c>
      <c r="C1933" t="s">
        <v>63</v>
      </c>
      <c r="D1933" t="s">
        <v>2686</v>
      </c>
      <c r="E1933" t="s">
        <v>345</v>
      </c>
      <c r="F1933">
        <v>3</v>
      </c>
      <c r="G1933">
        <v>13.97</v>
      </c>
      <c r="H1933">
        <v>0.01</v>
      </c>
      <c r="I1933" s="4">
        <v>41.49</v>
      </c>
      <c r="J1933" t="s">
        <v>21</v>
      </c>
      <c r="K1933" t="s">
        <v>35</v>
      </c>
      <c r="L1933" s="4">
        <f>VLOOKUP(tblTransactions[[#This Row],[Product_ID]],tblProducts[],5,FALSE)</f>
        <v>8.69</v>
      </c>
      <c r="M1933" s="4">
        <f>tblTransactions[[#This Row],[Total_Amount]]-(tblTransactions[[#This Row],[Cost_Prices]]*tblTransactions[[#This Row],[Quantity]]*(1-tblTransactions[[#This Row],[Discount]]))</f>
        <v>15.680700000000002</v>
      </c>
      <c r="N1933" s="3">
        <f>tblTransactions[[#This Row],[Profit]]/tblTransactions[[#This Row],[Total_Amount]]</f>
        <v>0.37793926247288506</v>
      </c>
      <c r="O1933" t="str">
        <f>TEXT(tblTransactions[[#This Row],[Date]], "MMM-YYYY")</f>
        <v>Feb-2024</v>
      </c>
      <c r="P1933" t="str">
        <f>"Q"&amp;ROUNDUP(MONTH(tblTransactions[[#This Row],[Date]])/3,0)&amp;"-"&amp;YEAR(tblTransactions[[#This Row],[Date]])</f>
        <v>Q1-2024</v>
      </c>
      <c r="Q1933">
        <f>YEAR(tblTransactions[[#This Row],[Date]])</f>
        <v>2024</v>
      </c>
      <c r="R1933" t="str">
        <f>TEXT(tblTransactions[[#This Row],[Date]],"DDDD")</f>
        <v>Sunday</v>
      </c>
      <c r="S1933">
        <f>MONTH(tblTransactions[[#This Row],[Date]])</f>
        <v>2</v>
      </c>
      <c r="T1933" t="str">
        <f>VLOOKUP(E1933, Products!$A:$B,2,0)</f>
        <v>Cases Acc-2</v>
      </c>
      <c r="U1933" t="str">
        <f>VLOOKUP(E1933,Products!$A:$C,3,0)</f>
        <v>Accessories</v>
      </c>
      <c r="V1933" t="str">
        <f>VLOOKUP(E1933,Products!$A:$D,4,0)</f>
        <v>Cases</v>
      </c>
      <c r="W1933" t="str">
        <f>VLOOKUP(D1933,Customers!$A:$C,3,0)</f>
        <v>Small Business</v>
      </c>
      <c r="X1933" t="str">
        <f>VLOOKUP(C1933,Sales_Representatives!$A:$B,2,0)</f>
        <v>Richard Wilson</v>
      </c>
    </row>
    <row r="1934" spans="1:24" x14ac:dyDescent="0.3">
      <c r="A1934" t="s">
        <v>2768</v>
      </c>
      <c r="B1934" t="s">
        <v>2766</v>
      </c>
      <c r="C1934" t="s">
        <v>41</v>
      </c>
      <c r="D1934" t="s">
        <v>2769</v>
      </c>
      <c r="E1934" t="s">
        <v>264</v>
      </c>
      <c r="F1934">
        <v>3</v>
      </c>
      <c r="G1934">
        <v>607.29999999999995</v>
      </c>
      <c r="H1934">
        <v>0.04</v>
      </c>
      <c r="I1934" s="4">
        <v>1749.02</v>
      </c>
      <c r="J1934" t="s">
        <v>44</v>
      </c>
      <c r="K1934" t="s">
        <v>39</v>
      </c>
      <c r="L1934" s="4">
        <f>VLOOKUP(tblTransactions[[#This Row],[Product_ID]],tblProducts[],5,FALSE)</f>
        <v>436.37</v>
      </c>
      <c r="M1934" s="4">
        <f>tblTransactions[[#This Row],[Total_Amount]]-(tblTransactions[[#This Row],[Cost_Prices]]*tblTransactions[[#This Row],[Quantity]]*(1-tblTransactions[[#This Row],[Discount]]))</f>
        <v>492.27440000000001</v>
      </c>
      <c r="N1934" s="3">
        <f>tblTransactions[[#This Row],[Profit]]/tblTransactions[[#This Row],[Total_Amount]]</f>
        <v>0.28145727321585806</v>
      </c>
      <c r="O1934" t="str">
        <f>TEXT(tblTransactions[[#This Row],[Date]], "MMM-YYYY")</f>
        <v>Feb-2024</v>
      </c>
      <c r="P1934" t="str">
        <f>"Q"&amp;ROUNDUP(MONTH(tblTransactions[[#This Row],[Date]])/3,0)&amp;"-"&amp;YEAR(tblTransactions[[#This Row],[Date]])</f>
        <v>Q1-2024</v>
      </c>
      <c r="Q1934">
        <f>YEAR(tblTransactions[[#This Row],[Date]])</f>
        <v>2024</v>
      </c>
      <c r="R1934" t="str">
        <f>TEXT(tblTransactions[[#This Row],[Date]],"DDDD")</f>
        <v>Sunday</v>
      </c>
      <c r="S1934">
        <f>MONTH(tblTransactions[[#This Row],[Date]])</f>
        <v>2</v>
      </c>
      <c r="T1934" t="str">
        <f>VLOOKUP(E1934, Products!$A:$B,2,0)</f>
        <v>Tablets Ele-4</v>
      </c>
      <c r="U1934" t="str">
        <f>VLOOKUP(E1934,Products!$A:$C,3,0)</f>
        <v>Electronics</v>
      </c>
      <c r="V1934" t="str">
        <f>VLOOKUP(E1934,Products!$A:$D,4,0)</f>
        <v>Tablets</v>
      </c>
      <c r="W1934" t="str">
        <f>VLOOKUP(D1934,Customers!$A:$C,3,0)</f>
        <v>Small Business</v>
      </c>
      <c r="X1934" t="str">
        <f>VLOOKUP(C1934,Sales_Representatives!$A:$B,2,0)</f>
        <v>Robert Jones</v>
      </c>
    </row>
    <row r="1935" spans="1:24" x14ac:dyDescent="0.3">
      <c r="A1935" t="s">
        <v>2770</v>
      </c>
      <c r="B1935" t="s">
        <v>2766</v>
      </c>
      <c r="C1935" t="s">
        <v>82</v>
      </c>
      <c r="D1935" t="s">
        <v>1824</v>
      </c>
      <c r="E1935" t="s">
        <v>20</v>
      </c>
      <c r="F1935">
        <v>7</v>
      </c>
      <c r="G1935">
        <v>1219.49</v>
      </c>
      <c r="H1935">
        <v>0.08</v>
      </c>
      <c r="I1935" s="4">
        <v>7853.52</v>
      </c>
      <c r="J1935" t="s">
        <v>34</v>
      </c>
      <c r="K1935" t="s">
        <v>48</v>
      </c>
      <c r="L1935" s="4">
        <f>VLOOKUP(tblTransactions[[#This Row],[Product_ID]],tblProducts[],5,FALSE)</f>
        <v>686.9</v>
      </c>
      <c r="M1935" s="4">
        <f>tblTransactions[[#This Row],[Total_Amount]]-(tblTransactions[[#This Row],[Cost_Prices]]*tblTransactions[[#This Row],[Quantity]]*(1-tblTransactions[[#This Row],[Discount]]))</f>
        <v>3429.884</v>
      </c>
      <c r="N1935" s="3">
        <f>tblTransactions[[#This Row],[Profit]]/tblTransactions[[#This Row],[Total_Amount]]</f>
        <v>0.43673206409355292</v>
      </c>
      <c r="O1935" t="str">
        <f>TEXT(tblTransactions[[#This Row],[Date]], "MMM-YYYY")</f>
        <v>Feb-2024</v>
      </c>
      <c r="P1935" t="str">
        <f>"Q"&amp;ROUNDUP(MONTH(tblTransactions[[#This Row],[Date]])/3,0)&amp;"-"&amp;YEAR(tblTransactions[[#This Row],[Date]])</f>
        <v>Q1-2024</v>
      </c>
      <c r="Q1935">
        <f>YEAR(tblTransactions[[#This Row],[Date]])</f>
        <v>2024</v>
      </c>
      <c r="R1935" t="str">
        <f>TEXT(tblTransactions[[#This Row],[Date]],"DDDD")</f>
        <v>Sunday</v>
      </c>
      <c r="S1935">
        <f>MONTH(tblTransactions[[#This Row],[Date]])</f>
        <v>2</v>
      </c>
      <c r="T1935" t="str">
        <f>VLOOKUP(E1935, Products!$A:$B,2,0)</f>
        <v>Laptops Ele-1</v>
      </c>
      <c r="U1935" t="str">
        <f>VLOOKUP(E1935,Products!$A:$C,3,0)</f>
        <v>Electronics</v>
      </c>
      <c r="V1935" t="str">
        <f>VLOOKUP(E1935,Products!$A:$D,4,0)</f>
        <v>Laptops</v>
      </c>
      <c r="W1935" t="str">
        <f>VLOOKUP(D1935,Customers!$A:$C,3,0)</f>
        <v>B2C</v>
      </c>
      <c r="X1935" t="str">
        <f>VLOOKUP(C1935,Sales_Representatives!$A:$B,2,0)</f>
        <v>John Brown</v>
      </c>
    </row>
    <row r="1936" spans="1:24" x14ac:dyDescent="0.3">
      <c r="A1936" t="s">
        <v>2771</v>
      </c>
      <c r="B1936" t="s">
        <v>2766</v>
      </c>
      <c r="C1936" t="s">
        <v>56</v>
      </c>
      <c r="D1936" t="s">
        <v>2059</v>
      </c>
      <c r="E1936" t="s">
        <v>198</v>
      </c>
      <c r="F1936">
        <v>5</v>
      </c>
      <c r="G1936">
        <v>1802.96</v>
      </c>
      <c r="H1936">
        <v>0.09</v>
      </c>
      <c r="I1936" s="4">
        <v>8203.4699999999993</v>
      </c>
      <c r="J1936" t="s">
        <v>34</v>
      </c>
      <c r="K1936" t="s">
        <v>17</v>
      </c>
      <c r="L1936" s="4">
        <f>VLOOKUP(tblTransactions[[#This Row],[Product_ID]],tblProducts[],5,FALSE)</f>
        <v>1282.18</v>
      </c>
      <c r="M1936" s="4">
        <f>tblTransactions[[#This Row],[Total_Amount]]-(tblTransactions[[#This Row],[Cost_Prices]]*tblTransactions[[#This Row],[Quantity]]*(1-tblTransactions[[#This Row],[Discount]]))</f>
        <v>2369.5509999999986</v>
      </c>
      <c r="N1936" s="3">
        <f>tblTransactions[[#This Row],[Profit]]/tblTransactions[[#This Row],[Total_Amount]]</f>
        <v>0.2888474023797245</v>
      </c>
      <c r="O1936" t="str">
        <f>TEXT(tblTransactions[[#This Row],[Date]], "MMM-YYYY")</f>
        <v>Feb-2024</v>
      </c>
      <c r="P1936" t="str">
        <f>"Q"&amp;ROUNDUP(MONTH(tblTransactions[[#This Row],[Date]])/3,0)&amp;"-"&amp;YEAR(tblTransactions[[#This Row],[Date]])</f>
        <v>Q1-2024</v>
      </c>
      <c r="Q1936">
        <f>YEAR(tblTransactions[[#This Row],[Date]])</f>
        <v>2024</v>
      </c>
      <c r="R1936" t="str">
        <f>TEXT(tblTransactions[[#This Row],[Date]],"DDDD")</f>
        <v>Sunday</v>
      </c>
      <c r="S1936">
        <f>MONTH(tblTransactions[[#This Row],[Date]])</f>
        <v>2</v>
      </c>
      <c r="T1936" t="str">
        <f>VLOOKUP(E1936, Products!$A:$B,2,0)</f>
        <v>Tablets Ele-3</v>
      </c>
      <c r="U1936" t="str">
        <f>VLOOKUP(E1936,Products!$A:$C,3,0)</f>
        <v>Electronics</v>
      </c>
      <c r="V1936" t="str">
        <f>VLOOKUP(E1936,Products!$A:$D,4,0)</f>
        <v>Tablets</v>
      </c>
      <c r="W1936" t="str">
        <f>VLOOKUP(D1936,Customers!$A:$C,3,0)</f>
        <v>B2C</v>
      </c>
      <c r="X1936" t="str">
        <f>VLOOKUP(C1936,Sales_Representatives!$A:$B,2,0)</f>
        <v>Thomas Hernandez</v>
      </c>
    </row>
    <row r="1937" spans="1:24" x14ac:dyDescent="0.3">
      <c r="A1937" t="s">
        <v>2772</v>
      </c>
      <c r="B1937" t="s">
        <v>2766</v>
      </c>
      <c r="C1937" t="s">
        <v>70</v>
      </c>
      <c r="D1937" t="s">
        <v>1957</v>
      </c>
      <c r="E1937" t="s">
        <v>339</v>
      </c>
      <c r="F1937">
        <v>15</v>
      </c>
      <c r="G1937">
        <v>1100.8800000000001</v>
      </c>
      <c r="H1937">
        <v>0.16</v>
      </c>
      <c r="I1937" s="4">
        <v>13871.09</v>
      </c>
      <c r="J1937" t="s">
        <v>16</v>
      </c>
      <c r="K1937" t="s">
        <v>39</v>
      </c>
      <c r="L1937" s="4">
        <f>VLOOKUP(tblTransactions[[#This Row],[Product_ID]],tblProducts[],5,FALSE)</f>
        <v>761.53</v>
      </c>
      <c r="M1937" s="4">
        <f>tblTransactions[[#This Row],[Total_Amount]]-(tblTransactions[[#This Row],[Cost_Prices]]*tblTransactions[[#This Row],[Quantity]]*(1-tblTransactions[[#This Row],[Discount]]))</f>
        <v>4275.8120000000017</v>
      </c>
      <c r="N1937" s="3">
        <f>tblTransactions[[#This Row],[Profit]]/tblTransactions[[#This Row],[Total_Amount]]</f>
        <v>0.30825349702150312</v>
      </c>
      <c r="O1937" t="str">
        <f>TEXT(tblTransactions[[#This Row],[Date]], "MMM-YYYY")</f>
        <v>Feb-2024</v>
      </c>
      <c r="P1937" t="str">
        <f>"Q"&amp;ROUNDUP(MONTH(tblTransactions[[#This Row],[Date]])/3,0)&amp;"-"&amp;YEAR(tblTransactions[[#This Row],[Date]])</f>
        <v>Q1-2024</v>
      </c>
      <c r="Q1937">
        <f>YEAR(tblTransactions[[#This Row],[Date]])</f>
        <v>2024</v>
      </c>
      <c r="R1937" t="str">
        <f>TEXT(tblTransactions[[#This Row],[Date]],"DDDD")</f>
        <v>Sunday</v>
      </c>
      <c r="S1937">
        <f>MONTH(tblTransactions[[#This Row],[Date]])</f>
        <v>2</v>
      </c>
      <c r="T1937" t="str">
        <f>VLOOKUP(E1937, Products!$A:$B,2,0)</f>
        <v>Phones Ele-2</v>
      </c>
      <c r="U1937" t="str">
        <f>VLOOKUP(E1937,Products!$A:$C,3,0)</f>
        <v>Electronics</v>
      </c>
      <c r="V1937" t="str">
        <f>VLOOKUP(E1937,Products!$A:$D,4,0)</f>
        <v>Phones</v>
      </c>
      <c r="W1937" t="str">
        <f>VLOOKUP(D1937,Customers!$A:$C,3,0)</f>
        <v>B2B</v>
      </c>
      <c r="X1937" t="str">
        <f>VLOOKUP(C1937,Sales_Representatives!$A:$B,2,0)</f>
        <v>Linda Smith</v>
      </c>
    </row>
    <row r="1938" spans="1:24" x14ac:dyDescent="0.3">
      <c r="A1938" t="s">
        <v>2773</v>
      </c>
      <c r="B1938" t="s">
        <v>2766</v>
      </c>
      <c r="C1938" t="s">
        <v>131</v>
      </c>
      <c r="D1938" t="s">
        <v>2594</v>
      </c>
      <c r="E1938" t="s">
        <v>68</v>
      </c>
      <c r="F1938">
        <v>12</v>
      </c>
      <c r="G1938">
        <v>522.63</v>
      </c>
      <c r="H1938">
        <v>0.13</v>
      </c>
      <c r="I1938" s="4">
        <v>5456.26</v>
      </c>
      <c r="J1938" t="s">
        <v>44</v>
      </c>
      <c r="K1938" t="s">
        <v>17</v>
      </c>
      <c r="L1938" s="4">
        <f>VLOOKUP(tblTransactions[[#This Row],[Product_ID]],tblProducts[],5,FALSE)</f>
        <v>355.82</v>
      </c>
      <c r="M1938" s="4">
        <f>tblTransactions[[#This Row],[Total_Amount]]-(tblTransactions[[#This Row],[Cost_Prices]]*tblTransactions[[#This Row],[Quantity]]*(1-tblTransactions[[#This Row],[Discount]]))</f>
        <v>1741.4992000000002</v>
      </c>
      <c r="N1938" s="3">
        <f>tblTransactions[[#This Row],[Profit]]/tblTransactions[[#This Row],[Total_Amount]]</f>
        <v>0.31917452614061648</v>
      </c>
      <c r="O1938" t="str">
        <f>TEXT(tblTransactions[[#This Row],[Date]], "MMM-YYYY")</f>
        <v>Feb-2024</v>
      </c>
      <c r="P1938" t="str">
        <f>"Q"&amp;ROUNDUP(MONTH(tblTransactions[[#This Row],[Date]])/3,0)&amp;"-"&amp;YEAR(tblTransactions[[#This Row],[Date]])</f>
        <v>Q1-2024</v>
      </c>
      <c r="Q1938">
        <f>YEAR(tblTransactions[[#This Row],[Date]])</f>
        <v>2024</v>
      </c>
      <c r="R1938" t="str">
        <f>TEXT(tblTransactions[[#This Row],[Date]],"DDDD")</f>
        <v>Sunday</v>
      </c>
      <c r="S1938">
        <f>MONTH(tblTransactions[[#This Row],[Date]])</f>
        <v>2</v>
      </c>
      <c r="T1938" t="str">
        <f>VLOOKUP(E1938, Products!$A:$B,2,0)</f>
        <v>Monitors Tec-3</v>
      </c>
      <c r="U1938" t="str">
        <f>VLOOKUP(E1938,Products!$A:$C,3,0)</f>
        <v>Technology</v>
      </c>
      <c r="V1938" t="str">
        <f>VLOOKUP(E1938,Products!$A:$D,4,0)</f>
        <v>Monitors</v>
      </c>
      <c r="W1938" t="str">
        <f>VLOOKUP(D1938,Customers!$A:$C,3,0)</f>
        <v>B2B</v>
      </c>
      <c r="X1938" t="str">
        <f>VLOOKUP(C1938,Sales_Representatives!$A:$B,2,0)</f>
        <v>Michael Davis</v>
      </c>
    </row>
    <row r="1939" spans="1:24" x14ac:dyDescent="0.3">
      <c r="A1939" t="s">
        <v>2774</v>
      </c>
      <c r="B1939" t="s">
        <v>2775</v>
      </c>
      <c r="C1939" t="s">
        <v>13</v>
      </c>
      <c r="D1939" t="s">
        <v>1441</v>
      </c>
      <c r="E1939" t="s">
        <v>25</v>
      </c>
      <c r="F1939">
        <v>5</v>
      </c>
      <c r="G1939">
        <v>1467.49</v>
      </c>
      <c r="H1939">
        <v>7.0000000000000007E-2</v>
      </c>
      <c r="I1939" s="4">
        <v>6823.83</v>
      </c>
      <c r="J1939" t="s">
        <v>16</v>
      </c>
      <c r="K1939" t="s">
        <v>17</v>
      </c>
      <c r="L1939" s="4">
        <f>VLOOKUP(tblTransactions[[#This Row],[Product_ID]],tblProducts[],5,FALSE)</f>
        <v>757.65</v>
      </c>
      <c r="M1939" s="4">
        <f>tblTransactions[[#This Row],[Total_Amount]]-(tblTransactions[[#This Row],[Cost_Prices]]*tblTransactions[[#This Row],[Quantity]]*(1-tblTransactions[[#This Row],[Discount]]))</f>
        <v>3300.7575000000002</v>
      </c>
      <c r="N1939" s="3">
        <f>tblTransactions[[#This Row],[Profit]]/tblTransactions[[#This Row],[Total_Amount]]</f>
        <v>0.48371039430935414</v>
      </c>
      <c r="O1939" t="str">
        <f>TEXT(tblTransactions[[#This Row],[Date]], "MMM-YYYY")</f>
        <v>Feb-2024</v>
      </c>
      <c r="P1939" t="str">
        <f>"Q"&amp;ROUNDUP(MONTH(tblTransactions[[#This Row],[Date]])/3,0)&amp;"-"&amp;YEAR(tblTransactions[[#This Row],[Date]])</f>
        <v>Q1-2024</v>
      </c>
      <c r="Q1939">
        <f>YEAR(tblTransactions[[#This Row],[Date]])</f>
        <v>2024</v>
      </c>
      <c r="R1939" t="str">
        <f>TEXT(tblTransactions[[#This Row],[Date]],"DDDD")</f>
        <v>Monday</v>
      </c>
      <c r="S1939">
        <f>MONTH(tblTransactions[[#This Row],[Date]])</f>
        <v>2</v>
      </c>
      <c r="T1939" t="str">
        <f>VLOOKUP(E1939, Products!$A:$B,2,0)</f>
        <v>Tables Fur-3</v>
      </c>
      <c r="U1939" t="str">
        <f>VLOOKUP(E1939,Products!$A:$C,3,0)</f>
        <v>Furniture</v>
      </c>
      <c r="V1939" t="str">
        <f>VLOOKUP(E1939,Products!$A:$D,4,0)</f>
        <v>Tables</v>
      </c>
      <c r="W1939" t="str">
        <f>VLOOKUP(D1939,Customers!$A:$C,3,0)</f>
        <v>Small Business</v>
      </c>
      <c r="X1939" t="str">
        <f>VLOOKUP(C1939,Sales_Representatives!$A:$B,2,0)</f>
        <v>Jennifer Rodriguez</v>
      </c>
    </row>
    <row r="1940" spans="1:24" x14ac:dyDescent="0.3">
      <c r="A1940" t="s">
        <v>2776</v>
      </c>
      <c r="B1940" t="s">
        <v>2775</v>
      </c>
      <c r="C1940" t="s">
        <v>107</v>
      </c>
      <c r="D1940" t="s">
        <v>1973</v>
      </c>
      <c r="E1940" t="s">
        <v>200</v>
      </c>
      <c r="F1940">
        <v>8</v>
      </c>
      <c r="G1940">
        <v>544.77</v>
      </c>
      <c r="H1940">
        <v>0.11</v>
      </c>
      <c r="I1940" s="4">
        <v>3878.76</v>
      </c>
      <c r="J1940" t="s">
        <v>109</v>
      </c>
      <c r="K1940" t="s">
        <v>39</v>
      </c>
      <c r="L1940" s="4">
        <f>VLOOKUP(tblTransactions[[#This Row],[Product_ID]],tblProducts[],5,FALSE)</f>
        <v>318.2</v>
      </c>
      <c r="M1940" s="4">
        <f>tblTransactions[[#This Row],[Total_Amount]]-(tblTransactions[[#This Row],[Cost_Prices]]*tblTransactions[[#This Row],[Quantity]]*(1-tblTransactions[[#This Row],[Discount]]))</f>
        <v>1613.1760000000004</v>
      </c>
      <c r="N1940" s="3">
        <f>tblTransactions[[#This Row],[Profit]]/tblTransactions[[#This Row],[Total_Amount]]</f>
        <v>0.41589992678072379</v>
      </c>
      <c r="O1940" t="str">
        <f>TEXT(tblTransactions[[#This Row],[Date]], "MMM-YYYY")</f>
        <v>Feb-2024</v>
      </c>
      <c r="P1940" t="str">
        <f>"Q"&amp;ROUNDUP(MONTH(tblTransactions[[#This Row],[Date]])/3,0)&amp;"-"&amp;YEAR(tblTransactions[[#This Row],[Date]])</f>
        <v>Q1-2024</v>
      </c>
      <c r="Q1940">
        <f>YEAR(tblTransactions[[#This Row],[Date]])</f>
        <v>2024</v>
      </c>
      <c r="R1940" t="str">
        <f>TEXT(tblTransactions[[#This Row],[Date]],"DDDD")</f>
        <v>Monday</v>
      </c>
      <c r="S1940">
        <f>MONTH(tblTransactions[[#This Row],[Date]])</f>
        <v>2</v>
      </c>
      <c r="T1940" t="str">
        <f>VLOOKUP(E1940, Products!$A:$B,2,0)</f>
        <v>Desks Fur-4</v>
      </c>
      <c r="U1940" t="str">
        <f>VLOOKUP(E1940,Products!$A:$C,3,0)</f>
        <v>Furniture</v>
      </c>
      <c r="V1940" t="str">
        <f>VLOOKUP(E1940,Products!$A:$D,4,0)</f>
        <v>Desks</v>
      </c>
      <c r="W1940" t="str">
        <f>VLOOKUP(D1940,Customers!$A:$C,3,0)</f>
        <v>B2B</v>
      </c>
      <c r="X1940" t="str">
        <f>VLOOKUP(C1940,Sales_Representatives!$A:$B,2,0)</f>
        <v>Jennifer Brown</v>
      </c>
    </row>
    <row r="1941" spans="1:24" x14ac:dyDescent="0.3">
      <c r="A1941" t="s">
        <v>2777</v>
      </c>
      <c r="B1941" t="s">
        <v>2775</v>
      </c>
      <c r="C1941" t="s">
        <v>82</v>
      </c>
      <c r="D1941" t="s">
        <v>2778</v>
      </c>
      <c r="E1941" t="s">
        <v>99</v>
      </c>
      <c r="F1941">
        <v>18</v>
      </c>
      <c r="G1941">
        <v>325.14</v>
      </c>
      <c r="H1941">
        <v>0.18</v>
      </c>
      <c r="I1941" s="4">
        <v>4799.07</v>
      </c>
      <c r="J1941" t="s">
        <v>34</v>
      </c>
      <c r="K1941" t="s">
        <v>39</v>
      </c>
      <c r="L1941" s="4">
        <f>VLOOKUP(tblTransactions[[#This Row],[Product_ID]],tblProducts[],5,FALSE)</f>
        <v>209.04</v>
      </c>
      <c r="M1941" s="4">
        <f>tblTransactions[[#This Row],[Total_Amount]]-(tblTransactions[[#This Row],[Cost_Prices]]*tblTransactions[[#This Row],[Quantity]]*(1-tblTransactions[[#This Row],[Discount]]))</f>
        <v>1713.6395999999995</v>
      </c>
      <c r="N1941" s="3">
        <f>tblTransactions[[#This Row],[Profit]]/tblTransactions[[#This Row],[Total_Amount]]</f>
        <v>0.3570774337527895</v>
      </c>
      <c r="O1941" t="str">
        <f>TEXT(tblTransactions[[#This Row],[Date]], "MMM-YYYY")</f>
        <v>Feb-2024</v>
      </c>
      <c r="P1941" t="str">
        <f>"Q"&amp;ROUNDUP(MONTH(tblTransactions[[#This Row],[Date]])/3,0)&amp;"-"&amp;YEAR(tblTransactions[[#This Row],[Date]])</f>
        <v>Q1-2024</v>
      </c>
      <c r="Q1941">
        <f>YEAR(tblTransactions[[#This Row],[Date]])</f>
        <v>2024</v>
      </c>
      <c r="R1941" t="str">
        <f>TEXT(tblTransactions[[#This Row],[Date]],"DDDD")</f>
        <v>Monday</v>
      </c>
      <c r="S1941">
        <f>MONTH(tblTransactions[[#This Row],[Date]])</f>
        <v>2</v>
      </c>
      <c r="T1941" t="str">
        <f>VLOOKUP(E1941, Products!$A:$B,2,0)</f>
        <v>Monitors Tec-1</v>
      </c>
      <c r="U1941" t="str">
        <f>VLOOKUP(E1941,Products!$A:$C,3,0)</f>
        <v>Technology</v>
      </c>
      <c r="V1941" t="str">
        <f>VLOOKUP(E1941,Products!$A:$D,4,0)</f>
        <v>Monitors</v>
      </c>
      <c r="W1941" t="str">
        <f>VLOOKUP(D1941,Customers!$A:$C,3,0)</f>
        <v>B2B</v>
      </c>
      <c r="X1941" t="str">
        <f>VLOOKUP(C1941,Sales_Representatives!$A:$B,2,0)</f>
        <v>John Brown</v>
      </c>
    </row>
    <row r="1942" spans="1:24" x14ac:dyDescent="0.3">
      <c r="A1942" t="s">
        <v>2779</v>
      </c>
      <c r="B1942" t="s">
        <v>2775</v>
      </c>
      <c r="C1942" t="s">
        <v>82</v>
      </c>
      <c r="D1942" t="s">
        <v>1936</v>
      </c>
      <c r="E1942" t="s">
        <v>152</v>
      </c>
      <c r="F1942">
        <v>21</v>
      </c>
      <c r="G1942">
        <v>859.93</v>
      </c>
      <c r="H1942">
        <v>0.22</v>
      </c>
      <c r="I1942" s="4">
        <v>14085.65</v>
      </c>
      <c r="J1942" t="s">
        <v>34</v>
      </c>
      <c r="K1942" t="s">
        <v>48</v>
      </c>
      <c r="L1942" s="4">
        <f>VLOOKUP(tblTransactions[[#This Row],[Product_ID]],tblProducts[],5,FALSE)</f>
        <v>579.79</v>
      </c>
      <c r="M1942" s="4">
        <f>tblTransactions[[#This Row],[Total_Amount]]-(tblTransactions[[#This Row],[Cost_Prices]]*tblTransactions[[#This Row],[Quantity]]*(1-tblTransactions[[#This Row],[Discount]]))</f>
        <v>4588.6898000000001</v>
      </c>
      <c r="N1942" s="3">
        <f>tblTransactions[[#This Row],[Profit]]/tblTransactions[[#This Row],[Total_Amount]]</f>
        <v>0.32577053952071788</v>
      </c>
      <c r="O1942" t="str">
        <f>TEXT(tblTransactions[[#This Row],[Date]], "MMM-YYYY")</f>
        <v>Feb-2024</v>
      </c>
      <c r="P1942" t="str">
        <f>"Q"&amp;ROUNDUP(MONTH(tblTransactions[[#This Row],[Date]])/3,0)&amp;"-"&amp;YEAR(tblTransactions[[#This Row],[Date]])</f>
        <v>Q1-2024</v>
      </c>
      <c r="Q1942">
        <f>YEAR(tblTransactions[[#This Row],[Date]])</f>
        <v>2024</v>
      </c>
      <c r="R1942" t="str">
        <f>TEXT(tblTransactions[[#This Row],[Date]],"DDDD")</f>
        <v>Monday</v>
      </c>
      <c r="S1942">
        <f>MONTH(tblTransactions[[#This Row],[Date]])</f>
        <v>2</v>
      </c>
      <c r="T1942" t="str">
        <f>VLOOKUP(E1942, Products!$A:$B,2,0)</f>
        <v>Phones Ele-4</v>
      </c>
      <c r="U1942" t="str">
        <f>VLOOKUP(E1942,Products!$A:$C,3,0)</f>
        <v>Electronics</v>
      </c>
      <c r="V1942" t="str">
        <f>VLOOKUP(E1942,Products!$A:$D,4,0)</f>
        <v>Phones</v>
      </c>
      <c r="W1942" t="str">
        <f>VLOOKUP(D1942,Customers!$A:$C,3,0)</f>
        <v>Enterprise</v>
      </c>
      <c r="X1942" t="str">
        <f>VLOOKUP(C1942,Sales_Representatives!$A:$B,2,0)</f>
        <v>John Brown</v>
      </c>
    </row>
    <row r="1943" spans="1:24" x14ac:dyDescent="0.3">
      <c r="A1943" t="s">
        <v>2780</v>
      </c>
      <c r="B1943" t="s">
        <v>2781</v>
      </c>
      <c r="C1943" t="s">
        <v>131</v>
      </c>
      <c r="D1943" t="s">
        <v>1840</v>
      </c>
      <c r="E1943" t="s">
        <v>347</v>
      </c>
      <c r="F1943">
        <v>4</v>
      </c>
      <c r="G1943">
        <v>1539.6</v>
      </c>
      <c r="H1943">
        <v>0.02</v>
      </c>
      <c r="I1943" s="4">
        <v>6035.23</v>
      </c>
      <c r="J1943" t="s">
        <v>44</v>
      </c>
      <c r="K1943" t="s">
        <v>22</v>
      </c>
      <c r="L1943" s="4">
        <f>VLOOKUP(tblTransactions[[#This Row],[Product_ID]],tblProducts[],5,FALSE)</f>
        <v>992.43</v>
      </c>
      <c r="M1943" s="4">
        <f>tblTransactions[[#This Row],[Total_Amount]]-(tblTransactions[[#This Row],[Cost_Prices]]*tblTransactions[[#This Row],[Quantity]]*(1-tblTransactions[[#This Row],[Discount]]))</f>
        <v>2144.9043999999999</v>
      </c>
      <c r="N1943" s="3">
        <f>tblTransactions[[#This Row],[Profit]]/tblTransactions[[#This Row],[Total_Amount]]</f>
        <v>0.35539729223244187</v>
      </c>
      <c r="O1943" t="str">
        <f>TEXT(tblTransactions[[#This Row],[Date]], "MMM-YYYY")</f>
        <v>Feb-2024</v>
      </c>
      <c r="P1943" t="str">
        <f>"Q"&amp;ROUNDUP(MONTH(tblTransactions[[#This Row],[Date]])/3,0)&amp;"-"&amp;YEAR(tblTransactions[[#This Row],[Date]])</f>
        <v>Q1-2024</v>
      </c>
      <c r="Q1943">
        <f>YEAR(tblTransactions[[#This Row],[Date]])</f>
        <v>2024</v>
      </c>
      <c r="R1943" t="str">
        <f>TEXT(tblTransactions[[#This Row],[Date]],"DDDD")</f>
        <v>Tuesday</v>
      </c>
      <c r="S1943">
        <f>MONTH(tblTransactions[[#This Row],[Date]])</f>
        <v>2</v>
      </c>
      <c r="T1943" t="str">
        <f>VLOOKUP(E1943, Products!$A:$B,2,0)</f>
        <v>Routers Tec-2</v>
      </c>
      <c r="U1943" t="str">
        <f>VLOOKUP(E1943,Products!$A:$C,3,0)</f>
        <v>Technology</v>
      </c>
      <c r="V1943" t="str">
        <f>VLOOKUP(E1943,Products!$A:$D,4,0)</f>
        <v>Routers</v>
      </c>
      <c r="W1943" t="str">
        <f>VLOOKUP(D1943,Customers!$A:$C,3,0)</f>
        <v>Small Business</v>
      </c>
      <c r="X1943" t="str">
        <f>VLOOKUP(C1943,Sales_Representatives!$A:$B,2,0)</f>
        <v>Michael Davis</v>
      </c>
    </row>
    <row r="1944" spans="1:24" x14ac:dyDescent="0.3">
      <c r="A1944" t="s">
        <v>2782</v>
      </c>
      <c r="B1944" t="s">
        <v>2781</v>
      </c>
      <c r="C1944" t="s">
        <v>127</v>
      </c>
      <c r="D1944" t="s">
        <v>1883</v>
      </c>
      <c r="E1944" t="s">
        <v>299</v>
      </c>
      <c r="F1944">
        <v>6</v>
      </c>
      <c r="G1944">
        <v>963.44</v>
      </c>
      <c r="H1944">
        <v>7.0000000000000007E-2</v>
      </c>
      <c r="I1944" s="4">
        <v>5376</v>
      </c>
      <c r="J1944" t="s">
        <v>109</v>
      </c>
      <c r="K1944" t="s">
        <v>48</v>
      </c>
      <c r="L1944" s="4">
        <f>VLOOKUP(tblTransactions[[#This Row],[Product_ID]],tblProducts[],5,FALSE)</f>
        <v>578.96</v>
      </c>
      <c r="M1944" s="4">
        <f>tblTransactions[[#This Row],[Total_Amount]]-(tblTransactions[[#This Row],[Cost_Prices]]*tblTransactions[[#This Row],[Quantity]]*(1-tblTransactions[[#This Row],[Discount]]))</f>
        <v>2145.4032000000002</v>
      </c>
      <c r="N1944" s="3">
        <f>tblTransactions[[#This Row],[Profit]]/tblTransactions[[#This Row],[Total_Amount]]</f>
        <v>0.39907053571428575</v>
      </c>
      <c r="O1944" t="str">
        <f>TEXT(tblTransactions[[#This Row],[Date]], "MMM-YYYY")</f>
        <v>Feb-2024</v>
      </c>
      <c r="P1944" t="str">
        <f>"Q"&amp;ROUNDUP(MONTH(tblTransactions[[#This Row],[Date]])/3,0)&amp;"-"&amp;YEAR(tblTransactions[[#This Row],[Date]])</f>
        <v>Q1-2024</v>
      </c>
      <c r="Q1944">
        <f>YEAR(tblTransactions[[#This Row],[Date]])</f>
        <v>2024</v>
      </c>
      <c r="R1944" t="str">
        <f>TEXT(tblTransactions[[#This Row],[Date]],"DDDD")</f>
        <v>Tuesday</v>
      </c>
      <c r="S1944">
        <f>MONTH(tblTransactions[[#This Row],[Date]])</f>
        <v>2</v>
      </c>
      <c r="T1944" t="str">
        <f>VLOOKUP(E1944, Products!$A:$B,2,0)</f>
        <v>Chairs Fur-4</v>
      </c>
      <c r="U1944" t="str">
        <f>VLOOKUP(E1944,Products!$A:$C,3,0)</f>
        <v>Furniture</v>
      </c>
      <c r="V1944" t="str">
        <f>VLOOKUP(E1944,Products!$A:$D,4,0)</f>
        <v>Chairs</v>
      </c>
      <c r="W1944" t="str">
        <f>VLOOKUP(D1944,Customers!$A:$C,3,0)</f>
        <v>B2C</v>
      </c>
      <c r="X1944" t="str">
        <f>VLOOKUP(C1944,Sales_Representatives!$A:$B,2,0)</f>
        <v>Emily Hernandez</v>
      </c>
    </row>
    <row r="1945" spans="1:24" x14ac:dyDescent="0.3">
      <c r="A1945" t="s">
        <v>2783</v>
      </c>
      <c r="B1945" t="s">
        <v>2784</v>
      </c>
      <c r="C1945" t="s">
        <v>131</v>
      </c>
      <c r="D1945" t="s">
        <v>1934</v>
      </c>
      <c r="E1945" t="s">
        <v>125</v>
      </c>
      <c r="F1945">
        <v>7</v>
      </c>
      <c r="G1945">
        <v>1201.4000000000001</v>
      </c>
      <c r="H1945">
        <v>0.11</v>
      </c>
      <c r="I1945" s="4">
        <v>7484.72</v>
      </c>
      <c r="J1945" t="s">
        <v>44</v>
      </c>
      <c r="K1945" t="s">
        <v>39</v>
      </c>
      <c r="L1945" s="4">
        <f>VLOOKUP(tblTransactions[[#This Row],[Product_ID]],tblProducts[],5,FALSE)</f>
        <v>672.72</v>
      </c>
      <c r="M1945" s="4">
        <f>tblTransactions[[#This Row],[Total_Amount]]-(tblTransactions[[#This Row],[Cost_Prices]]*tblTransactions[[#This Row],[Quantity]]*(1-tblTransactions[[#This Row],[Discount]]))</f>
        <v>3293.6743999999999</v>
      </c>
      <c r="N1945" s="3">
        <f>tblTransactions[[#This Row],[Profit]]/tblTransactions[[#This Row],[Total_Amount]]</f>
        <v>0.44005312155965753</v>
      </c>
      <c r="O1945" t="str">
        <f>TEXT(tblTransactions[[#This Row],[Date]], "MMM-YYYY")</f>
        <v>Feb-2024</v>
      </c>
      <c r="P1945" t="str">
        <f>"Q"&amp;ROUNDUP(MONTH(tblTransactions[[#This Row],[Date]])/3,0)&amp;"-"&amp;YEAR(tblTransactions[[#This Row],[Date]])</f>
        <v>Q1-2024</v>
      </c>
      <c r="Q1945">
        <f>YEAR(tblTransactions[[#This Row],[Date]])</f>
        <v>2024</v>
      </c>
      <c r="R1945" t="str">
        <f>TEXT(tblTransactions[[#This Row],[Date]],"DDDD")</f>
        <v>Wednesday</v>
      </c>
      <c r="S1945">
        <f>MONTH(tblTransactions[[#This Row],[Date]])</f>
        <v>2</v>
      </c>
      <c r="T1945" t="str">
        <f>VLOOKUP(E1945, Products!$A:$B,2,0)</f>
        <v>Printers Tec-2</v>
      </c>
      <c r="U1945" t="str">
        <f>VLOOKUP(E1945,Products!$A:$C,3,0)</f>
        <v>Technology</v>
      </c>
      <c r="V1945" t="str">
        <f>VLOOKUP(E1945,Products!$A:$D,4,0)</f>
        <v>Printers</v>
      </c>
      <c r="W1945" t="str">
        <f>VLOOKUP(D1945,Customers!$A:$C,3,0)</f>
        <v>B2C</v>
      </c>
      <c r="X1945" t="str">
        <f>VLOOKUP(C1945,Sales_Representatives!$A:$B,2,0)</f>
        <v>Michael Davis</v>
      </c>
    </row>
    <row r="1946" spans="1:24" x14ac:dyDescent="0.3">
      <c r="A1946" t="s">
        <v>2785</v>
      </c>
      <c r="B1946" t="s">
        <v>2786</v>
      </c>
      <c r="C1946" t="s">
        <v>56</v>
      </c>
      <c r="D1946" t="s">
        <v>2059</v>
      </c>
      <c r="E1946" t="s">
        <v>283</v>
      </c>
      <c r="F1946">
        <v>5</v>
      </c>
      <c r="G1946">
        <v>456.88</v>
      </c>
      <c r="H1946">
        <v>0.01</v>
      </c>
      <c r="I1946" s="4">
        <v>2261.56</v>
      </c>
      <c r="J1946" t="s">
        <v>34</v>
      </c>
      <c r="K1946" t="s">
        <v>17</v>
      </c>
      <c r="L1946" s="4">
        <f>VLOOKUP(tblTransactions[[#This Row],[Product_ID]],tblProducts[],5,FALSE)</f>
        <v>313.23</v>
      </c>
      <c r="M1946" s="4">
        <f>tblTransactions[[#This Row],[Total_Amount]]-(tblTransactions[[#This Row],[Cost_Prices]]*tblTransactions[[#This Row],[Quantity]]*(1-tblTransactions[[#This Row],[Discount]]))</f>
        <v>711.07149999999979</v>
      </c>
      <c r="N1946" s="3">
        <f>tblTransactions[[#This Row],[Profit]]/tblTransactions[[#This Row],[Total_Amount]]</f>
        <v>0.31441637630662012</v>
      </c>
      <c r="O1946" t="str">
        <f>TEXT(tblTransactions[[#This Row],[Date]], "MMM-YYYY")</f>
        <v>Feb-2024</v>
      </c>
      <c r="P1946" t="str">
        <f>"Q"&amp;ROUNDUP(MONTH(tblTransactions[[#This Row],[Date]])/3,0)&amp;"-"&amp;YEAR(tblTransactions[[#This Row],[Date]])</f>
        <v>Q1-2024</v>
      </c>
      <c r="Q1946">
        <f>YEAR(tblTransactions[[#This Row],[Date]])</f>
        <v>2024</v>
      </c>
      <c r="R1946" t="str">
        <f>TEXT(tblTransactions[[#This Row],[Date]],"DDDD")</f>
        <v>Thursday</v>
      </c>
      <c r="S1946">
        <f>MONTH(tblTransactions[[#This Row],[Date]])</f>
        <v>2</v>
      </c>
      <c r="T1946" t="str">
        <f>VLOOKUP(E1946, Products!$A:$B,2,0)</f>
        <v>Chairs Fur-3</v>
      </c>
      <c r="U1946" t="str">
        <f>VLOOKUP(E1946,Products!$A:$C,3,0)</f>
        <v>Furniture</v>
      </c>
      <c r="V1946" t="str">
        <f>VLOOKUP(E1946,Products!$A:$D,4,0)</f>
        <v>Chairs</v>
      </c>
      <c r="W1946" t="str">
        <f>VLOOKUP(D1946,Customers!$A:$C,3,0)</f>
        <v>B2C</v>
      </c>
      <c r="X1946" t="str">
        <f>VLOOKUP(C1946,Sales_Representatives!$A:$B,2,0)</f>
        <v>Thomas Hernandez</v>
      </c>
    </row>
    <row r="1947" spans="1:24" x14ac:dyDescent="0.3">
      <c r="A1947" t="s">
        <v>2787</v>
      </c>
      <c r="B1947" t="s">
        <v>2786</v>
      </c>
      <c r="C1947" t="s">
        <v>19</v>
      </c>
      <c r="D1947" t="s">
        <v>1470</v>
      </c>
      <c r="E1947" t="s">
        <v>587</v>
      </c>
      <c r="F1947">
        <v>1</v>
      </c>
      <c r="G1947">
        <v>58.54</v>
      </c>
      <c r="H1947">
        <v>0.03</v>
      </c>
      <c r="I1947" s="4">
        <v>56.78</v>
      </c>
      <c r="J1947" t="s">
        <v>21</v>
      </c>
      <c r="K1947" t="s">
        <v>17</v>
      </c>
      <c r="L1947" s="4">
        <f>VLOOKUP(tblTransactions[[#This Row],[Product_ID]],tblProducts[],5,FALSE)</f>
        <v>25.43</v>
      </c>
      <c r="M1947" s="4">
        <f>tblTransactions[[#This Row],[Total_Amount]]-(tblTransactions[[#This Row],[Cost_Prices]]*tblTransactions[[#This Row],[Quantity]]*(1-tblTransactions[[#This Row],[Discount]]))</f>
        <v>32.112900000000003</v>
      </c>
      <c r="N1947" s="3">
        <f>tblTransactions[[#This Row],[Profit]]/tblTransactions[[#This Row],[Total_Amount]]</f>
        <v>0.56556710109193387</v>
      </c>
      <c r="O1947" t="str">
        <f>TEXT(tblTransactions[[#This Row],[Date]], "MMM-YYYY")</f>
        <v>Feb-2024</v>
      </c>
      <c r="P1947" t="str">
        <f>"Q"&amp;ROUNDUP(MONTH(tblTransactions[[#This Row],[Date]])/3,0)&amp;"-"&amp;YEAR(tblTransactions[[#This Row],[Date]])</f>
        <v>Q1-2024</v>
      </c>
      <c r="Q1947">
        <f>YEAR(tblTransactions[[#This Row],[Date]])</f>
        <v>2024</v>
      </c>
      <c r="R1947" t="str">
        <f>TEXT(tblTransactions[[#This Row],[Date]],"DDDD")</f>
        <v>Thursday</v>
      </c>
      <c r="S1947">
        <f>MONTH(tblTransactions[[#This Row],[Date]])</f>
        <v>2</v>
      </c>
      <c r="T1947" t="str">
        <f>VLOOKUP(E1947, Products!$A:$B,2,0)</f>
        <v>Paper Off-2</v>
      </c>
      <c r="U1947" t="str">
        <f>VLOOKUP(E1947,Products!$A:$C,3,0)</f>
        <v>Office Supplies</v>
      </c>
      <c r="V1947" t="str">
        <f>VLOOKUP(E1947,Products!$A:$D,4,0)</f>
        <v>Paper</v>
      </c>
      <c r="W1947" t="str">
        <f>VLOOKUP(D1947,Customers!$A:$C,3,0)</f>
        <v>Small Business</v>
      </c>
      <c r="X1947" t="str">
        <f>VLOOKUP(C1947,Sales_Representatives!$A:$B,2,0)</f>
        <v>Robert Jones</v>
      </c>
    </row>
    <row r="1948" spans="1:24" x14ac:dyDescent="0.3">
      <c r="A1948" t="s">
        <v>2788</v>
      </c>
      <c r="B1948" t="s">
        <v>2789</v>
      </c>
      <c r="C1948" t="s">
        <v>127</v>
      </c>
      <c r="D1948" t="s">
        <v>1877</v>
      </c>
      <c r="E1948" t="s">
        <v>38</v>
      </c>
      <c r="F1948">
        <v>4</v>
      </c>
      <c r="G1948">
        <v>581.47</v>
      </c>
      <c r="H1948">
        <v>0.03</v>
      </c>
      <c r="I1948" s="4">
        <v>2256.1</v>
      </c>
      <c r="J1948" t="s">
        <v>109</v>
      </c>
      <c r="K1948" t="s">
        <v>22</v>
      </c>
      <c r="L1948" s="4">
        <f>VLOOKUP(tblTransactions[[#This Row],[Product_ID]],tblProducts[],5,FALSE)</f>
        <v>372.07</v>
      </c>
      <c r="M1948" s="4">
        <f>tblTransactions[[#This Row],[Total_Amount]]-(tblTransactions[[#This Row],[Cost_Prices]]*tblTransactions[[#This Row],[Quantity]]*(1-tblTransactions[[#This Row],[Discount]]))</f>
        <v>812.46839999999997</v>
      </c>
      <c r="N1948" s="3">
        <f>tblTransactions[[#This Row],[Profit]]/tblTransactions[[#This Row],[Total_Amount]]</f>
        <v>0.36012073932893046</v>
      </c>
      <c r="O1948" t="str">
        <f>TEXT(tblTransactions[[#This Row],[Date]], "MMM-YYYY")</f>
        <v>Feb-2024</v>
      </c>
      <c r="P1948" t="str">
        <f>"Q"&amp;ROUNDUP(MONTH(tblTransactions[[#This Row],[Date]])/3,0)&amp;"-"&amp;YEAR(tblTransactions[[#This Row],[Date]])</f>
        <v>Q1-2024</v>
      </c>
      <c r="Q1948">
        <f>YEAR(tblTransactions[[#This Row],[Date]])</f>
        <v>2024</v>
      </c>
      <c r="R1948" t="str">
        <f>TEXT(tblTransactions[[#This Row],[Date]],"DDDD")</f>
        <v>Friday</v>
      </c>
      <c r="S1948">
        <f>MONTH(tblTransactions[[#This Row],[Date]])</f>
        <v>2</v>
      </c>
      <c r="T1948" t="str">
        <f>VLOOKUP(E1948, Products!$A:$B,2,0)</f>
        <v>Storage Fur-3</v>
      </c>
      <c r="U1948" t="str">
        <f>VLOOKUP(E1948,Products!$A:$C,3,0)</f>
        <v>Furniture</v>
      </c>
      <c r="V1948" t="str">
        <f>VLOOKUP(E1948,Products!$A:$D,4,0)</f>
        <v>Storage</v>
      </c>
      <c r="W1948" t="str">
        <f>VLOOKUP(D1948,Customers!$A:$C,3,0)</f>
        <v>Small Business</v>
      </c>
      <c r="X1948" t="str">
        <f>VLOOKUP(C1948,Sales_Representatives!$A:$B,2,0)</f>
        <v>Emily Hernandez</v>
      </c>
    </row>
    <row r="1949" spans="1:24" x14ac:dyDescent="0.3">
      <c r="A1949" t="s">
        <v>2790</v>
      </c>
      <c r="B1949" t="s">
        <v>2789</v>
      </c>
      <c r="C1949" t="s">
        <v>141</v>
      </c>
      <c r="D1949" t="s">
        <v>2591</v>
      </c>
      <c r="E1949" t="s">
        <v>145</v>
      </c>
      <c r="F1949">
        <v>4</v>
      </c>
      <c r="G1949">
        <v>93.43</v>
      </c>
      <c r="H1949">
        <v>0.03</v>
      </c>
      <c r="I1949" s="4">
        <v>362.51</v>
      </c>
      <c r="J1949" t="s">
        <v>109</v>
      </c>
      <c r="K1949" t="s">
        <v>35</v>
      </c>
      <c r="L1949" s="4">
        <f>VLOOKUP(tblTransactions[[#This Row],[Product_ID]],tblProducts[],5,FALSE)</f>
        <v>45.74</v>
      </c>
      <c r="M1949" s="4">
        <f>tblTransactions[[#This Row],[Total_Amount]]-(tblTransactions[[#This Row],[Cost_Prices]]*tblTransactions[[#This Row],[Quantity]]*(1-tblTransactions[[#This Row],[Discount]]))</f>
        <v>185.03879999999998</v>
      </c>
      <c r="N1949" s="3">
        <f>tblTransactions[[#This Row],[Profit]]/tblTransactions[[#This Row],[Total_Amount]]</f>
        <v>0.51043778102673021</v>
      </c>
      <c r="O1949" t="str">
        <f>TEXT(tblTransactions[[#This Row],[Date]], "MMM-YYYY")</f>
        <v>Feb-2024</v>
      </c>
      <c r="P1949" t="str">
        <f>"Q"&amp;ROUNDUP(MONTH(tblTransactions[[#This Row],[Date]])/3,0)&amp;"-"&amp;YEAR(tblTransactions[[#This Row],[Date]])</f>
        <v>Q1-2024</v>
      </c>
      <c r="Q1949">
        <f>YEAR(tblTransactions[[#This Row],[Date]])</f>
        <v>2024</v>
      </c>
      <c r="R1949" t="str">
        <f>TEXT(tblTransactions[[#This Row],[Date]],"DDDD")</f>
        <v>Friday</v>
      </c>
      <c r="S1949">
        <f>MONTH(tblTransactions[[#This Row],[Date]])</f>
        <v>2</v>
      </c>
      <c r="T1949" t="str">
        <f>VLOOKUP(E1949, Products!$A:$B,2,0)</f>
        <v>Paper Off-1</v>
      </c>
      <c r="U1949" t="str">
        <f>VLOOKUP(E1949,Products!$A:$C,3,0)</f>
        <v>Office Supplies</v>
      </c>
      <c r="V1949" t="str">
        <f>VLOOKUP(E1949,Products!$A:$D,4,0)</f>
        <v>Paper</v>
      </c>
      <c r="W1949" t="str">
        <f>VLOOKUP(D1949,Customers!$A:$C,3,0)</f>
        <v>B2C</v>
      </c>
      <c r="X1949" t="str">
        <f>VLOOKUP(C1949,Sales_Representatives!$A:$B,2,0)</f>
        <v>Richard Garcia</v>
      </c>
    </row>
    <row r="1950" spans="1:24" x14ac:dyDescent="0.3">
      <c r="A1950" t="s">
        <v>2791</v>
      </c>
      <c r="B1950" t="s">
        <v>2789</v>
      </c>
      <c r="C1950" t="s">
        <v>31</v>
      </c>
      <c r="D1950" t="s">
        <v>2680</v>
      </c>
      <c r="E1950" t="s">
        <v>84</v>
      </c>
      <c r="F1950">
        <v>8</v>
      </c>
      <c r="G1950">
        <v>1841.77</v>
      </c>
      <c r="H1950">
        <v>0.06</v>
      </c>
      <c r="I1950" s="4">
        <v>13850.11</v>
      </c>
      <c r="J1950" t="s">
        <v>34</v>
      </c>
      <c r="K1950" t="s">
        <v>39</v>
      </c>
      <c r="L1950" s="4">
        <f>VLOOKUP(tblTransactions[[#This Row],[Product_ID]],tblProducts[],5,FALSE)</f>
        <v>1151.5899999999999</v>
      </c>
      <c r="M1950" s="4">
        <f>tblTransactions[[#This Row],[Total_Amount]]-(tblTransactions[[#This Row],[Cost_Prices]]*tblTransactions[[#This Row],[Quantity]]*(1-tblTransactions[[#This Row],[Discount]]))</f>
        <v>5190.1532000000025</v>
      </c>
      <c r="N1950" s="3">
        <f>tblTransactions[[#This Row],[Profit]]/tblTransactions[[#This Row],[Total_Amount]]</f>
        <v>0.37473732699595902</v>
      </c>
      <c r="O1950" t="str">
        <f>TEXT(tblTransactions[[#This Row],[Date]], "MMM-YYYY")</f>
        <v>Feb-2024</v>
      </c>
      <c r="P1950" t="str">
        <f>"Q"&amp;ROUNDUP(MONTH(tblTransactions[[#This Row],[Date]])/3,0)&amp;"-"&amp;YEAR(tblTransactions[[#This Row],[Date]])</f>
        <v>Q1-2024</v>
      </c>
      <c r="Q1950">
        <f>YEAR(tblTransactions[[#This Row],[Date]])</f>
        <v>2024</v>
      </c>
      <c r="R1950" t="str">
        <f>TEXT(tblTransactions[[#This Row],[Date]],"DDDD")</f>
        <v>Friday</v>
      </c>
      <c r="S1950">
        <f>MONTH(tblTransactions[[#This Row],[Date]])</f>
        <v>2</v>
      </c>
      <c r="T1950" t="str">
        <f>VLOOKUP(E1950, Products!$A:$B,2,0)</f>
        <v>Laptops Ele-2</v>
      </c>
      <c r="U1950" t="str">
        <f>VLOOKUP(E1950,Products!$A:$C,3,0)</f>
        <v>Electronics</v>
      </c>
      <c r="V1950" t="str">
        <f>VLOOKUP(E1950,Products!$A:$D,4,0)</f>
        <v>Laptops</v>
      </c>
      <c r="W1950" t="str">
        <f>VLOOKUP(D1950,Customers!$A:$C,3,0)</f>
        <v>B2B</v>
      </c>
      <c r="X1950" t="str">
        <f>VLOOKUP(C1950,Sales_Representatives!$A:$B,2,0)</f>
        <v>Thomas Martinez</v>
      </c>
    </row>
    <row r="1951" spans="1:24" x14ac:dyDescent="0.3">
      <c r="A1951" t="s">
        <v>2792</v>
      </c>
      <c r="B1951" t="s">
        <v>2789</v>
      </c>
      <c r="C1951" t="s">
        <v>70</v>
      </c>
      <c r="D1951" t="s">
        <v>2232</v>
      </c>
      <c r="E1951" t="s">
        <v>264</v>
      </c>
      <c r="F1951">
        <v>7</v>
      </c>
      <c r="G1951">
        <v>607.29999999999995</v>
      </c>
      <c r="H1951">
        <v>7.0000000000000007E-2</v>
      </c>
      <c r="I1951" s="4">
        <v>3953.52</v>
      </c>
      <c r="J1951" t="s">
        <v>16</v>
      </c>
      <c r="K1951" t="s">
        <v>35</v>
      </c>
      <c r="L1951" s="4">
        <f>VLOOKUP(tblTransactions[[#This Row],[Product_ID]],tblProducts[],5,FALSE)</f>
        <v>436.37</v>
      </c>
      <c r="M1951" s="4">
        <f>tblTransactions[[#This Row],[Total_Amount]]-(tblTransactions[[#This Row],[Cost_Prices]]*tblTransactions[[#This Row],[Quantity]]*(1-tblTransactions[[#This Row],[Discount]]))</f>
        <v>1112.7512999999999</v>
      </c>
      <c r="N1951" s="3">
        <f>tblTransactions[[#This Row],[Profit]]/tblTransactions[[#This Row],[Total_Amount]]</f>
        <v>0.28145837127420625</v>
      </c>
      <c r="O1951" t="str">
        <f>TEXT(tblTransactions[[#This Row],[Date]], "MMM-YYYY")</f>
        <v>Feb-2024</v>
      </c>
      <c r="P1951" t="str">
        <f>"Q"&amp;ROUNDUP(MONTH(tblTransactions[[#This Row],[Date]])/3,0)&amp;"-"&amp;YEAR(tblTransactions[[#This Row],[Date]])</f>
        <v>Q1-2024</v>
      </c>
      <c r="Q1951">
        <f>YEAR(tblTransactions[[#This Row],[Date]])</f>
        <v>2024</v>
      </c>
      <c r="R1951" t="str">
        <f>TEXT(tblTransactions[[#This Row],[Date]],"DDDD")</f>
        <v>Friday</v>
      </c>
      <c r="S1951">
        <f>MONTH(tblTransactions[[#This Row],[Date]])</f>
        <v>2</v>
      </c>
      <c r="T1951" t="str">
        <f>VLOOKUP(E1951, Products!$A:$B,2,0)</f>
        <v>Tablets Ele-4</v>
      </c>
      <c r="U1951" t="str">
        <f>VLOOKUP(E1951,Products!$A:$C,3,0)</f>
        <v>Electronics</v>
      </c>
      <c r="V1951" t="str">
        <f>VLOOKUP(E1951,Products!$A:$D,4,0)</f>
        <v>Tablets</v>
      </c>
      <c r="W1951" t="str">
        <f>VLOOKUP(D1951,Customers!$A:$C,3,0)</f>
        <v>B2C</v>
      </c>
      <c r="X1951" t="str">
        <f>VLOOKUP(C1951,Sales_Representatives!$A:$B,2,0)</f>
        <v>Linda Smith</v>
      </c>
    </row>
    <row r="1952" spans="1:24" x14ac:dyDescent="0.3">
      <c r="A1952" t="s">
        <v>2793</v>
      </c>
      <c r="B1952" t="s">
        <v>2789</v>
      </c>
      <c r="C1952" t="s">
        <v>56</v>
      </c>
      <c r="D1952" t="s">
        <v>1670</v>
      </c>
      <c r="E1952" t="s">
        <v>370</v>
      </c>
      <c r="F1952">
        <v>4</v>
      </c>
      <c r="G1952">
        <v>238.95</v>
      </c>
      <c r="H1952">
        <v>0.08</v>
      </c>
      <c r="I1952" s="4">
        <v>879.34</v>
      </c>
      <c r="J1952" t="s">
        <v>34</v>
      </c>
      <c r="K1952" t="s">
        <v>48</v>
      </c>
      <c r="L1952" s="4">
        <f>VLOOKUP(tblTransactions[[#This Row],[Product_ID]],tblProducts[],5,FALSE)</f>
        <v>136.6</v>
      </c>
      <c r="M1952" s="4">
        <f>tblTransactions[[#This Row],[Total_Amount]]-(tblTransactions[[#This Row],[Cost_Prices]]*tblTransactions[[#This Row],[Quantity]]*(1-tblTransactions[[#This Row],[Discount]]))</f>
        <v>376.65200000000004</v>
      </c>
      <c r="N1952" s="3">
        <f>tblTransactions[[#This Row],[Profit]]/tblTransactions[[#This Row],[Total_Amount]]</f>
        <v>0.42833488752928334</v>
      </c>
      <c r="O1952" t="str">
        <f>TEXT(tblTransactions[[#This Row],[Date]], "MMM-YYYY")</f>
        <v>Feb-2024</v>
      </c>
      <c r="P1952" t="str">
        <f>"Q"&amp;ROUNDUP(MONTH(tblTransactions[[#This Row],[Date]])/3,0)&amp;"-"&amp;YEAR(tblTransactions[[#This Row],[Date]])</f>
        <v>Q1-2024</v>
      </c>
      <c r="Q1952">
        <f>YEAR(tblTransactions[[#This Row],[Date]])</f>
        <v>2024</v>
      </c>
      <c r="R1952" t="str">
        <f>TEXT(tblTransactions[[#This Row],[Date]],"DDDD")</f>
        <v>Friday</v>
      </c>
      <c r="S1952">
        <f>MONTH(tblTransactions[[#This Row],[Date]])</f>
        <v>2</v>
      </c>
      <c r="T1952" t="str">
        <f>VLOOKUP(E1952, Products!$A:$B,2,0)</f>
        <v>Cables Acc-1</v>
      </c>
      <c r="U1952" t="str">
        <f>VLOOKUP(E1952,Products!$A:$C,3,0)</f>
        <v>Accessories</v>
      </c>
      <c r="V1952" t="str">
        <f>VLOOKUP(E1952,Products!$A:$D,4,0)</f>
        <v>Cables</v>
      </c>
      <c r="W1952" t="str">
        <f>VLOOKUP(D1952,Customers!$A:$C,3,0)</f>
        <v>Small Business</v>
      </c>
      <c r="X1952" t="str">
        <f>VLOOKUP(C1952,Sales_Representatives!$A:$B,2,0)</f>
        <v>Thomas Hernandez</v>
      </c>
    </row>
    <row r="1953" spans="1:24" x14ac:dyDescent="0.3">
      <c r="A1953" t="s">
        <v>2794</v>
      </c>
      <c r="B1953" t="s">
        <v>2789</v>
      </c>
      <c r="C1953" t="s">
        <v>27</v>
      </c>
      <c r="D1953" t="s">
        <v>1518</v>
      </c>
      <c r="E1953" t="s">
        <v>316</v>
      </c>
      <c r="F1953">
        <v>6</v>
      </c>
      <c r="G1953">
        <v>91.42</v>
      </c>
      <c r="H1953">
        <v>0.12</v>
      </c>
      <c r="I1953" s="4">
        <v>482.7</v>
      </c>
      <c r="J1953" t="s">
        <v>16</v>
      </c>
      <c r="K1953" t="s">
        <v>17</v>
      </c>
      <c r="L1953" s="4">
        <f>VLOOKUP(tblTransactions[[#This Row],[Product_ID]],tblProducts[],5,FALSE)</f>
        <v>50.09</v>
      </c>
      <c r="M1953" s="4">
        <f>tblTransactions[[#This Row],[Total_Amount]]-(tblTransactions[[#This Row],[Cost_Prices]]*tblTransactions[[#This Row],[Quantity]]*(1-tblTransactions[[#This Row],[Discount]]))</f>
        <v>218.22479999999996</v>
      </c>
      <c r="N1953" s="3">
        <f>tblTransactions[[#This Row],[Profit]]/tblTransactions[[#This Row],[Total_Amount]]</f>
        <v>0.4520919825978868</v>
      </c>
      <c r="O1953" t="str">
        <f>TEXT(tblTransactions[[#This Row],[Date]], "MMM-YYYY")</f>
        <v>Feb-2024</v>
      </c>
      <c r="P1953" t="str">
        <f>"Q"&amp;ROUNDUP(MONTH(tblTransactions[[#This Row],[Date]])/3,0)&amp;"-"&amp;YEAR(tblTransactions[[#This Row],[Date]])</f>
        <v>Q1-2024</v>
      </c>
      <c r="Q1953">
        <f>YEAR(tblTransactions[[#This Row],[Date]])</f>
        <v>2024</v>
      </c>
      <c r="R1953" t="str">
        <f>TEXT(tblTransactions[[#This Row],[Date]],"DDDD")</f>
        <v>Friday</v>
      </c>
      <c r="S1953">
        <f>MONTH(tblTransactions[[#This Row],[Date]])</f>
        <v>2</v>
      </c>
      <c r="T1953" t="str">
        <f>VLOOKUP(E1953, Products!$A:$B,2,0)</f>
        <v>Binders Off-3</v>
      </c>
      <c r="U1953" t="str">
        <f>VLOOKUP(E1953,Products!$A:$C,3,0)</f>
        <v>Office Supplies</v>
      </c>
      <c r="V1953" t="str">
        <f>VLOOKUP(E1953,Products!$A:$D,4,0)</f>
        <v>Binders</v>
      </c>
      <c r="W1953" t="str">
        <f>VLOOKUP(D1953,Customers!$A:$C,3,0)</f>
        <v>B2C</v>
      </c>
      <c r="X1953" t="str">
        <f>VLOOKUP(C1953,Sales_Representatives!$A:$B,2,0)</f>
        <v>Thomas Lopez</v>
      </c>
    </row>
    <row r="1954" spans="1:24" x14ac:dyDescent="0.3">
      <c r="A1954" t="s">
        <v>2795</v>
      </c>
      <c r="B1954" t="s">
        <v>2796</v>
      </c>
      <c r="C1954" t="s">
        <v>131</v>
      </c>
      <c r="D1954" t="s">
        <v>1635</v>
      </c>
      <c r="E1954" t="s">
        <v>113</v>
      </c>
      <c r="F1954">
        <v>6</v>
      </c>
      <c r="G1954">
        <v>930.41</v>
      </c>
      <c r="H1954">
        <v>0.12</v>
      </c>
      <c r="I1954" s="4">
        <v>4912.5600000000004</v>
      </c>
      <c r="J1954" t="s">
        <v>44</v>
      </c>
      <c r="K1954" t="s">
        <v>48</v>
      </c>
      <c r="L1954" s="4">
        <f>VLOOKUP(tblTransactions[[#This Row],[Product_ID]],tblProducts[],5,FALSE)</f>
        <v>595.51</v>
      </c>
      <c r="M1954" s="4">
        <f>tblTransactions[[#This Row],[Total_Amount]]-(tblTransactions[[#This Row],[Cost_Prices]]*tblTransactions[[#This Row],[Quantity]]*(1-tblTransactions[[#This Row],[Discount]]))</f>
        <v>1768.2672000000002</v>
      </c>
      <c r="N1954" s="3">
        <f>tblTransactions[[#This Row],[Profit]]/tblTransactions[[#This Row],[Total_Amount]]</f>
        <v>0.35994821437295427</v>
      </c>
      <c r="O1954" t="str">
        <f>TEXT(tblTransactions[[#This Row],[Date]], "MMM-YYYY")</f>
        <v>Feb-2024</v>
      </c>
      <c r="P1954" t="str">
        <f>"Q"&amp;ROUNDUP(MONTH(tblTransactions[[#This Row],[Date]])/3,0)&amp;"-"&amp;YEAR(tblTransactions[[#This Row],[Date]])</f>
        <v>Q1-2024</v>
      </c>
      <c r="Q1954">
        <f>YEAR(tblTransactions[[#This Row],[Date]])</f>
        <v>2024</v>
      </c>
      <c r="R1954" t="str">
        <f>TEXT(tblTransactions[[#This Row],[Date]],"DDDD")</f>
        <v>Saturday</v>
      </c>
      <c r="S1954">
        <f>MONTH(tblTransactions[[#This Row],[Date]])</f>
        <v>2</v>
      </c>
      <c r="T1954" t="str">
        <f>VLOOKUP(E1954, Products!$A:$B,2,0)</f>
        <v>Phones Ele-1</v>
      </c>
      <c r="U1954" t="str">
        <f>VLOOKUP(E1954,Products!$A:$C,3,0)</f>
        <v>Electronics</v>
      </c>
      <c r="V1954" t="str">
        <f>VLOOKUP(E1954,Products!$A:$D,4,0)</f>
        <v>Phones</v>
      </c>
      <c r="W1954" t="str">
        <f>VLOOKUP(D1954,Customers!$A:$C,3,0)</f>
        <v>Enterprise</v>
      </c>
      <c r="X1954" t="str">
        <f>VLOOKUP(C1954,Sales_Representatives!$A:$B,2,0)</f>
        <v>Michael Davis</v>
      </c>
    </row>
    <row r="1955" spans="1:24" x14ac:dyDescent="0.3">
      <c r="A1955" t="s">
        <v>2797</v>
      </c>
      <c r="B1955" t="s">
        <v>2796</v>
      </c>
      <c r="C1955" t="s">
        <v>63</v>
      </c>
      <c r="D1955" t="s">
        <v>288</v>
      </c>
      <c r="E1955" t="s">
        <v>79</v>
      </c>
      <c r="F1955">
        <v>3</v>
      </c>
      <c r="G1955">
        <v>1452.36</v>
      </c>
      <c r="H1955">
        <v>0.1</v>
      </c>
      <c r="I1955" s="4">
        <v>3921.37</v>
      </c>
      <c r="J1955" t="s">
        <v>21</v>
      </c>
      <c r="K1955" t="s">
        <v>22</v>
      </c>
      <c r="L1955" s="4">
        <f>VLOOKUP(tblTransactions[[#This Row],[Product_ID]],tblProducts[],5,FALSE)</f>
        <v>778.71</v>
      </c>
      <c r="M1955" s="4">
        <f>tblTransactions[[#This Row],[Total_Amount]]-(tblTransactions[[#This Row],[Cost_Prices]]*tblTransactions[[#This Row],[Quantity]]*(1-tblTransactions[[#This Row],[Discount]]))</f>
        <v>1818.8529999999996</v>
      </c>
      <c r="N1955" s="3">
        <f>tblTransactions[[#This Row],[Profit]]/tblTransactions[[#This Row],[Total_Amount]]</f>
        <v>0.46383100804055716</v>
      </c>
      <c r="O1955" t="str">
        <f>TEXT(tblTransactions[[#This Row],[Date]], "MMM-YYYY")</f>
        <v>Feb-2024</v>
      </c>
      <c r="P1955" t="str">
        <f>"Q"&amp;ROUNDUP(MONTH(tblTransactions[[#This Row],[Date]])/3,0)&amp;"-"&amp;YEAR(tblTransactions[[#This Row],[Date]])</f>
        <v>Q1-2024</v>
      </c>
      <c r="Q1955">
        <f>YEAR(tblTransactions[[#This Row],[Date]])</f>
        <v>2024</v>
      </c>
      <c r="R1955" t="str">
        <f>TEXT(tblTransactions[[#This Row],[Date]],"DDDD")</f>
        <v>Saturday</v>
      </c>
      <c r="S1955">
        <f>MONTH(tblTransactions[[#This Row],[Date]])</f>
        <v>2</v>
      </c>
      <c r="T1955" t="str">
        <f>VLOOKUP(E1955, Products!$A:$B,2,0)</f>
        <v>Tables Fur-2</v>
      </c>
      <c r="U1955" t="str">
        <f>VLOOKUP(E1955,Products!$A:$C,3,0)</f>
        <v>Furniture</v>
      </c>
      <c r="V1955" t="str">
        <f>VLOOKUP(E1955,Products!$A:$D,4,0)</f>
        <v>Tables</v>
      </c>
      <c r="W1955" t="str">
        <f>VLOOKUP(D1955,Customers!$A:$C,3,0)</f>
        <v>B2C</v>
      </c>
      <c r="X1955" t="str">
        <f>VLOOKUP(C1955,Sales_Representatives!$A:$B,2,0)</f>
        <v>Richard Wilson</v>
      </c>
    </row>
    <row r="1956" spans="1:24" x14ac:dyDescent="0.3">
      <c r="A1956" t="s">
        <v>2798</v>
      </c>
      <c r="B1956" t="s">
        <v>2799</v>
      </c>
      <c r="C1956" t="s">
        <v>127</v>
      </c>
      <c r="D1956" t="s">
        <v>2427</v>
      </c>
      <c r="E1956" t="s">
        <v>243</v>
      </c>
      <c r="F1956">
        <v>5</v>
      </c>
      <c r="G1956">
        <v>384.18</v>
      </c>
      <c r="H1956">
        <v>0.04</v>
      </c>
      <c r="I1956" s="4">
        <v>1844.06</v>
      </c>
      <c r="J1956" t="s">
        <v>109</v>
      </c>
      <c r="K1956" t="s">
        <v>35</v>
      </c>
      <c r="L1956" s="4">
        <f>VLOOKUP(tblTransactions[[#This Row],[Product_ID]],tblProducts[],5,FALSE)</f>
        <v>266.92</v>
      </c>
      <c r="M1956" s="4">
        <f>tblTransactions[[#This Row],[Total_Amount]]-(tblTransactions[[#This Row],[Cost_Prices]]*tblTransactions[[#This Row],[Quantity]]*(1-tblTransactions[[#This Row],[Discount]]))</f>
        <v>562.84399999999982</v>
      </c>
      <c r="N1956" s="3">
        <f>tblTransactions[[#This Row],[Profit]]/tblTransactions[[#This Row],[Total_Amount]]</f>
        <v>0.30522000368751551</v>
      </c>
      <c r="O1956" t="str">
        <f>TEXT(tblTransactions[[#This Row],[Date]], "MMM-YYYY")</f>
        <v>Feb-2024</v>
      </c>
      <c r="P1956" t="str">
        <f>"Q"&amp;ROUNDUP(MONTH(tblTransactions[[#This Row],[Date]])/3,0)&amp;"-"&amp;YEAR(tblTransactions[[#This Row],[Date]])</f>
        <v>Q1-2024</v>
      </c>
      <c r="Q1956">
        <f>YEAR(tblTransactions[[#This Row],[Date]])</f>
        <v>2024</v>
      </c>
      <c r="R1956" t="str">
        <f>TEXT(tblTransactions[[#This Row],[Date]],"DDDD")</f>
        <v>Sunday</v>
      </c>
      <c r="S1956">
        <f>MONTH(tblTransactions[[#This Row],[Date]])</f>
        <v>2</v>
      </c>
      <c r="T1956" t="str">
        <f>VLOOKUP(E1956, Products!$A:$B,2,0)</f>
        <v>Routers Tec-3</v>
      </c>
      <c r="U1956" t="str">
        <f>VLOOKUP(E1956,Products!$A:$C,3,0)</f>
        <v>Technology</v>
      </c>
      <c r="V1956" t="str">
        <f>VLOOKUP(E1956,Products!$A:$D,4,0)</f>
        <v>Routers</v>
      </c>
      <c r="W1956" t="str">
        <f>VLOOKUP(D1956,Customers!$A:$C,3,0)</f>
        <v>Small Business</v>
      </c>
      <c r="X1956" t="str">
        <f>VLOOKUP(C1956,Sales_Representatives!$A:$B,2,0)</f>
        <v>Emily Hernandez</v>
      </c>
    </row>
    <row r="1957" spans="1:24" x14ac:dyDescent="0.3">
      <c r="A1957" t="s">
        <v>2800</v>
      </c>
      <c r="B1957" t="s">
        <v>2799</v>
      </c>
      <c r="C1957" t="s">
        <v>63</v>
      </c>
      <c r="D1957" t="s">
        <v>228</v>
      </c>
      <c r="E1957" t="s">
        <v>43</v>
      </c>
      <c r="F1957">
        <v>6</v>
      </c>
      <c r="G1957">
        <v>39.32</v>
      </c>
      <c r="H1957">
        <v>0.12</v>
      </c>
      <c r="I1957" s="4">
        <v>207.61</v>
      </c>
      <c r="J1957" t="s">
        <v>21</v>
      </c>
      <c r="K1957" t="s">
        <v>22</v>
      </c>
      <c r="L1957" s="4">
        <f>VLOOKUP(tblTransactions[[#This Row],[Product_ID]],tblProducts[],5,FALSE)</f>
        <v>15.81</v>
      </c>
      <c r="M1957" s="4">
        <f>tblTransactions[[#This Row],[Total_Amount]]-(tblTransactions[[#This Row],[Cost_Prices]]*tblTransactions[[#This Row],[Quantity]]*(1-tblTransactions[[#This Row],[Discount]]))</f>
        <v>124.13320000000002</v>
      </c>
      <c r="N1957" s="3">
        <f>tblTransactions[[#This Row],[Profit]]/tblTransactions[[#This Row],[Total_Amount]]</f>
        <v>0.59791532199797703</v>
      </c>
      <c r="O1957" t="str">
        <f>TEXT(tblTransactions[[#This Row],[Date]], "MMM-YYYY")</f>
        <v>Feb-2024</v>
      </c>
      <c r="P1957" t="str">
        <f>"Q"&amp;ROUNDUP(MONTH(tblTransactions[[#This Row],[Date]])/3,0)&amp;"-"&amp;YEAR(tblTransactions[[#This Row],[Date]])</f>
        <v>Q1-2024</v>
      </c>
      <c r="Q1957">
        <f>YEAR(tblTransactions[[#This Row],[Date]])</f>
        <v>2024</v>
      </c>
      <c r="R1957" t="str">
        <f>TEXT(tblTransactions[[#This Row],[Date]],"DDDD")</f>
        <v>Sunday</v>
      </c>
      <c r="S1957">
        <f>MONTH(tblTransactions[[#This Row],[Date]])</f>
        <v>2</v>
      </c>
      <c r="T1957" t="str">
        <f>VLOOKUP(E1957, Products!$A:$B,2,0)</f>
        <v>Paper Off-3</v>
      </c>
      <c r="U1957" t="str">
        <f>VLOOKUP(E1957,Products!$A:$C,3,0)</f>
        <v>Office Supplies</v>
      </c>
      <c r="V1957" t="str">
        <f>VLOOKUP(E1957,Products!$A:$D,4,0)</f>
        <v>Paper</v>
      </c>
      <c r="W1957" t="str">
        <f>VLOOKUP(D1957,Customers!$A:$C,3,0)</f>
        <v>Small Business</v>
      </c>
      <c r="X1957" t="str">
        <f>VLOOKUP(C1957,Sales_Representatives!$A:$B,2,0)</f>
        <v>Richard Wilson</v>
      </c>
    </row>
    <row r="1958" spans="1:24" x14ac:dyDescent="0.3">
      <c r="A1958" t="s">
        <v>2801</v>
      </c>
      <c r="B1958" t="s">
        <v>2799</v>
      </c>
      <c r="C1958" t="s">
        <v>31</v>
      </c>
      <c r="D1958" t="s">
        <v>1712</v>
      </c>
      <c r="E1958" t="s">
        <v>29</v>
      </c>
      <c r="F1958">
        <v>16</v>
      </c>
      <c r="G1958">
        <v>1363.46</v>
      </c>
      <c r="H1958">
        <v>0.15</v>
      </c>
      <c r="I1958" s="4">
        <v>18543.060000000001</v>
      </c>
      <c r="J1958" t="s">
        <v>34</v>
      </c>
      <c r="K1958" t="s">
        <v>48</v>
      </c>
      <c r="L1958" s="4">
        <f>VLOOKUP(tblTransactions[[#This Row],[Product_ID]],tblProducts[],5,FALSE)</f>
        <v>995.41</v>
      </c>
      <c r="M1958" s="4">
        <f>tblTransactions[[#This Row],[Total_Amount]]-(tblTransactions[[#This Row],[Cost_Prices]]*tblTransactions[[#This Row],[Quantity]]*(1-tblTransactions[[#This Row],[Discount]]))</f>
        <v>5005.4840000000022</v>
      </c>
      <c r="N1958" s="3">
        <f>tblTransactions[[#This Row],[Profit]]/tblTransactions[[#This Row],[Total_Amount]]</f>
        <v>0.26993840283103232</v>
      </c>
      <c r="O1958" t="str">
        <f>TEXT(tblTransactions[[#This Row],[Date]], "MMM-YYYY")</f>
        <v>Feb-2024</v>
      </c>
      <c r="P1958" t="str">
        <f>"Q"&amp;ROUNDUP(MONTH(tblTransactions[[#This Row],[Date]])/3,0)&amp;"-"&amp;YEAR(tblTransactions[[#This Row],[Date]])</f>
        <v>Q1-2024</v>
      </c>
      <c r="Q1958">
        <f>YEAR(tblTransactions[[#This Row],[Date]])</f>
        <v>2024</v>
      </c>
      <c r="R1958" t="str">
        <f>TEXT(tblTransactions[[#This Row],[Date]],"DDDD")</f>
        <v>Sunday</v>
      </c>
      <c r="S1958">
        <f>MONTH(tblTransactions[[#This Row],[Date]])</f>
        <v>2</v>
      </c>
      <c r="T1958" t="str">
        <f>VLOOKUP(E1958, Products!$A:$B,2,0)</f>
        <v>Phones Ele-3</v>
      </c>
      <c r="U1958" t="str">
        <f>VLOOKUP(E1958,Products!$A:$C,3,0)</f>
        <v>Electronics</v>
      </c>
      <c r="V1958" t="str">
        <f>VLOOKUP(E1958,Products!$A:$D,4,0)</f>
        <v>Phones</v>
      </c>
      <c r="W1958" t="str">
        <f>VLOOKUP(D1958,Customers!$A:$C,3,0)</f>
        <v>B2B</v>
      </c>
      <c r="X1958" t="str">
        <f>VLOOKUP(C1958,Sales_Representatives!$A:$B,2,0)</f>
        <v>Thomas Martinez</v>
      </c>
    </row>
    <row r="1959" spans="1:24" x14ac:dyDescent="0.3">
      <c r="A1959" t="s">
        <v>2802</v>
      </c>
      <c r="B1959" t="s">
        <v>2799</v>
      </c>
      <c r="C1959" t="s">
        <v>70</v>
      </c>
      <c r="D1959" t="s">
        <v>1582</v>
      </c>
      <c r="E1959" t="s">
        <v>198</v>
      </c>
      <c r="F1959">
        <v>7</v>
      </c>
      <c r="G1959">
        <v>1802.96</v>
      </c>
      <c r="H1959">
        <v>0.15</v>
      </c>
      <c r="I1959" s="4">
        <v>10727.61</v>
      </c>
      <c r="J1959" t="s">
        <v>16</v>
      </c>
      <c r="K1959" t="s">
        <v>35</v>
      </c>
      <c r="L1959" s="4">
        <f>VLOOKUP(tblTransactions[[#This Row],[Product_ID]],tblProducts[],5,FALSE)</f>
        <v>1282.18</v>
      </c>
      <c r="M1959" s="4">
        <f>tblTransactions[[#This Row],[Total_Amount]]-(tblTransactions[[#This Row],[Cost_Prices]]*tblTransactions[[#This Row],[Quantity]]*(1-tblTransactions[[#This Row],[Discount]]))</f>
        <v>3098.639000000001</v>
      </c>
      <c r="N1959" s="3">
        <f>tblTransactions[[#This Row],[Profit]]/tblTransactions[[#This Row],[Total_Amount]]</f>
        <v>0.28884709641756184</v>
      </c>
      <c r="O1959" t="str">
        <f>TEXT(tblTransactions[[#This Row],[Date]], "MMM-YYYY")</f>
        <v>Feb-2024</v>
      </c>
      <c r="P1959" t="str">
        <f>"Q"&amp;ROUNDUP(MONTH(tblTransactions[[#This Row],[Date]])/3,0)&amp;"-"&amp;YEAR(tblTransactions[[#This Row],[Date]])</f>
        <v>Q1-2024</v>
      </c>
      <c r="Q1959">
        <f>YEAR(tblTransactions[[#This Row],[Date]])</f>
        <v>2024</v>
      </c>
      <c r="R1959" t="str">
        <f>TEXT(tblTransactions[[#This Row],[Date]],"DDDD")</f>
        <v>Sunday</v>
      </c>
      <c r="S1959">
        <f>MONTH(tblTransactions[[#This Row],[Date]])</f>
        <v>2</v>
      </c>
      <c r="T1959" t="str">
        <f>VLOOKUP(E1959, Products!$A:$B,2,0)</f>
        <v>Tablets Ele-3</v>
      </c>
      <c r="U1959" t="str">
        <f>VLOOKUP(E1959,Products!$A:$C,3,0)</f>
        <v>Electronics</v>
      </c>
      <c r="V1959" t="str">
        <f>VLOOKUP(E1959,Products!$A:$D,4,0)</f>
        <v>Tablets</v>
      </c>
      <c r="W1959" t="str">
        <f>VLOOKUP(D1959,Customers!$A:$C,3,0)</f>
        <v>Small Business</v>
      </c>
      <c r="X1959" t="str">
        <f>VLOOKUP(C1959,Sales_Representatives!$A:$B,2,0)</f>
        <v>Linda Smith</v>
      </c>
    </row>
    <row r="1960" spans="1:24" x14ac:dyDescent="0.3">
      <c r="A1960" t="s">
        <v>2803</v>
      </c>
      <c r="B1960" t="s">
        <v>2799</v>
      </c>
      <c r="C1960" t="s">
        <v>75</v>
      </c>
      <c r="D1960" t="s">
        <v>52</v>
      </c>
      <c r="E1960" t="s">
        <v>221</v>
      </c>
      <c r="F1960">
        <v>6</v>
      </c>
      <c r="G1960">
        <v>210.02</v>
      </c>
      <c r="H1960">
        <v>0.12</v>
      </c>
      <c r="I1960" s="4">
        <v>1108.9100000000001</v>
      </c>
      <c r="J1960" t="s">
        <v>44</v>
      </c>
      <c r="K1960" t="s">
        <v>17</v>
      </c>
      <c r="L1960" s="4">
        <f>VLOOKUP(tblTransactions[[#This Row],[Product_ID]],tblProducts[],5,FALSE)</f>
        <v>131.66</v>
      </c>
      <c r="M1960" s="4">
        <f>tblTransactions[[#This Row],[Total_Amount]]-(tblTransactions[[#This Row],[Cost_Prices]]*tblTransactions[[#This Row],[Quantity]]*(1-tblTransactions[[#This Row],[Discount]]))</f>
        <v>413.74520000000007</v>
      </c>
      <c r="N1960" s="3">
        <f>tblTransactions[[#This Row],[Profit]]/tblTransactions[[#This Row],[Total_Amount]]</f>
        <v>0.37310981053466924</v>
      </c>
      <c r="O1960" t="str">
        <f>TEXT(tblTransactions[[#This Row],[Date]], "MMM-YYYY")</f>
        <v>Feb-2024</v>
      </c>
      <c r="P1960" t="str">
        <f>"Q"&amp;ROUNDUP(MONTH(tblTransactions[[#This Row],[Date]])/3,0)&amp;"-"&amp;YEAR(tblTransactions[[#This Row],[Date]])</f>
        <v>Q1-2024</v>
      </c>
      <c r="Q1960">
        <f>YEAR(tblTransactions[[#This Row],[Date]])</f>
        <v>2024</v>
      </c>
      <c r="R1960" t="str">
        <f>TEXT(tblTransactions[[#This Row],[Date]],"DDDD")</f>
        <v>Sunday</v>
      </c>
      <c r="S1960">
        <f>MONTH(tblTransactions[[#This Row],[Date]])</f>
        <v>2</v>
      </c>
      <c r="T1960" t="str">
        <f>VLOOKUP(E1960, Products!$A:$B,2,0)</f>
        <v>Storage Fur-2</v>
      </c>
      <c r="U1960" t="str">
        <f>VLOOKUP(E1960,Products!$A:$C,3,0)</f>
        <v>Furniture</v>
      </c>
      <c r="V1960" t="str">
        <f>VLOOKUP(E1960,Products!$A:$D,4,0)</f>
        <v>Storage</v>
      </c>
      <c r="W1960" t="str">
        <f>VLOOKUP(D1960,Customers!$A:$C,3,0)</f>
        <v>B2C</v>
      </c>
      <c r="X1960" t="str">
        <f>VLOOKUP(C1960,Sales_Representatives!$A:$B,2,0)</f>
        <v>Jessica Anderson</v>
      </c>
    </row>
    <row r="1961" spans="1:24" x14ac:dyDescent="0.3">
      <c r="A1961" t="s">
        <v>2804</v>
      </c>
      <c r="B1961" t="s">
        <v>2799</v>
      </c>
      <c r="C1961" t="s">
        <v>27</v>
      </c>
      <c r="D1961" t="s">
        <v>2096</v>
      </c>
      <c r="E1961" t="s">
        <v>200</v>
      </c>
      <c r="F1961">
        <v>7</v>
      </c>
      <c r="G1961">
        <v>544.77</v>
      </c>
      <c r="H1961">
        <v>0.13</v>
      </c>
      <c r="I1961" s="4">
        <v>3317.65</v>
      </c>
      <c r="J1961" t="s">
        <v>16</v>
      </c>
      <c r="K1961" t="s">
        <v>17</v>
      </c>
      <c r="L1961" s="4">
        <f>VLOOKUP(tblTransactions[[#This Row],[Product_ID]],tblProducts[],5,FALSE)</f>
        <v>318.2</v>
      </c>
      <c r="M1961" s="4">
        <f>tblTransactions[[#This Row],[Total_Amount]]-(tblTransactions[[#This Row],[Cost_Prices]]*tblTransactions[[#This Row],[Quantity]]*(1-tblTransactions[[#This Row],[Discount]]))</f>
        <v>1379.8120000000001</v>
      </c>
      <c r="N1961" s="3">
        <f>tblTransactions[[#This Row],[Profit]]/tblTransactions[[#This Row],[Total_Amount]]</f>
        <v>0.41590041143580547</v>
      </c>
      <c r="O1961" t="str">
        <f>TEXT(tblTransactions[[#This Row],[Date]], "MMM-YYYY")</f>
        <v>Feb-2024</v>
      </c>
      <c r="P1961" t="str">
        <f>"Q"&amp;ROUNDUP(MONTH(tblTransactions[[#This Row],[Date]])/3,0)&amp;"-"&amp;YEAR(tblTransactions[[#This Row],[Date]])</f>
        <v>Q1-2024</v>
      </c>
      <c r="Q1961">
        <f>YEAR(tblTransactions[[#This Row],[Date]])</f>
        <v>2024</v>
      </c>
      <c r="R1961" t="str">
        <f>TEXT(tblTransactions[[#This Row],[Date]],"DDDD")</f>
        <v>Sunday</v>
      </c>
      <c r="S1961">
        <f>MONTH(tblTransactions[[#This Row],[Date]])</f>
        <v>2</v>
      </c>
      <c r="T1961" t="str">
        <f>VLOOKUP(E1961, Products!$A:$B,2,0)</f>
        <v>Desks Fur-4</v>
      </c>
      <c r="U1961" t="str">
        <f>VLOOKUP(E1961,Products!$A:$C,3,0)</f>
        <v>Furniture</v>
      </c>
      <c r="V1961" t="str">
        <f>VLOOKUP(E1961,Products!$A:$D,4,0)</f>
        <v>Desks</v>
      </c>
      <c r="W1961" t="str">
        <f>VLOOKUP(D1961,Customers!$A:$C,3,0)</f>
        <v>B2C</v>
      </c>
      <c r="X1961" t="str">
        <f>VLOOKUP(C1961,Sales_Representatives!$A:$B,2,0)</f>
        <v>Thomas Lopez</v>
      </c>
    </row>
    <row r="1962" spans="1:24" x14ac:dyDescent="0.3">
      <c r="A1962" t="s">
        <v>2805</v>
      </c>
      <c r="B1962" t="s">
        <v>2799</v>
      </c>
      <c r="C1962" t="s">
        <v>107</v>
      </c>
      <c r="D1962" t="s">
        <v>124</v>
      </c>
      <c r="E1962" t="s">
        <v>221</v>
      </c>
      <c r="F1962">
        <v>18</v>
      </c>
      <c r="G1962">
        <v>210.02</v>
      </c>
      <c r="H1962">
        <v>0.15</v>
      </c>
      <c r="I1962" s="4">
        <v>3213.31</v>
      </c>
      <c r="J1962" t="s">
        <v>109</v>
      </c>
      <c r="K1962" t="s">
        <v>48</v>
      </c>
      <c r="L1962" s="4">
        <f>VLOOKUP(tblTransactions[[#This Row],[Product_ID]],tblProducts[],5,FALSE)</f>
        <v>131.66</v>
      </c>
      <c r="M1962" s="4">
        <f>tblTransactions[[#This Row],[Total_Amount]]-(tblTransactions[[#This Row],[Cost_Prices]]*tblTransactions[[#This Row],[Quantity]]*(1-tblTransactions[[#This Row],[Discount]]))</f>
        <v>1198.9119999999998</v>
      </c>
      <c r="N1962" s="3">
        <f>tblTransactions[[#This Row],[Profit]]/tblTransactions[[#This Row],[Total_Amount]]</f>
        <v>0.37310810348207918</v>
      </c>
      <c r="O1962" t="str">
        <f>TEXT(tblTransactions[[#This Row],[Date]], "MMM-YYYY")</f>
        <v>Feb-2024</v>
      </c>
      <c r="P1962" t="str">
        <f>"Q"&amp;ROUNDUP(MONTH(tblTransactions[[#This Row],[Date]])/3,0)&amp;"-"&amp;YEAR(tblTransactions[[#This Row],[Date]])</f>
        <v>Q1-2024</v>
      </c>
      <c r="Q1962">
        <f>YEAR(tblTransactions[[#This Row],[Date]])</f>
        <v>2024</v>
      </c>
      <c r="R1962" t="str">
        <f>TEXT(tblTransactions[[#This Row],[Date]],"DDDD")</f>
        <v>Sunday</v>
      </c>
      <c r="S1962">
        <f>MONTH(tblTransactions[[#This Row],[Date]])</f>
        <v>2</v>
      </c>
      <c r="T1962" t="str">
        <f>VLOOKUP(E1962, Products!$A:$B,2,0)</f>
        <v>Storage Fur-2</v>
      </c>
      <c r="U1962" t="str">
        <f>VLOOKUP(E1962,Products!$A:$C,3,0)</f>
        <v>Furniture</v>
      </c>
      <c r="V1962" t="str">
        <f>VLOOKUP(E1962,Products!$A:$D,4,0)</f>
        <v>Storage</v>
      </c>
      <c r="W1962" t="str">
        <f>VLOOKUP(D1962,Customers!$A:$C,3,0)</f>
        <v>B2B</v>
      </c>
      <c r="X1962" t="str">
        <f>VLOOKUP(C1962,Sales_Representatives!$A:$B,2,0)</f>
        <v>Jennifer Brown</v>
      </c>
    </row>
    <row r="1963" spans="1:24" x14ac:dyDescent="0.3">
      <c r="A1963" t="s">
        <v>2806</v>
      </c>
      <c r="B1963" t="s">
        <v>2799</v>
      </c>
      <c r="C1963" t="s">
        <v>75</v>
      </c>
      <c r="D1963" t="s">
        <v>112</v>
      </c>
      <c r="E1963" t="s">
        <v>20</v>
      </c>
      <c r="F1963">
        <v>32</v>
      </c>
      <c r="G1963">
        <v>1219.49</v>
      </c>
      <c r="H1963">
        <v>0.24</v>
      </c>
      <c r="I1963" s="4">
        <v>29658</v>
      </c>
      <c r="J1963" t="s">
        <v>44</v>
      </c>
      <c r="K1963" t="s">
        <v>39</v>
      </c>
      <c r="L1963" s="4">
        <f>VLOOKUP(tblTransactions[[#This Row],[Product_ID]],tblProducts[],5,FALSE)</f>
        <v>686.9</v>
      </c>
      <c r="M1963" s="4">
        <f>tblTransactions[[#This Row],[Total_Amount]]-(tblTransactions[[#This Row],[Cost_Prices]]*tblTransactions[[#This Row],[Quantity]]*(1-tblTransactions[[#This Row],[Discount]]))</f>
        <v>12952.592000000001</v>
      </c>
      <c r="N1963" s="3">
        <f>tblTransactions[[#This Row],[Profit]]/tblTransactions[[#This Row],[Total_Amount]]</f>
        <v>0.43673180929260236</v>
      </c>
      <c r="O1963" t="str">
        <f>TEXT(tblTransactions[[#This Row],[Date]], "MMM-YYYY")</f>
        <v>Feb-2024</v>
      </c>
      <c r="P1963" t="str">
        <f>"Q"&amp;ROUNDUP(MONTH(tblTransactions[[#This Row],[Date]])/3,0)&amp;"-"&amp;YEAR(tblTransactions[[#This Row],[Date]])</f>
        <v>Q1-2024</v>
      </c>
      <c r="Q1963">
        <f>YEAR(tblTransactions[[#This Row],[Date]])</f>
        <v>2024</v>
      </c>
      <c r="R1963" t="str">
        <f>TEXT(tblTransactions[[#This Row],[Date]],"DDDD")</f>
        <v>Sunday</v>
      </c>
      <c r="S1963">
        <f>MONTH(tblTransactions[[#This Row],[Date]])</f>
        <v>2</v>
      </c>
      <c r="T1963" t="str">
        <f>VLOOKUP(E1963, Products!$A:$B,2,0)</f>
        <v>Laptops Ele-1</v>
      </c>
      <c r="U1963" t="str">
        <f>VLOOKUP(E1963,Products!$A:$C,3,0)</f>
        <v>Electronics</v>
      </c>
      <c r="V1963" t="str">
        <f>VLOOKUP(E1963,Products!$A:$D,4,0)</f>
        <v>Laptops</v>
      </c>
      <c r="W1963" t="str">
        <f>VLOOKUP(D1963,Customers!$A:$C,3,0)</f>
        <v>Enterprise</v>
      </c>
      <c r="X1963" t="str">
        <f>VLOOKUP(C1963,Sales_Representatives!$A:$B,2,0)</f>
        <v>Jessica Anderson</v>
      </c>
    </row>
    <row r="1964" spans="1:24" x14ac:dyDescent="0.3">
      <c r="A1964" t="s">
        <v>2807</v>
      </c>
      <c r="B1964" t="s">
        <v>2808</v>
      </c>
      <c r="C1964" t="s">
        <v>107</v>
      </c>
      <c r="D1964" t="s">
        <v>1518</v>
      </c>
      <c r="E1964" t="s">
        <v>121</v>
      </c>
      <c r="F1964">
        <v>1</v>
      </c>
      <c r="G1964">
        <v>183.9</v>
      </c>
      <c r="H1964">
        <v>0.03</v>
      </c>
      <c r="I1964" s="4">
        <v>178.38</v>
      </c>
      <c r="J1964" t="s">
        <v>109</v>
      </c>
      <c r="K1964" t="s">
        <v>48</v>
      </c>
      <c r="L1964" s="4">
        <f>VLOOKUP(tblTransactions[[#This Row],[Product_ID]],tblProducts[],5,FALSE)</f>
        <v>116.83</v>
      </c>
      <c r="M1964" s="4">
        <f>tblTransactions[[#This Row],[Total_Amount]]-(tblTransactions[[#This Row],[Cost_Prices]]*tblTransactions[[#This Row],[Quantity]]*(1-tblTransactions[[#This Row],[Discount]]))</f>
        <v>65.054900000000004</v>
      </c>
      <c r="N1964" s="3">
        <f>tblTransactions[[#This Row],[Profit]]/tblTransactions[[#This Row],[Total_Amount]]</f>
        <v>0.36469839668124232</v>
      </c>
      <c r="O1964" t="str">
        <f>TEXT(tblTransactions[[#This Row],[Date]], "MMM-YYYY")</f>
        <v>Feb-2024</v>
      </c>
      <c r="P1964" t="str">
        <f>"Q"&amp;ROUNDUP(MONTH(tblTransactions[[#This Row],[Date]])/3,0)&amp;"-"&amp;YEAR(tblTransactions[[#This Row],[Date]])</f>
        <v>Q1-2024</v>
      </c>
      <c r="Q1964">
        <f>YEAR(tblTransactions[[#This Row],[Date]])</f>
        <v>2024</v>
      </c>
      <c r="R1964" t="str">
        <f>TEXT(tblTransactions[[#This Row],[Date]],"DDDD")</f>
        <v>Tuesday</v>
      </c>
      <c r="S1964">
        <f>MONTH(tblTransactions[[#This Row],[Date]])</f>
        <v>2</v>
      </c>
      <c r="T1964" t="str">
        <f>VLOOKUP(E1964, Products!$A:$B,2,0)</f>
        <v>Pens Off-3</v>
      </c>
      <c r="U1964" t="str">
        <f>VLOOKUP(E1964,Products!$A:$C,3,0)</f>
        <v>Office Supplies</v>
      </c>
      <c r="V1964" t="str">
        <f>VLOOKUP(E1964,Products!$A:$D,4,0)</f>
        <v>Pens</v>
      </c>
      <c r="W1964" t="str">
        <f>VLOOKUP(D1964,Customers!$A:$C,3,0)</f>
        <v>B2C</v>
      </c>
      <c r="X1964" t="str">
        <f>VLOOKUP(C1964,Sales_Representatives!$A:$B,2,0)</f>
        <v>Jennifer Brown</v>
      </c>
    </row>
    <row r="1965" spans="1:24" x14ac:dyDescent="0.3">
      <c r="A1965" t="s">
        <v>2809</v>
      </c>
      <c r="B1965" t="s">
        <v>2808</v>
      </c>
      <c r="C1965" t="s">
        <v>31</v>
      </c>
      <c r="D1965" t="s">
        <v>1500</v>
      </c>
      <c r="E1965" t="s">
        <v>310</v>
      </c>
      <c r="F1965">
        <v>7</v>
      </c>
      <c r="G1965">
        <v>274.13</v>
      </c>
      <c r="H1965">
        <v>0.15</v>
      </c>
      <c r="I1965" s="4">
        <v>1631.07</v>
      </c>
      <c r="J1965" t="s">
        <v>34</v>
      </c>
      <c r="K1965" t="s">
        <v>48</v>
      </c>
      <c r="L1965" s="4">
        <f>VLOOKUP(tblTransactions[[#This Row],[Product_ID]],tblProducts[],5,FALSE)</f>
        <v>134.41999999999999</v>
      </c>
      <c r="M1965" s="4">
        <f>tblTransactions[[#This Row],[Total_Amount]]-(tblTransactions[[#This Row],[Cost_Prices]]*tblTransactions[[#This Row],[Quantity]]*(1-tblTransactions[[#This Row],[Discount]]))</f>
        <v>831.27099999999996</v>
      </c>
      <c r="N1965" s="3">
        <f>tblTransactions[[#This Row],[Profit]]/tblTransactions[[#This Row],[Total_Amount]]</f>
        <v>0.50964765460709838</v>
      </c>
      <c r="O1965" t="str">
        <f>TEXT(tblTransactions[[#This Row],[Date]], "MMM-YYYY")</f>
        <v>Feb-2024</v>
      </c>
      <c r="P1965" t="str">
        <f>"Q"&amp;ROUNDUP(MONTH(tblTransactions[[#This Row],[Date]])/3,0)&amp;"-"&amp;YEAR(tblTransactions[[#This Row],[Date]])</f>
        <v>Q1-2024</v>
      </c>
      <c r="Q1965">
        <f>YEAR(tblTransactions[[#This Row],[Date]])</f>
        <v>2024</v>
      </c>
      <c r="R1965" t="str">
        <f>TEXT(tblTransactions[[#This Row],[Date]],"DDDD")</f>
        <v>Tuesday</v>
      </c>
      <c r="S1965">
        <f>MONTH(tblTransactions[[#This Row],[Date]])</f>
        <v>2</v>
      </c>
      <c r="T1965" t="str">
        <f>VLOOKUP(E1965, Products!$A:$B,2,0)</f>
        <v>Adapters Acc-4</v>
      </c>
      <c r="U1965" t="str">
        <f>VLOOKUP(E1965,Products!$A:$C,3,0)</f>
        <v>Accessories</v>
      </c>
      <c r="V1965" t="str">
        <f>VLOOKUP(E1965,Products!$A:$D,4,0)</f>
        <v>Adapters</v>
      </c>
      <c r="W1965" t="str">
        <f>VLOOKUP(D1965,Customers!$A:$C,3,0)</f>
        <v>B2C</v>
      </c>
      <c r="X1965" t="str">
        <f>VLOOKUP(C1965,Sales_Representatives!$A:$B,2,0)</f>
        <v>Thomas Martinez</v>
      </c>
    </row>
    <row r="1966" spans="1:24" x14ac:dyDescent="0.3">
      <c r="A1966" t="s">
        <v>2810</v>
      </c>
      <c r="B1966" t="s">
        <v>2808</v>
      </c>
      <c r="C1966" t="s">
        <v>27</v>
      </c>
      <c r="D1966" t="s">
        <v>2407</v>
      </c>
      <c r="E1966" t="s">
        <v>198</v>
      </c>
      <c r="F1966">
        <v>2</v>
      </c>
      <c r="G1966">
        <v>1802.96</v>
      </c>
      <c r="H1966">
        <v>0.02</v>
      </c>
      <c r="I1966" s="4">
        <v>3533.8</v>
      </c>
      <c r="J1966" t="s">
        <v>16</v>
      </c>
      <c r="K1966" t="s">
        <v>48</v>
      </c>
      <c r="L1966" s="4">
        <f>VLOOKUP(tblTransactions[[#This Row],[Product_ID]],tblProducts[],5,FALSE)</f>
        <v>1282.18</v>
      </c>
      <c r="M1966" s="4">
        <f>tblTransactions[[#This Row],[Total_Amount]]-(tblTransactions[[#This Row],[Cost_Prices]]*tblTransactions[[#This Row],[Quantity]]*(1-tblTransactions[[#This Row],[Discount]]))</f>
        <v>1020.7272000000003</v>
      </c>
      <c r="N1966" s="3">
        <f>tblTransactions[[#This Row],[Profit]]/tblTransactions[[#This Row],[Total_Amount]]</f>
        <v>0.28884690701228144</v>
      </c>
      <c r="O1966" t="str">
        <f>TEXT(tblTransactions[[#This Row],[Date]], "MMM-YYYY")</f>
        <v>Feb-2024</v>
      </c>
      <c r="P1966" t="str">
        <f>"Q"&amp;ROUNDUP(MONTH(tblTransactions[[#This Row],[Date]])/3,0)&amp;"-"&amp;YEAR(tblTransactions[[#This Row],[Date]])</f>
        <v>Q1-2024</v>
      </c>
      <c r="Q1966">
        <f>YEAR(tblTransactions[[#This Row],[Date]])</f>
        <v>2024</v>
      </c>
      <c r="R1966" t="str">
        <f>TEXT(tblTransactions[[#This Row],[Date]],"DDDD")</f>
        <v>Tuesday</v>
      </c>
      <c r="S1966">
        <f>MONTH(tblTransactions[[#This Row],[Date]])</f>
        <v>2</v>
      </c>
      <c r="T1966" t="str">
        <f>VLOOKUP(E1966, Products!$A:$B,2,0)</f>
        <v>Tablets Ele-3</v>
      </c>
      <c r="U1966" t="str">
        <f>VLOOKUP(E1966,Products!$A:$C,3,0)</f>
        <v>Electronics</v>
      </c>
      <c r="V1966" t="str">
        <f>VLOOKUP(E1966,Products!$A:$D,4,0)</f>
        <v>Tablets</v>
      </c>
      <c r="W1966" t="str">
        <f>VLOOKUP(D1966,Customers!$A:$C,3,0)</f>
        <v>B2C</v>
      </c>
      <c r="X1966" t="str">
        <f>VLOOKUP(C1966,Sales_Representatives!$A:$B,2,0)</f>
        <v>Thomas Lopez</v>
      </c>
    </row>
    <row r="1967" spans="1:24" x14ac:dyDescent="0.3">
      <c r="A1967" t="s">
        <v>2811</v>
      </c>
      <c r="B1967" t="s">
        <v>2808</v>
      </c>
      <c r="C1967" t="s">
        <v>31</v>
      </c>
      <c r="D1967" t="s">
        <v>71</v>
      </c>
      <c r="E1967" t="s">
        <v>125</v>
      </c>
      <c r="F1967">
        <v>6</v>
      </c>
      <c r="G1967">
        <v>1201.4000000000001</v>
      </c>
      <c r="H1967">
        <v>0.1</v>
      </c>
      <c r="I1967" s="4">
        <v>6487.56</v>
      </c>
      <c r="J1967" t="s">
        <v>34</v>
      </c>
      <c r="K1967" t="s">
        <v>22</v>
      </c>
      <c r="L1967" s="4">
        <f>VLOOKUP(tblTransactions[[#This Row],[Product_ID]],tblProducts[],5,FALSE)</f>
        <v>672.72</v>
      </c>
      <c r="M1967" s="4">
        <f>tblTransactions[[#This Row],[Total_Amount]]-(tblTransactions[[#This Row],[Cost_Prices]]*tblTransactions[[#This Row],[Quantity]]*(1-tblTransactions[[#This Row],[Discount]]))</f>
        <v>2854.8720000000003</v>
      </c>
      <c r="N1967" s="3">
        <f>tblTransactions[[#This Row],[Profit]]/tblTransactions[[#This Row],[Total_Amount]]</f>
        <v>0.44005327118361914</v>
      </c>
      <c r="O1967" t="str">
        <f>TEXT(tblTransactions[[#This Row],[Date]], "MMM-YYYY")</f>
        <v>Feb-2024</v>
      </c>
      <c r="P1967" t="str">
        <f>"Q"&amp;ROUNDUP(MONTH(tblTransactions[[#This Row],[Date]])/3,0)&amp;"-"&amp;YEAR(tblTransactions[[#This Row],[Date]])</f>
        <v>Q1-2024</v>
      </c>
      <c r="Q1967">
        <f>YEAR(tblTransactions[[#This Row],[Date]])</f>
        <v>2024</v>
      </c>
      <c r="R1967" t="str">
        <f>TEXT(tblTransactions[[#This Row],[Date]],"DDDD")</f>
        <v>Tuesday</v>
      </c>
      <c r="S1967">
        <f>MONTH(tblTransactions[[#This Row],[Date]])</f>
        <v>2</v>
      </c>
      <c r="T1967" t="str">
        <f>VLOOKUP(E1967, Products!$A:$B,2,0)</f>
        <v>Printers Tec-2</v>
      </c>
      <c r="U1967" t="str">
        <f>VLOOKUP(E1967,Products!$A:$C,3,0)</f>
        <v>Technology</v>
      </c>
      <c r="V1967" t="str">
        <f>VLOOKUP(E1967,Products!$A:$D,4,0)</f>
        <v>Printers</v>
      </c>
      <c r="W1967" t="str">
        <f>VLOOKUP(D1967,Customers!$A:$C,3,0)</f>
        <v>B2B</v>
      </c>
      <c r="X1967" t="str">
        <f>VLOOKUP(C1967,Sales_Representatives!$A:$B,2,0)</f>
        <v>Thomas Martinez</v>
      </c>
    </row>
    <row r="1968" spans="1:24" x14ac:dyDescent="0.3">
      <c r="A1968" t="s">
        <v>2812</v>
      </c>
      <c r="B1968" t="s">
        <v>2813</v>
      </c>
      <c r="C1968" t="s">
        <v>75</v>
      </c>
      <c r="D1968" t="s">
        <v>1774</v>
      </c>
      <c r="E1968" t="s">
        <v>25</v>
      </c>
      <c r="F1968">
        <v>14</v>
      </c>
      <c r="G1968">
        <v>1467.49</v>
      </c>
      <c r="H1968">
        <v>0.14000000000000001</v>
      </c>
      <c r="I1968" s="4">
        <v>17668.580000000002</v>
      </c>
      <c r="J1968" t="s">
        <v>44</v>
      </c>
      <c r="K1968" t="s">
        <v>39</v>
      </c>
      <c r="L1968" s="4">
        <f>VLOOKUP(tblTransactions[[#This Row],[Product_ID]],tblProducts[],5,FALSE)</f>
        <v>757.65</v>
      </c>
      <c r="M1968" s="4">
        <f>tblTransactions[[#This Row],[Total_Amount]]-(tblTransactions[[#This Row],[Cost_Prices]]*tblTransactions[[#This Row],[Quantity]]*(1-tblTransactions[[#This Row],[Discount]]))</f>
        <v>8546.474000000002</v>
      </c>
      <c r="N1968" s="3">
        <f>tblTransactions[[#This Row],[Profit]]/tblTransactions[[#This Row],[Total_Amount]]</f>
        <v>0.48371029250794356</v>
      </c>
      <c r="O1968" t="str">
        <f>TEXT(tblTransactions[[#This Row],[Date]], "MMM-YYYY")</f>
        <v>Feb-2024</v>
      </c>
      <c r="P1968" t="str">
        <f>"Q"&amp;ROUNDUP(MONTH(tblTransactions[[#This Row],[Date]])/3,0)&amp;"-"&amp;YEAR(tblTransactions[[#This Row],[Date]])</f>
        <v>Q1-2024</v>
      </c>
      <c r="Q1968">
        <f>YEAR(tblTransactions[[#This Row],[Date]])</f>
        <v>2024</v>
      </c>
      <c r="R1968" t="str">
        <f>TEXT(tblTransactions[[#This Row],[Date]],"DDDD")</f>
        <v>Wednesday</v>
      </c>
      <c r="S1968">
        <f>MONTH(tblTransactions[[#This Row],[Date]])</f>
        <v>2</v>
      </c>
      <c r="T1968" t="str">
        <f>VLOOKUP(E1968, Products!$A:$B,2,0)</f>
        <v>Tables Fur-3</v>
      </c>
      <c r="U1968" t="str">
        <f>VLOOKUP(E1968,Products!$A:$C,3,0)</f>
        <v>Furniture</v>
      </c>
      <c r="V1968" t="str">
        <f>VLOOKUP(E1968,Products!$A:$D,4,0)</f>
        <v>Tables</v>
      </c>
      <c r="W1968" t="str">
        <f>VLOOKUP(D1968,Customers!$A:$C,3,0)</f>
        <v>Enterprise</v>
      </c>
      <c r="X1968" t="str">
        <f>VLOOKUP(C1968,Sales_Representatives!$A:$B,2,0)</f>
        <v>Jessica Anderson</v>
      </c>
    </row>
    <row r="1969" spans="1:24" x14ac:dyDescent="0.3">
      <c r="A1969" t="s">
        <v>2814</v>
      </c>
      <c r="B1969" t="s">
        <v>2813</v>
      </c>
      <c r="C1969" t="s">
        <v>131</v>
      </c>
      <c r="D1969" t="s">
        <v>1813</v>
      </c>
      <c r="E1969" t="s">
        <v>89</v>
      </c>
      <c r="F1969">
        <v>30</v>
      </c>
      <c r="G1969">
        <v>555.08000000000004</v>
      </c>
      <c r="H1969">
        <v>0.17</v>
      </c>
      <c r="I1969" s="4">
        <v>13821.49</v>
      </c>
      <c r="J1969" t="s">
        <v>44</v>
      </c>
      <c r="K1969" t="s">
        <v>35</v>
      </c>
      <c r="L1969" s="4">
        <f>VLOOKUP(tblTransactions[[#This Row],[Product_ID]],tblProducts[],5,FALSE)</f>
        <v>402.82</v>
      </c>
      <c r="M1969" s="4">
        <f>tblTransactions[[#This Row],[Total_Amount]]-(tblTransactions[[#This Row],[Cost_Prices]]*tblTransactions[[#This Row],[Quantity]]*(1-tblTransactions[[#This Row],[Discount]]))</f>
        <v>3791.2720000000008</v>
      </c>
      <c r="N1969" s="3">
        <f>tblTransactions[[#This Row],[Profit]]/tblTransactions[[#This Row],[Total_Amount]]</f>
        <v>0.27430269818955849</v>
      </c>
      <c r="O1969" t="str">
        <f>TEXT(tblTransactions[[#This Row],[Date]], "MMM-YYYY")</f>
        <v>Feb-2024</v>
      </c>
      <c r="P1969" t="str">
        <f>"Q"&amp;ROUNDUP(MONTH(tblTransactions[[#This Row],[Date]])/3,0)&amp;"-"&amp;YEAR(tblTransactions[[#This Row],[Date]])</f>
        <v>Q1-2024</v>
      </c>
      <c r="Q1969">
        <f>YEAR(tblTransactions[[#This Row],[Date]])</f>
        <v>2024</v>
      </c>
      <c r="R1969" t="str">
        <f>TEXT(tblTransactions[[#This Row],[Date]],"DDDD")</f>
        <v>Wednesday</v>
      </c>
      <c r="S1969">
        <f>MONTH(tblTransactions[[#This Row],[Date]])</f>
        <v>2</v>
      </c>
      <c r="T1969" t="str">
        <f>VLOOKUP(E1969, Products!$A:$B,2,0)</f>
        <v>Laptops Ele-3</v>
      </c>
      <c r="U1969" t="str">
        <f>VLOOKUP(E1969,Products!$A:$C,3,0)</f>
        <v>Electronics</v>
      </c>
      <c r="V1969" t="str">
        <f>VLOOKUP(E1969,Products!$A:$D,4,0)</f>
        <v>Laptops</v>
      </c>
      <c r="W1969" t="str">
        <f>VLOOKUP(D1969,Customers!$A:$C,3,0)</f>
        <v>Enterprise</v>
      </c>
      <c r="X1969" t="str">
        <f>VLOOKUP(C1969,Sales_Representatives!$A:$B,2,0)</f>
        <v>Michael Davis</v>
      </c>
    </row>
    <row r="1970" spans="1:24" x14ac:dyDescent="0.3">
      <c r="A1970" t="s">
        <v>2815</v>
      </c>
      <c r="B1970" t="s">
        <v>2813</v>
      </c>
      <c r="C1970" t="s">
        <v>82</v>
      </c>
      <c r="D1970" t="s">
        <v>1752</v>
      </c>
      <c r="E1970" t="s">
        <v>394</v>
      </c>
      <c r="F1970">
        <v>12</v>
      </c>
      <c r="G1970">
        <v>314.69</v>
      </c>
      <c r="H1970">
        <v>0.11</v>
      </c>
      <c r="I1970" s="4">
        <v>3360.89</v>
      </c>
      <c r="J1970" t="s">
        <v>34</v>
      </c>
      <c r="K1970" t="s">
        <v>48</v>
      </c>
      <c r="L1970" s="4">
        <f>VLOOKUP(tblTransactions[[#This Row],[Product_ID]],tblProducts[],5,FALSE)</f>
        <v>185.43</v>
      </c>
      <c r="M1970" s="4">
        <f>tblTransactions[[#This Row],[Total_Amount]]-(tblTransactions[[#This Row],[Cost_Prices]]*tblTransactions[[#This Row],[Quantity]]*(1-tblTransactions[[#This Row],[Discount]]))</f>
        <v>1380.4975999999999</v>
      </c>
      <c r="N1970" s="3">
        <f>tblTransactions[[#This Row],[Profit]]/tblTransactions[[#This Row],[Total_Amount]]</f>
        <v>0.41075358015287616</v>
      </c>
      <c r="O1970" t="str">
        <f>TEXT(tblTransactions[[#This Row],[Date]], "MMM-YYYY")</f>
        <v>Feb-2024</v>
      </c>
      <c r="P1970" t="str">
        <f>"Q"&amp;ROUNDUP(MONTH(tblTransactions[[#This Row],[Date]])/3,0)&amp;"-"&amp;YEAR(tblTransactions[[#This Row],[Date]])</f>
        <v>Q1-2024</v>
      </c>
      <c r="Q1970">
        <f>YEAR(tblTransactions[[#This Row],[Date]])</f>
        <v>2024</v>
      </c>
      <c r="R1970" t="str">
        <f>TEXT(tblTransactions[[#This Row],[Date]],"DDDD")</f>
        <v>Wednesday</v>
      </c>
      <c r="S1970">
        <f>MONTH(tblTransactions[[#This Row],[Date]])</f>
        <v>2</v>
      </c>
      <c r="T1970" t="str">
        <f>VLOOKUP(E1970, Products!$A:$B,2,0)</f>
        <v>Desks Fur-1</v>
      </c>
      <c r="U1970" t="str">
        <f>VLOOKUP(E1970,Products!$A:$C,3,0)</f>
        <v>Furniture</v>
      </c>
      <c r="V1970" t="str">
        <f>VLOOKUP(E1970,Products!$A:$D,4,0)</f>
        <v>Desks</v>
      </c>
      <c r="W1970" t="str">
        <f>VLOOKUP(D1970,Customers!$A:$C,3,0)</f>
        <v>B2B</v>
      </c>
      <c r="X1970" t="str">
        <f>VLOOKUP(C1970,Sales_Representatives!$A:$B,2,0)</f>
        <v>John Brown</v>
      </c>
    </row>
    <row r="1971" spans="1:24" x14ac:dyDescent="0.3">
      <c r="A1971" t="s">
        <v>2816</v>
      </c>
      <c r="B1971" t="s">
        <v>2817</v>
      </c>
      <c r="C1971" t="s">
        <v>127</v>
      </c>
      <c r="D1971" t="s">
        <v>2407</v>
      </c>
      <c r="E1971" t="s">
        <v>479</v>
      </c>
      <c r="F1971">
        <v>1</v>
      </c>
      <c r="G1971">
        <v>239.6</v>
      </c>
      <c r="H1971">
        <v>0.02</v>
      </c>
      <c r="I1971" s="4">
        <v>234.81</v>
      </c>
      <c r="J1971" t="s">
        <v>109</v>
      </c>
      <c r="K1971" t="s">
        <v>22</v>
      </c>
      <c r="L1971" s="4">
        <f>VLOOKUP(tblTransactions[[#This Row],[Product_ID]],tblProducts[],5,FALSE)</f>
        <v>107.49</v>
      </c>
      <c r="M1971" s="4">
        <f>tblTransactions[[#This Row],[Total_Amount]]-(tblTransactions[[#This Row],[Cost_Prices]]*tblTransactions[[#This Row],[Quantity]]*(1-tblTransactions[[#This Row],[Discount]]))</f>
        <v>129.46980000000002</v>
      </c>
      <c r="N1971" s="3">
        <f>tblTransactions[[#This Row],[Profit]]/tblTransactions[[#This Row],[Total_Amount]]</f>
        <v>0.55138111664750233</v>
      </c>
      <c r="O1971" t="str">
        <f>TEXT(tblTransactions[[#This Row],[Date]], "MMM-YYYY")</f>
        <v>Feb-2024</v>
      </c>
      <c r="P1971" t="str">
        <f>"Q"&amp;ROUNDUP(MONTH(tblTransactions[[#This Row],[Date]])/3,0)&amp;"-"&amp;YEAR(tblTransactions[[#This Row],[Date]])</f>
        <v>Q1-2024</v>
      </c>
      <c r="Q1971">
        <f>YEAR(tblTransactions[[#This Row],[Date]])</f>
        <v>2024</v>
      </c>
      <c r="R1971" t="str">
        <f>TEXT(tblTransactions[[#This Row],[Date]],"DDDD")</f>
        <v>Thursday</v>
      </c>
      <c r="S1971">
        <f>MONTH(tblTransactions[[#This Row],[Date]])</f>
        <v>2</v>
      </c>
      <c r="T1971" t="str">
        <f>VLOOKUP(E1971, Products!$A:$B,2,0)</f>
        <v>Pens Off-2</v>
      </c>
      <c r="U1971" t="str">
        <f>VLOOKUP(E1971,Products!$A:$C,3,0)</f>
        <v>Office Supplies</v>
      </c>
      <c r="V1971" t="str">
        <f>VLOOKUP(E1971,Products!$A:$D,4,0)</f>
        <v>Pens</v>
      </c>
      <c r="W1971" t="str">
        <f>VLOOKUP(D1971,Customers!$A:$C,3,0)</f>
        <v>B2C</v>
      </c>
      <c r="X1971" t="str">
        <f>VLOOKUP(C1971,Sales_Representatives!$A:$B,2,0)</f>
        <v>Emily Hernandez</v>
      </c>
    </row>
    <row r="1972" spans="1:24" x14ac:dyDescent="0.3">
      <c r="A1972" t="s">
        <v>2818</v>
      </c>
      <c r="B1972" t="s">
        <v>2817</v>
      </c>
      <c r="C1972" t="s">
        <v>19</v>
      </c>
      <c r="D1972" t="s">
        <v>164</v>
      </c>
      <c r="E1972" t="s">
        <v>102</v>
      </c>
      <c r="F1972">
        <v>4</v>
      </c>
      <c r="G1972">
        <v>1097.75</v>
      </c>
      <c r="H1972">
        <v>0.05</v>
      </c>
      <c r="I1972" s="4">
        <v>4171.45</v>
      </c>
      <c r="J1972" t="s">
        <v>21</v>
      </c>
      <c r="K1972" t="s">
        <v>48</v>
      </c>
      <c r="L1972" s="4">
        <f>VLOOKUP(tblTransactions[[#This Row],[Product_ID]],tblProducts[],5,FALSE)</f>
        <v>680.12</v>
      </c>
      <c r="M1972" s="4">
        <f>tblTransactions[[#This Row],[Total_Amount]]-(tblTransactions[[#This Row],[Cost_Prices]]*tblTransactions[[#This Row],[Quantity]]*(1-tblTransactions[[#This Row],[Discount]]))</f>
        <v>1586.9940000000001</v>
      </c>
      <c r="N1972" s="3">
        <f>tblTransactions[[#This Row],[Profit]]/tblTransactions[[#This Row],[Total_Amount]]</f>
        <v>0.38044181279890693</v>
      </c>
      <c r="O1972" t="str">
        <f>TEXT(tblTransactions[[#This Row],[Date]], "MMM-YYYY")</f>
        <v>Feb-2024</v>
      </c>
      <c r="P1972" t="str">
        <f>"Q"&amp;ROUNDUP(MONTH(tblTransactions[[#This Row],[Date]])/3,0)&amp;"-"&amp;YEAR(tblTransactions[[#This Row],[Date]])</f>
        <v>Q1-2024</v>
      </c>
      <c r="Q1972">
        <f>YEAR(tblTransactions[[#This Row],[Date]])</f>
        <v>2024</v>
      </c>
      <c r="R1972" t="str">
        <f>TEXT(tblTransactions[[#This Row],[Date]],"DDDD")</f>
        <v>Thursday</v>
      </c>
      <c r="S1972">
        <f>MONTH(tblTransactions[[#This Row],[Date]])</f>
        <v>2</v>
      </c>
      <c r="T1972" t="str">
        <f>VLOOKUP(E1972, Products!$A:$B,2,0)</f>
        <v>Storage Fur-4</v>
      </c>
      <c r="U1972" t="str">
        <f>VLOOKUP(E1972,Products!$A:$C,3,0)</f>
        <v>Furniture</v>
      </c>
      <c r="V1972" t="str">
        <f>VLOOKUP(E1972,Products!$A:$D,4,0)</f>
        <v>Storage</v>
      </c>
      <c r="W1972" t="str">
        <f>VLOOKUP(D1972,Customers!$A:$C,3,0)</f>
        <v>Small Business</v>
      </c>
      <c r="X1972" t="str">
        <f>VLOOKUP(C1972,Sales_Representatives!$A:$B,2,0)</f>
        <v>Robert Jones</v>
      </c>
    </row>
    <row r="1973" spans="1:24" x14ac:dyDescent="0.3">
      <c r="A1973" t="s">
        <v>2819</v>
      </c>
      <c r="B1973" t="s">
        <v>2817</v>
      </c>
      <c r="C1973" t="s">
        <v>56</v>
      </c>
      <c r="D1973" t="s">
        <v>1475</v>
      </c>
      <c r="E1973" t="s">
        <v>96</v>
      </c>
      <c r="F1973">
        <v>20</v>
      </c>
      <c r="G1973">
        <v>751.9</v>
      </c>
      <c r="H1973">
        <v>0.17</v>
      </c>
      <c r="I1973" s="4">
        <v>12481.54</v>
      </c>
      <c r="J1973" t="s">
        <v>34</v>
      </c>
      <c r="K1973" t="s">
        <v>48</v>
      </c>
      <c r="L1973" s="4">
        <f>VLOOKUP(tblTransactions[[#This Row],[Product_ID]],tblProducts[],5,FALSE)</f>
        <v>570.29</v>
      </c>
      <c r="M1973" s="4">
        <f>tblTransactions[[#This Row],[Total_Amount]]-(tblTransactions[[#This Row],[Cost_Prices]]*tblTransactions[[#This Row],[Quantity]]*(1-tblTransactions[[#This Row],[Discount]]))</f>
        <v>3014.7260000000024</v>
      </c>
      <c r="N1973" s="3">
        <f>tblTransactions[[#This Row],[Profit]]/tblTransactions[[#This Row],[Total_Amount]]</f>
        <v>0.24153477856097902</v>
      </c>
      <c r="O1973" t="str">
        <f>TEXT(tblTransactions[[#This Row],[Date]], "MMM-YYYY")</f>
        <v>Feb-2024</v>
      </c>
      <c r="P1973" t="str">
        <f>"Q"&amp;ROUNDUP(MONTH(tblTransactions[[#This Row],[Date]])/3,0)&amp;"-"&amp;YEAR(tblTransactions[[#This Row],[Date]])</f>
        <v>Q1-2024</v>
      </c>
      <c r="Q1973">
        <f>YEAR(tblTransactions[[#This Row],[Date]])</f>
        <v>2024</v>
      </c>
      <c r="R1973" t="str">
        <f>TEXT(tblTransactions[[#This Row],[Date]],"DDDD")</f>
        <v>Thursday</v>
      </c>
      <c r="S1973">
        <f>MONTH(tblTransactions[[#This Row],[Date]])</f>
        <v>2</v>
      </c>
      <c r="T1973" t="str">
        <f>VLOOKUP(E1973, Products!$A:$B,2,0)</f>
        <v>Routers Tec-1</v>
      </c>
      <c r="U1973" t="str">
        <f>VLOOKUP(E1973,Products!$A:$C,3,0)</f>
        <v>Technology</v>
      </c>
      <c r="V1973" t="str">
        <f>VLOOKUP(E1973,Products!$A:$D,4,0)</f>
        <v>Routers</v>
      </c>
      <c r="W1973" t="str">
        <f>VLOOKUP(D1973,Customers!$A:$C,3,0)</f>
        <v>Enterprise</v>
      </c>
      <c r="X1973" t="str">
        <f>VLOOKUP(C1973,Sales_Representatives!$A:$B,2,0)</f>
        <v>Thomas Hernandez</v>
      </c>
    </row>
    <row r="1974" spans="1:24" x14ac:dyDescent="0.3">
      <c r="A1974" t="s">
        <v>2820</v>
      </c>
      <c r="B1974" t="s">
        <v>2817</v>
      </c>
      <c r="C1974" t="s">
        <v>63</v>
      </c>
      <c r="D1974" t="s">
        <v>1567</v>
      </c>
      <c r="E1974" t="s">
        <v>304</v>
      </c>
      <c r="F1974">
        <v>2</v>
      </c>
      <c r="G1974">
        <v>13.43</v>
      </c>
      <c r="H1974">
        <v>7.0000000000000007E-2</v>
      </c>
      <c r="I1974" s="4">
        <v>24.98</v>
      </c>
      <c r="J1974" t="s">
        <v>21</v>
      </c>
      <c r="K1974" t="s">
        <v>48</v>
      </c>
      <c r="L1974" s="4">
        <f>VLOOKUP(tblTransactions[[#This Row],[Product_ID]],tblProducts[],5,FALSE)</f>
        <v>5.8</v>
      </c>
      <c r="M1974" s="4">
        <f>tblTransactions[[#This Row],[Total_Amount]]-(tblTransactions[[#This Row],[Cost_Prices]]*tblTransactions[[#This Row],[Quantity]]*(1-tblTransactions[[#This Row],[Discount]]))</f>
        <v>14.192000000000002</v>
      </c>
      <c r="N1974" s="3">
        <f>tblTransactions[[#This Row],[Profit]]/tblTransactions[[#This Row],[Total_Amount]]</f>
        <v>0.56813450760608497</v>
      </c>
      <c r="O1974" t="str">
        <f>TEXT(tblTransactions[[#This Row],[Date]], "MMM-YYYY")</f>
        <v>Feb-2024</v>
      </c>
      <c r="P1974" t="str">
        <f>"Q"&amp;ROUNDUP(MONTH(tblTransactions[[#This Row],[Date]])/3,0)&amp;"-"&amp;YEAR(tblTransactions[[#This Row],[Date]])</f>
        <v>Q1-2024</v>
      </c>
      <c r="Q1974">
        <f>YEAR(tblTransactions[[#This Row],[Date]])</f>
        <v>2024</v>
      </c>
      <c r="R1974" t="str">
        <f>TEXT(tblTransactions[[#This Row],[Date]],"DDDD")</f>
        <v>Thursday</v>
      </c>
      <c r="S1974">
        <f>MONTH(tblTransactions[[#This Row],[Date]])</f>
        <v>2</v>
      </c>
      <c r="T1974" t="str">
        <f>VLOOKUP(E1974, Products!$A:$B,2,0)</f>
        <v>Pens Off-1</v>
      </c>
      <c r="U1974" t="str">
        <f>VLOOKUP(E1974,Products!$A:$C,3,0)</f>
        <v>Office Supplies</v>
      </c>
      <c r="V1974" t="str">
        <f>VLOOKUP(E1974,Products!$A:$D,4,0)</f>
        <v>Pens</v>
      </c>
      <c r="W1974" t="str">
        <f>VLOOKUP(D1974,Customers!$A:$C,3,0)</f>
        <v>B2C</v>
      </c>
      <c r="X1974" t="str">
        <f>VLOOKUP(C1974,Sales_Representatives!$A:$B,2,0)</f>
        <v>Richard Wilson</v>
      </c>
    </row>
    <row r="1975" spans="1:24" x14ac:dyDescent="0.3">
      <c r="A1975" t="s">
        <v>2821</v>
      </c>
      <c r="B1975" t="s">
        <v>2817</v>
      </c>
      <c r="C1975" t="s">
        <v>13</v>
      </c>
      <c r="D1975" t="s">
        <v>2147</v>
      </c>
      <c r="E1975" t="s">
        <v>15</v>
      </c>
      <c r="F1975">
        <v>13</v>
      </c>
      <c r="G1975">
        <v>477.48</v>
      </c>
      <c r="H1975">
        <v>0.18</v>
      </c>
      <c r="I1975" s="4">
        <v>5089.9399999999996</v>
      </c>
      <c r="J1975" t="s">
        <v>16</v>
      </c>
      <c r="K1975" t="s">
        <v>35</v>
      </c>
      <c r="L1975" s="4">
        <f>VLOOKUP(tblTransactions[[#This Row],[Product_ID]],tblProducts[],5,FALSE)</f>
        <v>275.51</v>
      </c>
      <c r="M1975" s="4">
        <f>tblTransactions[[#This Row],[Total_Amount]]-(tblTransactions[[#This Row],[Cost_Prices]]*tblTransactions[[#This Row],[Quantity]]*(1-tblTransactions[[#This Row],[Discount]]))</f>
        <v>2153.0033999999991</v>
      </c>
      <c r="N1975" s="3">
        <f>tblTransactions[[#This Row],[Profit]]/tblTransactions[[#This Row],[Total_Amount]]</f>
        <v>0.42299190167271111</v>
      </c>
      <c r="O1975" t="str">
        <f>TEXT(tblTransactions[[#This Row],[Date]], "MMM-YYYY")</f>
        <v>Feb-2024</v>
      </c>
      <c r="P1975" t="str">
        <f>"Q"&amp;ROUNDUP(MONTH(tblTransactions[[#This Row],[Date]])/3,0)&amp;"-"&amp;YEAR(tblTransactions[[#This Row],[Date]])</f>
        <v>Q1-2024</v>
      </c>
      <c r="Q1975">
        <f>YEAR(tblTransactions[[#This Row],[Date]])</f>
        <v>2024</v>
      </c>
      <c r="R1975" t="str">
        <f>TEXT(tblTransactions[[#This Row],[Date]],"DDDD")</f>
        <v>Thursday</v>
      </c>
      <c r="S1975">
        <f>MONTH(tblTransactions[[#This Row],[Date]])</f>
        <v>2</v>
      </c>
      <c r="T1975" t="str">
        <f>VLOOKUP(E1975, Products!$A:$B,2,0)</f>
        <v>Laptops Ele-4</v>
      </c>
      <c r="U1975" t="str">
        <f>VLOOKUP(E1975,Products!$A:$C,3,0)</f>
        <v>Electronics</v>
      </c>
      <c r="V1975" t="str">
        <f>VLOOKUP(E1975,Products!$A:$D,4,0)</f>
        <v>Laptops</v>
      </c>
      <c r="W1975" t="str">
        <f>VLOOKUP(D1975,Customers!$A:$C,3,0)</f>
        <v>B2B</v>
      </c>
      <c r="X1975" t="str">
        <f>VLOOKUP(C1975,Sales_Representatives!$A:$B,2,0)</f>
        <v>Jennifer Rodriguez</v>
      </c>
    </row>
    <row r="1976" spans="1:24" x14ac:dyDescent="0.3">
      <c r="A1976" t="s">
        <v>2822</v>
      </c>
      <c r="B1976" t="s">
        <v>2823</v>
      </c>
      <c r="C1976" t="s">
        <v>127</v>
      </c>
      <c r="D1976" t="s">
        <v>1864</v>
      </c>
      <c r="E1976" t="s">
        <v>102</v>
      </c>
      <c r="F1976">
        <v>3</v>
      </c>
      <c r="G1976">
        <v>1097.75</v>
      </c>
      <c r="H1976">
        <v>0.06</v>
      </c>
      <c r="I1976" s="4">
        <v>3095.66</v>
      </c>
      <c r="J1976" t="s">
        <v>109</v>
      </c>
      <c r="K1976" t="s">
        <v>22</v>
      </c>
      <c r="L1976" s="4">
        <f>VLOOKUP(tblTransactions[[#This Row],[Product_ID]],tblProducts[],5,FALSE)</f>
        <v>680.12</v>
      </c>
      <c r="M1976" s="4">
        <f>tblTransactions[[#This Row],[Total_Amount]]-(tblTransactions[[#This Row],[Cost_Prices]]*tblTransactions[[#This Row],[Quantity]]*(1-tblTransactions[[#This Row],[Discount]]))</f>
        <v>1177.7215999999999</v>
      </c>
      <c r="N1976" s="3">
        <f>tblTransactions[[#This Row],[Profit]]/tblTransactions[[#This Row],[Total_Amount]]</f>
        <v>0.38044281348726927</v>
      </c>
      <c r="O1976" t="str">
        <f>TEXT(tblTransactions[[#This Row],[Date]], "MMM-YYYY")</f>
        <v>Feb-2024</v>
      </c>
      <c r="P1976" t="str">
        <f>"Q"&amp;ROUNDUP(MONTH(tblTransactions[[#This Row],[Date]])/3,0)&amp;"-"&amp;YEAR(tblTransactions[[#This Row],[Date]])</f>
        <v>Q1-2024</v>
      </c>
      <c r="Q1976">
        <f>YEAR(tblTransactions[[#This Row],[Date]])</f>
        <v>2024</v>
      </c>
      <c r="R1976" t="str">
        <f>TEXT(tblTransactions[[#This Row],[Date]],"DDDD")</f>
        <v>Friday</v>
      </c>
      <c r="S1976">
        <f>MONTH(tblTransactions[[#This Row],[Date]])</f>
        <v>2</v>
      </c>
      <c r="T1976" t="str">
        <f>VLOOKUP(E1976, Products!$A:$B,2,0)</f>
        <v>Storage Fur-4</v>
      </c>
      <c r="U1976" t="str">
        <f>VLOOKUP(E1976,Products!$A:$C,3,0)</f>
        <v>Furniture</v>
      </c>
      <c r="V1976" t="str">
        <f>VLOOKUP(E1976,Products!$A:$D,4,0)</f>
        <v>Storage</v>
      </c>
      <c r="W1976" t="str">
        <f>VLOOKUP(D1976,Customers!$A:$C,3,0)</f>
        <v>Small Business</v>
      </c>
      <c r="X1976" t="str">
        <f>VLOOKUP(C1976,Sales_Representatives!$A:$B,2,0)</f>
        <v>Emily Hernandez</v>
      </c>
    </row>
    <row r="1977" spans="1:24" x14ac:dyDescent="0.3">
      <c r="A1977" t="s">
        <v>2824</v>
      </c>
      <c r="B1977" t="s">
        <v>2823</v>
      </c>
      <c r="C1977" t="s">
        <v>70</v>
      </c>
      <c r="D1977" t="s">
        <v>1500</v>
      </c>
      <c r="E1977" t="s">
        <v>129</v>
      </c>
      <c r="F1977">
        <v>2</v>
      </c>
      <c r="G1977">
        <v>1283.71</v>
      </c>
      <c r="H1977">
        <v>0.08</v>
      </c>
      <c r="I1977" s="4">
        <v>2362.0300000000002</v>
      </c>
      <c r="J1977" t="s">
        <v>16</v>
      </c>
      <c r="K1977" t="s">
        <v>35</v>
      </c>
      <c r="L1977" s="4">
        <f>VLOOKUP(tblTransactions[[#This Row],[Product_ID]],tblProducts[],5,FALSE)</f>
        <v>970.14</v>
      </c>
      <c r="M1977" s="4">
        <f>tblTransactions[[#This Row],[Total_Amount]]-(tblTransactions[[#This Row],[Cost_Prices]]*tblTransactions[[#This Row],[Quantity]]*(1-tblTransactions[[#This Row],[Discount]]))</f>
        <v>576.97240000000011</v>
      </c>
      <c r="N1977" s="3">
        <f>tblTransactions[[#This Row],[Profit]]/tblTransactions[[#This Row],[Total_Amount]]</f>
        <v>0.24426971715007856</v>
      </c>
      <c r="O1977" t="str">
        <f>TEXT(tblTransactions[[#This Row],[Date]], "MMM-YYYY")</f>
        <v>Feb-2024</v>
      </c>
      <c r="P1977" t="str">
        <f>"Q"&amp;ROUNDUP(MONTH(tblTransactions[[#This Row],[Date]])/3,0)&amp;"-"&amp;YEAR(tblTransactions[[#This Row],[Date]])</f>
        <v>Q1-2024</v>
      </c>
      <c r="Q1977">
        <f>YEAR(tblTransactions[[#This Row],[Date]])</f>
        <v>2024</v>
      </c>
      <c r="R1977" t="str">
        <f>TEXT(tblTransactions[[#This Row],[Date]],"DDDD")</f>
        <v>Friday</v>
      </c>
      <c r="S1977">
        <f>MONTH(tblTransactions[[#This Row],[Date]])</f>
        <v>2</v>
      </c>
      <c r="T1977" t="str">
        <f>VLOOKUP(E1977, Products!$A:$B,2,0)</f>
        <v>Cameras Ele-3</v>
      </c>
      <c r="U1977" t="str">
        <f>VLOOKUP(E1977,Products!$A:$C,3,0)</f>
        <v>Electronics</v>
      </c>
      <c r="V1977" t="str">
        <f>VLOOKUP(E1977,Products!$A:$D,4,0)</f>
        <v>Cameras</v>
      </c>
      <c r="W1977" t="str">
        <f>VLOOKUP(D1977,Customers!$A:$C,3,0)</f>
        <v>B2C</v>
      </c>
      <c r="X1977" t="str">
        <f>VLOOKUP(C1977,Sales_Representatives!$A:$B,2,0)</f>
        <v>Linda Smith</v>
      </c>
    </row>
    <row r="1978" spans="1:24" x14ac:dyDescent="0.3">
      <c r="A1978" t="s">
        <v>2825</v>
      </c>
      <c r="B1978" t="s">
        <v>2823</v>
      </c>
      <c r="C1978" t="s">
        <v>31</v>
      </c>
      <c r="D1978" t="s">
        <v>1616</v>
      </c>
      <c r="E1978" t="s">
        <v>89</v>
      </c>
      <c r="F1978">
        <v>5</v>
      </c>
      <c r="G1978">
        <v>555.08000000000004</v>
      </c>
      <c r="H1978">
        <v>0.02</v>
      </c>
      <c r="I1978" s="4">
        <v>2719.89</v>
      </c>
      <c r="J1978" t="s">
        <v>34</v>
      </c>
      <c r="K1978" t="s">
        <v>35</v>
      </c>
      <c r="L1978" s="4">
        <f>VLOOKUP(tblTransactions[[#This Row],[Product_ID]],tblProducts[],5,FALSE)</f>
        <v>402.82</v>
      </c>
      <c r="M1978" s="4">
        <f>tblTransactions[[#This Row],[Total_Amount]]-(tblTransactions[[#This Row],[Cost_Prices]]*tblTransactions[[#This Row],[Quantity]]*(1-tblTransactions[[#This Row],[Discount]]))</f>
        <v>746.07199999999989</v>
      </c>
      <c r="N1978" s="3">
        <f>tblTransactions[[#This Row],[Profit]]/tblTransactions[[#This Row],[Total_Amount]]</f>
        <v>0.27430226957707848</v>
      </c>
      <c r="O1978" t="str">
        <f>TEXT(tblTransactions[[#This Row],[Date]], "MMM-YYYY")</f>
        <v>Feb-2024</v>
      </c>
      <c r="P1978" t="str">
        <f>"Q"&amp;ROUNDUP(MONTH(tblTransactions[[#This Row],[Date]])/3,0)&amp;"-"&amp;YEAR(tblTransactions[[#This Row],[Date]])</f>
        <v>Q1-2024</v>
      </c>
      <c r="Q1978">
        <f>YEAR(tblTransactions[[#This Row],[Date]])</f>
        <v>2024</v>
      </c>
      <c r="R1978" t="str">
        <f>TEXT(tblTransactions[[#This Row],[Date]],"DDDD")</f>
        <v>Friday</v>
      </c>
      <c r="S1978">
        <f>MONTH(tblTransactions[[#This Row],[Date]])</f>
        <v>2</v>
      </c>
      <c r="T1978" t="str">
        <f>VLOOKUP(E1978, Products!$A:$B,2,0)</f>
        <v>Laptops Ele-3</v>
      </c>
      <c r="U1978" t="str">
        <f>VLOOKUP(E1978,Products!$A:$C,3,0)</f>
        <v>Electronics</v>
      </c>
      <c r="V1978" t="str">
        <f>VLOOKUP(E1978,Products!$A:$D,4,0)</f>
        <v>Laptops</v>
      </c>
      <c r="W1978" t="str">
        <f>VLOOKUP(D1978,Customers!$A:$C,3,0)</f>
        <v>Enterprise</v>
      </c>
      <c r="X1978" t="str">
        <f>VLOOKUP(C1978,Sales_Representatives!$A:$B,2,0)</f>
        <v>Thomas Martinez</v>
      </c>
    </row>
    <row r="1979" spans="1:24" x14ac:dyDescent="0.3">
      <c r="A1979" t="s">
        <v>2826</v>
      </c>
      <c r="B1979" t="s">
        <v>2823</v>
      </c>
      <c r="C1979" t="s">
        <v>82</v>
      </c>
      <c r="D1979" t="s">
        <v>1938</v>
      </c>
      <c r="E1979" t="s">
        <v>99</v>
      </c>
      <c r="F1979">
        <v>4</v>
      </c>
      <c r="G1979">
        <v>325.14</v>
      </c>
      <c r="H1979">
        <v>0.09</v>
      </c>
      <c r="I1979" s="4">
        <v>1183.51</v>
      </c>
      <c r="J1979" t="s">
        <v>34</v>
      </c>
      <c r="K1979" t="s">
        <v>39</v>
      </c>
      <c r="L1979" s="4">
        <f>VLOOKUP(tblTransactions[[#This Row],[Product_ID]],tblProducts[],5,FALSE)</f>
        <v>209.04</v>
      </c>
      <c r="M1979" s="4">
        <f>tblTransactions[[#This Row],[Total_Amount]]-(tblTransactions[[#This Row],[Cost_Prices]]*tblTransactions[[#This Row],[Quantity]]*(1-tblTransactions[[#This Row],[Discount]]))</f>
        <v>422.60439999999994</v>
      </c>
      <c r="N1979" s="3">
        <f>tblTransactions[[#This Row],[Profit]]/tblTransactions[[#This Row],[Total_Amount]]</f>
        <v>0.35707716876072021</v>
      </c>
      <c r="O1979" t="str">
        <f>TEXT(tblTransactions[[#This Row],[Date]], "MMM-YYYY")</f>
        <v>Feb-2024</v>
      </c>
      <c r="P1979" t="str">
        <f>"Q"&amp;ROUNDUP(MONTH(tblTransactions[[#This Row],[Date]])/3,0)&amp;"-"&amp;YEAR(tblTransactions[[#This Row],[Date]])</f>
        <v>Q1-2024</v>
      </c>
      <c r="Q1979">
        <f>YEAR(tblTransactions[[#This Row],[Date]])</f>
        <v>2024</v>
      </c>
      <c r="R1979" t="str">
        <f>TEXT(tblTransactions[[#This Row],[Date]],"DDDD")</f>
        <v>Friday</v>
      </c>
      <c r="S1979">
        <f>MONTH(tblTransactions[[#This Row],[Date]])</f>
        <v>2</v>
      </c>
      <c r="T1979" t="str">
        <f>VLOOKUP(E1979, Products!$A:$B,2,0)</f>
        <v>Monitors Tec-1</v>
      </c>
      <c r="U1979" t="str">
        <f>VLOOKUP(E1979,Products!$A:$C,3,0)</f>
        <v>Technology</v>
      </c>
      <c r="V1979" t="str">
        <f>VLOOKUP(E1979,Products!$A:$D,4,0)</f>
        <v>Monitors</v>
      </c>
      <c r="W1979" t="str">
        <f>VLOOKUP(D1979,Customers!$A:$C,3,0)</f>
        <v>B2C</v>
      </c>
      <c r="X1979" t="str">
        <f>VLOOKUP(C1979,Sales_Representatives!$A:$B,2,0)</f>
        <v>John Brown</v>
      </c>
    </row>
    <row r="1980" spans="1:24" x14ac:dyDescent="0.3">
      <c r="A1980" t="s">
        <v>2827</v>
      </c>
      <c r="B1980" t="s">
        <v>2823</v>
      </c>
      <c r="C1980" t="s">
        <v>75</v>
      </c>
      <c r="D1980" t="s">
        <v>2671</v>
      </c>
      <c r="E1980" t="s">
        <v>258</v>
      </c>
      <c r="F1980">
        <v>1</v>
      </c>
      <c r="G1980">
        <v>73.33</v>
      </c>
      <c r="H1980">
        <v>0.05</v>
      </c>
      <c r="I1980" s="4">
        <v>69.66</v>
      </c>
      <c r="J1980" t="s">
        <v>44</v>
      </c>
      <c r="K1980" t="s">
        <v>39</v>
      </c>
      <c r="L1980" s="4">
        <f>VLOOKUP(tblTransactions[[#This Row],[Product_ID]],tblProducts[],5,FALSE)</f>
        <v>38.049999999999997</v>
      </c>
      <c r="M1980" s="4">
        <f>tblTransactions[[#This Row],[Total_Amount]]-(tblTransactions[[#This Row],[Cost_Prices]]*tblTransactions[[#This Row],[Quantity]]*(1-tblTransactions[[#This Row],[Discount]]))</f>
        <v>33.512500000000003</v>
      </c>
      <c r="N1980" s="3">
        <f>tblTransactions[[#This Row],[Profit]]/tblTransactions[[#This Row],[Total_Amount]]</f>
        <v>0.48108670686190075</v>
      </c>
      <c r="O1980" t="str">
        <f>TEXT(tblTransactions[[#This Row],[Date]], "MMM-YYYY")</f>
        <v>Feb-2024</v>
      </c>
      <c r="P1980" t="str">
        <f>"Q"&amp;ROUNDUP(MONTH(tblTransactions[[#This Row],[Date]])/3,0)&amp;"-"&amp;YEAR(tblTransactions[[#This Row],[Date]])</f>
        <v>Q1-2024</v>
      </c>
      <c r="Q1980">
        <f>YEAR(tblTransactions[[#This Row],[Date]])</f>
        <v>2024</v>
      </c>
      <c r="R1980" t="str">
        <f>TEXT(tblTransactions[[#This Row],[Date]],"DDDD")</f>
        <v>Friday</v>
      </c>
      <c r="S1980">
        <f>MONTH(tblTransactions[[#This Row],[Date]])</f>
        <v>2</v>
      </c>
      <c r="T1980" t="str">
        <f>VLOOKUP(E1980, Products!$A:$B,2,0)</f>
        <v>Keyboards Acc-3</v>
      </c>
      <c r="U1980" t="str">
        <f>VLOOKUP(E1980,Products!$A:$C,3,0)</f>
        <v>Accessories</v>
      </c>
      <c r="V1980" t="str">
        <f>VLOOKUP(E1980,Products!$A:$D,4,0)</f>
        <v>Keyboards</v>
      </c>
      <c r="W1980" t="str">
        <f>VLOOKUP(D1980,Customers!$A:$C,3,0)</f>
        <v>Small Business</v>
      </c>
      <c r="X1980" t="str">
        <f>VLOOKUP(C1980,Sales_Representatives!$A:$B,2,0)</f>
        <v>Jessica Anderson</v>
      </c>
    </row>
    <row r="1981" spans="1:24" x14ac:dyDescent="0.3">
      <c r="A1981" t="s">
        <v>2828</v>
      </c>
      <c r="B1981" t="s">
        <v>2823</v>
      </c>
      <c r="C1981" t="s">
        <v>82</v>
      </c>
      <c r="D1981" t="s">
        <v>2620</v>
      </c>
      <c r="E1981" t="s">
        <v>96</v>
      </c>
      <c r="F1981">
        <v>25</v>
      </c>
      <c r="G1981">
        <v>751.9</v>
      </c>
      <c r="H1981">
        <v>0.24</v>
      </c>
      <c r="I1981" s="4">
        <v>14286.1</v>
      </c>
      <c r="J1981" t="s">
        <v>34</v>
      </c>
      <c r="K1981" t="s">
        <v>48</v>
      </c>
      <c r="L1981" s="4">
        <f>VLOOKUP(tblTransactions[[#This Row],[Product_ID]],tblProducts[],5,FALSE)</f>
        <v>570.29</v>
      </c>
      <c r="M1981" s="4">
        <f>tblTransactions[[#This Row],[Total_Amount]]-(tblTransactions[[#This Row],[Cost_Prices]]*tblTransactions[[#This Row],[Quantity]]*(1-tblTransactions[[#This Row],[Discount]]))</f>
        <v>3450.59</v>
      </c>
      <c r="N1981" s="3">
        <f>tblTransactions[[#This Row],[Profit]]/tblTransactions[[#This Row],[Total_Amount]]</f>
        <v>0.24153477856097885</v>
      </c>
      <c r="O1981" t="str">
        <f>TEXT(tblTransactions[[#This Row],[Date]], "MMM-YYYY")</f>
        <v>Feb-2024</v>
      </c>
      <c r="P1981" t="str">
        <f>"Q"&amp;ROUNDUP(MONTH(tblTransactions[[#This Row],[Date]])/3,0)&amp;"-"&amp;YEAR(tblTransactions[[#This Row],[Date]])</f>
        <v>Q1-2024</v>
      </c>
      <c r="Q1981">
        <f>YEAR(tblTransactions[[#This Row],[Date]])</f>
        <v>2024</v>
      </c>
      <c r="R1981" t="str">
        <f>TEXT(tblTransactions[[#This Row],[Date]],"DDDD")</f>
        <v>Friday</v>
      </c>
      <c r="S1981">
        <f>MONTH(tblTransactions[[#This Row],[Date]])</f>
        <v>2</v>
      </c>
      <c r="T1981" t="str">
        <f>VLOOKUP(E1981, Products!$A:$B,2,0)</f>
        <v>Routers Tec-1</v>
      </c>
      <c r="U1981" t="str">
        <f>VLOOKUP(E1981,Products!$A:$C,3,0)</f>
        <v>Technology</v>
      </c>
      <c r="V1981" t="str">
        <f>VLOOKUP(E1981,Products!$A:$D,4,0)</f>
        <v>Routers</v>
      </c>
      <c r="W1981" t="str">
        <f>VLOOKUP(D1981,Customers!$A:$C,3,0)</f>
        <v>Enterprise</v>
      </c>
      <c r="X1981" t="str">
        <f>VLOOKUP(C1981,Sales_Representatives!$A:$B,2,0)</f>
        <v>John Brown</v>
      </c>
    </row>
    <row r="1982" spans="1:24" x14ac:dyDescent="0.3">
      <c r="A1982" t="s">
        <v>2829</v>
      </c>
      <c r="B1982" t="s">
        <v>2823</v>
      </c>
      <c r="C1982" t="s">
        <v>75</v>
      </c>
      <c r="D1982" t="s">
        <v>1691</v>
      </c>
      <c r="E1982" t="s">
        <v>316</v>
      </c>
      <c r="F1982">
        <v>5</v>
      </c>
      <c r="G1982">
        <v>91.42</v>
      </c>
      <c r="H1982">
        <v>0.06</v>
      </c>
      <c r="I1982" s="4">
        <v>429.67</v>
      </c>
      <c r="J1982" t="s">
        <v>44</v>
      </c>
      <c r="K1982" t="s">
        <v>48</v>
      </c>
      <c r="L1982" s="4">
        <f>VLOOKUP(tblTransactions[[#This Row],[Product_ID]],tblProducts[],5,FALSE)</f>
        <v>50.09</v>
      </c>
      <c r="M1982" s="4">
        <f>tblTransactions[[#This Row],[Total_Amount]]-(tblTransactions[[#This Row],[Cost_Prices]]*tblTransactions[[#This Row],[Quantity]]*(1-tblTransactions[[#This Row],[Discount]]))</f>
        <v>194.24700000000001</v>
      </c>
      <c r="N1982" s="3">
        <f>tblTransactions[[#This Row],[Profit]]/tblTransactions[[#This Row],[Total_Amount]]</f>
        <v>0.45208415760932813</v>
      </c>
      <c r="O1982" t="str">
        <f>TEXT(tblTransactions[[#This Row],[Date]], "MMM-YYYY")</f>
        <v>Feb-2024</v>
      </c>
      <c r="P1982" t="str">
        <f>"Q"&amp;ROUNDUP(MONTH(tblTransactions[[#This Row],[Date]])/3,0)&amp;"-"&amp;YEAR(tblTransactions[[#This Row],[Date]])</f>
        <v>Q1-2024</v>
      </c>
      <c r="Q1982">
        <f>YEAR(tblTransactions[[#This Row],[Date]])</f>
        <v>2024</v>
      </c>
      <c r="R1982" t="str">
        <f>TEXT(tblTransactions[[#This Row],[Date]],"DDDD")</f>
        <v>Friday</v>
      </c>
      <c r="S1982">
        <f>MONTH(tblTransactions[[#This Row],[Date]])</f>
        <v>2</v>
      </c>
      <c r="T1982" t="str">
        <f>VLOOKUP(E1982, Products!$A:$B,2,0)</f>
        <v>Binders Off-3</v>
      </c>
      <c r="U1982" t="str">
        <f>VLOOKUP(E1982,Products!$A:$C,3,0)</f>
        <v>Office Supplies</v>
      </c>
      <c r="V1982" t="str">
        <f>VLOOKUP(E1982,Products!$A:$D,4,0)</f>
        <v>Binders</v>
      </c>
      <c r="W1982" t="str">
        <f>VLOOKUP(D1982,Customers!$A:$C,3,0)</f>
        <v>Small Business</v>
      </c>
      <c r="X1982" t="str">
        <f>VLOOKUP(C1982,Sales_Representatives!$A:$B,2,0)</f>
        <v>Jessica Anderson</v>
      </c>
    </row>
    <row r="1983" spans="1:24" x14ac:dyDescent="0.3">
      <c r="A1983" t="s">
        <v>2830</v>
      </c>
      <c r="B1983" t="s">
        <v>2831</v>
      </c>
      <c r="C1983" t="s">
        <v>19</v>
      </c>
      <c r="D1983" t="s">
        <v>32</v>
      </c>
      <c r="E1983" t="s">
        <v>339</v>
      </c>
      <c r="F1983">
        <v>5</v>
      </c>
      <c r="G1983">
        <v>1100.8800000000001</v>
      </c>
      <c r="H1983">
        <v>0.05</v>
      </c>
      <c r="I1983" s="4">
        <v>5229.18</v>
      </c>
      <c r="J1983" t="s">
        <v>21</v>
      </c>
      <c r="K1983" t="s">
        <v>35</v>
      </c>
      <c r="L1983" s="4">
        <f>VLOOKUP(tblTransactions[[#This Row],[Product_ID]],tblProducts[],5,FALSE)</f>
        <v>761.53</v>
      </c>
      <c r="M1983" s="4">
        <f>tblTransactions[[#This Row],[Total_Amount]]-(tblTransactions[[#This Row],[Cost_Prices]]*tblTransactions[[#This Row],[Quantity]]*(1-tblTransactions[[#This Row],[Discount]]))</f>
        <v>1611.9125000000008</v>
      </c>
      <c r="N1983" s="3">
        <f>tblTransactions[[#This Row],[Profit]]/tblTransactions[[#This Row],[Total_Amount]]</f>
        <v>0.30825339728217438</v>
      </c>
      <c r="O1983" t="str">
        <f>TEXT(tblTransactions[[#This Row],[Date]], "MMM-YYYY")</f>
        <v>Feb-2024</v>
      </c>
      <c r="P1983" t="str">
        <f>"Q"&amp;ROUNDUP(MONTH(tblTransactions[[#This Row],[Date]])/3,0)&amp;"-"&amp;YEAR(tblTransactions[[#This Row],[Date]])</f>
        <v>Q1-2024</v>
      </c>
      <c r="Q1983">
        <f>YEAR(tblTransactions[[#This Row],[Date]])</f>
        <v>2024</v>
      </c>
      <c r="R1983" t="str">
        <f>TEXT(tblTransactions[[#This Row],[Date]],"DDDD")</f>
        <v>Saturday</v>
      </c>
      <c r="S1983">
        <f>MONTH(tblTransactions[[#This Row],[Date]])</f>
        <v>2</v>
      </c>
      <c r="T1983" t="str">
        <f>VLOOKUP(E1983, Products!$A:$B,2,0)</f>
        <v>Phones Ele-2</v>
      </c>
      <c r="U1983" t="str">
        <f>VLOOKUP(E1983,Products!$A:$C,3,0)</f>
        <v>Electronics</v>
      </c>
      <c r="V1983" t="str">
        <f>VLOOKUP(E1983,Products!$A:$D,4,0)</f>
        <v>Phones</v>
      </c>
      <c r="W1983" t="str">
        <f>VLOOKUP(D1983,Customers!$A:$C,3,0)</f>
        <v>B2C</v>
      </c>
      <c r="X1983" t="str">
        <f>VLOOKUP(C1983,Sales_Representatives!$A:$B,2,0)</f>
        <v>Robert Jones</v>
      </c>
    </row>
    <row r="1984" spans="1:24" x14ac:dyDescent="0.3">
      <c r="A1984" t="s">
        <v>2832</v>
      </c>
      <c r="B1984" t="s">
        <v>2831</v>
      </c>
      <c r="C1984" t="s">
        <v>41</v>
      </c>
      <c r="D1984" t="s">
        <v>228</v>
      </c>
      <c r="E1984" t="s">
        <v>450</v>
      </c>
      <c r="F1984">
        <v>4</v>
      </c>
      <c r="G1984">
        <v>2083.92</v>
      </c>
      <c r="H1984">
        <v>0.03</v>
      </c>
      <c r="I1984" s="4">
        <v>8085.61</v>
      </c>
      <c r="J1984" t="s">
        <v>44</v>
      </c>
      <c r="K1984" t="s">
        <v>48</v>
      </c>
      <c r="L1984" s="4">
        <f>VLOOKUP(tblTransactions[[#This Row],[Product_ID]],tblProducts[],5,FALSE)</f>
        <v>1425.78</v>
      </c>
      <c r="M1984" s="4">
        <f>tblTransactions[[#This Row],[Total_Amount]]-(tblTransactions[[#This Row],[Cost_Prices]]*tblTransactions[[#This Row],[Quantity]]*(1-tblTransactions[[#This Row],[Discount]]))</f>
        <v>2553.5835999999999</v>
      </c>
      <c r="N1984" s="3">
        <f>tblTransactions[[#This Row],[Profit]]/tblTransactions[[#This Row],[Total_Amount]]</f>
        <v>0.31581829942329648</v>
      </c>
      <c r="O1984" t="str">
        <f>TEXT(tblTransactions[[#This Row],[Date]], "MMM-YYYY")</f>
        <v>Feb-2024</v>
      </c>
      <c r="P1984" t="str">
        <f>"Q"&amp;ROUNDUP(MONTH(tblTransactions[[#This Row],[Date]])/3,0)&amp;"-"&amp;YEAR(tblTransactions[[#This Row],[Date]])</f>
        <v>Q1-2024</v>
      </c>
      <c r="Q1984">
        <f>YEAR(tblTransactions[[#This Row],[Date]])</f>
        <v>2024</v>
      </c>
      <c r="R1984" t="str">
        <f>TEXT(tblTransactions[[#This Row],[Date]],"DDDD")</f>
        <v>Saturday</v>
      </c>
      <c r="S1984">
        <f>MONTH(tblTransactions[[#This Row],[Date]])</f>
        <v>2</v>
      </c>
      <c r="T1984" t="str">
        <f>VLOOKUP(E1984, Products!$A:$B,2,0)</f>
        <v>Monitors Tec-4</v>
      </c>
      <c r="U1984" t="str">
        <f>VLOOKUP(E1984,Products!$A:$C,3,0)</f>
        <v>Technology</v>
      </c>
      <c r="V1984" t="str">
        <f>VLOOKUP(E1984,Products!$A:$D,4,0)</f>
        <v>Monitors</v>
      </c>
      <c r="W1984" t="str">
        <f>VLOOKUP(D1984,Customers!$A:$C,3,0)</f>
        <v>Small Business</v>
      </c>
      <c r="X1984" t="str">
        <f>VLOOKUP(C1984,Sales_Representatives!$A:$B,2,0)</f>
        <v>Robert Jones</v>
      </c>
    </row>
    <row r="1985" spans="1:24" x14ac:dyDescent="0.3">
      <c r="A1985" t="s">
        <v>2833</v>
      </c>
      <c r="B1985" t="s">
        <v>2831</v>
      </c>
      <c r="C1985" t="s">
        <v>13</v>
      </c>
      <c r="D1985" t="s">
        <v>2029</v>
      </c>
      <c r="E1985" t="s">
        <v>125</v>
      </c>
      <c r="F1985">
        <v>16</v>
      </c>
      <c r="G1985">
        <v>1201.4000000000001</v>
      </c>
      <c r="H1985">
        <v>0.16</v>
      </c>
      <c r="I1985" s="4">
        <v>16146.82</v>
      </c>
      <c r="J1985" t="s">
        <v>16</v>
      </c>
      <c r="K1985" t="s">
        <v>48</v>
      </c>
      <c r="L1985" s="4">
        <f>VLOOKUP(tblTransactions[[#This Row],[Product_ID]],tblProducts[],5,FALSE)</f>
        <v>672.72</v>
      </c>
      <c r="M1985" s="4">
        <f>tblTransactions[[#This Row],[Total_Amount]]-(tblTransactions[[#This Row],[Cost_Prices]]*tblTransactions[[#This Row],[Quantity]]*(1-tblTransactions[[#This Row],[Discount]]))</f>
        <v>7105.4632000000001</v>
      </c>
      <c r="N1985" s="3">
        <f>tblTransactions[[#This Row],[Profit]]/tblTransactions[[#This Row],[Total_Amount]]</f>
        <v>0.44005340989742875</v>
      </c>
      <c r="O1985" t="str">
        <f>TEXT(tblTransactions[[#This Row],[Date]], "MMM-YYYY")</f>
        <v>Feb-2024</v>
      </c>
      <c r="P1985" t="str">
        <f>"Q"&amp;ROUNDUP(MONTH(tblTransactions[[#This Row],[Date]])/3,0)&amp;"-"&amp;YEAR(tblTransactions[[#This Row],[Date]])</f>
        <v>Q1-2024</v>
      </c>
      <c r="Q1985">
        <f>YEAR(tblTransactions[[#This Row],[Date]])</f>
        <v>2024</v>
      </c>
      <c r="R1985" t="str">
        <f>TEXT(tblTransactions[[#This Row],[Date]],"DDDD")</f>
        <v>Saturday</v>
      </c>
      <c r="S1985">
        <f>MONTH(tblTransactions[[#This Row],[Date]])</f>
        <v>2</v>
      </c>
      <c r="T1985" t="str">
        <f>VLOOKUP(E1985, Products!$A:$B,2,0)</f>
        <v>Printers Tec-2</v>
      </c>
      <c r="U1985" t="str">
        <f>VLOOKUP(E1985,Products!$A:$C,3,0)</f>
        <v>Technology</v>
      </c>
      <c r="V1985" t="str">
        <f>VLOOKUP(E1985,Products!$A:$D,4,0)</f>
        <v>Printers</v>
      </c>
      <c r="W1985" t="str">
        <f>VLOOKUP(D1985,Customers!$A:$C,3,0)</f>
        <v>B2B</v>
      </c>
      <c r="X1985" t="str">
        <f>VLOOKUP(C1985,Sales_Representatives!$A:$B,2,0)</f>
        <v>Jennifer Rodriguez</v>
      </c>
    </row>
    <row r="1986" spans="1:24" x14ac:dyDescent="0.3">
      <c r="A1986" t="s">
        <v>2834</v>
      </c>
      <c r="B1986" t="s">
        <v>2831</v>
      </c>
      <c r="C1986" t="s">
        <v>127</v>
      </c>
      <c r="D1986" t="s">
        <v>1649</v>
      </c>
      <c r="E1986" t="s">
        <v>79</v>
      </c>
      <c r="F1986">
        <v>16</v>
      </c>
      <c r="G1986">
        <v>1452.36</v>
      </c>
      <c r="H1986">
        <v>0.19</v>
      </c>
      <c r="I1986" s="4">
        <v>18822.59</v>
      </c>
      <c r="J1986" t="s">
        <v>109</v>
      </c>
      <c r="K1986" t="s">
        <v>17</v>
      </c>
      <c r="L1986" s="4">
        <f>VLOOKUP(tblTransactions[[#This Row],[Product_ID]],tblProducts[],5,FALSE)</f>
        <v>778.71</v>
      </c>
      <c r="M1986" s="4">
        <f>tblTransactions[[#This Row],[Total_Amount]]-(tblTransactions[[#This Row],[Cost_Prices]]*tblTransactions[[#This Row],[Quantity]]*(1-tblTransactions[[#This Row],[Discount]]))</f>
        <v>8730.5083999999988</v>
      </c>
      <c r="N1986" s="3">
        <f>tblTransactions[[#This Row],[Profit]]/tblTransactions[[#This Row],[Total_Amount]]</f>
        <v>0.46383140683614738</v>
      </c>
      <c r="O1986" t="str">
        <f>TEXT(tblTransactions[[#This Row],[Date]], "MMM-YYYY")</f>
        <v>Feb-2024</v>
      </c>
      <c r="P1986" t="str">
        <f>"Q"&amp;ROUNDUP(MONTH(tblTransactions[[#This Row],[Date]])/3,0)&amp;"-"&amp;YEAR(tblTransactions[[#This Row],[Date]])</f>
        <v>Q1-2024</v>
      </c>
      <c r="Q1986">
        <f>YEAR(tblTransactions[[#This Row],[Date]])</f>
        <v>2024</v>
      </c>
      <c r="R1986" t="str">
        <f>TEXT(tblTransactions[[#This Row],[Date]],"DDDD")</f>
        <v>Saturday</v>
      </c>
      <c r="S1986">
        <f>MONTH(tblTransactions[[#This Row],[Date]])</f>
        <v>2</v>
      </c>
      <c r="T1986" t="str">
        <f>VLOOKUP(E1986, Products!$A:$B,2,0)</f>
        <v>Tables Fur-2</v>
      </c>
      <c r="U1986" t="str">
        <f>VLOOKUP(E1986,Products!$A:$C,3,0)</f>
        <v>Furniture</v>
      </c>
      <c r="V1986" t="str">
        <f>VLOOKUP(E1986,Products!$A:$D,4,0)</f>
        <v>Tables</v>
      </c>
      <c r="W1986" t="str">
        <f>VLOOKUP(D1986,Customers!$A:$C,3,0)</f>
        <v>Enterprise</v>
      </c>
      <c r="X1986" t="str">
        <f>VLOOKUP(C1986,Sales_Representatives!$A:$B,2,0)</f>
        <v>Emily Hernandez</v>
      </c>
    </row>
    <row r="1987" spans="1:24" x14ac:dyDescent="0.3">
      <c r="A1987" t="s">
        <v>2835</v>
      </c>
      <c r="B1987" t="s">
        <v>2831</v>
      </c>
      <c r="C1987" t="s">
        <v>63</v>
      </c>
      <c r="D1987" t="s">
        <v>1453</v>
      </c>
      <c r="E1987" t="s">
        <v>283</v>
      </c>
      <c r="F1987">
        <v>16</v>
      </c>
      <c r="G1987">
        <v>456.88</v>
      </c>
      <c r="H1987">
        <v>0.15</v>
      </c>
      <c r="I1987" s="4">
        <v>6213.57</v>
      </c>
      <c r="J1987" t="s">
        <v>21</v>
      </c>
      <c r="K1987" t="s">
        <v>17</v>
      </c>
      <c r="L1987" s="4">
        <f>VLOOKUP(tblTransactions[[#This Row],[Product_ID]],tblProducts[],5,FALSE)</f>
        <v>313.23</v>
      </c>
      <c r="M1987" s="4">
        <f>tblTransactions[[#This Row],[Total_Amount]]-(tblTransactions[[#This Row],[Cost_Prices]]*tblTransactions[[#This Row],[Quantity]]*(1-tblTransactions[[#This Row],[Discount]]))</f>
        <v>1953.6419999999998</v>
      </c>
      <c r="N1987" s="3">
        <f>tblTransactions[[#This Row],[Profit]]/tblTransactions[[#This Row],[Total_Amount]]</f>
        <v>0.31441538439254729</v>
      </c>
      <c r="O1987" t="str">
        <f>TEXT(tblTransactions[[#This Row],[Date]], "MMM-YYYY")</f>
        <v>Feb-2024</v>
      </c>
      <c r="P1987" t="str">
        <f>"Q"&amp;ROUNDUP(MONTH(tblTransactions[[#This Row],[Date]])/3,0)&amp;"-"&amp;YEAR(tblTransactions[[#This Row],[Date]])</f>
        <v>Q1-2024</v>
      </c>
      <c r="Q1987">
        <f>YEAR(tblTransactions[[#This Row],[Date]])</f>
        <v>2024</v>
      </c>
      <c r="R1987" t="str">
        <f>TEXT(tblTransactions[[#This Row],[Date]],"DDDD")</f>
        <v>Saturday</v>
      </c>
      <c r="S1987">
        <f>MONTH(tblTransactions[[#This Row],[Date]])</f>
        <v>2</v>
      </c>
      <c r="T1987" t="str">
        <f>VLOOKUP(E1987, Products!$A:$B,2,0)</f>
        <v>Chairs Fur-3</v>
      </c>
      <c r="U1987" t="str">
        <f>VLOOKUP(E1987,Products!$A:$C,3,0)</f>
        <v>Furniture</v>
      </c>
      <c r="V1987" t="str">
        <f>VLOOKUP(E1987,Products!$A:$D,4,0)</f>
        <v>Chairs</v>
      </c>
      <c r="W1987" t="str">
        <f>VLOOKUP(D1987,Customers!$A:$C,3,0)</f>
        <v>B2B</v>
      </c>
      <c r="X1987" t="str">
        <f>VLOOKUP(C1987,Sales_Representatives!$A:$B,2,0)</f>
        <v>Richard Wilson</v>
      </c>
    </row>
    <row r="1988" spans="1:24" x14ac:dyDescent="0.3">
      <c r="A1988" t="s">
        <v>2836</v>
      </c>
      <c r="B1988" t="s">
        <v>2831</v>
      </c>
      <c r="C1988" t="s">
        <v>70</v>
      </c>
      <c r="D1988" t="s">
        <v>1891</v>
      </c>
      <c r="E1988" t="s">
        <v>125</v>
      </c>
      <c r="F1988">
        <v>4</v>
      </c>
      <c r="G1988">
        <v>1201.4000000000001</v>
      </c>
      <c r="H1988">
        <v>0.02</v>
      </c>
      <c r="I1988" s="4">
        <v>4709.49</v>
      </c>
      <c r="J1988" t="s">
        <v>16</v>
      </c>
      <c r="K1988" t="s">
        <v>48</v>
      </c>
      <c r="L1988" s="4">
        <f>VLOOKUP(tblTransactions[[#This Row],[Product_ID]],tblProducts[],5,FALSE)</f>
        <v>672.72</v>
      </c>
      <c r="M1988" s="4">
        <f>tblTransactions[[#This Row],[Total_Amount]]-(tblTransactions[[#This Row],[Cost_Prices]]*tblTransactions[[#This Row],[Quantity]]*(1-tblTransactions[[#This Row],[Discount]]))</f>
        <v>2072.4275999999995</v>
      </c>
      <c r="N1988" s="3">
        <f>tblTransactions[[#This Row],[Profit]]/tblTransactions[[#This Row],[Total_Amount]]</f>
        <v>0.44005350897867912</v>
      </c>
      <c r="O1988" t="str">
        <f>TEXT(tblTransactions[[#This Row],[Date]], "MMM-YYYY")</f>
        <v>Feb-2024</v>
      </c>
      <c r="P1988" t="str">
        <f>"Q"&amp;ROUNDUP(MONTH(tblTransactions[[#This Row],[Date]])/3,0)&amp;"-"&amp;YEAR(tblTransactions[[#This Row],[Date]])</f>
        <v>Q1-2024</v>
      </c>
      <c r="Q1988">
        <f>YEAR(tblTransactions[[#This Row],[Date]])</f>
        <v>2024</v>
      </c>
      <c r="R1988" t="str">
        <f>TEXT(tblTransactions[[#This Row],[Date]],"DDDD")</f>
        <v>Saturday</v>
      </c>
      <c r="S1988">
        <f>MONTH(tblTransactions[[#This Row],[Date]])</f>
        <v>2</v>
      </c>
      <c r="T1988" t="str">
        <f>VLOOKUP(E1988, Products!$A:$B,2,0)</f>
        <v>Printers Tec-2</v>
      </c>
      <c r="U1988" t="str">
        <f>VLOOKUP(E1988,Products!$A:$C,3,0)</f>
        <v>Technology</v>
      </c>
      <c r="V1988" t="str">
        <f>VLOOKUP(E1988,Products!$A:$D,4,0)</f>
        <v>Printers</v>
      </c>
      <c r="W1988" t="str">
        <f>VLOOKUP(D1988,Customers!$A:$C,3,0)</f>
        <v>B2B</v>
      </c>
      <c r="X1988" t="str">
        <f>VLOOKUP(C1988,Sales_Representatives!$A:$B,2,0)</f>
        <v>Linda Smith</v>
      </c>
    </row>
    <row r="1989" spans="1:24" x14ac:dyDescent="0.3">
      <c r="A1989" t="s">
        <v>2837</v>
      </c>
      <c r="B1989" t="s">
        <v>2831</v>
      </c>
      <c r="C1989" t="s">
        <v>63</v>
      </c>
      <c r="D1989" t="s">
        <v>2126</v>
      </c>
      <c r="E1989" t="s">
        <v>248</v>
      </c>
      <c r="F1989">
        <v>7</v>
      </c>
      <c r="G1989">
        <v>82.29</v>
      </c>
      <c r="H1989">
        <v>0.11</v>
      </c>
      <c r="I1989" s="4">
        <v>512.66999999999996</v>
      </c>
      <c r="J1989" t="s">
        <v>21</v>
      </c>
      <c r="K1989" t="s">
        <v>39</v>
      </c>
      <c r="L1989" s="4">
        <f>VLOOKUP(tblTransactions[[#This Row],[Product_ID]],tblProducts[],5,FALSE)</f>
        <v>51.11</v>
      </c>
      <c r="M1989" s="4">
        <f>tblTransactions[[#This Row],[Total_Amount]]-(tblTransactions[[#This Row],[Cost_Prices]]*tblTransactions[[#This Row],[Quantity]]*(1-tblTransactions[[#This Row],[Discount]]))</f>
        <v>194.25469999999996</v>
      </c>
      <c r="N1989" s="3">
        <f>tblTransactions[[#This Row],[Profit]]/tblTransactions[[#This Row],[Total_Amount]]</f>
        <v>0.37890787446115431</v>
      </c>
      <c r="O1989" t="str">
        <f>TEXT(tblTransactions[[#This Row],[Date]], "MMM-YYYY")</f>
        <v>Feb-2024</v>
      </c>
      <c r="P1989" t="str">
        <f>"Q"&amp;ROUNDUP(MONTH(tblTransactions[[#This Row],[Date]])/3,0)&amp;"-"&amp;YEAR(tblTransactions[[#This Row],[Date]])</f>
        <v>Q1-2024</v>
      </c>
      <c r="Q1989">
        <f>YEAR(tblTransactions[[#This Row],[Date]])</f>
        <v>2024</v>
      </c>
      <c r="R1989" t="str">
        <f>TEXT(tblTransactions[[#This Row],[Date]],"DDDD")</f>
        <v>Saturday</v>
      </c>
      <c r="S1989">
        <f>MONTH(tblTransactions[[#This Row],[Date]])</f>
        <v>2</v>
      </c>
      <c r="T1989" t="str">
        <f>VLOOKUP(E1989, Products!$A:$B,2,0)</f>
        <v>Keyboards Acc-2</v>
      </c>
      <c r="U1989" t="str">
        <f>VLOOKUP(E1989,Products!$A:$C,3,0)</f>
        <v>Accessories</v>
      </c>
      <c r="V1989" t="str">
        <f>VLOOKUP(E1989,Products!$A:$D,4,0)</f>
        <v>Keyboards</v>
      </c>
      <c r="W1989" t="str">
        <f>VLOOKUP(D1989,Customers!$A:$C,3,0)</f>
        <v>B2C</v>
      </c>
      <c r="X1989" t="str">
        <f>VLOOKUP(C1989,Sales_Representatives!$A:$B,2,0)</f>
        <v>Richard Wilson</v>
      </c>
    </row>
    <row r="1990" spans="1:24" x14ac:dyDescent="0.3">
      <c r="A1990" t="s">
        <v>2838</v>
      </c>
      <c r="B1990" t="s">
        <v>2831</v>
      </c>
      <c r="C1990" t="s">
        <v>63</v>
      </c>
      <c r="D1990" t="s">
        <v>1969</v>
      </c>
      <c r="E1990" t="s">
        <v>137</v>
      </c>
      <c r="F1990">
        <v>18</v>
      </c>
      <c r="G1990">
        <v>241.39</v>
      </c>
      <c r="H1990">
        <v>0.17</v>
      </c>
      <c r="I1990" s="4">
        <v>3606.37</v>
      </c>
      <c r="J1990" t="s">
        <v>21</v>
      </c>
      <c r="K1990" t="s">
        <v>48</v>
      </c>
      <c r="L1990" s="4">
        <f>VLOOKUP(tblTransactions[[#This Row],[Product_ID]],tblProducts[],5,FALSE)</f>
        <v>124.07</v>
      </c>
      <c r="M1990" s="4">
        <f>tblTransactions[[#This Row],[Total_Amount]]-(tblTransactions[[#This Row],[Cost_Prices]]*tblTransactions[[#This Row],[Quantity]]*(1-tblTransactions[[#This Row],[Discount]]))</f>
        <v>1752.7642000000001</v>
      </c>
      <c r="N1990" s="3">
        <f>tblTransactions[[#This Row],[Profit]]/tblTransactions[[#This Row],[Total_Amount]]</f>
        <v>0.48601896089419561</v>
      </c>
      <c r="O1990" t="str">
        <f>TEXT(tblTransactions[[#This Row],[Date]], "MMM-YYYY")</f>
        <v>Feb-2024</v>
      </c>
      <c r="P1990" t="str">
        <f>"Q"&amp;ROUNDUP(MONTH(tblTransactions[[#This Row],[Date]])/3,0)&amp;"-"&amp;YEAR(tblTransactions[[#This Row],[Date]])</f>
        <v>Q1-2024</v>
      </c>
      <c r="Q1990">
        <f>YEAR(tblTransactions[[#This Row],[Date]])</f>
        <v>2024</v>
      </c>
      <c r="R1990" t="str">
        <f>TEXT(tblTransactions[[#This Row],[Date]],"DDDD")</f>
        <v>Saturday</v>
      </c>
      <c r="S1990">
        <f>MONTH(tblTransactions[[#This Row],[Date]])</f>
        <v>2</v>
      </c>
      <c r="T1990" t="str">
        <f>VLOOKUP(E1990, Products!$A:$B,2,0)</f>
        <v>Desks Fur-2</v>
      </c>
      <c r="U1990" t="str">
        <f>VLOOKUP(E1990,Products!$A:$C,3,0)</f>
        <v>Furniture</v>
      </c>
      <c r="V1990" t="str">
        <f>VLOOKUP(E1990,Products!$A:$D,4,0)</f>
        <v>Desks</v>
      </c>
      <c r="W1990" t="str">
        <f>VLOOKUP(D1990,Customers!$A:$C,3,0)</f>
        <v>Enterprise</v>
      </c>
      <c r="X1990" t="str">
        <f>VLOOKUP(C1990,Sales_Representatives!$A:$B,2,0)</f>
        <v>Richard Wilson</v>
      </c>
    </row>
    <row r="1991" spans="1:24" x14ac:dyDescent="0.3">
      <c r="A1991" t="s">
        <v>2839</v>
      </c>
      <c r="B1991" t="s">
        <v>2840</v>
      </c>
      <c r="C1991" t="s">
        <v>27</v>
      </c>
      <c r="D1991" t="s">
        <v>203</v>
      </c>
      <c r="E1991" t="s">
        <v>53</v>
      </c>
      <c r="F1991">
        <v>42</v>
      </c>
      <c r="G1991">
        <v>2069.2199999999998</v>
      </c>
      <c r="H1991">
        <v>0.19</v>
      </c>
      <c r="I1991" s="4">
        <v>70394.86</v>
      </c>
      <c r="J1991" t="s">
        <v>16</v>
      </c>
      <c r="K1991" t="s">
        <v>17</v>
      </c>
      <c r="L1991" s="4">
        <f>VLOOKUP(tblTransactions[[#This Row],[Product_ID]],tblProducts[],5,FALSE)</f>
        <v>1451.18</v>
      </c>
      <c r="M1991" s="4">
        <f>tblTransactions[[#This Row],[Total_Amount]]-(tblTransactions[[#This Row],[Cost_Prices]]*tblTransactions[[#This Row],[Quantity]]*(1-tblTransactions[[#This Row],[Discount]]))</f>
        <v>21025.71639999999</v>
      </c>
      <c r="N1991" s="3">
        <f>tblTransactions[[#This Row],[Profit]]/tblTransactions[[#This Row],[Total_Amount]]</f>
        <v>0.29868255153856388</v>
      </c>
      <c r="O1991" t="str">
        <f>TEXT(tblTransactions[[#This Row],[Date]], "MMM-YYYY")</f>
        <v>Feb-2024</v>
      </c>
      <c r="P1991" t="str">
        <f>"Q"&amp;ROUNDUP(MONTH(tblTransactions[[#This Row],[Date]])/3,0)&amp;"-"&amp;YEAR(tblTransactions[[#This Row],[Date]])</f>
        <v>Q1-2024</v>
      </c>
      <c r="Q1991">
        <f>YEAR(tblTransactions[[#This Row],[Date]])</f>
        <v>2024</v>
      </c>
      <c r="R1991" t="str">
        <f>TEXT(tblTransactions[[#This Row],[Date]],"DDDD")</f>
        <v>Sunday</v>
      </c>
      <c r="S1991">
        <f>MONTH(tblTransactions[[#This Row],[Date]])</f>
        <v>2</v>
      </c>
      <c r="T1991" t="str">
        <f>VLOOKUP(E1991, Products!$A:$B,2,0)</f>
        <v>Printers Tec-3</v>
      </c>
      <c r="U1991" t="str">
        <f>VLOOKUP(E1991,Products!$A:$C,3,0)</f>
        <v>Technology</v>
      </c>
      <c r="V1991" t="str">
        <f>VLOOKUP(E1991,Products!$A:$D,4,0)</f>
        <v>Printers</v>
      </c>
      <c r="W1991" t="str">
        <f>VLOOKUP(D1991,Customers!$A:$C,3,0)</f>
        <v>Enterprise</v>
      </c>
      <c r="X1991" t="str">
        <f>VLOOKUP(C1991,Sales_Representatives!$A:$B,2,0)</f>
        <v>Thomas Lopez</v>
      </c>
    </row>
    <row r="1992" spans="1:24" x14ac:dyDescent="0.3">
      <c r="A1992" t="s">
        <v>2841</v>
      </c>
      <c r="B1992" t="s">
        <v>2840</v>
      </c>
      <c r="C1992" t="s">
        <v>127</v>
      </c>
      <c r="D1992" t="s">
        <v>1741</v>
      </c>
      <c r="E1992" t="s">
        <v>105</v>
      </c>
      <c r="F1992">
        <v>15</v>
      </c>
      <c r="G1992">
        <v>1342.04</v>
      </c>
      <c r="H1992">
        <v>0.12</v>
      </c>
      <c r="I1992" s="4">
        <v>17714.93</v>
      </c>
      <c r="J1992" t="s">
        <v>109</v>
      </c>
      <c r="K1992" t="s">
        <v>39</v>
      </c>
      <c r="L1992" s="4">
        <f>VLOOKUP(tblTransactions[[#This Row],[Product_ID]],tblProducts[],5,FALSE)</f>
        <v>792.89</v>
      </c>
      <c r="M1992" s="4">
        <f>tblTransactions[[#This Row],[Total_Amount]]-(tblTransactions[[#This Row],[Cost_Prices]]*tblTransactions[[#This Row],[Quantity]]*(1-tblTransactions[[#This Row],[Discount]]))</f>
        <v>7248.7819999999992</v>
      </c>
      <c r="N1992" s="3">
        <f>tblTransactions[[#This Row],[Profit]]/tblTransactions[[#This Row],[Total_Amount]]</f>
        <v>0.40919055282747374</v>
      </c>
      <c r="O1992" t="str">
        <f>TEXT(tblTransactions[[#This Row],[Date]], "MMM-YYYY")</f>
        <v>Feb-2024</v>
      </c>
      <c r="P1992" t="str">
        <f>"Q"&amp;ROUNDUP(MONTH(tblTransactions[[#This Row],[Date]])/3,0)&amp;"-"&amp;YEAR(tblTransactions[[#This Row],[Date]])</f>
        <v>Q1-2024</v>
      </c>
      <c r="Q1992">
        <f>YEAR(tblTransactions[[#This Row],[Date]])</f>
        <v>2024</v>
      </c>
      <c r="R1992" t="str">
        <f>TEXT(tblTransactions[[#This Row],[Date]],"DDDD")</f>
        <v>Sunday</v>
      </c>
      <c r="S1992">
        <f>MONTH(tblTransactions[[#This Row],[Date]])</f>
        <v>2</v>
      </c>
      <c r="T1992" t="str">
        <f>VLOOKUP(E1992, Products!$A:$B,2,0)</f>
        <v>Cameras Ele-1</v>
      </c>
      <c r="U1992" t="str">
        <f>VLOOKUP(E1992,Products!$A:$C,3,0)</f>
        <v>Electronics</v>
      </c>
      <c r="V1992" t="str">
        <f>VLOOKUP(E1992,Products!$A:$D,4,0)</f>
        <v>Cameras</v>
      </c>
      <c r="W1992" t="str">
        <f>VLOOKUP(D1992,Customers!$A:$C,3,0)</f>
        <v>B2B</v>
      </c>
      <c r="X1992" t="str">
        <f>VLOOKUP(C1992,Sales_Representatives!$A:$B,2,0)</f>
        <v>Emily Hernandez</v>
      </c>
    </row>
    <row r="1993" spans="1:24" x14ac:dyDescent="0.3">
      <c r="A1993" t="s">
        <v>2842</v>
      </c>
      <c r="B1993" t="s">
        <v>2840</v>
      </c>
      <c r="C1993" t="s">
        <v>75</v>
      </c>
      <c r="D1993" t="s">
        <v>2003</v>
      </c>
      <c r="E1993" t="s">
        <v>29</v>
      </c>
      <c r="F1993">
        <v>7</v>
      </c>
      <c r="G1993">
        <v>1363.46</v>
      </c>
      <c r="H1993">
        <v>0.14000000000000001</v>
      </c>
      <c r="I1993" s="4">
        <v>8208.0300000000007</v>
      </c>
      <c r="J1993" t="s">
        <v>44</v>
      </c>
      <c r="K1993" t="s">
        <v>35</v>
      </c>
      <c r="L1993" s="4">
        <f>VLOOKUP(tblTransactions[[#This Row],[Product_ID]],tblProducts[],5,FALSE)</f>
        <v>995.41</v>
      </c>
      <c r="M1993" s="4">
        <f>tblTransactions[[#This Row],[Total_Amount]]-(tblTransactions[[#This Row],[Cost_Prices]]*tblTransactions[[#This Row],[Quantity]]*(1-tblTransactions[[#This Row],[Discount]]))</f>
        <v>2215.6618000000008</v>
      </c>
      <c r="N1993" s="3">
        <f>tblTransactions[[#This Row],[Profit]]/tblTransactions[[#This Row],[Total_Amount]]</f>
        <v>0.26993831650225458</v>
      </c>
      <c r="O1993" t="str">
        <f>TEXT(tblTransactions[[#This Row],[Date]], "MMM-YYYY")</f>
        <v>Feb-2024</v>
      </c>
      <c r="P1993" t="str">
        <f>"Q"&amp;ROUNDUP(MONTH(tblTransactions[[#This Row],[Date]])/3,0)&amp;"-"&amp;YEAR(tblTransactions[[#This Row],[Date]])</f>
        <v>Q1-2024</v>
      </c>
      <c r="Q1993">
        <f>YEAR(tblTransactions[[#This Row],[Date]])</f>
        <v>2024</v>
      </c>
      <c r="R1993" t="str">
        <f>TEXT(tblTransactions[[#This Row],[Date]],"DDDD")</f>
        <v>Sunday</v>
      </c>
      <c r="S1993">
        <f>MONTH(tblTransactions[[#This Row],[Date]])</f>
        <v>2</v>
      </c>
      <c r="T1993" t="str">
        <f>VLOOKUP(E1993, Products!$A:$B,2,0)</f>
        <v>Phones Ele-3</v>
      </c>
      <c r="U1993" t="str">
        <f>VLOOKUP(E1993,Products!$A:$C,3,0)</f>
        <v>Electronics</v>
      </c>
      <c r="V1993" t="str">
        <f>VLOOKUP(E1993,Products!$A:$D,4,0)</f>
        <v>Phones</v>
      </c>
      <c r="W1993" t="str">
        <f>VLOOKUP(D1993,Customers!$A:$C,3,0)</f>
        <v>Small Business</v>
      </c>
      <c r="X1993" t="str">
        <f>VLOOKUP(C1993,Sales_Representatives!$A:$B,2,0)</f>
        <v>Jessica Anderson</v>
      </c>
    </row>
    <row r="1994" spans="1:24" x14ac:dyDescent="0.3">
      <c r="A1994" t="s">
        <v>2843</v>
      </c>
      <c r="B1994" t="s">
        <v>2840</v>
      </c>
      <c r="C1994" t="s">
        <v>141</v>
      </c>
      <c r="D1994" t="s">
        <v>2108</v>
      </c>
      <c r="E1994" t="s">
        <v>113</v>
      </c>
      <c r="F1994">
        <v>2</v>
      </c>
      <c r="G1994">
        <v>930.41</v>
      </c>
      <c r="H1994">
        <v>0.05</v>
      </c>
      <c r="I1994" s="4">
        <v>1767.78</v>
      </c>
      <c r="J1994" t="s">
        <v>109</v>
      </c>
      <c r="K1994" t="s">
        <v>35</v>
      </c>
      <c r="L1994" s="4">
        <f>VLOOKUP(tblTransactions[[#This Row],[Product_ID]],tblProducts[],5,FALSE)</f>
        <v>595.51</v>
      </c>
      <c r="M1994" s="4">
        <f>tblTransactions[[#This Row],[Total_Amount]]-(tblTransactions[[#This Row],[Cost_Prices]]*tblTransactions[[#This Row],[Quantity]]*(1-tblTransactions[[#This Row],[Discount]]))</f>
        <v>636.31100000000015</v>
      </c>
      <c r="N1994" s="3">
        <f>tblTransactions[[#This Row],[Profit]]/tblTransactions[[#This Row],[Total_Amount]]</f>
        <v>0.35994920182375645</v>
      </c>
      <c r="O1994" t="str">
        <f>TEXT(tblTransactions[[#This Row],[Date]], "MMM-YYYY")</f>
        <v>Feb-2024</v>
      </c>
      <c r="P1994" t="str">
        <f>"Q"&amp;ROUNDUP(MONTH(tblTransactions[[#This Row],[Date]])/3,0)&amp;"-"&amp;YEAR(tblTransactions[[#This Row],[Date]])</f>
        <v>Q1-2024</v>
      </c>
      <c r="Q1994">
        <f>YEAR(tblTransactions[[#This Row],[Date]])</f>
        <v>2024</v>
      </c>
      <c r="R1994" t="str">
        <f>TEXT(tblTransactions[[#This Row],[Date]],"DDDD")</f>
        <v>Sunday</v>
      </c>
      <c r="S1994">
        <f>MONTH(tblTransactions[[#This Row],[Date]])</f>
        <v>2</v>
      </c>
      <c r="T1994" t="str">
        <f>VLOOKUP(E1994, Products!$A:$B,2,0)</f>
        <v>Phones Ele-1</v>
      </c>
      <c r="U1994" t="str">
        <f>VLOOKUP(E1994,Products!$A:$C,3,0)</f>
        <v>Electronics</v>
      </c>
      <c r="V1994" t="str">
        <f>VLOOKUP(E1994,Products!$A:$D,4,0)</f>
        <v>Phones</v>
      </c>
      <c r="W1994" t="str">
        <f>VLOOKUP(D1994,Customers!$A:$C,3,0)</f>
        <v>Small Business</v>
      </c>
      <c r="X1994" t="str">
        <f>VLOOKUP(C1994,Sales_Representatives!$A:$B,2,0)</f>
        <v>Richard Garcia</v>
      </c>
    </row>
    <row r="1995" spans="1:24" x14ac:dyDescent="0.3">
      <c r="A1995" t="s">
        <v>2844</v>
      </c>
      <c r="B1995" t="s">
        <v>2840</v>
      </c>
      <c r="C1995" t="s">
        <v>75</v>
      </c>
      <c r="D1995" t="s">
        <v>1513</v>
      </c>
      <c r="E1995" t="s">
        <v>283</v>
      </c>
      <c r="F1995">
        <v>6</v>
      </c>
      <c r="G1995">
        <v>456.88</v>
      </c>
      <c r="H1995">
        <v>0.05</v>
      </c>
      <c r="I1995" s="4">
        <v>2604.2199999999998</v>
      </c>
      <c r="J1995" t="s">
        <v>44</v>
      </c>
      <c r="K1995" t="s">
        <v>17</v>
      </c>
      <c r="L1995" s="4">
        <f>VLOOKUP(tblTransactions[[#This Row],[Product_ID]],tblProducts[],5,FALSE)</f>
        <v>313.23</v>
      </c>
      <c r="M1995" s="4">
        <f>tblTransactions[[#This Row],[Total_Amount]]-(tblTransactions[[#This Row],[Cost_Prices]]*tblTransactions[[#This Row],[Quantity]]*(1-tblTransactions[[#This Row],[Discount]]))</f>
        <v>818.80899999999974</v>
      </c>
      <c r="N1995" s="3">
        <f>tblTransactions[[#This Row],[Profit]]/tblTransactions[[#This Row],[Total_Amount]]</f>
        <v>0.31441621675588077</v>
      </c>
      <c r="O1995" t="str">
        <f>TEXT(tblTransactions[[#This Row],[Date]], "MMM-YYYY")</f>
        <v>Feb-2024</v>
      </c>
      <c r="P1995" t="str">
        <f>"Q"&amp;ROUNDUP(MONTH(tblTransactions[[#This Row],[Date]])/3,0)&amp;"-"&amp;YEAR(tblTransactions[[#This Row],[Date]])</f>
        <v>Q1-2024</v>
      </c>
      <c r="Q1995">
        <f>YEAR(tblTransactions[[#This Row],[Date]])</f>
        <v>2024</v>
      </c>
      <c r="R1995" t="str">
        <f>TEXT(tblTransactions[[#This Row],[Date]],"DDDD")</f>
        <v>Sunday</v>
      </c>
      <c r="S1995">
        <f>MONTH(tblTransactions[[#This Row],[Date]])</f>
        <v>2</v>
      </c>
      <c r="T1995" t="str">
        <f>VLOOKUP(E1995, Products!$A:$B,2,0)</f>
        <v>Chairs Fur-3</v>
      </c>
      <c r="U1995" t="str">
        <f>VLOOKUP(E1995,Products!$A:$C,3,0)</f>
        <v>Furniture</v>
      </c>
      <c r="V1995" t="str">
        <f>VLOOKUP(E1995,Products!$A:$D,4,0)</f>
        <v>Chairs</v>
      </c>
      <c r="W1995" t="str">
        <f>VLOOKUP(D1995,Customers!$A:$C,3,0)</f>
        <v>B2C</v>
      </c>
      <c r="X1995" t="str">
        <f>VLOOKUP(C1995,Sales_Representatives!$A:$B,2,0)</f>
        <v>Jessica Anderson</v>
      </c>
    </row>
    <row r="1996" spans="1:24" x14ac:dyDescent="0.3">
      <c r="A1996" t="s">
        <v>2845</v>
      </c>
      <c r="B1996" t="s">
        <v>2840</v>
      </c>
      <c r="C1996" t="s">
        <v>82</v>
      </c>
      <c r="D1996" t="s">
        <v>1754</v>
      </c>
      <c r="E1996" t="s">
        <v>198</v>
      </c>
      <c r="F1996">
        <v>1</v>
      </c>
      <c r="G1996">
        <v>1802.96</v>
      </c>
      <c r="H1996">
        <v>0.06</v>
      </c>
      <c r="I1996" s="4">
        <v>1694.78</v>
      </c>
      <c r="J1996" t="s">
        <v>34</v>
      </c>
      <c r="K1996" t="s">
        <v>35</v>
      </c>
      <c r="L1996" s="4">
        <f>VLOOKUP(tblTransactions[[#This Row],[Product_ID]],tblProducts[],5,FALSE)</f>
        <v>1282.18</v>
      </c>
      <c r="M1996" s="4">
        <f>tblTransactions[[#This Row],[Total_Amount]]-(tblTransactions[[#This Row],[Cost_Prices]]*tblTransactions[[#This Row],[Quantity]]*(1-tblTransactions[[#This Row],[Discount]]))</f>
        <v>489.5308</v>
      </c>
      <c r="N1996" s="3">
        <f>tblTransactions[[#This Row],[Profit]]/tblTransactions[[#This Row],[Total_Amount]]</f>
        <v>0.28884622192850989</v>
      </c>
      <c r="O1996" t="str">
        <f>TEXT(tblTransactions[[#This Row],[Date]], "MMM-YYYY")</f>
        <v>Feb-2024</v>
      </c>
      <c r="P1996" t="str">
        <f>"Q"&amp;ROUNDUP(MONTH(tblTransactions[[#This Row],[Date]])/3,0)&amp;"-"&amp;YEAR(tblTransactions[[#This Row],[Date]])</f>
        <v>Q1-2024</v>
      </c>
      <c r="Q1996">
        <f>YEAR(tblTransactions[[#This Row],[Date]])</f>
        <v>2024</v>
      </c>
      <c r="R1996" t="str">
        <f>TEXT(tblTransactions[[#This Row],[Date]],"DDDD")</f>
        <v>Sunday</v>
      </c>
      <c r="S1996">
        <f>MONTH(tblTransactions[[#This Row],[Date]])</f>
        <v>2</v>
      </c>
      <c r="T1996" t="str">
        <f>VLOOKUP(E1996, Products!$A:$B,2,0)</f>
        <v>Tablets Ele-3</v>
      </c>
      <c r="U1996" t="str">
        <f>VLOOKUP(E1996,Products!$A:$C,3,0)</f>
        <v>Electronics</v>
      </c>
      <c r="V1996" t="str">
        <f>VLOOKUP(E1996,Products!$A:$D,4,0)</f>
        <v>Tablets</v>
      </c>
      <c r="W1996" t="str">
        <f>VLOOKUP(D1996,Customers!$A:$C,3,0)</f>
        <v>Small Business</v>
      </c>
      <c r="X1996" t="str">
        <f>VLOOKUP(C1996,Sales_Representatives!$A:$B,2,0)</f>
        <v>John Brown</v>
      </c>
    </row>
    <row r="1997" spans="1:24" x14ac:dyDescent="0.3">
      <c r="A1997" t="s">
        <v>2846</v>
      </c>
      <c r="B1997" t="s">
        <v>2847</v>
      </c>
      <c r="C1997" t="s">
        <v>56</v>
      </c>
      <c r="D1997" t="s">
        <v>2041</v>
      </c>
      <c r="E1997" t="s">
        <v>15</v>
      </c>
      <c r="F1997">
        <v>1</v>
      </c>
      <c r="G1997">
        <v>477.48</v>
      </c>
      <c r="H1997">
        <v>0.1</v>
      </c>
      <c r="I1997" s="4">
        <v>429.73</v>
      </c>
      <c r="J1997" t="s">
        <v>34</v>
      </c>
      <c r="K1997" t="s">
        <v>17</v>
      </c>
      <c r="L1997" s="4">
        <f>VLOOKUP(tblTransactions[[#This Row],[Product_ID]],tblProducts[],5,FALSE)</f>
        <v>275.51</v>
      </c>
      <c r="M1997" s="4">
        <f>tblTransactions[[#This Row],[Total_Amount]]-(tblTransactions[[#This Row],[Cost_Prices]]*tblTransactions[[#This Row],[Quantity]]*(1-tblTransactions[[#This Row],[Discount]]))</f>
        <v>181.77100000000002</v>
      </c>
      <c r="N1997" s="3">
        <f>tblTransactions[[#This Row],[Profit]]/tblTransactions[[#This Row],[Total_Amount]]</f>
        <v>0.42298885346612991</v>
      </c>
      <c r="O1997" t="str">
        <f>TEXT(tblTransactions[[#This Row],[Date]], "MMM-YYYY")</f>
        <v>Feb-2024</v>
      </c>
      <c r="P1997" t="str">
        <f>"Q"&amp;ROUNDUP(MONTH(tblTransactions[[#This Row],[Date]])/3,0)&amp;"-"&amp;YEAR(tblTransactions[[#This Row],[Date]])</f>
        <v>Q1-2024</v>
      </c>
      <c r="Q1997">
        <f>YEAR(tblTransactions[[#This Row],[Date]])</f>
        <v>2024</v>
      </c>
      <c r="R1997" t="str">
        <f>TEXT(tblTransactions[[#This Row],[Date]],"DDDD")</f>
        <v>Monday</v>
      </c>
      <c r="S1997">
        <f>MONTH(tblTransactions[[#This Row],[Date]])</f>
        <v>2</v>
      </c>
      <c r="T1997" t="str">
        <f>VLOOKUP(E1997, Products!$A:$B,2,0)</f>
        <v>Laptops Ele-4</v>
      </c>
      <c r="U1997" t="str">
        <f>VLOOKUP(E1997,Products!$A:$C,3,0)</f>
        <v>Electronics</v>
      </c>
      <c r="V1997" t="str">
        <f>VLOOKUP(E1997,Products!$A:$D,4,0)</f>
        <v>Laptops</v>
      </c>
      <c r="W1997" t="str">
        <f>VLOOKUP(D1997,Customers!$A:$C,3,0)</f>
        <v>B2C</v>
      </c>
      <c r="X1997" t="str">
        <f>VLOOKUP(C1997,Sales_Representatives!$A:$B,2,0)</f>
        <v>Thomas Hernandez</v>
      </c>
    </row>
    <row r="1998" spans="1:24" x14ac:dyDescent="0.3">
      <c r="A1998" t="s">
        <v>2848</v>
      </c>
      <c r="B1998" t="s">
        <v>2847</v>
      </c>
      <c r="C1998" t="s">
        <v>75</v>
      </c>
      <c r="D1998" t="s">
        <v>2557</v>
      </c>
      <c r="E1998" t="s">
        <v>347</v>
      </c>
      <c r="F1998">
        <v>5</v>
      </c>
      <c r="G1998">
        <v>1539.6</v>
      </c>
      <c r="H1998">
        <v>0</v>
      </c>
      <c r="I1998" s="4">
        <v>7698</v>
      </c>
      <c r="J1998" t="s">
        <v>44</v>
      </c>
      <c r="K1998" t="s">
        <v>48</v>
      </c>
      <c r="L1998" s="4">
        <f>VLOOKUP(tblTransactions[[#This Row],[Product_ID]],tblProducts[],5,FALSE)</f>
        <v>992.43</v>
      </c>
      <c r="M1998" s="4">
        <f>tblTransactions[[#This Row],[Total_Amount]]-(tblTransactions[[#This Row],[Cost_Prices]]*tblTransactions[[#This Row],[Quantity]]*(1-tblTransactions[[#This Row],[Discount]]))</f>
        <v>2735.8500000000004</v>
      </c>
      <c r="N1998" s="3">
        <f>tblTransactions[[#This Row],[Profit]]/tblTransactions[[#This Row],[Total_Amount]]</f>
        <v>0.35539750584567426</v>
      </c>
      <c r="O1998" t="str">
        <f>TEXT(tblTransactions[[#This Row],[Date]], "MMM-YYYY")</f>
        <v>Feb-2024</v>
      </c>
      <c r="P1998" t="str">
        <f>"Q"&amp;ROUNDUP(MONTH(tblTransactions[[#This Row],[Date]])/3,0)&amp;"-"&amp;YEAR(tblTransactions[[#This Row],[Date]])</f>
        <v>Q1-2024</v>
      </c>
      <c r="Q1998">
        <f>YEAR(tblTransactions[[#This Row],[Date]])</f>
        <v>2024</v>
      </c>
      <c r="R1998" t="str">
        <f>TEXT(tblTransactions[[#This Row],[Date]],"DDDD")</f>
        <v>Monday</v>
      </c>
      <c r="S1998">
        <f>MONTH(tblTransactions[[#This Row],[Date]])</f>
        <v>2</v>
      </c>
      <c r="T1998" t="str">
        <f>VLOOKUP(E1998, Products!$A:$B,2,0)</f>
        <v>Routers Tec-2</v>
      </c>
      <c r="U1998" t="str">
        <f>VLOOKUP(E1998,Products!$A:$C,3,0)</f>
        <v>Technology</v>
      </c>
      <c r="V1998" t="str">
        <f>VLOOKUP(E1998,Products!$A:$D,4,0)</f>
        <v>Routers</v>
      </c>
      <c r="W1998" t="str">
        <f>VLOOKUP(D1998,Customers!$A:$C,3,0)</f>
        <v>B2B</v>
      </c>
      <c r="X1998" t="str">
        <f>VLOOKUP(C1998,Sales_Representatives!$A:$B,2,0)</f>
        <v>Jessica Anderson</v>
      </c>
    </row>
    <row r="1999" spans="1:24" x14ac:dyDescent="0.3">
      <c r="A1999" t="s">
        <v>2849</v>
      </c>
      <c r="B1999" t="s">
        <v>2847</v>
      </c>
      <c r="C1999" t="s">
        <v>56</v>
      </c>
      <c r="D1999" t="s">
        <v>2577</v>
      </c>
      <c r="E1999" t="s">
        <v>38</v>
      </c>
      <c r="F1999">
        <v>1</v>
      </c>
      <c r="G1999">
        <v>581.47</v>
      </c>
      <c r="H1999">
        <v>0.03</v>
      </c>
      <c r="I1999" s="4">
        <v>564.03</v>
      </c>
      <c r="J1999" t="s">
        <v>34</v>
      </c>
      <c r="K1999" t="s">
        <v>39</v>
      </c>
      <c r="L1999" s="4">
        <f>VLOOKUP(tblTransactions[[#This Row],[Product_ID]],tblProducts[],5,FALSE)</f>
        <v>372.07</v>
      </c>
      <c r="M1999" s="4">
        <f>tblTransactions[[#This Row],[Total_Amount]]-(tblTransactions[[#This Row],[Cost_Prices]]*tblTransactions[[#This Row],[Quantity]]*(1-tblTransactions[[#This Row],[Discount]]))</f>
        <v>203.12209999999999</v>
      </c>
      <c r="N1999" s="3">
        <f>tblTransactions[[#This Row],[Profit]]/tblTransactions[[#This Row],[Total_Amount]]</f>
        <v>0.36012641171568888</v>
      </c>
      <c r="O1999" t="str">
        <f>TEXT(tblTransactions[[#This Row],[Date]], "MMM-YYYY")</f>
        <v>Feb-2024</v>
      </c>
      <c r="P1999" t="str">
        <f>"Q"&amp;ROUNDUP(MONTH(tblTransactions[[#This Row],[Date]])/3,0)&amp;"-"&amp;YEAR(tblTransactions[[#This Row],[Date]])</f>
        <v>Q1-2024</v>
      </c>
      <c r="Q1999">
        <f>YEAR(tblTransactions[[#This Row],[Date]])</f>
        <v>2024</v>
      </c>
      <c r="R1999" t="str">
        <f>TEXT(tblTransactions[[#This Row],[Date]],"DDDD")</f>
        <v>Monday</v>
      </c>
      <c r="S1999">
        <f>MONTH(tblTransactions[[#This Row],[Date]])</f>
        <v>2</v>
      </c>
      <c r="T1999" t="str">
        <f>VLOOKUP(E1999, Products!$A:$B,2,0)</f>
        <v>Storage Fur-3</v>
      </c>
      <c r="U1999" t="str">
        <f>VLOOKUP(E1999,Products!$A:$C,3,0)</f>
        <v>Furniture</v>
      </c>
      <c r="V1999" t="str">
        <f>VLOOKUP(E1999,Products!$A:$D,4,0)</f>
        <v>Storage</v>
      </c>
      <c r="W1999" t="str">
        <f>VLOOKUP(D1999,Customers!$A:$C,3,0)</f>
        <v>B2C</v>
      </c>
      <c r="X1999" t="str">
        <f>VLOOKUP(C1999,Sales_Representatives!$A:$B,2,0)</f>
        <v>Thomas Hernandez</v>
      </c>
    </row>
    <row r="2000" spans="1:24" x14ac:dyDescent="0.3">
      <c r="A2000" t="s">
        <v>2850</v>
      </c>
      <c r="B2000" t="s">
        <v>2847</v>
      </c>
      <c r="C2000" t="s">
        <v>127</v>
      </c>
      <c r="D2000" t="s">
        <v>2449</v>
      </c>
      <c r="E2000" t="s">
        <v>89</v>
      </c>
      <c r="F2000">
        <v>7</v>
      </c>
      <c r="G2000">
        <v>555.08000000000004</v>
      </c>
      <c r="H2000">
        <v>0.14000000000000001</v>
      </c>
      <c r="I2000" s="4">
        <v>3341.58</v>
      </c>
      <c r="J2000" t="s">
        <v>109</v>
      </c>
      <c r="K2000" t="s">
        <v>48</v>
      </c>
      <c r="L2000" s="4">
        <f>VLOOKUP(tblTransactions[[#This Row],[Product_ID]],tblProducts[],5,FALSE)</f>
        <v>402.82</v>
      </c>
      <c r="M2000" s="4">
        <f>tblTransactions[[#This Row],[Total_Amount]]-(tblTransactions[[#This Row],[Cost_Prices]]*tblTransactions[[#This Row],[Quantity]]*(1-tblTransactions[[#This Row],[Discount]]))</f>
        <v>916.60360000000037</v>
      </c>
      <c r="N2000" s="3">
        <f>tblTransactions[[#This Row],[Profit]]/tblTransactions[[#This Row],[Total_Amount]]</f>
        <v>0.2743024557245376</v>
      </c>
      <c r="O2000" t="str">
        <f>TEXT(tblTransactions[[#This Row],[Date]], "MMM-YYYY")</f>
        <v>Feb-2024</v>
      </c>
      <c r="P2000" t="str">
        <f>"Q"&amp;ROUNDUP(MONTH(tblTransactions[[#This Row],[Date]])/3,0)&amp;"-"&amp;YEAR(tblTransactions[[#This Row],[Date]])</f>
        <v>Q1-2024</v>
      </c>
      <c r="Q2000">
        <f>YEAR(tblTransactions[[#This Row],[Date]])</f>
        <v>2024</v>
      </c>
      <c r="R2000" t="str">
        <f>TEXT(tblTransactions[[#This Row],[Date]],"DDDD")</f>
        <v>Monday</v>
      </c>
      <c r="S2000">
        <f>MONTH(tblTransactions[[#This Row],[Date]])</f>
        <v>2</v>
      </c>
      <c r="T2000" t="str">
        <f>VLOOKUP(E2000, Products!$A:$B,2,0)</f>
        <v>Laptops Ele-3</v>
      </c>
      <c r="U2000" t="str">
        <f>VLOOKUP(E2000,Products!$A:$C,3,0)</f>
        <v>Electronics</v>
      </c>
      <c r="V2000" t="str">
        <f>VLOOKUP(E2000,Products!$A:$D,4,0)</f>
        <v>Laptops</v>
      </c>
      <c r="W2000" t="str">
        <f>VLOOKUP(D2000,Customers!$A:$C,3,0)</f>
        <v>B2B</v>
      </c>
      <c r="X2000" t="str">
        <f>VLOOKUP(C2000,Sales_Representatives!$A:$B,2,0)</f>
        <v>Emily Hernandez</v>
      </c>
    </row>
    <row r="2001" spans="1:24" x14ac:dyDescent="0.3">
      <c r="A2001" t="s">
        <v>2851</v>
      </c>
      <c r="B2001" t="s">
        <v>2852</v>
      </c>
      <c r="C2001" t="s">
        <v>31</v>
      </c>
      <c r="D2001" t="s">
        <v>1840</v>
      </c>
      <c r="E2001" t="s">
        <v>25</v>
      </c>
      <c r="F2001">
        <v>3</v>
      </c>
      <c r="G2001">
        <v>1467.49</v>
      </c>
      <c r="H2001">
        <v>0.08</v>
      </c>
      <c r="I2001" s="4">
        <v>4050.27</v>
      </c>
      <c r="J2001" t="s">
        <v>34</v>
      </c>
      <c r="K2001" t="s">
        <v>22</v>
      </c>
      <c r="L2001" s="4">
        <f>VLOOKUP(tblTransactions[[#This Row],[Product_ID]],tblProducts[],5,FALSE)</f>
        <v>757.65</v>
      </c>
      <c r="M2001" s="4">
        <f>tblTransactions[[#This Row],[Total_Amount]]-(tblTransactions[[#This Row],[Cost_Prices]]*tblTransactions[[#This Row],[Quantity]]*(1-tblTransactions[[#This Row],[Discount]]))</f>
        <v>1959.1559999999999</v>
      </c>
      <c r="N2001" s="3">
        <f>tblTransactions[[#This Row],[Profit]]/tblTransactions[[#This Row],[Total_Amount]]</f>
        <v>0.48370997489056283</v>
      </c>
      <c r="O2001" t="str">
        <f>TEXT(tblTransactions[[#This Row],[Date]], "MMM-YYYY")</f>
        <v>Feb-2024</v>
      </c>
      <c r="P2001" t="str">
        <f>"Q"&amp;ROUNDUP(MONTH(tblTransactions[[#This Row],[Date]])/3,0)&amp;"-"&amp;YEAR(tblTransactions[[#This Row],[Date]])</f>
        <v>Q1-2024</v>
      </c>
      <c r="Q2001">
        <f>YEAR(tblTransactions[[#This Row],[Date]])</f>
        <v>2024</v>
      </c>
      <c r="R2001" t="str">
        <f>TEXT(tblTransactions[[#This Row],[Date]],"DDDD")</f>
        <v>Tuesday</v>
      </c>
      <c r="S2001">
        <f>MONTH(tblTransactions[[#This Row],[Date]])</f>
        <v>2</v>
      </c>
      <c r="T2001" t="str">
        <f>VLOOKUP(E2001, Products!$A:$B,2,0)</f>
        <v>Tables Fur-3</v>
      </c>
      <c r="U2001" t="str">
        <f>VLOOKUP(E2001,Products!$A:$C,3,0)</f>
        <v>Furniture</v>
      </c>
      <c r="V2001" t="str">
        <f>VLOOKUP(E2001,Products!$A:$D,4,0)</f>
        <v>Tables</v>
      </c>
      <c r="W2001" t="str">
        <f>VLOOKUP(D2001,Customers!$A:$C,3,0)</f>
        <v>Small Business</v>
      </c>
      <c r="X2001" t="str">
        <f>VLOOKUP(C2001,Sales_Representatives!$A:$B,2,0)</f>
        <v>Thomas Martinez</v>
      </c>
    </row>
    <row r="2002" spans="1:24" x14ac:dyDescent="0.3">
      <c r="A2002" t="s">
        <v>2853</v>
      </c>
      <c r="B2002" t="s">
        <v>2852</v>
      </c>
      <c r="C2002" t="s">
        <v>82</v>
      </c>
      <c r="D2002" t="s">
        <v>2854</v>
      </c>
      <c r="E2002" t="s">
        <v>89</v>
      </c>
      <c r="F2002">
        <v>2</v>
      </c>
      <c r="G2002">
        <v>555.08000000000004</v>
      </c>
      <c r="H2002">
        <v>0.05</v>
      </c>
      <c r="I2002" s="4">
        <v>1054.6500000000001</v>
      </c>
      <c r="J2002" t="s">
        <v>34</v>
      </c>
      <c r="K2002" t="s">
        <v>39</v>
      </c>
      <c r="L2002" s="4">
        <f>VLOOKUP(tblTransactions[[#This Row],[Product_ID]],tblProducts[],5,FALSE)</f>
        <v>402.82</v>
      </c>
      <c r="M2002" s="4">
        <f>tblTransactions[[#This Row],[Total_Amount]]-(tblTransactions[[#This Row],[Cost_Prices]]*tblTransactions[[#This Row],[Quantity]]*(1-tblTransactions[[#This Row],[Discount]]))</f>
        <v>289.29200000000014</v>
      </c>
      <c r="N2002" s="3">
        <f>tblTransactions[[#This Row],[Profit]]/tblTransactions[[#This Row],[Total_Amount]]</f>
        <v>0.27430142701370136</v>
      </c>
      <c r="O2002" t="str">
        <f>TEXT(tblTransactions[[#This Row],[Date]], "MMM-YYYY")</f>
        <v>Feb-2024</v>
      </c>
      <c r="P2002" t="str">
        <f>"Q"&amp;ROUNDUP(MONTH(tblTransactions[[#This Row],[Date]])/3,0)&amp;"-"&amp;YEAR(tblTransactions[[#This Row],[Date]])</f>
        <v>Q1-2024</v>
      </c>
      <c r="Q2002">
        <f>YEAR(tblTransactions[[#This Row],[Date]])</f>
        <v>2024</v>
      </c>
      <c r="R2002" t="str">
        <f>TEXT(tblTransactions[[#This Row],[Date]],"DDDD")</f>
        <v>Tuesday</v>
      </c>
      <c r="S2002">
        <f>MONTH(tblTransactions[[#This Row],[Date]])</f>
        <v>2</v>
      </c>
      <c r="T2002" t="str">
        <f>VLOOKUP(E2002, Products!$A:$B,2,0)</f>
        <v>Laptops Ele-3</v>
      </c>
      <c r="U2002" t="str">
        <f>VLOOKUP(E2002,Products!$A:$C,3,0)</f>
        <v>Electronics</v>
      </c>
      <c r="V2002" t="str">
        <f>VLOOKUP(E2002,Products!$A:$D,4,0)</f>
        <v>Laptops</v>
      </c>
      <c r="W2002" t="str">
        <f>VLOOKUP(D2002,Customers!$A:$C,3,0)</f>
        <v>B2C</v>
      </c>
      <c r="X2002" t="str">
        <f>VLOOKUP(C2002,Sales_Representatives!$A:$B,2,0)</f>
        <v>John Brown</v>
      </c>
    </row>
    <row r="2003" spans="1:24" x14ac:dyDescent="0.3">
      <c r="A2003" t="s">
        <v>2855</v>
      </c>
      <c r="B2003" t="s">
        <v>2852</v>
      </c>
      <c r="C2003" t="s">
        <v>31</v>
      </c>
      <c r="D2003" t="s">
        <v>1973</v>
      </c>
      <c r="E2003" t="s">
        <v>105</v>
      </c>
      <c r="F2003">
        <v>7</v>
      </c>
      <c r="G2003">
        <v>1342.04</v>
      </c>
      <c r="H2003">
        <v>0.08</v>
      </c>
      <c r="I2003" s="4">
        <v>8642.74</v>
      </c>
      <c r="J2003" t="s">
        <v>34</v>
      </c>
      <c r="K2003" t="s">
        <v>39</v>
      </c>
      <c r="L2003" s="4">
        <f>VLOOKUP(tblTransactions[[#This Row],[Product_ID]],tblProducts[],5,FALSE)</f>
        <v>792.89</v>
      </c>
      <c r="M2003" s="4">
        <f>tblTransactions[[#This Row],[Total_Amount]]-(tblTransactions[[#This Row],[Cost_Prices]]*tblTransactions[[#This Row],[Quantity]]*(1-tblTransactions[[#This Row],[Discount]]))</f>
        <v>3536.5284000000001</v>
      </c>
      <c r="N2003" s="3">
        <f>tblTransactions[[#This Row],[Profit]]/tblTransactions[[#This Row],[Total_Amount]]</f>
        <v>0.40919065018732487</v>
      </c>
      <c r="O2003" t="str">
        <f>TEXT(tblTransactions[[#This Row],[Date]], "MMM-YYYY")</f>
        <v>Feb-2024</v>
      </c>
      <c r="P2003" t="str">
        <f>"Q"&amp;ROUNDUP(MONTH(tblTransactions[[#This Row],[Date]])/3,0)&amp;"-"&amp;YEAR(tblTransactions[[#This Row],[Date]])</f>
        <v>Q1-2024</v>
      </c>
      <c r="Q2003">
        <f>YEAR(tblTransactions[[#This Row],[Date]])</f>
        <v>2024</v>
      </c>
      <c r="R2003" t="str">
        <f>TEXT(tblTransactions[[#This Row],[Date]],"DDDD")</f>
        <v>Tuesday</v>
      </c>
      <c r="S2003">
        <f>MONTH(tblTransactions[[#This Row],[Date]])</f>
        <v>2</v>
      </c>
      <c r="T2003" t="str">
        <f>VLOOKUP(E2003, Products!$A:$B,2,0)</f>
        <v>Cameras Ele-1</v>
      </c>
      <c r="U2003" t="str">
        <f>VLOOKUP(E2003,Products!$A:$C,3,0)</f>
        <v>Electronics</v>
      </c>
      <c r="V2003" t="str">
        <f>VLOOKUP(E2003,Products!$A:$D,4,0)</f>
        <v>Cameras</v>
      </c>
      <c r="W2003" t="str">
        <f>VLOOKUP(D2003,Customers!$A:$C,3,0)</f>
        <v>B2B</v>
      </c>
      <c r="X2003" t="str">
        <f>VLOOKUP(C2003,Sales_Representatives!$A:$B,2,0)</f>
        <v>Thomas Martinez</v>
      </c>
    </row>
    <row r="2004" spans="1:24" x14ac:dyDescent="0.3">
      <c r="A2004" t="s">
        <v>2856</v>
      </c>
      <c r="B2004" t="s">
        <v>2857</v>
      </c>
      <c r="C2004" t="s">
        <v>75</v>
      </c>
      <c r="D2004" t="s">
        <v>1759</v>
      </c>
      <c r="E2004" t="s">
        <v>25</v>
      </c>
      <c r="F2004">
        <v>7</v>
      </c>
      <c r="G2004">
        <v>1467.49</v>
      </c>
      <c r="H2004">
        <v>0.13</v>
      </c>
      <c r="I2004" s="4">
        <v>8937.01</v>
      </c>
      <c r="J2004" t="s">
        <v>44</v>
      </c>
      <c r="K2004" t="s">
        <v>35</v>
      </c>
      <c r="L2004" s="4">
        <f>VLOOKUP(tblTransactions[[#This Row],[Product_ID]],tblProducts[],5,FALSE)</f>
        <v>757.65</v>
      </c>
      <c r="M2004" s="4">
        <f>tblTransactions[[#This Row],[Total_Amount]]-(tblTransactions[[#This Row],[Cost_Prices]]*tblTransactions[[#This Row],[Quantity]]*(1-tblTransactions[[#This Row],[Discount]]))</f>
        <v>4322.9215000000004</v>
      </c>
      <c r="N2004" s="3">
        <f>tblTransactions[[#This Row],[Profit]]/tblTransactions[[#This Row],[Total_Amount]]</f>
        <v>0.48371004396324946</v>
      </c>
      <c r="O2004" t="str">
        <f>TEXT(tblTransactions[[#This Row],[Date]], "MMM-YYYY")</f>
        <v>Feb-2024</v>
      </c>
      <c r="P2004" t="str">
        <f>"Q"&amp;ROUNDUP(MONTH(tblTransactions[[#This Row],[Date]])/3,0)&amp;"-"&amp;YEAR(tblTransactions[[#This Row],[Date]])</f>
        <v>Q1-2024</v>
      </c>
      <c r="Q2004">
        <f>YEAR(tblTransactions[[#This Row],[Date]])</f>
        <v>2024</v>
      </c>
      <c r="R2004" t="str">
        <f>TEXT(tblTransactions[[#This Row],[Date]],"DDDD")</f>
        <v>Wednesday</v>
      </c>
      <c r="S2004">
        <f>MONTH(tblTransactions[[#This Row],[Date]])</f>
        <v>2</v>
      </c>
      <c r="T2004" t="str">
        <f>VLOOKUP(E2004, Products!$A:$B,2,0)</f>
        <v>Tables Fur-3</v>
      </c>
      <c r="U2004" t="str">
        <f>VLOOKUP(E2004,Products!$A:$C,3,0)</f>
        <v>Furniture</v>
      </c>
      <c r="V2004" t="str">
        <f>VLOOKUP(E2004,Products!$A:$D,4,0)</f>
        <v>Tables</v>
      </c>
      <c r="W2004" t="str">
        <f>VLOOKUP(D2004,Customers!$A:$C,3,0)</f>
        <v>Small Business</v>
      </c>
      <c r="X2004" t="str">
        <f>VLOOKUP(C2004,Sales_Representatives!$A:$B,2,0)</f>
        <v>Jessica Anderson</v>
      </c>
    </row>
    <row r="2005" spans="1:24" x14ac:dyDescent="0.3">
      <c r="A2005" t="s">
        <v>2858</v>
      </c>
      <c r="B2005" t="s">
        <v>2857</v>
      </c>
      <c r="C2005" t="s">
        <v>56</v>
      </c>
      <c r="D2005" t="s">
        <v>2074</v>
      </c>
      <c r="E2005" t="s">
        <v>157</v>
      </c>
      <c r="F2005">
        <v>5</v>
      </c>
      <c r="G2005">
        <v>1227.68</v>
      </c>
      <c r="H2005">
        <v>0.06</v>
      </c>
      <c r="I2005" s="4">
        <v>5770.1</v>
      </c>
      <c r="J2005" t="s">
        <v>34</v>
      </c>
      <c r="K2005" t="s">
        <v>35</v>
      </c>
      <c r="L2005" s="4">
        <f>VLOOKUP(tblTransactions[[#This Row],[Product_ID]],tblProducts[],5,FALSE)</f>
        <v>846.42</v>
      </c>
      <c r="M2005" s="4">
        <f>tblTransactions[[#This Row],[Total_Amount]]-(tblTransactions[[#This Row],[Cost_Prices]]*tblTransactions[[#This Row],[Quantity]]*(1-tblTransactions[[#This Row],[Discount]]))</f>
        <v>1791.9260000000013</v>
      </c>
      <c r="N2005" s="3">
        <f>tblTransactions[[#This Row],[Profit]]/tblTransactions[[#This Row],[Total_Amount]]</f>
        <v>0.31055371657336983</v>
      </c>
      <c r="O2005" t="str">
        <f>TEXT(tblTransactions[[#This Row],[Date]], "MMM-YYYY")</f>
        <v>Feb-2024</v>
      </c>
      <c r="P2005" t="str">
        <f>"Q"&amp;ROUNDUP(MONTH(tblTransactions[[#This Row],[Date]])/3,0)&amp;"-"&amp;YEAR(tblTransactions[[#This Row],[Date]])</f>
        <v>Q1-2024</v>
      </c>
      <c r="Q2005">
        <f>YEAR(tblTransactions[[#This Row],[Date]])</f>
        <v>2024</v>
      </c>
      <c r="R2005" t="str">
        <f>TEXT(tblTransactions[[#This Row],[Date]],"DDDD")</f>
        <v>Wednesday</v>
      </c>
      <c r="S2005">
        <f>MONTH(tblTransactions[[#This Row],[Date]])</f>
        <v>2</v>
      </c>
      <c r="T2005" t="str">
        <f>VLOOKUP(E2005, Products!$A:$B,2,0)</f>
        <v>Printers Tec-4</v>
      </c>
      <c r="U2005" t="str">
        <f>VLOOKUP(E2005,Products!$A:$C,3,0)</f>
        <v>Technology</v>
      </c>
      <c r="V2005" t="str">
        <f>VLOOKUP(E2005,Products!$A:$D,4,0)</f>
        <v>Printers</v>
      </c>
      <c r="W2005" t="str">
        <f>VLOOKUP(D2005,Customers!$A:$C,3,0)</f>
        <v>B2C</v>
      </c>
      <c r="X2005" t="str">
        <f>VLOOKUP(C2005,Sales_Representatives!$A:$B,2,0)</f>
        <v>Thomas Hernandez</v>
      </c>
    </row>
    <row r="2006" spans="1:24" x14ac:dyDescent="0.3">
      <c r="A2006" t="s">
        <v>2859</v>
      </c>
      <c r="B2006" t="s">
        <v>2857</v>
      </c>
      <c r="C2006" t="s">
        <v>41</v>
      </c>
      <c r="D2006" t="s">
        <v>1651</v>
      </c>
      <c r="E2006" t="s">
        <v>255</v>
      </c>
      <c r="F2006">
        <v>41</v>
      </c>
      <c r="G2006">
        <v>1444.13</v>
      </c>
      <c r="H2006">
        <v>0.16</v>
      </c>
      <c r="I2006" s="4">
        <v>49735.839999999997</v>
      </c>
      <c r="J2006" t="s">
        <v>44</v>
      </c>
      <c r="K2006" t="s">
        <v>35</v>
      </c>
      <c r="L2006" s="4">
        <f>VLOOKUP(tblTransactions[[#This Row],[Product_ID]],tblProducts[],5,FALSE)</f>
        <v>874.43</v>
      </c>
      <c r="M2006" s="4">
        <f>tblTransactions[[#This Row],[Total_Amount]]-(tblTransactions[[#This Row],[Cost_Prices]]*tblTransactions[[#This Row],[Quantity]]*(1-tblTransactions[[#This Row],[Discount]]))</f>
        <v>19620.470799999999</v>
      </c>
      <c r="N2006" s="3">
        <f>tblTransactions[[#This Row],[Profit]]/tblTransactions[[#This Row],[Total_Amount]]</f>
        <v>0.39449360461188554</v>
      </c>
      <c r="O2006" t="str">
        <f>TEXT(tblTransactions[[#This Row],[Date]], "MMM-YYYY")</f>
        <v>Feb-2024</v>
      </c>
      <c r="P2006" t="str">
        <f>"Q"&amp;ROUNDUP(MONTH(tblTransactions[[#This Row],[Date]])/3,0)&amp;"-"&amp;YEAR(tblTransactions[[#This Row],[Date]])</f>
        <v>Q1-2024</v>
      </c>
      <c r="Q2006">
        <f>YEAR(tblTransactions[[#This Row],[Date]])</f>
        <v>2024</v>
      </c>
      <c r="R2006" t="str">
        <f>TEXT(tblTransactions[[#This Row],[Date]],"DDDD")</f>
        <v>Wednesday</v>
      </c>
      <c r="S2006">
        <f>MONTH(tblTransactions[[#This Row],[Date]])</f>
        <v>2</v>
      </c>
      <c r="T2006" t="str">
        <f>VLOOKUP(E2006, Products!$A:$B,2,0)</f>
        <v>Printers Tec-1</v>
      </c>
      <c r="U2006" t="str">
        <f>VLOOKUP(E2006,Products!$A:$C,3,0)</f>
        <v>Technology</v>
      </c>
      <c r="V2006" t="str">
        <f>VLOOKUP(E2006,Products!$A:$D,4,0)</f>
        <v>Printers</v>
      </c>
      <c r="W2006" t="str">
        <f>VLOOKUP(D2006,Customers!$A:$C,3,0)</f>
        <v>Enterprise</v>
      </c>
      <c r="X2006" t="str">
        <f>VLOOKUP(C2006,Sales_Representatives!$A:$B,2,0)</f>
        <v>Robert Jones</v>
      </c>
    </row>
    <row r="2007" spans="1:24" x14ac:dyDescent="0.3">
      <c r="A2007" t="s">
        <v>2860</v>
      </c>
      <c r="B2007" t="s">
        <v>2857</v>
      </c>
      <c r="C2007" t="s">
        <v>70</v>
      </c>
      <c r="D2007" t="s">
        <v>2411</v>
      </c>
      <c r="E2007" t="s">
        <v>102</v>
      </c>
      <c r="F2007">
        <v>4</v>
      </c>
      <c r="G2007">
        <v>1097.75</v>
      </c>
      <c r="H2007">
        <v>0.02</v>
      </c>
      <c r="I2007" s="4">
        <v>4303.18</v>
      </c>
      <c r="J2007" t="s">
        <v>16</v>
      </c>
      <c r="K2007" t="s">
        <v>22</v>
      </c>
      <c r="L2007" s="4">
        <f>VLOOKUP(tblTransactions[[#This Row],[Product_ID]],tblProducts[],5,FALSE)</f>
        <v>680.12</v>
      </c>
      <c r="M2007" s="4">
        <f>tblTransactions[[#This Row],[Total_Amount]]-(tblTransactions[[#This Row],[Cost_Prices]]*tblTransactions[[#This Row],[Quantity]]*(1-tblTransactions[[#This Row],[Discount]]))</f>
        <v>1637.1096000000002</v>
      </c>
      <c r="N2007" s="3">
        <f>tblTransactions[[#This Row],[Profit]]/tblTransactions[[#This Row],[Total_Amount]]</f>
        <v>0.38044181279890688</v>
      </c>
      <c r="O2007" t="str">
        <f>TEXT(tblTransactions[[#This Row],[Date]], "MMM-YYYY")</f>
        <v>Feb-2024</v>
      </c>
      <c r="P2007" t="str">
        <f>"Q"&amp;ROUNDUP(MONTH(tblTransactions[[#This Row],[Date]])/3,0)&amp;"-"&amp;YEAR(tblTransactions[[#This Row],[Date]])</f>
        <v>Q1-2024</v>
      </c>
      <c r="Q2007">
        <f>YEAR(tblTransactions[[#This Row],[Date]])</f>
        <v>2024</v>
      </c>
      <c r="R2007" t="str">
        <f>TEXT(tblTransactions[[#This Row],[Date]],"DDDD")</f>
        <v>Wednesday</v>
      </c>
      <c r="S2007">
        <f>MONTH(tblTransactions[[#This Row],[Date]])</f>
        <v>2</v>
      </c>
      <c r="T2007" t="str">
        <f>VLOOKUP(E2007, Products!$A:$B,2,0)</f>
        <v>Storage Fur-4</v>
      </c>
      <c r="U2007" t="str">
        <f>VLOOKUP(E2007,Products!$A:$C,3,0)</f>
        <v>Furniture</v>
      </c>
      <c r="V2007" t="str">
        <f>VLOOKUP(E2007,Products!$A:$D,4,0)</f>
        <v>Storage</v>
      </c>
      <c r="W2007" t="str">
        <f>VLOOKUP(D2007,Customers!$A:$C,3,0)</f>
        <v>B2B</v>
      </c>
      <c r="X2007" t="str">
        <f>VLOOKUP(C2007,Sales_Representatives!$A:$B,2,0)</f>
        <v>Linda Smith</v>
      </c>
    </row>
    <row r="2008" spans="1:24" x14ac:dyDescent="0.3">
      <c r="A2008" t="s">
        <v>2861</v>
      </c>
      <c r="B2008" t="s">
        <v>2857</v>
      </c>
      <c r="C2008" t="s">
        <v>19</v>
      </c>
      <c r="D2008" t="s">
        <v>1918</v>
      </c>
      <c r="E2008" t="s">
        <v>25</v>
      </c>
      <c r="F2008">
        <v>4</v>
      </c>
      <c r="G2008">
        <v>1467.49</v>
      </c>
      <c r="H2008">
        <v>0.09</v>
      </c>
      <c r="I2008" s="4">
        <v>5341.66</v>
      </c>
      <c r="J2008" t="s">
        <v>21</v>
      </c>
      <c r="K2008" t="s">
        <v>22</v>
      </c>
      <c r="L2008" s="4">
        <f>VLOOKUP(tblTransactions[[#This Row],[Product_ID]],tblProducts[],5,FALSE)</f>
        <v>757.65</v>
      </c>
      <c r="M2008" s="4">
        <f>tblTransactions[[#This Row],[Total_Amount]]-(tblTransactions[[#This Row],[Cost_Prices]]*tblTransactions[[#This Row],[Quantity]]*(1-tblTransactions[[#This Row],[Discount]]))</f>
        <v>2583.8139999999999</v>
      </c>
      <c r="N2008" s="3">
        <f>tblTransactions[[#This Row],[Profit]]/tblTransactions[[#This Row],[Total_Amount]]</f>
        <v>0.4837099328673109</v>
      </c>
      <c r="O2008" t="str">
        <f>TEXT(tblTransactions[[#This Row],[Date]], "MMM-YYYY")</f>
        <v>Feb-2024</v>
      </c>
      <c r="P2008" t="str">
        <f>"Q"&amp;ROUNDUP(MONTH(tblTransactions[[#This Row],[Date]])/3,0)&amp;"-"&amp;YEAR(tblTransactions[[#This Row],[Date]])</f>
        <v>Q1-2024</v>
      </c>
      <c r="Q2008">
        <f>YEAR(tblTransactions[[#This Row],[Date]])</f>
        <v>2024</v>
      </c>
      <c r="R2008" t="str">
        <f>TEXT(tblTransactions[[#This Row],[Date]],"DDDD")</f>
        <v>Wednesday</v>
      </c>
      <c r="S2008">
        <f>MONTH(tblTransactions[[#This Row],[Date]])</f>
        <v>2</v>
      </c>
      <c r="T2008" t="str">
        <f>VLOOKUP(E2008, Products!$A:$B,2,0)</f>
        <v>Tables Fur-3</v>
      </c>
      <c r="U2008" t="str">
        <f>VLOOKUP(E2008,Products!$A:$C,3,0)</f>
        <v>Furniture</v>
      </c>
      <c r="V2008" t="str">
        <f>VLOOKUP(E2008,Products!$A:$D,4,0)</f>
        <v>Tables</v>
      </c>
      <c r="W2008" t="str">
        <f>VLOOKUP(D2008,Customers!$A:$C,3,0)</f>
        <v>B2B</v>
      </c>
      <c r="X2008" t="str">
        <f>VLOOKUP(C2008,Sales_Representatives!$A:$B,2,0)</f>
        <v>Robert Jones</v>
      </c>
    </row>
    <row r="2009" spans="1:24" x14ac:dyDescent="0.3">
      <c r="A2009" t="s">
        <v>2862</v>
      </c>
      <c r="B2009" t="s">
        <v>2863</v>
      </c>
      <c r="C2009" t="s">
        <v>63</v>
      </c>
      <c r="D2009" t="s">
        <v>2137</v>
      </c>
      <c r="E2009" t="s">
        <v>99</v>
      </c>
      <c r="F2009">
        <v>7</v>
      </c>
      <c r="G2009">
        <v>325.14</v>
      </c>
      <c r="H2009">
        <v>7.0000000000000007E-2</v>
      </c>
      <c r="I2009" s="4">
        <v>2116.66</v>
      </c>
      <c r="J2009" t="s">
        <v>21</v>
      </c>
      <c r="K2009" t="s">
        <v>39</v>
      </c>
      <c r="L2009" s="4">
        <f>VLOOKUP(tblTransactions[[#This Row],[Product_ID]],tblProducts[],5,FALSE)</f>
        <v>209.04</v>
      </c>
      <c r="M2009" s="4">
        <f>tblTransactions[[#This Row],[Total_Amount]]-(tblTransactions[[#This Row],[Cost_Prices]]*tblTransactions[[#This Row],[Quantity]]*(1-tblTransactions[[#This Row],[Discount]]))</f>
        <v>755.80960000000005</v>
      </c>
      <c r="N2009" s="3">
        <f>tblTransactions[[#This Row],[Profit]]/tblTransactions[[#This Row],[Total_Amount]]</f>
        <v>0.35707652622527952</v>
      </c>
      <c r="O2009" t="str">
        <f>TEXT(tblTransactions[[#This Row],[Date]], "MMM-YYYY")</f>
        <v>Feb-2024</v>
      </c>
      <c r="P2009" t="str">
        <f>"Q"&amp;ROUNDUP(MONTH(tblTransactions[[#This Row],[Date]])/3,0)&amp;"-"&amp;YEAR(tblTransactions[[#This Row],[Date]])</f>
        <v>Q1-2024</v>
      </c>
      <c r="Q2009">
        <f>YEAR(tblTransactions[[#This Row],[Date]])</f>
        <v>2024</v>
      </c>
      <c r="R2009" t="str">
        <f>TEXT(tblTransactions[[#This Row],[Date]],"DDDD")</f>
        <v>Thursday</v>
      </c>
      <c r="S2009">
        <f>MONTH(tblTransactions[[#This Row],[Date]])</f>
        <v>2</v>
      </c>
      <c r="T2009" t="str">
        <f>VLOOKUP(E2009, Products!$A:$B,2,0)</f>
        <v>Monitors Tec-1</v>
      </c>
      <c r="U2009" t="str">
        <f>VLOOKUP(E2009,Products!$A:$C,3,0)</f>
        <v>Technology</v>
      </c>
      <c r="V2009" t="str">
        <f>VLOOKUP(E2009,Products!$A:$D,4,0)</f>
        <v>Monitors</v>
      </c>
      <c r="W2009" t="str">
        <f>VLOOKUP(D2009,Customers!$A:$C,3,0)</f>
        <v>B2C</v>
      </c>
      <c r="X2009" t="str">
        <f>VLOOKUP(C2009,Sales_Representatives!$A:$B,2,0)</f>
        <v>Richard Wilson</v>
      </c>
    </row>
    <row r="2010" spans="1:24" x14ac:dyDescent="0.3">
      <c r="A2010" t="s">
        <v>2864</v>
      </c>
      <c r="B2010" t="s">
        <v>2863</v>
      </c>
      <c r="C2010" t="s">
        <v>19</v>
      </c>
      <c r="D2010" t="s">
        <v>2671</v>
      </c>
      <c r="E2010" t="s">
        <v>38</v>
      </c>
      <c r="F2010">
        <v>3</v>
      </c>
      <c r="G2010">
        <v>581.47</v>
      </c>
      <c r="H2010">
        <v>0.06</v>
      </c>
      <c r="I2010" s="4">
        <v>1639.75</v>
      </c>
      <c r="J2010" t="s">
        <v>21</v>
      </c>
      <c r="K2010" t="s">
        <v>48</v>
      </c>
      <c r="L2010" s="4">
        <f>VLOOKUP(tblTransactions[[#This Row],[Product_ID]],tblProducts[],5,FALSE)</f>
        <v>372.07</v>
      </c>
      <c r="M2010" s="4">
        <f>tblTransactions[[#This Row],[Total_Amount]]-(tblTransactions[[#This Row],[Cost_Prices]]*tblTransactions[[#This Row],[Quantity]]*(1-tblTransactions[[#This Row],[Discount]]))</f>
        <v>590.51260000000002</v>
      </c>
      <c r="N2010" s="3">
        <f>tblTransactions[[#This Row],[Profit]]/tblTransactions[[#This Row],[Total_Amount]]</f>
        <v>0.36012355542003355</v>
      </c>
      <c r="O2010" t="str">
        <f>TEXT(tblTransactions[[#This Row],[Date]], "MMM-YYYY")</f>
        <v>Feb-2024</v>
      </c>
      <c r="P2010" t="str">
        <f>"Q"&amp;ROUNDUP(MONTH(tblTransactions[[#This Row],[Date]])/3,0)&amp;"-"&amp;YEAR(tblTransactions[[#This Row],[Date]])</f>
        <v>Q1-2024</v>
      </c>
      <c r="Q2010">
        <f>YEAR(tblTransactions[[#This Row],[Date]])</f>
        <v>2024</v>
      </c>
      <c r="R2010" t="str">
        <f>TEXT(tblTransactions[[#This Row],[Date]],"DDDD")</f>
        <v>Thursday</v>
      </c>
      <c r="S2010">
        <f>MONTH(tblTransactions[[#This Row],[Date]])</f>
        <v>2</v>
      </c>
      <c r="T2010" t="str">
        <f>VLOOKUP(E2010, Products!$A:$B,2,0)</f>
        <v>Storage Fur-3</v>
      </c>
      <c r="U2010" t="str">
        <f>VLOOKUP(E2010,Products!$A:$C,3,0)</f>
        <v>Furniture</v>
      </c>
      <c r="V2010" t="str">
        <f>VLOOKUP(E2010,Products!$A:$D,4,0)</f>
        <v>Storage</v>
      </c>
      <c r="W2010" t="str">
        <f>VLOOKUP(D2010,Customers!$A:$C,3,0)</f>
        <v>Small Business</v>
      </c>
      <c r="X2010" t="str">
        <f>VLOOKUP(C2010,Sales_Representatives!$A:$B,2,0)</f>
        <v>Robert Jones</v>
      </c>
    </row>
    <row r="2011" spans="1:24" x14ac:dyDescent="0.3">
      <c r="A2011" t="s">
        <v>2865</v>
      </c>
      <c r="B2011" t="s">
        <v>2863</v>
      </c>
      <c r="C2011" t="s">
        <v>70</v>
      </c>
      <c r="D2011" t="s">
        <v>1957</v>
      </c>
      <c r="E2011" t="s">
        <v>204</v>
      </c>
      <c r="F2011">
        <v>10</v>
      </c>
      <c r="G2011">
        <v>715.62</v>
      </c>
      <c r="H2011">
        <v>0.1</v>
      </c>
      <c r="I2011" s="4">
        <v>6440.58</v>
      </c>
      <c r="J2011" t="s">
        <v>16</v>
      </c>
      <c r="K2011" t="s">
        <v>35</v>
      </c>
      <c r="L2011" s="4">
        <f>VLOOKUP(tblTransactions[[#This Row],[Product_ID]],tblProducts[],5,FALSE)</f>
        <v>459.58</v>
      </c>
      <c r="M2011" s="4">
        <f>tblTransactions[[#This Row],[Total_Amount]]-(tblTransactions[[#This Row],[Cost_Prices]]*tblTransactions[[#This Row],[Quantity]]*(1-tblTransactions[[#This Row],[Discount]]))</f>
        <v>2304.3599999999997</v>
      </c>
      <c r="N2011" s="3">
        <f>tblTransactions[[#This Row],[Profit]]/tblTransactions[[#This Row],[Total_Amount]]</f>
        <v>0.35778765266482204</v>
      </c>
      <c r="O2011" t="str">
        <f>TEXT(tblTransactions[[#This Row],[Date]], "MMM-YYYY")</f>
        <v>Feb-2024</v>
      </c>
      <c r="P2011" t="str">
        <f>"Q"&amp;ROUNDUP(MONTH(tblTransactions[[#This Row],[Date]])/3,0)&amp;"-"&amp;YEAR(tblTransactions[[#This Row],[Date]])</f>
        <v>Q1-2024</v>
      </c>
      <c r="Q2011">
        <f>YEAR(tblTransactions[[#This Row],[Date]])</f>
        <v>2024</v>
      </c>
      <c r="R2011" t="str">
        <f>TEXT(tblTransactions[[#This Row],[Date]],"DDDD")</f>
        <v>Thursday</v>
      </c>
      <c r="S2011">
        <f>MONTH(tblTransactions[[#This Row],[Date]])</f>
        <v>2</v>
      </c>
      <c r="T2011" t="str">
        <f>VLOOKUP(E2011, Products!$A:$B,2,0)</f>
        <v>Cameras Ele-2</v>
      </c>
      <c r="U2011" t="str">
        <f>VLOOKUP(E2011,Products!$A:$C,3,0)</f>
        <v>Electronics</v>
      </c>
      <c r="V2011" t="str">
        <f>VLOOKUP(E2011,Products!$A:$D,4,0)</f>
        <v>Cameras</v>
      </c>
      <c r="W2011" t="str">
        <f>VLOOKUP(D2011,Customers!$A:$C,3,0)</f>
        <v>B2B</v>
      </c>
      <c r="X2011" t="str">
        <f>VLOOKUP(C2011,Sales_Representatives!$A:$B,2,0)</f>
        <v>Linda Smith</v>
      </c>
    </row>
    <row r="2012" spans="1:24" x14ac:dyDescent="0.3">
      <c r="A2012" t="s">
        <v>2866</v>
      </c>
      <c r="B2012" t="s">
        <v>2863</v>
      </c>
      <c r="C2012" t="s">
        <v>70</v>
      </c>
      <c r="D2012" t="s">
        <v>1888</v>
      </c>
      <c r="E2012" t="s">
        <v>224</v>
      </c>
      <c r="F2012">
        <v>1</v>
      </c>
      <c r="G2012">
        <v>505.37</v>
      </c>
      <c r="H2012">
        <v>0.02</v>
      </c>
      <c r="I2012" s="4">
        <v>495.26</v>
      </c>
      <c r="J2012" t="s">
        <v>16</v>
      </c>
      <c r="K2012" t="s">
        <v>22</v>
      </c>
      <c r="L2012" s="4">
        <f>VLOOKUP(tblTransactions[[#This Row],[Product_ID]],tblProducts[],5,FALSE)</f>
        <v>281.14999999999998</v>
      </c>
      <c r="M2012" s="4">
        <f>tblTransactions[[#This Row],[Total_Amount]]-(tblTransactions[[#This Row],[Cost_Prices]]*tblTransactions[[#This Row],[Quantity]]*(1-tblTransactions[[#This Row],[Discount]]))</f>
        <v>219.733</v>
      </c>
      <c r="N2012" s="3">
        <f>tblTransactions[[#This Row],[Profit]]/tblTransactions[[#This Row],[Total_Amount]]</f>
        <v>0.44367201066106693</v>
      </c>
      <c r="O2012" t="str">
        <f>TEXT(tblTransactions[[#This Row],[Date]], "MMM-YYYY")</f>
        <v>Feb-2024</v>
      </c>
      <c r="P2012" t="str">
        <f>"Q"&amp;ROUNDUP(MONTH(tblTransactions[[#This Row],[Date]])/3,0)&amp;"-"&amp;YEAR(tblTransactions[[#This Row],[Date]])</f>
        <v>Q1-2024</v>
      </c>
      <c r="Q2012">
        <f>YEAR(tblTransactions[[#This Row],[Date]])</f>
        <v>2024</v>
      </c>
      <c r="R2012" t="str">
        <f>TEXT(tblTransactions[[#This Row],[Date]],"DDDD")</f>
        <v>Thursday</v>
      </c>
      <c r="S2012">
        <f>MONTH(tblTransactions[[#This Row],[Date]])</f>
        <v>2</v>
      </c>
      <c r="T2012" t="str">
        <f>VLOOKUP(E2012, Products!$A:$B,2,0)</f>
        <v>Desks Fur-3</v>
      </c>
      <c r="U2012" t="str">
        <f>VLOOKUP(E2012,Products!$A:$C,3,0)</f>
        <v>Furniture</v>
      </c>
      <c r="V2012" t="str">
        <f>VLOOKUP(E2012,Products!$A:$D,4,0)</f>
        <v>Desks</v>
      </c>
      <c r="W2012" t="str">
        <f>VLOOKUP(D2012,Customers!$A:$C,3,0)</f>
        <v>B2C</v>
      </c>
      <c r="X2012" t="str">
        <f>VLOOKUP(C2012,Sales_Representatives!$A:$B,2,0)</f>
        <v>Linda Smith</v>
      </c>
    </row>
    <row r="2013" spans="1:24" x14ac:dyDescent="0.3">
      <c r="A2013" t="s">
        <v>2867</v>
      </c>
      <c r="B2013" t="s">
        <v>2863</v>
      </c>
      <c r="C2013" t="s">
        <v>13</v>
      </c>
      <c r="D2013" t="s">
        <v>2868</v>
      </c>
      <c r="E2013" t="s">
        <v>191</v>
      </c>
      <c r="F2013">
        <v>7</v>
      </c>
      <c r="G2013">
        <v>1012.75</v>
      </c>
      <c r="H2013">
        <v>0.09</v>
      </c>
      <c r="I2013" s="4">
        <v>6451.22</v>
      </c>
      <c r="J2013" t="s">
        <v>16</v>
      </c>
      <c r="K2013" t="s">
        <v>35</v>
      </c>
      <c r="L2013" s="4">
        <f>VLOOKUP(tblTransactions[[#This Row],[Product_ID]],tblProducts[],5,FALSE)</f>
        <v>518.53</v>
      </c>
      <c r="M2013" s="4">
        <f>tblTransactions[[#This Row],[Total_Amount]]-(tblTransactions[[#This Row],[Cost_Prices]]*tblTransactions[[#This Row],[Quantity]]*(1-tblTransactions[[#This Row],[Discount]]))</f>
        <v>3148.1839</v>
      </c>
      <c r="N2013" s="3">
        <f>tblTransactions[[#This Row],[Profit]]/tblTransactions[[#This Row],[Total_Amount]]</f>
        <v>0.48799822359181672</v>
      </c>
      <c r="O2013" t="str">
        <f>TEXT(tblTransactions[[#This Row],[Date]], "MMM-YYYY")</f>
        <v>Feb-2024</v>
      </c>
      <c r="P2013" t="str">
        <f>"Q"&amp;ROUNDUP(MONTH(tblTransactions[[#This Row],[Date]])/3,0)&amp;"-"&amp;YEAR(tblTransactions[[#This Row],[Date]])</f>
        <v>Q1-2024</v>
      </c>
      <c r="Q2013">
        <f>YEAR(tblTransactions[[#This Row],[Date]])</f>
        <v>2024</v>
      </c>
      <c r="R2013" t="str">
        <f>TEXT(tblTransactions[[#This Row],[Date]],"DDDD")</f>
        <v>Thursday</v>
      </c>
      <c r="S2013">
        <f>MONTH(tblTransactions[[#This Row],[Date]])</f>
        <v>2</v>
      </c>
      <c r="T2013" t="str">
        <f>VLOOKUP(E2013, Products!$A:$B,2,0)</f>
        <v>Tables Fur-4</v>
      </c>
      <c r="U2013" t="str">
        <f>VLOOKUP(E2013,Products!$A:$C,3,0)</f>
        <v>Furniture</v>
      </c>
      <c r="V2013" t="str">
        <f>VLOOKUP(E2013,Products!$A:$D,4,0)</f>
        <v>Tables</v>
      </c>
      <c r="W2013" t="str">
        <f>VLOOKUP(D2013,Customers!$A:$C,3,0)</f>
        <v>B2B</v>
      </c>
      <c r="X2013" t="str">
        <f>VLOOKUP(C2013,Sales_Representatives!$A:$B,2,0)</f>
        <v>Jennifer Rodriguez</v>
      </c>
    </row>
    <row r="2014" spans="1:24" x14ac:dyDescent="0.3">
      <c r="A2014" t="s">
        <v>2869</v>
      </c>
      <c r="B2014" t="s">
        <v>2870</v>
      </c>
      <c r="C2014" t="s">
        <v>63</v>
      </c>
      <c r="D2014" t="s">
        <v>2871</v>
      </c>
      <c r="E2014" t="s">
        <v>89</v>
      </c>
      <c r="F2014">
        <v>2</v>
      </c>
      <c r="G2014">
        <v>555.08000000000004</v>
      </c>
      <c r="H2014">
        <v>0.08</v>
      </c>
      <c r="I2014" s="4">
        <v>1021.35</v>
      </c>
      <c r="J2014" t="s">
        <v>21</v>
      </c>
      <c r="K2014" t="s">
        <v>17</v>
      </c>
      <c r="L2014" s="4">
        <f>VLOOKUP(tblTransactions[[#This Row],[Product_ID]],tblProducts[],5,FALSE)</f>
        <v>402.82</v>
      </c>
      <c r="M2014" s="4">
        <f>tblTransactions[[#This Row],[Total_Amount]]-(tblTransactions[[#This Row],[Cost_Prices]]*tblTransactions[[#This Row],[Quantity]]*(1-tblTransactions[[#This Row],[Discount]]))</f>
        <v>280.16120000000001</v>
      </c>
      <c r="N2014" s="3">
        <f>tblTransactions[[#This Row],[Profit]]/tblTransactions[[#This Row],[Total_Amount]]</f>
        <v>0.27430479267635971</v>
      </c>
      <c r="O2014" t="str">
        <f>TEXT(tblTransactions[[#This Row],[Date]], "MMM-YYYY")</f>
        <v>Mar-2024</v>
      </c>
      <c r="P2014" t="str">
        <f>"Q"&amp;ROUNDUP(MONTH(tblTransactions[[#This Row],[Date]])/3,0)&amp;"-"&amp;YEAR(tblTransactions[[#This Row],[Date]])</f>
        <v>Q1-2024</v>
      </c>
      <c r="Q2014">
        <f>YEAR(tblTransactions[[#This Row],[Date]])</f>
        <v>2024</v>
      </c>
      <c r="R2014" t="str">
        <f>TEXT(tblTransactions[[#This Row],[Date]],"DDDD")</f>
        <v>Friday</v>
      </c>
      <c r="S2014">
        <f>MONTH(tblTransactions[[#This Row],[Date]])</f>
        <v>3</v>
      </c>
      <c r="T2014" t="str">
        <f>VLOOKUP(E2014, Products!$A:$B,2,0)</f>
        <v>Laptops Ele-3</v>
      </c>
      <c r="U2014" t="str">
        <f>VLOOKUP(E2014,Products!$A:$C,3,0)</f>
        <v>Electronics</v>
      </c>
      <c r="V2014" t="str">
        <f>VLOOKUP(E2014,Products!$A:$D,4,0)</f>
        <v>Laptops</v>
      </c>
      <c r="W2014" t="str">
        <f>VLOOKUP(D2014,Customers!$A:$C,3,0)</f>
        <v>B2C</v>
      </c>
      <c r="X2014" t="str">
        <f>VLOOKUP(C2014,Sales_Representatives!$A:$B,2,0)</f>
        <v>Richard Wilson</v>
      </c>
    </row>
    <row r="2015" spans="1:24" x14ac:dyDescent="0.3">
      <c r="A2015" t="s">
        <v>2872</v>
      </c>
      <c r="B2015" t="s">
        <v>2870</v>
      </c>
      <c r="C2015" t="s">
        <v>27</v>
      </c>
      <c r="D2015" t="s">
        <v>144</v>
      </c>
      <c r="E2015" t="s">
        <v>68</v>
      </c>
      <c r="F2015">
        <v>7</v>
      </c>
      <c r="G2015">
        <v>522.63</v>
      </c>
      <c r="H2015">
        <v>0.11</v>
      </c>
      <c r="I2015" s="4">
        <v>3255.98</v>
      </c>
      <c r="J2015" t="s">
        <v>16</v>
      </c>
      <c r="K2015" t="s">
        <v>48</v>
      </c>
      <c r="L2015" s="4">
        <f>VLOOKUP(tblTransactions[[#This Row],[Product_ID]],tblProducts[],5,FALSE)</f>
        <v>355.82</v>
      </c>
      <c r="M2015" s="4">
        <f>tblTransactions[[#This Row],[Total_Amount]]-(tblTransactions[[#This Row],[Cost_Prices]]*tblTransactions[[#This Row],[Quantity]]*(1-tblTransactions[[#This Row],[Discount]]))</f>
        <v>1039.2214000000004</v>
      </c>
      <c r="N2015" s="3">
        <f>tblTransactions[[#This Row],[Profit]]/tblTransactions[[#This Row],[Total_Amount]]</f>
        <v>0.31917315216923947</v>
      </c>
      <c r="O2015" t="str">
        <f>TEXT(tblTransactions[[#This Row],[Date]], "MMM-YYYY")</f>
        <v>Mar-2024</v>
      </c>
      <c r="P2015" t="str">
        <f>"Q"&amp;ROUNDUP(MONTH(tblTransactions[[#This Row],[Date]])/3,0)&amp;"-"&amp;YEAR(tblTransactions[[#This Row],[Date]])</f>
        <v>Q1-2024</v>
      </c>
      <c r="Q2015">
        <f>YEAR(tblTransactions[[#This Row],[Date]])</f>
        <v>2024</v>
      </c>
      <c r="R2015" t="str">
        <f>TEXT(tblTransactions[[#This Row],[Date]],"DDDD")</f>
        <v>Friday</v>
      </c>
      <c r="S2015">
        <f>MONTH(tblTransactions[[#This Row],[Date]])</f>
        <v>3</v>
      </c>
      <c r="T2015" t="str">
        <f>VLOOKUP(E2015, Products!$A:$B,2,0)</f>
        <v>Monitors Tec-3</v>
      </c>
      <c r="U2015" t="str">
        <f>VLOOKUP(E2015,Products!$A:$C,3,0)</f>
        <v>Technology</v>
      </c>
      <c r="V2015" t="str">
        <f>VLOOKUP(E2015,Products!$A:$D,4,0)</f>
        <v>Monitors</v>
      </c>
      <c r="W2015" t="str">
        <f>VLOOKUP(D2015,Customers!$A:$C,3,0)</f>
        <v>B2C</v>
      </c>
      <c r="X2015" t="str">
        <f>VLOOKUP(C2015,Sales_Representatives!$A:$B,2,0)</f>
        <v>Thomas Lopez</v>
      </c>
    </row>
    <row r="2016" spans="1:24" x14ac:dyDescent="0.3">
      <c r="A2016" t="s">
        <v>2873</v>
      </c>
      <c r="B2016" t="s">
        <v>2870</v>
      </c>
      <c r="C2016" t="s">
        <v>63</v>
      </c>
      <c r="D2016" t="s">
        <v>1515</v>
      </c>
      <c r="E2016" t="s">
        <v>72</v>
      </c>
      <c r="F2016">
        <v>5</v>
      </c>
      <c r="G2016">
        <v>404.76</v>
      </c>
      <c r="H2016">
        <v>0.06</v>
      </c>
      <c r="I2016" s="4">
        <v>1902.37</v>
      </c>
      <c r="J2016" t="s">
        <v>21</v>
      </c>
      <c r="K2016" t="s">
        <v>39</v>
      </c>
      <c r="L2016" s="4">
        <f>VLOOKUP(tblTransactions[[#This Row],[Product_ID]],tblProducts[],5,FALSE)</f>
        <v>226.76</v>
      </c>
      <c r="M2016" s="4">
        <f>tblTransactions[[#This Row],[Total_Amount]]-(tblTransactions[[#This Row],[Cost_Prices]]*tblTransactions[[#This Row],[Quantity]]*(1-tblTransactions[[#This Row],[Discount]]))</f>
        <v>836.59799999999996</v>
      </c>
      <c r="N2016" s="3">
        <f>tblTransactions[[#This Row],[Profit]]/tblTransactions[[#This Row],[Total_Amount]]</f>
        <v>0.43976618638855741</v>
      </c>
      <c r="O2016" t="str">
        <f>TEXT(tblTransactions[[#This Row],[Date]], "MMM-YYYY")</f>
        <v>Mar-2024</v>
      </c>
      <c r="P2016" t="str">
        <f>"Q"&amp;ROUNDUP(MONTH(tblTransactions[[#This Row],[Date]])/3,0)&amp;"-"&amp;YEAR(tblTransactions[[#This Row],[Date]])</f>
        <v>Q1-2024</v>
      </c>
      <c r="Q2016">
        <f>YEAR(tblTransactions[[#This Row],[Date]])</f>
        <v>2024</v>
      </c>
      <c r="R2016" t="str">
        <f>TEXT(tblTransactions[[#This Row],[Date]],"DDDD")</f>
        <v>Friday</v>
      </c>
      <c r="S2016">
        <f>MONTH(tblTransactions[[#This Row],[Date]])</f>
        <v>3</v>
      </c>
      <c r="T2016" t="str">
        <f>VLOOKUP(E2016, Products!$A:$B,2,0)</f>
        <v>Tablets Ele-2</v>
      </c>
      <c r="U2016" t="str">
        <f>VLOOKUP(E2016,Products!$A:$C,3,0)</f>
        <v>Electronics</v>
      </c>
      <c r="V2016" t="str">
        <f>VLOOKUP(E2016,Products!$A:$D,4,0)</f>
        <v>Tablets</v>
      </c>
      <c r="W2016" t="str">
        <f>VLOOKUP(D2016,Customers!$A:$C,3,0)</f>
        <v>B2C</v>
      </c>
      <c r="X2016" t="str">
        <f>VLOOKUP(C2016,Sales_Representatives!$A:$B,2,0)</f>
        <v>Richard Wilson</v>
      </c>
    </row>
    <row r="2017" spans="1:24" x14ac:dyDescent="0.3">
      <c r="A2017" t="s">
        <v>2874</v>
      </c>
      <c r="B2017" t="s">
        <v>2870</v>
      </c>
      <c r="C2017" t="s">
        <v>107</v>
      </c>
      <c r="D2017" t="s">
        <v>1604</v>
      </c>
      <c r="E2017" t="s">
        <v>96</v>
      </c>
      <c r="F2017">
        <v>5</v>
      </c>
      <c r="G2017">
        <v>751.9</v>
      </c>
      <c r="H2017">
        <v>0.1</v>
      </c>
      <c r="I2017" s="4">
        <v>3383.55</v>
      </c>
      <c r="J2017" t="s">
        <v>109</v>
      </c>
      <c r="K2017" t="s">
        <v>17</v>
      </c>
      <c r="L2017" s="4">
        <f>VLOOKUP(tblTransactions[[#This Row],[Product_ID]],tblProducts[],5,FALSE)</f>
        <v>570.29</v>
      </c>
      <c r="M2017" s="4">
        <f>tblTransactions[[#This Row],[Total_Amount]]-(tblTransactions[[#This Row],[Cost_Prices]]*tblTransactions[[#This Row],[Quantity]]*(1-tblTransactions[[#This Row],[Discount]]))</f>
        <v>817.24500000000035</v>
      </c>
      <c r="N2017" s="3">
        <f>tblTransactions[[#This Row],[Profit]]/tblTransactions[[#This Row],[Total_Amount]]</f>
        <v>0.24153477856097894</v>
      </c>
      <c r="O2017" t="str">
        <f>TEXT(tblTransactions[[#This Row],[Date]], "MMM-YYYY")</f>
        <v>Mar-2024</v>
      </c>
      <c r="P2017" t="str">
        <f>"Q"&amp;ROUNDUP(MONTH(tblTransactions[[#This Row],[Date]])/3,0)&amp;"-"&amp;YEAR(tblTransactions[[#This Row],[Date]])</f>
        <v>Q1-2024</v>
      </c>
      <c r="Q2017">
        <f>YEAR(tblTransactions[[#This Row],[Date]])</f>
        <v>2024</v>
      </c>
      <c r="R2017" t="str">
        <f>TEXT(tblTransactions[[#This Row],[Date]],"DDDD")</f>
        <v>Friday</v>
      </c>
      <c r="S2017">
        <f>MONTH(tblTransactions[[#This Row],[Date]])</f>
        <v>3</v>
      </c>
      <c r="T2017" t="str">
        <f>VLOOKUP(E2017, Products!$A:$B,2,0)</f>
        <v>Routers Tec-1</v>
      </c>
      <c r="U2017" t="str">
        <f>VLOOKUP(E2017,Products!$A:$C,3,0)</f>
        <v>Technology</v>
      </c>
      <c r="V2017" t="str">
        <f>VLOOKUP(E2017,Products!$A:$D,4,0)</f>
        <v>Routers</v>
      </c>
      <c r="W2017" t="str">
        <f>VLOOKUP(D2017,Customers!$A:$C,3,0)</f>
        <v>B2C</v>
      </c>
      <c r="X2017" t="str">
        <f>VLOOKUP(C2017,Sales_Representatives!$A:$B,2,0)</f>
        <v>Jennifer Brown</v>
      </c>
    </row>
    <row r="2018" spans="1:24" x14ac:dyDescent="0.3">
      <c r="A2018" t="s">
        <v>2875</v>
      </c>
      <c r="B2018" t="s">
        <v>2870</v>
      </c>
      <c r="C2018" t="s">
        <v>127</v>
      </c>
      <c r="D2018" t="s">
        <v>2876</v>
      </c>
      <c r="E2018" t="s">
        <v>704</v>
      </c>
      <c r="F2018">
        <v>3</v>
      </c>
      <c r="G2018">
        <v>291.81</v>
      </c>
      <c r="H2018">
        <v>0.04</v>
      </c>
      <c r="I2018" s="4">
        <v>840.41</v>
      </c>
      <c r="J2018" t="s">
        <v>109</v>
      </c>
      <c r="K2018" t="s">
        <v>48</v>
      </c>
      <c r="L2018" s="4">
        <f>VLOOKUP(tblTransactions[[#This Row],[Product_ID]],tblProducts[],5,FALSE)</f>
        <v>123.61</v>
      </c>
      <c r="M2018" s="4">
        <f>tblTransactions[[#This Row],[Total_Amount]]-(tblTransactions[[#This Row],[Cost_Prices]]*tblTransactions[[#This Row],[Quantity]]*(1-tblTransactions[[#This Row],[Discount]]))</f>
        <v>484.41320000000002</v>
      </c>
      <c r="N2018" s="3">
        <f>tblTransactions[[#This Row],[Profit]]/tblTransactions[[#This Row],[Total_Amount]]</f>
        <v>0.57640104234837763</v>
      </c>
      <c r="O2018" t="str">
        <f>TEXT(tblTransactions[[#This Row],[Date]], "MMM-YYYY")</f>
        <v>Mar-2024</v>
      </c>
      <c r="P2018" t="str">
        <f>"Q"&amp;ROUNDUP(MONTH(tblTransactions[[#This Row],[Date]])/3,0)&amp;"-"&amp;YEAR(tblTransactions[[#This Row],[Date]])</f>
        <v>Q1-2024</v>
      </c>
      <c r="Q2018">
        <f>YEAR(tblTransactions[[#This Row],[Date]])</f>
        <v>2024</v>
      </c>
      <c r="R2018" t="str">
        <f>TEXT(tblTransactions[[#This Row],[Date]],"DDDD")</f>
        <v>Friday</v>
      </c>
      <c r="S2018">
        <f>MONTH(tblTransactions[[#This Row],[Date]])</f>
        <v>3</v>
      </c>
      <c r="T2018" t="str">
        <f>VLOOKUP(E2018, Products!$A:$B,2,0)</f>
        <v>Keyboards Acc-4</v>
      </c>
      <c r="U2018" t="str">
        <f>VLOOKUP(E2018,Products!$A:$C,3,0)</f>
        <v>Accessories</v>
      </c>
      <c r="V2018" t="str">
        <f>VLOOKUP(E2018,Products!$A:$D,4,0)</f>
        <v>Keyboards</v>
      </c>
      <c r="W2018" t="str">
        <f>VLOOKUP(D2018,Customers!$A:$C,3,0)</f>
        <v>B2C</v>
      </c>
      <c r="X2018" t="str">
        <f>VLOOKUP(C2018,Sales_Representatives!$A:$B,2,0)</f>
        <v>Emily Hernandez</v>
      </c>
    </row>
    <row r="2019" spans="1:24" x14ac:dyDescent="0.3">
      <c r="A2019" t="s">
        <v>2877</v>
      </c>
      <c r="B2019" t="s">
        <v>2878</v>
      </c>
      <c r="C2019" t="s">
        <v>41</v>
      </c>
      <c r="D2019" t="s">
        <v>1978</v>
      </c>
      <c r="E2019" t="s">
        <v>148</v>
      </c>
      <c r="F2019">
        <v>2</v>
      </c>
      <c r="G2019">
        <v>20.420000000000002</v>
      </c>
      <c r="H2019">
        <v>0.04</v>
      </c>
      <c r="I2019" s="4">
        <v>39.21</v>
      </c>
      <c r="J2019" t="s">
        <v>44</v>
      </c>
      <c r="K2019" t="s">
        <v>22</v>
      </c>
      <c r="L2019" s="4">
        <f>VLOOKUP(tblTransactions[[#This Row],[Product_ID]],tblProducts[],5,FALSE)</f>
        <v>9.56</v>
      </c>
      <c r="M2019" s="4">
        <f>tblTransactions[[#This Row],[Total_Amount]]-(tblTransactions[[#This Row],[Cost_Prices]]*tblTransactions[[#This Row],[Quantity]]*(1-tblTransactions[[#This Row],[Discount]]))</f>
        <v>20.854800000000001</v>
      </c>
      <c r="N2019" s="3">
        <f>tblTransactions[[#This Row],[Profit]]/tblTransactions[[#This Row],[Total_Amount]]</f>
        <v>0.53187452180566186</v>
      </c>
      <c r="O2019" t="str">
        <f>TEXT(tblTransactions[[#This Row],[Date]], "MMM-YYYY")</f>
        <v>Mar-2024</v>
      </c>
      <c r="P2019" t="str">
        <f>"Q"&amp;ROUNDUP(MONTH(tblTransactions[[#This Row],[Date]])/3,0)&amp;"-"&amp;YEAR(tblTransactions[[#This Row],[Date]])</f>
        <v>Q1-2024</v>
      </c>
      <c r="Q2019">
        <f>YEAR(tblTransactions[[#This Row],[Date]])</f>
        <v>2024</v>
      </c>
      <c r="R2019" t="str">
        <f>TEXT(tblTransactions[[#This Row],[Date]],"DDDD")</f>
        <v>Saturday</v>
      </c>
      <c r="S2019">
        <f>MONTH(tblTransactions[[#This Row],[Date]])</f>
        <v>3</v>
      </c>
      <c r="T2019" t="str">
        <f>VLOOKUP(E2019, Products!$A:$B,2,0)</f>
        <v>Cases Acc-3</v>
      </c>
      <c r="U2019" t="str">
        <f>VLOOKUP(E2019,Products!$A:$C,3,0)</f>
        <v>Accessories</v>
      </c>
      <c r="V2019" t="str">
        <f>VLOOKUP(E2019,Products!$A:$D,4,0)</f>
        <v>Cases</v>
      </c>
      <c r="W2019" t="str">
        <f>VLOOKUP(D2019,Customers!$A:$C,3,0)</f>
        <v>B2C</v>
      </c>
      <c r="X2019" t="str">
        <f>VLOOKUP(C2019,Sales_Representatives!$A:$B,2,0)</f>
        <v>Robert Jones</v>
      </c>
    </row>
    <row r="2020" spans="1:24" x14ac:dyDescent="0.3">
      <c r="A2020" t="s">
        <v>2879</v>
      </c>
      <c r="B2020" t="s">
        <v>2878</v>
      </c>
      <c r="C2020" t="s">
        <v>107</v>
      </c>
      <c r="D2020" t="s">
        <v>1666</v>
      </c>
      <c r="E2020" t="s">
        <v>172</v>
      </c>
      <c r="F2020">
        <v>36</v>
      </c>
      <c r="G2020">
        <v>1371.15</v>
      </c>
      <c r="H2020">
        <v>0.19</v>
      </c>
      <c r="I2020" s="4">
        <v>39982.730000000003</v>
      </c>
      <c r="J2020" t="s">
        <v>109</v>
      </c>
      <c r="K2020" t="s">
        <v>22</v>
      </c>
      <c r="L2020" s="4">
        <f>VLOOKUP(tblTransactions[[#This Row],[Product_ID]],tblProducts[],5,FALSE)</f>
        <v>989.81</v>
      </c>
      <c r="M2020" s="4">
        <f>tblTransactions[[#This Row],[Total_Amount]]-(tblTransactions[[#This Row],[Cost_Prices]]*tblTransactions[[#This Row],[Quantity]]*(1-tblTransactions[[#This Row],[Discount]]))</f>
        <v>11119.870400000003</v>
      </c>
      <c r="N2020" s="3">
        <f>tblTransactions[[#This Row],[Profit]]/tblTransactions[[#This Row],[Total_Amount]]</f>
        <v>0.2781168369443508</v>
      </c>
      <c r="O2020" t="str">
        <f>TEXT(tblTransactions[[#This Row],[Date]], "MMM-YYYY")</f>
        <v>Mar-2024</v>
      </c>
      <c r="P2020" t="str">
        <f>"Q"&amp;ROUNDUP(MONTH(tblTransactions[[#This Row],[Date]])/3,0)&amp;"-"&amp;YEAR(tblTransactions[[#This Row],[Date]])</f>
        <v>Q1-2024</v>
      </c>
      <c r="Q2020">
        <f>YEAR(tblTransactions[[#This Row],[Date]])</f>
        <v>2024</v>
      </c>
      <c r="R2020" t="str">
        <f>TEXT(tblTransactions[[#This Row],[Date]],"DDDD")</f>
        <v>Saturday</v>
      </c>
      <c r="S2020">
        <f>MONTH(tblTransactions[[#This Row],[Date]])</f>
        <v>3</v>
      </c>
      <c r="T2020" t="str">
        <f>VLOOKUP(E2020, Products!$A:$B,2,0)</f>
        <v>Cameras Ele-4</v>
      </c>
      <c r="U2020" t="str">
        <f>VLOOKUP(E2020,Products!$A:$C,3,0)</f>
        <v>Electronics</v>
      </c>
      <c r="V2020" t="str">
        <f>VLOOKUP(E2020,Products!$A:$D,4,0)</f>
        <v>Cameras</v>
      </c>
      <c r="W2020" t="str">
        <f>VLOOKUP(D2020,Customers!$A:$C,3,0)</f>
        <v>Enterprise</v>
      </c>
      <c r="X2020" t="str">
        <f>VLOOKUP(C2020,Sales_Representatives!$A:$B,2,0)</f>
        <v>Jennifer Brown</v>
      </c>
    </row>
    <row r="2021" spans="1:24" x14ac:dyDescent="0.3">
      <c r="A2021" t="s">
        <v>2880</v>
      </c>
      <c r="B2021" t="s">
        <v>2878</v>
      </c>
      <c r="C2021" t="s">
        <v>13</v>
      </c>
      <c r="D2021" t="s">
        <v>1683</v>
      </c>
      <c r="E2021" t="s">
        <v>255</v>
      </c>
      <c r="F2021">
        <v>6</v>
      </c>
      <c r="G2021">
        <v>1444.13</v>
      </c>
      <c r="H2021">
        <v>0.09</v>
      </c>
      <c r="I2021" s="4">
        <v>7884.95</v>
      </c>
      <c r="J2021" t="s">
        <v>16</v>
      </c>
      <c r="K2021" t="s">
        <v>22</v>
      </c>
      <c r="L2021" s="4">
        <f>VLOOKUP(tblTransactions[[#This Row],[Product_ID]],tblProducts[],5,FALSE)</f>
        <v>874.43</v>
      </c>
      <c r="M2021" s="4">
        <f>tblTransactions[[#This Row],[Total_Amount]]-(tblTransactions[[#This Row],[Cost_Prices]]*tblTransactions[[#This Row],[Quantity]]*(1-tblTransactions[[#This Row],[Discount]]))</f>
        <v>3110.5621999999994</v>
      </c>
      <c r="N2021" s="3">
        <f>tblTransactions[[#This Row],[Profit]]/tblTransactions[[#This Row],[Total_Amount]]</f>
        <v>0.39449358588196493</v>
      </c>
      <c r="O2021" t="str">
        <f>TEXT(tblTransactions[[#This Row],[Date]], "MMM-YYYY")</f>
        <v>Mar-2024</v>
      </c>
      <c r="P2021" t="str">
        <f>"Q"&amp;ROUNDUP(MONTH(tblTransactions[[#This Row],[Date]])/3,0)&amp;"-"&amp;YEAR(tblTransactions[[#This Row],[Date]])</f>
        <v>Q1-2024</v>
      </c>
      <c r="Q2021">
        <f>YEAR(tblTransactions[[#This Row],[Date]])</f>
        <v>2024</v>
      </c>
      <c r="R2021" t="str">
        <f>TEXT(tblTransactions[[#This Row],[Date]],"DDDD")</f>
        <v>Saturday</v>
      </c>
      <c r="S2021">
        <f>MONTH(tblTransactions[[#This Row],[Date]])</f>
        <v>3</v>
      </c>
      <c r="T2021" t="str">
        <f>VLOOKUP(E2021, Products!$A:$B,2,0)</f>
        <v>Printers Tec-1</v>
      </c>
      <c r="U2021" t="str">
        <f>VLOOKUP(E2021,Products!$A:$C,3,0)</f>
        <v>Technology</v>
      </c>
      <c r="V2021" t="str">
        <f>VLOOKUP(E2021,Products!$A:$D,4,0)</f>
        <v>Printers</v>
      </c>
      <c r="W2021" t="str">
        <f>VLOOKUP(D2021,Customers!$A:$C,3,0)</f>
        <v>B2C</v>
      </c>
      <c r="X2021" t="str">
        <f>VLOOKUP(C2021,Sales_Representatives!$A:$B,2,0)</f>
        <v>Jennifer Rodriguez</v>
      </c>
    </row>
    <row r="2022" spans="1:24" x14ac:dyDescent="0.3">
      <c r="A2022" t="s">
        <v>2881</v>
      </c>
      <c r="B2022" t="s">
        <v>2878</v>
      </c>
      <c r="C2022" t="s">
        <v>70</v>
      </c>
      <c r="D2022" t="s">
        <v>1910</v>
      </c>
      <c r="E2022" t="s">
        <v>172</v>
      </c>
      <c r="F2022">
        <v>7</v>
      </c>
      <c r="G2022">
        <v>1371.15</v>
      </c>
      <c r="H2022">
        <v>0.14000000000000001</v>
      </c>
      <c r="I2022" s="4">
        <v>8254.32</v>
      </c>
      <c r="J2022" t="s">
        <v>16</v>
      </c>
      <c r="K2022" t="s">
        <v>22</v>
      </c>
      <c r="L2022" s="4">
        <f>VLOOKUP(tblTransactions[[#This Row],[Product_ID]],tblProducts[],5,FALSE)</f>
        <v>989.81</v>
      </c>
      <c r="M2022" s="4">
        <f>tblTransactions[[#This Row],[Total_Amount]]-(tblTransactions[[#This Row],[Cost_Prices]]*tblTransactions[[#This Row],[Quantity]]*(1-tblTransactions[[#This Row],[Discount]]))</f>
        <v>2295.6637999999994</v>
      </c>
      <c r="N2022" s="3">
        <f>tblTransactions[[#This Row],[Profit]]/tblTransactions[[#This Row],[Total_Amount]]</f>
        <v>0.27811664679828252</v>
      </c>
      <c r="O2022" t="str">
        <f>TEXT(tblTransactions[[#This Row],[Date]], "MMM-YYYY")</f>
        <v>Mar-2024</v>
      </c>
      <c r="P2022" t="str">
        <f>"Q"&amp;ROUNDUP(MONTH(tblTransactions[[#This Row],[Date]])/3,0)&amp;"-"&amp;YEAR(tblTransactions[[#This Row],[Date]])</f>
        <v>Q1-2024</v>
      </c>
      <c r="Q2022">
        <f>YEAR(tblTransactions[[#This Row],[Date]])</f>
        <v>2024</v>
      </c>
      <c r="R2022" t="str">
        <f>TEXT(tblTransactions[[#This Row],[Date]],"DDDD")</f>
        <v>Saturday</v>
      </c>
      <c r="S2022">
        <f>MONTH(tblTransactions[[#This Row],[Date]])</f>
        <v>3</v>
      </c>
      <c r="T2022" t="str">
        <f>VLOOKUP(E2022, Products!$A:$B,2,0)</f>
        <v>Cameras Ele-4</v>
      </c>
      <c r="U2022" t="str">
        <f>VLOOKUP(E2022,Products!$A:$C,3,0)</f>
        <v>Electronics</v>
      </c>
      <c r="V2022" t="str">
        <f>VLOOKUP(E2022,Products!$A:$D,4,0)</f>
        <v>Cameras</v>
      </c>
      <c r="W2022" t="str">
        <f>VLOOKUP(D2022,Customers!$A:$C,3,0)</f>
        <v>B2C</v>
      </c>
      <c r="X2022" t="str">
        <f>VLOOKUP(C2022,Sales_Representatives!$A:$B,2,0)</f>
        <v>Linda Smith</v>
      </c>
    </row>
    <row r="2023" spans="1:24" x14ac:dyDescent="0.3">
      <c r="A2023" t="s">
        <v>2882</v>
      </c>
      <c r="B2023" t="s">
        <v>2878</v>
      </c>
      <c r="C2023" t="s">
        <v>41</v>
      </c>
      <c r="D2023" t="s">
        <v>1805</v>
      </c>
      <c r="E2023" t="s">
        <v>125</v>
      </c>
      <c r="F2023">
        <v>44</v>
      </c>
      <c r="G2023">
        <v>1201.4000000000001</v>
      </c>
      <c r="H2023">
        <v>0.22</v>
      </c>
      <c r="I2023" s="4">
        <v>41232.050000000003</v>
      </c>
      <c r="J2023" t="s">
        <v>44</v>
      </c>
      <c r="K2023" t="s">
        <v>22</v>
      </c>
      <c r="L2023" s="4">
        <f>VLOOKUP(tblTransactions[[#This Row],[Product_ID]],tblProducts[],5,FALSE)</f>
        <v>672.72</v>
      </c>
      <c r="M2023" s="4">
        <f>tblTransactions[[#This Row],[Total_Amount]]-(tblTransactions[[#This Row],[Cost_Prices]]*tblTransactions[[#This Row],[Quantity]]*(1-tblTransactions[[#This Row],[Discount]]))</f>
        <v>18144.299600000002</v>
      </c>
      <c r="N2023" s="3">
        <f>tblTransactions[[#This Row],[Profit]]/tblTransactions[[#This Row],[Total_Amount]]</f>
        <v>0.44005329834437046</v>
      </c>
      <c r="O2023" t="str">
        <f>TEXT(tblTransactions[[#This Row],[Date]], "MMM-YYYY")</f>
        <v>Mar-2024</v>
      </c>
      <c r="P2023" t="str">
        <f>"Q"&amp;ROUNDUP(MONTH(tblTransactions[[#This Row],[Date]])/3,0)&amp;"-"&amp;YEAR(tblTransactions[[#This Row],[Date]])</f>
        <v>Q1-2024</v>
      </c>
      <c r="Q2023">
        <f>YEAR(tblTransactions[[#This Row],[Date]])</f>
        <v>2024</v>
      </c>
      <c r="R2023" t="str">
        <f>TEXT(tblTransactions[[#This Row],[Date]],"DDDD")</f>
        <v>Saturday</v>
      </c>
      <c r="S2023">
        <f>MONTH(tblTransactions[[#This Row],[Date]])</f>
        <v>3</v>
      </c>
      <c r="T2023" t="str">
        <f>VLOOKUP(E2023, Products!$A:$B,2,0)</f>
        <v>Printers Tec-2</v>
      </c>
      <c r="U2023" t="str">
        <f>VLOOKUP(E2023,Products!$A:$C,3,0)</f>
        <v>Technology</v>
      </c>
      <c r="V2023" t="str">
        <f>VLOOKUP(E2023,Products!$A:$D,4,0)</f>
        <v>Printers</v>
      </c>
      <c r="W2023" t="str">
        <f>VLOOKUP(D2023,Customers!$A:$C,3,0)</f>
        <v>Enterprise</v>
      </c>
      <c r="X2023" t="str">
        <f>VLOOKUP(C2023,Sales_Representatives!$A:$B,2,0)</f>
        <v>Robert Jones</v>
      </c>
    </row>
    <row r="2024" spans="1:24" x14ac:dyDescent="0.3">
      <c r="A2024" t="s">
        <v>2883</v>
      </c>
      <c r="B2024" t="s">
        <v>2878</v>
      </c>
      <c r="C2024" t="s">
        <v>82</v>
      </c>
      <c r="D2024" t="s">
        <v>2680</v>
      </c>
      <c r="E2024" t="s">
        <v>283</v>
      </c>
      <c r="F2024">
        <v>11</v>
      </c>
      <c r="G2024">
        <v>456.88</v>
      </c>
      <c r="H2024">
        <v>0.13</v>
      </c>
      <c r="I2024" s="4">
        <v>4372.34</v>
      </c>
      <c r="J2024" t="s">
        <v>34</v>
      </c>
      <c r="K2024" t="s">
        <v>22</v>
      </c>
      <c r="L2024" s="4">
        <f>VLOOKUP(tblTransactions[[#This Row],[Product_ID]],tblProducts[],5,FALSE)</f>
        <v>313.23</v>
      </c>
      <c r="M2024" s="4">
        <f>tblTransactions[[#This Row],[Total_Amount]]-(tblTransactions[[#This Row],[Cost_Prices]]*tblTransactions[[#This Row],[Quantity]]*(1-tblTransactions[[#This Row],[Discount]]))</f>
        <v>1374.7289000000001</v>
      </c>
      <c r="N2024" s="3">
        <f>tblTransactions[[#This Row],[Profit]]/tblTransactions[[#This Row],[Total_Amount]]</f>
        <v>0.31441491283843437</v>
      </c>
      <c r="O2024" t="str">
        <f>TEXT(tblTransactions[[#This Row],[Date]], "MMM-YYYY")</f>
        <v>Mar-2024</v>
      </c>
      <c r="P2024" t="str">
        <f>"Q"&amp;ROUNDUP(MONTH(tblTransactions[[#This Row],[Date]])/3,0)&amp;"-"&amp;YEAR(tblTransactions[[#This Row],[Date]])</f>
        <v>Q1-2024</v>
      </c>
      <c r="Q2024">
        <f>YEAR(tblTransactions[[#This Row],[Date]])</f>
        <v>2024</v>
      </c>
      <c r="R2024" t="str">
        <f>TEXT(tblTransactions[[#This Row],[Date]],"DDDD")</f>
        <v>Saturday</v>
      </c>
      <c r="S2024">
        <f>MONTH(tblTransactions[[#This Row],[Date]])</f>
        <v>3</v>
      </c>
      <c r="T2024" t="str">
        <f>VLOOKUP(E2024, Products!$A:$B,2,0)</f>
        <v>Chairs Fur-3</v>
      </c>
      <c r="U2024" t="str">
        <f>VLOOKUP(E2024,Products!$A:$C,3,0)</f>
        <v>Furniture</v>
      </c>
      <c r="V2024" t="str">
        <f>VLOOKUP(E2024,Products!$A:$D,4,0)</f>
        <v>Chairs</v>
      </c>
      <c r="W2024" t="str">
        <f>VLOOKUP(D2024,Customers!$A:$C,3,0)</f>
        <v>B2B</v>
      </c>
      <c r="X2024" t="str">
        <f>VLOOKUP(C2024,Sales_Representatives!$A:$B,2,0)</f>
        <v>John Brown</v>
      </c>
    </row>
    <row r="2025" spans="1:24" x14ac:dyDescent="0.3">
      <c r="A2025" t="s">
        <v>2884</v>
      </c>
      <c r="B2025" t="s">
        <v>2885</v>
      </c>
      <c r="C2025" t="s">
        <v>27</v>
      </c>
      <c r="D2025" t="s">
        <v>1505</v>
      </c>
      <c r="E2025" t="s">
        <v>65</v>
      </c>
      <c r="F2025">
        <v>1</v>
      </c>
      <c r="G2025">
        <v>49.44</v>
      </c>
      <c r="H2025">
        <v>7.0000000000000007E-2</v>
      </c>
      <c r="I2025" s="4">
        <v>45.98</v>
      </c>
      <c r="J2025" t="s">
        <v>16</v>
      </c>
      <c r="K2025" t="s">
        <v>48</v>
      </c>
      <c r="L2025" s="4">
        <f>VLOOKUP(tblTransactions[[#This Row],[Product_ID]],tblProducts[],5,FALSE)</f>
        <v>22.34</v>
      </c>
      <c r="M2025" s="4">
        <f>tblTransactions[[#This Row],[Total_Amount]]-(tblTransactions[[#This Row],[Cost_Prices]]*tblTransactions[[#This Row],[Quantity]]*(1-tblTransactions[[#This Row],[Discount]]))</f>
        <v>25.203799999999998</v>
      </c>
      <c r="N2025" s="3">
        <f>tblTransactions[[#This Row],[Profit]]/tblTransactions[[#This Row],[Total_Amount]]</f>
        <v>0.54814702044367114</v>
      </c>
      <c r="O2025" t="str">
        <f>TEXT(tblTransactions[[#This Row],[Date]], "MMM-YYYY")</f>
        <v>Mar-2024</v>
      </c>
      <c r="P2025" t="str">
        <f>"Q"&amp;ROUNDUP(MONTH(tblTransactions[[#This Row],[Date]])/3,0)&amp;"-"&amp;YEAR(tblTransactions[[#This Row],[Date]])</f>
        <v>Q1-2024</v>
      </c>
      <c r="Q2025">
        <f>YEAR(tblTransactions[[#This Row],[Date]])</f>
        <v>2024</v>
      </c>
      <c r="R2025" t="str">
        <f>TEXT(tblTransactions[[#This Row],[Date]],"DDDD")</f>
        <v>Sunday</v>
      </c>
      <c r="S2025">
        <f>MONTH(tblTransactions[[#This Row],[Date]])</f>
        <v>3</v>
      </c>
      <c r="T2025" t="str">
        <f>VLOOKUP(E2025, Products!$A:$B,2,0)</f>
        <v>Folders Off-2</v>
      </c>
      <c r="U2025" t="str">
        <f>VLOOKUP(E2025,Products!$A:$C,3,0)</f>
        <v>Office Supplies</v>
      </c>
      <c r="V2025" t="str">
        <f>VLOOKUP(E2025,Products!$A:$D,4,0)</f>
        <v>Folders</v>
      </c>
      <c r="W2025" t="str">
        <f>VLOOKUP(D2025,Customers!$A:$C,3,0)</f>
        <v>B2C</v>
      </c>
      <c r="X2025" t="str">
        <f>VLOOKUP(C2025,Sales_Representatives!$A:$B,2,0)</f>
        <v>Thomas Lopez</v>
      </c>
    </row>
    <row r="2026" spans="1:24" x14ac:dyDescent="0.3">
      <c r="A2026" t="s">
        <v>2886</v>
      </c>
      <c r="B2026" t="s">
        <v>2885</v>
      </c>
      <c r="C2026" t="s">
        <v>70</v>
      </c>
      <c r="D2026" t="s">
        <v>2582</v>
      </c>
      <c r="E2026" t="s">
        <v>178</v>
      </c>
      <c r="F2026">
        <v>18</v>
      </c>
      <c r="G2026">
        <v>1623.35</v>
      </c>
      <c r="H2026">
        <v>0.19</v>
      </c>
      <c r="I2026" s="4">
        <v>23668.44</v>
      </c>
      <c r="J2026" t="s">
        <v>16</v>
      </c>
      <c r="K2026" t="s">
        <v>22</v>
      </c>
      <c r="L2026" s="4">
        <f>VLOOKUP(tblTransactions[[#This Row],[Product_ID]],tblProducts[],5,FALSE)</f>
        <v>981.45</v>
      </c>
      <c r="M2026" s="4">
        <f>tblTransactions[[#This Row],[Total_Amount]]-(tblTransactions[[#This Row],[Cost_Prices]]*tblTransactions[[#This Row],[Quantity]]*(1-tblTransactions[[#This Row],[Discount]]))</f>
        <v>9358.8989999999958</v>
      </c>
      <c r="N2026" s="3">
        <f>tblTransactions[[#This Row],[Profit]]/tblTransactions[[#This Row],[Total_Amount]]</f>
        <v>0.39541680820535685</v>
      </c>
      <c r="O2026" t="str">
        <f>TEXT(tblTransactions[[#This Row],[Date]], "MMM-YYYY")</f>
        <v>Mar-2024</v>
      </c>
      <c r="P2026" t="str">
        <f>"Q"&amp;ROUNDUP(MONTH(tblTransactions[[#This Row],[Date]])/3,0)&amp;"-"&amp;YEAR(tblTransactions[[#This Row],[Date]])</f>
        <v>Q1-2024</v>
      </c>
      <c r="Q2026">
        <f>YEAR(tblTransactions[[#This Row],[Date]])</f>
        <v>2024</v>
      </c>
      <c r="R2026" t="str">
        <f>TEXT(tblTransactions[[#This Row],[Date]],"DDDD")</f>
        <v>Sunday</v>
      </c>
      <c r="S2026">
        <f>MONTH(tblTransactions[[#This Row],[Date]])</f>
        <v>3</v>
      </c>
      <c r="T2026" t="str">
        <f>VLOOKUP(E2026, Products!$A:$B,2,0)</f>
        <v>Tablets Ele-1</v>
      </c>
      <c r="U2026" t="str">
        <f>VLOOKUP(E2026,Products!$A:$C,3,0)</f>
        <v>Electronics</v>
      </c>
      <c r="V2026" t="str">
        <f>VLOOKUP(E2026,Products!$A:$D,4,0)</f>
        <v>Tablets</v>
      </c>
      <c r="W2026" t="str">
        <f>VLOOKUP(D2026,Customers!$A:$C,3,0)</f>
        <v>B2B</v>
      </c>
      <c r="X2026" t="str">
        <f>VLOOKUP(C2026,Sales_Representatives!$A:$B,2,0)</f>
        <v>Linda Smith</v>
      </c>
    </row>
    <row r="2027" spans="1:24" x14ac:dyDescent="0.3">
      <c r="A2027" t="s">
        <v>2887</v>
      </c>
      <c r="B2027" t="s">
        <v>2885</v>
      </c>
      <c r="C2027" t="s">
        <v>59</v>
      </c>
      <c r="D2027" t="s">
        <v>1600</v>
      </c>
      <c r="E2027" t="s">
        <v>587</v>
      </c>
      <c r="F2027">
        <v>4</v>
      </c>
      <c r="G2027">
        <v>58.54</v>
      </c>
      <c r="H2027">
        <v>0.02</v>
      </c>
      <c r="I2027" s="4">
        <v>229.48</v>
      </c>
      <c r="J2027" t="s">
        <v>21</v>
      </c>
      <c r="K2027" t="s">
        <v>35</v>
      </c>
      <c r="L2027" s="4">
        <f>VLOOKUP(tblTransactions[[#This Row],[Product_ID]],tblProducts[],5,FALSE)</f>
        <v>25.43</v>
      </c>
      <c r="M2027" s="4">
        <f>tblTransactions[[#This Row],[Total_Amount]]-(tblTransactions[[#This Row],[Cost_Prices]]*tblTransactions[[#This Row],[Quantity]]*(1-tblTransactions[[#This Row],[Discount]]))</f>
        <v>129.7944</v>
      </c>
      <c r="N2027" s="3">
        <f>tblTransactions[[#This Row],[Profit]]/tblTransactions[[#This Row],[Total_Amount]]</f>
        <v>0.5656022311312533</v>
      </c>
      <c r="O2027" t="str">
        <f>TEXT(tblTransactions[[#This Row],[Date]], "MMM-YYYY")</f>
        <v>Mar-2024</v>
      </c>
      <c r="P2027" t="str">
        <f>"Q"&amp;ROUNDUP(MONTH(tblTransactions[[#This Row],[Date]])/3,0)&amp;"-"&amp;YEAR(tblTransactions[[#This Row],[Date]])</f>
        <v>Q1-2024</v>
      </c>
      <c r="Q2027">
        <f>YEAR(tblTransactions[[#This Row],[Date]])</f>
        <v>2024</v>
      </c>
      <c r="R2027" t="str">
        <f>TEXT(tblTransactions[[#This Row],[Date]],"DDDD")</f>
        <v>Sunday</v>
      </c>
      <c r="S2027">
        <f>MONTH(tblTransactions[[#This Row],[Date]])</f>
        <v>3</v>
      </c>
      <c r="T2027" t="str">
        <f>VLOOKUP(E2027, Products!$A:$B,2,0)</f>
        <v>Paper Off-2</v>
      </c>
      <c r="U2027" t="str">
        <f>VLOOKUP(E2027,Products!$A:$C,3,0)</f>
        <v>Office Supplies</v>
      </c>
      <c r="V2027" t="str">
        <f>VLOOKUP(E2027,Products!$A:$D,4,0)</f>
        <v>Paper</v>
      </c>
      <c r="W2027" t="str">
        <f>VLOOKUP(D2027,Customers!$A:$C,3,0)</f>
        <v>B2C</v>
      </c>
      <c r="X2027" t="str">
        <f>VLOOKUP(C2027,Sales_Representatives!$A:$B,2,0)</f>
        <v>Sarah Brown</v>
      </c>
    </row>
    <row r="2028" spans="1:24" x14ac:dyDescent="0.3">
      <c r="A2028" t="s">
        <v>2888</v>
      </c>
      <c r="B2028" t="s">
        <v>2885</v>
      </c>
      <c r="C2028" t="s">
        <v>31</v>
      </c>
      <c r="D2028" t="s">
        <v>124</v>
      </c>
      <c r="E2028" t="s">
        <v>68</v>
      </c>
      <c r="F2028">
        <v>15</v>
      </c>
      <c r="G2028">
        <v>522.63</v>
      </c>
      <c r="H2028">
        <v>0.18</v>
      </c>
      <c r="I2028" s="4">
        <v>6428.35</v>
      </c>
      <c r="J2028" t="s">
        <v>34</v>
      </c>
      <c r="K2028" t="s">
        <v>39</v>
      </c>
      <c r="L2028" s="4">
        <f>VLOOKUP(tblTransactions[[#This Row],[Product_ID]],tblProducts[],5,FALSE)</f>
        <v>355.82</v>
      </c>
      <c r="M2028" s="4">
        <f>tblTransactions[[#This Row],[Total_Amount]]-(tblTransactions[[#This Row],[Cost_Prices]]*tblTransactions[[#This Row],[Quantity]]*(1-tblTransactions[[#This Row],[Discount]]))</f>
        <v>2051.7640000000001</v>
      </c>
      <c r="N2028" s="3">
        <f>tblTransactions[[#This Row],[Profit]]/tblTransactions[[#This Row],[Total_Amount]]</f>
        <v>0.31917428266973641</v>
      </c>
      <c r="O2028" t="str">
        <f>TEXT(tblTransactions[[#This Row],[Date]], "MMM-YYYY")</f>
        <v>Mar-2024</v>
      </c>
      <c r="P2028" t="str">
        <f>"Q"&amp;ROUNDUP(MONTH(tblTransactions[[#This Row],[Date]])/3,0)&amp;"-"&amp;YEAR(tblTransactions[[#This Row],[Date]])</f>
        <v>Q1-2024</v>
      </c>
      <c r="Q2028">
        <f>YEAR(tblTransactions[[#This Row],[Date]])</f>
        <v>2024</v>
      </c>
      <c r="R2028" t="str">
        <f>TEXT(tblTransactions[[#This Row],[Date]],"DDDD")</f>
        <v>Sunday</v>
      </c>
      <c r="S2028">
        <f>MONTH(tblTransactions[[#This Row],[Date]])</f>
        <v>3</v>
      </c>
      <c r="T2028" t="str">
        <f>VLOOKUP(E2028, Products!$A:$B,2,0)</f>
        <v>Monitors Tec-3</v>
      </c>
      <c r="U2028" t="str">
        <f>VLOOKUP(E2028,Products!$A:$C,3,0)</f>
        <v>Technology</v>
      </c>
      <c r="V2028" t="str">
        <f>VLOOKUP(E2028,Products!$A:$D,4,0)</f>
        <v>Monitors</v>
      </c>
      <c r="W2028" t="str">
        <f>VLOOKUP(D2028,Customers!$A:$C,3,0)</f>
        <v>B2B</v>
      </c>
      <c r="X2028" t="str">
        <f>VLOOKUP(C2028,Sales_Representatives!$A:$B,2,0)</f>
        <v>Thomas Martinez</v>
      </c>
    </row>
    <row r="2029" spans="1:24" x14ac:dyDescent="0.3">
      <c r="A2029" t="s">
        <v>2889</v>
      </c>
      <c r="B2029" t="s">
        <v>2885</v>
      </c>
      <c r="C2029" t="s">
        <v>70</v>
      </c>
      <c r="D2029" t="s">
        <v>1780</v>
      </c>
      <c r="E2029" t="s">
        <v>316</v>
      </c>
      <c r="F2029">
        <v>4</v>
      </c>
      <c r="G2029">
        <v>91.42</v>
      </c>
      <c r="H2029">
        <v>0.05</v>
      </c>
      <c r="I2029" s="4">
        <v>347.4</v>
      </c>
      <c r="J2029" t="s">
        <v>16</v>
      </c>
      <c r="K2029" t="s">
        <v>35</v>
      </c>
      <c r="L2029" s="4">
        <f>VLOOKUP(tblTransactions[[#This Row],[Product_ID]],tblProducts[],5,FALSE)</f>
        <v>50.09</v>
      </c>
      <c r="M2029" s="4">
        <f>tblTransactions[[#This Row],[Total_Amount]]-(tblTransactions[[#This Row],[Cost_Prices]]*tblTransactions[[#This Row],[Quantity]]*(1-tblTransactions[[#This Row],[Discount]]))</f>
        <v>157.05799999999996</v>
      </c>
      <c r="N2029" s="3">
        <f>tblTransactions[[#This Row],[Profit]]/tblTransactions[[#This Row],[Total_Amount]]</f>
        <v>0.45209556706966025</v>
      </c>
      <c r="O2029" t="str">
        <f>TEXT(tblTransactions[[#This Row],[Date]], "MMM-YYYY")</f>
        <v>Mar-2024</v>
      </c>
      <c r="P2029" t="str">
        <f>"Q"&amp;ROUNDUP(MONTH(tblTransactions[[#This Row],[Date]])/3,0)&amp;"-"&amp;YEAR(tblTransactions[[#This Row],[Date]])</f>
        <v>Q1-2024</v>
      </c>
      <c r="Q2029">
        <f>YEAR(tblTransactions[[#This Row],[Date]])</f>
        <v>2024</v>
      </c>
      <c r="R2029" t="str">
        <f>TEXT(tblTransactions[[#This Row],[Date]],"DDDD")</f>
        <v>Sunday</v>
      </c>
      <c r="S2029">
        <f>MONTH(tblTransactions[[#This Row],[Date]])</f>
        <v>3</v>
      </c>
      <c r="T2029" t="str">
        <f>VLOOKUP(E2029, Products!$A:$B,2,0)</f>
        <v>Binders Off-3</v>
      </c>
      <c r="U2029" t="str">
        <f>VLOOKUP(E2029,Products!$A:$C,3,0)</f>
        <v>Office Supplies</v>
      </c>
      <c r="V2029" t="str">
        <f>VLOOKUP(E2029,Products!$A:$D,4,0)</f>
        <v>Binders</v>
      </c>
      <c r="W2029" t="str">
        <f>VLOOKUP(D2029,Customers!$A:$C,3,0)</f>
        <v>B2C</v>
      </c>
      <c r="X2029" t="str">
        <f>VLOOKUP(C2029,Sales_Representatives!$A:$B,2,0)</f>
        <v>Linda Smith</v>
      </c>
    </row>
    <row r="2030" spans="1:24" x14ac:dyDescent="0.3">
      <c r="A2030" t="s">
        <v>2890</v>
      </c>
      <c r="B2030" t="s">
        <v>2885</v>
      </c>
      <c r="C2030" t="s">
        <v>41</v>
      </c>
      <c r="D2030" t="s">
        <v>1739</v>
      </c>
      <c r="E2030" t="s">
        <v>152</v>
      </c>
      <c r="F2030">
        <v>4</v>
      </c>
      <c r="G2030">
        <v>859.93</v>
      </c>
      <c r="H2030">
        <v>0.1</v>
      </c>
      <c r="I2030" s="4">
        <v>3095.75</v>
      </c>
      <c r="J2030" t="s">
        <v>44</v>
      </c>
      <c r="K2030" t="s">
        <v>35</v>
      </c>
      <c r="L2030" s="4">
        <f>VLOOKUP(tblTransactions[[#This Row],[Product_ID]],tblProducts[],5,FALSE)</f>
        <v>579.79</v>
      </c>
      <c r="M2030" s="4">
        <f>tblTransactions[[#This Row],[Total_Amount]]-(tblTransactions[[#This Row],[Cost_Prices]]*tblTransactions[[#This Row],[Quantity]]*(1-tblTransactions[[#This Row],[Discount]]))</f>
        <v>1008.5059999999999</v>
      </c>
      <c r="N2030" s="3">
        <f>tblTransactions[[#This Row],[Profit]]/tblTransactions[[#This Row],[Total_Amount]]</f>
        <v>0.32577113785027856</v>
      </c>
      <c r="O2030" t="str">
        <f>TEXT(tblTransactions[[#This Row],[Date]], "MMM-YYYY")</f>
        <v>Mar-2024</v>
      </c>
      <c r="P2030" t="str">
        <f>"Q"&amp;ROUNDUP(MONTH(tblTransactions[[#This Row],[Date]])/3,0)&amp;"-"&amp;YEAR(tblTransactions[[#This Row],[Date]])</f>
        <v>Q1-2024</v>
      </c>
      <c r="Q2030">
        <f>YEAR(tblTransactions[[#This Row],[Date]])</f>
        <v>2024</v>
      </c>
      <c r="R2030" t="str">
        <f>TEXT(tblTransactions[[#This Row],[Date]],"DDDD")</f>
        <v>Sunday</v>
      </c>
      <c r="S2030">
        <f>MONTH(tblTransactions[[#This Row],[Date]])</f>
        <v>3</v>
      </c>
      <c r="T2030" t="str">
        <f>VLOOKUP(E2030, Products!$A:$B,2,0)</f>
        <v>Phones Ele-4</v>
      </c>
      <c r="U2030" t="str">
        <f>VLOOKUP(E2030,Products!$A:$C,3,0)</f>
        <v>Electronics</v>
      </c>
      <c r="V2030" t="str">
        <f>VLOOKUP(E2030,Products!$A:$D,4,0)</f>
        <v>Phones</v>
      </c>
      <c r="W2030" t="str">
        <f>VLOOKUP(D2030,Customers!$A:$C,3,0)</f>
        <v>B2C</v>
      </c>
      <c r="X2030" t="str">
        <f>VLOOKUP(C2030,Sales_Representatives!$A:$B,2,0)</f>
        <v>Robert Jones</v>
      </c>
    </row>
    <row r="2031" spans="1:24" x14ac:dyDescent="0.3">
      <c r="A2031" t="s">
        <v>2891</v>
      </c>
      <c r="B2031" t="s">
        <v>2892</v>
      </c>
      <c r="C2031" t="s">
        <v>56</v>
      </c>
      <c r="D2031" t="s">
        <v>2074</v>
      </c>
      <c r="E2031" t="s">
        <v>20</v>
      </c>
      <c r="F2031">
        <v>2</v>
      </c>
      <c r="G2031">
        <v>1219.49</v>
      </c>
      <c r="H2031">
        <v>0.01</v>
      </c>
      <c r="I2031" s="4">
        <v>2414.59</v>
      </c>
      <c r="J2031" t="s">
        <v>34</v>
      </c>
      <c r="K2031" t="s">
        <v>17</v>
      </c>
      <c r="L2031" s="4">
        <f>VLOOKUP(tblTransactions[[#This Row],[Product_ID]],tblProducts[],5,FALSE)</f>
        <v>686.9</v>
      </c>
      <c r="M2031" s="4">
        <f>tblTransactions[[#This Row],[Total_Amount]]-(tblTransactions[[#This Row],[Cost_Prices]]*tblTransactions[[#This Row],[Quantity]]*(1-tblTransactions[[#This Row],[Discount]]))</f>
        <v>1054.5280000000002</v>
      </c>
      <c r="N2031" s="3">
        <f>tblTransactions[[#This Row],[Profit]]/tblTransactions[[#This Row],[Total_Amount]]</f>
        <v>0.43673170186242805</v>
      </c>
      <c r="O2031" t="str">
        <f>TEXT(tblTransactions[[#This Row],[Date]], "MMM-YYYY")</f>
        <v>Mar-2024</v>
      </c>
      <c r="P2031" t="str">
        <f>"Q"&amp;ROUNDUP(MONTH(tblTransactions[[#This Row],[Date]])/3,0)&amp;"-"&amp;YEAR(tblTransactions[[#This Row],[Date]])</f>
        <v>Q1-2024</v>
      </c>
      <c r="Q2031">
        <f>YEAR(tblTransactions[[#This Row],[Date]])</f>
        <v>2024</v>
      </c>
      <c r="R2031" t="str">
        <f>TEXT(tblTransactions[[#This Row],[Date]],"DDDD")</f>
        <v>Monday</v>
      </c>
      <c r="S2031">
        <f>MONTH(tblTransactions[[#This Row],[Date]])</f>
        <v>3</v>
      </c>
      <c r="T2031" t="str">
        <f>VLOOKUP(E2031, Products!$A:$B,2,0)</f>
        <v>Laptops Ele-1</v>
      </c>
      <c r="U2031" t="str">
        <f>VLOOKUP(E2031,Products!$A:$C,3,0)</f>
        <v>Electronics</v>
      </c>
      <c r="V2031" t="str">
        <f>VLOOKUP(E2031,Products!$A:$D,4,0)</f>
        <v>Laptops</v>
      </c>
      <c r="W2031" t="str">
        <f>VLOOKUP(D2031,Customers!$A:$C,3,0)</f>
        <v>B2C</v>
      </c>
      <c r="X2031" t="str">
        <f>VLOOKUP(C2031,Sales_Representatives!$A:$B,2,0)</f>
        <v>Thomas Hernandez</v>
      </c>
    </row>
    <row r="2032" spans="1:24" x14ac:dyDescent="0.3">
      <c r="A2032" t="s">
        <v>2893</v>
      </c>
      <c r="B2032" t="s">
        <v>2892</v>
      </c>
      <c r="C2032" t="s">
        <v>31</v>
      </c>
      <c r="D2032" t="s">
        <v>1678</v>
      </c>
      <c r="E2032" t="s">
        <v>204</v>
      </c>
      <c r="F2032">
        <v>6</v>
      </c>
      <c r="G2032">
        <v>715.62</v>
      </c>
      <c r="H2032">
        <v>0.08</v>
      </c>
      <c r="I2032" s="4">
        <v>3950.22</v>
      </c>
      <c r="J2032" t="s">
        <v>34</v>
      </c>
      <c r="K2032" t="s">
        <v>17</v>
      </c>
      <c r="L2032" s="4">
        <f>VLOOKUP(tblTransactions[[#This Row],[Product_ID]],tblProducts[],5,FALSE)</f>
        <v>459.58</v>
      </c>
      <c r="M2032" s="4">
        <f>tblTransactions[[#This Row],[Total_Amount]]-(tblTransactions[[#This Row],[Cost_Prices]]*tblTransactions[[#This Row],[Quantity]]*(1-tblTransactions[[#This Row],[Discount]]))</f>
        <v>1413.3383999999996</v>
      </c>
      <c r="N2032" s="3">
        <f>tblTransactions[[#This Row],[Profit]]/tblTransactions[[#This Row],[Total_Amount]]</f>
        <v>0.35778726248158321</v>
      </c>
      <c r="O2032" t="str">
        <f>TEXT(tblTransactions[[#This Row],[Date]], "MMM-YYYY")</f>
        <v>Mar-2024</v>
      </c>
      <c r="P2032" t="str">
        <f>"Q"&amp;ROUNDUP(MONTH(tblTransactions[[#This Row],[Date]])/3,0)&amp;"-"&amp;YEAR(tblTransactions[[#This Row],[Date]])</f>
        <v>Q1-2024</v>
      </c>
      <c r="Q2032">
        <f>YEAR(tblTransactions[[#This Row],[Date]])</f>
        <v>2024</v>
      </c>
      <c r="R2032" t="str">
        <f>TEXT(tblTransactions[[#This Row],[Date]],"DDDD")</f>
        <v>Monday</v>
      </c>
      <c r="S2032">
        <f>MONTH(tblTransactions[[#This Row],[Date]])</f>
        <v>3</v>
      </c>
      <c r="T2032" t="str">
        <f>VLOOKUP(E2032, Products!$A:$B,2,0)</f>
        <v>Cameras Ele-2</v>
      </c>
      <c r="U2032" t="str">
        <f>VLOOKUP(E2032,Products!$A:$C,3,0)</f>
        <v>Electronics</v>
      </c>
      <c r="V2032" t="str">
        <f>VLOOKUP(E2032,Products!$A:$D,4,0)</f>
        <v>Cameras</v>
      </c>
      <c r="W2032" t="str">
        <f>VLOOKUP(D2032,Customers!$A:$C,3,0)</f>
        <v>B2C</v>
      </c>
      <c r="X2032" t="str">
        <f>VLOOKUP(C2032,Sales_Representatives!$A:$B,2,0)</f>
        <v>Thomas Martinez</v>
      </c>
    </row>
    <row r="2033" spans="1:24" x14ac:dyDescent="0.3">
      <c r="A2033" t="s">
        <v>2894</v>
      </c>
      <c r="B2033" t="s">
        <v>2892</v>
      </c>
      <c r="C2033" t="s">
        <v>70</v>
      </c>
      <c r="D2033" t="s">
        <v>1538</v>
      </c>
      <c r="E2033" t="s">
        <v>324</v>
      </c>
      <c r="F2033">
        <v>3</v>
      </c>
      <c r="G2033">
        <v>245.76</v>
      </c>
      <c r="H2033">
        <v>0.03</v>
      </c>
      <c r="I2033" s="4">
        <v>715.16</v>
      </c>
      <c r="J2033" t="s">
        <v>16</v>
      </c>
      <c r="K2033" t="s">
        <v>48</v>
      </c>
      <c r="L2033" s="4">
        <f>VLOOKUP(tblTransactions[[#This Row],[Product_ID]],tblProducts[],5,FALSE)</f>
        <v>161.94</v>
      </c>
      <c r="M2033" s="4">
        <f>tblTransactions[[#This Row],[Total_Amount]]-(tblTransactions[[#This Row],[Cost_Prices]]*tblTransactions[[#This Row],[Quantity]]*(1-tblTransactions[[#This Row],[Discount]]))</f>
        <v>243.91460000000001</v>
      </c>
      <c r="N2033" s="3">
        <f>tblTransactions[[#This Row],[Profit]]/tblTransactions[[#This Row],[Total_Amount]]</f>
        <v>0.34106297891380954</v>
      </c>
      <c r="O2033" t="str">
        <f>TEXT(tblTransactions[[#This Row],[Date]], "MMM-YYYY")</f>
        <v>Mar-2024</v>
      </c>
      <c r="P2033" t="str">
        <f>"Q"&amp;ROUNDUP(MONTH(tblTransactions[[#This Row],[Date]])/3,0)&amp;"-"&amp;YEAR(tblTransactions[[#This Row],[Date]])</f>
        <v>Q1-2024</v>
      </c>
      <c r="Q2033">
        <f>YEAR(tblTransactions[[#This Row],[Date]])</f>
        <v>2024</v>
      </c>
      <c r="R2033" t="str">
        <f>TEXT(tblTransactions[[#This Row],[Date]],"DDDD")</f>
        <v>Monday</v>
      </c>
      <c r="S2033">
        <f>MONTH(tblTransactions[[#This Row],[Date]])</f>
        <v>3</v>
      </c>
      <c r="T2033" t="str">
        <f>VLOOKUP(E2033, Products!$A:$B,2,0)</f>
        <v>Storage Fur-1</v>
      </c>
      <c r="U2033" t="str">
        <f>VLOOKUP(E2033,Products!$A:$C,3,0)</f>
        <v>Furniture</v>
      </c>
      <c r="V2033" t="str">
        <f>VLOOKUP(E2033,Products!$A:$D,4,0)</f>
        <v>Storage</v>
      </c>
      <c r="W2033" t="str">
        <f>VLOOKUP(D2033,Customers!$A:$C,3,0)</f>
        <v>B2C</v>
      </c>
      <c r="X2033" t="str">
        <f>VLOOKUP(C2033,Sales_Representatives!$A:$B,2,0)</f>
        <v>Linda Smith</v>
      </c>
    </row>
    <row r="2034" spans="1:24" x14ac:dyDescent="0.3">
      <c r="A2034" t="s">
        <v>2895</v>
      </c>
      <c r="B2034" t="s">
        <v>2892</v>
      </c>
      <c r="C2034" t="s">
        <v>131</v>
      </c>
      <c r="D2034" t="s">
        <v>1673</v>
      </c>
      <c r="E2034" t="s">
        <v>157</v>
      </c>
      <c r="F2034">
        <v>2</v>
      </c>
      <c r="G2034">
        <v>1227.68</v>
      </c>
      <c r="H2034">
        <v>0.04</v>
      </c>
      <c r="I2034" s="4">
        <v>2357.15</v>
      </c>
      <c r="J2034" t="s">
        <v>44</v>
      </c>
      <c r="K2034" t="s">
        <v>39</v>
      </c>
      <c r="L2034" s="4">
        <f>VLOOKUP(tblTransactions[[#This Row],[Product_ID]],tblProducts[],5,FALSE)</f>
        <v>846.42</v>
      </c>
      <c r="M2034" s="4">
        <f>tblTransactions[[#This Row],[Total_Amount]]-(tblTransactions[[#This Row],[Cost_Prices]]*tblTransactions[[#This Row],[Quantity]]*(1-tblTransactions[[#This Row],[Discount]]))</f>
        <v>732.02360000000022</v>
      </c>
      <c r="N2034" s="3">
        <f>tblTransactions[[#This Row],[Profit]]/tblTransactions[[#This Row],[Total_Amount]]</f>
        <v>0.31055452559234675</v>
      </c>
      <c r="O2034" t="str">
        <f>TEXT(tblTransactions[[#This Row],[Date]], "MMM-YYYY")</f>
        <v>Mar-2024</v>
      </c>
      <c r="P2034" t="str">
        <f>"Q"&amp;ROUNDUP(MONTH(tblTransactions[[#This Row],[Date]])/3,0)&amp;"-"&amp;YEAR(tblTransactions[[#This Row],[Date]])</f>
        <v>Q1-2024</v>
      </c>
      <c r="Q2034">
        <f>YEAR(tblTransactions[[#This Row],[Date]])</f>
        <v>2024</v>
      </c>
      <c r="R2034" t="str">
        <f>TEXT(tblTransactions[[#This Row],[Date]],"DDDD")</f>
        <v>Monday</v>
      </c>
      <c r="S2034">
        <f>MONTH(tblTransactions[[#This Row],[Date]])</f>
        <v>3</v>
      </c>
      <c r="T2034" t="str">
        <f>VLOOKUP(E2034, Products!$A:$B,2,0)</f>
        <v>Printers Tec-4</v>
      </c>
      <c r="U2034" t="str">
        <f>VLOOKUP(E2034,Products!$A:$C,3,0)</f>
        <v>Technology</v>
      </c>
      <c r="V2034" t="str">
        <f>VLOOKUP(E2034,Products!$A:$D,4,0)</f>
        <v>Printers</v>
      </c>
      <c r="W2034" t="str">
        <f>VLOOKUP(D2034,Customers!$A:$C,3,0)</f>
        <v>B2C</v>
      </c>
      <c r="X2034" t="str">
        <f>VLOOKUP(C2034,Sales_Representatives!$A:$B,2,0)</f>
        <v>Michael Davis</v>
      </c>
    </row>
    <row r="2035" spans="1:24" x14ac:dyDescent="0.3">
      <c r="A2035" t="s">
        <v>2896</v>
      </c>
      <c r="B2035" t="s">
        <v>2897</v>
      </c>
      <c r="C2035" t="s">
        <v>127</v>
      </c>
      <c r="D2035" t="s">
        <v>2268</v>
      </c>
      <c r="E2035" t="s">
        <v>290</v>
      </c>
      <c r="F2035">
        <v>23</v>
      </c>
      <c r="G2035">
        <v>729.32</v>
      </c>
      <c r="H2035">
        <v>0.17</v>
      </c>
      <c r="I2035" s="4">
        <v>13922.72</v>
      </c>
      <c r="J2035" t="s">
        <v>109</v>
      </c>
      <c r="K2035" t="s">
        <v>48</v>
      </c>
      <c r="L2035" s="4">
        <f>VLOOKUP(tblTransactions[[#This Row],[Product_ID]],tblProducts[],5,FALSE)</f>
        <v>482.7</v>
      </c>
      <c r="M2035" s="4">
        <f>tblTransactions[[#This Row],[Total_Amount]]-(tblTransactions[[#This Row],[Cost_Prices]]*tblTransactions[[#This Row],[Quantity]]*(1-tblTransactions[[#This Row],[Discount]]))</f>
        <v>4707.976999999999</v>
      </c>
      <c r="N2035" s="3">
        <f>tblTransactions[[#This Row],[Profit]]/tblTransactions[[#This Row],[Total_Amount]]</f>
        <v>0.33815066308882169</v>
      </c>
      <c r="O2035" t="str">
        <f>TEXT(tblTransactions[[#This Row],[Date]], "MMM-YYYY")</f>
        <v>Mar-2024</v>
      </c>
      <c r="P2035" t="str">
        <f>"Q"&amp;ROUNDUP(MONTH(tblTransactions[[#This Row],[Date]])/3,0)&amp;"-"&amp;YEAR(tblTransactions[[#This Row],[Date]])</f>
        <v>Q1-2024</v>
      </c>
      <c r="Q2035">
        <f>YEAR(tblTransactions[[#This Row],[Date]])</f>
        <v>2024</v>
      </c>
      <c r="R2035" t="str">
        <f>TEXT(tblTransactions[[#This Row],[Date]],"DDDD")</f>
        <v>Tuesday</v>
      </c>
      <c r="S2035">
        <f>MONTH(tblTransactions[[#This Row],[Date]])</f>
        <v>3</v>
      </c>
      <c r="T2035" t="str">
        <f>VLOOKUP(E2035, Products!$A:$B,2,0)</f>
        <v>Tables Fur-1</v>
      </c>
      <c r="U2035" t="str">
        <f>VLOOKUP(E2035,Products!$A:$C,3,0)</f>
        <v>Furniture</v>
      </c>
      <c r="V2035" t="str">
        <f>VLOOKUP(E2035,Products!$A:$D,4,0)</f>
        <v>Tables</v>
      </c>
      <c r="W2035" t="str">
        <f>VLOOKUP(D2035,Customers!$A:$C,3,0)</f>
        <v>Enterprise</v>
      </c>
      <c r="X2035" t="str">
        <f>VLOOKUP(C2035,Sales_Representatives!$A:$B,2,0)</f>
        <v>Emily Hernandez</v>
      </c>
    </row>
    <row r="2036" spans="1:24" x14ac:dyDescent="0.3">
      <c r="A2036" t="s">
        <v>2898</v>
      </c>
      <c r="B2036" t="s">
        <v>2897</v>
      </c>
      <c r="C2036" t="s">
        <v>82</v>
      </c>
      <c r="D2036" t="s">
        <v>1687</v>
      </c>
      <c r="E2036" t="s">
        <v>206</v>
      </c>
      <c r="F2036">
        <v>2</v>
      </c>
      <c r="G2036">
        <v>292.51</v>
      </c>
      <c r="H2036">
        <v>0.02</v>
      </c>
      <c r="I2036" s="4">
        <v>573.32000000000005</v>
      </c>
      <c r="J2036" t="s">
        <v>34</v>
      </c>
      <c r="K2036" t="s">
        <v>39</v>
      </c>
      <c r="L2036" s="4">
        <f>VLOOKUP(tblTransactions[[#This Row],[Product_ID]],tblProducts[],5,FALSE)</f>
        <v>122.08</v>
      </c>
      <c r="M2036" s="4">
        <f>tblTransactions[[#This Row],[Total_Amount]]-(tblTransactions[[#This Row],[Cost_Prices]]*tblTransactions[[#This Row],[Quantity]]*(1-tblTransactions[[#This Row],[Discount]]))</f>
        <v>334.04320000000007</v>
      </c>
      <c r="N2036" s="3">
        <f>tblTransactions[[#This Row],[Profit]]/tblTransactions[[#This Row],[Total_Amount]]</f>
        <v>0.5826470383032164</v>
      </c>
      <c r="O2036" t="str">
        <f>TEXT(tblTransactions[[#This Row],[Date]], "MMM-YYYY")</f>
        <v>Mar-2024</v>
      </c>
      <c r="P2036" t="str">
        <f>"Q"&amp;ROUNDUP(MONTH(tblTransactions[[#This Row],[Date]])/3,0)&amp;"-"&amp;YEAR(tblTransactions[[#This Row],[Date]])</f>
        <v>Q1-2024</v>
      </c>
      <c r="Q2036">
        <f>YEAR(tblTransactions[[#This Row],[Date]])</f>
        <v>2024</v>
      </c>
      <c r="R2036" t="str">
        <f>TEXT(tblTransactions[[#This Row],[Date]],"DDDD")</f>
        <v>Tuesday</v>
      </c>
      <c r="S2036">
        <f>MONTH(tblTransactions[[#This Row],[Date]])</f>
        <v>3</v>
      </c>
      <c r="T2036" t="str">
        <f>VLOOKUP(E2036, Products!$A:$B,2,0)</f>
        <v>Keyboards Acc-1</v>
      </c>
      <c r="U2036" t="str">
        <f>VLOOKUP(E2036,Products!$A:$C,3,0)</f>
        <v>Accessories</v>
      </c>
      <c r="V2036" t="str">
        <f>VLOOKUP(E2036,Products!$A:$D,4,0)</f>
        <v>Keyboards</v>
      </c>
      <c r="W2036" t="str">
        <f>VLOOKUP(D2036,Customers!$A:$C,3,0)</f>
        <v>B2C</v>
      </c>
      <c r="X2036" t="str">
        <f>VLOOKUP(C2036,Sales_Representatives!$A:$B,2,0)</f>
        <v>John Brown</v>
      </c>
    </row>
    <row r="2037" spans="1:24" x14ac:dyDescent="0.3">
      <c r="A2037" t="s">
        <v>2899</v>
      </c>
      <c r="B2037" t="s">
        <v>2897</v>
      </c>
      <c r="C2037" t="s">
        <v>127</v>
      </c>
      <c r="D2037" t="s">
        <v>2096</v>
      </c>
      <c r="E2037" t="s">
        <v>184</v>
      </c>
      <c r="F2037">
        <v>2</v>
      </c>
      <c r="G2037">
        <v>276.35000000000002</v>
      </c>
      <c r="H2037">
        <v>0.03</v>
      </c>
      <c r="I2037" s="4">
        <v>536.12</v>
      </c>
      <c r="J2037" t="s">
        <v>109</v>
      </c>
      <c r="K2037" t="s">
        <v>48</v>
      </c>
      <c r="L2037" s="4">
        <f>VLOOKUP(tblTransactions[[#This Row],[Product_ID]],tblProducts[],5,FALSE)</f>
        <v>130.15</v>
      </c>
      <c r="M2037" s="4">
        <f>tblTransactions[[#This Row],[Total_Amount]]-(tblTransactions[[#This Row],[Cost_Prices]]*tblTransactions[[#This Row],[Quantity]]*(1-tblTransactions[[#This Row],[Discount]]))</f>
        <v>283.62900000000002</v>
      </c>
      <c r="N2037" s="3">
        <f>tblTransactions[[#This Row],[Profit]]/tblTransactions[[#This Row],[Total_Amount]]</f>
        <v>0.52904014026710444</v>
      </c>
      <c r="O2037" t="str">
        <f>TEXT(tblTransactions[[#This Row],[Date]], "MMM-YYYY")</f>
        <v>Mar-2024</v>
      </c>
      <c r="P2037" t="str">
        <f>"Q"&amp;ROUNDUP(MONTH(tblTransactions[[#This Row],[Date]])/3,0)&amp;"-"&amp;YEAR(tblTransactions[[#This Row],[Date]])</f>
        <v>Q1-2024</v>
      </c>
      <c r="Q2037">
        <f>YEAR(tblTransactions[[#This Row],[Date]])</f>
        <v>2024</v>
      </c>
      <c r="R2037" t="str">
        <f>TEXT(tblTransactions[[#This Row],[Date]],"DDDD")</f>
        <v>Tuesday</v>
      </c>
      <c r="S2037">
        <f>MONTH(tblTransactions[[#This Row],[Date]])</f>
        <v>3</v>
      </c>
      <c r="T2037" t="str">
        <f>VLOOKUP(E2037, Products!$A:$B,2,0)</f>
        <v>Binders Off-1</v>
      </c>
      <c r="U2037" t="str">
        <f>VLOOKUP(E2037,Products!$A:$C,3,0)</f>
        <v>Office Supplies</v>
      </c>
      <c r="V2037" t="str">
        <f>VLOOKUP(E2037,Products!$A:$D,4,0)</f>
        <v>Binders</v>
      </c>
      <c r="W2037" t="str">
        <f>VLOOKUP(D2037,Customers!$A:$C,3,0)</f>
        <v>B2C</v>
      </c>
      <c r="X2037" t="str">
        <f>VLOOKUP(C2037,Sales_Representatives!$A:$B,2,0)</f>
        <v>Emily Hernandez</v>
      </c>
    </row>
    <row r="2038" spans="1:24" x14ac:dyDescent="0.3">
      <c r="A2038" t="s">
        <v>2900</v>
      </c>
      <c r="B2038" t="s">
        <v>2901</v>
      </c>
      <c r="C2038" t="s">
        <v>63</v>
      </c>
      <c r="D2038" t="s">
        <v>1656</v>
      </c>
      <c r="E2038" t="s">
        <v>200</v>
      </c>
      <c r="F2038">
        <v>1</v>
      </c>
      <c r="G2038">
        <v>544.77</v>
      </c>
      <c r="H2038">
        <v>0</v>
      </c>
      <c r="I2038" s="4">
        <v>544.77</v>
      </c>
      <c r="J2038" t="s">
        <v>21</v>
      </c>
      <c r="K2038" t="s">
        <v>35</v>
      </c>
      <c r="L2038" s="4">
        <f>VLOOKUP(tblTransactions[[#This Row],[Product_ID]],tblProducts[],5,FALSE)</f>
        <v>318.2</v>
      </c>
      <c r="M2038" s="4">
        <f>tblTransactions[[#This Row],[Total_Amount]]-(tblTransactions[[#This Row],[Cost_Prices]]*tblTransactions[[#This Row],[Quantity]]*(1-tblTransactions[[#This Row],[Discount]]))</f>
        <v>226.57</v>
      </c>
      <c r="N2038" s="3">
        <f>tblTransactions[[#This Row],[Profit]]/tblTransactions[[#This Row],[Total_Amount]]</f>
        <v>0.41590028819501806</v>
      </c>
      <c r="O2038" t="str">
        <f>TEXT(tblTransactions[[#This Row],[Date]], "MMM-YYYY")</f>
        <v>Mar-2024</v>
      </c>
      <c r="P2038" t="str">
        <f>"Q"&amp;ROUNDUP(MONTH(tblTransactions[[#This Row],[Date]])/3,0)&amp;"-"&amp;YEAR(tblTransactions[[#This Row],[Date]])</f>
        <v>Q1-2024</v>
      </c>
      <c r="Q2038">
        <f>YEAR(tblTransactions[[#This Row],[Date]])</f>
        <v>2024</v>
      </c>
      <c r="R2038" t="str">
        <f>TEXT(tblTransactions[[#This Row],[Date]],"DDDD")</f>
        <v>Wednesday</v>
      </c>
      <c r="S2038">
        <f>MONTH(tblTransactions[[#This Row],[Date]])</f>
        <v>3</v>
      </c>
      <c r="T2038" t="str">
        <f>VLOOKUP(E2038, Products!$A:$B,2,0)</f>
        <v>Desks Fur-4</v>
      </c>
      <c r="U2038" t="str">
        <f>VLOOKUP(E2038,Products!$A:$C,3,0)</f>
        <v>Furniture</v>
      </c>
      <c r="V2038" t="str">
        <f>VLOOKUP(E2038,Products!$A:$D,4,0)</f>
        <v>Desks</v>
      </c>
      <c r="W2038" t="str">
        <f>VLOOKUP(D2038,Customers!$A:$C,3,0)</f>
        <v>B2C</v>
      </c>
      <c r="X2038" t="str">
        <f>VLOOKUP(C2038,Sales_Representatives!$A:$B,2,0)</f>
        <v>Richard Wilson</v>
      </c>
    </row>
    <row r="2039" spans="1:24" x14ac:dyDescent="0.3">
      <c r="A2039" t="s">
        <v>2902</v>
      </c>
      <c r="B2039" t="s">
        <v>2901</v>
      </c>
      <c r="C2039" t="s">
        <v>13</v>
      </c>
      <c r="D2039" t="s">
        <v>2466</v>
      </c>
      <c r="E2039" t="s">
        <v>290</v>
      </c>
      <c r="F2039">
        <v>7</v>
      </c>
      <c r="G2039">
        <v>729.32</v>
      </c>
      <c r="H2039">
        <v>0.11</v>
      </c>
      <c r="I2039" s="4">
        <v>4543.66</v>
      </c>
      <c r="J2039" t="s">
        <v>16</v>
      </c>
      <c r="K2039" t="s">
        <v>39</v>
      </c>
      <c r="L2039" s="4">
        <f>VLOOKUP(tblTransactions[[#This Row],[Product_ID]],tblProducts[],5,FALSE)</f>
        <v>482.7</v>
      </c>
      <c r="M2039" s="4">
        <f>tblTransactions[[#This Row],[Total_Amount]]-(tblTransactions[[#This Row],[Cost_Prices]]*tblTransactions[[#This Row],[Quantity]]*(1-tblTransactions[[#This Row],[Discount]]))</f>
        <v>1536.4389999999999</v>
      </c>
      <c r="N2039" s="3">
        <f>tblTransactions[[#This Row],[Profit]]/tblTransactions[[#This Row],[Total_Amount]]</f>
        <v>0.33815008165223626</v>
      </c>
      <c r="O2039" t="str">
        <f>TEXT(tblTransactions[[#This Row],[Date]], "MMM-YYYY")</f>
        <v>Mar-2024</v>
      </c>
      <c r="P2039" t="str">
        <f>"Q"&amp;ROUNDUP(MONTH(tblTransactions[[#This Row],[Date]])/3,0)&amp;"-"&amp;YEAR(tblTransactions[[#This Row],[Date]])</f>
        <v>Q1-2024</v>
      </c>
      <c r="Q2039">
        <f>YEAR(tblTransactions[[#This Row],[Date]])</f>
        <v>2024</v>
      </c>
      <c r="R2039" t="str">
        <f>TEXT(tblTransactions[[#This Row],[Date]],"DDDD")</f>
        <v>Wednesday</v>
      </c>
      <c r="S2039">
        <f>MONTH(tblTransactions[[#This Row],[Date]])</f>
        <v>3</v>
      </c>
      <c r="T2039" t="str">
        <f>VLOOKUP(E2039, Products!$A:$B,2,0)</f>
        <v>Tables Fur-1</v>
      </c>
      <c r="U2039" t="str">
        <f>VLOOKUP(E2039,Products!$A:$C,3,0)</f>
        <v>Furniture</v>
      </c>
      <c r="V2039" t="str">
        <f>VLOOKUP(E2039,Products!$A:$D,4,0)</f>
        <v>Tables</v>
      </c>
      <c r="W2039" t="str">
        <f>VLOOKUP(D2039,Customers!$A:$C,3,0)</f>
        <v>B2C</v>
      </c>
      <c r="X2039" t="str">
        <f>VLOOKUP(C2039,Sales_Representatives!$A:$B,2,0)</f>
        <v>Jennifer Rodriguez</v>
      </c>
    </row>
    <row r="2040" spans="1:24" x14ac:dyDescent="0.3">
      <c r="A2040" t="s">
        <v>2903</v>
      </c>
      <c r="B2040" t="s">
        <v>2901</v>
      </c>
      <c r="C2040" t="s">
        <v>107</v>
      </c>
      <c r="D2040" t="s">
        <v>1749</v>
      </c>
      <c r="E2040" t="s">
        <v>152</v>
      </c>
      <c r="F2040">
        <v>5</v>
      </c>
      <c r="G2040">
        <v>859.93</v>
      </c>
      <c r="H2040">
        <v>0.02</v>
      </c>
      <c r="I2040" s="4">
        <v>4213.66</v>
      </c>
      <c r="J2040" t="s">
        <v>109</v>
      </c>
      <c r="K2040" t="s">
        <v>48</v>
      </c>
      <c r="L2040" s="4">
        <f>VLOOKUP(tblTransactions[[#This Row],[Product_ID]],tblProducts[],5,FALSE)</f>
        <v>579.79</v>
      </c>
      <c r="M2040" s="4">
        <f>tblTransactions[[#This Row],[Total_Amount]]-(tblTransactions[[#This Row],[Cost_Prices]]*tblTransactions[[#This Row],[Quantity]]*(1-tblTransactions[[#This Row],[Discount]]))</f>
        <v>1372.6890000000003</v>
      </c>
      <c r="N2040" s="3">
        <f>tblTransactions[[#This Row],[Profit]]/tblTransactions[[#This Row],[Total_Amount]]</f>
        <v>0.32577118229757512</v>
      </c>
      <c r="O2040" t="str">
        <f>TEXT(tblTransactions[[#This Row],[Date]], "MMM-YYYY")</f>
        <v>Mar-2024</v>
      </c>
      <c r="P2040" t="str">
        <f>"Q"&amp;ROUNDUP(MONTH(tblTransactions[[#This Row],[Date]])/3,0)&amp;"-"&amp;YEAR(tblTransactions[[#This Row],[Date]])</f>
        <v>Q1-2024</v>
      </c>
      <c r="Q2040">
        <f>YEAR(tblTransactions[[#This Row],[Date]])</f>
        <v>2024</v>
      </c>
      <c r="R2040" t="str">
        <f>TEXT(tblTransactions[[#This Row],[Date]],"DDDD")</f>
        <v>Wednesday</v>
      </c>
      <c r="S2040">
        <f>MONTH(tblTransactions[[#This Row],[Date]])</f>
        <v>3</v>
      </c>
      <c r="T2040" t="str">
        <f>VLOOKUP(E2040, Products!$A:$B,2,0)</f>
        <v>Phones Ele-4</v>
      </c>
      <c r="U2040" t="str">
        <f>VLOOKUP(E2040,Products!$A:$C,3,0)</f>
        <v>Electronics</v>
      </c>
      <c r="V2040" t="str">
        <f>VLOOKUP(E2040,Products!$A:$D,4,0)</f>
        <v>Phones</v>
      </c>
      <c r="W2040" t="str">
        <f>VLOOKUP(D2040,Customers!$A:$C,3,0)</f>
        <v>B2B</v>
      </c>
      <c r="X2040" t="str">
        <f>VLOOKUP(C2040,Sales_Representatives!$A:$B,2,0)</f>
        <v>Jennifer Brown</v>
      </c>
    </row>
    <row r="2041" spans="1:24" x14ac:dyDescent="0.3">
      <c r="A2041" t="s">
        <v>2904</v>
      </c>
      <c r="B2041" t="s">
        <v>2901</v>
      </c>
      <c r="C2041" t="s">
        <v>59</v>
      </c>
      <c r="D2041" t="s">
        <v>396</v>
      </c>
      <c r="E2041" t="s">
        <v>232</v>
      </c>
      <c r="F2041">
        <v>6</v>
      </c>
      <c r="G2041">
        <v>60.21</v>
      </c>
      <c r="H2041">
        <v>0.08</v>
      </c>
      <c r="I2041" s="4">
        <v>332.36</v>
      </c>
      <c r="J2041" t="s">
        <v>21</v>
      </c>
      <c r="K2041" t="s">
        <v>48</v>
      </c>
      <c r="L2041" s="4">
        <f>VLOOKUP(tblTransactions[[#This Row],[Product_ID]],tblProducts[],5,FALSE)</f>
        <v>38.18</v>
      </c>
      <c r="M2041" s="4">
        <f>tblTransactions[[#This Row],[Total_Amount]]-(tblTransactions[[#This Row],[Cost_Prices]]*tblTransactions[[#This Row],[Quantity]]*(1-tblTransactions[[#This Row],[Discount]]))</f>
        <v>121.60640000000001</v>
      </c>
      <c r="N2041" s="3">
        <f>tblTransactions[[#This Row],[Profit]]/tblTransactions[[#This Row],[Total_Amount]]</f>
        <v>0.36588759176796248</v>
      </c>
      <c r="O2041" t="str">
        <f>TEXT(tblTransactions[[#This Row],[Date]], "MMM-YYYY")</f>
        <v>Mar-2024</v>
      </c>
      <c r="P2041" t="str">
        <f>"Q"&amp;ROUNDUP(MONTH(tblTransactions[[#This Row],[Date]])/3,0)&amp;"-"&amp;YEAR(tblTransactions[[#This Row],[Date]])</f>
        <v>Q1-2024</v>
      </c>
      <c r="Q2041">
        <f>YEAR(tblTransactions[[#This Row],[Date]])</f>
        <v>2024</v>
      </c>
      <c r="R2041" t="str">
        <f>TEXT(tblTransactions[[#This Row],[Date]],"DDDD")</f>
        <v>Wednesday</v>
      </c>
      <c r="S2041">
        <f>MONTH(tblTransactions[[#This Row],[Date]])</f>
        <v>3</v>
      </c>
      <c r="T2041" t="str">
        <f>VLOOKUP(E2041, Products!$A:$B,2,0)</f>
        <v>Cables Acc-3</v>
      </c>
      <c r="U2041" t="str">
        <f>VLOOKUP(E2041,Products!$A:$C,3,0)</f>
        <v>Accessories</v>
      </c>
      <c r="V2041" t="str">
        <f>VLOOKUP(E2041,Products!$A:$D,4,0)</f>
        <v>Cables</v>
      </c>
      <c r="W2041" t="str">
        <f>VLOOKUP(D2041,Customers!$A:$C,3,0)</f>
        <v>Small Business</v>
      </c>
      <c r="X2041" t="str">
        <f>VLOOKUP(C2041,Sales_Representatives!$A:$B,2,0)</f>
        <v>Sarah Brown</v>
      </c>
    </row>
    <row r="2042" spans="1:24" x14ac:dyDescent="0.3">
      <c r="A2042" t="s">
        <v>2905</v>
      </c>
      <c r="B2042" t="s">
        <v>2901</v>
      </c>
      <c r="C2042" t="s">
        <v>41</v>
      </c>
      <c r="D2042" t="s">
        <v>1453</v>
      </c>
      <c r="E2042" t="s">
        <v>79</v>
      </c>
      <c r="F2042">
        <v>13</v>
      </c>
      <c r="G2042">
        <v>1452.36</v>
      </c>
      <c r="H2042">
        <v>0.15</v>
      </c>
      <c r="I2042" s="4">
        <v>16048.58</v>
      </c>
      <c r="J2042" t="s">
        <v>44</v>
      </c>
      <c r="K2042" t="s">
        <v>39</v>
      </c>
      <c r="L2042" s="4">
        <f>VLOOKUP(tblTransactions[[#This Row],[Product_ID]],tblProducts[],5,FALSE)</f>
        <v>778.71</v>
      </c>
      <c r="M2042" s="4">
        <f>tblTransactions[[#This Row],[Total_Amount]]-(tblTransactions[[#This Row],[Cost_Prices]]*tblTransactions[[#This Row],[Quantity]]*(1-tblTransactions[[#This Row],[Discount]]))</f>
        <v>7443.8345000000008</v>
      </c>
      <c r="N2042" s="3">
        <f>tblTransactions[[#This Row],[Profit]]/tblTransactions[[#This Row],[Total_Amount]]</f>
        <v>0.46383134831866751</v>
      </c>
      <c r="O2042" t="str">
        <f>TEXT(tblTransactions[[#This Row],[Date]], "MMM-YYYY")</f>
        <v>Mar-2024</v>
      </c>
      <c r="P2042" t="str">
        <f>"Q"&amp;ROUNDUP(MONTH(tblTransactions[[#This Row],[Date]])/3,0)&amp;"-"&amp;YEAR(tblTransactions[[#This Row],[Date]])</f>
        <v>Q1-2024</v>
      </c>
      <c r="Q2042">
        <f>YEAR(tblTransactions[[#This Row],[Date]])</f>
        <v>2024</v>
      </c>
      <c r="R2042" t="str">
        <f>TEXT(tblTransactions[[#This Row],[Date]],"DDDD")</f>
        <v>Wednesday</v>
      </c>
      <c r="S2042">
        <f>MONTH(tblTransactions[[#This Row],[Date]])</f>
        <v>3</v>
      </c>
      <c r="T2042" t="str">
        <f>VLOOKUP(E2042, Products!$A:$B,2,0)</f>
        <v>Tables Fur-2</v>
      </c>
      <c r="U2042" t="str">
        <f>VLOOKUP(E2042,Products!$A:$C,3,0)</f>
        <v>Furniture</v>
      </c>
      <c r="V2042" t="str">
        <f>VLOOKUP(E2042,Products!$A:$D,4,0)</f>
        <v>Tables</v>
      </c>
      <c r="W2042" t="str">
        <f>VLOOKUP(D2042,Customers!$A:$C,3,0)</f>
        <v>B2B</v>
      </c>
      <c r="X2042" t="str">
        <f>VLOOKUP(C2042,Sales_Representatives!$A:$B,2,0)</f>
        <v>Robert Jones</v>
      </c>
    </row>
    <row r="2043" spans="1:24" x14ac:dyDescent="0.3">
      <c r="A2043" t="s">
        <v>2906</v>
      </c>
      <c r="B2043" t="s">
        <v>2907</v>
      </c>
      <c r="C2043" t="s">
        <v>141</v>
      </c>
      <c r="D2043" t="s">
        <v>1741</v>
      </c>
      <c r="E2043" t="s">
        <v>172</v>
      </c>
      <c r="F2043">
        <v>9</v>
      </c>
      <c r="G2043">
        <v>1371.15</v>
      </c>
      <c r="H2043">
        <v>0.06</v>
      </c>
      <c r="I2043" s="4">
        <v>11599.93</v>
      </c>
      <c r="J2043" t="s">
        <v>109</v>
      </c>
      <c r="K2043" t="s">
        <v>39</v>
      </c>
      <c r="L2043" s="4">
        <f>VLOOKUP(tblTransactions[[#This Row],[Product_ID]],tblProducts[],5,FALSE)</f>
        <v>989.81</v>
      </c>
      <c r="M2043" s="4">
        <f>tblTransactions[[#This Row],[Total_Amount]]-(tblTransactions[[#This Row],[Cost_Prices]]*tblTransactions[[#This Row],[Quantity]]*(1-tblTransactions[[#This Row],[Discount]]))</f>
        <v>3226.1374000000014</v>
      </c>
      <c r="N2043" s="3">
        <f>tblTransactions[[#This Row],[Profit]]/tblTransactions[[#This Row],[Total_Amount]]</f>
        <v>0.27811697139551717</v>
      </c>
      <c r="O2043" t="str">
        <f>TEXT(tblTransactions[[#This Row],[Date]], "MMM-YYYY")</f>
        <v>Mar-2024</v>
      </c>
      <c r="P2043" t="str">
        <f>"Q"&amp;ROUNDUP(MONTH(tblTransactions[[#This Row],[Date]])/3,0)&amp;"-"&amp;YEAR(tblTransactions[[#This Row],[Date]])</f>
        <v>Q1-2024</v>
      </c>
      <c r="Q2043">
        <f>YEAR(tblTransactions[[#This Row],[Date]])</f>
        <v>2024</v>
      </c>
      <c r="R2043" t="str">
        <f>TEXT(tblTransactions[[#This Row],[Date]],"DDDD")</f>
        <v>Thursday</v>
      </c>
      <c r="S2043">
        <f>MONTH(tblTransactions[[#This Row],[Date]])</f>
        <v>3</v>
      </c>
      <c r="T2043" t="str">
        <f>VLOOKUP(E2043, Products!$A:$B,2,0)</f>
        <v>Cameras Ele-4</v>
      </c>
      <c r="U2043" t="str">
        <f>VLOOKUP(E2043,Products!$A:$C,3,0)</f>
        <v>Electronics</v>
      </c>
      <c r="V2043" t="str">
        <f>VLOOKUP(E2043,Products!$A:$D,4,0)</f>
        <v>Cameras</v>
      </c>
      <c r="W2043" t="str">
        <f>VLOOKUP(D2043,Customers!$A:$C,3,0)</f>
        <v>B2B</v>
      </c>
      <c r="X2043" t="str">
        <f>VLOOKUP(C2043,Sales_Representatives!$A:$B,2,0)</f>
        <v>Richard Garcia</v>
      </c>
    </row>
    <row r="2044" spans="1:24" x14ac:dyDescent="0.3">
      <c r="A2044" t="s">
        <v>2908</v>
      </c>
      <c r="B2044" t="s">
        <v>2907</v>
      </c>
      <c r="C2044" t="s">
        <v>127</v>
      </c>
      <c r="D2044" t="s">
        <v>1447</v>
      </c>
      <c r="E2044" t="s">
        <v>137</v>
      </c>
      <c r="F2044">
        <v>4</v>
      </c>
      <c r="G2044">
        <v>241.39</v>
      </c>
      <c r="H2044">
        <v>0.09</v>
      </c>
      <c r="I2044" s="4">
        <v>878.66</v>
      </c>
      <c r="J2044" t="s">
        <v>109</v>
      </c>
      <c r="K2044" t="s">
        <v>48</v>
      </c>
      <c r="L2044" s="4">
        <f>VLOOKUP(tblTransactions[[#This Row],[Product_ID]],tblProducts[],5,FALSE)</f>
        <v>124.07</v>
      </c>
      <c r="M2044" s="4">
        <f>tblTransactions[[#This Row],[Total_Amount]]-(tblTransactions[[#This Row],[Cost_Prices]]*tblTransactions[[#This Row],[Quantity]]*(1-tblTransactions[[#This Row],[Discount]]))</f>
        <v>427.04519999999997</v>
      </c>
      <c r="N2044" s="3">
        <f>tblTransactions[[#This Row],[Profit]]/tblTransactions[[#This Row],[Total_Amount]]</f>
        <v>0.48601871030887939</v>
      </c>
      <c r="O2044" t="str">
        <f>TEXT(tblTransactions[[#This Row],[Date]], "MMM-YYYY")</f>
        <v>Mar-2024</v>
      </c>
      <c r="P2044" t="str">
        <f>"Q"&amp;ROUNDUP(MONTH(tblTransactions[[#This Row],[Date]])/3,0)&amp;"-"&amp;YEAR(tblTransactions[[#This Row],[Date]])</f>
        <v>Q1-2024</v>
      </c>
      <c r="Q2044">
        <f>YEAR(tblTransactions[[#This Row],[Date]])</f>
        <v>2024</v>
      </c>
      <c r="R2044" t="str">
        <f>TEXT(tblTransactions[[#This Row],[Date]],"DDDD")</f>
        <v>Thursday</v>
      </c>
      <c r="S2044">
        <f>MONTH(tblTransactions[[#This Row],[Date]])</f>
        <v>3</v>
      </c>
      <c r="T2044" t="str">
        <f>VLOOKUP(E2044, Products!$A:$B,2,0)</f>
        <v>Desks Fur-2</v>
      </c>
      <c r="U2044" t="str">
        <f>VLOOKUP(E2044,Products!$A:$C,3,0)</f>
        <v>Furniture</v>
      </c>
      <c r="V2044" t="str">
        <f>VLOOKUP(E2044,Products!$A:$D,4,0)</f>
        <v>Desks</v>
      </c>
      <c r="W2044" t="str">
        <f>VLOOKUP(D2044,Customers!$A:$C,3,0)</f>
        <v>B2B</v>
      </c>
      <c r="X2044" t="str">
        <f>VLOOKUP(C2044,Sales_Representatives!$A:$B,2,0)</f>
        <v>Emily Hernandez</v>
      </c>
    </row>
    <row r="2045" spans="1:24" x14ac:dyDescent="0.3">
      <c r="A2045" t="s">
        <v>2909</v>
      </c>
      <c r="B2045" t="s">
        <v>2907</v>
      </c>
      <c r="C2045" t="s">
        <v>31</v>
      </c>
      <c r="D2045" t="s">
        <v>2512</v>
      </c>
      <c r="E2045" t="s">
        <v>316</v>
      </c>
      <c r="F2045">
        <v>4</v>
      </c>
      <c r="G2045">
        <v>91.42</v>
      </c>
      <c r="H2045">
        <v>0.09</v>
      </c>
      <c r="I2045" s="4">
        <v>332.77</v>
      </c>
      <c r="J2045" t="s">
        <v>34</v>
      </c>
      <c r="K2045" t="s">
        <v>17</v>
      </c>
      <c r="L2045" s="4">
        <f>VLOOKUP(tblTransactions[[#This Row],[Product_ID]],tblProducts[],5,FALSE)</f>
        <v>50.09</v>
      </c>
      <c r="M2045" s="4">
        <f>tblTransactions[[#This Row],[Total_Amount]]-(tblTransactions[[#This Row],[Cost_Prices]]*tblTransactions[[#This Row],[Quantity]]*(1-tblTransactions[[#This Row],[Discount]]))</f>
        <v>150.44239999999996</v>
      </c>
      <c r="N2045" s="3">
        <f>tblTransactions[[#This Row],[Profit]]/tblTransactions[[#This Row],[Total_Amount]]</f>
        <v>0.45209123418577385</v>
      </c>
      <c r="O2045" t="str">
        <f>TEXT(tblTransactions[[#This Row],[Date]], "MMM-YYYY")</f>
        <v>Mar-2024</v>
      </c>
      <c r="P2045" t="str">
        <f>"Q"&amp;ROUNDUP(MONTH(tblTransactions[[#This Row],[Date]])/3,0)&amp;"-"&amp;YEAR(tblTransactions[[#This Row],[Date]])</f>
        <v>Q1-2024</v>
      </c>
      <c r="Q2045">
        <f>YEAR(tblTransactions[[#This Row],[Date]])</f>
        <v>2024</v>
      </c>
      <c r="R2045" t="str">
        <f>TEXT(tblTransactions[[#This Row],[Date]],"DDDD")</f>
        <v>Thursday</v>
      </c>
      <c r="S2045">
        <f>MONTH(tblTransactions[[#This Row],[Date]])</f>
        <v>3</v>
      </c>
      <c r="T2045" t="str">
        <f>VLOOKUP(E2045, Products!$A:$B,2,0)</f>
        <v>Binders Off-3</v>
      </c>
      <c r="U2045" t="str">
        <f>VLOOKUP(E2045,Products!$A:$C,3,0)</f>
        <v>Office Supplies</v>
      </c>
      <c r="V2045" t="str">
        <f>VLOOKUP(E2045,Products!$A:$D,4,0)</f>
        <v>Binders</v>
      </c>
      <c r="W2045" t="str">
        <f>VLOOKUP(D2045,Customers!$A:$C,3,0)</f>
        <v>Small Business</v>
      </c>
      <c r="X2045" t="str">
        <f>VLOOKUP(C2045,Sales_Representatives!$A:$B,2,0)</f>
        <v>Thomas Martinez</v>
      </c>
    </row>
    <row r="2046" spans="1:24" x14ac:dyDescent="0.3">
      <c r="A2046" t="s">
        <v>2910</v>
      </c>
      <c r="B2046" t="s">
        <v>2907</v>
      </c>
      <c r="C2046" t="s">
        <v>107</v>
      </c>
      <c r="D2046" t="s">
        <v>60</v>
      </c>
      <c r="E2046" t="s">
        <v>243</v>
      </c>
      <c r="F2046">
        <v>5</v>
      </c>
      <c r="G2046">
        <v>384.18</v>
      </c>
      <c r="H2046">
        <v>0.04</v>
      </c>
      <c r="I2046" s="4">
        <v>1844.06</v>
      </c>
      <c r="J2046" t="s">
        <v>109</v>
      </c>
      <c r="K2046" t="s">
        <v>35</v>
      </c>
      <c r="L2046" s="4">
        <f>VLOOKUP(tblTransactions[[#This Row],[Product_ID]],tblProducts[],5,FALSE)</f>
        <v>266.92</v>
      </c>
      <c r="M2046" s="4">
        <f>tblTransactions[[#This Row],[Total_Amount]]-(tblTransactions[[#This Row],[Cost_Prices]]*tblTransactions[[#This Row],[Quantity]]*(1-tblTransactions[[#This Row],[Discount]]))</f>
        <v>562.84399999999982</v>
      </c>
      <c r="N2046" s="3">
        <f>tblTransactions[[#This Row],[Profit]]/tblTransactions[[#This Row],[Total_Amount]]</f>
        <v>0.30522000368751551</v>
      </c>
      <c r="O2046" t="str">
        <f>TEXT(tblTransactions[[#This Row],[Date]], "MMM-YYYY")</f>
        <v>Mar-2024</v>
      </c>
      <c r="P2046" t="str">
        <f>"Q"&amp;ROUNDUP(MONTH(tblTransactions[[#This Row],[Date]])/3,0)&amp;"-"&amp;YEAR(tblTransactions[[#This Row],[Date]])</f>
        <v>Q1-2024</v>
      </c>
      <c r="Q2046">
        <f>YEAR(tblTransactions[[#This Row],[Date]])</f>
        <v>2024</v>
      </c>
      <c r="R2046" t="str">
        <f>TEXT(tblTransactions[[#This Row],[Date]],"DDDD")</f>
        <v>Thursday</v>
      </c>
      <c r="S2046">
        <f>MONTH(tblTransactions[[#This Row],[Date]])</f>
        <v>3</v>
      </c>
      <c r="T2046" t="str">
        <f>VLOOKUP(E2046, Products!$A:$B,2,0)</f>
        <v>Routers Tec-3</v>
      </c>
      <c r="U2046" t="str">
        <f>VLOOKUP(E2046,Products!$A:$C,3,0)</f>
        <v>Technology</v>
      </c>
      <c r="V2046" t="str">
        <f>VLOOKUP(E2046,Products!$A:$D,4,0)</f>
        <v>Routers</v>
      </c>
      <c r="W2046" t="str">
        <f>VLOOKUP(D2046,Customers!$A:$C,3,0)</f>
        <v>B2C</v>
      </c>
      <c r="X2046" t="str">
        <f>VLOOKUP(C2046,Sales_Representatives!$A:$B,2,0)</f>
        <v>Jennifer Brown</v>
      </c>
    </row>
    <row r="2047" spans="1:24" x14ac:dyDescent="0.3">
      <c r="A2047" t="s">
        <v>2911</v>
      </c>
      <c r="B2047" t="s">
        <v>2907</v>
      </c>
      <c r="C2047" t="s">
        <v>107</v>
      </c>
      <c r="D2047" t="s">
        <v>2405</v>
      </c>
      <c r="E2047" t="s">
        <v>79</v>
      </c>
      <c r="F2047">
        <v>5</v>
      </c>
      <c r="G2047">
        <v>1452.36</v>
      </c>
      <c r="H2047">
        <v>0.03</v>
      </c>
      <c r="I2047" s="4">
        <v>7043.95</v>
      </c>
      <c r="J2047" t="s">
        <v>109</v>
      </c>
      <c r="K2047" t="s">
        <v>22</v>
      </c>
      <c r="L2047" s="4">
        <f>VLOOKUP(tblTransactions[[#This Row],[Product_ID]],tblProducts[],5,FALSE)</f>
        <v>778.71</v>
      </c>
      <c r="M2047" s="4">
        <f>tblTransactions[[#This Row],[Total_Amount]]-(tblTransactions[[#This Row],[Cost_Prices]]*tblTransactions[[#This Row],[Quantity]]*(1-tblTransactions[[#This Row],[Discount]]))</f>
        <v>3267.2064999999998</v>
      </c>
      <c r="N2047" s="3">
        <f>tblTransactions[[#This Row],[Profit]]/tblTransactions[[#This Row],[Total_Amount]]</f>
        <v>0.4638315859709396</v>
      </c>
      <c r="O2047" t="str">
        <f>TEXT(tblTransactions[[#This Row],[Date]], "MMM-YYYY")</f>
        <v>Mar-2024</v>
      </c>
      <c r="P2047" t="str">
        <f>"Q"&amp;ROUNDUP(MONTH(tblTransactions[[#This Row],[Date]])/3,0)&amp;"-"&amp;YEAR(tblTransactions[[#This Row],[Date]])</f>
        <v>Q1-2024</v>
      </c>
      <c r="Q2047">
        <f>YEAR(tblTransactions[[#This Row],[Date]])</f>
        <v>2024</v>
      </c>
      <c r="R2047" t="str">
        <f>TEXT(tblTransactions[[#This Row],[Date]],"DDDD")</f>
        <v>Thursday</v>
      </c>
      <c r="S2047">
        <f>MONTH(tblTransactions[[#This Row],[Date]])</f>
        <v>3</v>
      </c>
      <c r="T2047" t="str">
        <f>VLOOKUP(E2047, Products!$A:$B,2,0)</f>
        <v>Tables Fur-2</v>
      </c>
      <c r="U2047" t="str">
        <f>VLOOKUP(E2047,Products!$A:$C,3,0)</f>
        <v>Furniture</v>
      </c>
      <c r="V2047" t="str">
        <f>VLOOKUP(E2047,Products!$A:$D,4,0)</f>
        <v>Tables</v>
      </c>
      <c r="W2047" t="str">
        <f>VLOOKUP(D2047,Customers!$A:$C,3,0)</f>
        <v>B2C</v>
      </c>
      <c r="X2047" t="str">
        <f>VLOOKUP(C2047,Sales_Representatives!$A:$B,2,0)</f>
        <v>Jennifer Brown</v>
      </c>
    </row>
    <row r="2048" spans="1:24" x14ac:dyDescent="0.3">
      <c r="A2048" t="s">
        <v>2912</v>
      </c>
      <c r="B2048" t="s">
        <v>2913</v>
      </c>
      <c r="C2048" t="s">
        <v>82</v>
      </c>
      <c r="D2048" t="s">
        <v>2206</v>
      </c>
      <c r="E2048" t="s">
        <v>508</v>
      </c>
      <c r="F2048">
        <v>6</v>
      </c>
      <c r="G2048">
        <v>237.69</v>
      </c>
      <c r="H2048">
        <v>0.09</v>
      </c>
      <c r="I2048" s="4">
        <v>1297.79</v>
      </c>
      <c r="J2048" t="s">
        <v>34</v>
      </c>
      <c r="K2048" t="s">
        <v>48</v>
      </c>
      <c r="L2048" s="4">
        <f>VLOOKUP(tblTransactions[[#This Row],[Product_ID]],tblProducts[],5,FALSE)</f>
        <v>115.31</v>
      </c>
      <c r="M2048" s="4">
        <f>tblTransactions[[#This Row],[Total_Amount]]-(tblTransactions[[#This Row],[Cost_Prices]]*tblTransactions[[#This Row],[Quantity]]*(1-tblTransactions[[#This Row],[Discount]]))</f>
        <v>668.1973999999999</v>
      </c>
      <c r="N2048" s="3">
        <f>tblTransactions[[#This Row],[Profit]]/tblTransactions[[#This Row],[Total_Amount]]</f>
        <v>0.51487328458379233</v>
      </c>
      <c r="O2048" t="str">
        <f>TEXT(tblTransactions[[#This Row],[Date]], "MMM-YYYY")</f>
        <v>Mar-2024</v>
      </c>
      <c r="P2048" t="str">
        <f>"Q"&amp;ROUNDUP(MONTH(tblTransactions[[#This Row],[Date]])/3,0)&amp;"-"&amp;YEAR(tblTransactions[[#This Row],[Date]])</f>
        <v>Q1-2024</v>
      </c>
      <c r="Q2048">
        <f>YEAR(tblTransactions[[#This Row],[Date]])</f>
        <v>2024</v>
      </c>
      <c r="R2048" t="str">
        <f>TEXT(tblTransactions[[#This Row],[Date]],"DDDD")</f>
        <v>Friday</v>
      </c>
      <c r="S2048">
        <f>MONTH(tblTransactions[[#This Row],[Date]])</f>
        <v>3</v>
      </c>
      <c r="T2048" t="str">
        <f>VLOOKUP(E2048, Products!$A:$B,2,0)</f>
        <v>Folders Off-3</v>
      </c>
      <c r="U2048" t="str">
        <f>VLOOKUP(E2048,Products!$A:$C,3,0)</f>
        <v>Office Supplies</v>
      </c>
      <c r="V2048" t="str">
        <f>VLOOKUP(E2048,Products!$A:$D,4,0)</f>
        <v>Folders</v>
      </c>
      <c r="W2048" t="str">
        <f>VLOOKUP(D2048,Customers!$A:$C,3,0)</f>
        <v>B2C</v>
      </c>
      <c r="X2048" t="str">
        <f>VLOOKUP(C2048,Sales_Representatives!$A:$B,2,0)</f>
        <v>John Brown</v>
      </c>
    </row>
    <row r="2049" spans="1:24" x14ac:dyDescent="0.3">
      <c r="A2049" t="s">
        <v>2914</v>
      </c>
      <c r="B2049" t="s">
        <v>2915</v>
      </c>
      <c r="C2049" t="s">
        <v>59</v>
      </c>
      <c r="D2049" t="s">
        <v>1716</v>
      </c>
      <c r="E2049" t="s">
        <v>84</v>
      </c>
      <c r="F2049">
        <v>49</v>
      </c>
      <c r="G2049">
        <v>1841.77</v>
      </c>
      <c r="H2049">
        <v>0.25</v>
      </c>
      <c r="I2049" s="4">
        <v>67685.05</v>
      </c>
      <c r="J2049" t="s">
        <v>21</v>
      </c>
      <c r="K2049" t="s">
        <v>17</v>
      </c>
      <c r="L2049" s="4">
        <f>VLOOKUP(tblTransactions[[#This Row],[Product_ID]],tblProducts[],5,FALSE)</f>
        <v>1151.5899999999999</v>
      </c>
      <c r="M2049" s="4">
        <f>tblTransactions[[#This Row],[Total_Amount]]-(tblTransactions[[#This Row],[Cost_Prices]]*tblTransactions[[#This Row],[Quantity]]*(1-tblTransactions[[#This Row],[Discount]]))</f>
        <v>25364.117500000008</v>
      </c>
      <c r="N2049" s="3">
        <f>tblTransactions[[#This Row],[Profit]]/tblTransactions[[#This Row],[Total_Amount]]</f>
        <v>0.37473736814850556</v>
      </c>
      <c r="O2049" t="str">
        <f>TEXT(tblTransactions[[#This Row],[Date]], "MMM-YYYY")</f>
        <v>Mar-2024</v>
      </c>
      <c r="P2049" t="str">
        <f>"Q"&amp;ROUNDUP(MONTH(tblTransactions[[#This Row],[Date]])/3,0)&amp;"-"&amp;YEAR(tblTransactions[[#This Row],[Date]])</f>
        <v>Q1-2024</v>
      </c>
      <c r="Q2049">
        <f>YEAR(tblTransactions[[#This Row],[Date]])</f>
        <v>2024</v>
      </c>
      <c r="R2049" t="str">
        <f>TEXT(tblTransactions[[#This Row],[Date]],"DDDD")</f>
        <v>Saturday</v>
      </c>
      <c r="S2049">
        <f>MONTH(tblTransactions[[#This Row],[Date]])</f>
        <v>3</v>
      </c>
      <c r="T2049" t="str">
        <f>VLOOKUP(E2049, Products!$A:$B,2,0)</f>
        <v>Laptops Ele-2</v>
      </c>
      <c r="U2049" t="str">
        <f>VLOOKUP(E2049,Products!$A:$C,3,0)</f>
        <v>Electronics</v>
      </c>
      <c r="V2049" t="str">
        <f>VLOOKUP(E2049,Products!$A:$D,4,0)</f>
        <v>Laptops</v>
      </c>
      <c r="W2049" t="str">
        <f>VLOOKUP(D2049,Customers!$A:$C,3,0)</f>
        <v>Enterprise</v>
      </c>
      <c r="X2049" t="str">
        <f>VLOOKUP(C2049,Sales_Representatives!$A:$B,2,0)</f>
        <v>Sarah Brown</v>
      </c>
    </row>
    <row r="2050" spans="1:24" x14ac:dyDescent="0.3">
      <c r="A2050" t="s">
        <v>2916</v>
      </c>
      <c r="B2050" t="s">
        <v>2915</v>
      </c>
      <c r="C2050" t="s">
        <v>82</v>
      </c>
      <c r="D2050" t="s">
        <v>2686</v>
      </c>
      <c r="E2050" t="s">
        <v>217</v>
      </c>
      <c r="F2050">
        <v>7</v>
      </c>
      <c r="G2050">
        <v>145.51</v>
      </c>
      <c r="H2050">
        <v>0.12</v>
      </c>
      <c r="I2050" s="4">
        <v>896.34</v>
      </c>
      <c r="J2050" t="s">
        <v>34</v>
      </c>
      <c r="K2050" t="s">
        <v>48</v>
      </c>
      <c r="L2050" s="4">
        <f>VLOOKUP(tblTransactions[[#This Row],[Product_ID]],tblProducts[],5,FALSE)</f>
        <v>64.510000000000005</v>
      </c>
      <c r="M2050" s="4">
        <f>tblTransactions[[#This Row],[Total_Amount]]-(tblTransactions[[#This Row],[Cost_Prices]]*tblTransactions[[#This Row],[Quantity]]*(1-tblTransactions[[#This Row],[Discount]]))</f>
        <v>498.95839999999998</v>
      </c>
      <c r="N2050" s="3">
        <f>tblTransactions[[#This Row],[Profit]]/tblTransactions[[#This Row],[Total_Amount]]</f>
        <v>0.55666198094473074</v>
      </c>
      <c r="O2050" t="str">
        <f>TEXT(tblTransactions[[#This Row],[Date]], "MMM-YYYY")</f>
        <v>Mar-2024</v>
      </c>
      <c r="P2050" t="str">
        <f>"Q"&amp;ROUNDUP(MONTH(tblTransactions[[#This Row],[Date]])/3,0)&amp;"-"&amp;YEAR(tblTransactions[[#This Row],[Date]])</f>
        <v>Q1-2024</v>
      </c>
      <c r="Q2050">
        <f>YEAR(tblTransactions[[#This Row],[Date]])</f>
        <v>2024</v>
      </c>
      <c r="R2050" t="str">
        <f>TEXT(tblTransactions[[#This Row],[Date]],"DDDD")</f>
        <v>Saturday</v>
      </c>
      <c r="S2050">
        <f>MONTH(tblTransactions[[#This Row],[Date]])</f>
        <v>3</v>
      </c>
      <c r="T2050" t="str">
        <f>VLOOKUP(E2050, Products!$A:$B,2,0)</f>
        <v>Cables Acc-2</v>
      </c>
      <c r="U2050" t="str">
        <f>VLOOKUP(E2050,Products!$A:$C,3,0)</f>
        <v>Accessories</v>
      </c>
      <c r="V2050" t="str">
        <f>VLOOKUP(E2050,Products!$A:$D,4,0)</f>
        <v>Cables</v>
      </c>
      <c r="W2050" t="str">
        <f>VLOOKUP(D2050,Customers!$A:$C,3,0)</f>
        <v>Small Business</v>
      </c>
      <c r="X2050" t="str">
        <f>VLOOKUP(C2050,Sales_Representatives!$A:$B,2,0)</f>
        <v>John Brown</v>
      </c>
    </row>
    <row r="2051" spans="1:24" x14ac:dyDescent="0.3">
      <c r="A2051" t="s">
        <v>2917</v>
      </c>
      <c r="B2051" t="s">
        <v>2915</v>
      </c>
      <c r="C2051" t="s">
        <v>13</v>
      </c>
      <c r="D2051" t="s">
        <v>1651</v>
      </c>
      <c r="E2051" t="s">
        <v>29</v>
      </c>
      <c r="F2051">
        <v>41</v>
      </c>
      <c r="G2051">
        <v>1363.46</v>
      </c>
      <c r="H2051">
        <v>0.23</v>
      </c>
      <c r="I2051" s="4">
        <v>43044.43</v>
      </c>
      <c r="J2051" t="s">
        <v>16</v>
      </c>
      <c r="K2051" t="s">
        <v>22</v>
      </c>
      <c r="L2051" s="4">
        <f>VLOOKUP(tblTransactions[[#This Row],[Product_ID]],tblProducts[],5,FALSE)</f>
        <v>995.41</v>
      </c>
      <c r="M2051" s="4">
        <f>tblTransactions[[#This Row],[Total_Amount]]-(tblTransactions[[#This Row],[Cost_Prices]]*tblTransactions[[#This Row],[Quantity]]*(1-tblTransactions[[#This Row],[Discount]]))</f>
        <v>11619.336300000003</v>
      </c>
      <c r="N2051" s="3">
        <f>tblTransactions[[#This Row],[Profit]]/tblTransactions[[#This Row],[Total_Amount]]</f>
        <v>0.26993820803295576</v>
      </c>
      <c r="O2051" t="str">
        <f>TEXT(tblTransactions[[#This Row],[Date]], "MMM-YYYY")</f>
        <v>Mar-2024</v>
      </c>
      <c r="P2051" t="str">
        <f>"Q"&amp;ROUNDUP(MONTH(tblTransactions[[#This Row],[Date]])/3,0)&amp;"-"&amp;YEAR(tblTransactions[[#This Row],[Date]])</f>
        <v>Q1-2024</v>
      </c>
      <c r="Q2051">
        <f>YEAR(tblTransactions[[#This Row],[Date]])</f>
        <v>2024</v>
      </c>
      <c r="R2051" t="str">
        <f>TEXT(tblTransactions[[#This Row],[Date]],"DDDD")</f>
        <v>Saturday</v>
      </c>
      <c r="S2051">
        <f>MONTH(tblTransactions[[#This Row],[Date]])</f>
        <v>3</v>
      </c>
      <c r="T2051" t="str">
        <f>VLOOKUP(E2051, Products!$A:$B,2,0)</f>
        <v>Phones Ele-3</v>
      </c>
      <c r="U2051" t="str">
        <f>VLOOKUP(E2051,Products!$A:$C,3,0)</f>
        <v>Electronics</v>
      </c>
      <c r="V2051" t="str">
        <f>VLOOKUP(E2051,Products!$A:$D,4,0)</f>
        <v>Phones</v>
      </c>
      <c r="W2051" t="str">
        <f>VLOOKUP(D2051,Customers!$A:$C,3,0)</f>
        <v>Enterprise</v>
      </c>
      <c r="X2051" t="str">
        <f>VLOOKUP(C2051,Sales_Representatives!$A:$B,2,0)</f>
        <v>Jennifer Rodriguez</v>
      </c>
    </row>
    <row r="2052" spans="1:24" x14ac:dyDescent="0.3">
      <c r="A2052" t="s">
        <v>2918</v>
      </c>
      <c r="B2052" t="s">
        <v>2919</v>
      </c>
      <c r="C2052" t="s">
        <v>41</v>
      </c>
      <c r="D2052" t="s">
        <v>2208</v>
      </c>
      <c r="E2052" t="s">
        <v>204</v>
      </c>
      <c r="F2052">
        <v>6</v>
      </c>
      <c r="G2052">
        <v>715.62</v>
      </c>
      <c r="H2052">
        <v>7.0000000000000007E-2</v>
      </c>
      <c r="I2052" s="4">
        <v>3993.16</v>
      </c>
      <c r="J2052" t="s">
        <v>44</v>
      </c>
      <c r="K2052" t="s">
        <v>17</v>
      </c>
      <c r="L2052" s="4">
        <f>VLOOKUP(tblTransactions[[#This Row],[Product_ID]],tblProducts[],5,FALSE)</f>
        <v>459.58</v>
      </c>
      <c r="M2052" s="4">
        <f>tblTransactions[[#This Row],[Total_Amount]]-(tblTransactions[[#This Row],[Cost_Prices]]*tblTransactions[[#This Row],[Quantity]]*(1-tblTransactions[[#This Row],[Discount]]))</f>
        <v>1428.7035999999998</v>
      </c>
      <c r="N2052" s="3">
        <f>tblTransactions[[#This Row],[Profit]]/tblTransactions[[#This Row],[Total_Amount]]</f>
        <v>0.35778771699606321</v>
      </c>
      <c r="O2052" t="str">
        <f>TEXT(tblTransactions[[#This Row],[Date]], "MMM-YYYY")</f>
        <v>Mar-2024</v>
      </c>
      <c r="P2052" t="str">
        <f>"Q"&amp;ROUNDUP(MONTH(tblTransactions[[#This Row],[Date]])/3,0)&amp;"-"&amp;YEAR(tblTransactions[[#This Row],[Date]])</f>
        <v>Q1-2024</v>
      </c>
      <c r="Q2052">
        <f>YEAR(tblTransactions[[#This Row],[Date]])</f>
        <v>2024</v>
      </c>
      <c r="R2052" t="str">
        <f>TEXT(tblTransactions[[#This Row],[Date]],"DDDD")</f>
        <v>Sunday</v>
      </c>
      <c r="S2052">
        <f>MONTH(tblTransactions[[#This Row],[Date]])</f>
        <v>3</v>
      </c>
      <c r="T2052" t="str">
        <f>VLOOKUP(E2052, Products!$A:$B,2,0)</f>
        <v>Cameras Ele-2</v>
      </c>
      <c r="U2052" t="str">
        <f>VLOOKUP(E2052,Products!$A:$C,3,0)</f>
        <v>Electronics</v>
      </c>
      <c r="V2052" t="str">
        <f>VLOOKUP(E2052,Products!$A:$D,4,0)</f>
        <v>Cameras</v>
      </c>
      <c r="W2052" t="str">
        <f>VLOOKUP(D2052,Customers!$A:$C,3,0)</f>
        <v>B2B</v>
      </c>
      <c r="X2052" t="str">
        <f>VLOOKUP(C2052,Sales_Representatives!$A:$B,2,0)</f>
        <v>Robert Jones</v>
      </c>
    </row>
    <row r="2053" spans="1:24" x14ac:dyDescent="0.3">
      <c r="A2053" t="s">
        <v>2920</v>
      </c>
      <c r="B2053" t="s">
        <v>2919</v>
      </c>
      <c r="C2053" t="s">
        <v>41</v>
      </c>
      <c r="D2053" t="s">
        <v>1559</v>
      </c>
      <c r="E2053" t="s">
        <v>152</v>
      </c>
      <c r="F2053">
        <v>3</v>
      </c>
      <c r="G2053">
        <v>859.93</v>
      </c>
      <c r="H2053">
        <v>0.04</v>
      </c>
      <c r="I2053" s="4">
        <v>2476.6</v>
      </c>
      <c r="J2053" t="s">
        <v>44</v>
      </c>
      <c r="K2053" t="s">
        <v>17</v>
      </c>
      <c r="L2053" s="4">
        <f>VLOOKUP(tblTransactions[[#This Row],[Product_ID]],tblProducts[],5,FALSE)</f>
        <v>579.79</v>
      </c>
      <c r="M2053" s="4">
        <f>tblTransactions[[#This Row],[Total_Amount]]-(tblTransactions[[#This Row],[Cost_Prices]]*tblTransactions[[#This Row],[Quantity]]*(1-tblTransactions[[#This Row],[Discount]]))</f>
        <v>806.80480000000011</v>
      </c>
      <c r="N2053" s="3">
        <f>tblTransactions[[#This Row],[Profit]]/tblTransactions[[#This Row],[Total_Amount]]</f>
        <v>0.32577113785027867</v>
      </c>
      <c r="O2053" t="str">
        <f>TEXT(tblTransactions[[#This Row],[Date]], "MMM-YYYY")</f>
        <v>Mar-2024</v>
      </c>
      <c r="P2053" t="str">
        <f>"Q"&amp;ROUNDUP(MONTH(tblTransactions[[#This Row],[Date]])/3,0)&amp;"-"&amp;YEAR(tblTransactions[[#This Row],[Date]])</f>
        <v>Q1-2024</v>
      </c>
      <c r="Q2053">
        <f>YEAR(tblTransactions[[#This Row],[Date]])</f>
        <v>2024</v>
      </c>
      <c r="R2053" t="str">
        <f>TEXT(tblTransactions[[#This Row],[Date]],"DDDD")</f>
        <v>Sunday</v>
      </c>
      <c r="S2053">
        <f>MONTH(tblTransactions[[#This Row],[Date]])</f>
        <v>3</v>
      </c>
      <c r="T2053" t="str">
        <f>VLOOKUP(E2053, Products!$A:$B,2,0)</f>
        <v>Phones Ele-4</v>
      </c>
      <c r="U2053" t="str">
        <f>VLOOKUP(E2053,Products!$A:$C,3,0)</f>
        <v>Electronics</v>
      </c>
      <c r="V2053" t="str">
        <f>VLOOKUP(E2053,Products!$A:$D,4,0)</f>
        <v>Phones</v>
      </c>
      <c r="W2053" t="str">
        <f>VLOOKUP(D2053,Customers!$A:$C,3,0)</f>
        <v>B2B</v>
      </c>
      <c r="X2053" t="str">
        <f>VLOOKUP(C2053,Sales_Representatives!$A:$B,2,0)</f>
        <v>Robert Jones</v>
      </c>
    </row>
    <row r="2054" spans="1:24" x14ac:dyDescent="0.3">
      <c r="A2054" t="s">
        <v>2921</v>
      </c>
      <c r="B2054" t="s">
        <v>2919</v>
      </c>
      <c r="C2054" t="s">
        <v>63</v>
      </c>
      <c r="D2054" t="s">
        <v>1712</v>
      </c>
      <c r="E2054" t="s">
        <v>129</v>
      </c>
      <c r="F2054">
        <v>12</v>
      </c>
      <c r="G2054">
        <v>1283.71</v>
      </c>
      <c r="H2054">
        <v>0.13</v>
      </c>
      <c r="I2054" s="4">
        <v>13401.93</v>
      </c>
      <c r="J2054" t="s">
        <v>21</v>
      </c>
      <c r="K2054" t="s">
        <v>48</v>
      </c>
      <c r="L2054" s="4">
        <f>VLOOKUP(tblTransactions[[#This Row],[Product_ID]],tblProducts[],5,FALSE)</f>
        <v>970.14</v>
      </c>
      <c r="M2054" s="4">
        <f>tblTransactions[[#This Row],[Total_Amount]]-(tblTransactions[[#This Row],[Cost_Prices]]*tblTransactions[[#This Row],[Quantity]]*(1-tblTransactions[[#This Row],[Discount]]))</f>
        <v>3273.6684000000005</v>
      </c>
      <c r="N2054" s="3">
        <f>tblTransactions[[#This Row],[Profit]]/tblTransactions[[#This Row],[Total_Amount]]</f>
        <v>0.24426842999478438</v>
      </c>
      <c r="O2054" t="str">
        <f>TEXT(tblTransactions[[#This Row],[Date]], "MMM-YYYY")</f>
        <v>Mar-2024</v>
      </c>
      <c r="P2054" t="str">
        <f>"Q"&amp;ROUNDUP(MONTH(tblTransactions[[#This Row],[Date]])/3,0)&amp;"-"&amp;YEAR(tblTransactions[[#This Row],[Date]])</f>
        <v>Q1-2024</v>
      </c>
      <c r="Q2054">
        <f>YEAR(tblTransactions[[#This Row],[Date]])</f>
        <v>2024</v>
      </c>
      <c r="R2054" t="str">
        <f>TEXT(tblTransactions[[#This Row],[Date]],"DDDD")</f>
        <v>Sunday</v>
      </c>
      <c r="S2054">
        <f>MONTH(tblTransactions[[#This Row],[Date]])</f>
        <v>3</v>
      </c>
      <c r="T2054" t="str">
        <f>VLOOKUP(E2054, Products!$A:$B,2,0)</f>
        <v>Cameras Ele-3</v>
      </c>
      <c r="U2054" t="str">
        <f>VLOOKUP(E2054,Products!$A:$C,3,0)</f>
        <v>Electronics</v>
      </c>
      <c r="V2054" t="str">
        <f>VLOOKUP(E2054,Products!$A:$D,4,0)</f>
        <v>Cameras</v>
      </c>
      <c r="W2054" t="str">
        <f>VLOOKUP(D2054,Customers!$A:$C,3,0)</f>
        <v>B2B</v>
      </c>
      <c r="X2054" t="str">
        <f>VLOOKUP(C2054,Sales_Representatives!$A:$B,2,0)</f>
        <v>Richard Wilson</v>
      </c>
    </row>
    <row r="2055" spans="1:24" x14ac:dyDescent="0.3">
      <c r="A2055" t="s">
        <v>2922</v>
      </c>
      <c r="B2055" t="s">
        <v>2919</v>
      </c>
      <c r="C2055" t="s">
        <v>107</v>
      </c>
      <c r="D2055" t="s">
        <v>1832</v>
      </c>
      <c r="E2055" t="s">
        <v>15</v>
      </c>
      <c r="F2055">
        <v>2</v>
      </c>
      <c r="G2055">
        <v>477.48</v>
      </c>
      <c r="H2055">
        <v>0.08</v>
      </c>
      <c r="I2055" s="4">
        <v>878.56</v>
      </c>
      <c r="J2055" t="s">
        <v>109</v>
      </c>
      <c r="K2055" t="s">
        <v>17</v>
      </c>
      <c r="L2055" s="4">
        <f>VLOOKUP(tblTransactions[[#This Row],[Product_ID]],tblProducts[],5,FALSE)</f>
        <v>275.51</v>
      </c>
      <c r="M2055" s="4">
        <f>tblTransactions[[#This Row],[Total_Amount]]-(tblTransactions[[#This Row],[Cost_Prices]]*tblTransactions[[#This Row],[Quantity]]*(1-tblTransactions[[#This Row],[Discount]]))</f>
        <v>371.62159999999994</v>
      </c>
      <c r="N2055" s="3">
        <f>tblTransactions[[#This Row],[Profit]]/tblTransactions[[#This Row],[Total_Amount]]</f>
        <v>0.42298943726097249</v>
      </c>
      <c r="O2055" t="str">
        <f>TEXT(tblTransactions[[#This Row],[Date]], "MMM-YYYY")</f>
        <v>Mar-2024</v>
      </c>
      <c r="P2055" t="str">
        <f>"Q"&amp;ROUNDUP(MONTH(tblTransactions[[#This Row],[Date]])/3,0)&amp;"-"&amp;YEAR(tblTransactions[[#This Row],[Date]])</f>
        <v>Q1-2024</v>
      </c>
      <c r="Q2055">
        <f>YEAR(tblTransactions[[#This Row],[Date]])</f>
        <v>2024</v>
      </c>
      <c r="R2055" t="str">
        <f>TEXT(tblTransactions[[#This Row],[Date]],"DDDD")</f>
        <v>Sunday</v>
      </c>
      <c r="S2055">
        <f>MONTH(tblTransactions[[#This Row],[Date]])</f>
        <v>3</v>
      </c>
      <c r="T2055" t="str">
        <f>VLOOKUP(E2055, Products!$A:$B,2,0)</f>
        <v>Laptops Ele-4</v>
      </c>
      <c r="U2055" t="str">
        <f>VLOOKUP(E2055,Products!$A:$C,3,0)</f>
        <v>Electronics</v>
      </c>
      <c r="V2055" t="str">
        <f>VLOOKUP(E2055,Products!$A:$D,4,0)</f>
        <v>Laptops</v>
      </c>
      <c r="W2055" t="str">
        <f>VLOOKUP(D2055,Customers!$A:$C,3,0)</f>
        <v>Small Business</v>
      </c>
      <c r="X2055" t="str">
        <f>VLOOKUP(C2055,Sales_Representatives!$A:$B,2,0)</f>
        <v>Jennifer Brown</v>
      </c>
    </row>
    <row r="2056" spans="1:24" x14ac:dyDescent="0.3">
      <c r="A2056" t="s">
        <v>2923</v>
      </c>
      <c r="B2056" t="s">
        <v>2919</v>
      </c>
      <c r="C2056" t="s">
        <v>41</v>
      </c>
      <c r="D2056" t="s">
        <v>2469</v>
      </c>
      <c r="E2056" t="s">
        <v>43</v>
      </c>
      <c r="F2056">
        <v>3</v>
      </c>
      <c r="G2056">
        <v>39.32</v>
      </c>
      <c r="H2056">
        <v>0.05</v>
      </c>
      <c r="I2056" s="4">
        <v>112.06</v>
      </c>
      <c r="J2056" t="s">
        <v>44</v>
      </c>
      <c r="K2056" t="s">
        <v>39</v>
      </c>
      <c r="L2056" s="4">
        <f>VLOOKUP(tblTransactions[[#This Row],[Product_ID]],tblProducts[],5,FALSE)</f>
        <v>15.81</v>
      </c>
      <c r="M2056" s="4">
        <f>tblTransactions[[#This Row],[Total_Amount]]-(tblTransactions[[#This Row],[Cost_Prices]]*tblTransactions[[#This Row],[Quantity]]*(1-tblTransactions[[#This Row],[Discount]]))</f>
        <v>67.001500000000007</v>
      </c>
      <c r="N2056" s="3">
        <f>tblTransactions[[#This Row],[Profit]]/tblTransactions[[#This Row],[Total_Amount]]</f>
        <v>0.5979073710512226</v>
      </c>
      <c r="O2056" t="str">
        <f>TEXT(tblTransactions[[#This Row],[Date]], "MMM-YYYY")</f>
        <v>Mar-2024</v>
      </c>
      <c r="P2056" t="str">
        <f>"Q"&amp;ROUNDUP(MONTH(tblTransactions[[#This Row],[Date]])/3,0)&amp;"-"&amp;YEAR(tblTransactions[[#This Row],[Date]])</f>
        <v>Q1-2024</v>
      </c>
      <c r="Q2056">
        <f>YEAR(tblTransactions[[#This Row],[Date]])</f>
        <v>2024</v>
      </c>
      <c r="R2056" t="str">
        <f>TEXT(tblTransactions[[#This Row],[Date]],"DDDD")</f>
        <v>Sunday</v>
      </c>
      <c r="S2056">
        <f>MONTH(tblTransactions[[#This Row],[Date]])</f>
        <v>3</v>
      </c>
      <c r="T2056" t="str">
        <f>VLOOKUP(E2056, Products!$A:$B,2,0)</f>
        <v>Paper Off-3</v>
      </c>
      <c r="U2056" t="str">
        <f>VLOOKUP(E2056,Products!$A:$C,3,0)</f>
        <v>Office Supplies</v>
      </c>
      <c r="V2056" t="str">
        <f>VLOOKUP(E2056,Products!$A:$D,4,0)</f>
        <v>Paper</v>
      </c>
      <c r="W2056" t="str">
        <f>VLOOKUP(D2056,Customers!$A:$C,3,0)</f>
        <v>B2C</v>
      </c>
      <c r="X2056" t="str">
        <f>VLOOKUP(C2056,Sales_Representatives!$A:$B,2,0)</f>
        <v>Robert Jones</v>
      </c>
    </row>
    <row r="2057" spans="1:24" x14ac:dyDescent="0.3">
      <c r="A2057" t="s">
        <v>2924</v>
      </c>
      <c r="B2057" t="s">
        <v>2919</v>
      </c>
      <c r="C2057" t="s">
        <v>59</v>
      </c>
      <c r="D2057" t="s">
        <v>2507</v>
      </c>
      <c r="E2057" t="s">
        <v>99</v>
      </c>
      <c r="F2057">
        <v>6</v>
      </c>
      <c r="G2057">
        <v>325.14</v>
      </c>
      <c r="H2057">
        <v>0.13</v>
      </c>
      <c r="I2057" s="4">
        <v>1697.23</v>
      </c>
      <c r="J2057" t="s">
        <v>21</v>
      </c>
      <c r="K2057" t="s">
        <v>22</v>
      </c>
      <c r="L2057" s="4">
        <f>VLOOKUP(tblTransactions[[#This Row],[Product_ID]],tblProducts[],5,FALSE)</f>
        <v>209.04</v>
      </c>
      <c r="M2057" s="4">
        <f>tblTransactions[[#This Row],[Total_Amount]]-(tblTransactions[[#This Row],[Cost_Prices]]*tblTransactions[[#This Row],[Quantity]]*(1-tblTransactions[[#This Row],[Discount]]))</f>
        <v>606.04120000000012</v>
      </c>
      <c r="N2057" s="3">
        <f>tblTransactions[[#This Row],[Profit]]/tblTransactions[[#This Row],[Total_Amount]]</f>
        <v>0.35707664842125114</v>
      </c>
      <c r="O2057" t="str">
        <f>TEXT(tblTransactions[[#This Row],[Date]], "MMM-YYYY")</f>
        <v>Mar-2024</v>
      </c>
      <c r="P2057" t="str">
        <f>"Q"&amp;ROUNDUP(MONTH(tblTransactions[[#This Row],[Date]])/3,0)&amp;"-"&amp;YEAR(tblTransactions[[#This Row],[Date]])</f>
        <v>Q1-2024</v>
      </c>
      <c r="Q2057">
        <f>YEAR(tblTransactions[[#This Row],[Date]])</f>
        <v>2024</v>
      </c>
      <c r="R2057" t="str">
        <f>TEXT(tblTransactions[[#This Row],[Date]],"DDDD")</f>
        <v>Sunday</v>
      </c>
      <c r="S2057">
        <f>MONTH(tblTransactions[[#This Row],[Date]])</f>
        <v>3</v>
      </c>
      <c r="T2057" t="str">
        <f>VLOOKUP(E2057, Products!$A:$B,2,0)</f>
        <v>Monitors Tec-1</v>
      </c>
      <c r="U2057" t="str">
        <f>VLOOKUP(E2057,Products!$A:$C,3,0)</f>
        <v>Technology</v>
      </c>
      <c r="V2057" t="str">
        <f>VLOOKUP(E2057,Products!$A:$D,4,0)</f>
        <v>Monitors</v>
      </c>
      <c r="W2057" t="str">
        <f>VLOOKUP(D2057,Customers!$A:$C,3,0)</f>
        <v>B2B</v>
      </c>
      <c r="X2057" t="str">
        <f>VLOOKUP(C2057,Sales_Representatives!$A:$B,2,0)</f>
        <v>Sarah Brown</v>
      </c>
    </row>
    <row r="2058" spans="1:24" x14ac:dyDescent="0.3">
      <c r="A2058" t="s">
        <v>2925</v>
      </c>
      <c r="B2058" t="s">
        <v>2926</v>
      </c>
      <c r="C2058" t="s">
        <v>70</v>
      </c>
      <c r="D2058" t="s">
        <v>1906</v>
      </c>
      <c r="E2058" t="s">
        <v>221</v>
      </c>
      <c r="F2058">
        <v>18</v>
      </c>
      <c r="G2058">
        <v>210.02</v>
      </c>
      <c r="H2058">
        <v>0.16</v>
      </c>
      <c r="I2058" s="4">
        <v>3175.5</v>
      </c>
      <c r="J2058" t="s">
        <v>16</v>
      </c>
      <c r="K2058" t="s">
        <v>17</v>
      </c>
      <c r="L2058" s="4">
        <f>VLOOKUP(tblTransactions[[#This Row],[Product_ID]],tblProducts[],5,FALSE)</f>
        <v>131.66</v>
      </c>
      <c r="M2058" s="4">
        <f>tblTransactions[[#This Row],[Total_Amount]]-(tblTransactions[[#This Row],[Cost_Prices]]*tblTransactions[[#This Row],[Quantity]]*(1-tblTransactions[[#This Row],[Discount]]))</f>
        <v>1184.8008</v>
      </c>
      <c r="N2058" s="3">
        <f>tblTransactions[[#This Row],[Profit]]/tblTransactions[[#This Row],[Total_Amount]]</f>
        <v>0.37310684931506849</v>
      </c>
      <c r="O2058" t="str">
        <f>TEXT(tblTransactions[[#This Row],[Date]], "MMM-YYYY")</f>
        <v>Mar-2024</v>
      </c>
      <c r="P2058" t="str">
        <f>"Q"&amp;ROUNDUP(MONTH(tblTransactions[[#This Row],[Date]])/3,0)&amp;"-"&amp;YEAR(tblTransactions[[#This Row],[Date]])</f>
        <v>Q1-2024</v>
      </c>
      <c r="Q2058">
        <f>YEAR(tblTransactions[[#This Row],[Date]])</f>
        <v>2024</v>
      </c>
      <c r="R2058" t="str">
        <f>TEXT(tblTransactions[[#This Row],[Date]],"DDDD")</f>
        <v>Monday</v>
      </c>
      <c r="S2058">
        <f>MONTH(tblTransactions[[#This Row],[Date]])</f>
        <v>3</v>
      </c>
      <c r="T2058" t="str">
        <f>VLOOKUP(E2058, Products!$A:$B,2,0)</f>
        <v>Storage Fur-2</v>
      </c>
      <c r="U2058" t="str">
        <f>VLOOKUP(E2058,Products!$A:$C,3,0)</f>
        <v>Furniture</v>
      </c>
      <c r="V2058" t="str">
        <f>VLOOKUP(E2058,Products!$A:$D,4,0)</f>
        <v>Storage</v>
      </c>
      <c r="W2058" t="str">
        <f>VLOOKUP(D2058,Customers!$A:$C,3,0)</f>
        <v>B2B</v>
      </c>
      <c r="X2058" t="str">
        <f>VLOOKUP(C2058,Sales_Representatives!$A:$B,2,0)</f>
        <v>Linda Smith</v>
      </c>
    </row>
    <row r="2059" spans="1:24" x14ac:dyDescent="0.3">
      <c r="A2059" t="s">
        <v>2927</v>
      </c>
      <c r="B2059" t="s">
        <v>2926</v>
      </c>
      <c r="C2059" t="s">
        <v>141</v>
      </c>
      <c r="D2059" t="s">
        <v>1494</v>
      </c>
      <c r="E2059" t="s">
        <v>217</v>
      </c>
      <c r="F2059">
        <v>2</v>
      </c>
      <c r="G2059">
        <v>145.51</v>
      </c>
      <c r="H2059">
        <v>7.0000000000000007E-2</v>
      </c>
      <c r="I2059" s="4">
        <v>270.64999999999998</v>
      </c>
      <c r="J2059" t="s">
        <v>109</v>
      </c>
      <c r="K2059" t="s">
        <v>39</v>
      </c>
      <c r="L2059" s="4">
        <f>VLOOKUP(tblTransactions[[#This Row],[Product_ID]],tblProducts[],5,FALSE)</f>
        <v>64.510000000000005</v>
      </c>
      <c r="M2059" s="4">
        <f>tblTransactions[[#This Row],[Total_Amount]]-(tblTransactions[[#This Row],[Cost_Prices]]*tblTransactions[[#This Row],[Quantity]]*(1-tblTransactions[[#This Row],[Discount]]))</f>
        <v>150.66139999999996</v>
      </c>
      <c r="N2059" s="3">
        <f>tblTransactions[[#This Row],[Profit]]/tblTransactions[[#This Row],[Total_Amount]]</f>
        <v>0.556665065582856</v>
      </c>
      <c r="O2059" t="str">
        <f>TEXT(tblTransactions[[#This Row],[Date]], "MMM-YYYY")</f>
        <v>Mar-2024</v>
      </c>
      <c r="P2059" t="str">
        <f>"Q"&amp;ROUNDUP(MONTH(tblTransactions[[#This Row],[Date]])/3,0)&amp;"-"&amp;YEAR(tblTransactions[[#This Row],[Date]])</f>
        <v>Q1-2024</v>
      </c>
      <c r="Q2059">
        <f>YEAR(tblTransactions[[#This Row],[Date]])</f>
        <v>2024</v>
      </c>
      <c r="R2059" t="str">
        <f>TEXT(tblTransactions[[#This Row],[Date]],"DDDD")</f>
        <v>Monday</v>
      </c>
      <c r="S2059">
        <f>MONTH(tblTransactions[[#This Row],[Date]])</f>
        <v>3</v>
      </c>
      <c r="T2059" t="str">
        <f>VLOOKUP(E2059, Products!$A:$B,2,0)</f>
        <v>Cables Acc-2</v>
      </c>
      <c r="U2059" t="str">
        <f>VLOOKUP(E2059,Products!$A:$C,3,0)</f>
        <v>Accessories</v>
      </c>
      <c r="V2059" t="str">
        <f>VLOOKUP(E2059,Products!$A:$D,4,0)</f>
        <v>Cables</v>
      </c>
      <c r="W2059" t="str">
        <f>VLOOKUP(D2059,Customers!$A:$C,3,0)</f>
        <v>Small Business</v>
      </c>
      <c r="X2059" t="str">
        <f>VLOOKUP(C2059,Sales_Representatives!$A:$B,2,0)</f>
        <v>Richard Garcia</v>
      </c>
    </row>
    <row r="2060" spans="1:24" x14ac:dyDescent="0.3">
      <c r="A2060" t="s">
        <v>2928</v>
      </c>
      <c r="B2060" t="s">
        <v>2926</v>
      </c>
      <c r="C2060" t="s">
        <v>59</v>
      </c>
      <c r="D2060" t="s">
        <v>1687</v>
      </c>
      <c r="E2060" t="s">
        <v>113</v>
      </c>
      <c r="F2060">
        <v>7</v>
      </c>
      <c r="G2060">
        <v>930.41</v>
      </c>
      <c r="H2060">
        <v>0.12</v>
      </c>
      <c r="I2060" s="4">
        <v>5731.33</v>
      </c>
      <c r="J2060" t="s">
        <v>21</v>
      </c>
      <c r="K2060" t="s">
        <v>39</v>
      </c>
      <c r="L2060" s="4">
        <f>VLOOKUP(tblTransactions[[#This Row],[Product_ID]],tblProducts[],5,FALSE)</f>
        <v>595.51</v>
      </c>
      <c r="M2060" s="4">
        <f>tblTransactions[[#This Row],[Total_Amount]]-(tblTransactions[[#This Row],[Cost_Prices]]*tblTransactions[[#This Row],[Quantity]]*(1-tblTransactions[[#This Row],[Discount]]))</f>
        <v>2062.9884000000002</v>
      </c>
      <c r="N2060" s="3">
        <f>tblTransactions[[#This Row],[Profit]]/tblTransactions[[#This Row],[Total_Amount]]</f>
        <v>0.35994933113256439</v>
      </c>
      <c r="O2060" t="str">
        <f>TEXT(tblTransactions[[#This Row],[Date]], "MMM-YYYY")</f>
        <v>Mar-2024</v>
      </c>
      <c r="P2060" t="str">
        <f>"Q"&amp;ROUNDUP(MONTH(tblTransactions[[#This Row],[Date]])/3,0)&amp;"-"&amp;YEAR(tblTransactions[[#This Row],[Date]])</f>
        <v>Q1-2024</v>
      </c>
      <c r="Q2060">
        <f>YEAR(tblTransactions[[#This Row],[Date]])</f>
        <v>2024</v>
      </c>
      <c r="R2060" t="str">
        <f>TEXT(tblTransactions[[#This Row],[Date]],"DDDD")</f>
        <v>Monday</v>
      </c>
      <c r="S2060">
        <f>MONTH(tblTransactions[[#This Row],[Date]])</f>
        <v>3</v>
      </c>
      <c r="T2060" t="str">
        <f>VLOOKUP(E2060, Products!$A:$B,2,0)</f>
        <v>Phones Ele-1</v>
      </c>
      <c r="U2060" t="str">
        <f>VLOOKUP(E2060,Products!$A:$C,3,0)</f>
        <v>Electronics</v>
      </c>
      <c r="V2060" t="str">
        <f>VLOOKUP(E2060,Products!$A:$D,4,0)</f>
        <v>Phones</v>
      </c>
      <c r="W2060" t="str">
        <f>VLOOKUP(D2060,Customers!$A:$C,3,0)</f>
        <v>B2C</v>
      </c>
      <c r="X2060" t="str">
        <f>VLOOKUP(C2060,Sales_Representatives!$A:$B,2,0)</f>
        <v>Sarah Brown</v>
      </c>
    </row>
    <row r="2061" spans="1:24" x14ac:dyDescent="0.3">
      <c r="A2061" t="s">
        <v>2929</v>
      </c>
      <c r="B2061" t="s">
        <v>2926</v>
      </c>
      <c r="C2061" t="s">
        <v>13</v>
      </c>
      <c r="D2061" t="s">
        <v>1705</v>
      </c>
      <c r="E2061" t="s">
        <v>108</v>
      </c>
      <c r="F2061">
        <v>3</v>
      </c>
      <c r="G2061">
        <v>155.75</v>
      </c>
      <c r="H2061">
        <v>0.09</v>
      </c>
      <c r="I2061" s="4">
        <v>425.2</v>
      </c>
      <c r="J2061" t="s">
        <v>16</v>
      </c>
      <c r="K2061" t="s">
        <v>48</v>
      </c>
      <c r="L2061" s="4">
        <f>VLOOKUP(tblTransactions[[#This Row],[Product_ID]],tblProducts[],5,FALSE)</f>
        <v>80.8</v>
      </c>
      <c r="M2061" s="4">
        <f>tblTransactions[[#This Row],[Total_Amount]]-(tblTransactions[[#This Row],[Cost_Prices]]*tblTransactions[[#This Row],[Quantity]]*(1-tblTransactions[[#This Row],[Discount]]))</f>
        <v>204.61600000000001</v>
      </c>
      <c r="N2061" s="3">
        <f>tblTransactions[[#This Row],[Profit]]/tblTransactions[[#This Row],[Total_Amount]]</f>
        <v>0.48122295390404518</v>
      </c>
      <c r="O2061" t="str">
        <f>TEXT(tblTransactions[[#This Row],[Date]], "MMM-YYYY")</f>
        <v>Mar-2024</v>
      </c>
      <c r="P2061" t="str">
        <f>"Q"&amp;ROUNDUP(MONTH(tblTransactions[[#This Row],[Date]])/3,0)&amp;"-"&amp;YEAR(tblTransactions[[#This Row],[Date]])</f>
        <v>Q1-2024</v>
      </c>
      <c r="Q2061">
        <f>YEAR(tblTransactions[[#This Row],[Date]])</f>
        <v>2024</v>
      </c>
      <c r="R2061" t="str">
        <f>TEXT(tblTransactions[[#This Row],[Date]],"DDDD")</f>
        <v>Monday</v>
      </c>
      <c r="S2061">
        <f>MONTH(tblTransactions[[#This Row],[Date]])</f>
        <v>3</v>
      </c>
      <c r="T2061" t="str">
        <f>VLOOKUP(E2061, Products!$A:$B,2,0)</f>
        <v>Cases Acc-1</v>
      </c>
      <c r="U2061" t="str">
        <f>VLOOKUP(E2061,Products!$A:$C,3,0)</f>
        <v>Accessories</v>
      </c>
      <c r="V2061" t="str">
        <f>VLOOKUP(E2061,Products!$A:$D,4,0)</f>
        <v>Cases</v>
      </c>
      <c r="W2061" t="str">
        <f>VLOOKUP(D2061,Customers!$A:$C,3,0)</f>
        <v>B2C</v>
      </c>
      <c r="X2061" t="str">
        <f>VLOOKUP(C2061,Sales_Representatives!$A:$B,2,0)</f>
        <v>Jennifer Rodriguez</v>
      </c>
    </row>
    <row r="2062" spans="1:24" x14ac:dyDescent="0.3">
      <c r="A2062" t="s">
        <v>2930</v>
      </c>
      <c r="B2062" t="s">
        <v>2926</v>
      </c>
      <c r="C2062" t="s">
        <v>63</v>
      </c>
      <c r="D2062" t="s">
        <v>2188</v>
      </c>
      <c r="E2062" t="s">
        <v>435</v>
      </c>
      <c r="F2062">
        <v>5</v>
      </c>
      <c r="G2062">
        <v>198.72</v>
      </c>
      <c r="H2062">
        <v>0.04</v>
      </c>
      <c r="I2062" s="4">
        <v>953.86</v>
      </c>
      <c r="J2062" t="s">
        <v>21</v>
      </c>
      <c r="K2062" t="s">
        <v>48</v>
      </c>
      <c r="L2062" s="4">
        <f>VLOOKUP(tblTransactions[[#This Row],[Product_ID]],tblProducts[],5,FALSE)</f>
        <v>116.98</v>
      </c>
      <c r="M2062" s="4">
        <f>tblTransactions[[#This Row],[Total_Amount]]-(tblTransactions[[#This Row],[Cost_Prices]]*tblTransactions[[#This Row],[Quantity]]*(1-tblTransactions[[#This Row],[Discount]]))</f>
        <v>392.35600000000011</v>
      </c>
      <c r="N2062" s="3">
        <f>tblTransactions[[#This Row],[Profit]]/tblTransactions[[#This Row],[Total_Amount]]</f>
        <v>0.41133499675004731</v>
      </c>
      <c r="O2062" t="str">
        <f>TEXT(tblTransactions[[#This Row],[Date]], "MMM-YYYY")</f>
        <v>Mar-2024</v>
      </c>
      <c r="P2062" t="str">
        <f>"Q"&amp;ROUNDUP(MONTH(tblTransactions[[#This Row],[Date]])/3,0)&amp;"-"&amp;YEAR(tblTransactions[[#This Row],[Date]])</f>
        <v>Q1-2024</v>
      </c>
      <c r="Q2062">
        <f>YEAR(tblTransactions[[#This Row],[Date]])</f>
        <v>2024</v>
      </c>
      <c r="R2062" t="str">
        <f>TEXT(tblTransactions[[#This Row],[Date]],"DDDD")</f>
        <v>Monday</v>
      </c>
      <c r="S2062">
        <f>MONTH(tblTransactions[[#This Row],[Date]])</f>
        <v>3</v>
      </c>
      <c r="T2062" t="str">
        <f>VLOOKUP(E2062, Products!$A:$B,2,0)</f>
        <v>Paper Off-4</v>
      </c>
      <c r="U2062" t="str">
        <f>VLOOKUP(E2062,Products!$A:$C,3,0)</f>
        <v>Office Supplies</v>
      </c>
      <c r="V2062" t="str">
        <f>VLOOKUP(E2062,Products!$A:$D,4,0)</f>
        <v>Paper</v>
      </c>
      <c r="W2062" t="str">
        <f>VLOOKUP(D2062,Customers!$A:$C,3,0)</f>
        <v>B2C</v>
      </c>
      <c r="X2062" t="str">
        <f>VLOOKUP(C2062,Sales_Representatives!$A:$B,2,0)</f>
        <v>Richard Wilson</v>
      </c>
    </row>
    <row r="2063" spans="1:24" x14ac:dyDescent="0.3">
      <c r="A2063" t="s">
        <v>2931</v>
      </c>
      <c r="B2063" t="s">
        <v>2926</v>
      </c>
      <c r="C2063" t="s">
        <v>59</v>
      </c>
      <c r="D2063" t="s">
        <v>2680</v>
      </c>
      <c r="E2063" t="s">
        <v>157</v>
      </c>
      <c r="F2063">
        <v>17</v>
      </c>
      <c r="G2063">
        <v>1227.68</v>
      </c>
      <c r="H2063">
        <v>0.17</v>
      </c>
      <c r="I2063" s="4">
        <v>17322.560000000001</v>
      </c>
      <c r="J2063" t="s">
        <v>21</v>
      </c>
      <c r="K2063" t="s">
        <v>35</v>
      </c>
      <c r="L2063" s="4">
        <f>VLOOKUP(tblTransactions[[#This Row],[Product_ID]],tblProducts[],5,FALSE)</f>
        <v>846.42</v>
      </c>
      <c r="M2063" s="4">
        <f>tblTransactions[[#This Row],[Total_Amount]]-(tblTransactions[[#This Row],[Cost_Prices]]*tblTransactions[[#This Row],[Quantity]]*(1-tblTransactions[[#This Row],[Discount]]))</f>
        <v>5379.5738000000019</v>
      </c>
      <c r="N2063" s="3">
        <f>tblTransactions[[#This Row],[Profit]]/tblTransactions[[#This Row],[Total_Amount]]</f>
        <v>0.31055304758649999</v>
      </c>
      <c r="O2063" t="str">
        <f>TEXT(tblTransactions[[#This Row],[Date]], "MMM-YYYY")</f>
        <v>Mar-2024</v>
      </c>
      <c r="P2063" t="str">
        <f>"Q"&amp;ROUNDUP(MONTH(tblTransactions[[#This Row],[Date]])/3,0)&amp;"-"&amp;YEAR(tblTransactions[[#This Row],[Date]])</f>
        <v>Q1-2024</v>
      </c>
      <c r="Q2063">
        <f>YEAR(tblTransactions[[#This Row],[Date]])</f>
        <v>2024</v>
      </c>
      <c r="R2063" t="str">
        <f>TEXT(tblTransactions[[#This Row],[Date]],"DDDD")</f>
        <v>Monday</v>
      </c>
      <c r="S2063">
        <f>MONTH(tblTransactions[[#This Row],[Date]])</f>
        <v>3</v>
      </c>
      <c r="T2063" t="str">
        <f>VLOOKUP(E2063, Products!$A:$B,2,0)</f>
        <v>Printers Tec-4</v>
      </c>
      <c r="U2063" t="str">
        <f>VLOOKUP(E2063,Products!$A:$C,3,0)</f>
        <v>Technology</v>
      </c>
      <c r="V2063" t="str">
        <f>VLOOKUP(E2063,Products!$A:$D,4,0)</f>
        <v>Printers</v>
      </c>
      <c r="W2063" t="str">
        <f>VLOOKUP(D2063,Customers!$A:$C,3,0)</f>
        <v>B2B</v>
      </c>
      <c r="X2063" t="str">
        <f>VLOOKUP(C2063,Sales_Representatives!$A:$B,2,0)</f>
        <v>Sarah Brown</v>
      </c>
    </row>
    <row r="2064" spans="1:24" x14ac:dyDescent="0.3">
      <c r="A2064" t="s">
        <v>2932</v>
      </c>
      <c r="B2064" t="s">
        <v>2926</v>
      </c>
      <c r="C2064" t="s">
        <v>75</v>
      </c>
      <c r="D2064" t="s">
        <v>2217</v>
      </c>
      <c r="E2064" t="s">
        <v>299</v>
      </c>
      <c r="F2064">
        <v>10</v>
      </c>
      <c r="G2064">
        <v>963.44</v>
      </c>
      <c r="H2064">
        <v>0.08</v>
      </c>
      <c r="I2064" s="4">
        <v>8863.65</v>
      </c>
      <c r="J2064" t="s">
        <v>44</v>
      </c>
      <c r="K2064" t="s">
        <v>22</v>
      </c>
      <c r="L2064" s="4">
        <f>VLOOKUP(tblTransactions[[#This Row],[Product_ID]],tblProducts[],5,FALSE)</f>
        <v>578.96</v>
      </c>
      <c r="M2064" s="4">
        <f>tblTransactions[[#This Row],[Total_Amount]]-(tblTransactions[[#This Row],[Cost_Prices]]*tblTransactions[[#This Row],[Quantity]]*(1-tblTransactions[[#This Row],[Discount]]))</f>
        <v>3537.2179999999989</v>
      </c>
      <c r="N2064" s="3">
        <f>tblTransactions[[#This Row],[Profit]]/tblTransactions[[#This Row],[Total_Amount]]</f>
        <v>0.39907013476389513</v>
      </c>
      <c r="O2064" t="str">
        <f>TEXT(tblTransactions[[#This Row],[Date]], "MMM-YYYY")</f>
        <v>Mar-2024</v>
      </c>
      <c r="P2064" t="str">
        <f>"Q"&amp;ROUNDUP(MONTH(tblTransactions[[#This Row],[Date]])/3,0)&amp;"-"&amp;YEAR(tblTransactions[[#This Row],[Date]])</f>
        <v>Q1-2024</v>
      </c>
      <c r="Q2064">
        <f>YEAR(tblTransactions[[#This Row],[Date]])</f>
        <v>2024</v>
      </c>
      <c r="R2064" t="str">
        <f>TEXT(tblTransactions[[#This Row],[Date]],"DDDD")</f>
        <v>Monday</v>
      </c>
      <c r="S2064">
        <f>MONTH(tblTransactions[[#This Row],[Date]])</f>
        <v>3</v>
      </c>
      <c r="T2064" t="str">
        <f>VLOOKUP(E2064, Products!$A:$B,2,0)</f>
        <v>Chairs Fur-4</v>
      </c>
      <c r="U2064" t="str">
        <f>VLOOKUP(E2064,Products!$A:$C,3,0)</f>
        <v>Furniture</v>
      </c>
      <c r="V2064" t="str">
        <f>VLOOKUP(E2064,Products!$A:$D,4,0)</f>
        <v>Chairs</v>
      </c>
      <c r="W2064" t="str">
        <f>VLOOKUP(D2064,Customers!$A:$C,3,0)</f>
        <v>Enterprise</v>
      </c>
      <c r="X2064" t="str">
        <f>VLOOKUP(C2064,Sales_Representatives!$A:$B,2,0)</f>
        <v>Jessica Anderson</v>
      </c>
    </row>
    <row r="2065" spans="1:24" x14ac:dyDescent="0.3">
      <c r="A2065" t="s">
        <v>2933</v>
      </c>
      <c r="B2065" t="s">
        <v>2926</v>
      </c>
      <c r="C2065" t="s">
        <v>141</v>
      </c>
      <c r="D2065" t="s">
        <v>1934</v>
      </c>
      <c r="E2065" t="s">
        <v>299</v>
      </c>
      <c r="F2065">
        <v>7</v>
      </c>
      <c r="G2065">
        <v>963.44</v>
      </c>
      <c r="H2065">
        <v>0.08</v>
      </c>
      <c r="I2065" s="4">
        <v>6204.55</v>
      </c>
      <c r="J2065" t="s">
        <v>109</v>
      </c>
      <c r="K2065" t="s">
        <v>39</v>
      </c>
      <c r="L2065" s="4">
        <f>VLOOKUP(tblTransactions[[#This Row],[Product_ID]],tblProducts[],5,FALSE)</f>
        <v>578.96</v>
      </c>
      <c r="M2065" s="4">
        <f>tblTransactions[[#This Row],[Total_Amount]]-(tblTransactions[[#This Row],[Cost_Prices]]*tblTransactions[[#This Row],[Quantity]]*(1-tblTransactions[[#This Row],[Discount]]))</f>
        <v>2476.0475999999999</v>
      </c>
      <c r="N2065" s="3">
        <f>tblTransactions[[#This Row],[Profit]]/tblTransactions[[#This Row],[Total_Amount]]</f>
        <v>0.39906965049842452</v>
      </c>
      <c r="O2065" t="str">
        <f>TEXT(tblTransactions[[#This Row],[Date]], "MMM-YYYY")</f>
        <v>Mar-2024</v>
      </c>
      <c r="P2065" t="str">
        <f>"Q"&amp;ROUNDUP(MONTH(tblTransactions[[#This Row],[Date]])/3,0)&amp;"-"&amp;YEAR(tblTransactions[[#This Row],[Date]])</f>
        <v>Q1-2024</v>
      </c>
      <c r="Q2065">
        <f>YEAR(tblTransactions[[#This Row],[Date]])</f>
        <v>2024</v>
      </c>
      <c r="R2065" t="str">
        <f>TEXT(tblTransactions[[#This Row],[Date]],"DDDD")</f>
        <v>Monday</v>
      </c>
      <c r="S2065">
        <f>MONTH(tblTransactions[[#This Row],[Date]])</f>
        <v>3</v>
      </c>
      <c r="T2065" t="str">
        <f>VLOOKUP(E2065, Products!$A:$B,2,0)</f>
        <v>Chairs Fur-4</v>
      </c>
      <c r="U2065" t="str">
        <f>VLOOKUP(E2065,Products!$A:$C,3,0)</f>
        <v>Furniture</v>
      </c>
      <c r="V2065" t="str">
        <f>VLOOKUP(E2065,Products!$A:$D,4,0)</f>
        <v>Chairs</v>
      </c>
      <c r="W2065" t="str">
        <f>VLOOKUP(D2065,Customers!$A:$C,3,0)</f>
        <v>B2C</v>
      </c>
      <c r="X2065" t="str">
        <f>VLOOKUP(C2065,Sales_Representatives!$A:$B,2,0)</f>
        <v>Richard Garcia</v>
      </c>
    </row>
    <row r="2066" spans="1:24" x14ac:dyDescent="0.3">
      <c r="A2066" t="s">
        <v>2934</v>
      </c>
      <c r="B2066" t="s">
        <v>2935</v>
      </c>
      <c r="C2066" t="s">
        <v>82</v>
      </c>
      <c r="D2066" t="s">
        <v>2411</v>
      </c>
      <c r="E2066" t="s">
        <v>72</v>
      </c>
      <c r="F2066">
        <v>6</v>
      </c>
      <c r="G2066">
        <v>404.76</v>
      </c>
      <c r="H2066">
        <v>0.06</v>
      </c>
      <c r="I2066" s="4">
        <v>2282.85</v>
      </c>
      <c r="J2066" t="s">
        <v>34</v>
      </c>
      <c r="K2066" t="s">
        <v>22</v>
      </c>
      <c r="L2066" s="4">
        <f>VLOOKUP(tblTransactions[[#This Row],[Product_ID]],tblProducts[],5,FALSE)</f>
        <v>226.76</v>
      </c>
      <c r="M2066" s="4">
        <f>tblTransactions[[#This Row],[Total_Amount]]-(tblTransactions[[#This Row],[Cost_Prices]]*tblTransactions[[#This Row],[Quantity]]*(1-tblTransactions[[#This Row],[Discount]]))</f>
        <v>1003.9236000000001</v>
      </c>
      <c r="N2066" s="3">
        <f>tblTransactions[[#This Row],[Profit]]/tblTransactions[[#This Row],[Total_Amount]]</f>
        <v>0.4397676588474933</v>
      </c>
      <c r="O2066" t="str">
        <f>TEXT(tblTransactions[[#This Row],[Date]], "MMM-YYYY")</f>
        <v>Mar-2024</v>
      </c>
      <c r="P2066" t="str">
        <f>"Q"&amp;ROUNDUP(MONTH(tblTransactions[[#This Row],[Date]])/3,0)&amp;"-"&amp;YEAR(tblTransactions[[#This Row],[Date]])</f>
        <v>Q1-2024</v>
      </c>
      <c r="Q2066">
        <f>YEAR(tblTransactions[[#This Row],[Date]])</f>
        <v>2024</v>
      </c>
      <c r="R2066" t="str">
        <f>TEXT(tblTransactions[[#This Row],[Date]],"DDDD")</f>
        <v>Tuesday</v>
      </c>
      <c r="S2066">
        <f>MONTH(tblTransactions[[#This Row],[Date]])</f>
        <v>3</v>
      </c>
      <c r="T2066" t="str">
        <f>VLOOKUP(E2066, Products!$A:$B,2,0)</f>
        <v>Tablets Ele-2</v>
      </c>
      <c r="U2066" t="str">
        <f>VLOOKUP(E2066,Products!$A:$C,3,0)</f>
        <v>Electronics</v>
      </c>
      <c r="V2066" t="str">
        <f>VLOOKUP(E2066,Products!$A:$D,4,0)</f>
        <v>Tablets</v>
      </c>
      <c r="W2066" t="str">
        <f>VLOOKUP(D2066,Customers!$A:$C,3,0)</f>
        <v>B2B</v>
      </c>
      <c r="X2066" t="str">
        <f>VLOOKUP(C2066,Sales_Representatives!$A:$B,2,0)</f>
        <v>John Brown</v>
      </c>
    </row>
    <row r="2067" spans="1:24" x14ac:dyDescent="0.3">
      <c r="A2067" t="s">
        <v>2936</v>
      </c>
      <c r="B2067" t="s">
        <v>2935</v>
      </c>
      <c r="C2067" t="s">
        <v>27</v>
      </c>
      <c r="D2067" t="s">
        <v>2417</v>
      </c>
      <c r="E2067" t="s">
        <v>255</v>
      </c>
      <c r="F2067">
        <v>13</v>
      </c>
      <c r="G2067">
        <v>1444.13</v>
      </c>
      <c r="H2067">
        <v>0.12</v>
      </c>
      <c r="I2067" s="4">
        <v>16520.849999999999</v>
      </c>
      <c r="J2067" t="s">
        <v>16</v>
      </c>
      <c r="K2067" t="s">
        <v>22</v>
      </c>
      <c r="L2067" s="4">
        <f>VLOOKUP(tblTransactions[[#This Row],[Product_ID]],tblProducts[],5,FALSE)</f>
        <v>874.43</v>
      </c>
      <c r="M2067" s="4">
        <f>tblTransactions[[#This Row],[Total_Amount]]-(tblTransactions[[#This Row],[Cost_Prices]]*tblTransactions[[#This Row],[Quantity]]*(1-tblTransactions[[#This Row],[Discount]]))</f>
        <v>6517.3707999999988</v>
      </c>
      <c r="N2067" s="3">
        <f>tblTransactions[[#This Row],[Profit]]/tblTransactions[[#This Row],[Total_Amount]]</f>
        <v>0.39449367314635742</v>
      </c>
      <c r="O2067" t="str">
        <f>TEXT(tblTransactions[[#This Row],[Date]], "MMM-YYYY")</f>
        <v>Mar-2024</v>
      </c>
      <c r="P2067" t="str">
        <f>"Q"&amp;ROUNDUP(MONTH(tblTransactions[[#This Row],[Date]])/3,0)&amp;"-"&amp;YEAR(tblTransactions[[#This Row],[Date]])</f>
        <v>Q1-2024</v>
      </c>
      <c r="Q2067">
        <f>YEAR(tblTransactions[[#This Row],[Date]])</f>
        <v>2024</v>
      </c>
      <c r="R2067" t="str">
        <f>TEXT(tblTransactions[[#This Row],[Date]],"DDDD")</f>
        <v>Tuesday</v>
      </c>
      <c r="S2067">
        <f>MONTH(tblTransactions[[#This Row],[Date]])</f>
        <v>3</v>
      </c>
      <c r="T2067" t="str">
        <f>VLOOKUP(E2067, Products!$A:$B,2,0)</f>
        <v>Printers Tec-1</v>
      </c>
      <c r="U2067" t="str">
        <f>VLOOKUP(E2067,Products!$A:$C,3,0)</f>
        <v>Technology</v>
      </c>
      <c r="V2067" t="str">
        <f>VLOOKUP(E2067,Products!$A:$D,4,0)</f>
        <v>Printers</v>
      </c>
      <c r="W2067" t="str">
        <f>VLOOKUP(D2067,Customers!$A:$C,3,0)</f>
        <v>B2B</v>
      </c>
      <c r="X2067" t="str">
        <f>VLOOKUP(C2067,Sales_Representatives!$A:$B,2,0)</f>
        <v>Thomas Lopez</v>
      </c>
    </row>
    <row r="2068" spans="1:24" x14ac:dyDescent="0.3">
      <c r="A2068" t="s">
        <v>2937</v>
      </c>
      <c r="B2068" t="s">
        <v>2935</v>
      </c>
      <c r="C2068" t="s">
        <v>82</v>
      </c>
      <c r="D2068" t="s">
        <v>1965</v>
      </c>
      <c r="E2068" t="s">
        <v>172</v>
      </c>
      <c r="F2068">
        <v>13</v>
      </c>
      <c r="G2068">
        <v>1371.15</v>
      </c>
      <c r="H2068">
        <v>0.13</v>
      </c>
      <c r="I2068" s="4">
        <v>15507.71</v>
      </c>
      <c r="J2068" t="s">
        <v>34</v>
      </c>
      <c r="K2068" t="s">
        <v>35</v>
      </c>
      <c r="L2068" s="4">
        <f>VLOOKUP(tblTransactions[[#This Row],[Product_ID]],tblProducts[],5,FALSE)</f>
        <v>989.81</v>
      </c>
      <c r="M2068" s="4">
        <f>tblTransactions[[#This Row],[Total_Amount]]-(tblTransactions[[#This Row],[Cost_Prices]]*tblTransactions[[#This Row],[Quantity]]*(1-tblTransactions[[#This Row],[Discount]]))</f>
        <v>4312.9588999999996</v>
      </c>
      <c r="N2068" s="3">
        <f>tblTransactions[[#This Row],[Profit]]/tblTransactions[[#This Row],[Total_Amount]]</f>
        <v>0.27811707208865782</v>
      </c>
      <c r="O2068" t="str">
        <f>TEXT(tblTransactions[[#This Row],[Date]], "MMM-YYYY")</f>
        <v>Mar-2024</v>
      </c>
      <c r="P2068" t="str">
        <f>"Q"&amp;ROUNDUP(MONTH(tblTransactions[[#This Row],[Date]])/3,0)&amp;"-"&amp;YEAR(tblTransactions[[#This Row],[Date]])</f>
        <v>Q1-2024</v>
      </c>
      <c r="Q2068">
        <f>YEAR(tblTransactions[[#This Row],[Date]])</f>
        <v>2024</v>
      </c>
      <c r="R2068" t="str">
        <f>TEXT(tblTransactions[[#This Row],[Date]],"DDDD")</f>
        <v>Tuesday</v>
      </c>
      <c r="S2068">
        <f>MONTH(tblTransactions[[#This Row],[Date]])</f>
        <v>3</v>
      </c>
      <c r="T2068" t="str">
        <f>VLOOKUP(E2068, Products!$A:$B,2,0)</f>
        <v>Cameras Ele-4</v>
      </c>
      <c r="U2068" t="str">
        <f>VLOOKUP(E2068,Products!$A:$C,3,0)</f>
        <v>Electronics</v>
      </c>
      <c r="V2068" t="str">
        <f>VLOOKUP(E2068,Products!$A:$D,4,0)</f>
        <v>Cameras</v>
      </c>
      <c r="W2068" t="str">
        <f>VLOOKUP(D2068,Customers!$A:$C,3,0)</f>
        <v>B2B</v>
      </c>
      <c r="X2068" t="str">
        <f>VLOOKUP(C2068,Sales_Representatives!$A:$B,2,0)</f>
        <v>John Brown</v>
      </c>
    </row>
    <row r="2069" spans="1:24" x14ac:dyDescent="0.3">
      <c r="A2069" t="s">
        <v>2938</v>
      </c>
      <c r="B2069" t="s">
        <v>2935</v>
      </c>
      <c r="C2069" t="s">
        <v>107</v>
      </c>
      <c r="D2069" t="s">
        <v>1728</v>
      </c>
      <c r="E2069" t="s">
        <v>198</v>
      </c>
      <c r="F2069">
        <v>5</v>
      </c>
      <c r="G2069">
        <v>1802.96</v>
      </c>
      <c r="H2069">
        <v>0.08</v>
      </c>
      <c r="I2069" s="4">
        <v>8293.6200000000008</v>
      </c>
      <c r="J2069" t="s">
        <v>109</v>
      </c>
      <c r="K2069" t="s">
        <v>39</v>
      </c>
      <c r="L2069" s="4">
        <f>VLOOKUP(tblTransactions[[#This Row],[Product_ID]],tblProducts[],5,FALSE)</f>
        <v>1282.18</v>
      </c>
      <c r="M2069" s="4">
        <f>tblTransactions[[#This Row],[Total_Amount]]-(tblTransactions[[#This Row],[Cost_Prices]]*tblTransactions[[#This Row],[Quantity]]*(1-tblTransactions[[#This Row],[Discount]]))</f>
        <v>2395.5919999999996</v>
      </c>
      <c r="N2069" s="3">
        <f>tblTransactions[[#This Row],[Profit]]/tblTransactions[[#This Row],[Total_Amount]]</f>
        <v>0.28884757198907107</v>
      </c>
      <c r="O2069" t="str">
        <f>TEXT(tblTransactions[[#This Row],[Date]], "MMM-YYYY")</f>
        <v>Mar-2024</v>
      </c>
      <c r="P2069" t="str">
        <f>"Q"&amp;ROUNDUP(MONTH(tblTransactions[[#This Row],[Date]])/3,0)&amp;"-"&amp;YEAR(tblTransactions[[#This Row],[Date]])</f>
        <v>Q1-2024</v>
      </c>
      <c r="Q2069">
        <f>YEAR(tblTransactions[[#This Row],[Date]])</f>
        <v>2024</v>
      </c>
      <c r="R2069" t="str">
        <f>TEXT(tblTransactions[[#This Row],[Date]],"DDDD")</f>
        <v>Tuesday</v>
      </c>
      <c r="S2069">
        <f>MONTH(tblTransactions[[#This Row],[Date]])</f>
        <v>3</v>
      </c>
      <c r="T2069" t="str">
        <f>VLOOKUP(E2069, Products!$A:$B,2,0)</f>
        <v>Tablets Ele-3</v>
      </c>
      <c r="U2069" t="str">
        <f>VLOOKUP(E2069,Products!$A:$C,3,0)</f>
        <v>Electronics</v>
      </c>
      <c r="V2069" t="str">
        <f>VLOOKUP(E2069,Products!$A:$D,4,0)</f>
        <v>Tablets</v>
      </c>
      <c r="W2069" t="str">
        <f>VLOOKUP(D2069,Customers!$A:$C,3,0)</f>
        <v>B2B</v>
      </c>
      <c r="X2069" t="str">
        <f>VLOOKUP(C2069,Sales_Representatives!$A:$B,2,0)</f>
        <v>Jennifer Brown</v>
      </c>
    </row>
    <row r="2070" spans="1:24" x14ac:dyDescent="0.3">
      <c r="A2070" t="s">
        <v>2939</v>
      </c>
      <c r="B2070" t="s">
        <v>2940</v>
      </c>
      <c r="C2070" t="s">
        <v>31</v>
      </c>
      <c r="D2070" t="s">
        <v>1683</v>
      </c>
      <c r="E2070" t="s">
        <v>176</v>
      </c>
      <c r="F2070">
        <v>5</v>
      </c>
      <c r="G2070">
        <v>1462.68</v>
      </c>
      <c r="H2070">
        <v>0.06</v>
      </c>
      <c r="I2070" s="4">
        <v>6874.6</v>
      </c>
      <c r="J2070" t="s">
        <v>34</v>
      </c>
      <c r="K2070" t="s">
        <v>22</v>
      </c>
      <c r="L2070" s="4">
        <f>VLOOKUP(tblTransactions[[#This Row],[Product_ID]],tblProducts[],5,FALSE)</f>
        <v>775.94</v>
      </c>
      <c r="M2070" s="4">
        <f>tblTransactions[[#This Row],[Total_Amount]]-(tblTransactions[[#This Row],[Cost_Prices]]*tblTransactions[[#This Row],[Quantity]]*(1-tblTransactions[[#This Row],[Discount]]))</f>
        <v>3227.6820000000002</v>
      </c>
      <c r="N2070" s="3">
        <f>tblTransactions[[#This Row],[Profit]]/tblTransactions[[#This Row],[Total_Amount]]</f>
        <v>0.46950833503040179</v>
      </c>
      <c r="O2070" t="str">
        <f>TEXT(tblTransactions[[#This Row],[Date]], "MMM-YYYY")</f>
        <v>Mar-2024</v>
      </c>
      <c r="P2070" t="str">
        <f>"Q"&amp;ROUNDUP(MONTH(tblTransactions[[#This Row],[Date]])/3,0)&amp;"-"&amp;YEAR(tblTransactions[[#This Row],[Date]])</f>
        <v>Q1-2024</v>
      </c>
      <c r="Q2070">
        <f>YEAR(tblTransactions[[#This Row],[Date]])</f>
        <v>2024</v>
      </c>
      <c r="R2070" t="str">
        <f>TEXT(tblTransactions[[#This Row],[Date]],"DDDD")</f>
        <v>Wednesday</v>
      </c>
      <c r="S2070">
        <f>MONTH(tblTransactions[[#This Row],[Date]])</f>
        <v>3</v>
      </c>
      <c r="T2070" t="str">
        <f>VLOOKUP(E2070, Products!$A:$B,2,0)</f>
        <v>Chairs Fur-2</v>
      </c>
      <c r="U2070" t="str">
        <f>VLOOKUP(E2070,Products!$A:$C,3,0)</f>
        <v>Furniture</v>
      </c>
      <c r="V2070" t="str">
        <f>VLOOKUP(E2070,Products!$A:$D,4,0)</f>
        <v>Chairs</v>
      </c>
      <c r="W2070" t="str">
        <f>VLOOKUP(D2070,Customers!$A:$C,3,0)</f>
        <v>B2C</v>
      </c>
      <c r="X2070" t="str">
        <f>VLOOKUP(C2070,Sales_Representatives!$A:$B,2,0)</f>
        <v>Thomas Martinez</v>
      </c>
    </row>
    <row r="2071" spans="1:24" x14ac:dyDescent="0.3">
      <c r="A2071" t="s">
        <v>2941</v>
      </c>
      <c r="B2071" t="s">
        <v>2940</v>
      </c>
      <c r="C2071" t="s">
        <v>70</v>
      </c>
      <c r="D2071" t="s">
        <v>1646</v>
      </c>
      <c r="E2071" t="s">
        <v>200</v>
      </c>
      <c r="F2071">
        <v>14</v>
      </c>
      <c r="G2071">
        <v>544.77</v>
      </c>
      <c r="H2071">
        <v>0.15</v>
      </c>
      <c r="I2071" s="4">
        <v>6482.76</v>
      </c>
      <c r="J2071" t="s">
        <v>16</v>
      </c>
      <c r="K2071" t="s">
        <v>48</v>
      </c>
      <c r="L2071" s="4">
        <f>VLOOKUP(tblTransactions[[#This Row],[Product_ID]],tblProducts[],5,FALSE)</f>
        <v>318.2</v>
      </c>
      <c r="M2071" s="4">
        <f>tblTransactions[[#This Row],[Total_Amount]]-(tblTransactions[[#This Row],[Cost_Prices]]*tblTransactions[[#This Row],[Quantity]]*(1-tblTransactions[[#This Row],[Discount]]))</f>
        <v>2696.1800000000003</v>
      </c>
      <c r="N2071" s="3">
        <f>tblTransactions[[#This Row],[Profit]]/tblTransactions[[#This Row],[Total_Amount]]</f>
        <v>0.41590001789361325</v>
      </c>
      <c r="O2071" t="str">
        <f>TEXT(tblTransactions[[#This Row],[Date]], "MMM-YYYY")</f>
        <v>Mar-2024</v>
      </c>
      <c r="P2071" t="str">
        <f>"Q"&amp;ROUNDUP(MONTH(tblTransactions[[#This Row],[Date]])/3,0)&amp;"-"&amp;YEAR(tblTransactions[[#This Row],[Date]])</f>
        <v>Q1-2024</v>
      </c>
      <c r="Q2071">
        <f>YEAR(tblTransactions[[#This Row],[Date]])</f>
        <v>2024</v>
      </c>
      <c r="R2071" t="str">
        <f>TEXT(tblTransactions[[#This Row],[Date]],"DDDD")</f>
        <v>Wednesday</v>
      </c>
      <c r="S2071">
        <f>MONTH(tblTransactions[[#This Row],[Date]])</f>
        <v>3</v>
      </c>
      <c r="T2071" t="str">
        <f>VLOOKUP(E2071, Products!$A:$B,2,0)</f>
        <v>Desks Fur-4</v>
      </c>
      <c r="U2071" t="str">
        <f>VLOOKUP(E2071,Products!$A:$C,3,0)</f>
        <v>Furniture</v>
      </c>
      <c r="V2071" t="str">
        <f>VLOOKUP(E2071,Products!$A:$D,4,0)</f>
        <v>Desks</v>
      </c>
      <c r="W2071" t="str">
        <f>VLOOKUP(D2071,Customers!$A:$C,3,0)</f>
        <v>B2B</v>
      </c>
      <c r="X2071" t="str">
        <f>VLOOKUP(C2071,Sales_Representatives!$A:$B,2,0)</f>
        <v>Linda Smith</v>
      </c>
    </row>
    <row r="2072" spans="1:24" x14ac:dyDescent="0.3">
      <c r="A2072" t="s">
        <v>2942</v>
      </c>
      <c r="B2072" t="s">
        <v>2940</v>
      </c>
      <c r="C2072" t="s">
        <v>63</v>
      </c>
      <c r="D2072" t="s">
        <v>2159</v>
      </c>
      <c r="E2072" t="s">
        <v>299</v>
      </c>
      <c r="F2072">
        <v>10</v>
      </c>
      <c r="G2072">
        <v>963.44</v>
      </c>
      <c r="H2072">
        <v>0.09</v>
      </c>
      <c r="I2072" s="4">
        <v>8767.2999999999993</v>
      </c>
      <c r="J2072" t="s">
        <v>21</v>
      </c>
      <c r="K2072" t="s">
        <v>17</v>
      </c>
      <c r="L2072" s="4">
        <f>VLOOKUP(tblTransactions[[#This Row],[Product_ID]],tblProducts[],5,FALSE)</f>
        <v>578.96</v>
      </c>
      <c r="M2072" s="4">
        <f>tblTransactions[[#This Row],[Total_Amount]]-(tblTransactions[[#This Row],[Cost_Prices]]*tblTransactions[[#This Row],[Quantity]]*(1-tblTransactions[[#This Row],[Discount]]))</f>
        <v>3498.7639999999992</v>
      </c>
      <c r="N2072" s="3">
        <f>tblTransactions[[#This Row],[Profit]]/tblTransactions[[#This Row],[Total_Amount]]</f>
        <v>0.39906972500085541</v>
      </c>
      <c r="O2072" t="str">
        <f>TEXT(tblTransactions[[#This Row],[Date]], "MMM-YYYY")</f>
        <v>Mar-2024</v>
      </c>
      <c r="P2072" t="str">
        <f>"Q"&amp;ROUNDUP(MONTH(tblTransactions[[#This Row],[Date]])/3,0)&amp;"-"&amp;YEAR(tblTransactions[[#This Row],[Date]])</f>
        <v>Q1-2024</v>
      </c>
      <c r="Q2072">
        <f>YEAR(tblTransactions[[#This Row],[Date]])</f>
        <v>2024</v>
      </c>
      <c r="R2072" t="str">
        <f>TEXT(tblTransactions[[#This Row],[Date]],"DDDD")</f>
        <v>Wednesday</v>
      </c>
      <c r="S2072">
        <f>MONTH(tblTransactions[[#This Row],[Date]])</f>
        <v>3</v>
      </c>
      <c r="T2072" t="str">
        <f>VLOOKUP(E2072, Products!$A:$B,2,0)</f>
        <v>Chairs Fur-4</v>
      </c>
      <c r="U2072" t="str">
        <f>VLOOKUP(E2072,Products!$A:$C,3,0)</f>
        <v>Furniture</v>
      </c>
      <c r="V2072" t="str">
        <f>VLOOKUP(E2072,Products!$A:$D,4,0)</f>
        <v>Chairs</v>
      </c>
      <c r="W2072" t="str">
        <f>VLOOKUP(D2072,Customers!$A:$C,3,0)</f>
        <v>B2B</v>
      </c>
      <c r="X2072" t="str">
        <f>VLOOKUP(C2072,Sales_Representatives!$A:$B,2,0)</f>
        <v>Richard Wilson</v>
      </c>
    </row>
    <row r="2073" spans="1:24" x14ac:dyDescent="0.3">
      <c r="A2073" t="s">
        <v>2943</v>
      </c>
      <c r="B2073" t="s">
        <v>2940</v>
      </c>
      <c r="C2073" t="s">
        <v>27</v>
      </c>
      <c r="D2073" t="s">
        <v>2287</v>
      </c>
      <c r="E2073" t="s">
        <v>72</v>
      </c>
      <c r="F2073">
        <v>8</v>
      </c>
      <c r="G2073">
        <v>404.76</v>
      </c>
      <c r="H2073">
        <v>0.1</v>
      </c>
      <c r="I2073" s="4">
        <v>2914.27</v>
      </c>
      <c r="J2073" t="s">
        <v>16</v>
      </c>
      <c r="K2073" t="s">
        <v>17</v>
      </c>
      <c r="L2073" s="4">
        <f>VLOOKUP(tblTransactions[[#This Row],[Product_ID]],tblProducts[],5,FALSE)</f>
        <v>226.76</v>
      </c>
      <c r="M2073" s="4">
        <f>tblTransactions[[#This Row],[Total_Amount]]-(tblTransactions[[#This Row],[Cost_Prices]]*tblTransactions[[#This Row],[Quantity]]*(1-tblTransactions[[#This Row],[Discount]]))</f>
        <v>1281.598</v>
      </c>
      <c r="N2073" s="3">
        <f>tblTransactions[[#This Row],[Profit]]/tblTransactions[[#This Row],[Total_Amount]]</f>
        <v>0.43976639089720582</v>
      </c>
      <c r="O2073" t="str">
        <f>TEXT(tblTransactions[[#This Row],[Date]], "MMM-YYYY")</f>
        <v>Mar-2024</v>
      </c>
      <c r="P2073" t="str">
        <f>"Q"&amp;ROUNDUP(MONTH(tblTransactions[[#This Row],[Date]])/3,0)&amp;"-"&amp;YEAR(tblTransactions[[#This Row],[Date]])</f>
        <v>Q1-2024</v>
      </c>
      <c r="Q2073">
        <f>YEAR(tblTransactions[[#This Row],[Date]])</f>
        <v>2024</v>
      </c>
      <c r="R2073" t="str">
        <f>TEXT(tblTransactions[[#This Row],[Date]],"DDDD")</f>
        <v>Wednesday</v>
      </c>
      <c r="S2073">
        <f>MONTH(tblTransactions[[#This Row],[Date]])</f>
        <v>3</v>
      </c>
      <c r="T2073" t="str">
        <f>VLOOKUP(E2073, Products!$A:$B,2,0)</f>
        <v>Tablets Ele-2</v>
      </c>
      <c r="U2073" t="str">
        <f>VLOOKUP(E2073,Products!$A:$C,3,0)</f>
        <v>Electronics</v>
      </c>
      <c r="V2073" t="str">
        <f>VLOOKUP(E2073,Products!$A:$D,4,0)</f>
        <v>Tablets</v>
      </c>
      <c r="W2073" t="str">
        <f>VLOOKUP(D2073,Customers!$A:$C,3,0)</f>
        <v>B2B</v>
      </c>
      <c r="X2073" t="str">
        <f>VLOOKUP(C2073,Sales_Representatives!$A:$B,2,0)</f>
        <v>Thomas Lopez</v>
      </c>
    </row>
    <row r="2074" spans="1:24" x14ac:dyDescent="0.3">
      <c r="A2074" t="s">
        <v>2944</v>
      </c>
      <c r="B2074" t="s">
        <v>2940</v>
      </c>
      <c r="C2074" t="s">
        <v>13</v>
      </c>
      <c r="D2074" t="s">
        <v>2577</v>
      </c>
      <c r="E2074" t="s">
        <v>113</v>
      </c>
      <c r="F2074">
        <v>1</v>
      </c>
      <c r="G2074">
        <v>930.41</v>
      </c>
      <c r="H2074">
        <v>0.09</v>
      </c>
      <c r="I2074" s="4">
        <v>846.67</v>
      </c>
      <c r="J2074" t="s">
        <v>16</v>
      </c>
      <c r="K2074" t="s">
        <v>48</v>
      </c>
      <c r="L2074" s="4">
        <f>VLOOKUP(tblTransactions[[#This Row],[Product_ID]],tblProducts[],5,FALSE)</f>
        <v>595.51</v>
      </c>
      <c r="M2074" s="4">
        <f>tblTransactions[[#This Row],[Total_Amount]]-(tblTransactions[[#This Row],[Cost_Prices]]*tblTransactions[[#This Row],[Quantity]]*(1-tblTransactions[[#This Row],[Discount]]))</f>
        <v>304.7559</v>
      </c>
      <c r="N2074" s="3">
        <f>tblTransactions[[#This Row],[Profit]]/tblTransactions[[#This Row],[Total_Amount]]</f>
        <v>0.35994649627363673</v>
      </c>
      <c r="O2074" t="str">
        <f>TEXT(tblTransactions[[#This Row],[Date]], "MMM-YYYY")</f>
        <v>Mar-2024</v>
      </c>
      <c r="P2074" t="str">
        <f>"Q"&amp;ROUNDUP(MONTH(tblTransactions[[#This Row],[Date]])/3,0)&amp;"-"&amp;YEAR(tblTransactions[[#This Row],[Date]])</f>
        <v>Q1-2024</v>
      </c>
      <c r="Q2074">
        <f>YEAR(tblTransactions[[#This Row],[Date]])</f>
        <v>2024</v>
      </c>
      <c r="R2074" t="str">
        <f>TEXT(tblTransactions[[#This Row],[Date]],"DDDD")</f>
        <v>Wednesday</v>
      </c>
      <c r="S2074">
        <f>MONTH(tblTransactions[[#This Row],[Date]])</f>
        <v>3</v>
      </c>
      <c r="T2074" t="str">
        <f>VLOOKUP(E2074, Products!$A:$B,2,0)</f>
        <v>Phones Ele-1</v>
      </c>
      <c r="U2074" t="str">
        <f>VLOOKUP(E2074,Products!$A:$C,3,0)</f>
        <v>Electronics</v>
      </c>
      <c r="V2074" t="str">
        <f>VLOOKUP(E2074,Products!$A:$D,4,0)</f>
        <v>Phones</v>
      </c>
      <c r="W2074" t="str">
        <f>VLOOKUP(D2074,Customers!$A:$C,3,0)</f>
        <v>B2C</v>
      </c>
      <c r="X2074" t="str">
        <f>VLOOKUP(C2074,Sales_Representatives!$A:$B,2,0)</f>
        <v>Jennifer Rodriguez</v>
      </c>
    </row>
    <row r="2075" spans="1:24" x14ac:dyDescent="0.3">
      <c r="A2075" t="s">
        <v>2945</v>
      </c>
      <c r="B2075" t="s">
        <v>2946</v>
      </c>
      <c r="C2075" t="s">
        <v>82</v>
      </c>
      <c r="D2075" t="s">
        <v>1478</v>
      </c>
      <c r="E2075" t="s">
        <v>324</v>
      </c>
      <c r="F2075">
        <v>2</v>
      </c>
      <c r="G2075">
        <v>245.76</v>
      </c>
      <c r="H2075">
        <v>0.05</v>
      </c>
      <c r="I2075" s="4">
        <v>466.94</v>
      </c>
      <c r="J2075" t="s">
        <v>34</v>
      </c>
      <c r="K2075" t="s">
        <v>35</v>
      </c>
      <c r="L2075" s="4">
        <f>VLOOKUP(tblTransactions[[#This Row],[Product_ID]],tblProducts[],5,FALSE)</f>
        <v>161.94</v>
      </c>
      <c r="M2075" s="4">
        <f>tblTransactions[[#This Row],[Total_Amount]]-(tblTransactions[[#This Row],[Cost_Prices]]*tblTransactions[[#This Row],[Quantity]]*(1-tblTransactions[[#This Row],[Discount]]))</f>
        <v>159.25400000000002</v>
      </c>
      <c r="N2075" s="3">
        <f>tblTransactions[[#This Row],[Profit]]/tblTransactions[[#This Row],[Total_Amount]]</f>
        <v>0.34105880841221575</v>
      </c>
      <c r="O2075" t="str">
        <f>TEXT(tblTransactions[[#This Row],[Date]], "MMM-YYYY")</f>
        <v>Mar-2024</v>
      </c>
      <c r="P2075" t="str">
        <f>"Q"&amp;ROUNDUP(MONTH(tblTransactions[[#This Row],[Date]])/3,0)&amp;"-"&amp;YEAR(tblTransactions[[#This Row],[Date]])</f>
        <v>Q1-2024</v>
      </c>
      <c r="Q2075">
        <f>YEAR(tblTransactions[[#This Row],[Date]])</f>
        <v>2024</v>
      </c>
      <c r="R2075" t="str">
        <f>TEXT(tblTransactions[[#This Row],[Date]],"DDDD")</f>
        <v>Thursday</v>
      </c>
      <c r="S2075">
        <f>MONTH(tblTransactions[[#This Row],[Date]])</f>
        <v>3</v>
      </c>
      <c r="T2075" t="str">
        <f>VLOOKUP(E2075, Products!$A:$B,2,0)</f>
        <v>Storage Fur-1</v>
      </c>
      <c r="U2075" t="str">
        <f>VLOOKUP(E2075,Products!$A:$C,3,0)</f>
        <v>Furniture</v>
      </c>
      <c r="V2075" t="str">
        <f>VLOOKUP(E2075,Products!$A:$D,4,0)</f>
        <v>Storage</v>
      </c>
      <c r="W2075" t="str">
        <f>VLOOKUP(D2075,Customers!$A:$C,3,0)</f>
        <v>Small Business</v>
      </c>
      <c r="X2075" t="str">
        <f>VLOOKUP(C2075,Sales_Representatives!$A:$B,2,0)</f>
        <v>John Brown</v>
      </c>
    </row>
    <row r="2076" spans="1:24" x14ac:dyDescent="0.3">
      <c r="A2076" t="s">
        <v>2947</v>
      </c>
      <c r="B2076" t="s">
        <v>2946</v>
      </c>
      <c r="C2076" t="s">
        <v>70</v>
      </c>
      <c r="D2076" t="s">
        <v>1877</v>
      </c>
      <c r="E2076" t="s">
        <v>587</v>
      </c>
      <c r="F2076">
        <v>5</v>
      </c>
      <c r="G2076">
        <v>58.54</v>
      </c>
      <c r="H2076">
        <v>0.06</v>
      </c>
      <c r="I2076" s="4">
        <v>275.14</v>
      </c>
      <c r="J2076" t="s">
        <v>16</v>
      </c>
      <c r="K2076" t="s">
        <v>35</v>
      </c>
      <c r="L2076" s="4">
        <f>VLOOKUP(tblTransactions[[#This Row],[Product_ID]],tblProducts[],5,FALSE)</f>
        <v>25.43</v>
      </c>
      <c r="M2076" s="4">
        <f>tblTransactions[[#This Row],[Total_Amount]]-(tblTransactions[[#This Row],[Cost_Prices]]*tblTransactions[[#This Row],[Quantity]]*(1-tblTransactions[[#This Row],[Discount]]))</f>
        <v>155.61899999999997</v>
      </c>
      <c r="N2076" s="3">
        <f>tblTransactions[[#This Row],[Profit]]/tblTransactions[[#This Row],[Total_Amount]]</f>
        <v>0.56559933124954564</v>
      </c>
      <c r="O2076" t="str">
        <f>TEXT(tblTransactions[[#This Row],[Date]], "MMM-YYYY")</f>
        <v>Mar-2024</v>
      </c>
      <c r="P2076" t="str">
        <f>"Q"&amp;ROUNDUP(MONTH(tblTransactions[[#This Row],[Date]])/3,0)&amp;"-"&amp;YEAR(tblTransactions[[#This Row],[Date]])</f>
        <v>Q1-2024</v>
      </c>
      <c r="Q2076">
        <f>YEAR(tblTransactions[[#This Row],[Date]])</f>
        <v>2024</v>
      </c>
      <c r="R2076" t="str">
        <f>TEXT(tblTransactions[[#This Row],[Date]],"DDDD")</f>
        <v>Thursday</v>
      </c>
      <c r="S2076">
        <f>MONTH(tblTransactions[[#This Row],[Date]])</f>
        <v>3</v>
      </c>
      <c r="T2076" t="str">
        <f>VLOOKUP(E2076, Products!$A:$B,2,0)</f>
        <v>Paper Off-2</v>
      </c>
      <c r="U2076" t="str">
        <f>VLOOKUP(E2076,Products!$A:$C,3,0)</f>
        <v>Office Supplies</v>
      </c>
      <c r="V2076" t="str">
        <f>VLOOKUP(E2076,Products!$A:$D,4,0)</f>
        <v>Paper</v>
      </c>
      <c r="W2076" t="str">
        <f>VLOOKUP(D2076,Customers!$A:$C,3,0)</f>
        <v>Small Business</v>
      </c>
      <c r="X2076" t="str">
        <f>VLOOKUP(C2076,Sales_Representatives!$A:$B,2,0)</f>
        <v>Linda Smith</v>
      </c>
    </row>
    <row r="2077" spans="1:24" x14ac:dyDescent="0.3">
      <c r="A2077" t="s">
        <v>2948</v>
      </c>
      <c r="B2077" t="s">
        <v>2949</v>
      </c>
      <c r="C2077" t="s">
        <v>75</v>
      </c>
      <c r="D2077" t="s">
        <v>1451</v>
      </c>
      <c r="E2077" t="s">
        <v>89</v>
      </c>
      <c r="F2077">
        <v>5</v>
      </c>
      <c r="G2077">
        <v>555.08000000000004</v>
      </c>
      <c r="H2077">
        <v>0.05</v>
      </c>
      <c r="I2077" s="4">
        <v>2636.63</v>
      </c>
      <c r="J2077" t="s">
        <v>44</v>
      </c>
      <c r="K2077" t="s">
        <v>35</v>
      </c>
      <c r="L2077" s="4">
        <f>VLOOKUP(tblTransactions[[#This Row],[Product_ID]],tblProducts[],5,FALSE)</f>
        <v>402.82</v>
      </c>
      <c r="M2077" s="4">
        <f>tblTransactions[[#This Row],[Total_Amount]]-(tblTransactions[[#This Row],[Cost_Prices]]*tblTransactions[[#This Row],[Quantity]]*(1-tblTransactions[[#This Row],[Discount]]))</f>
        <v>723.23500000000035</v>
      </c>
      <c r="N2077" s="3">
        <f>tblTransactions[[#This Row],[Profit]]/tblTransactions[[#This Row],[Total_Amount]]</f>
        <v>0.27430280319953892</v>
      </c>
      <c r="O2077" t="str">
        <f>TEXT(tblTransactions[[#This Row],[Date]], "MMM-YYYY")</f>
        <v>Mar-2024</v>
      </c>
      <c r="P2077" t="str">
        <f>"Q"&amp;ROUNDUP(MONTH(tblTransactions[[#This Row],[Date]])/3,0)&amp;"-"&amp;YEAR(tblTransactions[[#This Row],[Date]])</f>
        <v>Q1-2024</v>
      </c>
      <c r="Q2077">
        <f>YEAR(tblTransactions[[#This Row],[Date]])</f>
        <v>2024</v>
      </c>
      <c r="R2077" t="str">
        <f>TEXT(tblTransactions[[#This Row],[Date]],"DDDD")</f>
        <v>Friday</v>
      </c>
      <c r="S2077">
        <f>MONTH(tblTransactions[[#This Row],[Date]])</f>
        <v>3</v>
      </c>
      <c r="T2077" t="str">
        <f>VLOOKUP(E2077, Products!$A:$B,2,0)</f>
        <v>Laptops Ele-3</v>
      </c>
      <c r="U2077" t="str">
        <f>VLOOKUP(E2077,Products!$A:$C,3,0)</f>
        <v>Electronics</v>
      </c>
      <c r="V2077" t="str">
        <f>VLOOKUP(E2077,Products!$A:$D,4,0)</f>
        <v>Laptops</v>
      </c>
      <c r="W2077" t="str">
        <f>VLOOKUP(D2077,Customers!$A:$C,3,0)</f>
        <v>B2B</v>
      </c>
      <c r="X2077" t="str">
        <f>VLOOKUP(C2077,Sales_Representatives!$A:$B,2,0)</f>
        <v>Jessica Anderson</v>
      </c>
    </row>
    <row r="2078" spans="1:24" x14ac:dyDescent="0.3">
      <c r="A2078" t="s">
        <v>2950</v>
      </c>
      <c r="B2078" t="s">
        <v>2949</v>
      </c>
      <c r="C2078" t="s">
        <v>70</v>
      </c>
      <c r="D2078" t="s">
        <v>1621</v>
      </c>
      <c r="E2078" t="s">
        <v>43</v>
      </c>
      <c r="F2078">
        <v>5</v>
      </c>
      <c r="G2078">
        <v>39.32</v>
      </c>
      <c r="H2078">
        <v>0.08</v>
      </c>
      <c r="I2078" s="4">
        <v>180.87</v>
      </c>
      <c r="J2078" t="s">
        <v>16</v>
      </c>
      <c r="K2078" t="s">
        <v>17</v>
      </c>
      <c r="L2078" s="4">
        <f>VLOOKUP(tblTransactions[[#This Row],[Product_ID]],tblProducts[],5,FALSE)</f>
        <v>15.81</v>
      </c>
      <c r="M2078" s="4">
        <f>tblTransactions[[#This Row],[Total_Amount]]-(tblTransactions[[#This Row],[Cost_Prices]]*tblTransactions[[#This Row],[Quantity]]*(1-tblTransactions[[#This Row],[Discount]]))</f>
        <v>108.14400000000001</v>
      </c>
      <c r="N2078" s="3">
        <f>tblTransactions[[#This Row],[Profit]]/tblTransactions[[#This Row],[Total_Amount]]</f>
        <v>0.59791010117764143</v>
      </c>
      <c r="O2078" t="str">
        <f>TEXT(tblTransactions[[#This Row],[Date]], "MMM-YYYY")</f>
        <v>Mar-2024</v>
      </c>
      <c r="P2078" t="str">
        <f>"Q"&amp;ROUNDUP(MONTH(tblTransactions[[#This Row],[Date]])/3,0)&amp;"-"&amp;YEAR(tblTransactions[[#This Row],[Date]])</f>
        <v>Q1-2024</v>
      </c>
      <c r="Q2078">
        <f>YEAR(tblTransactions[[#This Row],[Date]])</f>
        <v>2024</v>
      </c>
      <c r="R2078" t="str">
        <f>TEXT(tblTransactions[[#This Row],[Date]],"DDDD")</f>
        <v>Friday</v>
      </c>
      <c r="S2078">
        <f>MONTH(tblTransactions[[#This Row],[Date]])</f>
        <v>3</v>
      </c>
      <c r="T2078" t="str">
        <f>VLOOKUP(E2078, Products!$A:$B,2,0)</f>
        <v>Paper Off-3</v>
      </c>
      <c r="U2078" t="str">
        <f>VLOOKUP(E2078,Products!$A:$C,3,0)</f>
        <v>Office Supplies</v>
      </c>
      <c r="V2078" t="str">
        <f>VLOOKUP(E2078,Products!$A:$D,4,0)</f>
        <v>Paper</v>
      </c>
      <c r="W2078" t="str">
        <f>VLOOKUP(D2078,Customers!$A:$C,3,0)</f>
        <v>B2C</v>
      </c>
      <c r="X2078" t="str">
        <f>VLOOKUP(C2078,Sales_Representatives!$A:$B,2,0)</f>
        <v>Linda Smith</v>
      </c>
    </row>
    <row r="2079" spans="1:24" x14ac:dyDescent="0.3">
      <c r="A2079" t="s">
        <v>2951</v>
      </c>
      <c r="B2079" t="s">
        <v>2949</v>
      </c>
      <c r="C2079" t="s">
        <v>107</v>
      </c>
      <c r="D2079" t="s">
        <v>1908</v>
      </c>
      <c r="E2079" t="s">
        <v>194</v>
      </c>
      <c r="F2079">
        <v>2</v>
      </c>
      <c r="G2079">
        <v>82.84</v>
      </c>
      <c r="H2079">
        <v>0.09</v>
      </c>
      <c r="I2079" s="4">
        <v>150.77000000000001</v>
      </c>
      <c r="J2079" t="s">
        <v>109</v>
      </c>
      <c r="K2079" t="s">
        <v>35</v>
      </c>
      <c r="L2079" s="4">
        <f>VLOOKUP(tblTransactions[[#This Row],[Product_ID]],tblProducts[],5,FALSE)</f>
        <v>52.98</v>
      </c>
      <c r="M2079" s="4">
        <f>tblTransactions[[#This Row],[Total_Amount]]-(tblTransactions[[#This Row],[Cost_Prices]]*tblTransactions[[#This Row],[Quantity]]*(1-tblTransactions[[#This Row],[Discount]]))</f>
        <v>54.346400000000017</v>
      </c>
      <c r="N2079" s="3">
        <f>tblTransactions[[#This Row],[Profit]]/tblTransactions[[#This Row],[Total_Amount]]</f>
        <v>0.36045897725011616</v>
      </c>
      <c r="O2079" t="str">
        <f>TEXT(tblTransactions[[#This Row],[Date]], "MMM-YYYY")</f>
        <v>Mar-2024</v>
      </c>
      <c r="P2079" t="str">
        <f>"Q"&amp;ROUNDUP(MONTH(tblTransactions[[#This Row],[Date]])/3,0)&amp;"-"&amp;YEAR(tblTransactions[[#This Row],[Date]])</f>
        <v>Q1-2024</v>
      </c>
      <c r="Q2079">
        <f>YEAR(tblTransactions[[#This Row],[Date]])</f>
        <v>2024</v>
      </c>
      <c r="R2079" t="str">
        <f>TEXT(tblTransactions[[#This Row],[Date]],"DDDD")</f>
        <v>Friday</v>
      </c>
      <c r="S2079">
        <f>MONTH(tblTransactions[[#This Row],[Date]])</f>
        <v>3</v>
      </c>
      <c r="T2079" t="str">
        <f>VLOOKUP(E2079, Products!$A:$B,2,0)</f>
        <v>Binders Off-2</v>
      </c>
      <c r="U2079" t="str">
        <f>VLOOKUP(E2079,Products!$A:$C,3,0)</f>
        <v>Office Supplies</v>
      </c>
      <c r="V2079" t="str">
        <f>VLOOKUP(E2079,Products!$A:$D,4,0)</f>
        <v>Binders</v>
      </c>
      <c r="W2079" t="str">
        <f>VLOOKUP(D2079,Customers!$A:$C,3,0)</f>
        <v>B2C</v>
      </c>
      <c r="X2079" t="str">
        <f>VLOOKUP(C2079,Sales_Representatives!$A:$B,2,0)</f>
        <v>Jennifer Brown</v>
      </c>
    </row>
    <row r="2080" spans="1:24" x14ac:dyDescent="0.3">
      <c r="A2080" t="s">
        <v>2952</v>
      </c>
      <c r="B2080" t="s">
        <v>2949</v>
      </c>
      <c r="C2080" t="s">
        <v>131</v>
      </c>
      <c r="D2080" t="s">
        <v>1602</v>
      </c>
      <c r="E2080" t="s">
        <v>25</v>
      </c>
      <c r="F2080">
        <v>3</v>
      </c>
      <c r="G2080">
        <v>1467.49</v>
      </c>
      <c r="H2080">
        <v>0.09</v>
      </c>
      <c r="I2080" s="4">
        <v>4006.25</v>
      </c>
      <c r="J2080" t="s">
        <v>44</v>
      </c>
      <c r="K2080" t="s">
        <v>17</v>
      </c>
      <c r="L2080" s="4">
        <f>VLOOKUP(tblTransactions[[#This Row],[Product_ID]],tblProducts[],5,FALSE)</f>
        <v>757.65</v>
      </c>
      <c r="M2080" s="4">
        <f>tblTransactions[[#This Row],[Total_Amount]]-(tblTransactions[[#This Row],[Cost_Prices]]*tblTransactions[[#This Row],[Quantity]]*(1-tblTransactions[[#This Row],[Discount]]))</f>
        <v>1937.8654999999999</v>
      </c>
      <c r="N2080" s="3">
        <f>tblTransactions[[#This Row],[Profit]]/tblTransactions[[#This Row],[Total_Amount]]</f>
        <v>0.48371057722308891</v>
      </c>
      <c r="O2080" t="str">
        <f>TEXT(tblTransactions[[#This Row],[Date]], "MMM-YYYY")</f>
        <v>Mar-2024</v>
      </c>
      <c r="P2080" t="str">
        <f>"Q"&amp;ROUNDUP(MONTH(tblTransactions[[#This Row],[Date]])/3,0)&amp;"-"&amp;YEAR(tblTransactions[[#This Row],[Date]])</f>
        <v>Q1-2024</v>
      </c>
      <c r="Q2080">
        <f>YEAR(tblTransactions[[#This Row],[Date]])</f>
        <v>2024</v>
      </c>
      <c r="R2080" t="str">
        <f>TEXT(tblTransactions[[#This Row],[Date]],"DDDD")</f>
        <v>Friday</v>
      </c>
      <c r="S2080">
        <f>MONTH(tblTransactions[[#This Row],[Date]])</f>
        <v>3</v>
      </c>
      <c r="T2080" t="str">
        <f>VLOOKUP(E2080, Products!$A:$B,2,0)</f>
        <v>Tables Fur-3</v>
      </c>
      <c r="U2080" t="str">
        <f>VLOOKUP(E2080,Products!$A:$C,3,0)</f>
        <v>Furniture</v>
      </c>
      <c r="V2080" t="str">
        <f>VLOOKUP(E2080,Products!$A:$D,4,0)</f>
        <v>Tables</v>
      </c>
      <c r="W2080" t="str">
        <f>VLOOKUP(D2080,Customers!$A:$C,3,0)</f>
        <v>B2C</v>
      </c>
      <c r="X2080" t="str">
        <f>VLOOKUP(C2080,Sales_Representatives!$A:$B,2,0)</f>
        <v>Michael Davis</v>
      </c>
    </row>
    <row r="2081" spans="1:24" x14ac:dyDescent="0.3">
      <c r="A2081" t="s">
        <v>2953</v>
      </c>
      <c r="B2081" t="s">
        <v>2949</v>
      </c>
      <c r="C2081" t="s">
        <v>13</v>
      </c>
      <c r="D2081" t="s">
        <v>1586</v>
      </c>
      <c r="E2081" t="s">
        <v>172</v>
      </c>
      <c r="F2081">
        <v>7</v>
      </c>
      <c r="G2081">
        <v>1371.15</v>
      </c>
      <c r="H2081">
        <v>0.09</v>
      </c>
      <c r="I2081" s="4">
        <v>8734.23</v>
      </c>
      <c r="J2081" t="s">
        <v>16</v>
      </c>
      <c r="K2081" t="s">
        <v>17</v>
      </c>
      <c r="L2081" s="4">
        <f>VLOOKUP(tblTransactions[[#This Row],[Product_ID]],tblProducts[],5,FALSE)</f>
        <v>989.81</v>
      </c>
      <c r="M2081" s="4">
        <f>tblTransactions[[#This Row],[Total_Amount]]-(tblTransactions[[#This Row],[Cost_Prices]]*tblTransactions[[#This Row],[Quantity]]*(1-tblTransactions[[#This Row],[Discount]]))</f>
        <v>2429.1402999999991</v>
      </c>
      <c r="N2081" s="3">
        <f>tblTransactions[[#This Row],[Profit]]/tblTransactions[[#This Row],[Total_Amount]]</f>
        <v>0.27811728108831563</v>
      </c>
      <c r="O2081" t="str">
        <f>TEXT(tblTransactions[[#This Row],[Date]], "MMM-YYYY")</f>
        <v>Mar-2024</v>
      </c>
      <c r="P2081" t="str">
        <f>"Q"&amp;ROUNDUP(MONTH(tblTransactions[[#This Row],[Date]])/3,0)&amp;"-"&amp;YEAR(tblTransactions[[#This Row],[Date]])</f>
        <v>Q1-2024</v>
      </c>
      <c r="Q2081">
        <f>YEAR(tblTransactions[[#This Row],[Date]])</f>
        <v>2024</v>
      </c>
      <c r="R2081" t="str">
        <f>TEXT(tblTransactions[[#This Row],[Date]],"DDDD")</f>
        <v>Friday</v>
      </c>
      <c r="S2081">
        <f>MONTH(tblTransactions[[#This Row],[Date]])</f>
        <v>3</v>
      </c>
      <c r="T2081" t="str">
        <f>VLOOKUP(E2081, Products!$A:$B,2,0)</f>
        <v>Cameras Ele-4</v>
      </c>
      <c r="U2081" t="str">
        <f>VLOOKUP(E2081,Products!$A:$C,3,0)</f>
        <v>Electronics</v>
      </c>
      <c r="V2081" t="str">
        <f>VLOOKUP(E2081,Products!$A:$D,4,0)</f>
        <v>Cameras</v>
      </c>
      <c r="W2081" t="str">
        <f>VLOOKUP(D2081,Customers!$A:$C,3,0)</f>
        <v>B2B</v>
      </c>
      <c r="X2081" t="str">
        <f>VLOOKUP(C2081,Sales_Representatives!$A:$B,2,0)</f>
        <v>Jennifer Rodriguez</v>
      </c>
    </row>
    <row r="2082" spans="1:24" x14ac:dyDescent="0.3">
      <c r="A2082" t="s">
        <v>2954</v>
      </c>
      <c r="B2082" t="s">
        <v>2955</v>
      </c>
      <c r="C2082" t="s">
        <v>127</v>
      </c>
      <c r="D2082" t="s">
        <v>1864</v>
      </c>
      <c r="E2082" t="s">
        <v>137</v>
      </c>
      <c r="F2082">
        <v>6</v>
      </c>
      <c r="G2082">
        <v>241.39</v>
      </c>
      <c r="H2082">
        <v>0.15</v>
      </c>
      <c r="I2082" s="4">
        <v>1231.0899999999999</v>
      </c>
      <c r="J2082" t="s">
        <v>109</v>
      </c>
      <c r="K2082" t="s">
        <v>48</v>
      </c>
      <c r="L2082" s="4">
        <f>VLOOKUP(tblTransactions[[#This Row],[Product_ID]],tblProducts[],5,FALSE)</f>
        <v>124.07</v>
      </c>
      <c r="M2082" s="4">
        <f>tblTransactions[[#This Row],[Total_Amount]]-(tblTransactions[[#This Row],[Cost_Prices]]*tblTransactions[[#This Row],[Quantity]]*(1-tblTransactions[[#This Row],[Discount]]))</f>
        <v>598.33299999999997</v>
      </c>
      <c r="N2082" s="3">
        <f>tblTransactions[[#This Row],[Profit]]/tblTransactions[[#This Row],[Total_Amount]]</f>
        <v>0.48601889382579666</v>
      </c>
      <c r="O2082" t="str">
        <f>TEXT(tblTransactions[[#This Row],[Date]], "MMM-YYYY")</f>
        <v>Mar-2024</v>
      </c>
      <c r="P2082" t="str">
        <f>"Q"&amp;ROUNDUP(MONTH(tblTransactions[[#This Row],[Date]])/3,0)&amp;"-"&amp;YEAR(tblTransactions[[#This Row],[Date]])</f>
        <v>Q1-2024</v>
      </c>
      <c r="Q2082">
        <f>YEAR(tblTransactions[[#This Row],[Date]])</f>
        <v>2024</v>
      </c>
      <c r="R2082" t="str">
        <f>TEXT(tblTransactions[[#This Row],[Date]],"DDDD")</f>
        <v>Saturday</v>
      </c>
      <c r="S2082">
        <f>MONTH(tblTransactions[[#This Row],[Date]])</f>
        <v>3</v>
      </c>
      <c r="T2082" t="str">
        <f>VLOOKUP(E2082, Products!$A:$B,2,0)</f>
        <v>Desks Fur-2</v>
      </c>
      <c r="U2082" t="str">
        <f>VLOOKUP(E2082,Products!$A:$C,3,0)</f>
        <v>Furniture</v>
      </c>
      <c r="V2082" t="str">
        <f>VLOOKUP(E2082,Products!$A:$D,4,0)</f>
        <v>Desks</v>
      </c>
      <c r="W2082" t="str">
        <f>VLOOKUP(D2082,Customers!$A:$C,3,0)</f>
        <v>Small Business</v>
      </c>
      <c r="X2082" t="str">
        <f>VLOOKUP(C2082,Sales_Representatives!$A:$B,2,0)</f>
        <v>Emily Hernandez</v>
      </c>
    </row>
    <row r="2083" spans="1:24" x14ac:dyDescent="0.3">
      <c r="A2083" t="s">
        <v>2956</v>
      </c>
      <c r="B2083" t="s">
        <v>2955</v>
      </c>
      <c r="C2083" t="s">
        <v>63</v>
      </c>
      <c r="D2083" t="s">
        <v>2329</v>
      </c>
      <c r="E2083" t="s">
        <v>96</v>
      </c>
      <c r="F2083">
        <v>1</v>
      </c>
      <c r="G2083">
        <v>751.9</v>
      </c>
      <c r="H2083">
        <v>0.06</v>
      </c>
      <c r="I2083" s="4">
        <v>706.79</v>
      </c>
      <c r="J2083" t="s">
        <v>21</v>
      </c>
      <c r="K2083" t="s">
        <v>17</v>
      </c>
      <c r="L2083" s="4">
        <f>VLOOKUP(tblTransactions[[#This Row],[Product_ID]],tblProducts[],5,FALSE)</f>
        <v>570.29</v>
      </c>
      <c r="M2083" s="4">
        <f>tblTransactions[[#This Row],[Total_Amount]]-(tblTransactions[[#This Row],[Cost_Prices]]*tblTransactions[[#This Row],[Quantity]]*(1-tblTransactions[[#This Row],[Discount]]))</f>
        <v>170.7174</v>
      </c>
      <c r="N2083" s="3">
        <f>tblTransactions[[#This Row],[Profit]]/tblTransactions[[#This Row],[Total_Amount]]</f>
        <v>0.24153907101119146</v>
      </c>
      <c r="O2083" t="str">
        <f>TEXT(tblTransactions[[#This Row],[Date]], "MMM-YYYY")</f>
        <v>Mar-2024</v>
      </c>
      <c r="P2083" t="str">
        <f>"Q"&amp;ROUNDUP(MONTH(tblTransactions[[#This Row],[Date]])/3,0)&amp;"-"&amp;YEAR(tblTransactions[[#This Row],[Date]])</f>
        <v>Q1-2024</v>
      </c>
      <c r="Q2083">
        <f>YEAR(tblTransactions[[#This Row],[Date]])</f>
        <v>2024</v>
      </c>
      <c r="R2083" t="str">
        <f>TEXT(tblTransactions[[#This Row],[Date]],"DDDD")</f>
        <v>Saturday</v>
      </c>
      <c r="S2083">
        <f>MONTH(tblTransactions[[#This Row],[Date]])</f>
        <v>3</v>
      </c>
      <c r="T2083" t="str">
        <f>VLOOKUP(E2083, Products!$A:$B,2,0)</f>
        <v>Routers Tec-1</v>
      </c>
      <c r="U2083" t="str">
        <f>VLOOKUP(E2083,Products!$A:$C,3,0)</f>
        <v>Technology</v>
      </c>
      <c r="V2083" t="str">
        <f>VLOOKUP(E2083,Products!$A:$D,4,0)</f>
        <v>Routers</v>
      </c>
      <c r="W2083" t="str">
        <f>VLOOKUP(D2083,Customers!$A:$C,3,0)</f>
        <v>B2C</v>
      </c>
      <c r="X2083" t="str">
        <f>VLOOKUP(C2083,Sales_Representatives!$A:$B,2,0)</f>
        <v>Richard Wilson</v>
      </c>
    </row>
    <row r="2084" spans="1:24" x14ac:dyDescent="0.3">
      <c r="A2084" t="s">
        <v>2957</v>
      </c>
      <c r="B2084" t="s">
        <v>2955</v>
      </c>
      <c r="C2084" t="s">
        <v>127</v>
      </c>
      <c r="D2084" t="s">
        <v>1699</v>
      </c>
      <c r="E2084" t="s">
        <v>191</v>
      </c>
      <c r="F2084">
        <v>2</v>
      </c>
      <c r="G2084">
        <v>1012.75</v>
      </c>
      <c r="H2084">
        <v>0.05</v>
      </c>
      <c r="I2084" s="4">
        <v>1924.22</v>
      </c>
      <c r="J2084" t="s">
        <v>109</v>
      </c>
      <c r="K2084" t="s">
        <v>35</v>
      </c>
      <c r="L2084" s="4">
        <f>VLOOKUP(tblTransactions[[#This Row],[Product_ID]],tblProducts[],5,FALSE)</f>
        <v>518.53</v>
      </c>
      <c r="M2084" s="4">
        <f>tblTransactions[[#This Row],[Total_Amount]]-(tblTransactions[[#This Row],[Cost_Prices]]*tblTransactions[[#This Row],[Quantity]]*(1-tblTransactions[[#This Row],[Discount]]))</f>
        <v>939.01300000000015</v>
      </c>
      <c r="N2084" s="3">
        <f>tblTransactions[[#This Row],[Profit]]/tblTransactions[[#This Row],[Total_Amount]]</f>
        <v>0.48799669476463198</v>
      </c>
      <c r="O2084" t="str">
        <f>TEXT(tblTransactions[[#This Row],[Date]], "MMM-YYYY")</f>
        <v>Mar-2024</v>
      </c>
      <c r="P2084" t="str">
        <f>"Q"&amp;ROUNDUP(MONTH(tblTransactions[[#This Row],[Date]])/3,0)&amp;"-"&amp;YEAR(tblTransactions[[#This Row],[Date]])</f>
        <v>Q1-2024</v>
      </c>
      <c r="Q2084">
        <f>YEAR(tblTransactions[[#This Row],[Date]])</f>
        <v>2024</v>
      </c>
      <c r="R2084" t="str">
        <f>TEXT(tblTransactions[[#This Row],[Date]],"DDDD")</f>
        <v>Saturday</v>
      </c>
      <c r="S2084">
        <f>MONTH(tblTransactions[[#This Row],[Date]])</f>
        <v>3</v>
      </c>
      <c r="T2084" t="str">
        <f>VLOOKUP(E2084, Products!$A:$B,2,0)</f>
        <v>Tables Fur-4</v>
      </c>
      <c r="U2084" t="str">
        <f>VLOOKUP(E2084,Products!$A:$C,3,0)</f>
        <v>Furniture</v>
      </c>
      <c r="V2084" t="str">
        <f>VLOOKUP(E2084,Products!$A:$D,4,0)</f>
        <v>Tables</v>
      </c>
      <c r="W2084" t="str">
        <f>VLOOKUP(D2084,Customers!$A:$C,3,0)</f>
        <v>B2B</v>
      </c>
      <c r="X2084" t="str">
        <f>VLOOKUP(C2084,Sales_Representatives!$A:$B,2,0)</f>
        <v>Emily Hernandez</v>
      </c>
    </row>
    <row r="2085" spans="1:24" x14ac:dyDescent="0.3">
      <c r="A2085" t="s">
        <v>2958</v>
      </c>
      <c r="B2085" t="s">
        <v>2955</v>
      </c>
      <c r="C2085" t="s">
        <v>27</v>
      </c>
      <c r="D2085" t="s">
        <v>1959</v>
      </c>
      <c r="E2085" t="s">
        <v>198</v>
      </c>
      <c r="F2085">
        <v>1</v>
      </c>
      <c r="G2085">
        <v>1802.96</v>
      </c>
      <c r="H2085">
        <v>0.01</v>
      </c>
      <c r="I2085" s="4">
        <v>1784.93</v>
      </c>
      <c r="J2085" t="s">
        <v>16</v>
      </c>
      <c r="K2085" t="s">
        <v>35</v>
      </c>
      <c r="L2085" s="4">
        <f>VLOOKUP(tblTransactions[[#This Row],[Product_ID]],tblProducts[],5,FALSE)</f>
        <v>1282.18</v>
      </c>
      <c r="M2085" s="4">
        <f>tblTransactions[[#This Row],[Total_Amount]]-(tblTransactions[[#This Row],[Cost_Prices]]*tblTransactions[[#This Row],[Quantity]]*(1-tblTransactions[[#This Row],[Discount]]))</f>
        <v>515.57179999999994</v>
      </c>
      <c r="N2085" s="3">
        <f>tblTransactions[[#This Row],[Profit]]/tblTransactions[[#This Row],[Total_Amount]]</f>
        <v>0.28884706963298279</v>
      </c>
      <c r="O2085" t="str">
        <f>TEXT(tblTransactions[[#This Row],[Date]], "MMM-YYYY")</f>
        <v>Mar-2024</v>
      </c>
      <c r="P2085" t="str">
        <f>"Q"&amp;ROUNDUP(MONTH(tblTransactions[[#This Row],[Date]])/3,0)&amp;"-"&amp;YEAR(tblTransactions[[#This Row],[Date]])</f>
        <v>Q1-2024</v>
      </c>
      <c r="Q2085">
        <f>YEAR(tblTransactions[[#This Row],[Date]])</f>
        <v>2024</v>
      </c>
      <c r="R2085" t="str">
        <f>TEXT(tblTransactions[[#This Row],[Date]],"DDDD")</f>
        <v>Saturday</v>
      </c>
      <c r="S2085">
        <f>MONTH(tblTransactions[[#This Row],[Date]])</f>
        <v>3</v>
      </c>
      <c r="T2085" t="str">
        <f>VLOOKUP(E2085, Products!$A:$B,2,0)</f>
        <v>Tablets Ele-3</v>
      </c>
      <c r="U2085" t="str">
        <f>VLOOKUP(E2085,Products!$A:$C,3,0)</f>
        <v>Electronics</v>
      </c>
      <c r="V2085" t="str">
        <f>VLOOKUP(E2085,Products!$A:$D,4,0)</f>
        <v>Tablets</v>
      </c>
      <c r="W2085" t="str">
        <f>VLOOKUP(D2085,Customers!$A:$C,3,0)</f>
        <v>Small Business</v>
      </c>
      <c r="X2085" t="str">
        <f>VLOOKUP(C2085,Sales_Representatives!$A:$B,2,0)</f>
        <v>Thomas Lopez</v>
      </c>
    </row>
    <row r="2086" spans="1:24" x14ac:dyDescent="0.3">
      <c r="A2086" t="s">
        <v>2959</v>
      </c>
      <c r="B2086" t="s">
        <v>2955</v>
      </c>
      <c r="C2086" t="s">
        <v>41</v>
      </c>
      <c r="D2086" t="s">
        <v>1808</v>
      </c>
      <c r="E2086" t="s">
        <v>394</v>
      </c>
      <c r="F2086">
        <v>2</v>
      </c>
      <c r="G2086">
        <v>314.69</v>
      </c>
      <c r="H2086">
        <v>0.02</v>
      </c>
      <c r="I2086" s="4">
        <v>616.79</v>
      </c>
      <c r="J2086" t="s">
        <v>44</v>
      </c>
      <c r="K2086" t="s">
        <v>48</v>
      </c>
      <c r="L2086" s="4">
        <f>VLOOKUP(tblTransactions[[#This Row],[Product_ID]],tblProducts[],5,FALSE)</f>
        <v>185.43</v>
      </c>
      <c r="M2086" s="4">
        <f>tblTransactions[[#This Row],[Total_Amount]]-(tblTransactions[[#This Row],[Cost_Prices]]*tblTransactions[[#This Row],[Quantity]]*(1-tblTransactions[[#This Row],[Discount]]))</f>
        <v>253.34719999999993</v>
      </c>
      <c r="N2086" s="3">
        <f>tblTransactions[[#This Row],[Profit]]/tblTransactions[[#This Row],[Total_Amount]]</f>
        <v>0.41075114706788363</v>
      </c>
      <c r="O2086" t="str">
        <f>TEXT(tblTransactions[[#This Row],[Date]], "MMM-YYYY")</f>
        <v>Mar-2024</v>
      </c>
      <c r="P2086" t="str">
        <f>"Q"&amp;ROUNDUP(MONTH(tblTransactions[[#This Row],[Date]])/3,0)&amp;"-"&amp;YEAR(tblTransactions[[#This Row],[Date]])</f>
        <v>Q1-2024</v>
      </c>
      <c r="Q2086">
        <f>YEAR(tblTransactions[[#This Row],[Date]])</f>
        <v>2024</v>
      </c>
      <c r="R2086" t="str">
        <f>TEXT(tblTransactions[[#This Row],[Date]],"DDDD")</f>
        <v>Saturday</v>
      </c>
      <c r="S2086">
        <f>MONTH(tblTransactions[[#This Row],[Date]])</f>
        <v>3</v>
      </c>
      <c r="T2086" t="str">
        <f>VLOOKUP(E2086, Products!$A:$B,2,0)</f>
        <v>Desks Fur-1</v>
      </c>
      <c r="U2086" t="str">
        <f>VLOOKUP(E2086,Products!$A:$C,3,0)</f>
        <v>Furniture</v>
      </c>
      <c r="V2086" t="str">
        <f>VLOOKUP(E2086,Products!$A:$D,4,0)</f>
        <v>Desks</v>
      </c>
      <c r="W2086" t="str">
        <f>VLOOKUP(D2086,Customers!$A:$C,3,0)</f>
        <v>B2B</v>
      </c>
      <c r="X2086" t="str">
        <f>VLOOKUP(C2086,Sales_Representatives!$A:$B,2,0)</f>
        <v>Robert Jones</v>
      </c>
    </row>
    <row r="2087" spans="1:24" x14ac:dyDescent="0.3">
      <c r="A2087" t="s">
        <v>2960</v>
      </c>
      <c r="B2087" t="s">
        <v>2961</v>
      </c>
      <c r="C2087" t="s">
        <v>127</v>
      </c>
      <c r="D2087" t="s">
        <v>1654</v>
      </c>
      <c r="E2087" t="s">
        <v>72</v>
      </c>
      <c r="F2087">
        <v>6</v>
      </c>
      <c r="G2087">
        <v>404.76</v>
      </c>
      <c r="H2087">
        <v>0.13</v>
      </c>
      <c r="I2087" s="4">
        <v>2112.85</v>
      </c>
      <c r="J2087" t="s">
        <v>109</v>
      </c>
      <c r="K2087" t="s">
        <v>48</v>
      </c>
      <c r="L2087" s="4">
        <f>VLOOKUP(tblTransactions[[#This Row],[Product_ID]],tblProducts[],5,FALSE)</f>
        <v>226.76</v>
      </c>
      <c r="M2087" s="4">
        <f>tblTransactions[[#This Row],[Total_Amount]]-(tblTransactions[[#This Row],[Cost_Prices]]*tblTransactions[[#This Row],[Quantity]]*(1-tblTransactions[[#This Row],[Discount]]))</f>
        <v>929.16280000000006</v>
      </c>
      <c r="N2087" s="3">
        <f>tblTransactions[[#This Row],[Profit]]/tblTransactions[[#This Row],[Total_Amount]]</f>
        <v>0.43976751780770057</v>
      </c>
      <c r="O2087" t="str">
        <f>TEXT(tblTransactions[[#This Row],[Date]], "MMM-YYYY")</f>
        <v>Mar-2024</v>
      </c>
      <c r="P2087" t="str">
        <f>"Q"&amp;ROUNDUP(MONTH(tblTransactions[[#This Row],[Date]])/3,0)&amp;"-"&amp;YEAR(tblTransactions[[#This Row],[Date]])</f>
        <v>Q1-2024</v>
      </c>
      <c r="Q2087">
        <f>YEAR(tblTransactions[[#This Row],[Date]])</f>
        <v>2024</v>
      </c>
      <c r="R2087" t="str">
        <f>TEXT(tblTransactions[[#This Row],[Date]],"DDDD")</f>
        <v>Sunday</v>
      </c>
      <c r="S2087">
        <f>MONTH(tblTransactions[[#This Row],[Date]])</f>
        <v>3</v>
      </c>
      <c r="T2087" t="str">
        <f>VLOOKUP(E2087, Products!$A:$B,2,0)</f>
        <v>Tablets Ele-2</v>
      </c>
      <c r="U2087" t="str">
        <f>VLOOKUP(E2087,Products!$A:$C,3,0)</f>
        <v>Electronics</v>
      </c>
      <c r="V2087" t="str">
        <f>VLOOKUP(E2087,Products!$A:$D,4,0)</f>
        <v>Tablets</v>
      </c>
      <c r="W2087" t="str">
        <f>VLOOKUP(D2087,Customers!$A:$C,3,0)</f>
        <v>B2C</v>
      </c>
      <c r="X2087" t="str">
        <f>VLOOKUP(C2087,Sales_Representatives!$A:$B,2,0)</f>
        <v>Emily Hernandez</v>
      </c>
    </row>
    <row r="2088" spans="1:24" x14ac:dyDescent="0.3">
      <c r="A2088" t="s">
        <v>2962</v>
      </c>
      <c r="B2088" t="s">
        <v>2961</v>
      </c>
      <c r="C2088" t="s">
        <v>70</v>
      </c>
      <c r="D2088" t="s">
        <v>1722</v>
      </c>
      <c r="E2088" t="s">
        <v>113</v>
      </c>
      <c r="F2088">
        <v>1</v>
      </c>
      <c r="G2088">
        <v>930.41</v>
      </c>
      <c r="H2088">
        <v>0.05</v>
      </c>
      <c r="I2088" s="4">
        <v>883.89</v>
      </c>
      <c r="J2088" t="s">
        <v>16</v>
      </c>
      <c r="K2088" t="s">
        <v>48</v>
      </c>
      <c r="L2088" s="4">
        <f>VLOOKUP(tblTransactions[[#This Row],[Product_ID]],tblProducts[],5,FALSE)</f>
        <v>595.51</v>
      </c>
      <c r="M2088" s="4">
        <f>tblTransactions[[#This Row],[Total_Amount]]-(tblTransactions[[#This Row],[Cost_Prices]]*tblTransactions[[#This Row],[Quantity]]*(1-tblTransactions[[#This Row],[Discount]]))</f>
        <v>318.15550000000007</v>
      </c>
      <c r="N2088" s="3">
        <f>tblTransactions[[#This Row],[Profit]]/tblTransactions[[#This Row],[Total_Amount]]</f>
        <v>0.35994920182375645</v>
      </c>
      <c r="O2088" t="str">
        <f>TEXT(tblTransactions[[#This Row],[Date]], "MMM-YYYY")</f>
        <v>Mar-2024</v>
      </c>
      <c r="P2088" t="str">
        <f>"Q"&amp;ROUNDUP(MONTH(tblTransactions[[#This Row],[Date]])/3,0)&amp;"-"&amp;YEAR(tblTransactions[[#This Row],[Date]])</f>
        <v>Q1-2024</v>
      </c>
      <c r="Q2088">
        <f>YEAR(tblTransactions[[#This Row],[Date]])</f>
        <v>2024</v>
      </c>
      <c r="R2088" t="str">
        <f>TEXT(tblTransactions[[#This Row],[Date]],"DDDD")</f>
        <v>Sunday</v>
      </c>
      <c r="S2088">
        <f>MONTH(tblTransactions[[#This Row],[Date]])</f>
        <v>3</v>
      </c>
      <c r="T2088" t="str">
        <f>VLOOKUP(E2088, Products!$A:$B,2,0)</f>
        <v>Phones Ele-1</v>
      </c>
      <c r="U2088" t="str">
        <f>VLOOKUP(E2088,Products!$A:$C,3,0)</f>
        <v>Electronics</v>
      </c>
      <c r="V2088" t="str">
        <f>VLOOKUP(E2088,Products!$A:$D,4,0)</f>
        <v>Phones</v>
      </c>
      <c r="W2088" t="str">
        <f>VLOOKUP(D2088,Customers!$A:$C,3,0)</f>
        <v>B2C</v>
      </c>
      <c r="X2088" t="str">
        <f>VLOOKUP(C2088,Sales_Representatives!$A:$B,2,0)</f>
        <v>Linda Smith</v>
      </c>
    </row>
    <row r="2089" spans="1:24" x14ac:dyDescent="0.3">
      <c r="A2089" t="s">
        <v>2963</v>
      </c>
      <c r="B2089" t="s">
        <v>2961</v>
      </c>
      <c r="C2089" t="s">
        <v>82</v>
      </c>
      <c r="D2089" t="s">
        <v>1741</v>
      </c>
      <c r="E2089" t="s">
        <v>198</v>
      </c>
      <c r="F2089">
        <v>8</v>
      </c>
      <c r="G2089">
        <v>1802.96</v>
      </c>
      <c r="H2089">
        <v>0.09</v>
      </c>
      <c r="I2089" s="4">
        <v>13125.55</v>
      </c>
      <c r="J2089" t="s">
        <v>34</v>
      </c>
      <c r="K2089" t="s">
        <v>17</v>
      </c>
      <c r="L2089" s="4">
        <f>VLOOKUP(tblTransactions[[#This Row],[Product_ID]],tblProducts[],5,FALSE)</f>
        <v>1282.18</v>
      </c>
      <c r="M2089" s="4">
        <f>tblTransactions[[#This Row],[Total_Amount]]-(tblTransactions[[#This Row],[Cost_Prices]]*tblTransactions[[#This Row],[Quantity]]*(1-tblTransactions[[#This Row],[Discount]]))</f>
        <v>3791.279599999998</v>
      </c>
      <c r="N2089" s="3">
        <f>tblTransactions[[#This Row],[Profit]]/tblTransactions[[#This Row],[Total_Amount]]</f>
        <v>0.28884729401815529</v>
      </c>
      <c r="O2089" t="str">
        <f>TEXT(tblTransactions[[#This Row],[Date]], "MMM-YYYY")</f>
        <v>Mar-2024</v>
      </c>
      <c r="P2089" t="str">
        <f>"Q"&amp;ROUNDUP(MONTH(tblTransactions[[#This Row],[Date]])/3,0)&amp;"-"&amp;YEAR(tblTransactions[[#This Row],[Date]])</f>
        <v>Q1-2024</v>
      </c>
      <c r="Q2089">
        <f>YEAR(tblTransactions[[#This Row],[Date]])</f>
        <v>2024</v>
      </c>
      <c r="R2089" t="str">
        <f>TEXT(tblTransactions[[#This Row],[Date]],"DDDD")</f>
        <v>Sunday</v>
      </c>
      <c r="S2089">
        <f>MONTH(tblTransactions[[#This Row],[Date]])</f>
        <v>3</v>
      </c>
      <c r="T2089" t="str">
        <f>VLOOKUP(E2089, Products!$A:$B,2,0)</f>
        <v>Tablets Ele-3</v>
      </c>
      <c r="U2089" t="str">
        <f>VLOOKUP(E2089,Products!$A:$C,3,0)</f>
        <v>Electronics</v>
      </c>
      <c r="V2089" t="str">
        <f>VLOOKUP(E2089,Products!$A:$D,4,0)</f>
        <v>Tablets</v>
      </c>
      <c r="W2089" t="str">
        <f>VLOOKUP(D2089,Customers!$A:$C,3,0)</f>
        <v>B2B</v>
      </c>
      <c r="X2089" t="str">
        <f>VLOOKUP(C2089,Sales_Representatives!$A:$B,2,0)</f>
        <v>John Brown</v>
      </c>
    </row>
    <row r="2090" spans="1:24" x14ac:dyDescent="0.3">
      <c r="A2090" t="s">
        <v>2964</v>
      </c>
      <c r="B2090" t="s">
        <v>2961</v>
      </c>
      <c r="C2090" t="s">
        <v>141</v>
      </c>
      <c r="D2090" t="s">
        <v>1725</v>
      </c>
      <c r="E2090" t="s">
        <v>129</v>
      </c>
      <c r="F2090">
        <v>3</v>
      </c>
      <c r="G2090">
        <v>1283.71</v>
      </c>
      <c r="H2090">
        <v>0.03</v>
      </c>
      <c r="I2090" s="4">
        <v>3735.6</v>
      </c>
      <c r="J2090" t="s">
        <v>109</v>
      </c>
      <c r="K2090" t="s">
        <v>17</v>
      </c>
      <c r="L2090" s="4">
        <f>VLOOKUP(tblTransactions[[#This Row],[Product_ID]],tblProducts[],5,FALSE)</f>
        <v>970.14</v>
      </c>
      <c r="M2090" s="4">
        <f>tblTransactions[[#This Row],[Total_Amount]]-(tblTransactions[[#This Row],[Cost_Prices]]*tblTransactions[[#This Row],[Quantity]]*(1-tblTransactions[[#This Row],[Discount]]))</f>
        <v>912.49260000000004</v>
      </c>
      <c r="N2090" s="3">
        <f>tblTransactions[[#This Row],[Profit]]/tblTransactions[[#This Row],[Total_Amount]]</f>
        <v>0.24426935432059108</v>
      </c>
      <c r="O2090" t="str">
        <f>TEXT(tblTransactions[[#This Row],[Date]], "MMM-YYYY")</f>
        <v>Mar-2024</v>
      </c>
      <c r="P2090" t="str">
        <f>"Q"&amp;ROUNDUP(MONTH(tblTransactions[[#This Row],[Date]])/3,0)&amp;"-"&amp;YEAR(tblTransactions[[#This Row],[Date]])</f>
        <v>Q1-2024</v>
      </c>
      <c r="Q2090">
        <f>YEAR(tblTransactions[[#This Row],[Date]])</f>
        <v>2024</v>
      </c>
      <c r="R2090" t="str">
        <f>TEXT(tblTransactions[[#This Row],[Date]],"DDDD")</f>
        <v>Sunday</v>
      </c>
      <c r="S2090">
        <f>MONTH(tblTransactions[[#This Row],[Date]])</f>
        <v>3</v>
      </c>
      <c r="T2090" t="str">
        <f>VLOOKUP(E2090, Products!$A:$B,2,0)</f>
        <v>Cameras Ele-3</v>
      </c>
      <c r="U2090" t="str">
        <f>VLOOKUP(E2090,Products!$A:$C,3,0)</f>
        <v>Electronics</v>
      </c>
      <c r="V2090" t="str">
        <f>VLOOKUP(E2090,Products!$A:$D,4,0)</f>
        <v>Cameras</v>
      </c>
      <c r="W2090" t="str">
        <f>VLOOKUP(D2090,Customers!$A:$C,3,0)</f>
        <v>B2C</v>
      </c>
      <c r="X2090" t="str">
        <f>VLOOKUP(C2090,Sales_Representatives!$A:$B,2,0)</f>
        <v>Richard Garcia</v>
      </c>
    </row>
    <row r="2091" spans="1:24" x14ac:dyDescent="0.3">
      <c r="A2091" t="s">
        <v>2965</v>
      </c>
      <c r="B2091" t="s">
        <v>2966</v>
      </c>
      <c r="C2091" t="s">
        <v>75</v>
      </c>
      <c r="D2091" t="s">
        <v>2527</v>
      </c>
      <c r="E2091" t="s">
        <v>53</v>
      </c>
      <c r="F2091">
        <v>5</v>
      </c>
      <c r="G2091">
        <v>2069.2199999999998</v>
      </c>
      <c r="H2091">
        <v>7.0000000000000007E-2</v>
      </c>
      <c r="I2091" s="4">
        <v>9621.8700000000008</v>
      </c>
      <c r="J2091" t="s">
        <v>44</v>
      </c>
      <c r="K2091" t="s">
        <v>48</v>
      </c>
      <c r="L2091" s="4">
        <f>VLOOKUP(tblTransactions[[#This Row],[Product_ID]],tblProducts[],5,FALSE)</f>
        <v>1451.18</v>
      </c>
      <c r="M2091" s="4">
        <f>tblTransactions[[#This Row],[Total_Amount]]-(tblTransactions[[#This Row],[Cost_Prices]]*tblTransactions[[#This Row],[Quantity]]*(1-tblTransactions[[#This Row],[Discount]]))</f>
        <v>2873.8830000000007</v>
      </c>
      <c r="N2091" s="3">
        <f>tblTransactions[[#This Row],[Profit]]/tblTransactions[[#This Row],[Total_Amount]]</f>
        <v>0.29868237671055631</v>
      </c>
      <c r="O2091" t="str">
        <f>TEXT(tblTransactions[[#This Row],[Date]], "MMM-YYYY")</f>
        <v>Mar-2024</v>
      </c>
      <c r="P2091" t="str">
        <f>"Q"&amp;ROUNDUP(MONTH(tblTransactions[[#This Row],[Date]])/3,0)&amp;"-"&amp;YEAR(tblTransactions[[#This Row],[Date]])</f>
        <v>Q1-2024</v>
      </c>
      <c r="Q2091">
        <f>YEAR(tblTransactions[[#This Row],[Date]])</f>
        <v>2024</v>
      </c>
      <c r="R2091" t="str">
        <f>TEXT(tblTransactions[[#This Row],[Date]],"DDDD")</f>
        <v>Monday</v>
      </c>
      <c r="S2091">
        <f>MONTH(tblTransactions[[#This Row],[Date]])</f>
        <v>3</v>
      </c>
      <c r="T2091" t="str">
        <f>VLOOKUP(E2091, Products!$A:$B,2,0)</f>
        <v>Printers Tec-3</v>
      </c>
      <c r="U2091" t="str">
        <f>VLOOKUP(E2091,Products!$A:$C,3,0)</f>
        <v>Technology</v>
      </c>
      <c r="V2091" t="str">
        <f>VLOOKUP(E2091,Products!$A:$D,4,0)</f>
        <v>Printers</v>
      </c>
      <c r="W2091" t="str">
        <f>VLOOKUP(D2091,Customers!$A:$C,3,0)</f>
        <v>B2C</v>
      </c>
      <c r="X2091" t="str">
        <f>VLOOKUP(C2091,Sales_Representatives!$A:$B,2,0)</f>
        <v>Jessica Anderson</v>
      </c>
    </row>
    <row r="2092" spans="1:24" x14ac:dyDescent="0.3">
      <c r="A2092" t="s">
        <v>2967</v>
      </c>
      <c r="B2092" t="s">
        <v>2966</v>
      </c>
      <c r="C2092" t="s">
        <v>75</v>
      </c>
      <c r="D2092" t="s">
        <v>2287</v>
      </c>
      <c r="E2092" t="s">
        <v>129</v>
      </c>
      <c r="F2092">
        <v>15</v>
      </c>
      <c r="G2092">
        <v>1283.71</v>
      </c>
      <c r="H2092">
        <v>0.19</v>
      </c>
      <c r="I2092" s="4">
        <v>15597.08</v>
      </c>
      <c r="J2092" t="s">
        <v>44</v>
      </c>
      <c r="K2092" t="s">
        <v>39</v>
      </c>
      <c r="L2092" s="4">
        <f>VLOOKUP(tblTransactions[[#This Row],[Product_ID]],tblProducts[],5,FALSE)</f>
        <v>970.14</v>
      </c>
      <c r="M2092" s="4">
        <f>tblTransactions[[#This Row],[Total_Amount]]-(tblTransactions[[#This Row],[Cost_Prices]]*tblTransactions[[#This Row],[Quantity]]*(1-tblTransactions[[#This Row],[Discount]]))</f>
        <v>3809.878999999999</v>
      </c>
      <c r="N2092" s="3">
        <f>tblTransactions[[#This Row],[Profit]]/tblTransactions[[#This Row],[Total_Amount]]</f>
        <v>0.24426873491704851</v>
      </c>
      <c r="O2092" t="str">
        <f>TEXT(tblTransactions[[#This Row],[Date]], "MMM-YYYY")</f>
        <v>Mar-2024</v>
      </c>
      <c r="P2092" t="str">
        <f>"Q"&amp;ROUNDUP(MONTH(tblTransactions[[#This Row],[Date]])/3,0)&amp;"-"&amp;YEAR(tblTransactions[[#This Row],[Date]])</f>
        <v>Q1-2024</v>
      </c>
      <c r="Q2092">
        <f>YEAR(tblTransactions[[#This Row],[Date]])</f>
        <v>2024</v>
      </c>
      <c r="R2092" t="str">
        <f>TEXT(tblTransactions[[#This Row],[Date]],"DDDD")</f>
        <v>Monday</v>
      </c>
      <c r="S2092">
        <f>MONTH(tblTransactions[[#This Row],[Date]])</f>
        <v>3</v>
      </c>
      <c r="T2092" t="str">
        <f>VLOOKUP(E2092, Products!$A:$B,2,0)</f>
        <v>Cameras Ele-3</v>
      </c>
      <c r="U2092" t="str">
        <f>VLOOKUP(E2092,Products!$A:$C,3,0)</f>
        <v>Electronics</v>
      </c>
      <c r="V2092" t="str">
        <f>VLOOKUP(E2092,Products!$A:$D,4,0)</f>
        <v>Cameras</v>
      </c>
      <c r="W2092" t="str">
        <f>VLOOKUP(D2092,Customers!$A:$C,3,0)</f>
        <v>B2B</v>
      </c>
      <c r="X2092" t="str">
        <f>VLOOKUP(C2092,Sales_Representatives!$A:$B,2,0)</f>
        <v>Jessica Anderson</v>
      </c>
    </row>
    <row r="2093" spans="1:24" x14ac:dyDescent="0.3">
      <c r="A2093" t="s">
        <v>2968</v>
      </c>
      <c r="B2093" t="s">
        <v>2966</v>
      </c>
      <c r="C2093" t="s">
        <v>27</v>
      </c>
      <c r="D2093" t="s">
        <v>124</v>
      </c>
      <c r="E2093" t="s">
        <v>191</v>
      </c>
      <c r="F2093">
        <v>10</v>
      </c>
      <c r="G2093">
        <v>1012.75</v>
      </c>
      <c r="H2093">
        <v>0.11</v>
      </c>
      <c r="I2093" s="4">
        <v>9013.48</v>
      </c>
      <c r="J2093" t="s">
        <v>16</v>
      </c>
      <c r="K2093" t="s">
        <v>39</v>
      </c>
      <c r="L2093" s="4">
        <f>VLOOKUP(tblTransactions[[#This Row],[Product_ID]],tblProducts[],5,FALSE)</f>
        <v>518.53</v>
      </c>
      <c r="M2093" s="4">
        <f>tblTransactions[[#This Row],[Total_Amount]]-(tblTransactions[[#This Row],[Cost_Prices]]*tblTransactions[[#This Row],[Quantity]]*(1-tblTransactions[[#This Row],[Discount]]))</f>
        <v>4398.5630000000001</v>
      </c>
      <c r="N2093" s="3">
        <f>tblTransactions[[#This Row],[Profit]]/tblTransactions[[#This Row],[Total_Amount]]</f>
        <v>0.48799830919911069</v>
      </c>
      <c r="O2093" t="str">
        <f>TEXT(tblTransactions[[#This Row],[Date]], "MMM-YYYY")</f>
        <v>Mar-2024</v>
      </c>
      <c r="P2093" t="str">
        <f>"Q"&amp;ROUNDUP(MONTH(tblTransactions[[#This Row],[Date]])/3,0)&amp;"-"&amp;YEAR(tblTransactions[[#This Row],[Date]])</f>
        <v>Q1-2024</v>
      </c>
      <c r="Q2093">
        <f>YEAR(tblTransactions[[#This Row],[Date]])</f>
        <v>2024</v>
      </c>
      <c r="R2093" t="str">
        <f>TEXT(tblTransactions[[#This Row],[Date]],"DDDD")</f>
        <v>Monday</v>
      </c>
      <c r="S2093">
        <f>MONTH(tblTransactions[[#This Row],[Date]])</f>
        <v>3</v>
      </c>
      <c r="T2093" t="str">
        <f>VLOOKUP(E2093, Products!$A:$B,2,0)</f>
        <v>Tables Fur-4</v>
      </c>
      <c r="U2093" t="str">
        <f>VLOOKUP(E2093,Products!$A:$C,3,0)</f>
        <v>Furniture</v>
      </c>
      <c r="V2093" t="str">
        <f>VLOOKUP(E2093,Products!$A:$D,4,0)</f>
        <v>Tables</v>
      </c>
      <c r="W2093" t="str">
        <f>VLOOKUP(D2093,Customers!$A:$C,3,0)</f>
        <v>B2B</v>
      </c>
      <c r="X2093" t="str">
        <f>VLOOKUP(C2093,Sales_Representatives!$A:$B,2,0)</f>
        <v>Thomas Lopez</v>
      </c>
    </row>
    <row r="2094" spans="1:24" x14ac:dyDescent="0.3">
      <c r="A2094" t="s">
        <v>2969</v>
      </c>
      <c r="B2094" t="s">
        <v>2966</v>
      </c>
      <c r="C2094" t="s">
        <v>75</v>
      </c>
      <c r="D2094" t="s">
        <v>1780</v>
      </c>
      <c r="E2094" t="s">
        <v>79</v>
      </c>
      <c r="F2094">
        <v>2</v>
      </c>
      <c r="G2094">
        <v>1452.36</v>
      </c>
      <c r="H2094">
        <v>0.09</v>
      </c>
      <c r="I2094" s="4">
        <v>2643.3</v>
      </c>
      <c r="J2094" t="s">
        <v>44</v>
      </c>
      <c r="K2094" t="s">
        <v>17</v>
      </c>
      <c r="L2094" s="4">
        <f>VLOOKUP(tblTransactions[[#This Row],[Product_ID]],tblProducts[],5,FALSE)</f>
        <v>778.71</v>
      </c>
      <c r="M2094" s="4">
        <f>tblTransactions[[#This Row],[Total_Amount]]-(tblTransactions[[#This Row],[Cost_Prices]]*tblTransactions[[#This Row],[Quantity]]*(1-tblTransactions[[#This Row],[Discount]]))</f>
        <v>1226.0478000000001</v>
      </c>
      <c r="N2094" s="3">
        <f>tblTransactions[[#This Row],[Profit]]/tblTransactions[[#This Row],[Total_Amount]]</f>
        <v>0.46383225513562593</v>
      </c>
      <c r="O2094" t="str">
        <f>TEXT(tblTransactions[[#This Row],[Date]], "MMM-YYYY")</f>
        <v>Mar-2024</v>
      </c>
      <c r="P2094" t="str">
        <f>"Q"&amp;ROUNDUP(MONTH(tblTransactions[[#This Row],[Date]])/3,0)&amp;"-"&amp;YEAR(tblTransactions[[#This Row],[Date]])</f>
        <v>Q1-2024</v>
      </c>
      <c r="Q2094">
        <f>YEAR(tblTransactions[[#This Row],[Date]])</f>
        <v>2024</v>
      </c>
      <c r="R2094" t="str">
        <f>TEXT(tblTransactions[[#This Row],[Date]],"DDDD")</f>
        <v>Monday</v>
      </c>
      <c r="S2094">
        <f>MONTH(tblTransactions[[#This Row],[Date]])</f>
        <v>3</v>
      </c>
      <c r="T2094" t="str">
        <f>VLOOKUP(E2094, Products!$A:$B,2,0)</f>
        <v>Tables Fur-2</v>
      </c>
      <c r="U2094" t="str">
        <f>VLOOKUP(E2094,Products!$A:$C,3,0)</f>
        <v>Furniture</v>
      </c>
      <c r="V2094" t="str">
        <f>VLOOKUP(E2094,Products!$A:$D,4,0)</f>
        <v>Tables</v>
      </c>
      <c r="W2094" t="str">
        <f>VLOOKUP(D2094,Customers!$A:$C,3,0)</f>
        <v>B2C</v>
      </c>
      <c r="X2094" t="str">
        <f>VLOOKUP(C2094,Sales_Representatives!$A:$B,2,0)</f>
        <v>Jessica Anderson</v>
      </c>
    </row>
    <row r="2095" spans="1:24" x14ac:dyDescent="0.3">
      <c r="A2095" t="s">
        <v>2970</v>
      </c>
      <c r="B2095" t="s">
        <v>2966</v>
      </c>
      <c r="C2095" t="s">
        <v>107</v>
      </c>
      <c r="D2095" t="s">
        <v>1613</v>
      </c>
      <c r="E2095" t="s">
        <v>172</v>
      </c>
      <c r="F2095">
        <v>15</v>
      </c>
      <c r="G2095">
        <v>1371.15</v>
      </c>
      <c r="H2095">
        <v>0.14000000000000001</v>
      </c>
      <c r="I2095" s="4">
        <v>17687.84</v>
      </c>
      <c r="J2095" t="s">
        <v>109</v>
      </c>
      <c r="K2095" t="s">
        <v>22</v>
      </c>
      <c r="L2095" s="4">
        <f>VLOOKUP(tblTransactions[[#This Row],[Product_ID]],tblProducts[],5,FALSE)</f>
        <v>989.81</v>
      </c>
      <c r="M2095" s="4">
        <f>tblTransactions[[#This Row],[Total_Amount]]-(tblTransactions[[#This Row],[Cost_Prices]]*tblTransactions[[#This Row],[Quantity]]*(1-tblTransactions[[#This Row],[Discount]]))</f>
        <v>4919.2910000000011</v>
      </c>
      <c r="N2095" s="3">
        <f>tblTransactions[[#This Row],[Profit]]/tblTransactions[[#This Row],[Total_Amount]]</f>
        <v>0.27811711322580945</v>
      </c>
      <c r="O2095" t="str">
        <f>TEXT(tblTransactions[[#This Row],[Date]], "MMM-YYYY")</f>
        <v>Mar-2024</v>
      </c>
      <c r="P2095" t="str">
        <f>"Q"&amp;ROUNDUP(MONTH(tblTransactions[[#This Row],[Date]])/3,0)&amp;"-"&amp;YEAR(tblTransactions[[#This Row],[Date]])</f>
        <v>Q1-2024</v>
      </c>
      <c r="Q2095">
        <f>YEAR(tblTransactions[[#This Row],[Date]])</f>
        <v>2024</v>
      </c>
      <c r="R2095" t="str">
        <f>TEXT(tblTransactions[[#This Row],[Date]],"DDDD")</f>
        <v>Monday</v>
      </c>
      <c r="S2095">
        <f>MONTH(tblTransactions[[#This Row],[Date]])</f>
        <v>3</v>
      </c>
      <c r="T2095" t="str">
        <f>VLOOKUP(E2095, Products!$A:$B,2,0)</f>
        <v>Cameras Ele-4</v>
      </c>
      <c r="U2095" t="str">
        <f>VLOOKUP(E2095,Products!$A:$C,3,0)</f>
        <v>Electronics</v>
      </c>
      <c r="V2095" t="str">
        <f>VLOOKUP(E2095,Products!$A:$D,4,0)</f>
        <v>Cameras</v>
      </c>
      <c r="W2095" t="str">
        <f>VLOOKUP(D2095,Customers!$A:$C,3,0)</f>
        <v>Enterprise</v>
      </c>
      <c r="X2095" t="str">
        <f>VLOOKUP(C2095,Sales_Representatives!$A:$B,2,0)</f>
        <v>Jennifer Brown</v>
      </c>
    </row>
    <row r="2096" spans="1:24" x14ac:dyDescent="0.3">
      <c r="A2096" t="s">
        <v>2971</v>
      </c>
      <c r="B2096" t="s">
        <v>2966</v>
      </c>
      <c r="C2096" t="s">
        <v>141</v>
      </c>
      <c r="D2096" t="s">
        <v>1458</v>
      </c>
      <c r="E2096" t="s">
        <v>84</v>
      </c>
      <c r="F2096">
        <v>37</v>
      </c>
      <c r="G2096">
        <v>1841.77</v>
      </c>
      <c r="H2096">
        <v>0.18</v>
      </c>
      <c r="I2096" s="4">
        <v>55879.3</v>
      </c>
      <c r="J2096" t="s">
        <v>109</v>
      </c>
      <c r="K2096" t="s">
        <v>17</v>
      </c>
      <c r="L2096" s="4">
        <f>VLOOKUP(tblTransactions[[#This Row],[Product_ID]],tblProducts[],5,FALSE)</f>
        <v>1151.5899999999999</v>
      </c>
      <c r="M2096" s="4">
        <f>tblTransactions[[#This Row],[Total_Amount]]-(tblTransactions[[#This Row],[Cost_Prices]]*tblTransactions[[#This Row],[Quantity]]*(1-tblTransactions[[#This Row],[Discount]]))</f>
        <v>20940.059400000006</v>
      </c>
      <c r="N2096" s="3">
        <f>tblTransactions[[#This Row],[Profit]]/tblTransactions[[#This Row],[Total_Amount]]</f>
        <v>0.3747373249128032</v>
      </c>
      <c r="O2096" t="str">
        <f>TEXT(tblTransactions[[#This Row],[Date]], "MMM-YYYY")</f>
        <v>Mar-2024</v>
      </c>
      <c r="P2096" t="str">
        <f>"Q"&amp;ROUNDUP(MONTH(tblTransactions[[#This Row],[Date]])/3,0)&amp;"-"&amp;YEAR(tblTransactions[[#This Row],[Date]])</f>
        <v>Q1-2024</v>
      </c>
      <c r="Q2096">
        <f>YEAR(tblTransactions[[#This Row],[Date]])</f>
        <v>2024</v>
      </c>
      <c r="R2096" t="str">
        <f>TEXT(tblTransactions[[#This Row],[Date]],"DDDD")</f>
        <v>Monday</v>
      </c>
      <c r="S2096">
        <f>MONTH(tblTransactions[[#This Row],[Date]])</f>
        <v>3</v>
      </c>
      <c r="T2096" t="str">
        <f>VLOOKUP(E2096, Products!$A:$B,2,0)</f>
        <v>Laptops Ele-2</v>
      </c>
      <c r="U2096" t="str">
        <f>VLOOKUP(E2096,Products!$A:$C,3,0)</f>
        <v>Electronics</v>
      </c>
      <c r="V2096" t="str">
        <f>VLOOKUP(E2096,Products!$A:$D,4,0)</f>
        <v>Laptops</v>
      </c>
      <c r="W2096" t="str">
        <f>VLOOKUP(D2096,Customers!$A:$C,3,0)</f>
        <v>Enterprise</v>
      </c>
      <c r="X2096" t="str">
        <f>VLOOKUP(C2096,Sales_Representatives!$A:$B,2,0)</f>
        <v>Richard Garcia</v>
      </c>
    </row>
    <row r="2097" spans="1:24" x14ac:dyDescent="0.3">
      <c r="A2097" t="s">
        <v>2972</v>
      </c>
      <c r="B2097" t="s">
        <v>2966</v>
      </c>
      <c r="C2097" t="s">
        <v>75</v>
      </c>
      <c r="D2097" t="s">
        <v>2114</v>
      </c>
      <c r="E2097" t="s">
        <v>29</v>
      </c>
      <c r="F2097">
        <v>6</v>
      </c>
      <c r="G2097">
        <v>1363.46</v>
      </c>
      <c r="H2097">
        <v>7.0000000000000007E-2</v>
      </c>
      <c r="I2097" s="4">
        <v>7608.11</v>
      </c>
      <c r="J2097" t="s">
        <v>44</v>
      </c>
      <c r="K2097" t="s">
        <v>48</v>
      </c>
      <c r="L2097" s="4">
        <f>VLOOKUP(tblTransactions[[#This Row],[Product_ID]],tblProducts[],5,FALSE)</f>
        <v>995.41</v>
      </c>
      <c r="M2097" s="4">
        <f>tblTransactions[[#This Row],[Total_Amount]]-(tblTransactions[[#This Row],[Cost_Prices]]*tblTransactions[[#This Row],[Quantity]]*(1-tblTransactions[[#This Row],[Discount]]))</f>
        <v>2053.7222000000002</v>
      </c>
      <c r="N2097" s="3">
        <f>tblTransactions[[#This Row],[Profit]]/tblTransactions[[#This Row],[Total_Amount]]</f>
        <v>0.26993855241314862</v>
      </c>
      <c r="O2097" t="str">
        <f>TEXT(tblTransactions[[#This Row],[Date]], "MMM-YYYY")</f>
        <v>Mar-2024</v>
      </c>
      <c r="P2097" t="str">
        <f>"Q"&amp;ROUNDUP(MONTH(tblTransactions[[#This Row],[Date]])/3,0)&amp;"-"&amp;YEAR(tblTransactions[[#This Row],[Date]])</f>
        <v>Q1-2024</v>
      </c>
      <c r="Q2097">
        <f>YEAR(tblTransactions[[#This Row],[Date]])</f>
        <v>2024</v>
      </c>
      <c r="R2097" t="str">
        <f>TEXT(tblTransactions[[#This Row],[Date]],"DDDD")</f>
        <v>Monday</v>
      </c>
      <c r="S2097">
        <f>MONTH(tblTransactions[[#This Row],[Date]])</f>
        <v>3</v>
      </c>
      <c r="T2097" t="str">
        <f>VLOOKUP(E2097, Products!$A:$B,2,0)</f>
        <v>Phones Ele-3</v>
      </c>
      <c r="U2097" t="str">
        <f>VLOOKUP(E2097,Products!$A:$C,3,0)</f>
        <v>Electronics</v>
      </c>
      <c r="V2097" t="str">
        <f>VLOOKUP(E2097,Products!$A:$D,4,0)</f>
        <v>Phones</v>
      </c>
      <c r="W2097" t="str">
        <f>VLOOKUP(D2097,Customers!$A:$C,3,0)</f>
        <v>B2B</v>
      </c>
      <c r="X2097" t="str">
        <f>VLOOKUP(C2097,Sales_Representatives!$A:$B,2,0)</f>
        <v>Jessica Anderson</v>
      </c>
    </row>
    <row r="2098" spans="1:24" x14ac:dyDescent="0.3">
      <c r="A2098" t="s">
        <v>2973</v>
      </c>
      <c r="B2098" t="s">
        <v>2974</v>
      </c>
      <c r="C2098" t="s">
        <v>13</v>
      </c>
      <c r="D2098" t="s">
        <v>1963</v>
      </c>
      <c r="E2098" t="s">
        <v>176</v>
      </c>
      <c r="F2098">
        <v>3</v>
      </c>
      <c r="G2098">
        <v>1462.68</v>
      </c>
      <c r="H2098">
        <v>0.01</v>
      </c>
      <c r="I2098" s="4">
        <v>4344.16</v>
      </c>
      <c r="J2098" t="s">
        <v>16</v>
      </c>
      <c r="K2098" t="s">
        <v>39</v>
      </c>
      <c r="L2098" s="4">
        <f>VLOOKUP(tblTransactions[[#This Row],[Product_ID]],tblProducts[],5,FALSE)</f>
        <v>775.94</v>
      </c>
      <c r="M2098" s="4">
        <f>tblTransactions[[#This Row],[Total_Amount]]-(tblTransactions[[#This Row],[Cost_Prices]]*tblTransactions[[#This Row],[Quantity]]*(1-tblTransactions[[#This Row],[Discount]]))</f>
        <v>2039.6181999999999</v>
      </c>
      <c r="N2098" s="3">
        <f>tblTransactions[[#This Row],[Profit]]/tblTransactions[[#This Row],[Total_Amount]]</f>
        <v>0.46950807520901622</v>
      </c>
      <c r="O2098" t="str">
        <f>TEXT(tblTransactions[[#This Row],[Date]], "MMM-YYYY")</f>
        <v>Mar-2024</v>
      </c>
      <c r="P2098" t="str">
        <f>"Q"&amp;ROUNDUP(MONTH(tblTransactions[[#This Row],[Date]])/3,0)&amp;"-"&amp;YEAR(tblTransactions[[#This Row],[Date]])</f>
        <v>Q1-2024</v>
      </c>
      <c r="Q2098">
        <f>YEAR(tblTransactions[[#This Row],[Date]])</f>
        <v>2024</v>
      </c>
      <c r="R2098" t="str">
        <f>TEXT(tblTransactions[[#This Row],[Date]],"DDDD")</f>
        <v>Tuesday</v>
      </c>
      <c r="S2098">
        <f>MONTH(tblTransactions[[#This Row],[Date]])</f>
        <v>3</v>
      </c>
      <c r="T2098" t="str">
        <f>VLOOKUP(E2098, Products!$A:$B,2,0)</f>
        <v>Chairs Fur-2</v>
      </c>
      <c r="U2098" t="str">
        <f>VLOOKUP(E2098,Products!$A:$C,3,0)</f>
        <v>Furniture</v>
      </c>
      <c r="V2098" t="str">
        <f>VLOOKUP(E2098,Products!$A:$D,4,0)</f>
        <v>Chairs</v>
      </c>
      <c r="W2098" t="str">
        <f>VLOOKUP(D2098,Customers!$A:$C,3,0)</f>
        <v>Small Business</v>
      </c>
      <c r="X2098" t="str">
        <f>VLOOKUP(C2098,Sales_Representatives!$A:$B,2,0)</f>
        <v>Jennifer Rodriguez</v>
      </c>
    </row>
    <row r="2099" spans="1:24" x14ac:dyDescent="0.3">
      <c r="A2099" t="s">
        <v>2975</v>
      </c>
      <c r="B2099" t="s">
        <v>2976</v>
      </c>
      <c r="C2099" t="s">
        <v>59</v>
      </c>
      <c r="D2099" t="s">
        <v>351</v>
      </c>
      <c r="E2099" t="s">
        <v>290</v>
      </c>
      <c r="F2099">
        <v>7</v>
      </c>
      <c r="G2099">
        <v>729.32</v>
      </c>
      <c r="H2099">
        <v>0.14000000000000001</v>
      </c>
      <c r="I2099" s="4">
        <v>4390.51</v>
      </c>
      <c r="J2099" t="s">
        <v>21</v>
      </c>
      <c r="K2099" t="s">
        <v>35</v>
      </c>
      <c r="L2099" s="4">
        <f>VLOOKUP(tblTransactions[[#This Row],[Product_ID]],tblProducts[],5,FALSE)</f>
        <v>482.7</v>
      </c>
      <c r="M2099" s="4">
        <f>tblTransactions[[#This Row],[Total_Amount]]-(tblTransactions[[#This Row],[Cost_Prices]]*tblTransactions[[#This Row],[Quantity]]*(1-tblTransactions[[#This Row],[Discount]]))</f>
        <v>1484.6560000000004</v>
      </c>
      <c r="N2099" s="3">
        <f>tblTransactions[[#This Row],[Profit]]/tblTransactions[[#This Row],[Total_Amount]]</f>
        <v>0.33815114872759666</v>
      </c>
      <c r="O2099" t="str">
        <f>TEXT(tblTransactions[[#This Row],[Date]], "MMM-YYYY")</f>
        <v>Mar-2024</v>
      </c>
      <c r="P2099" t="str">
        <f>"Q"&amp;ROUNDUP(MONTH(tblTransactions[[#This Row],[Date]])/3,0)&amp;"-"&amp;YEAR(tblTransactions[[#This Row],[Date]])</f>
        <v>Q1-2024</v>
      </c>
      <c r="Q2099">
        <f>YEAR(tblTransactions[[#This Row],[Date]])</f>
        <v>2024</v>
      </c>
      <c r="R2099" t="str">
        <f>TEXT(tblTransactions[[#This Row],[Date]],"DDDD")</f>
        <v>Wednesday</v>
      </c>
      <c r="S2099">
        <f>MONTH(tblTransactions[[#This Row],[Date]])</f>
        <v>3</v>
      </c>
      <c r="T2099" t="str">
        <f>VLOOKUP(E2099, Products!$A:$B,2,0)</f>
        <v>Tables Fur-1</v>
      </c>
      <c r="U2099" t="str">
        <f>VLOOKUP(E2099,Products!$A:$C,3,0)</f>
        <v>Furniture</v>
      </c>
      <c r="V2099" t="str">
        <f>VLOOKUP(E2099,Products!$A:$D,4,0)</f>
        <v>Tables</v>
      </c>
      <c r="W2099" t="str">
        <f>VLOOKUP(D2099,Customers!$A:$C,3,0)</f>
        <v>B2C</v>
      </c>
      <c r="X2099" t="str">
        <f>VLOOKUP(C2099,Sales_Representatives!$A:$B,2,0)</f>
        <v>Sarah Brown</v>
      </c>
    </row>
    <row r="2100" spans="1:24" x14ac:dyDescent="0.3">
      <c r="A2100" t="s">
        <v>2977</v>
      </c>
      <c r="B2100" t="s">
        <v>2976</v>
      </c>
      <c r="C2100" t="s">
        <v>141</v>
      </c>
      <c r="D2100" t="s">
        <v>2232</v>
      </c>
      <c r="E2100" t="s">
        <v>450</v>
      </c>
      <c r="F2100">
        <v>1</v>
      </c>
      <c r="G2100">
        <v>2083.92</v>
      </c>
      <c r="H2100">
        <v>0.05</v>
      </c>
      <c r="I2100" s="4">
        <v>1979.72</v>
      </c>
      <c r="J2100" t="s">
        <v>109</v>
      </c>
      <c r="K2100" t="s">
        <v>17</v>
      </c>
      <c r="L2100" s="4">
        <f>VLOOKUP(tblTransactions[[#This Row],[Product_ID]],tblProducts[],5,FALSE)</f>
        <v>1425.78</v>
      </c>
      <c r="M2100" s="4">
        <f>tblTransactions[[#This Row],[Total_Amount]]-(tblTransactions[[#This Row],[Cost_Prices]]*tblTransactions[[#This Row],[Quantity]]*(1-tblTransactions[[#This Row],[Discount]]))</f>
        <v>625.22900000000004</v>
      </c>
      <c r="N2100" s="3">
        <f>tblTransactions[[#This Row],[Profit]]/tblTransactions[[#This Row],[Total_Amount]]</f>
        <v>0.31581688319560342</v>
      </c>
      <c r="O2100" t="str">
        <f>TEXT(tblTransactions[[#This Row],[Date]], "MMM-YYYY")</f>
        <v>Mar-2024</v>
      </c>
      <c r="P2100" t="str">
        <f>"Q"&amp;ROUNDUP(MONTH(tblTransactions[[#This Row],[Date]])/3,0)&amp;"-"&amp;YEAR(tblTransactions[[#This Row],[Date]])</f>
        <v>Q1-2024</v>
      </c>
      <c r="Q2100">
        <f>YEAR(tblTransactions[[#This Row],[Date]])</f>
        <v>2024</v>
      </c>
      <c r="R2100" t="str">
        <f>TEXT(tblTransactions[[#This Row],[Date]],"DDDD")</f>
        <v>Wednesday</v>
      </c>
      <c r="S2100">
        <f>MONTH(tblTransactions[[#This Row],[Date]])</f>
        <v>3</v>
      </c>
      <c r="T2100" t="str">
        <f>VLOOKUP(E2100, Products!$A:$B,2,0)</f>
        <v>Monitors Tec-4</v>
      </c>
      <c r="U2100" t="str">
        <f>VLOOKUP(E2100,Products!$A:$C,3,0)</f>
        <v>Technology</v>
      </c>
      <c r="V2100" t="str">
        <f>VLOOKUP(E2100,Products!$A:$D,4,0)</f>
        <v>Monitors</v>
      </c>
      <c r="W2100" t="str">
        <f>VLOOKUP(D2100,Customers!$A:$C,3,0)</f>
        <v>B2C</v>
      </c>
      <c r="X2100" t="str">
        <f>VLOOKUP(C2100,Sales_Representatives!$A:$B,2,0)</f>
        <v>Richard Garcia</v>
      </c>
    </row>
    <row r="2101" spans="1:24" x14ac:dyDescent="0.3">
      <c r="A2101" t="s">
        <v>2978</v>
      </c>
      <c r="B2101" t="s">
        <v>2976</v>
      </c>
      <c r="C2101" t="s">
        <v>131</v>
      </c>
      <c r="D2101" t="s">
        <v>1487</v>
      </c>
      <c r="E2101" t="s">
        <v>79</v>
      </c>
      <c r="F2101">
        <v>9</v>
      </c>
      <c r="G2101">
        <v>1452.36</v>
      </c>
      <c r="H2101">
        <v>0.15</v>
      </c>
      <c r="I2101" s="4">
        <v>11110.55</v>
      </c>
      <c r="J2101" t="s">
        <v>44</v>
      </c>
      <c r="K2101" t="s">
        <v>17</v>
      </c>
      <c r="L2101" s="4">
        <f>VLOOKUP(tblTransactions[[#This Row],[Product_ID]],tblProducts[],5,FALSE)</f>
        <v>778.71</v>
      </c>
      <c r="M2101" s="4">
        <f>tblTransactions[[#This Row],[Total_Amount]]-(tblTransactions[[#This Row],[Cost_Prices]]*tblTransactions[[#This Row],[Quantity]]*(1-tblTransactions[[#This Row],[Discount]]))</f>
        <v>5153.4184999999989</v>
      </c>
      <c r="N2101" s="3">
        <f>tblTransactions[[#This Row],[Profit]]/tblTransactions[[#This Row],[Total_Amount]]</f>
        <v>0.46383108846996768</v>
      </c>
      <c r="O2101" t="str">
        <f>TEXT(tblTransactions[[#This Row],[Date]], "MMM-YYYY")</f>
        <v>Mar-2024</v>
      </c>
      <c r="P2101" t="str">
        <f>"Q"&amp;ROUNDUP(MONTH(tblTransactions[[#This Row],[Date]])/3,0)&amp;"-"&amp;YEAR(tblTransactions[[#This Row],[Date]])</f>
        <v>Q1-2024</v>
      </c>
      <c r="Q2101">
        <f>YEAR(tblTransactions[[#This Row],[Date]])</f>
        <v>2024</v>
      </c>
      <c r="R2101" t="str">
        <f>TEXT(tblTransactions[[#This Row],[Date]],"DDDD")</f>
        <v>Wednesday</v>
      </c>
      <c r="S2101">
        <f>MONTH(tblTransactions[[#This Row],[Date]])</f>
        <v>3</v>
      </c>
      <c r="T2101" t="str">
        <f>VLOOKUP(E2101, Products!$A:$B,2,0)</f>
        <v>Tables Fur-2</v>
      </c>
      <c r="U2101" t="str">
        <f>VLOOKUP(E2101,Products!$A:$C,3,0)</f>
        <v>Furniture</v>
      </c>
      <c r="V2101" t="str">
        <f>VLOOKUP(E2101,Products!$A:$D,4,0)</f>
        <v>Tables</v>
      </c>
      <c r="W2101" t="str">
        <f>VLOOKUP(D2101,Customers!$A:$C,3,0)</f>
        <v>B2B</v>
      </c>
      <c r="X2101" t="str">
        <f>VLOOKUP(C2101,Sales_Representatives!$A:$B,2,0)</f>
        <v>Michael Davis</v>
      </c>
    </row>
    <row r="2102" spans="1:24" x14ac:dyDescent="0.3">
      <c r="A2102" t="s">
        <v>2979</v>
      </c>
      <c r="B2102" t="s">
        <v>2976</v>
      </c>
      <c r="C2102" t="s">
        <v>70</v>
      </c>
      <c r="D2102" t="s">
        <v>1591</v>
      </c>
      <c r="E2102" t="s">
        <v>255</v>
      </c>
      <c r="F2102">
        <v>48</v>
      </c>
      <c r="G2102">
        <v>1444.13</v>
      </c>
      <c r="H2102">
        <v>0.17</v>
      </c>
      <c r="I2102" s="4">
        <v>57534.14</v>
      </c>
      <c r="J2102" t="s">
        <v>16</v>
      </c>
      <c r="K2102" t="s">
        <v>17</v>
      </c>
      <c r="L2102" s="4">
        <f>VLOOKUP(tblTransactions[[#This Row],[Product_ID]],tblProducts[],5,FALSE)</f>
        <v>874.43</v>
      </c>
      <c r="M2102" s="4">
        <f>tblTransactions[[#This Row],[Total_Amount]]-(tblTransactions[[#This Row],[Cost_Prices]]*tblTransactions[[#This Row],[Quantity]]*(1-tblTransactions[[#This Row],[Discount]]))</f>
        <v>22696.8488</v>
      </c>
      <c r="N2102" s="3">
        <f>tblTransactions[[#This Row],[Profit]]/tblTransactions[[#This Row],[Total_Amount]]</f>
        <v>0.39449357894286768</v>
      </c>
      <c r="O2102" t="str">
        <f>TEXT(tblTransactions[[#This Row],[Date]], "MMM-YYYY")</f>
        <v>Mar-2024</v>
      </c>
      <c r="P2102" t="str">
        <f>"Q"&amp;ROUNDUP(MONTH(tblTransactions[[#This Row],[Date]])/3,0)&amp;"-"&amp;YEAR(tblTransactions[[#This Row],[Date]])</f>
        <v>Q1-2024</v>
      </c>
      <c r="Q2102">
        <f>YEAR(tblTransactions[[#This Row],[Date]])</f>
        <v>2024</v>
      </c>
      <c r="R2102" t="str">
        <f>TEXT(tblTransactions[[#This Row],[Date]],"DDDD")</f>
        <v>Wednesday</v>
      </c>
      <c r="S2102">
        <f>MONTH(tblTransactions[[#This Row],[Date]])</f>
        <v>3</v>
      </c>
      <c r="T2102" t="str">
        <f>VLOOKUP(E2102, Products!$A:$B,2,0)</f>
        <v>Printers Tec-1</v>
      </c>
      <c r="U2102" t="str">
        <f>VLOOKUP(E2102,Products!$A:$C,3,0)</f>
        <v>Technology</v>
      </c>
      <c r="V2102" t="str">
        <f>VLOOKUP(E2102,Products!$A:$D,4,0)</f>
        <v>Printers</v>
      </c>
      <c r="W2102" t="str">
        <f>VLOOKUP(D2102,Customers!$A:$C,3,0)</f>
        <v>Enterprise</v>
      </c>
      <c r="X2102" t="str">
        <f>VLOOKUP(C2102,Sales_Representatives!$A:$B,2,0)</f>
        <v>Linda Smith</v>
      </c>
    </row>
    <row r="2103" spans="1:24" x14ac:dyDescent="0.3">
      <c r="A2103" t="s">
        <v>2980</v>
      </c>
      <c r="B2103" t="s">
        <v>2976</v>
      </c>
      <c r="C2103" t="s">
        <v>19</v>
      </c>
      <c r="D2103" t="s">
        <v>1719</v>
      </c>
      <c r="E2103" t="s">
        <v>152</v>
      </c>
      <c r="F2103">
        <v>5</v>
      </c>
      <c r="G2103">
        <v>859.93</v>
      </c>
      <c r="H2103">
        <v>0.05</v>
      </c>
      <c r="I2103" s="4">
        <v>4084.67</v>
      </c>
      <c r="J2103" t="s">
        <v>21</v>
      </c>
      <c r="K2103" t="s">
        <v>48</v>
      </c>
      <c r="L2103" s="4">
        <f>VLOOKUP(tblTransactions[[#This Row],[Product_ID]],tblProducts[],5,FALSE)</f>
        <v>579.79</v>
      </c>
      <c r="M2103" s="4">
        <f>tblTransactions[[#This Row],[Total_Amount]]-(tblTransactions[[#This Row],[Cost_Prices]]*tblTransactions[[#This Row],[Quantity]]*(1-tblTransactions[[#This Row],[Discount]]))</f>
        <v>1330.6675000000005</v>
      </c>
      <c r="N2103" s="3">
        <f>tblTransactions[[#This Row],[Profit]]/tblTransactions[[#This Row],[Total_Amount]]</f>
        <v>0.3257711149248288</v>
      </c>
      <c r="O2103" t="str">
        <f>TEXT(tblTransactions[[#This Row],[Date]], "MMM-YYYY")</f>
        <v>Mar-2024</v>
      </c>
      <c r="P2103" t="str">
        <f>"Q"&amp;ROUNDUP(MONTH(tblTransactions[[#This Row],[Date]])/3,0)&amp;"-"&amp;YEAR(tblTransactions[[#This Row],[Date]])</f>
        <v>Q1-2024</v>
      </c>
      <c r="Q2103">
        <f>YEAR(tblTransactions[[#This Row],[Date]])</f>
        <v>2024</v>
      </c>
      <c r="R2103" t="str">
        <f>TEXT(tblTransactions[[#This Row],[Date]],"DDDD")</f>
        <v>Wednesday</v>
      </c>
      <c r="S2103">
        <f>MONTH(tblTransactions[[#This Row],[Date]])</f>
        <v>3</v>
      </c>
      <c r="T2103" t="str">
        <f>VLOOKUP(E2103, Products!$A:$B,2,0)</f>
        <v>Phones Ele-4</v>
      </c>
      <c r="U2103" t="str">
        <f>VLOOKUP(E2103,Products!$A:$C,3,0)</f>
        <v>Electronics</v>
      </c>
      <c r="V2103" t="str">
        <f>VLOOKUP(E2103,Products!$A:$D,4,0)</f>
        <v>Phones</v>
      </c>
      <c r="W2103" t="str">
        <f>VLOOKUP(D2103,Customers!$A:$C,3,0)</f>
        <v>B2B</v>
      </c>
      <c r="X2103" t="str">
        <f>VLOOKUP(C2103,Sales_Representatives!$A:$B,2,0)</f>
        <v>Robert Jones</v>
      </c>
    </row>
    <row r="2104" spans="1:24" x14ac:dyDescent="0.3">
      <c r="A2104" t="s">
        <v>2981</v>
      </c>
      <c r="B2104" t="s">
        <v>2982</v>
      </c>
      <c r="C2104" t="s">
        <v>13</v>
      </c>
      <c r="D2104" t="s">
        <v>2562</v>
      </c>
      <c r="E2104" t="s">
        <v>72</v>
      </c>
      <c r="F2104">
        <v>4</v>
      </c>
      <c r="G2104">
        <v>404.76</v>
      </c>
      <c r="H2104">
        <v>0.03</v>
      </c>
      <c r="I2104" s="4">
        <v>1570.47</v>
      </c>
      <c r="J2104" t="s">
        <v>16</v>
      </c>
      <c r="K2104" t="s">
        <v>39</v>
      </c>
      <c r="L2104" s="4">
        <f>VLOOKUP(tblTransactions[[#This Row],[Product_ID]],tblProducts[],5,FALSE)</f>
        <v>226.76</v>
      </c>
      <c r="M2104" s="4">
        <f>tblTransactions[[#This Row],[Total_Amount]]-(tblTransactions[[#This Row],[Cost_Prices]]*tblTransactions[[#This Row],[Quantity]]*(1-tblTransactions[[#This Row],[Discount]]))</f>
        <v>690.64120000000014</v>
      </c>
      <c r="N2104" s="3">
        <f>tblTransactions[[#This Row],[Profit]]/tblTransactions[[#This Row],[Total_Amount]]</f>
        <v>0.43976720344864922</v>
      </c>
      <c r="O2104" t="str">
        <f>TEXT(tblTransactions[[#This Row],[Date]], "MMM-YYYY")</f>
        <v>Mar-2024</v>
      </c>
      <c r="P2104" t="str">
        <f>"Q"&amp;ROUNDUP(MONTH(tblTransactions[[#This Row],[Date]])/3,0)&amp;"-"&amp;YEAR(tblTransactions[[#This Row],[Date]])</f>
        <v>Q1-2024</v>
      </c>
      <c r="Q2104">
        <f>YEAR(tblTransactions[[#This Row],[Date]])</f>
        <v>2024</v>
      </c>
      <c r="R2104" t="str">
        <f>TEXT(tblTransactions[[#This Row],[Date]],"DDDD")</f>
        <v>Thursday</v>
      </c>
      <c r="S2104">
        <f>MONTH(tblTransactions[[#This Row],[Date]])</f>
        <v>3</v>
      </c>
      <c r="T2104" t="str">
        <f>VLOOKUP(E2104, Products!$A:$B,2,0)</f>
        <v>Tablets Ele-2</v>
      </c>
      <c r="U2104" t="str">
        <f>VLOOKUP(E2104,Products!$A:$C,3,0)</f>
        <v>Electronics</v>
      </c>
      <c r="V2104" t="str">
        <f>VLOOKUP(E2104,Products!$A:$D,4,0)</f>
        <v>Tablets</v>
      </c>
      <c r="W2104" t="str">
        <f>VLOOKUP(D2104,Customers!$A:$C,3,0)</f>
        <v>B2C</v>
      </c>
      <c r="X2104" t="str">
        <f>VLOOKUP(C2104,Sales_Representatives!$A:$B,2,0)</f>
        <v>Jennifer Rodriguez</v>
      </c>
    </row>
    <row r="2105" spans="1:24" x14ac:dyDescent="0.3">
      <c r="A2105" t="s">
        <v>2983</v>
      </c>
      <c r="B2105" t="s">
        <v>2982</v>
      </c>
      <c r="C2105" t="s">
        <v>56</v>
      </c>
      <c r="D2105" t="s">
        <v>2217</v>
      </c>
      <c r="E2105" t="s">
        <v>255</v>
      </c>
      <c r="F2105">
        <v>48</v>
      </c>
      <c r="G2105">
        <v>1444.13</v>
      </c>
      <c r="H2105">
        <v>0.2</v>
      </c>
      <c r="I2105" s="4">
        <v>55454.59</v>
      </c>
      <c r="J2105" t="s">
        <v>34</v>
      </c>
      <c r="K2105" t="s">
        <v>39</v>
      </c>
      <c r="L2105" s="4">
        <f>VLOOKUP(tblTransactions[[#This Row],[Product_ID]],tblProducts[],5,FALSE)</f>
        <v>874.43</v>
      </c>
      <c r="M2105" s="4">
        <f>tblTransactions[[#This Row],[Total_Amount]]-(tblTransactions[[#This Row],[Cost_Prices]]*tblTransactions[[#This Row],[Quantity]]*(1-tblTransactions[[#This Row],[Discount]]))</f>
        <v>21876.477999999996</v>
      </c>
      <c r="N2105" s="3">
        <f>tblTransactions[[#This Row],[Profit]]/tblTransactions[[#This Row],[Total_Amount]]</f>
        <v>0.39449354868551001</v>
      </c>
      <c r="O2105" t="str">
        <f>TEXT(tblTransactions[[#This Row],[Date]], "MMM-YYYY")</f>
        <v>Mar-2024</v>
      </c>
      <c r="P2105" t="str">
        <f>"Q"&amp;ROUNDUP(MONTH(tblTransactions[[#This Row],[Date]])/3,0)&amp;"-"&amp;YEAR(tblTransactions[[#This Row],[Date]])</f>
        <v>Q1-2024</v>
      </c>
      <c r="Q2105">
        <f>YEAR(tblTransactions[[#This Row],[Date]])</f>
        <v>2024</v>
      </c>
      <c r="R2105" t="str">
        <f>TEXT(tblTransactions[[#This Row],[Date]],"DDDD")</f>
        <v>Thursday</v>
      </c>
      <c r="S2105">
        <f>MONTH(tblTransactions[[#This Row],[Date]])</f>
        <v>3</v>
      </c>
      <c r="T2105" t="str">
        <f>VLOOKUP(E2105, Products!$A:$B,2,0)</f>
        <v>Printers Tec-1</v>
      </c>
      <c r="U2105" t="str">
        <f>VLOOKUP(E2105,Products!$A:$C,3,0)</f>
        <v>Technology</v>
      </c>
      <c r="V2105" t="str">
        <f>VLOOKUP(E2105,Products!$A:$D,4,0)</f>
        <v>Printers</v>
      </c>
      <c r="W2105" t="str">
        <f>VLOOKUP(D2105,Customers!$A:$C,3,0)</f>
        <v>Enterprise</v>
      </c>
      <c r="X2105" t="str">
        <f>VLOOKUP(C2105,Sales_Representatives!$A:$B,2,0)</f>
        <v>Thomas Hernandez</v>
      </c>
    </row>
    <row r="2106" spans="1:24" x14ac:dyDescent="0.3">
      <c r="A2106" t="s">
        <v>2984</v>
      </c>
      <c r="B2106" t="s">
        <v>2982</v>
      </c>
      <c r="C2106" t="s">
        <v>131</v>
      </c>
      <c r="D2106" t="s">
        <v>2686</v>
      </c>
      <c r="E2106" t="s">
        <v>339</v>
      </c>
      <c r="F2106">
        <v>5</v>
      </c>
      <c r="G2106">
        <v>1100.8800000000001</v>
      </c>
      <c r="H2106">
        <v>0.04</v>
      </c>
      <c r="I2106" s="4">
        <v>5284.22</v>
      </c>
      <c r="J2106" t="s">
        <v>44</v>
      </c>
      <c r="K2106" t="s">
        <v>48</v>
      </c>
      <c r="L2106" s="4">
        <f>VLOOKUP(tblTransactions[[#This Row],[Product_ID]],tblProducts[],5,FALSE)</f>
        <v>761.53</v>
      </c>
      <c r="M2106" s="4">
        <f>tblTransactions[[#This Row],[Total_Amount]]-(tblTransactions[[#This Row],[Cost_Prices]]*tblTransactions[[#This Row],[Quantity]]*(1-tblTransactions[[#This Row],[Discount]]))</f>
        <v>1628.8760000000007</v>
      </c>
      <c r="N2106" s="3">
        <f>tblTransactions[[#This Row],[Profit]]/tblTransactions[[#This Row],[Total_Amount]]</f>
        <v>0.30825287365022663</v>
      </c>
      <c r="O2106" t="str">
        <f>TEXT(tblTransactions[[#This Row],[Date]], "MMM-YYYY")</f>
        <v>Mar-2024</v>
      </c>
      <c r="P2106" t="str">
        <f>"Q"&amp;ROUNDUP(MONTH(tblTransactions[[#This Row],[Date]])/3,0)&amp;"-"&amp;YEAR(tblTransactions[[#This Row],[Date]])</f>
        <v>Q1-2024</v>
      </c>
      <c r="Q2106">
        <f>YEAR(tblTransactions[[#This Row],[Date]])</f>
        <v>2024</v>
      </c>
      <c r="R2106" t="str">
        <f>TEXT(tblTransactions[[#This Row],[Date]],"DDDD")</f>
        <v>Thursday</v>
      </c>
      <c r="S2106">
        <f>MONTH(tblTransactions[[#This Row],[Date]])</f>
        <v>3</v>
      </c>
      <c r="T2106" t="str">
        <f>VLOOKUP(E2106, Products!$A:$B,2,0)</f>
        <v>Phones Ele-2</v>
      </c>
      <c r="U2106" t="str">
        <f>VLOOKUP(E2106,Products!$A:$C,3,0)</f>
        <v>Electronics</v>
      </c>
      <c r="V2106" t="str">
        <f>VLOOKUP(E2106,Products!$A:$D,4,0)</f>
        <v>Phones</v>
      </c>
      <c r="W2106" t="str">
        <f>VLOOKUP(D2106,Customers!$A:$C,3,0)</f>
        <v>Small Business</v>
      </c>
      <c r="X2106" t="str">
        <f>VLOOKUP(C2106,Sales_Representatives!$A:$B,2,0)</f>
        <v>Michael Davis</v>
      </c>
    </row>
    <row r="2107" spans="1:24" x14ac:dyDescent="0.3">
      <c r="A2107" t="s">
        <v>2985</v>
      </c>
      <c r="B2107" t="s">
        <v>2982</v>
      </c>
      <c r="C2107" t="s">
        <v>82</v>
      </c>
      <c r="D2107" t="s">
        <v>2763</v>
      </c>
      <c r="E2107" t="s">
        <v>152</v>
      </c>
      <c r="F2107">
        <v>5</v>
      </c>
      <c r="G2107">
        <v>859.93</v>
      </c>
      <c r="H2107">
        <v>0.01</v>
      </c>
      <c r="I2107" s="4">
        <v>4256.6499999999996</v>
      </c>
      <c r="J2107" t="s">
        <v>34</v>
      </c>
      <c r="K2107" t="s">
        <v>39</v>
      </c>
      <c r="L2107" s="4">
        <f>VLOOKUP(tblTransactions[[#This Row],[Product_ID]],tblProducts[],5,FALSE)</f>
        <v>579.79</v>
      </c>
      <c r="M2107" s="4">
        <f>tblTransactions[[#This Row],[Total_Amount]]-(tblTransactions[[#This Row],[Cost_Prices]]*tblTransactions[[#This Row],[Quantity]]*(1-tblTransactions[[#This Row],[Discount]]))</f>
        <v>1386.6895</v>
      </c>
      <c r="N2107" s="3">
        <f>tblTransactions[[#This Row],[Profit]]/tblTransactions[[#This Row],[Total_Amount]]</f>
        <v>0.32577014788624858</v>
      </c>
      <c r="O2107" t="str">
        <f>TEXT(tblTransactions[[#This Row],[Date]], "MMM-YYYY")</f>
        <v>Mar-2024</v>
      </c>
      <c r="P2107" t="str">
        <f>"Q"&amp;ROUNDUP(MONTH(tblTransactions[[#This Row],[Date]])/3,0)&amp;"-"&amp;YEAR(tblTransactions[[#This Row],[Date]])</f>
        <v>Q1-2024</v>
      </c>
      <c r="Q2107">
        <f>YEAR(tblTransactions[[#This Row],[Date]])</f>
        <v>2024</v>
      </c>
      <c r="R2107" t="str">
        <f>TEXT(tblTransactions[[#This Row],[Date]],"DDDD")</f>
        <v>Thursday</v>
      </c>
      <c r="S2107">
        <f>MONTH(tblTransactions[[#This Row],[Date]])</f>
        <v>3</v>
      </c>
      <c r="T2107" t="str">
        <f>VLOOKUP(E2107, Products!$A:$B,2,0)</f>
        <v>Phones Ele-4</v>
      </c>
      <c r="U2107" t="str">
        <f>VLOOKUP(E2107,Products!$A:$C,3,0)</f>
        <v>Electronics</v>
      </c>
      <c r="V2107" t="str">
        <f>VLOOKUP(E2107,Products!$A:$D,4,0)</f>
        <v>Phones</v>
      </c>
      <c r="W2107" t="str">
        <f>VLOOKUP(D2107,Customers!$A:$C,3,0)</f>
        <v>B2C</v>
      </c>
      <c r="X2107" t="str">
        <f>VLOOKUP(C2107,Sales_Representatives!$A:$B,2,0)</f>
        <v>John Brown</v>
      </c>
    </row>
    <row r="2108" spans="1:24" x14ac:dyDescent="0.3">
      <c r="A2108" t="s">
        <v>2986</v>
      </c>
      <c r="B2108" t="s">
        <v>2987</v>
      </c>
      <c r="C2108" t="s">
        <v>27</v>
      </c>
      <c r="D2108" t="s">
        <v>1569</v>
      </c>
      <c r="E2108" t="s">
        <v>108</v>
      </c>
      <c r="F2108">
        <v>3</v>
      </c>
      <c r="G2108">
        <v>155.75</v>
      </c>
      <c r="H2108">
        <v>0.03</v>
      </c>
      <c r="I2108" s="4">
        <v>453.23</v>
      </c>
      <c r="J2108" t="s">
        <v>16</v>
      </c>
      <c r="K2108" t="s">
        <v>22</v>
      </c>
      <c r="L2108" s="4">
        <f>VLOOKUP(tblTransactions[[#This Row],[Product_ID]],tblProducts[],5,FALSE)</f>
        <v>80.8</v>
      </c>
      <c r="M2108" s="4">
        <f>tblTransactions[[#This Row],[Total_Amount]]-(tblTransactions[[#This Row],[Cost_Prices]]*tblTransactions[[#This Row],[Quantity]]*(1-tblTransactions[[#This Row],[Discount]]))</f>
        <v>218.10200000000006</v>
      </c>
      <c r="N2108" s="3">
        <f>tblTransactions[[#This Row],[Profit]]/tblTransactions[[#This Row],[Total_Amount]]</f>
        <v>0.48121704211989508</v>
      </c>
      <c r="O2108" t="str">
        <f>TEXT(tblTransactions[[#This Row],[Date]], "MMM-YYYY")</f>
        <v>Mar-2024</v>
      </c>
      <c r="P2108" t="str">
        <f>"Q"&amp;ROUNDUP(MONTH(tblTransactions[[#This Row],[Date]])/3,0)&amp;"-"&amp;YEAR(tblTransactions[[#This Row],[Date]])</f>
        <v>Q1-2024</v>
      </c>
      <c r="Q2108">
        <f>YEAR(tblTransactions[[#This Row],[Date]])</f>
        <v>2024</v>
      </c>
      <c r="R2108" t="str">
        <f>TEXT(tblTransactions[[#This Row],[Date]],"DDDD")</f>
        <v>Friday</v>
      </c>
      <c r="S2108">
        <f>MONTH(tblTransactions[[#This Row],[Date]])</f>
        <v>3</v>
      </c>
      <c r="T2108" t="str">
        <f>VLOOKUP(E2108, Products!$A:$B,2,0)</f>
        <v>Cases Acc-1</v>
      </c>
      <c r="U2108" t="str">
        <f>VLOOKUP(E2108,Products!$A:$C,3,0)</f>
        <v>Accessories</v>
      </c>
      <c r="V2108" t="str">
        <f>VLOOKUP(E2108,Products!$A:$D,4,0)</f>
        <v>Cases</v>
      </c>
      <c r="W2108" t="str">
        <f>VLOOKUP(D2108,Customers!$A:$C,3,0)</f>
        <v>Small Business</v>
      </c>
      <c r="X2108" t="str">
        <f>VLOOKUP(C2108,Sales_Representatives!$A:$B,2,0)</f>
        <v>Thomas Lopez</v>
      </c>
    </row>
    <row r="2109" spans="1:24" x14ac:dyDescent="0.3">
      <c r="A2109" t="s">
        <v>2988</v>
      </c>
      <c r="B2109" t="s">
        <v>2987</v>
      </c>
      <c r="C2109" t="s">
        <v>63</v>
      </c>
      <c r="D2109" t="s">
        <v>2469</v>
      </c>
      <c r="E2109" t="s">
        <v>394</v>
      </c>
      <c r="F2109">
        <v>4</v>
      </c>
      <c r="G2109">
        <v>314.69</v>
      </c>
      <c r="H2109">
        <v>0.05</v>
      </c>
      <c r="I2109" s="4">
        <v>1195.82</v>
      </c>
      <c r="J2109" t="s">
        <v>21</v>
      </c>
      <c r="K2109" t="s">
        <v>35</v>
      </c>
      <c r="L2109" s="4">
        <f>VLOOKUP(tblTransactions[[#This Row],[Product_ID]],tblProducts[],5,FALSE)</f>
        <v>185.43</v>
      </c>
      <c r="M2109" s="4">
        <f>tblTransactions[[#This Row],[Total_Amount]]-(tblTransactions[[#This Row],[Cost_Prices]]*tblTransactions[[#This Row],[Quantity]]*(1-tblTransactions[[#This Row],[Discount]]))</f>
        <v>491.18599999999992</v>
      </c>
      <c r="N2109" s="3">
        <f>tblTransactions[[#This Row],[Profit]]/tblTransactions[[#This Row],[Total_Amount]]</f>
        <v>0.41075245438276659</v>
      </c>
      <c r="O2109" t="str">
        <f>TEXT(tblTransactions[[#This Row],[Date]], "MMM-YYYY")</f>
        <v>Mar-2024</v>
      </c>
      <c r="P2109" t="str">
        <f>"Q"&amp;ROUNDUP(MONTH(tblTransactions[[#This Row],[Date]])/3,0)&amp;"-"&amp;YEAR(tblTransactions[[#This Row],[Date]])</f>
        <v>Q1-2024</v>
      </c>
      <c r="Q2109">
        <f>YEAR(tblTransactions[[#This Row],[Date]])</f>
        <v>2024</v>
      </c>
      <c r="R2109" t="str">
        <f>TEXT(tblTransactions[[#This Row],[Date]],"DDDD")</f>
        <v>Friday</v>
      </c>
      <c r="S2109">
        <f>MONTH(tblTransactions[[#This Row],[Date]])</f>
        <v>3</v>
      </c>
      <c r="T2109" t="str">
        <f>VLOOKUP(E2109, Products!$A:$B,2,0)</f>
        <v>Desks Fur-1</v>
      </c>
      <c r="U2109" t="str">
        <f>VLOOKUP(E2109,Products!$A:$C,3,0)</f>
        <v>Furniture</v>
      </c>
      <c r="V2109" t="str">
        <f>VLOOKUP(E2109,Products!$A:$D,4,0)</f>
        <v>Desks</v>
      </c>
      <c r="W2109" t="str">
        <f>VLOOKUP(D2109,Customers!$A:$C,3,0)</f>
        <v>B2C</v>
      </c>
      <c r="X2109" t="str">
        <f>VLOOKUP(C2109,Sales_Representatives!$A:$B,2,0)</f>
        <v>Richard Wilson</v>
      </c>
    </row>
    <row r="2110" spans="1:24" x14ac:dyDescent="0.3">
      <c r="A2110" t="s">
        <v>2989</v>
      </c>
      <c r="B2110" t="s">
        <v>2990</v>
      </c>
      <c r="C2110" t="s">
        <v>41</v>
      </c>
      <c r="D2110" t="s">
        <v>1460</v>
      </c>
      <c r="E2110" t="s">
        <v>304</v>
      </c>
      <c r="F2110">
        <v>3</v>
      </c>
      <c r="G2110">
        <v>13.43</v>
      </c>
      <c r="H2110">
        <v>0.09</v>
      </c>
      <c r="I2110" s="4">
        <v>36.659999999999997</v>
      </c>
      <c r="J2110" t="s">
        <v>44</v>
      </c>
      <c r="K2110" t="s">
        <v>22</v>
      </c>
      <c r="L2110" s="4">
        <f>VLOOKUP(tblTransactions[[#This Row],[Product_ID]],tblProducts[],5,FALSE)</f>
        <v>5.8</v>
      </c>
      <c r="M2110" s="4">
        <f>tblTransactions[[#This Row],[Total_Amount]]-(tblTransactions[[#This Row],[Cost_Prices]]*tblTransactions[[#This Row],[Quantity]]*(1-tblTransactions[[#This Row],[Discount]]))</f>
        <v>20.825999999999997</v>
      </c>
      <c r="N2110" s="3">
        <f>tblTransactions[[#This Row],[Profit]]/tblTransactions[[#This Row],[Total_Amount]]</f>
        <v>0.56808510638297871</v>
      </c>
      <c r="O2110" t="str">
        <f>TEXT(tblTransactions[[#This Row],[Date]], "MMM-YYYY")</f>
        <v>Mar-2024</v>
      </c>
      <c r="P2110" t="str">
        <f>"Q"&amp;ROUNDUP(MONTH(tblTransactions[[#This Row],[Date]])/3,0)&amp;"-"&amp;YEAR(tblTransactions[[#This Row],[Date]])</f>
        <v>Q1-2024</v>
      </c>
      <c r="Q2110">
        <f>YEAR(tblTransactions[[#This Row],[Date]])</f>
        <v>2024</v>
      </c>
      <c r="R2110" t="str">
        <f>TEXT(tblTransactions[[#This Row],[Date]],"DDDD")</f>
        <v>Saturday</v>
      </c>
      <c r="S2110">
        <f>MONTH(tblTransactions[[#This Row],[Date]])</f>
        <v>3</v>
      </c>
      <c r="T2110" t="str">
        <f>VLOOKUP(E2110, Products!$A:$B,2,0)</f>
        <v>Pens Off-1</v>
      </c>
      <c r="U2110" t="str">
        <f>VLOOKUP(E2110,Products!$A:$C,3,0)</f>
        <v>Office Supplies</v>
      </c>
      <c r="V2110" t="str">
        <f>VLOOKUP(E2110,Products!$A:$D,4,0)</f>
        <v>Pens</v>
      </c>
      <c r="W2110" t="str">
        <f>VLOOKUP(D2110,Customers!$A:$C,3,0)</f>
        <v>Small Business</v>
      </c>
      <c r="X2110" t="str">
        <f>VLOOKUP(C2110,Sales_Representatives!$A:$B,2,0)</f>
        <v>Robert Jones</v>
      </c>
    </row>
    <row r="2111" spans="1:24" x14ac:dyDescent="0.3">
      <c r="A2111" t="s">
        <v>2991</v>
      </c>
      <c r="B2111" t="s">
        <v>2990</v>
      </c>
      <c r="C2111" t="s">
        <v>56</v>
      </c>
      <c r="D2111" t="s">
        <v>1854</v>
      </c>
      <c r="E2111" t="s">
        <v>79</v>
      </c>
      <c r="F2111">
        <v>6</v>
      </c>
      <c r="G2111">
        <v>1452.36</v>
      </c>
      <c r="H2111">
        <v>0.11</v>
      </c>
      <c r="I2111" s="4">
        <v>7755.6</v>
      </c>
      <c r="J2111" t="s">
        <v>34</v>
      </c>
      <c r="K2111" t="s">
        <v>17</v>
      </c>
      <c r="L2111" s="4">
        <f>VLOOKUP(tblTransactions[[#This Row],[Product_ID]],tblProducts[],5,FALSE)</f>
        <v>778.71</v>
      </c>
      <c r="M2111" s="4">
        <f>tblTransactions[[#This Row],[Total_Amount]]-(tblTransactions[[#This Row],[Cost_Prices]]*tblTransactions[[#This Row],[Quantity]]*(1-tblTransactions[[#This Row],[Discount]]))</f>
        <v>3597.2885999999999</v>
      </c>
      <c r="N2111" s="3">
        <f>tblTransactions[[#This Row],[Profit]]/tblTransactions[[#This Row],[Total_Amount]]</f>
        <v>0.46383111558099949</v>
      </c>
      <c r="O2111" t="str">
        <f>TEXT(tblTransactions[[#This Row],[Date]], "MMM-YYYY")</f>
        <v>Mar-2024</v>
      </c>
      <c r="P2111" t="str">
        <f>"Q"&amp;ROUNDUP(MONTH(tblTransactions[[#This Row],[Date]])/3,0)&amp;"-"&amp;YEAR(tblTransactions[[#This Row],[Date]])</f>
        <v>Q1-2024</v>
      </c>
      <c r="Q2111">
        <f>YEAR(tblTransactions[[#This Row],[Date]])</f>
        <v>2024</v>
      </c>
      <c r="R2111" t="str">
        <f>TEXT(tblTransactions[[#This Row],[Date]],"DDDD")</f>
        <v>Saturday</v>
      </c>
      <c r="S2111">
        <f>MONTH(tblTransactions[[#This Row],[Date]])</f>
        <v>3</v>
      </c>
      <c r="T2111" t="str">
        <f>VLOOKUP(E2111, Products!$A:$B,2,0)</f>
        <v>Tables Fur-2</v>
      </c>
      <c r="U2111" t="str">
        <f>VLOOKUP(E2111,Products!$A:$C,3,0)</f>
        <v>Furniture</v>
      </c>
      <c r="V2111" t="str">
        <f>VLOOKUP(E2111,Products!$A:$D,4,0)</f>
        <v>Tables</v>
      </c>
      <c r="W2111" t="str">
        <f>VLOOKUP(D2111,Customers!$A:$C,3,0)</f>
        <v>Small Business</v>
      </c>
      <c r="X2111" t="str">
        <f>VLOOKUP(C2111,Sales_Representatives!$A:$B,2,0)</f>
        <v>Thomas Hernandez</v>
      </c>
    </row>
    <row r="2112" spans="1:24" x14ac:dyDescent="0.3">
      <c r="A2112" t="s">
        <v>2992</v>
      </c>
      <c r="B2112" t="s">
        <v>2993</v>
      </c>
      <c r="C2112" t="s">
        <v>59</v>
      </c>
      <c r="D2112" t="s">
        <v>124</v>
      </c>
      <c r="E2112" t="s">
        <v>172</v>
      </c>
      <c r="F2112">
        <v>8</v>
      </c>
      <c r="G2112">
        <v>1371.15</v>
      </c>
      <c r="H2112">
        <v>0.09</v>
      </c>
      <c r="I2112" s="4">
        <v>9981.9699999999993</v>
      </c>
      <c r="J2112" t="s">
        <v>21</v>
      </c>
      <c r="K2112" t="s">
        <v>22</v>
      </c>
      <c r="L2112" s="4">
        <f>VLOOKUP(tblTransactions[[#This Row],[Product_ID]],tblProducts[],5,FALSE)</f>
        <v>989.81</v>
      </c>
      <c r="M2112" s="4">
        <f>tblTransactions[[#This Row],[Total_Amount]]-(tblTransactions[[#This Row],[Cost_Prices]]*tblTransactions[[#This Row],[Quantity]]*(1-tblTransactions[[#This Row],[Discount]]))</f>
        <v>2776.1531999999997</v>
      </c>
      <c r="N2112" s="3">
        <f>tblTransactions[[#This Row],[Profit]]/tblTransactions[[#This Row],[Total_Amount]]</f>
        <v>0.27811676452644118</v>
      </c>
      <c r="O2112" t="str">
        <f>TEXT(tblTransactions[[#This Row],[Date]], "MMM-YYYY")</f>
        <v>Mar-2024</v>
      </c>
      <c r="P2112" t="str">
        <f>"Q"&amp;ROUNDUP(MONTH(tblTransactions[[#This Row],[Date]])/3,0)&amp;"-"&amp;YEAR(tblTransactions[[#This Row],[Date]])</f>
        <v>Q1-2024</v>
      </c>
      <c r="Q2112">
        <f>YEAR(tblTransactions[[#This Row],[Date]])</f>
        <v>2024</v>
      </c>
      <c r="R2112" t="str">
        <f>TEXT(tblTransactions[[#This Row],[Date]],"DDDD")</f>
        <v>Sunday</v>
      </c>
      <c r="S2112">
        <f>MONTH(tblTransactions[[#This Row],[Date]])</f>
        <v>3</v>
      </c>
      <c r="T2112" t="str">
        <f>VLOOKUP(E2112, Products!$A:$B,2,0)</f>
        <v>Cameras Ele-4</v>
      </c>
      <c r="U2112" t="str">
        <f>VLOOKUP(E2112,Products!$A:$C,3,0)</f>
        <v>Electronics</v>
      </c>
      <c r="V2112" t="str">
        <f>VLOOKUP(E2112,Products!$A:$D,4,0)</f>
        <v>Cameras</v>
      </c>
      <c r="W2112" t="str">
        <f>VLOOKUP(D2112,Customers!$A:$C,3,0)</f>
        <v>B2B</v>
      </c>
      <c r="X2112" t="str">
        <f>VLOOKUP(C2112,Sales_Representatives!$A:$B,2,0)</f>
        <v>Sarah Brown</v>
      </c>
    </row>
    <row r="2113" spans="1:24" x14ac:dyDescent="0.3">
      <c r="A2113" t="s">
        <v>2994</v>
      </c>
      <c r="B2113" t="s">
        <v>2993</v>
      </c>
      <c r="C2113" t="s">
        <v>31</v>
      </c>
      <c r="D2113" t="s">
        <v>1458</v>
      </c>
      <c r="E2113" t="s">
        <v>91</v>
      </c>
      <c r="F2113">
        <v>38</v>
      </c>
      <c r="G2113">
        <v>286.62</v>
      </c>
      <c r="H2113">
        <v>0.2</v>
      </c>
      <c r="I2113" s="4">
        <v>8713.25</v>
      </c>
      <c r="J2113" t="s">
        <v>34</v>
      </c>
      <c r="K2113" t="s">
        <v>39</v>
      </c>
      <c r="L2113" s="4">
        <f>VLOOKUP(tblTransactions[[#This Row],[Product_ID]],tblProducts[],5,FALSE)</f>
        <v>145.54</v>
      </c>
      <c r="M2113" s="4">
        <f>tblTransactions[[#This Row],[Total_Amount]]-(tblTransactions[[#This Row],[Cost_Prices]]*tblTransactions[[#This Row],[Quantity]]*(1-tblTransactions[[#This Row],[Discount]]))</f>
        <v>4288.8339999999998</v>
      </c>
      <c r="N2113" s="3">
        <f>tblTransactions[[#This Row],[Profit]]/tblTransactions[[#This Row],[Total_Amount]]</f>
        <v>0.49221978021978019</v>
      </c>
      <c r="O2113" t="str">
        <f>TEXT(tblTransactions[[#This Row],[Date]], "MMM-YYYY")</f>
        <v>Mar-2024</v>
      </c>
      <c r="P2113" t="str">
        <f>"Q"&amp;ROUNDUP(MONTH(tblTransactions[[#This Row],[Date]])/3,0)&amp;"-"&amp;YEAR(tblTransactions[[#This Row],[Date]])</f>
        <v>Q1-2024</v>
      </c>
      <c r="Q2113">
        <f>YEAR(tblTransactions[[#This Row],[Date]])</f>
        <v>2024</v>
      </c>
      <c r="R2113" t="str">
        <f>TEXT(tblTransactions[[#This Row],[Date]],"DDDD")</f>
        <v>Sunday</v>
      </c>
      <c r="S2113">
        <f>MONTH(tblTransactions[[#This Row],[Date]])</f>
        <v>3</v>
      </c>
      <c r="T2113" t="str">
        <f>VLOOKUP(E2113, Products!$A:$B,2,0)</f>
        <v>Chairs Fur-1</v>
      </c>
      <c r="U2113" t="str">
        <f>VLOOKUP(E2113,Products!$A:$C,3,0)</f>
        <v>Furniture</v>
      </c>
      <c r="V2113" t="str">
        <f>VLOOKUP(E2113,Products!$A:$D,4,0)</f>
        <v>Chairs</v>
      </c>
      <c r="W2113" t="str">
        <f>VLOOKUP(D2113,Customers!$A:$C,3,0)</f>
        <v>Enterprise</v>
      </c>
      <c r="X2113" t="str">
        <f>VLOOKUP(C2113,Sales_Representatives!$A:$B,2,0)</f>
        <v>Thomas Martinez</v>
      </c>
    </row>
    <row r="2114" spans="1:24" x14ac:dyDescent="0.3">
      <c r="A2114" t="s">
        <v>2995</v>
      </c>
      <c r="B2114" t="s">
        <v>2993</v>
      </c>
      <c r="C2114" t="s">
        <v>59</v>
      </c>
      <c r="D2114" t="s">
        <v>1638</v>
      </c>
      <c r="E2114" t="s">
        <v>65</v>
      </c>
      <c r="F2114">
        <v>7</v>
      </c>
      <c r="G2114">
        <v>49.44</v>
      </c>
      <c r="H2114">
        <v>0.15</v>
      </c>
      <c r="I2114" s="4">
        <v>294.17</v>
      </c>
      <c r="J2114" t="s">
        <v>21</v>
      </c>
      <c r="K2114" t="s">
        <v>35</v>
      </c>
      <c r="L2114" s="4">
        <f>VLOOKUP(tblTransactions[[#This Row],[Product_ID]],tblProducts[],5,FALSE)</f>
        <v>22.34</v>
      </c>
      <c r="M2114" s="4">
        <f>tblTransactions[[#This Row],[Total_Amount]]-(tblTransactions[[#This Row],[Cost_Prices]]*tblTransactions[[#This Row],[Quantity]]*(1-tblTransactions[[#This Row],[Discount]]))</f>
        <v>161.24700000000001</v>
      </c>
      <c r="N2114" s="3">
        <f>tblTransactions[[#This Row],[Profit]]/tblTransactions[[#This Row],[Total_Amount]]</f>
        <v>0.54814223068293844</v>
      </c>
      <c r="O2114" t="str">
        <f>TEXT(tblTransactions[[#This Row],[Date]], "MMM-YYYY")</f>
        <v>Mar-2024</v>
      </c>
      <c r="P2114" t="str">
        <f>"Q"&amp;ROUNDUP(MONTH(tblTransactions[[#This Row],[Date]])/3,0)&amp;"-"&amp;YEAR(tblTransactions[[#This Row],[Date]])</f>
        <v>Q1-2024</v>
      </c>
      <c r="Q2114">
        <f>YEAR(tblTransactions[[#This Row],[Date]])</f>
        <v>2024</v>
      </c>
      <c r="R2114" t="str">
        <f>TEXT(tblTransactions[[#This Row],[Date]],"DDDD")</f>
        <v>Sunday</v>
      </c>
      <c r="S2114">
        <f>MONTH(tblTransactions[[#This Row],[Date]])</f>
        <v>3</v>
      </c>
      <c r="T2114" t="str">
        <f>VLOOKUP(E2114, Products!$A:$B,2,0)</f>
        <v>Folders Off-2</v>
      </c>
      <c r="U2114" t="str">
        <f>VLOOKUP(E2114,Products!$A:$C,3,0)</f>
        <v>Office Supplies</v>
      </c>
      <c r="V2114" t="str">
        <f>VLOOKUP(E2114,Products!$A:$D,4,0)</f>
        <v>Folders</v>
      </c>
      <c r="W2114" t="str">
        <f>VLOOKUP(D2114,Customers!$A:$C,3,0)</f>
        <v>B2C</v>
      </c>
      <c r="X2114" t="str">
        <f>VLOOKUP(C2114,Sales_Representatives!$A:$B,2,0)</f>
        <v>Sarah Brown</v>
      </c>
    </row>
    <row r="2115" spans="1:24" x14ac:dyDescent="0.3">
      <c r="A2115" t="s">
        <v>2996</v>
      </c>
      <c r="B2115" t="s">
        <v>2993</v>
      </c>
      <c r="C2115" t="s">
        <v>82</v>
      </c>
      <c r="D2115" t="s">
        <v>52</v>
      </c>
      <c r="E2115" t="s">
        <v>232</v>
      </c>
      <c r="F2115">
        <v>1</v>
      </c>
      <c r="G2115">
        <v>60.21</v>
      </c>
      <c r="H2115">
        <v>0.08</v>
      </c>
      <c r="I2115" s="4">
        <v>55.39</v>
      </c>
      <c r="J2115" t="s">
        <v>34</v>
      </c>
      <c r="K2115" t="s">
        <v>39</v>
      </c>
      <c r="L2115" s="4">
        <f>VLOOKUP(tblTransactions[[#This Row],[Product_ID]],tblProducts[],5,FALSE)</f>
        <v>38.18</v>
      </c>
      <c r="M2115" s="4">
        <f>tblTransactions[[#This Row],[Total_Amount]]-(tblTransactions[[#This Row],[Cost_Prices]]*tblTransactions[[#This Row],[Quantity]]*(1-tblTransactions[[#This Row],[Discount]]))</f>
        <v>20.264400000000002</v>
      </c>
      <c r="N2115" s="3">
        <f>tblTransactions[[#This Row],[Profit]]/tblTransactions[[#This Row],[Total_Amount]]</f>
        <v>0.3658494313052898</v>
      </c>
      <c r="O2115" t="str">
        <f>TEXT(tblTransactions[[#This Row],[Date]], "MMM-YYYY")</f>
        <v>Mar-2024</v>
      </c>
      <c r="P2115" t="str">
        <f>"Q"&amp;ROUNDUP(MONTH(tblTransactions[[#This Row],[Date]])/3,0)&amp;"-"&amp;YEAR(tblTransactions[[#This Row],[Date]])</f>
        <v>Q1-2024</v>
      </c>
      <c r="Q2115">
        <f>YEAR(tblTransactions[[#This Row],[Date]])</f>
        <v>2024</v>
      </c>
      <c r="R2115" t="str">
        <f>TEXT(tblTransactions[[#This Row],[Date]],"DDDD")</f>
        <v>Sunday</v>
      </c>
      <c r="S2115">
        <f>MONTH(tblTransactions[[#This Row],[Date]])</f>
        <v>3</v>
      </c>
      <c r="T2115" t="str">
        <f>VLOOKUP(E2115, Products!$A:$B,2,0)</f>
        <v>Cables Acc-3</v>
      </c>
      <c r="U2115" t="str">
        <f>VLOOKUP(E2115,Products!$A:$C,3,0)</f>
        <v>Accessories</v>
      </c>
      <c r="V2115" t="str">
        <f>VLOOKUP(E2115,Products!$A:$D,4,0)</f>
        <v>Cables</v>
      </c>
      <c r="W2115" t="str">
        <f>VLOOKUP(D2115,Customers!$A:$C,3,0)</f>
        <v>B2C</v>
      </c>
      <c r="X2115" t="str">
        <f>VLOOKUP(C2115,Sales_Representatives!$A:$B,2,0)</f>
        <v>John Brown</v>
      </c>
    </row>
    <row r="2116" spans="1:24" x14ac:dyDescent="0.3">
      <c r="A2116" t="s">
        <v>2997</v>
      </c>
      <c r="B2116" t="s">
        <v>2993</v>
      </c>
      <c r="C2116" t="s">
        <v>63</v>
      </c>
      <c r="D2116" t="s">
        <v>2208</v>
      </c>
      <c r="E2116" t="s">
        <v>38</v>
      </c>
      <c r="F2116">
        <v>4</v>
      </c>
      <c r="G2116">
        <v>581.47</v>
      </c>
      <c r="H2116">
        <v>0.09</v>
      </c>
      <c r="I2116" s="4">
        <v>2116.5500000000002</v>
      </c>
      <c r="J2116" t="s">
        <v>21</v>
      </c>
      <c r="K2116" t="s">
        <v>35</v>
      </c>
      <c r="L2116" s="4">
        <f>VLOOKUP(tblTransactions[[#This Row],[Product_ID]],tblProducts[],5,FALSE)</f>
        <v>372.07</v>
      </c>
      <c r="M2116" s="4">
        <f>tblTransactions[[#This Row],[Total_Amount]]-(tblTransactions[[#This Row],[Cost_Prices]]*tblTransactions[[#This Row],[Quantity]]*(1-tblTransactions[[#This Row],[Discount]]))</f>
        <v>762.2152000000001</v>
      </c>
      <c r="N2116" s="3">
        <f>tblTransactions[[#This Row],[Profit]]/tblTransactions[[#This Row],[Total_Amount]]</f>
        <v>0.36012151850889418</v>
      </c>
      <c r="O2116" t="str">
        <f>TEXT(tblTransactions[[#This Row],[Date]], "MMM-YYYY")</f>
        <v>Mar-2024</v>
      </c>
      <c r="P2116" t="str">
        <f>"Q"&amp;ROUNDUP(MONTH(tblTransactions[[#This Row],[Date]])/3,0)&amp;"-"&amp;YEAR(tblTransactions[[#This Row],[Date]])</f>
        <v>Q1-2024</v>
      </c>
      <c r="Q2116">
        <f>YEAR(tblTransactions[[#This Row],[Date]])</f>
        <v>2024</v>
      </c>
      <c r="R2116" t="str">
        <f>TEXT(tblTransactions[[#This Row],[Date]],"DDDD")</f>
        <v>Sunday</v>
      </c>
      <c r="S2116">
        <f>MONTH(tblTransactions[[#This Row],[Date]])</f>
        <v>3</v>
      </c>
      <c r="T2116" t="str">
        <f>VLOOKUP(E2116, Products!$A:$B,2,0)</f>
        <v>Storage Fur-3</v>
      </c>
      <c r="U2116" t="str">
        <f>VLOOKUP(E2116,Products!$A:$C,3,0)</f>
        <v>Furniture</v>
      </c>
      <c r="V2116" t="str">
        <f>VLOOKUP(E2116,Products!$A:$D,4,0)</f>
        <v>Storage</v>
      </c>
      <c r="W2116" t="str">
        <f>VLOOKUP(D2116,Customers!$A:$C,3,0)</f>
        <v>B2B</v>
      </c>
      <c r="X2116" t="str">
        <f>VLOOKUP(C2116,Sales_Representatives!$A:$B,2,0)</f>
        <v>Richard Wilson</v>
      </c>
    </row>
    <row r="2117" spans="1:24" x14ac:dyDescent="0.3">
      <c r="A2117" t="s">
        <v>2998</v>
      </c>
      <c r="B2117" t="s">
        <v>2993</v>
      </c>
      <c r="C2117" t="s">
        <v>59</v>
      </c>
      <c r="D2117" t="s">
        <v>14</v>
      </c>
      <c r="E2117" t="s">
        <v>200</v>
      </c>
      <c r="F2117">
        <v>10</v>
      </c>
      <c r="G2117">
        <v>544.77</v>
      </c>
      <c r="H2117">
        <v>0.1</v>
      </c>
      <c r="I2117" s="4">
        <v>4902.93</v>
      </c>
      <c r="J2117" t="s">
        <v>21</v>
      </c>
      <c r="K2117" t="s">
        <v>39</v>
      </c>
      <c r="L2117" s="4">
        <f>VLOOKUP(tblTransactions[[#This Row],[Product_ID]],tblProducts[],5,FALSE)</f>
        <v>318.2</v>
      </c>
      <c r="M2117" s="4">
        <f>tblTransactions[[#This Row],[Total_Amount]]-(tblTransactions[[#This Row],[Cost_Prices]]*tblTransactions[[#This Row],[Quantity]]*(1-tblTransactions[[#This Row],[Discount]]))</f>
        <v>2039.13</v>
      </c>
      <c r="N2117" s="3">
        <f>tblTransactions[[#This Row],[Profit]]/tblTransactions[[#This Row],[Total_Amount]]</f>
        <v>0.41590028819501806</v>
      </c>
      <c r="O2117" t="str">
        <f>TEXT(tblTransactions[[#This Row],[Date]], "MMM-YYYY")</f>
        <v>Mar-2024</v>
      </c>
      <c r="P2117" t="str">
        <f>"Q"&amp;ROUNDUP(MONTH(tblTransactions[[#This Row],[Date]])/3,0)&amp;"-"&amp;YEAR(tblTransactions[[#This Row],[Date]])</f>
        <v>Q1-2024</v>
      </c>
      <c r="Q2117">
        <f>YEAR(tblTransactions[[#This Row],[Date]])</f>
        <v>2024</v>
      </c>
      <c r="R2117" t="str">
        <f>TEXT(tblTransactions[[#This Row],[Date]],"DDDD")</f>
        <v>Sunday</v>
      </c>
      <c r="S2117">
        <f>MONTH(tblTransactions[[#This Row],[Date]])</f>
        <v>3</v>
      </c>
      <c r="T2117" t="str">
        <f>VLOOKUP(E2117, Products!$A:$B,2,0)</f>
        <v>Desks Fur-4</v>
      </c>
      <c r="U2117" t="str">
        <f>VLOOKUP(E2117,Products!$A:$C,3,0)</f>
        <v>Furniture</v>
      </c>
      <c r="V2117" t="str">
        <f>VLOOKUP(E2117,Products!$A:$D,4,0)</f>
        <v>Desks</v>
      </c>
      <c r="W2117" t="str">
        <f>VLOOKUP(D2117,Customers!$A:$C,3,0)</f>
        <v>B2B</v>
      </c>
      <c r="X2117" t="str">
        <f>VLOOKUP(C2117,Sales_Representatives!$A:$B,2,0)</f>
        <v>Sarah Brown</v>
      </c>
    </row>
    <row r="2118" spans="1:24" x14ac:dyDescent="0.3">
      <c r="A2118" t="s">
        <v>2999</v>
      </c>
      <c r="B2118" t="s">
        <v>3000</v>
      </c>
      <c r="C2118" t="s">
        <v>27</v>
      </c>
      <c r="D2118" t="s">
        <v>3001</v>
      </c>
      <c r="E2118" t="s">
        <v>129</v>
      </c>
      <c r="F2118">
        <v>5</v>
      </c>
      <c r="G2118">
        <v>1283.71</v>
      </c>
      <c r="H2118">
        <v>0.1</v>
      </c>
      <c r="I2118" s="4">
        <v>5776.7</v>
      </c>
      <c r="J2118" t="s">
        <v>16</v>
      </c>
      <c r="K2118" t="s">
        <v>35</v>
      </c>
      <c r="L2118" s="4">
        <f>VLOOKUP(tblTransactions[[#This Row],[Product_ID]],tblProducts[],5,FALSE)</f>
        <v>970.14</v>
      </c>
      <c r="M2118" s="4">
        <f>tblTransactions[[#This Row],[Total_Amount]]-(tblTransactions[[#This Row],[Cost_Prices]]*tblTransactions[[#This Row],[Quantity]]*(1-tblTransactions[[#This Row],[Discount]]))</f>
        <v>1411.0699999999997</v>
      </c>
      <c r="N2118" s="3">
        <f>tblTransactions[[#This Row],[Profit]]/tblTransactions[[#This Row],[Total_Amount]]</f>
        <v>0.2442692194505513</v>
      </c>
      <c r="O2118" t="str">
        <f>TEXT(tblTransactions[[#This Row],[Date]], "MMM-YYYY")</f>
        <v>Mar-2024</v>
      </c>
      <c r="P2118" t="str">
        <f>"Q"&amp;ROUNDUP(MONTH(tblTransactions[[#This Row],[Date]])/3,0)&amp;"-"&amp;YEAR(tblTransactions[[#This Row],[Date]])</f>
        <v>Q1-2024</v>
      </c>
      <c r="Q2118">
        <f>YEAR(tblTransactions[[#This Row],[Date]])</f>
        <v>2024</v>
      </c>
      <c r="R2118" t="str">
        <f>TEXT(tblTransactions[[#This Row],[Date]],"DDDD")</f>
        <v>Monday</v>
      </c>
      <c r="S2118">
        <f>MONTH(tblTransactions[[#This Row],[Date]])</f>
        <v>3</v>
      </c>
      <c r="T2118" t="str">
        <f>VLOOKUP(E2118, Products!$A:$B,2,0)</f>
        <v>Cameras Ele-3</v>
      </c>
      <c r="U2118" t="str">
        <f>VLOOKUP(E2118,Products!$A:$C,3,0)</f>
        <v>Electronics</v>
      </c>
      <c r="V2118" t="str">
        <f>VLOOKUP(E2118,Products!$A:$D,4,0)</f>
        <v>Cameras</v>
      </c>
      <c r="W2118" t="str">
        <f>VLOOKUP(D2118,Customers!$A:$C,3,0)</f>
        <v>B2B</v>
      </c>
      <c r="X2118" t="str">
        <f>VLOOKUP(C2118,Sales_Representatives!$A:$B,2,0)</f>
        <v>Thomas Lopez</v>
      </c>
    </row>
    <row r="2119" spans="1:24" x14ac:dyDescent="0.3">
      <c r="A2119" t="s">
        <v>3002</v>
      </c>
      <c r="B2119" t="s">
        <v>3000</v>
      </c>
      <c r="C2119" t="s">
        <v>56</v>
      </c>
      <c r="D2119" t="s">
        <v>1794</v>
      </c>
      <c r="E2119" t="s">
        <v>255</v>
      </c>
      <c r="F2119">
        <v>5</v>
      </c>
      <c r="G2119">
        <v>1444.13</v>
      </c>
      <c r="H2119">
        <v>0.03</v>
      </c>
      <c r="I2119" s="4">
        <v>7004.03</v>
      </c>
      <c r="J2119" t="s">
        <v>34</v>
      </c>
      <c r="K2119" t="s">
        <v>17</v>
      </c>
      <c r="L2119" s="4">
        <f>VLOOKUP(tblTransactions[[#This Row],[Product_ID]],tblProducts[],5,FALSE)</f>
        <v>874.43</v>
      </c>
      <c r="M2119" s="4">
        <f>tblTransactions[[#This Row],[Total_Amount]]-(tblTransactions[[#This Row],[Cost_Prices]]*tblTransactions[[#This Row],[Quantity]]*(1-tblTransactions[[#This Row],[Discount]]))</f>
        <v>2763.0445</v>
      </c>
      <c r="N2119" s="3">
        <f>tblTransactions[[#This Row],[Profit]]/tblTransactions[[#This Row],[Total_Amount]]</f>
        <v>0.3944935272978557</v>
      </c>
      <c r="O2119" t="str">
        <f>TEXT(tblTransactions[[#This Row],[Date]], "MMM-YYYY")</f>
        <v>Mar-2024</v>
      </c>
      <c r="P2119" t="str">
        <f>"Q"&amp;ROUNDUP(MONTH(tblTransactions[[#This Row],[Date]])/3,0)&amp;"-"&amp;YEAR(tblTransactions[[#This Row],[Date]])</f>
        <v>Q1-2024</v>
      </c>
      <c r="Q2119">
        <f>YEAR(tblTransactions[[#This Row],[Date]])</f>
        <v>2024</v>
      </c>
      <c r="R2119" t="str">
        <f>TEXT(tblTransactions[[#This Row],[Date]],"DDDD")</f>
        <v>Monday</v>
      </c>
      <c r="S2119">
        <f>MONTH(tblTransactions[[#This Row],[Date]])</f>
        <v>3</v>
      </c>
      <c r="T2119" t="str">
        <f>VLOOKUP(E2119, Products!$A:$B,2,0)</f>
        <v>Printers Tec-1</v>
      </c>
      <c r="U2119" t="str">
        <f>VLOOKUP(E2119,Products!$A:$C,3,0)</f>
        <v>Technology</v>
      </c>
      <c r="V2119" t="str">
        <f>VLOOKUP(E2119,Products!$A:$D,4,0)</f>
        <v>Printers</v>
      </c>
      <c r="W2119" t="str">
        <f>VLOOKUP(D2119,Customers!$A:$C,3,0)</f>
        <v>B2B</v>
      </c>
      <c r="X2119" t="str">
        <f>VLOOKUP(C2119,Sales_Representatives!$A:$B,2,0)</f>
        <v>Thomas Hernandez</v>
      </c>
    </row>
    <row r="2120" spans="1:24" x14ac:dyDescent="0.3">
      <c r="A2120" t="s">
        <v>3003</v>
      </c>
      <c r="B2120" t="s">
        <v>3000</v>
      </c>
      <c r="C2120" t="s">
        <v>107</v>
      </c>
      <c r="D2120" t="s">
        <v>1971</v>
      </c>
      <c r="E2120" t="s">
        <v>243</v>
      </c>
      <c r="F2120">
        <v>14</v>
      </c>
      <c r="G2120">
        <v>384.18</v>
      </c>
      <c r="H2120">
        <v>0.2</v>
      </c>
      <c r="I2120" s="4">
        <v>4302.82</v>
      </c>
      <c r="J2120" t="s">
        <v>109</v>
      </c>
      <c r="K2120" t="s">
        <v>22</v>
      </c>
      <c r="L2120" s="4">
        <f>VLOOKUP(tblTransactions[[#This Row],[Product_ID]],tblProducts[],5,FALSE)</f>
        <v>266.92</v>
      </c>
      <c r="M2120" s="4">
        <f>tblTransactions[[#This Row],[Total_Amount]]-(tblTransactions[[#This Row],[Cost_Prices]]*tblTransactions[[#This Row],[Quantity]]*(1-tblTransactions[[#This Row],[Discount]]))</f>
        <v>1313.3159999999993</v>
      </c>
      <c r="N2120" s="3">
        <f>tblTransactions[[#This Row],[Profit]]/tblTransactions[[#This Row],[Total_Amount]]</f>
        <v>0.30522215663216201</v>
      </c>
      <c r="O2120" t="str">
        <f>TEXT(tblTransactions[[#This Row],[Date]], "MMM-YYYY")</f>
        <v>Mar-2024</v>
      </c>
      <c r="P2120" t="str">
        <f>"Q"&amp;ROUNDUP(MONTH(tblTransactions[[#This Row],[Date]])/3,0)&amp;"-"&amp;YEAR(tblTransactions[[#This Row],[Date]])</f>
        <v>Q1-2024</v>
      </c>
      <c r="Q2120">
        <f>YEAR(tblTransactions[[#This Row],[Date]])</f>
        <v>2024</v>
      </c>
      <c r="R2120" t="str">
        <f>TEXT(tblTransactions[[#This Row],[Date]],"DDDD")</f>
        <v>Monday</v>
      </c>
      <c r="S2120">
        <f>MONTH(tblTransactions[[#This Row],[Date]])</f>
        <v>3</v>
      </c>
      <c r="T2120" t="str">
        <f>VLOOKUP(E2120, Products!$A:$B,2,0)</f>
        <v>Routers Tec-3</v>
      </c>
      <c r="U2120" t="str">
        <f>VLOOKUP(E2120,Products!$A:$C,3,0)</f>
        <v>Technology</v>
      </c>
      <c r="V2120" t="str">
        <f>VLOOKUP(E2120,Products!$A:$D,4,0)</f>
        <v>Routers</v>
      </c>
      <c r="W2120" t="str">
        <f>VLOOKUP(D2120,Customers!$A:$C,3,0)</f>
        <v>B2B</v>
      </c>
      <c r="X2120" t="str">
        <f>VLOOKUP(C2120,Sales_Representatives!$A:$B,2,0)</f>
        <v>Jennifer Brown</v>
      </c>
    </row>
    <row r="2121" spans="1:24" x14ac:dyDescent="0.3">
      <c r="A2121" t="s">
        <v>3004</v>
      </c>
      <c r="B2121" t="s">
        <v>3000</v>
      </c>
      <c r="C2121" t="s">
        <v>59</v>
      </c>
      <c r="D2121" t="s">
        <v>216</v>
      </c>
      <c r="E2121" t="s">
        <v>204</v>
      </c>
      <c r="F2121">
        <v>4</v>
      </c>
      <c r="G2121">
        <v>715.62</v>
      </c>
      <c r="H2121">
        <v>0.01</v>
      </c>
      <c r="I2121" s="4">
        <v>2833.86</v>
      </c>
      <c r="J2121" t="s">
        <v>21</v>
      </c>
      <c r="K2121" t="s">
        <v>39</v>
      </c>
      <c r="L2121" s="4">
        <f>VLOOKUP(tblTransactions[[#This Row],[Product_ID]],tblProducts[],5,FALSE)</f>
        <v>459.58</v>
      </c>
      <c r="M2121" s="4">
        <f>tblTransactions[[#This Row],[Total_Amount]]-(tblTransactions[[#This Row],[Cost_Prices]]*tblTransactions[[#This Row],[Quantity]]*(1-tblTransactions[[#This Row],[Discount]]))</f>
        <v>1013.9232000000002</v>
      </c>
      <c r="N2121" s="3">
        <f>tblTransactions[[#This Row],[Profit]]/tblTransactions[[#This Row],[Total_Amount]]</f>
        <v>0.35778874044589365</v>
      </c>
      <c r="O2121" t="str">
        <f>TEXT(tblTransactions[[#This Row],[Date]], "MMM-YYYY")</f>
        <v>Mar-2024</v>
      </c>
      <c r="P2121" t="str">
        <f>"Q"&amp;ROUNDUP(MONTH(tblTransactions[[#This Row],[Date]])/3,0)&amp;"-"&amp;YEAR(tblTransactions[[#This Row],[Date]])</f>
        <v>Q1-2024</v>
      </c>
      <c r="Q2121">
        <f>YEAR(tblTransactions[[#This Row],[Date]])</f>
        <v>2024</v>
      </c>
      <c r="R2121" t="str">
        <f>TEXT(tblTransactions[[#This Row],[Date]],"DDDD")</f>
        <v>Monday</v>
      </c>
      <c r="S2121">
        <f>MONTH(tblTransactions[[#This Row],[Date]])</f>
        <v>3</v>
      </c>
      <c r="T2121" t="str">
        <f>VLOOKUP(E2121, Products!$A:$B,2,0)</f>
        <v>Cameras Ele-2</v>
      </c>
      <c r="U2121" t="str">
        <f>VLOOKUP(E2121,Products!$A:$C,3,0)</f>
        <v>Electronics</v>
      </c>
      <c r="V2121" t="str">
        <f>VLOOKUP(E2121,Products!$A:$D,4,0)</f>
        <v>Cameras</v>
      </c>
      <c r="W2121" t="str">
        <f>VLOOKUP(D2121,Customers!$A:$C,3,0)</f>
        <v>Small Business</v>
      </c>
      <c r="X2121" t="str">
        <f>VLOOKUP(C2121,Sales_Representatives!$A:$B,2,0)</f>
        <v>Sarah Brown</v>
      </c>
    </row>
    <row r="2122" spans="1:24" x14ac:dyDescent="0.3">
      <c r="A2122" t="s">
        <v>3005</v>
      </c>
      <c r="B2122" t="s">
        <v>3000</v>
      </c>
      <c r="C2122" t="s">
        <v>19</v>
      </c>
      <c r="D2122" t="s">
        <v>3006</v>
      </c>
      <c r="E2122" t="s">
        <v>113</v>
      </c>
      <c r="F2122">
        <v>6</v>
      </c>
      <c r="G2122">
        <v>930.41</v>
      </c>
      <c r="H2122">
        <v>0.12</v>
      </c>
      <c r="I2122" s="4">
        <v>4912.5600000000004</v>
      </c>
      <c r="J2122" t="s">
        <v>21</v>
      </c>
      <c r="K2122" t="s">
        <v>22</v>
      </c>
      <c r="L2122" s="4">
        <f>VLOOKUP(tblTransactions[[#This Row],[Product_ID]],tblProducts[],5,FALSE)</f>
        <v>595.51</v>
      </c>
      <c r="M2122" s="4">
        <f>tblTransactions[[#This Row],[Total_Amount]]-(tblTransactions[[#This Row],[Cost_Prices]]*tblTransactions[[#This Row],[Quantity]]*(1-tblTransactions[[#This Row],[Discount]]))</f>
        <v>1768.2672000000002</v>
      </c>
      <c r="N2122" s="3">
        <f>tblTransactions[[#This Row],[Profit]]/tblTransactions[[#This Row],[Total_Amount]]</f>
        <v>0.35994821437295427</v>
      </c>
      <c r="O2122" t="str">
        <f>TEXT(tblTransactions[[#This Row],[Date]], "MMM-YYYY")</f>
        <v>Mar-2024</v>
      </c>
      <c r="P2122" t="str">
        <f>"Q"&amp;ROUNDUP(MONTH(tblTransactions[[#This Row],[Date]])/3,0)&amp;"-"&amp;YEAR(tblTransactions[[#This Row],[Date]])</f>
        <v>Q1-2024</v>
      </c>
      <c r="Q2122">
        <f>YEAR(tblTransactions[[#This Row],[Date]])</f>
        <v>2024</v>
      </c>
      <c r="R2122" t="str">
        <f>TEXT(tblTransactions[[#This Row],[Date]],"DDDD")</f>
        <v>Monday</v>
      </c>
      <c r="S2122">
        <f>MONTH(tblTransactions[[#This Row],[Date]])</f>
        <v>3</v>
      </c>
      <c r="T2122" t="str">
        <f>VLOOKUP(E2122, Products!$A:$B,2,0)</f>
        <v>Phones Ele-1</v>
      </c>
      <c r="U2122" t="str">
        <f>VLOOKUP(E2122,Products!$A:$C,3,0)</f>
        <v>Electronics</v>
      </c>
      <c r="V2122" t="str">
        <f>VLOOKUP(E2122,Products!$A:$D,4,0)</f>
        <v>Phones</v>
      </c>
      <c r="W2122" t="str">
        <f>VLOOKUP(D2122,Customers!$A:$C,3,0)</f>
        <v>B2C</v>
      </c>
      <c r="X2122" t="str">
        <f>VLOOKUP(C2122,Sales_Representatives!$A:$B,2,0)</f>
        <v>Robert Jones</v>
      </c>
    </row>
    <row r="2123" spans="1:24" x14ac:dyDescent="0.3">
      <c r="A2123" t="s">
        <v>3007</v>
      </c>
      <c r="B2123" t="s">
        <v>3000</v>
      </c>
      <c r="C2123" t="s">
        <v>75</v>
      </c>
      <c r="D2123" t="s">
        <v>2600</v>
      </c>
      <c r="E2123" t="s">
        <v>178</v>
      </c>
      <c r="F2123">
        <v>18</v>
      </c>
      <c r="G2123">
        <v>1623.35</v>
      </c>
      <c r="H2123">
        <v>0.12</v>
      </c>
      <c r="I2123" s="4">
        <v>25713.86</v>
      </c>
      <c r="J2123" t="s">
        <v>44</v>
      </c>
      <c r="K2123" t="s">
        <v>17</v>
      </c>
      <c r="L2123" s="4">
        <f>VLOOKUP(tblTransactions[[#This Row],[Product_ID]],tblProducts[],5,FALSE)</f>
        <v>981.45</v>
      </c>
      <c r="M2123" s="4">
        <f>tblTransactions[[#This Row],[Total_Amount]]-(tblTransactions[[#This Row],[Cost_Prices]]*tblTransactions[[#This Row],[Quantity]]*(1-tblTransactions[[#This Row],[Discount]]))</f>
        <v>10167.691999999999</v>
      </c>
      <c r="N2123" s="3">
        <f>tblTransactions[[#This Row],[Profit]]/tblTransactions[[#This Row],[Total_Amount]]</f>
        <v>0.39541679078909192</v>
      </c>
      <c r="O2123" t="str">
        <f>TEXT(tblTransactions[[#This Row],[Date]], "MMM-YYYY")</f>
        <v>Mar-2024</v>
      </c>
      <c r="P2123" t="str">
        <f>"Q"&amp;ROUNDUP(MONTH(tblTransactions[[#This Row],[Date]])/3,0)&amp;"-"&amp;YEAR(tblTransactions[[#This Row],[Date]])</f>
        <v>Q1-2024</v>
      </c>
      <c r="Q2123">
        <f>YEAR(tblTransactions[[#This Row],[Date]])</f>
        <v>2024</v>
      </c>
      <c r="R2123" t="str">
        <f>TEXT(tblTransactions[[#This Row],[Date]],"DDDD")</f>
        <v>Monday</v>
      </c>
      <c r="S2123">
        <f>MONTH(tblTransactions[[#This Row],[Date]])</f>
        <v>3</v>
      </c>
      <c r="T2123" t="str">
        <f>VLOOKUP(E2123, Products!$A:$B,2,0)</f>
        <v>Tablets Ele-1</v>
      </c>
      <c r="U2123" t="str">
        <f>VLOOKUP(E2123,Products!$A:$C,3,0)</f>
        <v>Electronics</v>
      </c>
      <c r="V2123" t="str">
        <f>VLOOKUP(E2123,Products!$A:$D,4,0)</f>
        <v>Tablets</v>
      </c>
      <c r="W2123" t="str">
        <f>VLOOKUP(D2123,Customers!$A:$C,3,0)</f>
        <v>Enterprise</v>
      </c>
      <c r="X2123" t="str">
        <f>VLOOKUP(C2123,Sales_Representatives!$A:$B,2,0)</f>
        <v>Jessica Anderson</v>
      </c>
    </row>
    <row r="2124" spans="1:24" x14ac:dyDescent="0.3">
      <c r="A2124" t="s">
        <v>3008</v>
      </c>
      <c r="B2124" t="s">
        <v>3000</v>
      </c>
      <c r="C2124" t="s">
        <v>27</v>
      </c>
      <c r="D2124" t="s">
        <v>1988</v>
      </c>
      <c r="E2124" t="s">
        <v>53</v>
      </c>
      <c r="F2124">
        <v>33</v>
      </c>
      <c r="G2124">
        <v>2069.2199999999998</v>
      </c>
      <c r="H2124">
        <v>0.22</v>
      </c>
      <c r="I2124" s="4">
        <v>53261.72</v>
      </c>
      <c r="J2124" t="s">
        <v>16</v>
      </c>
      <c r="K2124" t="s">
        <v>22</v>
      </c>
      <c r="L2124" s="4">
        <f>VLOOKUP(tblTransactions[[#This Row],[Product_ID]],tblProducts[],5,FALSE)</f>
        <v>1451.18</v>
      </c>
      <c r="M2124" s="4">
        <f>tblTransactions[[#This Row],[Total_Amount]]-(tblTransactions[[#This Row],[Cost_Prices]]*tblTransactions[[#This Row],[Quantity]]*(1-tblTransactions[[#This Row],[Discount]]))</f>
        <v>15908.346799999999</v>
      </c>
      <c r="N2124" s="3">
        <f>tblTransactions[[#This Row],[Profit]]/tblTransactions[[#This Row],[Total_Amount]]</f>
        <v>0.29868255850543313</v>
      </c>
      <c r="O2124" t="str">
        <f>TEXT(tblTransactions[[#This Row],[Date]], "MMM-YYYY")</f>
        <v>Mar-2024</v>
      </c>
      <c r="P2124" t="str">
        <f>"Q"&amp;ROUNDUP(MONTH(tblTransactions[[#This Row],[Date]])/3,0)&amp;"-"&amp;YEAR(tblTransactions[[#This Row],[Date]])</f>
        <v>Q1-2024</v>
      </c>
      <c r="Q2124">
        <f>YEAR(tblTransactions[[#This Row],[Date]])</f>
        <v>2024</v>
      </c>
      <c r="R2124" t="str">
        <f>TEXT(tblTransactions[[#This Row],[Date]],"DDDD")</f>
        <v>Monday</v>
      </c>
      <c r="S2124">
        <f>MONTH(tblTransactions[[#This Row],[Date]])</f>
        <v>3</v>
      </c>
      <c r="T2124" t="str">
        <f>VLOOKUP(E2124, Products!$A:$B,2,0)</f>
        <v>Printers Tec-3</v>
      </c>
      <c r="U2124" t="str">
        <f>VLOOKUP(E2124,Products!$A:$C,3,0)</f>
        <v>Technology</v>
      </c>
      <c r="V2124" t="str">
        <f>VLOOKUP(E2124,Products!$A:$D,4,0)</f>
        <v>Printers</v>
      </c>
      <c r="W2124" t="str">
        <f>VLOOKUP(D2124,Customers!$A:$C,3,0)</f>
        <v>Enterprise</v>
      </c>
      <c r="X2124" t="str">
        <f>VLOOKUP(C2124,Sales_Representatives!$A:$B,2,0)</f>
        <v>Thomas Lopez</v>
      </c>
    </row>
    <row r="2125" spans="1:24" x14ac:dyDescent="0.3">
      <c r="A2125" t="s">
        <v>3009</v>
      </c>
      <c r="B2125" t="s">
        <v>3000</v>
      </c>
      <c r="C2125" t="s">
        <v>41</v>
      </c>
      <c r="D2125" t="s">
        <v>2188</v>
      </c>
      <c r="E2125" t="s">
        <v>89</v>
      </c>
      <c r="F2125">
        <v>3</v>
      </c>
      <c r="G2125">
        <v>555.08000000000004</v>
      </c>
      <c r="H2125">
        <v>0.01</v>
      </c>
      <c r="I2125" s="4">
        <v>1648.59</v>
      </c>
      <c r="J2125" t="s">
        <v>44</v>
      </c>
      <c r="K2125" t="s">
        <v>48</v>
      </c>
      <c r="L2125" s="4">
        <f>VLOOKUP(tblTransactions[[#This Row],[Product_ID]],tblProducts[],5,FALSE)</f>
        <v>402.82</v>
      </c>
      <c r="M2125" s="4">
        <f>tblTransactions[[#This Row],[Total_Amount]]-(tblTransactions[[#This Row],[Cost_Prices]]*tblTransactions[[#This Row],[Quantity]]*(1-tblTransactions[[#This Row],[Discount]]))</f>
        <v>452.21459999999979</v>
      </c>
      <c r="N2125" s="3">
        <f>tblTransactions[[#This Row],[Profit]]/tblTransactions[[#This Row],[Total_Amount]]</f>
        <v>0.2743038596618928</v>
      </c>
      <c r="O2125" t="str">
        <f>TEXT(tblTransactions[[#This Row],[Date]], "MMM-YYYY")</f>
        <v>Mar-2024</v>
      </c>
      <c r="P2125" t="str">
        <f>"Q"&amp;ROUNDUP(MONTH(tblTransactions[[#This Row],[Date]])/3,0)&amp;"-"&amp;YEAR(tblTransactions[[#This Row],[Date]])</f>
        <v>Q1-2024</v>
      </c>
      <c r="Q2125">
        <f>YEAR(tblTransactions[[#This Row],[Date]])</f>
        <v>2024</v>
      </c>
      <c r="R2125" t="str">
        <f>TEXT(tblTransactions[[#This Row],[Date]],"DDDD")</f>
        <v>Monday</v>
      </c>
      <c r="S2125">
        <f>MONTH(tblTransactions[[#This Row],[Date]])</f>
        <v>3</v>
      </c>
      <c r="T2125" t="str">
        <f>VLOOKUP(E2125, Products!$A:$B,2,0)</f>
        <v>Laptops Ele-3</v>
      </c>
      <c r="U2125" t="str">
        <f>VLOOKUP(E2125,Products!$A:$C,3,0)</f>
        <v>Electronics</v>
      </c>
      <c r="V2125" t="str">
        <f>VLOOKUP(E2125,Products!$A:$D,4,0)</f>
        <v>Laptops</v>
      </c>
      <c r="W2125" t="str">
        <f>VLOOKUP(D2125,Customers!$A:$C,3,0)</f>
        <v>B2C</v>
      </c>
      <c r="X2125" t="str">
        <f>VLOOKUP(C2125,Sales_Representatives!$A:$B,2,0)</f>
        <v>Robert Jones</v>
      </c>
    </row>
    <row r="2126" spans="1:24" x14ac:dyDescent="0.3">
      <c r="A2126" t="s">
        <v>3010</v>
      </c>
      <c r="B2126" t="s">
        <v>3011</v>
      </c>
      <c r="C2126" t="s">
        <v>19</v>
      </c>
      <c r="D2126" t="s">
        <v>2102</v>
      </c>
      <c r="E2126" t="s">
        <v>435</v>
      </c>
      <c r="F2126">
        <v>7</v>
      </c>
      <c r="G2126">
        <v>198.72</v>
      </c>
      <c r="H2126">
        <v>0.1</v>
      </c>
      <c r="I2126" s="4">
        <v>1251.94</v>
      </c>
      <c r="J2126" t="s">
        <v>21</v>
      </c>
      <c r="K2126" t="s">
        <v>35</v>
      </c>
      <c r="L2126" s="4">
        <f>VLOOKUP(tblTransactions[[#This Row],[Product_ID]],tblProducts[],5,FALSE)</f>
        <v>116.98</v>
      </c>
      <c r="M2126" s="4">
        <f>tblTransactions[[#This Row],[Total_Amount]]-(tblTransactions[[#This Row],[Cost_Prices]]*tblTransactions[[#This Row],[Quantity]]*(1-tblTransactions[[#This Row],[Discount]]))</f>
        <v>514.96600000000001</v>
      </c>
      <c r="N2126" s="3">
        <f>tblTransactions[[#This Row],[Profit]]/tblTransactions[[#This Row],[Total_Amount]]</f>
        <v>0.41133440899723628</v>
      </c>
      <c r="O2126" t="str">
        <f>TEXT(tblTransactions[[#This Row],[Date]], "MMM-YYYY")</f>
        <v>Mar-2024</v>
      </c>
      <c r="P2126" t="str">
        <f>"Q"&amp;ROUNDUP(MONTH(tblTransactions[[#This Row],[Date]])/3,0)&amp;"-"&amp;YEAR(tblTransactions[[#This Row],[Date]])</f>
        <v>Q1-2024</v>
      </c>
      <c r="Q2126">
        <f>YEAR(tblTransactions[[#This Row],[Date]])</f>
        <v>2024</v>
      </c>
      <c r="R2126" t="str">
        <f>TEXT(tblTransactions[[#This Row],[Date]],"DDDD")</f>
        <v>Tuesday</v>
      </c>
      <c r="S2126">
        <f>MONTH(tblTransactions[[#This Row],[Date]])</f>
        <v>3</v>
      </c>
      <c r="T2126" t="str">
        <f>VLOOKUP(E2126, Products!$A:$B,2,0)</f>
        <v>Paper Off-4</v>
      </c>
      <c r="U2126" t="str">
        <f>VLOOKUP(E2126,Products!$A:$C,3,0)</f>
        <v>Office Supplies</v>
      </c>
      <c r="V2126" t="str">
        <f>VLOOKUP(E2126,Products!$A:$D,4,0)</f>
        <v>Paper</v>
      </c>
      <c r="W2126" t="str">
        <f>VLOOKUP(D2126,Customers!$A:$C,3,0)</f>
        <v>B2C</v>
      </c>
      <c r="X2126" t="str">
        <f>VLOOKUP(C2126,Sales_Representatives!$A:$B,2,0)</f>
        <v>Robert Jones</v>
      </c>
    </row>
    <row r="2127" spans="1:24" x14ac:dyDescent="0.3">
      <c r="A2127" t="s">
        <v>3012</v>
      </c>
      <c r="B2127" t="s">
        <v>3011</v>
      </c>
      <c r="C2127" t="s">
        <v>13</v>
      </c>
      <c r="D2127" t="s">
        <v>164</v>
      </c>
      <c r="E2127" t="s">
        <v>148</v>
      </c>
      <c r="F2127">
        <v>7</v>
      </c>
      <c r="G2127">
        <v>20.420000000000002</v>
      </c>
      <c r="H2127">
        <v>0.09</v>
      </c>
      <c r="I2127" s="4">
        <v>130.08000000000001</v>
      </c>
      <c r="J2127" t="s">
        <v>16</v>
      </c>
      <c r="K2127" t="s">
        <v>17</v>
      </c>
      <c r="L2127" s="4">
        <f>VLOOKUP(tblTransactions[[#This Row],[Product_ID]],tblProducts[],5,FALSE)</f>
        <v>9.56</v>
      </c>
      <c r="M2127" s="4">
        <f>tblTransactions[[#This Row],[Total_Amount]]-(tblTransactions[[#This Row],[Cost_Prices]]*tblTransactions[[#This Row],[Quantity]]*(1-tblTransactions[[#This Row],[Discount]]))</f>
        <v>69.182800000000015</v>
      </c>
      <c r="N2127" s="3">
        <f>tblTransactions[[#This Row],[Profit]]/tblTransactions[[#This Row],[Total_Amount]]</f>
        <v>0.53184809348093487</v>
      </c>
      <c r="O2127" t="str">
        <f>TEXT(tblTransactions[[#This Row],[Date]], "MMM-YYYY")</f>
        <v>Mar-2024</v>
      </c>
      <c r="P2127" t="str">
        <f>"Q"&amp;ROUNDUP(MONTH(tblTransactions[[#This Row],[Date]])/3,0)&amp;"-"&amp;YEAR(tblTransactions[[#This Row],[Date]])</f>
        <v>Q1-2024</v>
      </c>
      <c r="Q2127">
        <f>YEAR(tblTransactions[[#This Row],[Date]])</f>
        <v>2024</v>
      </c>
      <c r="R2127" t="str">
        <f>TEXT(tblTransactions[[#This Row],[Date]],"DDDD")</f>
        <v>Tuesday</v>
      </c>
      <c r="S2127">
        <f>MONTH(tblTransactions[[#This Row],[Date]])</f>
        <v>3</v>
      </c>
      <c r="T2127" t="str">
        <f>VLOOKUP(E2127, Products!$A:$B,2,0)</f>
        <v>Cases Acc-3</v>
      </c>
      <c r="U2127" t="str">
        <f>VLOOKUP(E2127,Products!$A:$C,3,0)</f>
        <v>Accessories</v>
      </c>
      <c r="V2127" t="str">
        <f>VLOOKUP(E2127,Products!$A:$D,4,0)</f>
        <v>Cases</v>
      </c>
      <c r="W2127" t="str">
        <f>VLOOKUP(D2127,Customers!$A:$C,3,0)</f>
        <v>Small Business</v>
      </c>
      <c r="X2127" t="str">
        <f>VLOOKUP(C2127,Sales_Representatives!$A:$B,2,0)</f>
        <v>Jennifer Rodriguez</v>
      </c>
    </row>
    <row r="2128" spans="1:24" x14ac:dyDescent="0.3">
      <c r="A2128" t="s">
        <v>3013</v>
      </c>
      <c r="B2128" t="s">
        <v>3011</v>
      </c>
      <c r="C2128" t="s">
        <v>27</v>
      </c>
      <c r="D2128" t="s">
        <v>3014</v>
      </c>
      <c r="E2128" t="s">
        <v>178</v>
      </c>
      <c r="F2128">
        <v>13</v>
      </c>
      <c r="G2128">
        <v>1623.35</v>
      </c>
      <c r="H2128">
        <v>0.1</v>
      </c>
      <c r="I2128" s="4">
        <v>18993.2</v>
      </c>
      <c r="J2128" t="s">
        <v>16</v>
      </c>
      <c r="K2128" t="s">
        <v>39</v>
      </c>
      <c r="L2128" s="4">
        <f>VLOOKUP(tblTransactions[[#This Row],[Product_ID]],tblProducts[],5,FALSE)</f>
        <v>981.45</v>
      </c>
      <c r="M2128" s="4">
        <f>tblTransactions[[#This Row],[Total_Amount]]-(tblTransactions[[#This Row],[Cost_Prices]]*tblTransactions[[#This Row],[Quantity]]*(1-tblTransactions[[#This Row],[Discount]]))</f>
        <v>7510.2350000000006</v>
      </c>
      <c r="N2128" s="3">
        <f>tblTransactions[[#This Row],[Profit]]/tblTransactions[[#This Row],[Total_Amount]]</f>
        <v>0.39541704399469285</v>
      </c>
      <c r="O2128" t="str">
        <f>TEXT(tblTransactions[[#This Row],[Date]], "MMM-YYYY")</f>
        <v>Mar-2024</v>
      </c>
      <c r="P2128" t="str">
        <f>"Q"&amp;ROUNDUP(MONTH(tblTransactions[[#This Row],[Date]])/3,0)&amp;"-"&amp;YEAR(tblTransactions[[#This Row],[Date]])</f>
        <v>Q1-2024</v>
      </c>
      <c r="Q2128">
        <f>YEAR(tblTransactions[[#This Row],[Date]])</f>
        <v>2024</v>
      </c>
      <c r="R2128" t="str">
        <f>TEXT(tblTransactions[[#This Row],[Date]],"DDDD")</f>
        <v>Tuesday</v>
      </c>
      <c r="S2128">
        <f>MONTH(tblTransactions[[#This Row],[Date]])</f>
        <v>3</v>
      </c>
      <c r="T2128" t="str">
        <f>VLOOKUP(E2128, Products!$A:$B,2,0)</f>
        <v>Tablets Ele-1</v>
      </c>
      <c r="U2128" t="str">
        <f>VLOOKUP(E2128,Products!$A:$C,3,0)</f>
        <v>Electronics</v>
      </c>
      <c r="V2128" t="str">
        <f>VLOOKUP(E2128,Products!$A:$D,4,0)</f>
        <v>Tablets</v>
      </c>
      <c r="W2128" t="str">
        <f>VLOOKUP(D2128,Customers!$A:$C,3,0)</f>
        <v>B2B</v>
      </c>
      <c r="X2128" t="str">
        <f>VLOOKUP(C2128,Sales_Representatives!$A:$B,2,0)</f>
        <v>Thomas Lopez</v>
      </c>
    </row>
    <row r="2129" spans="1:24" x14ac:dyDescent="0.3">
      <c r="A2129" t="s">
        <v>3015</v>
      </c>
      <c r="B2129" t="s">
        <v>3011</v>
      </c>
      <c r="C2129" t="s">
        <v>19</v>
      </c>
      <c r="D2129" t="s">
        <v>3016</v>
      </c>
      <c r="E2129" t="s">
        <v>194</v>
      </c>
      <c r="F2129">
        <v>7</v>
      </c>
      <c r="G2129">
        <v>82.84</v>
      </c>
      <c r="H2129">
        <v>0.11</v>
      </c>
      <c r="I2129" s="4">
        <v>516.09</v>
      </c>
      <c r="J2129" t="s">
        <v>21</v>
      </c>
      <c r="K2129" t="s">
        <v>48</v>
      </c>
      <c r="L2129" s="4">
        <f>VLOOKUP(tblTransactions[[#This Row],[Product_ID]],tblProducts[],5,FALSE)</f>
        <v>52.98</v>
      </c>
      <c r="M2129" s="4">
        <f>tblTransactions[[#This Row],[Total_Amount]]-(tblTransactions[[#This Row],[Cost_Prices]]*tblTransactions[[#This Row],[Quantity]]*(1-tblTransactions[[#This Row],[Discount]]))</f>
        <v>186.02460000000008</v>
      </c>
      <c r="N2129" s="3">
        <f>tblTransactions[[#This Row],[Profit]]/tblTransactions[[#This Row],[Total_Amount]]</f>
        <v>0.36044992152531546</v>
      </c>
      <c r="O2129" t="str">
        <f>TEXT(tblTransactions[[#This Row],[Date]], "MMM-YYYY")</f>
        <v>Mar-2024</v>
      </c>
      <c r="P2129" t="str">
        <f>"Q"&amp;ROUNDUP(MONTH(tblTransactions[[#This Row],[Date]])/3,0)&amp;"-"&amp;YEAR(tblTransactions[[#This Row],[Date]])</f>
        <v>Q1-2024</v>
      </c>
      <c r="Q2129">
        <f>YEAR(tblTransactions[[#This Row],[Date]])</f>
        <v>2024</v>
      </c>
      <c r="R2129" t="str">
        <f>TEXT(tblTransactions[[#This Row],[Date]],"DDDD")</f>
        <v>Tuesday</v>
      </c>
      <c r="S2129">
        <f>MONTH(tblTransactions[[#This Row],[Date]])</f>
        <v>3</v>
      </c>
      <c r="T2129" t="str">
        <f>VLOOKUP(E2129, Products!$A:$B,2,0)</f>
        <v>Binders Off-2</v>
      </c>
      <c r="U2129" t="str">
        <f>VLOOKUP(E2129,Products!$A:$C,3,0)</f>
        <v>Office Supplies</v>
      </c>
      <c r="V2129" t="str">
        <f>VLOOKUP(E2129,Products!$A:$D,4,0)</f>
        <v>Binders</v>
      </c>
      <c r="W2129" t="str">
        <f>VLOOKUP(D2129,Customers!$A:$C,3,0)</f>
        <v>B2C</v>
      </c>
      <c r="X2129" t="str">
        <f>VLOOKUP(C2129,Sales_Representatives!$A:$B,2,0)</f>
        <v>Robert Jones</v>
      </c>
    </row>
    <row r="2130" spans="1:24" x14ac:dyDescent="0.3">
      <c r="A2130" t="s">
        <v>3017</v>
      </c>
      <c r="B2130" t="s">
        <v>3018</v>
      </c>
      <c r="C2130" t="s">
        <v>70</v>
      </c>
      <c r="D2130" t="s">
        <v>1467</v>
      </c>
      <c r="E2130" t="s">
        <v>191</v>
      </c>
      <c r="F2130">
        <v>2</v>
      </c>
      <c r="G2130">
        <v>1012.75</v>
      </c>
      <c r="H2130">
        <v>0.08</v>
      </c>
      <c r="I2130" s="4">
        <v>1863.46</v>
      </c>
      <c r="J2130" t="s">
        <v>16</v>
      </c>
      <c r="K2130" t="s">
        <v>48</v>
      </c>
      <c r="L2130" s="4">
        <f>VLOOKUP(tblTransactions[[#This Row],[Product_ID]],tblProducts[],5,FALSE)</f>
        <v>518.53</v>
      </c>
      <c r="M2130" s="4">
        <f>tblTransactions[[#This Row],[Total_Amount]]-(tblTransactions[[#This Row],[Cost_Prices]]*tblTransactions[[#This Row],[Quantity]]*(1-tblTransactions[[#This Row],[Discount]]))</f>
        <v>909.36480000000006</v>
      </c>
      <c r="N2130" s="3">
        <f>tblTransactions[[#This Row],[Profit]]/tblTransactions[[#This Row],[Total_Amount]]</f>
        <v>0.48799802517896818</v>
      </c>
      <c r="O2130" t="str">
        <f>TEXT(tblTransactions[[#This Row],[Date]], "MMM-YYYY")</f>
        <v>Mar-2024</v>
      </c>
      <c r="P2130" t="str">
        <f>"Q"&amp;ROUNDUP(MONTH(tblTransactions[[#This Row],[Date]])/3,0)&amp;"-"&amp;YEAR(tblTransactions[[#This Row],[Date]])</f>
        <v>Q1-2024</v>
      </c>
      <c r="Q2130">
        <f>YEAR(tblTransactions[[#This Row],[Date]])</f>
        <v>2024</v>
      </c>
      <c r="R2130" t="str">
        <f>TEXT(tblTransactions[[#This Row],[Date]],"DDDD")</f>
        <v>Wednesday</v>
      </c>
      <c r="S2130">
        <f>MONTH(tblTransactions[[#This Row],[Date]])</f>
        <v>3</v>
      </c>
      <c r="T2130" t="str">
        <f>VLOOKUP(E2130, Products!$A:$B,2,0)</f>
        <v>Tables Fur-4</v>
      </c>
      <c r="U2130" t="str">
        <f>VLOOKUP(E2130,Products!$A:$C,3,0)</f>
        <v>Furniture</v>
      </c>
      <c r="V2130" t="str">
        <f>VLOOKUP(E2130,Products!$A:$D,4,0)</f>
        <v>Tables</v>
      </c>
      <c r="W2130" t="str">
        <f>VLOOKUP(D2130,Customers!$A:$C,3,0)</f>
        <v>B2C</v>
      </c>
      <c r="X2130" t="str">
        <f>VLOOKUP(C2130,Sales_Representatives!$A:$B,2,0)</f>
        <v>Linda Smith</v>
      </c>
    </row>
    <row r="2131" spans="1:24" x14ac:dyDescent="0.3">
      <c r="A2131" t="s">
        <v>3019</v>
      </c>
      <c r="B2131" t="s">
        <v>3018</v>
      </c>
      <c r="C2131" t="s">
        <v>75</v>
      </c>
      <c r="D2131" t="s">
        <v>2320</v>
      </c>
      <c r="E2131" t="s">
        <v>450</v>
      </c>
      <c r="F2131">
        <v>28</v>
      </c>
      <c r="G2131">
        <v>2083.92</v>
      </c>
      <c r="H2131">
        <v>0.24</v>
      </c>
      <c r="I2131" s="4">
        <v>44345.82</v>
      </c>
      <c r="J2131" t="s">
        <v>44</v>
      </c>
      <c r="K2131" t="s">
        <v>22</v>
      </c>
      <c r="L2131" s="4">
        <f>VLOOKUP(tblTransactions[[#This Row],[Product_ID]],tblProducts[],5,FALSE)</f>
        <v>1425.78</v>
      </c>
      <c r="M2131" s="4">
        <f>tblTransactions[[#This Row],[Total_Amount]]-(tblTransactions[[#This Row],[Cost_Prices]]*tblTransactions[[#This Row],[Quantity]]*(1-tblTransactions[[#This Row],[Discount]]))</f>
        <v>14005.221600000001</v>
      </c>
      <c r="N2131" s="3">
        <f>tblTransactions[[#This Row],[Profit]]/tblTransactions[[#This Row],[Total_Amount]]</f>
        <v>0.31581830260439431</v>
      </c>
      <c r="O2131" t="str">
        <f>TEXT(tblTransactions[[#This Row],[Date]], "MMM-YYYY")</f>
        <v>Mar-2024</v>
      </c>
      <c r="P2131" t="str">
        <f>"Q"&amp;ROUNDUP(MONTH(tblTransactions[[#This Row],[Date]])/3,0)&amp;"-"&amp;YEAR(tblTransactions[[#This Row],[Date]])</f>
        <v>Q1-2024</v>
      </c>
      <c r="Q2131">
        <f>YEAR(tblTransactions[[#This Row],[Date]])</f>
        <v>2024</v>
      </c>
      <c r="R2131" t="str">
        <f>TEXT(tblTransactions[[#This Row],[Date]],"DDDD")</f>
        <v>Wednesday</v>
      </c>
      <c r="S2131">
        <f>MONTH(tblTransactions[[#This Row],[Date]])</f>
        <v>3</v>
      </c>
      <c r="T2131" t="str">
        <f>VLOOKUP(E2131, Products!$A:$B,2,0)</f>
        <v>Monitors Tec-4</v>
      </c>
      <c r="U2131" t="str">
        <f>VLOOKUP(E2131,Products!$A:$C,3,0)</f>
        <v>Technology</v>
      </c>
      <c r="V2131" t="str">
        <f>VLOOKUP(E2131,Products!$A:$D,4,0)</f>
        <v>Monitors</v>
      </c>
      <c r="W2131" t="str">
        <f>VLOOKUP(D2131,Customers!$A:$C,3,0)</f>
        <v>Enterprise</v>
      </c>
      <c r="X2131" t="str">
        <f>VLOOKUP(C2131,Sales_Representatives!$A:$B,2,0)</f>
        <v>Jessica Anderson</v>
      </c>
    </row>
    <row r="2132" spans="1:24" x14ac:dyDescent="0.3">
      <c r="A2132" t="s">
        <v>3020</v>
      </c>
      <c r="B2132" t="s">
        <v>3018</v>
      </c>
      <c r="C2132" t="s">
        <v>13</v>
      </c>
      <c r="D2132" t="s">
        <v>1852</v>
      </c>
      <c r="E2132" t="s">
        <v>152</v>
      </c>
      <c r="F2132">
        <v>19</v>
      </c>
      <c r="G2132">
        <v>859.93</v>
      </c>
      <c r="H2132">
        <v>0.13</v>
      </c>
      <c r="I2132" s="4">
        <v>14214.64</v>
      </c>
      <c r="J2132" t="s">
        <v>16</v>
      </c>
      <c r="K2132" t="s">
        <v>22</v>
      </c>
      <c r="L2132" s="4">
        <f>VLOOKUP(tblTransactions[[#This Row],[Product_ID]],tblProducts[],5,FALSE)</f>
        <v>579.79</v>
      </c>
      <c r="M2132" s="4">
        <f>tblTransactions[[#This Row],[Total_Amount]]-(tblTransactions[[#This Row],[Cost_Prices]]*tblTransactions[[#This Row],[Quantity]]*(1-tblTransactions[[#This Row],[Discount]]))</f>
        <v>4630.7113000000008</v>
      </c>
      <c r="N2132" s="3">
        <f>tblTransactions[[#This Row],[Profit]]/tblTransactions[[#This Row],[Total_Amount]]</f>
        <v>0.32577056471356297</v>
      </c>
      <c r="O2132" t="str">
        <f>TEXT(tblTransactions[[#This Row],[Date]], "MMM-YYYY")</f>
        <v>Mar-2024</v>
      </c>
      <c r="P2132" t="str">
        <f>"Q"&amp;ROUNDUP(MONTH(tblTransactions[[#This Row],[Date]])/3,0)&amp;"-"&amp;YEAR(tblTransactions[[#This Row],[Date]])</f>
        <v>Q1-2024</v>
      </c>
      <c r="Q2132">
        <f>YEAR(tblTransactions[[#This Row],[Date]])</f>
        <v>2024</v>
      </c>
      <c r="R2132" t="str">
        <f>TEXT(tblTransactions[[#This Row],[Date]],"DDDD")</f>
        <v>Wednesday</v>
      </c>
      <c r="S2132">
        <f>MONTH(tblTransactions[[#This Row],[Date]])</f>
        <v>3</v>
      </c>
      <c r="T2132" t="str">
        <f>VLOOKUP(E2132, Products!$A:$B,2,0)</f>
        <v>Phones Ele-4</v>
      </c>
      <c r="U2132" t="str">
        <f>VLOOKUP(E2132,Products!$A:$C,3,0)</f>
        <v>Electronics</v>
      </c>
      <c r="V2132" t="str">
        <f>VLOOKUP(E2132,Products!$A:$D,4,0)</f>
        <v>Phones</v>
      </c>
      <c r="W2132" t="str">
        <f>VLOOKUP(D2132,Customers!$A:$C,3,0)</f>
        <v>B2B</v>
      </c>
      <c r="X2132" t="str">
        <f>VLOOKUP(C2132,Sales_Representatives!$A:$B,2,0)</f>
        <v>Jennifer Rodriguez</v>
      </c>
    </row>
    <row r="2133" spans="1:24" x14ac:dyDescent="0.3">
      <c r="A2133" t="s">
        <v>3021</v>
      </c>
      <c r="B2133" t="s">
        <v>3018</v>
      </c>
      <c r="C2133" t="s">
        <v>27</v>
      </c>
      <c r="D2133" t="s">
        <v>2278</v>
      </c>
      <c r="E2133" t="s">
        <v>89</v>
      </c>
      <c r="F2133">
        <v>17</v>
      </c>
      <c r="G2133">
        <v>555.08000000000004</v>
      </c>
      <c r="H2133">
        <v>0.18</v>
      </c>
      <c r="I2133" s="4">
        <v>7737.82</v>
      </c>
      <c r="J2133" t="s">
        <v>16</v>
      </c>
      <c r="K2133" t="s">
        <v>48</v>
      </c>
      <c r="L2133" s="4">
        <f>VLOOKUP(tblTransactions[[#This Row],[Product_ID]],tblProducts[],5,FALSE)</f>
        <v>402.82</v>
      </c>
      <c r="M2133" s="4">
        <f>tblTransactions[[#This Row],[Total_Amount]]-(tblTransactions[[#This Row],[Cost_Prices]]*tblTransactions[[#This Row],[Quantity]]*(1-tblTransactions[[#This Row],[Discount]]))</f>
        <v>2122.5091999999995</v>
      </c>
      <c r="N2133" s="3">
        <f>tblTransactions[[#This Row],[Profit]]/tblTransactions[[#This Row],[Total_Amount]]</f>
        <v>0.27430325337110445</v>
      </c>
      <c r="O2133" t="str">
        <f>TEXT(tblTransactions[[#This Row],[Date]], "MMM-YYYY")</f>
        <v>Mar-2024</v>
      </c>
      <c r="P2133" t="str">
        <f>"Q"&amp;ROUNDUP(MONTH(tblTransactions[[#This Row],[Date]])/3,0)&amp;"-"&amp;YEAR(tblTransactions[[#This Row],[Date]])</f>
        <v>Q1-2024</v>
      </c>
      <c r="Q2133">
        <f>YEAR(tblTransactions[[#This Row],[Date]])</f>
        <v>2024</v>
      </c>
      <c r="R2133" t="str">
        <f>TEXT(tblTransactions[[#This Row],[Date]],"DDDD")</f>
        <v>Wednesday</v>
      </c>
      <c r="S2133">
        <f>MONTH(tblTransactions[[#This Row],[Date]])</f>
        <v>3</v>
      </c>
      <c r="T2133" t="str">
        <f>VLOOKUP(E2133, Products!$A:$B,2,0)</f>
        <v>Laptops Ele-3</v>
      </c>
      <c r="U2133" t="str">
        <f>VLOOKUP(E2133,Products!$A:$C,3,0)</f>
        <v>Electronics</v>
      </c>
      <c r="V2133" t="str">
        <f>VLOOKUP(E2133,Products!$A:$D,4,0)</f>
        <v>Laptops</v>
      </c>
      <c r="W2133" t="str">
        <f>VLOOKUP(D2133,Customers!$A:$C,3,0)</f>
        <v>B2B</v>
      </c>
      <c r="X2133" t="str">
        <f>VLOOKUP(C2133,Sales_Representatives!$A:$B,2,0)</f>
        <v>Thomas Lopez</v>
      </c>
    </row>
    <row r="2134" spans="1:24" x14ac:dyDescent="0.3">
      <c r="A2134" t="s">
        <v>3022</v>
      </c>
      <c r="B2134" t="s">
        <v>3018</v>
      </c>
      <c r="C2134" t="s">
        <v>31</v>
      </c>
      <c r="D2134" t="s">
        <v>1526</v>
      </c>
      <c r="E2134" t="s">
        <v>178</v>
      </c>
      <c r="F2134">
        <v>4</v>
      </c>
      <c r="G2134">
        <v>1623.35</v>
      </c>
      <c r="H2134">
        <v>0.04</v>
      </c>
      <c r="I2134" s="4">
        <v>6233.66</v>
      </c>
      <c r="J2134" t="s">
        <v>34</v>
      </c>
      <c r="K2134" t="s">
        <v>48</v>
      </c>
      <c r="L2134" s="4">
        <f>VLOOKUP(tblTransactions[[#This Row],[Product_ID]],tblProducts[],5,FALSE)</f>
        <v>981.45</v>
      </c>
      <c r="M2134" s="4">
        <f>tblTransactions[[#This Row],[Total_Amount]]-(tblTransactions[[#This Row],[Cost_Prices]]*tblTransactions[[#This Row],[Quantity]]*(1-tblTransactions[[#This Row],[Discount]]))</f>
        <v>2464.8919999999998</v>
      </c>
      <c r="N2134" s="3">
        <f>tblTransactions[[#This Row],[Profit]]/tblTransactions[[#This Row],[Total_Amount]]</f>
        <v>0.39541649688946778</v>
      </c>
      <c r="O2134" t="str">
        <f>TEXT(tblTransactions[[#This Row],[Date]], "MMM-YYYY")</f>
        <v>Mar-2024</v>
      </c>
      <c r="P2134" t="str">
        <f>"Q"&amp;ROUNDUP(MONTH(tblTransactions[[#This Row],[Date]])/3,0)&amp;"-"&amp;YEAR(tblTransactions[[#This Row],[Date]])</f>
        <v>Q1-2024</v>
      </c>
      <c r="Q2134">
        <f>YEAR(tblTransactions[[#This Row],[Date]])</f>
        <v>2024</v>
      </c>
      <c r="R2134" t="str">
        <f>TEXT(tblTransactions[[#This Row],[Date]],"DDDD")</f>
        <v>Wednesday</v>
      </c>
      <c r="S2134">
        <f>MONTH(tblTransactions[[#This Row],[Date]])</f>
        <v>3</v>
      </c>
      <c r="T2134" t="str">
        <f>VLOOKUP(E2134, Products!$A:$B,2,0)</f>
        <v>Tablets Ele-1</v>
      </c>
      <c r="U2134" t="str">
        <f>VLOOKUP(E2134,Products!$A:$C,3,0)</f>
        <v>Electronics</v>
      </c>
      <c r="V2134" t="str">
        <f>VLOOKUP(E2134,Products!$A:$D,4,0)</f>
        <v>Tablets</v>
      </c>
      <c r="W2134" t="str">
        <f>VLOOKUP(D2134,Customers!$A:$C,3,0)</f>
        <v>B2C</v>
      </c>
      <c r="X2134" t="str">
        <f>VLOOKUP(C2134,Sales_Representatives!$A:$B,2,0)</f>
        <v>Thomas Martinez</v>
      </c>
    </row>
    <row r="2135" spans="1:24" x14ac:dyDescent="0.3">
      <c r="A2135" t="s">
        <v>3023</v>
      </c>
      <c r="B2135" t="s">
        <v>3018</v>
      </c>
      <c r="C2135" t="s">
        <v>82</v>
      </c>
      <c r="D2135" t="s">
        <v>1582</v>
      </c>
      <c r="E2135" t="s">
        <v>25</v>
      </c>
      <c r="F2135">
        <v>2</v>
      </c>
      <c r="G2135">
        <v>1467.49</v>
      </c>
      <c r="H2135">
        <v>0.09</v>
      </c>
      <c r="I2135" s="4">
        <v>2670.83</v>
      </c>
      <c r="J2135" t="s">
        <v>34</v>
      </c>
      <c r="K2135" t="s">
        <v>48</v>
      </c>
      <c r="L2135" s="4">
        <f>VLOOKUP(tblTransactions[[#This Row],[Product_ID]],tblProducts[],5,FALSE)</f>
        <v>757.65</v>
      </c>
      <c r="M2135" s="4">
        <f>tblTransactions[[#This Row],[Total_Amount]]-(tblTransactions[[#This Row],[Cost_Prices]]*tblTransactions[[#This Row],[Quantity]]*(1-tblTransactions[[#This Row],[Discount]]))</f>
        <v>1291.9069999999999</v>
      </c>
      <c r="N2135" s="3">
        <f>tblTransactions[[#This Row],[Profit]]/tblTransactions[[#This Row],[Total_Amount]]</f>
        <v>0.4837099328673109</v>
      </c>
      <c r="O2135" t="str">
        <f>TEXT(tblTransactions[[#This Row],[Date]], "MMM-YYYY")</f>
        <v>Mar-2024</v>
      </c>
      <c r="P2135" t="str">
        <f>"Q"&amp;ROUNDUP(MONTH(tblTransactions[[#This Row],[Date]])/3,0)&amp;"-"&amp;YEAR(tblTransactions[[#This Row],[Date]])</f>
        <v>Q1-2024</v>
      </c>
      <c r="Q2135">
        <f>YEAR(tblTransactions[[#This Row],[Date]])</f>
        <v>2024</v>
      </c>
      <c r="R2135" t="str">
        <f>TEXT(tblTransactions[[#This Row],[Date]],"DDDD")</f>
        <v>Wednesday</v>
      </c>
      <c r="S2135">
        <f>MONTH(tblTransactions[[#This Row],[Date]])</f>
        <v>3</v>
      </c>
      <c r="T2135" t="str">
        <f>VLOOKUP(E2135, Products!$A:$B,2,0)</f>
        <v>Tables Fur-3</v>
      </c>
      <c r="U2135" t="str">
        <f>VLOOKUP(E2135,Products!$A:$C,3,0)</f>
        <v>Furniture</v>
      </c>
      <c r="V2135" t="str">
        <f>VLOOKUP(E2135,Products!$A:$D,4,0)</f>
        <v>Tables</v>
      </c>
      <c r="W2135" t="str">
        <f>VLOOKUP(D2135,Customers!$A:$C,3,0)</f>
        <v>Small Business</v>
      </c>
      <c r="X2135" t="str">
        <f>VLOOKUP(C2135,Sales_Representatives!$A:$B,2,0)</f>
        <v>John Brown</v>
      </c>
    </row>
    <row r="2136" spans="1:24" x14ac:dyDescent="0.3">
      <c r="A2136" t="s">
        <v>3024</v>
      </c>
      <c r="B2136" t="s">
        <v>3018</v>
      </c>
      <c r="C2136" t="s">
        <v>107</v>
      </c>
      <c r="D2136" t="s">
        <v>1774</v>
      </c>
      <c r="E2136" t="s">
        <v>53</v>
      </c>
      <c r="F2136">
        <v>37</v>
      </c>
      <c r="G2136">
        <v>2069.2199999999998</v>
      </c>
      <c r="H2136">
        <v>0.22</v>
      </c>
      <c r="I2136" s="4">
        <v>59717.69</v>
      </c>
      <c r="J2136" t="s">
        <v>109</v>
      </c>
      <c r="K2136" t="s">
        <v>48</v>
      </c>
      <c r="L2136" s="4">
        <f>VLOOKUP(tblTransactions[[#This Row],[Product_ID]],tblProducts[],5,FALSE)</f>
        <v>1451.18</v>
      </c>
      <c r="M2136" s="4">
        <f>tblTransactions[[#This Row],[Total_Amount]]-(tblTransactions[[#This Row],[Cost_Prices]]*tblTransactions[[#This Row],[Quantity]]*(1-tblTransactions[[#This Row],[Discount]]))</f>
        <v>17836.635199999997</v>
      </c>
      <c r="N2136" s="3">
        <f>tblTransactions[[#This Row],[Profit]]/tblTransactions[[#This Row],[Total_Amount]]</f>
        <v>0.29868260476920649</v>
      </c>
      <c r="O2136" t="str">
        <f>TEXT(tblTransactions[[#This Row],[Date]], "MMM-YYYY")</f>
        <v>Mar-2024</v>
      </c>
      <c r="P2136" t="str">
        <f>"Q"&amp;ROUNDUP(MONTH(tblTransactions[[#This Row],[Date]])/3,0)&amp;"-"&amp;YEAR(tblTransactions[[#This Row],[Date]])</f>
        <v>Q1-2024</v>
      </c>
      <c r="Q2136">
        <f>YEAR(tblTransactions[[#This Row],[Date]])</f>
        <v>2024</v>
      </c>
      <c r="R2136" t="str">
        <f>TEXT(tblTransactions[[#This Row],[Date]],"DDDD")</f>
        <v>Wednesday</v>
      </c>
      <c r="S2136">
        <f>MONTH(tblTransactions[[#This Row],[Date]])</f>
        <v>3</v>
      </c>
      <c r="T2136" t="str">
        <f>VLOOKUP(E2136, Products!$A:$B,2,0)</f>
        <v>Printers Tec-3</v>
      </c>
      <c r="U2136" t="str">
        <f>VLOOKUP(E2136,Products!$A:$C,3,0)</f>
        <v>Technology</v>
      </c>
      <c r="V2136" t="str">
        <f>VLOOKUP(E2136,Products!$A:$D,4,0)</f>
        <v>Printers</v>
      </c>
      <c r="W2136" t="str">
        <f>VLOOKUP(D2136,Customers!$A:$C,3,0)</f>
        <v>Enterprise</v>
      </c>
      <c r="X2136" t="str">
        <f>VLOOKUP(C2136,Sales_Representatives!$A:$B,2,0)</f>
        <v>Jennifer Brown</v>
      </c>
    </row>
    <row r="2137" spans="1:24" x14ac:dyDescent="0.3">
      <c r="A2137" t="s">
        <v>3025</v>
      </c>
      <c r="B2137" t="s">
        <v>3018</v>
      </c>
      <c r="C2137" t="s">
        <v>19</v>
      </c>
      <c r="D2137" t="s">
        <v>3006</v>
      </c>
      <c r="E2137" t="s">
        <v>116</v>
      </c>
      <c r="F2137">
        <v>6</v>
      </c>
      <c r="G2137">
        <v>232.86</v>
      </c>
      <c r="H2137">
        <v>0.13</v>
      </c>
      <c r="I2137" s="4">
        <v>1215.53</v>
      </c>
      <c r="J2137" t="s">
        <v>21</v>
      </c>
      <c r="K2137" t="s">
        <v>17</v>
      </c>
      <c r="L2137" s="4">
        <f>VLOOKUP(tblTransactions[[#This Row],[Product_ID]],tblProducts[],5,FALSE)</f>
        <v>116.79</v>
      </c>
      <c r="M2137" s="4">
        <f>tblTransactions[[#This Row],[Total_Amount]]-(tblTransactions[[#This Row],[Cost_Prices]]*tblTransactions[[#This Row],[Quantity]]*(1-tblTransactions[[#This Row],[Discount]]))</f>
        <v>605.88619999999992</v>
      </c>
      <c r="N2137" s="3">
        <f>tblTransactions[[#This Row],[Profit]]/tblTransactions[[#This Row],[Total_Amount]]</f>
        <v>0.49845433679135842</v>
      </c>
      <c r="O2137" t="str">
        <f>TEXT(tblTransactions[[#This Row],[Date]], "MMM-YYYY")</f>
        <v>Mar-2024</v>
      </c>
      <c r="P2137" t="str">
        <f>"Q"&amp;ROUNDUP(MONTH(tblTransactions[[#This Row],[Date]])/3,0)&amp;"-"&amp;YEAR(tblTransactions[[#This Row],[Date]])</f>
        <v>Q1-2024</v>
      </c>
      <c r="Q2137">
        <f>YEAR(tblTransactions[[#This Row],[Date]])</f>
        <v>2024</v>
      </c>
      <c r="R2137" t="str">
        <f>TEXT(tblTransactions[[#This Row],[Date]],"DDDD")</f>
        <v>Wednesday</v>
      </c>
      <c r="S2137">
        <f>MONTH(tblTransactions[[#This Row],[Date]])</f>
        <v>3</v>
      </c>
      <c r="T2137" t="str">
        <f>VLOOKUP(E2137, Products!$A:$B,2,0)</f>
        <v>Folders Off-4</v>
      </c>
      <c r="U2137" t="str">
        <f>VLOOKUP(E2137,Products!$A:$C,3,0)</f>
        <v>Office Supplies</v>
      </c>
      <c r="V2137" t="str">
        <f>VLOOKUP(E2137,Products!$A:$D,4,0)</f>
        <v>Folders</v>
      </c>
      <c r="W2137" t="str">
        <f>VLOOKUP(D2137,Customers!$A:$C,3,0)</f>
        <v>B2C</v>
      </c>
      <c r="X2137" t="str">
        <f>VLOOKUP(C2137,Sales_Representatives!$A:$B,2,0)</f>
        <v>Robert Jones</v>
      </c>
    </row>
    <row r="2138" spans="1:24" x14ac:dyDescent="0.3">
      <c r="A2138" t="s">
        <v>3026</v>
      </c>
      <c r="B2138" t="s">
        <v>3027</v>
      </c>
      <c r="C2138" t="s">
        <v>27</v>
      </c>
      <c r="D2138" t="s">
        <v>2074</v>
      </c>
      <c r="E2138" t="s">
        <v>206</v>
      </c>
      <c r="F2138">
        <v>1</v>
      </c>
      <c r="G2138">
        <v>292.51</v>
      </c>
      <c r="H2138">
        <v>0.01</v>
      </c>
      <c r="I2138" s="4">
        <v>289.58</v>
      </c>
      <c r="J2138" t="s">
        <v>16</v>
      </c>
      <c r="K2138" t="s">
        <v>48</v>
      </c>
      <c r="L2138" s="4">
        <f>VLOOKUP(tblTransactions[[#This Row],[Product_ID]],tblProducts[],5,FALSE)</f>
        <v>122.08</v>
      </c>
      <c r="M2138" s="4">
        <f>tblTransactions[[#This Row],[Total_Amount]]-(tblTransactions[[#This Row],[Cost_Prices]]*tblTransactions[[#This Row],[Quantity]]*(1-tblTransactions[[#This Row],[Discount]]))</f>
        <v>168.7208</v>
      </c>
      <c r="N2138" s="3">
        <f>tblTransactions[[#This Row],[Profit]]/tblTransactions[[#This Row],[Total_Amount]]</f>
        <v>0.58263968506112307</v>
      </c>
      <c r="O2138" t="str">
        <f>TEXT(tblTransactions[[#This Row],[Date]], "MMM-YYYY")</f>
        <v>Mar-2024</v>
      </c>
      <c r="P2138" t="str">
        <f>"Q"&amp;ROUNDUP(MONTH(tblTransactions[[#This Row],[Date]])/3,0)&amp;"-"&amp;YEAR(tblTransactions[[#This Row],[Date]])</f>
        <v>Q1-2024</v>
      </c>
      <c r="Q2138">
        <f>YEAR(tblTransactions[[#This Row],[Date]])</f>
        <v>2024</v>
      </c>
      <c r="R2138" t="str">
        <f>TEXT(tblTransactions[[#This Row],[Date]],"DDDD")</f>
        <v>Thursday</v>
      </c>
      <c r="S2138">
        <f>MONTH(tblTransactions[[#This Row],[Date]])</f>
        <v>3</v>
      </c>
      <c r="T2138" t="str">
        <f>VLOOKUP(E2138, Products!$A:$B,2,0)</f>
        <v>Keyboards Acc-1</v>
      </c>
      <c r="U2138" t="str">
        <f>VLOOKUP(E2138,Products!$A:$C,3,0)</f>
        <v>Accessories</v>
      </c>
      <c r="V2138" t="str">
        <f>VLOOKUP(E2138,Products!$A:$D,4,0)</f>
        <v>Keyboards</v>
      </c>
      <c r="W2138" t="str">
        <f>VLOOKUP(D2138,Customers!$A:$C,3,0)</f>
        <v>B2C</v>
      </c>
      <c r="X2138" t="str">
        <f>VLOOKUP(C2138,Sales_Representatives!$A:$B,2,0)</f>
        <v>Thomas Lopez</v>
      </c>
    </row>
    <row r="2139" spans="1:24" x14ac:dyDescent="0.3">
      <c r="A2139" t="s">
        <v>3028</v>
      </c>
      <c r="B2139" t="s">
        <v>3027</v>
      </c>
      <c r="C2139" t="s">
        <v>107</v>
      </c>
      <c r="D2139" t="s">
        <v>1487</v>
      </c>
      <c r="E2139" t="s">
        <v>290</v>
      </c>
      <c r="F2139">
        <v>5</v>
      </c>
      <c r="G2139">
        <v>729.32</v>
      </c>
      <c r="H2139">
        <v>0.03</v>
      </c>
      <c r="I2139" s="4">
        <v>3537.2</v>
      </c>
      <c r="J2139" t="s">
        <v>109</v>
      </c>
      <c r="K2139" t="s">
        <v>35</v>
      </c>
      <c r="L2139" s="4">
        <f>VLOOKUP(tblTransactions[[#This Row],[Product_ID]],tblProducts[],5,FALSE)</f>
        <v>482.7</v>
      </c>
      <c r="M2139" s="4">
        <f>tblTransactions[[#This Row],[Total_Amount]]-(tblTransactions[[#This Row],[Cost_Prices]]*tblTransactions[[#This Row],[Quantity]]*(1-tblTransactions[[#This Row],[Discount]]))</f>
        <v>1196.105</v>
      </c>
      <c r="N2139" s="3">
        <f>tblTransactions[[#This Row],[Profit]]/tblTransactions[[#This Row],[Total_Amount]]</f>
        <v>0.33815023182177995</v>
      </c>
      <c r="O2139" t="str">
        <f>TEXT(tblTransactions[[#This Row],[Date]], "MMM-YYYY")</f>
        <v>Mar-2024</v>
      </c>
      <c r="P2139" t="str">
        <f>"Q"&amp;ROUNDUP(MONTH(tblTransactions[[#This Row],[Date]])/3,0)&amp;"-"&amp;YEAR(tblTransactions[[#This Row],[Date]])</f>
        <v>Q1-2024</v>
      </c>
      <c r="Q2139">
        <f>YEAR(tblTransactions[[#This Row],[Date]])</f>
        <v>2024</v>
      </c>
      <c r="R2139" t="str">
        <f>TEXT(tblTransactions[[#This Row],[Date]],"DDDD")</f>
        <v>Thursday</v>
      </c>
      <c r="S2139">
        <f>MONTH(tblTransactions[[#This Row],[Date]])</f>
        <v>3</v>
      </c>
      <c r="T2139" t="str">
        <f>VLOOKUP(E2139, Products!$A:$B,2,0)</f>
        <v>Tables Fur-1</v>
      </c>
      <c r="U2139" t="str">
        <f>VLOOKUP(E2139,Products!$A:$C,3,0)</f>
        <v>Furniture</v>
      </c>
      <c r="V2139" t="str">
        <f>VLOOKUP(E2139,Products!$A:$D,4,0)</f>
        <v>Tables</v>
      </c>
      <c r="W2139" t="str">
        <f>VLOOKUP(D2139,Customers!$A:$C,3,0)</f>
        <v>B2B</v>
      </c>
      <c r="X2139" t="str">
        <f>VLOOKUP(C2139,Sales_Representatives!$A:$B,2,0)</f>
        <v>Jennifer Brown</v>
      </c>
    </row>
    <row r="2140" spans="1:24" x14ac:dyDescent="0.3">
      <c r="A2140" t="s">
        <v>3029</v>
      </c>
      <c r="B2140" t="s">
        <v>3027</v>
      </c>
      <c r="C2140" t="s">
        <v>82</v>
      </c>
      <c r="D2140" t="s">
        <v>1988</v>
      </c>
      <c r="E2140" t="s">
        <v>200</v>
      </c>
      <c r="F2140">
        <v>25</v>
      </c>
      <c r="G2140">
        <v>544.77</v>
      </c>
      <c r="H2140">
        <v>0.18</v>
      </c>
      <c r="I2140" s="4">
        <v>11167.78</v>
      </c>
      <c r="J2140" t="s">
        <v>34</v>
      </c>
      <c r="K2140" t="s">
        <v>17</v>
      </c>
      <c r="L2140" s="4">
        <f>VLOOKUP(tblTransactions[[#This Row],[Product_ID]],tblProducts[],5,FALSE)</f>
        <v>318.2</v>
      </c>
      <c r="M2140" s="4">
        <f>tblTransactions[[#This Row],[Total_Amount]]-(tblTransactions[[#This Row],[Cost_Prices]]*tblTransactions[[#This Row],[Quantity]]*(1-tblTransactions[[#This Row],[Discount]]))</f>
        <v>4644.68</v>
      </c>
      <c r="N2140" s="3">
        <f>tblTransactions[[#This Row],[Profit]]/tblTransactions[[#This Row],[Total_Amount]]</f>
        <v>0.41590002668390674</v>
      </c>
      <c r="O2140" t="str">
        <f>TEXT(tblTransactions[[#This Row],[Date]], "MMM-YYYY")</f>
        <v>Mar-2024</v>
      </c>
      <c r="P2140" t="str">
        <f>"Q"&amp;ROUNDUP(MONTH(tblTransactions[[#This Row],[Date]])/3,0)&amp;"-"&amp;YEAR(tblTransactions[[#This Row],[Date]])</f>
        <v>Q1-2024</v>
      </c>
      <c r="Q2140">
        <f>YEAR(tblTransactions[[#This Row],[Date]])</f>
        <v>2024</v>
      </c>
      <c r="R2140" t="str">
        <f>TEXT(tblTransactions[[#This Row],[Date]],"DDDD")</f>
        <v>Thursday</v>
      </c>
      <c r="S2140">
        <f>MONTH(tblTransactions[[#This Row],[Date]])</f>
        <v>3</v>
      </c>
      <c r="T2140" t="str">
        <f>VLOOKUP(E2140, Products!$A:$B,2,0)</f>
        <v>Desks Fur-4</v>
      </c>
      <c r="U2140" t="str">
        <f>VLOOKUP(E2140,Products!$A:$C,3,0)</f>
        <v>Furniture</v>
      </c>
      <c r="V2140" t="str">
        <f>VLOOKUP(E2140,Products!$A:$D,4,0)</f>
        <v>Desks</v>
      </c>
      <c r="W2140" t="str">
        <f>VLOOKUP(D2140,Customers!$A:$C,3,0)</f>
        <v>Enterprise</v>
      </c>
      <c r="X2140" t="str">
        <f>VLOOKUP(C2140,Sales_Representatives!$A:$B,2,0)</f>
        <v>John Brown</v>
      </c>
    </row>
    <row r="2141" spans="1:24" x14ac:dyDescent="0.3">
      <c r="A2141" t="s">
        <v>3030</v>
      </c>
      <c r="B2141" t="s">
        <v>3027</v>
      </c>
      <c r="C2141" t="s">
        <v>27</v>
      </c>
      <c r="D2141" t="s">
        <v>2627</v>
      </c>
      <c r="E2141" t="s">
        <v>232</v>
      </c>
      <c r="F2141">
        <v>1</v>
      </c>
      <c r="G2141">
        <v>60.21</v>
      </c>
      <c r="H2141">
        <v>0.01</v>
      </c>
      <c r="I2141" s="4">
        <v>59.61</v>
      </c>
      <c r="J2141" t="s">
        <v>16</v>
      </c>
      <c r="K2141" t="s">
        <v>39</v>
      </c>
      <c r="L2141" s="4">
        <f>VLOOKUP(tblTransactions[[#This Row],[Product_ID]],tblProducts[],5,FALSE)</f>
        <v>38.18</v>
      </c>
      <c r="M2141" s="4">
        <f>tblTransactions[[#This Row],[Total_Amount]]-(tblTransactions[[#This Row],[Cost_Prices]]*tblTransactions[[#This Row],[Quantity]]*(1-tblTransactions[[#This Row],[Discount]]))</f>
        <v>21.811799999999998</v>
      </c>
      <c r="N2141" s="3">
        <f>tblTransactions[[#This Row],[Profit]]/tblTransactions[[#This Row],[Total_Amount]]</f>
        <v>0.36590840463009561</v>
      </c>
      <c r="O2141" t="str">
        <f>TEXT(tblTransactions[[#This Row],[Date]], "MMM-YYYY")</f>
        <v>Mar-2024</v>
      </c>
      <c r="P2141" t="str">
        <f>"Q"&amp;ROUNDUP(MONTH(tblTransactions[[#This Row],[Date]])/3,0)&amp;"-"&amp;YEAR(tblTransactions[[#This Row],[Date]])</f>
        <v>Q1-2024</v>
      </c>
      <c r="Q2141">
        <f>YEAR(tblTransactions[[#This Row],[Date]])</f>
        <v>2024</v>
      </c>
      <c r="R2141" t="str">
        <f>TEXT(tblTransactions[[#This Row],[Date]],"DDDD")</f>
        <v>Thursday</v>
      </c>
      <c r="S2141">
        <f>MONTH(tblTransactions[[#This Row],[Date]])</f>
        <v>3</v>
      </c>
      <c r="T2141" t="str">
        <f>VLOOKUP(E2141, Products!$A:$B,2,0)</f>
        <v>Cables Acc-3</v>
      </c>
      <c r="U2141" t="str">
        <f>VLOOKUP(E2141,Products!$A:$C,3,0)</f>
        <v>Accessories</v>
      </c>
      <c r="V2141" t="str">
        <f>VLOOKUP(E2141,Products!$A:$D,4,0)</f>
        <v>Cables</v>
      </c>
      <c r="W2141" t="str">
        <f>VLOOKUP(D2141,Customers!$A:$C,3,0)</f>
        <v>B2C</v>
      </c>
      <c r="X2141" t="str">
        <f>VLOOKUP(C2141,Sales_Representatives!$A:$B,2,0)</f>
        <v>Thomas Lopez</v>
      </c>
    </row>
    <row r="2142" spans="1:24" x14ac:dyDescent="0.3">
      <c r="A2142" t="s">
        <v>3031</v>
      </c>
      <c r="B2142" t="s">
        <v>3027</v>
      </c>
      <c r="C2142" t="s">
        <v>27</v>
      </c>
      <c r="D2142" t="s">
        <v>1586</v>
      </c>
      <c r="E2142" t="s">
        <v>157</v>
      </c>
      <c r="F2142">
        <v>10</v>
      </c>
      <c r="G2142">
        <v>1227.68</v>
      </c>
      <c r="H2142">
        <v>0.11</v>
      </c>
      <c r="I2142" s="4">
        <v>10926.35</v>
      </c>
      <c r="J2142" t="s">
        <v>16</v>
      </c>
      <c r="K2142" t="s">
        <v>22</v>
      </c>
      <c r="L2142" s="4">
        <f>VLOOKUP(tblTransactions[[#This Row],[Product_ID]],tblProducts[],5,FALSE)</f>
        <v>846.42</v>
      </c>
      <c r="M2142" s="4">
        <f>tblTransactions[[#This Row],[Total_Amount]]-(tblTransactions[[#This Row],[Cost_Prices]]*tblTransactions[[#This Row],[Quantity]]*(1-tblTransactions[[#This Row],[Discount]]))</f>
        <v>3393.2120000000014</v>
      </c>
      <c r="N2142" s="3">
        <f>tblTransactions[[#This Row],[Profit]]/tblTransactions[[#This Row],[Total_Amount]]</f>
        <v>0.31055311243004308</v>
      </c>
      <c r="O2142" t="str">
        <f>TEXT(tblTransactions[[#This Row],[Date]], "MMM-YYYY")</f>
        <v>Mar-2024</v>
      </c>
      <c r="P2142" t="str">
        <f>"Q"&amp;ROUNDUP(MONTH(tblTransactions[[#This Row],[Date]])/3,0)&amp;"-"&amp;YEAR(tblTransactions[[#This Row],[Date]])</f>
        <v>Q1-2024</v>
      </c>
      <c r="Q2142">
        <f>YEAR(tblTransactions[[#This Row],[Date]])</f>
        <v>2024</v>
      </c>
      <c r="R2142" t="str">
        <f>TEXT(tblTransactions[[#This Row],[Date]],"DDDD")</f>
        <v>Thursday</v>
      </c>
      <c r="S2142">
        <f>MONTH(tblTransactions[[#This Row],[Date]])</f>
        <v>3</v>
      </c>
      <c r="T2142" t="str">
        <f>VLOOKUP(E2142, Products!$A:$B,2,0)</f>
        <v>Printers Tec-4</v>
      </c>
      <c r="U2142" t="str">
        <f>VLOOKUP(E2142,Products!$A:$C,3,0)</f>
        <v>Technology</v>
      </c>
      <c r="V2142" t="str">
        <f>VLOOKUP(E2142,Products!$A:$D,4,0)</f>
        <v>Printers</v>
      </c>
      <c r="W2142" t="str">
        <f>VLOOKUP(D2142,Customers!$A:$C,3,0)</f>
        <v>B2B</v>
      </c>
      <c r="X2142" t="str">
        <f>VLOOKUP(C2142,Sales_Representatives!$A:$B,2,0)</f>
        <v>Thomas Lopez</v>
      </c>
    </row>
    <row r="2143" spans="1:24" x14ac:dyDescent="0.3">
      <c r="A2143" t="s">
        <v>3032</v>
      </c>
      <c r="B2143" t="s">
        <v>3033</v>
      </c>
      <c r="C2143" t="s">
        <v>63</v>
      </c>
      <c r="D2143" t="s">
        <v>1532</v>
      </c>
      <c r="E2143" t="s">
        <v>25</v>
      </c>
      <c r="F2143">
        <v>10</v>
      </c>
      <c r="G2143">
        <v>1467.49</v>
      </c>
      <c r="H2143">
        <v>0.12</v>
      </c>
      <c r="I2143" s="4">
        <v>12913.91</v>
      </c>
      <c r="J2143" t="s">
        <v>21</v>
      </c>
      <c r="K2143" t="s">
        <v>35</v>
      </c>
      <c r="L2143" s="4">
        <f>VLOOKUP(tblTransactions[[#This Row],[Product_ID]],tblProducts[],5,FALSE)</f>
        <v>757.65</v>
      </c>
      <c r="M2143" s="4">
        <f>tblTransactions[[#This Row],[Total_Amount]]-(tblTransactions[[#This Row],[Cost_Prices]]*tblTransactions[[#This Row],[Quantity]]*(1-tblTransactions[[#This Row],[Discount]]))</f>
        <v>6246.59</v>
      </c>
      <c r="N2143" s="3">
        <f>tblTransactions[[#This Row],[Profit]]/tblTransactions[[#This Row],[Total_Amount]]</f>
        <v>0.48371020086093214</v>
      </c>
      <c r="O2143" t="str">
        <f>TEXT(tblTransactions[[#This Row],[Date]], "MMM-YYYY")</f>
        <v>Mar-2024</v>
      </c>
      <c r="P2143" t="str">
        <f>"Q"&amp;ROUNDUP(MONTH(tblTransactions[[#This Row],[Date]])/3,0)&amp;"-"&amp;YEAR(tblTransactions[[#This Row],[Date]])</f>
        <v>Q1-2024</v>
      </c>
      <c r="Q2143">
        <f>YEAR(tblTransactions[[#This Row],[Date]])</f>
        <v>2024</v>
      </c>
      <c r="R2143" t="str">
        <f>TEXT(tblTransactions[[#This Row],[Date]],"DDDD")</f>
        <v>Friday</v>
      </c>
      <c r="S2143">
        <f>MONTH(tblTransactions[[#This Row],[Date]])</f>
        <v>3</v>
      </c>
      <c r="T2143" t="str">
        <f>VLOOKUP(E2143, Products!$A:$B,2,0)</f>
        <v>Tables Fur-3</v>
      </c>
      <c r="U2143" t="str">
        <f>VLOOKUP(E2143,Products!$A:$C,3,0)</f>
        <v>Furniture</v>
      </c>
      <c r="V2143" t="str">
        <f>VLOOKUP(E2143,Products!$A:$D,4,0)</f>
        <v>Tables</v>
      </c>
      <c r="W2143" t="str">
        <f>VLOOKUP(D2143,Customers!$A:$C,3,0)</f>
        <v>Enterprise</v>
      </c>
      <c r="X2143" t="str">
        <f>VLOOKUP(C2143,Sales_Representatives!$A:$B,2,0)</f>
        <v>Richard Wilson</v>
      </c>
    </row>
    <row r="2144" spans="1:24" x14ac:dyDescent="0.3">
      <c r="A2144" t="s">
        <v>3034</v>
      </c>
      <c r="B2144" t="s">
        <v>3033</v>
      </c>
      <c r="C2144" t="s">
        <v>31</v>
      </c>
      <c r="D2144" t="s">
        <v>327</v>
      </c>
      <c r="E2144" t="s">
        <v>376</v>
      </c>
      <c r="F2144">
        <v>5</v>
      </c>
      <c r="G2144">
        <v>229.65</v>
      </c>
      <c r="H2144">
        <v>0.01</v>
      </c>
      <c r="I2144" s="4">
        <v>1136.77</v>
      </c>
      <c r="J2144" t="s">
        <v>34</v>
      </c>
      <c r="K2144" t="s">
        <v>48</v>
      </c>
      <c r="L2144" s="4">
        <f>VLOOKUP(tblTransactions[[#This Row],[Product_ID]],tblProducts[],5,FALSE)</f>
        <v>96.84</v>
      </c>
      <c r="M2144" s="4">
        <f>tblTransactions[[#This Row],[Total_Amount]]-(tblTransactions[[#This Row],[Cost_Prices]]*tblTransactions[[#This Row],[Quantity]]*(1-tblTransactions[[#This Row],[Discount]]))</f>
        <v>657.41199999999992</v>
      </c>
      <c r="N2144" s="3">
        <f>tblTransactions[[#This Row],[Profit]]/tblTransactions[[#This Row],[Total_Amount]]</f>
        <v>0.57831575428626714</v>
      </c>
      <c r="O2144" t="str">
        <f>TEXT(tblTransactions[[#This Row],[Date]], "MMM-YYYY")</f>
        <v>Mar-2024</v>
      </c>
      <c r="P2144" t="str">
        <f>"Q"&amp;ROUNDUP(MONTH(tblTransactions[[#This Row],[Date]])/3,0)&amp;"-"&amp;YEAR(tblTransactions[[#This Row],[Date]])</f>
        <v>Q1-2024</v>
      </c>
      <c r="Q2144">
        <f>YEAR(tblTransactions[[#This Row],[Date]])</f>
        <v>2024</v>
      </c>
      <c r="R2144" t="str">
        <f>TEXT(tblTransactions[[#This Row],[Date]],"DDDD")</f>
        <v>Friday</v>
      </c>
      <c r="S2144">
        <f>MONTH(tblTransactions[[#This Row],[Date]])</f>
        <v>3</v>
      </c>
      <c r="T2144" t="str">
        <f>VLOOKUP(E2144, Products!$A:$B,2,0)</f>
        <v>Adapters Acc-2</v>
      </c>
      <c r="U2144" t="str">
        <f>VLOOKUP(E2144,Products!$A:$C,3,0)</f>
        <v>Accessories</v>
      </c>
      <c r="V2144" t="str">
        <f>VLOOKUP(E2144,Products!$A:$D,4,0)</f>
        <v>Adapters</v>
      </c>
      <c r="W2144" t="str">
        <f>VLOOKUP(D2144,Customers!$A:$C,3,0)</f>
        <v>B2C</v>
      </c>
      <c r="X2144" t="str">
        <f>VLOOKUP(C2144,Sales_Representatives!$A:$B,2,0)</f>
        <v>Thomas Martinez</v>
      </c>
    </row>
    <row r="2145" spans="1:24" x14ac:dyDescent="0.3">
      <c r="A2145" t="s">
        <v>3035</v>
      </c>
      <c r="B2145" t="s">
        <v>3033</v>
      </c>
      <c r="C2145" t="s">
        <v>41</v>
      </c>
      <c r="D2145" t="s">
        <v>1596</v>
      </c>
      <c r="E2145" t="s">
        <v>224</v>
      </c>
      <c r="F2145">
        <v>41</v>
      </c>
      <c r="G2145">
        <v>505.37</v>
      </c>
      <c r="H2145">
        <v>0.23</v>
      </c>
      <c r="I2145" s="4">
        <v>15954.53</v>
      </c>
      <c r="J2145" t="s">
        <v>44</v>
      </c>
      <c r="K2145" t="s">
        <v>17</v>
      </c>
      <c r="L2145" s="4">
        <f>VLOOKUP(tblTransactions[[#This Row],[Product_ID]],tblProducts[],5,FALSE)</f>
        <v>281.14999999999998</v>
      </c>
      <c r="M2145" s="4">
        <f>tblTransactions[[#This Row],[Total_Amount]]-(tblTransactions[[#This Row],[Cost_Prices]]*tblTransactions[[#This Row],[Quantity]]*(1-tblTransactions[[#This Row],[Discount]]))</f>
        <v>7078.6244999999999</v>
      </c>
      <c r="N2145" s="3">
        <f>tblTransactions[[#This Row],[Profit]]/tblTransactions[[#This Row],[Total_Amount]]</f>
        <v>0.44367489985602832</v>
      </c>
      <c r="O2145" t="str">
        <f>TEXT(tblTransactions[[#This Row],[Date]], "MMM-YYYY")</f>
        <v>Mar-2024</v>
      </c>
      <c r="P2145" t="str">
        <f>"Q"&amp;ROUNDUP(MONTH(tblTransactions[[#This Row],[Date]])/3,0)&amp;"-"&amp;YEAR(tblTransactions[[#This Row],[Date]])</f>
        <v>Q1-2024</v>
      </c>
      <c r="Q2145">
        <f>YEAR(tblTransactions[[#This Row],[Date]])</f>
        <v>2024</v>
      </c>
      <c r="R2145" t="str">
        <f>TEXT(tblTransactions[[#This Row],[Date]],"DDDD")</f>
        <v>Friday</v>
      </c>
      <c r="S2145">
        <f>MONTH(tblTransactions[[#This Row],[Date]])</f>
        <v>3</v>
      </c>
      <c r="T2145" t="str">
        <f>VLOOKUP(E2145, Products!$A:$B,2,0)</f>
        <v>Desks Fur-3</v>
      </c>
      <c r="U2145" t="str">
        <f>VLOOKUP(E2145,Products!$A:$C,3,0)</f>
        <v>Furniture</v>
      </c>
      <c r="V2145" t="str">
        <f>VLOOKUP(E2145,Products!$A:$D,4,0)</f>
        <v>Desks</v>
      </c>
      <c r="W2145" t="str">
        <f>VLOOKUP(D2145,Customers!$A:$C,3,0)</f>
        <v>Enterprise</v>
      </c>
      <c r="X2145" t="str">
        <f>VLOOKUP(C2145,Sales_Representatives!$A:$B,2,0)</f>
        <v>Robert Jones</v>
      </c>
    </row>
    <row r="2146" spans="1:24" x14ac:dyDescent="0.3">
      <c r="A2146" t="s">
        <v>3036</v>
      </c>
      <c r="B2146" t="s">
        <v>3033</v>
      </c>
      <c r="C2146" t="s">
        <v>70</v>
      </c>
      <c r="D2146" t="s">
        <v>2407</v>
      </c>
      <c r="E2146" t="s">
        <v>224</v>
      </c>
      <c r="F2146">
        <v>3</v>
      </c>
      <c r="G2146">
        <v>505.37</v>
      </c>
      <c r="H2146">
        <v>0.08</v>
      </c>
      <c r="I2146" s="4">
        <v>1394.82</v>
      </c>
      <c r="J2146" t="s">
        <v>16</v>
      </c>
      <c r="K2146" t="s">
        <v>39</v>
      </c>
      <c r="L2146" s="4">
        <f>VLOOKUP(tblTransactions[[#This Row],[Product_ID]],tblProducts[],5,FALSE)</f>
        <v>281.14999999999998</v>
      </c>
      <c r="M2146" s="4">
        <f>tblTransactions[[#This Row],[Total_Amount]]-(tblTransactions[[#This Row],[Cost_Prices]]*tblTransactions[[#This Row],[Quantity]]*(1-tblTransactions[[#This Row],[Discount]]))</f>
        <v>618.846</v>
      </c>
      <c r="N2146" s="3">
        <f>tblTransactions[[#This Row],[Profit]]/tblTransactions[[#This Row],[Total_Amount]]</f>
        <v>0.44367445261754207</v>
      </c>
      <c r="O2146" t="str">
        <f>TEXT(tblTransactions[[#This Row],[Date]], "MMM-YYYY")</f>
        <v>Mar-2024</v>
      </c>
      <c r="P2146" t="str">
        <f>"Q"&amp;ROUNDUP(MONTH(tblTransactions[[#This Row],[Date]])/3,0)&amp;"-"&amp;YEAR(tblTransactions[[#This Row],[Date]])</f>
        <v>Q1-2024</v>
      </c>
      <c r="Q2146">
        <f>YEAR(tblTransactions[[#This Row],[Date]])</f>
        <v>2024</v>
      </c>
      <c r="R2146" t="str">
        <f>TEXT(tblTransactions[[#This Row],[Date]],"DDDD")</f>
        <v>Friday</v>
      </c>
      <c r="S2146">
        <f>MONTH(tblTransactions[[#This Row],[Date]])</f>
        <v>3</v>
      </c>
      <c r="T2146" t="str">
        <f>VLOOKUP(E2146, Products!$A:$B,2,0)</f>
        <v>Desks Fur-3</v>
      </c>
      <c r="U2146" t="str">
        <f>VLOOKUP(E2146,Products!$A:$C,3,0)</f>
        <v>Furniture</v>
      </c>
      <c r="V2146" t="str">
        <f>VLOOKUP(E2146,Products!$A:$D,4,0)</f>
        <v>Desks</v>
      </c>
      <c r="W2146" t="str">
        <f>VLOOKUP(D2146,Customers!$A:$C,3,0)</f>
        <v>B2C</v>
      </c>
      <c r="X2146" t="str">
        <f>VLOOKUP(C2146,Sales_Representatives!$A:$B,2,0)</f>
        <v>Linda Smith</v>
      </c>
    </row>
    <row r="2147" spans="1:24" x14ac:dyDescent="0.3">
      <c r="A2147" t="s">
        <v>3037</v>
      </c>
      <c r="B2147" t="s">
        <v>3033</v>
      </c>
      <c r="C2147" t="s">
        <v>56</v>
      </c>
      <c r="D2147" t="s">
        <v>2159</v>
      </c>
      <c r="E2147" t="s">
        <v>25</v>
      </c>
      <c r="F2147">
        <v>18</v>
      </c>
      <c r="G2147">
        <v>1467.49</v>
      </c>
      <c r="H2147">
        <v>0.14000000000000001</v>
      </c>
      <c r="I2147" s="4">
        <v>22716.75</v>
      </c>
      <c r="J2147" t="s">
        <v>34</v>
      </c>
      <c r="K2147" t="s">
        <v>35</v>
      </c>
      <c r="L2147" s="4">
        <f>VLOOKUP(tblTransactions[[#This Row],[Product_ID]],tblProducts[],5,FALSE)</f>
        <v>757.65</v>
      </c>
      <c r="M2147" s="4">
        <f>tblTransactions[[#This Row],[Total_Amount]]-(tblTransactions[[#This Row],[Cost_Prices]]*tblTransactions[[#This Row],[Quantity]]*(1-tblTransactions[[#This Row],[Discount]]))</f>
        <v>10988.328000000001</v>
      </c>
      <c r="N2147" s="3">
        <f>tblTransactions[[#This Row],[Profit]]/tblTransactions[[#This Row],[Total_Amount]]</f>
        <v>0.48371038991052862</v>
      </c>
      <c r="O2147" t="str">
        <f>TEXT(tblTransactions[[#This Row],[Date]], "MMM-YYYY")</f>
        <v>Mar-2024</v>
      </c>
      <c r="P2147" t="str">
        <f>"Q"&amp;ROUNDUP(MONTH(tblTransactions[[#This Row],[Date]])/3,0)&amp;"-"&amp;YEAR(tblTransactions[[#This Row],[Date]])</f>
        <v>Q1-2024</v>
      </c>
      <c r="Q2147">
        <f>YEAR(tblTransactions[[#This Row],[Date]])</f>
        <v>2024</v>
      </c>
      <c r="R2147" t="str">
        <f>TEXT(tblTransactions[[#This Row],[Date]],"DDDD")</f>
        <v>Friday</v>
      </c>
      <c r="S2147">
        <f>MONTH(tblTransactions[[#This Row],[Date]])</f>
        <v>3</v>
      </c>
      <c r="T2147" t="str">
        <f>VLOOKUP(E2147, Products!$A:$B,2,0)</f>
        <v>Tables Fur-3</v>
      </c>
      <c r="U2147" t="str">
        <f>VLOOKUP(E2147,Products!$A:$C,3,0)</f>
        <v>Furniture</v>
      </c>
      <c r="V2147" t="str">
        <f>VLOOKUP(E2147,Products!$A:$D,4,0)</f>
        <v>Tables</v>
      </c>
      <c r="W2147" t="str">
        <f>VLOOKUP(D2147,Customers!$A:$C,3,0)</f>
        <v>B2B</v>
      </c>
      <c r="X2147" t="str">
        <f>VLOOKUP(C2147,Sales_Representatives!$A:$B,2,0)</f>
        <v>Thomas Hernandez</v>
      </c>
    </row>
    <row r="2148" spans="1:24" x14ac:dyDescent="0.3">
      <c r="A2148" t="s">
        <v>3038</v>
      </c>
      <c r="B2148" t="s">
        <v>3033</v>
      </c>
      <c r="C2148" t="s">
        <v>82</v>
      </c>
      <c r="D2148" t="s">
        <v>1561</v>
      </c>
      <c r="E2148" t="s">
        <v>152</v>
      </c>
      <c r="F2148">
        <v>15</v>
      </c>
      <c r="G2148">
        <v>859.93</v>
      </c>
      <c r="H2148">
        <v>0.14000000000000001</v>
      </c>
      <c r="I2148" s="4">
        <v>11093.1</v>
      </c>
      <c r="J2148" t="s">
        <v>34</v>
      </c>
      <c r="K2148" t="s">
        <v>39</v>
      </c>
      <c r="L2148" s="4">
        <f>VLOOKUP(tblTransactions[[#This Row],[Product_ID]],tblProducts[],5,FALSE)</f>
        <v>579.79</v>
      </c>
      <c r="M2148" s="4">
        <f>tblTransactions[[#This Row],[Total_Amount]]-(tblTransactions[[#This Row],[Cost_Prices]]*tblTransactions[[#This Row],[Quantity]]*(1-tblTransactions[[#This Row],[Discount]]))</f>
        <v>3613.809000000002</v>
      </c>
      <c r="N2148" s="3">
        <f>tblTransactions[[#This Row],[Profit]]/tblTransactions[[#This Row],[Total_Amount]]</f>
        <v>0.32577088460394316</v>
      </c>
      <c r="O2148" t="str">
        <f>TEXT(tblTransactions[[#This Row],[Date]], "MMM-YYYY")</f>
        <v>Mar-2024</v>
      </c>
      <c r="P2148" t="str">
        <f>"Q"&amp;ROUNDUP(MONTH(tblTransactions[[#This Row],[Date]])/3,0)&amp;"-"&amp;YEAR(tblTransactions[[#This Row],[Date]])</f>
        <v>Q1-2024</v>
      </c>
      <c r="Q2148">
        <f>YEAR(tblTransactions[[#This Row],[Date]])</f>
        <v>2024</v>
      </c>
      <c r="R2148" t="str">
        <f>TEXT(tblTransactions[[#This Row],[Date]],"DDDD")</f>
        <v>Friday</v>
      </c>
      <c r="S2148">
        <f>MONTH(tblTransactions[[#This Row],[Date]])</f>
        <v>3</v>
      </c>
      <c r="T2148" t="str">
        <f>VLOOKUP(E2148, Products!$A:$B,2,0)</f>
        <v>Phones Ele-4</v>
      </c>
      <c r="U2148" t="str">
        <f>VLOOKUP(E2148,Products!$A:$C,3,0)</f>
        <v>Electronics</v>
      </c>
      <c r="V2148" t="str">
        <f>VLOOKUP(E2148,Products!$A:$D,4,0)</f>
        <v>Phones</v>
      </c>
      <c r="W2148" t="str">
        <f>VLOOKUP(D2148,Customers!$A:$C,3,0)</f>
        <v>B2B</v>
      </c>
      <c r="X2148" t="str">
        <f>VLOOKUP(C2148,Sales_Representatives!$A:$B,2,0)</f>
        <v>John Brown</v>
      </c>
    </row>
    <row r="2149" spans="1:24" x14ac:dyDescent="0.3">
      <c r="A2149" t="s">
        <v>3039</v>
      </c>
      <c r="B2149" t="s">
        <v>3040</v>
      </c>
      <c r="C2149" t="s">
        <v>59</v>
      </c>
      <c r="D2149" t="s">
        <v>1912</v>
      </c>
      <c r="E2149" t="s">
        <v>102</v>
      </c>
      <c r="F2149">
        <v>13</v>
      </c>
      <c r="G2149">
        <v>1097.75</v>
      </c>
      <c r="H2149">
        <v>0.14000000000000001</v>
      </c>
      <c r="I2149" s="4">
        <v>12272.84</v>
      </c>
      <c r="J2149" t="s">
        <v>21</v>
      </c>
      <c r="K2149" t="s">
        <v>35</v>
      </c>
      <c r="L2149" s="4">
        <f>VLOOKUP(tblTransactions[[#This Row],[Product_ID]],tblProducts[],5,FALSE)</f>
        <v>680.12</v>
      </c>
      <c r="M2149" s="4">
        <f>tblTransactions[[#This Row],[Total_Amount]]-(tblTransactions[[#This Row],[Cost_Prices]]*tblTransactions[[#This Row],[Quantity]]*(1-tblTransactions[[#This Row],[Discount]]))</f>
        <v>4669.0984000000008</v>
      </c>
      <c r="N2149" s="3">
        <f>tblTransactions[[#This Row],[Profit]]/tblTransactions[[#This Row],[Total_Amount]]</f>
        <v>0.38044156038863058</v>
      </c>
      <c r="O2149" t="str">
        <f>TEXT(tblTransactions[[#This Row],[Date]], "MMM-YYYY")</f>
        <v>Mar-2024</v>
      </c>
      <c r="P2149" t="str">
        <f>"Q"&amp;ROUNDUP(MONTH(tblTransactions[[#This Row],[Date]])/3,0)&amp;"-"&amp;YEAR(tblTransactions[[#This Row],[Date]])</f>
        <v>Q1-2024</v>
      </c>
      <c r="Q2149">
        <f>YEAR(tblTransactions[[#This Row],[Date]])</f>
        <v>2024</v>
      </c>
      <c r="R2149" t="str">
        <f>TEXT(tblTransactions[[#This Row],[Date]],"DDDD")</f>
        <v>Saturday</v>
      </c>
      <c r="S2149">
        <f>MONTH(tblTransactions[[#This Row],[Date]])</f>
        <v>3</v>
      </c>
      <c r="T2149" t="str">
        <f>VLOOKUP(E2149, Products!$A:$B,2,0)</f>
        <v>Storage Fur-4</v>
      </c>
      <c r="U2149" t="str">
        <f>VLOOKUP(E2149,Products!$A:$C,3,0)</f>
        <v>Furniture</v>
      </c>
      <c r="V2149" t="str">
        <f>VLOOKUP(E2149,Products!$A:$D,4,0)</f>
        <v>Storage</v>
      </c>
      <c r="W2149" t="str">
        <f>VLOOKUP(D2149,Customers!$A:$C,3,0)</f>
        <v>Enterprise</v>
      </c>
      <c r="X2149" t="str">
        <f>VLOOKUP(C2149,Sales_Representatives!$A:$B,2,0)</f>
        <v>Sarah Brown</v>
      </c>
    </row>
    <row r="2150" spans="1:24" x14ac:dyDescent="0.3">
      <c r="A2150" t="s">
        <v>3041</v>
      </c>
      <c r="B2150" t="s">
        <v>3040</v>
      </c>
      <c r="C2150" t="s">
        <v>27</v>
      </c>
      <c r="D2150" t="s">
        <v>1843</v>
      </c>
      <c r="E2150" t="s">
        <v>283</v>
      </c>
      <c r="F2150">
        <v>7</v>
      </c>
      <c r="G2150">
        <v>456.88</v>
      </c>
      <c r="H2150">
        <v>0.06</v>
      </c>
      <c r="I2150" s="4">
        <v>3006.27</v>
      </c>
      <c r="J2150" t="s">
        <v>16</v>
      </c>
      <c r="K2150" t="s">
        <v>17</v>
      </c>
      <c r="L2150" s="4">
        <f>VLOOKUP(tblTransactions[[#This Row],[Product_ID]],tblProducts[],5,FALSE)</f>
        <v>313.23</v>
      </c>
      <c r="M2150" s="4">
        <f>tblTransactions[[#This Row],[Total_Amount]]-(tblTransactions[[#This Row],[Cost_Prices]]*tblTransactions[[#This Row],[Quantity]]*(1-tblTransactions[[#This Row],[Discount]]))</f>
        <v>945.2166000000002</v>
      </c>
      <c r="N2150" s="3">
        <f>tblTransactions[[#This Row],[Profit]]/tblTransactions[[#This Row],[Total_Amount]]</f>
        <v>0.31441507249847828</v>
      </c>
      <c r="O2150" t="str">
        <f>TEXT(tblTransactions[[#This Row],[Date]], "MMM-YYYY")</f>
        <v>Mar-2024</v>
      </c>
      <c r="P2150" t="str">
        <f>"Q"&amp;ROUNDUP(MONTH(tblTransactions[[#This Row],[Date]])/3,0)&amp;"-"&amp;YEAR(tblTransactions[[#This Row],[Date]])</f>
        <v>Q1-2024</v>
      </c>
      <c r="Q2150">
        <f>YEAR(tblTransactions[[#This Row],[Date]])</f>
        <v>2024</v>
      </c>
      <c r="R2150" t="str">
        <f>TEXT(tblTransactions[[#This Row],[Date]],"DDDD")</f>
        <v>Saturday</v>
      </c>
      <c r="S2150">
        <f>MONTH(tblTransactions[[#This Row],[Date]])</f>
        <v>3</v>
      </c>
      <c r="T2150" t="str">
        <f>VLOOKUP(E2150, Products!$A:$B,2,0)</f>
        <v>Chairs Fur-3</v>
      </c>
      <c r="U2150" t="str">
        <f>VLOOKUP(E2150,Products!$A:$C,3,0)</f>
        <v>Furniture</v>
      </c>
      <c r="V2150" t="str">
        <f>VLOOKUP(E2150,Products!$A:$D,4,0)</f>
        <v>Chairs</v>
      </c>
      <c r="W2150" t="str">
        <f>VLOOKUP(D2150,Customers!$A:$C,3,0)</f>
        <v>B2C</v>
      </c>
      <c r="X2150" t="str">
        <f>VLOOKUP(C2150,Sales_Representatives!$A:$B,2,0)</f>
        <v>Thomas Lopez</v>
      </c>
    </row>
    <row r="2151" spans="1:24" x14ac:dyDescent="0.3">
      <c r="A2151" t="s">
        <v>3042</v>
      </c>
      <c r="B2151" t="s">
        <v>3040</v>
      </c>
      <c r="C2151" t="s">
        <v>41</v>
      </c>
      <c r="D2151" t="s">
        <v>2179</v>
      </c>
      <c r="E2151" t="s">
        <v>191</v>
      </c>
      <c r="F2151">
        <v>3</v>
      </c>
      <c r="G2151">
        <v>1012.75</v>
      </c>
      <c r="H2151">
        <v>0.1</v>
      </c>
      <c r="I2151" s="4">
        <v>2734.42</v>
      </c>
      <c r="J2151" t="s">
        <v>44</v>
      </c>
      <c r="K2151" t="s">
        <v>22</v>
      </c>
      <c r="L2151" s="4">
        <f>VLOOKUP(tblTransactions[[#This Row],[Product_ID]],tblProducts[],5,FALSE)</f>
        <v>518.53</v>
      </c>
      <c r="M2151" s="4">
        <f>tblTransactions[[#This Row],[Total_Amount]]-(tblTransactions[[#This Row],[Cost_Prices]]*tblTransactions[[#This Row],[Quantity]]*(1-tblTransactions[[#This Row],[Discount]]))</f>
        <v>1334.3890000000001</v>
      </c>
      <c r="N2151" s="3">
        <f>tblTransactions[[#This Row],[Profit]]/tblTransactions[[#This Row],[Total_Amount]]</f>
        <v>0.48799708896219313</v>
      </c>
      <c r="O2151" t="str">
        <f>TEXT(tblTransactions[[#This Row],[Date]], "MMM-YYYY")</f>
        <v>Mar-2024</v>
      </c>
      <c r="P2151" t="str">
        <f>"Q"&amp;ROUNDUP(MONTH(tblTransactions[[#This Row],[Date]])/3,0)&amp;"-"&amp;YEAR(tblTransactions[[#This Row],[Date]])</f>
        <v>Q1-2024</v>
      </c>
      <c r="Q2151">
        <f>YEAR(tblTransactions[[#This Row],[Date]])</f>
        <v>2024</v>
      </c>
      <c r="R2151" t="str">
        <f>TEXT(tblTransactions[[#This Row],[Date]],"DDDD")</f>
        <v>Saturday</v>
      </c>
      <c r="S2151">
        <f>MONTH(tblTransactions[[#This Row],[Date]])</f>
        <v>3</v>
      </c>
      <c r="T2151" t="str">
        <f>VLOOKUP(E2151, Products!$A:$B,2,0)</f>
        <v>Tables Fur-4</v>
      </c>
      <c r="U2151" t="str">
        <f>VLOOKUP(E2151,Products!$A:$C,3,0)</f>
        <v>Furniture</v>
      </c>
      <c r="V2151" t="str">
        <f>VLOOKUP(E2151,Products!$A:$D,4,0)</f>
        <v>Tables</v>
      </c>
      <c r="W2151" t="str">
        <f>VLOOKUP(D2151,Customers!$A:$C,3,0)</f>
        <v>B2C</v>
      </c>
      <c r="X2151" t="str">
        <f>VLOOKUP(C2151,Sales_Representatives!$A:$B,2,0)</f>
        <v>Robert Jones</v>
      </c>
    </row>
    <row r="2152" spans="1:24" x14ac:dyDescent="0.3">
      <c r="A2152" t="s">
        <v>3043</v>
      </c>
      <c r="B2152" t="s">
        <v>3040</v>
      </c>
      <c r="C2152" t="s">
        <v>27</v>
      </c>
      <c r="D2152" t="s">
        <v>166</v>
      </c>
      <c r="E2152" t="s">
        <v>116</v>
      </c>
      <c r="F2152">
        <v>2</v>
      </c>
      <c r="G2152">
        <v>232.86</v>
      </c>
      <c r="H2152">
        <v>0.02</v>
      </c>
      <c r="I2152" s="4">
        <v>456.41</v>
      </c>
      <c r="J2152" t="s">
        <v>16</v>
      </c>
      <c r="K2152" t="s">
        <v>48</v>
      </c>
      <c r="L2152" s="4">
        <f>VLOOKUP(tblTransactions[[#This Row],[Product_ID]],tblProducts[],5,FALSE)</f>
        <v>116.79</v>
      </c>
      <c r="M2152" s="4">
        <f>tblTransactions[[#This Row],[Total_Amount]]-(tblTransactions[[#This Row],[Cost_Prices]]*tblTransactions[[#This Row],[Quantity]]*(1-tblTransactions[[#This Row],[Discount]]))</f>
        <v>227.50160000000002</v>
      </c>
      <c r="N2152" s="3">
        <f>tblTransactions[[#This Row],[Profit]]/tblTransactions[[#This Row],[Total_Amount]]</f>
        <v>0.49845884183081002</v>
      </c>
      <c r="O2152" t="str">
        <f>TEXT(tblTransactions[[#This Row],[Date]], "MMM-YYYY")</f>
        <v>Mar-2024</v>
      </c>
      <c r="P2152" t="str">
        <f>"Q"&amp;ROUNDUP(MONTH(tblTransactions[[#This Row],[Date]])/3,0)&amp;"-"&amp;YEAR(tblTransactions[[#This Row],[Date]])</f>
        <v>Q1-2024</v>
      </c>
      <c r="Q2152">
        <f>YEAR(tblTransactions[[#This Row],[Date]])</f>
        <v>2024</v>
      </c>
      <c r="R2152" t="str">
        <f>TEXT(tblTransactions[[#This Row],[Date]],"DDDD")</f>
        <v>Saturday</v>
      </c>
      <c r="S2152">
        <f>MONTH(tblTransactions[[#This Row],[Date]])</f>
        <v>3</v>
      </c>
      <c r="T2152" t="str">
        <f>VLOOKUP(E2152, Products!$A:$B,2,0)</f>
        <v>Folders Off-4</v>
      </c>
      <c r="U2152" t="str">
        <f>VLOOKUP(E2152,Products!$A:$C,3,0)</f>
        <v>Office Supplies</v>
      </c>
      <c r="V2152" t="str">
        <f>VLOOKUP(E2152,Products!$A:$D,4,0)</f>
        <v>Folders</v>
      </c>
      <c r="W2152" t="str">
        <f>VLOOKUP(D2152,Customers!$A:$C,3,0)</f>
        <v>B2C</v>
      </c>
      <c r="X2152" t="str">
        <f>VLOOKUP(C2152,Sales_Representatives!$A:$B,2,0)</f>
        <v>Thomas Lopez</v>
      </c>
    </row>
    <row r="2153" spans="1:24" x14ac:dyDescent="0.3">
      <c r="A2153" t="s">
        <v>3044</v>
      </c>
      <c r="B2153" t="s">
        <v>3040</v>
      </c>
      <c r="C2153" t="s">
        <v>56</v>
      </c>
      <c r="D2153" t="s">
        <v>1765</v>
      </c>
      <c r="E2153" t="s">
        <v>159</v>
      </c>
      <c r="F2153">
        <v>4</v>
      </c>
      <c r="G2153">
        <v>78.09</v>
      </c>
      <c r="H2153">
        <v>0.06</v>
      </c>
      <c r="I2153" s="4">
        <v>293.62</v>
      </c>
      <c r="J2153" t="s">
        <v>34</v>
      </c>
      <c r="K2153" t="s">
        <v>22</v>
      </c>
      <c r="L2153" s="4">
        <f>VLOOKUP(tblTransactions[[#This Row],[Product_ID]],tblProducts[],5,FALSE)</f>
        <v>47.01</v>
      </c>
      <c r="M2153" s="4">
        <f>tblTransactions[[#This Row],[Total_Amount]]-(tblTransactions[[#This Row],[Cost_Prices]]*tblTransactions[[#This Row],[Quantity]]*(1-tblTransactions[[#This Row],[Discount]]))</f>
        <v>116.86240000000001</v>
      </c>
      <c r="N2153" s="3">
        <f>tblTransactions[[#This Row],[Profit]]/tblTransactions[[#This Row],[Total_Amount]]</f>
        <v>0.3980055854505824</v>
      </c>
      <c r="O2153" t="str">
        <f>TEXT(tblTransactions[[#This Row],[Date]], "MMM-YYYY")</f>
        <v>Mar-2024</v>
      </c>
      <c r="P2153" t="str">
        <f>"Q"&amp;ROUNDUP(MONTH(tblTransactions[[#This Row],[Date]])/3,0)&amp;"-"&amp;YEAR(tblTransactions[[#This Row],[Date]])</f>
        <v>Q1-2024</v>
      </c>
      <c r="Q2153">
        <f>YEAR(tblTransactions[[#This Row],[Date]])</f>
        <v>2024</v>
      </c>
      <c r="R2153" t="str">
        <f>TEXT(tblTransactions[[#This Row],[Date]],"DDDD")</f>
        <v>Saturday</v>
      </c>
      <c r="S2153">
        <f>MONTH(tblTransactions[[#This Row],[Date]])</f>
        <v>3</v>
      </c>
      <c r="T2153" t="str">
        <f>VLOOKUP(E2153, Products!$A:$B,2,0)</f>
        <v>Cables Acc-4</v>
      </c>
      <c r="U2153" t="str">
        <f>VLOOKUP(E2153,Products!$A:$C,3,0)</f>
        <v>Accessories</v>
      </c>
      <c r="V2153" t="str">
        <f>VLOOKUP(E2153,Products!$A:$D,4,0)</f>
        <v>Cables</v>
      </c>
      <c r="W2153" t="str">
        <f>VLOOKUP(D2153,Customers!$A:$C,3,0)</f>
        <v>B2C</v>
      </c>
      <c r="X2153" t="str">
        <f>VLOOKUP(C2153,Sales_Representatives!$A:$B,2,0)</f>
        <v>Thomas Hernandez</v>
      </c>
    </row>
    <row r="2154" spans="1:24" x14ac:dyDescent="0.3">
      <c r="A2154" t="s">
        <v>3045</v>
      </c>
      <c r="B2154" t="s">
        <v>3040</v>
      </c>
      <c r="C2154" t="s">
        <v>59</v>
      </c>
      <c r="D2154" t="s">
        <v>1959</v>
      </c>
      <c r="E2154" t="s">
        <v>481</v>
      </c>
      <c r="F2154">
        <v>3</v>
      </c>
      <c r="G2154">
        <v>263.58999999999997</v>
      </c>
      <c r="H2154">
        <v>0.08</v>
      </c>
      <c r="I2154" s="4">
        <v>727.51</v>
      </c>
      <c r="J2154" t="s">
        <v>21</v>
      </c>
      <c r="K2154" t="s">
        <v>48</v>
      </c>
      <c r="L2154" s="4">
        <f>VLOOKUP(tblTransactions[[#This Row],[Product_ID]],tblProducts[],5,FALSE)</f>
        <v>133.65</v>
      </c>
      <c r="M2154" s="4">
        <f>tblTransactions[[#This Row],[Total_Amount]]-(tblTransactions[[#This Row],[Cost_Prices]]*tblTransactions[[#This Row],[Quantity]]*(1-tblTransactions[[#This Row],[Discount]]))</f>
        <v>358.63599999999991</v>
      </c>
      <c r="N2154" s="3">
        <f>tblTransactions[[#This Row],[Profit]]/tblTransactions[[#This Row],[Total_Amount]]</f>
        <v>0.49296367060246582</v>
      </c>
      <c r="O2154" t="str">
        <f>TEXT(tblTransactions[[#This Row],[Date]], "MMM-YYYY")</f>
        <v>Mar-2024</v>
      </c>
      <c r="P2154" t="str">
        <f>"Q"&amp;ROUNDUP(MONTH(tblTransactions[[#This Row],[Date]])/3,0)&amp;"-"&amp;YEAR(tblTransactions[[#This Row],[Date]])</f>
        <v>Q1-2024</v>
      </c>
      <c r="Q2154">
        <f>YEAR(tblTransactions[[#This Row],[Date]])</f>
        <v>2024</v>
      </c>
      <c r="R2154" t="str">
        <f>TEXT(tblTransactions[[#This Row],[Date]],"DDDD")</f>
        <v>Saturday</v>
      </c>
      <c r="S2154">
        <f>MONTH(tblTransactions[[#This Row],[Date]])</f>
        <v>3</v>
      </c>
      <c r="T2154" t="str">
        <f>VLOOKUP(E2154, Products!$A:$B,2,0)</f>
        <v>Folders Off-1</v>
      </c>
      <c r="U2154" t="str">
        <f>VLOOKUP(E2154,Products!$A:$C,3,0)</f>
        <v>Office Supplies</v>
      </c>
      <c r="V2154" t="str">
        <f>VLOOKUP(E2154,Products!$A:$D,4,0)</f>
        <v>Folders</v>
      </c>
      <c r="W2154" t="str">
        <f>VLOOKUP(D2154,Customers!$A:$C,3,0)</f>
        <v>Small Business</v>
      </c>
      <c r="X2154" t="str">
        <f>VLOOKUP(C2154,Sales_Representatives!$A:$B,2,0)</f>
        <v>Sarah Brown</v>
      </c>
    </row>
    <row r="2155" spans="1:24" x14ac:dyDescent="0.3">
      <c r="A2155" t="s">
        <v>3046</v>
      </c>
      <c r="B2155" t="s">
        <v>3040</v>
      </c>
      <c r="C2155" t="s">
        <v>41</v>
      </c>
      <c r="D2155" t="s">
        <v>3047</v>
      </c>
      <c r="E2155" t="s">
        <v>394</v>
      </c>
      <c r="F2155">
        <v>1</v>
      </c>
      <c r="G2155">
        <v>314.69</v>
      </c>
      <c r="H2155">
        <v>0.09</v>
      </c>
      <c r="I2155" s="4">
        <v>286.37</v>
      </c>
      <c r="J2155" t="s">
        <v>44</v>
      </c>
      <c r="K2155" t="s">
        <v>39</v>
      </c>
      <c r="L2155" s="4">
        <f>VLOOKUP(tblTransactions[[#This Row],[Product_ID]],tblProducts[],5,FALSE)</f>
        <v>185.43</v>
      </c>
      <c r="M2155" s="4">
        <f>tblTransactions[[#This Row],[Total_Amount]]-(tblTransactions[[#This Row],[Cost_Prices]]*tblTransactions[[#This Row],[Quantity]]*(1-tblTransactions[[#This Row],[Discount]]))</f>
        <v>117.62869999999998</v>
      </c>
      <c r="N2155" s="3">
        <f>tblTransactions[[#This Row],[Profit]]/tblTransactions[[#This Row],[Total_Amount]]</f>
        <v>0.41075776093864574</v>
      </c>
      <c r="O2155" t="str">
        <f>TEXT(tblTransactions[[#This Row],[Date]], "MMM-YYYY")</f>
        <v>Mar-2024</v>
      </c>
      <c r="P2155" t="str">
        <f>"Q"&amp;ROUNDUP(MONTH(tblTransactions[[#This Row],[Date]])/3,0)&amp;"-"&amp;YEAR(tblTransactions[[#This Row],[Date]])</f>
        <v>Q1-2024</v>
      </c>
      <c r="Q2155">
        <f>YEAR(tblTransactions[[#This Row],[Date]])</f>
        <v>2024</v>
      </c>
      <c r="R2155" t="str">
        <f>TEXT(tblTransactions[[#This Row],[Date]],"DDDD")</f>
        <v>Saturday</v>
      </c>
      <c r="S2155">
        <f>MONTH(tblTransactions[[#This Row],[Date]])</f>
        <v>3</v>
      </c>
      <c r="T2155" t="str">
        <f>VLOOKUP(E2155, Products!$A:$B,2,0)</f>
        <v>Desks Fur-1</v>
      </c>
      <c r="U2155" t="str">
        <f>VLOOKUP(E2155,Products!$A:$C,3,0)</f>
        <v>Furniture</v>
      </c>
      <c r="V2155" t="str">
        <f>VLOOKUP(E2155,Products!$A:$D,4,0)</f>
        <v>Desks</v>
      </c>
      <c r="W2155" t="str">
        <f>VLOOKUP(D2155,Customers!$A:$C,3,0)</f>
        <v>Small Business</v>
      </c>
      <c r="X2155" t="str">
        <f>VLOOKUP(C2155,Sales_Representatives!$A:$B,2,0)</f>
        <v>Robert Jones</v>
      </c>
    </row>
    <row r="2156" spans="1:24" x14ac:dyDescent="0.3">
      <c r="A2156" t="s">
        <v>3048</v>
      </c>
      <c r="B2156" t="s">
        <v>3040</v>
      </c>
      <c r="C2156" t="s">
        <v>141</v>
      </c>
      <c r="D2156" t="s">
        <v>1505</v>
      </c>
      <c r="E2156" t="s">
        <v>204</v>
      </c>
      <c r="F2156">
        <v>6</v>
      </c>
      <c r="G2156">
        <v>715.62</v>
      </c>
      <c r="H2156">
        <v>7.0000000000000007E-2</v>
      </c>
      <c r="I2156" s="4">
        <v>3993.16</v>
      </c>
      <c r="J2156" t="s">
        <v>109</v>
      </c>
      <c r="K2156" t="s">
        <v>22</v>
      </c>
      <c r="L2156" s="4">
        <f>VLOOKUP(tblTransactions[[#This Row],[Product_ID]],tblProducts[],5,FALSE)</f>
        <v>459.58</v>
      </c>
      <c r="M2156" s="4">
        <f>tblTransactions[[#This Row],[Total_Amount]]-(tblTransactions[[#This Row],[Cost_Prices]]*tblTransactions[[#This Row],[Quantity]]*(1-tblTransactions[[#This Row],[Discount]]))</f>
        <v>1428.7035999999998</v>
      </c>
      <c r="N2156" s="3">
        <f>tblTransactions[[#This Row],[Profit]]/tblTransactions[[#This Row],[Total_Amount]]</f>
        <v>0.35778771699606321</v>
      </c>
      <c r="O2156" t="str">
        <f>TEXT(tblTransactions[[#This Row],[Date]], "MMM-YYYY")</f>
        <v>Mar-2024</v>
      </c>
      <c r="P2156" t="str">
        <f>"Q"&amp;ROUNDUP(MONTH(tblTransactions[[#This Row],[Date]])/3,0)&amp;"-"&amp;YEAR(tblTransactions[[#This Row],[Date]])</f>
        <v>Q1-2024</v>
      </c>
      <c r="Q2156">
        <f>YEAR(tblTransactions[[#This Row],[Date]])</f>
        <v>2024</v>
      </c>
      <c r="R2156" t="str">
        <f>TEXT(tblTransactions[[#This Row],[Date]],"DDDD")</f>
        <v>Saturday</v>
      </c>
      <c r="S2156">
        <f>MONTH(tblTransactions[[#This Row],[Date]])</f>
        <v>3</v>
      </c>
      <c r="T2156" t="str">
        <f>VLOOKUP(E2156, Products!$A:$B,2,0)</f>
        <v>Cameras Ele-2</v>
      </c>
      <c r="U2156" t="str">
        <f>VLOOKUP(E2156,Products!$A:$C,3,0)</f>
        <v>Electronics</v>
      </c>
      <c r="V2156" t="str">
        <f>VLOOKUP(E2156,Products!$A:$D,4,0)</f>
        <v>Cameras</v>
      </c>
      <c r="W2156" t="str">
        <f>VLOOKUP(D2156,Customers!$A:$C,3,0)</f>
        <v>B2C</v>
      </c>
      <c r="X2156" t="str">
        <f>VLOOKUP(C2156,Sales_Representatives!$A:$B,2,0)</f>
        <v>Richard Garcia</v>
      </c>
    </row>
    <row r="2157" spans="1:24" x14ac:dyDescent="0.3">
      <c r="A2157" t="s">
        <v>3049</v>
      </c>
      <c r="B2157" t="s">
        <v>3050</v>
      </c>
      <c r="C2157" t="s">
        <v>70</v>
      </c>
      <c r="D2157" t="s">
        <v>2562</v>
      </c>
      <c r="E2157" t="s">
        <v>53</v>
      </c>
      <c r="F2157">
        <v>4</v>
      </c>
      <c r="G2157">
        <v>2069.2199999999998</v>
      </c>
      <c r="H2157">
        <v>0.02</v>
      </c>
      <c r="I2157" s="4">
        <v>8111.34</v>
      </c>
      <c r="J2157" t="s">
        <v>16</v>
      </c>
      <c r="K2157" t="s">
        <v>39</v>
      </c>
      <c r="L2157" s="4">
        <f>VLOOKUP(tblTransactions[[#This Row],[Product_ID]],tblProducts[],5,FALSE)</f>
        <v>1451.18</v>
      </c>
      <c r="M2157" s="4">
        <f>tblTransactions[[#This Row],[Total_Amount]]-(tblTransactions[[#This Row],[Cost_Prices]]*tblTransactions[[#This Row],[Quantity]]*(1-tblTransactions[[#This Row],[Discount]]))</f>
        <v>2422.7143999999998</v>
      </c>
      <c r="N2157" s="3">
        <f>tblTransactions[[#This Row],[Profit]]/tblTransactions[[#This Row],[Total_Amount]]</f>
        <v>0.29868238786686291</v>
      </c>
      <c r="O2157" t="str">
        <f>TEXT(tblTransactions[[#This Row],[Date]], "MMM-YYYY")</f>
        <v>Mar-2024</v>
      </c>
      <c r="P2157" t="str">
        <f>"Q"&amp;ROUNDUP(MONTH(tblTransactions[[#This Row],[Date]])/3,0)&amp;"-"&amp;YEAR(tblTransactions[[#This Row],[Date]])</f>
        <v>Q1-2024</v>
      </c>
      <c r="Q2157">
        <f>YEAR(tblTransactions[[#This Row],[Date]])</f>
        <v>2024</v>
      </c>
      <c r="R2157" t="str">
        <f>TEXT(tblTransactions[[#This Row],[Date]],"DDDD")</f>
        <v>Sunday</v>
      </c>
      <c r="S2157">
        <f>MONTH(tblTransactions[[#This Row],[Date]])</f>
        <v>3</v>
      </c>
      <c r="T2157" t="str">
        <f>VLOOKUP(E2157, Products!$A:$B,2,0)</f>
        <v>Printers Tec-3</v>
      </c>
      <c r="U2157" t="str">
        <f>VLOOKUP(E2157,Products!$A:$C,3,0)</f>
        <v>Technology</v>
      </c>
      <c r="V2157" t="str">
        <f>VLOOKUP(E2157,Products!$A:$D,4,0)</f>
        <v>Printers</v>
      </c>
      <c r="W2157" t="str">
        <f>VLOOKUP(D2157,Customers!$A:$C,3,0)</f>
        <v>B2C</v>
      </c>
      <c r="X2157" t="str">
        <f>VLOOKUP(C2157,Sales_Representatives!$A:$B,2,0)</f>
        <v>Linda Smith</v>
      </c>
    </row>
    <row r="2158" spans="1:24" x14ac:dyDescent="0.3">
      <c r="A2158" t="s">
        <v>3051</v>
      </c>
      <c r="B2158" t="s">
        <v>3050</v>
      </c>
      <c r="C2158" t="s">
        <v>63</v>
      </c>
      <c r="D2158" t="s">
        <v>2449</v>
      </c>
      <c r="E2158" t="s">
        <v>255</v>
      </c>
      <c r="F2158">
        <v>5</v>
      </c>
      <c r="G2158">
        <v>1444.13</v>
      </c>
      <c r="H2158">
        <v>0.09</v>
      </c>
      <c r="I2158" s="4">
        <v>6570.79</v>
      </c>
      <c r="J2158" t="s">
        <v>21</v>
      </c>
      <c r="K2158" t="s">
        <v>22</v>
      </c>
      <c r="L2158" s="4">
        <f>VLOOKUP(tblTransactions[[#This Row],[Product_ID]],tblProducts[],5,FALSE)</f>
        <v>874.43</v>
      </c>
      <c r="M2158" s="4">
        <f>tblTransactions[[#This Row],[Total_Amount]]-(tblTransactions[[#This Row],[Cost_Prices]]*tblTransactions[[#This Row],[Quantity]]*(1-tblTransactions[[#This Row],[Discount]]))</f>
        <v>2592.1335000000004</v>
      </c>
      <c r="N2158" s="3">
        <f>tblTransactions[[#This Row],[Profit]]/tblTransactions[[#This Row],[Total_Amount]]</f>
        <v>0.39449343229657324</v>
      </c>
      <c r="O2158" t="str">
        <f>TEXT(tblTransactions[[#This Row],[Date]], "MMM-YYYY")</f>
        <v>Mar-2024</v>
      </c>
      <c r="P2158" t="str">
        <f>"Q"&amp;ROUNDUP(MONTH(tblTransactions[[#This Row],[Date]])/3,0)&amp;"-"&amp;YEAR(tblTransactions[[#This Row],[Date]])</f>
        <v>Q1-2024</v>
      </c>
      <c r="Q2158">
        <f>YEAR(tblTransactions[[#This Row],[Date]])</f>
        <v>2024</v>
      </c>
      <c r="R2158" t="str">
        <f>TEXT(tblTransactions[[#This Row],[Date]],"DDDD")</f>
        <v>Sunday</v>
      </c>
      <c r="S2158">
        <f>MONTH(tblTransactions[[#This Row],[Date]])</f>
        <v>3</v>
      </c>
      <c r="T2158" t="str">
        <f>VLOOKUP(E2158, Products!$A:$B,2,0)</f>
        <v>Printers Tec-1</v>
      </c>
      <c r="U2158" t="str">
        <f>VLOOKUP(E2158,Products!$A:$C,3,0)</f>
        <v>Technology</v>
      </c>
      <c r="V2158" t="str">
        <f>VLOOKUP(E2158,Products!$A:$D,4,0)</f>
        <v>Printers</v>
      </c>
      <c r="W2158" t="str">
        <f>VLOOKUP(D2158,Customers!$A:$C,3,0)</f>
        <v>B2B</v>
      </c>
      <c r="X2158" t="str">
        <f>VLOOKUP(C2158,Sales_Representatives!$A:$B,2,0)</f>
        <v>Richard Wilson</v>
      </c>
    </row>
    <row r="2159" spans="1:24" x14ac:dyDescent="0.3">
      <c r="A2159" t="s">
        <v>3052</v>
      </c>
      <c r="B2159" t="s">
        <v>3050</v>
      </c>
      <c r="C2159" t="s">
        <v>127</v>
      </c>
      <c r="D2159" t="s">
        <v>1888</v>
      </c>
      <c r="E2159" t="s">
        <v>168</v>
      </c>
      <c r="F2159">
        <v>6</v>
      </c>
      <c r="G2159">
        <v>101.59</v>
      </c>
      <c r="H2159">
        <v>0.12</v>
      </c>
      <c r="I2159" s="4">
        <v>536.4</v>
      </c>
      <c r="J2159" t="s">
        <v>109</v>
      </c>
      <c r="K2159" t="s">
        <v>35</v>
      </c>
      <c r="L2159" s="4">
        <f>VLOOKUP(tblTransactions[[#This Row],[Product_ID]],tblProducts[],5,FALSE)</f>
        <v>50.58</v>
      </c>
      <c r="M2159" s="4">
        <f>tblTransactions[[#This Row],[Total_Amount]]-(tblTransactions[[#This Row],[Cost_Prices]]*tblTransactions[[#This Row],[Quantity]]*(1-tblTransactions[[#This Row],[Discount]]))</f>
        <v>269.33759999999995</v>
      </c>
      <c r="N2159" s="3">
        <f>tblTransactions[[#This Row],[Profit]]/tblTransactions[[#This Row],[Total_Amount]]</f>
        <v>0.5021208053691274</v>
      </c>
      <c r="O2159" t="str">
        <f>TEXT(tblTransactions[[#This Row],[Date]], "MMM-YYYY")</f>
        <v>Mar-2024</v>
      </c>
      <c r="P2159" t="str">
        <f>"Q"&amp;ROUNDUP(MONTH(tblTransactions[[#This Row],[Date]])/3,0)&amp;"-"&amp;YEAR(tblTransactions[[#This Row],[Date]])</f>
        <v>Q1-2024</v>
      </c>
      <c r="Q2159">
        <f>YEAR(tblTransactions[[#This Row],[Date]])</f>
        <v>2024</v>
      </c>
      <c r="R2159" t="str">
        <f>TEXT(tblTransactions[[#This Row],[Date]],"DDDD")</f>
        <v>Sunday</v>
      </c>
      <c r="S2159">
        <f>MONTH(tblTransactions[[#This Row],[Date]])</f>
        <v>3</v>
      </c>
      <c r="T2159" t="str">
        <f>VLOOKUP(E2159, Products!$A:$B,2,0)</f>
        <v>Cases Acc-4</v>
      </c>
      <c r="U2159" t="str">
        <f>VLOOKUP(E2159,Products!$A:$C,3,0)</f>
        <v>Accessories</v>
      </c>
      <c r="V2159" t="str">
        <f>VLOOKUP(E2159,Products!$A:$D,4,0)</f>
        <v>Cases</v>
      </c>
      <c r="W2159" t="str">
        <f>VLOOKUP(D2159,Customers!$A:$C,3,0)</f>
        <v>B2C</v>
      </c>
      <c r="X2159" t="str">
        <f>VLOOKUP(C2159,Sales_Representatives!$A:$B,2,0)</f>
        <v>Emily Hernandez</v>
      </c>
    </row>
    <row r="2160" spans="1:24" x14ac:dyDescent="0.3">
      <c r="A2160" t="s">
        <v>3053</v>
      </c>
      <c r="B2160" t="s">
        <v>3050</v>
      </c>
      <c r="C2160" t="s">
        <v>59</v>
      </c>
      <c r="D2160" t="s">
        <v>2054</v>
      </c>
      <c r="E2160" t="s">
        <v>314</v>
      </c>
      <c r="F2160">
        <v>6</v>
      </c>
      <c r="G2160">
        <v>204.97</v>
      </c>
      <c r="H2160">
        <v>0.15</v>
      </c>
      <c r="I2160" s="4">
        <v>1045.3499999999999</v>
      </c>
      <c r="J2160" t="s">
        <v>21</v>
      </c>
      <c r="K2160" t="s">
        <v>22</v>
      </c>
      <c r="L2160" s="4">
        <f>VLOOKUP(tblTransactions[[#This Row],[Product_ID]],tblProducts[],5,FALSE)</f>
        <v>121.53</v>
      </c>
      <c r="M2160" s="4">
        <f>tblTransactions[[#This Row],[Total_Amount]]-(tblTransactions[[#This Row],[Cost_Prices]]*tblTransactions[[#This Row],[Quantity]]*(1-tblTransactions[[#This Row],[Discount]]))</f>
        <v>425.54699999999991</v>
      </c>
      <c r="N2160" s="3">
        <f>tblTransactions[[#This Row],[Profit]]/tblTransactions[[#This Row],[Total_Amount]]</f>
        <v>0.40708566508824789</v>
      </c>
      <c r="O2160" t="str">
        <f>TEXT(tblTransactions[[#This Row],[Date]], "MMM-YYYY")</f>
        <v>Mar-2024</v>
      </c>
      <c r="P2160" t="str">
        <f>"Q"&amp;ROUNDUP(MONTH(tblTransactions[[#This Row],[Date]])/3,0)&amp;"-"&amp;YEAR(tblTransactions[[#This Row],[Date]])</f>
        <v>Q1-2024</v>
      </c>
      <c r="Q2160">
        <f>YEAR(tblTransactions[[#This Row],[Date]])</f>
        <v>2024</v>
      </c>
      <c r="R2160" t="str">
        <f>TEXT(tblTransactions[[#This Row],[Date]],"DDDD")</f>
        <v>Sunday</v>
      </c>
      <c r="S2160">
        <f>MONTH(tblTransactions[[#This Row],[Date]])</f>
        <v>3</v>
      </c>
      <c r="T2160" t="str">
        <f>VLOOKUP(E2160, Products!$A:$B,2,0)</f>
        <v>Adapters Acc-3</v>
      </c>
      <c r="U2160" t="str">
        <f>VLOOKUP(E2160,Products!$A:$C,3,0)</f>
        <v>Accessories</v>
      </c>
      <c r="V2160" t="str">
        <f>VLOOKUP(E2160,Products!$A:$D,4,0)</f>
        <v>Adapters</v>
      </c>
      <c r="W2160" t="str">
        <f>VLOOKUP(D2160,Customers!$A:$C,3,0)</f>
        <v>Small Business</v>
      </c>
      <c r="X2160" t="str">
        <f>VLOOKUP(C2160,Sales_Representatives!$A:$B,2,0)</f>
        <v>Sarah Brown</v>
      </c>
    </row>
    <row r="2161" spans="1:24" x14ac:dyDescent="0.3">
      <c r="A2161" t="s">
        <v>3054</v>
      </c>
      <c r="B2161" t="s">
        <v>3050</v>
      </c>
      <c r="C2161" t="s">
        <v>56</v>
      </c>
      <c r="D2161" t="s">
        <v>1455</v>
      </c>
      <c r="E2161" t="s">
        <v>479</v>
      </c>
      <c r="F2161">
        <v>7</v>
      </c>
      <c r="G2161">
        <v>239.6</v>
      </c>
      <c r="H2161">
        <v>0.12</v>
      </c>
      <c r="I2161" s="4">
        <v>1475.94</v>
      </c>
      <c r="J2161" t="s">
        <v>34</v>
      </c>
      <c r="K2161" t="s">
        <v>48</v>
      </c>
      <c r="L2161" s="4">
        <f>VLOOKUP(tblTransactions[[#This Row],[Product_ID]],tblProducts[],5,FALSE)</f>
        <v>107.49</v>
      </c>
      <c r="M2161" s="4">
        <f>tblTransactions[[#This Row],[Total_Amount]]-(tblTransactions[[#This Row],[Cost_Prices]]*tblTransactions[[#This Row],[Quantity]]*(1-tblTransactions[[#This Row],[Discount]]))</f>
        <v>813.80160000000012</v>
      </c>
      <c r="N2161" s="3">
        <f>tblTransactions[[#This Row],[Profit]]/tblTransactions[[#This Row],[Total_Amount]]</f>
        <v>0.55137851132159854</v>
      </c>
      <c r="O2161" t="str">
        <f>TEXT(tblTransactions[[#This Row],[Date]], "MMM-YYYY")</f>
        <v>Mar-2024</v>
      </c>
      <c r="P2161" t="str">
        <f>"Q"&amp;ROUNDUP(MONTH(tblTransactions[[#This Row],[Date]])/3,0)&amp;"-"&amp;YEAR(tblTransactions[[#This Row],[Date]])</f>
        <v>Q1-2024</v>
      </c>
      <c r="Q2161">
        <f>YEAR(tblTransactions[[#This Row],[Date]])</f>
        <v>2024</v>
      </c>
      <c r="R2161" t="str">
        <f>TEXT(tblTransactions[[#This Row],[Date]],"DDDD")</f>
        <v>Sunday</v>
      </c>
      <c r="S2161">
        <f>MONTH(tblTransactions[[#This Row],[Date]])</f>
        <v>3</v>
      </c>
      <c r="T2161" t="str">
        <f>VLOOKUP(E2161, Products!$A:$B,2,0)</f>
        <v>Pens Off-2</v>
      </c>
      <c r="U2161" t="str">
        <f>VLOOKUP(E2161,Products!$A:$C,3,0)</f>
        <v>Office Supplies</v>
      </c>
      <c r="V2161" t="str">
        <f>VLOOKUP(E2161,Products!$A:$D,4,0)</f>
        <v>Pens</v>
      </c>
      <c r="W2161" t="str">
        <f>VLOOKUP(D2161,Customers!$A:$C,3,0)</f>
        <v>Small Business</v>
      </c>
      <c r="X2161" t="str">
        <f>VLOOKUP(C2161,Sales_Representatives!$A:$B,2,0)</f>
        <v>Thomas Hernandez</v>
      </c>
    </row>
    <row r="2162" spans="1:24" x14ac:dyDescent="0.3">
      <c r="A2162" t="s">
        <v>3055</v>
      </c>
      <c r="B2162" t="s">
        <v>3050</v>
      </c>
      <c r="C2162" t="s">
        <v>82</v>
      </c>
      <c r="D2162" t="s">
        <v>1467</v>
      </c>
      <c r="E2162" t="s">
        <v>145</v>
      </c>
      <c r="F2162">
        <v>5</v>
      </c>
      <c r="G2162">
        <v>93.43</v>
      </c>
      <c r="H2162">
        <v>0.09</v>
      </c>
      <c r="I2162" s="4">
        <v>425.11</v>
      </c>
      <c r="J2162" t="s">
        <v>34</v>
      </c>
      <c r="K2162" t="s">
        <v>17</v>
      </c>
      <c r="L2162" s="4">
        <f>VLOOKUP(tblTransactions[[#This Row],[Product_ID]],tblProducts[],5,FALSE)</f>
        <v>45.74</v>
      </c>
      <c r="M2162" s="4">
        <f>tblTransactions[[#This Row],[Total_Amount]]-(tblTransactions[[#This Row],[Cost_Prices]]*tblTransactions[[#This Row],[Quantity]]*(1-tblTransactions[[#This Row],[Discount]]))</f>
        <v>216.99299999999999</v>
      </c>
      <c r="N2162" s="3">
        <f>tblTransactions[[#This Row],[Profit]]/tblTransactions[[#This Row],[Total_Amount]]</f>
        <v>0.5104396509138811</v>
      </c>
      <c r="O2162" t="str">
        <f>TEXT(tblTransactions[[#This Row],[Date]], "MMM-YYYY")</f>
        <v>Mar-2024</v>
      </c>
      <c r="P2162" t="str">
        <f>"Q"&amp;ROUNDUP(MONTH(tblTransactions[[#This Row],[Date]])/3,0)&amp;"-"&amp;YEAR(tblTransactions[[#This Row],[Date]])</f>
        <v>Q1-2024</v>
      </c>
      <c r="Q2162">
        <f>YEAR(tblTransactions[[#This Row],[Date]])</f>
        <v>2024</v>
      </c>
      <c r="R2162" t="str">
        <f>TEXT(tblTransactions[[#This Row],[Date]],"DDDD")</f>
        <v>Sunday</v>
      </c>
      <c r="S2162">
        <f>MONTH(tblTransactions[[#This Row],[Date]])</f>
        <v>3</v>
      </c>
      <c r="T2162" t="str">
        <f>VLOOKUP(E2162, Products!$A:$B,2,0)</f>
        <v>Paper Off-1</v>
      </c>
      <c r="U2162" t="str">
        <f>VLOOKUP(E2162,Products!$A:$C,3,0)</f>
        <v>Office Supplies</v>
      </c>
      <c r="V2162" t="str">
        <f>VLOOKUP(E2162,Products!$A:$D,4,0)</f>
        <v>Paper</v>
      </c>
      <c r="W2162" t="str">
        <f>VLOOKUP(D2162,Customers!$A:$C,3,0)</f>
        <v>B2C</v>
      </c>
      <c r="X2162" t="str">
        <f>VLOOKUP(C2162,Sales_Representatives!$A:$B,2,0)</f>
        <v>John Brown</v>
      </c>
    </row>
    <row r="2163" spans="1:24" x14ac:dyDescent="0.3">
      <c r="A2163" t="s">
        <v>3056</v>
      </c>
      <c r="B2163" t="s">
        <v>3057</v>
      </c>
      <c r="C2163" t="s">
        <v>41</v>
      </c>
      <c r="D2163" t="s">
        <v>1776</v>
      </c>
      <c r="E2163" t="s">
        <v>38</v>
      </c>
      <c r="F2163">
        <v>3</v>
      </c>
      <c r="G2163">
        <v>581.47</v>
      </c>
      <c r="H2163">
        <v>0.04</v>
      </c>
      <c r="I2163" s="4">
        <v>1674.63</v>
      </c>
      <c r="J2163" t="s">
        <v>44</v>
      </c>
      <c r="K2163" t="s">
        <v>48</v>
      </c>
      <c r="L2163" s="4">
        <f>VLOOKUP(tblTransactions[[#This Row],[Product_ID]],tblProducts[],5,FALSE)</f>
        <v>372.07</v>
      </c>
      <c r="M2163" s="4">
        <f>tblTransactions[[#This Row],[Total_Amount]]-(tblTransactions[[#This Row],[Cost_Prices]]*tblTransactions[[#This Row],[Quantity]]*(1-tblTransactions[[#This Row],[Discount]]))</f>
        <v>603.06840000000011</v>
      </c>
      <c r="N2163" s="3">
        <f>tblTransactions[[#This Row],[Profit]]/tblTransactions[[#This Row],[Total_Amount]]</f>
        <v>0.36012038480141884</v>
      </c>
      <c r="O2163" t="str">
        <f>TEXT(tblTransactions[[#This Row],[Date]], "MMM-YYYY")</f>
        <v>Apr-2024</v>
      </c>
      <c r="P2163" t="str">
        <f>"Q"&amp;ROUNDUP(MONTH(tblTransactions[[#This Row],[Date]])/3,0)&amp;"-"&amp;YEAR(tblTransactions[[#This Row],[Date]])</f>
        <v>Q2-2024</v>
      </c>
      <c r="Q2163">
        <f>YEAR(tblTransactions[[#This Row],[Date]])</f>
        <v>2024</v>
      </c>
      <c r="R2163" t="str">
        <f>TEXT(tblTransactions[[#This Row],[Date]],"DDDD")</f>
        <v>Monday</v>
      </c>
      <c r="S2163">
        <f>MONTH(tblTransactions[[#This Row],[Date]])</f>
        <v>4</v>
      </c>
      <c r="T2163" t="str">
        <f>VLOOKUP(E2163, Products!$A:$B,2,0)</f>
        <v>Storage Fur-3</v>
      </c>
      <c r="U2163" t="str">
        <f>VLOOKUP(E2163,Products!$A:$C,3,0)</f>
        <v>Furniture</v>
      </c>
      <c r="V2163" t="str">
        <f>VLOOKUP(E2163,Products!$A:$D,4,0)</f>
        <v>Storage</v>
      </c>
      <c r="W2163" t="str">
        <f>VLOOKUP(D2163,Customers!$A:$C,3,0)</f>
        <v>B2C</v>
      </c>
      <c r="X2163" t="str">
        <f>VLOOKUP(C2163,Sales_Representatives!$A:$B,2,0)</f>
        <v>Robert Jones</v>
      </c>
    </row>
    <row r="2164" spans="1:24" x14ac:dyDescent="0.3">
      <c r="A2164" t="s">
        <v>3058</v>
      </c>
      <c r="B2164" t="s">
        <v>3057</v>
      </c>
      <c r="C2164" t="s">
        <v>82</v>
      </c>
      <c r="D2164" t="s">
        <v>1978</v>
      </c>
      <c r="E2164" t="s">
        <v>129</v>
      </c>
      <c r="F2164">
        <v>4</v>
      </c>
      <c r="G2164">
        <v>1283.71</v>
      </c>
      <c r="H2164">
        <v>0.02</v>
      </c>
      <c r="I2164" s="4">
        <v>5032.1400000000003</v>
      </c>
      <c r="J2164" t="s">
        <v>34</v>
      </c>
      <c r="K2164" t="s">
        <v>39</v>
      </c>
      <c r="L2164" s="4">
        <f>VLOOKUP(tblTransactions[[#This Row],[Product_ID]],tblProducts[],5,FALSE)</f>
        <v>970.14</v>
      </c>
      <c r="M2164" s="4">
        <f>tblTransactions[[#This Row],[Total_Amount]]-(tblTransactions[[#This Row],[Cost_Prices]]*tblTransactions[[#This Row],[Quantity]]*(1-tblTransactions[[#This Row],[Discount]]))</f>
        <v>1229.1912000000007</v>
      </c>
      <c r="N2164" s="3">
        <f>tblTransactions[[#This Row],[Profit]]/tblTransactions[[#This Row],[Total_Amount]]</f>
        <v>0.24426808475121928</v>
      </c>
      <c r="O2164" t="str">
        <f>TEXT(tblTransactions[[#This Row],[Date]], "MMM-YYYY")</f>
        <v>Apr-2024</v>
      </c>
      <c r="P2164" t="str">
        <f>"Q"&amp;ROUNDUP(MONTH(tblTransactions[[#This Row],[Date]])/3,0)&amp;"-"&amp;YEAR(tblTransactions[[#This Row],[Date]])</f>
        <v>Q2-2024</v>
      </c>
      <c r="Q2164">
        <f>YEAR(tblTransactions[[#This Row],[Date]])</f>
        <v>2024</v>
      </c>
      <c r="R2164" t="str">
        <f>TEXT(tblTransactions[[#This Row],[Date]],"DDDD")</f>
        <v>Monday</v>
      </c>
      <c r="S2164">
        <f>MONTH(tblTransactions[[#This Row],[Date]])</f>
        <v>4</v>
      </c>
      <c r="T2164" t="str">
        <f>VLOOKUP(E2164, Products!$A:$B,2,0)</f>
        <v>Cameras Ele-3</v>
      </c>
      <c r="U2164" t="str">
        <f>VLOOKUP(E2164,Products!$A:$C,3,0)</f>
        <v>Electronics</v>
      </c>
      <c r="V2164" t="str">
        <f>VLOOKUP(E2164,Products!$A:$D,4,0)</f>
        <v>Cameras</v>
      </c>
      <c r="W2164" t="str">
        <f>VLOOKUP(D2164,Customers!$A:$C,3,0)</f>
        <v>B2C</v>
      </c>
      <c r="X2164" t="str">
        <f>VLOOKUP(C2164,Sales_Representatives!$A:$B,2,0)</f>
        <v>John Brown</v>
      </c>
    </row>
    <row r="2165" spans="1:24" x14ac:dyDescent="0.3">
      <c r="A2165" t="s">
        <v>3059</v>
      </c>
      <c r="B2165" t="s">
        <v>3057</v>
      </c>
      <c r="C2165" t="s">
        <v>75</v>
      </c>
      <c r="D2165" t="s">
        <v>1737</v>
      </c>
      <c r="E2165" t="s">
        <v>105</v>
      </c>
      <c r="F2165">
        <v>5</v>
      </c>
      <c r="G2165">
        <v>1342.04</v>
      </c>
      <c r="H2165">
        <v>0.06</v>
      </c>
      <c r="I2165" s="4">
        <v>6307.59</v>
      </c>
      <c r="J2165" t="s">
        <v>44</v>
      </c>
      <c r="K2165" t="s">
        <v>35</v>
      </c>
      <c r="L2165" s="4">
        <f>VLOOKUP(tblTransactions[[#This Row],[Product_ID]],tblProducts[],5,FALSE)</f>
        <v>792.89</v>
      </c>
      <c r="M2165" s="4">
        <f>tblTransactions[[#This Row],[Total_Amount]]-(tblTransactions[[#This Row],[Cost_Prices]]*tblTransactions[[#This Row],[Quantity]]*(1-tblTransactions[[#This Row],[Discount]]))</f>
        <v>2581.0070000000005</v>
      </c>
      <c r="N2165" s="3">
        <f>tblTransactions[[#This Row],[Profit]]/tblTransactions[[#This Row],[Total_Amount]]</f>
        <v>0.4091906734584842</v>
      </c>
      <c r="O2165" t="str">
        <f>TEXT(tblTransactions[[#This Row],[Date]], "MMM-YYYY")</f>
        <v>Apr-2024</v>
      </c>
      <c r="P2165" t="str">
        <f>"Q"&amp;ROUNDUP(MONTH(tblTransactions[[#This Row],[Date]])/3,0)&amp;"-"&amp;YEAR(tblTransactions[[#This Row],[Date]])</f>
        <v>Q2-2024</v>
      </c>
      <c r="Q2165">
        <f>YEAR(tblTransactions[[#This Row],[Date]])</f>
        <v>2024</v>
      </c>
      <c r="R2165" t="str">
        <f>TEXT(tblTransactions[[#This Row],[Date]],"DDDD")</f>
        <v>Monday</v>
      </c>
      <c r="S2165">
        <f>MONTH(tblTransactions[[#This Row],[Date]])</f>
        <v>4</v>
      </c>
      <c r="T2165" t="str">
        <f>VLOOKUP(E2165, Products!$A:$B,2,0)</f>
        <v>Cameras Ele-1</v>
      </c>
      <c r="U2165" t="str">
        <f>VLOOKUP(E2165,Products!$A:$C,3,0)</f>
        <v>Electronics</v>
      </c>
      <c r="V2165" t="str">
        <f>VLOOKUP(E2165,Products!$A:$D,4,0)</f>
        <v>Cameras</v>
      </c>
      <c r="W2165" t="str">
        <f>VLOOKUP(D2165,Customers!$A:$C,3,0)</f>
        <v>B2B</v>
      </c>
      <c r="X2165" t="str">
        <f>VLOOKUP(C2165,Sales_Representatives!$A:$B,2,0)</f>
        <v>Jessica Anderson</v>
      </c>
    </row>
    <row r="2166" spans="1:24" x14ac:dyDescent="0.3">
      <c r="A2166" t="s">
        <v>3060</v>
      </c>
      <c r="B2166" t="s">
        <v>3061</v>
      </c>
      <c r="C2166" t="s">
        <v>141</v>
      </c>
      <c r="D2166" t="s">
        <v>2268</v>
      </c>
      <c r="E2166" t="s">
        <v>255</v>
      </c>
      <c r="F2166">
        <v>28</v>
      </c>
      <c r="G2166">
        <v>1444.13</v>
      </c>
      <c r="H2166">
        <v>0.17</v>
      </c>
      <c r="I2166" s="4">
        <v>33561.58</v>
      </c>
      <c r="J2166" t="s">
        <v>109</v>
      </c>
      <c r="K2166" t="s">
        <v>22</v>
      </c>
      <c r="L2166" s="4">
        <f>VLOOKUP(tblTransactions[[#This Row],[Product_ID]],tblProducts[],5,FALSE)</f>
        <v>874.43</v>
      </c>
      <c r="M2166" s="4">
        <f>tblTransactions[[#This Row],[Total_Amount]]-(tblTransactions[[#This Row],[Cost_Prices]]*tblTransactions[[#This Row],[Quantity]]*(1-tblTransactions[[#This Row],[Discount]]))</f>
        <v>13239.826800000006</v>
      </c>
      <c r="N2166" s="3">
        <f>tblTransactions[[#This Row],[Profit]]/tblTransactions[[#This Row],[Total_Amount]]</f>
        <v>0.39449354887344412</v>
      </c>
      <c r="O2166" t="str">
        <f>TEXT(tblTransactions[[#This Row],[Date]], "MMM-YYYY")</f>
        <v>Apr-2024</v>
      </c>
      <c r="P2166" t="str">
        <f>"Q"&amp;ROUNDUP(MONTH(tblTransactions[[#This Row],[Date]])/3,0)&amp;"-"&amp;YEAR(tblTransactions[[#This Row],[Date]])</f>
        <v>Q2-2024</v>
      </c>
      <c r="Q2166">
        <f>YEAR(tblTransactions[[#This Row],[Date]])</f>
        <v>2024</v>
      </c>
      <c r="R2166" t="str">
        <f>TEXT(tblTransactions[[#This Row],[Date]],"DDDD")</f>
        <v>Tuesday</v>
      </c>
      <c r="S2166">
        <f>MONTH(tblTransactions[[#This Row],[Date]])</f>
        <v>4</v>
      </c>
      <c r="T2166" t="str">
        <f>VLOOKUP(E2166, Products!$A:$B,2,0)</f>
        <v>Printers Tec-1</v>
      </c>
      <c r="U2166" t="str">
        <f>VLOOKUP(E2166,Products!$A:$C,3,0)</f>
        <v>Technology</v>
      </c>
      <c r="V2166" t="str">
        <f>VLOOKUP(E2166,Products!$A:$D,4,0)</f>
        <v>Printers</v>
      </c>
      <c r="W2166" t="str">
        <f>VLOOKUP(D2166,Customers!$A:$C,3,0)</f>
        <v>Enterprise</v>
      </c>
      <c r="X2166" t="str">
        <f>VLOOKUP(C2166,Sales_Representatives!$A:$B,2,0)</f>
        <v>Richard Garcia</v>
      </c>
    </row>
    <row r="2167" spans="1:24" x14ac:dyDescent="0.3">
      <c r="A2167" t="s">
        <v>3062</v>
      </c>
      <c r="B2167" t="s">
        <v>3061</v>
      </c>
      <c r="C2167" t="s">
        <v>27</v>
      </c>
      <c r="D2167" t="s">
        <v>2255</v>
      </c>
      <c r="E2167" t="s">
        <v>435</v>
      </c>
      <c r="F2167">
        <v>7</v>
      </c>
      <c r="G2167">
        <v>198.72</v>
      </c>
      <c r="H2167">
        <v>0.13</v>
      </c>
      <c r="I2167" s="4">
        <v>1210.2</v>
      </c>
      <c r="J2167" t="s">
        <v>16</v>
      </c>
      <c r="K2167" t="s">
        <v>35</v>
      </c>
      <c r="L2167" s="4">
        <f>VLOOKUP(tblTransactions[[#This Row],[Product_ID]],tblProducts[],5,FALSE)</f>
        <v>116.98</v>
      </c>
      <c r="M2167" s="4">
        <f>tblTransactions[[#This Row],[Total_Amount]]-(tblTransactions[[#This Row],[Cost_Prices]]*tblTransactions[[#This Row],[Quantity]]*(1-tblTransactions[[#This Row],[Discount]]))</f>
        <v>497.79180000000008</v>
      </c>
      <c r="N2167" s="3">
        <f>tblTransactions[[#This Row],[Profit]]/tblTransactions[[#This Row],[Total_Amount]]</f>
        <v>0.41133019335647003</v>
      </c>
      <c r="O2167" t="str">
        <f>TEXT(tblTransactions[[#This Row],[Date]], "MMM-YYYY")</f>
        <v>Apr-2024</v>
      </c>
      <c r="P2167" t="str">
        <f>"Q"&amp;ROUNDUP(MONTH(tblTransactions[[#This Row],[Date]])/3,0)&amp;"-"&amp;YEAR(tblTransactions[[#This Row],[Date]])</f>
        <v>Q2-2024</v>
      </c>
      <c r="Q2167">
        <f>YEAR(tblTransactions[[#This Row],[Date]])</f>
        <v>2024</v>
      </c>
      <c r="R2167" t="str">
        <f>TEXT(tblTransactions[[#This Row],[Date]],"DDDD")</f>
        <v>Tuesday</v>
      </c>
      <c r="S2167">
        <f>MONTH(tblTransactions[[#This Row],[Date]])</f>
        <v>4</v>
      </c>
      <c r="T2167" t="str">
        <f>VLOOKUP(E2167, Products!$A:$B,2,0)</f>
        <v>Paper Off-4</v>
      </c>
      <c r="U2167" t="str">
        <f>VLOOKUP(E2167,Products!$A:$C,3,0)</f>
        <v>Office Supplies</v>
      </c>
      <c r="V2167" t="str">
        <f>VLOOKUP(E2167,Products!$A:$D,4,0)</f>
        <v>Paper</v>
      </c>
      <c r="W2167" t="str">
        <f>VLOOKUP(D2167,Customers!$A:$C,3,0)</f>
        <v>Small Business</v>
      </c>
      <c r="X2167" t="str">
        <f>VLOOKUP(C2167,Sales_Representatives!$A:$B,2,0)</f>
        <v>Thomas Lopez</v>
      </c>
    </row>
    <row r="2168" spans="1:24" x14ac:dyDescent="0.3">
      <c r="A2168" t="s">
        <v>3063</v>
      </c>
      <c r="B2168" t="s">
        <v>3064</v>
      </c>
      <c r="C2168" t="s">
        <v>70</v>
      </c>
      <c r="D2168" t="s">
        <v>1578</v>
      </c>
      <c r="E2168" t="s">
        <v>283</v>
      </c>
      <c r="F2168">
        <v>12</v>
      </c>
      <c r="G2168">
        <v>456.88</v>
      </c>
      <c r="H2168">
        <v>0.18</v>
      </c>
      <c r="I2168" s="4">
        <v>4495.7</v>
      </c>
      <c r="J2168" t="s">
        <v>16</v>
      </c>
      <c r="K2168" t="s">
        <v>39</v>
      </c>
      <c r="L2168" s="4">
        <f>VLOOKUP(tblTransactions[[#This Row],[Product_ID]],tblProducts[],5,FALSE)</f>
        <v>313.23</v>
      </c>
      <c r="M2168" s="4">
        <f>tblTransactions[[#This Row],[Total_Amount]]-(tblTransactions[[#This Row],[Cost_Prices]]*tblTransactions[[#This Row],[Quantity]]*(1-tblTransactions[[#This Row],[Discount]]))</f>
        <v>1413.5167999999994</v>
      </c>
      <c r="N2168" s="3">
        <f>tblTransactions[[#This Row],[Profit]]/tblTransactions[[#This Row],[Total_Amount]]</f>
        <v>0.31441528571746324</v>
      </c>
      <c r="O2168" t="str">
        <f>TEXT(tblTransactions[[#This Row],[Date]], "MMM-YYYY")</f>
        <v>Apr-2024</v>
      </c>
      <c r="P2168" t="str">
        <f>"Q"&amp;ROUNDUP(MONTH(tblTransactions[[#This Row],[Date]])/3,0)&amp;"-"&amp;YEAR(tblTransactions[[#This Row],[Date]])</f>
        <v>Q2-2024</v>
      </c>
      <c r="Q2168">
        <f>YEAR(tblTransactions[[#This Row],[Date]])</f>
        <v>2024</v>
      </c>
      <c r="R2168" t="str">
        <f>TEXT(tblTransactions[[#This Row],[Date]],"DDDD")</f>
        <v>Wednesday</v>
      </c>
      <c r="S2168">
        <f>MONTH(tblTransactions[[#This Row],[Date]])</f>
        <v>4</v>
      </c>
      <c r="T2168" t="str">
        <f>VLOOKUP(E2168, Products!$A:$B,2,0)</f>
        <v>Chairs Fur-3</v>
      </c>
      <c r="U2168" t="str">
        <f>VLOOKUP(E2168,Products!$A:$C,3,0)</f>
        <v>Furniture</v>
      </c>
      <c r="V2168" t="str">
        <f>VLOOKUP(E2168,Products!$A:$D,4,0)</f>
        <v>Chairs</v>
      </c>
      <c r="W2168" t="str">
        <f>VLOOKUP(D2168,Customers!$A:$C,3,0)</f>
        <v>Enterprise</v>
      </c>
      <c r="X2168" t="str">
        <f>VLOOKUP(C2168,Sales_Representatives!$A:$B,2,0)</f>
        <v>Linda Smith</v>
      </c>
    </row>
    <row r="2169" spans="1:24" x14ac:dyDescent="0.3">
      <c r="A2169" t="s">
        <v>3065</v>
      </c>
      <c r="B2169" t="s">
        <v>3064</v>
      </c>
      <c r="C2169" t="s">
        <v>127</v>
      </c>
      <c r="D2169" t="s">
        <v>1971</v>
      </c>
      <c r="E2169" t="s">
        <v>176</v>
      </c>
      <c r="F2169">
        <v>2</v>
      </c>
      <c r="G2169">
        <v>1462.68</v>
      </c>
      <c r="H2169">
        <v>0</v>
      </c>
      <c r="I2169" s="4">
        <v>2925.36</v>
      </c>
      <c r="J2169" t="s">
        <v>109</v>
      </c>
      <c r="K2169" t="s">
        <v>39</v>
      </c>
      <c r="L2169" s="4">
        <f>VLOOKUP(tblTransactions[[#This Row],[Product_ID]],tblProducts[],5,FALSE)</f>
        <v>775.94</v>
      </c>
      <c r="M2169" s="4">
        <f>tblTransactions[[#This Row],[Total_Amount]]-(tblTransactions[[#This Row],[Cost_Prices]]*tblTransactions[[#This Row],[Quantity]]*(1-tblTransactions[[#This Row],[Discount]]))</f>
        <v>1373.48</v>
      </c>
      <c r="N2169" s="3">
        <f>tblTransactions[[#This Row],[Profit]]/tblTransactions[[#This Row],[Total_Amount]]</f>
        <v>0.46950802636256733</v>
      </c>
      <c r="O2169" t="str">
        <f>TEXT(tblTransactions[[#This Row],[Date]], "MMM-YYYY")</f>
        <v>Apr-2024</v>
      </c>
      <c r="P2169" t="str">
        <f>"Q"&amp;ROUNDUP(MONTH(tblTransactions[[#This Row],[Date]])/3,0)&amp;"-"&amp;YEAR(tblTransactions[[#This Row],[Date]])</f>
        <v>Q2-2024</v>
      </c>
      <c r="Q2169">
        <f>YEAR(tblTransactions[[#This Row],[Date]])</f>
        <v>2024</v>
      </c>
      <c r="R2169" t="str">
        <f>TEXT(tblTransactions[[#This Row],[Date]],"DDDD")</f>
        <v>Wednesday</v>
      </c>
      <c r="S2169">
        <f>MONTH(tblTransactions[[#This Row],[Date]])</f>
        <v>4</v>
      </c>
      <c r="T2169" t="str">
        <f>VLOOKUP(E2169, Products!$A:$B,2,0)</f>
        <v>Chairs Fur-2</v>
      </c>
      <c r="U2169" t="str">
        <f>VLOOKUP(E2169,Products!$A:$C,3,0)</f>
        <v>Furniture</v>
      </c>
      <c r="V2169" t="str">
        <f>VLOOKUP(E2169,Products!$A:$D,4,0)</f>
        <v>Chairs</v>
      </c>
      <c r="W2169" t="str">
        <f>VLOOKUP(D2169,Customers!$A:$C,3,0)</f>
        <v>B2B</v>
      </c>
      <c r="X2169" t="str">
        <f>VLOOKUP(C2169,Sales_Representatives!$A:$B,2,0)</f>
        <v>Emily Hernandez</v>
      </c>
    </row>
    <row r="2170" spans="1:24" x14ac:dyDescent="0.3">
      <c r="A2170" t="s">
        <v>3066</v>
      </c>
      <c r="B2170" t="s">
        <v>3064</v>
      </c>
      <c r="C2170" t="s">
        <v>131</v>
      </c>
      <c r="D2170" t="s">
        <v>1467</v>
      </c>
      <c r="E2170" t="s">
        <v>587</v>
      </c>
      <c r="F2170">
        <v>4</v>
      </c>
      <c r="G2170">
        <v>58.54</v>
      </c>
      <c r="H2170">
        <v>0.04</v>
      </c>
      <c r="I2170" s="4">
        <v>224.79</v>
      </c>
      <c r="J2170" t="s">
        <v>44</v>
      </c>
      <c r="K2170" t="s">
        <v>48</v>
      </c>
      <c r="L2170" s="4">
        <f>VLOOKUP(tblTransactions[[#This Row],[Product_ID]],tblProducts[],5,FALSE)</f>
        <v>25.43</v>
      </c>
      <c r="M2170" s="4">
        <f>tblTransactions[[#This Row],[Total_Amount]]-(tblTransactions[[#This Row],[Cost_Prices]]*tblTransactions[[#This Row],[Quantity]]*(1-tblTransactions[[#This Row],[Discount]]))</f>
        <v>127.1388</v>
      </c>
      <c r="N2170" s="3">
        <f>tblTransactions[[#This Row],[Profit]]/tblTransactions[[#This Row],[Total_Amount]]</f>
        <v>0.5655892166021621</v>
      </c>
      <c r="O2170" t="str">
        <f>TEXT(tblTransactions[[#This Row],[Date]], "MMM-YYYY")</f>
        <v>Apr-2024</v>
      </c>
      <c r="P2170" t="str">
        <f>"Q"&amp;ROUNDUP(MONTH(tblTransactions[[#This Row],[Date]])/3,0)&amp;"-"&amp;YEAR(tblTransactions[[#This Row],[Date]])</f>
        <v>Q2-2024</v>
      </c>
      <c r="Q2170">
        <f>YEAR(tblTransactions[[#This Row],[Date]])</f>
        <v>2024</v>
      </c>
      <c r="R2170" t="str">
        <f>TEXT(tblTransactions[[#This Row],[Date]],"DDDD")</f>
        <v>Wednesday</v>
      </c>
      <c r="S2170">
        <f>MONTH(tblTransactions[[#This Row],[Date]])</f>
        <v>4</v>
      </c>
      <c r="T2170" t="str">
        <f>VLOOKUP(E2170, Products!$A:$B,2,0)</f>
        <v>Paper Off-2</v>
      </c>
      <c r="U2170" t="str">
        <f>VLOOKUP(E2170,Products!$A:$C,3,0)</f>
        <v>Office Supplies</v>
      </c>
      <c r="V2170" t="str">
        <f>VLOOKUP(E2170,Products!$A:$D,4,0)</f>
        <v>Paper</v>
      </c>
      <c r="W2170" t="str">
        <f>VLOOKUP(D2170,Customers!$A:$C,3,0)</f>
        <v>B2C</v>
      </c>
      <c r="X2170" t="str">
        <f>VLOOKUP(C2170,Sales_Representatives!$A:$B,2,0)</f>
        <v>Michael Davis</v>
      </c>
    </row>
    <row r="2171" spans="1:24" x14ac:dyDescent="0.3">
      <c r="A2171" t="s">
        <v>3067</v>
      </c>
      <c r="B2171" t="s">
        <v>3064</v>
      </c>
      <c r="C2171" t="s">
        <v>107</v>
      </c>
      <c r="D2171" t="s">
        <v>1561</v>
      </c>
      <c r="E2171" t="s">
        <v>243</v>
      </c>
      <c r="F2171">
        <v>2</v>
      </c>
      <c r="G2171">
        <v>384.18</v>
      </c>
      <c r="H2171">
        <v>0.1</v>
      </c>
      <c r="I2171" s="4">
        <v>691.52</v>
      </c>
      <c r="J2171" t="s">
        <v>109</v>
      </c>
      <c r="K2171" t="s">
        <v>22</v>
      </c>
      <c r="L2171" s="4">
        <f>VLOOKUP(tblTransactions[[#This Row],[Product_ID]],tblProducts[],5,FALSE)</f>
        <v>266.92</v>
      </c>
      <c r="M2171" s="4">
        <f>tblTransactions[[#This Row],[Total_Amount]]-(tblTransactions[[#This Row],[Cost_Prices]]*tblTransactions[[#This Row],[Quantity]]*(1-tblTransactions[[#This Row],[Discount]]))</f>
        <v>211.06399999999996</v>
      </c>
      <c r="N2171" s="3">
        <f>tblTransactions[[#This Row],[Profit]]/tblTransactions[[#This Row],[Total_Amount]]</f>
        <v>0.30521749190189723</v>
      </c>
      <c r="O2171" t="str">
        <f>TEXT(tblTransactions[[#This Row],[Date]], "MMM-YYYY")</f>
        <v>Apr-2024</v>
      </c>
      <c r="P2171" t="str">
        <f>"Q"&amp;ROUNDUP(MONTH(tblTransactions[[#This Row],[Date]])/3,0)&amp;"-"&amp;YEAR(tblTransactions[[#This Row],[Date]])</f>
        <v>Q2-2024</v>
      </c>
      <c r="Q2171">
        <f>YEAR(tblTransactions[[#This Row],[Date]])</f>
        <v>2024</v>
      </c>
      <c r="R2171" t="str">
        <f>TEXT(tblTransactions[[#This Row],[Date]],"DDDD")</f>
        <v>Wednesday</v>
      </c>
      <c r="S2171">
        <f>MONTH(tblTransactions[[#This Row],[Date]])</f>
        <v>4</v>
      </c>
      <c r="T2171" t="str">
        <f>VLOOKUP(E2171, Products!$A:$B,2,0)</f>
        <v>Routers Tec-3</v>
      </c>
      <c r="U2171" t="str">
        <f>VLOOKUP(E2171,Products!$A:$C,3,0)</f>
        <v>Technology</v>
      </c>
      <c r="V2171" t="str">
        <f>VLOOKUP(E2171,Products!$A:$D,4,0)</f>
        <v>Routers</v>
      </c>
      <c r="W2171" t="str">
        <f>VLOOKUP(D2171,Customers!$A:$C,3,0)</f>
        <v>B2B</v>
      </c>
      <c r="X2171" t="str">
        <f>VLOOKUP(C2171,Sales_Representatives!$A:$B,2,0)</f>
        <v>Jennifer Brown</v>
      </c>
    </row>
    <row r="2172" spans="1:24" x14ac:dyDescent="0.3">
      <c r="A2172" t="s">
        <v>3068</v>
      </c>
      <c r="B2172" t="s">
        <v>3064</v>
      </c>
      <c r="C2172" t="s">
        <v>63</v>
      </c>
      <c r="D2172" t="s">
        <v>2162</v>
      </c>
      <c r="E2172" t="s">
        <v>145</v>
      </c>
      <c r="F2172">
        <v>6</v>
      </c>
      <c r="G2172">
        <v>93.43</v>
      </c>
      <c r="H2172">
        <v>0.14000000000000001</v>
      </c>
      <c r="I2172" s="4">
        <v>482.1</v>
      </c>
      <c r="J2172" t="s">
        <v>21</v>
      </c>
      <c r="K2172" t="s">
        <v>35</v>
      </c>
      <c r="L2172" s="4">
        <f>VLOOKUP(tblTransactions[[#This Row],[Product_ID]],tblProducts[],5,FALSE)</f>
        <v>45.74</v>
      </c>
      <c r="M2172" s="4">
        <f>tblTransactions[[#This Row],[Total_Amount]]-(tblTransactions[[#This Row],[Cost_Prices]]*tblTransactions[[#This Row],[Quantity]]*(1-tblTransactions[[#This Row],[Discount]]))</f>
        <v>246.08160000000004</v>
      </c>
      <c r="N2172" s="3">
        <f>tblTransactions[[#This Row],[Profit]]/tblTransactions[[#This Row],[Total_Amount]]</f>
        <v>0.51043683883011826</v>
      </c>
      <c r="O2172" t="str">
        <f>TEXT(tblTransactions[[#This Row],[Date]], "MMM-YYYY")</f>
        <v>Apr-2024</v>
      </c>
      <c r="P2172" t="str">
        <f>"Q"&amp;ROUNDUP(MONTH(tblTransactions[[#This Row],[Date]])/3,0)&amp;"-"&amp;YEAR(tblTransactions[[#This Row],[Date]])</f>
        <v>Q2-2024</v>
      </c>
      <c r="Q2172">
        <f>YEAR(tblTransactions[[#This Row],[Date]])</f>
        <v>2024</v>
      </c>
      <c r="R2172" t="str">
        <f>TEXT(tblTransactions[[#This Row],[Date]],"DDDD")</f>
        <v>Wednesday</v>
      </c>
      <c r="S2172">
        <f>MONTH(tblTransactions[[#This Row],[Date]])</f>
        <v>4</v>
      </c>
      <c r="T2172" t="str">
        <f>VLOOKUP(E2172, Products!$A:$B,2,0)</f>
        <v>Paper Off-1</v>
      </c>
      <c r="U2172" t="str">
        <f>VLOOKUP(E2172,Products!$A:$C,3,0)</f>
        <v>Office Supplies</v>
      </c>
      <c r="V2172" t="str">
        <f>VLOOKUP(E2172,Products!$A:$D,4,0)</f>
        <v>Paper</v>
      </c>
      <c r="W2172" t="str">
        <f>VLOOKUP(D2172,Customers!$A:$C,3,0)</f>
        <v>Small Business</v>
      </c>
      <c r="X2172" t="str">
        <f>VLOOKUP(C2172,Sales_Representatives!$A:$B,2,0)</f>
        <v>Richard Wilson</v>
      </c>
    </row>
    <row r="2173" spans="1:24" x14ac:dyDescent="0.3">
      <c r="A2173" t="s">
        <v>3069</v>
      </c>
      <c r="B2173" t="s">
        <v>3064</v>
      </c>
      <c r="C2173" t="s">
        <v>82</v>
      </c>
      <c r="D2173" t="s">
        <v>1543</v>
      </c>
      <c r="E2173" t="s">
        <v>148</v>
      </c>
      <c r="F2173">
        <v>5</v>
      </c>
      <c r="G2173">
        <v>20.420000000000002</v>
      </c>
      <c r="H2173">
        <v>0</v>
      </c>
      <c r="I2173" s="4">
        <v>102.1</v>
      </c>
      <c r="J2173" t="s">
        <v>34</v>
      </c>
      <c r="K2173" t="s">
        <v>35</v>
      </c>
      <c r="L2173" s="4">
        <f>VLOOKUP(tblTransactions[[#This Row],[Product_ID]],tblProducts[],5,FALSE)</f>
        <v>9.56</v>
      </c>
      <c r="M2173" s="4">
        <f>tblTransactions[[#This Row],[Total_Amount]]-(tblTransactions[[#This Row],[Cost_Prices]]*tblTransactions[[#This Row],[Quantity]]*(1-tblTransactions[[#This Row],[Discount]]))</f>
        <v>54.29999999999999</v>
      </c>
      <c r="N2173" s="3">
        <f>tblTransactions[[#This Row],[Profit]]/tblTransactions[[#This Row],[Total_Amount]]</f>
        <v>0.53183153770812919</v>
      </c>
      <c r="O2173" t="str">
        <f>TEXT(tblTransactions[[#This Row],[Date]], "MMM-YYYY")</f>
        <v>Apr-2024</v>
      </c>
      <c r="P2173" t="str">
        <f>"Q"&amp;ROUNDUP(MONTH(tblTransactions[[#This Row],[Date]])/3,0)&amp;"-"&amp;YEAR(tblTransactions[[#This Row],[Date]])</f>
        <v>Q2-2024</v>
      </c>
      <c r="Q2173">
        <f>YEAR(tblTransactions[[#This Row],[Date]])</f>
        <v>2024</v>
      </c>
      <c r="R2173" t="str">
        <f>TEXT(tblTransactions[[#This Row],[Date]],"DDDD")</f>
        <v>Wednesday</v>
      </c>
      <c r="S2173">
        <f>MONTH(tblTransactions[[#This Row],[Date]])</f>
        <v>4</v>
      </c>
      <c r="T2173" t="str">
        <f>VLOOKUP(E2173, Products!$A:$B,2,0)</f>
        <v>Cases Acc-3</v>
      </c>
      <c r="U2173" t="str">
        <f>VLOOKUP(E2173,Products!$A:$C,3,0)</f>
        <v>Accessories</v>
      </c>
      <c r="V2173" t="str">
        <f>VLOOKUP(E2173,Products!$A:$D,4,0)</f>
        <v>Cases</v>
      </c>
      <c r="W2173" t="str">
        <f>VLOOKUP(D2173,Customers!$A:$C,3,0)</f>
        <v>B2C</v>
      </c>
      <c r="X2173" t="str">
        <f>VLOOKUP(C2173,Sales_Representatives!$A:$B,2,0)</f>
        <v>John Brown</v>
      </c>
    </row>
    <row r="2174" spans="1:24" x14ac:dyDescent="0.3">
      <c r="A2174" t="s">
        <v>3070</v>
      </c>
      <c r="B2174" t="s">
        <v>3064</v>
      </c>
      <c r="C2174" t="s">
        <v>70</v>
      </c>
      <c r="D2174" t="s">
        <v>2159</v>
      </c>
      <c r="E2174" t="s">
        <v>113</v>
      </c>
      <c r="F2174">
        <v>10</v>
      </c>
      <c r="G2174">
        <v>930.41</v>
      </c>
      <c r="H2174">
        <v>0.05</v>
      </c>
      <c r="I2174" s="4">
        <v>8838.9</v>
      </c>
      <c r="J2174" t="s">
        <v>16</v>
      </c>
      <c r="K2174" t="s">
        <v>35</v>
      </c>
      <c r="L2174" s="4">
        <f>VLOOKUP(tblTransactions[[#This Row],[Product_ID]],tblProducts[],5,FALSE)</f>
        <v>595.51</v>
      </c>
      <c r="M2174" s="4">
        <f>tblTransactions[[#This Row],[Total_Amount]]-(tblTransactions[[#This Row],[Cost_Prices]]*tblTransactions[[#This Row],[Quantity]]*(1-tblTransactions[[#This Row],[Discount]]))</f>
        <v>3181.5549999999994</v>
      </c>
      <c r="N2174" s="3">
        <f>tblTransactions[[#This Row],[Profit]]/tblTransactions[[#This Row],[Total_Amount]]</f>
        <v>0.35994920182375628</v>
      </c>
      <c r="O2174" t="str">
        <f>TEXT(tblTransactions[[#This Row],[Date]], "MMM-YYYY")</f>
        <v>Apr-2024</v>
      </c>
      <c r="P2174" t="str">
        <f>"Q"&amp;ROUNDUP(MONTH(tblTransactions[[#This Row],[Date]])/3,0)&amp;"-"&amp;YEAR(tblTransactions[[#This Row],[Date]])</f>
        <v>Q2-2024</v>
      </c>
      <c r="Q2174">
        <f>YEAR(tblTransactions[[#This Row],[Date]])</f>
        <v>2024</v>
      </c>
      <c r="R2174" t="str">
        <f>TEXT(tblTransactions[[#This Row],[Date]],"DDDD")</f>
        <v>Wednesday</v>
      </c>
      <c r="S2174">
        <f>MONTH(tblTransactions[[#This Row],[Date]])</f>
        <v>4</v>
      </c>
      <c r="T2174" t="str">
        <f>VLOOKUP(E2174, Products!$A:$B,2,0)</f>
        <v>Phones Ele-1</v>
      </c>
      <c r="U2174" t="str">
        <f>VLOOKUP(E2174,Products!$A:$C,3,0)</f>
        <v>Electronics</v>
      </c>
      <c r="V2174" t="str">
        <f>VLOOKUP(E2174,Products!$A:$D,4,0)</f>
        <v>Phones</v>
      </c>
      <c r="W2174" t="str">
        <f>VLOOKUP(D2174,Customers!$A:$C,3,0)</f>
        <v>B2B</v>
      </c>
      <c r="X2174" t="str">
        <f>VLOOKUP(C2174,Sales_Representatives!$A:$B,2,0)</f>
        <v>Linda Smith</v>
      </c>
    </row>
    <row r="2175" spans="1:24" x14ac:dyDescent="0.3">
      <c r="A2175" t="s">
        <v>3071</v>
      </c>
      <c r="B2175" t="s">
        <v>3072</v>
      </c>
      <c r="C2175" t="s">
        <v>70</v>
      </c>
      <c r="D2175" t="s">
        <v>2446</v>
      </c>
      <c r="E2175" t="s">
        <v>200</v>
      </c>
      <c r="F2175">
        <v>6</v>
      </c>
      <c r="G2175">
        <v>544.77</v>
      </c>
      <c r="H2175">
        <v>0.08</v>
      </c>
      <c r="I2175" s="4">
        <v>3007.13</v>
      </c>
      <c r="J2175" t="s">
        <v>16</v>
      </c>
      <c r="K2175" t="s">
        <v>35</v>
      </c>
      <c r="L2175" s="4">
        <f>VLOOKUP(tblTransactions[[#This Row],[Product_ID]],tblProducts[],5,FALSE)</f>
        <v>318.2</v>
      </c>
      <c r="M2175" s="4">
        <f>tblTransactions[[#This Row],[Total_Amount]]-(tblTransactions[[#This Row],[Cost_Prices]]*tblTransactions[[#This Row],[Quantity]]*(1-tblTransactions[[#This Row],[Discount]]))</f>
        <v>1250.6660000000002</v>
      </c>
      <c r="N2175" s="3">
        <f>tblTransactions[[#This Row],[Profit]]/tblTransactions[[#This Row],[Total_Amount]]</f>
        <v>0.41590021049971237</v>
      </c>
      <c r="O2175" t="str">
        <f>TEXT(tblTransactions[[#This Row],[Date]], "MMM-YYYY")</f>
        <v>Apr-2024</v>
      </c>
      <c r="P2175" t="str">
        <f>"Q"&amp;ROUNDUP(MONTH(tblTransactions[[#This Row],[Date]])/3,0)&amp;"-"&amp;YEAR(tblTransactions[[#This Row],[Date]])</f>
        <v>Q2-2024</v>
      </c>
      <c r="Q2175">
        <f>YEAR(tblTransactions[[#This Row],[Date]])</f>
        <v>2024</v>
      </c>
      <c r="R2175" t="str">
        <f>TEXT(tblTransactions[[#This Row],[Date]],"DDDD")</f>
        <v>Thursday</v>
      </c>
      <c r="S2175">
        <f>MONTH(tblTransactions[[#This Row],[Date]])</f>
        <v>4</v>
      </c>
      <c r="T2175" t="str">
        <f>VLOOKUP(E2175, Products!$A:$B,2,0)</f>
        <v>Desks Fur-4</v>
      </c>
      <c r="U2175" t="str">
        <f>VLOOKUP(E2175,Products!$A:$C,3,0)</f>
        <v>Furniture</v>
      </c>
      <c r="V2175" t="str">
        <f>VLOOKUP(E2175,Products!$A:$D,4,0)</f>
        <v>Desks</v>
      </c>
      <c r="W2175" t="str">
        <f>VLOOKUP(D2175,Customers!$A:$C,3,0)</f>
        <v>B2B</v>
      </c>
      <c r="X2175" t="str">
        <f>VLOOKUP(C2175,Sales_Representatives!$A:$B,2,0)</f>
        <v>Linda Smith</v>
      </c>
    </row>
    <row r="2176" spans="1:24" x14ac:dyDescent="0.3">
      <c r="A2176" t="s">
        <v>3073</v>
      </c>
      <c r="B2176" t="s">
        <v>3072</v>
      </c>
      <c r="C2176" t="s">
        <v>13</v>
      </c>
      <c r="D2176" t="s">
        <v>3074</v>
      </c>
      <c r="E2176" t="s">
        <v>283</v>
      </c>
      <c r="F2176">
        <v>22</v>
      </c>
      <c r="G2176">
        <v>456.88</v>
      </c>
      <c r="H2176">
        <v>0.25</v>
      </c>
      <c r="I2176" s="4">
        <v>7538.52</v>
      </c>
      <c r="J2176" t="s">
        <v>16</v>
      </c>
      <c r="K2176" t="s">
        <v>17</v>
      </c>
      <c r="L2176" s="4">
        <f>VLOOKUP(tblTransactions[[#This Row],[Product_ID]],tblProducts[],5,FALSE)</f>
        <v>313.23</v>
      </c>
      <c r="M2176" s="4">
        <f>tblTransactions[[#This Row],[Total_Amount]]-(tblTransactions[[#This Row],[Cost_Prices]]*tblTransactions[[#This Row],[Quantity]]*(1-tblTransactions[[#This Row],[Discount]]))</f>
        <v>2370.2250000000004</v>
      </c>
      <c r="N2176" s="3">
        <f>tblTransactions[[#This Row],[Profit]]/tblTransactions[[#This Row],[Total_Amount]]</f>
        <v>0.31441516371913852</v>
      </c>
      <c r="O2176" t="str">
        <f>TEXT(tblTransactions[[#This Row],[Date]], "MMM-YYYY")</f>
        <v>Apr-2024</v>
      </c>
      <c r="P2176" t="str">
        <f>"Q"&amp;ROUNDUP(MONTH(tblTransactions[[#This Row],[Date]])/3,0)&amp;"-"&amp;YEAR(tblTransactions[[#This Row],[Date]])</f>
        <v>Q2-2024</v>
      </c>
      <c r="Q2176">
        <f>YEAR(tblTransactions[[#This Row],[Date]])</f>
        <v>2024</v>
      </c>
      <c r="R2176" t="str">
        <f>TEXT(tblTransactions[[#This Row],[Date]],"DDDD")</f>
        <v>Thursday</v>
      </c>
      <c r="S2176">
        <f>MONTH(tblTransactions[[#This Row],[Date]])</f>
        <v>4</v>
      </c>
      <c r="T2176" t="str">
        <f>VLOOKUP(E2176, Products!$A:$B,2,0)</f>
        <v>Chairs Fur-3</v>
      </c>
      <c r="U2176" t="str">
        <f>VLOOKUP(E2176,Products!$A:$C,3,0)</f>
        <v>Furniture</v>
      </c>
      <c r="V2176" t="str">
        <f>VLOOKUP(E2176,Products!$A:$D,4,0)</f>
        <v>Chairs</v>
      </c>
      <c r="W2176" t="str">
        <f>VLOOKUP(D2176,Customers!$A:$C,3,0)</f>
        <v>Enterprise</v>
      </c>
      <c r="X2176" t="str">
        <f>VLOOKUP(C2176,Sales_Representatives!$A:$B,2,0)</f>
        <v>Jennifer Rodriguez</v>
      </c>
    </row>
    <row r="2177" spans="1:24" x14ac:dyDescent="0.3">
      <c r="A2177" t="s">
        <v>3075</v>
      </c>
      <c r="B2177" t="s">
        <v>3072</v>
      </c>
      <c r="C2177" t="s">
        <v>131</v>
      </c>
      <c r="D2177" t="s">
        <v>1460</v>
      </c>
      <c r="E2177" t="s">
        <v>29</v>
      </c>
      <c r="F2177">
        <v>1</v>
      </c>
      <c r="G2177">
        <v>1363.46</v>
      </c>
      <c r="H2177">
        <v>0.08</v>
      </c>
      <c r="I2177" s="4">
        <v>1254.3800000000001</v>
      </c>
      <c r="J2177" t="s">
        <v>44</v>
      </c>
      <c r="K2177" t="s">
        <v>39</v>
      </c>
      <c r="L2177" s="4">
        <f>VLOOKUP(tblTransactions[[#This Row],[Product_ID]],tblProducts[],5,FALSE)</f>
        <v>995.41</v>
      </c>
      <c r="M2177" s="4">
        <f>tblTransactions[[#This Row],[Total_Amount]]-(tblTransactions[[#This Row],[Cost_Prices]]*tblTransactions[[#This Row],[Quantity]]*(1-tblTransactions[[#This Row],[Discount]]))</f>
        <v>338.60280000000012</v>
      </c>
      <c r="N2177" s="3">
        <f>tblTransactions[[#This Row],[Profit]]/tblTransactions[[#This Row],[Total_Amount]]</f>
        <v>0.26993638291426847</v>
      </c>
      <c r="O2177" t="str">
        <f>TEXT(tblTransactions[[#This Row],[Date]], "MMM-YYYY")</f>
        <v>Apr-2024</v>
      </c>
      <c r="P2177" t="str">
        <f>"Q"&amp;ROUNDUP(MONTH(tblTransactions[[#This Row],[Date]])/3,0)&amp;"-"&amp;YEAR(tblTransactions[[#This Row],[Date]])</f>
        <v>Q2-2024</v>
      </c>
      <c r="Q2177">
        <f>YEAR(tblTransactions[[#This Row],[Date]])</f>
        <v>2024</v>
      </c>
      <c r="R2177" t="str">
        <f>TEXT(tblTransactions[[#This Row],[Date]],"DDDD")</f>
        <v>Thursday</v>
      </c>
      <c r="S2177">
        <f>MONTH(tblTransactions[[#This Row],[Date]])</f>
        <v>4</v>
      </c>
      <c r="T2177" t="str">
        <f>VLOOKUP(E2177, Products!$A:$B,2,0)</f>
        <v>Phones Ele-3</v>
      </c>
      <c r="U2177" t="str">
        <f>VLOOKUP(E2177,Products!$A:$C,3,0)</f>
        <v>Electronics</v>
      </c>
      <c r="V2177" t="str">
        <f>VLOOKUP(E2177,Products!$A:$D,4,0)</f>
        <v>Phones</v>
      </c>
      <c r="W2177" t="str">
        <f>VLOOKUP(D2177,Customers!$A:$C,3,0)</f>
        <v>Small Business</v>
      </c>
      <c r="X2177" t="str">
        <f>VLOOKUP(C2177,Sales_Representatives!$A:$B,2,0)</f>
        <v>Michael Davis</v>
      </c>
    </row>
    <row r="2178" spans="1:24" x14ac:dyDescent="0.3">
      <c r="A2178" t="s">
        <v>3076</v>
      </c>
      <c r="B2178" t="s">
        <v>3072</v>
      </c>
      <c r="C2178" t="s">
        <v>27</v>
      </c>
      <c r="D2178" t="s">
        <v>60</v>
      </c>
      <c r="E2178" t="s">
        <v>224</v>
      </c>
      <c r="F2178">
        <v>6</v>
      </c>
      <c r="G2178">
        <v>505.37</v>
      </c>
      <c r="H2178">
        <v>0.09</v>
      </c>
      <c r="I2178" s="4">
        <v>2759.32</v>
      </c>
      <c r="J2178" t="s">
        <v>16</v>
      </c>
      <c r="K2178" t="s">
        <v>22</v>
      </c>
      <c r="L2178" s="4">
        <f>VLOOKUP(tblTransactions[[#This Row],[Product_ID]],tblProducts[],5,FALSE)</f>
        <v>281.14999999999998</v>
      </c>
      <c r="M2178" s="4">
        <f>tblTransactions[[#This Row],[Total_Amount]]-(tblTransactions[[#This Row],[Cost_Prices]]*tblTransactions[[#This Row],[Quantity]]*(1-tblTransactions[[#This Row],[Discount]]))</f>
        <v>1224.2410000000002</v>
      </c>
      <c r="N2178" s="3">
        <f>tblTransactions[[#This Row],[Profit]]/tblTransactions[[#This Row],[Total_Amount]]</f>
        <v>0.44367489091515305</v>
      </c>
      <c r="O2178" t="str">
        <f>TEXT(tblTransactions[[#This Row],[Date]], "MMM-YYYY")</f>
        <v>Apr-2024</v>
      </c>
      <c r="P2178" t="str">
        <f>"Q"&amp;ROUNDUP(MONTH(tblTransactions[[#This Row],[Date]])/3,0)&amp;"-"&amp;YEAR(tblTransactions[[#This Row],[Date]])</f>
        <v>Q2-2024</v>
      </c>
      <c r="Q2178">
        <f>YEAR(tblTransactions[[#This Row],[Date]])</f>
        <v>2024</v>
      </c>
      <c r="R2178" t="str">
        <f>TEXT(tblTransactions[[#This Row],[Date]],"DDDD")</f>
        <v>Thursday</v>
      </c>
      <c r="S2178">
        <f>MONTH(tblTransactions[[#This Row],[Date]])</f>
        <v>4</v>
      </c>
      <c r="T2178" t="str">
        <f>VLOOKUP(E2178, Products!$A:$B,2,0)</f>
        <v>Desks Fur-3</v>
      </c>
      <c r="U2178" t="str">
        <f>VLOOKUP(E2178,Products!$A:$C,3,0)</f>
        <v>Furniture</v>
      </c>
      <c r="V2178" t="str">
        <f>VLOOKUP(E2178,Products!$A:$D,4,0)</f>
        <v>Desks</v>
      </c>
      <c r="W2178" t="str">
        <f>VLOOKUP(D2178,Customers!$A:$C,3,0)</f>
        <v>B2C</v>
      </c>
      <c r="X2178" t="str">
        <f>VLOOKUP(C2178,Sales_Representatives!$A:$B,2,0)</f>
        <v>Thomas Lopez</v>
      </c>
    </row>
    <row r="2179" spans="1:24" x14ac:dyDescent="0.3">
      <c r="A2179" t="s">
        <v>3077</v>
      </c>
      <c r="B2179" t="s">
        <v>3072</v>
      </c>
      <c r="C2179" t="s">
        <v>59</v>
      </c>
      <c r="D2179" t="s">
        <v>228</v>
      </c>
      <c r="E2179" t="s">
        <v>394</v>
      </c>
      <c r="F2179">
        <v>4</v>
      </c>
      <c r="G2179">
        <v>314.69</v>
      </c>
      <c r="H2179">
        <v>0.1</v>
      </c>
      <c r="I2179" s="4">
        <v>1132.8800000000001</v>
      </c>
      <c r="J2179" t="s">
        <v>21</v>
      </c>
      <c r="K2179" t="s">
        <v>22</v>
      </c>
      <c r="L2179" s="4">
        <f>VLOOKUP(tblTransactions[[#This Row],[Product_ID]],tblProducts[],5,FALSE)</f>
        <v>185.43</v>
      </c>
      <c r="M2179" s="4">
        <f>tblTransactions[[#This Row],[Total_Amount]]-(tblTransactions[[#This Row],[Cost_Prices]]*tblTransactions[[#This Row],[Quantity]]*(1-tblTransactions[[#This Row],[Discount]]))</f>
        <v>465.33200000000011</v>
      </c>
      <c r="N2179" s="3">
        <f>tblTransactions[[#This Row],[Profit]]/tblTransactions[[#This Row],[Total_Amount]]</f>
        <v>0.41075135936727636</v>
      </c>
      <c r="O2179" t="str">
        <f>TEXT(tblTransactions[[#This Row],[Date]], "MMM-YYYY")</f>
        <v>Apr-2024</v>
      </c>
      <c r="P2179" t="str">
        <f>"Q"&amp;ROUNDUP(MONTH(tblTransactions[[#This Row],[Date]])/3,0)&amp;"-"&amp;YEAR(tblTransactions[[#This Row],[Date]])</f>
        <v>Q2-2024</v>
      </c>
      <c r="Q2179">
        <f>YEAR(tblTransactions[[#This Row],[Date]])</f>
        <v>2024</v>
      </c>
      <c r="R2179" t="str">
        <f>TEXT(tblTransactions[[#This Row],[Date]],"DDDD")</f>
        <v>Thursday</v>
      </c>
      <c r="S2179">
        <f>MONTH(tblTransactions[[#This Row],[Date]])</f>
        <v>4</v>
      </c>
      <c r="T2179" t="str">
        <f>VLOOKUP(E2179, Products!$A:$B,2,0)</f>
        <v>Desks Fur-1</v>
      </c>
      <c r="U2179" t="str">
        <f>VLOOKUP(E2179,Products!$A:$C,3,0)</f>
        <v>Furniture</v>
      </c>
      <c r="V2179" t="str">
        <f>VLOOKUP(E2179,Products!$A:$D,4,0)</f>
        <v>Desks</v>
      </c>
      <c r="W2179" t="str">
        <f>VLOOKUP(D2179,Customers!$A:$C,3,0)</f>
        <v>Small Business</v>
      </c>
      <c r="X2179" t="str">
        <f>VLOOKUP(C2179,Sales_Representatives!$A:$B,2,0)</f>
        <v>Sarah Brown</v>
      </c>
    </row>
    <row r="2180" spans="1:24" x14ac:dyDescent="0.3">
      <c r="A2180" t="s">
        <v>3078</v>
      </c>
      <c r="B2180" t="s">
        <v>3079</v>
      </c>
      <c r="C2180" t="s">
        <v>82</v>
      </c>
      <c r="D2180" t="s">
        <v>32</v>
      </c>
      <c r="E2180" t="s">
        <v>77</v>
      </c>
      <c r="F2180">
        <v>2</v>
      </c>
      <c r="G2180">
        <v>236.82</v>
      </c>
      <c r="H2180">
        <v>0.01</v>
      </c>
      <c r="I2180" s="4">
        <v>468.9</v>
      </c>
      <c r="J2180" t="s">
        <v>34</v>
      </c>
      <c r="K2180" t="s">
        <v>39</v>
      </c>
      <c r="L2180" s="4">
        <f>VLOOKUP(tblTransactions[[#This Row],[Product_ID]],tblProducts[],5,FALSE)</f>
        <v>110.79</v>
      </c>
      <c r="M2180" s="4">
        <f>tblTransactions[[#This Row],[Total_Amount]]-(tblTransactions[[#This Row],[Cost_Prices]]*tblTransactions[[#This Row],[Quantity]]*(1-tblTransactions[[#This Row],[Discount]]))</f>
        <v>249.53579999999997</v>
      </c>
      <c r="N2180" s="3">
        <f>tblTransactions[[#This Row],[Profit]]/tblTransactions[[#This Row],[Total_Amount]]</f>
        <v>0.53217274472168896</v>
      </c>
      <c r="O2180" t="str">
        <f>TEXT(tblTransactions[[#This Row],[Date]], "MMM-YYYY")</f>
        <v>Apr-2024</v>
      </c>
      <c r="P2180" t="str">
        <f>"Q"&amp;ROUNDUP(MONTH(tblTransactions[[#This Row],[Date]])/3,0)&amp;"-"&amp;YEAR(tblTransactions[[#This Row],[Date]])</f>
        <v>Q2-2024</v>
      </c>
      <c r="Q2180">
        <f>YEAR(tblTransactions[[#This Row],[Date]])</f>
        <v>2024</v>
      </c>
      <c r="R2180" t="str">
        <f>TEXT(tblTransactions[[#This Row],[Date]],"DDDD")</f>
        <v>Friday</v>
      </c>
      <c r="S2180">
        <f>MONTH(tblTransactions[[#This Row],[Date]])</f>
        <v>4</v>
      </c>
      <c r="T2180" t="str">
        <f>VLOOKUP(E2180, Products!$A:$B,2,0)</f>
        <v>Binders Off-4</v>
      </c>
      <c r="U2180" t="str">
        <f>VLOOKUP(E2180,Products!$A:$C,3,0)</f>
        <v>Office Supplies</v>
      </c>
      <c r="V2180" t="str">
        <f>VLOOKUP(E2180,Products!$A:$D,4,0)</f>
        <v>Binders</v>
      </c>
      <c r="W2180" t="str">
        <f>VLOOKUP(D2180,Customers!$A:$C,3,0)</f>
        <v>B2C</v>
      </c>
      <c r="X2180" t="str">
        <f>VLOOKUP(C2180,Sales_Representatives!$A:$B,2,0)</f>
        <v>John Brown</v>
      </c>
    </row>
    <row r="2181" spans="1:24" x14ac:dyDescent="0.3">
      <c r="A2181" t="s">
        <v>3080</v>
      </c>
      <c r="B2181" t="s">
        <v>3079</v>
      </c>
      <c r="C2181" t="s">
        <v>63</v>
      </c>
      <c r="D2181" t="s">
        <v>2876</v>
      </c>
      <c r="E2181" t="s">
        <v>87</v>
      </c>
      <c r="F2181">
        <v>7</v>
      </c>
      <c r="G2181">
        <v>1047.8900000000001</v>
      </c>
      <c r="H2181">
        <v>0.12</v>
      </c>
      <c r="I2181" s="4">
        <v>6455</v>
      </c>
      <c r="J2181" t="s">
        <v>21</v>
      </c>
      <c r="K2181" t="s">
        <v>17</v>
      </c>
      <c r="L2181" s="4">
        <f>VLOOKUP(tblTransactions[[#This Row],[Product_ID]],tblProducts[],5,FALSE)</f>
        <v>742.63</v>
      </c>
      <c r="M2181" s="4">
        <f>tblTransactions[[#This Row],[Total_Amount]]-(tblTransactions[[#This Row],[Cost_Prices]]*tblTransactions[[#This Row],[Quantity]]*(1-tblTransactions[[#This Row],[Discount]]))</f>
        <v>1880.3991999999998</v>
      </c>
      <c r="N2181" s="3">
        <f>tblTransactions[[#This Row],[Profit]]/tblTransactions[[#This Row],[Total_Amount]]</f>
        <v>0.29130893880712622</v>
      </c>
      <c r="O2181" t="str">
        <f>TEXT(tblTransactions[[#This Row],[Date]], "MMM-YYYY")</f>
        <v>Apr-2024</v>
      </c>
      <c r="P2181" t="str">
        <f>"Q"&amp;ROUNDUP(MONTH(tblTransactions[[#This Row],[Date]])/3,0)&amp;"-"&amp;YEAR(tblTransactions[[#This Row],[Date]])</f>
        <v>Q2-2024</v>
      </c>
      <c r="Q2181">
        <f>YEAR(tblTransactions[[#This Row],[Date]])</f>
        <v>2024</v>
      </c>
      <c r="R2181" t="str">
        <f>TEXT(tblTransactions[[#This Row],[Date]],"DDDD")</f>
        <v>Friday</v>
      </c>
      <c r="S2181">
        <f>MONTH(tblTransactions[[#This Row],[Date]])</f>
        <v>4</v>
      </c>
      <c r="T2181" t="str">
        <f>VLOOKUP(E2181, Products!$A:$B,2,0)</f>
        <v>Monitors Tec-2</v>
      </c>
      <c r="U2181" t="str">
        <f>VLOOKUP(E2181,Products!$A:$C,3,0)</f>
        <v>Technology</v>
      </c>
      <c r="V2181" t="str">
        <f>VLOOKUP(E2181,Products!$A:$D,4,0)</f>
        <v>Monitors</v>
      </c>
      <c r="W2181" t="str">
        <f>VLOOKUP(D2181,Customers!$A:$C,3,0)</f>
        <v>B2C</v>
      </c>
      <c r="X2181" t="str">
        <f>VLOOKUP(C2181,Sales_Representatives!$A:$B,2,0)</f>
        <v>Richard Wilson</v>
      </c>
    </row>
    <row r="2182" spans="1:24" x14ac:dyDescent="0.3">
      <c r="A2182" t="s">
        <v>3081</v>
      </c>
      <c r="B2182" t="s">
        <v>3082</v>
      </c>
      <c r="C2182" t="s">
        <v>107</v>
      </c>
      <c r="D2182" t="s">
        <v>2114</v>
      </c>
      <c r="E2182" t="s">
        <v>99</v>
      </c>
      <c r="F2182">
        <v>16</v>
      </c>
      <c r="G2182">
        <v>325.14</v>
      </c>
      <c r="H2182">
        <v>0.14000000000000001</v>
      </c>
      <c r="I2182" s="4">
        <v>4473.93</v>
      </c>
      <c r="J2182" t="s">
        <v>109</v>
      </c>
      <c r="K2182" t="s">
        <v>17</v>
      </c>
      <c r="L2182" s="4">
        <f>VLOOKUP(tblTransactions[[#This Row],[Product_ID]],tblProducts[],5,FALSE)</f>
        <v>209.04</v>
      </c>
      <c r="M2182" s="4">
        <f>tblTransactions[[#This Row],[Total_Amount]]-(tblTransactions[[#This Row],[Cost_Prices]]*tblTransactions[[#This Row],[Quantity]]*(1-tblTransactions[[#This Row],[Discount]]))</f>
        <v>1597.5396000000005</v>
      </c>
      <c r="N2182" s="3">
        <f>tblTransactions[[#This Row],[Profit]]/tblTransactions[[#This Row],[Total_Amount]]</f>
        <v>0.35707746880259644</v>
      </c>
      <c r="O2182" t="str">
        <f>TEXT(tblTransactions[[#This Row],[Date]], "MMM-YYYY")</f>
        <v>Apr-2024</v>
      </c>
      <c r="P2182" t="str">
        <f>"Q"&amp;ROUNDUP(MONTH(tblTransactions[[#This Row],[Date]])/3,0)&amp;"-"&amp;YEAR(tblTransactions[[#This Row],[Date]])</f>
        <v>Q2-2024</v>
      </c>
      <c r="Q2182">
        <f>YEAR(tblTransactions[[#This Row],[Date]])</f>
        <v>2024</v>
      </c>
      <c r="R2182" t="str">
        <f>TEXT(tblTransactions[[#This Row],[Date]],"DDDD")</f>
        <v>Saturday</v>
      </c>
      <c r="S2182">
        <f>MONTH(tblTransactions[[#This Row],[Date]])</f>
        <v>4</v>
      </c>
      <c r="T2182" t="str">
        <f>VLOOKUP(E2182, Products!$A:$B,2,0)</f>
        <v>Monitors Tec-1</v>
      </c>
      <c r="U2182" t="str">
        <f>VLOOKUP(E2182,Products!$A:$C,3,0)</f>
        <v>Technology</v>
      </c>
      <c r="V2182" t="str">
        <f>VLOOKUP(E2182,Products!$A:$D,4,0)</f>
        <v>Monitors</v>
      </c>
      <c r="W2182" t="str">
        <f>VLOOKUP(D2182,Customers!$A:$C,3,0)</f>
        <v>B2B</v>
      </c>
      <c r="X2182" t="str">
        <f>VLOOKUP(C2182,Sales_Representatives!$A:$B,2,0)</f>
        <v>Jennifer Brown</v>
      </c>
    </row>
    <row r="2183" spans="1:24" x14ac:dyDescent="0.3">
      <c r="A2183" t="s">
        <v>3083</v>
      </c>
      <c r="B2183" t="s">
        <v>3082</v>
      </c>
      <c r="C2183" t="s">
        <v>63</v>
      </c>
      <c r="D2183" t="s">
        <v>1683</v>
      </c>
      <c r="E2183" t="s">
        <v>345</v>
      </c>
      <c r="F2183">
        <v>7</v>
      </c>
      <c r="G2183">
        <v>13.97</v>
      </c>
      <c r="H2183">
        <v>7.0000000000000007E-2</v>
      </c>
      <c r="I2183" s="4">
        <v>90.94</v>
      </c>
      <c r="J2183" t="s">
        <v>21</v>
      </c>
      <c r="K2183" t="s">
        <v>17</v>
      </c>
      <c r="L2183" s="4">
        <f>VLOOKUP(tblTransactions[[#This Row],[Product_ID]],tblProducts[],5,FALSE)</f>
        <v>8.69</v>
      </c>
      <c r="M2183" s="4">
        <f>tblTransactions[[#This Row],[Total_Amount]]-(tblTransactions[[#This Row],[Cost_Prices]]*tblTransactions[[#This Row],[Quantity]]*(1-tblTransactions[[#This Row],[Discount]]))</f>
        <v>34.368100000000005</v>
      </c>
      <c r="N2183" s="3">
        <f>tblTransactions[[#This Row],[Profit]]/tblTransactions[[#This Row],[Total_Amount]]</f>
        <v>0.37792060699362223</v>
      </c>
      <c r="O2183" t="str">
        <f>TEXT(tblTransactions[[#This Row],[Date]], "MMM-YYYY")</f>
        <v>Apr-2024</v>
      </c>
      <c r="P2183" t="str">
        <f>"Q"&amp;ROUNDUP(MONTH(tblTransactions[[#This Row],[Date]])/3,0)&amp;"-"&amp;YEAR(tblTransactions[[#This Row],[Date]])</f>
        <v>Q2-2024</v>
      </c>
      <c r="Q2183">
        <f>YEAR(tblTransactions[[#This Row],[Date]])</f>
        <v>2024</v>
      </c>
      <c r="R2183" t="str">
        <f>TEXT(tblTransactions[[#This Row],[Date]],"DDDD")</f>
        <v>Saturday</v>
      </c>
      <c r="S2183">
        <f>MONTH(tblTransactions[[#This Row],[Date]])</f>
        <v>4</v>
      </c>
      <c r="T2183" t="str">
        <f>VLOOKUP(E2183, Products!$A:$B,2,0)</f>
        <v>Cases Acc-2</v>
      </c>
      <c r="U2183" t="str">
        <f>VLOOKUP(E2183,Products!$A:$C,3,0)</f>
        <v>Accessories</v>
      </c>
      <c r="V2183" t="str">
        <f>VLOOKUP(E2183,Products!$A:$D,4,0)</f>
        <v>Cases</v>
      </c>
      <c r="W2183" t="str">
        <f>VLOOKUP(D2183,Customers!$A:$C,3,0)</f>
        <v>B2C</v>
      </c>
      <c r="X2183" t="str">
        <f>VLOOKUP(C2183,Sales_Representatives!$A:$B,2,0)</f>
        <v>Richard Wilson</v>
      </c>
    </row>
    <row r="2184" spans="1:24" x14ac:dyDescent="0.3">
      <c r="A2184" t="s">
        <v>3084</v>
      </c>
      <c r="B2184" t="s">
        <v>3082</v>
      </c>
      <c r="C2184" t="s">
        <v>107</v>
      </c>
      <c r="D2184" t="s">
        <v>1613</v>
      </c>
      <c r="E2184" t="s">
        <v>255</v>
      </c>
      <c r="F2184">
        <v>46</v>
      </c>
      <c r="G2184">
        <v>1444.13</v>
      </c>
      <c r="H2184">
        <v>0.2</v>
      </c>
      <c r="I2184" s="4">
        <v>53143.98</v>
      </c>
      <c r="J2184" t="s">
        <v>109</v>
      </c>
      <c r="K2184" t="s">
        <v>35</v>
      </c>
      <c r="L2184" s="4">
        <f>VLOOKUP(tblTransactions[[#This Row],[Product_ID]],tblProducts[],5,FALSE)</f>
        <v>874.43</v>
      </c>
      <c r="M2184" s="4">
        <f>tblTransactions[[#This Row],[Total_Amount]]-(tblTransactions[[#This Row],[Cost_Prices]]*tblTransactions[[#This Row],[Quantity]]*(1-tblTransactions[[#This Row],[Discount]]))</f>
        <v>20964.956000000002</v>
      </c>
      <c r="N2184" s="3">
        <f>tblTransactions[[#This Row],[Profit]]/tblTransactions[[#This Row],[Total_Amount]]</f>
        <v>0.39449352494863954</v>
      </c>
      <c r="O2184" t="str">
        <f>TEXT(tblTransactions[[#This Row],[Date]], "MMM-YYYY")</f>
        <v>Apr-2024</v>
      </c>
      <c r="P2184" t="str">
        <f>"Q"&amp;ROUNDUP(MONTH(tblTransactions[[#This Row],[Date]])/3,0)&amp;"-"&amp;YEAR(tblTransactions[[#This Row],[Date]])</f>
        <v>Q2-2024</v>
      </c>
      <c r="Q2184">
        <f>YEAR(tblTransactions[[#This Row],[Date]])</f>
        <v>2024</v>
      </c>
      <c r="R2184" t="str">
        <f>TEXT(tblTransactions[[#This Row],[Date]],"DDDD")</f>
        <v>Saturday</v>
      </c>
      <c r="S2184">
        <f>MONTH(tblTransactions[[#This Row],[Date]])</f>
        <v>4</v>
      </c>
      <c r="T2184" t="str">
        <f>VLOOKUP(E2184, Products!$A:$B,2,0)</f>
        <v>Printers Tec-1</v>
      </c>
      <c r="U2184" t="str">
        <f>VLOOKUP(E2184,Products!$A:$C,3,0)</f>
        <v>Technology</v>
      </c>
      <c r="V2184" t="str">
        <f>VLOOKUP(E2184,Products!$A:$D,4,0)</f>
        <v>Printers</v>
      </c>
      <c r="W2184" t="str">
        <f>VLOOKUP(D2184,Customers!$A:$C,3,0)</f>
        <v>Enterprise</v>
      </c>
      <c r="X2184" t="str">
        <f>VLOOKUP(C2184,Sales_Representatives!$A:$B,2,0)</f>
        <v>Jennifer Brown</v>
      </c>
    </row>
    <row r="2185" spans="1:24" x14ac:dyDescent="0.3">
      <c r="A2185" t="s">
        <v>3085</v>
      </c>
      <c r="B2185" t="s">
        <v>3086</v>
      </c>
      <c r="C2185" t="s">
        <v>82</v>
      </c>
      <c r="D2185" t="s">
        <v>1658</v>
      </c>
      <c r="E2185" t="s">
        <v>176</v>
      </c>
      <c r="F2185">
        <v>7</v>
      </c>
      <c r="G2185">
        <v>1462.68</v>
      </c>
      <c r="H2185">
        <v>0.11</v>
      </c>
      <c r="I2185" s="4">
        <v>9112.5</v>
      </c>
      <c r="J2185" t="s">
        <v>34</v>
      </c>
      <c r="K2185" t="s">
        <v>35</v>
      </c>
      <c r="L2185" s="4">
        <f>VLOOKUP(tblTransactions[[#This Row],[Product_ID]],tblProducts[],5,FALSE)</f>
        <v>775.94</v>
      </c>
      <c r="M2185" s="4">
        <f>tblTransactions[[#This Row],[Total_Amount]]-(tblTransactions[[#This Row],[Cost_Prices]]*tblTransactions[[#This Row],[Quantity]]*(1-tblTransactions[[#This Row],[Discount]]))</f>
        <v>4278.3937999999998</v>
      </c>
      <c r="N2185" s="3">
        <f>tblTransactions[[#This Row],[Profit]]/tblTransactions[[#This Row],[Total_Amount]]</f>
        <v>0.4695082359396433</v>
      </c>
      <c r="O2185" t="str">
        <f>TEXT(tblTransactions[[#This Row],[Date]], "MMM-YYYY")</f>
        <v>Apr-2024</v>
      </c>
      <c r="P2185" t="str">
        <f>"Q"&amp;ROUNDUP(MONTH(tblTransactions[[#This Row],[Date]])/3,0)&amp;"-"&amp;YEAR(tblTransactions[[#This Row],[Date]])</f>
        <v>Q2-2024</v>
      </c>
      <c r="Q2185">
        <f>YEAR(tblTransactions[[#This Row],[Date]])</f>
        <v>2024</v>
      </c>
      <c r="R2185" t="str">
        <f>TEXT(tblTransactions[[#This Row],[Date]],"DDDD")</f>
        <v>Sunday</v>
      </c>
      <c r="S2185">
        <f>MONTH(tblTransactions[[#This Row],[Date]])</f>
        <v>4</v>
      </c>
      <c r="T2185" t="str">
        <f>VLOOKUP(E2185, Products!$A:$B,2,0)</f>
        <v>Chairs Fur-2</v>
      </c>
      <c r="U2185" t="str">
        <f>VLOOKUP(E2185,Products!$A:$C,3,0)</f>
        <v>Furniture</v>
      </c>
      <c r="V2185" t="str">
        <f>VLOOKUP(E2185,Products!$A:$D,4,0)</f>
        <v>Chairs</v>
      </c>
      <c r="W2185" t="str">
        <f>VLOOKUP(D2185,Customers!$A:$C,3,0)</f>
        <v>Enterprise</v>
      </c>
      <c r="X2185" t="str">
        <f>VLOOKUP(C2185,Sales_Representatives!$A:$B,2,0)</f>
        <v>John Brown</v>
      </c>
    </row>
    <row r="2186" spans="1:24" x14ac:dyDescent="0.3">
      <c r="A2186" t="s">
        <v>3087</v>
      </c>
      <c r="B2186" t="s">
        <v>3086</v>
      </c>
      <c r="C2186" t="s">
        <v>141</v>
      </c>
      <c r="D2186" t="s">
        <v>2417</v>
      </c>
      <c r="E2186" t="s">
        <v>200</v>
      </c>
      <c r="F2186">
        <v>16</v>
      </c>
      <c r="G2186">
        <v>544.77</v>
      </c>
      <c r="H2186">
        <v>0.18</v>
      </c>
      <c r="I2186" s="4">
        <v>7147.38</v>
      </c>
      <c r="J2186" t="s">
        <v>109</v>
      </c>
      <c r="K2186" t="s">
        <v>35</v>
      </c>
      <c r="L2186" s="4">
        <f>VLOOKUP(tblTransactions[[#This Row],[Product_ID]],tblProducts[],5,FALSE)</f>
        <v>318.2</v>
      </c>
      <c r="M2186" s="4">
        <f>tblTransactions[[#This Row],[Total_Amount]]-(tblTransactions[[#This Row],[Cost_Prices]]*tblTransactions[[#This Row],[Quantity]]*(1-tblTransactions[[#This Row],[Discount]]))</f>
        <v>2972.5959999999995</v>
      </c>
      <c r="N2186" s="3">
        <f>tblTransactions[[#This Row],[Profit]]/tblTransactions[[#This Row],[Total_Amount]]</f>
        <v>0.41590009206170647</v>
      </c>
      <c r="O2186" t="str">
        <f>TEXT(tblTransactions[[#This Row],[Date]], "MMM-YYYY")</f>
        <v>Apr-2024</v>
      </c>
      <c r="P2186" t="str">
        <f>"Q"&amp;ROUNDUP(MONTH(tblTransactions[[#This Row],[Date]])/3,0)&amp;"-"&amp;YEAR(tblTransactions[[#This Row],[Date]])</f>
        <v>Q2-2024</v>
      </c>
      <c r="Q2186">
        <f>YEAR(tblTransactions[[#This Row],[Date]])</f>
        <v>2024</v>
      </c>
      <c r="R2186" t="str">
        <f>TEXT(tblTransactions[[#This Row],[Date]],"DDDD")</f>
        <v>Sunday</v>
      </c>
      <c r="S2186">
        <f>MONTH(tblTransactions[[#This Row],[Date]])</f>
        <v>4</v>
      </c>
      <c r="T2186" t="str">
        <f>VLOOKUP(E2186, Products!$A:$B,2,0)</f>
        <v>Desks Fur-4</v>
      </c>
      <c r="U2186" t="str">
        <f>VLOOKUP(E2186,Products!$A:$C,3,0)</f>
        <v>Furniture</v>
      </c>
      <c r="V2186" t="str">
        <f>VLOOKUP(E2186,Products!$A:$D,4,0)</f>
        <v>Desks</v>
      </c>
      <c r="W2186" t="str">
        <f>VLOOKUP(D2186,Customers!$A:$C,3,0)</f>
        <v>B2B</v>
      </c>
      <c r="X2186" t="str">
        <f>VLOOKUP(C2186,Sales_Representatives!$A:$B,2,0)</f>
        <v>Richard Garcia</v>
      </c>
    </row>
    <row r="2187" spans="1:24" x14ac:dyDescent="0.3">
      <c r="A2187" t="s">
        <v>3088</v>
      </c>
      <c r="B2187" t="s">
        <v>3086</v>
      </c>
      <c r="C2187" t="s">
        <v>63</v>
      </c>
      <c r="D2187" t="s">
        <v>1719</v>
      </c>
      <c r="E2187" t="s">
        <v>198</v>
      </c>
      <c r="F2187">
        <v>4</v>
      </c>
      <c r="G2187">
        <v>1802.96</v>
      </c>
      <c r="H2187">
        <v>0.03</v>
      </c>
      <c r="I2187" s="4">
        <v>6995.48</v>
      </c>
      <c r="J2187" t="s">
        <v>21</v>
      </c>
      <c r="K2187" t="s">
        <v>39</v>
      </c>
      <c r="L2187" s="4">
        <f>VLOOKUP(tblTransactions[[#This Row],[Product_ID]],tblProducts[],5,FALSE)</f>
        <v>1282.18</v>
      </c>
      <c r="M2187" s="4">
        <f>tblTransactions[[#This Row],[Total_Amount]]-(tblTransactions[[#This Row],[Cost_Prices]]*tblTransactions[[#This Row],[Quantity]]*(1-tblTransactions[[#This Row],[Discount]]))</f>
        <v>2020.6215999999995</v>
      </c>
      <c r="N2187" s="3">
        <f>tblTransactions[[#This Row],[Profit]]/tblTransactions[[#This Row],[Total_Amount]]</f>
        <v>0.28884674103849911</v>
      </c>
      <c r="O2187" t="str">
        <f>TEXT(tblTransactions[[#This Row],[Date]], "MMM-YYYY")</f>
        <v>Apr-2024</v>
      </c>
      <c r="P2187" t="str">
        <f>"Q"&amp;ROUNDUP(MONTH(tblTransactions[[#This Row],[Date]])/3,0)&amp;"-"&amp;YEAR(tblTransactions[[#This Row],[Date]])</f>
        <v>Q2-2024</v>
      </c>
      <c r="Q2187">
        <f>YEAR(tblTransactions[[#This Row],[Date]])</f>
        <v>2024</v>
      </c>
      <c r="R2187" t="str">
        <f>TEXT(tblTransactions[[#This Row],[Date]],"DDDD")</f>
        <v>Sunday</v>
      </c>
      <c r="S2187">
        <f>MONTH(tblTransactions[[#This Row],[Date]])</f>
        <v>4</v>
      </c>
      <c r="T2187" t="str">
        <f>VLOOKUP(E2187, Products!$A:$B,2,0)</f>
        <v>Tablets Ele-3</v>
      </c>
      <c r="U2187" t="str">
        <f>VLOOKUP(E2187,Products!$A:$C,3,0)</f>
        <v>Electronics</v>
      </c>
      <c r="V2187" t="str">
        <f>VLOOKUP(E2187,Products!$A:$D,4,0)</f>
        <v>Tablets</v>
      </c>
      <c r="W2187" t="str">
        <f>VLOOKUP(D2187,Customers!$A:$C,3,0)</f>
        <v>B2B</v>
      </c>
      <c r="X2187" t="str">
        <f>VLOOKUP(C2187,Sales_Representatives!$A:$B,2,0)</f>
        <v>Richard Wilson</v>
      </c>
    </row>
    <row r="2188" spans="1:24" x14ac:dyDescent="0.3">
      <c r="A2188" t="s">
        <v>3089</v>
      </c>
      <c r="B2188" t="s">
        <v>3086</v>
      </c>
      <c r="C2188" t="s">
        <v>127</v>
      </c>
      <c r="D2188" t="s">
        <v>351</v>
      </c>
      <c r="E2188" t="s">
        <v>91</v>
      </c>
      <c r="F2188">
        <v>7</v>
      </c>
      <c r="G2188">
        <v>286.62</v>
      </c>
      <c r="H2188">
        <v>0.09</v>
      </c>
      <c r="I2188" s="4">
        <v>1825.77</v>
      </c>
      <c r="J2188" t="s">
        <v>109</v>
      </c>
      <c r="K2188" t="s">
        <v>48</v>
      </c>
      <c r="L2188" s="4">
        <f>VLOOKUP(tblTransactions[[#This Row],[Product_ID]],tblProducts[],5,FALSE)</f>
        <v>145.54</v>
      </c>
      <c r="M2188" s="4">
        <f>tblTransactions[[#This Row],[Total_Amount]]-(tblTransactions[[#This Row],[Cost_Prices]]*tblTransactions[[#This Row],[Quantity]]*(1-tblTransactions[[#This Row],[Discount]]))</f>
        <v>898.68020000000001</v>
      </c>
      <c r="N2188" s="3">
        <f>tblTransactions[[#This Row],[Profit]]/tblTransactions[[#This Row],[Total_Amount]]</f>
        <v>0.49221983053725277</v>
      </c>
      <c r="O2188" t="str">
        <f>TEXT(tblTransactions[[#This Row],[Date]], "MMM-YYYY")</f>
        <v>Apr-2024</v>
      </c>
      <c r="P2188" t="str">
        <f>"Q"&amp;ROUNDUP(MONTH(tblTransactions[[#This Row],[Date]])/3,0)&amp;"-"&amp;YEAR(tblTransactions[[#This Row],[Date]])</f>
        <v>Q2-2024</v>
      </c>
      <c r="Q2188">
        <f>YEAR(tblTransactions[[#This Row],[Date]])</f>
        <v>2024</v>
      </c>
      <c r="R2188" t="str">
        <f>TEXT(tblTransactions[[#This Row],[Date]],"DDDD")</f>
        <v>Sunday</v>
      </c>
      <c r="S2188">
        <f>MONTH(tblTransactions[[#This Row],[Date]])</f>
        <v>4</v>
      </c>
      <c r="T2188" t="str">
        <f>VLOOKUP(E2188, Products!$A:$B,2,0)</f>
        <v>Chairs Fur-1</v>
      </c>
      <c r="U2188" t="str">
        <f>VLOOKUP(E2188,Products!$A:$C,3,0)</f>
        <v>Furniture</v>
      </c>
      <c r="V2188" t="str">
        <f>VLOOKUP(E2188,Products!$A:$D,4,0)</f>
        <v>Chairs</v>
      </c>
      <c r="W2188" t="str">
        <f>VLOOKUP(D2188,Customers!$A:$C,3,0)</f>
        <v>B2C</v>
      </c>
      <c r="X2188" t="str">
        <f>VLOOKUP(C2188,Sales_Representatives!$A:$B,2,0)</f>
        <v>Emily Hernandez</v>
      </c>
    </row>
    <row r="2189" spans="1:24" x14ac:dyDescent="0.3">
      <c r="A2189" t="s">
        <v>3090</v>
      </c>
      <c r="B2189" t="s">
        <v>3086</v>
      </c>
      <c r="C2189" t="s">
        <v>131</v>
      </c>
      <c r="D2189" t="s">
        <v>2119</v>
      </c>
      <c r="E2189" t="s">
        <v>243</v>
      </c>
      <c r="F2189">
        <v>6</v>
      </c>
      <c r="G2189">
        <v>384.18</v>
      </c>
      <c r="H2189">
        <v>0.11</v>
      </c>
      <c r="I2189" s="4">
        <v>2051.52</v>
      </c>
      <c r="J2189" t="s">
        <v>44</v>
      </c>
      <c r="K2189" t="s">
        <v>22</v>
      </c>
      <c r="L2189" s="4">
        <f>VLOOKUP(tblTransactions[[#This Row],[Product_ID]],tblProducts[],5,FALSE)</f>
        <v>266.92</v>
      </c>
      <c r="M2189" s="4">
        <f>tblTransactions[[#This Row],[Total_Amount]]-(tblTransactions[[#This Row],[Cost_Prices]]*tblTransactions[[#This Row],[Quantity]]*(1-tblTransactions[[#This Row],[Discount]]))</f>
        <v>626.16719999999987</v>
      </c>
      <c r="N2189" s="3">
        <f>tblTransactions[[#This Row],[Profit]]/tblTransactions[[#This Row],[Total_Amount]]</f>
        <v>0.30522110435189514</v>
      </c>
      <c r="O2189" t="str">
        <f>TEXT(tblTransactions[[#This Row],[Date]], "MMM-YYYY")</f>
        <v>Apr-2024</v>
      </c>
      <c r="P2189" t="str">
        <f>"Q"&amp;ROUNDUP(MONTH(tblTransactions[[#This Row],[Date]])/3,0)&amp;"-"&amp;YEAR(tblTransactions[[#This Row],[Date]])</f>
        <v>Q2-2024</v>
      </c>
      <c r="Q2189">
        <f>YEAR(tblTransactions[[#This Row],[Date]])</f>
        <v>2024</v>
      </c>
      <c r="R2189" t="str">
        <f>TEXT(tblTransactions[[#This Row],[Date]],"DDDD")</f>
        <v>Sunday</v>
      </c>
      <c r="S2189">
        <f>MONTH(tblTransactions[[#This Row],[Date]])</f>
        <v>4</v>
      </c>
      <c r="T2189" t="str">
        <f>VLOOKUP(E2189, Products!$A:$B,2,0)</f>
        <v>Routers Tec-3</v>
      </c>
      <c r="U2189" t="str">
        <f>VLOOKUP(E2189,Products!$A:$C,3,0)</f>
        <v>Technology</v>
      </c>
      <c r="V2189" t="str">
        <f>VLOOKUP(E2189,Products!$A:$D,4,0)</f>
        <v>Routers</v>
      </c>
      <c r="W2189" t="str">
        <f>VLOOKUP(D2189,Customers!$A:$C,3,0)</f>
        <v>B2B</v>
      </c>
      <c r="X2189" t="str">
        <f>VLOOKUP(C2189,Sales_Representatives!$A:$B,2,0)</f>
        <v>Michael Davis</v>
      </c>
    </row>
    <row r="2190" spans="1:24" x14ac:dyDescent="0.3">
      <c r="A2190" t="s">
        <v>3091</v>
      </c>
      <c r="B2190" t="s">
        <v>3086</v>
      </c>
      <c r="C2190" t="s">
        <v>27</v>
      </c>
      <c r="D2190" t="s">
        <v>1925</v>
      </c>
      <c r="E2190" t="s">
        <v>87</v>
      </c>
      <c r="F2190">
        <v>11</v>
      </c>
      <c r="G2190">
        <v>1047.8900000000001</v>
      </c>
      <c r="H2190">
        <v>0.16</v>
      </c>
      <c r="I2190" s="4">
        <v>9682.5</v>
      </c>
      <c r="J2190" t="s">
        <v>16</v>
      </c>
      <c r="K2190" t="s">
        <v>17</v>
      </c>
      <c r="L2190" s="4">
        <f>VLOOKUP(tblTransactions[[#This Row],[Product_ID]],tblProducts[],5,FALSE)</f>
        <v>742.63</v>
      </c>
      <c r="M2190" s="4">
        <f>tblTransactions[[#This Row],[Total_Amount]]-(tblTransactions[[#This Row],[Cost_Prices]]*tblTransactions[[#This Row],[Quantity]]*(1-tblTransactions[[#This Row],[Discount]]))</f>
        <v>2820.5987999999998</v>
      </c>
      <c r="N2190" s="3">
        <f>tblTransactions[[#This Row],[Profit]]/tblTransactions[[#This Row],[Total_Amount]]</f>
        <v>0.29130893880712622</v>
      </c>
      <c r="O2190" t="str">
        <f>TEXT(tblTransactions[[#This Row],[Date]], "MMM-YYYY")</f>
        <v>Apr-2024</v>
      </c>
      <c r="P2190" t="str">
        <f>"Q"&amp;ROUNDUP(MONTH(tblTransactions[[#This Row],[Date]])/3,0)&amp;"-"&amp;YEAR(tblTransactions[[#This Row],[Date]])</f>
        <v>Q2-2024</v>
      </c>
      <c r="Q2190">
        <f>YEAR(tblTransactions[[#This Row],[Date]])</f>
        <v>2024</v>
      </c>
      <c r="R2190" t="str">
        <f>TEXT(tblTransactions[[#This Row],[Date]],"DDDD")</f>
        <v>Sunday</v>
      </c>
      <c r="S2190">
        <f>MONTH(tblTransactions[[#This Row],[Date]])</f>
        <v>4</v>
      </c>
      <c r="T2190" t="str">
        <f>VLOOKUP(E2190, Products!$A:$B,2,0)</f>
        <v>Monitors Tec-2</v>
      </c>
      <c r="U2190" t="str">
        <f>VLOOKUP(E2190,Products!$A:$C,3,0)</f>
        <v>Technology</v>
      </c>
      <c r="V2190" t="str">
        <f>VLOOKUP(E2190,Products!$A:$D,4,0)</f>
        <v>Monitors</v>
      </c>
      <c r="W2190" t="str">
        <f>VLOOKUP(D2190,Customers!$A:$C,3,0)</f>
        <v>B2B</v>
      </c>
      <c r="X2190" t="str">
        <f>VLOOKUP(C2190,Sales_Representatives!$A:$B,2,0)</f>
        <v>Thomas Lopez</v>
      </c>
    </row>
    <row r="2191" spans="1:24" x14ac:dyDescent="0.3">
      <c r="A2191" t="s">
        <v>3092</v>
      </c>
      <c r="B2191" t="s">
        <v>3093</v>
      </c>
      <c r="C2191" t="s">
        <v>107</v>
      </c>
      <c r="D2191" t="s">
        <v>2411</v>
      </c>
      <c r="E2191" t="s">
        <v>105</v>
      </c>
      <c r="F2191">
        <v>15</v>
      </c>
      <c r="G2191">
        <v>1342.04</v>
      </c>
      <c r="H2191">
        <v>0.17</v>
      </c>
      <c r="I2191" s="4">
        <v>16708.400000000001</v>
      </c>
      <c r="J2191" t="s">
        <v>109</v>
      </c>
      <c r="K2191" t="s">
        <v>35</v>
      </c>
      <c r="L2191" s="4">
        <f>VLOOKUP(tblTransactions[[#This Row],[Product_ID]],tblProducts[],5,FALSE)</f>
        <v>792.89</v>
      </c>
      <c r="M2191" s="4">
        <f>tblTransactions[[#This Row],[Total_Amount]]-(tblTransactions[[#This Row],[Cost_Prices]]*tblTransactions[[#This Row],[Quantity]]*(1-tblTransactions[[#This Row],[Discount]]))</f>
        <v>6836.9195000000018</v>
      </c>
      <c r="N2191" s="3">
        <f>tblTransactions[[#This Row],[Profit]]/tblTransactions[[#This Row],[Total_Amount]]</f>
        <v>0.40919055684565853</v>
      </c>
      <c r="O2191" t="str">
        <f>TEXT(tblTransactions[[#This Row],[Date]], "MMM-YYYY")</f>
        <v>Apr-2024</v>
      </c>
      <c r="P2191" t="str">
        <f>"Q"&amp;ROUNDUP(MONTH(tblTransactions[[#This Row],[Date]])/3,0)&amp;"-"&amp;YEAR(tblTransactions[[#This Row],[Date]])</f>
        <v>Q2-2024</v>
      </c>
      <c r="Q2191">
        <f>YEAR(tblTransactions[[#This Row],[Date]])</f>
        <v>2024</v>
      </c>
      <c r="R2191" t="str">
        <f>TEXT(tblTransactions[[#This Row],[Date]],"DDDD")</f>
        <v>Monday</v>
      </c>
      <c r="S2191">
        <f>MONTH(tblTransactions[[#This Row],[Date]])</f>
        <v>4</v>
      </c>
      <c r="T2191" t="str">
        <f>VLOOKUP(E2191, Products!$A:$B,2,0)</f>
        <v>Cameras Ele-1</v>
      </c>
      <c r="U2191" t="str">
        <f>VLOOKUP(E2191,Products!$A:$C,3,0)</f>
        <v>Electronics</v>
      </c>
      <c r="V2191" t="str">
        <f>VLOOKUP(E2191,Products!$A:$D,4,0)</f>
        <v>Cameras</v>
      </c>
      <c r="W2191" t="str">
        <f>VLOOKUP(D2191,Customers!$A:$C,3,0)</f>
        <v>B2B</v>
      </c>
      <c r="X2191" t="str">
        <f>VLOOKUP(C2191,Sales_Representatives!$A:$B,2,0)</f>
        <v>Jennifer Brown</v>
      </c>
    </row>
    <row r="2192" spans="1:24" x14ac:dyDescent="0.3">
      <c r="A2192" t="s">
        <v>3094</v>
      </c>
      <c r="B2192" t="s">
        <v>3095</v>
      </c>
      <c r="C2192" t="s">
        <v>127</v>
      </c>
      <c r="D2192" t="s">
        <v>1640</v>
      </c>
      <c r="E2192" t="s">
        <v>204</v>
      </c>
      <c r="F2192">
        <v>7</v>
      </c>
      <c r="G2192">
        <v>715.62</v>
      </c>
      <c r="H2192">
        <v>0.06</v>
      </c>
      <c r="I2192" s="4">
        <v>4708.78</v>
      </c>
      <c r="J2192" t="s">
        <v>109</v>
      </c>
      <c r="K2192" t="s">
        <v>22</v>
      </c>
      <c r="L2192" s="4">
        <f>VLOOKUP(tblTransactions[[#This Row],[Product_ID]],tblProducts[],5,FALSE)</f>
        <v>459.58</v>
      </c>
      <c r="M2192" s="4">
        <f>tblTransactions[[#This Row],[Total_Amount]]-(tblTransactions[[#This Row],[Cost_Prices]]*tblTransactions[[#This Row],[Quantity]]*(1-tblTransactions[[#This Row],[Discount]]))</f>
        <v>1684.7435999999998</v>
      </c>
      <c r="N2192" s="3">
        <f>tblTransactions[[#This Row],[Profit]]/tblTransactions[[#This Row],[Total_Amount]]</f>
        <v>0.35778770721927972</v>
      </c>
      <c r="O2192" t="str">
        <f>TEXT(tblTransactions[[#This Row],[Date]], "MMM-YYYY")</f>
        <v>Apr-2024</v>
      </c>
      <c r="P2192" t="str">
        <f>"Q"&amp;ROUNDUP(MONTH(tblTransactions[[#This Row],[Date]])/3,0)&amp;"-"&amp;YEAR(tblTransactions[[#This Row],[Date]])</f>
        <v>Q2-2024</v>
      </c>
      <c r="Q2192">
        <f>YEAR(tblTransactions[[#This Row],[Date]])</f>
        <v>2024</v>
      </c>
      <c r="R2192" t="str">
        <f>TEXT(tblTransactions[[#This Row],[Date]],"DDDD")</f>
        <v>Tuesday</v>
      </c>
      <c r="S2192">
        <f>MONTH(tblTransactions[[#This Row],[Date]])</f>
        <v>4</v>
      </c>
      <c r="T2192" t="str">
        <f>VLOOKUP(E2192, Products!$A:$B,2,0)</f>
        <v>Cameras Ele-2</v>
      </c>
      <c r="U2192" t="str">
        <f>VLOOKUP(E2192,Products!$A:$C,3,0)</f>
        <v>Electronics</v>
      </c>
      <c r="V2192" t="str">
        <f>VLOOKUP(E2192,Products!$A:$D,4,0)</f>
        <v>Cameras</v>
      </c>
      <c r="W2192" t="str">
        <f>VLOOKUP(D2192,Customers!$A:$C,3,0)</f>
        <v>B2C</v>
      </c>
      <c r="X2192" t="str">
        <f>VLOOKUP(C2192,Sales_Representatives!$A:$B,2,0)</f>
        <v>Emily Hernandez</v>
      </c>
    </row>
    <row r="2193" spans="1:24" x14ac:dyDescent="0.3">
      <c r="A2193" t="s">
        <v>3096</v>
      </c>
      <c r="B2193" t="s">
        <v>3095</v>
      </c>
      <c r="C2193" t="s">
        <v>127</v>
      </c>
      <c r="D2193" t="s">
        <v>2032</v>
      </c>
      <c r="E2193" t="s">
        <v>217</v>
      </c>
      <c r="F2193">
        <v>4</v>
      </c>
      <c r="G2193">
        <v>145.51</v>
      </c>
      <c r="H2193">
        <v>0.08</v>
      </c>
      <c r="I2193" s="4">
        <v>535.48</v>
      </c>
      <c r="J2193" t="s">
        <v>109</v>
      </c>
      <c r="K2193" t="s">
        <v>39</v>
      </c>
      <c r="L2193" s="4">
        <f>VLOOKUP(tblTransactions[[#This Row],[Product_ID]],tblProducts[],5,FALSE)</f>
        <v>64.510000000000005</v>
      </c>
      <c r="M2193" s="4">
        <f>tblTransactions[[#This Row],[Total_Amount]]-(tblTransactions[[#This Row],[Cost_Prices]]*tblTransactions[[#This Row],[Quantity]]*(1-tblTransactions[[#This Row],[Discount]]))</f>
        <v>298.08319999999998</v>
      </c>
      <c r="N2193" s="3">
        <f>tblTransactions[[#This Row],[Profit]]/tblTransactions[[#This Row],[Total_Amount]]</f>
        <v>0.55666542167774702</v>
      </c>
      <c r="O2193" t="str">
        <f>TEXT(tblTransactions[[#This Row],[Date]], "MMM-YYYY")</f>
        <v>Apr-2024</v>
      </c>
      <c r="P2193" t="str">
        <f>"Q"&amp;ROUNDUP(MONTH(tblTransactions[[#This Row],[Date]])/3,0)&amp;"-"&amp;YEAR(tblTransactions[[#This Row],[Date]])</f>
        <v>Q2-2024</v>
      </c>
      <c r="Q2193">
        <f>YEAR(tblTransactions[[#This Row],[Date]])</f>
        <v>2024</v>
      </c>
      <c r="R2193" t="str">
        <f>TEXT(tblTransactions[[#This Row],[Date]],"DDDD")</f>
        <v>Tuesday</v>
      </c>
      <c r="S2193">
        <f>MONTH(tblTransactions[[#This Row],[Date]])</f>
        <v>4</v>
      </c>
      <c r="T2193" t="str">
        <f>VLOOKUP(E2193, Products!$A:$B,2,0)</f>
        <v>Cables Acc-2</v>
      </c>
      <c r="U2193" t="str">
        <f>VLOOKUP(E2193,Products!$A:$C,3,0)</f>
        <v>Accessories</v>
      </c>
      <c r="V2193" t="str">
        <f>VLOOKUP(E2193,Products!$A:$D,4,0)</f>
        <v>Cables</v>
      </c>
      <c r="W2193" t="str">
        <f>VLOOKUP(D2193,Customers!$A:$C,3,0)</f>
        <v>B2C</v>
      </c>
      <c r="X2193" t="str">
        <f>VLOOKUP(C2193,Sales_Representatives!$A:$B,2,0)</f>
        <v>Emily Hernandez</v>
      </c>
    </row>
    <row r="2194" spans="1:24" x14ac:dyDescent="0.3">
      <c r="A2194" t="s">
        <v>3097</v>
      </c>
      <c r="B2194" t="s">
        <v>3095</v>
      </c>
      <c r="C2194" t="s">
        <v>41</v>
      </c>
      <c r="D2194" t="s">
        <v>2600</v>
      </c>
      <c r="E2194" t="s">
        <v>450</v>
      </c>
      <c r="F2194">
        <v>23</v>
      </c>
      <c r="G2194">
        <v>2083.92</v>
      </c>
      <c r="H2194">
        <v>0.15</v>
      </c>
      <c r="I2194" s="4">
        <v>40740.639999999999</v>
      </c>
      <c r="J2194" t="s">
        <v>44</v>
      </c>
      <c r="K2194" t="s">
        <v>35</v>
      </c>
      <c r="L2194" s="4">
        <f>VLOOKUP(tblTransactions[[#This Row],[Product_ID]],tblProducts[],5,FALSE)</f>
        <v>1425.78</v>
      </c>
      <c r="M2194" s="4">
        <f>tblTransactions[[#This Row],[Total_Amount]]-(tblTransactions[[#This Row],[Cost_Prices]]*tblTransactions[[#This Row],[Quantity]]*(1-tblTransactions[[#This Row],[Discount]]))</f>
        <v>12866.641</v>
      </c>
      <c r="N2194" s="3">
        <f>tblTransactions[[#This Row],[Profit]]/tblTransactions[[#This Row],[Total_Amount]]</f>
        <v>0.31581833275078641</v>
      </c>
      <c r="O2194" t="str">
        <f>TEXT(tblTransactions[[#This Row],[Date]], "MMM-YYYY")</f>
        <v>Apr-2024</v>
      </c>
      <c r="P2194" t="str">
        <f>"Q"&amp;ROUNDUP(MONTH(tblTransactions[[#This Row],[Date]])/3,0)&amp;"-"&amp;YEAR(tblTransactions[[#This Row],[Date]])</f>
        <v>Q2-2024</v>
      </c>
      <c r="Q2194">
        <f>YEAR(tblTransactions[[#This Row],[Date]])</f>
        <v>2024</v>
      </c>
      <c r="R2194" t="str">
        <f>TEXT(tblTransactions[[#This Row],[Date]],"DDDD")</f>
        <v>Tuesday</v>
      </c>
      <c r="S2194">
        <f>MONTH(tblTransactions[[#This Row],[Date]])</f>
        <v>4</v>
      </c>
      <c r="T2194" t="str">
        <f>VLOOKUP(E2194, Products!$A:$B,2,0)</f>
        <v>Monitors Tec-4</v>
      </c>
      <c r="U2194" t="str">
        <f>VLOOKUP(E2194,Products!$A:$C,3,0)</f>
        <v>Technology</v>
      </c>
      <c r="V2194" t="str">
        <f>VLOOKUP(E2194,Products!$A:$D,4,0)</f>
        <v>Monitors</v>
      </c>
      <c r="W2194" t="str">
        <f>VLOOKUP(D2194,Customers!$A:$C,3,0)</f>
        <v>Enterprise</v>
      </c>
      <c r="X2194" t="str">
        <f>VLOOKUP(C2194,Sales_Representatives!$A:$B,2,0)</f>
        <v>Robert Jones</v>
      </c>
    </row>
    <row r="2195" spans="1:24" x14ac:dyDescent="0.3">
      <c r="A2195" t="s">
        <v>3098</v>
      </c>
      <c r="B2195" t="s">
        <v>3095</v>
      </c>
      <c r="C2195" t="s">
        <v>141</v>
      </c>
      <c r="D2195" t="s">
        <v>1654</v>
      </c>
      <c r="E2195" t="s">
        <v>102</v>
      </c>
      <c r="F2195">
        <v>2</v>
      </c>
      <c r="G2195">
        <v>1097.75</v>
      </c>
      <c r="H2195">
        <v>7.0000000000000007E-2</v>
      </c>
      <c r="I2195" s="4">
        <v>2041.82</v>
      </c>
      <c r="J2195" t="s">
        <v>109</v>
      </c>
      <c r="K2195" t="s">
        <v>39</v>
      </c>
      <c r="L2195" s="4">
        <f>VLOOKUP(tblTransactions[[#This Row],[Product_ID]],tblProducts[],5,FALSE)</f>
        <v>680.12</v>
      </c>
      <c r="M2195" s="4">
        <f>tblTransactions[[#This Row],[Total_Amount]]-(tblTransactions[[#This Row],[Cost_Prices]]*tblTransactions[[#This Row],[Quantity]]*(1-tblTransactions[[#This Row],[Discount]]))</f>
        <v>776.79680000000008</v>
      </c>
      <c r="N2195" s="3">
        <f>tblTransactions[[#This Row],[Profit]]/tblTransactions[[#This Row],[Total_Amount]]</f>
        <v>0.38044332997032065</v>
      </c>
      <c r="O2195" t="str">
        <f>TEXT(tblTransactions[[#This Row],[Date]], "MMM-YYYY")</f>
        <v>Apr-2024</v>
      </c>
      <c r="P2195" t="str">
        <f>"Q"&amp;ROUNDUP(MONTH(tblTransactions[[#This Row],[Date]])/3,0)&amp;"-"&amp;YEAR(tblTransactions[[#This Row],[Date]])</f>
        <v>Q2-2024</v>
      </c>
      <c r="Q2195">
        <f>YEAR(tblTransactions[[#This Row],[Date]])</f>
        <v>2024</v>
      </c>
      <c r="R2195" t="str">
        <f>TEXT(tblTransactions[[#This Row],[Date]],"DDDD")</f>
        <v>Tuesday</v>
      </c>
      <c r="S2195">
        <f>MONTH(tblTransactions[[#This Row],[Date]])</f>
        <v>4</v>
      </c>
      <c r="T2195" t="str">
        <f>VLOOKUP(E2195, Products!$A:$B,2,0)</f>
        <v>Storage Fur-4</v>
      </c>
      <c r="U2195" t="str">
        <f>VLOOKUP(E2195,Products!$A:$C,3,0)</f>
        <v>Furniture</v>
      </c>
      <c r="V2195" t="str">
        <f>VLOOKUP(E2195,Products!$A:$D,4,0)</f>
        <v>Storage</v>
      </c>
      <c r="W2195" t="str">
        <f>VLOOKUP(D2195,Customers!$A:$C,3,0)</f>
        <v>B2C</v>
      </c>
      <c r="X2195" t="str">
        <f>VLOOKUP(C2195,Sales_Representatives!$A:$B,2,0)</f>
        <v>Richard Garcia</v>
      </c>
    </row>
    <row r="2196" spans="1:24" x14ac:dyDescent="0.3">
      <c r="A2196" t="s">
        <v>3099</v>
      </c>
      <c r="B2196" t="s">
        <v>3100</v>
      </c>
      <c r="C2196" t="s">
        <v>70</v>
      </c>
      <c r="D2196" t="s">
        <v>24</v>
      </c>
      <c r="E2196" t="s">
        <v>113</v>
      </c>
      <c r="F2196">
        <v>18</v>
      </c>
      <c r="G2196">
        <v>930.41</v>
      </c>
      <c r="H2196">
        <v>0.17</v>
      </c>
      <c r="I2196" s="4">
        <v>13900.33</v>
      </c>
      <c r="J2196" t="s">
        <v>16</v>
      </c>
      <c r="K2196" t="s">
        <v>48</v>
      </c>
      <c r="L2196" s="4">
        <f>VLOOKUP(tblTransactions[[#This Row],[Product_ID]],tblProducts[],5,FALSE)</f>
        <v>595.51</v>
      </c>
      <c r="M2196" s="4">
        <f>tblTransactions[[#This Row],[Total_Amount]]-(tblTransactions[[#This Row],[Cost_Prices]]*tblTransactions[[#This Row],[Quantity]]*(1-tblTransactions[[#This Row],[Discount]]))</f>
        <v>5003.4105999999992</v>
      </c>
      <c r="N2196" s="3">
        <f>tblTransactions[[#This Row],[Profit]]/tblTransactions[[#This Row],[Total_Amount]]</f>
        <v>0.35994905156927925</v>
      </c>
      <c r="O2196" t="str">
        <f>TEXT(tblTransactions[[#This Row],[Date]], "MMM-YYYY")</f>
        <v>Apr-2024</v>
      </c>
      <c r="P2196" t="str">
        <f>"Q"&amp;ROUNDUP(MONTH(tblTransactions[[#This Row],[Date]])/3,0)&amp;"-"&amp;YEAR(tblTransactions[[#This Row],[Date]])</f>
        <v>Q2-2024</v>
      </c>
      <c r="Q2196">
        <f>YEAR(tblTransactions[[#This Row],[Date]])</f>
        <v>2024</v>
      </c>
      <c r="R2196" t="str">
        <f>TEXT(tblTransactions[[#This Row],[Date]],"DDDD")</f>
        <v>Wednesday</v>
      </c>
      <c r="S2196">
        <f>MONTH(tblTransactions[[#This Row],[Date]])</f>
        <v>4</v>
      </c>
      <c r="T2196" t="str">
        <f>VLOOKUP(E2196, Products!$A:$B,2,0)</f>
        <v>Phones Ele-1</v>
      </c>
      <c r="U2196" t="str">
        <f>VLOOKUP(E2196,Products!$A:$C,3,0)</f>
        <v>Electronics</v>
      </c>
      <c r="V2196" t="str">
        <f>VLOOKUP(E2196,Products!$A:$D,4,0)</f>
        <v>Phones</v>
      </c>
      <c r="W2196" t="str">
        <f>VLOOKUP(D2196,Customers!$A:$C,3,0)</f>
        <v>B2B</v>
      </c>
      <c r="X2196" t="str">
        <f>VLOOKUP(C2196,Sales_Representatives!$A:$B,2,0)</f>
        <v>Linda Smith</v>
      </c>
    </row>
    <row r="2197" spans="1:24" x14ac:dyDescent="0.3">
      <c r="A2197" t="s">
        <v>3101</v>
      </c>
      <c r="B2197" t="s">
        <v>3100</v>
      </c>
      <c r="C2197" t="s">
        <v>63</v>
      </c>
      <c r="D2197" t="s">
        <v>2430</v>
      </c>
      <c r="E2197" t="s">
        <v>224</v>
      </c>
      <c r="F2197">
        <v>17</v>
      </c>
      <c r="G2197">
        <v>505.37</v>
      </c>
      <c r="H2197">
        <v>0.14000000000000001</v>
      </c>
      <c r="I2197" s="4">
        <v>7388.51</v>
      </c>
      <c r="J2197" t="s">
        <v>21</v>
      </c>
      <c r="K2197" t="s">
        <v>22</v>
      </c>
      <c r="L2197" s="4">
        <f>VLOOKUP(tblTransactions[[#This Row],[Product_ID]],tblProducts[],5,FALSE)</f>
        <v>281.14999999999998</v>
      </c>
      <c r="M2197" s="4">
        <f>tblTransactions[[#This Row],[Total_Amount]]-(tblTransactions[[#This Row],[Cost_Prices]]*tblTransactions[[#This Row],[Quantity]]*(1-tblTransactions[[#This Row],[Discount]]))</f>
        <v>3278.0970000000007</v>
      </c>
      <c r="N2197" s="3">
        <f>tblTransactions[[#This Row],[Profit]]/tblTransactions[[#This Row],[Total_Amount]]</f>
        <v>0.44367497641608394</v>
      </c>
      <c r="O2197" t="str">
        <f>TEXT(tblTransactions[[#This Row],[Date]], "MMM-YYYY")</f>
        <v>Apr-2024</v>
      </c>
      <c r="P2197" t="str">
        <f>"Q"&amp;ROUNDUP(MONTH(tblTransactions[[#This Row],[Date]])/3,0)&amp;"-"&amp;YEAR(tblTransactions[[#This Row],[Date]])</f>
        <v>Q2-2024</v>
      </c>
      <c r="Q2197">
        <f>YEAR(tblTransactions[[#This Row],[Date]])</f>
        <v>2024</v>
      </c>
      <c r="R2197" t="str">
        <f>TEXT(tblTransactions[[#This Row],[Date]],"DDDD")</f>
        <v>Wednesday</v>
      </c>
      <c r="S2197">
        <f>MONTH(tblTransactions[[#This Row],[Date]])</f>
        <v>4</v>
      </c>
      <c r="T2197" t="str">
        <f>VLOOKUP(E2197, Products!$A:$B,2,0)</f>
        <v>Desks Fur-3</v>
      </c>
      <c r="U2197" t="str">
        <f>VLOOKUP(E2197,Products!$A:$C,3,0)</f>
        <v>Furniture</v>
      </c>
      <c r="V2197" t="str">
        <f>VLOOKUP(E2197,Products!$A:$D,4,0)</f>
        <v>Desks</v>
      </c>
      <c r="W2197" t="str">
        <f>VLOOKUP(D2197,Customers!$A:$C,3,0)</f>
        <v>B2B</v>
      </c>
      <c r="X2197" t="str">
        <f>VLOOKUP(C2197,Sales_Representatives!$A:$B,2,0)</f>
        <v>Richard Wilson</v>
      </c>
    </row>
    <row r="2198" spans="1:24" x14ac:dyDescent="0.3">
      <c r="A2198" t="s">
        <v>3102</v>
      </c>
      <c r="B2198" t="s">
        <v>3100</v>
      </c>
      <c r="C2198" t="s">
        <v>41</v>
      </c>
      <c r="D2198" t="s">
        <v>1965</v>
      </c>
      <c r="E2198" t="s">
        <v>283</v>
      </c>
      <c r="F2198">
        <v>4</v>
      </c>
      <c r="G2198">
        <v>456.88</v>
      </c>
      <c r="H2198">
        <v>7.0000000000000007E-2</v>
      </c>
      <c r="I2198" s="4">
        <v>1699.59</v>
      </c>
      <c r="J2198" t="s">
        <v>44</v>
      </c>
      <c r="K2198" t="s">
        <v>39</v>
      </c>
      <c r="L2198" s="4">
        <f>VLOOKUP(tblTransactions[[#This Row],[Product_ID]],tblProducts[],5,FALSE)</f>
        <v>313.23</v>
      </c>
      <c r="M2198" s="4">
        <f>tblTransactions[[#This Row],[Total_Amount]]-(tblTransactions[[#This Row],[Cost_Prices]]*tblTransactions[[#This Row],[Quantity]]*(1-tblTransactions[[#This Row],[Discount]]))</f>
        <v>534.37439999999992</v>
      </c>
      <c r="N2198" s="3">
        <f>tblTransactions[[#This Row],[Profit]]/tblTransactions[[#This Row],[Total_Amount]]</f>
        <v>0.31441371154219544</v>
      </c>
      <c r="O2198" t="str">
        <f>TEXT(tblTransactions[[#This Row],[Date]], "MMM-YYYY")</f>
        <v>Apr-2024</v>
      </c>
      <c r="P2198" t="str">
        <f>"Q"&amp;ROUNDUP(MONTH(tblTransactions[[#This Row],[Date]])/3,0)&amp;"-"&amp;YEAR(tblTransactions[[#This Row],[Date]])</f>
        <v>Q2-2024</v>
      </c>
      <c r="Q2198">
        <f>YEAR(tblTransactions[[#This Row],[Date]])</f>
        <v>2024</v>
      </c>
      <c r="R2198" t="str">
        <f>TEXT(tblTransactions[[#This Row],[Date]],"DDDD")</f>
        <v>Wednesday</v>
      </c>
      <c r="S2198">
        <f>MONTH(tblTransactions[[#This Row],[Date]])</f>
        <v>4</v>
      </c>
      <c r="T2198" t="str">
        <f>VLOOKUP(E2198, Products!$A:$B,2,0)</f>
        <v>Chairs Fur-3</v>
      </c>
      <c r="U2198" t="str">
        <f>VLOOKUP(E2198,Products!$A:$C,3,0)</f>
        <v>Furniture</v>
      </c>
      <c r="V2198" t="str">
        <f>VLOOKUP(E2198,Products!$A:$D,4,0)</f>
        <v>Chairs</v>
      </c>
      <c r="W2198" t="str">
        <f>VLOOKUP(D2198,Customers!$A:$C,3,0)</f>
        <v>B2B</v>
      </c>
      <c r="X2198" t="str">
        <f>VLOOKUP(C2198,Sales_Representatives!$A:$B,2,0)</f>
        <v>Robert Jones</v>
      </c>
    </row>
    <row r="2199" spans="1:24" x14ac:dyDescent="0.3">
      <c r="A2199" t="s">
        <v>3103</v>
      </c>
      <c r="B2199" t="s">
        <v>3100</v>
      </c>
      <c r="C2199" t="s">
        <v>131</v>
      </c>
      <c r="D2199" t="s">
        <v>1973</v>
      </c>
      <c r="E2199" t="s">
        <v>224</v>
      </c>
      <c r="F2199">
        <v>16</v>
      </c>
      <c r="G2199">
        <v>505.37</v>
      </c>
      <c r="H2199">
        <v>0.13</v>
      </c>
      <c r="I2199" s="4">
        <v>7034.75</v>
      </c>
      <c r="J2199" t="s">
        <v>44</v>
      </c>
      <c r="K2199" t="s">
        <v>17</v>
      </c>
      <c r="L2199" s="4">
        <f>VLOOKUP(tblTransactions[[#This Row],[Product_ID]],tblProducts[],5,FALSE)</f>
        <v>281.14999999999998</v>
      </c>
      <c r="M2199" s="4">
        <f>tblTransactions[[#This Row],[Total_Amount]]-(tblTransactions[[#This Row],[Cost_Prices]]*tblTransactions[[#This Row],[Quantity]]*(1-tblTransactions[[#This Row],[Discount]]))</f>
        <v>3121.1420000000003</v>
      </c>
      <c r="N2199" s="3">
        <f>tblTransactions[[#This Row],[Profit]]/tblTransactions[[#This Row],[Total_Amount]]</f>
        <v>0.44367489960552975</v>
      </c>
      <c r="O2199" t="str">
        <f>TEXT(tblTransactions[[#This Row],[Date]], "MMM-YYYY")</f>
        <v>Apr-2024</v>
      </c>
      <c r="P2199" t="str">
        <f>"Q"&amp;ROUNDUP(MONTH(tblTransactions[[#This Row],[Date]])/3,0)&amp;"-"&amp;YEAR(tblTransactions[[#This Row],[Date]])</f>
        <v>Q2-2024</v>
      </c>
      <c r="Q2199">
        <f>YEAR(tblTransactions[[#This Row],[Date]])</f>
        <v>2024</v>
      </c>
      <c r="R2199" t="str">
        <f>TEXT(tblTransactions[[#This Row],[Date]],"DDDD")</f>
        <v>Wednesday</v>
      </c>
      <c r="S2199">
        <f>MONTH(tblTransactions[[#This Row],[Date]])</f>
        <v>4</v>
      </c>
      <c r="T2199" t="str">
        <f>VLOOKUP(E2199, Products!$A:$B,2,0)</f>
        <v>Desks Fur-3</v>
      </c>
      <c r="U2199" t="str">
        <f>VLOOKUP(E2199,Products!$A:$C,3,0)</f>
        <v>Furniture</v>
      </c>
      <c r="V2199" t="str">
        <f>VLOOKUP(E2199,Products!$A:$D,4,0)</f>
        <v>Desks</v>
      </c>
      <c r="W2199" t="str">
        <f>VLOOKUP(D2199,Customers!$A:$C,3,0)</f>
        <v>B2B</v>
      </c>
      <c r="X2199" t="str">
        <f>VLOOKUP(C2199,Sales_Representatives!$A:$B,2,0)</f>
        <v>Michael Davis</v>
      </c>
    </row>
    <row r="2200" spans="1:24" x14ac:dyDescent="0.3">
      <c r="A2200" t="s">
        <v>3104</v>
      </c>
      <c r="B2200" t="s">
        <v>3100</v>
      </c>
      <c r="C2200" t="s">
        <v>31</v>
      </c>
      <c r="D2200" t="s">
        <v>1756</v>
      </c>
      <c r="E2200" t="s">
        <v>200</v>
      </c>
      <c r="F2200">
        <v>4</v>
      </c>
      <c r="G2200">
        <v>544.77</v>
      </c>
      <c r="H2200">
        <v>7.0000000000000007E-2</v>
      </c>
      <c r="I2200" s="4">
        <v>2026.54</v>
      </c>
      <c r="J2200" t="s">
        <v>34</v>
      </c>
      <c r="K2200" t="s">
        <v>22</v>
      </c>
      <c r="L2200" s="4">
        <f>VLOOKUP(tblTransactions[[#This Row],[Product_ID]],tblProducts[],5,FALSE)</f>
        <v>318.2</v>
      </c>
      <c r="M2200" s="4">
        <f>tblTransactions[[#This Row],[Total_Amount]]-(tblTransactions[[#This Row],[Cost_Prices]]*tblTransactions[[#This Row],[Quantity]]*(1-tblTransactions[[#This Row],[Discount]]))</f>
        <v>842.83600000000001</v>
      </c>
      <c r="N2200" s="3">
        <f>tblTransactions[[#This Row],[Profit]]/tblTransactions[[#This Row],[Total_Amount]]</f>
        <v>0.41589902000453977</v>
      </c>
      <c r="O2200" t="str">
        <f>TEXT(tblTransactions[[#This Row],[Date]], "MMM-YYYY")</f>
        <v>Apr-2024</v>
      </c>
      <c r="P2200" t="str">
        <f>"Q"&amp;ROUNDUP(MONTH(tblTransactions[[#This Row],[Date]])/3,0)&amp;"-"&amp;YEAR(tblTransactions[[#This Row],[Date]])</f>
        <v>Q2-2024</v>
      </c>
      <c r="Q2200">
        <f>YEAR(tblTransactions[[#This Row],[Date]])</f>
        <v>2024</v>
      </c>
      <c r="R2200" t="str">
        <f>TEXT(tblTransactions[[#This Row],[Date]],"DDDD")</f>
        <v>Wednesday</v>
      </c>
      <c r="S2200">
        <f>MONTH(tblTransactions[[#This Row],[Date]])</f>
        <v>4</v>
      </c>
      <c r="T2200" t="str">
        <f>VLOOKUP(E2200, Products!$A:$B,2,0)</f>
        <v>Desks Fur-4</v>
      </c>
      <c r="U2200" t="str">
        <f>VLOOKUP(E2200,Products!$A:$C,3,0)</f>
        <v>Furniture</v>
      </c>
      <c r="V2200" t="str">
        <f>VLOOKUP(E2200,Products!$A:$D,4,0)</f>
        <v>Desks</v>
      </c>
      <c r="W2200" t="str">
        <f>VLOOKUP(D2200,Customers!$A:$C,3,0)</f>
        <v>B2C</v>
      </c>
      <c r="X2200" t="str">
        <f>VLOOKUP(C2200,Sales_Representatives!$A:$B,2,0)</f>
        <v>Thomas Martinez</v>
      </c>
    </row>
    <row r="2201" spans="1:24" x14ac:dyDescent="0.3">
      <c r="A2201" t="s">
        <v>3105</v>
      </c>
      <c r="B2201" t="s">
        <v>3106</v>
      </c>
      <c r="C2201" t="s">
        <v>127</v>
      </c>
      <c r="D2201" t="s">
        <v>1646</v>
      </c>
      <c r="E2201" t="s">
        <v>221</v>
      </c>
      <c r="F2201">
        <v>11</v>
      </c>
      <c r="G2201">
        <v>210.02</v>
      </c>
      <c r="H2201">
        <v>0.14000000000000001</v>
      </c>
      <c r="I2201" s="4">
        <v>1986.79</v>
      </c>
      <c r="J2201" t="s">
        <v>109</v>
      </c>
      <c r="K2201" t="s">
        <v>35</v>
      </c>
      <c r="L2201" s="4">
        <f>VLOOKUP(tblTransactions[[#This Row],[Product_ID]],tblProducts[],5,FALSE)</f>
        <v>131.66</v>
      </c>
      <c r="M2201" s="4">
        <f>tblTransactions[[#This Row],[Total_Amount]]-(tblTransactions[[#This Row],[Cost_Prices]]*tblTransactions[[#This Row],[Quantity]]*(1-tblTransactions[[#This Row],[Discount]]))</f>
        <v>741.28639999999996</v>
      </c>
      <c r="N2201" s="3">
        <f>tblTransactions[[#This Row],[Profit]]/tblTransactions[[#This Row],[Total_Amount]]</f>
        <v>0.37310757553641805</v>
      </c>
      <c r="O2201" t="str">
        <f>TEXT(tblTransactions[[#This Row],[Date]], "MMM-YYYY")</f>
        <v>Apr-2024</v>
      </c>
      <c r="P2201" t="str">
        <f>"Q"&amp;ROUNDUP(MONTH(tblTransactions[[#This Row],[Date]])/3,0)&amp;"-"&amp;YEAR(tblTransactions[[#This Row],[Date]])</f>
        <v>Q2-2024</v>
      </c>
      <c r="Q2201">
        <f>YEAR(tblTransactions[[#This Row],[Date]])</f>
        <v>2024</v>
      </c>
      <c r="R2201" t="str">
        <f>TEXT(tblTransactions[[#This Row],[Date]],"DDDD")</f>
        <v>Thursday</v>
      </c>
      <c r="S2201">
        <f>MONTH(tblTransactions[[#This Row],[Date]])</f>
        <v>4</v>
      </c>
      <c r="T2201" t="str">
        <f>VLOOKUP(E2201, Products!$A:$B,2,0)</f>
        <v>Storage Fur-2</v>
      </c>
      <c r="U2201" t="str">
        <f>VLOOKUP(E2201,Products!$A:$C,3,0)</f>
        <v>Furniture</v>
      </c>
      <c r="V2201" t="str">
        <f>VLOOKUP(E2201,Products!$A:$D,4,0)</f>
        <v>Storage</v>
      </c>
      <c r="W2201" t="str">
        <f>VLOOKUP(D2201,Customers!$A:$C,3,0)</f>
        <v>B2B</v>
      </c>
      <c r="X2201" t="str">
        <f>VLOOKUP(C2201,Sales_Representatives!$A:$B,2,0)</f>
        <v>Emily Hernandez</v>
      </c>
    </row>
    <row r="2202" spans="1:24" x14ac:dyDescent="0.3">
      <c r="A2202" t="s">
        <v>3107</v>
      </c>
      <c r="B2202" t="s">
        <v>3106</v>
      </c>
      <c r="C2202" t="s">
        <v>107</v>
      </c>
      <c r="D2202" t="s">
        <v>1635</v>
      </c>
      <c r="E2202" t="s">
        <v>68</v>
      </c>
      <c r="F2202">
        <v>36</v>
      </c>
      <c r="G2202">
        <v>522.63</v>
      </c>
      <c r="H2202">
        <v>0.19</v>
      </c>
      <c r="I2202" s="4">
        <v>15239.89</v>
      </c>
      <c r="J2202" t="s">
        <v>109</v>
      </c>
      <c r="K2202" t="s">
        <v>48</v>
      </c>
      <c r="L2202" s="4">
        <f>VLOOKUP(tblTransactions[[#This Row],[Product_ID]],tblProducts[],5,FALSE)</f>
        <v>355.82</v>
      </c>
      <c r="M2202" s="4">
        <f>tblTransactions[[#This Row],[Total_Amount]]-(tblTransactions[[#This Row],[Cost_Prices]]*tblTransactions[[#This Row],[Quantity]]*(1-tblTransactions[[#This Row],[Discount]]))</f>
        <v>4864.1787999999979</v>
      </c>
      <c r="N2202" s="3">
        <f>tblTransactions[[#This Row],[Profit]]/tblTransactions[[#This Row],[Total_Amount]]</f>
        <v>0.3191741410207028</v>
      </c>
      <c r="O2202" t="str">
        <f>TEXT(tblTransactions[[#This Row],[Date]], "MMM-YYYY")</f>
        <v>Apr-2024</v>
      </c>
      <c r="P2202" t="str">
        <f>"Q"&amp;ROUNDUP(MONTH(tblTransactions[[#This Row],[Date]])/3,0)&amp;"-"&amp;YEAR(tblTransactions[[#This Row],[Date]])</f>
        <v>Q2-2024</v>
      </c>
      <c r="Q2202">
        <f>YEAR(tblTransactions[[#This Row],[Date]])</f>
        <v>2024</v>
      </c>
      <c r="R2202" t="str">
        <f>TEXT(tblTransactions[[#This Row],[Date]],"DDDD")</f>
        <v>Thursday</v>
      </c>
      <c r="S2202">
        <f>MONTH(tblTransactions[[#This Row],[Date]])</f>
        <v>4</v>
      </c>
      <c r="T2202" t="str">
        <f>VLOOKUP(E2202, Products!$A:$B,2,0)</f>
        <v>Monitors Tec-3</v>
      </c>
      <c r="U2202" t="str">
        <f>VLOOKUP(E2202,Products!$A:$C,3,0)</f>
        <v>Technology</v>
      </c>
      <c r="V2202" t="str">
        <f>VLOOKUP(E2202,Products!$A:$D,4,0)</f>
        <v>Monitors</v>
      </c>
      <c r="W2202" t="str">
        <f>VLOOKUP(D2202,Customers!$A:$C,3,0)</f>
        <v>Enterprise</v>
      </c>
      <c r="X2202" t="str">
        <f>VLOOKUP(C2202,Sales_Representatives!$A:$B,2,0)</f>
        <v>Jennifer Brown</v>
      </c>
    </row>
    <row r="2203" spans="1:24" x14ac:dyDescent="0.3">
      <c r="A2203" t="s">
        <v>3108</v>
      </c>
      <c r="B2203" t="s">
        <v>3106</v>
      </c>
      <c r="C2203" t="s">
        <v>141</v>
      </c>
      <c r="D2203" t="s">
        <v>1640</v>
      </c>
      <c r="E2203" t="s">
        <v>43</v>
      </c>
      <c r="F2203">
        <v>7</v>
      </c>
      <c r="G2203">
        <v>39.32</v>
      </c>
      <c r="H2203">
        <v>0.08</v>
      </c>
      <c r="I2203" s="4">
        <v>253.22</v>
      </c>
      <c r="J2203" t="s">
        <v>109</v>
      </c>
      <c r="K2203" t="s">
        <v>17</v>
      </c>
      <c r="L2203" s="4">
        <f>VLOOKUP(tblTransactions[[#This Row],[Product_ID]],tblProducts[],5,FALSE)</f>
        <v>15.81</v>
      </c>
      <c r="M2203" s="4">
        <f>tblTransactions[[#This Row],[Total_Amount]]-(tblTransactions[[#This Row],[Cost_Prices]]*tblTransactions[[#This Row],[Quantity]]*(1-tblTransactions[[#This Row],[Discount]]))</f>
        <v>151.40359999999998</v>
      </c>
      <c r="N2203" s="3">
        <f>tblTransactions[[#This Row],[Profit]]/tblTransactions[[#This Row],[Total_Amount]]</f>
        <v>0.59791327699233865</v>
      </c>
      <c r="O2203" t="str">
        <f>TEXT(tblTransactions[[#This Row],[Date]], "MMM-YYYY")</f>
        <v>Apr-2024</v>
      </c>
      <c r="P2203" t="str">
        <f>"Q"&amp;ROUNDUP(MONTH(tblTransactions[[#This Row],[Date]])/3,0)&amp;"-"&amp;YEAR(tblTransactions[[#This Row],[Date]])</f>
        <v>Q2-2024</v>
      </c>
      <c r="Q2203">
        <f>YEAR(tblTransactions[[#This Row],[Date]])</f>
        <v>2024</v>
      </c>
      <c r="R2203" t="str">
        <f>TEXT(tblTransactions[[#This Row],[Date]],"DDDD")</f>
        <v>Thursday</v>
      </c>
      <c r="S2203">
        <f>MONTH(tblTransactions[[#This Row],[Date]])</f>
        <v>4</v>
      </c>
      <c r="T2203" t="str">
        <f>VLOOKUP(E2203, Products!$A:$B,2,0)</f>
        <v>Paper Off-3</v>
      </c>
      <c r="U2203" t="str">
        <f>VLOOKUP(E2203,Products!$A:$C,3,0)</f>
        <v>Office Supplies</v>
      </c>
      <c r="V2203" t="str">
        <f>VLOOKUP(E2203,Products!$A:$D,4,0)</f>
        <v>Paper</v>
      </c>
      <c r="W2203" t="str">
        <f>VLOOKUP(D2203,Customers!$A:$C,3,0)</f>
        <v>B2C</v>
      </c>
      <c r="X2203" t="str">
        <f>VLOOKUP(C2203,Sales_Representatives!$A:$B,2,0)</f>
        <v>Richard Garcia</v>
      </c>
    </row>
    <row r="2204" spans="1:24" x14ac:dyDescent="0.3">
      <c r="A2204" t="s">
        <v>3109</v>
      </c>
      <c r="B2204" t="s">
        <v>3106</v>
      </c>
      <c r="C2204" t="s">
        <v>13</v>
      </c>
      <c r="D2204" t="s">
        <v>2074</v>
      </c>
      <c r="E2204" t="s">
        <v>77</v>
      </c>
      <c r="F2204">
        <v>5</v>
      </c>
      <c r="G2204">
        <v>236.82</v>
      </c>
      <c r="H2204">
        <v>0.09</v>
      </c>
      <c r="I2204" s="4">
        <v>1077.53</v>
      </c>
      <c r="J2204" t="s">
        <v>16</v>
      </c>
      <c r="K2204" t="s">
        <v>17</v>
      </c>
      <c r="L2204" s="4">
        <f>VLOOKUP(tblTransactions[[#This Row],[Product_ID]],tblProducts[],5,FALSE)</f>
        <v>110.79</v>
      </c>
      <c r="M2204" s="4">
        <f>tblTransactions[[#This Row],[Total_Amount]]-(tblTransactions[[#This Row],[Cost_Prices]]*tblTransactions[[#This Row],[Quantity]]*(1-tblTransactions[[#This Row],[Discount]]))</f>
        <v>573.43549999999993</v>
      </c>
      <c r="N2204" s="3">
        <f>tblTransactions[[#This Row],[Profit]]/tblTransactions[[#This Row],[Total_Amount]]</f>
        <v>0.53217590229506362</v>
      </c>
      <c r="O2204" t="str">
        <f>TEXT(tblTransactions[[#This Row],[Date]], "MMM-YYYY")</f>
        <v>Apr-2024</v>
      </c>
      <c r="P2204" t="str">
        <f>"Q"&amp;ROUNDUP(MONTH(tblTransactions[[#This Row],[Date]])/3,0)&amp;"-"&amp;YEAR(tblTransactions[[#This Row],[Date]])</f>
        <v>Q2-2024</v>
      </c>
      <c r="Q2204">
        <f>YEAR(tblTransactions[[#This Row],[Date]])</f>
        <v>2024</v>
      </c>
      <c r="R2204" t="str">
        <f>TEXT(tblTransactions[[#This Row],[Date]],"DDDD")</f>
        <v>Thursday</v>
      </c>
      <c r="S2204">
        <f>MONTH(tblTransactions[[#This Row],[Date]])</f>
        <v>4</v>
      </c>
      <c r="T2204" t="str">
        <f>VLOOKUP(E2204, Products!$A:$B,2,0)</f>
        <v>Binders Off-4</v>
      </c>
      <c r="U2204" t="str">
        <f>VLOOKUP(E2204,Products!$A:$C,3,0)</f>
        <v>Office Supplies</v>
      </c>
      <c r="V2204" t="str">
        <f>VLOOKUP(E2204,Products!$A:$D,4,0)</f>
        <v>Binders</v>
      </c>
      <c r="W2204" t="str">
        <f>VLOOKUP(D2204,Customers!$A:$C,3,0)</f>
        <v>B2C</v>
      </c>
      <c r="X2204" t="str">
        <f>VLOOKUP(C2204,Sales_Representatives!$A:$B,2,0)</f>
        <v>Jennifer Rodriguez</v>
      </c>
    </row>
    <row r="2205" spans="1:24" x14ac:dyDescent="0.3">
      <c r="A2205" t="s">
        <v>3110</v>
      </c>
      <c r="B2205" t="s">
        <v>3106</v>
      </c>
      <c r="C2205" t="s">
        <v>82</v>
      </c>
      <c r="D2205" t="s">
        <v>1654</v>
      </c>
      <c r="E2205" t="s">
        <v>91</v>
      </c>
      <c r="F2205">
        <v>1</v>
      </c>
      <c r="G2205">
        <v>286.62</v>
      </c>
      <c r="H2205">
        <v>0.06</v>
      </c>
      <c r="I2205" s="4">
        <v>269.42</v>
      </c>
      <c r="J2205" t="s">
        <v>34</v>
      </c>
      <c r="K2205" t="s">
        <v>17</v>
      </c>
      <c r="L2205" s="4">
        <f>VLOOKUP(tblTransactions[[#This Row],[Product_ID]],tblProducts[],5,FALSE)</f>
        <v>145.54</v>
      </c>
      <c r="M2205" s="4">
        <f>tblTransactions[[#This Row],[Total_Amount]]-(tblTransactions[[#This Row],[Cost_Prices]]*tblTransactions[[#This Row],[Quantity]]*(1-tblTransactions[[#This Row],[Discount]]))</f>
        <v>132.61240000000004</v>
      </c>
      <c r="N2205" s="3">
        <f>tblTransactions[[#This Row],[Profit]]/tblTransactions[[#This Row],[Total_Amount]]</f>
        <v>0.49221438645980264</v>
      </c>
      <c r="O2205" t="str">
        <f>TEXT(tblTransactions[[#This Row],[Date]], "MMM-YYYY")</f>
        <v>Apr-2024</v>
      </c>
      <c r="P2205" t="str">
        <f>"Q"&amp;ROUNDUP(MONTH(tblTransactions[[#This Row],[Date]])/3,0)&amp;"-"&amp;YEAR(tblTransactions[[#This Row],[Date]])</f>
        <v>Q2-2024</v>
      </c>
      <c r="Q2205">
        <f>YEAR(tblTransactions[[#This Row],[Date]])</f>
        <v>2024</v>
      </c>
      <c r="R2205" t="str">
        <f>TEXT(tblTransactions[[#This Row],[Date]],"DDDD")</f>
        <v>Thursday</v>
      </c>
      <c r="S2205">
        <f>MONTH(tblTransactions[[#This Row],[Date]])</f>
        <v>4</v>
      </c>
      <c r="T2205" t="str">
        <f>VLOOKUP(E2205, Products!$A:$B,2,0)</f>
        <v>Chairs Fur-1</v>
      </c>
      <c r="U2205" t="str">
        <f>VLOOKUP(E2205,Products!$A:$C,3,0)</f>
        <v>Furniture</v>
      </c>
      <c r="V2205" t="str">
        <f>VLOOKUP(E2205,Products!$A:$D,4,0)</f>
        <v>Chairs</v>
      </c>
      <c r="W2205" t="str">
        <f>VLOOKUP(D2205,Customers!$A:$C,3,0)</f>
        <v>B2C</v>
      </c>
      <c r="X2205" t="str">
        <f>VLOOKUP(C2205,Sales_Representatives!$A:$B,2,0)</f>
        <v>John Brown</v>
      </c>
    </row>
    <row r="2206" spans="1:24" x14ac:dyDescent="0.3">
      <c r="A2206" t="s">
        <v>3111</v>
      </c>
      <c r="B2206" t="s">
        <v>3106</v>
      </c>
      <c r="C2206" t="s">
        <v>131</v>
      </c>
      <c r="D2206" t="s">
        <v>288</v>
      </c>
      <c r="E2206" t="s">
        <v>376</v>
      </c>
      <c r="F2206">
        <v>4</v>
      </c>
      <c r="G2206">
        <v>229.65</v>
      </c>
      <c r="H2206">
        <v>0.05</v>
      </c>
      <c r="I2206" s="4">
        <v>872.67</v>
      </c>
      <c r="J2206" t="s">
        <v>44</v>
      </c>
      <c r="K2206" t="s">
        <v>22</v>
      </c>
      <c r="L2206" s="4">
        <f>VLOOKUP(tblTransactions[[#This Row],[Product_ID]],tblProducts[],5,FALSE)</f>
        <v>96.84</v>
      </c>
      <c r="M2206" s="4">
        <f>tblTransactions[[#This Row],[Total_Amount]]-(tblTransactions[[#This Row],[Cost_Prices]]*tblTransactions[[#This Row],[Quantity]]*(1-tblTransactions[[#This Row],[Discount]]))</f>
        <v>504.67799999999994</v>
      </c>
      <c r="N2206" s="3">
        <f>tblTransactions[[#This Row],[Profit]]/tblTransactions[[#This Row],[Total_Amount]]</f>
        <v>0.57831482691051594</v>
      </c>
      <c r="O2206" t="str">
        <f>TEXT(tblTransactions[[#This Row],[Date]], "MMM-YYYY")</f>
        <v>Apr-2024</v>
      </c>
      <c r="P2206" t="str">
        <f>"Q"&amp;ROUNDUP(MONTH(tblTransactions[[#This Row],[Date]])/3,0)&amp;"-"&amp;YEAR(tblTransactions[[#This Row],[Date]])</f>
        <v>Q2-2024</v>
      </c>
      <c r="Q2206">
        <f>YEAR(tblTransactions[[#This Row],[Date]])</f>
        <v>2024</v>
      </c>
      <c r="R2206" t="str">
        <f>TEXT(tblTransactions[[#This Row],[Date]],"DDDD")</f>
        <v>Thursday</v>
      </c>
      <c r="S2206">
        <f>MONTH(tblTransactions[[#This Row],[Date]])</f>
        <v>4</v>
      </c>
      <c r="T2206" t="str">
        <f>VLOOKUP(E2206, Products!$A:$B,2,0)</f>
        <v>Adapters Acc-2</v>
      </c>
      <c r="U2206" t="str">
        <f>VLOOKUP(E2206,Products!$A:$C,3,0)</f>
        <v>Accessories</v>
      </c>
      <c r="V2206" t="str">
        <f>VLOOKUP(E2206,Products!$A:$D,4,0)</f>
        <v>Adapters</v>
      </c>
      <c r="W2206" t="str">
        <f>VLOOKUP(D2206,Customers!$A:$C,3,0)</f>
        <v>B2C</v>
      </c>
      <c r="X2206" t="str">
        <f>VLOOKUP(C2206,Sales_Representatives!$A:$B,2,0)</f>
        <v>Michael Davis</v>
      </c>
    </row>
    <row r="2207" spans="1:24" x14ac:dyDescent="0.3">
      <c r="A2207" t="s">
        <v>3112</v>
      </c>
      <c r="B2207" t="s">
        <v>3113</v>
      </c>
      <c r="C2207" t="s">
        <v>63</v>
      </c>
      <c r="D2207" t="s">
        <v>1947</v>
      </c>
      <c r="E2207" t="s">
        <v>129</v>
      </c>
      <c r="F2207">
        <v>11</v>
      </c>
      <c r="G2207">
        <v>1283.71</v>
      </c>
      <c r="H2207">
        <v>0.15</v>
      </c>
      <c r="I2207" s="4">
        <v>12002.69</v>
      </c>
      <c r="J2207" t="s">
        <v>21</v>
      </c>
      <c r="K2207" t="s">
        <v>22</v>
      </c>
      <c r="L2207" s="4">
        <f>VLOOKUP(tblTransactions[[#This Row],[Product_ID]],tblProducts[],5,FALSE)</f>
        <v>970.14</v>
      </c>
      <c r="M2207" s="4">
        <f>tblTransactions[[#This Row],[Total_Amount]]-(tblTransactions[[#This Row],[Cost_Prices]]*tblTransactions[[#This Row],[Quantity]]*(1-tblTransactions[[#This Row],[Discount]]))</f>
        <v>2931.8810000000012</v>
      </c>
      <c r="N2207" s="3">
        <f>tblTransactions[[#This Row],[Profit]]/tblTransactions[[#This Row],[Total_Amount]]</f>
        <v>0.24426865977543377</v>
      </c>
      <c r="O2207" t="str">
        <f>TEXT(tblTransactions[[#This Row],[Date]], "MMM-YYYY")</f>
        <v>Apr-2024</v>
      </c>
      <c r="P2207" t="str">
        <f>"Q"&amp;ROUNDUP(MONTH(tblTransactions[[#This Row],[Date]])/3,0)&amp;"-"&amp;YEAR(tblTransactions[[#This Row],[Date]])</f>
        <v>Q2-2024</v>
      </c>
      <c r="Q2207">
        <f>YEAR(tblTransactions[[#This Row],[Date]])</f>
        <v>2024</v>
      </c>
      <c r="R2207" t="str">
        <f>TEXT(tblTransactions[[#This Row],[Date]],"DDDD")</f>
        <v>Friday</v>
      </c>
      <c r="S2207">
        <f>MONTH(tblTransactions[[#This Row],[Date]])</f>
        <v>4</v>
      </c>
      <c r="T2207" t="str">
        <f>VLOOKUP(E2207, Products!$A:$B,2,0)</f>
        <v>Cameras Ele-3</v>
      </c>
      <c r="U2207" t="str">
        <f>VLOOKUP(E2207,Products!$A:$C,3,0)</f>
        <v>Electronics</v>
      </c>
      <c r="V2207" t="str">
        <f>VLOOKUP(E2207,Products!$A:$D,4,0)</f>
        <v>Cameras</v>
      </c>
      <c r="W2207" t="str">
        <f>VLOOKUP(D2207,Customers!$A:$C,3,0)</f>
        <v>Enterprise</v>
      </c>
      <c r="X2207" t="str">
        <f>VLOOKUP(C2207,Sales_Representatives!$A:$B,2,0)</f>
        <v>Richard Wilson</v>
      </c>
    </row>
    <row r="2208" spans="1:24" x14ac:dyDescent="0.3">
      <c r="A2208" t="s">
        <v>3114</v>
      </c>
      <c r="B2208" t="s">
        <v>3113</v>
      </c>
      <c r="C2208" t="s">
        <v>141</v>
      </c>
      <c r="D2208" t="s">
        <v>2121</v>
      </c>
      <c r="E2208" t="s">
        <v>258</v>
      </c>
      <c r="F2208">
        <v>2</v>
      </c>
      <c r="G2208">
        <v>73.33</v>
      </c>
      <c r="H2208">
        <v>0.02</v>
      </c>
      <c r="I2208" s="4">
        <v>143.72999999999999</v>
      </c>
      <c r="J2208" t="s">
        <v>109</v>
      </c>
      <c r="K2208" t="s">
        <v>39</v>
      </c>
      <c r="L2208" s="4">
        <f>VLOOKUP(tblTransactions[[#This Row],[Product_ID]],tblProducts[],5,FALSE)</f>
        <v>38.049999999999997</v>
      </c>
      <c r="M2208" s="4">
        <f>tblTransactions[[#This Row],[Total_Amount]]-(tblTransactions[[#This Row],[Cost_Prices]]*tblTransactions[[#This Row],[Quantity]]*(1-tblTransactions[[#This Row],[Discount]]))</f>
        <v>69.152000000000001</v>
      </c>
      <c r="N2208" s="3">
        <f>tblTransactions[[#This Row],[Profit]]/tblTransactions[[#This Row],[Total_Amount]]</f>
        <v>0.48112433034161278</v>
      </c>
      <c r="O2208" t="str">
        <f>TEXT(tblTransactions[[#This Row],[Date]], "MMM-YYYY")</f>
        <v>Apr-2024</v>
      </c>
      <c r="P2208" t="str">
        <f>"Q"&amp;ROUNDUP(MONTH(tblTransactions[[#This Row],[Date]])/3,0)&amp;"-"&amp;YEAR(tblTransactions[[#This Row],[Date]])</f>
        <v>Q2-2024</v>
      </c>
      <c r="Q2208">
        <f>YEAR(tblTransactions[[#This Row],[Date]])</f>
        <v>2024</v>
      </c>
      <c r="R2208" t="str">
        <f>TEXT(tblTransactions[[#This Row],[Date]],"DDDD")</f>
        <v>Friday</v>
      </c>
      <c r="S2208">
        <f>MONTH(tblTransactions[[#This Row],[Date]])</f>
        <v>4</v>
      </c>
      <c r="T2208" t="str">
        <f>VLOOKUP(E2208, Products!$A:$B,2,0)</f>
        <v>Keyboards Acc-3</v>
      </c>
      <c r="U2208" t="str">
        <f>VLOOKUP(E2208,Products!$A:$C,3,0)</f>
        <v>Accessories</v>
      </c>
      <c r="V2208" t="str">
        <f>VLOOKUP(E2208,Products!$A:$D,4,0)</f>
        <v>Keyboards</v>
      </c>
      <c r="W2208" t="str">
        <f>VLOOKUP(D2208,Customers!$A:$C,3,0)</f>
        <v>B2C</v>
      </c>
      <c r="X2208" t="str">
        <f>VLOOKUP(C2208,Sales_Representatives!$A:$B,2,0)</f>
        <v>Richard Garcia</v>
      </c>
    </row>
    <row r="2209" spans="1:24" x14ac:dyDescent="0.3">
      <c r="A2209" t="s">
        <v>3115</v>
      </c>
      <c r="B2209" t="s">
        <v>3116</v>
      </c>
      <c r="C2209" t="s">
        <v>82</v>
      </c>
      <c r="D2209" t="s">
        <v>3014</v>
      </c>
      <c r="E2209" t="s">
        <v>129</v>
      </c>
      <c r="F2209">
        <v>8</v>
      </c>
      <c r="G2209">
        <v>1283.71</v>
      </c>
      <c r="H2209">
        <v>0.14000000000000001</v>
      </c>
      <c r="I2209" s="4">
        <v>8831.92</v>
      </c>
      <c r="J2209" t="s">
        <v>34</v>
      </c>
      <c r="K2209" t="s">
        <v>35</v>
      </c>
      <c r="L2209" s="4">
        <f>VLOOKUP(tblTransactions[[#This Row],[Product_ID]],tblProducts[],5,FALSE)</f>
        <v>970.14</v>
      </c>
      <c r="M2209" s="4">
        <f>tblTransactions[[#This Row],[Total_Amount]]-(tblTransactions[[#This Row],[Cost_Prices]]*tblTransactions[[#This Row],[Quantity]]*(1-tblTransactions[[#This Row],[Discount]]))</f>
        <v>2157.3568000000005</v>
      </c>
      <c r="N2209" s="3">
        <f>tblTransactions[[#This Row],[Profit]]/tblTransactions[[#This Row],[Total_Amount]]</f>
        <v>0.2442681546028497</v>
      </c>
      <c r="O2209" t="str">
        <f>TEXT(tblTransactions[[#This Row],[Date]], "MMM-YYYY")</f>
        <v>Apr-2024</v>
      </c>
      <c r="P2209" t="str">
        <f>"Q"&amp;ROUNDUP(MONTH(tblTransactions[[#This Row],[Date]])/3,0)&amp;"-"&amp;YEAR(tblTransactions[[#This Row],[Date]])</f>
        <v>Q2-2024</v>
      </c>
      <c r="Q2209">
        <f>YEAR(tblTransactions[[#This Row],[Date]])</f>
        <v>2024</v>
      </c>
      <c r="R2209" t="str">
        <f>TEXT(tblTransactions[[#This Row],[Date]],"DDDD")</f>
        <v>Saturday</v>
      </c>
      <c r="S2209">
        <f>MONTH(tblTransactions[[#This Row],[Date]])</f>
        <v>4</v>
      </c>
      <c r="T2209" t="str">
        <f>VLOOKUP(E2209, Products!$A:$B,2,0)</f>
        <v>Cameras Ele-3</v>
      </c>
      <c r="U2209" t="str">
        <f>VLOOKUP(E2209,Products!$A:$C,3,0)</f>
        <v>Electronics</v>
      </c>
      <c r="V2209" t="str">
        <f>VLOOKUP(E2209,Products!$A:$D,4,0)</f>
        <v>Cameras</v>
      </c>
      <c r="W2209" t="str">
        <f>VLOOKUP(D2209,Customers!$A:$C,3,0)</f>
        <v>B2B</v>
      </c>
      <c r="X2209" t="str">
        <f>VLOOKUP(C2209,Sales_Representatives!$A:$B,2,0)</f>
        <v>John Brown</v>
      </c>
    </row>
    <row r="2210" spans="1:24" x14ac:dyDescent="0.3">
      <c r="A2210" t="s">
        <v>3117</v>
      </c>
      <c r="B2210" t="s">
        <v>3116</v>
      </c>
      <c r="C2210" t="s">
        <v>127</v>
      </c>
      <c r="D2210" t="s">
        <v>1458</v>
      </c>
      <c r="E2210" t="s">
        <v>91</v>
      </c>
      <c r="F2210">
        <v>9</v>
      </c>
      <c r="G2210">
        <v>286.62</v>
      </c>
      <c r="H2210">
        <v>7.0000000000000007E-2</v>
      </c>
      <c r="I2210" s="4">
        <v>2399.0100000000002</v>
      </c>
      <c r="J2210" t="s">
        <v>109</v>
      </c>
      <c r="K2210" t="s">
        <v>17</v>
      </c>
      <c r="L2210" s="4">
        <f>VLOOKUP(tblTransactions[[#This Row],[Product_ID]],tblProducts[],5,FALSE)</f>
        <v>145.54</v>
      </c>
      <c r="M2210" s="4">
        <f>tblTransactions[[#This Row],[Total_Amount]]-(tblTransactions[[#This Row],[Cost_Prices]]*tblTransactions[[#This Row],[Quantity]]*(1-tblTransactions[[#This Row],[Discount]]))</f>
        <v>1180.8402000000003</v>
      </c>
      <c r="N2210" s="3">
        <f>tblTransactions[[#This Row],[Profit]]/tblTransactions[[#This Row],[Total_Amount]]</f>
        <v>0.49221979066364885</v>
      </c>
      <c r="O2210" t="str">
        <f>TEXT(tblTransactions[[#This Row],[Date]], "MMM-YYYY")</f>
        <v>Apr-2024</v>
      </c>
      <c r="P2210" t="str">
        <f>"Q"&amp;ROUNDUP(MONTH(tblTransactions[[#This Row],[Date]])/3,0)&amp;"-"&amp;YEAR(tblTransactions[[#This Row],[Date]])</f>
        <v>Q2-2024</v>
      </c>
      <c r="Q2210">
        <f>YEAR(tblTransactions[[#This Row],[Date]])</f>
        <v>2024</v>
      </c>
      <c r="R2210" t="str">
        <f>TEXT(tblTransactions[[#This Row],[Date]],"DDDD")</f>
        <v>Saturday</v>
      </c>
      <c r="S2210">
        <f>MONTH(tblTransactions[[#This Row],[Date]])</f>
        <v>4</v>
      </c>
      <c r="T2210" t="str">
        <f>VLOOKUP(E2210, Products!$A:$B,2,0)</f>
        <v>Chairs Fur-1</v>
      </c>
      <c r="U2210" t="str">
        <f>VLOOKUP(E2210,Products!$A:$C,3,0)</f>
        <v>Furniture</v>
      </c>
      <c r="V2210" t="str">
        <f>VLOOKUP(E2210,Products!$A:$D,4,0)</f>
        <v>Chairs</v>
      </c>
      <c r="W2210" t="str">
        <f>VLOOKUP(D2210,Customers!$A:$C,3,0)</f>
        <v>Enterprise</v>
      </c>
      <c r="X2210" t="str">
        <f>VLOOKUP(C2210,Sales_Representatives!$A:$B,2,0)</f>
        <v>Emily Hernandez</v>
      </c>
    </row>
    <row r="2211" spans="1:24" x14ac:dyDescent="0.3">
      <c r="A2211" t="s">
        <v>3118</v>
      </c>
      <c r="B2211" t="s">
        <v>3116</v>
      </c>
      <c r="C2211" t="s">
        <v>107</v>
      </c>
      <c r="D2211" t="s">
        <v>2065</v>
      </c>
      <c r="E2211" t="s">
        <v>25</v>
      </c>
      <c r="F2211">
        <v>14</v>
      </c>
      <c r="G2211">
        <v>1467.49</v>
      </c>
      <c r="H2211">
        <v>0.13</v>
      </c>
      <c r="I2211" s="4">
        <v>17874.03</v>
      </c>
      <c r="J2211" t="s">
        <v>109</v>
      </c>
      <c r="K2211" t="s">
        <v>35</v>
      </c>
      <c r="L2211" s="4">
        <f>VLOOKUP(tblTransactions[[#This Row],[Product_ID]],tblProducts[],5,FALSE)</f>
        <v>757.65</v>
      </c>
      <c r="M2211" s="4">
        <f>tblTransactions[[#This Row],[Total_Amount]]-(tblTransactions[[#This Row],[Cost_Prices]]*tblTransactions[[#This Row],[Quantity]]*(1-tblTransactions[[#This Row],[Discount]]))</f>
        <v>8645.8529999999992</v>
      </c>
      <c r="N2211" s="3">
        <f>tblTransactions[[#This Row],[Profit]]/tblTransactions[[#This Row],[Total_Amount]]</f>
        <v>0.48371033281246589</v>
      </c>
      <c r="O2211" t="str">
        <f>TEXT(tblTransactions[[#This Row],[Date]], "MMM-YYYY")</f>
        <v>Apr-2024</v>
      </c>
      <c r="P2211" t="str">
        <f>"Q"&amp;ROUNDUP(MONTH(tblTransactions[[#This Row],[Date]])/3,0)&amp;"-"&amp;YEAR(tblTransactions[[#This Row],[Date]])</f>
        <v>Q2-2024</v>
      </c>
      <c r="Q2211">
        <f>YEAR(tblTransactions[[#This Row],[Date]])</f>
        <v>2024</v>
      </c>
      <c r="R2211" t="str">
        <f>TEXT(tblTransactions[[#This Row],[Date]],"DDDD")</f>
        <v>Saturday</v>
      </c>
      <c r="S2211">
        <f>MONTH(tblTransactions[[#This Row],[Date]])</f>
        <v>4</v>
      </c>
      <c r="T2211" t="str">
        <f>VLOOKUP(E2211, Products!$A:$B,2,0)</f>
        <v>Tables Fur-3</v>
      </c>
      <c r="U2211" t="str">
        <f>VLOOKUP(E2211,Products!$A:$C,3,0)</f>
        <v>Furniture</v>
      </c>
      <c r="V2211" t="str">
        <f>VLOOKUP(E2211,Products!$A:$D,4,0)</f>
        <v>Tables</v>
      </c>
      <c r="W2211" t="str">
        <f>VLOOKUP(D2211,Customers!$A:$C,3,0)</f>
        <v>B2B</v>
      </c>
      <c r="X2211" t="str">
        <f>VLOOKUP(C2211,Sales_Representatives!$A:$B,2,0)</f>
        <v>Jennifer Brown</v>
      </c>
    </row>
    <row r="2212" spans="1:24" x14ac:dyDescent="0.3">
      <c r="A2212" t="s">
        <v>3119</v>
      </c>
      <c r="B2212" t="s">
        <v>3116</v>
      </c>
      <c r="C2212" t="s">
        <v>70</v>
      </c>
      <c r="D2212" t="s">
        <v>1627</v>
      </c>
      <c r="E2212" t="s">
        <v>129</v>
      </c>
      <c r="F2212">
        <v>41</v>
      </c>
      <c r="G2212">
        <v>1283.71</v>
      </c>
      <c r="H2212">
        <v>0.22</v>
      </c>
      <c r="I2212" s="4">
        <v>41053.050000000003</v>
      </c>
      <c r="J2212" t="s">
        <v>16</v>
      </c>
      <c r="K2212" t="s">
        <v>22</v>
      </c>
      <c r="L2212" s="4">
        <f>VLOOKUP(tblTransactions[[#This Row],[Product_ID]],tblProducts[],5,FALSE)</f>
        <v>970.14</v>
      </c>
      <c r="M2212" s="4">
        <f>tblTransactions[[#This Row],[Total_Amount]]-(tblTransactions[[#This Row],[Cost_Prices]]*tblTransactions[[#This Row],[Quantity]]*(1-tblTransactions[[#This Row],[Discount]]))</f>
        <v>10027.972800000003</v>
      </c>
      <c r="N2212" s="3">
        <f>tblTransactions[[#This Row],[Profit]]/tblTransactions[[#This Row],[Total_Amount]]</f>
        <v>0.24426864264652692</v>
      </c>
      <c r="O2212" t="str">
        <f>TEXT(tblTransactions[[#This Row],[Date]], "MMM-YYYY")</f>
        <v>Apr-2024</v>
      </c>
      <c r="P2212" t="str">
        <f>"Q"&amp;ROUNDUP(MONTH(tblTransactions[[#This Row],[Date]])/3,0)&amp;"-"&amp;YEAR(tblTransactions[[#This Row],[Date]])</f>
        <v>Q2-2024</v>
      </c>
      <c r="Q2212">
        <f>YEAR(tblTransactions[[#This Row],[Date]])</f>
        <v>2024</v>
      </c>
      <c r="R2212" t="str">
        <f>TEXT(tblTransactions[[#This Row],[Date]],"DDDD")</f>
        <v>Saturday</v>
      </c>
      <c r="S2212">
        <f>MONTH(tblTransactions[[#This Row],[Date]])</f>
        <v>4</v>
      </c>
      <c r="T2212" t="str">
        <f>VLOOKUP(E2212, Products!$A:$B,2,0)</f>
        <v>Cameras Ele-3</v>
      </c>
      <c r="U2212" t="str">
        <f>VLOOKUP(E2212,Products!$A:$C,3,0)</f>
        <v>Electronics</v>
      </c>
      <c r="V2212" t="str">
        <f>VLOOKUP(E2212,Products!$A:$D,4,0)</f>
        <v>Cameras</v>
      </c>
      <c r="W2212" t="str">
        <f>VLOOKUP(D2212,Customers!$A:$C,3,0)</f>
        <v>Enterprise</v>
      </c>
      <c r="X2212" t="str">
        <f>VLOOKUP(C2212,Sales_Representatives!$A:$B,2,0)</f>
        <v>Linda Smith</v>
      </c>
    </row>
    <row r="2213" spans="1:24" x14ac:dyDescent="0.3">
      <c r="A2213" t="s">
        <v>3120</v>
      </c>
      <c r="B2213" t="s">
        <v>3121</v>
      </c>
      <c r="C2213" t="s">
        <v>75</v>
      </c>
      <c r="D2213" t="s">
        <v>60</v>
      </c>
      <c r="E2213" t="s">
        <v>345</v>
      </c>
      <c r="F2213">
        <v>5</v>
      </c>
      <c r="G2213">
        <v>13.97</v>
      </c>
      <c r="H2213">
        <v>7.0000000000000007E-2</v>
      </c>
      <c r="I2213" s="4">
        <v>64.959999999999994</v>
      </c>
      <c r="J2213" t="s">
        <v>44</v>
      </c>
      <c r="K2213" t="s">
        <v>35</v>
      </c>
      <c r="L2213" s="4">
        <f>VLOOKUP(tblTransactions[[#This Row],[Product_ID]],tblProducts[],5,FALSE)</f>
        <v>8.69</v>
      </c>
      <c r="M2213" s="4">
        <f>tblTransactions[[#This Row],[Total_Amount]]-(tblTransactions[[#This Row],[Cost_Prices]]*tblTransactions[[#This Row],[Quantity]]*(1-tblTransactions[[#This Row],[Discount]]))</f>
        <v>24.551499999999997</v>
      </c>
      <c r="N2213" s="3">
        <f>tblTransactions[[#This Row],[Profit]]/tblTransactions[[#This Row],[Total_Amount]]</f>
        <v>0.37794796798029556</v>
      </c>
      <c r="O2213" t="str">
        <f>TEXT(tblTransactions[[#This Row],[Date]], "MMM-YYYY")</f>
        <v>Apr-2024</v>
      </c>
      <c r="P2213" t="str">
        <f>"Q"&amp;ROUNDUP(MONTH(tblTransactions[[#This Row],[Date]])/3,0)&amp;"-"&amp;YEAR(tblTransactions[[#This Row],[Date]])</f>
        <v>Q2-2024</v>
      </c>
      <c r="Q2213">
        <f>YEAR(tblTransactions[[#This Row],[Date]])</f>
        <v>2024</v>
      </c>
      <c r="R2213" t="str">
        <f>TEXT(tblTransactions[[#This Row],[Date]],"DDDD")</f>
        <v>Sunday</v>
      </c>
      <c r="S2213">
        <f>MONTH(tblTransactions[[#This Row],[Date]])</f>
        <v>4</v>
      </c>
      <c r="T2213" t="str">
        <f>VLOOKUP(E2213, Products!$A:$B,2,0)</f>
        <v>Cases Acc-2</v>
      </c>
      <c r="U2213" t="str">
        <f>VLOOKUP(E2213,Products!$A:$C,3,0)</f>
        <v>Accessories</v>
      </c>
      <c r="V2213" t="str">
        <f>VLOOKUP(E2213,Products!$A:$D,4,0)</f>
        <v>Cases</v>
      </c>
      <c r="W2213" t="str">
        <f>VLOOKUP(D2213,Customers!$A:$C,3,0)</f>
        <v>B2C</v>
      </c>
      <c r="X2213" t="str">
        <f>VLOOKUP(C2213,Sales_Representatives!$A:$B,2,0)</f>
        <v>Jessica Anderson</v>
      </c>
    </row>
    <row r="2214" spans="1:24" x14ac:dyDescent="0.3">
      <c r="A2214" t="s">
        <v>3122</v>
      </c>
      <c r="B2214" t="s">
        <v>3123</v>
      </c>
      <c r="C2214" t="s">
        <v>59</v>
      </c>
      <c r="D2214" t="s">
        <v>1573</v>
      </c>
      <c r="E2214" t="s">
        <v>61</v>
      </c>
      <c r="F2214">
        <v>5</v>
      </c>
      <c r="G2214">
        <v>92.07</v>
      </c>
      <c r="H2214">
        <v>0.01</v>
      </c>
      <c r="I2214" s="4">
        <v>455.75</v>
      </c>
      <c r="J2214" t="s">
        <v>21</v>
      </c>
      <c r="K2214" t="s">
        <v>39</v>
      </c>
      <c r="L2214" s="4">
        <f>VLOOKUP(tblTransactions[[#This Row],[Product_ID]],tblProducts[],5,FALSE)</f>
        <v>56.98</v>
      </c>
      <c r="M2214" s="4">
        <f>tblTransactions[[#This Row],[Total_Amount]]-(tblTransactions[[#This Row],[Cost_Prices]]*tblTransactions[[#This Row],[Quantity]]*(1-tblTransactions[[#This Row],[Discount]]))</f>
        <v>173.69900000000001</v>
      </c>
      <c r="N2214" s="3">
        <f>tblTransactions[[#This Row],[Profit]]/tblTransactions[[#This Row],[Total_Amount]]</f>
        <v>0.38112781130005491</v>
      </c>
      <c r="O2214" t="str">
        <f>TEXT(tblTransactions[[#This Row],[Date]], "MMM-YYYY")</f>
        <v>Apr-2024</v>
      </c>
      <c r="P2214" t="str">
        <f>"Q"&amp;ROUNDUP(MONTH(tblTransactions[[#This Row],[Date]])/3,0)&amp;"-"&amp;YEAR(tblTransactions[[#This Row],[Date]])</f>
        <v>Q2-2024</v>
      </c>
      <c r="Q2214">
        <f>YEAR(tblTransactions[[#This Row],[Date]])</f>
        <v>2024</v>
      </c>
      <c r="R2214" t="str">
        <f>TEXT(tblTransactions[[#This Row],[Date]],"DDDD")</f>
        <v>Monday</v>
      </c>
      <c r="S2214">
        <f>MONTH(tblTransactions[[#This Row],[Date]])</f>
        <v>4</v>
      </c>
      <c r="T2214" t="str">
        <f>VLOOKUP(E2214, Products!$A:$B,2,0)</f>
        <v>Pens Off-4</v>
      </c>
      <c r="U2214" t="str">
        <f>VLOOKUP(E2214,Products!$A:$C,3,0)</f>
        <v>Office Supplies</v>
      </c>
      <c r="V2214" t="str">
        <f>VLOOKUP(E2214,Products!$A:$D,4,0)</f>
        <v>Pens</v>
      </c>
      <c r="W2214" t="str">
        <f>VLOOKUP(D2214,Customers!$A:$C,3,0)</f>
        <v>Small Business</v>
      </c>
      <c r="X2214" t="str">
        <f>VLOOKUP(C2214,Sales_Representatives!$A:$B,2,0)</f>
        <v>Sarah Brown</v>
      </c>
    </row>
    <row r="2215" spans="1:24" x14ac:dyDescent="0.3">
      <c r="A2215" t="s">
        <v>3124</v>
      </c>
      <c r="B2215" t="s">
        <v>3123</v>
      </c>
      <c r="C2215" t="s">
        <v>131</v>
      </c>
      <c r="D2215" t="s">
        <v>2179</v>
      </c>
      <c r="E2215" t="s">
        <v>394</v>
      </c>
      <c r="F2215">
        <v>4</v>
      </c>
      <c r="G2215">
        <v>314.69</v>
      </c>
      <c r="H2215">
        <v>7.0000000000000007E-2</v>
      </c>
      <c r="I2215" s="4">
        <v>1170.6500000000001</v>
      </c>
      <c r="J2215" t="s">
        <v>44</v>
      </c>
      <c r="K2215" t="s">
        <v>22</v>
      </c>
      <c r="L2215" s="4">
        <f>VLOOKUP(tblTransactions[[#This Row],[Product_ID]],tblProducts[],5,FALSE)</f>
        <v>185.43</v>
      </c>
      <c r="M2215" s="4">
        <f>tblTransactions[[#This Row],[Total_Amount]]-(tblTransactions[[#This Row],[Cost_Prices]]*tblTransactions[[#This Row],[Quantity]]*(1-tblTransactions[[#This Row],[Discount]]))</f>
        <v>480.85040000000015</v>
      </c>
      <c r="N2215" s="3">
        <f>tblTransactions[[#This Row],[Profit]]/tblTransactions[[#This Row],[Total_Amount]]</f>
        <v>0.41075505061290746</v>
      </c>
      <c r="O2215" t="str">
        <f>TEXT(tblTransactions[[#This Row],[Date]], "MMM-YYYY")</f>
        <v>Apr-2024</v>
      </c>
      <c r="P2215" t="str">
        <f>"Q"&amp;ROUNDUP(MONTH(tblTransactions[[#This Row],[Date]])/3,0)&amp;"-"&amp;YEAR(tblTransactions[[#This Row],[Date]])</f>
        <v>Q2-2024</v>
      </c>
      <c r="Q2215">
        <f>YEAR(tblTransactions[[#This Row],[Date]])</f>
        <v>2024</v>
      </c>
      <c r="R2215" t="str">
        <f>TEXT(tblTransactions[[#This Row],[Date]],"DDDD")</f>
        <v>Monday</v>
      </c>
      <c r="S2215">
        <f>MONTH(tblTransactions[[#This Row],[Date]])</f>
        <v>4</v>
      </c>
      <c r="T2215" t="str">
        <f>VLOOKUP(E2215, Products!$A:$B,2,0)</f>
        <v>Desks Fur-1</v>
      </c>
      <c r="U2215" t="str">
        <f>VLOOKUP(E2215,Products!$A:$C,3,0)</f>
        <v>Furniture</v>
      </c>
      <c r="V2215" t="str">
        <f>VLOOKUP(E2215,Products!$A:$D,4,0)</f>
        <v>Desks</v>
      </c>
      <c r="W2215" t="str">
        <f>VLOOKUP(D2215,Customers!$A:$C,3,0)</f>
        <v>B2C</v>
      </c>
      <c r="X2215" t="str">
        <f>VLOOKUP(C2215,Sales_Representatives!$A:$B,2,0)</f>
        <v>Michael Davis</v>
      </c>
    </row>
    <row r="2216" spans="1:24" x14ac:dyDescent="0.3">
      <c r="A2216" t="s">
        <v>3125</v>
      </c>
      <c r="B2216" t="s">
        <v>3123</v>
      </c>
      <c r="C2216" t="s">
        <v>131</v>
      </c>
      <c r="D2216" t="s">
        <v>1511</v>
      </c>
      <c r="E2216" t="s">
        <v>176</v>
      </c>
      <c r="F2216">
        <v>1</v>
      </c>
      <c r="G2216">
        <v>1462.68</v>
      </c>
      <c r="H2216">
        <v>0.05</v>
      </c>
      <c r="I2216" s="4">
        <v>1389.55</v>
      </c>
      <c r="J2216" t="s">
        <v>44</v>
      </c>
      <c r="K2216" t="s">
        <v>35</v>
      </c>
      <c r="L2216" s="4">
        <f>VLOOKUP(tblTransactions[[#This Row],[Product_ID]],tblProducts[],5,FALSE)</f>
        <v>775.94</v>
      </c>
      <c r="M2216" s="4">
        <f>tblTransactions[[#This Row],[Total_Amount]]-(tblTransactions[[#This Row],[Cost_Prices]]*tblTransactions[[#This Row],[Quantity]]*(1-tblTransactions[[#This Row],[Discount]]))</f>
        <v>652.40699999999993</v>
      </c>
      <c r="N2216" s="3">
        <f>tblTransactions[[#This Row],[Profit]]/tblTransactions[[#This Row],[Total_Amount]]</f>
        <v>0.46950955345255657</v>
      </c>
      <c r="O2216" t="str">
        <f>TEXT(tblTransactions[[#This Row],[Date]], "MMM-YYYY")</f>
        <v>Apr-2024</v>
      </c>
      <c r="P2216" t="str">
        <f>"Q"&amp;ROUNDUP(MONTH(tblTransactions[[#This Row],[Date]])/3,0)&amp;"-"&amp;YEAR(tblTransactions[[#This Row],[Date]])</f>
        <v>Q2-2024</v>
      </c>
      <c r="Q2216">
        <f>YEAR(tblTransactions[[#This Row],[Date]])</f>
        <v>2024</v>
      </c>
      <c r="R2216" t="str">
        <f>TEXT(tblTransactions[[#This Row],[Date]],"DDDD")</f>
        <v>Monday</v>
      </c>
      <c r="S2216">
        <f>MONTH(tblTransactions[[#This Row],[Date]])</f>
        <v>4</v>
      </c>
      <c r="T2216" t="str">
        <f>VLOOKUP(E2216, Products!$A:$B,2,0)</f>
        <v>Chairs Fur-2</v>
      </c>
      <c r="U2216" t="str">
        <f>VLOOKUP(E2216,Products!$A:$C,3,0)</f>
        <v>Furniture</v>
      </c>
      <c r="V2216" t="str">
        <f>VLOOKUP(E2216,Products!$A:$D,4,0)</f>
        <v>Chairs</v>
      </c>
      <c r="W2216" t="str">
        <f>VLOOKUP(D2216,Customers!$A:$C,3,0)</f>
        <v>B2C</v>
      </c>
      <c r="X2216" t="str">
        <f>VLOOKUP(C2216,Sales_Representatives!$A:$B,2,0)</f>
        <v>Michael Davis</v>
      </c>
    </row>
    <row r="2217" spans="1:24" x14ac:dyDescent="0.3">
      <c r="A2217" t="s">
        <v>3126</v>
      </c>
      <c r="B2217" t="s">
        <v>3123</v>
      </c>
      <c r="C2217" t="s">
        <v>19</v>
      </c>
      <c r="D2217" t="s">
        <v>1505</v>
      </c>
      <c r="E2217" t="s">
        <v>145</v>
      </c>
      <c r="F2217">
        <v>7</v>
      </c>
      <c r="G2217">
        <v>93.43</v>
      </c>
      <c r="H2217">
        <v>0.08</v>
      </c>
      <c r="I2217" s="4">
        <v>601.69000000000005</v>
      </c>
      <c r="J2217" t="s">
        <v>21</v>
      </c>
      <c r="K2217" t="s">
        <v>22</v>
      </c>
      <c r="L2217" s="4">
        <f>VLOOKUP(tblTransactions[[#This Row],[Product_ID]],tblProducts[],5,FALSE)</f>
        <v>45.74</v>
      </c>
      <c r="M2217" s="4">
        <f>tblTransactions[[#This Row],[Total_Amount]]-(tblTransactions[[#This Row],[Cost_Prices]]*tblTransactions[[#This Row],[Quantity]]*(1-tblTransactions[[#This Row],[Discount]]))</f>
        <v>307.12440000000004</v>
      </c>
      <c r="N2217" s="3">
        <f>tblTransactions[[#This Row],[Profit]]/tblTransactions[[#This Row],[Total_Amount]]</f>
        <v>0.51043627116953916</v>
      </c>
      <c r="O2217" t="str">
        <f>TEXT(tblTransactions[[#This Row],[Date]], "MMM-YYYY")</f>
        <v>Apr-2024</v>
      </c>
      <c r="P2217" t="str">
        <f>"Q"&amp;ROUNDUP(MONTH(tblTransactions[[#This Row],[Date]])/3,0)&amp;"-"&amp;YEAR(tblTransactions[[#This Row],[Date]])</f>
        <v>Q2-2024</v>
      </c>
      <c r="Q2217">
        <f>YEAR(tblTransactions[[#This Row],[Date]])</f>
        <v>2024</v>
      </c>
      <c r="R2217" t="str">
        <f>TEXT(tblTransactions[[#This Row],[Date]],"DDDD")</f>
        <v>Monday</v>
      </c>
      <c r="S2217">
        <f>MONTH(tblTransactions[[#This Row],[Date]])</f>
        <v>4</v>
      </c>
      <c r="T2217" t="str">
        <f>VLOOKUP(E2217, Products!$A:$B,2,0)</f>
        <v>Paper Off-1</v>
      </c>
      <c r="U2217" t="str">
        <f>VLOOKUP(E2217,Products!$A:$C,3,0)</f>
        <v>Office Supplies</v>
      </c>
      <c r="V2217" t="str">
        <f>VLOOKUP(E2217,Products!$A:$D,4,0)</f>
        <v>Paper</v>
      </c>
      <c r="W2217" t="str">
        <f>VLOOKUP(D2217,Customers!$A:$C,3,0)</f>
        <v>B2C</v>
      </c>
      <c r="X2217" t="str">
        <f>VLOOKUP(C2217,Sales_Representatives!$A:$B,2,0)</f>
        <v>Robert Jones</v>
      </c>
    </row>
    <row r="2218" spans="1:24" x14ac:dyDescent="0.3">
      <c r="A2218" t="s">
        <v>3127</v>
      </c>
      <c r="B2218" t="s">
        <v>3123</v>
      </c>
      <c r="C2218" t="s">
        <v>19</v>
      </c>
      <c r="D2218" t="s">
        <v>1683</v>
      </c>
      <c r="E2218" t="s">
        <v>376</v>
      </c>
      <c r="F2218">
        <v>5</v>
      </c>
      <c r="G2218">
        <v>229.65</v>
      </c>
      <c r="H2218">
        <v>0.1</v>
      </c>
      <c r="I2218" s="4">
        <v>1033.42</v>
      </c>
      <c r="J2218" t="s">
        <v>21</v>
      </c>
      <c r="K2218" t="s">
        <v>35</v>
      </c>
      <c r="L2218" s="4">
        <f>VLOOKUP(tblTransactions[[#This Row],[Product_ID]],tblProducts[],5,FALSE)</f>
        <v>96.84</v>
      </c>
      <c r="M2218" s="4">
        <f>tblTransactions[[#This Row],[Total_Amount]]-(tblTransactions[[#This Row],[Cost_Prices]]*tblTransactions[[#This Row],[Quantity]]*(1-tblTransactions[[#This Row],[Discount]]))</f>
        <v>597.6400000000001</v>
      </c>
      <c r="N2218" s="3">
        <f>tblTransactions[[#This Row],[Profit]]/tblTransactions[[#This Row],[Total_Amount]]</f>
        <v>0.57831278666950514</v>
      </c>
      <c r="O2218" t="str">
        <f>TEXT(tblTransactions[[#This Row],[Date]], "MMM-YYYY")</f>
        <v>Apr-2024</v>
      </c>
      <c r="P2218" t="str">
        <f>"Q"&amp;ROUNDUP(MONTH(tblTransactions[[#This Row],[Date]])/3,0)&amp;"-"&amp;YEAR(tblTransactions[[#This Row],[Date]])</f>
        <v>Q2-2024</v>
      </c>
      <c r="Q2218">
        <f>YEAR(tblTransactions[[#This Row],[Date]])</f>
        <v>2024</v>
      </c>
      <c r="R2218" t="str">
        <f>TEXT(tblTransactions[[#This Row],[Date]],"DDDD")</f>
        <v>Monday</v>
      </c>
      <c r="S2218">
        <f>MONTH(tblTransactions[[#This Row],[Date]])</f>
        <v>4</v>
      </c>
      <c r="T2218" t="str">
        <f>VLOOKUP(E2218, Products!$A:$B,2,0)</f>
        <v>Adapters Acc-2</v>
      </c>
      <c r="U2218" t="str">
        <f>VLOOKUP(E2218,Products!$A:$C,3,0)</f>
        <v>Accessories</v>
      </c>
      <c r="V2218" t="str">
        <f>VLOOKUP(E2218,Products!$A:$D,4,0)</f>
        <v>Adapters</v>
      </c>
      <c r="W2218" t="str">
        <f>VLOOKUP(D2218,Customers!$A:$C,3,0)</f>
        <v>B2C</v>
      </c>
      <c r="X2218" t="str">
        <f>VLOOKUP(C2218,Sales_Representatives!$A:$B,2,0)</f>
        <v>Robert Jones</v>
      </c>
    </row>
    <row r="2219" spans="1:24" x14ac:dyDescent="0.3">
      <c r="A2219" t="s">
        <v>3128</v>
      </c>
      <c r="B2219" t="s">
        <v>3123</v>
      </c>
      <c r="C2219" t="s">
        <v>82</v>
      </c>
      <c r="D2219" t="s">
        <v>1971</v>
      </c>
      <c r="E2219" t="s">
        <v>105</v>
      </c>
      <c r="F2219">
        <v>11</v>
      </c>
      <c r="G2219">
        <v>1342.04</v>
      </c>
      <c r="H2219">
        <v>0.11</v>
      </c>
      <c r="I2219" s="4">
        <v>13138.57</v>
      </c>
      <c r="J2219" t="s">
        <v>34</v>
      </c>
      <c r="K2219" t="s">
        <v>17</v>
      </c>
      <c r="L2219" s="4">
        <f>VLOOKUP(tblTransactions[[#This Row],[Product_ID]],tblProducts[],5,FALSE)</f>
        <v>792.89</v>
      </c>
      <c r="M2219" s="4">
        <f>tblTransactions[[#This Row],[Total_Amount]]-(tblTransactions[[#This Row],[Cost_Prices]]*tblTransactions[[#This Row],[Quantity]]*(1-tblTransactions[[#This Row],[Discount]]))</f>
        <v>5376.1769000000004</v>
      </c>
      <c r="N2219" s="3">
        <f>tblTransactions[[#This Row],[Profit]]/tblTransactions[[#This Row],[Total_Amount]]</f>
        <v>0.40919041417749424</v>
      </c>
      <c r="O2219" t="str">
        <f>TEXT(tblTransactions[[#This Row],[Date]], "MMM-YYYY")</f>
        <v>Apr-2024</v>
      </c>
      <c r="P2219" t="str">
        <f>"Q"&amp;ROUNDUP(MONTH(tblTransactions[[#This Row],[Date]])/3,0)&amp;"-"&amp;YEAR(tblTransactions[[#This Row],[Date]])</f>
        <v>Q2-2024</v>
      </c>
      <c r="Q2219">
        <f>YEAR(tblTransactions[[#This Row],[Date]])</f>
        <v>2024</v>
      </c>
      <c r="R2219" t="str">
        <f>TEXT(tblTransactions[[#This Row],[Date]],"DDDD")</f>
        <v>Monday</v>
      </c>
      <c r="S2219">
        <f>MONTH(tblTransactions[[#This Row],[Date]])</f>
        <v>4</v>
      </c>
      <c r="T2219" t="str">
        <f>VLOOKUP(E2219, Products!$A:$B,2,0)</f>
        <v>Cameras Ele-1</v>
      </c>
      <c r="U2219" t="str">
        <f>VLOOKUP(E2219,Products!$A:$C,3,0)</f>
        <v>Electronics</v>
      </c>
      <c r="V2219" t="str">
        <f>VLOOKUP(E2219,Products!$A:$D,4,0)</f>
        <v>Cameras</v>
      </c>
      <c r="W2219" t="str">
        <f>VLOOKUP(D2219,Customers!$A:$C,3,0)</f>
        <v>B2B</v>
      </c>
      <c r="X2219" t="str">
        <f>VLOOKUP(C2219,Sales_Representatives!$A:$B,2,0)</f>
        <v>John Brown</v>
      </c>
    </row>
    <row r="2220" spans="1:24" x14ac:dyDescent="0.3">
      <c r="A2220" t="s">
        <v>3129</v>
      </c>
      <c r="B2220" t="s">
        <v>3123</v>
      </c>
      <c r="C2220" t="s">
        <v>107</v>
      </c>
      <c r="D2220" t="s">
        <v>2166</v>
      </c>
      <c r="E2220" t="s">
        <v>102</v>
      </c>
      <c r="F2220">
        <v>41</v>
      </c>
      <c r="G2220">
        <v>1097.75</v>
      </c>
      <c r="H2220">
        <v>0.21</v>
      </c>
      <c r="I2220" s="4">
        <v>35556.120000000003</v>
      </c>
      <c r="J2220" t="s">
        <v>109</v>
      </c>
      <c r="K2220" t="s">
        <v>35</v>
      </c>
      <c r="L2220" s="4">
        <f>VLOOKUP(tblTransactions[[#This Row],[Product_ID]],tblProducts[],5,FALSE)</f>
        <v>680.12</v>
      </c>
      <c r="M2220" s="4">
        <f>tblTransactions[[#This Row],[Total_Amount]]-(tblTransactions[[#This Row],[Cost_Prices]]*tblTransactions[[#This Row],[Quantity]]*(1-tblTransactions[[#This Row],[Discount]]))</f>
        <v>13527.033200000002</v>
      </c>
      <c r="N2220" s="3">
        <f>tblTransactions[[#This Row],[Profit]]/tblTransactions[[#This Row],[Total_Amount]]</f>
        <v>0.38044176923691336</v>
      </c>
      <c r="O2220" t="str">
        <f>TEXT(tblTransactions[[#This Row],[Date]], "MMM-YYYY")</f>
        <v>Apr-2024</v>
      </c>
      <c r="P2220" t="str">
        <f>"Q"&amp;ROUNDUP(MONTH(tblTransactions[[#This Row],[Date]])/3,0)&amp;"-"&amp;YEAR(tblTransactions[[#This Row],[Date]])</f>
        <v>Q2-2024</v>
      </c>
      <c r="Q2220">
        <f>YEAR(tblTransactions[[#This Row],[Date]])</f>
        <v>2024</v>
      </c>
      <c r="R2220" t="str">
        <f>TEXT(tblTransactions[[#This Row],[Date]],"DDDD")</f>
        <v>Monday</v>
      </c>
      <c r="S2220">
        <f>MONTH(tblTransactions[[#This Row],[Date]])</f>
        <v>4</v>
      </c>
      <c r="T2220" t="str">
        <f>VLOOKUP(E2220, Products!$A:$B,2,0)</f>
        <v>Storage Fur-4</v>
      </c>
      <c r="U2220" t="str">
        <f>VLOOKUP(E2220,Products!$A:$C,3,0)</f>
        <v>Furniture</v>
      </c>
      <c r="V2220" t="str">
        <f>VLOOKUP(E2220,Products!$A:$D,4,0)</f>
        <v>Storage</v>
      </c>
      <c r="W2220" t="str">
        <f>VLOOKUP(D2220,Customers!$A:$C,3,0)</f>
        <v>Enterprise</v>
      </c>
      <c r="X2220" t="str">
        <f>VLOOKUP(C2220,Sales_Representatives!$A:$B,2,0)</f>
        <v>Jennifer Brown</v>
      </c>
    </row>
    <row r="2221" spans="1:24" x14ac:dyDescent="0.3">
      <c r="A2221" t="s">
        <v>3130</v>
      </c>
      <c r="B2221" t="s">
        <v>3131</v>
      </c>
      <c r="C2221" t="s">
        <v>82</v>
      </c>
      <c r="D2221" t="s">
        <v>190</v>
      </c>
      <c r="E2221" t="s">
        <v>113</v>
      </c>
      <c r="F2221">
        <v>8</v>
      </c>
      <c r="G2221">
        <v>930.41</v>
      </c>
      <c r="H2221">
        <v>0.05</v>
      </c>
      <c r="I2221" s="4">
        <v>7071.12</v>
      </c>
      <c r="J2221" t="s">
        <v>34</v>
      </c>
      <c r="K2221" t="s">
        <v>17</v>
      </c>
      <c r="L2221" s="4">
        <f>VLOOKUP(tblTransactions[[#This Row],[Product_ID]],tblProducts[],5,FALSE)</f>
        <v>595.51</v>
      </c>
      <c r="M2221" s="4">
        <f>tblTransactions[[#This Row],[Total_Amount]]-(tblTransactions[[#This Row],[Cost_Prices]]*tblTransactions[[#This Row],[Quantity]]*(1-tblTransactions[[#This Row],[Discount]]))</f>
        <v>2545.2440000000006</v>
      </c>
      <c r="N2221" s="3">
        <f>tblTransactions[[#This Row],[Profit]]/tblTransactions[[#This Row],[Total_Amount]]</f>
        <v>0.35994920182375645</v>
      </c>
      <c r="O2221" t="str">
        <f>TEXT(tblTransactions[[#This Row],[Date]], "MMM-YYYY")</f>
        <v>Apr-2024</v>
      </c>
      <c r="P2221" t="str">
        <f>"Q"&amp;ROUNDUP(MONTH(tblTransactions[[#This Row],[Date]])/3,0)&amp;"-"&amp;YEAR(tblTransactions[[#This Row],[Date]])</f>
        <v>Q2-2024</v>
      </c>
      <c r="Q2221">
        <f>YEAR(tblTransactions[[#This Row],[Date]])</f>
        <v>2024</v>
      </c>
      <c r="R2221" t="str">
        <f>TEXT(tblTransactions[[#This Row],[Date]],"DDDD")</f>
        <v>Tuesday</v>
      </c>
      <c r="S2221">
        <f>MONTH(tblTransactions[[#This Row],[Date]])</f>
        <v>4</v>
      </c>
      <c r="T2221" t="str">
        <f>VLOOKUP(E2221, Products!$A:$B,2,0)</f>
        <v>Phones Ele-1</v>
      </c>
      <c r="U2221" t="str">
        <f>VLOOKUP(E2221,Products!$A:$C,3,0)</f>
        <v>Electronics</v>
      </c>
      <c r="V2221" t="str">
        <f>VLOOKUP(E2221,Products!$A:$D,4,0)</f>
        <v>Phones</v>
      </c>
      <c r="W2221" t="str">
        <f>VLOOKUP(D2221,Customers!$A:$C,3,0)</f>
        <v>B2B</v>
      </c>
      <c r="X2221" t="str">
        <f>VLOOKUP(C2221,Sales_Representatives!$A:$B,2,0)</f>
        <v>John Brown</v>
      </c>
    </row>
    <row r="2222" spans="1:24" x14ac:dyDescent="0.3">
      <c r="A2222" t="s">
        <v>3132</v>
      </c>
      <c r="B2222" t="s">
        <v>3133</v>
      </c>
      <c r="C2222" t="s">
        <v>59</v>
      </c>
      <c r="D2222" t="s">
        <v>2562</v>
      </c>
      <c r="E2222" t="s">
        <v>102</v>
      </c>
      <c r="F2222">
        <v>5</v>
      </c>
      <c r="G2222">
        <v>1097.75</v>
      </c>
      <c r="H2222">
        <v>0.05</v>
      </c>
      <c r="I2222" s="4">
        <v>5214.3100000000004</v>
      </c>
      <c r="J2222" t="s">
        <v>21</v>
      </c>
      <c r="K2222" t="s">
        <v>22</v>
      </c>
      <c r="L2222" s="4">
        <f>VLOOKUP(tblTransactions[[#This Row],[Product_ID]],tblProducts[],5,FALSE)</f>
        <v>680.12</v>
      </c>
      <c r="M2222" s="4">
        <f>tblTransactions[[#This Row],[Total_Amount]]-(tblTransactions[[#This Row],[Cost_Prices]]*tblTransactions[[#This Row],[Quantity]]*(1-tblTransactions[[#This Row],[Discount]]))</f>
        <v>1983.7400000000007</v>
      </c>
      <c r="N2222" s="3">
        <f>tblTransactions[[#This Row],[Profit]]/tblTransactions[[#This Row],[Total_Amount]]</f>
        <v>0.38044151575184454</v>
      </c>
      <c r="O2222" t="str">
        <f>TEXT(tblTransactions[[#This Row],[Date]], "MMM-YYYY")</f>
        <v>Apr-2024</v>
      </c>
      <c r="P2222" t="str">
        <f>"Q"&amp;ROUNDUP(MONTH(tblTransactions[[#This Row],[Date]])/3,0)&amp;"-"&amp;YEAR(tblTransactions[[#This Row],[Date]])</f>
        <v>Q2-2024</v>
      </c>
      <c r="Q2222">
        <f>YEAR(tblTransactions[[#This Row],[Date]])</f>
        <v>2024</v>
      </c>
      <c r="R2222" t="str">
        <f>TEXT(tblTransactions[[#This Row],[Date]],"DDDD")</f>
        <v>Wednesday</v>
      </c>
      <c r="S2222">
        <f>MONTH(tblTransactions[[#This Row],[Date]])</f>
        <v>4</v>
      </c>
      <c r="T2222" t="str">
        <f>VLOOKUP(E2222, Products!$A:$B,2,0)</f>
        <v>Storage Fur-4</v>
      </c>
      <c r="U2222" t="str">
        <f>VLOOKUP(E2222,Products!$A:$C,3,0)</f>
        <v>Furniture</v>
      </c>
      <c r="V2222" t="str">
        <f>VLOOKUP(E2222,Products!$A:$D,4,0)</f>
        <v>Storage</v>
      </c>
      <c r="W2222" t="str">
        <f>VLOOKUP(D2222,Customers!$A:$C,3,0)</f>
        <v>B2C</v>
      </c>
      <c r="X2222" t="str">
        <f>VLOOKUP(C2222,Sales_Representatives!$A:$B,2,0)</f>
        <v>Sarah Brown</v>
      </c>
    </row>
    <row r="2223" spans="1:24" x14ac:dyDescent="0.3">
      <c r="A2223" t="s">
        <v>3134</v>
      </c>
      <c r="B2223" t="s">
        <v>3133</v>
      </c>
      <c r="C2223" t="s">
        <v>75</v>
      </c>
      <c r="D2223" t="s">
        <v>1957</v>
      </c>
      <c r="E2223" t="s">
        <v>204</v>
      </c>
      <c r="F2223">
        <v>14</v>
      </c>
      <c r="G2223">
        <v>715.62</v>
      </c>
      <c r="H2223">
        <v>0.1</v>
      </c>
      <c r="I2223" s="4">
        <v>9016.81</v>
      </c>
      <c r="J2223" t="s">
        <v>44</v>
      </c>
      <c r="K2223" t="s">
        <v>35</v>
      </c>
      <c r="L2223" s="4">
        <f>VLOOKUP(tblTransactions[[#This Row],[Product_ID]],tblProducts[],5,FALSE)</f>
        <v>459.58</v>
      </c>
      <c r="M2223" s="4">
        <f>tblTransactions[[#This Row],[Total_Amount]]-(tblTransactions[[#This Row],[Cost_Prices]]*tblTransactions[[#This Row],[Quantity]]*(1-tblTransactions[[#This Row],[Discount]]))</f>
        <v>3226.1019999999999</v>
      </c>
      <c r="N2223" s="3">
        <f>tblTransactions[[#This Row],[Profit]]/tblTransactions[[#This Row],[Total_Amount]]</f>
        <v>0.35778751021702798</v>
      </c>
      <c r="O2223" t="str">
        <f>TEXT(tblTransactions[[#This Row],[Date]], "MMM-YYYY")</f>
        <v>Apr-2024</v>
      </c>
      <c r="P2223" t="str">
        <f>"Q"&amp;ROUNDUP(MONTH(tblTransactions[[#This Row],[Date]])/3,0)&amp;"-"&amp;YEAR(tblTransactions[[#This Row],[Date]])</f>
        <v>Q2-2024</v>
      </c>
      <c r="Q2223">
        <f>YEAR(tblTransactions[[#This Row],[Date]])</f>
        <v>2024</v>
      </c>
      <c r="R2223" t="str">
        <f>TEXT(tblTransactions[[#This Row],[Date]],"DDDD")</f>
        <v>Wednesday</v>
      </c>
      <c r="S2223">
        <f>MONTH(tblTransactions[[#This Row],[Date]])</f>
        <v>4</v>
      </c>
      <c r="T2223" t="str">
        <f>VLOOKUP(E2223, Products!$A:$B,2,0)</f>
        <v>Cameras Ele-2</v>
      </c>
      <c r="U2223" t="str">
        <f>VLOOKUP(E2223,Products!$A:$C,3,0)</f>
        <v>Electronics</v>
      </c>
      <c r="V2223" t="str">
        <f>VLOOKUP(E2223,Products!$A:$D,4,0)</f>
        <v>Cameras</v>
      </c>
      <c r="W2223" t="str">
        <f>VLOOKUP(D2223,Customers!$A:$C,3,0)</f>
        <v>B2B</v>
      </c>
      <c r="X2223" t="str">
        <f>VLOOKUP(C2223,Sales_Representatives!$A:$B,2,0)</f>
        <v>Jessica Anderson</v>
      </c>
    </row>
    <row r="2224" spans="1:24" x14ac:dyDescent="0.3">
      <c r="A2224" t="s">
        <v>3135</v>
      </c>
      <c r="B2224" t="s">
        <v>3136</v>
      </c>
      <c r="C2224" t="s">
        <v>70</v>
      </c>
      <c r="D2224" t="s">
        <v>1460</v>
      </c>
      <c r="E2224" t="s">
        <v>20</v>
      </c>
      <c r="F2224">
        <v>1</v>
      </c>
      <c r="G2224">
        <v>1219.49</v>
      </c>
      <c r="H2224">
        <v>0</v>
      </c>
      <c r="I2224" s="4">
        <v>1219.49</v>
      </c>
      <c r="J2224" t="s">
        <v>16</v>
      </c>
      <c r="K2224" t="s">
        <v>39</v>
      </c>
      <c r="L2224" s="4">
        <f>VLOOKUP(tblTransactions[[#This Row],[Product_ID]],tblProducts[],5,FALSE)</f>
        <v>686.9</v>
      </c>
      <c r="M2224" s="4">
        <f>tblTransactions[[#This Row],[Total_Amount]]-(tblTransactions[[#This Row],[Cost_Prices]]*tblTransactions[[#This Row],[Quantity]]*(1-tblTransactions[[#This Row],[Discount]]))</f>
        <v>532.59</v>
      </c>
      <c r="N2224" s="3">
        <f>tblTransactions[[#This Row],[Profit]]/tblTransactions[[#This Row],[Total_Amount]]</f>
        <v>0.43673174851782304</v>
      </c>
      <c r="O2224" t="str">
        <f>TEXT(tblTransactions[[#This Row],[Date]], "MMM-YYYY")</f>
        <v>Apr-2024</v>
      </c>
      <c r="P2224" t="str">
        <f>"Q"&amp;ROUNDUP(MONTH(tblTransactions[[#This Row],[Date]])/3,0)&amp;"-"&amp;YEAR(tblTransactions[[#This Row],[Date]])</f>
        <v>Q2-2024</v>
      </c>
      <c r="Q2224">
        <f>YEAR(tblTransactions[[#This Row],[Date]])</f>
        <v>2024</v>
      </c>
      <c r="R2224" t="str">
        <f>TEXT(tblTransactions[[#This Row],[Date]],"DDDD")</f>
        <v>Thursday</v>
      </c>
      <c r="S2224">
        <f>MONTH(tblTransactions[[#This Row],[Date]])</f>
        <v>4</v>
      </c>
      <c r="T2224" t="str">
        <f>VLOOKUP(E2224, Products!$A:$B,2,0)</f>
        <v>Laptops Ele-1</v>
      </c>
      <c r="U2224" t="str">
        <f>VLOOKUP(E2224,Products!$A:$C,3,0)</f>
        <v>Electronics</v>
      </c>
      <c r="V2224" t="str">
        <f>VLOOKUP(E2224,Products!$A:$D,4,0)</f>
        <v>Laptops</v>
      </c>
      <c r="W2224" t="str">
        <f>VLOOKUP(D2224,Customers!$A:$C,3,0)</f>
        <v>Small Business</v>
      </c>
      <c r="X2224" t="str">
        <f>VLOOKUP(C2224,Sales_Representatives!$A:$B,2,0)</f>
        <v>Linda Smith</v>
      </c>
    </row>
    <row r="2225" spans="1:24" x14ac:dyDescent="0.3">
      <c r="A2225" t="s">
        <v>3137</v>
      </c>
      <c r="B2225" t="s">
        <v>3136</v>
      </c>
      <c r="C2225" t="s">
        <v>63</v>
      </c>
      <c r="D2225" t="s">
        <v>1547</v>
      </c>
      <c r="E2225" t="s">
        <v>29</v>
      </c>
      <c r="F2225">
        <v>2</v>
      </c>
      <c r="G2225">
        <v>1363.46</v>
      </c>
      <c r="H2225">
        <v>7.0000000000000007E-2</v>
      </c>
      <c r="I2225" s="4">
        <v>2536.04</v>
      </c>
      <c r="J2225" t="s">
        <v>21</v>
      </c>
      <c r="K2225" t="s">
        <v>17</v>
      </c>
      <c r="L2225" s="4">
        <f>VLOOKUP(tblTransactions[[#This Row],[Product_ID]],tblProducts[],5,FALSE)</f>
        <v>995.41</v>
      </c>
      <c r="M2225" s="4">
        <f>tblTransactions[[#This Row],[Total_Amount]]-(tblTransactions[[#This Row],[Cost_Prices]]*tblTransactions[[#This Row],[Quantity]]*(1-tblTransactions[[#This Row],[Discount]]))</f>
        <v>684.57740000000013</v>
      </c>
      <c r="N2225" s="3">
        <f>tblTransactions[[#This Row],[Profit]]/tblTransactions[[#This Row],[Total_Amount]]</f>
        <v>0.26993951199507898</v>
      </c>
      <c r="O2225" t="str">
        <f>TEXT(tblTransactions[[#This Row],[Date]], "MMM-YYYY")</f>
        <v>Apr-2024</v>
      </c>
      <c r="P2225" t="str">
        <f>"Q"&amp;ROUNDUP(MONTH(tblTransactions[[#This Row],[Date]])/3,0)&amp;"-"&amp;YEAR(tblTransactions[[#This Row],[Date]])</f>
        <v>Q2-2024</v>
      </c>
      <c r="Q2225">
        <f>YEAR(tblTransactions[[#This Row],[Date]])</f>
        <v>2024</v>
      </c>
      <c r="R2225" t="str">
        <f>TEXT(tblTransactions[[#This Row],[Date]],"DDDD")</f>
        <v>Thursday</v>
      </c>
      <c r="S2225">
        <f>MONTH(tblTransactions[[#This Row],[Date]])</f>
        <v>4</v>
      </c>
      <c r="T2225" t="str">
        <f>VLOOKUP(E2225, Products!$A:$B,2,0)</f>
        <v>Phones Ele-3</v>
      </c>
      <c r="U2225" t="str">
        <f>VLOOKUP(E2225,Products!$A:$C,3,0)</f>
        <v>Electronics</v>
      </c>
      <c r="V2225" t="str">
        <f>VLOOKUP(E2225,Products!$A:$D,4,0)</f>
        <v>Phones</v>
      </c>
      <c r="W2225" t="str">
        <f>VLOOKUP(D2225,Customers!$A:$C,3,0)</f>
        <v>B2C</v>
      </c>
      <c r="X2225" t="str">
        <f>VLOOKUP(C2225,Sales_Representatives!$A:$B,2,0)</f>
        <v>Richard Wilson</v>
      </c>
    </row>
    <row r="2226" spans="1:24" x14ac:dyDescent="0.3">
      <c r="A2226" t="s">
        <v>3138</v>
      </c>
      <c r="B2226" t="s">
        <v>3136</v>
      </c>
      <c r="C2226" t="s">
        <v>41</v>
      </c>
      <c r="D2226" t="s">
        <v>2329</v>
      </c>
      <c r="E2226" t="s">
        <v>129</v>
      </c>
      <c r="F2226">
        <v>4</v>
      </c>
      <c r="G2226">
        <v>1283.71</v>
      </c>
      <c r="H2226">
        <v>0.06</v>
      </c>
      <c r="I2226" s="4">
        <v>4826.75</v>
      </c>
      <c r="J2226" t="s">
        <v>44</v>
      </c>
      <c r="K2226" t="s">
        <v>17</v>
      </c>
      <c r="L2226" s="4">
        <f>VLOOKUP(tblTransactions[[#This Row],[Product_ID]],tblProducts[],5,FALSE)</f>
        <v>970.14</v>
      </c>
      <c r="M2226" s="4">
        <f>tblTransactions[[#This Row],[Total_Amount]]-(tblTransactions[[#This Row],[Cost_Prices]]*tblTransactions[[#This Row],[Quantity]]*(1-tblTransactions[[#This Row],[Discount]]))</f>
        <v>1179.0236000000004</v>
      </c>
      <c r="N2226" s="3">
        <f>tblTransactions[[#This Row],[Profit]]/tblTransactions[[#This Row],[Total_Amount]]</f>
        <v>0.24426862795877152</v>
      </c>
      <c r="O2226" t="str">
        <f>TEXT(tblTransactions[[#This Row],[Date]], "MMM-YYYY")</f>
        <v>Apr-2024</v>
      </c>
      <c r="P2226" t="str">
        <f>"Q"&amp;ROUNDUP(MONTH(tblTransactions[[#This Row],[Date]])/3,0)&amp;"-"&amp;YEAR(tblTransactions[[#This Row],[Date]])</f>
        <v>Q2-2024</v>
      </c>
      <c r="Q2226">
        <f>YEAR(tblTransactions[[#This Row],[Date]])</f>
        <v>2024</v>
      </c>
      <c r="R2226" t="str">
        <f>TEXT(tblTransactions[[#This Row],[Date]],"DDDD")</f>
        <v>Thursday</v>
      </c>
      <c r="S2226">
        <f>MONTH(tblTransactions[[#This Row],[Date]])</f>
        <v>4</v>
      </c>
      <c r="T2226" t="str">
        <f>VLOOKUP(E2226, Products!$A:$B,2,0)</f>
        <v>Cameras Ele-3</v>
      </c>
      <c r="U2226" t="str">
        <f>VLOOKUP(E2226,Products!$A:$C,3,0)</f>
        <v>Electronics</v>
      </c>
      <c r="V2226" t="str">
        <f>VLOOKUP(E2226,Products!$A:$D,4,0)</f>
        <v>Cameras</v>
      </c>
      <c r="W2226" t="str">
        <f>VLOOKUP(D2226,Customers!$A:$C,3,0)</f>
        <v>B2C</v>
      </c>
      <c r="X2226" t="str">
        <f>VLOOKUP(C2226,Sales_Representatives!$A:$B,2,0)</f>
        <v>Robert Jones</v>
      </c>
    </row>
    <row r="2227" spans="1:24" x14ac:dyDescent="0.3">
      <c r="A2227" t="s">
        <v>3139</v>
      </c>
      <c r="B2227" t="s">
        <v>3136</v>
      </c>
      <c r="C2227" t="s">
        <v>31</v>
      </c>
      <c r="D2227" t="s">
        <v>1813</v>
      </c>
      <c r="E2227" t="s">
        <v>450</v>
      </c>
      <c r="F2227">
        <v>12</v>
      </c>
      <c r="G2227">
        <v>2083.92</v>
      </c>
      <c r="H2227">
        <v>0.16</v>
      </c>
      <c r="I2227" s="4">
        <v>21005.91</v>
      </c>
      <c r="J2227" t="s">
        <v>34</v>
      </c>
      <c r="K2227" t="s">
        <v>22</v>
      </c>
      <c r="L2227" s="4">
        <f>VLOOKUP(tblTransactions[[#This Row],[Product_ID]],tblProducts[],5,FALSE)</f>
        <v>1425.78</v>
      </c>
      <c r="M2227" s="4">
        <f>tblTransactions[[#This Row],[Total_Amount]]-(tblTransactions[[#This Row],[Cost_Prices]]*tblTransactions[[#This Row],[Quantity]]*(1-tblTransactions[[#This Row],[Discount]]))</f>
        <v>6634.0475999999999</v>
      </c>
      <c r="N2227" s="3">
        <f>tblTransactions[[#This Row],[Profit]]/tblTransactions[[#This Row],[Total_Amount]]</f>
        <v>0.31581814832111532</v>
      </c>
      <c r="O2227" t="str">
        <f>TEXT(tblTransactions[[#This Row],[Date]], "MMM-YYYY")</f>
        <v>Apr-2024</v>
      </c>
      <c r="P2227" t="str">
        <f>"Q"&amp;ROUNDUP(MONTH(tblTransactions[[#This Row],[Date]])/3,0)&amp;"-"&amp;YEAR(tblTransactions[[#This Row],[Date]])</f>
        <v>Q2-2024</v>
      </c>
      <c r="Q2227">
        <f>YEAR(tblTransactions[[#This Row],[Date]])</f>
        <v>2024</v>
      </c>
      <c r="R2227" t="str">
        <f>TEXT(tblTransactions[[#This Row],[Date]],"DDDD")</f>
        <v>Thursday</v>
      </c>
      <c r="S2227">
        <f>MONTH(tblTransactions[[#This Row],[Date]])</f>
        <v>4</v>
      </c>
      <c r="T2227" t="str">
        <f>VLOOKUP(E2227, Products!$A:$B,2,0)</f>
        <v>Monitors Tec-4</v>
      </c>
      <c r="U2227" t="str">
        <f>VLOOKUP(E2227,Products!$A:$C,3,0)</f>
        <v>Technology</v>
      </c>
      <c r="V2227" t="str">
        <f>VLOOKUP(E2227,Products!$A:$D,4,0)</f>
        <v>Monitors</v>
      </c>
      <c r="W2227" t="str">
        <f>VLOOKUP(D2227,Customers!$A:$C,3,0)</f>
        <v>Enterprise</v>
      </c>
      <c r="X2227" t="str">
        <f>VLOOKUP(C2227,Sales_Representatives!$A:$B,2,0)</f>
        <v>Thomas Martinez</v>
      </c>
    </row>
    <row r="2228" spans="1:24" x14ac:dyDescent="0.3">
      <c r="A2228" t="s">
        <v>3140</v>
      </c>
      <c r="B2228" t="s">
        <v>3141</v>
      </c>
      <c r="C2228" t="s">
        <v>63</v>
      </c>
      <c r="D2228" t="s">
        <v>210</v>
      </c>
      <c r="E2228" t="s">
        <v>224</v>
      </c>
      <c r="F2228">
        <v>18</v>
      </c>
      <c r="G2228">
        <v>505.37</v>
      </c>
      <c r="H2228">
        <v>0.15</v>
      </c>
      <c r="I2228" s="4">
        <v>7732.16</v>
      </c>
      <c r="J2228" t="s">
        <v>21</v>
      </c>
      <c r="K2228" t="s">
        <v>39</v>
      </c>
      <c r="L2228" s="4">
        <f>VLOOKUP(tblTransactions[[#This Row],[Product_ID]],tblProducts[],5,FALSE)</f>
        <v>281.14999999999998</v>
      </c>
      <c r="M2228" s="4">
        <f>tblTransactions[[#This Row],[Total_Amount]]-(tblTransactions[[#This Row],[Cost_Prices]]*tblTransactions[[#This Row],[Quantity]]*(1-tblTransactions[[#This Row],[Discount]]))</f>
        <v>3430.5650000000005</v>
      </c>
      <c r="N2228" s="3">
        <f>tblTransactions[[#This Row],[Profit]]/tblTransactions[[#This Row],[Total_Amount]]</f>
        <v>0.44367485928899564</v>
      </c>
      <c r="O2228" t="str">
        <f>TEXT(tblTransactions[[#This Row],[Date]], "MMM-YYYY")</f>
        <v>Apr-2024</v>
      </c>
      <c r="P2228" t="str">
        <f>"Q"&amp;ROUNDUP(MONTH(tblTransactions[[#This Row],[Date]])/3,0)&amp;"-"&amp;YEAR(tblTransactions[[#This Row],[Date]])</f>
        <v>Q2-2024</v>
      </c>
      <c r="Q2228">
        <f>YEAR(tblTransactions[[#This Row],[Date]])</f>
        <v>2024</v>
      </c>
      <c r="R2228" t="str">
        <f>TEXT(tblTransactions[[#This Row],[Date]],"DDDD")</f>
        <v>Friday</v>
      </c>
      <c r="S2228">
        <f>MONTH(tblTransactions[[#This Row],[Date]])</f>
        <v>4</v>
      </c>
      <c r="T2228" t="str">
        <f>VLOOKUP(E2228, Products!$A:$B,2,0)</f>
        <v>Desks Fur-3</v>
      </c>
      <c r="U2228" t="str">
        <f>VLOOKUP(E2228,Products!$A:$C,3,0)</f>
        <v>Furniture</v>
      </c>
      <c r="V2228" t="str">
        <f>VLOOKUP(E2228,Products!$A:$D,4,0)</f>
        <v>Desks</v>
      </c>
      <c r="W2228" t="str">
        <f>VLOOKUP(D2228,Customers!$A:$C,3,0)</f>
        <v>B2B</v>
      </c>
      <c r="X2228" t="str">
        <f>VLOOKUP(C2228,Sales_Representatives!$A:$B,2,0)</f>
        <v>Richard Wilson</v>
      </c>
    </row>
    <row r="2229" spans="1:24" x14ac:dyDescent="0.3">
      <c r="A2229" t="s">
        <v>3142</v>
      </c>
      <c r="B2229" t="s">
        <v>3141</v>
      </c>
      <c r="C2229" t="s">
        <v>75</v>
      </c>
      <c r="D2229" t="s">
        <v>1608</v>
      </c>
      <c r="E2229" t="s">
        <v>435</v>
      </c>
      <c r="F2229">
        <v>6</v>
      </c>
      <c r="G2229">
        <v>198.72</v>
      </c>
      <c r="H2229">
        <v>0.14000000000000001</v>
      </c>
      <c r="I2229" s="4">
        <v>1025.4000000000001</v>
      </c>
      <c r="J2229" t="s">
        <v>44</v>
      </c>
      <c r="K2229" t="s">
        <v>22</v>
      </c>
      <c r="L2229" s="4">
        <f>VLOOKUP(tblTransactions[[#This Row],[Product_ID]],tblProducts[],5,FALSE)</f>
        <v>116.98</v>
      </c>
      <c r="M2229" s="4">
        <f>tblTransactions[[#This Row],[Total_Amount]]-(tblTransactions[[#This Row],[Cost_Prices]]*tblTransactions[[#This Row],[Quantity]]*(1-tblTransactions[[#This Row],[Discount]]))</f>
        <v>421.78320000000008</v>
      </c>
      <c r="N2229" s="3">
        <f>tblTransactions[[#This Row],[Profit]]/tblTransactions[[#This Row],[Total_Amount]]</f>
        <v>0.4113352837916911</v>
      </c>
      <c r="O2229" t="str">
        <f>TEXT(tblTransactions[[#This Row],[Date]], "MMM-YYYY")</f>
        <v>Apr-2024</v>
      </c>
      <c r="P2229" t="str">
        <f>"Q"&amp;ROUNDUP(MONTH(tblTransactions[[#This Row],[Date]])/3,0)&amp;"-"&amp;YEAR(tblTransactions[[#This Row],[Date]])</f>
        <v>Q2-2024</v>
      </c>
      <c r="Q2229">
        <f>YEAR(tblTransactions[[#This Row],[Date]])</f>
        <v>2024</v>
      </c>
      <c r="R2229" t="str">
        <f>TEXT(tblTransactions[[#This Row],[Date]],"DDDD")</f>
        <v>Friday</v>
      </c>
      <c r="S2229">
        <f>MONTH(tblTransactions[[#This Row],[Date]])</f>
        <v>4</v>
      </c>
      <c r="T2229" t="str">
        <f>VLOOKUP(E2229, Products!$A:$B,2,0)</f>
        <v>Paper Off-4</v>
      </c>
      <c r="U2229" t="str">
        <f>VLOOKUP(E2229,Products!$A:$C,3,0)</f>
        <v>Office Supplies</v>
      </c>
      <c r="V2229" t="str">
        <f>VLOOKUP(E2229,Products!$A:$D,4,0)</f>
        <v>Paper</v>
      </c>
      <c r="W2229" t="str">
        <f>VLOOKUP(D2229,Customers!$A:$C,3,0)</f>
        <v>B2C</v>
      </c>
      <c r="X2229" t="str">
        <f>VLOOKUP(C2229,Sales_Representatives!$A:$B,2,0)</f>
        <v>Jessica Anderson</v>
      </c>
    </row>
    <row r="2230" spans="1:24" x14ac:dyDescent="0.3">
      <c r="A2230" t="s">
        <v>3143</v>
      </c>
      <c r="B2230" t="s">
        <v>3141</v>
      </c>
      <c r="C2230" t="s">
        <v>27</v>
      </c>
      <c r="D2230" t="s">
        <v>2577</v>
      </c>
      <c r="E2230" t="s">
        <v>116</v>
      </c>
      <c r="F2230">
        <v>7</v>
      </c>
      <c r="G2230">
        <v>232.86</v>
      </c>
      <c r="H2230">
        <v>0.09</v>
      </c>
      <c r="I2230" s="4">
        <v>1483.32</v>
      </c>
      <c r="J2230" t="s">
        <v>16</v>
      </c>
      <c r="K2230" t="s">
        <v>35</v>
      </c>
      <c r="L2230" s="4">
        <f>VLOOKUP(tblTransactions[[#This Row],[Product_ID]],tblProducts[],5,FALSE)</f>
        <v>116.79</v>
      </c>
      <c r="M2230" s="4">
        <f>tblTransactions[[#This Row],[Total_Amount]]-(tblTransactions[[#This Row],[Cost_Prices]]*tblTransactions[[#This Row],[Quantity]]*(1-tblTransactions[[#This Row],[Discount]]))</f>
        <v>739.36769999999979</v>
      </c>
      <c r="N2230" s="3">
        <f>tblTransactions[[#This Row],[Profit]]/tblTransactions[[#This Row],[Total_Amount]]</f>
        <v>0.49845461532238478</v>
      </c>
      <c r="O2230" t="str">
        <f>TEXT(tblTransactions[[#This Row],[Date]], "MMM-YYYY")</f>
        <v>Apr-2024</v>
      </c>
      <c r="P2230" t="str">
        <f>"Q"&amp;ROUNDUP(MONTH(tblTransactions[[#This Row],[Date]])/3,0)&amp;"-"&amp;YEAR(tblTransactions[[#This Row],[Date]])</f>
        <v>Q2-2024</v>
      </c>
      <c r="Q2230">
        <f>YEAR(tblTransactions[[#This Row],[Date]])</f>
        <v>2024</v>
      </c>
      <c r="R2230" t="str">
        <f>TEXT(tblTransactions[[#This Row],[Date]],"DDDD")</f>
        <v>Friday</v>
      </c>
      <c r="S2230">
        <f>MONTH(tblTransactions[[#This Row],[Date]])</f>
        <v>4</v>
      </c>
      <c r="T2230" t="str">
        <f>VLOOKUP(E2230, Products!$A:$B,2,0)</f>
        <v>Folders Off-4</v>
      </c>
      <c r="U2230" t="str">
        <f>VLOOKUP(E2230,Products!$A:$C,3,0)</f>
        <v>Office Supplies</v>
      </c>
      <c r="V2230" t="str">
        <f>VLOOKUP(E2230,Products!$A:$D,4,0)</f>
        <v>Folders</v>
      </c>
      <c r="W2230" t="str">
        <f>VLOOKUP(D2230,Customers!$A:$C,3,0)</f>
        <v>B2C</v>
      </c>
      <c r="X2230" t="str">
        <f>VLOOKUP(C2230,Sales_Representatives!$A:$B,2,0)</f>
        <v>Thomas Lopez</v>
      </c>
    </row>
    <row r="2231" spans="1:24" x14ac:dyDescent="0.3">
      <c r="A2231" t="s">
        <v>3144</v>
      </c>
      <c r="B2231" t="s">
        <v>3145</v>
      </c>
      <c r="C2231" t="s">
        <v>107</v>
      </c>
      <c r="D2231" t="s">
        <v>1997</v>
      </c>
      <c r="E2231" t="s">
        <v>53</v>
      </c>
      <c r="F2231">
        <v>11</v>
      </c>
      <c r="G2231">
        <v>2069.2199999999998</v>
      </c>
      <c r="H2231">
        <v>0.11</v>
      </c>
      <c r="I2231" s="4">
        <v>20257.66</v>
      </c>
      <c r="J2231" t="s">
        <v>109</v>
      </c>
      <c r="K2231" t="s">
        <v>39</v>
      </c>
      <c r="L2231" s="4">
        <f>VLOOKUP(tblTransactions[[#This Row],[Product_ID]],tblProducts[],5,FALSE)</f>
        <v>1451.18</v>
      </c>
      <c r="M2231" s="4">
        <f>tblTransactions[[#This Row],[Total_Amount]]-(tblTransactions[[#This Row],[Cost_Prices]]*tblTransactions[[#This Row],[Quantity]]*(1-tblTransactions[[#This Row],[Discount]]))</f>
        <v>6050.607799999998</v>
      </c>
      <c r="N2231" s="3">
        <f>tblTransactions[[#This Row],[Profit]]/tblTransactions[[#This Row],[Total_Amount]]</f>
        <v>0.29868246381862457</v>
      </c>
      <c r="O2231" t="str">
        <f>TEXT(tblTransactions[[#This Row],[Date]], "MMM-YYYY")</f>
        <v>Apr-2024</v>
      </c>
      <c r="P2231" t="str">
        <f>"Q"&amp;ROUNDUP(MONTH(tblTransactions[[#This Row],[Date]])/3,0)&amp;"-"&amp;YEAR(tblTransactions[[#This Row],[Date]])</f>
        <v>Q2-2024</v>
      </c>
      <c r="Q2231">
        <f>YEAR(tblTransactions[[#This Row],[Date]])</f>
        <v>2024</v>
      </c>
      <c r="R2231" t="str">
        <f>TEXT(tblTransactions[[#This Row],[Date]],"DDDD")</f>
        <v>Saturday</v>
      </c>
      <c r="S2231">
        <f>MONTH(tblTransactions[[#This Row],[Date]])</f>
        <v>4</v>
      </c>
      <c r="T2231" t="str">
        <f>VLOOKUP(E2231, Products!$A:$B,2,0)</f>
        <v>Printers Tec-3</v>
      </c>
      <c r="U2231" t="str">
        <f>VLOOKUP(E2231,Products!$A:$C,3,0)</f>
        <v>Technology</v>
      </c>
      <c r="V2231" t="str">
        <f>VLOOKUP(E2231,Products!$A:$D,4,0)</f>
        <v>Printers</v>
      </c>
      <c r="W2231" t="str">
        <f>VLOOKUP(D2231,Customers!$A:$C,3,0)</f>
        <v>B2B</v>
      </c>
      <c r="X2231" t="str">
        <f>VLOOKUP(C2231,Sales_Representatives!$A:$B,2,0)</f>
        <v>Jennifer Brown</v>
      </c>
    </row>
    <row r="2232" spans="1:24" x14ac:dyDescent="0.3">
      <c r="A2232" t="s">
        <v>3146</v>
      </c>
      <c r="B2232" t="s">
        <v>3145</v>
      </c>
      <c r="C2232" t="s">
        <v>31</v>
      </c>
      <c r="D2232" t="s">
        <v>2108</v>
      </c>
      <c r="E2232" t="s">
        <v>243</v>
      </c>
      <c r="F2232">
        <v>1</v>
      </c>
      <c r="G2232">
        <v>384.18</v>
      </c>
      <c r="H2232">
        <v>0.08</v>
      </c>
      <c r="I2232" s="4">
        <v>353.45</v>
      </c>
      <c r="J2232" t="s">
        <v>34</v>
      </c>
      <c r="K2232" t="s">
        <v>17</v>
      </c>
      <c r="L2232" s="4">
        <f>VLOOKUP(tblTransactions[[#This Row],[Product_ID]],tblProducts[],5,FALSE)</f>
        <v>266.92</v>
      </c>
      <c r="M2232" s="4">
        <f>tblTransactions[[#This Row],[Total_Amount]]-(tblTransactions[[#This Row],[Cost_Prices]]*tblTransactions[[#This Row],[Quantity]]*(1-tblTransactions[[#This Row],[Discount]]))</f>
        <v>107.88359999999997</v>
      </c>
      <c r="N2232" s="3">
        <f>tblTransactions[[#This Row],[Profit]]/tblTransactions[[#This Row],[Total_Amount]]</f>
        <v>0.30523015985287871</v>
      </c>
      <c r="O2232" t="str">
        <f>TEXT(tblTransactions[[#This Row],[Date]], "MMM-YYYY")</f>
        <v>Apr-2024</v>
      </c>
      <c r="P2232" t="str">
        <f>"Q"&amp;ROUNDUP(MONTH(tblTransactions[[#This Row],[Date]])/3,0)&amp;"-"&amp;YEAR(tblTransactions[[#This Row],[Date]])</f>
        <v>Q2-2024</v>
      </c>
      <c r="Q2232">
        <f>YEAR(tblTransactions[[#This Row],[Date]])</f>
        <v>2024</v>
      </c>
      <c r="R2232" t="str">
        <f>TEXT(tblTransactions[[#This Row],[Date]],"DDDD")</f>
        <v>Saturday</v>
      </c>
      <c r="S2232">
        <f>MONTH(tblTransactions[[#This Row],[Date]])</f>
        <v>4</v>
      </c>
      <c r="T2232" t="str">
        <f>VLOOKUP(E2232, Products!$A:$B,2,0)</f>
        <v>Routers Tec-3</v>
      </c>
      <c r="U2232" t="str">
        <f>VLOOKUP(E2232,Products!$A:$C,3,0)</f>
        <v>Technology</v>
      </c>
      <c r="V2232" t="str">
        <f>VLOOKUP(E2232,Products!$A:$D,4,0)</f>
        <v>Routers</v>
      </c>
      <c r="W2232" t="str">
        <f>VLOOKUP(D2232,Customers!$A:$C,3,0)</f>
        <v>Small Business</v>
      </c>
      <c r="X2232" t="str">
        <f>VLOOKUP(C2232,Sales_Representatives!$A:$B,2,0)</f>
        <v>Thomas Martinez</v>
      </c>
    </row>
    <row r="2233" spans="1:24" x14ac:dyDescent="0.3">
      <c r="A2233" t="s">
        <v>3147</v>
      </c>
      <c r="B2233" t="s">
        <v>3145</v>
      </c>
      <c r="C2233" t="s">
        <v>107</v>
      </c>
      <c r="D2233" t="s">
        <v>1739</v>
      </c>
      <c r="E2233" t="s">
        <v>38</v>
      </c>
      <c r="F2233">
        <v>5</v>
      </c>
      <c r="G2233">
        <v>581.47</v>
      </c>
      <c r="H2233">
        <v>0.02</v>
      </c>
      <c r="I2233" s="4">
        <v>2849.2</v>
      </c>
      <c r="J2233" t="s">
        <v>109</v>
      </c>
      <c r="K2233" t="s">
        <v>39</v>
      </c>
      <c r="L2233" s="4">
        <f>VLOOKUP(tblTransactions[[#This Row],[Product_ID]],tblProducts[],5,FALSE)</f>
        <v>372.07</v>
      </c>
      <c r="M2233" s="4">
        <f>tblTransactions[[#This Row],[Total_Amount]]-(tblTransactions[[#This Row],[Cost_Prices]]*tblTransactions[[#This Row],[Quantity]]*(1-tblTransactions[[#This Row],[Discount]]))</f>
        <v>1026.057</v>
      </c>
      <c r="N2233" s="3">
        <f>tblTransactions[[#This Row],[Profit]]/tblTransactions[[#This Row],[Total_Amount]]</f>
        <v>0.36012108662080589</v>
      </c>
      <c r="O2233" t="str">
        <f>TEXT(tblTransactions[[#This Row],[Date]], "MMM-YYYY")</f>
        <v>Apr-2024</v>
      </c>
      <c r="P2233" t="str">
        <f>"Q"&amp;ROUNDUP(MONTH(tblTransactions[[#This Row],[Date]])/3,0)&amp;"-"&amp;YEAR(tblTransactions[[#This Row],[Date]])</f>
        <v>Q2-2024</v>
      </c>
      <c r="Q2233">
        <f>YEAR(tblTransactions[[#This Row],[Date]])</f>
        <v>2024</v>
      </c>
      <c r="R2233" t="str">
        <f>TEXT(tblTransactions[[#This Row],[Date]],"DDDD")</f>
        <v>Saturday</v>
      </c>
      <c r="S2233">
        <f>MONTH(tblTransactions[[#This Row],[Date]])</f>
        <v>4</v>
      </c>
      <c r="T2233" t="str">
        <f>VLOOKUP(E2233, Products!$A:$B,2,0)</f>
        <v>Storage Fur-3</v>
      </c>
      <c r="U2233" t="str">
        <f>VLOOKUP(E2233,Products!$A:$C,3,0)</f>
        <v>Furniture</v>
      </c>
      <c r="V2233" t="str">
        <f>VLOOKUP(E2233,Products!$A:$D,4,0)</f>
        <v>Storage</v>
      </c>
      <c r="W2233" t="str">
        <f>VLOOKUP(D2233,Customers!$A:$C,3,0)</f>
        <v>B2C</v>
      </c>
      <c r="X2233" t="str">
        <f>VLOOKUP(C2233,Sales_Representatives!$A:$B,2,0)</f>
        <v>Jennifer Brown</v>
      </c>
    </row>
    <row r="2234" spans="1:24" x14ac:dyDescent="0.3">
      <c r="A2234" t="s">
        <v>3148</v>
      </c>
      <c r="B2234" t="s">
        <v>3145</v>
      </c>
      <c r="C2234" t="s">
        <v>31</v>
      </c>
      <c r="D2234" t="s">
        <v>2094</v>
      </c>
      <c r="E2234" t="s">
        <v>224</v>
      </c>
      <c r="F2234">
        <v>4</v>
      </c>
      <c r="G2234">
        <v>505.37</v>
      </c>
      <c r="H2234">
        <v>0.1</v>
      </c>
      <c r="I2234" s="4">
        <v>1819.33</v>
      </c>
      <c r="J2234" t="s">
        <v>34</v>
      </c>
      <c r="K2234" t="s">
        <v>48</v>
      </c>
      <c r="L2234" s="4">
        <f>VLOOKUP(tblTransactions[[#This Row],[Product_ID]],tblProducts[],5,FALSE)</f>
        <v>281.14999999999998</v>
      </c>
      <c r="M2234" s="4">
        <f>tblTransactions[[#This Row],[Total_Amount]]-(tblTransactions[[#This Row],[Cost_Prices]]*tblTransactions[[#This Row],[Quantity]]*(1-tblTransactions[[#This Row],[Discount]]))</f>
        <v>807.18999999999994</v>
      </c>
      <c r="N2234" s="3">
        <f>tblTransactions[[#This Row],[Profit]]/tblTransactions[[#This Row],[Total_Amount]]</f>
        <v>0.44367431966713017</v>
      </c>
      <c r="O2234" t="str">
        <f>TEXT(tblTransactions[[#This Row],[Date]], "MMM-YYYY")</f>
        <v>Apr-2024</v>
      </c>
      <c r="P2234" t="str">
        <f>"Q"&amp;ROUNDUP(MONTH(tblTransactions[[#This Row],[Date]])/3,0)&amp;"-"&amp;YEAR(tblTransactions[[#This Row],[Date]])</f>
        <v>Q2-2024</v>
      </c>
      <c r="Q2234">
        <f>YEAR(tblTransactions[[#This Row],[Date]])</f>
        <v>2024</v>
      </c>
      <c r="R2234" t="str">
        <f>TEXT(tblTransactions[[#This Row],[Date]],"DDDD")</f>
        <v>Saturday</v>
      </c>
      <c r="S2234">
        <f>MONTH(tblTransactions[[#This Row],[Date]])</f>
        <v>4</v>
      </c>
      <c r="T2234" t="str">
        <f>VLOOKUP(E2234, Products!$A:$B,2,0)</f>
        <v>Desks Fur-3</v>
      </c>
      <c r="U2234" t="str">
        <f>VLOOKUP(E2234,Products!$A:$C,3,0)</f>
        <v>Furniture</v>
      </c>
      <c r="V2234" t="str">
        <f>VLOOKUP(E2234,Products!$A:$D,4,0)</f>
        <v>Desks</v>
      </c>
      <c r="W2234" t="str">
        <f>VLOOKUP(D2234,Customers!$A:$C,3,0)</f>
        <v>Small Business</v>
      </c>
      <c r="X2234" t="str">
        <f>VLOOKUP(C2234,Sales_Representatives!$A:$B,2,0)</f>
        <v>Thomas Martinez</v>
      </c>
    </row>
    <row r="2235" spans="1:24" x14ac:dyDescent="0.3">
      <c r="A2235" t="s">
        <v>3149</v>
      </c>
      <c r="B2235" t="s">
        <v>3145</v>
      </c>
      <c r="C2235" t="s">
        <v>82</v>
      </c>
      <c r="D2235" t="s">
        <v>2446</v>
      </c>
      <c r="E2235" t="s">
        <v>96</v>
      </c>
      <c r="F2235">
        <v>8</v>
      </c>
      <c r="G2235">
        <v>751.9</v>
      </c>
      <c r="H2235">
        <v>0.14000000000000001</v>
      </c>
      <c r="I2235" s="4">
        <v>5173.07</v>
      </c>
      <c r="J2235" t="s">
        <v>34</v>
      </c>
      <c r="K2235" t="s">
        <v>48</v>
      </c>
      <c r="L2235" s="4">
        <f>VLOOKUP(tblTransactions[[#This Row],[Product_ID]],tblProducts[],5,FALSE)</f>
        <v>570.29</v>
      </c>
      <c r="M2235" s="4">
        <f>tblTransactions[[#This Row],[Total_Amount]]-(tblTransactions[[#This Row],[Cost_Prices]]*tblTransactions[[#This Row],[Quantity]]*(1-tblTransactions[[#This Row],[Discount]]))</f>
        <v>1249.4748</v>
      </c>
      <c r="N2235" s="3">
        <f>tblTransactions[[#This Row],[Profit]]/tblTransactions[[#This Row],[Total_Amount]]</f>
        <v>0.24153448532496177</v>
      </c>
      <c r="O2235" t="str">
        <f>TEXT(tblTransactions[[#This Row],[Date]], "MMM-YYYY")</f>
        <v>Apr-2024</v>
      </c>
      <c r="P2235" t="str">
        <f>"Q"&amp;ROUNDUP(MONTH(tblTransactions[[#This Row],[Date]])/3,0)&amp;"-"&amp;YEAR(tblTransactions[[#This Row],[Date]])</f>
        <v>Q2-2024</v>
      </c>
      <c r="Q2235">
        <f>YEAR(tblTransactions[[#This Row],[Date]])</f>
        <v>2024</v>
      </c>
      <c r="R2235" t="str">
        <f>TEXT(tblTransactions[[#This Row],[Date]],"DDDD")</f>
        <v>Saturday</v>
      </c>
      <c r="S2235">
        <f>MONTH(tblTransactions[[#This Row],[Date]])</f>
        <v>4</v>
      </c>
      <c r="T2235" t="str">
        <f>VLOOKUP(E2235, Products!$A:$B,2,0)</f>
        <v>Routers Tec-1</v>
      </c>
      <c r="U2235" t="str">
        <f>VLOOKUP(E2235,Products!$A:$C,3,0)</f>
        <v>Technology</v>
      </c>
      <c r="V2235" t="str">
        <f>VLOOKUP(E2235,Products!$A:$D,4,0)</f>
        <v>Routers</v>
      </c>
      <c r="W2235" t="str">
        <f>VLOOKUP(D2235,Customers!$A:$C,3,0)</f>
        <v>B2B</v>
      </c>
      <c r="X2235" t="str">
        <f>VLOOKUP(C2235,Sales_Representatives!$A:$B,2,0)</f>
        <v>John Brown</v>
      </c>
    </row>
    <row r="2236" spans="1:24" x14ac:dyDescent="0.3">
      <c r="A2236" t="s">
        <v>3150</v>
      </c>
      <c r="B2236" t="s">
        <v>3145</v>
      </c>
      <c r="C2236" t="s">
        <v>63</v>
      </c>
      <c r="D2236" t="s">
        <v>2056</v>
      </c>
      <c r="E2236" t="s">
        <v>137</v>
      </c>
      <c r="F2236">
        <v>6</v>
      </c>
      <c r="G2236">
        <v>241.39</v>
      </c>
      <c r="H2236">
        <v>0.1</v>
      </c>
      <c r="I2236" s="4">
        <v>1303.51</v>
      </c>
      <c r="J2236" t="s">
        <v>21</v>
      </c>
      <c r="K2236" t="s">
        <v>17</v>
      </c>
      <c r="L2236" s="4">
        <f>VLOOKUP(tblTransactions[[#This Row],[Product_ID]],tblProducts[],5,FALSE)</f>
        <v>124.07</v>
      </c>
      <c r="M2236" s="4">
        <f>tblTransactions[[#This Row],[Total_Amount]]-(tblTransactions[[#This Row],[Cost_Prices]]*tblTransactions[[#This Row],[Quantity]]*(1-tblTransactions[[#This Row],[Discount]]))</f>
        <v>633.53200000000004</v>
      </c>
      <c r="N2236" s="3">
        <f>tblTransactions[[#This Row],[Profit]]/tblTransactions[[#This Row],[Total_Amount]]</f>
        <v>0.48602005354772887</v>
      </c>
      <c r="O2236" t="str">
        <f>TEXT(tblTransactions[[#This Row],[Date]], "MMM-YYYY")</f>
        <v>Apr-2024</v>
      </c>
      <c r="P2236" t="str">
        <f>"Q"&amp;ROUNDUP(MONTH(tblTransactions[[#This Row],[Date]])/3,0)&amp;"-"&amp;YEAR(tblTransactions[[#This Row],[Date]])</f>
        <v>Q2-2024</v>
      </c>
      <c r="Q2236">
        <f>YEAR(tblTransactions[[#This Row],[Date]])</f>
        <v>2024</v>
      </c>
      <c r="R2236" t="str">
        <f>TEXT(tblTransactions[[#This Row],[Date]],"DDDD")</f>
        <v>Saturday</v>
      </c>
      <c r="S2236">
        <f>MONTH(tblTransactions[[#This Row],[Date]])</f>
        <v>4</v>
      </c>
      <c r="T2236" t="str">
        <f>VLOOKUP(E2236, Products!$A:$B,2,0)</f>
        <v>Desks Fur-2</v>
      </c>
      <c r="U2236" t="str">
        <f>VLOOKUP(E2236,Products!$A:$C,3,0)</f>
        <v>Furniture</v>
      </c>
      <c r="V2236" t="str">
        <f>VLOOKUP(E2236,Products!$A:$D,4,0)</f>
        <v>Desks</v>
      </c>
      <c r="W2236" t="str">
        <f>VLOOKUP(D2236,Customers!$A:$C,3,0)</f>
        <v>Small Business</v>
      </c>
      <c r="X2236" t="str">
        <f>VLOOKUP(C2236,Sales_Representatives!$A:$B,2,0)</f>
        <v>Richard Wilson</v>
      </c>
    </row>
    <row r="2237" spans="1:24" x14ac:dyDescent="0.3">
      <c r="A2237" t="s">
        <v>3151</v>
      </c>
      <c r="B2237" t="s">
        <v>3145</v>
      </c>
      <c r="C2237" t="s">
        <v>75</v>
      </c>
      <c r="D2237" t="s">
        <v>3016</v>
      </c>
      <c r="E2237" t="s">
        <v>157</v>
      </c>
      <c r="F2237">
        <v>4</v>
      </c>
      <c r="G2237">
        <v>1227.68</v>
      </c>
      <c r="H2237">
        <v>0.03</v>
      </c>
      <c r="I2237" s="4">
        <v>4763.3999999999996</v>
      </c>
      <c r="J2237" t="s">
        <v>44</v>
      </c>
      <c r="K2237" t="s">
        <v>17</v>
      </c>
      <c r="L2237" s="4">
        <f>VLOOKUP(tblTransactions[[#This Row],[Product_ID]],tblProducts[],5,FALSE)</f>
        <v>846.42</v>
      </c>
      <c r="M2237" s="4">
        <f>tblTransactions[[#This Row],[Total_Amount]]-(tblTransactions[[#This Row],[Cost_Prices]]*tblTransactions[[#This Row],[Quantity]]*(1-tblTransactions[[#This Row],[Discount]]))</f>
        <v>1479.2903999999999</v>
      </c>
      <c r="N2237" s="3">
        <f>tblTransactions[[#This Row],[Profit]]/tblTransactions[[#This Row],[Total_Amount]]</f>
        <v>0.31055347021035395</v>
      </c>
      <c r="O2237" t="str">
        <f>TEXT(tblTransactions[[#This Row],[Date]], "MMM-YYYY")</f>
        <v>Apr-2024</v>
      </c>
      <c r="P2237" t="str">
        <f>"Q"&amp;ROUNDUP(MONTH(tblTransactions[[#This Row],[Date]])/3,0)&amp;"-"&amp;YEAR(tblTransactions[[#This Row],[Date]])</f>
        <v>Q2-2024</v>
      </c>
      <c r="Q2237">
        <f>YEAR(tblTransactions[[#This Row],[Date]])</f>
        <v>2024</v>
      </c>
      <c r="R2237" t="str">
        <f>TEXT(tblTransactions[[#This Row],[Date]],"DDDD")</f>
        <v>Saturday</v>
      </c>
      <c r="S2237">
        <f>MONTH(tblTransactions[[#This Row],[Date]])</f>
        <v>4</v>
      </c>
      <c r="T2237" t="str">
        <f>VLOOKUP(E2237, Products!$A:$B,2,0)</f>
        <v>Printers Tec-4</v>
      </c>
      <c r="U2237" t="str">
        <f>VLOOKUP(E2237,Products!$A:$C,3,0)</f>
        <v>Technology</v>
      </c>
      <c r="V2237" t="str">
        <f>VLOOKUP(E2237,Products!$A:$D,4,0)</f>
        <v>Printers</v>
      </c>
      <c r="W2237" t="str">
        <f>VLOOKUP(D2237,Customers!$A:$C,3,0)</f>
        <v>B2C</v>
      </c>
      <c r="X2237" t="str">
        <f>VLOOKUP(C2237,Sales_Representatives!$A:$B,2,0)</f>
        <v>Jessica Anderson</v>
      </c>
    </row>
    <row r="2238" spans="1:24" x14ac:dyDescent="0.3">
      <c r="A2238" t="s">
        <v>3152</v>
      </c>
      <c r="B2238" t="s">
        <v>3145</v>
      </c>
      <c r="C2238" t="s">
        <v>56</v>
      </c>
      <c r="D2238" t="s">
        <v>2756</v>
      </c>
      <c r="E2238" t="s">
        <v>243</v>
      </c>
      <c r="F2238">
        <v>7</v>
      </c>
      <c r="G2238">
        <v>384.18</v>
      </c>
      <c r="H2238">
        <v>0.14000000000000001</v>
      </c>
      <c r="I2238" s="4">
        <v>2312.7600000000002</v>
      </c>
      <c r="J2238" t="s">
        <v>34</v>
      </c>
      <c r="K2238" t="s">
        <v>48</v>
      </c>
      <c r="L2238" s="4">
        <f>VLOOKUP(tblTransactions[[#This Row],[Product_ID]],tblProducts[],5,FALSE)</f>
        <v>266.92</v>
      </c>
      <c r="M2238" s="4">
        <f>tblTransactions[[#This Row],[Total_Amount]]-(tblTransactions[[#This Row],[Cost_Prices]]*tblTransactions[[#This Row],[Quantity]]*(1-tblTransactions[[#This Row],[Discount]]))</f>
        <v>705.90160000000014</v>
      </c>
      <c r="N2238" s="3">
        <f>tblTransactions[[#This Row],[Profit]]/tblTransactions[[#This Row],[Total_Amount]]</f>
        <v>0.30522042927065501</v>
      </c>
      <c r="O2238" t="str">
        <f>TEXT(tblTransactions[[#This Row],[Date]], "MMM-YYYY")</f>
        <v>Apr-2024</v>
      </c>
      <c r="P2238" t="str">
        <f>"Q"&amp;ROUNDUP(MONTH(tblTransactions[[#This Row],[Date]])/3,0)&amp;"-"&amp;YEAR(tblTransactions[[#This Row],[Date]])</f>
        <v>Q2-2024</v>
      </c>
      <c r="Q2238">
        <f>YEAR(tblTransactions[[#This Row],[Date]])</f>
        <v>2024</v>
      </c>
      <c r="R2238" t="str">
        <f>TEXT(tblTransactions[[#This Row],[Date]],"DDDD")</f>
        <v>Saturday</v>
      </c>
      <c r="S2238">
        <f>MONTH(tblTransactions[[#This Row],[Date]])</f>
        <v>4</v>
      </c>
      <c r="T2238" t="str">
        <f>VLOOKUP(E2238, Products!$A:$B,2,0)</f>
        <v>Routers Tec-3</v>
      </c>
      <c r="U2238" t="str">
        <f>VLOOKUP(E2238,Products!$A:$C,3,0)</f>
        <v>Technology</v>
      </c>
      <c r="V2238" t="str">
        <f>VLOOKUP(E2238,Products!$A:$D,4,0)</f>
        <v>Routers</v>
      </c>
      <c r="W2238" t="str">
        <f>VLOOKUP(D2238,Customers!$A:$C,3,0)</f>
        <v>B2C</v>
      </c>
      <c r="X2238" t="str">
        <f>VLOOKUP(C2238,Sales_Representatives!$A:$B,2,0)</f>
        <v>Thomas Hernandez</v>
      </c>
    </row>
    <row r="2239" spans="1:24" x14ac:dyDescent="0.3">
      <c r="A2239" t="s">
        <v>3153</v>
      </c>
      <c r="B2239" t="s">
        <v>3154</v>
      </c>
      <c r="C2239" t="s">
        <v>70</v>
      </c>
      <c r="D2239" t="s">
        <v>2232</v>
      </c>
      <c r="E2239" t="s">
        <v>125</v>
      </c>
      <c r="F2239">
        <v>6</v>
      </c>
      <c r="G2239">
        <v>1201.4000000000001</v>
      </c>
      <c r="H2239">
        <v>0.1</v>
      </c>
      <c r="I2239" s="4">
        <v>6487.56</v>
      </c>
      <c r="J2239" t="s">
        <v>16</v>
      </c>
      <c r="K2239" t="s">
        <v>35</v>
      </c>
      <c r="L2239" s="4">
        <f>VLOOKUP(tblTransactions[[#This Row],[Product_ID]],tblProducts[],5,FALSE)</f>
        <v>672.72</v>
      </c>
      <c r="M2239" s="4">
        <f>tblTransactions[[#This Row],[Total_Amount]]-(tblTransactions[[#This Row],[Cost_Prices]]*tblTransactions[[#This Row],[Quantity]]*(1-tblTransactions[[#This Row],[Discount]]))</f>
        <v>2854.8720000000003</v>
      </c>
      <c r="N2239" s="3">
        <f>tblTransactions[[#This Row],[Profit]]/tblTransactions[[#This Row],[Total_Amount]]</f>
        <v>0.44005327118361914</v>
      </c>
      <c r="O2239" t="str">
        <f>TEXT(tblTransactions[[#This Row],[Date]], "MMM-YYYY")</f>
        <v>Apr-2024</v>
      </c>
      <c r="P2239" t="str">
        <f>"Q"&amp;ROUNDUP(MONTH(tblTransactions[[#This Row],[Date]])/3,0)&amp;"-"&amp;YEAR(tblTransactions[[#This Row],[Date]])</f>
        <v>Q2-2024</v>
      </c>
      <c r="Q2239">
        <f>YEAR(tblTransactions[[#This Row],[Date]])</f>
        <v>2024</v>
      </c>
      <c r="R2239" t="str">
        <f>TEXT(tblTransactions[[#This Row],[Date]],"DDDD")</f>
        <v>Sunday</v>
      </c>
      <c r="S2239">
        <f>MONTH(tblTransactions[[#This Row],[Date]])</f>
        <v>4</v>
      </c>
      <c r="T2239" t="str">
        <f>VLOOKUP(E2239, Products!$A:$B,2,0)</f>
        <v>Printers Tec-2</v>
      </c>
      <c r="U2239" t="str">
        <f>VLOOKUP(E2239,Products!$A:$C,3,0)</f>
        <v>Technology</v>
      </c>
      <c r="V2239" t="str">
        <f>VLOOKUP(E2239,Products!$A:$D,4,0)</f>
        <v>Printers</v>
      </c>
      <c r="W2239" t="str">
        <f>VLOOKUP(D2239,Customers!$A:$C,3,0)</f>
        <v>B2C</v>
      </c>
      <c r="X2239" t="str">
        <f>VLOOKUP(C2239,Sales_Representatives!$A:$B,2,0)</f>
        <v>Linda Smith</v>
      </c>
    </row>
    <row r="2240" spans="1:24" x14ac:dyDescent="0.3">
      <c r="A2240" t="s">
        <v>3155</v>
      </c>
      <c r="B2240" t="s">
        <v>3154</v>
      </c>
      <c r="C2240" t="s">
        <v>82</v>
      </c>
      <c r="D2240" t="s">
        <v>2129</v>
      </c>
      <c r="E2240" t="s">
        <v>508</v>
      </c>
      <c r="F2240">
        <v>3</v>
      </c>
      <c r="G2240">
        <v>237.69</v>
      </c>
      <c r="H2240">
        <v>0.08</v>
      </c>
      <c r="I2240" s="4">
        <v>656.02</v>
      </c>
      <c r="J2240" t="s">
        <v>34</v>
      </c>
      <c r="K2240" t="s">
        <v>22</v>
      </c>
      <c r="L2240" s="4">
        <f>VLOOKUP(tblTransactions[[#This Row],[Product_ID]],tblProducts[],5,FALSE)</f>
        <v>115.31</v>
      </c>
      <c r="M2240" s="4">
        <f>tblTransactions[[#This Row],[Total_Amount]]-(tblTransactions[[#This Row],[Cost_Prices]]*tblTransactions[[#This Row],[Quantity]]*(1-tblTransactions[[#This Row],[Discount]]))</f>
        <v>337.76439999999997</v>
      </c>
      <c r="N2240" s="3">
        <f>tblTransactions[[#This Row],[Profit]]/tblTransactions[[#This Row],[Total_Amount]]</f>
        <v>0.51486905887015633</v>
      </c>
      <c r="O2240" t="str">
        <f>TEXT(tblTransactions[[#This Row],[Date]], "MMM-YYYY")</f>
        <v>Apr-2024</v>
      </c>
      <c r="P2240" t="str">
        <f>"Q"&amp;ROUNDUP(MONTH(tblTransactions[[#This Row],[Date]])/3,0)&amp;"-"&amp;YEAR(tblTransactions[[#This Row],[Date]])</f>
        <v>Q2-2024</v>
      </c>
      <c r="Q2240">
        <f>YEAR(tblTransactions[[#This Row],[Date]])</f>
        <v>2024</v>
      </c>
      <c r="R2240" t="str">
        <f>TEXT(tblTransactions[[#This Row],[Date]],"DDDD")</f>
        <v>Sunday</v>
      </c>
      <c r="S2240">
        <f>MONTH(tblTransactions[[#This Row],[Date]])</f>
        <v>4</v>
      </c>
      <c r="T2240" t="str">
        <f>VLOOKUP(E2240, Products!$A:$B,2,0)</f>
        <v>Folders Off-3</v>
      </c>
      <c r="U2240" t="str">
        <f>VLOOKUP(E2240,Products!$A:$C,3,0)</f>
        <v>Office Supplies</v>
      </c>
      <c r="V2240" t="str">
        <f>VLOOKUP(E2240,Products!$A:$D,4,0)</f>
        <v>Folders</v>
      </c>
      <c r="W2240" t="str">
        <f>VLOOKUP(D2240,Customers!$A:$C,3,0)</f>
        <v>B2C</v>
      </c>
      <c r="X2240" t="str">
        <f>VLOOKUP(C2240,Sales_Representatives!$A:$B,2,0)</f>
        <v>John Brown</v>
      </c>
    </row>
    <row r="2241" spans="1:24" x14ac:dyDescent="0.3">
      <c r="A2241" t="s">
        <v>3156</v>
      </c>
      <c r="B2241" t="s">
        <v>3154</v>
      </c>
      <c r="C2241" t="s">
        <v>82</v>
      </c>
      <c r="D2241" t="s">
        <v>1602</v>
      </c>
      <c r="E2241" t="s">
        <v>33</v>
      </c>
      <c r="F2241">
        <v>1</v>
      </c>
      <c r="G2241">
        <v>322.7</v>
      </c>
      <c r="H2241">
        <v>0.02</v>
      </c>
      <c r="I2241" s="4">
        <v>316.25</v>
      </c>
      <c r="J2241" t="s">
        <v>34</v>
      </c>
      <c r="K2241" t="s">
        <v>17</v>
      </c>
      <c r="L2241" s="4">
        <f>VLOOKUP(tblTransactions[[#This Row],[Product_ID]],tblProducts[],5,FALSE)</f>
        <v>139.81</v>
      </c>
      <c r="M2241" s="4">
        <f>tblTransactions[[#This Row],[Total_Amount]]-(tblTransactions[[#This Row],[Cost_Prices]]*tblTransactions[[#This Row],[Quantity]]*(1-tblTransactions[[#This Row],[Discount]]))</f>
        <v>179.2362</v>
      </c>
      <c r="N2241" s="3">
        <f>tblTransactions[[#This Row],[Profit]]/tblTransactions[[#This Row],[Total_Amount]]</f>
        <v>0.56675478260869561</v>
      </c>
      <c r="O2241" t="str">
        <f>TEXT(tblTransactions[[#This Row],[Date]], "MMM-YYYY")</f>
        <v>Apr-2024</v>
      </c>
      <c r="P2241" t="str">
        <f>"Q"&amp;ROUNDUP(MONTH(tblTransactions[[#This Row],[Date]])/3,0)&amp;"-"&amp;YEAR(tblTransactions[[#This Row],[Date]])</f>
        <v>Q2-2024</v>
      </c>
      <c r="Q2241">
        <f>YEAR(tblTransactions[[#This Row],[Date]])</f>
        <v>2024</v>
      </c>
      <c r="R2241" t="str">
        <f>TEXT(tblTransactions[[#This Row],[Date]],"DDDD")</f>
        <v>Sunday</v>
      </c>
      <c r="S2241">
        <f>MONTH(tblTransactions[[#This Row],[Date]])</f>
        <v>4</v>
      </c>
      <c r="T2241" t="str">
        <f>VLOOKUP(E2241, Products!$A:$B,2,0)</f>
        <v>Adapters Acc-1</v>
      </c>
      <c r="U2241" t="str">
        <f>VLOOKUP(E2241,Products!$A:$C,3,0)</f>
        <v>Accessories</v>
      </c>
      <c r="V2241" t="str">
        <f>VLOOKUP(E2241,Products!$A:$D,4,0)</f>
        <v>Adapters</v>
      </c>
      <c r="W2241" t="str">
        <f>VLOOKUP(D2241,Customers!$A:$C,3,0)</f>
        <v>B2C</v>
      </c>
      <c r="X2241" t="str">
        <f>VLOOKUP(C2241,Sales_Representatives!$A:$B,2,0)</f>
        <v>John Brown</v>
      </c>
    </row>
    <row r="2242" spans="1:24" x14ac:dyDescent="0.3">
      <c r="A2242" t="s">
        <v>3157</v>
      </c>
      <c r="B2242" t="s">
        <v>3154</v>
      </c>
      <c r="C2242" t="s">
        <v>82</v>
      </c>
      <c r="D2242" t="s">
        <v>1888</v>
      </c>
      <c r="E2242" t="s">
        <v>324</v>
      </c>
      <c r="F2242">
        <v>6</v>
      </c>
      <c r="G2242">
        <v>245.76</v>
      </c>
      <c r="H2242">
        <v>0.05</v>
      </c>
      <c r="I2242" s="4">
        <v>1400.83</v>
      </c>
      <c r="J2242" t="s">
        <v>34</v>
      </c>
      <c r="K2242" t="s">
        <v>48</v>
      </c>
      <c r="L2242" s="4">
        <f>VLOOKUP(tblTransactions[[#This Row],[Product_ID]],tblProducts[],5,FALSE)</f>
        <v>161.94</v>
      </c>
      <c r="M2242" s="4">
        <f>tblTransactions[[#This Row],[Total_Amount]]-(tblTransactions[[#This Row],[Cost_Prices]]*tblTransactions[[#This Row],[Quantity]]*(1-tblTransactions[[#This Row],[Discount]]))</f>
        <v>477.77199999999993</v>
      </c>
      <c r="N2242" s="3">
        <f>tblTransactions[[#This Row],[Profit]]/tblTransactions[[#This Row],[Total_Amount]]</f>
        <v>0.34106351234625182</v>
      </c>
      <c r="O2242" t="str">
        <f>TEXT(tblTransactions[[#This Row],[Date]], "MMM-YYYY")</f>
        <v>Apr-2024</v>
      </c>
      <c r="P2242" t="str">
        <f>"Q"&amp;ROUNDUP(MONTH(tblTransactions[[#This Row],[Date]])/3,0)&amp;"-"&amp;YEAR(tblTransactions[[#This Row],[Date]])</f>
        <v>Q2-2024</v>
      </c>
      <c r="Q2242">
        <f>YEAR(tblTransactions[[#This Row],[Date]])</f>
        <v>2024</v>
      </c>
      <c r="R2242" t="str">
        <f>TEXT(tblTransactions[[#This Row],[Date]],"DDDD")</f>
        <v>Sunday</v>
      </c>
      <c r="S2242">
        <f>MONTH(tblTransactions[[#This Row],[Date]])</f>
        <v>4</v>
      </c>
      <c r="T2242" t="str">
        <f>VLOOKUP(E2242, Products!$A:$B,2,0)</f>
        <v>Storage Fur-1</v>
      </c>
      <c r="U2242" t="str">
        <f>VLOOKUP(E2242,Products!$A:$C,3,0)</f>
        <v>Furniture</v>
      </c>
      <c r="V2242" t="str">
        <f>VLOOKUP(E2242,Products!$A:$D,4,0)</f>
        <v>Storage</v>
      </c>
      <c r="W2242" t="str">
        <f>VLOOKUP(D2242,Customers!$A:$C,3,0)</f>
        <v>B2C</v>
      </c>
      <c r="X2242" t="str">
        <f>VLOOKUP(C2242,Sales_Representatives!$A:$B,2,0)</f>
        <v>John Brown</v>
      </c>
    </row>
    <row r="2243" spans="1:24" x14ac:dyDescent="0.3">
      <c r="A2243" t="s">
        <v>3158</v>
      </c>
      <c r="B2243" t="s">
        <v>3154</v>
      </c>
      <c r="C2243" t="s">
        <v>141</v>
      </c>
      <c r="D2243" t="s">
        <v>2627</v>
      </c>
      <c r="E2243" t="s">
        <v>248</v>
      </c>
      <c r="F2243">
        <v>2</v>
      </c>
      <c r="G2243">
        <v>82.29</v>
      </c>
      <c r="H2243">
        <v>0.01</v>
      </c>
      <c r="I2243" s="4">
        <v>162.93</v>
      </c>
      <c r="J2243" t="s">
        <v>109</v>
      </c>
      <c r="K2243" t="s">
        <v>39</v>
      </c>
      <c r="L2243" s="4">
        <f>VLOOKUP(tblTransactions[[#This Row],[Product_ID]],tblProducts[],5,FALSE)</f>
        <v>51.11</v>
      </c>
      <c r="M2243" s="4">
        <f>tblTransactions[[#This Row],[Total_Amount]]-(tblTransactions[[#This Row],[Cost_Prices]]*tblTransactions[[#This Row],[Quantity]]*(1-tblTransactions[[#This Row],[Discount]]))</f>
        <v>61.732200000000006</v>
      </c>
      <c r="N2243" s="3">
        <f>tblTransactions[[#This Row],[Profit]]/tblTransactions[[#This Row],[Total_Amount]]</f>
        <v>0.37888786595470447</v>
      </c>
      <c r="O2243" t="str">
        <f>TEXT(tblTransactions[[#This Row],[Date]], "MMM-YYYY")</f>
        <v>Apr-2024</v>
      </c>
      <c r="P2243" t="str">
        <f>"Q"&amp;ROUNDUP(MONTH(tblTransactions[[#This Row],[Date]])/3,0)&amp;"-"&amp;YEAR(tblTransactions[[#This Row],[Date]])</f>
        <v>Q2-2024</v>
      </c>
      <c r="Q2243">
        <f>YEAR(tblTransactions[[#This Row],[Date]])</f>
        <v>2024</v>
      </c>
      <c r="R2243" t="str">
        <f>TEXT(tblTransactions[[#This Row],[Date]],"DDDD")</f>
        <v>Sunday</v>
      </c>
      <c r="S2243">
        <f>MONTH(tblTransactions[[#This Row],[Date]])</f>
        <v>4</v>
      </c>
      <c r="T2243" t="str">
        <f>VLOOKUP(E2243, Products!$A:$B,2,0)</f>
        <v>Keyboards Acc-2</v>
      </c>
      <c r="U2243" t="str">
        <f>VLOOKUP(E2243,Products!$A:$C,3,0)</f>
        <v>Accessories</v>
      </c>
      <c r="V2243" t="str">
        <f>VLOOKUP(E2243,Products!$A:$D,4,0)</f>
        <v>Keyboards</v>
      </c>
      <c r="W2243" t="str">
        <f>VLOOKUP(D2243,Customers!$A:$C,3,0)</f>
        <v>B2C</v>
      </c>
      <c r="X2243" t="str">
        <f>VLOOKUP(C2243,Sales_Representatives!$A:$B,2,0)</f>
        <v>Richard Garcia</v>
      </c>
    </row>
    <row r="2244" spans="1:24" x14ac:dyDescent="0.3">
      <c r="A2244" t="s">
        <v>3159</v>
      </c>
      <c r="B2244" t="s">
        <v>3154</v>
      </c>
      <c r="C2244" t="s">
        <v>82</v>
      </c>
      <c r="D2244" t="s">
        <v>327</v>
      </c>
      <c r="E2244" t="s">
        <v>204</v>
      </c>
      <c r="F2244">
        <v>4</v>
      </c>
      <c r="G2244">
        <v>715.62</v>
      </c>
      <c r="H2244">
        <v>0.08</v>
      </c>
      <c r="I2244" s="4">
        <v>2633.48</v>
      </c>
      <c r="J2244" t="s">
        <v>34</v>
      </c>
      <c r="K2244" t="s">
        <v>48</v>
      </c>
      <c r="L2244" s="4">
        <f>VLOOKUP(tblTransactions[[#This Row],[Product_ID]],tblProducts[],5,FALSE)</f>
        <v>459.58</v>
      </c>
      <c r="M2244" s="4">
        <f>tblTransactions[[#This Row],[Total_Amount]]-(tblTransactions[[#This Row],[Cost_Prices]]*tblTransactions[[#This Row],[Quantity]]*(1-tblTransactions[[#This Row],[Discount]]))</f>
        <v>942.22559999999999</v>
      </c>
      <c r="N2244" s="3">
        <f>tblTransactions[[#This Row],[Profit]]/tblTransactions[[#This Row],[Total_Amount]]</f>
        <v>0.35778726248158332</v>
      </c>
      <c r="O2244" t="str">
        <f>TEXT(tblTransactions[[#This Row],[Date]], "MMM-YYYY")</f>
        <v>Apr-2024</v>
      </c>
      <c r="P2244" t="str">
        <f>"Q"&amp;ROUNDUP(MONTH(tblTransactions[[#This Row],[Date]])/3,0)&amp;"-"&amp;YEAR(tblTransactions[[#This Row],[Date]])</f>
        <v>Q2-2024</v>
      </c>
      <c r="Q2244">
        <f>YEAR(tblTransactions[[#This Row],[Date]])</f>
        <v>2024</v>
      </c>
      <c r="R2244" t="str">
        <f>TEXT(tblTransactions[[#This Row],[Date]],"DDDD")</f>
        <v>Sunday</v>
      </c>
      <c r="S2244">
        <f>MONTH(tblTransactions[[#This Row],[Date]])</f>
        <v>4</v>
      </c>
      <c r="T2244" t="str">
        <f>VLOOKUP(E2244, Products!$A:$B,2,0)</f>
        <v>Cameras Ele-2</v>
      </c>
      <c r="U2244" t="str">
        <f>VLOOKUP(E2244,Products!$A:$C,3,0)</f>
        <v>Electronics</v>
      </c>
      <c r="V2244" t="str">
        <f>VLOOKUP(E2244,Products!$A:$D,4,0)</f>
        <v>Cameras</v>
      </c>
      <c r="W2244" t="str">
        <f>VLOOKUP(D2244,Customers!$A:$C,3,0)</f>
        <v>B2C</v>
      </c>
      <c r="X2244" t="str">
        <f>VLOOKUP(C2244,Sales_Representatives!$A:$B,2,0)</f>
        <v>John Brown</v>
      </c>
    </row>
    <row r="2245" spans="1:24" x14ac:dyDescent="0.3">
      <c r="A2245" t="s">
        <v>3160</v>
      </c>
      <c r="B2245" t="s">
        <v>3154</v>
      </c>
      <c r="C2245" t="s">
        <v>131</v>
      </c>
      <c r="D2245" t="s">
        <v>2206</v>
      </c>
      <c r="E2245" t="s">
        <v>91</v>
      </c>
      <c r="F2245">
        <v>2</v>
      </c>
      <c r="G2245">
        <v>286.62</v>
      </c>
      <c r="H2245">
        <v>0.04</v>
      </c>
      <c r="I2245" s="4">
        <v>550.30999999999995</v>
      </c>
      <c r="J2245" t="s">
        <v>44</v>
      </c>
      <c r="K2245" t="s">
        <v>22</v>
      </c>
      <c r="L2245" s="4">
        <f>VLOOKUP(tblTransactions[[#This Row],[Product_ID]],tblProducts[],5,FALSE)</f>
        <v>145.54</v>
      </c>
      <c r="M2245" s="4">
        <f>tblTransactions[[#This Row],[Total_Amount]]-(tblTransactions[[#This Row],[Cost_Prices]]*tblTransactions[[#This Row],[Quantity]]*(1-tblTransactions[[#This Row],[Discount]]))</f>
        <v>270.8732</v>
      </c>
      <c r="N2245" s="3">
        <f>tblTransactions[[#This Row],[Profit]]/tblTransactions[[#This Row],[Total_Amount]]</f>
        <v>0.49221929457941893</v>
      </c>
      <c r="O2245" t="str">
        <f>TEXT(tblTransactions[[#This Row],[Date]], "MMM-YYYY")</f>
        <v>Apr-2024</v>
      </c>
      <c r="P2245" t="str">
        <f>"Q"&amp;ROUNDUP(MONTH(tblTransactions[[#This Row],[Date]])/3,0)&amp;"-"&amp;YEAR(tblTransactions[[#This Row],[Date]])</f>
        <v>Q2-2024</v>
      </c>
      <c r="Q2245">
        <f>YEAR(tblTransactions[[#This Row],[Date]])</f>
        <v>2024</v>
      </c>
      <c r="R2245" t="str">
        <f>TEXT(tblTransactions[[#This Row],[Date]],"DDDD")</f>
        <v>Sunday</v>
      </c>
      <c r="S2245">
        <f>MONTH(tblTransactions[[#This Row],[Date]])</f>
        <v>4</v>
      </c>
      <c r="T2245" t="str">
        <f>VLOOKUP(E2245, Products!$A:$B,2,0)</f>
        <v>Chairs Fur-1</v>
      </c>
      <c r="U2245" t="str">
        <f>VLOOKUP(E2245,Products!$A:$C,3,0)</f>
        <v>Furniture</v>
      </c>
      <c r="V2245" t="str">
        <f>VLOOKUP(E2245,Products!$A:$D,4,0)</f>
        <v>Chairs</v>
      </c>
      <c r="W2245" t="str">
        <f>VLOOKUP(D2245,Customers!$A:$C,3,0)</f>
        <v>B2C</v>
      </c>
      <c r="X2245" t="str">
        <f>VLOOKUP(C2245,Sales_Representatives!$A:$B,2,0)</f>
        <v>Michael Davis</v>
      </c>
    </row>
    <row r="2246" spans="1:24" x14ac:dyDescent="0.3">
      <c r="A2246" t="s">
        <v>3161</v>
      </c>
      <c r="B2246" t="s">
        <v>3154</v>
      </c>
      <c r="C2246" t="s">
        <v>70</v>
      </c>
      <c r="D2246" t="s">
        <v>139</v>
      </c>
      <c r="E2246" t="s">
        <v>299</v>
      </c>
      <c r="F2246">
        <v>3</v>
      </c>
      <c r="G2246">
        <v>963.44</v>
      </c>
      <c r="H2246">
        <v>7.0000000000000007E-2</v>
      </c>
      <c r="I2246" s="4">
        <v>2688</v>
      </c>
      <c r="J2246" t="s">
        <v>16</v>
      </c>
      <c r="K2246" t="s">
        <v>48</v>
      </c>
      <c r="L2246" s="4">
        <f>VLOOKUP(tblTransactions[[#This Row],[Product_ID]],tblProducts[],5,FALSE)</f>
        <v>578.96</v>
      </c>
      <c r="M2246" s="4">
        <f>tblTransactions[[#This Row],[Total_Amount]]-(tblTransactions[[#This Row],[Cost_Prices]]*tblTransactions[[#This Row],[Quantity]]*(1-tblTransactions[[#This Row],[Discount]]))</f>
        <v>1072.7016000000001</v>
      </c>
      <c r="N2246" s="3">
        <f>tblTransactions[[#This Row],[Profit]]/tblTransactions[[#This Row],[Total_Amount]]</f>
        <v>0.39907053571428575</v>
      </c>
      <c r="O2246" t="str">
        <f>TEXT(tblTransactions[[#This Row],[Date]], "MMM-YYYY")</f>
        <v>Apr-2024</v>
      </c>
      <c r="P2246" t="str">
        <f>"Q"&amp;ROUNDUP(MONTH(tblTransactions[[#This Row],[Date]])/3,0)&amp;"-"&amp;YEAR(tblTransactions[[#This Row],[Date]])</f>
        <v>Q2-2024</v>
      </c>
      <c r="Q2246">
        <f>YEAR(tblTransactions[[#This Row],[Date]])</f>
        <v>2024</v>
      </c>
      <c r="R2246" t="str">
        <f>TEXT(tblTransactions[[#This Row],[Date]],"DDDD")</f>
        <v>Sunday</v>
      </c>
      <c r="S2246">
        <f>MONTH(tblTransactions[[#This Row],[Date]])</f>
        <v>4</v>
      </c>
      <c r="T2246" t="str">
        <f>VLOOKUP(E2246, Products!$A:$B,2,0)</f>
        <v>Chairs Fur-4</v>
      </c>
      <c r="U2246" t="str">
        <f>VLOOKUP(E2246,Products!$A:$C,3,0)</f>
        <v>Furniture</v>
      </c>
      <c r="V2246" t="str">
        <f>VLOOKUP(E2246,Products!$A:$D,4,0)</f>
        <v>Chairs</v>
      </c>
      <c r="W2246" t="str">
        <f>VLOOKUP(D2246,Customers!$A:$C,3,0)</f>
        <v>B2C</v>
      </c>
      <c r="X2246" t="str">
        <f>VLOOKUP(C2246,Sales_Representatives!$A:$B,2,0)</f>
        <v>Linda Smith</v>
      </c>
    </row>
    <row r="2247" spans="1:24" x14ac:dyDescent="0.3">
      <c r="A2247" t="s">
        <v>3162</v>
      </c>
      <c r="B2247" t="s">
        <v>3163</v>
      </c>
      <c r="C2247" t="s">
        <v>82</v>
      </c>
      <c r="D2247" t="s">
        <v>1494</v>
      </c>
      <c r="E2247" t="s">
        <v>105</v>
      </c>
      <c r="F2247">
        <v>5</v>
      </c>
      <c r="G2247">
        <v>1342.04</v>
      </c>
      <c r="H2247">
        <v>0.09</v>
      </c>
      <c r="I2247" s="4">
        <v>6106.28</v>
      </c>
      <c r="J2247" t="s">
        <v>34</v>
      </c>
      <c r="K2247" t="s">
        <v>48</v>
      </c>
      <c r="L2247" s="4">
        <f>VLOOKUP(tblTransactions[[#This Row],[Product_ID]],tblProducts[],5,FALSE)</f>
        <v>792.89</v>
      </c>
      <c r="M2247" s="4">
        <f>tblTransactions[[#This Row],[Total_Amount]]-(tblTransactions[[#This Row],[Cost_Prices]]*tblTransactions[[#This Row],[Quantity]]*(1-tblTransactions[[#This Row],[Discount]]))</f>
        <v>2498.6304999999998</v>
      </c>
      <c r="N2247" s="3">
        <f>tblTransactions[[#This Row],[Profit]]/tblTransactions[[#This Row],[Total_Amount]]</f>
        <v>0.40919029261678141</v>
      </c>
      <c r="O2247" t="str">
        <f>TEXT(tblTransactions[[#This Row],[Date]], "MMM-YYYY")</f>
        <v>Apr-2024</v>
      </c>
      <c r="P2247" t="str">
        <f>"Q"&amp;ROUNDUP(MONTH(tblTransactions[[#This Row],[Date]])/3,0)&amp;"-"&amp;YEAR(tblTransactions[[#This Row],[Date]])</f>
        <v>Q2-2024</v>
      </c>
      <c r="Q2247">
        <f>YEAR(tblTransactions[[#This Row],[Date]])</f>
        <v>2024</v>
      </c>
      <c r="R2247" t="str">
        <f>TEXT(tblTransactions[[#This Row],[Date]],"DDDD")</f>
        <v>Monday</v>
      </c>
      <c r="S2247">
        <f>MONTH(tblTransactions[[#This Row],[Date]])</f>
        <v>4</v>
      </c>
      <c r="T2247" t="str">
        <f>VLOOKUP(E2247, Products!$A:$B,2,0)</f>
        <v>Cameras Ele-1</v>
      </c>
      <c r="U2247" t="str">
        <f>VLOOKUP(E2247,Products!$A:$C,3,0)</f>
        <v>Electronics</v>
      </c>
      <c r="V2247" t="str">
        <f>VLOOKUP(E2247,Products!$A:$D,4,0)</f>
        <v>Cameras</v>
      </c>
      <c r="W2247" t="str">
        <f>VLOOKUP(D2247,Customers!$A:$C,3,0)</f>
        <v>Small Business</v>
      </c>
      <c r="X2247" t="str">
        <f>VLOOKUP(C2247,Sales_Representatives!$A:$B,2,0)</f>
        <v>John Brown</v>
      </c>
    </row>
    <row r="2248" spans="1:24" x14ac:dyDescent="0.3">
      <c r="A2248" t="s">
        <v>3164</v>
      </c>
      <c r="B2248" t="s">
        <v>3163</v>
      </c>
      <c r="C2248" t="s">
        <v>59</v>
      </c>
      <c r="D2248" t="s">
        <v>3165</v>
      </c>
      <c r="E2248" t="s">
        <v>20</v>
      </c>
      <c r="F2248">
        <v>4</v>
      </c>
      <c r="G2248">
        <v>1219.49</v>
      </c>
      <c r="H2248">
        <v>0.09</v>
      </c>
      <c r="I2248" s="4">
        <v>4438.9399999999996</v>
      </c>
      <c r="J2248" t="s">
        <v>21</v>
      </c>
      <c r="K2248" t="s">
        <v>17</v>
      </c>
      <c r="L2248" s="4">
        <f>VLOOKUP(tblTransactions[[#This Row],[Product_ID]],tblProducts[],5,FALSE)</f>
        <v>686.9</v>
      </c>
      <c r="M2248" s="4">
        <f>tblTransactions[[#This Row],[Total_Amount]]-(tblTransactions[[#This Row],[Cost_Prices]]*tblTransactions[[#This Row],[Quantity]]*(1-tblTransactions[[#This Row],[Discount]]))</f>
        <v>1938.6239999999998</v>
      </c>
      <c r="N2248" s="3">
        <f>tblTransactions[[#This Row],[Profit]]/tblTransactions[[#This Row],[Total_Amount]]</f>
        <v>0.43673129170477637</v>
      </c>
      <c r="O2248" t="str">
        <f>TEXT(tblTransactions[[#This Row],[Date]], "MMM-YYYY")</f>
        <v>Apr-2024</v>
      </c>
      <c r="P2248" t="str">
        <f>"Q"&amp;ROUNDUP(MONTH(tblTransactions[[#This Row],[Date]])/3,0)&amp;"-"&amp;YEAR(tblTransactions[[#This Row],[Date]])</f>
        <v>Q2-2024</v>
      </c>
      <c r="Q2248">
        <f>YEAR(tblTransactions[[#This Row],[Date]])</f>
        <v>2024</v>
      </c>
      <c r="R2248" t="str">
        <f>TEXT(tblTransactions[[#This Row],[Date]],"DDDD")</f>
        <v>Monday</v>
      </c>
      <c r="S2248">
        <f>MONTH(tblTransactions[[#This Row],[Date]])</f>
        <v>4</v>
      </c>
      <c r="T2248" t="str">
        <f>VLOOKUP(E2248, Products!$A:$B,2,0)</f>
        <v>Laptops Ele-1</v>
      </c>
      <c r="U2248" t="str">
        <f>VLOOKUP(E2248,Products!$A:$C,3,0)</f>
        <v>Electronics</v>
      </c>
      <c r="V2248" t="str">
        <f>VLOOKUP(E2248,Products!$A:$D,4,0)</f>
        <v>Laptops</v>
      </c>
      <c r="W2248" t="str">
        <f>VLOOKUP(D2248,Customers!$A:$C,3,0)</f>
        <v>B2C</v>
      </c>
      <c r="X2248" t="str">
        <f>VLOOKUP(C2248,Sales_Representatives!$A:$B,2,0)</f>
        <v>Sarah Brown</v>
      </c>
    </row>
    <row r="2249" spans="1:24" x14ac:dyDescent="0.3">
      <c r="A2249" t="s">
        <v>3166</v>
      </c>
      <c r="B2249" t="s">
        <v>3163</v>
      </c>
      <c r="C2249" t="s">
        <v>82</v>
      </c>
      <c r="D2249" t="s">
        <v>52</v>
      </c>
      <c r="E2249" t="s">
        <v>152</v>
      </c>
      <c r="F2249">
        <v>1</v>
      </c>
      <c r="G2249">
        <v>859.93</v>
      </c>
      <c r="H2249">
        <v>0.05</v>
      </c>
      <c r="I2249" s="4">
        <v>816.93</v>
      </c>
      <c r="J2249" t="s">
        <v>34</v>
      </c>
      <c r="K2249" t="s">
        <v>48</v>
      </c>
      <c r="L2249" s="4">
        <f>VLOOKUP(tblTransactions[[#This Row],[Product_ID]],tblProducts[],5,FALSE)</f>
        <v>579.79</v>
      </c>
      <c r="M2249" s="4">
        <f>tblTransactions[[#This Row],[Total_Amount]]-(tblTransactions[[#This Row],[Cost_Prices]]*tblTransactions[[#This Row],[Quantity]]*(1-tblTransactions[[#This Row],[Discount]]))</f>
        <v>266.12950000000001</v>
      </c>
      <c r="N2249" s="3">
        <f>tblTransactions[[#This Row],[Profit]]/tblTransactions[[#This Row],[Total_Amount]]</f>
        <v>0.32576781364376389</v>
      </c>
      <c r="O2249" t="str">
        <f>TEXT(tblTransactions[[#This Row],[Date]], "MMM-YYYY")</f>
        <v>Apr-2024</v>
      </c>
      <c r="P2249" t="str">
        <f>"Q"&amp;ROUNDUP(MONTH(tblTransactions[[#This Row],[Date]])/3,0)&amp;"-"&amp;YEAR(tblTransactions[[#This Row],[Date]])</f>
        <v>Q2-2024</v>
      </c>
      <c r="Q2249">
        <f>YEAR(tblTransactions[[#This Row],[Date]])</f>
        <v>2024</v>
      </c>
      <c r="R2249" t="str">
        <f>TEXT(tblTransactions[[#This Row],[Date]],"DDDD")</f>
        <v>Monday</v>
      </c>
      <c r="S2249">
        <f>MONTH(tblTransactions[[#This Row],[Date]])</f>
        <v>4</v>
      </c>
      <c r="T2249" t="str">
        <f>VLOOKUP(E2249, Products!$A:$B,2,0)</f>
        <v>Phones Ele-4</v>
      </c>
      <c r="U2249" t="str">
        <f>VLOOKUP(E2249,Products!$A:$C,3,0)</f>
        <v>Electronics</v>
      </c>
      <c r="V2249" t="str">
        <f>VLOOKUP(E2249,Products!$A:$D,4,0)</f>
        <v>Phones</v>
      </c>
      <c r="W2249" t="str">
        <f>VLOOKUP(D2249,Customers!$A:$C,3,0)</f>
        <v>B2C</v>
      </c>
      <c r="X2249" t="str">
        <f>VLOOKUP(C2249,Sales_Representatives!$A:$B,2,0)</f>
        <v>John Brown</v>
      </c>
    </row>
    <row r="2250" spans="1:24" x14ac:dyDescent="0.3">
      <c r="A2250" t="s">
        <v>3167</v>
      </c>
      <c r="B2250" t="s">
        <v>3168</v>
      </c>
      <c r="C2250" t="s">
        <v>13</v>
      </c>
      <c r="D2250" t="s">
        <v>1702</v>
      </c>
      <c r="E2250" t="s">
        <v>221</v>
      </c>
      <c r="F2250">
        <v>6</v>
      </c>
      <c r="G2250">
        <v>210.02</v>
      </c>
      <c r="H2250">
        <v>0.06</v>
      </c>
      <c r="I2250" s="4">
        <v>1184.51</v>
      </c>
      <c r="J2250" t="s">
        <v>16</v>
      </c>
      <c r="K2250" t="s">
        <v>22</v>
      </c>
      <c r="L2250" s="4">
        <f>VLOOKUP(tblTransactions[[#This Row],[Product_ID]],tblProducts[],5,FALSE)</f>
        <v>131.66</v>
      </c>
      <c r="M2250" s="4">
        <f>tblTransactions[[#This Row],[Total_Amount]]-(tblTransactions[[#This Row],[Cost_Prices]]*tblTransactions[[#This Row],[Quantity]]*(1-tblTransactions[[#This Row],[Discount]]))</f>
        <v>441.94759999999997</v>
      </c>
      <c r="N2250" s="3">
        <f>tblTransactions[[#This Row],[Profit]]/tblTransactions[[#This Row],[Total_Amount]]</f>
        <v>0.37310584123392793</v>
      </c>
      <c r="O2250" t="str">
        <f>TEXT(tblTransactions[[#This Row],[Date]], "MMM-YYYY")</f>
        <v>Apr-2024</v>
      </c>
      <c r="P2250" t="str">
        <f>"Q"&amp;ROUNDUP(MONTH(tblTransactions[[#This Row],[Date]])/3,0)&amp;"-"&amp;YEAR(tblTransactions[[#This Row],[Date]])</f>
        <v>Q2-2024</v>
      </c>
      <c r="Q2250">
        <f>YEAR(tblTransactions[[#This Row],[Date]])</f>
        <v>2024</v>
      </c>
      <c r="R2250" t="str">
        <f>TEXT(tblTransactions[[#This Row],[Date]],"DDDD")</f>
        <v>Tuesday</v>
      </c>
      <c r="S2250">
        <f>MONTH(tblTransactions[[#This Row],[Date]])</f>
        <v>4</v>
      </c>
      <c r="T2250" t="str">
        <f>VLOOKUP(E2250, Products!$A:$B,2,0)</f>
        <v>Storage Fur-2</v>
      </c>
      <c r="U2250" t="str">
        <f>VLOOKUP(E2250,Products!$A:$C,3,0)</f>
        <v>Furniture</v>
      </c>
      <c r="V2250" t="str">
        <f>VLOOKUP(E2250,Products!$A:$D,4,0)</f>
        <v>Storage</v>
      </c>
      <c r="W2250" t="str">
        <f>VLOOKUP(D2250,Customers!$A:$C,3,0)</f>
        <v>B2C</v>
      </c>
      <c r="X2250" t="str">
        <f>VLOOKUP(C2250,Sales_Representatives!$A:$B,2,0)</f>
        <v>Jennifer Rodriguez</v>
      </c>
    </row>
    <row r="2251" spans="1:24" x14ac:dyDescent="0.3">
      <c r="A2251" t="s">
        <v>3169</v>
      </c>
      <c r="B2251" t="s">
        <v>3170</v>
      </c>
      <c r="C2251" t="s">
        <v>41</v>
      </c>
      <c r="D2251" t="s">
        <v>3001</v>
      </c>
      <c r="E2251" t="s">
        <v>99</v>
      </c>
      <c r="F2251">
        <v>5</v>
      </c>
      <c r="G2251">
        <v>325.14</v>
      </c>
      <c r="H2251">
        <v>7.0000000000000007E-2</v>
      </c>
      <c r="I2251" s="4">
        <v>1511.9</v>
      </c>
      <c r="J2251" t="s">
        <v>44</v>
      </c>
      <c r="K2251" t="s">
        <v>39</v>
      </c>
      <c r="L2251" s="4">
        <f>VLOOKUP(tblTransactions[[#This Row],[Product_ID]],tblProducts[],5,FALSE)</f>
        <v>209.04</v>
      </c>
      <c r="M2251" s="4">
        <f>tblTransactions[[#This Row],[Total_Amount]]-(tblTransactions[[#This Row],[Cost_Prices]]*tblTransactions[[#This Row],[Quantity]]*(1-tblTransactions[[#This Row],[Discount]]))</f>
        <v>539.86400000000015</v>
      </c>
      <c r="N2251" s="3">
        <f>tblTransactions[[#This Row],[Profit]]/tblTransactions[[#This Row],[Total_Amount]]</f>
        <v>0.35707652622527952</v>
      </c>
      <c r="O2251" t="str">
        <f>TEXT(tblTransactions[[#This Row],[Date]], "MMM-YYYY")</f>
        <v>Apr-2024</v>
      </c>
      <c r="P2251" t="str">
        <f>"Q"&amp;ROUNDUP(MONTH(tblTransactions[[#This Row],[Date]])/3,0)&amp;"-"&amp;YEAR(tblTransactions[[#This Row],[Date]])</f>
        <v>Q2-2024</v>
      </c>
      <c r="Q2251">
        <f>YEAR(tblTransactions[[#This Row],[Date]])</f>
        <v>2024</v>
      </c>
      <c r="R2251" t="str">
        <f>TEXT(tblTransactions[[#This Row],[Date]],"DDDD")</f>
        <v>Wednesday</v>
      </c>
      <c r="S2251">
        <f>MONTH(tblTransactions[[#This Row],[Date]])</f>
        <v>4</v>
      </c>
      <c r="T2251" t="str">
        <f>VLOOKUP(E2251, Products!$A:$B,2,0)</f>
        <v>Monitors Tec-1</v>
      </c>
      <c r="U2251" t="str">
        <f>VLOOKUP(E2251,Products!$A:$C,3,0)</f>
        <v>Technology</v>
      </c>
      <c r="V2251" t="str">
        <f>VLOOKUP(E2251,Products!$A:$D,4,0)</f>
        <v>Monitors</v>
      </c>
      <c r="W2251" t="str">
        <f>VLOOKUP(D2251,Customers!$A:$C,3,0)</f>
        <v>B2B</v>
      </c>
      <c r="X2251" t="str">
        <f>VLOOKUP(C2251,Sales_Representatives!$A:$B,2,0)</f>
        <v>Robert Jones</v>
      </c>
    </row>
    <row r="2252" spans="1:24" x14ac:dyDescent="0.3">
      <c r="A2252" t="s">
        <v>3171</v>
      </c>
      <c r="B2252" t="s">
        <v>3170</v>
      </c>
      <c r="C2252" t="s">
        <v>19</v>
      </c>
      <c r="D2252" t="s">
        <v>1936</v>
      </c>
      <c r="E2252" t="s">
        <v>99</v>
      </c>
      <c r="F2252">
        <v>36</v>
      </c>
      <c r="G2252">
        <v>325.14</v>
      </c>
      <c r="H2252">
        <v>0.24</v>
      </c>
      <c r="I2252" s="4">
        <v>8895.83</v>
      </c>
      <c r="J2252" t="s">
        <v>21</v>
      </c>
      <c r="K2252" t="s">
        <v>22</v>
      </c>
      <c r="L2252" s="4">
        <f>VLOOKUP(tblTransactions[[#This Row],[Product_ID]],tblProducts[],5,FALSE)</f>
        <v>209.04</v>
      </c>
      <c r="M2252" s="4">
        <f>tblTransactions[[#This Row],[Total_Amount]]-(tblTransactions[[#This Row],[Cost_Prices]]*tblTransactions[[#This Row],[Quantity]]*(1-tblTransactions[[#This Row],[Discount]]))</f>
        <v>3176.4956000000002</v>
      </c>
      <c r="N2252" s="3">
        <f>tblTransactions[[#This Row],[Profit]]/tblTransactions[[#This Row],[Total_Amount]]</f>
        <v>0.35707692255809748</v>
      </c>
      <c r="O2252" t="str">
        <f>TEXT(tblTransactions[[#This Row],[Date]], "MMM-YYYY")</f>
        <v>Apr-2024</v>
      </c>
      <c r="P2252" t="str">
        <f>"Q"&amp;ROUNDUP(MONTH(tblTransactions[[#This Row],[Date]])/3,0)&amp;"-"&amp;YEAR(tblTransactions[[#This Row],[Date]])</f>
        <v>Q2-2024</v>
      </c>
      <c r="Q2252">
        <f>YEAR(tblTransactions[[#This Row],[Date]])</f>
        <v>2024</v>
      </c>
      <c r="R2252" t="str">
        <f>TEXT(tblTransactions[[#This Row],[Date]],"DDDD")</f>
        <v>Wednesday</v>
      </c>
      <c r="S2252">
        <f>MONTH(tblTransactions[[#This Row],[Date]])</f>
        <v>4</v>
      </c>
      <c r="T2252" t="str">
        <f>VLOOKUP(E2252, Products!$A:$B,2,0)</f>
        <v>Monitors Tec-1</v>
      </c>
      <c r="U2252" t="str">
        <f>VLOOKUP(E2252,Products!$A:$C,3,0)</f>
        <v>Technology</v>
      </c>
      <c r="V2252" t="str">
        <f>VLOOKUP(E2252,Products!$A:$D,4,0)</f>
        <v>Monitors</v>
      </c>
      <c r="W2252" t="str">
        <f>VLOOKUP(D2252,Customers!$A:$C,3,0)</f>
        <v>Enterprise</v>
      </c>
      <c r="X2252" t="str">
        <f>VLOOKUP(C2252,Sales_Representatives!$A:$B,2,0)</f>
        <v>Robert Jones</v>
      </c>
    </row>
    <row r="2253" spans="1:24" x14ac:dyDescent="0.3">
      <c r="A2253" t="s">
        <v>3172</v>
      </c>
      <c r="B2253" t="s">
        <v>3170</v>
      </c>
      <c r="C2253" t="s">
        <v>31</v>
      </c>
      <c r="D2253" t="s">
        <v>1441</v>
      </c>
      <c r="E2253" t="s">
        <v>394</v>
      </c>
      <c r="F2253">
        <v>7</v>
      </c>
      <c r="G2253">
        <v>314.69</v>
      </c>
      <c r="H2253">
        <v>0.05</v>
      </c>
      <c r="I2253" s="4">
        <v>2092.69</v>
      </c>
      <c r="J2253" t="s">
        <v>34</v>
      </c>
      <c r="K2253" t="s">
        <v>17</v>
      </c>
      <c r="L2253" s="4">
        <f>VLOOKUP(tblTransactions[[#This Row],[Product_ID]],tblProducts[],5,FALSE)</f>
        <v>185.43</v>
      </c>
      <c r="M2253" s="4">
        <f>tblTransactions[[#This Row],[Total_Amount]]-(tblTransactions[[#This Row],[Cost_Prices]]*tblTransactions[[#This Row],[Quantity]]*(1-tblTransactions[[#This Row],[Discount]]))</f>
        <v>859.58050000000003</v>
      </c>
      <c r="N2253" s="3">
        <f>tblTransactions[[#This Row],[Profit]]/tblTransactions[[#This Row],[Total_Amount]]</f>
        <v>0.41075386225384553</v>
      </c>
      <c r="O2253" t="str">
        <f>TEXT(tblTransactions[[#This Row],[Date]], "MMM-YYYY")</f>
        <v>Apr-2024</v>
      </c>
      <c r="P2253" t="str">
        <f>"Q"&amp;ROUNDUP(MONTH(tblTransactions[[#This Row],[Date]])/3,0)&amp;"-"&amp;YEAR(tblTransactions[[#This Row],[Date]])</f>
        <v>Q2-2024</v>
      </c>
      <c r="Q2253">
        <f>YEAR(tblTransactions[[#This Row],[Date]])</f>
        <v>2024</v>
      </c>
      <c r="R2253" t="str">
        <f>TEXT(tblTransactions[[#This Row],[Date]],"DDDD")</f>
        <v>Wednesday</v>
      </c>
      <c r="S2253">
        <f>MONTH(tblTransactions[[#This Row],[Date]])</f>
        <v>4</v>
      </c>
      <c r="T2253" t="str">
        <f>VLOOKUP(E2253, Products!$A:$B,2,0)</f>
        <v>Desks Fur-1</v>
      </c>
      <c r="U2253" t="str">
        <f>VLOOKUP(E2253,Products!$A:$C,3,0)</f>
        <v>Furniture</v>
      </c>
      <c r="V2253" t="str">
        <f>VLOOKUP(E2253,Products!$A:$D,4,0)</f>
        <v>Desks</v>
      </c>
      <c r="W2253" t="str">
        <f>VLOOKUP(D2253,Customers!$A:$C,3,0)</f>
        <v>Small Business</v>
      </c>
      <c r="X2253" t="str">
        <f>VLOOKUP(C2253,Sales_Representatives!$A:$B,2,0)</f>
        <v>Thomas Martinez</v>
      </c>
    </row>
    <row r="2254" spans="1:24" x14ac:dyDescent="0.3">
      <c r="A2254" t="s">
        <v>3173</v>
      </c>
      <c r="B2254" t="s">
        <v>3170</v>
      </c>
      <c r="C2254" t="s">
        <v>56</v>
      </c>
      <c r="D2254" t="s">
        <v>1756</v>
      </c>
      <c r="E2254" t="s">
        <v>145</v>
      </c>
      <c r="F2254">
        <v>1</v>
      </c>
      <c r="G2254">
        <v>93.43</v>
      </c>
      <c r="H2254">
        <v>0.09</v>
      </c>
      <c r="I2254" s="4">
        <v>85.02</v>
      </c>
      <c r="J2254" t="s">
        <v>34</v>
      </c>
      <c r="K2254" t="s">
        <v>39</v>
      </c>
      <c r="L2254" s="4">
        <f>VLOOKUP(tblTransactions[[#This Row],[Product_ID]],tblProducts[],5,FALSE)</f>
        <v>45.74</v>
      </c>
      <c r="M2254" s="4">
        <f>tblTransactions[[#This Row],[Total_Amount]]-(tblTransactions[[#This Row],[Cost_Prices]]*tblTransactions[[#This Row],[Quantity]]*(1-tblTransactions[[#This Row],[Discount]]))</f>
        <v>43.396599999999992</v>
      </c>
      <c r="N2254" s="3">
        <f>tblTransactions[[#This Row],[Profit]]/tblTransactions[[#This Row],[Total_Amount]]</f>
        <v>0.51042813455657488</v>
      </c>
      <c r="O2254" t="str">
        <f>TEXT(tblTransactions[[#This Row],[Date]], "MMM-YYYY")</f>
        <v>Apr-2024</v>
      </c>
      <c r="P2254" t="str">
        <f>"Q"&amp;ROUNDUP(MONTH(tblTransactions[[#This Row],[Date]])/3,0)&amp;"-"&amp;YEAR(tblTransactions[[#This Row],[Date]])</f>
        <v>Q2-2024</v>
      </c>
      <c r="Q2254">
        <f>YEAR(tblTransactions[[#This Row],[Date]])</f>
        <v>2024</v>
      </c>
      <c r="R2254" t="str">
        <f>TEXT(tblTransactions[[#This Row],[Date]],"DDDD")</f>
        <v>Wednesday</v>
      </c>
      <c r="S2254">
        <f>MONTH(tblTransactions[[#This Row],[Date]])</f>
        <v>4</v>
      </c>
      <c r="T2254" t="str">
        <f>VLOOKUP(E2254, Products!$A:$B,2,0)</f>
        <v>Paper Off-1</v>
      </c>
      <c r="U2254" t="str">
        <f>VLOOKUP(E2254,Products!$A:$C,3,0)</f>
        <v>Office Supplies</v>
      </c>
      <c r="V2254" t="str">
        <f>VLOOKUP(E2254,Products!$A:$D,4,0)</f>
        <v>Paper</v>
      </c>
      <c r="W2254" t="str">
        <f>VLOOKUP(D2254,Customers!$A:$C,3,0)</f>
        <v>B2C</v>
      </c>
      <c r="X2254" t="str">
        <f>VLOOKUP(C2254,Sales_Representatives!$A:$B,2,0)</f>
        <v>Thomas Hernandez</v>
      </c>
    </row>
    <row r="2255" spans="1:24" x14ac:dyDescent="0.3">
      <c r="A2255" t="s">
        <v>3174</v>
      </c>
      <c r="B2255" t="s">
        <v>3175</v>
      </c>
      <c r="C2255" t="s">
        <v>75</v>
      </c>
      <c r="D2255" t="s">
        <v>2485</v>
      </c>
      <c r="E2255" t="s">
        <v>20</v>
      </c>
      <c r="F2255">
        <v>4</v>
      </c>
      <c r="G2255">
        <v>1219.49</v>
      </c>
      <c r="H2255">
        <v>0</v>
      </c>
      <c r="I2255" s="4">
        <v>4877.96</v>
      </c>
      <c r="J2255" t="s">
        <v>44</v>
      </c>
      <c r="K2255" t="s">
        <v>17</v>
      </c>
      <c r="L2255" s="4">
        <f>VLOOKUP(tblTransactions[[#This Row],[Product_ID]],tblProducts[],5,FALSE)</f>
        <v>686.9</v>
      </c>
      <c r="M2255" s="4">
        <f>tblTransactions[[#This Row],[Total_Amount]]-(tblTransactions[[#This Row],[Cost_Prices]]*tblTransactions[[#This Row],[Quantity]]*(1-tblTransactions[[#This Row],[Discount]]))</f>
        <v>2130.36</v>
      </c>
      <c r="N2255" s="3">
        <f>tblTransactions[[#This Row],[Profit]]/tblTransactions[[#This Row],[Total_Amount]]</f>
        <v>0.43673174851782304</v>
      </c>
      <c r="O2255" t="str">
        <f>TEXT(tblTransactions[[#This Row],[Date]], "MMM-YYYY")</f>
        <v>Apr-2024</v>
      </c>
      <c r="P2255" t="str">
        <f>"Q"&amp;ROUNDUP(MONTH(tblTransactions[[#This Row],[Date]])/3,0)&amp;"-"&amp;YEAR(tblTransactions[[#This Row],[Date]])</f>
        <v>Q2-2024</v>
      </c>
      <c r="Q2255">
        <f>YEAR(tblTransactions[[#This Row],[Date]])</f>
        <v>2024</v>
      </c>
      <c r="R2255" t="str">
        <f>TEXT(tblTransactions[[#This Row],[Date]],"DDDD")</f>
        <v>Thursday</v>
      </c>
      <c r="S2255">
        <f>MONTH(tblTransactions[[#This Row],[Date]])</f>
        <v>4</v>
      </c>
      <c r="T2255" t="str">
        <f>VLOOKUP(E2255, Products!$A:$B,2,0)</f>
        <v>Laptops Ele-1</v>
      </c>
      <c r="U2255" t="str">
        <f>VLOOKUP(E2255,Products!$A:$C,3,0)</f>
        <v>Electronics</v>
      </c>
      <c r="V2255" t="str">
        <f>VLOOKUP(E2255,Products!$A:$D,4,0)</f>
        <v>Laptops</v>
      </c>
      <c r="W2255" t="str">
        <f>VLOOKUP(D2255,Customers!$A:$C,3,0)</f>
        <v>B2B</v>
      </c>
      <c r="X2255" t="str">
        <f>VLOOKUP(C2255,Sales_Representatives!$A:$B,2,0)</f>
        <v>Jessica Anderson</v>
      </c>
    </row>
    <row r="2256" spans="1:24" x14ac:dyDescent="0.3">
      <c r="A2256" t="s">
        <v>3176</v>
      </c>
      <c r="B2256" t="s">
        <v>3175</v>
      </c>
      <c r="C2256" t="s">
        <v>82</v>
      </c>
      <c r="D2256" t="s">
        <v>1762</v>
      </c>
      <c r="E2256" t="s">
        <v>38</v>
      </c>
      <c r="F2256">
        <v>29</v>
      </c>
      <c r="G2256">
        <v>581.47</v>
      </c>
      <c r="H2256">
        <v>0.22</v>
      </c>
      <c r="I2256" s="4">
        <v>13152.85</v>
      </c>
      <c r="J2256" t="s">
        <v>34</v>
      </c>
      <c r="K2256" t="s">
        <v>35</v>
      </c>
      <c r="L2256" s="4">
        <f>VLOOKUP(tblTransactions[[#This Row],[Product_ID]],tblProducts[],5,FALSE)</f>
        <v>372.07</v>
      </c>
      <c r="M2256" s="4">
        <f>tblTransactions[[#This Row],[Total_Amount]]-(tblTransactions[[#This Row],[Cost_Prices]]*tblTransactions[[#This Row],[Quantity]]*(1-tblTransactions[[#This Row],[Discount]]))</f>
        <v>4736.6265999999996</v>
      </c>
      <c r="N2256" s="3">
        <f>tblTransactions[[#This Row],[Profit]]/tblTransactions[[#This Row],[Total_Amount]]</f>
        <v>0.36012169225681123</v>
      </c>
      <c r="O2256" t="str">
        <f>TEXT(tblTransactions[[#This Row],[Date]], "MMM-YYYY")</f>
        <v>Apr-2024</v>
      </c>
      <c r="P2256" t="str">
        <f>"Q"&amp;ROUNDUP(MONTH(tblTransactions[[#This Row],[Date]])/3,0)&amp;"-"&amp;YEAR(tblTransactions[[#This Row],[Date]])</f>
        <v>Q2-2024</v>
      </c>
      <c r="Q2256">
        <f>YEAR(tblTransactions[[#This Row],[Date]])</f>
        <v>2024</v>
      </c>
      <c r="R2256" t="str">
        <f>TEXT(tblTransactions[[#This Row],[Date]],"DDDD")</f>
        <v>Thursday</v>
      </c>
      <c r="S2256">
        <f>MONTH(tblTransactions[[#This Row],[Date]])</f>
        <v>4</v>
      </c>
      <c r="T2256" t="str">
        <f>VLOOKUP(E2256, Products!$A:$B,2,0)</f>
        <v>Storage Fur-3</v>
      </c>
      <c r="U2256" t="str">
        <f>VLOOKUP(E2256,Products!$A:$C,3,0)</f>
        <v>Furniture</v>
      </c>
      <c r="V2256" t="str">
        <f>VLOOKUP(E2256,Products!$A:$D,4,0)</f>
        <v>Storage</v>
      </c>
      <c r="W2256" t="str">
        <f>VLOOKUP(D2256,Customers!$A:$C,3,0)</f>
        <v>Enterprise</v>
      </c>
      <c r="X2256" t="str">
        <f>VLOOKUP(C2256,Sales_Representatives!$A:$B,2,0)</f>
        <v>John Brown</v>
      </c>
    </row>
    <row r="2257" spans="1:24" x14ac:dyDescent="0.3">
      <c r="A2257" t="s">
        <v>3177</v>
      </c>
      <c r="B2257" t="s">
        <v>3175</v>
      </c>
      <c r="C2257" t="s">
        <v>107</v>
      </c>
      <c r="D2257" t="s">
        <v>1945</v>
      </c>
      <c r="E2257" t="s">
        <v>105</v>
      </c>
      <c r="F2257">
        <v>2</v>
      </c>
      <c r="G2257">
        <v>1342.04</v>
      </c>
      <c r="H2257">
        <v>0.04</v>
      </c>
      <c r="I2257" s="4">
        <v>2576.7199999999998</v>
      </c>
      <c r="J2257" t="s">
        <v>109</v>
      </c>
      <c r="K2257" t="s">
        <v>35</v>
      </c>
      <c r="L2257" s="4">
        <f>VLOOKUP(tblTransactions[[#This Row],[Product_ID]],tblProducts[],5,FALSE)</f>
        <v>792.89</v>
      </c>
      <c r="M2257" s="4">
        <f>tblTransactions[[#This Row],[Total_Amount]]-(tblTransactions[[#This Row],[Cost_Prices]]*tblTransactions[[#This Row],[Quantity]]*(1-tblTransactions[[#This Row],[Discount]]))</f>
        <v>1054.3711999999998</v>
      </c>
      <c r="N2257" s="3">
        <f>tblTransactions[[#This Row],[Profit]]/tblTransactions[[#This Row],[Total_Amount]]</f>
        <v>0.40919121984538481</v>
      </c>
      <c r="O2257" t="str">
        <f>TEXT(tblTransactions[[#This Row],[Date]], "MMM-YYYY")</f>
        <v>Apr-2024</v>
      </c>
      <c r="P2257" t="str">
        <f>"Q"&amp;ROUNDUP(MONTH(tblTransactions[[#This Row],[Date]])/3,0)&amp;"-"&amp;YEAR(tblTransactions[[#This Row],[Date]])</f>
        <v>Q2-2024</v>
      </c>
      <c r="Q2257">
        <f>YEAR(tblTransactions[[#This Row],[Date]])</f>
        <v>2024</v>
      </c>
      <c r="R2257" t="str">
        <f>TEXT(tblTransactions[[#This Row],[Date]],"DDDD")</f>
        <v>Thursday</v>
      </c>
      <c r="S2257">
        <f>MONTH(tblTransactions[[#This Row],[Date]])</f>
        <v>4</v>
      </c>
      <c r="T2257" t="str">
        <f>VLOOKUP(E2257, Products!$A:$B,2,0)</f>
        <v>Cameras Ele-1</v>
      </c>
      <c r="U2257" t="str">
        <f>VLOOKUP(E2257,Products!$A:$C,3,0)</f>
        <v>Electronics</v>
      </c>
      <c r="V2257" t="str">
        <f>VLOOKUP(E2257,Products!$A:$D,4,0)</f>
        <v>Cameras</v>
      </c>
      <c r="W2257" t="str">
        <f>VLOOKUP(D2257,Customers!$A:$C,3,0)</f>
        <v>B2B</v>
      </c>
      <c r="X2257" t="str">
        <f>VLOOKUP(C2257,Sales_Representatives!$A:$B,2,0)</f>
        <v>Jennifer Brown</v>
      </c>
    </row>
    <row r="2258" spans="1:24" x14ac:dyDescent="0.3">
      <c r="A2258" t="s">
        <v>3178</v>
      </c>
      <c r="B2258" t="s">
        <v>3179</v>
      </c>
      <c r="C2258" t="s">
        <v>13</v>
      </c>
      <c r="D2258" t="s">
        <v>134</v>
      </c>
      <c r="E2258" t="s">
        <v>283</v>
      </c>
      <c r="F2258">
        <v>7</v>
      </c>
      <c r="G2258">
        <v>456.88</v>
      </c>
      <c r="H2258">
        <v>0.12</v>
      </c>
      <c r="I2258" s="4">
        <v>2814.38</v>
      </c>
      <c r="J2258" t="s">
        <v>16</v>
      </c>
      <c r="K2258" t="s">
        <v>22</v>
      </c>
      <c r="L2258" s="4">
        <f>VLOOKUP(tblTransactions[[#This Row],[Product_ID]],tblProducts[],5,FALSE)</f>
        <v>313.23</v>
      </c>
      <c r="M2258" s="4">
        <f>tblTransactions[[#This Row],[Total_Amount]]-(tblTransactions[[#This Row],[Cost_Prices]]*tblTransactions[[#This Row],[Quantity]]*(1-tblTransactions[[#This Row],[Discount]]))</f>
        <v>884.88319999999999</v>
      </c>
      <c r="N2258" s="3">
        <f>tblTransactions[[#This Row],[Profit]]/tblTransactions[[#This Row],[Total_Amount]]</f>
        <v>0.31441496883860742</v>
      </c>
      <c r="O2258" t="str">
        <f>TEXT(tblTransactions[[#This Row],[Date]], "MMM-YYYY")</f>
        <v>Apr-2024</v>
      </c>
      <c r="P2258" t="str">
        <f>"Q"&amp;ROUNDUP(MONTH(tblTransactions[[#This Row],[Date]])/3,0)&amp;"-"&amp;YEAR(tblTransactions[[#This Row],[Date]])</f>
        <v>Q2-2024</v>
      </c>
      <c r="Q2258">
        <f>YEAR(tblTransactions[[#This Row],[Date]])</f>
        <v>2024</v>
      </c>
      <c r="R2258" t="str">
        <f>TEXT(tblTransactions[[#This Row],[Date]],"DDDD")</f>
        <v>Friday</v>
      </c>
      <c r="S2258">
        <f>MONTH(tblTransactions[[#This Row],[Date]])</f>
        <v>4</v>
      </c>
      <c r="T2258" t="str">
        <f>VLOOKUP(E2258, Products!$A:$B,2,0)</f>
        <v>Chairs Fur-3</v>
      </c>
      <c r="U2258" t="str">
        <f>VLOOKUP(E2258,Products!$A:$C,3,0)</f>
        <v>Furniture</v>
      </c>
      <c r="V2258" t="str">
        <f>VLOOKUP(E2258,Products!$A:$D,4,0)</f>
        <v>Chairs</v>
      </c>
      <c r="W2258" t="str">
        <f>VLOOKUP(D2258,Customers!$A:$C,3,0)</f>
        <v>B2B</v>
      </c>
      <c r="X2258" t="str">
        <f>VLOOKUP(C2258,Sales_Representatives!$A:$B,2,0)</f>
        <v>Jennifer Rodriguez</v>
      </c>
    </row>
    <row r="2259" spans="1:24" x14ac:dyDescent="0.3">
      <c r="A2259" t="s">
        <v>3180</v>
      </c>
      <c r="B2259" t="s">
        <v>3179</v>
      </c>
      <c r="C2259" t="s">
        <v>41</v>
      </c>
      <c r="D2259" t="s">
        <v>1515</v>
      </c>
      <c r="E2259" t="s">
        <v>206</v>
      </c>
      <c r="F2259">
        <v>4</v>
      </c>
      <c r="G2259">
        <v>292.51</v>
      </c>
      <c r="H2259">
        <v>0.03</v>
      </c>
      <c r="I2259" s="4">
        <v>1134.94</v>
      </c>
      <c r="J2259" t="s">
        <v>44</v>
      </c>
      <c r="K2259" t="s">
        <v>35</v>
      </c>
      <c r="L2259" s="4">
        <f>VLOOKUP(tblTransactions[[#This Row],[Product_ID]],tblProducts[],5,FALSE)</f>
        <v>122.08</v>
      </c>
      <c r="M2259" s="4">
        <f>tblTransactions[[#This Row],[Total_Amount]]-(tblTransactions[[#This Row],[Cost_Prices]]*tblTransactions[[#This Row],[Quantity]]*(1-tblTransactions[[#This Row],[Discount]]))</f>
        <v>661.26960000000008</v>
      </c>
      <c r="N2259" s="3">
        <f>tblTransactions[[#This Row],[Profit]]/tblTransactions[[#This Row],[Total_Amount]]</f>
        <v>0.58264718839762464</v>
      </c>
      <c r="O2259" t="str">
        <f>TEXT(tblTransactions[[#This Row],[Date]], "MMM-YYYY")</f>
        <v>Apr-2024</v>
      </c>
      <c r="P2259" t="str">
        <f>"Q"&amp;ROUNDUP(MONTH(tblTransactions[[#This Row],[Date]])/3,0)&amp;"-"&amp;YEAR(tblTransactions[[#This Row],[Date]])</f>
        <v>Q2-2024</v>
      </c>
      <c r="Q2259">
        <f>YEAR(tblTransactions[[#This Row],[Date]])</f>
        <v>2024</v>
      </c>
      <c r="R2259" t="str">
        <f>TEXT(tblTransactions[[#This Row],[Date]],"DDDD")</f>
        <v>Friday</v>
      </c>
      <c r="S2259">
        <f>MONTH(tblTransactions[[#This Row],[Date]])</f>
        <v>4</v>
      </c>
      <c r="T2259" t="str">
        <f>VLOOKUP(E2259, Products!$A:$B,2,0)</f>
        <v>Keyboards Acc-1</v>
      </c>
      <c r="U2259" t="str">
        <f>VLOOKUP(E2259,Products!$A:$C,3,0)</f>
        <v>Accessories</v>
      </c>
      <c r="V2259" t="str">
        <f>VLOOKUP(E2259,Products!$A:$D,4,0)</f>
        <v>Keyboards</v>
      </c>
      <c r="W2259" t="str">
        <f>VLOOKUP(D2259,Customers!$A:$C,3,0)</f>
        <v>B2C</v>
      </c>
      <c r="X2259" t="str">
        <f>VLOOKUP(C2259,Sales_Representatives!$A:$B,2,0)</f>
        <v>Robert Jones</v>
      </c>
    </row>
    <row r="2260" spans="1:24" x14ac:dyDescent="0.3">
      <c r="A2260" t="s">
        <v>3181</v>
      </c>
      <c r="B2260" t="s">
        <v>3179</v>
      </c>
      <c r="C2260" t="s">
        <v>31</v>
      </c>
      <c r="D2260" t="s">
        <v>1752</v>
      </c>
      <c r="E2260" t="s">
        <v>113</v>
      </c>
      <c r="F2260">
        <v>6</v>
      </c>
      <c r="G2260">
        <v>930.41</v>
      </c>
      <c r="H2260">
        <v>0.12</v>
      </c>
      <c r="I2260" s="4">
        <v>4912.5600000000004</v>
      </c>
      <c r="J2260" t="s">
        <v>34</v>
      </c>
      <c r="K2260" t="s">
        <v>35</v>
      </c>
      <c r="L2260" s="4">
        <f>VLOOKUP(tblTransactions[[#This Row],[Product_ID]],tblProducts[],5,FALSE)</f>
        <v>595.51</v>
      </c>
      <c r="M2260" s="4">
        <f>tblTransactions[[#This Row],[Total_Amount]]-(tblTransactions[[#This Row],[Cost_Prices]]*tblTransactions[[#This Row],[Quantity]]*(1-tblTransactions[[#This Row],[Discount]]))</f>
        <v>1768.2672000000002</v>
      </c>
      <c r="N2260" s="3">
        <f>tblTransactions[[#This Row],[Profit]]/tblTransactions[[#This Row],[Total_Amount]]</f>
        <v>0.35994821437295427</v>
      </c>
      <c r="O2260" t="str">
        <f>TEXT(tblTransactions[[#This Row],[Date]], "MMM-YYYY")</f>
        <v>Apr-2024</v>
      </c>
      <c r="P2260" t="str">
        <f>"Q"&amp;ROUNDUP(MONTH(tblTransactions[[#This Row],[Date]])/3,0)&amp;"-"&amp;YEAR(tblTransactions[[#This Row],[Date]])</f>
        <v>Q2-2024</v>
      </c>
      <c r="Q2260">
        <f>YEAR(tblTransactions[[#This Row],[Date]])</f>
        <v>2024</v>
      </c>
      <c r="R2260" t="str">
        <f>TEXT(tblTransactions[[#This Row],[Date]],"DDDD")</f>
        <v>Friday</v>
      </c>
      <c r="S2260">
        <f>MONTH(tblTransactions[[#This Row],[Date]])</f>
        <v>4</v>
      </c>
      <c r="T2260" t="str">
        <f>VLOOKUP(E2260, Products!$A:$B,2,0)</f>
        <v>Phones Ele-1</v>
      </c>
      <c r="U2260" t="str">
        <f>VLOOKUP(E2260,Products!$A:$C,3,0)</f>
        <v>Electronics</v>
      </c>
      <c r="V2260" t="str">
        <f>VLOOKUP(E2260,Products!$A:$D,4,0)</f>
        <v>Phones</v>
      </c>
      <c r="W2260" t="str">
        <f>VLOOKUP(D2260,Customers!$A:$C,3,0)</f>
        <v>B2B</v>
      </c>
      <c r="X2260" t="str">
        <f>VLOOKUP(C2260,Sales_Representatives!$A:$B,2,0)</f>
        <v>Thomas Martinez</v>
      </c>
    </row>
    <row r="2261" spans="1:24" x14ac:dyDescent="0.3">
      <c r="A2261" t="s">
        <v>3182</v>
      </c>
      <c r="B2261" t="s">
        <v>3179</v>
      </c>
      <c r="C2261" t="s">
        <v>75</v>
      </c>
      <c r="D2261" t="s">
        <v>1997</v>
      </c>
      <c r="E2261" t="s">
        <v>324</v>
      </c>
      <c r="F2261">
        <v>9</v>
      </c>
      <c r="G2261">
        <v>245.76</v>
      </c>
      <c r="H2261">
        <v>0.15</v>
      </c>
      <c r="I2261" s="4">
        <v>1880.06</v>
      </c>
      <c r="J2261" t="s">
        <v>44</v>
      </c>
      <c r="K2261" t="s">
        <v>22</v>
      </c>
      <c r="L2261" s="4">
        <f>VLOOKUP(tblTransactions[[#This Row],[Product_ID]],tblProducts[],5,FALSE)</f>
        <v>161.94</v>
      </c>
      <c r="M2261" s="4">
        <f>tblTransactions[[#This Row],[Total_Amount]]-(tblTransactions[[#This Row],[Cost_Prices]]*tblTransactions[[#This Row],[Quantity]]*(1-tblTransactions[[#This Row],[Discount]]))</f>
        <v>641.21900000000005</v>
      </c>
      <c r="N2261" s="3">
        <f>tblTransactions[[#This Row],[Profit]]/tblTransactions[[#This Row],[Total_Amount]]</f>
        <v>0.3410630511792177</v>
      </c>
      <c r="O2261" t="str">
        <f>TEXT(tblTransactions[[#This Row],[Date]], "MMM-YYYY")</f>
        <v>Apr-2024</v>
      </c>
      <c r="P2261" t="str">
        <f>"Q"&amp;ROUNDUP(MONTH(tblTransactions[[#This Row],[Date]])/3,0)&amp;"-"&amp;YEAR(tblTransactions[[#This Row],[Date]])</f>
        <v>Q2-2024</v>
      </c>
      <c r="Q2261">
        <f>YEAR(tblTransactions[[#This Row],[Date]])</f>
        <v>2024</v>
      </c>
      <c r="R2261" t="str">
        <f>TEXT(tblTransactions[[#This Row],[Date]],"DDDD")</f>
        <v>Friday</v>
      </c>
      <c r="S2261">
        <f>MONTH(tblTransactions[[#This Row],[Date]])</f>
        <v>4</v>
      </c>
      <c r="T2261" t="str">
        <f>VLOOKUP(E2261, Products!$A:$B,2,0)</f>
        <v>Storage Fur-1</v>
      </c>
      <c r="U2261" t="str">
        <f>VLOOKUP(E2261,Products!$A:$C,3,0)</f>
        <v>Furniture</v>
      </c>
      <c r="V2261" t="str">
        <f>VLOOKUP(E2261,Products!$A:$D,4,0)</f>
        <v>Storage</v>
      </c>
      <c r="W2261" t="str">
        <f>VLOOKUP(D2261,Customers!$A:$C,3,0)</f>
        <v>B2B</v>
      </c>
      <c r="X2261" t="str">
        <f>VLOOKUP(C2261,Sales_Representatives!$A:$B,2,0)</f>
        <v>Jessica Anderson</v>
      </c>
    </row>
    <row r="2262" spans="1:24" x14ac:dyDescent="0.3">
      <c r="A2262" t="s">
        <v>3183</v>
      </c>
      <c r="B2262" t="s">
        <v>3179</v>
      </c>
      <c r="C2262" t="s">
        <v>70</v>
      </c>
      <c r="D2262" t="s">
        <v>1984</v>
      </c>
      <c r="E2262" t="s">
        <v>290</v>
      </c>
      <c r="F2262">
        <v>1</v>
      </c>
      <c r="G2262">
        <v>729.32</v>
      </c>
      <c r="H2262">
        <v>0.09</v>
      </c>
      <c r="I2262" s="4">
        <v>663.68</v>
      </c>
      <c r="J2262" t="s">
        <v>16</v>
      </c>
      <c r="K2262" t="s">
        <v>35</v>
      </c>
      <c r="L2262" s="4">
        <f>VLOOKUP(tblTransactions[[#This Row],[Product_ID]],tblProducts[],5,FALSE)</f>
        <v>482.7</v>
      </c>
      <c r="M2262" s="4">
        <f>tblTransactions[[#This Row],[Total_Amount]]-(tblTransactions[[#This Row],[Cost_Prices]]*tblTransactions[[#This Row],[Quantity]]*(1-tblTransactions[[#This Row],[Discount]]))</f>
        <v>224.42299999999994</v>
      </c>
      <c r="N2262" s="3">
        <f>tblTransactions[[#This Row],[Profit]]/tblTransactions[[#This Row],[Total_Amount]]</f>
        <v>0.33814940935390542</v>
      </c>
      <c r="O2262" t="str">
        <f>TEXT(tblTransactions[[#This Row],[Date]], "MMM-YYYY")</f>
        <v>Apr-2024</v>
      </c>
      <c r="P2262" t="str">
        <f>"Q"&amp;ROUNDUP(MONTH(tblTransactions[[#This Row],[Date]])/3,0)&amp;"-"&amp;YEAR(tblTransactions[[#This Row],[Date]])</f>
        <v>Q2-2024</v>
      </c>
      <c r="Q2262">
        <f>YEAR(tblTransactions[[#This Row],[Date]])</f>
        <v>2024</v>
      </c>
      <c r="R2262" t="str">
        <f>TEXT(tblTransactions[[#This Row],[Date]],"DDDD")</f>
        <v>Friday</v>
      </c>
      <c r="S2262">
        <f>MONTH(tblTransactions[[#This Row],[Date]])</f>
        <v>4</v>
      </c>
      <c r="T2262" t="str">
        <f>VLOOKUP(E2262, Products!$A:$B,2,0)</f>
        <v>Tables Fur-1</v>
      </c>
      <c r="U2262" t="str">
        <f>VLOOKUP(E2262,Products!$A:$C,3,0)</f>
        <v>Furniture</v>
      </c>
      <c r="V2262" t="str">
        <f>VLOOKUP(E2262,Products!$A:$D,4,0)</f>
        <v>Tables</v>
      </c>
      <c r="W2262" t="str">
        <f>VLOOKUP(D2262,Customers!$A:$C,3,0)</f>
        <v>B2C</v>
      </c>
      <c r="X2262" t="str">
        <f>VLOOKUP(C2262,Sales_Representatives!$A:$B,2,0)</f>
        <v>Linda Smith</v>
      </c>
    </row>
    <row r="2263" spans="1:24" x14ac:dyDescent="0.3">
      <c r="A2263" t="s">
        <v>3184</v>
      </c>
      <c r="B2263" t="s">
        <v>3185</v>
      </c>
      <c r="C2263" t="s">
        <v>75</v>
      </c>
      <c r="D2263" t="s">
        <v>1963</v>
      </c>
      <c r="E2263" t="s">
        <v>255</v>
      </c>
      <c r="F2263">
        <v>2</v>
      </c>
      <c r="G2263">
        <v>1444.13</v>
      </c>
      <c r="H2263">
        <v>0.04</v>
      </c>
      <c r="I2263" s="4">
        <v>2772.73</v>
      </c>
      <c r="J2263" t="s">
        <v>44</v>
      </c>
      <c r="K2263" t="s">
        <v>39</v>
      </c>
      <c r="L2263" s="4">
        <f>VLOOKUP(tblTransactions[[#This Row],[Product_ID]],tblProducts[],5,FALSE)</f>
        <v>874.43</v>
      </c>
      <c r="M2263" s="4">
        <f>tblTransactions[[#This Row],[Total_Amount]]-(tblTransactions[[#This Row],[Cost_Prices]]*tblTransactions[[#This Row],[Quantity]]*(1-tblTransactions[[#This Row],[Discount]]))</f>
        <v>1093.8244000000002</v>
      </c>
      <c r="N2263" s="3">
        <f>tblTransactions[[#This Row],[Profit]]/tblTransactions[[#This Row],[Total_Amount]]</f>
        <v>0.39449365787509066</v>
      </c>
      <c r="O2263" t="str">
        <f>TEXT(tblTransactions[[#This Row],[Date]], "MMM-YYYY")</f>
        <v>Apr-2024</v>
      </c>
      <c r="P2263" t="str">
        <f>"Q"&amp;ROUNDUP(MONTH(tblTransactions[[#This Row],[Date]])/3,0)&amp;"-"&amp;YEAR(tblTransactions[[#This Row],[Date]])</f>
        <v>Q2-2024</v>
      </c>
      <c r="Q2263">
        <f>YEAR(tblTransactions[[#This Row],[Date]])</f>
        <v>2024</v>
      </c>
      <c r="R2263" t="str">
        <f>TEXT(tblTransactions[[#This Row],[Date]],"DDDD")</f>
        <v>Saturday</v>
      </c>
      <c r="S2263">
        <f>MONTH(tblTransactions[[#This Row],[Date]])</f>
        <v>4</v>
      </c>
      <c r="T2263" t="str">
        <f>VLOOKUP(E2263, Products!$A:$B,2,0)</f>
        <v>Printers Tec-1</v>
      </c>
      <c r="U2263" t="str">
        <f>VLOOKUP(E2263,Products!$A:$C,3,0)</f>
        <v>Technology</v>
      </c>
      <c r="V2263" t="str">
        <f>VLOOKUP(E2263,Products!$A:$D,4,0)</f>
        <v>Printers</v>
      </c>
      <c r="W2263" t="str">
        <f>VLOOKUP(D2263,Customers!$A:$C,3,0)</f>
        <v>Small Business</v>
      </c>
      <c r="X2263" t="str">
        <f>VLOOKUP(C2263,Sales_Representatives!$A:$B,2,0)</f>
        <v>Jessica Anderson</v>
      </c>
    </row>
    <row r="2264" spans="1:24" x14ac:dyDescent="0.3">
      <c r="A2264" t="s">
        <v>3186</v>
      </c>
      <c r="B2264" t="s">
        <v>3185</v>
      </c>
      <c r="C2264" t="s">
        <v>107</v>
      </c>
      <c r="D2264" t="s">
        <v>1552</v>
      </c>
      <c r="E2264" t="s">
        <v>29</v>
      </c>
      <c r="F2264">
        <v>35</v>
      </c>
      <c r="G2264">
        <v>1363.46</v>
      </c>
      <c r="H2264">
        <v>0.19</v>
      </c>
      <c r="I2264" s="4">
        <v>38654.089999999997</v>
      </c>
      <c r="J2264" t="s">
        <v>109</v>
      </c>
      <c r="K2264" t="s">
        <v>39</v>
      </c>
      <c r="L2264" s="4">
        <f>VLOOKUP(tblTransactions[[#This Row],[Product_ID]],tblProducts[],5,FALSE)</f>
        <v>995.41</v>
      </c>
      <c r="M2264" s="4">
        <f>tblTransactions[[#This Row],[Total_Amount]]-(tblTransactions[[#This Row],[Cost_Prices]]*tblTransactions[[#This Row],[Quantity]]*(1-tblTransactions[[#This Row],[Discount]]))</f>
        <v>10434.216499999995</v>
      </c>
      <c r="N2264" s="3">
        <f>tblTransactions[[#This Row],[Profit]]/tblTransactions[[#This Row],[Total_Amount]]</f>
        <v>0.2699382264593474</v>
      </c>
      <c r="O2264" t="str">
        <f>TEXT(tblTransactions[[#This Row],[Date]], "MMM-YYYY")</f>
        <v>Apr-2024</v>
      </c>
      <c r="P2264" t="str">
        <f>"Q"&amp;ROUNDUP(MONTH(tblTransactions[[#This Row],[Date]])/3,0)&amp;"-"&amp;YEAR(tblTransactions[[#This Row],[Date]])</f>
        <v>Q2-2024</v>
      </c>
      <c r="Q2264">
        <f>YEAR(tblTransactions[[#This Row],[Date]])</f>
        <v>2024</v>
      </c>
      <c r="R2264" t="str">
        <f>TEXT(tblTransactions[[#This Row],[Date]],"DDDD")</f>
        <v>Saturday</v>
      </c>
      <c r="S2264">
        <f>MONTH(tblTransactions[[#This Row],[Date]])</f>
        <v>4</v>
      </c>
      <c r="T2264" t="str">
        <f>VLOOKUP(E2264, Products!$A:$B,2,0)</f>
        <v>Phones Ele-3</v>
      </c>
      <c r="U2264" t="str">
        <f>VLOOKUP(E2264,Products!$A:$C,3,0)</f>
        <v>Electronics</v>
      </c>
      <c r="V2264" t="str">
        <f>VLOOKUP(E2264,Products!$A:$D,4,0)</f>
        <v>Phones</v>
      </c>
      <c r="W2264" t="str">
        <f>VLOOKUP(D2264,Customers!$A:$C,3,0)</f>
        <v>Enterprise</v>
      </c>
      <c r="X2264" t="str">
        <f>VLOOKUP(C2264,Sales_Representatives!$A:$B,2,0)</f>
        <v>Jennifer Brown</v>
      </c>
    </row>
    <row r="2265" spans="1:24" x14ac:dyDescent="0.3">
      <c r="A2265" t="s">
        <v>3187</v>
      </c>
      <c r="B2265" t="s">
        <v>3185</v>
      </c>
      <c r="C2265" t="s">
        <v>31</v>
      </c>
      <c r="D2265" t="s">
        <v>2466</v>
      </c>
      <c r="E2265" t="s">
        <v>224</v>
      </c>
      <c r="F2265">
        <v>6</v>
      </c>
      <c r="G2265">
        <v>505.37</v>
      </c>
      <c r="H2265">
        <v>0.1</v>
      </c>
      <c r="I2265" s="4">
        <v>2729</v>
      </c>
      <c r="J2265" t="s">
        <v>34</v>
      </c>
      <c r="K2265" t="s">
        <v>48</v>
      </c>
      <c r="L2265" s="4">
        <f>VLOOKUP(tblTransactions[[#This Row],[Product_ID]],tblProducts[],5,FALSE)</f>
        <v>281.14999999999998</v>
      </c>
      <c r="M2265" s="4">
        <f>tblTransactions[[#This Row],[Total_Amount]]-(tblTransactions[[#This Row],[Cost_Prices]]*tblTransactions[[#This Row],[Quantity]]*(1-tblTransactions[[#This Row],[Discount]]))</f>
        <v>1210.7900000000002</v>
      </c>
      <c r="N2265" s="3">
        <f>tblTransactions[[#This Row],[Profit]]/tblTransactions[[#This Row],[Total_Amount]]</f>
        <v>0.44367533895199712</v>
      </c>
      <c r="O2265" t="str">
        <f>TEXT(tblTransactions[[#This Row],[Date]], "MMM-YYYY")</f>
        <v>Apr-2024</v>
      </c>
      <c r="P2265" t="str">
        <f>"Q"&amp;ROUNDUP(MONTH(tblTransactions[[#This Row],[Date]])/3,0)&amp;"-"&amp;YEAR(tblTransactions[[#This Row],[Date]])</f>
        <v>Q2-2024</v>
      </c>
      <c r="Q2265">
        <f>YEAR(tblTransactions[[#This Row],[Date]])</f>
        <v>2024</v>
      </c>
      <c r="R2265" t="str">
        <f>TEXT(tblTransactions[[#This Row],[Date]],"DDDD")</f>
        <v>Saturday</v>
      </c>
      <c r="S2265">
        <f>MONTH(tblTransactions[[#This Row],[Date]])</f>
        <v>4</v>
      </c>
      <c r="T2265" t="str">
        <f>VLOOKUP(E2265, Products!$A:$B,2,0)</f>
        <v>Desks Fur-3</v>
      </c>
      <c r="U2265" t="str">
        <f>VLOOKUP(E2265,Products!$A:$C,3,0)</f>
        <v>Furniture</v>
      </c>
      <c r="V2265" t="str">
        <f>VLOOKUP(E2265,Products!$A:$D,4,0)</f>
        <v>Desks</v>
      </c>
      <c r="W2265" t="str">
        <f>VLOOKUP(D2265,Customers!$A:$C,3,0)</f>
        <v>B2C</v>
      </c>
      <c r="X2265" t="str">
        <f>VLOOKUP(C2265,Sales_Representatives!$A:$B,2,0)</f>
        <v>Thomas Martinez</v>
      </c>
    </row>
    <row r="2266" spans="1:24" x14ac:dyDescent="0.3">
      <c r="A2266" t="s">
        <v>3188</v>
      </c>
      <c r="B2266" t="s">
        <v>3185</v>
      </c>
      <c r="C2266" t="s">
        <v>41</v>
      </c>
      <c r="D2266" t="s">
        <v>2278</v>
      </c>
      <c r="E2266" t="s">
        <v>91</v>
      </c>
      <c r="F2266">
        <v>18</v>
      </c>
      <c r="G2266">
        <v>286.62</v>
      </c>
      <c r="H2266">
        <v>0.1</v>
      </c>
      <c r="I2266" s="4">
        <v>4643.24</v>
      </c>
      <c r="J2266" t="s">
        <v>44</v>
      </c>
      <c r="K2266" t="s">
        <v>17</v>
      </c>
      <c r="L2266" s="4">
        <f>VLOOKUP(tblTransactions[[#This Row],[Product_ID]],tblProducts[],5,FALSE)</f>
        <v>145.54</v>
      </c>
      <c r="M2266" s="4">
        <f>tblTransactions[[#This Row],[Total_Amount]]-(tblTransactions[[#This Row],[Cost_Prices]]*tblTransactions[[#This Row],[Quantity]]*(1-tblTransactions[[#This Row],[Discount]]))</f>
        <v>2285.4919999999997</v>
      </c>
      <c r="N2266" s="3">
        <f>tblTransactions[[#This Row],[Profit]]/tblTransactions[[#This Row],[Total_Amount]]</f>
        <v>0.49221922622996006</v>
      </c>
      <c r="O2266" t="str">
        <f>TEXT(tblTransactions[[#This Row],[Date]], "MMM-YYYY")</f>
        <v>Apr-2024</v>
      </c>
      <c r="P2266" t="str">
        <f>"Q"&amp;ROUNDUP(MONTH(tblTransactions[[#This Row],[Date]])/3,0)&amp;"-"&amp;YEAR(tblTransactions[[#This Row],[Date]])</f>
        <v>Q2-2024</v>
      </c>
      <c r="Q2266">
        <f>YEAR(tblTransactions[[#This Row],[Date]])</f>
        <v>2024</v>
      </c>
      <c r="R2266" t="str">
        <f>TEXT(tblTransactions[[#This Row],[Date]],"DDDD")</f>
        <v>Saturday</v>
      </c>
      <c r="S2266">
        <f>MONTH(tblTransactions[[#This Row],[Date]])</f>
        <v>4</v>
      </c>
      <c r="T2266" t="str">
        <f>VLOOKUP(E2266, Products!$A:$B,2,0)</f>
        <v>Chairs Fur-1</v>
      </c>
      <c r="U2266" t="str">
        <f>VLOOKUP(E2266,Products!$A:$C,3,0)</f>
        <v>Furniture</v>
      </c>
      <c r="V2266" t="str">
        <f>VLOOKUP(E2266,Products!$A:$D,4,0)</f>
        <v>Chairs</v>
      </c>
      <c r="W2266" t="str">
        <f>VLOOKUP(D2266,Customers!$A:$C,3,0)</f>
        <v>B2B</v>
      </c>
      <c r="X2266" t="str">
        <f>VLOOKUP(C2266,Sales_Representatives!$A:$B,2,0)</f>
        <v>Robert Jones</v>
      </c>
    </row>
    <row r="2267" spans="1:24" x14ac:dyDescent="0.3">
      <c r="A2267" t="s">
        <v>3189</v>
      </c>
      <c r="B2267" t="s">
        <v>3185</v>
      </c>
      <c r="C2267" t="s">
        <v>31</v>
      </c>
      <c r="D2267" t="s">
        <v>83</v>
      </c>
      <c r="E2267" t="s">
        <v>176</v>
      </c>
      <c r="F2267">
        <v>5</v>
      </c>
      <c r="G2267">
        <v>1462.68</v>
      </c>
      <c r="H2267">
        <v>0.04</v>
      </c>
      <c r="I2267" s="4">
        <v>7020.86</v>
      </c>
      <c r="J2267" t="s">
        <v>34</v>
      </c>
      <c r="K2267" t="s">
        <v>17</v>
      </c>
      <c r="L2267" s="4">
        <f>VLOOKUP(tblTransactions[[#This Row],[Product_ID]],tblProducts[],5,FALSE)</f>
        <v>775.94</v>
      </c>
      <c r="M2267" s="4">
        <f>tblTransactions[[#This Row],[Total_Amount]]-(tblTransactions[[#This Row],[Cost_Prices]]*tblTransactions[[#This Row],[Quantity]]*(1-tblTransactions[[#This Row],[Discount]]))</f>
        <v>3296.3479999999995</v>
      </c>
      <c r="N2267" s="3">
        <f>tblTransactions[[#This Row],[Profit]]/tblTransactions[[#This Row],[Total_Amount]]</f>
        <v>0.46950772412496472</v>
      </c>
      <c r="O2267" t="str">
        <f>TEXT(tblTransactions[[#This Row],[Date]], "MMM-YYYY")</f>
        <v>Apr-2024</v>
      </c>
      <c r="P2267" t="str">
        <f>"Q"&amp;ROUNDUP(MONTH(tblTransactions[[#This Row],[Date]])/3,0)&amp;"-"&amp;YEAR(tblTransactions[[#This Row],[Date]])</f>
        <v>Q2-2024</v>
      </c>
      <c r="Q2267">
        <f>YEAR(tblTransactions[[#This Row],[Date]])</f>
        <v>2024</v>
      </c>
      <c r="R2267" t="str">
        <f>TEXT(tblTransactions[[#This Row],[Date]],"DDDD")</f>
        <v>Saturday</v>
      </c>
      <c r="S2267">
        <f>MONTH(tblTransactions[[#This Row],[Date]])</f>
        <v>4</v>
      </c>
      <c r="T2267" t="str">
        <f>VLOOKUP(E2267, Products!$A:$B,2,0)</f>
        <v>Chairs Fur-2</v>
      </c>
      <c r="U2267" t="str">
        <f>VLOOKUP(E2267,Products!$A:$C,3,0)</f>
        <v>Furniture</v>
      </c>
      <c r="V2267" t="str">
        <f>VLOOKUP(E2267,Products!$A:$D,4,0)</f>
        <v>Chairs</v>
      </c>
      <c r="W2267" t="str">
        <f>VLOOKUP(D2267,Customers!$A:$C,3,0)</f>
        <v>Small Business</v>
      </c>
      <c r="X2267" t="str">
        <f>VLOOKUP(C2267,Sales_Representatives!$A:$B,2,0)</f>
        <v>Thomas Martinez</v>
      </c>
    </row>
    <row r="2268" spans="1:24" x14ac:dyDescent="0.3">
      <c r="A2268" t="s">
        <v>3190</v>
      </c>
      <c r="B2268" t="s">
        <v>3185</v>
      </c>
      <c r="C2268" t="s">
        <v>70</v>
      </c>
      <c r="D2268" t="s">
        <v>2096</v>
      </c>
      <c r="E2268" t="s">
        <v>450</v>
      </c>
      <c r="F2268">
        <v>7</v>
      </c>
      <c r="G2268">
        <v>2083.92</v>
      </c>
      <c r="H2268">
        <v>0.06</v>
      </c>
      <c r="I2268" s="4">
        <v>13712.19</v>
      </c>
      <c r="J2268" t="s">
        <v>16</v>
      </c>
      <c r="K2268" t="s">
        <v>48</v>
      </c>
      <c r="L2268" s="4">
        <f>VLOOKUP(tblTransactions[[#This Row],[Product_ID]],tblProducts[],5,FALSE)</f>
        <v>1425.78</v>
      </c>
      <c r="M2268" s="4">
        <f>tblTransactions[[#This Row],[Total_Amount]]-(tblTransactions[[#This Row],[Cost_Prices]]*tblTransactions[[#This Row],[Quantity]]*(1-tblTransactions[[#This Row],[Discount]]))</f>
        <v>4330.5576000000019</v>
      </c>
      <c r="N2268" s="3">
        <f>tblTransactions[[#This Row],[Profit]]/tblTransactions[[#This Row],[Total_Amount]]</f>
        <v>0.31581808595125954</v>
      </c>
      <c r="O2268" t="str">
        <f>TEXT(tblTransactions[[#This Row],[Date]], "MMM-YYYY")</f>
        <v>Apr-2024</v>
      </c>
      <c r="P2268" t="str">
        <f>"Q"&amp;ROUNDUP(MONTH(tblTransactions[[#This Row],[Date]])/3,0)&amp;"-"&amp;YEAR(tblTransactions[[#This Row],[Date]])</f>
        <v>Q2-2024</v>
      </c>
      <c r="Q2268">
        <f>YEAR(tblTransactions[[#This Row],[Date]])</f>
        <v>2024</v>
      </c>
      <c r="R2268" t="str">
        <f>TEXT(tblTransactions[[#This Row],[Date]],"DDDD")</f>
        <v>Saturday</v>
      </c>
      <c r="S2268">
        <f>MONTH(tblTransactions[[#This Row],[Date]])</f>
        <v>4</v>
      </c>
      <c r="T2268" t="str">
        <f>VLOOKUP(E2268, Products!$A:$B,2,0)</f>
        <v>Monitors Tec-4</v>
      </c>
      <c r="U2268" t="str">
        <f>VLOOKUP(E2268,Products!$A:$C,3,0)</f>
        <v>Technology</v>
      </c>
      <c r="V2268" t="str">
        <f>VLOOKUP(E2268,Products!$A:$D,4,0)</f>
        <v>Monitors</v>
      </c>
      <c r="W2268" t="str">
        <f>VLOOKUP(D2268,Customers!$A:$C,3,0)</f>
        <v>B2C</v>
      </c>
      <c r="X2268" t="str">
        <f>VLOOKUP(C2268,Sales_Representatives!$A:$B,2,0)</f>
        <v>Linda Smith</v>
      </c>
    </row>
    <row r="2269" spans="1:24" x14ac:dyDescent="0.3">
      <c r="A2269" t="s">
        <v>3191</v>
      </c>
      <c r="B2269" t="s">
        <v>3185</v>
      </c>
      <c r="C2269" t="s">
        <v>27</v>
      </c>
      <c r="D2269" t="s">
        <v>351</v>
      </c>
      <c r="E2269" t="s">
        <v>102</v>
      </c>
      <c r="F2269">
        <v>4</v>
      </c>
      <c r="G2269">
        <v>1097.75</v>
      </c>
      <c r="H2269">
        <v>0.08</v>
      </c>
      <c r="I2269" s="4">
        <v>4039.72</v>
      </c>
      <c r="J2269" t="s">
        <v>16</v>
      </c>
      <c r="K2269" t="s">
        <v>35</v>
      </c>
      <c r="L2269" s="4">
        <f>VLOOKUP(tblTransactions[[#This Row],[Product_ID]],tblProducts[],5,FALSE)</f>
        <v>680.12</v>
      </c>
      <c r="M2269" s="4">
        <f>tblTransactions[[#This Row],[Total_Amount]]-(tblTransactions[[#This Row],[Cost_Prices]]*tblTransactions[[#This Row],[Quantity]]*(1-tblTransactions[[#This Row],[Discount]]))</f>
        <v>1536.8783999999996</v>
      </c>
      <c r="N2269" s="3">
        <f>tblTransactions[[#This Row],[Profit]]/tblTransactions[[#This Row],[Total_Amount]]</f>
        <v>0.38044181279890676</v>
      </c>
      <c r="O2269" t="str">
        <f>TEXT(tblTransactions[[#This Row],[Date]], "MMM-YYYY")</f>
        <v>Apr-2024</v>
      </c>
      <c r="P2269" t="str">
        <f>"Q"&amp;ROUNDUP(MONTH(tblTransactions[[#This Row],[Date]])/3,0)&amp;"-"&amp;YEAR(tblTransactions[[#This Row],[Date]])</f>
        <v>Q2-2024</v>
      </c>
      <c r="Q2269">
        <f>YEAR(tblTransactions[[#This Row],[Date]])</f>
        <v>2024</v>
      </c>
      <c r="R2269" t="str">
        <f>TEXT(tblTransactions[[#This Row],[Date]],"DDDD")</f>
        <v>Saturday</v>
      </c>
      <c r="S2269">
        <f>MONTH(tblTransactions[[#This Row],[Date]])</f>
        <v>4</v>
      </c>
      <c r="T2269" t="str">
        <f>VLOOKUP(E2269, Products!$A:$B,2,0)</f>
        <v>Storage Fur-4</v>
      </c>
      <c r="U2269" t="str">
        <f>VLOOKUP(E2269,Products!$A:$C,3,0)</f>
        <v>Furniture</v>
      </c>
      <c r="V2269" t="str">
        <f>VLOOKUP(E2269,Products!$A:$D,4,0)</f>
        <v>Storage</v>
      </c>
      <c r="W2269" t="str">
        <f>VLOOKUP(D2269,Customers!$A:$C,3,0)</f>
        <v>B2C</v>
      </c>
      <c r="X2269" t="str">
        <f>VLOOKUP(C2269,Sales_Representatives!$A:$B,2,0)</f>
        <v>Thomas Lopez</v>
      </c>
    </row>
    <row r="2270" spans="1:24" x14ac:dyDescent="0.3">
      <c r="A2270" t="s">
        <v>3192</v>
      </c>
      <c r="B2270" t="s">
        <v>3185</v>
      </c>
      <c r="C2270" t="s">
        <v>75</v>
      </c>
      <c r="D2270" t="s">
        <v>2235</v>
      </c>
      <c r="E2270" t="s">
        <v>184</v>
      </c>
      <c r="F2270">
        <v>3</v>
      </c>
      <c r="G2270">
        <v>276.35000000000002</v>
      </c>
      <c r="H2270">
        <v>0.05</v>
      </c>
      <c r="I2270" s="4">
        <v>787.6</v>
      </c>
      <c r="J2270" t="s">
        <v>44</v>
      </c>
      <c r="K2270" t="s">
        <v>39</v>
      </c>
      <c r="L2270" s="4">
        <f>VLOOKUP(tblTransactions[[#This Row],[Product_ID]],tblProducts[],5,FALSE)</f>
        <v>130.15</v>
      </c>
      <c r="M2270" s="4">
        <f>tblTransactions[[#This Row],[Total_Amount]]-(tblTransactions[[#This Row],[Cost_Prices]]*tblTransactions[[#This Row],[Quantity]]*(1-tblTransactions[[#This Row],[Discount]]))</f>
        <v>416.67250000000001</v>
      </c>
      <c r="N2270" s="3">
        <f>tblTransactions[[#This Row],[Profit]]/tblTransactions[[#This Row],[Total_Amount]]</f>
        <v>0.52904075672930417</v>
      </c>
      <c r="O2270" t="str">
        <f>TEXT(tblTransactions[[#This Row],[Date]], "MMM-YYYY")</f>
        <v>Apr-2024</v>
      </c>
      <c r="P2270" t="str">
        <f>"Q"&amp;ROUNDUP(MONTH(tblTransactions[[#This Row],[Date]])/3,0)&amp;"-"&amp;YEAR(tblTransactions[[#This Row],[Date]])</f>
        <v>Q2-2024</v>
      </c>
      <c r="Q2270">
        <f>YEAR(tblTransactions[[#This Row],[Date]])</f>
        <v>2024</v>
      </c>
      <c r="R2270" t="str">
        <f>TEXT(tblTransactions[[#This Row],[Date]],"DDDD")</f>
        <v>Saturday</v>
      </c>
      <c r="S2270">
        <f>MONTH(tblTransactions[[#This Row],[Date]])</f>
        <v>4</v>
      </c>
      <c r="T2270" t="str">
        <f>VLOOKUP(E2270, Products!$A:$B,2,0)</f>
        <v>Binders Off-1</v>
      </c>
      <c r="U2270" t="str">
        <f>VLOOKUP(E2270,Products!$A:$C,3,0)</f>
        <v>Office Supplies</v>
      </c>
      <c r="V2270" t="str">
        <f>VLOOKUP(E2270,Products!$A:$D,4,0)</f>
        <v>Binders</v>
      </c>
      <c r="W2270" t="str">
        <f>VLOOKUP(D2270,Customers!$A:$C,3,0)</f>
        <v>B2C</v>
      </c>
      <c r="X2270" t="str">
        <f>VLOOKUP(C2270,Sales_Representatives!$A:$B,2,0)</f>
        <v>Jessica Anderson</v>
      </c>
    </row>
    <row r="2271" spans="1:24" x14ac:dyDescent="0.3">
      <c r="A2271" t="s">
        <v>3193</v>
      </c>
      <c r="B2271" t="s">
        <v>3185</v>
      </c>
      <c r="C2271" t="s">
        <v>13</v>
      </c>
      <c r="D2271" t="s">
        <v>124</v>
      </c>
      <c r="E2271" t="s">
        <v>105</v>
      </c>
      <c r="F2271">
        <v>4</v>
      </c>
      <c r="G2271">
        <v>1342.04</v>
      </c>
      <c r="H2271">
        <v>0.05</v>
      </c>
      <c r="I2271" s="4">
        <v>5099.75</v>
      </c>
      <c r="J2271" t="s">
        <v>16</v>
      </c>
      <c r="K2271" t="s">
        <v>39</v>
      </c>
      <c r="L2271" s="4">
        <f>VLOOKUP(tblTransactions[[#This Row],[Product_ID]],tblProducts[],5,FALSE)</f>
        <v>792.89</v>
      </c>
      <c r="M2271" s="4">
        <f>tblTransactions[[#This Row],[Total_Amount]]-(tblTransactions[[#This Row],[Cost_Prices]]*tblTransactions[[#This Row],[Quantity]]*(1-tblTransactions[[#This Row],[Discount]]))</f>
        <v>2086.768</v>
      </c>
      <c r="N2271" s="3">
        <f>tblTransactions[[#This Row],[Profit]]/tblTransactions[[#This Row],[Total_Amount]]</f>
        <v>0.40919025442423651</v>
      </c>
      <c r="O2271" t="str">
        <f>TEXT(tblTransactions[[#This Row],[Date]], "MMM-YYYY")</f>
        <v>Apr-2024</v>
      </c>
      <c r="P2271" t="str">
        <f>"Q"&amp;ROUNDUP(MONTH(tblTransactions[[#This Row],[Date]])/3,0)&amp;"-"&amp;YEAR(tblTransactions[[#This Row],[Date]])</f>
        <v>Q2-2024</v>
      </c>
      <c r="Q2271">
        <f>YEAR(tblTransactions[[#This Row],[Date]])</f>
        <v>2024</v>
      </c>
      <c r="R2271" t="str">
        <f>TEXT(tblTransactions[[#This Row],[Date]],"DDDD")</f>
        <v>Saturday</v>
      </c>
      <c r="S2271">
        <f>MONTH(tblTransactions[[#This Row],[Date]])</f>
        <v>4</v>
      </c>
      <c r="T2271" t="str">
        <f>VLOOKUP(E2271, Products!$A:$B,2,0)</f>
        <v>Cameras Ele-1</v>
      </c>
      <c r="U2271" t="str">
        <f>VLOOKUP(E2271,Products!$A:$C,3,0)</f>
        <v>Electronics</v>
      </c>
      <c r="V2271" t="str">
        <f>VLOOKUP(E2271,Products!$A:$D,4,0)</f>
        <v>Cameras</v>
      </c>
      <c r="W2271" t="str">
        <f>VLOOKUP(D2271,Customers!$A:$C,3,0)</f>
        <v>B2B</v>
      </c>
      <c r="X2271" t="str">
        <f>VLOOKUP(C2271,Sales_Representatives!$A:$B,2,0)</f>
        <v>Jennifer Rodriguez</v>
      </c>
    </row>
    <row r="2272" spans="1:24" x14ac:dyDescent="0.3">
      <c r="A2272" t="s">
        <v>3194</v>
      </c>
      <c r="B2272" t="s">
        <v>3195</v>
      </c>
      <c r="C2272" t="s">
        <v>13</v>
      </c>
      <c r="D2272" t="s">
        <v>1774</v>
      </c>
      <c r="E2272" t="s">
        <v>96</v>
      </c>
      <c r="F2272">
        <v>19</v>
      </c>
      <c r="G2272">
        <v>751.9</v>
      </c>
      <c r="H2272">
        <v>0.2</v>
      </c>
      <c r="I2272" s="4">
        <v>11428.88</v>
      </c>
      <c r="J2272" t="s">
        <v>16</v>
      </c>
      <c r="K2272" t="s">
        <v>35</v>
      </c>
      <c r="L2272" s="4">
        <f>VLOOKUP(tblTransactions[[#This Row],[Product_ID]],tblProducts[],5,FALSE)</f>
        <v>570.29</v>
      </c>
      <c r="M2272" s="4">
        <f>tblTransactions[[#This Row],[Total_Amount]]-(tblTransactions[[#This Row],[Cost_Prices]]*tblTransactions[[#This Row],[Quantity]]*(1-tblTransactions[[#This Row],[Discount]]))</f>
        <v>2760.4719999999998</v>
      </c>
      <c r="N2272" s="3">
        <f>tblTransactions[[#This Row],[Profit]]/tblTransactions[[#This Row],[Total_Amount]]</f>
        <v>0.24153477856097885</v>
      </c>
      <c r="O2272" t="str">
        <f>TEXT(tblTransactions[[#This Row],[Date]], "MMM-YYYY")</f>
        <v>Apr-2024</v>
      </c>
      <c r="P2272" t="str">
        <f>"Q"&amp;ROUNDUP(MONTH(tblTransactions[[#This Row],[Date]])/3,0)&amp;"-"&amp;YEAR(tblTransactions[[#This Row],[Date]])</f>
        <v>Q2-2024</v>
      </c>
      <c r="Q2272">
        <f>YEAR(tblTransactions[[#This Row],[Date]])</f>
        <v>2024</v>
      </c>
      <c r="R2272" t="str">
        <f>TEXT(tblTransactions[[#This Row],[Date]],"DDDD")</f>
        <v>Sunday</v>
      </c>
      <c r="S2272">
        <f>MONTH(tblTransactions[[#This Row],[Date]])</f>
        <v>4</v>
      </c>
      <c r="T2272" t="str">
        <f>VLOOKUP(E2272, Products!$A:$B,2,0)</f>
        <v>Routers Tec-1</v>
      </c>
      <c r="U2272" t="str">
        <f>VLOOKUP(E2272,Products!$A:$C,3,0)</f>
        <v>Technology</v>
      </c>
      <c r="V2272" t="str">
        <f>VLOOKUP(E2272,Products!$A:$D,4,0)</f>
        <v>Routers</v>
      </c>
      <c r="W2272" t="str">
        <f>VLOOKUP(D2272,Customers!$A:$C,3,0)</f>
        <v>Enterprise</v>
      </c>
      <c r="X2272" t="str">
        <f>VLOOKUP(C2272,Sales_Representatives!$A:$B,2,0)</f>
        <v>Jennifer Rodriguez</v>
      </c>
    </row>
    <row r="2273" spans="1:24" x14ac:dyDescent="0.3">
      <c r="A2273" t="s">
        <v>3196</v>
      </c>
      <c r="B2273" t="s">
        <v>3195</v>
      </c>
      <c r="C2273" t="s">
        <v>107</v>
      </c>
      <c r="D2273" t="s">
        <v>1864</v>
      </c>
      <c r="E2273" t="s">
        <v>99</v>
      </c>
      <c r="F2273">
        <v>4</v>
      </c>
      <c r="G2273">
        <v>325.14</v>
      </c>
      <c r="H2273">
        <v>0.05</v>
      </c>
      <c r="I2273" s="4">
        <v>1235.53</v>
      </c>
      <c r="J2273" t="s">
        <v>109</v>
      </c>
      <c r="K2273" t="s">
        <v>48</v>
      </c>
      <c r="L2273" s="4">
        <f>VLOOKUP(tblTransactions[[#This Row],[Product_ID]],tblProducts[],5,FALSE)</f>
        <v>209.04</v>
      </c>
      <c r="M2273" s="4">
        <f>tblTransactions[[#This Row],[Total_Amount]]-(tblTransactions[[#This Row],[Cost_Prices]]*tblTransactions[[#This Row],[Quantity]]*(1-tblTransactions[[#This Row],[Discount]]))</f>
        <v>441.178</v>
      </c>
      <c r="N2273" s="3">
        <f>tblTransactions[[#This Row],[Profit]]/tblTransactions[[#This Row],[Total_Amount]]</f>
        <v>0.35707591074275818</v>
      </c>
      <c r="O2273" t="str">
        <f>TEXT(tblTransactions[[#This Row],[Date]], "MMM-YYYY")</f>
        <v>Apr-2024</v>
      </c>
      <c r="P2273" t="str">
        <f>"Q"&amp;ROUNDUP(MONTH(tblTransactions[[#This Row],[Date]])/3,0)&amp;"-"&amp;YEAR(tblTransactions[[#This Row],[Date]])</f>
        <v>Q2-2024</v>
      </c>
      <c r="Q2273">
        <f>YEAR(tblTransactions[[#This Row],[Date]])</f>
        <v>2024</v>
      </c>
      <c r="R2273" t="str">
        <f>TEXT(tblTransactions[[#This Row],[Date]],"DDDD")</f>
        <v>Sunday</v>
      </c>
      <c r="S2273">
        <f>MONTH(tblTransactions[[#This Row],[Date]])</f>
        <v>4</v>
      </c>
      <c r="T2273" t="str">
        <f>VLOOKUP(E2273, Products!$A:$B,2,0)</f>
        <v>Monitors Tec-1</v>
      </c>
      <c r="U2273" t="str">
        <f>VLOOKUP(E2273,Products!$A:$C,3,0)</f>
        <v>Technology</v>
      </c>
      <c r="V2273" t="str">
        <f>VLOOKUP(E2273,Products!$A:$D,4,0)</f>
        <v>Monitors</v>
      </c>
      <c r="W2273" t="str">
        <f>VLOOKUP(D2273,Customers!$A:$C,3,0)</f>
        <v>Small Business</v>
      </c>
      <c r="X2273" t="str">
        <f>VLOOKUP(C2273,Sales_Representatives!$A:$B,2,0)</f>
        <v>Jennifer Brown</v>
      </c>
    </row>
    <row r="2274" spans="1:24" x14ac:dyDescent="0.3">
      <c r="A2274" t="s">
        <v>3197</v>
      </c>
      <c r="B2274" t="s">
        <v>3195</v>
      </c>
      <c r="C2274" t="s">
        <v>63</v>
      </c>
      <c r="D2274" t="s">
        <v>2690</v>
      </c>
      <c r="E2274" t="s">
        <v>105</v>
      </c>
      <c r="F2274">
        <v>47</v>
      </c>
      <c r="G2274">
        <v>1342.04</v>
      </c>
      <c r="H2274">
        <v>0.18</v>
      </c>
      <c r="I2274" s="4">
        <v>51722.22</v>
      </c>
      <c r="J2274" t="s">
        <v>21</v>
      </c>
      <c r="K2274" t="s">
        <v>17</v>
      </c>
      <c r="L2274" s="4">
        <f>VLOOKUP(tblTransactions[[#This Row],[Product_ID]],tblProducts[],5,FALSE)</f>
        <v>792.89</v>
      </c>
      <c r="M2274" s="4">
        <f>tblTransactions[[#This Row],[Total_Amount]]-(tblTransactions[[#This Row],[Cost_Prices]]*tblTransactions[[#This Row],[Quantity]]*(1-tblTransactions[[#This Row],[Discount]]))</f>
        <v>21164.239399999999</v>
      </c>
      <c r="N2274" s="3">
        <f>tblTransactions[[#This Row],[Profit]]/tblTransactions[[#This Row],[Total_Amount]]</f>
        <v>0.40919046784921448</v>
      </c>
      <c r="O2274" t="str">
        <f>TEXT(tblTransactions[[#This Row],[Date]], "MMM-YYYY")</f>
        <v>Apr-2024</v>
      </c>
      <c r="P2274" t="str">
        <f>"Q"&amp;ROUNDUP(MONTH(tblTransactions[[#This Row],[Date]])/3,0)&amp;"-"&amp;YEAR(tblTransactions[[#This Row],[Date]])</f>
        <v>Q2-2024</v>
      </c>
      <c r="Q2274">
        <f>YEAR(tblTransactions[[#This Row],[Date]])</f>
        <v>2024</v>
      </c>
      <c r="R2274" t="str">
        <f>TEXT(tblTransactions[[#This Row],[Date]],"DDDD")</f>
        <v>Sunday</v>
      </c>
      <c r="S2274">
        <f>MONTH(tblTransactions[[#This Row],[Date]])</f>
        <v>4</v>
      </c>
      <c r="T2274" t="str">
        <f>VLOOKUP(E2274, Products!$A:$B,2,0)</f>
        <v>Cameras Ele-1</v>
      </c>
      <c r="U2274" t="str">
        <f>VLOOKUP(E2274,Products!$A:$C,3,0)</f>
        <v>Electronics</v>
      </c>
      <c r="V2274" t="str">
        <f>VLOOKUP(E2274,Products!$A:$D,4,0)</f>
        <v>Cameras</v>
      </c>
      <c r="W2274" t="str">
        <f>VLOOKUP(D2274,Customers!$A:$C,3,0)</f>
        <v>Enterprise</v>
      </c>
      <c r="X2274" t="str">
        <f>VLOOKUP(C2274,Sales_Representatives!$A:$B,2,0)</f>
        <v>Richard Wilson</v>
      </c>
    </row>
    <row r="2275" spans="1:24" x14ac:dyDescent="0.3">
      <c r="A2275" t="s">
        <v>3198</v>
      </c>
      <c r="B2275" t="s">
        <v>3199</v>
      </c>
      <c r="C2275" t="s">
        <v>27</v>
      </c>
      <c r="D2275" t="s">
        <v>71</v>
      </c>
      <c r="E2275" t="s">
        <v>200</v>
      </c>
      <c r="F2275">
        <v>11</v>
      </c>
      <c r="G2275">
        <v>544.77</v>
      </c>
      <c r="H2275">
        <v>0.19</v>
      </c>
      <c r="I2275" s="4">
        <v>4853.8999999999996</v>
      </c>
      <c r="J2275" t="s">
        <v>16</v>
      </c>
      <c r="K2275" t="s">
        <v>48</v>
      </c>
      <c r="L2275" s="4">
        <f>VLOOKUP(tblTransactions[[#This Row],[Product_ID]],tblProducts[],5,FALSE)</f>
        <v>318.2</v>
      </c>
      <c r="M2275" s="4">
        <f>tblTransactions[[#This Row],[Total_Amount]]-(tblTransactions[[#This Row],[Cost_Prices]]*tblTransactions[[#This Row],[Quantity]]*(1-tblTransactions[[#This Row],[Discount]]))</f>
        <v>2018.7379999999994</v>
      </c>
      <c r="N2275" s="3">
        <f>tblTransactions[[#This Row],[Profit]]/tblTransactions[[#This Row],[Total_Amount]]</f>
        <v>0.4159002039597024</v>
      </c>
      <c r="O2275" t="str">
        <f>TEXT(tblTransactions[[#This Row],[Date]], "MMM-YYYY")</f>
        <v>Apr-2024</v>
      </c>
      <c r="P2275" t="str">
        <f>"Q"&amp;ROUNDUP(MONTH(tblTransactions[[#This Row],[Date]])/3,0)&amp;"-"&amp;YEAR(tblTransactions[[#This Row],[Date]])</f>
        <v>Q2-2024</v>
      </c>
      <c r="Q2275">
        <f>YEAR(tblTransactions[[#This Row],[Date]])</f>
        <v>2024</v>
      </c>
      <c r="R2275" t="str">
        <f>TEXT(tblTransactions[[#This Row],[Date]],"DDDD")</f>
        <v>Monday</v>
      </c>
      <c r="S2275">
        <f>MONTH(tblTransactions[[#This Row],[Date]])</f>
        <v>4</v>
      </c>
      <c r="T2275" t="str">
        <f>VLOOKUP(E2275, Products!$A:$B,2,0)</f>
        <v>Desks Fur-4</v>
      </c>
      <c r="U2275" t="str">
        <f>VLOOKUP(E2275,Products!$A:$C,3,0)</f>
        <v>Furniture</v>
      </c>
      <c r="V2275" t="str">
        <f>VLOOKUP(E2275,Products!$A:$D,4,0)</f>
        <v>Desks</v>
      </c>
      <c r="W2275" t="str">
        <f>VLOOKUP(D2275,Customers!$A:$C,3,0)</f>
        <v>B2B</v>
      </c>
      <c r="X2275" t="str">
        <f>VLOOKUP(C2275,Sales_Representatives!$A:$B,2,0)</f>
        <v>Thomas Lopez</v>
      </c>
    </row>
    <row r="2276" spans="1:24" x14ac:dyDescent="0.3">
      <c r="A2276" t="s">
        <v>3200</v>
      </c>
      <c r="B2276" t="s">
        <v>3199</v>
      </c>
      <c r="C2276" t="s">
        <v>70</v>
      </c>
      <c r="D2276" t="s">
        <v>1719</v>
      </c>
      <c r="E2276" t="s">
        <v>224</v>
      </c>
      <c r="F2276">
        <v>12</v>
      </c>
      <c r="G2276">
        <v>505.37</v>
      </c>
      <c r="H2276">
        <v>0.16</v>
      </c>
      <c r="I2276" s="4">
        <v>5094.13</v>
      </c>
      <c r="J2276" t="s">
        <v>16</v>
      </c>
      <c r="K2276" t="s">
        <v>48</v>
      </c>
      <c r="L2276" s="4">
        <f>VLOOKUP(tblTransactions[[#This Row],[Product_ID]],tblProducts[],5,FALSE)</f>
        <v>281.14999999999998</v>
      </c>
      <c r="M2276" s="4">
        <f>tblTransactions[[#This Row],[Total_Amount]]-(tblTransactions[[#This Row],[Cost_Prices]]*tblTransactions[[#This Row],[Quantity]]*(1-tblTransactions[[#This Row],[Discount]]))</f>
        <v>2260.1380000000004</v>
      </c>
      <c r="N2276" s="3">
        <f>tblTransactions[[#This Row],[Profit]]/tblTransactions[[#This Row],[Total_Amount]]</f>
        <v>0.44367497492211633</v>
      </c>
      <c r="O2276" t="str">
        <f>TEXT(tblTransactions[[#This Row],[Date]], "MMM-YYYY")</f>
        <v>Apr-2024</v>
      </c>
      <c r="P2276" t="str">
        <f>"Q"&amp;ROUNDUP(MONTH(tblTransactions[[#This Row],[Date]])/3,0)&amp;"-"&amp;YEAR(tblTransactions[[#This Row],[Date]])</f>
        <v>Q2-2024</v>
      </c>
      <c r="Q2276">
        <f>YEAR(tblTransactions[[#This Row],[Date]])</f>
        <v>2024</v>
      </c>
      <c r="R2276" t="str">
        <f>TEXT(tblTransactions[[#This Row],[Date]],"DDDD")</f>
        <v>Monday</v>
      </c>
      <c r="S2276">
        <f>MONTH(tblTransactions[[#This Row],[Date]])</f>
        <v>4</v>
      </c>
      <c r="T2276" t="str">
        <f>VLOOKUP(E2276, Products!$A:$B,2,0)</f>
        <v>Desks Fur-3</v>
      </c>
      <c r="U2276" t="str">
        <f>VLOOKUP(E2276,Products!$A:$C,3,0)</f>
        <v>Furniture</v>
      </c>
      <c r="V2276" t="str">
        <f>VLOOKUP(E2276,Products!$A:$D,4,0)</f>
        <v>Desks</v>
      </c>
      <c r="W2276" t="str">
        <f>VLOOKUP(D2276,Customers!$A:$C,3,0)</f>
        <v>B2B</v>
      </c>
      <c r="X2276" t="str">
        <f>VLOOKUP(C2276,Sales_Representatives!$A:$B,2,0)</f>
        <v>Linda Smith</v>
      </c>
    </row>
    <row r="2277" spans="1:24" x14ac:dyDescent="0.3">
      <c r="A2277" t="s">
        <v>3201</v>
      </c>
      <c r="B2277" t="s">
        <v>3199</v>
      </c>
      <c r="C2277" t="s">
        <v>56</v>
      </c>
      <c r="D2277" t="s">
        <v>76</v>
      </c>
      <c r="E2277" t="s">
        <v>217</v>
      </c>
      <c r="F2277">
        <v>1</v>
      </c>
      <c r="G2277">
        <v>145.51</v>
      </c>
      <c r="H2277">
        <v>0</v>
      </c>
      <c r="I2277" s="4">
        <v>145.51</v>
      </c>
      <c r="J2277" t="s">
        <v>34</v>
      </c>
      <c r="K2277" t="s">
        <v>35</v>
      </c>
      <c r="L2277" s="4">
        <f>VLOOKUP(tblTransactions[[#This Row],[Product_ID]],tblProducts[],5,FALSE)</f>
        <v>64.510000000000005</v>
      </c>
      <c r="M2277" s="4">
        <f>tblTransactions[[#This Row],[Total_Amount]]-(tblTransactions[[#This Row],[Cost_Prices]]*tblTransactions[[#This Row],[Quantity]]*(1-tblTransactions[[#This Row],[Discount]]))</f>
        <v>80.999999999999986</v>
      </c>
      <c r="N2277" s="3">
        <f>tblTransactions[[#This Row],[Profit]]/tblTransactions[[#This Row],[Total_Amount]]</f>
        <v>0.55666277231805372</v>
      </c>
      <c r="O2277" t="str">
        <f>TEXT(tblTransactions[[#This Row],[Date]], "MMM-YYYY")</f>
        <v>Apr-2024</v>
      </c>
      <c r="P2277" t="str">
        <f>"Q"&amp;ROUNDUP(MONTH(tblTransactions[[#This Row],[Date]])/3,0)&amp;"-"&amp;YEAR(tblTransactions[[#This Row],[Date]])</f>
        <v>Q2-2024</v>
      </c>
      <c r="Q2277">
        <f>YEAR(tblTransactions[[#This Row],[Date]])</f>
        <v>2024</v>
      </c>
      <c r="R2277" t="str">
        <f>TEXT(tblTransactions[[#This Row],[Date]],"DDDD")</f>
        <v>Monday</v>
      </c>
      <c r="S2277">
        <f>MONTH(tblTransactions[[#This Row],[Date]])</f>
        <v>4</v>
      </c>
      <c r="T2277" t="str">
        <f>VLOOKUP(E2277, Products!$A:$B,2,0)</f>
        <v>Cables Acc-2</v>
      </c>
      <c r="U2277" t="str">
        <f>VLOOKUP(E2277,Products!$A:$C,3,0)</f>
        <v>Accessories</v>
      </c>
      <c r="V2277" t="str">
        <f>VLOOKUP(E2277,Products!$A:$D,4,0)</f>
        <v>Cables</v>
      </c>
      <c r="W2277" t="str">
        <f>VLOOKUP(D2277,Customers!$A:$C,3,0)</f>
        <v>Small Business</v>
      </c>
      <c r="X2277" t="str">
        <f>VLOOKUP(C2277,Sales_Representatives!$A:$B,2,0)</f>
        <v>Thomas Hernandez</v>
      </c>
    </row>
    <row r="2278" spans="1:24" x14ac:dyDescent="0.3">
      <c r="A2278" t="s">
        <v>3202</v>
      </c>
      <c r="B2278" t="s">
        <v>3199</v>
      </c>
      <c r="C2278" t="s">
        <v>127</v>
      </c>
      <c r="D2278" t="s">
        <v>1532</v>
      </c>
      <c r="E2278" t="s">
        <v>113</v>
      </c>
      <c r="F2278">
        <v>34</v>
      </c>
      <c r="G2278">
        <v>930.41</v>
      </c>
      <c r="H2278">
        <v>0.2</v>
      </c>
      <c r="I2278" s="4">
        <v>25307.15</v>
      </c>
      <c r="J2278" t="s">
        <v>109</v>
      </c>
      <c r="K2278" t="s">
        <v>35</v>
      </c>
      <c r="L2278" s="4">
        <f>VLOOKUP(tblTransactions[[#This Row],[Product_ID]],tblProducts[],5,FALSE)</f>
        <v>595.51</v>
      </c>
      <c r="M2278" s="4">
        <f>tblTransactions[[#This Row],[Total_Amount]]-(tblTransactions[[#This Row],[Cost_Prices]]*tblTransactions[[#This Row],[Quantity]]*(1-tblTransactions[[#This Row],[Discount]]))</f>
        <v>9109.2780000000002</v>
      </c>
      <c r="N2278" s="3">
        <f>tblTransactions[[#This Row],[Profit]]/tblTransactions[[#This Row],[Total_Amount]]</f>
        <v>0.35994878917618145</v>
      </c>
      <c r="O2278" t="str">
        <f>TEXT(tblTransactions[[#This Row],[Date]], "MMM-YYYY")</f>
        <v>Apr-2024</v>
      </c>
      <c r="P2278" t="str">
        <f>"Q"&amp;ROUNDUP(MONTH(tblTransactions[[#This Row],[Date]])/3,0)&amp;"-"&amp;YEAR(tblTransactions[[#This Row],[Date]])</f>
        <v>Q2-2024</v>
      </c>
      <c r="Q2278">
        <f>YEAR(tblTransactions[[#This Row],[Date]])</f>
        <v>2024</v>
      </c>
      <c r="R2278" t="str">
        <f>TEXT(tblTransactions[[#This Row],[Date]],"DDDD")</f>
        <v>Monday</v>
      </c>
      <c r="S2278">
        <f>MONTH(tblTransactions[[#This Row],[Date]])</f>
        <v>4</v>
      </c>
      <c r="T2278" t="str">
        <f>VLOOKUP(E2278, Products!$A:$B,2,0)</f>
        <v>Phones Ele-1</v>
      </c>
      <c r="U2278" t="str">
        <f>VLOOKUP(E2278,Products!$A:$C,3,0)</f>
        <v>Electronics</v>
      </c>
      <c r="V2278" t="str">
        <f>VLOOKUP(E2278,Products!$A:$D,4,0)</f>
        <v>Phones</v>
      </c>
      <c r="W2278" t="str">
        <f>VLOOKUP(D2278,Customers!$A:$C,3,0)</f>
        <v>Enterprise</v>
      </c>
      <c r="X2278" t="str">
        <f>VLOOKUP(C2278,Sales_Representatives!$A:$B,2,0)</f>
        <v>Emily Hernandez</v>
      </c>
    </row>
    <row r="2279" spans="1:24" x14ac:dyDescent="0.3">
      <c r="A2279" t="s">
        <v>3203</v>
      </c>
      <c r="B2279" t="s">
        <v>3199</v>
      </c>
      <c r="C2279" t="s">
        <v>70</v>
      </c>
      <c r="D2279" t="s">
        <v>1621</v>
      </c>
      <c r="E2279" t="s">
        <v>53</v>
      </c>
      <c r="F2279">
        <v>6</v>
      </c>
      <c r="G2279">
        <v>2069.2199999999998</v>
      </c>
      <c r="H2279">
        <v>0.14000000000000001</v>
      </c>
      <c r="I2279" s="4">
        <v>10677.18</v>
      </c>
      <c r="J2279" t="s">
        <v>16</v>
      </c>
      <c r="K2279" t="s">
        <v>48</v>
      </c>
      <c r="L2279" s="4">
        <f>VLOOKUP(tblTransactions[[#This Row],[Product_ID]],tblProducts[],5,FALSE)</f>
        <v>1451.18</v>
      </c>
      <c r="M2279" s="4">
        <f>tblTransactions[[#This Row],[Total_Amount]]-(tblTransactions[[#This Row],[Cost_Prices]]*tblTransactions[[#This Row],[Quantity]]*(1-tblTransactions[[#This Row],[Discount]]))</f>
        <v>3189.0912000000008</v>
      </c>
      <c r="N2279" s="3">
        <f>tblTransactions[[#This Row],[Profit]]/tblTransactions[[#This Row],[Total_Amount]]</f>
        <v>0.29868291065618457</v>
      </c>
      <c r="O2279" t="str">
        <f>TEXT(tblTransactions[[#This Row],[Date]], "MMM-YYYY")</f>
        <v>Apr-2024</v>
      </c>
      <c r="P2279" t="str">
        <f>"Q"&amp;ROUNDUP(MONTH(tblTransactions[[#This Row],[Date]])/3,0)&amp;"-"&amp;YEAR(tblTransactions[[#This Row],[Date]])</f>
        <v>Q2-2024</v>
      </c>
      <c r="Q2279">
        <f>YEAR(tblTransactions[[#This Row],[Date]])</f>
        <v>2024</v>
      </c>
      <c r="R2279" t="str">
        <f>TEXT(tblTransactions[[#This Row],[Date]],"DDDD")</f>
        <v>Monday</v>
      </c>
      <c r="S2279">
        <f>MONTH(tblTransactions[[#This Row],[Date]])</f>
        <v>4</v>
      </c>
      <c r="T2279" t="str">
        <f>VLOOKUP(E2279, Products!$A:$B,2,0)</f>
        <v>Printers Tec-3</v>
      </c>
      <c r="U2279" t="str">
        <f>VLOOKUP(E2279,Products!$A:$C,3,0)</f>
        <v>Technology</v>
      </c>
      <c r="V2279" t="str">
        <f>VLOOKUP(E2279,Products!$A:$D,4,0)</f>
        <v>Printers</v>
      </c>
      <c r="W2279" t="str">
        <f>VLOOKUP(D2279,Customers!$A:$C,3,0)</f>
        <v>B2C</v>
      </c>
      <c r="X2279" t="str">
        <f>VLOOKUP(C2279,Sales_Representatives!$A:$B,2,0)</f>
        <v>Linda Smith</v>
      </c>
    </row>
    <row r="2280" spans="1:24" x14ac:dyDescent="0.3">
      <c r="A2280" t="s">
        <v>3204</v>
      </c>
      <c r="B2280" t="s">
        <v>3199</v>
      </c>
      <c r="C2280" t="s">
        <v>27</v>
      </c>
      <c r="D2280" t="s">
        <v>118</v>
      </c>
      <c r="E2280" t="s">
        <v>217</v>
      </c>
      <c r="F2280">
        <v>7</v>
      </c>
      <c r="G2280">
        <v>145.51</v>
      </c>
      <c r="H2280">
        <v>0.09</v>
      </c>
      <c r="I2280" s="4">
        <v>926.9</v>
      </c>
      <c r="J2280" t="s">
        <v>16</v>
      </c>
      <c r="K2280" t="s">
        <v>35</v>
      </c>
      <c r="L2280" s="4">
        <f>VLOOKUP(tblTransactions[[#This Row],[Product_ID]],tblProducts[],5,FALSE)</f>
        <v>64.510000000000005</v>
      </c>
      <c r="M2280" s="4">
        <f>tblTransactions[[#This Row],[Total_Amount]]-(tblTransactions[[#This Row],[Cost_Prices]]*tblTransactions[[#This Row],[Quantity]]*(1-tblTransactions[[#This Row],[Discount]]))</f>
        <v>515.97129999999993</v>
      </c>
      <c r="N2280" s="3">
        <f>tblTransactions[[#This Row],[Profit]]/tblTransactions[[#This Row],[Total_Amount]]</f>
        <v>0.5566633941093968</v>
      </c>
      <c r="O2280" t="str">
        <f>TEXT(tblTransactions[[#This Row],[Date]], "MMM-YYYY")</f>
        <v>Apr-2024</v>
      </c>
      <c r="P2280" t="str">
        <f>"Q"&amp;ROUNDUP(MONTH(tblTransactions[[#This Row],[Date]])/3,0)&amp;"-"&amp;YEAR(tblTransactions[[#This Row],[Date]])</f>
        <v>Q2-2024</v>
      </c>
      <c r="Q2280">
        <f>YEAR(tblTransactions[[#This Row],[Date]])</f>
        <v>2024</v>
      </c>
      <c r="R2280" t="str">
        <f>TEXT(tblTransactions[[#This Row],[Date]],"DDDD")</f>
        <v>Monday</v>
      </c>
      <c r="S2280">
        <f>MONTH(tblTransactions[[#This Row],[Date]])</f>
        <v>4</v>
      </c>
      <c r="T2280" t="str">
        <f>VLOOKUP(E2280, Products!$A:$B,2,0)</f>
        <v>Cables Acc-2</v>
      </c>
      <c r="U2280" t="str">
        <f>VLOOKUP(E2280,Products!$A:$C,3,0)</f>
        <v>Accessories</v>
      </c>
      <c r="V2280" t="str">
        <f>VLOOKUP(E2280,Products!$A:$D,4,0)</f>
        <v>Cables</v>
      </c>
      <c r="W2280" t="str">
        <f>VLOOKUP(D2280,Customers!$A:$C,3,0)</f>
        <v>B2C</v>
      </c>
      <c r="X2280" t="str">
        <f>VLOOKUP(C2280,Sales_Representatives!$A:$B,2,0)</f>
        <v>Thomas Lopez</v>
      </c>
    </row>
    <row r="2281" spans="1:24" x14ac:dyDescent="0.3">
      <c r="A2281" t="s">
        <v>3205</v>
      </c>
      <c r="B2281" t="s">
        <v>3206</v>
      </c>
      <c r="C2281" t="s">
        <v>27</v>
      </c>
      <c r="D2281" t="s">
        <v>1567</v>
      </c>
      <c r="E2281" t="s">
        <v>194</v>
      </c>
      <c r="F2281">
        <v>4</v>
      </c>
      <c r="G2281">
        <v>82.84</v>
      </c>
      <c r="H2281">
        <v>0</v>
      </c>
      <c r="I2281" s="4">
        <v>331.36</v>
      </c>
      <c r="J2281" t="s">
        <v>16</v>
      </c>
      <c r="K2281" t="s">
        <v>48</v>
      </c>
      <c r="L2281" s="4">
        <f>VLOOKUP(tblTransactions[[#This Row],[Product_ID]],tblProducts[],5,FALSE)</f>
        <v>52.98</v>
      </c>
      <c r="M2281" s="4">
        <f>tblTransactions[[#This Row],[Total_Amount]]-(tblTransactions[[#This Row],[Cost_Prices]]*tblTransactions[[#This Row],[Quantity]]*(1-tblTransactions[[#This Row],[Discount]]))</f>
        <v>119.44000000000003</v>
      </c>
      <c r="N2281" s="3">
        <f>tblTransactions[[#This Row],[Profit]]/tblTransactions[[#This Row],[Total_Amount]]</f>
        <v>0.36045388701110581</v>
      </c>
      <c r="O2281" t="str">
        <f>TEXT(tblTransactions[[#This Row],[Date]], "MMM-YYYY")</f>
        <v>Apr-2024</v>
      </c>
      <c r="P2281" t="str">
        <f>"Q"&amp;ROUNDUP(MONTH(tblTransactions[[#This Row],[Date]])/3,0)&amp;"-"&amp;YEAR(tblTransactions[[#This Row],[Date]])</f>
        <v>Q2-2024</v>
      </c>
      <c r="Q2281">
        <f>YEAR(tblTransactions[[#This Row],[Date]])</f>
        <v>2024</v>
      </c>
      <c r="R2281" t="str">
        <f>TEXT(tblTransactions[[#This Row],[Date]],"DDDD")</f>
        <v>Tuesday</v>
      </c>
      <c r="S2281">
        <f>MONTH(tblTransactions[[#This Row],[Date]])</f>
        <v>4</v>
      </c>
      <c r="T2281" t="str">
        <f>VLOOKUP(E2281, Products!$A:$B,2,0)</f>
        <v>Binders Off-2</v>
      </c>
      <c r="U2281" t="str">
        <f>VLOOKUP(E2281,Products!$A:$C,3,0)</f>
        <v>Office Supplies</v>
      </c>
      <c r="V2281" t="str">
        <f>VLOOKUP(E2281,Products!$A:$D,4,0)</f>
        <v>Binders</v>
      </c>
      <c r="W2281" t="str">
        <f>VLOOKUP(D2281,Customers!$A:$C,3,0)</f>
        <v>B2C</v>
      </c>
      <c r="X2281" t="str">
        <f>VLOOKUP(C2281,Sales_Representatives!$A:$B,2,0)</f>
        <v>Thomas Lopez</v>
      </c>
    </row>
    <row r="2282" spans="1:24" x14ac:dyDescent="0.3">
      <c r="A2282" t="s">
        <v>3207</v>
      </c>
      <c r="B2282" t="s">
        <v>3206</v>
      </c>
      <c r="C2282" t="s">
        <v>41</v>
      </c>
      <c r="D2282" t="s">
        <v>2032</v>
      </c>
      <c r="E2282" t="s">
        <v>176</v>
      </c>
      <c r="F2282">
        <v>7</v>
      </c>
      <c r="G2282">
        <v>1462.68</v>
      </c>
      <c r="H2282">
        <v>0.11</v>
      </c>
      <c r="I2282" s="4">
        <v>9112.5</v>
      </c>
      <c r="J2282" t="s">
        <v>44</v>
      </c>
      <c r="K2282" t="s">
        <v>22</v>
      </c>
      <c r="L2282" s="4">
        <f>VLOOKUP(tblTransactions[[#This Row],[Product_ID]],tblProducts[],5,FALSE)</f>
        <v>775.94</v>
      </c>
      <c r="M2282" s="4">
        <f>tblTransactions[[#This Row],[Total_Amount]]-(tblTransactions[[#This Row],[Cost_Prices]]*tblTransactions[[#This Row],[Quantity]]*(1-tblTransactions[[#This Row],[Discount]]))</f>
        <v>4278.3937999999998</v>
      </c>
      <c r="N2282" s="3">
        <f>tblTransactions[[#This Row],[Profit]]/tblTransactions[[#This Row],[Total_Amount]]</f>
        <v>0.4695082359396433</v>
      </c>
      <c r="O2282" t="str">
        <f>TEXT(tblTransactions[[#This Row],[Date]], "MMM-YYYY")</f>
        <v>Apr-2024</v>
      </c>
      <c r="P2282" t="str">
        <f>"Q"&amp;ROUNDUP(MONTH(tblTransactions[[#This Row],[Date]])/3,0)&amp;"-"&amp;YEAR(tblTransactions[[#This Row],[Date]])</f>
        <v>Q2-2024</v>
      </c>
      <c r="Q2282">
        <f>YEAR(tblTransactions[[#This Row],[Date]])</f>
        <v>2024</v>
      </c>
      <c r="R2282" t="str">
        <f>TEXT(tblTransactions[[#This Row],[Date]],"DDDD")</f>
        <v>Tuesday</v>
      </c>
      <c r="S2282">
        <f>MONTH(tblTransactions[[#This Row],[Date]])</f>
        <v>4</v>
      </c>
      <c r="T2282" t="str">
        <f>VLOOKUP(E2282, Products!$A:$B,2,0)</f>
        <v>Chairs Fur-2</v>
      </c>
      <c r="U2282" t="str">
        <f>VLOOKUP(E2282,Products!$A:$C,3,0)</f>
        <v>Furniture</v>
      </c>
      <c r="V2282" t="str">
        <f>VLOOKUP(E2282,Products!$A:$D,4,0)</f>
        <v>Chairs</v>
      </c>
      <c r="W2282" t="str">
        <f>VLOOKUP(D2282,Customers!$A:$C,3,0)</f>
        <v>B2C</v>
      </c>
      <c r="X2282" t="str">
        <f>VLOOKUP(C2282,Sales_Representatives!$A:$B,2,0)</f>
        <v>Robert Jones</v>
      </c>
    </row>
    <row r="2283" spans="1:24" x14ac:dyDescent="0.3">
      <c r="A2283" t="s">
        <v>3208</v>
      </c>
      <c r="B2283" t="s">
        <v>3206</v>
      </c>
      <c r="C2283" t="s">
        <v>19</v>
      </c>
      <c r="D2283" t="s">
        <v>1925</v>
      </c>
      <c r="E2283" t="s">
        <v>29</v>
      </c>
      <c r="F2283">
        <v>18</v>
      </c>
      <c r="G2283">
        <v>1363.46</v>
      </c>
      <c r="H2283">
        <v>0.11</v>
      </c>
      <c r="I2283" s="4">
        <v>21842.63</v>
      </c>
      <c r="J2283" t="s">
        <v>21</v>
      </c>
      <c r="K2283" t="s">
        <v>48</v>
      </c>
      <c r="L2283" s="4">
        <f>VLOOKUP(tblTransactions[[#This Row],[Product_ID]],tblProducts[],5,FALSE)</f>
        <v>995.41</v>
      </c>
      <c r="M2283" s="4">
        <f>tblTransactions[[#This Row],[Total_Amount]]-(tblTransactions[[#This Row],[Cost_Prices]]*tblTransactions[[#This Row],[Quantity]]*(1-tblTransactions[[#This Row],[Discount]]))</f>
        <v>5896.1617999999999</v>
      </c>
      <c r="N2283" s="3">
        <f>tblTransactions[[#This Row],[Profit]]/tblTransactions[[#This Row],[Total_Amount]]</f>
        <v>0.26993827208536697</v>
      </c>
      <c r="O2283" t="str">
        <f>TEXT(tblTransactions[[#This Row],[Date]], "MMM-YYYY")</f>
        <v>Apr-2024</v>
      </c>
      <c r="P2283" t="str">
        <f>"Q"&amp;ROUNDUP(MONTH(tblTransactions[[#This Row],[Date]])/3,0)&amp;"-"&amp;YEAR(tblTransactions[[#This Row],[Date]])</f>
        <v>Q2-2024</v>
      </c>
      <c r="Q2283">
        <f>YEAR(tblTransactions[[#This Row],[Date]])</f>
        <v>2024</v>
      </c>
      <c r="R2283" t="str">
        <f>TEXT(tblTransactions[[#This Row],[Date]],"DDDD")</f>
        <v>Tuesday</v>
      </c>
      <c r="S2283">
        <f>MONTH(tblTransactions[[#This Row],[Date]])</f>
        <v>4</v>
      </c>
      <c r="T2283" t="str">
        <f>VLOOKUP(E2283, Products!$A:$B,2,0)</f>
        <v>Phones Ele-3</v>
      </c>
      <c r="U2283" t="str">
        <f>VLOOKUP(E2283,Products!$A:$C,3,0)</f>
        <v>Electronics</v>
      </c>
      <c r="V2283" t="str">
        <f>VLOOKUP(E2283,Products!$A:$D,4,0)</f>
        <v>Phones</v>
      </c>
      <c r="W2283" t="str">
        <f>VLOOKUP(D2283,Customers!$A:$C,3,0)</f>
        <v>B2B</v>
      </c>
      <c r="X2283" t="str">
        <f>VLOOKUP(C2283,Sales_Representatives!$A:$B,2,0)</f>
        <v>Robert Jones</v>
      </c>
    </row>
    <row r="2284" spans="1:24" x14ac:dyDescent="0.3">
      <c r="A2284" t="s">
        <v>3209</v>
      </c>
      <c r="B2284" t="s">
        <v>3210</v>
      </c>
      <c r="C2284" t="s">
        <v>75</v>
      </c>
      <c r="D2284" t="s">
        <v>1552</v>
      </c>
      <c r="E2284" t="s">
        <v>91</v>
      </c>
      <c r="F2284">
        <v>23</v>
      </c>
      <c r="G2284">
        <v>286.62</v>
      </c>
      <c r="H2284">
        <v>0.15</v>
      </c>
      <c r="I2284" s="4">
        <v>5603.42</v>
      </c>
      <c r="J2284" t="s">
        <v>44</v>
      </c>
      <c r="K2284" t="s">
        <v>22</v>
      </c>
      <c r="L2284" s="4">
        <f>VLOOKUP(tblTransactions[[#This Row],[Product_ID]],tblProducts[],5,FALSE)</f>
        <v>145.54</v>
      </c>
      <c r="M2284" s="4">
        <f>tblTransactions[[#This Row],[Total_Amount]]-(tblTransactions[[#This Row],[Cost_Prices]]*tblTransactions[[#This Row],[Quantity]]*(1-tblTransactions[[#This Row],[Discount]]))</f>
        <v>2758.1130000000003</v>
      </c>
      <c r="N2284" s="3">
        <f>tblTransactions[[#This Row],[Profit]]/tblTransactions[[#This Row],[Total_Amount]]</f>
        <v>0.49221957304646097</v>
      </c>
      <c r="O2284" t="str">
        <f>TEXT(tblTransactions[[#This Row],[Date]], "MMM-YYYY")</f>
        <v>May-2024</v>
      </c>
      <c r="P2284" t="str">
        <f>"Q"&amp;ROUNDUP(MONTH(tblTransactions[[#This Row],[Date]])/3,0)&amp;"-"&amp;YEAR(tblTransactions[[#This Row],[Date]])</f>
        <v>Q2-2024</v>
      </c>
      <c r="Q2284">
        <f>YEAR(tblTransactions[[#This Row],[Date]])</f>
        <v>2024</v>
      </c>
      <c r="R2284" t="str">
        <f>TEXT(tblTransactions[[#This Row],[Date]],"DDDD")</f>
        <v>Wednesday</v>
      </c>
      <c r="S2284">
        <f>MONTH(tblTransactions[[#This Row],[Date]])</f>
        <v>5</v>
      </c>
      <c r="T2284" t="str">
        <f>VLOOKUP(E2284, Products!$A:$B,2,0)</f>
        <v>Chairs Fur-1</v>
      </c>
      <c r="U2284" t="str">
        <f>VLOOKUP(E2284,Products!$A:$C,3,0)</f>
        <v>Furniture</v>
      </c>
      <c r="V2284" t="str">
        <f>VLOOKUP(E2284,Products!$A:$D,4,0)</f>
        <v>Chairs</v>
      </c>
      <c r="W2284" t="str">
        <f>VLOOKUP(D2284,Customers!$A:$C,3,0)</f>
        <v>Enterprise</v>
      </c>
      <c r="X2284" t="str">
        <f>VLOOKUP(C2284,Sales_Representatives!$A:$B,2,0)</f>
        <v>Jessica Anderson</v>
      </c>
    </row>
    <row r="2285" spans="1:24" x14ac:dyDescent="0.3">
      <c r="A2285" t="s">
        <v>3211</v>
      </c>
      <c r="B2285" t="s">
        <v>3212</v>
      </c>
      <c r="C2285" t="s">
        <v>70</v>
      </c>
      <c r="D2285" t="s">
        <v>2007</v>
      </c>
      <c r="E2285" t="s">
        <v>38</v>
      </c>
      <c r="F2285">
        <v>48</v>
      </c>
      <c r="G2285">
        <v>581.47</v>
      </c>
      <c r="H2285">
        <v>0.21</v>
      </c>
      <c r="I2285" s="4">
        <v>22049.34</v>
      </c>
      <c r="J2285" t="s">
        <v>16</v>
      </c>
      <c r="K2285" t="s">
        <v>22</v>
      </c>
      <c r="L2285" s="4">
        <f>VLOOKUP(tblTransactions[[#This Row],[Product_ID]],tblProducts[],5,FALSE)</f>
        <v>372.07</v>
      </c>
      <c r="M2285" s="4">
        <f>tblTransactions[[#This Row],[Total_Amount]]-(tblTransactions[[#This Row],[Cost_Prices]]*tblTransactions[[#This Row],[Quantity]]*(1-tblTransactions[[#This Row],[Discount]]))</f>
        <v>7940.4455999999991</v>
      </c>
      <c r="N2285" s="3">
        <f>tblTransactions[[#This Row],[Profit]]/tblTransactions[[#This Row],[Total_Amount]]</f>
        <v>0.36012169071727312</v>
      </c>
      <c r="O2285" t="str">
        <f>TEXT(tblTransactions[[#This Row],[Date]], "MMM-YYYY")</f>
        <v>May-2024</v>
      </c>
      <c r="P2285" t="str">
        <f>"Q"&amp;ROUNDUP(MONTH(tblTransactions[[#This Row],[Date]])/3,0)&amp;"-"&amp;YEAR(tblTransactions[[#This Row],[Date]])</f>
        <v>Q2-2024</v>
      </c>
      <c r="Q2285">
        <f>YEAR(tblTransactions[[#This Row],[Date]])</f>
        <v>2024</v>
      </c>
      <c r="R2285" t="str">
        <f>TEXT(tblTransactions[[#This Row],[Date]],"DDDD")</f>
        <v>Thursday</v>
      </c>
      <c r="S2285">
        <f>MONTH(tblTransactions[[#This Row],[Date]])</f>
        <v>5</v>
      </c>
      <c r="T2285" t="str">
        <f>VLOOKUP(E2285, Products!$A:$B,2,0)</f>
        <v>Storage Fur-3</v>
      </c>
      <c r="U2285" t="str">
        <f>VLOOKUP(E2285,Products!$A:$C,3,0)</f>
        <v>Furniture</v>
      </c>
      <c r="V2285" t="str">
        <f>VLOOKUP(E2285,Products!$A:$D,4,0)</f>
        <v>Storage</v>
      </c>
      <c r="W2285" t="str">
        <f>VLOOKUP(D2285,Customers!$A:$C,3,0)</f>
        <v>Enterprise</v>
      </c>
      <c r="X2285" t="str">
        <f>VLOOKUP(C2285,Sales_Representatives!$A:$B,2,0)</f>
        <v>Linda Smith</v>
      </c>
    </row>
    <row r="2286" spans="1:24" x14ac:dyDescent="0.3">
      <c r="A2286" t="s">
        <v>3213</v>
      </c>
      <c r="B2286" t="s">
        <v>3212</v>
      </c>
      <c r="C2286" t="s">
        <v>63</v>
      </c>
      <c r="D2286" t="s">
        <v>2329</v>
      </c>
      <c r="E2286" t="s">
        <v>108</v>
      </c>
      <c r="F2286">
        <v>2</v>
      </c>
      <c r="G2286">
        <v>155.75</v>
      </c>
      <c r="H2286">
        <v>0.02</v>
      </c>
      <c r="I2286" s="4">
        <v>305.27</v>
      </c>
      <c r="J2286" t="s">
        <v>21</v>
      </c>
      <c r="K2286" t="s">
        <v>48</v>
      </c>
      <c r="L2286" s="4">
        <f>VLOOKUP(tblTransactions[[#This Row],[Product_ID]],tblProducts[],5,FALSE)</f>
        <v>80.8</v>
      </c>
      <c r="M2286" s="4">
        <f>tblTransactions[[#This Row],[Total_Amount]]-(tblTransactions[[#This Row],[Cost_Prices]]*tblTransactions[[#This Row],[Quantity]]*(1-tblTransactions[[#This Row],[Discount]]))</f>
        <v>146.90199999999999</v>
      </c>
      <c r="N2286" s="3">
        <f>tblTransactions[[#This Row],[Profit]]/tblTransactions[[#This Row],[Total_Amount]]</f>
        <v>0.48121990369181378</v>
      </c>
      <c r="O2286" t="str">
        <f>TEXT(tblTransactions[[#This Row],[Date]], "MMM-YYYY")</f>
        <v>May-2024</v>
      </c>
      <c r="P2286" t="str">
        <f>"Q"&amp;ROUNDUP(MONTH(tblTransactions[[#This Row],[Date]])/3,0)&amp;"-"&amp;YEAR(tblTransactions[[#This Row],[Date]])</f>
        <v>Q2-2024</v>
      </c>
      <c r="Q2286">
        <f>YEAR(tblTransactions[[#This Row],[Date]])</f>
        <v>2024</v>
      </c>
      <c r="R2286" t="str">
        <f>TEXT(tblTransactions[[#This Row],[Date]],"DDDD")</f>
        <v>Thursday</v>
      </c>
      <c r="S2286">
        <f>MONTH(tblTransactions[[#This Row],[Date]])</f>
        <v>5</v>
      </c>
      <c r="T2286" t="str">
        <f>VLOOKUP(E2286, Products!$A:$B,2,0)</f>
        <v>Cases Acc-1</v>
      </c>
      <c r="U2286" t="str">
        <f>VLOOKUP(E2286,Products!$A:$C,3,0)</f>
        <v>Accessories</v>
      </c>
      <c r="V2286" t="str">
        <f>VLOOKUP(E2286,Products!$A:$D,4,0)</f>
        <v>Cases</v>
      </c>
      <c r="W2286" t="str">
        <f>VLOOKUP(D2286,Customers!$A:$C,3,0)</f>
        <v>B2C</v>
      </c>
      <c r="X2286" t="str">
        <f>VLOOKUP(C2286,Sales_Representatives!$A:$B,2,0)</f>
        <v>Richard Wilson</v>
      </c>
    </row>
    <row r="2287" spans="1:24" x14ac:dyDescent="0.3">
      <c r="A2287" t="s">
        <v>3214</v>
      </c>
      <c r="B2287" t="s">
        <v>3212</v>
      </c>
      <c r="C2287" t="s">
        <v>131</v>
      </c>
      <c r="D2287" t="s">
        <v>2690</v>
      </c>
      <c r="E2287" t="s">
        <v>96</v>
      </c>
      <c r="F2287">
        <v>45</v>
      </c>
      <c r="G2287">
        <v>751.9</v>
      </c>
      <c r="H2287">
        <v>0.22</v>
      </c>
      <c r="I2287" s="4">
        <v>26391.69</v>
      </c>
      <c r="J2287" t="s">
        <v>44</v>
      </c>
      <c r="K2287" t="s">
        <v>35</v>
      </c>
      <c r="L2287" s="4">
        <f>VLOOKUP(tblTransactions[[#This Row],[Product_ID]],tblProducts[],5,FALSE)</f>
        <v>570.29</v>
      </c>
      <c r="M2287" s="4">
        <f>tblTransactions[[#This Row],[Total_Amount]]-(tblTransactions[[#This Row],[Cost_Prices]]*tblTransactions[[#This Row],[Quantity]]*(1-tblTransactions[[#This Row],[Discount]]))</f>
        <v>6374.5109999999986</v>
      </c>
      <c r="N2287" s="3">
        <f>tblTransactions[[#This Row],[Profit]]/tblTransactions[[#This Row],[Total_Amount]]</f>
        <v>0.24153477856097882</v>
      </c>
      <c r="O2287" t="str">
        <f>TEXT(tblTransactions[[#This Row],[Date]], "MMM-YYYY")</f>
        <v>May-2024</v>
      </c>
      <c r="P2287" t="str">
        <f>"Q"&amp;ROUNDUP(MONTH(tblTransactions[[#This Row],[Date]])/3,0)&amp;"-"&amp;YEAR(tblTransactions[[#This Row],[Date]])</f>
        <v>Q2-2024</v>
      </c>
      <c r="Q2287">
        <f>YEAR(tblTransactions[[#This Row],[Date]])</f>
        <v>2024</v>
      </c>
      <c r="R2287" t="str">
        <f>TEXT(tblTransactions[[#This Row],[Date]],"DDDD")</f>
        <v>Thursday</v>
      </c>
      <c r="S2287">
        <f>MONTH(tblTransactions[[#This Row],[Date]])</f>
        <v>5</v>
      </c>
      <c r="T2287" t="str">
        <f>VLOOKUP(E2287, Products!$A:$B,2,0)</f>
        <v>Routers Tec-1</v>
      </c>
      <c r="U2287" t="str">
        <f>VLOOKUP(E2287,Products!$A:$C,3,0)</f>
        <v>Technology</v>
      </c>
      <c r="V2287" t="str">
        <f>VLOOKUP(E2287,Products!$A:$D,4,0)</f>
        <v>Routers</v>
      </c>
      <c r="W2287" t="str">
        <f>VLOOKUP(D2287,Customers!$A:$C,3,0)</f>
        <v>Enterprise</v>
      </c>
      <c r="X2287" t="str">
        <f>VLOOKUP(C2287,Sales_Representatives!$A:$B,2,0)</f>
        <v>Michael Davis</v>
      </c>
    </row>
    <row r="2288" spans="1:24" x14ac:dyDescent="0.3">
      <c r="A2288" t="s">
        <v>3215</v>
      </c>
      <c r="B2288" t="s">
        <v>3212</v>
      </c>
      <c r="C2288" t="s">
        <v>82</v>
      </c>
      <c r="D2288" t="s">
        <v>1578</v>
      </c>
      <c r="E2288" t="s">
        <v>176</v>
      </c>
      <c r="F2288">
        <v>7</v>
      </c>
      <c r="G2288">
        <v>1462.68</v>
      </c>
      <c r="H2288">
        <v>0.12</v>
      </c>
      <c r="I2288" s="4">
        <v>9010.11</v>
      </c>
      <c r="J2288" t="s">
        <v>34</v>
      </c>
      <c r="K2288" t="s">
        <v>48</v>
      </c>
      <c r="L2288" s="4">
        <f>VLOOKUP(tblTransactions[[#This Row],[Product_ID]],tblProducts[],5,FALSE)</f>
        <v>775.94</v>
      </c>
      <c r="M2288" s="4">
        <f>tblTransactions[[#This Row],[Total_Amount]]-(tblTransactions[[#This Row],[Cost_Prices]]*tblTransactions[[#This Row],[Quantity]]*(1-tblTransactions[[#This Row],[Discount]]))</f>
        <v>4230.3196000000007</v>
      </c>
      <c r="N2288" s="3">
        <f>tblTransactions[[#This Row],[Profit]]/tblTransactions[[#This Row],[Total_Amount]]</f>
        <v>0.46950809701546381</v>
      </c>
      <c r="O2288" t="str">
        <f>TEXT(tblTransactions[[#This Row],[Date]], "MMM-YYYY")</f>
        <v>May-2024</v>
      </c>
      <c r="P2288" t="str">
        <f>"Q"&amp;ROUNDUP(MONTH(tblTransactions[[#This Row],[Date]])/3,0)&amp;"-"&amp;YEAR(tblTransactions[[#This Row],[Date]])</f>
        <v>Q2-2024</v>
      </c>
      <c r="Q2288">
        <f>YEAR(tblTransactions[[#This Row],[Date]])</f>
        <v>2024</v>
      </c>
      <c r="R2288" t="str">
        <f>TEXT(tblTransactions[[#This Row],[Date]],"DDDD")</f>
        <v>Thursday</v>
      </c>
      <c r="S2288">
        <f>MONTH(tblTransactions[[#This Row],[Date]])</f>
        <v>5</v>
      </c>
      <c r="T2288" t="str">
        <f>VLOOKUP(E2288, Products!$A:$B,2,0)</f>
        <v>Chairs Fur-2</v>
      </c>
      <c r="U2288" t="str">
        <f>VLOOKUP(E2288,Products!$A:$C,3,0)</f>
        <v>Furniture</v>
      </c>
      <c r="V2288" t="str">
        <f>VLOOKUP(E2288,Products!$A:$D,4,0)</f>
        <v>Chairs</v>
      </c>
      <c r="W2288" t="str">
        <f>VLOOKUP(D2288,Customers!$A:$C,3,0)</f>
        <v>Enterprise</v>
      </c>
      <c r="X2288" t="str">
        <f>VLOOKUP(C2288,Sales_Representatives!$A:$B,2,0)</f>
        <v>John Brown</v>
      </c>
    </row>
    <row r="2289" spans="1:24" x14ac:dyDescent="0.3">
      <c r="A2289" t="s">
        <v>3216</v>
      </c>
      <c r="B2289" t="s">
        <v>3212</v>
      </c>
      <c r="C2289" t="s">
        <v>75</v>
      </c>
      <c r="D2289" t="s">
        <v>1608</v>
      </c>
      <c r="E2289" t="s">
        <v>87</v>
      </c>
      <c r="F2289">
        <v>6</v>
      </c>
      <c r="G2289">
        <v>1047.8900000000001</v>
      </c>
      <c r="H2289">
        <v>0.06</v>
      </c>
      <c r="I2289" s="4">
        <v>5910.1</v>
      </c>
      <c r="J2289" t="s">
        <v>44</v>
      </c>
      <c r="K2289" t="s">
        <v>39</v>
      </c>
      <c r="L2289" s="4">
        <f>VLOOKUP(tblTransactions[[#This Row],[Product_ID]],tblProducts[],5,FALSE)</f>
        <v>742.63</v>
      </c>
      <c r="M2289" s="4">
        <f>tblTransactions[[#This Row],[Total_Amount]]-(tblTransactions[[#This Row],[Cost_Prices]]*tblTransactions[[#This Row],[Quantity]]*(1-tblTransactions[[#This Row],[Discount]]))</f>
        <v>1721.6668000000009</v>
      </c>
      <c r="N2289" s="3">
        <f>tblTransactions[[#This Row],[Profit]]/tblTransactions[[#This Row],[Total_Amount]]</f>
        <v>0.29130925026649307</v>
      </c>
      <c r="O2289" t="str">
        <f>TEXT(tblTransactions[[#This Row],[Date]], "MMM-YYYY")</f>
        <v>May-2024</v>
      </c>
      <c r="P2289" t="str">
        <f>"Q"&amp;ROUNDUP(MONTH(tblTransactions[[#This Row],[Date]])/3,0)&amp;"-"&amp;YEAR(tblTransactions[[#This Row],[Date]])</f>
        <v>Q2-2024</v>
      </c>
      <c r="Q2289">
        <f>YEAR(tblTransactions[[#This Row],[Date]])</f>
        <v>2024</v>
      </c>
      <c r="R2289" t="str">
        <f>TEXT(tblTransactions[[#This Row],[Date]],"DDDD")</f>
        <v>Thursday</v>
      </c>
      <c r="S2289">
        <f>MONTH(tblTransactions[[#This Row],[Date]])</f>
        <v>5</v>
      </c>
      <c r="T2289" t="str">
        <f>VLOOKUP(E2289, Products!$A:$B,2,0)</f>
        <v>Monitors Tec-2</v>
      </c>
      <c r="U2289" t="str">
        <f>VLOOKUP(E2289,Products!$A:$C,3,0)</f>
        <v>Technology</v>
      </c>
      <c r="V2289" t="str">
        <f>VLOOKUP(E2289,Products!$A:$D,4,0)</f>
        <v>Monitors</v>
      </c>
      <c r="W2289" t="str">
        <f>VLOOKUP(D2289,Customers!$A:$C,3,0)</f>
        <v>B2C</v>
      </c>
      <c r="X2289" t="str">
        <f>VLOOKUP(C2289,Sales_Representatives!$A:$B,2,0)</f>
        <v>Jessica Anderson</v>
      </c>
    </row>
    <row r="2290" spans="1:24" x14ac:dyDescent="0.3">
      <c r="A2290" t="s">
        <v>3217</v>
      </c>
      <c r="B2290" t="s">
        <v>3218</v>
      </c>
      <c r="C2290" t="s">
        <v>70</v>
      </c>
      <c r="D2290" t="s">
        <v>2430</v>
      </c>
      <c r="E2290" t="s">
        <v>200</v>
      </c>
      <c r="F2290">
        <v>10</v>
      </c>
      <c r="G2290">
        <v>544.77</v>
      </c>
      <c r="H2290">
        <v>0.08</v>
      </c>
      <c r="I2290" s="4">
        <v>5011.88</v>
      </c>
      <c r="J2290" t="s">
        <v>16</v>
      </c>
      <c r="K2290" t="s">
        <v>39</v>
      </c>
      <c r="L2290" s="4">
        <f>VLOOKUP(tblTransactions[[#This Row],[Product_ID]],tblProducts[],5,FALSE)</f>
        <v>318.2</v>
      </c>
      <c r="M2290" s="4">
        <f>tblTransactions[[#This Row],[Total_Amount]]-(tblTransactions[[#This Row],[Cost_Prices]]*tblTransactions[[#This Row],[Quantity]]*(1-tblTransactions[[#This Row],[Discount]]))</f>
        <v>2084.44</v>
      </c>
      <c r="N2290" s="3">
        <f>tblTransactions[[#This Row],[Profit]]/tblTransactions[[#This Row],[Total_Amount]]</f>
        <v>0.41589982202287368</v>
      </c>
      <c r="O2290" t="str">
        <f>TEXT(tblTransactions[[#This Row],[Date]], "MMM-YYYY")</f>
        <v>May-2024</v>
      </c>
      <c r="P2290" t="str">
        <f>"Q"&amp;ROUNDUP(MONTH(tblTransactions[[#This Row],[Date]])/3,0)&amp;"-"&amp;YEAR(tblTransactions[[#This Row],[Date]])</f>
        <v>Q2-2024</v>
      </c>
      <c r="Q2290">
        <f>YEAR(tblTransactions[[#This Row],[Date]])</f>
        <v>2024</v>
      </c>
      <c r="R2290" t="str">
        <f>TEXT(tblTransactions[[#This Row],[Date]],"DDDD")</f>
        <v>Friday</v>
      </c>
      <c r="S2290">
        <f>MONTH(tblTransactions[[#This Row],[Date]])</f>
        <v>5</v>
      </c>
      <c r="T2290" t="str">
        <f>VLOOKUP(E2290, Products!$A:$B,2,0)</f>
        <v>Desks Fur-4</v>
      </c>
      <c r="U2290" t="str">
        <f>VLOOKUP(E2290,Products!$A:$C,3,0)</f>
        <v>Furniture</v>
      </c>
      <c r="V2290" t="str">
        <f>VLOOKUP(E2290,Products!$A:$D,4,0)</f>
        <v>Desks</v>
      </c>
      <c r="W2290" t="str">
        <f>VLOOKUP(D2290,Customers!$A:$C,3,0)</f>
        <v>B2B</v>
      </c>
      <c r="X2290" t="str">
        <f>VLOOKUP(C2290,Sales_Representatives!$A:$B,2,0)</f>
        <v>Linda Smith</v>
      </c>
    </row>
    <row r="2291" spans="1:24" x14ac:dyDescent="0.3">
      <c r="A2291" t="s">
        <v>3219</v>
      </c>
      <c r="B2291" t="s">
        <v>3218</v>
      </c>
      <c r="C2291" t="s">
        <v>19</v>
      </c>
      <c r="D2291" t="s">
        <v>1794</v>
      </c>
      <c r="E2291" t="s">
        <v>221</v>
      </c>
      <c r="F2291">
        <v>6</v>
      </c>
      <c r="G2291">
        <v>210.02</v>
      </c>
      <c r="H2291">
        <v>0.14000000000000001</v>
      </c>
      <c r="I2291" s="4">
        <v>1083.7</v>
      </c>
      <c r="J2291" t="s">
        <v>21</v>
      </c>
      <c r="K2291" t="s">
        <v>22</v>
      </c>
      <c r="L2291" s="4">
        <f>VLOOKUP(tblTransactions[[#This Row],[Product_ID]],tblProducts[],5,FALSE)</f>
        <v>131.66</v>
      </c>
      <c r="M2291" s="4">
        <f>tblTransactions[[#This Row],[Total_Amount]]-(tblTransactions[[#This Row],[Cost_Prices]]*tblTransactions[[#This Row],[Quantity]]*(1-tblTransactions[[#This Row],[Discount]]))</f>
        <v>404.33440000000007</v>
      </c>
      <c r="N2291" s="3">
        <f>tblTransactions[[#This Row],[Profit]]/tblTransactions[[#This Row],[Total_Amount]]</f>
        <v>0.37310547199409438</v>
      </c>
      <c r="O2291" t="str">
        <f>TEXT(tblTransactions[[#This Row],[Date]], "MMM-YYYY")</f>
        <v>May-2024</v>
      </c>
      <c r="P2291" t="str">
        <f>"Q"&amp;ROUNDUP(MONTH(tblTransactions[[#This Row],[Date]])/3,0)&amp;"-"&amp;YEAR(tblTransactions[[#This Row],[Date]])</f>
        <v>Q2-2024</v>
      </c>
      <c r="Q2291">
        <f>YEAR(tblTransactions[[#This Row],[Date]])</f>
        <v>2024</v>
      </c>
      <c r="R2291" t="str">
        <f>TEXT(tblTransactions[[#This Row],[Date]],"DDDD")</f>
        <v>Friday</v>
      </c>
      <c r="S2291">
        <f>MONTH(tblTransactions[[#This Row],[Date]])</f>
        <v>5</v>
      </c>
      <c r="T2291" t="str">
        <f>VLOOKUP(E2291, Products!$A:$B,2,0)</f>
        <v>Storage Fur-2</v>
      </c>
      <c r="U2291" t="str">
        <f>VLOOKUP(E2291,Products!$A:$C,3,0)</f>
        <v>Furniture</v>
      </c>
      <c r="V2291" t="str">
        <f>VLOOKUP(E2291,Products!$A:$D,4,0)</f>
        <v>Storage</v>
      </c>
      <c r="W2291" t="str">
        <f>VLOOKUP(D2291,Customers!$A:$C,3,0)</f>
        <v>B2B</v>
      </c>
      <c r="X2291" t="str">
        <f>VLOOKUP(C2291,Sales_Representatives!$A:$B,2,0)</f>
        <v>Robert Jones</v>
      </c>
    </row>
    <row r="2292" spans="1:24" x14ac:dyDescent="0.3">
      <c r="A2292" t="s">
        <v>3220</v>
      </c>
      <c r="B2292" t="s">
        <v>3218</v>
      </c>
      <c r="C2292" t="s">
        <v>70</v>
      </c>
      <c r="D2292" t="s">
        <v>1705</v>
      </c>
      <c r="E2292" t="s">
        <v>587</v>
      </c>
      <c r="F2292">
        <v>5</v>
      </c>
      <c r="G2292">
        <v>58.54</v>
      </c>
      <c r="H2292">
        <v>0.01</v>
      </c>
      <c r="I2292" s="4">
        <v>289.77</v>
      </c>
      <c r="J2292" t="s">
        <v>16</v>
      </c>
      <c r="K2292" t="s">
        <v>48</v>
      </c>
      <c r="L2292" s="4">
        <f>VLOOKUP(tblTransactions[[#This Row],[Product_ID]],tblProducts[],5,FALSE)</f>
        <v>25.43</v>
      </c>
      <c r="M2292" s="4">
        <f>tblTransactions[[#This Row],[Total_Amount]]-(tblTransactions[[#This Row],[Cost_Prices]]*tblTransactions[[#This Row],[Quantity]]*(1-tblTransactions[[#This Row],[Discount]]))</f>
        <v>163.89149999999998</v>
      </c>
      <c r="N2292" s="3">
        <f>tblTransactions[[#This Row],[Profit]]/tblTransactions[[#This Row],[Total_Amount]]</f>
        <v>0.56559167615695205</v>
      </c>
      <c r="O2292" t="str">
        <f>TEXT(tblTransactions[[#This Row],[Date]], "MMM-YYYY")</f>
        <v>May-2024</v>
      </c>
      <c r="P2292" t="str">
        <f>"Q"&amp;ROUNDUP(MONTH(tblTransactions[[#This Row],[Date]])/3,0)&amp;"-"&amp;YEAR(tblTransactions[[#This Row],[Date]])</f>
        <v>Q2-2024</v>
      </c>
      <c r="Q2292">
        <f>YEAR(tblTransactions[[#This Row],[Date]])</f>
        <v>2024</v>
      </c>
      <c r="R2292" t="str">
        <f>TEXT(tblTransactions[[#This Row],[Date]],"DDDD")</f>
        <v>Friday</v>
      </c>
      <c r="S2292">
        <f>MONTH(tblTransactions[[#This Row],[Date]])</f>
        <v>5</v>
      </c>
      <c r="T2292" t="str">
        <f>VLOOKUP(E2292, Products!$A:$B,2,0)</f>
        <v>Paper Off-2</v>
      </c>
      <c r="U2292" t="str">
        <f>VLOOKUP(E2292,Products!$A:$C,3,0)</f>
        <v>Office Supplies</v>
      </c>
      <c r="V2292" t="str">
        <f>VLOOKUP(E2292,Products!$A:$D,4,0)</f>
        <v>Paper</v>
      </c>
      <c r="W2292" t="str">
        <f>VLOOKUP(D2292,Customers!$A:$C,3,0)</f>
        <v>B2C</v>
      </c>
      <c r="X2292" t="str">
        <f>VLOOKUP(C2292,Sales_Representatives!$A:$B,2,0)</f>
        <v>Linda Smith</v>
      </c>
    </row>
    <row r="2293" spans="1:24" x14ac:dyDescent="0.3">
      <c r="A2293" t="s">
        <v>3221</v>
      </c>
      <c r="B2293" t="s">
        <v>3218</v>
      </c>
      <c r="C2293" t="s">
        <v>131</v>
      </c>
      <c r="D2293" t="s">
        <v>1518</v>
      </c>
      <c r="E2293" t="s">
        <v>61</v>
      </c>
      <c r="F2293">
        <v>2</v>
      </c>
      <c r="G2293">
        <v>92.07</v>
      </c>
      <c r="H2293">
        <v>0.04</v>
      </c>
      <c r="I2293" s="4">
        <v>176.77</v>
      </c>
      <c r="J2293" t="s">
        <v>44</v>
      </c>
      <c r="K2293" t="s">
        <v>48</v>
      </c>
      <c r="L2293" s="4">
        <f>VLOOKUP(tblTransactions[[#This Row],[Product_ID]],tblProducts[],5,FALSE)</f>
        <v>56.98</v>
      </c>
      <c r="M2293" s="4">
        <f>tblTransactions[[#This Row],[Total_Amount]]-(tblTransactions[[#This Row],[Cost_Prices]]*tblTransactions[[#This Row],[Quantity]]*(1-tblTransactions[[#This Row],[Discount]]))</f>
        <v>67.368400000000022</v>
      </c>
      <c r="N2293" s="3">
        <f>tblTransactions[[#This Row],[Profit]]/tblTransactions[[#This Row],[Total_Amount]]</f>
        <v>0.38110765401369023</v>
      </c>
      <c r="O2293" t="str">
        <f>TEXT(tblTransactions[[#This Row],[Date]], "MMM-YYYY")</f>
        <v>May-2024</v>
      </c>
      <c r="P2293" t="str">
        <f>"Q"&amp;ROUNDUP(MONTH(tblTransactions[[#This Row],[Date]])/3,0)&amp;"-"&amp;YEAR(tblTransactions[[#This Row],[Date]])</f>
        <v>Q2-2024</v>
      </c>
      <c r="Q2293">
        <f>YEAR(tblTransactions[[#This Row],[Date]])</f>
        <v>2024</v>
      </c>
      <c r="R2293" t="str">
        <f>TEXT(tblTransactions[[#This Row],[Date]],"DDDD")</f>
        <v>Friday</v>
      </c>
      <c r="S2293">
        <f>MONTH(tblTransactions[[#This Row],[Date]])</f>
        <v>5</v>
      </c>
      <c r="T2293" t="str">
        <f>VLOOKUP(E2293, Products!$A:$B,2,0)</f>
        <v>Pens Off-4</v>
      </c>
      <c r="U2293" t="str">
        <f>VLOOKUP(E2293,Products!$A:$C,3,0)</f>
        <v>Office Supplies</v>
      </c>
      <c r="V2293" t="str">
        <f>VLOOKUP(E2293,Products!$A:$D,4,0)</f>
        <v>Pens</v>
      </c>
      <c r="W2293" t="str">
        <f>VLOOKUP(D2293,Customers!$A:$C,3,0)</f>
        <v>B2C</v>
      </c>
      <c r="X2293" t="str">
        <f>VLOOKUP(C2293,Sales_Representatives!$A:$B,2,0)</f>
        <v>Michael Davis</v>
      </c>
    </row>
    <row r="2294" spans="1:24" x14ac:dyDescent="0.3">
      <c r="A2294" t="s">
        <v>3222</v>
      </c>
      <c r="B2294" t="s">
        <v>3218</v>
      </c>
      <c r="C2294" t="s">
        <v>70</v>
      </c>
      <c r="D2294" t="s">
        <v>1768</v>
      </c>
      <c r="E2294" t="s">
        <v>508</v>
      </c>
      <c r="F2294">
        <v>4</v>
      </c>
      <c r="G2294">
        <v>237.69</v>
      </c>
      <c r="H2294">
        <v>0.1</v>
      </c>
      <c r="I2294" s="4">
        <v>855.68</v>
      </c>
      <c r="J2294" t="s">
        <v>16</v>
      </c>
      <c r="K2294" t="s">
        <v>22</v>
      </c>
      <c r="L2294" s="4">
        <f>VLOOKUP(tblTransactions[[#This Row],[Product_ID]],tblProducts[],5,FALSE)</f>
        <v>115.31</v>
      </c>
      <c r="M2294" s="4">
        <f>tblTransactions[[#This Row],[Total_Amount]]-(tblTransactions[[#This Row],[Cost_Prices]]*tblTransactions[[#This Row],[Quantity]]*(1-tblTransactions[[#This Row],[Discount]]))</f>
        <v>440.56399999999991</v>
      </c>
      <c r="N2294" s="3">
        <f>tblTransactions[[#This Row],[Profit]]/tblTransactions[[#This Row],[Total_Amount]]</f>
        <v>0.51487004487658927</v>
      </c>
      <c r="O2294" t="str">
        <f>TEXT(tblTransactions[[#This Row],[Date]], "MMM-YYYY")</f>
        <v>May-2024</v>
      </c>
      <c r="P2294" t="str">
        <f>"Q"&amp;ROUNDUP(MONTH(tblTransactions[[#This Row],[Date]])/3,0)&amp;"-"&amp;YEAR(tblTransactions[[#This Row],[Date]])</f>
        <v>Q2-2024</v>
      </c>
      <c r="Q2294">
        <f>YEAR(tblTransactions[[#This Row],[Date]])</f>
        <v>2024</v>
      </c>
      <c r="R2294" t="str">
        <f>TEXT(tblTransactions[[#This Row],[Date]],"DDDD")</f>
        <v>Friday</v>
      </c>
      <c r="S2294">
        <f>MONTH(tblTransactions[[#This Row],[Date]])</f>
        <v>5</v>
      </c>
      <c r="T2294" t="str">
        <f>VLOOKUP(E2294, Products!$A:$B,2,0)</f>
        <v>Folders Off-3</v>
      </c>
      <c r="U2294" t="str">
        <f>VLOOKUP(E2294,Products!$A:$C,3,0)</f>
        <v>Office Supplies</v>
      </c>
      <c r="V2294" t="str">
        <f>VLOOKUP(E2294,Products!$A:$D,4,0)</f>
        <v>Folders</v>
      </c>
      <c r="W2294" t="str">
        <f>VLOOKUP(D2294,Customers!$A:$C,3,0)</f>
        <v>B2C</v>
      </c>
      <c r="X2294" t="str">
        <f>VLOOKUP(C2294,Sales_Representatives!$A:$B,2,0)</f>
        <v>Linda Smith</v>
      </c>
    </row>
    <row r="2295" spans="1:24" x14ac:dyDescent="0.3">
      <c r="A2295" t="s">
        <v>3223</v>
      </c>
      <c r="B2295" t="s">
        <v>3218</v>
      </c>
      <c r="C2295" t="s">
        <v>27</v>
      </c>
      <c r="D2295" t="s">
        <v>2159</v>
      </c>
      <c r="E2295" t="s">
        <v>89</v>
      </c>
      <c r="F2295">
        <v>17</v>
      </c>
      <c r="G2295">
        <v>555.08000000000004</v>
      </c>
      <c r="H2295">
        <v>0.12</v>
      </c>
      <c r="I2295" s="4">
        <v>8304</v>
      </c>
      <c r="J2295" t="s">
        <v>16</v>
      </c>
      <c r="K2295" t="s">
        <v>48</v>
      </c>
      <c r="L2295" s="4">
        <f>VLOOKUP(tblTransactions[[#This Row],[Product_ID]],tblProducts[],5,FALSE)</f>
        <v>402.82</v>
      </c>
      <c r="M2295" s="4">
        <f>tblTransactions[[#This Row],[Total_Amount]]-(tblTransactions[[#This Row],[Cost_Prices]]*tblTransactions[[#This Row],[Quantity]]*(1-tblTransactions[[#This Row],[Discount]]))</f>
        <v>2277.8128000000006</v>
      </c>
      <c r="N2295" s="3">
        <f>tblTransactions[[#This Row],[Profit]]/tblTransactions[[#This Row],[Total_Amount]]</f>
        <v>0.27430308285163785</v>
      </c>
      <c r="O2295" t="str">
        <f>TEXT(tblTransactions[[#This Row],[Date]], "MMM-YYYY")</f>
        <v>May-2024</v>
      </c>
      <c r="P2295" t="str">
        <f>"Q"&amp;ROUNDUP(MONTH(tblTransactions[[#This Row],[Date]])/3,0)&amp;"-"&amp;YEAR(tblTransactions[[#This Row],[Date]])</f>
        <v>Q2-2024</v>
      </c>
      <c r="Q2295">
        <f>YEAR(tblTransactions[[#This Row],[Date]])</f>
        <v>2024</v>
      </c>
      <c r="R2295" t="str">
        <f>TEXT(tblTransactions[[#This Row],[Date]],"DDDD")</f>
        <v>Friday</v>
      </c>
      <c r="S2295">
        <f>MONTH(tblTransactions[[#This Row],[Date]])</f>
        <v>5</v>
      </c>
      <c r="T2295" t="str">
        <f>VLOOKUP(E2295, Products!$A:$B,2,0)</f>
        <v>Laptops Ele-3</v>
      </c>
      <c r="U2295" t="str">
        <f>VLOOKUP(E2295,Products!$A:$C,3,0)</f>
        <v>Electronics</v>
      </c>
      <c r="V2295" t="str">
        <f>VLOOKUP(E2295,Products!$A:$D,4,0)</f>
        <v>Laptops</v>
      </c>
      <c r="W2295" t="str">
        <f>VLOOKUP(D2295,Customers!$A:$C,3,0)</f>
        <v>B2B</v>
      </c>
      <c r="X2295" t="str">
        <f>VLOOKUP(C2295,Sales_Representatives!$A:$B,2,0)</f>
        <v>Thomas Lopez</v>
      </c>
    </row>
    <row r="2296" spans="1:24" x14ac:dyDescent="0.3">
      <c r="A2296" t="s">
        <v>3224</v>
      </c>
      <c r="B2296" t="s">
        <v>3218</v>
      </c>
      <c r="C2296" t="s">
        <v>59</v>
      </c>
      <c r="D2296" t="s">
        <v>1988</v>
      </c>
      <c r="E2296" t="s">
        <v>176</v>
      </c>
      <c r="F2296">
        <v>10</v>
      </c>
      <c r="G2296">
        <v>1462.68</v>
      </c>
      <c r="H2296">
        <v>0.08</v>
      </c>
      <c r="I2296" s="4">
        <v>13456.66</v>
      </c>
      <c r="J2296" t="s">
        <v>21</v>
      </c>
      <c r="K2296" t="s">
        <v>17</v>
      </c>
      <c r="L2296" s="4">
        <f>VLOOKUP(tblTransactions[[#This Row],[Product_ID]],tblProducts[],5,FALSE)</f>
        <v>775.94</v>
      </c>
      <c r="M2296" s="4">
        <f>tblTransactions[[#This Row],[Total_Amount]]-(tblTransactions[[#This Row],[Cost_Prices]]*tblTransactions[[#This Row],[Quantity]]*(1-tblTransactions[[#This Row],[Discount]]))</f>
        <v>6318.0119999999988</v>
      </c>
      <c r="N2296" s="3">
        <f>tblTransactions[[#This Row],[Profit]]/tblTransactions[[#This Row],[Total_Amount]]</f>
        <v>0.46950818405161449</v>
      </c>
      <c r="O2296" t="str">
        <f>TEXT(tblTransactions[[#This Row],[Date]], "MMM-YYYY")</f>
        <v>May-2024</v>
      </c>
      <c r="P2296" t="str">
        <f>"Q"&amp;ROUNDUP(MONTH(tblTransactions[[#This Row],[Date]])/3,0)&amp;"-"&amp;YEAR(tblTransactions[[#This Row],[Date]])</f>
        <v>Q2-2024</v>
      </c>
      <c r="Q2296">
        <f>YEAR(tblTransactions[[#This Row],[Date]])</f>
        <v>2024</v>
      </c>
      <c r="R2296" t="str">
        <f>TEXT(tblTransactions[[#This Row],[Date]],"DDDD")</f>
        <v>Friday</v>
      </c>
      <c r="S2296">
        <f>MONTH(tblTransactions[[#This Row],[Date]])</f>
        <v>5</v>
      </c>
      <c r="T2296" t="str">
        <f>VLOOKUP(E2296, Products!$A:$B,2,0)</f>
        <v>Chairs Fur-2</v>
      </c>
      <c r="U2296" t="str">
        <f>VLOOKUP(E2296,Products!$A:$C,3,0)</f>
        <v>Furniture</v>
      </c>
      <c r="V2296" t="str">
        <f>VLOOKUP(E2296,Products!$A:$D,4,0)</f>
        <v>Chairs</v>
      </c>
      <c r="W2296" t="str">
        <f>VLOOKUP(D2296,Customers!$A:$C,3,0)</f>
        <v>Enterprise</v>
      </c>
      <c r="X2296" t="str">
        <f>VLOOKUP(C2296,Sales_Representatives!$A:$B,2,0)</f>
        <v>Sarah Brown</v>
      </c>
    </row>
    <row r="2297" spans="1:24" x14ac:dyDescent="0.3">
      <c r="A2297" t="s">
        <v>3225</v>
      </c>
      <c r="B2297" t="s">
        <v>3218</v>
      </c>
      <c r="C2297" t="s">
        <v>59</v>
      </c>
      <c r="D2297" t="s">
        <v>2137</v>
      </c>
      <c r="E2297" t="s">
        <v>394</v>
      </c>
      <c r="F2297">
        <v>5</v>
      </c>
      <c r="G2297">
        <v>314.69</v>
      </c>
      <c r="H2297">
        <v>0.09</v>
      </c>
      <c r="I2297" s="4">
        <v>1431.84</v>
      </c>
      <c r="J2297" t="s">
        <v>21</v>
      </c>
      <c r="K2297" t="s">
        <v>48</v>
      </c>
      <c r="L2297" s="4">
        <f>VLOOKUP(tblTransactions[[#This Row],[Product_ID]],tblProducts[],5,FALSE)</f>
        <v>185.43</v>
      </c>
      <c r="M2297" s="4">
        <f>tblTransactions[[#This Row],[Total_Amount]]-(tblTransactions[[#This Row],[Cost_Prices]]*tblTransactions[[#This Row],[Quantity]]*(1-tblTransactions[[#This Row],[Discount]]))</f>
        <v>588.1334999999998</v>
      </c>
      <c r="N2297" s="3">
        <f>tblTransactions[[#This Row],[Profit]]/tblTransactions[[#This Row],[Total_Amount]]</f>
        <v>0.41075364565873268</v>
      </c>
      <c r="O2297" t="str">
        <f>TEXT(tblTransactions[[#This Row],[Date]], "MMM-YYYY")</f>
        <v>May-2024</v>
      </c>
      <c r="P2297" t="str">
        <f>"Q"&amp;ROUNDUP(MONTH(tblTransactions[[#This Row],[Date]])/3,0)&amp;"-"&amp;YEAR(tblTransactions[[#This Row],[Date]])</f>
        <v>Q2-2024</v>
      </c>
      <c r="Q2297">
        <f>YEAR(tblTransactions[[#This Row],[Date]])</f>
        <v>2024</v>
      </c>
      <c r="R2297" t="str">
        <f>TEXT(tblTransactions[[#This Row],[Date]],"DDDD")</f>
        <v>Friday</v>
      </c>
      <c r="S2297">
        <f>MONTH(tblTransactions[[#This Row],[Date]])</f>
        <v>5</v>
      </c>
      <c r="T2297" t="str">
        <f>VLOOKUP(E2297, Products!$A:$B,2,0)</f>
        <v>Desks Fur-1</v>
      </c>
      <c r="U2297" t="str">
        <f>VLOOKUP(E2297,Products!$A:$C,3,0)</f>
        <v>Furniture</v>
      </c>
      <c r="V2297" t="str">
        <f>VLOOKUP(E2297,Products!$A:$D,4,0)</f>
        <v>Desks</v>
      </c>
      <c r="W2297" t="str">
        <f>VLOOKUP(D2297,Customers!$A:$C,3,0)</f>
        <v>B2C</v>
      </c>
      <c r="X2297" t="str">
        <f>VLOOKUP(C2297,Sales_Representatives!$A:$B,2,0)</f>
        <v>Sarah Brown</v>
      </c>
    </row>
    <row r="2298" spans="1:24" x14ac:dyDescent="0.3">
      <c r="A2298" t="s">
        <v>3226</v>
      </c>
      <c r="B2298" t="s">
        <v>3227</v>
      </c>
      <c r="C2298" t="s">
        <v>75</v>
      </c>
      <c r="D2298" t="s">
        <v>3014</v>
      </c>
      <c r="E2298" t="s">
        <v>102</v>
      </c>
      <c r="F2298">
        <v>17</v>
      </c>
      <c r="G2298">
        <v>1097.75</v>
      </c>
      <c r="H2298">
        <v>0.18</v>
      </c>
      <c r="I2298" s="4">
        <v>15302.64</v>
      </c>
      <c r="J2298" t="s">
        <v>44</v>
      </c>
      <c r="K2298" t="s">
        <v>17</v>
      </c>
      <c r="L2298" s="4">
        <f>VLOOKUP(tblTransactions[[#This Row],[Product_ID]],tblProducts[],5,FALSE)</f>
        <v>680.12</v>
      </c>
      <c r="M2298" s="4">
        <f>tblTransactions[[#This Row],[Total_Amount]]-(tblTransactions[[#This Row],[Cost_Prices]]*tblTransactions[[#This Row],[Quantity]]*(1-tblTransactions[[#This Row],[Discount]]))</f>
        <v>5821.7671999999984</v>
      </c>
      <c r="N2298" s="3">
        <f>tblTransactions[[#This Row],[Profit]]/tblTransactions[[#This Row],[Total_Amount]]</f>
        <v>0.38044201523397259</v>
      </c>
      <c r="O2298" t="str">
        <f>TEXT(tblTransactions[[#This Row],[Date]], "MMM-YYYY")</f>
        <v>May-2024</v>
      </c>
      <c r="P2298" t="str">
        <f>"Q"&amp;ROUNDUP(MONTH(tblTransactions[[#This Row],[Date]])/3,0)&amp;"-"&amp;YEAR(tblTransactions[[#This Row],[Date]])</f>
        <v>Q2-2024</v>
      </c>
      <c r="Q2298">
        <f>YEAR(tblTransactions[[#This Row],[Date]])</f>
        <v>2024</v>
      </c>
      <c r="R2298" t="str">
        <f>TEXT(tblTransactions[[#This Row],[Date]],"DDDD")</f>
        <v>Saturday</v>
      </c>
      <c r="S2298">
        <f>MONTH(tblTransactions[[#This Row],[Date]])</f>
        <v>5</v>
      </c>
      <c r="T2298" t="str">
        <f>VLOOKUP(E2298, Products!$A:$B,2,0)</f>
        <v>Storage Fur-4</v>
      </c>
      <c r="U2298" t="str">
        <f>VLOOKUP(E2298,Products!$A:$C,3,0)</f>
        <v>Furniture</v>
      </c>
      <c r="V2298" t="str">
        <f>VLOOKUP(E2298,Products!$A:$D,4,0)</f>
        <v>Storage</v>
      </c>
      <c r="W2298" t="str">
        <f>VLOOKUP(D2298,Customers!$A:$C,3,0)</f>
        <v>B2B</v>
      </c>
      <c r="X2298" t="str">
        <f>VLOOKUP(C2298,Sales_Representatives!$A:$B,2,0)</f>
        <v>Jessica Anderson</v>
      </c>
    </row>
    <row r="2299" spans="1:24" x14ac:dyDescent="0.3">
      <c r="A2299" t="s">
        <v>3228</v>
      </c>
      <c r="B2299" t="s">
        <v>3227</v>
      </c>
      <c r="C2299" t="s">
        <v>31</v>
      </c>
      <c r="D2299" t="s">
        <v>1569</v>
      </c>
      <c r="E2299" t="s">
        <v>255</v>
      </c>
      <c r="F2299">
        <v>2</v>
      </c>
      <c r="G2299">
        <v>1444.13</v>
      </c>
      <c r="H2299">
        <v>0.09</v>
      </c>
      <c r="I2299" s="4">
        <v>2628.32</v>
      </c>
      <c r="J2299" t="s">
        <v>34</v>
      </c>
      <c r="K2299" t="s">
        <v>39</v>
      </c>
      <c r="L2299" s="4">
        <f>VLOOKUP(tblTransactions[[#This Row],[Product_ID]],tblProducts[],5,FALSE)</f>
        <v>874.43</v>
      </c>
      <c r="M2299" s="4">
        <f>tblTransactions[[#This Row],[Total_Amount]]-(tblTransactions[[#This Row],[Cost_Prices]]*tblTransactions[[#This Row],[Quantity]]*(1-tblTransactions[[#This Row],[Discount]]))</f>
        <v>1036.8574000000001</v>
      </c>
      <c r="N2299" s="3">
        <f>tblTransactions[[#This Row],[Profit]]/tblTransactions[[#This Row],[Total_Amount]]</f>
        <v>0.39449435380775555</v>
      </c>
      <c r="O2299" t="str">
        <f>TEXT(tblTransactions[[#This Row],[Date]], "MMM-YYYY")</f>
        <v>May-2024</v>
      </c>
      <c r="P2299" t="str">
        <f>"Q"&amp;ROUNDUP(MONTH(tblTransactions[[#This Row],[Date]])/3,0)&amp;"-"&amp;YEAR(tblTransactions[[#This Row],[Date]])</f>
        <v>Q2-2024</v>
      </c>
      <c r="Q2299">
        <f>YEAR(tblTransactions[[#This Row],[Date]])</f>
        <v>2024</v>
      </c>
      <c r="R2299" t="str">
        <f>TEXT(tblTransactions[[#This Row],[Date]],"DDDD")</f>
        <v>Saturday</v>
      </c>
      <c r="S2299">
        <f>MONTH(tblTransactions[[#This Row],[Date]])</f>
        <v>5</v>
      </c>
      <c r="T2299" t="str">
        <f>VLOOKUP(E2299, Products!$A:$B,2,0)</f>
        <v>Printers Tec-1</v>
      </c>
      <c r="U2299" t="str">
        <f>VLOOKUP(E2299,Products!$A:$C,3,0)</f>
        <v>Technology</v>
      </c>
      <c r="V2299" t="str">
        <f>VLOOKUP(E2299,Products!$A:$D,4,0)</f>
        <v>Printers</v>
      </c>
      <c r="W2299" t="str">
        <f>VLOOKUP(D2299,Customers!$A:$C,3,0)</f>
        <v>Small Business</v>
      </c>
      <c r="X2299" t="str">
        <f>VLOOKUP(C2299,Sales_Representatives!$A:$B,2,0)</f>
        <v>Thomas Martinez</v>
      </c>
    </row>
    <row r="2300" spans="1:24" x14ac:dyDescent="0.3">
      <c r="A2300" t="s">
        <v>3229</v>
      </c>
      <c r="B2300" t="s">
        <v>3227</v>
      </c>
      <c r="C2300" t="s">
        <v>31</v>
      </c>
      <c r="D2300" t="s">
        <v>1756</v>
      </c>
      <c r="E2300" t="s">
        <v>129</v>
      </c>
      <c r="F2300">
        <v>3</v>
      </c>
      <c r="G2300">
        <v>1283.71</v>
      </c>
      <c r="H2300">
        <v>0.05</v>
      </c>
      <c r="I2300" s="4">
        <v>3658.57</v>
      </c>
      <c r="J2300" t="s">
        <v>34</v>
      </c>
      <c r="K2300" t="s">
        <v>48</v>
      </c>
      <c r="L2300" s="4">
        <f>VLOOKUP(tblTransactions[[#This Row],[Product_ID]],tblProducts[],5,FALSE)</f>
        <v>970.14</v>
      </c>
      <c r="M2300" s="4">
        <f>tblTransactions[[#This Row],[Total_Amount]]-(tblTransactions[[#This Row],[Cost_Prices]]*tblTransactions[[#This Row],[Quantity]]*(1-tblTransactions[[#This Row],[Discount]]))</f>
        <v>893.67100000000028</v>
      </c>
      <c r="N2300" s="3">
        <f>tblTransactions[[#This Row],[Profit]]/tblTransactions[[#This Row],[Total_Amount]]</f>
        <v>0.24426784235370658</v>
      </c>
      <c r="O2300" t="str">
        <f>TEXT(tblTransactions[[#This Row],[Date]], "MMM-YYYY")</f>
        <v>May-2024</v>
      </c>
      <c r="P2300" t="str">
        <f>"Q"&amp;ROUNDUP(MONTH(tblTransactions[[#This Row],[Date]])/3,0)&amp;"-"&amp;YEAR(tblTransactions[[#This Row],[Date]])</f>
        <v>Q2-2024</v>
      </c>
      <c r="Q2300">
        <f>YEAR(tblTransactions[[#This Row],[Date]])</f>
        <v>2024</v>
      </c>
      <c r="R2300" t="str">
        <f>TEXT(tblTransactions[[#This Row],[Date]],"DDDD")</f>
        <v>Saturday</v>
      </c>
      <c r="S2300">
        <f>MONTH(tblTransactions[[#This Row],[Date]])</f>
        <v>5</v>
      </c>
      <c r="T2300" t="str">
        <f>VLOOKUP(E2300, Products!$A:$B,2,0)</f>
        <v>Cameras Ele-3</v>
      </c>
      <c r="U2300" t="str">
        <f>VLOOKUP(E2300,Products!$A:$C,3,0)</f>
        <v>Electronics</v>
      </c>
      <c r="V2300" t="str">
        <f>VLOOKUP(E2300,Products!$A:$D,4,0)</f>
        <v>Cameras</v>
      </c>
      <c r="W2300" t="str">
        <f>VLOOKUP(D2300,Customers!$A:$C,3,0)</f>
        <v>B2C</v>
      </c>
      <c r="X2300" t="str">
        <f>VLOOKUP(C2300,Sales_Representatives!$A:$B,2,0)</f>
        <v>Thomas Martinez</v>
      </c>
    </row>
    <row r="2301" spans="1:24" x14ac:dyDescent="0.3">
      <c r="A2301" t="s">
        <v>3230</v>
      </c>
      <c r="B2301" t="s">
        <v>3227</v>
      </c>
      <c r="C2301" t="s">
        <v>56</v>
      </c>
      <c r="D2301" t="s">
        <v>2020</v>
      </c>
      <c r="E2301" t="s">
        <v>72</v>
      </c>
      <c r="F2301">
        <v>4</v>
      </c>
      <c r="G2301">
        <v>404.76</v>
      </c>
      <c r="H2301">
        <v>0.01</v>
      </c>
      <c r="I2301" s="4">
        <v>1602.85</v>
      </c>
      <c r="J2301" t="s">
        <v>34</v>
      </c>
      <c r="K2301" t="s">
        <v>48</v>
      </c>
      <c r="L2301" s="4">
        <f>VLOOKUP(tblTransactions[[#This Row],[Product_ID]],tblProducts[],5,FALSE)</f>
        <v>226.76</v>
      </c>
      <c r="M2301" s="4">
        <f>tblTransactions[[#This Row],[Total_Amount]]-(tblTransactions[[#This Row],[Cost_Prices]]*tblTransactions[[#This Row],[Quantity]]*(1-tblTransactions[[#This Row],[Discount]]))</f>
        <v>704.88040000000001</v>
      </c>
      <c r="N2301" s="3">
        <f>tblTransactions[[#This Row],[Profit]]/tblTransactions[[#This Row],[Total_Amount]]</f>
        <v>0.43976691518233152</v>
      </c>
      <c r="O2301" t="str">
        <f>TEXT(tblTransactions[[#This Row],[Date]], "MMM-YYYY")</f>
        <v>May-2024</v>
      </c>
      <c r="P2301" t="str">
        <f>"Q"&amp;ROUNDUP(MONTH(tblTransactions[[#This Row],[Date]])/3,0)&amp;"-"&amp;YEAR(tblTransactions[[#This Row],[Date]])</f>
        <v>Q2-2024</v>
      </c>
      <c r="Q2301">
        <f>YEAR(tblTransactions[[#This Row],[Date]])</f>
        <v>2024</v>
      </c>
      <c r="R2301" t="str">
        <f>TEXT(tblTransactions[[#This Row],[Date]],"DDDD")</f>
        <v>Saturday</v>
      </c>
      <c r="S2301">
        <f>MONTH(tblTransactions[[#This Row],[Date]])</f>
        <v>5</v>
      </c>
      <c r="T2301" t="str">
        <f>VLOOKUP(E2301, Products!$A:$B,2,0)</f>
        <v>Tablets Ele-2</v>
      </c>
      <c r="U2301" t="str">
        <f>VLOOKUP(E2301,Products!$A:$C,3,0)</f>
        <v>Electronics</v>
      </c>
      <c r="V2301" t="str">
        <f>VLOOKUP(E2301,Products!$A:$D,4,0)</f>
        <v>Tablets</v>
      </c>
      <c r="W2301" t="str">
        <f>VLOOKUP(D2301,Customers!$A:$C,3,0)</f>
        <v>B2C</v>
      </c>
      <c r="X2301" t="str">
        <f>VLOOKUP(C2301,Sales_Representatives!$A:$B,2,0)</f>
        <v>Thomas Hernandez</v>
      </c>
    </row>
    <row r="2302" spans="1:24" x14ac:dyDescent="0.3">
      <c r="A2302" t="s">
        <v>3231</v>
      </c>
      <c r="B2302" t="s">
        <v>3227</v>
      </c>
      <c r="C2302" t="s">
        <v>41</v>
      </c>
      <c r="D2302" t="s">
        <v>1540</v>
      </c>
      <c r="E2302" t="s">
        <v>77</v>
      </c>
      <c r="F2302">
        <v>2</v>
      </c>
      <c r="G2302">
        <v>236.82</v>
      </c>
      <c r="H2302">
        <v>0.04</v>
      </c>
      <c r="I2302" s="4">
        <v>454.69</v>
      </c>
      <c r="J2302" t="s">
        <v>44</v>
      </c>
      <c r="K2302" t="s">
        <v>22</v>
      </c>
      <c r="L2302" s="4">
        <f>VLOOKUP(tblTransactions[[#This Row],[Product_ID]],tblProducts[],5,FALSE)</f>
        <v>110.79</v>
      </c>
      <c r="M2302" s="4">
        <f>tblTransactions[[#This Row],[Total_Amount]]-(tblTransactions[[#This Row],[Cost_Prices]]*tblTransactions[[#This Row],[Quantity]]*(1-tblTransactions[[#This Row],[Discount]]))</f>
        <v>241.97319999999999</v>
      </c>
      <c r="N2302" s="3">
        <f>tblTransactions[[#This Row],[Profit]]/tblTransactions[[#This Row],[Total_Amount]]</f>
        <v>0.53217180936462205</v>
      </c>
      <c r="O2302" t="str">
        <f>TEXT(tblTransactions[[#This Row],[Date]], "MMM-YYYY")</f>
        <v>May-2024</v>
      </c>
      <c r="P2302" t="str">
        <f>"Q"&amp;ROUNDUP(MONTH(tblTransactions[[#This Row],[Date]])/3,0)&amp;"-"&amp;YEAR(tblTransactions[[#This Row],[Date]])</f>
        <v>Q2-2024</v>
      </c>
      <c r="Q2302">
        <f>YEAR(tblTransactions[[#This Row],[Date]])</f>
        <v>2024</v>
      </c>
      <c r="R2302" t="str">
        <f>TEXT(tblTransactions[[#This Row],[Date]],"DDDD")</f>
        <v>Saturday</v>
      </c>
      <c r="S2302">
        <f>MONTH(tblTransactions[[#This Row],[Date]])</f>
        <v>5</v>
      </c>
      <c r="T2302" t="str">
        <f>VLOOKUP(E2302, Products!$A:$B,2,0)</f>
        <v>Binders Off-4</v>
      </c>
      <c r="U2302" t="str">
        <f>VLOOKUP(E2302,Products!$A:$C,3,0)</f>
        <v>Office Supplies</v>
      </c>
      <c r="V2302" t="str">
        <f>VLOOKUP(E2302,Products!$A:$D,4,0)</f>
        <v>Binders</v>
      </c>
      <c r="W2302" t="str">
        <f>VLOOKUP(D2302,Customers!$A:$C,3,0)</f>
        <v>B2C</v>
      </c>
      <c r="X2302" t="str">
        <f>VLOOKUP(C2302,Sales_Representatives!$A:$B,2,0)</f>
        <v>Robert Jones</v>
      </c>
    </row>
    <row r="2303" spans="1:24" x14ac:dyDescent="0.3">
      <c r="A2303" t="s">
        <v>3232</v>
      </c>
      <c r="B2303" t="s">
        <v>3233</v>
      </c>
      <c r="C2303" t="s">
        <v>56</v>
      </c>
      <c r="D2303" t="s">
        <v>1819</v>
      </c>
      <c r="E2303" t="s">
        <v>324</v>
      </c>
      <c r="F2303">
        <v>1</v>
      </c>
      <c r="G2303">
        <v>245.76</v>
      </c>
      <c r="H2303">
        <v>0.03</v>
      </c>
      <c r="I2303" s="4">
        <v>238.39</v>
      </c>
      <c r="J2303" t="s">
        <v>34</v>
      </c>
      <c r="K2303" t="s">
        <v>48</v>
      </c>
      <c r="L2303" s="4">
        <f>VLOOKUP(tblTransactions[[#This Row],[Product_ID]],tblProducts[],5,FALSE)</f>
        <v>161.94</v>
      </c>
      <c r="M2303" s="4">
        <f>tblTransactions[[#This Row],[Total_Amount]]-(tblTransactions[[#This Row],[Cost_Prices]]*tblTransactions[[#This Row],[Quantity]]*(1-tblTransactions[[#This Row],[Discount]]))</f>
        <v>81.308199999999999</v>
      </c>
      <c r="N2303" s="3">
        <f>tblTransactions[[#This Row],[Profit]]/tblTransactions[[#This Row],[Total_Amount]]</f>
        <v>0.34107219262552962</v>
      </c>
      <c r="O2303" t="str">
        <f>TEXT(tblTransactions[[#This Row],[Date]], "MMM-YYYY")</f>
        <v>May-2024</v>
      </c>
      <c r="P2303" t="str">
        <f>"Q"&amp;ROUNDUP(MONTH(tblTransactions[[#This Row],[Date]])/3,0)&amp;"-"&amp;YEAR(tblTransactions[[#This Row],[Date]])</f>
        <v>Q2-2024</v>
      </c>
      <c r="Q2303">
        <f>YEAR(tblTransactions[[#This Row],[Date]])</f>
        <v>2024</v>
      </c>
      <c r="R2303" t="str">
        <f>TEXT(tblTransactions[[#This Row],[Date]],"DDDD")</f>
        <v>Sunday</v>
      </c>
      <c r="S2303">
        <f>MONTH(tblTransactions[[#This Row],[Date]])</f>
        <v>5</v>
      </c>
      <c r="T2303" t="str">
        <f>VLOOKUP(E2303, Products!$A:$B,2,0)</f>
        <v>Storage Fur-1</v>
      </c>
      <c r="U2303" t="str">
        <f>VLOOKUP(E2303,Products!$A:$C,3,0)</f>
        <v>Furniture</v>
      </c>
      <c r="V2303" t="str">
        <f>VLOOKUP(E2303,Products!$A:$D,4,0)</f>
        <v>Storage</v>
      </c>
      <c r="W2303" t="str">
        <f>VLOOKUP(D2303,Customers!$A:$C,3,0)</f>
        <v>Small Business</v>
      </c>
      <c r="X2303" t="str">
        <f>VLOOKUP(C2303,Sales_Representatives!$A:$B,2,0)</f>
        <v>Thomas Hernandez</v>
      </c>
    </row>
    <row r="2304" spans="1:24" x14ac:dyDescent="0.3">
      <c r="A2304" t="s">
        <v>3234</v>
      </c>
      <c r="B2304" t="s">
        <v>3233</v>
      </c>
      <c r="C2304" t="s">
        <v>131</v>
      </c>
      <c r="D2304" t="s">
        <v>1483</v>
      </c>
      <c r="E2304" t="s">
        <v>116</v>
      </c>
      <c r="F2304">
        <v>7</v>
      </c>
      <c r="G2304">
        <v>232.86</v>
      </c>
      <c r="H2304">
        <v>0.09</v>
      </c>
      <c r="I2304" s="4">
        <v>1483.32</v>
      </c>
      <c r="J2304" t="s">
        <v>44</v>
      </c>
      <c r="K2304" t="s">
        <v>17</v>
      </c>
      <c r="L2304" s="4">
        <f>VLOOKUP(tblTransactions[[#This Row],[Product_ID]],tblProducts[],5,FALSE)</f>
        <v>116.79</v>
      </c>
      <c r="M2304" s="4">
        <f>tblTransactions[[#This Row],[Total_Amount]]-(tblTransactions[[#This Row],[Cost_Prices]]*tblTransactions[[#This Row],[Quantity]]*(1-tblTransactions[[#This Row],[Discount]]))</f>
        <v>739.36769999999979</v>
      </c>
      <c r="N2304" s="3">
        <f>tblTransactions[[#This Row],[Profit]]/tblTransactions[[#This Row],[Total_Amount]]</f>
        <v>0.49845461532238478</v>
      </c>
      <c r="O2304" t="str">
        <f>TEXT(tblTransactions[[#This Row],[Date]], "MMM-YYYY")</f>
        <v>May-2024</v>
      </c>
      <c r="P2304" t="str">
        <f>"Q"&amp;ROUNDUP(MONTH(tblTransactions[[#This Row],[Date]])/3,0)&amp;"-"&amp;YEAR(tblTransactions[[#This Row],[Date]])</f>
        <v>Q2-2024</v>
      </c>
      <c r="Q2304">
        <f>YEAR(tblTransactions[[#This Row],[Date]])</f>
        <v>2024</v>
      </c>
      <c r="R2304" t="str">
        <f>TEXT(tblTransactions[[#This Row],[Date]],"DDDD")</f>
        <v>Sunday</v>
      </c>
      <c r="S2304">
        <f>MONTH(tblTransactions[[#This Row],[Date]])</f>
        <v>5</v>
      </c>
      <c r="T2304" t="str">
        <f>VLOOKUP(E2304, Products!$A:$B,2,0)</f>
        <v>Folders Off-4</v>
      </c>
      <c r="U2304" t="str">
        <f>VLOOKUP(E2304,Products!$A:$C,3,0)</f>
        <v>Office Supplies</v>
      </c>
      <c r="V2304" t="str">
        <f>VLOOKUP(E2304,Products!$A:$D,4,0)</f>
        <v>Folders</v>
      </c>
      <c r="W2304" t="str">
        <f>VLOOKUP(D2304,Customers!$A:$C,3,0)</f>
        <v>B2C</v>
      </c>
      <c r="X2304" t="str">
        <f>VLOOKUP(C2304,Sales_Representatives!$A:$B,2,0)</f>
        <v>Michael Davis</v>
      </c>
    </row>
    <row r="2305" spans="1:24" x14ac:dyDescent="0.3">
      <c r="A2305" t="s">
        <v>3235</v>
      </c>
      <c r="B2305" t="s">
        <v>3233</v>
      </c>
      <c r="C2305" t="s">
        <v>141</v>
      </c>
      <c r="D2305" t="s">
        <v>1610</v>
      </c>
      <c r="E2305" t="s">
        <v>255</v>
      </c>
      <c r="F2305">
        <v>6</v>
      </c>
      <c r="G2305">
        <v>1444.13</v>
      </c>
      <c r="H2305">
        <v>0.1</v>
      </c>
      <c r="I2305" s="4">
        <v>7798.3</v>
      </c>
      <c r="J2305" t="s">
        <v>109</v>
      </c>
      <c r="K2305" t="s">
        <v>39</v>
      </c>
      <c r="L2305" s="4">
        <f>VLOOKUP(tblTransactions[[#This Row],[Product_ID]],tblProducts[],5,FALSE)</f>
        <v>874.43</v>
      </c>
      <c r="M2305" s="4">
        <f>tblTransactions[[#This Row],[Total_Amount]]-(tblTransactions[[#This Row],[Cost_Prices]]*tblTransactions[[#This Row],[Quantity]]*(1-tblTransactions[[#This Row],[Discount]]))</f>
        <v>3076.3779999999997</v>
      </c>
      <c r="N2305" s="3">
        <f>tblTransactions[[#This Row],[Profit]]/tblTransactions[[#This Row],[Total_Amount]]</f>
        <v>0.39449341523152476</v>
      </c>
      <c r="O2305" t="str">
        <f>TEXT(tblTransactions[[#This Row],[Date]], "MMM-YYYY")</f>
        <v>May-2024</v>
      </c>
      <c r="P2305" t="str">
        <f>"Q"&amp;ROUNDUP(MONTH(tblTransactions[[#This Row],[Date]])/3,0)&amp;"-"&amp;YEAR(tblTransactions[[#This Row],[Date]])</f>
        <v>Q2-2024</v>
      </c>
      <c r="Q2305">
        <f>YEAR(tblTransactions[[#This Row],[Date]])</f>
        <v>2024</v>
      </c>
      <c r="R2305" t="str">
        <f>TEXT(tblTransactions[[#This Row],[Date]],"DDDD")</f>
        <v>Sunday</v>
      </c>
      <c r="S2305">
        <f>MONTH(tblTransactions[[#This Row],[Date]])</f>
        <v>5</v>
      </c>
      <c r="T2305" t="str">
        <f>VLOOKUP(E2305, Products!$A:$B,2,0)</f>
        <v>Printers Tec-1</v>
      </c>
      <c r="U2305" t="str">
        <f>VLOOKUP(E2305,Products!$A:$C,3,0)</f>
        <v>Technology</v>
      </c>
      <c r="V2305" t="str">
        <f>VLOOKUP(E2305,Products!$A:$D,4,0)</f>
        <v>Printers</v>
      </c>
      <c r="W2305" t="str">
        <f>VLOOKUP(D2305,Customers!$A:$C,3,0)</f>
        <v>B2C</v>
      </c>
      <c r="X2305" t="str">
        <f>VLOOKUP(C2305,Sales_Representatives!$A:$B,2,0)</f>
        <v>Richard Garcia</v>
      </c>
    </row>
    <row r="2306" spans="1:24" x14ac:dyDescent="0.3">
      <c r="A2306" t="s">
        <v>3236</v>
      </c>
      <c r="B2306" t="s">
        <v>3233</v>
      </c>
      <c r="C2306" t="s">
        <v>107</v>
      </c>
      <c r="D2306" t="s">
        <v>1877</v>
      </c>
      <c r="E2306" t="s">
        <v>102</v>
      </c>
      <c r="F2306">
        <v>1</v>
      </c>
      <c r="G2306">
        <v>1097.75</v>
      </c>
      <c r="H2306">
        <v>0.06</v>
      </c>
      <c r="I2306" s="4">
        <v>1031.8800000000001</v>
      </c>
      <c r="J2306" t="s">
        <v>109</v>
      </c>
      <c r="K2306" t="s">
        <v>35</v>
      </c>
      <c r="L2306" s="4">
        <f>VLOOKUP(tblTransactions[[#This Row],[Product_ID]],tblProducts[],5,FALSE)</f>
        <v>680.12</v>
      </c>
      <c r="M2306" s="4">
        <f>tblTransactions[[#This Row],[Total_Amount]]-(tblTransactions[[#This Row],[Cost_Prices]]*tblTransactions[[#This Row],[Quantity]]*(1-tblTransactions[[#This Row],[Discount]]))</f>
        <v>392.56720000000018</v>
      </c>
      <c r="N2306" s="3">
        <f>tblTransactions[[#This Row],[Profit]]/tblTransactions[[#This Row],[Total_Amount]]</f>
        <v>0.38043881071442431</v>
      </c>
      <c r="O2306" t="str">
        <f>TEXT(tblTransactions[[#This Row],[Date]], "MMM-YYYY")</f>
        <v>May-2024</v>
      </c>
      <c r="P2306" t="str">
        <f>"Q"&amp;ROUNDUP(MONTH(tblTransactions[[#This Row],[Date]])/3,0)&amp;"-"&amp;YEAR(tblTransactions[[#This Row],[Date]])</f>
        <v>Q2-2024</v>
      </c>
      <c r="Q2306">
        <f>YEAR(tblTransactions[[#This Row],[Date]])</f>
        <v>2024</v>
      </c>
      <c r="R2306" t="str">
        <f>TEXT(tblTransactions[[#This Row],[Date]],"DDDD")</f>
        <v>Sunday</v>
      </c>
      <c r="S2306">
        <f>MONTH(tblTransactions[[#This Row],[Date]])</f>
        <v>5</v>
      </c>
      <c r="T2306" t="str">
        <f>VLOOKUP(E2306, Products!$A:$B,2,0)</f>
        <v>Storage Fur-4</v>
      </c>
      <c r="U2306" t="str">
        <f>VLOOKUP(E2306,Products!$A:$C,3,0)</f>
        <v>Furniture</v>
      </c>
      <c r="V2306" t="str">
        <f>VLOOKUP(E2306,Products!$A:$D,4,0)</f>
        <v>Storage</v>
      </c>
      <c r="W2306" t="str">
        <f>VLOOKUP(D2306,Customers!$A:$C,3,0)</f>
        <v>Small Business</v>
      </c>
      <c r="X2306" t="str">
        <f>VLOOKUP(C2306,Sales_Representatives!$A:$B,2,0)</f>
        <v>Jennifer Brown</v>
      </c>
    </row>
    <row r="2307" spans="1:24" x14ac:dyDescent="0.3">
      <c r="A2307" t="s">
        <v>3237</v>
      </c>
      <c r="B2307" t="s">
        <v>3233</v>
      </c>
      <c r="C2307" t="s">
        <v>131</v>
      </c>
      <c r="D2307" t="s">
        <v>164</v>
      </c>
      <c r="E2307" t="s">
        <v>264</v>
      </c>
      <c r="F2307">
        <v>6</v>
      </c>
      <c r="G2307">
        <v>607.29999999999995</v>
      </c>
      <c r="H2307">
        <v>0.09</v>
      </c>
      <c r="I2307" s="4">
        <v>3315.86</v>
      </c>
      <c r="J2307" t="s">
        <v>44</v>
      </c>
      <c r="K2307" t="s">
        <v>17</v>
      </c>
      <c r="L2307" s="4">
        <f>VLOOKUP(tblTransactions[[#This Row],[Product_ID]],tblProducts[],5,FALSE)</f>
        <v>436.37</v>
      </c>
      <c r="M2307" s="4">
        <f>tblTransactions[[#This Row],[Total_Amount]]-(tblTransactions[[#This Row],[Cost_Prices]]*tblTransactions[[#This Row],[Quantity]]*(1-tblTransactions[[#This Row],[Discount]]))</f>
        <v>933.2797999999998</v>
      </c>
      <c r="N2307" s="3">
        <f>tblTransactions[[#This Row],[Profit]]/tblTransactions[[#This Row],[Total_Amount]]</f>
        <v>0.28145934991223986</v>
      </c>
      <c r="O2307" t="str">
        <f>TEXT(tblTransactions[[#This Row],[Date]], "MMM-YYYY")</f>
        <v>May-2024</v>
      </c>
      <c r="P2307" t="str">
        <f>"Q"&amp;ROUNDUP(MONTH(tblTransactions[[#This Row],[Date]])/3,0)&amp;"-"&amp;YEAR(tblTransactions[[#This Row],[Date]])</f>
        <v>Q2-2024</v>
      </c>
      <c r="Q2307">
        <f>YEAR(tblTransactions[[#This Row],[Date]])</f>
        <v>2024</v>
      </c>
      <c r="R2307" t="str">
        <f>TEXT(tblTransactions[[#This Row],[Date]],"DDDD")</f>
        <v>Sunday</v>
      </c>
      <c r="S2307">
        <f>MONTH(tblTransactions[[#This Row],[Date]])</f>
        <v>5</v>
      </c>
      <c r="T2307" t="str">
        <f>VLOOKUP(E2307, Products!$A:$B,2,0)</f>
        <v>Tablets Ele-4</v>
      </c>
      <c r="U2307" t="str">
        <f>VLOOKUP(E2307,Products!$A:$C,3,0)</f>
        <v>Electronics</v>
      </c>
      <c r="V2307" t="str">
        <f>VLOOKUP(E2307,Products!$A:$D,4,0)</f>
        <v>Tablets</v>
      </c>
      <c r="W2307" t="str">
        <f>VLOOKUP(D2307,Customers!$A:$C,3,0)</f>
        <v>Small Business</v>
      </c>
      <c r="X2307" t="str">
        <f>VLOOKUP(C2307,Sales_Representatives!$A:$B,2,0)</f>
        <v>Michael Davis</v>
      </c>
    </row>
    <row r="2308" spans="1:24" x14ac:dyDescent="0.3">
      <c r="A2308" t="s">
        <v>3238</v>
      </c>
      <c r="B2308" t="s">
        <v>3239</v>
      </c>
      <c r="C2308" t="s">
        <v>70</v>
      </c>
      <c r="D2308" t="s">
        <v>2179</v>
      </c>
      <c r="E2308" t="s">
        <v>224</v>
      </c>
      <c r="F2308">
        <v>2</v>
      </c>
      <c r="G2308">
        <v>505.37</v>
      </c>
      <c r="H2308">
        <v>0.02</v>
      </c>
      <c r="I2308" s="4">
        <v>990.53</v>
      </c>
      <c r="J2308" t="s">
        <v>16</v>
      </c>
      <c r="K2308" t="s">
        <v>35</v>
      </c>
      <c r="L2308" s="4">
        <f>VLOOKUP(tblTransactions[[#This Row],[Product_ID]],tblProducts[],5,FALSE)</f>
        <v>281.14999999999998</v>
      </c>
      <c r="M2308" s="4">
        <f>tblTransactions[[#This Row],[Total_Amount]]-(tblTransactions[[#This Row],[Cost_Prices]]*tblTransactions[[#This Row],[Quantity]]*(1-tblTransactions[[#This Row],[Discount]]))</f>
        <v>439.476</v>
      </c>
      <c r="N2308" s="3">
        <f>tblTransactions[[#This Row],[Profit]]/tblTransactions[[#This Row],[Total_Amount]]</f>
        <v>0.44367762712891079</v>
      </c>
      <c r="O2308" t="str">
        <f>TEXT(tblTransactions[[#This Row],[Date]], "MMM-YYYY")</f>
        <v>May-2024</v>
      </c>
      <c r="P2308" t="str">
        <f>"Q"&amp;ROUNDUP(MONTH(tblTransactions[[#This Row],[Date]])/3,0)&amp;"-"&amp;YEAR(tblTransactions[[#This Row],[Date]])</f>
        <v>Q2-2024</v>
      </c>
      <c r="Q2308">
        <f>YEAR(tblTransactions[[#This Row],[Date]])</f>
        <v>2024</v>
      </c>
      <c r="R2308" t="str">
        <f>TEXT(tblTransactions[[#This Row],[Date]],"DDDD")</f>
        <v>Monday</v>
      </c>
      <c r="S2308">
        <f>MONTH(tblTransactions[[#This Row],[Date]])</f>
        <v>5</v>
      </c>
      <c r="T2308" t="str">
        <f>VLOOKUP(E2308, Products!$A:$B,2,0)</f>
        <v>Desks Fur-3</v>
      </c>
      <c r="U2308" t="str">
        <f>VLOOKUP(E2308,Products!$A:$C,3,0)</f>
        <v>Furniture</v>
      </c>
      <c r="V2308" t="str">
        <f>VLOOKUP(E2308,Products!$A:$D,4,0)</f>
        <v>Desks</v>
      </c>
      <c r="W2308" t="str">
        <f>VLOOKUP(D2308,Customers!$A:$C,3,0)</f>
        <v>B2C</v>
      </c>
      <c r="X2308" t="str">
        <f>VLOOKUP(C2308,Sales_Representatives!$A:$B,2,0)</f>
        <v>Linda Smith</v>
      </c>
    </row>
    <row r="2309" spans="1:24" x14ac:dyDescent="0.3">
      <c r="A2309" t="s">
        <v>3240</v>
      </c>
      <c r="B2309" t="s">
        <v>3239</v>
      </c>
      <c r="C2309" t="s">
        <v>141</v>
      </c>
      <c r="D2309" t="s">
        <v>2297</v>
      </c>
      <c r="E2309" t="s">
        <v>370</v>
      </c>
      <c r="F2309">
        <v>3</v>
      </c>
      <c r="G2309">
        <v>238.95</v>
      </c>
      <c r="H2309">
        <v>0.09</v>
      </c>
      <c r="I2309" s="4">
        <v>652.33000000000004</v>
      </c>
      <c r="J2309" t="s">
        <v>109</v>
      </c>
      <c r="K2309" t="s">
        <v>22</v>
      </c>
      <c r="L2309" s="4">
        <f>VLOOKUP(tblTransactions[[#This Row],[Product_ID]],tblProducts[],5,FALSE)</f>
        <v>136.6</v>
      </c>
      <c r="M2309" s="4">
        <f>tblTransactions[[#This Row],[Total_Amount]]-(tblTransactions[[#This Row],[Cost_Prices]]*tblTransactions[[#This Row],[Quantity]]*(1-tblTransactions[[#This Row],[Discount]]))</f>
        <v>279.41200000000009</v>
      </c>
      <c r="N2309" s="3">
        <f>tblTransactions[[#This Row],[Profit]]/tblTransactions[[#This Row],[Total_Amount]]</f>
        <v>0.42832921987337708</v>
      </c>
      <c r="O2309" t="str">
        <f>TEXT(tblTransactions[[#This Row],[Date]], "MMM-YYYY")</f>
        <v>May-2024</v>
      </c>
      <c r="P2309" t="str">
        <f>"Q"&amp;ROUNDUP(MONTH(tblTransactions[[#This Row],[Date]])/3,0)&amp;"-"&amp;YEAR(tblTransactions[[#This Row],[Date]])</f>
        <v>Q2-2024</v>
      </c>
      <c r="Q2309">
        <f>YEAR(tblTransactions[[#This Row],[Date]])</f>
        <v>2024</v>
      </c>
      <c r="R2309" t="str">
        <f>TEXT(tblTransactions[[#This Row],[Date]],"DDDD")</f>
        <v>Monday</v>
      </c>
      <c r="S2309">
        <f>MONTH(tblTransactions[[#This Row],[Date]])</f>
        <v>5</v>
      </c>
      <c r="T2309" t="str">
        <f>VLOOKUP(E2309, Products!$A:$B,2,0)</f>
        <v>Cables Acc-1</v>
      </c>
      <c r="U2309" t="str">
        <f>VLOOKUP(E2309,Products!$A:$C,3,0)</f>
        <v>Accessories</v>
      </c>
      <c r="V2309" t="str">
        <f>VLOOKUP(E2309,Products!$A:$D,4,0)</f>
        <v>Cables</v>
      </c>
      <c r="W2309" t="str">
        <f>VLOOKUP(D2309,Customers!$A:$C,3,0)</f>
        <v>B2C</v>
      </c>
      <c r="X2309" t="str">
        <f>VLOOKUP(C2309,Sales_Representatives!$A:$B,2,0)</f>
        <v>Richard Garcia</v>
      </c>
    </row>
    <row r="2310" spans="1:24" x14ac:dyDescent="0.3">
      <c r="A2310" t="s">
        <v>3241</v>
      </c>
      <c r="B2310" t="s">
        <v>3239</v>
      </c>
      <c r="C2310" t="s">
        <v>131</v>
      </c>
      <c r="D2310" t="s">
        <v>2213</v>
      </c>
      <c r="E2310" t="s">
        <v>316</v>
      </c>
      <c r="F2310">
        <v>6</v>
      </c>
      <c r="G2310">
        <v>91.42</v>
      </c>
      <c r="H2310">
        <v>0.05</v>
      </c>
      <c r="I2310" s="4">
        <v>521.09</v>
      </c>
      <c r="J2310" t="s">
        <v>44</v>
      </c>
      <c r="K2310" t="s">
        <v>35</v>
      </c>
      <c r="L2310" s="4">
        <f>VLOOKUP(tblTransactions[[#This Row],[Product_ID]],tblProducts[],5,FALSE)</f>
        <v>50.09</v>
      </c>
      <c r="M2310" s="4">
        <f>tblTransactions[[#This Row],[Total_Amount]]-(tblTransactions[[#This Row],[Cost_Prices]]*tblTransactions[[#This Row],[Quantity]]*(1-tblTransactions[[#This Row],[Discount]]))</f>
        <v>235.577</v>
      </c>
      <c r="N2310" s="3">
        <f>tblTransactions[[#This Row],[Profit]]/tblTransactions[[#This Row],[Total_Amount]]</f>
        <v>0.45208505248613479</v>
      </c>
      <c r="O2310" t="str">
        <f>TEXT(tblTransactions[[#This Row],[Date]], "MMM-YYYY")</f>
        <v>May-2024</v>
      </c>
      <c r="P2310" t="str">
        <f>"Q"&amp;ROUNDUP(MONTH(tblTransactions[[#This Row],[Date]])/3,0)&amp;"-"&amp;YEAR(tblTransactions[[#This Row],[Date]])</f>
        <v>Q2-2024</v>
      </c>
      <c r="Q2310">
        <f>YEAR(tblTransactions[[#This Row],[Date]])</f>
        <v>2024</v>
      </c>
      <c r="R2310" t="str">
        <f>TEXT(tblTransactions[[#This Row],[Date]],"DDDD")</f>
        <v>Monday</v>
      </c>
      <c r="S2310">
        <f>MONTH(tblTransactions[[#This Row],[Date]])</f>
        <v>5</v>
      </c>
      <c r="T2310" t="str">
        <f>VLOOKUP(E2310, Products!$A:$B,2,0)</f>
        <v>Binders Off-3</v>
      </c>
      <c r="U2310" t="str">
        <f>VLOOKUP(E2310,Products!$A:$C,3,0)</f>
        <v>Office Supplies</v>
      </c>
      <c r="V2310" t="str">
        <f>VLOOKUP(E2310,Products!$A:$D,4,0)</f>
        <v>Binders</v>
      </c>
      <c r="W2310" t="str">
        <f>VLOOKUP(D2310,Customers!$A:$C,3,0)</f>
        <v>B2C</v>
      </c>
      <c r="X2310" t="str">
        <f>VLOOKUP(C2310,Sales_Representatives!$A:$B,2,0)</f>
        <v>Michael Davis</v>
      </c>
    </row>
    <row r="2311" spans="1:24" x14ac:dyDescent="0.3">
      <c r="A2311" t="s">
        <v>3242</v>
      </c>
      <c r="B2311" t="s">
        <v>3239</v>
      </c>
      <c r="C2311" t="s">
        <v>75</v>
      </c>
      <c r="D2311" t="s">
        <v>1912</v>
      </c>
      <c r="E2311" t="s">
        <v>89</v>
      </c>
      <c r="F2311">
        <v>6</v>
      </c>
      <c r="G2311">
        <v>555.08000000000004</v>
      </c>
      <c r="H2311">
        <v>0.08</v>
      </c>
      <c r="I2311" s="4">
        <v>3064.04</v>
      </c>
      <c r="J2311" t="s">
        <v>44</v>
      </c>
      <c r="K2311" t="s">
        <v>22</v>
      </c>
      <c r="L2311" s="4">
        <f>VLOOKUP(tblTransactions[[#This Row],[Product_ID]],tblProducts[],5,FALSE)</f>
        <v>402.82</v>
      </c>
      <c r="M2311" s="4">
        <f>tblTransactions[[#This Row],[Total_Amount]]-(tblTransactions[[#This Row],[Cost_Prices]]*tblTransactions[[#This Row],[Quantity]]*(1-tblTransactions[[#This Row],[Discount]]))</f>
        <v>840.47359999999981</v>
      </c>
      <c r="N2311" s="3">
        <f>tblTransactions[[#This Row],[Profit]]/tblTransactions[[#This Row],[Total_Amount]]</f>
        <v>0.27430242425033607</v>
      </c>
      <c r="O2311" t="str">
        <f>TEXT(tblTransactions[[#This Row],[Date]], "MMM-YYYY")</f>
        <v>May-2024</v>
      </c>
      <c r="P2311" t="str">
        <f>"Q"&amp;ROUNDUP(MONTH(tblTransactions[[#This Row],[Date]])/3,0)&amp;"-"&amp;YEAR(tblTransactions[[#This Row],[Date]])</f>
        <v>Q2-2024</v>
      </c>
      <c r="Q2311">
        <f>YEAR(tblTransactions[[#This Row],[Date]])</f>
        <v>2024</v>
      </c>
      <c r="R2311" t="str">
        <f>TEXT(tblTransactions[[#This Row],[Date]],"DDDD")</f>
        <v>Monday</v>
      </c>
      <c r="S2311">
        <f>MONTH(tblTransactions[[#This Row],[Date]])</f>
        <v>5</v>
      </c>
      <c r="T2311" t="str">
        <f>VLOOKUP(E2311, Products!$A:$B,2,0)</f>
        <v>Laptops Ele-3</v>
      </c>
      <c r="U2311" t="str">
        <f>VLOOKUP(E2311,Products!$A:$C,3,0)</f>
        <v>Electronics</v>
      </c>
      <c r="V2311" t="str">
        <f>VLOOKUP(E2311,Products!$A:$D,4,0)</f>
        <v>Laptops</v>
      </c>
      <c r="W2311" t="str">
        <f>VLOOKUP(D2311,Customers!$A:$C,3,0)</f>
        <v>Enterprise</v>
      </c>
      <c r="X2311" t="str">
        <f>VLOOKUP(C2311,Sales_Representatives!$A:$B,2,0)</f>
        <v>Jessica Anderson</v>
      </c>
    </row>
    <row r="2312" spans="1:24" x14ac:dyDescent="0.3">
      <c r="A2312" t="s">
        <v>3243</v>
      </c>
      <c r="B2312" t="s">
        <v>3239</v>
      </c>
      <c r="C2312" t="s">
        <v>31</v>
      </c>
      <c r="D2312" t="s">
        <v>1670</v>
      </c>
      <c r="E2312" t="s">
        <v>194</v>
      </c>
      <c r="F2312">
        <v>5</v>
      </c>
      <c r="G2312">
        <v>82.84</v>
      </c>
      <c r="H2312">
        <v>0.09</v>
      </c>
      <c r="I2312" s="4">
        <v>376.92</v>
      </c>
      <c r="J2312" t="s">
        <v>34</v>
      </c>
      <c r="K2312" t="s">
        <v>17</v>
      </c>
      <c r="L2312" s="4">
        <f>VLOOKUP(tblTransactions[[#This Row],[Product_ID]],tblProducts[],5,FALSE)</f>
        <v>52.98</v>
      </c>
      <c r="M2312" s="4">
        <f>tblTransactions[[#This Row],[Total_Amount]]-(tblTransactions[[#This Row],[Cost_Prices]]*tblTransactions[[#This Row],[Quantity]]*(1-tblTransactions[[#This Row],[Discount]]))</f>
        <v>135.86100000000002</v>
      </c>
      <c r="N2312" s="3">
        <f>tblTransactions[[#This Row],[Profit]]/tblTransactions[[#This Row],[Total_Amount]]</f>
        <v>0.36045049347341612</v>
      </c>
      <c r="O2312" t="str">
        <f>TEXT(tblTransactions[[#This Row],[Date]], "MMM-YYYY")</f>
        <v>May-2024</v>
      </c>
      <c r="P2312" t="str">
        <f>"Q"&amp;ROUNDUP(MONTH(tblTransactions[[#This Row],[Date]])/3,0)&amp;"-"&amp;YEAR(tblTransactions[[#This Row],[Date]])</f>
        <v>Q2-2024</v>
      </c>
      <c r="Q2312">
        <f>YEAR(tblTransactions[[#This Row],[Date]])</f>
        <v>2024</v>
      </c>
      <c r="R2312" t="str">
        <f>TEXT(tblTransactions[[#This Row],[Date]],"DDDD")</f>
        <v>Monday</v>
      </c>
      <c r="S2312">
        <f>MONTH(tblTransactions[[#This Row],[Date]])</f>
        <v>5</v>
      </c>
      <c r="T2312" t="str">
        <f>VLOOKUP(E2312, Products!$A:$B,2,0)</f>
        <v>Binders Off-2</v>
      </c>
      <c r="U2312" t="str">
        <f>VLOOKUP(E2312,Products!$A:$C,3,0)</f>
        <v>Office Supplies</v>
      </c>
      <c r="V2312" t="str">
        <f>VLOOKUP(E2312,Products!$A:$D,4,0)</f>
        <v>Binders</v>
      </c>
      <c r="W2312" t="str">
        <f>VLOOKUP(D2312,Customers!$A:$C,3,0)</f>
        <v>Small Business</v>
      </c>
      <c r="X2312" t="str">
        <f>VLOOKUP(C2312,Sales_Representatives!$A:$B,2,0)</f>
        <v>Thomas Martinez</v>
      </c>
    </row>
    <row r="2313" spans="1:24" x14ac:dyDescent="0.3">
      <c r="A2313" t="s">
        <v>3244</v>
      </c>
      <c r="B2313" t="s">
        <v>3245</v>
      </c>
      <c r="C2313" t="s">
        <v>63</v>
      </c>
      <c r="D2313" t="s">
        <v>42</v>
      </c>
      <c r="E2313" t="s">
        <v>172</v>
      </c>
      <c r="F2313">
        <v>7</v>
      </c>
      <c r="G2313">
        <v>1371.15</v>
      </c>
      <c r="H2313">
        <v>0.14000000000000001</v>
      </c>
      <c r="I2313" s="4">
        <v>8254.32</v>
      </c>
      <c r="J2313" t="s">
        <v>21</v>
      </c>
      <c r="K2313" t="s">
        <v>17</v>
      </c>
      <c r="L2313" s="4">
        <f>VLOOKUP(tblTransactions[[#This Row],[Product_ID]],tblProducts[],5,FALSE)</f>
        <v>989.81</v>
      </c>
      <c r="M2313" s="4">
        <f>tblTransactions[[#This Row],[Total_Amount]]-(tblTransactions[[#This Row],[Cost_Prices]]*tblTransactions[[#This Row],[Quantity]]*(1-tblTransactions[[#This Row],[Discount]]))</f>
        <v>2295.6637999999994</v>
      </c>
      <c r="N2313" s="3">
        <f>tblTransactions[[#This Row],[Profit]]/tblTransactions[[#This Row],[Total_Amount]]</f>
        <v>0.27811664679828252</v>
      </c>
      <c r="O2313" t="str">
        <f>TEXT(tblTransactions[[#This Row],[Date]], "MMM-YYYY")</f>
        <v>May-2024</v>
      </c>
      <c r="P2313" t="str">
        <f>"Q"&amp;ROUNDUP(MONTH(tblTransactions[[#This Row],[Date]])/3,0)&amp;"-"&amp;YEAR(tblTransactions[[#This Row],[Date]])</f>
        <v>Q2-2024</v>
      </c>
      <c r="Q2313">
        <f>YEAR(tblTransactions[[#This Row],[Date]])</f>
        <v>2024</v>
      </c>
      <c r="R2313" t="str">
        <f>TEXT(tblTransactions[[#This Row],[Date]],"DDDD")</f>
        <v>Tuesday</v>
      </c>
      <c r="S2313">
        <f>MONTH(tblTransactions[[#This Row],[Date]])</f>
        <v>5</v>
      </c>
      <c r="T2313" t="str">
        <f>VLOOKUP(E2313, Products!$A:$B,2,0)</f>
        <v>Cameras Ele-4</v>
      </c>
      <c r="U2313" t="str">
        <f>VLOOKUP(E2313,Products!$A:$C,3,0)</f>
        <v>Electronics</v>
      </c>
      <c r="V2313" t="str">
        <f>VLOOKUP(E2313,Products!$A:$D,4,0)</f>
        <v>Cameras</v>
      </c>
      <c r="W2313" t="str">
        <f>VLOOKUP(D2313,Customers!$A:$C,3,0)</f>
        <v>B2C</v>
      </c>
      <c r="X2313" t="str">
        <f>VLOOKUP(C2313,Sales_Representatives!$A:$B,2,0)</f>
        <v>Richard Wilson</v>
      </c>
    </row>
    <row r="2314" spans="1:24" x14ac:dyDescent="0.3">
      <c r="A2314" t="s">
        <v>3246</v>
      </c>
      <c r="B2314" t="s">
        <v>3245</v>
      </c>
      <c r="C2314" t="s">
        <v>70</v>
      </c>
      <c r="D2314" t="s">
        <v>1902</v>
      </c>
      <c r="E2314" t="s">
        <v>113</v>
      </c>
      <c r="F2314">
        <v>3</v>
      </c>
      <c r="G2314">
        <v>930.41</v>
      </c>
      <c r="H2314">
        <v>0.05</v>
      </c>
      <c r="I2314" s="4">
        <v>2651.67</v>
      </c>
      <c r="J2314" t="s">
        <v>16</v>
      </c>
      <c r="K2314" t="s">
        <v>48</v>
      </c>
      <c r="L2314" s="4">
        <f>VLOOKUP(tblTransactions[[#This Row],[Product_ID]],tblProducts[],5,FALSE)</f>
        <v>595.51</v>
      </c>
      <c r="M2314" s="4">
        <f>tblTransactions[[#This Row],[Total_Amount]]-(tblTransactions[[#This Row],[Cost_Prices]]*tblTransactions[[#This Row],[Quantity]]*(1-tblTransactions[[#This Row],[Discount]]))</f>
        <v>954.46650000000022</v>
      </c>
      <c r="N2314" s="3">
        <f>tblTransactions[[#This Row],[Profit]]/tblTransactions[[#This Row],[Total_Amount]]</f>
        <v>0.35994920182375645</v>
      </c>
      <c r="O2314" t="str">
        <f>TEXT(tblTransactions[[#This Row],[Date]], "MMM-YYYY")</f>
        <v>May-2024</v>
      </c>
      <c r="P2314" t="str">
        <f>"Q"&amp;ROUNDUP(MONTH(tblTransactions[[#This Row],[Date]])/3,0)&amp;"-"&amp;YEAR(tblTransactions[[#This Row],[Date]])</f>
        <v>Q2-2024</v>
      </c>
      <c r="Q2314">
        <f>YEAR(tblTransactions[[#This Row],[Date]])</f>
        <v>2024</v>
      </c>
      <c r="R2314" t="str">
        <f>TEXT(tblTransactions[[#This Row],[Date]],"DDDD")</f>
        <v>Tuesday</v>
      </c>
      <c r="S2314">
        <f>MONTH(tblTransactions[[#This Row],[Date]])</f>
        <v>5</v>
      </c>
      <c r="T2314" t="str">
        <f>VLOOKUP(E2314, Products!$A:$B,2,0)</f>
        <v>Phones Ele-1</v>
      </c>
      <c r="U2314" t="str">
        <f>VLOOKUP(E2314,Products!$A:$C,3,0)</f>
        <v>Electronics</v>
      </c>
      <c r="V2314" t="str">
        <f>VLOOKUP(E2314,Products!$A:$D,4,0)</f>
        <v>Phones</v>
      </c>
      <c r="W2314" t="str">
        <f>VLOOKUP(D2314,Customers!$A:$C,3,0)</f>
        <v>B2B</v>
      </c>
      <c r="X2314" t="str">
        <f>VLOOKUP(C2314,Sales_Representatives!$A:$B,2,0)</f>
        <v>Linda Smith</v>
      </c>
    </row>
    <row r="2315" spans="1:24" x14ac:dyDescent="0.3">
      <c r="A2315" t="s">
        <v>3247</v>
      </c>
      <c r="B2315" t="s">
        <v>3245</v>
      </c>
      <c r="C2315" t="s">
        <v>59</v>
      </c>
      <c r="D2315" t="s">
        <v>1934</v>
      </c>
      <c r="E2315" t="s">
        <v>290</v>
      </c>
      <c r="F2315">
        <v>7</v>
      </c>
      <c r="G2315">
        <v>729.32</v>
      </c>
      <c r="H2315">
        <v>0.1</v>
      </c>
      <c r="I2315" s="4">
        <v>4594.72</v>
      </c>
      <c r="J2315" t="s">
        <v>21</v>
      </c>
      <c r="K2315" t="s">
        <v>48</v>
      </c>
      <c r="L2315" s="4">
        <f>VLOOKUP(tblTransactions[[#This Row],[Product_ID]],tblProducts[],5,FALSE)</f>
        <v>482.7</v>
      </c>
      <c r="M2315" s="4">
        <f>tblTransactions[[#This Row],[Total_Amount]]-(tblTransactions[[#This Row],[Cost_Prices]]*tblTransactions[[#This Row],[Quantity]]*(1-tblTransactions[[#This Row],[Discount]]))</f>
        <v>1553.71</v>
      </c>
      <c r="N2315" s="3">
        <f>tblTransactions[[#This Row],[Profit]]/tblTransactions[[#This Row],[Total_Amount]]</f>
        <v>0.33815118222655571</v>
      </c>
      <c r="O2315" t="str">
        <f>TEXT(tblTransactions[[#This Row],[Date]], "MMM-YYYY")</f>
        <v>May-2024</v>
      </c>
      <c r="P2315" t="str">
        <f>"Q"&amp;ROUNDUP(MONTH(tblTransactions[[#This Row],[Date]])/3,0)&amp;"-"&amp;YEAR(tblTransactions[[#This Row],[Date]])</f>
        <v>Q2-2024</v>
      </c>
      <c r="Q2315">
        <f>YEAR(tblTransactions[[#This Row],[Date]])</f>
        <v>2024</v>
      </c>
      <c r="R2315" t="str">
        <f>TEXT(tblTransactions[[#This Row],[Date]],"DDDD")</f>
        <v>Tuesday</v>
      </c>
      <c r="S2315">
        <f>MONTH(tblTransactions[[#This Row],[Date]])</f>
        <v>5</v>
      </c>
      <c r="T2315" t="str">
        <f>VLOOKUP(E2315, Products!$A:$B,2,0)</f>
        <v>Tables Fur-1</v>
      </c>
      <c r="U2315" t="str">
        <f>VLOOKUP(E2315,Products!$A:$C,3,0)</f>
        <v>Furniture</v>
      </c>
      <c r="V2315" t="str">
        <f>VLOOKUP(E2315,Products!$A:$D,4,0)</f>
        <v>Tables</v>
      </c>
      <c r="W2315" t="str">
        <f>VLOOKUP(D2315,Customers!$A:$C,3,0)</f>
        <v>B2C</v>
      </c>
      <c r="X2315" t="str">
        <f>VLOOKUP(C2315,Sales_Representatives!$A:$B,2,0)</f>
        <v>Sarah Brown</v>
      </c>
    </row>
    <row r="2316" spans="1:24" x14ac:dyDescent="0.3">
      <c r="A2316" t="s">
        <v>3248</v>
      </c>
      <c r="B2316" t="s">
        <v>3245</v>
      </c>
      <c r="C2316" t="s">
        <v>59</v>
      </c>
      <c r="D2316" t="s">
        <v>1963</v>
      </c>
      <c r="E2316" t="s">
        <v>33</v>
      </c>
      <c r="F2316">
        <v>6</v>
      </c>
      <c r="G2316">
        <v>322.7</v>
      </c>
      <c r="H2316">
        <v>0.1</v>
      </c>
      <c r="I2316" s="4">
        <v>1742.58</v>
      </c>
      <c r="J2316" t="s">
        <v>21</v>
      </c>
      <c r="K2316" t="s">
        <v>22</v>
      </c>
      <c r="L2316" s="4">
        <f>VLOOKUP(tblTransactions[[#This Row],[Product_ID]],tblProducts[],5,FALSE)</f>
        <v>139.81</v>
      </c>
      <c r="M2316" s="4">
        <f>tblTransactions[[#This Row],[Total_Amount]]-(tblTransactions[[#This Row],[Cost_Prices]]*tblTransactions[[#This Row],[Quantity]]*(1-tblTransactions[[#This Row],[Discount]]))</f>
        <v>987.60599999999988</v>
      </c>
      <c r="N2316" s="3">
        <f>tblTransactions[[#This Row],[Profit]]/tblTransactions[[#This Row],[Total_Amount]]</f>
        <v>0.56674930275797952</v>
      </c>
      <c r="O2316" t="str">
        <f>TEXT(tblTransactions[[#This Row],[Date]], "MMM-YYYY")</f>
        <v>May-2024</v>
      </c>
      <c r="P2316" t="str">
        <f>"Q"&amp;ROUNDUP(MONTH(tblTransactions[[#This Row],[Date]])/3,0)&amp;"-"&amp;YEAR(tblTransactions[[#This Row],[Date]])</f>
        <v>Q2-2024</v>
      </c>
      <c r="Q2316">
        <f>YEAR(tblTransactions[[#This Row],[Date]])</f>
        <v>2024</v>
      </c>
      <c r="R2316" t="str">
        <f>TEXT(tblTransactions[[#This Row],[Date]],"DDDD")</f>
        <v>Tuesday</v>
      </c>
      <c r="S2316">
        <f>MONTH(tblTransactions[[#This Row],[Date]])</f>
        <v>5</v>
      </c>
      <c r="T2316" t="str">
        <f>VLOOKUP(E2316, Products!$A:$B,2,0)</f>
        <v>Adapters Acc-1</v>
      </c>
      <c r="U2316" t="str">
        <f>VLOOKUP(E2316,Products!$A:$C,3,0)</f>
        <v>Accessories</v>
      </c>
      <c r="V2316" t="str">
        <f>VLOOKUP(E2316,Products!$A:$D,4,0)</f>
        <v>Adapters</v>
      </c>
      <c r="W2316" t="str">
        <f>VLOOKUP(D2316,Customers!$A:$C,3,0)</f>
        <v>Small Business</v>
      </c>
      <c r="X2316" t="str">
        <f>VLOOKUP(C2316,Sales_Representatives!$A:$B,2,0)</f>
        <v>Sarah Brown</v>
      </c>
    </row>
    <row r="2317" spans="1:24" x14ac:dyDescent="0.3">
      <c r="A2317" t="s">
        <v>3249</v>
      </c>
      <c r="B2317" t="s">
        <v>3245</v>
      </c>
      <c r="C2317" t="s">
        <v>127</v>
      </c>
      <c r="D2317" t="s">
        <v>24</v>
      </c>
      <c r="E2317" t="s">
        <v>102</v>
      </c>
      <c r="F2317">
        <v>5</v>
      </c>
      <c r="G2317">
        <v>1097.75</v>
      </c>
      <c r="H2317">
        <v>0.03</v>
      </c>
      <c r="I2317" s="4">
        <v>5324.09</v>
      </c>
      <c r="J2317" t="s">
        <v>109</v>
      </c>
      <c r="K2317" t="s">
        <v>35</v>
      </c>
      <c r="L2317" s="4">
        <f>VLOOKUP(tblTransactions[[#This Row],[Product_ID]],tblProducts[],5,FALSE)</f>
        <v>680.12</v>
      </c>
      <c r="M2317" s="4">
        <f>tblTransactions[[#This Row],[Total_Amount]]-(tblTransactions[[#This Row],[Cost_Prices]]*tblTransactions[[#This Row],[Quantity]]*(1-tblTransactions[[#This Row],[Discount]]))</f>
        <v>2025.5080000000003</v>
      </c>
      <c r="N2317" s="3">
        <f>tblTransactions[[#This Row],[Profit]]/tblTransactions[[#This Row],[Total_Amount]]</f>
        <v>0.3804421037210115</v>
      </c>
      <c r="O2317" t="str">
        <f>TEXT(tblTransactions[[#This Row],[Date]], "MMM-YYYY")</f>
        <v>May-2024</v>
      </c>
      <c r="P2317" t="str">
        <f>"Q"&amp;ROUNDUP(MONTH(tblTransactions[[#This Row],[Date]])/3,0)&amp;"-"&amp;YEAR(tblTransactions[[#This Row],[Date]])</f>
        <v>Q2-2024</v>
      </c>
      <c r="Q2317">
        <f>YEAR(tblTransactions[[#This Row],[Date]])</f>
        <v>2024</v>
      </c>
      <c r="R2317" t="str">
        <f>TEXT(tblTransactions[[#This Row],[Date]],"DDDD")</f>
        <v>Tuesday</v>
      </c>
      <c r="S2317">
        <f>MONTH(tblTransactions[[#This Row],[Date]])</f>
        <v>5</v>
      </c>
      <c r="T2317" t="str">
        <f>VLOOKUP(E2317, Products!$A:$B,2,0)</f>
        <v>Storage Fur-4</v>
      </c>
      <c r="U2317" t="str">
        <f>VLOOKUP(E2317,Products!$A:$C,3,0)</f>
        <v>Furniture</v>
      </c>
      <c r="V2317" t="str">
        <f>VLOOKUP(E2317,Products!$A:$D,4,0)</f>
        <v>Storage</v>
      </c>
      <c r="W2317" t="str">
        <f>VLOOKUP(D2317,Customers!$A:$C,3,0)</f>
        <v>B2B</v>
      </c>
      <c r="X2317" t="str">
        <f>VLOOKUP(C2317,Sales_Representatives!$A:$B,2,0)</f>
        <v>Emily Hernandez</v>
      </c>
    </row>
    <row r="2318" spans="1:24" x14ac:dyDescent="0.3">
      <c r="A2318" t="s">
        <v>3250</v>
      </c>
      <c r="B2318" t="s">
        <v>3251</v>
      </c>
      <c r="C2318" t="s">
        <v>70</v>
      </c>
      <c r="D2318" t="s">
        <v>2512</v>
      </c>
      <c r="E2318" t="s">
        <v>587</v>
      </c>
      <c r="F2318">
        <v>3</v>
      </c>
      <c r="G2318">
        <v>58.54</v>
      </c>
      <c r="H2318">
        <v>0.09</v>
      </c>
      <c r="I2318" s="4">
        <v>159.81</v>
      </c>
      <c r="J2318" t="s">
        <v>16</v>
      </c>
      <c r="K2318" t="s">
        <v>17</v>
      </c>
      <c r="L2318" s="4">
        <f>VLOOKUP(tblTransactions[[#This Row],[Product_ID]],tblProducts[],5,FALSE)</f>
        <v>25.43</v>
      </c>
      <c r="M2318" s="4">
        <f>tblTransactions[[#This Row],[Total_Amount]]-(tblTransactions[[#This Row],[Cost_Prices]]*tblTransactions[[#This Row],[Quantity]]*(1-tblTransactions[[#This Row],[Discount]]))</f>
        <v>90.386100000000013</v>
      </c>
      <c r="N2318" s="3">
        <f>tblTransactions[[#This Row],[Profit]]/tblTransactions[[#This Row],[Total_Amount]]</f>
        <v>0.56558475689881738</v>
      </c>
      <c r="O2318" t="str">
        <f>TEXT(tblTransactions[[#This Row],[Date]], "MMM-YYYY")</f>
        <v>May-2024</v>
      </c>
      <c r="P2318" t="str">
        <f>"Q"&amp;ROUNDUP(MONTH(tblTransactions[[#This Row],[Date]])/3,0)&amp;"-"&amp;YEAR(tblTransactions[[#This Row],[Date]])</f>
        <v>Q2-2024</v>
      </c>
      <c r="Q2318">
        <f>YEAR(tblTransactions[[#This Row],[Date]])</f>
        <v>2024</v>
      </c>
      <c r="R2318" t="str">
        <f>TEXT(tblTransactions[[#This Row],[Date]],"DDDD")</f>
        <v>Wednesday</v>
      </c>
      <c r="S2318">
        <f>MONTH(tblTransactions[[#This Row],[Date]])</f>
        <v>5</v>
      </c>
      <c r="T2318" t="str">
        <f>VLOOKUP(E2318, Products!$A:$B,2,0)</f>
        <v>Paper Off-2</v>
      </c>
      <c r="U2318" t="str">
        <f>VLOOKUP(E2318,Products!$A:$C,3,0)</f>
        <v>Office Supplies</v>
      </c>
      <c r="V2318" t="str">
        <f>VLOOKUP(E2318,Products!$A:$D,4,0)</f>
        <v>Paper</v>
      </c>
      <c r="W2318" t="str">
        <f>VLOOKUP(D2318,Customers!$A:$C,3,0)</f>
        <v>Small Business</v>
      </c>
      <c r="X2318" t="str">
        <f>VLOOKUP(C2318,Sales_Representatives!$A:$B,2,0)</f>
        <v>Linda Smith</v>
      </c>
    </row>
    <row r="2319" spans="1:24" x14ac:dyDescent="0.3">
      <c r="A2319" t="s">
        <v>3252</v>
      </c>
      <c r="B2319" t="s">
        <v>3251</v>
      </c>
      <c r="C2319" t="s">
        <v>70</v>
      </c>
      <c r="D2319" t="s">
        <v>2769</v>
      </c>
      <c r="E2319" t="s">
        <v>198</v>
      </c>
      <c r="F2319">
        <v>4</v>
      </c>
      <c r="G2319">
        <v>1802.96</v>
      </c>
      <c r="H2319">
        <v>7.0000000000000007E-2</v>
      </c>
      <c r="I2319" s="4">
        <v>6707.01</v>
      </c>
      <c r="J2319" t="s">
        <v>16</v>
      </c>
      <c r="K2319" t="s">
        <v>22</v>
      </c>
      <c r="L2319" s="4">
        <f>VLOOKUP(tblTransactions[[#This Row],[Product_ID]],tblProducts[],5,FALSE)</f>
        <v>1282.18</v>
      </c>
      <c r="M2319" s="4">
        <f>tblTransactions[[#This Row],[Total_Amount]]-(tblTransactions[[#This Row],[Cost_Prices]]*tblTransactions[[#This Row],[Quantity]]*(1-tblTransactions[[#This Row],[Discount]]))</f>
        <v>1937.3004000000001</v>
      </c>
      <c r="N2319" s="3">
        <f>tblTransactions[[#This Row],[Profit]]/tblTransactions[[#This Row],[Total_Amount]]</f>
        <v>0.28884710176367712</v>
      </c>
      <c r="O2319" t="str">
        <f>TEXT(tblTransactions[[#This Row],[Date]], "MMM-YYYY")</f>
        <v>May-2024</v>
      </c>
      <c r="P2319" t="str">
        <f>"Q"&amp;ROUNDUP(MONTH(tblTransactions[[#This Row],[Date]])/3,0)&amp;"-"&amp;YEAR(tblTransactions[[#This Row],[Date]])</f>
        <v>Q2-2024</v>
      </c>
      <c r="Q2319">
        <f>YEAR(tblTransactions[[#This Row],[Date]])</f>
        <v>2024</v>
      </c>
      <c r="R2319" t="str">
        <f>TEXT(tblTransactions[[#This Row],[Date]],"DDDD")</f>
        <v>Wednesday</v>
      </c>
      <c r="S2319">
        <f>MONTH(tblTransactions[[#This Row],[Date]])</f>
        <v>5</v>
      </c>
      <c r="T2319" t="str">
        <f>VLOOKUP(E2319, Products!$A:$B,2,0)</f>
        <v>Tablets Ele-3</v>
      </c>
      <c r="U2319" t="str">
        <f>VLOOKUP(E2319,Products!$A:$C,3,0)</f>
        <v>Electronics</v>
      </c>
      <c r="V2319" t="str">
        <f>VLOOKUP(E2319,Products!$A:$D,4,0)</f>
        <v>Tablets</v>
      </c>
      <c r="W2319" t="str">
        <f>VLOOKUP(D2319,Customers!$A:$C,3,0)</f>
        <v>Small Business</v>
      </c>
      <c r="X2319" t="str">
        <f>VLOOKUP(C2319,Sales_Representatives!$A:$B,2,0)</f>
        <v>Linda Smith</v>
      </c>
    </row>
    <row r="2320" spans="1:24" x14ac:dyDescent="0.3">
      <c r="A2320" t="s">
        <v>3253</v>
      </c>
      <c r="B2320" t="s">
        <v>3251</v>
      </c>
      <c r="C2320" t="s">
        <v>13</v>
      </c>
      <c r="D2320" t="s">
        <v>1805</v>
      </c>
      <c r="E2320" t="s">
        <v>89</v>
      </c>
      <c r="F2320">
        <v>6</v>
      </c>
      <c r="G2320">
        <v>555.08000000000004</v>
      </c>
      <c r="H2320">
        <v>0.1</v>
      </c>
      <c r="I2320" s="4">
        <v>2997.43</v>
      </c>
      <c r="J2320" t="s">
        <v>16</v>
      </c>
      <c r="K2320" t="s">
        <v>17</v>
      </c>
      <c r="L2320" s="4">
        <f>VLOOKUP(tblTransactions[[#This Row],[Product_ID]],tblProducts[],5,FALSE)</f>
        <v>402.82</v>
      </c>
      <c r="M2320" s="4">
        <f>tblTransactions[[#This Row],[Total_Amount]]-(tblTransactions[[#This Row],[Cost_Prices]]*tblTransactions[[#This Row],[Quantity]]*(1-tblTransactions[[#This Row],[Discount]]))</f>
        <v>822.20199999999977</v>
      </c>
      <c r="N2320" s="3">
        <f>tblTransactions[[#This Row],[Profit]]/tblTransactions[[#This Row],[Total_Amount]]</f>
        <v>0.27430231898659846</v>
      </c>
      <c r="O2320" t="str">
        <f>TEXT(tblTransactions[[#This Row],[Date]], "MMM-YYYY")</f>
        <v>May-2024</v>
      </c>
      <c r="P2320" t="str">
        <f>"Q"&amp;ROUNDUP(MONTH(tblTransactions[[#This Row],[Date]])/3,0)&amp;"-"&amp;YEAR(tblTransactions[[#This Row],[Date]])</f>
        <v>Q2-2024</v>
      </c>
      <c r="Q2320">
        <f>YEAR(tblTransactions[[#This Row],[Date]])</f>
        <v>2024</v>
      </c>
      <c r="R2320" t="str">
        <f>TEXT(tblTransactions[[#This Row],[Date]],"DDDD")</f>
        <v>Wednesday</v>
      </c>
      <c r="S2320">
        <f>MONTH(tblTransactions[[#This Row],[Date]])</f>
        <v>5</v>
      </c>
      <c r="T2320" t="str">
        <f>VLOOKUP(E2320, Products!$A:$B,2,0)</f>
        <v>Laptops Ele-3</v>
      </c>
      <c r="U2320" t="str">
        <f>VLOOKUP(E2320,Products!$A:$C,3,0)</f>
        <v>Electronics</v>
      </c>
      <c r="V2320" t="str">
        <f>VLOOKUP(E2320,Products!$A:$D,4,0)</f>
        <v>Laptops</v>
      </c>
      <c r="W2320" t="str">
        <f>VLOOKUP(D2320,Customers!$A:$C,3,0)</f>
        <v>Enterprise</v>
      </c>
      <c r="X2320" t="str">
        <f>VLOOKUP(C2320,Sales_Representatives!$A:$B,2,0)</f>
        <v>Jennifer Rodriguez</v>
      </c>
    </row>
    <row r="2321" spans="1:24" x14ac:dyDescent="0.3">
      <c r="A2321" t="s">
        <v>3254</v>
      </c>
      <c r="B2321" t="s">
        <v>3251</v>
      </c>
      <c r="C2321" t="s">
        <v>127</v>
      </c>
      <c r="D2321" t="s">
        <v>1649</v>
      </c>
      <c r="E2321" t="s">
        <v>102</v>
      </c>
      <c r="F2321">
        <v>42</v>
      </c>
      <c r="G2321">
        <v>1097.75</v>
      </c>
      <c r="H2321">
        <v>0.18</v>
      </c>
      <c r="I2321" s="4">
        <v>37806.51</v>
      </c>
      <c r="J2321" t="s">
        <v>109</v>
      </c>
      <c r="K2321" t="s">
        <v>22</v>
      </c>
      <c r="L2321" s="4">
        <f>VLOOKUP(tblTransactions[[#This Row],[Product_ID]],tblProducts[],5,FALSE)</f>
        <v>680.12</v>
      </c>
      <c r="M2321" s="4">
        <f>tblTransactions[[#This Row],[Total_Amount]]-(tblTransactions[[#This Row],[Cost_Prices]]*tblTransactions[[#This Row],[Quantity]]*(1-tblTransactions[[#This Row],[Discount]]))</f>
        <v>14383.177199999998</v>
      </c>
      <c r="N2321" s="3">
        <f>tblTransactions[[#This Row],[Profit]]/tblTransactions[[#This Row],[Total_Amount]]</f>
        <v>0.38044181279890676</v>
      </c>
      <c r="O2321" t="str">
        <f>TEXT(tblTransactions[[#This Row],[Date]], "MMM-YYYY")</f>
        <v>May-2024</v>
      </c>
      <c r="P2321" t="str">
        <f>"Q"&amp;ROUNDUP(MONTH(tblTransactions[[#This Row],[Date]])/3,0)&amp;"-"&amp;YEAR(tblTransactions[[#This Row],[Date]])</f>
        <v>Q2-2024</v>
      </c>
      <c r="Q2321">
        <f>YEAR(tblTransactions[[#This Row],[Date]])</f>
        <v>2024</v>
      </c>
      <c r="R2321" t="str">
        <f>TEXT(tblTransactions[[#This Row],[Date]],"DDDD")</f>
        <v>Wednesday</v>
      </c>
      <c r="S2321">
        <f>MONTH(tblTransactions[[#This Row],[Date]])</f>
        <v>5</v>
      </c>
      <c r="T2321" t="str">
        <f>VLOOKUP(E2321, Products!$A:$B,2,0)</f>
        <v>Storage Fur-4</v>
      </c>
      <c r="U2321" t="str">
        <f>VLOOKUP(E2321,Products!$A:$C,3,0)</f>
        <v>Furniture</v>
      </c>
      <c r="V2321" t="str">
        <f>VLOOKUP(E2321,Products!$A:$D,4,0)</f>
        <v>Storage</v>
      </c>
      <c r="W2321" t="str">
        <f>VLOOKUP(D2321,Customers!$A:$C,3,0)</f>
        <v>Enterprise</v>
      </c>
      <c r="X2321" t="str">
        <f>VLOOKUP(C2321,Sales_Representatives!$A:$B,2,0)</f>
        <v>Emily Hernandez</v>
      </c>
    </row>
    <row r="2322" spans="1:24" x14ac:dyDescent="0.3">
      <c r="A2322" t="s">
        <v>3255</v>
      </c>
      <c r="B2322" t="s">
        <v>3251</v>
      </c>
      <c r="C2322" t="s">
        <v>131</v>
      </c>
      <c r="D2322" t="s">
        <v>1547</v>
      </c>
      <c r="E2322" t="s">
        <v>176</v>
      </c>
      <c r="F2322">
        <v>7</v>
      </c>
      <c r="G2322">
        <v>1462.68</v>
      </c>
      <c r="H2322">
        <v>0.05</v>
      </c>
      <c r="I2322" s="4">
        <v>9726.82</v>
      </c>
      <c r="J2322" t="s">
        <v>44</v>
      </c>
      <c r="K2322" t="s">
        <v>17</v>
      </c>
      <c r="L2322" s="4">
        <f>VLOOKUP(tblTransactions[[#This Row],[Product_ID]],tblProducts[],5,FALSE)</f>
        <v>775.94</v>
      </c>
      <c r="M2322" s="4">
        <f>tblTransactions[[#This Row],[Total_Amount]]-(tblTransactions[[#This Row],[Cost_Prices]]*tblTransactions[[#This Row],[Quantity]]*(1-tblTransactions[[#This Row],[Discount]]))</f>
        <v>4566.8190000000004</v>
      </c>
      <c r="N2322" s="3">
        <f>tblTransactions[[#This Row],[Profit]]/tblTransactions[[#This Row],[Total_Amount]]</f>
        <v>0.46950791728437458</v>
      </c>
      <c r="O2322" t="str">
        <f>TEXT(tblTransactions[[#This Row],[Date]], "MMM-YYYY")</f>
        <v>May-2024</v>
      </c>
      <c r="P2322" t="str">
        <f>"Q"&amp;ROUNDUP(MONTH(tblTransactions[[#This Row],[Date]])/3,0)&amp;"-"&amp;YEAR(tblTransactions[[#This Row],[Date]])</f>
        <v>Q2-2024</v>
      </c>
      <c r="Q2322">
        <f>YEAR(tblTransactions[[#This Row],[Date]])</f>
        <v>2024</v>
      </c>
      <c r="R2322" t="str">
        <f>TEXT(tblTransactions[[#This Row],[Date]],"DDDD")</f>
        <v>Wednesday</v>
      </c>
      <c r="S2322">
        <f>MONTH(tblTransactions[[#This Row],[Date]])</f>
        <v>5</v>
      </c>
      <c r="T2322" t="str">
        <f>VLOOKUP(E2322, Products!$A:$B,2,0)</f>
        <v>Chairs Fur-2</v>
      </c>
      <c r="U2322" t="str">
        <f>VLOOKUP(E2322,Products!$A:$C,3,0)</f>
        <v>Furniture</v>
      </c>
      <c r="V2322" t="str">
        <f>VLOOKUP(E2322,Products!$A:$D,4,0)</f>
        <v>Chairs</v>
      </c>
      <c r="W2322" t="str">
        <f>VLOOKUP(D2322,Customers!$A:$C,3,0)</f>
        <v>B2C</v>
      </c>
      <c r="X2322" t="str">
        <f>VLOOKUP(C2322,Sales_Representatives!$A:$B,2,0)</f>
        <v>Michael Davis</v>
      </c>
    </row>
    <row r="2323" spans="1:24" x14ac:dyDescent="0.3">
      <c r="A2323" t="s">
        <v>3256</v>
      </c>
      <c r="B2323" t="s">
        <v>3251</v>
      </c>
      <c r="C2323" t="s">
        <v>27</v>
      </c>
      <c r="D2323" t="s">
        <v>1912</v>
      </c>
      <c r="E2323" t="s">
        <v>79</v>
      </c>
      <c r="F2323">
        <v>40</v>
      </c>
      <c r="G2323">
        <v>1452.36</v>
      </c>
      <c r="H2323">
        <v>0.22</v>
      </c>
      <c r="I2323" s="4">
        <v>45313.63</v>
      </c>
      <c r="J2323" t="s">
        <v>16</v>
      </c>
      <c r="K2323" t="s">
        <v>35</v>
      </c>
      <c r="L2323" s="4">
        <f>VLOOKUP(tblTransactions[[#This Row],[Product_ID]],tblProducts[],5,FALSE)</f>
        <v>778.71</v>
      </c>
      <c r="M2323" s="4">
        <f>tblTransactions[[#This Row],[Total_Amount]]-(tblTransactions[[#This Row],[Cost_Prices]]*tblTransactions[[#This Row],[Quantity]]*(1-tblTransactions[[#This Row],[Discount]]))</f>
        <v>21017.877999999997</v>
      </c>
      <c r="N2323" s="3">
        <f>tblTransactions[[#This Row],[Profit]]/tblTransactions[[#This Row],[Total_Amount]]</f>
        <v>0.46383125783566664</v>
      </c>
      <c r="O2323" t="str">
        <f>TEXT(tblTransactions[[#This Row],[Date]], "MMM-YYYY")</f>
        <v>May-2024</v>
      </c>
      <c r="P2323" t="str">
        <f>"Q"&amp;ROUNDUP(MONTH(tblTransactions[[#This Row],[Date]])/3,0)&amp;"-"&amp;YEAR(tblTransactions[[#This Row],[Date]])</f>
        <v>Q2-2024</v>
      </c>
      <c r="Q2323">
        <f>YEAR(tblTransactions[[#This Row],[Date]])</f>
        <v>2024</v>
      </c>
      <c r="R2323" t="str">
        <f>TEXT(tblTransactions[[#This Row],[Date]],"DDDD")</f>
        <v>Wednesday</v>
      </c>
      <c r="S2323">
        <f>MONTH(tblTransactions[[#This Row],[Date]])</f>
        <v>5</v>
      </c>
      <c r="T2323" t="str">
        <f>VLOOKUP(E2323, Products!$A:$B,2,0)</f>
        <v>Tables Fur-2</v>
      </c>
      <c r="U2323" t="str">
        <f>VLOOKUP(E2323,Products!$A:$C,3,0)</f>
        <v>Furniture</v>
      </c>
      <c r="V2323" t="str">
        <f>VLOOKUP(E2323,Products!$A:$D,4,0)</f>
        <v>Tables</v>
      </c>
      <c r="W2323" t="str">
        <f>VLOOKUP(D2323,Customers!$A:$C,3,0)</f>
        <v>Enterprise</v>
      </c>
      <c r="X2323" t="str">
        <f>VLOOKUP(C2323,Sales_Representatives!$A:$B,2,0)</f>
        <v>Thomas Lopez</v>
      </c>
    </row>
    <row r="2324" spans="1:24" x14ac:dyDescent="0.3">
      <c r="A2324" t="s">
        <v>3257</v>
      </c>
      <c r="B2324" t="s">
        <v>3251</v>
      </c>
      <c r="C2324" t="s">
        <v>19</v>
      </c>
      <c r="D2324" t="s">
        <v>1963</v>
      </c>
      <c r="E2324" t="s">
        <v>152</v>
      </c>
      <c r="F2324">
        <v>1</v>
      </c>
      <c r="G2324">
        <v>859.93</v>
      </c>
      <c r="H2324">
        <v>0.09</v>
      </c>
      <c r="I2324" s="4">
        <v>782.54</v>
      </c>
      <c r="J2324" t="s">
        <v>21</v>
      </c>
      <c r="K2324" t="s">
        <v>39</v>
      </c>
      <c r="L2324" s="4">
        <f>VLOOKUP(tblTransactions[[#This Row],[Product_ID]],tblProducts[],5,FALSE)</f>
        <v>579.79</v>
      </c>
      <c r="M2324" s="4">
        <f>tblTransactions[[#This Row],[Total_Amount]]-(tblTransactions[[#This Row],[Cost_Prices]]*tblTransactions[[#This Row],[Quantity]]*(1-tblTransactions[[#This Row],[Discount]]))</f>
        <v>254.93110000000001</v>
      </c>
      <c r="N2324" s="3">
        <f>tblTransactions[[#This Row],[Profit]]/tblTransactions[[#This Row],[Total_Amount]]</f>
        <v>0.32577389015258007</v>
      </c>
      <c r="O2324" t="str">
        <f>TEXT(tblTransactions[[#This Row],[Date]], "MMM-YYYY")</f>
        <v>May-2024</v>
      </c>
      <c r="P2324" t="str">
        <f>"Q"&amp;ROUNDUP(MONTH(tblTransactions[[#This Row],[Date]])/3,0)&amp;"-"&amp;YEAR(tblTransactions[[#This Row],[Date]])</f>
        <v>Q2-2024</v>
      </c>
      <c r="Q2324">
        <f>YEAR(tblTransactions[[#This Row],[Date]])</f>
        <v>2024</v>
      </c>
      <c r="R2324" t="str">
        <f>TEXT(tblTransactions[[#This Row],[Date]],"DDDD")</f>
        <v>Wednesday</v>
      </c>
      <c r="S2324">
        <f>MONTH(tblTransactions[[#This Row],[Date]])</f>
        <v>5</v>
      </c>
      <c r="T2324" t="str">
        <f>VLOOKUP(E2324, Products!$A:$B,2,0)</f>
        <v>Phones Ele-4</v>
      </c>
      <c r="U2324" t="str">
        <f>VLOOKUP(E2324,Products!$A:$C,3,0)</f>
        <v>Electronics</v>
      </c>
      <c r="V2324" t="str">
        <f>VLOOKUP(E2324,Products!$A:$D,4,0)</f>
        <v>Phones</v>
      </c>
      <c r="W2324" t="str">
        <f>VLOOKUP(D2324,Customers!$A:$C,3,0)</f>
        <v>Small Business</v>
      </c>
      <c r="X2324" t="str">
        <f>VLOOKUP(C2324,Sales_Representatives!$A:$B,2,0)</f>
        <v>Robert Jones</v>
      </c>
    </row>
    <row r="2325" spans="1:24" x14ac:dyDescent="0.3">
      <c r="A2325" t="s">
        <v>3258</v>
      </c>
      <c r="B2325" t="s">
        <v>3251</v>
      </c>
      <c r="C2325" t="s">
        <v>56</v>
      </c>
      <c r="D2325" t="s">
        <v>2007</v>
      </c>
      <c r="E2325" t="s">
        <v>38</v>
      </c>
      <c r="F2325">
        <v>9</v>
      </c>
      <c r="G2325">
        <v>581.47</v>
      </c>
      <c r="H2325">
        <v>0.12</v>
      </c>
      <c r="I2325" s="4">
        <v>4605.24</v>
      </c>
      <c r="J2325" t="s">
        <v>34</v>
      </c>
      <c r="K2325" t="s">
        <v>22</v>
      </c>
      <c r="L2325" s="4">
        <f>VLOOKUP(tblTransactions[[#This Row],[Product_ID]],tblProducts[],5,FALSE)</f>
        <v>372.07</v>
      </c>
      <c r="M2325" s="4">
        <f>tblTransactions[[#This Row],[Total_Amount]]-(tblTransactions[[#This Row],[Cost_Prices]]*tblTransactions[[#This Row],[Quantity]]*(1-tblTransactions[[#This Row],[Discount]]))</f>
        <v>1658.4455999999996</v>
      </c>
      <c r="N2325" s="3">
        <f>tblTransactions[[#This Row],[Profit]]/tblTransactions[[#This Row],[Total_Amount]]</f>
        <v>0.36012142689631804</v>
      </c>
      <c r="O2325" t="str">
        <f>TEXT(tblTransactions[[#This Row],[Date]], "MMM-YYYY")</f>
        <v>May-2024</v>
      </c>
      <c r="P2325" t="str">
        <f>"Q"&amp;ROUNDUP(MONTH(tblTransactions[[#This Row],[Date]])/3,0)&amp;"-"&amp;YEAR(tblTransactions[[#This Row],[Date]])</f>
        <v>Q2-2024</v>
      </c>
      <c r="Q2325">
        <f>YEAR(tblTransactions[[#This Row],[Date]])</f>
        <v>2024</v>
      </c>
      <c r="R2325" t="str">
        <f>TEXT(tblTransactions[[#This Row],[Date]],"DDDD")</f>
        <v>Wednesday</v>
      </c>
      <c r="S2325">
        <f>MONTH(tblTransactions[[#This Row],[Date]])</f>
        <v>5</v>
      </c>
      <c r="T2325" t="str">
        <f>VLOOKUP(E2325, Products!$A:$B,2,0)</f>
        <v>Storage Fur-3</v>
      </c>
      <c r="U2325" t="str">
        <f>VLOOKUP(E2325,Products!$A:$C,3,0)</f>
        <v>Furniture</v>
      </c>
      <c r="V2325" t="str">
        <f>VLOOKUP(E2325,Products!$A:$D,4,0)</f>
        <v>Storage</v>
      </c>
      <c r="W2325" t="str">
        <f>VLOOKUP(D2325,Customers!$A:$C,3,0)</f>
        <v>Enterprise</v>
      </c>
      <c r="X2325" t="str">
        <f>VLOOKUP(C2325,Sales_Representatives!$A:$B,2,0)</f>
        <v>Thomas Hernandez</v>
      </c>
    </row>
    <row r="2326" spans="1:24" x14ac:dyDescent="0.3">
      <c r="A2326" t="s">
        <v>3259</v>
      </c>
      <c r="B2326" t="s">
        <v>3251</v>
      </c>
      <c r="C2326" t="s">
        <v>31</v>
      </c>
      <c r="D2326" t="s">
        <v>93</v>
      </c>
      <c r="E2326" t="s">
        <v>481</v>
      </c>
      <c r="F2326">
        <v>3</v>
      </c>
      <c r="G2326">
        <v>263.58999999999997</v>
      </c>
      <c r="H2326">
        <v>0.03</v>
      </c>
      <c r="I2326" s="4">
        <v>767.05</v>
      </c>
      <c r="J2326" t="s">
        <v>34</v>
      </c>
      <c r="K2326" t="s">
        <v>17</v>
      </c>
      <c r="L2326" s="4">
        <f>VLOOKUP(tblTransactions[[#This Row],[Product_ID]],tblProducts[],5,FALSE)</f>
        <v>133.65</v>
      </c>
      <c r="M2326" s="4">
        <f>tblTransactions[[#This Row],[Total_Amount]]-(tblTransactions[[#This Row],[Cost_Prices]]*tblTransactions[[#This Row],[Quantity]]*(1-tblTransactions[[#This Row],[Discount]]))</f>
        <v>378.12849999999992</v>
      </c>
      <c r="N2326" s="3">
        <f>tblTransactions[[#This Row],[Profit]]/tblTransactions[[#This Row],[Total_Amount]]</f>
        <v>0.49296460465419456</v>
      </c>
      <c r="O2326" t="str">
        <f>TEXT(tblTransactions[[#This Row],[Date]], "MMM-YYYY")</f>
        <v>May-2024</v>
      </c>
      <c r="P2326" t="str">
        <f>"Q"&amp;ROUNDUP(MONTH(tblTransactions[[#This Row],[Date]])/3,0)&amp;"-"&amp;YEAR(tblTransactions[[#This Row],[Date]])</f>
        <v>Q2-2024</v>
      </c>
      <c r="Q2326">
        <f>YEAR(tblTransactions[[#This Row],[Date]])</f>
        <v>2024</v>
      </c>
      <c r="R2326" t="str">
        <f>TEXT(tblTransactions[[#This Row],[Date]],"DDDD")</f>
        <v>Wednesday</v>
      </c>
      <c r="S2326">
        <f>MONTH(tblTransactions[[#This Row],[Date]])</f>
        <v>5</v>
      </c>
      <c r="T2326" t="str">
        <f>VLOOKUP(E2326, Products!$A:$B,2,0)</f>
        <v>Folders Off-1</v>
      </c>
      <c r="U2326" t="str">
        <f>VLOOKUP(E2326,Products!$A:$C,3,0)</f>
        <v>Office Supplies</v>
      </c>
      <c r="V2326" t="str">
        <f>VLOOKUP(E2326,Products!$A:$D,4,0)</f>
        <v>Folders</v>
      </c>
      <c r="W2326" t="str">
        <f>VLOOKUP(D2326,Customers!$A:$C,3,0)</f>
        <v>B2C</v>
      </c>
      <c r="X2326" t="str">
        <f>VLOOKUP(C2326,Sales_Representatives!$A:$B,2,0)</f>
        <v>Thomas Martinez</v>
      </c>
    </row>
    <row r="2327" spans="1:24" x14ac:dyDescent="0.3">
      <c r="A2327" t="s">
        <v>3260</v>
      </c>
      <c r="B2327" t="s">
        <v>3261</v>
      </c>
      <c r="C2327" t="s">
        <v>63</v>
      </c>
      <c r="D2327" t="s">
        <v>1840</v>
      </c>
      <c r="E2327" t="s">
        <v>299</v>
      </c>
      <c r="F2327">
        <v>7</v>
      </c>
      <c r="G2327">
        <v>963.44</v>
      </c>
      <c r="H2327">
        <v>0.13</v>
      </c>
      <c r="I2327" s="4">
        <v>5867.35</v>
      </c>
      <c r="J2327" t="s">
        <v>21</v>
      </c>
      <c r="K2327" t="s">
        <v>22</v>
      </c>
      <c r="L2327" s="4">
        <f>VLOOKUP(tblTransactions[[#This Row],[Product_ID]],tblProducts[],5,FALSE)</f>
        <v>578.96</v>
      </c>
      <c r="M2327" s="4">
        <f>tblTransactions[[#This Row],[Total_Amount]]-(tblTransactions[[#This Row],[Cost_Prices]]*tblTransactions[[#This Row],[Quantity]]*(1-tblTransactions[[#This Row],[Discount]]))</f>
        <v>2341.4836</v>
      </c>
      <c r="N2327" s="3">
        <f>tblTransactions[[#This Row],[Profit]]/tblTransactions[[#This Row],[Total_Amount]]</f>
        <v>0.39907004013737035</v>
      </c>
      <c r="O2327" t="str">
        <f>TEXT(tblTransactions[[#This Row],[Date]], "MMM-YYYY")</f>
        <v>May-2024</v>
      </c>
      <c r="P2327" t="str">
        <f>"Q"&amp;ROUNDUP(MONTH(tblTransactions[[#This Row],[Date]])/3,0)&amp;"-"&amp;YEAR(tblTransactions[[#This Row],[Date]])</f>
        <v>Q2-2024</v>
      </c>
      <c r="Q2327">
        <f>YEAR(tblTransactions[[#This Row],[Date]])</f>
        <v>2024</v>
      </c>
      <c r="R2327" t="str">
        <f>TEXT(tblTransactions[[#This Row],[Date]],"DDDD")</f>
        <v>Thursday</v>
      </c>
      <c r="S2327">
        <f>MONTH(tblTransactions[[#This Row],[Date]])</f>
        <v>5</v>
      </c>
      <c r="T2327" t="str">
        <f>VLOOKUP(E2327, Products!$A:$B,2,0)</f>
        <v>Chairs Fur-4</v>
      </c>
      <c r="U2327" t="str">
        <f>VLOOKUP(E2327,Products!$A:$C,3,0)</f>
        <v>Furniture</v>
      </c>
      <c r="V2327" t="str">
        <f>VLOOKUP(E2327,Products!$A:$D,4,0)</f>
        <v>Chairs</v>
      </c>
      <c r="W2327" t="str">
        <f>VLOOKUP(D2327,Customers!$A:$C,3,0)</f>
        <v>Small Business</v>
      </c>
      <c r="X2327" t="str">
        <f>VLOOKUP(C2327,Sales_Representatives!$A:$B,2,0)</f>
        <v>Richard Wilson</v>
      </c>
    </row>
    <row r="2328" spans="1:24" x14ac:dyDescent="0.3">
      <c r="A2328" t="s">
        <v>3262</v>
      </c>
      <c r="B2328" t="s">
        <v>3261</v>
      </c>
      <c r="C2328" t="s">
        <v>131</v>
      </c>
      <c r="D2328" t="s">
        <v>2287</v>
      </c>
      <c r="E2328" t="s">
        <v>79</v>
      </c>
      <c r="F2328">
        <v>3</v>
      </c>
      <c r="G2328">
        <v>1452.36</v>
      </c>
      <c r="H2328">
        <v>0.05</v>
      </c>
      <c r="I2328" s="4">
        <v>4139.2299999999996</v>
      </c>
      <c r="J2328" t="s">
        <v>44</v>
      </c>
      <c r="K2328" t="s">
        <v>48</v>
      </c>
      <c r="L2328" s="4">
        <f>VLOOKUP(tblTransactions[[#This Row],[Product_ID]],tblProducts[],5,FALSE)</f>
        <v>778.71</v>
      </c>
      <c r="M2328" s="4">
        <f>tblTransactions[[#This Row],[Total_Amount]]-(tblTransactions[[#This Row],[Cost_Prices]]*tblTransactions[[#This Row],[Quantity]]*(1-tblTransactions[[#This Row],[Discount]]))</f>
        <v>1919.9064999999996</v>
      </c>
      <c r="N2328" s="3">
        <f>tblTransactions[[#This Row],[Profit]]/tblTransactions[[#This Row],[Total_Amount]]</f>
        <v>0.46383179963423143</v>
      </c>
      <c r="O2328" t="str">
        <f>TEXT(tblTransactions[[#This Row],[Date]], "MMM-YYYY")</f>
        <v>May-2024</v>
      </c>
      <c r="P2328" t="str">
        <f>"Q"&amp;ROUNDUP(MONTH(tblTransactions[[#This Row],[Date]])/3,0)&amp;"-"&amp;YEAR(tblTransactions[[#This Row],[Date]])</f>
        <v>Q2-2024</v>
      </c>
      <c r="Q2328">
        <f>YEAR(tblTransactions[[#This Row],[Date]])</f>
        <v>2024</v>
      </c>
      <c r="R2328" t="str">
        <f>TEXT(tblTransactions[[#This Row],[Date]],"DDDD")</f>
        <v>Thursday</v>
      </c>
      <c r="S2328">
        <f>MONTH(tblTransactions[[#This Row],[Date]])</f>
        <v>5</v>
      </c>
      <c r="T2328" t="str">
        <f>VLOOKUP(E2328, Products!$A:$B,2,0)</f>
        <v>Tables Fur-2</v>
      </c>
      <c r="U2328" t="str">
        <f>VLOOKUP(E2328,Products!$A:$C,3,0)</f>
        <v>Furniture</v>
      </c>
      <c r="V2328" t="str">
        <f>VLOOKUP(E2328,Products!$A:$D,4,0)</f>
        <v>Tables</v>
      </c>
      <c r="W2328" t="str">
        <f>VLOOKUP(D2328,Customers!$A:$C,3,0)</f>
        <v>B2B</v>
      </c>
      <c r="X2328" t="str">
        <f>VLOOKUP(C2328,Sales_Representatives!$A:$B,2,0)</f>
        <v>Michael Davis</v>
      </c>
    </row>
    <row r="2329" spans="1:24" x14ac:dyDescent="0.3">
      <c r="A2329" t="s">
        <v>3263</v>
      </c>
      <c r="B2329" t="s">
        <v>3261</v>
      </c>
      <c r="C2329" t="s">
        <v>41</v>
      </c>
      <c r="D2329" t="s">
        <v>24</v>
      </c>
      <c r="E2329" t="s">
        <v>15</v>
      </c>
      <c r="F2329">
        <v>15</v>
      </c>
      <c r="G2329">
        <v>477.48</v>
      </c>
      <c r="H2329">
        <v>0.15</v>
      </c>
      <c r="I2329" s="4">
        <v>6087.87</v>
      </c>
      <c r="J2329" t="s">
        <v>44</v>
      </c>
      <c r="K2329" t="s">
        <v>48</v>
      </c>
      <c r="L2329" s="4">
        <f>VLOOKUP(tblTransactions[[#This Row],[Product_ID]],tblProducts[],5,FALSE)</f>
        <v>275.51</v>
      </c>
      <c r="M2329" s="4">
        <f>tblTransactions[[#This Row],[Total_Amount]]-(tblTransactions[[#This Row],[Cost_Prices]]*tblTransactions[[#This Row],[Quantity]]*(1-tblTransactions[[#This Row],[Discount]]))</f>
        <v>2575.1175000000003</v>
      </c>
      <c r="N2329" s="3">
        <f>tblTransactions[[#This Row],[Profit]]/tblTransactions[[#This Row],[Total_Amount]]</f>
        <v>0.42299153891262464</v>
      </c>
      <c r="O2329" t="str">
        <f>TEXT(tblTransactions[[#This Row],[Date]], "MMM-YYYY")</f>
        <v>May-2024</v>
      </c>
      <c r="P2329" t="str">
        <f>"Q"&amp;ROUNDUP(MONTH(tblTransactions[[#This Row],[Date]])/3,0)&amp;"-"&amp;YEAR(tblTransactions[[#This Row],[Date]])</f>
        <v>Q2-2024</v>
      </c>
      <c r="Q2329">
        <f>YEAR(tblTransactions[[#This Row],[Date]])</f>
        <v>2024</v>
      </c>
      <c r="R2329" t="str">
        <f>TEXT(tblTransactions[[#This Row],[Date]],"DDDD")</f>
        <v>Thursday</v>
      </c>
      <c r="S2329">
        <f>MONTH(tblTransactions[[#This Row],[Date]])</f>
        <v>5</v>
      </c>
      <c r="T2329" t="str">
        <f>VLOOKUP(E2329, Products!$A:$B,2,0)</f>
        <v>Laptops Ele-4</v>
      </c>
      <c r="U2329" t="str">
        <f>VLOOKUP(E2329,Products!$A:$C,3,0)</f>
        <v>Electronics</v>
      </c>
      <c r="V2329" t="str">
        <f>VLOOKUP(E2329,Products!$A:$D,4,0)</f>
        <v>Laptops</v>
      </c>
      <c r="W2329" t="str">
        <f>VLOOKUP(D2329,Customers!$A:$C,3,0)</f>
        <v>B2B</v>
      </c>
      <c r="X2329" t="str">
        <f>VLOOKUP(C2329,Sales_Representatives!$A:$B,2,0)</f>
        <v>Robert Jones</v>
      </c>
    </row>
    <row r="2330" spans="1:24" x14ac:dyDescent="0.3">
      <c r="A2330" t="s">
        <v>3264</v>
      </c>
      <c r="B2330" t="s">
        <v>3261</v>
      </c>
      <c r="C2330" t="s">
        <v>82</v>
      </c>
      <c r="D2330" t="s">
        <v>2485</v>
      </c>
      <c r="E2330" t="s">
        <v>264</v>
      </c>
      <c r="F2330">
        <v>7</v>
      </c>
      <c r="G2330">
        <v>607.29999999999995</v>
      </c>
      <c r="H2330">
        <v>0.12</v>
      </c>
      <c r="I2330" s="4">
        <v>3740.97</v>
      </c>
      <c r="J2330" t="s">
        <v>34</v>
      </c>
      <c r="K2330" t="s">
        <v>17</v>
      </c>
      <c r="L2330" s="4">
        <f>VLOOKUP(tblTransactions[[#This Row],[Product_ID]],tblProducts[],5,FALSE)</f>
        <v>436.37</v>
      </c>
      <c r="M2330" s="4">
        <f>tblTransactions[[#This Row],[Total_Amount]]-(tblTransactions[[#This Row],[Cost_Prices]]*tblTransactions[[#This Row],[Quantity]]*(1-tblTransactions[[#This Row],[Discount]]))</f>
        <v>1052.9307999999996</v>
      </c>
      <c r="N2330" s="3">
        <f>tblTransactions[[#This Row],[Profit]]/tblTransactions[[#This Row],[Total_Amount]]</f>
        <v>0.28145930066266228</v>
      </c>
      <c r="O2330" t="str">
        <f>TEXT(tblTransactions[[#This Row],[Date]], "MMM-YYYY")</f>
        <v>May-2024</v>
      </c>
      <c r="P2330" t="str">
        <f>"Q"&amp;ROUNDUP(MONTH(tblTransactions[[#This Row],[Date]])/3,0)&amp;"-"&amp;YEAR(tblTransactions[[#This Row],[Date]])</f>
        <v>Q2-2024</v>
      </c>
      <c r="Q2330">
        <f>YEAR(tblTransactions[[#This Row],[Date]])</f>
        <v>2024</v>
      </c>
      <c r="R2330" t="str">
        <f>TEXT(tblTransactions[[#This Row],[Date]],"DDDD")</f>
        <v>Thursday</v>
      </c>
      <c r="S2330">
        <f>MONTH(tblTransactions[[#This Row],[Date]])</f>
        <v>5</v>
      </c>
      <c r="T2330" t="str">
        <f>VLOOKUP(E2330, Products!$A:$B,2,0)</f>
        <v>Tablets Ele-4</v>
      </c>
      <c r="U2330" t="str">
        <f>VLOOKUP(E2330,Products!$A:$C,3,0)</f>
        <v>Electronics</v>
      </c>
      <c r="V2330" t="str">
        <f>VLOOKUP(E2330,Products!$A:$D,4,0)</f>
        <v>Tablets</v>
      </c>
      <c r="W2330" t="str">
        <f>VLOOKUP(D2330,Customers!$A:$C,3,0)</f>
        <v>B2B</v>
      </c>
      <c r="X2330" t="str">
        <f>VLOOKUP(C2330,Sales_Representatives!$A:$B,2,0)</f>
        <v>John Brown</v>
      </c>
    </row>
    <row r="2331" spans="1:24" x14ac:dyDescent="0.3">
      <c r="A2331" t="s">
        <v>3265</v>
      </c>
      <c r="B2331" t="s">
        <v>3261</v>
      </c>
      <c r="C2331" t="s">
        <v>107</v>
      </c>
      <c r="D2331" t="s">
        <v>112</v>
      </c>
      <c r="E2331" t="s">
        <v>102</v>
      </c>
      <c r="F2331">
        <v>13</v>
      </c>
      <c r="G2331">
        <v>1097.75</v>
      </c>
      <c r="H2331">
        <v>0.18</v>
      </c>
      <c r="I2331" s="4">
        <v>11702.02</v>
      </c>
      <c r="J2331" t="s">
        <v>109</v>
      </c>
      <c r="K2331" t="s">
        <v>48</v>
      </c>
      <c r="L2331" s="4">
        <f>VLOOKUP(tblTransactions[[#This Row],[Product_ID]],tblProducts[],5,FALSE)</f>
        <v>680.12</v>
      </c>
      <c r="M2331" s="4">
        <f>tblTransactions[[#This Row],[Total_Amount]]-(tblTransactions[[#This Row],[Cost_Prices]]*tblTransactions[[#This Row],[Quantity]]*(1-tblTransactions[[#This Row],[Discount]]))</f>
        <v>4451.9408000000003</v>
      </c>
      <c r="N2331" s="3">
        <f>tblTransactions[[#This Row],[Profit]]/tblTransactions[[#This Row],[Total_Amount]]</f>
        <v>0.38044207752165865</v>
      </c>
      <c r="O2331" t="str">
        <f>TEXT(tblTransactions[[#This Row],[Date]], "MMM-YYYY")</f>
        <v>May-2024</v>
      </c>
      <c r="P2331" t="str">
        <f>"Q"&amp;ROUNDUP(MONTH(tblTransactions[[#This Row],[Date]])/3,0)&amp;"-"&amp;YEAR(tblTransactions[[#This Row],[Date]])</f>
        <v>Q2-2024</v>
      </c>
      <c r="Q2331">
        <f>YEAR(tblTransactions[[#This Row],[Date]])</f>
        <v>2024</v>
      </c>
      <c r="R2331" t="str">
        <f>TEXT(tblTransactions[[#This Row],[Date]],"DDDD")</f>
        <v>Thursday</v>
      </c>
      <c r="S2331">
        <f>MONTH(tblTransactions[[#This Row],[Date]])</f>
        <v>5</v>
      </c>
      <c r="T2331" t="str">
        <f>VLOOKUP(E2331, Products!$A:$B,2,0)</f>
        <v>Storage Fur-4</v>
      </c>
      <c r="U2331" t="str">
        <f>VLOOKUP(E2331,Products!$A:$C,3,0)</f>
        <v>Furniture</v>
      </c>
      <c r="V2331" t="str">
        <f>VLOOKUP(E2331,Products!$A:$D,4,0)</f>
        <v>Storage</v>
      </c>
      <c r="W2331" t="str">
        <f>VLOOKUP(D2331,Customers!$A:$C,3,0)</f>
        <v>Enterprise</v>
      </c>
      <c r="X2331" t="str">
        <f>VLOOKUP(C2331,Sales_Representatives!$A:$B,2,0)</f>
        <v>Jennifer Brown</v>
      </c>
    </row>
    <row r="2332" spans="1:24" x14ac:dyDescent="0.3">
      <c r="A2332" t="s">
        <v>3266</v>
      </c>
      <c r="B2332" t="s">
        <v>3267</v>
      </c>
      <c r="C2332" t="s">
        <v>75</v>
      </c>
      <c r="D2332" t="s">
        <v>2411</v>
      </c>
      <c r="E2332" t="s">
        <v>290</v>
      </c>
      <c r="F2332">
        <v>18</v>
      </c>
      <c r="G2332">
        <v>729.32</v>
      </c>
      <c r="H2332">
        <v>0.14000000000000001</v>
      </c>
      <c r="I2332" s="4">
        <v>11289.87</v>
      </c>
      <c r="J2332" t="s">
        <v>44</v>
      </c>
      <c r="K2332" t="s">
        <v>35</v>
      </c>
      <c r="L2332" s="4">
        <f>VLOOKUP(tblTransactions[[#This Row],[Product_ID]],tblProducts[],5,FALSE)</f>
        <v>482.7</v>
      </c>
      <c r="M2332" s="4">
        <f>tblTransactions[[#This Row],[Total_Amount]]-(tblTransactions[[#This Row],[Cost_Prices]]*tblTransactions[[#This Row],[Quantity]]*(1-tblTransactions[[#This Row],[Discount]]))</f>
        <v>3817.6740000000009</v>
      </c>
      <c r="N2332" s="3">
        <f>tblTransactions[[#This Row],[Profit]]/tblTransactions[[#This Row],[Total_Amount]]</f>
        <v>0.33815039500011962</v>
      </c>
      <c r="O2332" t="str">
        <f>TEXT(tblTransactions[[#This Row],[Date]], "MMM-YYYY")</f>
        <v>May-2024</v>
      </c>
      <c r="P2332" t="str">
        <f>"Q"&amp;ROUNDUP(MONTH(tblTransactions[[#This Row],[Date]])/3,0)&amp;"-"&amp;YEAR(tblTransactions[[#This Row],[Date]])</f>
        <v>Q2-2024</v>
      </c>
      <c r="Q2332">
        <f>YEAR(tblTransactions[[#This Row],[Date]])</f>
        <v>2024</v>
      </c>
      <c r="R2332" t="str">
        <f>TEXT(tblTransactions[[#This Row],[Date]],"DDDD")</f>
        <v>Friday</v>
      </c>
      <c r="S2332">
        <f>MONTH(tblTransactions[[#This Row],[Date]])</f>
        <v>5</v>
      </c>
      <c r="T2332" t="str">
        <f>VLOOKUP(E2332, Products!$A:$B,2,0)</f>
        <v>Tables Fur-1</v>
      </c>
      <c r="U2332" t="str">
        <f>VLOOKUP(E2332,Products!$A:$C,3,0)</f>
        <v>Furniture</v>
      </c>
      <c r="V2332" t="str">
        <f>VLOOKUP(E2332,Products!$A:$D,4,0)</f>
        <v>Tables</v>
      </c>
      <c r="W2332" t="str">
        <f>VLOOKUP(D2332,Customers!$A:$C,3,0)</f>
        <v>B2B</v>
      </c>
      <c r="X2332" t="str">
        <f>VLOOKUP(C2332,Sales_Representatives!$A:$B,2,0)</f>
        <v>Jessica Anderson</v>
      </c>
    </row>
    <row r="2333" spans="1:24" x14ac:dyDescent="0.3">
      <c r="A2333" t="s">
        <v>3268</v>
      </c>
      <c r="B2333" t="s">
        <v>3267</v>
      </c>
      <c r="C2333" t="s">
        <v>19</v>
      </c>
      <c r="D2333" t="s">
        <v>154</v>
      </c>
      <c r="E2333" t="s">
        <v>72</v>
      </c>
      <c r="F2333">
        <v>16</v>
      </c>
      <c r="G2333">
        <v>404.76</v>
      </c>
      <c r="H2333">
        <v>0.14000000000000001</v>
      </c>
      <c r="I2333" s="4">
        <v>5569.5</v>
      </c>
      <c r="J2333" t="s">
        <v>21</v>
      </c>
      <c r="K2333" t="s">
        <v>17</v>
      </c>
      <c r="L2333" s="4">
        <f>VLOOKUP(tblTransactions[[#This Row],[Product_ID]],tblProducts[],5,FALSE)</f>
        <v>226.76</v>
      </c>
      <c r="M2333" s="4">
        <f>tblTransactions[[#This Row],[Total_Amount]]-(tblTransactions[[#This Row],[Cost_Prices]]*tblTransactions[[#This Row],[Quantity]]*(1-tblTransactions[[#This Row],[Discount]]))</f>
        <v>2449.2824000000001</v>
      </c>
      <c r="N2333" s="3">
        <f>tblTransactions[[#This Row],[Profit]]/tblTransactions[[#This Row],[Total_Amount]]</f>
        <v>0.43976701678786245</v>
      </c>
      <c r="O2333" t="str">
        <f>TEXT(tblTransactions[[#This Row],[Date]], "MMM-YYYY")</f>
        <v>May-2024</v>
      </c>
      <c r="P2333" t="str">
        <f>"Q"&amp;ROUNDUP(MONTH(tblTransactions[[#This Row],[Date]])/3,0)&amp;"-"&amp;YEAR(tblTransactions[[#This Row],[Date]])</f>
        <v>Q2-2024</v>
      </c>
      <c r="Q2333">
        <f>YEAR(tblTransactions[[#This Row],[Date]])</f>
        <v>2024</v>
      </c>
      <c r="R2333" t="str">
        <f>TEXT(tblTransactions[[#This Row],[Date]],"DDDD")</f>
        <v>Friday</v>
      </c>
      <c r="S2333">
        <f>MONTH(tblTransactions[[#This Row],[Date]])</f>
        <v>5</v>
      </c>
      <c r="T2333" t="str">
        <f>VLOOKUP(E2333, Products!$A:$B,2,0)</f>
        <v>Tablets Ele-2</v>
      </c>
      <c r="U2333" t="str">
        <f>VLOOKUP(E2333,Products!$A:$C,3,0)</f>
        <v>Electronics</v>
      </c>
      <c r="V2333" t="str">
        <f>VLOOKUP(E2333,Products!$A:$D,4,0)</f>
        <v>Tablets</v>
      </c>
      <c r="W2333" t="str">
        <f>VLOOKUP(D2333,Customers!$A:$C,3,0)</f>
        <v>B2B</v>
      </c>
      <c r="X2333" t="str">
        <f>VLOOKUP(C2333,Sales_Representatives!$A:$B,2,0)</f>
        <v>Robert Jones</v>
      </c>
    </row>
    <row r="2334" spans="1:24" x14ac:dyDescent="0.3">
      <c r="A2334" t="s">
        <v>3269</v>
      </c>
      <c r="B2334" t="s">
        <v>3270</v>
      </c>
      <c r="C2334" t="s">
        <v>59</v>
      </c>
      <c r="D2334" t="s">
        <v>2056</v>
      </c>
      <c r="E2334" t="s">
        <v>191</v>
      </c>
      <c r="F2334">
        <v>7</v>
      </c>
      <c r="G2334">
        <v>1012.75</v>
      </c>
      <c r="H2334">
        <v>0.1</v>
      </c>
      <c r="I2334" s="4">
        <v>6380.32</v>
      </c>
      <c r="J2334" t="s">
        <v>21</v>
      </c>
      <c r="K2334" t="s">
        <v>39</v>
      </c>
      <c r="L2334" s="4">
        <f>VLOOKUP(tblTransactions[[#This Row],[Product_ID]],tblProducts[],5,FALSE)</f>
        <v>518.53</v>
      </c>
      <c r="M2334" s="4">
        <f>tblTransactions[[#This Row],[Total_Amount]]-(tblTransactions[[#This Row],[Cost_Prices]]*tblTransactions[[#This Row],[Quantity]]*(1-tblTransactions[[#This Row],[Discount]]))</f>
        <v>3113.5809999999997</v>
      </c>
      <c r="N2334" s="3">
        <f>tblTransactions[[#This Row],[Profit]]/tblTransactions[[#This Row],[Total_Amount]]</f>
        <v>0.48799762394362661</v>
      </c>
      <c r="O2334" t="str">
        <f>TEXT(tblTransactions[[#This Row],[Date]], "MMM-YYYY")</f>
        <v>May-2024</v>
      </c>
      <c r="P2334" t="str">
        <f>"Q"&amp;ROUNDUP(MONTH(tblTransactions[[#This Row],[Date]])/3,0)&amp;"-"&amp;YEAR(tblTransactions[[#This Row],[Date]])</f>
        <v>Q2-2024</v>
      </c>
      <c r="Q2334">
        <f>YEAR(tblTransactions[[#This Row],[Date]])</f>
        <v>2024</v>
      </c>
      <c r="R2334" t="str">
        <f>TEXT(tblTransactions[[#This Row],[Date]],"DDDD")</f>
        <v>Saturday</v>
      </c>
      <c r="S2334">
        <f>MONTH(tblTransactions[[#This Row],[Date]])</f>
        <v>5</v>
      </c>
      <c r="T2334" t="str">
        <f>VLOOKUP(E2334, Products!$A:$B,2,0)</f>
        <v>Tables Fur-4</v>
      </c>
      <c r="U2334" t="str">
        <f>VLOOKUP(E2334,Products!$A:$C,3,0)</f>
        <v>Furniture</v>
      </c>
      <c r="V2334" t="str">
        <f>VLOOKUP(E2334,Products!$A:$D,4,0)</f>
        <v>Tables</v>
      </c>
      <c r="W2334" t="str">
        <f>VLOOKUP(D2334,Customers!$A:$C,3,0)</f>
        <v>Small Business</v>
      </c>
      <c r="X2334" t="str">
        <f>VLOOKUP(C2334,Sales_Representatives!$A:$B,2,0)</f>
        <v>Sarah Brown</v>
      </c>
    </row>
    <row r="2335" spans="1:24" x14ac:dyDescent="0.3">
      <c r="A2335" t="s">
        <v>3271</v>
      </c>
      <c r="B2335" t="s">
        <v>3270</v>
      </c>
      <c r="C2335" t="s">
        <v>75</v>
      </c>
      <c r="D2335" t="s">
        <v>2204</v>
      </c>
      <c r="E2335" t="s">
        <v>84</v>
      </c>
      <c r="F2335">
        <v>33</v>
      </c>
      <c r="G2335">
        <v>1841.77</v>
      </c>
      <c r="H2335">
        <v>0.2</v>
      </c>
      <c r="I2335" s="4">
        <v>48622.73</v>
      </c>
      <c r="J2335" t="s">
        <v>44</v>
      </c>
      <c r="K2335" t="s">
        <v>35</v>
      </c>
      <c r="L2335" s="4">
        <f>VLOOKUP(tblTransactions[[#This Row],[Product_ID]],tblProducts[],5,FALSE)</f>
        <v>1151.5899999999999</v>
      </c>
      <c r="M2335" s="4">
        <f>tblTransactions[[#This Row],[Total_Amount]]-(tblTransactions[[#This Row],[Cost_Prices]]*tblTransactions[[#This Row],[Quantity]]*(1-tblTransactions[[#This Row],[Discount]]))</f>
        <v>18220.754000000008</v>
      </c>
      <c r="N2335" s="3">
        <f>tblTransactions[[#This Row],[Profit]]/tblTransactions[[#This Row],[Total_Amount]]</f>
        <v>0.37473737077288766</v>
      </c>
      <c r="O2335" t="str">
        <f>TEXT(tblTransactions[[#This Row],[Date]], "MMM-YYYY")</f>
        <v>May-2024</v>
      </c>
      <c r="P2335" t="str">
        <f>"Q"&amp;ROUNDUP(MONTH(tblTransactions[[#This Row],[Date]])/3,0)&amp;"-"&amp;YEAR(tblTransactions[[#This Row],[Date]])</f>
        <v>Q2-2024</v>
      </c>
      <c r="Q2335">
        <f>YEAR(tblTransactions[[#This Row],[Date]])</f>
        <v>2024</v>
      </c>
      <c r="R2335" t="str">
        <f>TEXT(tblTransactions[[#This Row],[Date]],"DDDD")</f>
        <v>Saturday</v>
      </c>
      <c r="S2335">
        <f>MONTH(tblTransactions[[#This Row],[Date]])</f>
        <v>5</v>
      </c>
      <c r="T2335" t="str">
        <f>VLOOKUP(E2335, Products!$A:$B,2,0)</f>
        <v>Laptops Ele-2</v>
      </c>
      <c r="U2335" t="str">
        <f>VLOOKUP(E2335,Products!$A:$C,3,0)</f>
        <v>Electronics</v>
      </c>
      <c r="V2335" t="str">
        <f>VLOOKUP(E2335,Products!$A:$D,4,0)</f>
        <v>Laptops</v>
      </c>
      <c r="W2335" t="str">
        <f>VLOOKUP(D2335,Customers!$A:$C,3,0)</f>
        <v>Enterprise</v>
      </c>
      <c r="X2335" t="str">
        <f>VLOOKUP(C2335,Sales_Representatives!$A:$B,2,0)</f>
        <v>Jessica Anderson</v>
      </c>
    </row>
    <row r="2336" spans="1:24" x14ac:dyDescent="0.3">
      <c r="A2336" t="s">
        <v>3272</v>
      </c>
      <c r="B2336" t="s">
        <v>3270</v>
      </c>
      <c r="C2336" t="s">
        <v>63</v>
      </c>
      <c r="D2336" t="s">
        <v>1487</v>
      </c>
      <c r="E2336" t="s">
        <v>25</v>
      </c>
      <c r="F2336">
        <v>15</v>
      </c>
      <c r="G2336">
        <v>1467.49</v>
      </c>
      <c r="H2336">
        <v>0.17</v>
      </c>
      <c r="I2336" s="4">
        <v>18270.25</v>
      </c>
      <c r="J2336" t="s">
        <v>21</v>
      </c>
      <c r="K2336" t="s">
        <v>48</v>
      </c>
      <c r="L2336" s="4">
        <f>VLOOKUP(tblTransactions[[#This Row],[Product_ID]],tblProducts[],5,FALSE)</f>
        <v>757.65</v>
      </c>
      <c r="M2336" s="4">
        <f>tblTransactions[[#This Row],[Total_Amount]]-(tblTransactions[[#This Row],[Cost_Prices]]*tblTransactions[[#This Row],[Quantity]]*(1-tblTransactions[[#This Row],[Discount]]))</f>
        <v>8837.5074999999997</v>
      </c>
      <c r="N2336" s="3">
        <f>tblTransactions[[#This Row],[Profit]]/tblTransactions[[#This Row],[Total_Amount]]</f>
        <v>0.48371026669038464</v>
      </c>
      <c r="O2336" t="str">
        <f>TEXT(tblTransactions[[#This Row],[Date]], "MMM-YYYY")</f>
        <v>May-2024</v>
      </c>
      <c r="P2336" t="str">
        <f>"Q"&amp;ROUNDUP(MONTH(tblTransactions[[#This Row],[Date]])/3,0)&amp;"-"&amp;YEAR(tblTransactions[[#This Row],[Date]])</f>
        <v>Q2-2024</v>
      </c>
      <c r="Q2336">
        <f>YEAR(tblTransactions[[#This Row],[Date]])</f>
        <v>2024</v>
      </c>
      <c r="R2336" t="str">
        <f>TEXT(tblTransactions[[#This Row],[Date]],"DDDD")</f>
        <v>Saturday</v>
      </c>
      <c r="S2336">
        <f>MONTH(tblTransactions[[#This Row],[Date]])</f>
        <v>5</v>
      </c>
      <c r="T2336" t="str">
        <f>VLOOKUP(E2336, Products!$A:$B,2,0)</f>
        <v>Tables Fur-3</v>
      </c>
      <c r="U2336" t="str">
        <f>VLOOKUP(E2336,Products!$A:$C,3,0)</f>
        <v>Furniture</v>
      </c>
      <c r="V2336" t="str">
        <f>VLOOKUP(E2336,Products!$A:$D,4,0)</f>
        <v>Tables</v>
      </c>
      <c r="W2336" t="str">
        <f>VLOOKUP(D2336,Customers!$A:$C,3,0)</f>
        <v>B2B</v>
      </c>
      <c r="X2336" t="str">
        <f>VLOOKUP(C2336,Sales_Representatives!$A:$B,2,0)</f>
        <v>Richard Wilson</v>
      </c>
    </row>
    <row r="2337" spans="1:24" x14ac:dyDescent="0.3">
      <c r="A2337" t="s">
        <v>3273</v>
      </c>
      <c r="B2337" t="s">
        <v>3270</v>
      </c>
      <c r="C2337" t="s">
        <v>41</v>
      </c>
      <c r="D2337" t="s">
        <v>98</v>
      </c>
      <c r="E2337" t="s">
        <v>89</v>
      </c>
      <c r="F2337">
        <v>7</v>
      </c>
      <c r="G2337">
        <v>555.08000000000004</v>
      </c>
      <c r="H2337">
        <v>0.14000000000000001</v>
      </c>
      <c r="I2337" s="4">
        <v>3341.58</v>
      </c>
      <c r="J2337" t="s">
        <v>44</v>
      </c>
      <c r="K2337" t="s">
        <v>39</v>
      </c>
      <c r="L2337" s="4">
        <f>VLOOKUP(tblTransactions[[#This Row],[Product_ID]],tblProducts[],5,FALSE)</f>
        <v>402.82</v>
      </c>
      <c r="M2337" s="4">
        <f>tblTransactions[[#This Row],[Total_Amount]]-(tblTransactions[[#This Row],[Cost_Prices]]*tblTransactions[[#This Row],[Quantity]]*(1-tblTransactions[[#This Row],[Discount]]))</f>
        <v>916.60360000000037</v>
      </c>
      <c r="N2337" s="3">
        <f>tblTransactions[[#This Row],[Profit]]/tblTransactions[[#This Row],[Total_Amount]]</f>
        <v>0.2743024557245376</v>
      </c>
      <c r="O2337" t="str">
        <f>TEXT(tblTransactions[[#This Row],[Date]], "MMM-YYYY")</f>
        <v>May-2024</v>
      </c>
      <c r="P2337" t="str">
        <f>"Q"&amp;ROUNDUP(MONTH(tblTransactions[[#This Row],[Date]])/3,0)&amp;"-"&amp;YEAR(tblTransactions[[#This Row],[Date]])</f>
        <v>Q2-2024</v>
      </c>
      <c r="Q2337">
        <f>YEAR(tblTransactions[[#This Row],[Date]])</f>
        <v>2024</v>
      </c>
      <c r="R2337" t="str">
        <f>TEXT(tblTransactions[[#This Row],[Date]],"DDDD")</f>
        <v>Saturday</v>
      </c>
      <c r="S2337">
        <f>MONTH(tblTransactions[[#This Row],[Date]])</f>
        <v>5</v>
      </c>
      <c r="T2337" t="str">
        <f>VLOOKUP(E2337, Products!$A:$B,2,0)</f>
        <v>Laptops Ele-3</v>
      </c>
      <c r="U2337" t="str">
        <f>VLOOKUP(E2337,Products!$A:$C,3,0)</f>
        <v>Electronics</v>
      </c>
      <c r="V2337" t="str">
        <f>VLOOKUP(E2337,Products!$A:$D,4,0)</f>
        <v>Laptops</v>
      </c>
      <c r="W2337" t="str">
        <f>VLOOKUP(D2337,Customers!$A:$C,3,0)</f>
        <v>B2C</v>
      </c>
      <c r="X2337" t="str">
        <f>VLOOKUP(C2337,Sales_Representatives!$A:$B,2,0)</f>
        <v>Robert Jones</v>
      </c>
    </row>
    <row r="2338" spans="1:24" x14ac:dyDescent="0.3">
      <c r="A2338" t="s">
        <v>3274</v>
      </c>
      <c r="B2338" t="s">
        <v>3270</v>
      </c>
      <c r="C2338" t="s">
        <v>27</v>
      </c>
      <c r="D2338" t="s">
        <v>67</v>
      </c>
      <c r="E2338" t="s">
        <v>290</v>
      </c>
      <c r="F2338">
        <v>5</v>
      </c>
      <c r="G2338">
        <v>729.32</v>
      </c>
      <c r="H2338">
        <v>0.04</v>
      </c>
      <c r="I2338" s="4">
        <v>3500.74</v>
      </c>
      <c r="J2338" t="s">
        <v>16</v>
      </c>
      <c r="K2338" t="s">
        <v>17</v>
      </c>
      <c r="L2338" s="4">
        <f>VLOOKUP(tblTransactions[[#This Row],[Product_ID]],tblProducts[],5,FALSE)</f>
        <v>482.7</v>
      </c>
      <c r="M2338" s="4">
        <f>tblTransactions[[#This Row],[Total_Amount]]-(tblTransactions[[#This Row],[Cost_Prices]]*tblTransactions[[#This Row],[Quantity]]*(1-tblTransactions[[#This Row],[Discount]]))</f>
        <v>1183.7799999999997</v>
      </c>
      <c r="N2338" s="3">
        <f>tblTransactions[[#This Row],[Profit]]/tblTransactions[[#This Row],[Total_Amount]]</f>
        <v>0.33815136228340287</v>
      </c>
      <c r="O2338" t="str">
        <f>TEXT(tblTransactions[[#This Row],[Date]], "MMM-YYYY")</f>
        <v>May-2024</v>
      </c>
      <c r="P2338" t="str">
        <f>"Q"&amp;ROUNDUP(MONTH(tblTransactions[[#This Row],[Date]])/3,0)&amp;"-"&amp;YEAR(tblTransactions[[#This Row],[Date]])</f>
        <v>Q2-2024</v>
      </c>
      <c r="Q2338">
        <f>YEAR(tblTransactions[[#This Row],[Date]])</f>
        <v>2024</v>
      </c>
      <c r="R2338" t="str">
        <f>TEXT(tblTransactions[[#This Row],[Date]],"DDDD")</f>
        <v>Saturday</v>
      </c>
      <c r="S2338">
        <f>MONTH(tblTransactions[[#This Row],[Date]])</f>
        <v>5</v>
      </c>
      <c r="T2338" t="str">
        <f>VLOOKUP(E2338, Products!$A:$B,2,0)</f>
        <v>Tables Fur-1</v>
      </c>
      <c r="U2338" t="str">
        <f>VLOOKUP(E2338,Products!$A:$C,3,0)</f>
        <v>Furniture</v>
      </c>
      <c r="V2338" t="str">
        <f>VLOOKUP(E2338,Products!$A:$D,4,0)</f>
        <v>Tables</v>
      </c>
      <c r="W2338" t="str">
        <f>VLOOKUP(D2338,Customers!$A:$C,3,0)</f>
        <v>B2C</v>
      </c>
      <c r="X2338" t="str">
        <f>VLOOKUP(C2338,Sales_Representatives!$A:$B,2,0)</f>
        <v>Thomas Lopez</v>
      </c>
    </row>
    <row r="2339" spans="1:24" x14ac:dyDescent="0.3">
      <c r="A2339" t="s">
        <v>3275</v>
      </c>
      <c r="B2339" t="s">
        <v>3270</v>
      </c>
      <c r="C2339" t="s">
        <v>59</v>
      </c>
      <c r="D2339" t="s">
        <v>3001</v>
      </c>
      <c r="E2339" t="s">
        <v>38</v>
      </c>
      <c r="F2339">
        <v>8</v>
      </c>
      <c r="G2339">
        <v>581.47</v>
      </c>
      <c r="H2339">
        <v>7.0000000000000007E-2</v>
      </c>
      <c r="I2339" s="4">
        <v>4326.1400000000003</v>
      </c>
      <c r="J2339" t="s">
        <v>21</v>
      </c>
      <c r="K2339" t="s">
        <v>35</v>
      </c>
      <c r="L2339" s="4">
        <f>VLOOKUP(tblTransactions[[#This Row],[Product_ID]],tblProducts[],5,FALSE)</f>
        <v>372.07</v>
      </c>
      <c r="M2339" s="4">
        <f>tblTransactions[[#This Row],[Total_Amount]]-(tblTransactions[[#This Row],[Cost_Prices]]*tblTransactions[[#This Row],[Quantity]]*(1-tblTransactions[[#This Row],[Discount]]))</f>
        <v>1557.9392000000007</v>
      </c>
      <c r="N2339" s="3">
        <f>tblTransactions[[#This Row],[Profit]]/tblTransactions[[#This Row],[Total_Amount]]</f>
        <v>0.36012223367713497</v>
      </c>
      <c r="O2339" t="str">
        <f>TEXT(tblTransactions[[#This Row],[Date]], "MMM-YYYY")</f>
        <v>May-2024</v>
      </c>
      <c r="P2339" t="str">
        <f>"Q"&amp;ROUNDUP(MONTH(tblTransactions[[#This Row],[Date]])/3,0)&amp;"-"&amp;YEAR(tblTransactions[[#This Row],[Date]])</f>
        <v>Q2-2024</v>
      </c>
      <c r="Q2339">
        <f>YEAR(tblTransactions[[#This Row],[Date]])</f>
        <v>2024</v>
      </c>
      <c r="R2339" t="str">
        <f>TEXT(tblTransactions[[#This Row],[Date]],"DDDD")</f>
        <v>Saturday</v>
      </c>
      <c r="S2339">
        <f>MONTH(tblTransactions[[#This Row],[Date]])</f>
        <v>5</v>
      </c>
      <c r="T2339" t="str">
        <f>VLOOKUP(E2339, Products!$A:$B,2,0)</f>
        <v>Storage Fur-3</v>
      </c>
      <c r="U2339" t="str">
        <f>VLOOKUP(E2339,Products!$A:$C,3,0)</f>
        <v>Furniture</v>
      </c>
      <c r="V2339" t="str">
        <f>VLOOKUP(E2339,Products!$A:$D,4,0)</f>
        <v>Storage</v>
      </c>
      <c r="W2339" t="str">
        <f>VLOOKUP(D2339,Customers!$A:$C,3,0)</f>
        <v>B2B</v>
      </c>
      <c r="X2339" t="str">
        <f>VLOOKUP(C2339,Sales_Representatives!$A:$B,2,0)</f>
        <v>Sarah Brown</v>
      </c>
    </row>
    <row r="2340" spans="1:24" x14ac:dyDescent="0.3">
      <c r="A2340" t="s">
        <v>3276</v>
      </c>
      <c r="B2340" t="s">
        <v>3270</v>
      </c>
      <c r="C2340" t="s">
        <v>59</v>
      </c>
      <c r="D2340" t="s">
        <v>1507</v>
      </c>
      <c r="E2340" t="s">
        <v>38</v>
      </c>
      <c r="F2340">
        <v>21</v>
      </c>
      <c r="G2340">
        <v>581.47</v>
      </c>
      <c r="H2340">
        <v>0.18</v>
      </c>
      <c r="I2340" s="4">
        <v>10012.91</v>
      </c>
      <c r="J2340" t="s">
        <v>21</v>
      </c>
      <c r="K2340" t="s">
        <v>48</v>
      </c>
      <c r="L2340" s="4">
        <f>VLOOKUP(tblTransactions[[#This Row],[Product_ID]],tblProducts[],5,FALSE)</f>
        <v>372.07</v>
      </c>
      <c r="M2340" s="4">
        <f>tblTransactions[[#This Row],[Total_Amount]]-(tblTransactions[[#This Row],[Cost_Prices]]*tblTransactions[[#This Row],[Quantity]]*(1-tblTransactions[[#This Row],[Discount]]))</f>
        <v>3605.864599999999</v>
      </c>
      <c r="N2340" s="3">
        <f>tblTransactions[[#This Row],[Profit]]/tblTransactions[[#This Row],[Total_Amount]]</f>
        <v>0.36012154308787347</v>
      </c>
      <c r="O2340" t="str">
        <f>TEXT(tblTransactions[[#This Row],[Date]], "MMM-YYYY")</f>
        <v>May-2024</v>
      </c>
      <c r="P2340" t="str">
        <f>"Q"&amp;ROUNDUP(MONTH(tblTransactions[[#This Row],[Date]])/3,0)&amp;"-"&amp;YEAR(tblTransactions[[#This Row],[Date]])</f>
        <v>Q2-2024</v>
      </c>
      <c r="Q2340">
        <f>YEAR(tblTransactions[[#This Row],[Date]])</f>
        <v>2024</v>
      </c>
      <c r="R2340" t="str">
        <f>TEXT(tblTransactions[[#This Row],[Date]],"DDDD")</f>
        <v>Saturday</v>
      </c>
      <c r="S2340">
        <f>MONTH(tblTransactions[[#This Row],[Date]])</f>
        <v>5</v>
      </c>
      <c r="T2340" t="str">
        <f>VLOOKUP(E2340, Products!$A:$B,2,0)</f>
        <v>Storage Fur-3</v>
      </c>
      <c r="U2340" t="str">
        <f>VLOOKUP(E2340,Products!$A:$C,3,0)</f>
        <v>Furniture</v>
      </c>
      <c r="V2340" t="str">
        <f>VLOOKUP(E2340,Products!$A:$D,4,0)</f>
        <v>Storage</v>
      </c>
      <c r="W2340" t="str">
        <f>VLOOKUP(D2340,Customers!$A:$C,3,0)</f>
        <v>Enterprise</v>
      </c>
      <c r="X2340" t="str">
        <f>VLOOKUP(C2340,Sales_Representatives!$A:$B,2,0)</f>
        <v>Sarah Brown</v>
      </c>
    </row>
    <row r="2341" spans="1:24" x14ac:dyDescent="0.3">
      <c r="A2341" t="s">
        <v>3277</v>
      </c>
      <c r="B2341" t="s">
        <v>3278</v>
      </c>
      <c r="C2341" t="s">
        <v>19</v>
      </c>
      <c r="D2341" t="s">
        <v>2594</v>
      </c>
      <c r="E2341" t="s">
        <v>200</v>
      </c>
      <c r="F2341">
        <v>3</v>
      </c>
      <c r="G2341">
        <v>544.77</v>
      </c>
      <c r="H2341">
        <v>0.09</v>
      </c>
      <c r="I2341" s="4">
        <v>1487.22</v>
      </c>
      <c r="J2341" t="s">
        <v>21</v>
      </c>
      <c r="K2341" t="s">
        <v>22</v>
      </c>
      <c r="L2341" s="4">
        <f>VLOOKUP(tblTransactions[[#This Row],[Product_ID]],tblProducts[],5,FALSE)</f>
        <v>318.2</v>
      </c>
      <c r="M2341" s="4">
        <f>tblTransactions[[#This Row],[Total_Amount]]-(tblTransactions[[#This Row],[Cost_Prices]]*tblTransactions[[#This Row],[Quantity]]*(1-tblTransactions[[#This Row],[Discount]]))</f>
        <v>618.53400000000011</v>
      </c>
      <c r="N2341" s="3">
        <f>tblTransactions[[#This Row],[Profit]]/tblTransactions[[#This Row],[Total_Amount]]</f>
        <v>0.41589946342841011</v>
      </c>
      <c r="O2341" t="str">
        <f>TEXT(tblTransactions[[#This Row],[Date]], "MMM-YYYY")</f>
        <v>May-2024</v>
      </c>
      <c r="P2341" t="str">
        <f>"Q"&amp;ROUNDUP(MONTH(tblTransactions[[#This Row],[Date]])/3,0)&amp;"-"&amp;YEAR(tblTransactions[[#This Row],[Date]])</f>
        <v>Q2-2024</v>
      </c>
      <c r="Q2341">
        <f>YEAR(tblTransactions[[#This Row],[Date]])</f>
        <v>2024</v>
      </c>
      <c r="R2341" t="str">
        <f>TEXT(tblTransactions[[#This Row],[Date]],"DDDD")</f>
        <v>Sunday</v>
      </c>
      <c r="S2341">
        <f>MONTH(tblTransactions[[#This Row],[Date]])</f>
        <v>5</v>
      </c>
      <c r="T2341" t="str">
        <f>VLOOKUP(E2341, Products!$A:$B,2,0)</f>
        <v>Desks Fur-4</v>
      </c>
      <c r="U2341" t="str">
        <f>VLOOKUP(E2341,Products!$A:$C,3,0)</f>
        <v>Furniture</v>
      </c>
      <c r="V2341" t="str">
        <f>VLOOKUP(E2341,Products!$A:$D,4,0)</f>
        <v>Desks</v>
      </c>
      <c r="W2341" t="str">
        <f>VLOOKUP(D2341,Customers!$A:$C,3,0)</f>
        <v>B2B</v>
      </c>
      <c r="X2341" t="str">
        <f>VLOOKUP(C2341,Sales_Representatives!$A:$B,2,0)</f>
        <v>Robert Jones</v>
      </c>
    </row>
    <row r="2342" spans="1:24" x14ac:dyDescent="0.3">
      <c r="A2342" t="s">
        <v>3279</v>
      </c>
      <c r="B2342" t="s">
        <v>3278</v>
      </c>
      <c r="C2342" t="s">
        <v>13</v>
      </c>
      <c r="D2342" t="s">
        <v>3280</v>
      </c>
      <c r="E2342" t="s">
        <v>243</v>
      </c>
      <c r="F2342">
        <v>7</v>
      </c>
      <c r="G2342">
        <v>384.18</v>
      </c>
      <c r="H2342">
        <v>7.0000000000000007E-2</v>
      </c>
      <c r="I2342" s="4">
        <v>2501.0100000000002</v>
      </c>
      <c r="J2342" t="s">
        <v>16</v>
      </c>
      <c r="K2342" t="s">
        <v>48</v>
      </c>
      <c r="L2342" s="4">
        <f>VLOOKUP(tblTransactions[[#This Row],[Product_ID]],tblProducts[],5,FALSE)</f>
        <v>266.92</v>
      </c>
      <c r="M2342" s="4">
        <f>tblTransactions[[#This Row],[Total_Amount]]-(tblTransactions[[#This Row],[Cost_Prices]]*tblTransactions[[#This Row],[Quantity]]*(1-tblTransactions[[#This Row],[Discount]]))</f>
        <v>763.36080000000038</v>
      </c>
      <c r="N2342" s="3">
        <f>tblTransactions[[#This Row],[Profit]]/tblTransactions[[#This Row],[Total_Amount]]</f>
        <v>0.30522101071167262</v>
      </c>
      <c r="O2342" t="str">
        <f>TEXT(tblTransactions[[#This Row],[Date]], "MMM-YYYY")</f>
        <v>May-2024</v>
      </c>
      <c r="P2342" t="str">
        <f>"Q"&amp;ROUNDUP(MONTH(tblTransactions[[#This Row],[Date]])/3,0)&amp;"-"&amp;YEAR(tblTransactions[[#This Row],[Date]])</f>
        <v>Q2-2024</v>
      </c>
      <c r="Q2342">
        <f>YEAR(tblTransactions[[#This Row],[Date]])</f>
        <v>2024</v>
      </c>
      <c r="R2342" t="str">
        <f>TEXT(tblTransactions[[#This Row],[Date]],"DDDD")</f>
        <v>Sunday</v>
      </c>
      <c r="S2342">
        <f>MONTH(tblTransactions[[#This Row],[Date]])</f>
        <v>5</v>
      </c>
      <c r="T2342" t="str">
        <f>VLOOKUP(E2342, Products!$A:$B,2,0)</f>
        <v>Routers Tec-3</v>
      </c>
      <c r="U2342" t="str">
        <f>VLOOKUP(E2342,Products!$A:$C,3,0)</f>
        <v>Technology</v>
      </c>
      <c r="V2342" t="str">
        <f>VLOOKUP(E2342,Products!$A:$D,4,0)</f>
        <v>Routers</v>
      </c>
      <c r="W2342" t="str">
        <f>VLOOKUP(D2342,Customers!$A:$C,3,0)</f>
        <v>B2C</v>
      </c>
      <c r="X2342" t="str">
        <f>VLOOKUP(C2342,Sales_Representatives!$A:$B,2,0)</f>
        <v>Jennifer Rodriguez</v>
      </c>
    </row>
    <row r="2343" spans="1:24" x14ac:dyDescent="0.3">
      <c r="A2343" t="s">
        <v>3281</v>
      </c>
      <c r="B2343" t="s">
        <v>3278</v>
      </c>
      <c r="C2343" t="s">
        <v>70</v>
      </c>
      <c r="D2343" t="s">
        <v>2096</v>
      </c>
      <c r="E2343" t="s">
        <v>108</v>
      </c>
      <c r="F2343">
        <v>6</v>
      </c>
      <c r="G2343">
        <v>155.75</v>
      </c>
      <c r="H2343">
        <v>0.05</v>
      </c>
      <c r="I2343" s="4">
        <v>887.78</v>
      </c>
      <c r="J2343" t="s">
        <v>16</v>
      </c>
      <c r="K2343" t="s">
        <v>22</v>
      </c>
      <c r="L2343" s="4">
        <f>VLOOKUP(tblTransactions[[#This Row],[Product_ID]],tblProducts[],5,FALSE)</f>
        <v>80.8</v>
      </c>
      <c r="M2343" s="4">
        <f>tblTransactions[[#This Row],[Total_Amount]]-(tblTransactions[[#This Row],[Cost_Prices]]*tblTransactions[[#This Row],[Quantity]]*(1-tblTransactions[[#This Row],[Discount]]))</f>
        <v>427.22</v>
      </c>
      <c r="N2343" s="3">
        <f>tblTransactions[[#This Row],[Profit]]/tblTransactions[[#This Row],[Total_Amount]]</f>
        <v>0.48122282547477985</v>
      </c>
      <c r="O2343" t="str">
        <f>TEXT(tblTransactions[[#This Row],[Date]], "MMM-YYYY")</f>
        <v>May-2024</v>
      </c>
      <c r="P2343" t="str">
        <f>"Q"&amp;ROUNDUP(MONTH(tblTransactions[[#This Row],[Date]])/3,0)&amp;"-"&amp;YEAR(tblTransactions[[#This Row],[Date]])</f>
        <v>Q2-2024</v>
      </c>
      <c r="Q2343">
        <f>YEAR(tblTransactions[[#This Row],[Date]])</f>
        <v>2024</v>
      </c>
      <c r="R2343" t="str">
        <f>TEXT(tblTransactions[[#This Row],[Date]],"DDDD")</f>
        <v>Sunday</v>
      </c>
      <c r="S2343">
        <f>MONTH(tblTransactions[[#This Row],[Date]])</f>
        <v>5</v>
      </c>
      <c r="T2343" t="str">
        <f>VLOOKUP(E2343, Products!$A:$B,2,0)</f>
        <v>Cases Acc-1</v>
      </c>
      <c r="U2343" t="str">
        <f>VLOOKUP(E2343,Products!$A:$C,3,0)</f>
        <v>Accessories</v>
      </c>
      <c r="V2343" t="str">
        <f>VLOOKUP(E2343,Products!$A:$D,4,0)</f>
        <v>Cases</v>
      </c>
      <c r="W2343" t="str">
        <f>VLOOKUP(D2343,Customers!$A:$C,3,0)</f>
        <v>B2C</v>
      </c>
      <c r="X2343" t="str">
        <f>VLOOKUP(C2343,Sales_Representatives!$A:$B,2,0)</f>
        <v>Linda Smith</v>
      </c>
    </row>
    <row r="2344" spans="1:24" x14ac:dyDescent="0.3">
      <c r="A2344" t="s">
        <v>3282</v>
      </c>
      <c r="B2344" t="s">
        <v>3283</v>
      </c>
      <c r="C2344" t="s">
        <v>141</v>
      </c>
      <c r="D2344" t="s">
        <v>83</v>
      </c>
      <c r="E2344" t="s">
        <v>99</v>
      </c>
      <c r="F2344">
        <v>4</v>
      </c>
      <c r="G2344">
        <v>325.14</v>
      </c>
      <c r="H2344">
        <v>0.03</v>
      </c>
      <c r="I2344" s="4">
        <v>1261.54</v>
      </c>
      <c r="J2344" t="s">
        <v>109</v>
      </c>
      <c r="K2344" t="s">
        <v>39</v>
      </c>
      <c r="L2344" s="4">
        <f>VLOOKUP(tblTransactions[[#This Row],[Product_ID]],tblProducts[],5,FALSE)</f>
        <v>209.04</v>
      </c>
      <c r="M2344" s="4">
        <f>tblTransactions[[#This Row],[Total_Amount]]-(tblTransactions[[#This Row],[Cost_Prices]]*tblTransactions[[#This Row],[Quantity]]*(1-tblTransactions[[#This Row],[Discount]]))</f>
        <v>450.46479999999997</v>
      </c>
      <c r="N2344" s="3">
        <f>tblTransactions[[#This Row],[Profit]]/tblTransactions[[#This Row],[Total_Amount]]</f>
        <v>0.35707532063985287</v>
      </c>
      <c r="O2344" t="str">
        <f>TEXT(tblTransactions[[#This Row],[Date]], "MMM-YYYY")</f>
        <v>May-2024</v>
      </c>
      <c r="P2344" t="str">
        <f>"Q"&amp;ROUNDUP(MONTH(tblTransactions[[#This Row],[Date]])/3,0)&amp;"-"&amp;YEAR(tblTransactions[[#This Row],[Date]])</f>
        <v>Q2-2024</v>
      </c>
      <c r="Q2344">
        <f>YEAR(tblTransactions[[#This Row],[Date]])</f>
        <v>2024</v>
      </c>
      <c r="R2344" t="str">
        <f>TEXT(tblTransactions[[#This Row],[Date]],"DDDD")</f>
        <v>Monday</v>
      </c>
      <c r="S2344">
        <f>MONTH(tblTransactions[[#This Row],[Date]])</f>
        <v>5</v>
      </c>
      <c r="T2344" t="str">
        <f>VLOOKUP(E2344, Products!$A:$B,2,0)</f>
        <v>Monitors Tec-1</v>
      </c>
      <c r="U2344" t="str">
        <f>VLOOKUP(E2344,Products!$A:$C,3,0)</f>
        <v>Technology</v>
      </c>
      <c r="V2344" t="str">
        <f>VLOOKUP(E2344,Products!$A:$D,4,0)</f>
        <v>Monitors</v>
      </c>
      <c r="W2344" t="str">
        <f>VLOOKUP(D2344,Customers!$A:$C,3,0)</f>
        <v>Small Business</v>
      </c>
      <c r="X2344" t="str">
        <f>VLOOKUP(C2344,Sales_Representatives!$A:$B,2,0)</f>
        <v>Richard Garcia</v>
      </c>
    </row>
    <row r="2345" spans="1:24" x14ac:dyDescent="0.3">
      <c r="A2345" t="s">
        <v>3284</v>
      </c>
      <c r="B2345" t="s">
        <v>3283</v>
      </c>
      <c r="C2345" t="s">
        <v>131</v>
      </c>
      <c r="D2345" t="s">
        <v>1675</v>
      </c>
      <c r="E2345" t="s">
        <v>394</v>
      </c>
      <c r="F2345">
        <v>4</v>
      </c>
      <c r="G2345">
        <v>314.69</v>
      </c>
      <c r="H2345">
        <v>0.01</v>
      </c>
      <c r="I2345" s="4">
        <v>1246.17</v>
      </c>
      <c r="J2345" t="s">
        <v>44</v>
      </c>
      <c r="K2345" t="s">
        <v>48</v>
      </c>
      <c r="L2345" s="4">
        <f>VLOOKUP(tblTransactions[[#This Row],[Product_ID]],tblProducts[],5,FALSE)</f>
        <v>185.43</v>
      </c>
      <c r="M2345" s="4">
        <f>tblTransactions[[#This Row],[Total_Amount]]-(tblTransactions[[#This Row],[Cost_Prices]]*tblTransactions[[#This Row],[Quantity]]*(1-tblTransactions[[#This Row],[Discount]]))</f>
        <v>511.86720000000003</v>
      </c>
      <c r="N2345" s="3">
        <f>tblTransactions[[#This Row],[Profit]]/tblTransactions[[#This Row],[Total_Amount]]</f>
        <v>0.41075230506271215</v>
      </c>
      <c r="O2345" t="str">
        <f>TEXT(tblTransactions[[#This Row],[Date]], "MMM-YYYY")</f>
        <v>May-2024</v>
      </c>
      <c r="P2345" t="str">
        <f>"Q"&amp;ROUNDUP(MONTH(tblTransactions[[#This Row],[Date]])/3,0)&amp;"-"&amp;YEAR(tblTransactions[[#This Row],[Date]])</f>
        <v>Q2-2024</v>
      </c>
      <c r="Q2345">
        <f>YEAR(tblTransactions[[#This Row],[Date]])</f>
        <v>2024</v>
      </c>
      <c r="R2345" t="str">
        <f>TEXT(tblTransactions[[#This Row],[Date]],"DDDD")</f>
        <v>Monday</v>
      </c>
      <c r="S2345">
        <f>MONTH(tblTransactions[[#This Row],[Date]])</f>
        <v>5</v>
      </c>
      <c r="T2345" t="str">
        <f>VLOOKUP(E2345, Products!$A:$B,2,0)</f>
        <v>Desks Fur-1</v>
      </c>
      <c r="U2345" t="str">
        <f>VLOOKUP(E2345,Products!$A:$C,3,0)</f>
        <v>Furniture</v>
      </c>
      <c r="V2345" t="str">
        <f>VLOOKUP(E2345,Products!$A:$D,4,0)</f>
        <v>Desks</v>
      </c>
      <c r="W2345" t="str">
        <f>VLOOKUP(D2345,Customers!$A:$C,3,0)</f>
        <v>B2B</v>
      </c>
      <c r="X2345" t="str">
        <f>VLOOKUP(C2345,Sales_Representatives!$A:$B,2,0)</f>
        <v>Michael Davis</v>
      </c>
    </row>
    <row r="2346" spans="1:24" x14ac:dyDescent="0.3">
      <c r="A2346" t="s">
        <v>3285</v>
      </c>
      <c r="B2346" t="s">
        <v>3283</v>
      </c>
      <c r="C2346" t="s">
        <v>131</v>
      </c>
      <c r="D2346" t="s">
        <v>1722</v>
      </c>
      <c r="E2346" t="s">
        <v>221</v>
      </c>
      <c r="F2346">
        <v>2</v>
      </c>
      <c r="G2346">
        <v>210.02</v>
      </c>
      <c r="H2346">
        <v>0.05</v>
      </c>
      <c r="I2346" s="4">
        <v>399.04</v>
      </c>
      <c r="J2346" t="s">
        <v>44</v>
      </c>
      <c r="K2346" t="s">
        <v>48</v>
      </c>
      <c r="L2346" s="4">
        <f>VLOOKUP(tblTransactions[[#This Row],[Product_ID]],tblProducts[],5,FALSE)</f>
        <v>131.66</v>
      </c>
      <c r="M2346" s="4">
        <f>tblTransactions[[#This Row],[Total_Amount]]-(tblTransactions[[#This Row],[Cost_Prices]]*tblTransactions[[#This Row],[Quantity]]*(1-tblTransactions[[#This Row],[Discount]]))</f>
        <v>148.88600000000005</v>
      </c>
      <c r="N2346" s="3">
        <f>tblTransactions[[#This Row],[Profit]]/tblTransactions[[#This Row],[Total_Amount]]</f>
        <v>0.37311046511627916</v>
      </c>
      <c r="O2346" t="str">
        <f>TEXT(tblTransactions[[#This Row],[Date]], "MMM-YYYY")</f>
        <v>May-2024</v>
      </c>
      <c r="P2346" t="str">
        <f>"Q"&amp;ROUNDUP(MONTH(tblTransactions[[#This Row],[Date]])/3,0)&amp;"-"&amp;YEAR(tblTransactions[[#This Row],[Date]])</f>
        <v>Q2-2024</v>
      </c>
      <c r="Q2346">
        <f>YEAR(tblTransactions[[#This Row],[Date]])</f>
        <v>2024</v>
      </c>
      <c r="R2346" t="str">
        <f>TEXT(tblTransactions[[#This Row],[Date]],"DDDD")</f>
        <v>Monday</v>
      </c>
      <c r="S2346">
        <f>MONTH(tblTransactions[[#This Row],[Date]])</f>
        <v>5</v>
      </c>
      <c r="T2346" t="str">
        <f>VLOOKUP(E2346, Products!$A:$B,2,0)</f>
        <v>Storage Fur-2</v>
      </c>
      <c r="U2346" t="str">
        <f>VLOOKUP(E2346,Products!$A:$C,3,0)</f>
        <v>Furniture</v>
      </c>
      <c r="V2346" t="str">
        <f>VLOOKUP(E2346,Products!$A:$D,4,0)</f>
        <v>Storage</v>
      </c>
      <c r="W2346" t="str">
        <f>VLOOKUP(D2346,Customers!$A:$C,3,0)</f>
        <v>B2C</v>
      </c>
      <c r="X2346" t="str">
        <f>VLOOKUP(C2346,Sales_Representatives!$A:$B,2,0)</f>
        <v>Michael Davis</v>
      </c>
    </row>
    <row r="2347" spans="1:24" x14ac:dyDescent="0.3">
      <c r="A2347" t="s">
        <v>3286</v>
      </c>
      <c r="B2347" t="s">
        <v>3283</v>
      </c>
      <c r="C2347" t="s">
        <v>27</v>
      </c>
      <c r="D2347" t="s">
        <v>228</v>
      </c>
      <c r="E2347" t="s">
        <v>221</v>
      </c>
      <c r="F2347">
        <v>5</v>
      </c>
      <c r="G2347">
        <v>210.02</v>
      </c>
      <c r="H2347">
        <v>7.0000000000000007E-2</v>
      </c>
      <c r="I2347" s="4">
        <v>976.59</v>
      </c>
      <c r="J2347" t="s">
        <v>16</v>
      </c>
      <c r="K2347" t="s">
        <v>22</v>
      </c>
      <c r="L2347" s="4">
        <f>VLOOKUP(tblTransactions[[#This Row],[Product_ID]],tblProducts[],5,FALSE)</f>
        <v>131.66</v>
      </c>
      <c r="M2347" s="4">
        <f>tblTransactions[[#This Row],[Total_Amount]]-(tblTransactions[[#This Row],[Cost_Prices]]*tblTransactions[[#This Row],[Quantity]]*(1-tblTransactions[[#This Row],[Discount]]))</f>
        <v>364.37100000000009</v>
      </c>
      <c r="N2347" s="3">
        <f>tblTransactions[[#This Row],[Profit]]/tblTransactions[[#This Row],[Total_Amount]]</f>
        <v>0.37310539735201065</v>
      </c>
      <c r="O2347" t="str">
        <f>TEXT(tblTransactions[[#This Row],[Date]], "MMM-YYYY")</f>
        <v>May-2024</v>
      </c>
      <c r="P2347" t="str">
        <f>"Q"&amp;ROUNDUP(MONTH(tblTransactions[[#This Row],[Date]])/3,0)&amp;"-"&amp;YEAR(tblTransactions[[#This Row],[Date]])</f>
        <v>Q2-2024</v>
      </c>
      <c r="Q2347">
        <f>YEAR(tblTransactions[[#This Row],[Date]])</f>
        <v>2024</v>
      </c>
      <c r="R2347" t="str">
        <f>TEXT(tblTransactions[[#This Row],[Date]],"DDDD")</f>
        <v>Monday</v>
      </c>
      <c r="S2347">
        <f>MONTH(tblTransactions[[#This Row],[Date]])</f>
        <v>5</v>
      </c>
      <c r="T2347" t="str">
        <f>VLOOKUP(E2347, Products!$A:$B,2,0)</f>
        <v>Storage Fur-2</v>
      </c>
      <c r="U2347" t="str">
        <f>VLOOKUP(E2347,Products!$A:$C,3,0)</f>
        <v>Furniture</v>
      </c>
      <c r="V2347" t="str">
        <f>VLOOKUP(E2347,Products!$A:$D,4,0)</f>
        <v>Storage</v>
      </c>
      <c r="W2347" t="str">
        <f>VLOOKUP(D2347,Customers!$A:$C,3,0)</f>
        <v>Small Business</v>
      </c>
      <c r="X2347" t="str">
        <f>VLOOKUP(C2347,Sales_Representatives!$A:$B,2,0)</f>
        <v>Thomas Lopez</v>
      </c>
    </row>
    <row r="2348" spans="1:24" x14ac:dyDescent="0.3">
      <c r="A2348" t="s">
        <v>3287</v>
      </c>
      <c r="B2348" t="s">
        <v>3288</v>
      </c>
      <c r="C2348" t="s">
        <v>13</v>
      </c>
      <c r="D2348" t="s">
        <v>2300</v>
      </c>
      <c r="E2348" t="s">
        <v>129</v>
      </c>
      <c r="F2348">
        <v>23</v>
      </c>
      <c r="G2348">
        <v>1283.71</v>
      </c>
      <c r="H2348">
        <v>0.25</v>
      </c>
      <c r="I2348" s="4">
        <v>22144</v>
      </c>
      <c r="J2348" t="s">
        <v>16</v>
      </c>
      <c r="K2348" t="s">
        <v>17</v>
      </c>
      <c r="L2348" s="4">
        <f>VLOOKUP(tblTransactions[[#This Row],[Product_ID]],tblProducts[],5,FALSE)</f>
        <v>970.14</v>
      </c>
      <c r="M2348" s="4">
        <f>tblTransactions[[#This Row],[Total_Amount]]-(tblTransactions[[#This Row],[Cost_Prices]]*tblTransactions[[#This Row],[Quantity]]*(1-tblTransactions[[#This Row],[Discount]]))</f>
        <v>5409.0849999999991</v>
      </c>
      <c r="N2348" s="3">
        <f>tblTransactions[[#This Row],[Profit]]/tblTransactions[[#This Row],[Total_Amount]]</f>
        <v>0.24426865065028897</v>
      </c>
      <c r="O2348" t="str">
        <f>TEXT(tblTransactions[[#This Row],[Date]], "MMM-YYYY")</f>
        <v>May-2024</v>
      </c>
      <c r="P2348" t="str">
        <f>"Q"&amp;ROUNDUP(MONTH(tblTransactions[[#This Row],[Date]])/3,0)&amp;"-"&amp;YEAR(tblTransactions[[#This Row],[Date]])</f>
        <v>Q2-2024</v>
      </c>
      <c r="Q2348">
        <f>YEAR(tblTransactions[[#This Row],[Date]])</f>
        <v>2024</v>
      </c>
      <c r="R2348" t="str">
        <f>TEXT(tblTransactions[[#This Row],[Date]],"DDDD")</f>
        <v>Tuesday</v>
      </c>
      <c r="S2348">
        <f>MONTH(tblTransactions[[#This Row],[Date]])</f>
        <v>5</v>
      </c>
      <c r="T2348" t="str">
        <f>VLOOKUP(E2348, Products!$A:$B,2,0)</f>
        <v>Cameras Ele-3</v>
      </c>
      <c r="U2348" t="str">
        <f>VLOOKUP(E2348,Products!$A:$C,3,0)</f>
        <v>Electronics</v>
      </c>
      <c r="V2348" t="str">
        <f>VLOOKUP(E2348,Products!$A:$D,4,0)</f>
        <v>Cameras</v>
      </c>
      <c r="W2348" t="str">
        <f>VLOOKUP(D2348,Customers!$A:$C,3,0)</f>
        <v>Enterprise</v>
      </c>
      <c r="X2348" t="str">
        <f>VLOOKUP(C2348,Sales_Representatives!$A:$B,2,0)</f>
        <v>Jennifer Rodriguez</v>
      </c>
    </row>
    <row r="2349" spans="1:24" x14ac:dyDescent="0.3">
      <c r="A2349" t="s">
        <v>3289</v>
      </c>
      <c r="B2349" t="s">
        <v>3288</v>
      </c>
      <c r="C2349" t="s">
        <v>70</v>
      </c>
      <c r="D2349" t="s">
        <v>1588</v>
      </c>
      <c r="E2349" t="s">
        <v>299</v>
      </c>
      <c r="F2349">
        <v>9</v>
      </c>
      <c r="G2349">
        <v>963.44</v>
      </c>
      <c r="H2349">
        <v>0.06</v>
      </c>
      <c r="I2349" s="4">
        <v>8150.7</v>
      </c>
      <c r="J2349" t="s">
        <v>16</v>
      </c>
      <c r="K2349" t="s">
        <v>22</v>
      </c>
      <c r="L2349" s="4">
        <f>VLOOKUP(tblTransactions[[#This Row],[Product_ID]],tblProducts[],5,FALSE)</f>
        <v>578.96</v>
      </c>
      <c r="M2349" s="4">
        <f>tblTransactions[[#This Row],[Total_Amount]]-(tblTransactions[[#This Row],[Cost_Prices]]*tblTransactions[[#This Row],[Quantity]]*(1-tblTransactions[[#This Row],[Discount]]))</f>
        <v>3252.6984000000002</v>
      </c>
      <c r="N2349" s="3">
        <f>tblTransactions[[#This Row],[Profit]]/tblTransactions[[#This Row],[Total_Amount]]</f>
        <v>0.39906982222385812</v>
      </c>
      <c r="O2349" t="str">
        <f>TEXT(tblTransactions[[#This Row],[Date]], "MMM-YYYY")</f>
        <v>May-2024</v>
      </c>
      <c r="P2349" t="str">
        <f>"Q"&amp;ROUNDUP(MONTH(tblTransactions[[#This Row],[Date]])/3,0)&amp;"-"&amp;YEAR(tblTransactions[[#This Row],[Date]])</f>
        <v>Q2-2024</v>
      </c>
      <c r="Q2349">
        <f>YEAR(tblTransactions[[#This Row],[Date]])</f>
        <v>2024</v>
      </c>
      <c r="R2349" t="str">
        <f>TEXT(tblTransactions[[#This Row],[Date]],"DDDD")</f>
        <v>Tuesday</v>
      </c>
      <c r="S2349">
        <f>MONTH(tblTransactions[[#This Row],[Date]])</f>
        <v>5</v>
      </c>
      <c r="T2349" t="str">
        <f>VLOOKUP(E2349, Products!$A:$B,2,0)</f>
        <v>Chairs Fur-4</v>
      </c>
      <c r="U2349" t="str">
        <f>VLOOKUP(E2349,Products!$A:$C,3,0)</f>
        <v>Furniture</v>
      </c>
      <c r="V2349" t="str">
        <f>VLOOKUP(E2349,Products!$A:$D,4,0)</f>
        <v>Chairs</v>
      </c>
      <c r="W2349" t="str">
        <f>VLOOKUP(D2349,Customers!$A:$C,3,0)</f>
        <v>B2B</v>
      </c>
      <c r="X2349" t="str">
        <f>VLOOKUP(C2349,Sales_Representatives!$A:$B,2,0)</f>
        <v>Linda Smith</v>
      </c>
    </row>
    <row r="2350" spans="1:24" x14ac:dyDescent="0.3">
      <c r="A2350" t="s">
        <v>3290</v>
      </c>
      <c r="B2350" t="s">
        <v>3288</v>
      </c>
      <c r="C2350" t="s">
        <v>141</v>
      </c>
      <c r="D2350" t="s">
        <v>2188</v>
      </c>
      <c r="E2350" t="s">
        <v>339</v>
      </c>
      <c r="F2350">
        <v>1</v>
      </c>
      <c r="G2350">
        <v>1100.8800000000001</v>
      </c>
      <c r="H2350">
        <v>0.1</v>
      </c>
      <c r="I2350" s="4">
        <v>990.79</v>
      </c>
      <c r="J2350" t="s">
        <v>109</v>
      </c>
      <c r="K2350" t="s">
        <v>17</v>
      </c>
      <c r="L2350" s="4">
        <f>VLOOKUP(tblTransactions[[#This Row],[Product_ID]],tblProducts[],5,FALSE)</f>
        <v>761.53</v>
      </c>
      <c r="M2350" s="4">
        <f>tblTransactions[[#This Row],[Total_Amount]]-(tblTransactions[[#This Row],[Cost_Prices]]*tblTransactions[[#This Row],[Quantity]]*(1-tblTransactions[[#This Row],[Discount]]))</f>
        <v>305.41300000000001</v>
      </c>
      <c r="N2350" s="3">
        <f>tblTransactions[[#This Row],[Profit]]/tblTransactions[[#This Row],[Total_Amount]]</f>
        <v>0.30825200092855198</v>
      </c>
      <c r="O2350" t="str">
        <f>TEXT(tblTransactions[[#This Row],[Date]], "MMM-YYYY")</f>
        <v>May-2024</v>
      </c>
      <c r="P2350" t="str">
        <f>"Q"&amp;ROUNDUP(MONTH(tblTransactions[[#This Row],[Date]])/3,0)&amp;"-"&amp;YEAR(tblTransactions[[#This Row],[Date]])</f>
        <v>Q2-2024</v>
      </c>
      <c r="Q2350">
        <f>YEAR(tblTransactions[[#This Row],[Date]])</f>
        <v>2024</v>
      </c>
      <c r="R2350" t="str">
        <f>TEXT(tblTransactions[[#This Row],[Date]],"DDDD")</f>
        <v>Tuesday</v>
      </c>
      <c r="S2350">
        <f>MONTH(tblTransactions[[#This Row],[Date]])</f>
        <v>5</v>
      </c>
      <c r="T2350" t="str">
        <f>VLOOKUP(E2350, Products!$A:$B,2,0)</f>
        <v>Phones Ele-2</v>
      </c>
      <c r="U2350" t="str">
        <f>VLOOKUP(E2350,Products!$A:$C,3,0)</f>
        <v>Electronics</v>
      </c>
      <c r="V2350" t="str">
        <f>VLOOKUP(E2350,Products!$A:$D,4,0)</f>
        <v>Phones</v>
      </c>
      <c r="W2350" t="str">
        <f>VLOOKUP(D2350,Customers!$A:$C,3,0)</f>
        <v>B2C</v>
      </c>
      <c r="X2350" t="str">
        <f>VLOOKUP(C2350,Sales_Representatives!$A:$B,2,0)</f>
        <v>Richard Garcia</v>
      </c>
    </row>
    <row r="2351" spans="1:24" x14ac:dyDescent="0.3">
      <c r="A2351" t="s">
        <v>3291</v>
      </c>
      <c r="B2351" t="s">
        <v>3288</v>
      </c>
      <c r="C2351" t="s">
        <v>131</v>
      </c>
      <c r="D2351" t="s">
        <v>57</v>
      </c>
      <c r="E2351" t="s">
        <v>345</v>
      </c>
      <c r="F2351">
        <v>3</v>
      </c>
      <c r="G2351">
        <v>13.97</v>
      </c>
      <c r="H2351">
        <v>0.1</v>
      </c>
      <c r="I2351" s="4">
        <v>37.72</v>
      </c>
      <c r="J2351" t="s">
        <v>44</v>
      </c>
      <c r="K2351" t="s">
        <v>39</v>
      </c>
      <c r="L2351" s="4">
        <f>VLOOKUP(tblTransactions[[#This Row],[Product_ID]],tblProducts[],5,FALSE)</f>
        <v>8.69</v>
      </c>
      <c r="M2351" s="4">
        <f>tblTransactions[[#This Row],[Total_Amount]]-(tblTransactions[[#This Row],[Cost_Prices]]*tblTransactions[[#This Row],[Quantity]]*(1-tblTransactions[[#This Row],[Discount]]))</f>
        <v>14.256999999999998</v>
      </c>
      <c r="N2351" s="3">
        <f>tblTransactions[[#This Row],[Profit]]/tblTransactions[[#This Row],[Total_Amount]]</f>
        <v>0.37796924708377516</v>
      </c>
      <c r="O2351" t="str">
        <f>TEXT(tblTransactions[[#This Row],[Date]], "MMM-YYYY")</f>
        <v>May-2024</v>
      </c>
      <c r="P2351" t="str">
        <f>"Q"&amp;ROUNDUP(MONTH(tblTransactions[[#This Row],[Date]])/3,0)&amp;"-"&amp;YEAR(tblTransactions[[#This Row],[Date]])</f>
        <v>Q2-2024</v>
      </c>
      <c r="Q2351">
        <f>YEAR(tblTransactions[[#This Row],[Date]])</f>
        <v>2024</v>
      </c>
      <c r="R2351" t="str">
        <f>TEXT(tblTransactions[[#This Row],[Date]],"DDDD")</f>
        <v>Tuesday</v>
      </c>
      <c r="S2351">
        <f>MONTH(tblTransactions[[#This Row],[Date]])</f>
        <v>5</v>
      </c>
      <c r="T2351" t="str">
        <f>VLOOKUP(E2351, Products!$A:$B,2,0)</f>
        <v>Cases Acc-2</v>
      </c>
      <c r="U2351" t="str">
        <f>VLOOKUP(E2351,Products!$A:$C,3,0)</f>
        <v>Accessories</v>
      </c>
      <c r="V2351" t="str">
        <f>VLOOKUP(E2351,Products!$A:$D,4,0)</f>
        <v>Cases</v>
      </c>
      <c r="W2351" t="str">
        <f>VLOOKUP(D2351,Customers!$A:$C,3,0)</f>
        <v>Small Business</v>
      </c>
      <c r="X2351" t="str">
        <f>VLOOKUP(C2351,Sales_Representatives!$A:$B,2,0)</f>
        <v>Michael Davis</v>
      </c>
    </row>
    <row r="2352" spans="1:24" x14ac:dyDescent="0.3">
      <c r="A2352" t="s">
        <v>3292</v>
      </c>
      <c r="B2352" t="s">
        <v>3288</v>
      </c>
      <c r="C2352" t="s">
        <v>56</v>
      </c>
      <c r="D2352" t="s">
        <v>1963</v>
      </c>
      <c r="E2352" t="s">
        <v>184</v>
      </c>
      <c r="F2352">
        <v>4</v>
      </c>
      <c r="G2352">
        <v>276.35000000000002</v>
      </c>
      <c r="H2352">
        <v>0.02</v>
      </c>
      <c r="I2352" s="4">
        <v>1083.29</v>
      </c>
      <c r="J2352" t="s">
        <v>34</v>
      </c>
      <c r="K2352" t="s">
        <v>35</v>
      </c>
      <c r="L2352" s="4">
        <f>VLOOKUP(tblTransactions[[#This Row],[Product_ID]],tblProducts[],5,FALSE)</f>
        <v>130.15</v>
      </c>
      <c r="M2352" s="4">
        <f>tblTransactions[[#This Row],[Total_Amount]]-(tblTransactions[[#This Row],[Cost_Prices]]*tblTransactions[[#This Row],[Quantity]]*(1-tblTransactions[[#This Row],[Discount]]))</f>
        <v>573.10199999999998</v>
      </c>
      <c r="N2352" s="3">
        <f>tblTransactions[[#This Row],[Profit]]/tblTransactions[[#This Row],[Total_Amount]]</f>
        <v>0.529038392304923</v>
      </c>
      <c r="O2352" t="str">
        <f>TEXT(tblTransactions[[#This Row],[Date]], "MMM-YYYY")</f>
        <v>May-2024</v>
      </c>
      <c r="P2352" t="str">
        <f>"Q"&amp;ROUNDUP(MONTH(tblTransactions[[#This Row],[Date]])/3,0)&amp;"-"&amp;YEAR(tblTransactions[[#This Row],[Date]])</f>
        <v>Q2-2024</v>
      </c>
      <c r="Q2352">
        <f>YEAR(tblTransactions[[#This Row],[Date]])</f>
        <v>2024</v>
      </c>
      <c r="R2352" t="str">
        <f>TEXT(tblTransactions[[#This Row],[Date]],"DDDD")</f>
        <v>Tuesday</v>
      </c>
      <c r="S2352">
        <f>MONTH(tblTransactions[[#This Row],[Date]])</f>
        <v>5</v>
      </c>
      <c r="T2352" t="str">
        <f>VLOOKUP(E2352, Products!$A:$B,2,0)</f>
        <v>Binders Off-1</v>
      </c>
      <c r="U2352" t="str">
        <f>VLOOKUP(E2352,Products!$A:$C,3,0)</f>
        <v>Office Supplies</v>
      </c>
      <c r="V2352" t="str">
        <f>VLOOKUP(E2352,Products!$A:$D,4,0)</f>
        <v>Binders</v>
      </c>
      <c r="W2352" t="str">
        <f>VLOOKUP(D2352,Customers!$A:$C,3,0)</f>
        <v>Small Business</v>
      </c>
      <c r="X2352" t="str">
        <f>VLOOKUP(C2352,Sales_Representatives!$A:$B,2,0)</f>
        <v>Thomas Hernandez</v>
      </c>
    </row>
    <row r="2353" spans="1:24" x14ac:dyDescent="0.3">
      <c r="A2353" t="s">
        <v>3293</v>
      </c>
      <c r="B2353" t="s">
        <v>3288</v>
      </c>
      <c r="C2353" t="s">
        <v>27</v>
      </c>
      <c r="D2353" t="s">
        <v>2208</v>
      </c>
      <c r="E2353" t="s">
        <v>450</v>
      </c>
      <c r="F2353">
        <v>9</v>
      </c>
      <c r="G2353">
        <v>2083.92</v>
      </c>
      <c r="H2353">
        <v>7.0000000000000007E-2</v>
      </c>
      <c r="I2353" s="4">
        <v>17442.41</v>
      </c>
      <c r="J2353" t="s">
        <v>16</v>
      </c>
      <c r="K2353" t="s">
        <v>39</v>
      </c>
      <c r="L2353" s="4">
        <f>VLOOKUP(tblTransactions[[#This Row],[Product_ID]],tblProducts[],5,FALSE)</f>
        <v>1425.78</v>
      </c>
      <c r="M2353" s="4">
        <f>tblTransactions[[#This Row],[Total_Amount]]-(tblTransactions[[#This Row],[Cost_Prices]]*tblTransactions[[#This Row],[Quantity]]*(1-tblTransactions[[#This Row],[Discount]]))</f>
        <v>5508.6314000000002</v>
      </c>
      <c r="N2353" s="3">
        <f>tblTransactions[[#This Row],[Profit]]/tblTransactions[[#This Row],[Total_Amount]]</f>
        <v>0.31581824988634027</v>
      </c>
      <c r="O2353" t="str">
        <f>TEXT(tblTransactions[[#This Row],[Date]], "MMM-YYYY")</f>
        <v>May-2024</v>
      </c>
      <c r="P2353" t="str">
        <f>"Q"&amp;ROUNDUP(MONTH(tblTransactions[[#This Row],[Date]])/3,0)&amp;"-"&amp;YEAR(tblTransactions[[#This Row],[Date]])</f>
        <v>Q2-2024</v>
      </c>
      <c r="Q2353">
        <f>YEAR(tblTransactions[[#This Row],[Date]])</f>
        <v>2024</v>
      </c>
      <c r="R2353" t="str">
        <f>TEXT(tblTransactions[[#This Row],[Date]],"DDDD")</f>
        <v>Tuesday</v>
      </c>
      <c r="S2353">
        <f>MONTH(tblTransactions[[#This Row],[Date]])</f>
        <v>5</v>
      </c>
      <c r="T2353" t="str">
        <f>VLOOKUP(E2353, Products!$A:$B,2,0)</f>
        <v>Monitors Tec-4</v>
      </c>
      <c r="U2353" t="str">
        <f>VLOOKUP(E2353,Products!$A:$C,3,0)</f>
        <v>Technology</v>
      </c>
      <c r="V2353" t="str">
        <f>VLOOKUP(E2353,Products!$A:$D,4,0)</f>
        <v>Monitors</v>
      </c>
      <c r="W2353" t="str">
        <f>VLOOKUP(D2353,Customers!$A:$C,3,0)</f>
        <v>B2B</v>
      </c>
      <c r="X2353" t="str">
        <f>VLOOKUP(C2353,Sales_Representatives!$A:$B,2,0)</f>
        <v>Thomas Lopez</v>
      </c>
    </row>
    <row r="2354" spans="1:24" x14ac:dyDescent="0.3">
      <c r="A2354" t="s">
        <v>3294</v>
      </c>
      <c r="B2354" t="s">
        <v>3288</v>
      </c>
      <c r="C2354" t="s">
        <v>19</v>
      </c>
      <c r="D2354" t="s">
        <v>1888</v>
      </c>
      <c r="E2354" t="s">
        <v>704</v>
      </c>
      <c r="F2354">
        <v>3</v>
      </c>
      <c r="G2354">
        <v>291.81</v>
      </c>
      <c r="H2354">
        <v>0.09</v>
      </c>
      <c r="I2354" s="4">
        <v>796.64</v>
      </c>
      <c r="J2354" t="s">
        <v>21</v>
      </c>
      <c r="K2354" t="s">
        <v>35</v>
      </c>
      <c r="L2354" s="4">
        <f>VLOOKUP(tblTransactions[[#This Row],[Product_ID]],tblProducts[],5,FALSE)</f>
        <v>123.61</v>
      </c>
      <c r="M2354" s="4">
        <f>tblTransactions[[#This Row],[Total_Amount]]-(tblTransactions[[#This Row],[Cost_Prices]]*tblTransactions[[#This Row],[Quantity]]*(1-tblTransactions[[#This Row],[Discount]]))</f>
        <v>459.18469999999996</v>
      </c>
      <c r="N2354" s="3">
        <f>tblTransactions[[#This Row],[Profit]]/tblTransactions[[#This Row],[Total_Amount]]</f>
        <v>0.57640176240208874</v>
      </c>
      <c r="O2354" t="str">
        <f>TEXT(tblTransactions[[#This Row],[Date]], "MMM-YYYY")</f>
        <v>May-2024</v>
      </c>
      <c r="P2354" t="str">
        <f>"Q"&amp;ROUNDUP(MONTH(tblTransactions[[#This Row],[Date]])/3,0)&amp;"-"&amp;YEAR(tblTransactions[[#This Row],[Date]])</f>
        <v>Q2-2024</v>
      </c>
      <c r="Q2354">
        <f>YEAR(tblTransactions[[#This Row],[Date]])</f>
        <v>2024</v>
      </c>
      <c r="R2354" t="str">
        <f>TEXT(tblTransactions[[#This Row],[Date]],"DDDD")</f>
        <v>Tuesday</v>
      </c>
      <c r="S2354">
        <f>MONTH(tblTransactions[[#This Row],[Date]])</f>
        <v>5</v>
      </c>
      <c r="T2354" t="str">
        <f>VLOOKUP(E2354, Products!$A:$B,2,0)</f>
        <v>Keyboards Acc-4</v>
      </c>
      <c r="U2354" t="str">
        <f>VLOOKUP(E2354,Products!$A:$C,3,0)</f>
        <v>Accessories</v>
      </c>
      <c r="V2354" t="str">
        <f>VLOOKUP(E2354,Products!$A:$D,4,0)</f>
        <v>Keyboards</v>
      </c>
      <c r="W2354" t="str">
        <f>VLOOKUP(D2354,Customers!$A:$C,3,0)</f>
        <v>B2C</v>
      </c>
      <c r="X2354" t="str">
        <f>VLOOKUP(C2354,Sales_Representatives!$A:$B,2,0)</f>
        <v>Robert Jones</v>
      </c>
    </row>
    <row r="2355" spans="1:24" x14ac:dyDescent="0.3">
      <c r="A2355" t="s">
        <v>3295</v>
      </c>
      <c r="B2355" t="s">
        <v>3288</v>
      </c>
      <c r="C2355" t="s">
        <v>107</v>
      </c>
      <c r="D2355" t="s">
        <v>2871</v>
      </c>
      <c r="E2355" t="s">
        <v>159</v>
      </c>
      <c r="F2355">
        <v>1</v>
      </c>
      <c r="G2355">
        <v>78.09</v>
      </c>
      <c r="H2355">
        <v>7.0000000000000007E-2</v>
      </c>
      <c r="I2355" s="4">
        <v>72.62</v>
      </c>
      <c r="J2355" t="s">
        <v>109</v>
      </c>
      <c r="K2355" t="s">
        <v>48</v>
      </c>
      <c r="L2355" s="4">
        <f>VLOOKUP(tblTransactions[[#This Row],[Product_ID]],tblProducts[],5,FALSE)</f>
        <v>47.01</v>
      </c>
      <c r="M2355" s="4">
        <f>tblTransactions[[#This Row],[Total_Amount]]-(tblTransactions[[#This Row],[Cost_Prices]]*tblTransactions[[#This Row],[Quantity]]*(1-tblTransactions[[#This Row],[Discount]]))</f>
        <v>28.900700000000008</v>
      </c>
      <c r="N2355" s="3">
        <f>tblTransactions[[#This Row],[Profit]]/tblTransactions[[#This Row],[Total_Amount]]</f>
        <v>0.39797163315890949</v>
      </c>
      <c r="O2355" t="str">
        <f>TEXT(tblTransactions[[#This Row],[Date]], "MMM-YYYY")</f>
        <v>May-2024</v>
      </c>
      <c r="P2355" t="str">
        <f>"Q"&amp;ROUNDUP(MONTH(tblTransactions[[#This Row],[Date]])/3,0)&amp;"-"&amp;YEAR(tblTransactions[[#This Row],[Date]])</f>
        <v>Q2-2024</v>
      </c>
      <c r="Q2355">
        <f>YEAR(tblTransactions[[#This Row],[Date]])</f>
        <v>2024</v>
      </c>
      <c r="R2355" t="str">
        <f>TEXT(tblTransactions[[#This Row],[Date]],"DDDD")</f>
        <v>Tuesday</v>
      </c>
      <c r="S2355">
        <f>MONTH(tblTransactions[[#This Row],[Date]])</f>
        <v>5</v>
      </c>
      <c r="T2355" t="str">
        <f>VLOOKUP(E2355, Products!$A:$B,2,0)</f>
        <v>Cables Acc-4</v>
      </c>
      <c r="U2355" t="str">
        <f>VLOOKUP(E2355,Products!$A:$C,3,0)</f>
        <v>Accessories</v>
      </c>
      <c r="V2355" t="str">
        <f>VLOOKUP(E2355,Products!$A:$D,4,0)</f>
        <v>Cables</v>
      </c>
      <c r="W2355" t="str">
        <f>VLOOKUP(D2355,Customers!$A:$C,3,0)</f>
        <v>B2C</v>
      </c>
      <c r="X2355" t="str">
        <f>VLOOKUP(C2355,Sales_Representatives!$A:$B,2,0)</f>
        <v>Jennifer Brown</v>
      </c>
    </row>
    <row r="2356" spans="1:24" x14ac:dyDescent="0.3">
      <c r="A2356" t="s">
        <v>3296</v>
      </c>
      <c r="B2356" t="s">
        <v>3297</v>
      </c>
      <c r="C2356" t="s">
        <v>27</v>
      </c>
      <c r="D2356" t="s">
        <v>1582</v>
      </c>
      <c r="E2356" t="s">
        <v>324</v>
      </c>
      <c r="F2356">
        <v>7</v>
      </c>
      <c r="G2356">
        <v>245.76</v>
      </c>
      <c r="H2356">
        <v>0.08</v>
      </c>
      <c r="I2356" s="4">
        <v>1582.69</v>
      </c>
      <c r="J2356" t="s">
        <v>16</v>
      </c>
      <c r="K2356" t="s">
        <v>22</v>
      </c>
      <c r="L2356" s="4">
        <f>VLOOKUP(tblTransactions[[#This Row],[Product_ID]],tblProducts[],5,FALSE)</f>
        <v>161.94</v>
      </c>
      <c r="M2356" s="4">
        <f>tblTransactions[[#This Row],[Total_Amount]]-(tblTransactions[[#This Row],[Cost_Prices]]*tblTransactions[[#This Row],[Quantity]]*(1-tblTransactions[[#This Row],[Discount]]))</f>
        <v>539.79640000000018</v>
      </c>
      <c r="N2356" s="3">
        <f>tblTransactions[[#This Row],[Profit]]/tblTransactions[[#This Row],[Total_Amount]]</f>
        <v>0.3410626212334697</v>
      </c>
      <c r="O2356" t="str">
        <f>TEXT(tblTransactions[[#This Row],[Date]], "MMM-YYYY")</f>
        <v>May-2024</v>
      </c>
      <c r="P2356" t="str">
        <f>"Q"&amp;ROUNDUP(MONTH(tblTransactions[[#This Row],[Date]])/3,0)&amp;"-"&amp;YEAR(tblTransactions[[#This Row],[Date]])</f>
        <v>Q2-2024</v>
      </c>
      <c r="Q2356">
        <f>YEAR(tblTransactions[[#This Row],[Date]])</f>
        <v>2024</v>
      </c>
      <c r="R2356" t="str">
        <f>TEXT(tblTransactions[[#This Row],[Date]],"DDDD")</f>
        <v>Wednesday</v>
      </c>
      <c r="S2356">
        <f>MONTH(tblTransactions[[#This Row],[Date]])</f>
        <v>5</v>
      </c>
      <c r="T2356" t="str">
        <f>VLOOKUP(E2356, Products!$A:$B,2,0)</f>
        <v>Storage Fur-1</v>
      </c>
      <c r="U2356" t="str">
        <f>VLOOKUP(E2356,Products!$A:$C,3,0)</f>
        <v>Furniture</v>
      </c>
      <c r="V2356" t="str">
        <f>VLOOKUP(E2356,Products!$A:$D,4,0)</f>
        <v>Storage</v>
      </c>
      <c r="W2356" t="str">
        <f>VLOOKUP(D2356,Customers!$A:$C,3,0)</f>
        <v>Small Business</v>
      </c>
      <c r="X2356" t="str">
        <f>VLOOKUP(C2356,Sales_Representatives!$A:$B,2,0)</f>
        <v>Thomas Lopez</v>
      </c>
    </row>
    <row r="2357" spans="1:24" x14ac:dyDescent="0.3">
      <c r="A2357" t="s">
        <v>3298</v>
      </c>
      <c r="B2357" t="s">
        <v>3297</v>
      </c>
      <c r="C2357" t="s">
        <v>63</v>
      </c>
      <c r="D2357" t="s">
        <v>1596</v>
      </c>
      <c r="E2357" t="s">
        <v>243</v>
      </c>
      <c r="F2357">
        <v>37</v>
      </c>
      <c r="G2357">
        <v>384.18</v>
      </c>
      <c r="H2357">
        <v>0.16</v>
      </c>
      <c r="I2357" s="4">
        <v>11940.31</v>
      </c>
      <c r="J2357" t="s">
        <v>21</v>
      </c>
      <c r="K2357" t="s">
        <v>39</v>
      </c>
      <c r="L2357" s="4">
        <f>VLOOKUP(tblTransactions[[#This Row],[Product_ID]],tblProducts[],5,FALSE)</f>
        <v>266.92</v>
      </c>
      <c r="M2357" s="4">
        <f>tblTransactions[[#This Row],[Total_Amount]]-(tblTransactions[[#This Row],[Cost_Prices]]*tblTransactions[[#This Row],[Quantity]]*(1-tblTransactions[[#This Row],[Discount]]))</f>
        <v>3644.4363999999987</v>
      </c>
      <c r="N2357" s="3">
        <f>tblTransactions[[#This Row],[Profit]]/tblTransactions[[#This Row],[Total_Amount]]</f>
        <v>0.30522125472454226</v>
      </c>
      <c r="O2357" t="str">
        <f>TEXT(tblTransactions[[#This Row],[Date]], "MMM-YYYY")</f>
        <v>May-2024</v>
      </c>
      <c r="P2357" t="str">
        <f>"Q"&amp;ROUNDUP(MONTH(tblTransactions[[#This Row],[Date]])/3,0)&amp;"-"&amp;YEAR(tblTransactions[[#This Row],[Date]])</f>
        <v>Q2-2024</v>
      </c>
      <c r="Q2357">
        <f>YEAR(tblTransactions[[#This Row],[Date]])</f>
        <v>2024</v>
      </c>
      <c r="R2357" t="str">
        <f>TEXT(tblTransactions[[#This Row],[Date]],"DDDD")</f>
        <v>Wednesday</v>
      </c>
      <c r="S2357">
        <f>MONTH(tblTransactions[[#This Row],[Date]])</f>
        <v>5</v>
      </c>
      <c r="T2357" t="str">
        <f>VLOOKUP(E2357, Products!$A:$B,2,0)</f>
        <v>Routers Tec-3</v>
      </c>
      <c r="U2357" t="str">
        <f>VLOOKUP(E2357,Products!$A:$C,3,0)</f>
        <v>Technology</v>
      </c>
      <c r="V2357" t="str">
        <f>VLOOKUP(E2357,Products!$A:$D,4,0)</f>
        <v>Routers</v>
      </c>
      <c r="W2357" t="str">
        <f>VLOOKUP(D2357,Customers!$A:$C,3,0)</f>
        <v>Enterprise</v>
      </c>
      <c r="X2357" t="str">
        <f>VLOOKUP(C2357,Sales_Representatives!$A:$B,2,0)</f>
        <v>Richard Wilson</v>
      </c>
    </row>
    <row r="2358" spans="1:24" x14ac:dyDescent="0.3">
      <c r="A2358" t="s">
        <v>3299</v>
      </c>
      <c r="B2358" t="s">
        <v>3297</v>
      </c>
      <c r="C2358" t="s">
        <v>70</v>
      </c>
      <c r="D2358" t="s">
        <v>2108</v>
      </c>
      <c r="E2358" t="s">
        <v>53</v>
      </c>
      <c r="F2358">
        <v>2</v>
      </c>
      <c r="G2358">
        <v>2069.2199999999998</v>
      </c>
      <c r="H2358">
        <v>0.04</v>
      </c>
      <c r="I2358" s="4">
        <v>3972.9</v>
      </c>
      <c r="J2358" t="s">
        <v>16</v>
      </c>
      <c r="K2358" t="s">
        <v>22</v>
      </c>
      <c r="L2358" s="4">
        <f>VLOOKUP(tblTransactions[[#This Row],[Product_ID]],tblProducts[],5,FALSE)</f>
        <v>1451.18</v>
      </c>
      <c r="M2358" s="4">
        <f>tblTransactions[[#This Row],[Total_Amount]]-(tblTransactions[[#This Row],[Cost_Prices]]*tblTransactions[[#This Row],[Quantity]]*(1-tblTransactions[[#This Row],[Discount]]))</f>
        <v>1186.6343999999999</v>
      </c>
      <c r="N2358" s="3">
        <f>tblTransactions[[#This Row],[Profit]]/tblTransactions[[#This Row],[Total_Amount]]</f>
        <v>0.29868217171335798</v>
      </c>
      <c r="O2358" t="str">
        <f>TEXT(tblTransactions[[#This Row],[Date]], "MMM-YYYY")</f>
        <v>May-2024</v>
      </c>
      <c r="P2358" t="str">
        <f>"Q"&amp;ROUNDUP(MONTH(tblTransactions[[#This Row],[Date]])/3,0)&amp;"-"&amp;YEAR(tblTransactions[[#This Row],[Date]])</f>
        <v>Q2-2024</v>
      </c>
      <c r="Q2358">
        <f>YEAR(tblTransactions[[#This Row],[Date]])</f>
        <v>2024</v>
      </c>
      <c r="R2358" t="str">
        <f>TEXT(tblTransactions[[#This Row],[Date]],"DDDD")</f>
        <v>Wednesday</v>
      </c>
      <c r="S2358">
        <f>MONTH(tblTransactions[[#This Row],[Date]])</f>
        <v>5</v>
      </c>
      <c r="T2358" t="str">
        <f>VLOOKUP(E2358, Products!$A:$B,2,0)</f>
        <v>Printers Tec-3</v>
      </c>
      <c r="U2358" t="str">
        <f>VLOOKUP(E2358,Products!$A:$C,3,0)</f>
        <v>Technology</v>
      </c>
      <c r="V2358" t="str">
        <f>VLOOKUP(E2358,Products!$A:$D,4,0)</f>
        <v>Printers</v>
      </c>
      <c r="W2358" t="str">
        <f>VLOOKUP(D2358,Customers!$A:$C,3,0)</f>
        <v>Small Business</v>
      </c>
      <c r="X2358" t="str">
        <f>VLOOKUP(C2358,Sales_Representatives!$A:$B,2,0)</f>
        <v>Linda Smith</v>
      </c>
    </row>
    <row r="2359" spans="1:24" x14ac:dyDescent="0.3">
      <c r="A2359" t="s">
        <v>3300</v>
      </c>
      <c r="B2359" t="s">
        <v>3297</v>
      </c>
      <c r="C2359" t="s">
        <v>41</v>
      </c>
      <c r="D2359" t="s">
        <v>2287</v>
      </c>
      <c r="E2359" t="s">
        <v>87</v>
      </c>
      <c r="F2359">
        <v>12</v>
      </c>
      <c r="G2359">
        <v>1047.8900000000001</v>
      </c>
      <c r="H2359">
        <v>0.11</v>
      </c>
      <c r="I2359" s="4">
        <v>11191.47</v>
      </c>
      <c r="J2359" t="s">
        <v>44</v>
      </c>
      <c r="K2359" t="s">
        <v>39</v>
      </c>
      <c r="L2359" s="4">
        <f>VLOOKUP(tblTransactions[[#This Row],[Product_ID]],tblProducts[],5,FALSE)</f>
        <v>742.63</v>
      </c>
      <c r="M2359" s="4">
        <f>tblTransactions[[#This Row],[Total_Amount]]-(tblTransactions[[#This Row],[Cost_Prices]]*tblTransactions[[#This Row],[Quantity]]*(1-tblTransactions[[#This Row],[Discount]]))</f>
        <v>3260.1815999999999</v>
      </c>
      <c r="N2359" s="3">
        <f>tblTransactions[[#This Row],[Profit]]/tblTransactions[[#This Row],[Total_Amount]]</f>
        <v>0.29130950625789104</v>
      </c>
      <c r="O2359" t="str">
        <f>TEXT(tblTransactions[[#This Row],[Date]], "MMM-YYYY")</f>
        <v>May-2024</v>
      </c>
      <c r="P2359" t="str">
        <f>"Q"&amp;ROUNDUP(MONTH(tblTransactions[[#This Row],[Date]])/3,0)&amp;"-"&amp;YEAR(tblTransactions[[#This Row],[Date]])</f>
        <v>Q2-2024</v>
      </c>
      <c r="Q2359">
        <f>YEAR(tblTransactions[[#This Row],[Date]])</f>
        <v>2024</v>
      </c>
      <c r="R2359" t="str">
        <f>TEXT(tblTransactions[[#This Row],[Date]],"DDDD")</f>
        <v>Wednesday</v>
      </c>
      <c r="S2359">
        <f>MONTH(tblTransactions[[#This Row],[Date]])</f>
        <v>5</v>
      </c>
      <c r="T2359" t="str">
        <f>VLOOKUP(E2359, Products!$A:$B,2,0)</f>
        <v>Monitors Tec-2</v>
      </c>
      <c r="U2359" t="str">
        <f>VLOOKUP(E2359,Products!$A:$C,3,0)</f>
        <v>Technology</v>
      </c>
      <c r="V2359" t="str">
        <f>VLOOKUP(E2359,Products!$A:$D,4,0)</f>
        <v>Monitors</v>
      </c>
      <c r="W2359" t="str">
        <f>VLOOKUP(D2359,Customers!$A:$C,3,0)</f>
        <v>B2B</v>
      </c>
      <c r="X2359" t="str">
        <f>VLOOKUP(C2359,Sales_Representatives!$A:$B,2,0)</f>
        <v>Robert Jones</v>
      </c>
    </row>
    <row r="2360" spans="1:24" x14ac:dyDescent="0.3">
      <c r="A2360" t="s">
        <v>3301</v>
      </c>
      <c r="B2360" t="s">
        <v>3297</v>
      </c>
      <c r="C2360" t="s">
        <v>13</v>
      </c>
      <c r="D2360" t="s">
        <v>1824</v>
      </c>
      <c r="E2360" t="s">
        <v>221</v>
      </c>
      <c r="F2360">
        <v>3</v>
      </c>
      <c r="G2360">
        <v>210.02</v>
      </c>
      <c r="H2360">
        <v>0.02</v>
      </c>
      <c r="I2360" s="4">
        <v>617.46</v>
      </c>
      <c r="J2360" t="s">
        <v>16</v>
      </c>
      <c r="K2360" t="s">
        <v>48</v>
      </c>
      <c r="L2360" s="4">
        <f>VLOOKUP(tblTransactions[[#This Row],[Product_ID]],tblProducts[],5,FALSE)</f>
        <v>131.66</v>
      </c>
      <c r="M2360" s="4">
        <f>tblTransactions[[#This Row],[Total_Amount]]-(tblTransactions[[#This Row],[Cost_Prices]]*tblTransactions[[#This Row],[Quantity]]*(1-tblTransactions[[#This Row],[Discount]]))</f>
        <v>230.37960000000004</v>
      </c>
      <c r="N2360" s="3">
        <f>tblTransactions[[#This Row],[Profit]]/tblTransactions[[#This Row],[Total_Amount]]</f>
        <v>0.3731085414439802</v>
      </c>
      <c r="O2360" t="str">
        <f>TEXT(tblTransactions[[#This Row],[Date]], "MMM-YYYY")</f>
        <v>May-2024</v>
      </c>
      <c r="P2360" t="str">
        <f>"Q"&amp;ROUNDUP(MONTH(tblTransactions[[#This Row],[Date]])/3,0)&amp;"-"&amp;YEAR(tblTransactions[[#This Row],[Date]])</f>
        <v>Q2-2024</v>
      </c>
      <c r="Q2360">
        <f>YEAR(tblTransactions[[#This Row],[Date]])</f>
        <v>2024</v>
      </c>
      <c r="R2360" t="str">
        <f>TEXT(tblTransactions[[#This Row],[Date]],"DDDD")</f>
        <v>Wednesday</v>
      </c>
      <c r="S2360">
        <f>MONTH(tblTransactions[[#This Row],[Date]])</f>
        <v>5</v>
      </c>
      <c r="T2360" t="str">
        <f>VLOOKUP(E2360, Products!$A:$B,2,0)</f>
        <v>Storage Fur-2</v>
      </c>
      <c r="U2360" t="str">
        <f>VLOOKUP(E2360,Products!$A:$C,3,0)</f>
        <v>Furniture</v>
      </c>
      <c r="V2360" t="str">
        <f>VLOOKUP(E2360,Products!$A:$D,4,0)</f>
        <v>Storage</v>
      </c>
      <c r="W2360" t="str">
        <f>VLOOKUP(D2360,Customers!$A:$C,3,0)</f>
        <v>B2C</v>
      </c>
      <c r="X2360" t="str">
        <f>VLOOKUP(C2360,Sales_Representatives!$A:$B,2,0)</f>
        <v>Jennifer Rodriguez</v>
      </c>
    </row>
    <row r="2361" spans="1:24" x14ac:dyDescent="0.3">
      <c r="A2361" t="s">
        <v>3302</v>
      </c>
      <c r="B2361" t="s">
        <v>3303</v>
      </c>
      <c r="C2361" t="s">
        <v>82</v>
      </c>
      <c r="D2361" t="s">
        <v>2359</v>
      </c>
      <c r="E2361" t="s">
        <v>508</v>
      </c>
      <c r="F2361">
        <v>3</v>
      </c>
      <c r="G2361">
        <v>237.69</v>
      </c>
      <c r="H2361">
        <v>0</v>
      </c>
      <c r="I2361" s="4">
        <v>713.07</v>
      </c>
      <c r="J2361" t="s">
        <v>34</v>
      </c>
      <c r="K2361" t="s">
        <v>48</v>
      </c>
      <c r="L2361" s="4">
        <f>VLOOKUP(tblTransactions[[#This Row],[Product_ID]],tblProducts[],5,FALSE)</f>
        <v>115.31</v>
      </c>
      <c r="M2361" s="4">
        <f>tblTransactions[[#This Row],[Total_Amount]]-(tblTransactions[[#This Row],[Cost_Prices]]*tblTransactions[[#This Row],[Quantity]]*(1-tblTransactions[[#This Row],[Discount]]))</f>
        <v>367.14000000000004</v>
      </c>
      <c r="N2361" s="3">
        <f>tblTransactions[[#This Row],[Profit]]/tblTransactions[[#This Row],[Total_Amount]]</f>
        <v>0.51487231267617484</v>
      </c>
      <c r="O2361" t="str">
        <f>TEXT(tblTransactions[[#This Row],[Date]], "MMM-YYYY")</f>
        <v>May-2024</v>
      </c>
      <c r="P2361" t="str">
        <f>"Q"&amp;ROUNDUP(MONTH(tblTransactions[[#This Row],[Date]])/3,0)&amp;"-"&amp;YEAR(tblTransactions[[#This Row],[Date]])</f>
        <v>Q2-2024</v>
      </c>
      <c r="Q2361">
        <f>YEAR(tblTransactions[[#This Row],[Date]])</f>
        <v>2024</v>
      </c>
      <c r="R2361" t="str">
        <f>TEXT(tblTransactions[[#This Row],[Date]],"DDDD")</f>
        <v>Thursday</v>
      </c>
      <c r="S2361">
        <f>MONTH(tblTransactions[[#This Row],[Date]])</f>
        <v>5</v>
      </c>
      <c r="T2361" t="str">
        <f>VLOOKUP(E2361, Products!$A:$B,2,0)</f>
        <v>Folders Off-3</v>
      </c>
      <c r="U2361" t="str">
        <f>VLOOKUP(E2361,Products!$A:$C,3,0)</f>
        <v>Office Supplies</v>
      </c>
      <c r="V2361" t="str">
        <f>VLOOKUP(E2361,Products!$A:$D,4,0)</f>
        <v>Folders</v>
      </c>
      <c r="W2361" t="str">
        <f>VLOOKUP(D2361,Customers!$A:$C,3,0)</f>
        <v>B2C</v>
      </c>
      <c r="X2361" t="str">
        <f>VLOOKUP(C2361,Sales_Representatives!$A:$B,2,0)</f>
        <v>John Brown</v>
      </c>
    </row>
    <row r="2362" spans="1:24" x14ac:dyDescent="0.3">
      <c r="A2362" t="s">
        <v>3304</v>
      </c>
      <c r="B2362" t="s">
        <v>3303</v>
      </c>
      <c r="C2362" t="s">
        <v>75</v>
      </c>
      <c r="D2362" t="s">
        <v>2567</v>
      </c>
      <c r="E2362" t="s">
        <v>221</v>
      </c>
      <c r="F2362">
        <v>10</v>
      </c>
      <c r="G2362">
        <v>210.02</v>
      </c>
      <c r="H2362">
        <v>0.08</v>
      </c>
      <c r="I2362" s="4">
        <v>1932.18</v>
      </c>
      <c r="J2362" t="s">
        <v>44</v>
      </c>
      <c r="K2362" t="s">
        <v>48</v>
      </c>
      <c r="L2362" s="4">
        <f>VLOOKUP(tblTransactions[[#This Row],[Product_ID]],tblProducts[],5,FALSE)</f>
        <v>131.66</v>
      </c>
      <c r="M2362" s="4">
        <f>tblTransactions[[#This Row],[Total_Amount]]-(tblTransactions[[#This Row],[Cost_Prices]]*tblTransactions[[#This Row],[Quantity]]*(1-tblTransactions[[#This Row],[Discount]]))</f>
        <v>720.90800000000013</v>
      </c>
      <c r="N2362" s="3">
        <f>tblTransactions[[#This Row],[Profit]]/tblTransactions[[#This Row],[Total_Amount]]</f>
        <v>0.37310602531855214</v>
      </c>
      <c r="O2362" t="str">
        <f>TEXT(tblTransactions[[#This Row],[Date]], "MMM-YYYY")</f>
        <v>May-2024</v>
      </c>
      <c r="P2362" t="str">
        <f>"Q"&amp;ROUNDUP(MONTH(tblTransactions[[#This Row],[Date]])/3,0)&amp;"-"&amp;YEAR(tblTransactions[[#This Row],[Date]])</f>
        <v>Q2-2024</v>
      </c>
      <c r="Q2362">
        <f>YEAR(tblTransactions[[#This Row],[Date]])</f>
        <v>2024</v>
      </c>
      <c r="R2362" t="str">
        <f>TEXT(tblTransactions[[#This Row],[Date]],"DDDD")</f>
        <v>Thursday</v>
      </c>
      <c r="S2362">
        <f>MONTH(tblTransactions[[#This Row],[Date]])</f>
        <v>5</v>
      </c>
      <c r="T2362" t="str">
        <f>VLOOKUP(E2362, Products!$A:$B,2,0)</f>
        <v>Storage Fur-2</v>
      </c>
      <c r="U2362" t="str">
        <f>VLOOKUP(E2362,Products!$A:$C,3,0)</f>
        <v>Furniture</v>
      </c>
      <c r="V2362" t="str">
        <f>VLOOKUP(E2362,Products!$A:$D,4,0)</f>
        <v>Storage</v>
      </c>
      <c r="W2362" t="str">
        <f>VLOOKUP(D2362,Customers!$A:$C,3,0)</f>
        <v>B2B</v>
      </c>
      <c r="X2362" t="str">
        <f>VLOOKUP(C2362,Sales_Representatives!$A:$B,2,0)</f>
        <v>Jessica Anderson</v>
      </c>
    </row>
    <row r="2363" spans="1:24" x14ac:dyDescent="0.3">
      <c r="A2363" t="s">
        <v>3305</v>
      </c>
      <c r="B2363" t="s">
        <v>3303</v>
      </c>
      <c r="C2363" t="s">
        <v>127</v>
      </c>
      <c r="D2363" t="s">
        <v>2600</v>
      </c>
      <c r="E2363" t="s">
        <v>87</v>
      </c>
      <c r="F2363">
        <v>28</v>
      </c>
      <c r="G2363">
        <v>1047.8900000000001</v>
      </c>
      <c r="H2363">
        <v>0.24</v>
      </c>
      <c r="I2363" s="4">
        <v>22299.1</v>
      </c>
      <c r="J2363" t="s">
        <v>109</v>
      </c>
      <c r="K2363" t="s">
        <v>22</v>
      </c>
      <c r="L2363" s="4">
        <f>VLOOKUP(tblTransactions[[#This Row],[Product_ID]],tblProducts[],5,FALSE)</f>
        <v>742.63</v>
      </c>
      <c r="M2363" s="4">
        <f>tblTransactions[[#This Row],[Total_Amount]]-(tblTransactions[[#This Row],[Cost_Prices]]*tblTransactions[[#This Row],[Quantity]]*(1-tblTransactions[[#This Row],[Discount]]))</f>
        <v>6495.9335999999985</v>
      </c>
      <c r="N2363" s="3">
        <f>tblTransactions[[#This Row],[Profit]]/tblTransactions[[#This Row],[Total_Amount]]</f>
        <v>0.2913092277266795</v>
      </c>
      <c r="O2363" t="str">
        <f>TEXT(tblTransactions[[#This Row],[Date]], "MMM-YYYY")</f>
        <v>May-2024</v>
      </c>
      <c r="P2363" t="str">
        <f>"Q"&amp;ROUNDUP(MONTH(tblTransactions[[#This Row],[Date]])/3,0)&amp;"-"&amp;YEAR(tblTransactions[[#This Row],[Date]])</f>
        <v>Q2-2024</v>
      </c>
      <c r="Q2363">
        <f>YEAR(tblTransactions[[#This Row],[Date]])</f>
        <v>2024</v>
      </c>
      <c r="R2363" t="str">
        <f>TEXT(tblTransactions[[#This Row],[Date]],"DDDD")</f>
        <v>Thursday</v>
      </c>
      <c r="S2363">
        <f>MONTH(tblTransactions[[#This Row],[Date]])</f>
        <v>5</v>
      </c>
      <c r="T2363" t="str">
        <f>VLOOKUP(E2363, Products!$A:$B,2,0)</f>
        <v>Monitors Tec-2</v>
      </c>
      <c r="U2363" t="str">
        <f>VLOOKUP(E2363,Products!$A:$C,3,0)</f>
        <v>Technology</v>
      </c>
      <c r="V2363" t="str">
        <f>VLOOKUP(E2363,Products!$A:$D,4,0)</f>
        <v>Monitors</v>
      </c>
      <c r="W2363" t="str">
        <f>VLOOKUP(D2363,Customers!$A:$C,3,0)</f>
        <v>Enterprise</v>
      </c>
      <c r="X2363" t="str">
        <f>VLOOKUP(C2363,Sales_Representatives!$A:$B,2,0)</f>
        <v>Emily Hernandez</v>
      </c>
    </row>
    <row r="2364" spans="1:24" x14ac:dyDescent="0.3">
      <c r="A2364" t="s">
        <v>3306</v>
      </c>
      <c r="B2364" t="s">
        <v>3303</v>
      </c>
      <c r="C2364" t="s">
        <v>75</v>
      </c>
      <c r="D2364" t="s">
        <v>351</v>
      </c>
      <c r="E2364" t="s">
        <v>310</v>
      </c>
      <c r="F2364">
        <v>4</v>
      </c>
      <c r="G2364">
        <v>274.13</v>
      </c>
      <c r="H2364">
        <v>0.09</v>
      </c>
      <c r="I2364" s="4">
        <v>997.83</v>
      </c>
      <c r="J2364" t="s">
        <v>44</v>
      </c>
      <c r="K2364" t="s">
        <v>17</v>
      </c>
      <c r="L2364" s="4">
        <f>VLOOKUP(tblTransactions[[#This Row],[Product_ID]],tblProducts[],5,FALSE)</f>
        <v>134.41999999999999</v>
      </c>
      <c r="M2364" s="4">
        <f>tblTransactions[[#This Row],[Total_Amount]]-(tblTransactions[[#This Row],[Cost_Prices]]*tblTransactions[[#This Row],[Quantity]]*(1-tblTransactions[[#This Row],[Discount]]))</f>
        <v>508.54120000000006</v>
      </c>
      <c r="N2364" s="3">
        <f>tblTransactions[[#This Row],[Profit]]/tblTransactions[[#This Row],[Total_Amount]]</f>
        <v>0.50964713428139063</v>
      </c>
      <c r="O2364" t="str">
        <f>TEXT(tblTransactions[[#This Row],[Date]], "MMM-YYYY")</f>
        <v>May-2024</v>
      </c>
      <c r="P2364" t="str">
        <f>"Q"&amp;ROUNDUP(MONTH(tblTransactions[[#This Row],[Date]])/3,0)&amp;"-"&amp;YEAR(tblTransactions[[#This Row],[Date]])</f>
        <v>Q2-2024</v>
      </c>
      <c r="Q2364">
        <f>YEAR(tblTransactions[[#This Row],[Date]])</f>
        <v>2024</v>
      </c>
      <c r="R2364" t="str">
        <f>TEXT(tblTransactions[[#This Row],[Date]],"DDDD")</f>
        <v>Thursday</v>
      </c>
      <c r="S2364">
        <f>MONTH(tblTransactions[[#This Row],[Date]])</f>
        <v>5</v>
      </c>
      <c r="T2364" t="str">
        <f>VLOOKUP(E2364, Products!$A:$B,2,0)</f>
        <v>Adapters Acc-4</v>
      </c>
      <c r="U2364" t="str">
        <f>VLOOKUP(E2364,Products!$A:$C,3,0)</f>
        <v>Accessories</v>
      </c>
      <c r="V2364" t="str">
        <f>VLOOKUP(E2364,Products!$A:$D,4,0)</f>
        <v>Adapters</v>
      </c>
      <c r="W2364" t="str">
        <f>VLOOKUP(D2364,Customers!$A:$C,3,0)</f>
        <v>B2C</v>
      </c>
      <c r="X2364" t="str">
        <f>VLOOKUP(C2364,Sales_Representatives!$A:$B,2,0)</f>
        <v>Jessica Anderson</v>
      </c>
    </row>
    <row r="2365" spans="1:24" x14ac:dyDescent="0.3">
      <c r="A2365" t="s">
        <v>3307</v>
      </c>
      <c r="B2365" t="s">
        <v>3308</v>
      </c>
      <c r="C2365" t="s">
        <v>70</v>
      </c>
      <c r="D2365" t="s">
        <v>1843</v>
      </c>
      <c r="E2365" t="s">
        <v>450</v>
      </c>
      <c r="F2365">
        <v>3</v>
      </c>
      <c r="G2365">
        <v>2083.92</v>
      </c>
      <c r="H2365">
        <v>0.01</v>
      </c>
      <c r="I2365" s="4">
        <v>6189.24</v>
      </c>
      <c r="J2365" t="s">
        <v>16</v>
      </c>
      <c r="K2365" t="s">
        <v>17</v>
      </c>
      <c r="L2365" s="4">
        <f>VLOOKUP(tblTransactions[[#This Row],[Product_ID]],tblProducts[],5,FALSE)</f>
        <v>1425.78</v>
      </c>
      <c r="M2365" s="4">
        <f>tblTransactions[[#This Row],[Total_Amount]]-(tblTransactions[[#This Row],[Cost_Prices]]*tblTransactions[[#This Row],[Quantity]]*(1-tblTransactions[[#This Row],[Discount]]))</f>
        <v>1954.6733999999997</v>
      </c>
      <c r="N2365" s="3">
        <f>tblTransactions[[#This Row],[Profit]]/tblTransactions[[#This Row],[Total_Amount]]</f>
        <v>0.3158180002714388</v>
      </c>
      <c r="O2365" t="str">
        <f>TEXT(tblTransactions[[#This Row],[Date]], "MMM-YYYY")</f>
        <v>May-2024</v>
      </c>
      <c r="P2365" t="str">
        <f>"Q"&amp;ROUNDUP(MONTH(tblTransactions[[#This Row],[Date]])/3,0)&amp;"-"&amp;YEAR(tblTransactions[[#This Row],[Date]])</f>
        <v>Q2-2024</v>
      </c>
      <c r="Q2365">
        <f>YEAR(tblTransactions[[#This Row],[Date]])</f>
        <v>2024</v>
      </c>
      <c r="R2365" t="str">
        <f>TEXT(tblTransactions[[#This Row],[Date]],"DDDD")</f>
        <v>Saturday</v>
      </c>
      <c r="S2365">
        <f>MONTH(tblTransactions[[#This Row],[Date]])</f>
        <v>5</v>
      </c>
      <c r="T2365" t="str">
        <f>VLOOKUP(E2365, Products!$A:$B,2,0)</f>
        <v>Monitors Tec-4</v>
      </c>
      <c r="U2365" t="str">
        <f>VLOOKUP(E2365,Products!$A:$C,3,0)</f>
        <v>Technology</v>
      </c>
      <c r="V2365" t="str">
        <f>VLOOKUP(E2365,Products!$A:$D,4,0)</f>
        <v>Monitors</v>
      </c>
      <c r="W2365" t="str">
        <f>VLOOKUP(D2365,Customers!$A:$C,3,0)</f>
        <v>B2C</v>
      </c>
      <c r="X2365" t="str">
        <f>VLOOKUP(C2365,Sales_Representatives!$A:$B,2,0)</f>
        <v>Linda Smith</v>
      </c>
    </row>
    <row r="2366" spans="1:24" x14ac:dyDescent="0.3">
      <c r="A2366" t="s">
        <v>3309</v>
      </c>
      <c r="B2366" t="s">
        <v>3308</v>
      </c>
      <c r="C2366" t="s">
        <v>59</v>
      </c>
      <c r="D2366" t="s">
        <v>1722</v>
      </c>
      <c r="E2366" t="s">
        <v>232</v>
      </c>
      <c r="F2366">
        <v>7</v>
      </c>
      <c r="G2366">
        <v>60.21</v>
      </c>
      <c r="H2366">
        <v>0.08</v>
      </c>
      <c r="I2366" s="4">
        <v>387.75</v>
      </c>
      <c r="J2366" t="s">
        <v>21</v>
      </c>
      <c r="K2366" t="s">
        <v>35</v>
      </c>
      <c r="L2366" s="4">
        <f>VLOOKUP(tblTransactions[[#This Row],[Product_ID]],tblProducts[],5,FALSE)</f>
        <v>38.18</v>
      </c>
      <c r="M2366" s="4">
        <f>tblTransactions[[#This Row],[Total_Amount]]-(tblTransactions[[#This Row],[Cost_Prices]]*tblTransactions[[#This Row],[Quantity]]*(1-tblTransactions[[#This Row],[Discount]]))</f>
        <v>141.8708</v>
      </c>
      <c r="N2366" s="3">
        <f>tblTransactions[[#This Row],[Profit]]/tblTransactions[[#This Row],[Total_Amount]]</f>
        <v>0.36588214055448098</v>
      </c>
      <c r="O2366" t="str">
        <f>TEXT(tblTransactions[[#This Row],[Date]], "MMM-YYYY")</f>
        <v>May-2024</v>
      </c>
      <c r="P2366" t="str">
        <f>"Q"&amp;ROUNDUP(MONTH(tblTransactions[[#This Row],[Date]])/3,0)&amp;"-"&amp;YEAR(tblTransactions[[#This Row],[Date]])</f>
        <v>Q2-2024</v>
      </c>
      <c r="Q2366">
        <f>YEAR(tblTransactions[[#This Row],[Date]])</f>
        <v>2024</v>
      </c>
      <c r="R2366" t="str">
        <f>TEXT(tblTransactions[[#This Row],[Date]],"DDDD")</f>
        <v>Saturday</v>
      </c>
      <c r="S2366">
        <f>MONTH(tblTransactions[[#This Row],[Date]])</f>
        <v>5</v>
      </c>
      <c r="T2366" t="str">
        <f>VLOOKUP(E2366, Products!$A:$B,2,0)</f>
        <v>Cables Acc-3</v>
      </c>
      <c r="U2366" t="str">
        <f>VLOOKUP(E2366,Products!$A:$C,3,0)</f>
        <v>Accessories</v>
      </c>
      <c r="V2366" t="str">
        <f>VLOOKUP(E2366,Products!$A:$D,4,0)</f>
        <v>Cables</v>
      </c>
      <c r="W2366" t="str">
        <f>VLOOKUP(D2366,Customers!$A:$C,3,0)</f>
        <v>B2C</v>
      </c>
      <c r="X2366" t="str">
        <f>VLOOKUP(C2366,Sales_Representatives!$A:$B,2,0)</f>
        <v>Sarah Brown</v>
      </c>
    </row>
    <row r="2367" spans="1:24" x14ac:dyDescent="0.3">
      <c r="A2367" t="s">
        <v>3310</v>
      </c>
      <c r="B2367" t="s">
        <v>3308</v>
      </c>
      <c r="C2367" t="s">
        <v>75</v>
      </c>
      <c r="D2367" t="s">
        <v>1947</v>
      </c>
      <c r="E2367" t="s">
        <v>105</v>
      </c>
      <c r="F2367">
        <v>32</v>
      </c>
      <c r="G2367">
        <v>1342.04</v>
      </c>
      <c r="H2367">
        <v>0.17</v>
      </c>
      <c r="I2367" s="4">
        <v>35644.58</v>
      </c>
      <c r="J2367" t="s">
        <v>44</v>
      </c>
      <c r="K2367" t="s">
        <v>39</v>
      </c>
      <c r="L2367" s="4">
        <f>VLOOKUP(tblTransactions[[#This Row],[Product_ID]],tblProducts[],5,FALSE)</f>
        <v>792.89</v>
      </c>
      <c r="M2367" s="4">
        <f>tblTransactions[[#This Row],[Total_Amount]]-(tblTransactions[[#This Row],[Cost_Prices]]*tblTransactions[[#This Row],[Quantity]]*(1-tblTransactions[[#This Row],[Discount]]))</f>
        <v>14585.421600000001</v>
      </c>
      <c r="N2367" s="3">
        <f>tblTransactions[[#This Row],[Profit]]/tblTransactions[[#This Row],[Total_Amount]]</f>
        <v>0.40919044634555946</v>
      </c>
      <c r="O2367" t="str">
        <f>TEXT(tblTransactions[[#This Row],[Date]], "MMM-YYYY")</f>
        <v>May-2024</v>
      </c>
      <c r="P2367" t="str">
        <f>"Q"&amp;ROUNDUP(MONTH(tblTransactions[[#This Row],[Date]])/3,0)&amp;"-"&amp;YEAR(tblTransactions[[#This Row],[Date]])</f>
        <v>Q2-2024</v>
      </c>
      <c r="Q2367">
        <f>YEAR(tblTransactions[[#This Row],[Date]])</f>
        <v>2024</v>
      </c>
      <c r="R2367" t="str">
        <f>TEXT(tblTransactions[[#This Row],[Date]],"DDDD")</f>
        <v>Saturday</v>
      </c>
      <c r="S2367">
        <f>MONTH(tblTransactions[[#This Row],[Date]])</f>
        <v>5</v>
      </c>
      <c r="T2367" t="str">
        <f>VLOOKUP(E2367, Products!$A:$B,2,0)</f>
        <v>Cameras Ele-1</v>
      </c>
      <c r="U2367" t="str">
        <f>VLOOKUP(E2367,Products!$A:$C,3,0)</f>
        <v>Electronics</v>
      </c>
      <c r="V2367" t="str">
        <f>VLOOKUP(E2367,Products!$A:$D,4,0)</f>
        <v>Cameras</v>
      </c>
      <c r="W2367" t="str">
        <f>VLOOKUP(D2367,Customers!$A:$C,3,0)</f>
        <v>Enterprise</v>
      </c>
      <c r="X2367" t="str">
        <f>VLOOKUP(C2367,Sales_Representatives!$A:$B,2,0)</f>
        <v>Jessica Anderson</v>
      </c>
    </row>
    <row r="2368" spans="1:24" x14ac:dyDescent="0.3">
      <c r="A2368" t="s">
        <v>3311</v>
      </c>
      <c r="B2368" t="s">
        <v>3308</v>
      </c>
      <c r="C2368" t="s">
        <v>59</v>
      </c>
      <c r="D2368" t="s">
        <v>2054</v>
      </c>
      <c r="E2368" t="s">
        <v>255</v>
      </c>
      <c r="F2368">
        <v>6</v>
      </c>
      <c r="G2368">
        <v>1444.13</v>
      </c>
      <c r="H2368">
        <v>0.14000000000000001</v>
      </c>
      <c r="I2368" s="4">
        <v>7451.71</v>
      </c>
      <c r="J2368" t="s">
        <v>21</v>
      </c>
      <c r="K2368" t="s">
        <v>17</v>
      </c>
      <c r="L2368" s="4">
        <f>VLOOKUP(tblTransactions[[#This Row],[Product_ID]],tblProducts[],5,FALSE)</f>
        <v>874.43</v>
      </c>
      <c r="M2368" s="4">
        <f>tblTransactions[[#This Row],[Total_Amount]]-(tblTransactions[[#This Row],[Cost_Prices]]*tblTransactions[[#This Row],[Quantity]]*(1-tblTransactions[[#This Row],[Discount]]))</f>
        <v>2939.6512000000002</v>
      </c>
      <c r="N2368" s="3">
        <f>tblTransactions[[#This Row],[Profit]]/tblTransactions[[#This Row],[Total_Amount]]</f>
        <v>0.39449350551752554</v>
      </c>
      <c r="O2368" t="str">
        <f>TEXT(tblTransactions[[#This Row],[Date]], "MMM-YYYY")</f>
        <v>May-2024</v>
      </c>
      <c r="P2368" t="str">
        <f>"Q"&amp;ROUNDUP(MONTH(tblTransactions[[#This Row],[Date]])/3,0)&amp;"-"&amp;YEAR(tblTransactions[[#This Row],[Date]])</f>
        <v>Q2-2024</v>
      </c>
      <c r="Q2368">
        <f>YEAR(tblTransactions[[#This Row],[Date]])</f>
        <v>2024</v>
      </c>
      <c r="R2368" t="str">
        <f>TEXT(tblTransactions[[#This Row],[Date]],"DDDD")</f>
        <v>Saturday</v>
      </c>
      <c r="S2368">
        <f>MONTH(tblTransactions[[#This Row],[Date]])</f>
        <v>5</v>
      </c>
      <c r="T2368" t="str">
        <f>VLOOKUP(E2368, Products!$A:$B,2,0)</f>
        <v>Printers Tec-1</v>
      </c>
      <c r="U2368" t="str">
        <f>VLOOKUP(E2368,Products!$A:$C,3,0)</f>
        <v>Technology</v>
      </c>
      <c r="V2368" t="str">
        <f>VLOOKUP(E2368,Products!$A:$D,4,0)</f>
        <v>Printers</v>
      </c>
      <c r="W2368" t="str">
        <f>VLOOKUP(D2368,Customers!$A:$C,3,0)</f>
        <v>Small Business</v>
      </c>
      <c r="X2368" t="str">
        <f>VLOOKUP(C2368,Sales_Representatives!$A:$B,2,0)</f>
        <v>Sarah Brown</v>
      </c>
    </row>
    <row r="2369" spans="1:24" x14ac:dyDescent="0.3">
      <c r="A2369" t="s">
        <v>3312</v>
      </c>
      <c r="B2369" t="s">
        <v>3313</v>
      </c>
      <c r="C2369" t="s">
        <v>127</v>
      </c>
      <c r="D2369" t="s">
        <v>2056</v>
      </c>
      <c r="E2369" t="s">
        <v>394</v>
      </c>
      <c r="F2369">
        <v>3</v>
      </c>
      <c r="G2369">
        <v>314.69</v>
      </c>
      <c r="H2369">
        <v>0.05</v>
      </c>
      <c r="I2369" s="4">
        <v>896.87</v>
      </c>
      <c r="J2369" t="s">
        <v>109</v>
      </c>
      <c r="K2369" t="s">
        <v>22</v>
      </c>
      <c r="L2369" s="4">
        <f>VLOOKUP(tblTransactions[[#This Row],[Product_ID]],tblProducts[],5,FALSE)</f>
        <v>185.43</v>
      </c>
      <c r="M2369" s="4">
        <f>tblTransactions[[#This Row],[Total_Amount]]-(tblTransactions[[#This Row],[Cost_Prices]]*tblTransactions[[#This Row],[Quantity]]*(1-tblTransactions[[#This Row],[Discount]]))</f>
        <v>368.39450000000011</v>
      </c>
      <c r="N2369" s="3">
        <f>tblTransactions[[#This Row],[Profit]]/tblTransactions[[#This Row],[Total_Amount]]</f>
        <v>0.41075573940481908</v>
      </c>
      <c r="O2369" t="str">
        <f>TEXT(tblTransactions[[#This Row],[Date]], "MMM-YYYY")</f>
        <v>May-2024</v>
      </c>
      <c r="P2369" t="str">
        <f>"Q"&amp;ROUNDUP(MONTH(tblTransactions[[#This Row],[Date]])/3,0)&amp;"-"&amp;YEAR(tblTransactions[[#This Row],[Date]])</f>
        <v>Q2-2024</v>
      </c>
      <c r="Q2369">
        <f>YEAR(tblTransactions[[#This Row],[Date]])</f>
        <v>2024</v>
      </c>
      <c r="R2369" t="str">
        <f>TEXT(tblTransactions[[#This Row],[Date]],"DDDD")</f>
        <v>Sunday</v>
      </c>
      <c r="S2369">
        <f>MONTH(tblTransactions[[#This Row],[Date]])</f>
        <v>5</v>
      </c>
      <c r="T2369" t="str">
        <f>VLOOKUP(E2369, Products!$A:$B,2,0)</f>
        <v>Desks Fur-1</v>
      </c>
      <c r="U2369" t="str">
        <f>VLOOKUP(E2369,Products!$A:$C,3,0)</f>
        <v>Furniture</v>
      </c>
      <c r="V2369" t="str">
        <f>VLOOKUP(E2369,Products!$A:$D,4,0)</f>
        <v>Desks</v>
      </c>
      <c r="W2369" t="str">
        <f>VLOOKUP(D2369,Customers!$A:$C,3,0)</f>
        <v>Small Business</v>
      </c>
      <c r="X2369" t="str">
        <f>VLOOKUP(C2369,Sales_Representatives!$A:$B,2,0)</f>
        <v>Emily Hernandez</v>
      </c>
    </row>
    <row r="2370" spans="1:24" x14ac:dyDescent="0.3">
      <c r="A2370" t="s">
        <v>3314</v>
      </c>
      <c r="B2370" t="s">
        <v>3313</v>
      </c>
      <c r="C2370" t="s">
        <v>75</v>
      </c>
      <c r="D2370" t="s">
        <v>2162</v>
      </c>
      <c r="E2370" t="s">
        <v>29</v>
      </c>
      <c r="F2370">
        <v>1</v>
      </c>
      <c r="G2370">
        <v>1363.46</v>
      </c>
      <c r="H2370">
        <v>0.05</v>
      </c>
      <c r="I2370" s="4">
        <v>1295.29</v>
      </c>
      <c r="J2370" t="s">
        <v>44</v>
      </c>
      <c r="K2370" t="s">
        <v>17</v>
      </c>
      <c r="L2370" s="4">
        <f>VLOOKUP(tblTransactions[[#This Row],[Product_ID]],tblProducts[],5,FALSE)</f>
        <v>995.41</v>
      </c>
      <c r="M2370" s="4">
        <f>tblTransactions[[#This Row],[Total_Amount]]-(tblTransactions[[#This Row],[Cost_Prices]]*tblTransactions[[#This Row],[Quantity]]*(1-tblTransactions[[#This Row],[Discount]]))</f>
        <v>349.65050000000008</v>
      </c>
      <c r="N2370" s="3">
        <f>tblTransactions[[#This Row],[Profit]]/tblTransactions[[#This Row],[Total_Amount]]</f>
        <v>0.26993993623049672</v>
      </c>
      <c r="O2370" t="str">
        <f>TEXT(tblTransactions[[#This Row],[Date]], "MMM-YYYY")</f>
        <v>May-2024</v>
      </c>
      <c r="P2370" t="str">
        <f>"Q"&amp;ROUNDUP(MONTH(tblTransactions[[#This Row],[Date]])/3,0)&amp;"-"&amp;YEAR(tblTransactions[[#This Row],[Date]])</f>
        <v>Q2-2024</v>
      </c>
      <c r="Q2370">
        <f>YEAR(tblTransactions[[#This Row],[Date]])</f>
        <v>2024</v>
      </c>
      <c r="R2370" t="str">
        <f>TEXT(tblTransactions[[#This Row],[Date]],"DDDD")</f>
        <v>Sunday</v>
      </c>
      <c r="S2370">
        <f>MONTH(tblTransactions[[#This Row],[Date]])</f>
        <v>5</v>
      </c>
      <c r="T2370" t="str">
        <f>VLOOKUP(E2370, Products!$A:$B,2,0)</f>
        <v>Phones Ele-3</v>
      </c>
      <c r="U2370" t="str">
        <f>VLOOKUP(E2370,Products!$A:$C,3,0)</f>
        <v>Electronics</v>
      </c>
      <c r="V2370" t="str">
        <f>VLOOKUP(E2370,Products!$A:$D,4,0)</f>
        <v>Phones</v>
      </c>
      <c r="W2370" t="str">
        <f>VLOOKUP(D2370,Customers!$A:$C,3,0)</f>
        <v>Small Business</v>
      </c>
      <c r="X2370" t="str">
        <f>VLOOKUP(C2370,Sales_Representatives!$A:$B,2,0)</f>
        <v>Jessica Anderson</v>
      </c>
    </row>
    <row r="2371" spans="1:24" x14ac:dyDescent="0.3">
      <c r="A2371" t="s">
        <v>3315</v>
      </c>
      <c r="B2371" t="s">
        <v>3313</v>
      </c>
      <c r="C2371" t="s">
        <v>70</v>
      </c>
      <c r="D2371" t="s">
        <v>1838</v>
      </c>
      <c r="E2371" t="s">
        <v>200</v>
      </c>
      <c r="F2371">
        <v>36</v>
      </c>
      <c r="G2371">
        <v>544.77</v>
      </c>
      <c r="H2371">
        <v>0.18</v>
      </c>
      <c r="I2371" s="4">
        <v>16081.61</v>
      </c>
      <c r="J2371" t="s">
        <v>16</v>
      </c>
      <c r="K2371" t="s">
        <v>35</v>
      </c>
      <c r="L2371" s="4">
        <f>VLOOKUP(tblTransactions[[#This Row],[Product_ID]],tblProducts[],5,FALSE)</f>
        <v>318.2</v>
      </c>
      <c r="M2371" s="4">
        <f>tblTransactions[[#This Row],[Total_Amount]]-(tblTransactions[[#This Row],[Cost_Prices]]*tblTransactions[[#This Row],[Quantity]]*(1-tblTransactions[[#This Row],[Discount]]))</f>
        <v>6688.3460000000014</v>
      </c>
      <c r="N2371" s="3">
        <f>tblTransactions[[#This Row],[Profit]]/tblTransactions[[#This Row],[Total_Amount]]</f>
        <v>0.41590027366662924</v>
      </c>
      <c r="O2371" t="str">
        <f>TEXT(tblTransactions[[#This Row],[Date]], "MMM-YYYY")</f>
        <v>May-2024</v>
      </c>
      <c r="P2371" t="str">
        <f>"Q"&amp;ROUNDUP(MONTH(tblTransactions[[#This Row],[Date]])/3,0)&amp;"-"&amp;YEAR(tblTransactions[[#This Row],[Date]])</f>
        <v>Q2-2024</v>
      </c>
      <c r="Q2371">
        <f>YEAR(tblTransactions[[#This Row],[Date]])</f>
        <v>2024</v>
      </c>
      <c r="R2371" t="str">
        <f>TEXT(tblTransactions[[#This Row],[Date]],"DDDD")</f>
        <v>Sunday</v>
      </c>
      <c r="S2371">
        <f>MONTH(tblTransactions[[#This Row],[Date]])</f>
        <v>5</v>
      </c>
      <c r="T2371" t="str">
        <f>VLOOKUP(E2371, Products!$A:$B,2,0)</f>
        <v>Desks Fur-4</v>
      </c>
      <c r="U2371" t="str">
        <f>VLOOKUP(E2371,Products!$A:$C,3,0)</f>
        <v>Furniture</v>
      </c>
      <c r="V2371" t="str">
        <f>VLOOKUP(E2371,Products!$A:$D,4,0)</f>
        <v>Desks</v>
      </c>
      <c r="W2371" t="str">
        <f>VLOOKUP(D2371,Customers!$A:$C,3,0)</f>
        <v>Enterprise</v>
      </c>
      <c r="X2371" t="str">
        <f>VLOOKUP(C2371,Sales_Representatives!$A:$B,2,0)</f>
        <v>Linda Smith</v>
      </c>
    </row>
    <row r="2372" spans="1:24" x14ac:dyDescent="0.3">
      <c r="A2372" t="s">
        <v>3316</v>
      </c>
      <c r="B2372" t="s">
        <v>3313</v>
      </c>
      <c r="C2372" t="s">
        <v>41</v>
      </c>
      <c r="D2372" t="s">
        <v>2173</v>
      </c>
      <c r="E2372" t="s">
        <v>704</v>
      </c>
      <c r="F2372">
        <v>7</v>
      </c>
      <c r="G2372">
        <v>291.81</v>
      </c>
      <c r="H2372">
        <v>0.1</v>
      </c>
      <c r="I2372" s="4">
        <v>1838.4</v>
      </c>
      <c r="J2372" t="s">
        <v>44</v>
      </c>
      <c r="K2372" t="s">
        <v>22</v>
      </c>
      <c r="L2372" s="4">
        <f>VLOOKUP(tblTransactions[[#This Row],[Product_ID]],tblProducts[],5,FALSE)</f>
        <v>123.61</v>
      </c>
      <c r="M2372" s="4">
        <f>tblTransactions[[#This Row],[Total_Amount]]-(tblTransactions[[#This Row],[Cost_Prices]]*tblTransactions[[#This Row],[Quantity]]*(1-tblTransactions[[#This Row],[Discount]]))</f>
        <v>1059.6570000000002</v>
      </c>
      <c r="N2372" s="3">
        <f>tblTransactions[[#This Row],[Profit]]/tblTransactions[[#This Row],[Total_Amount]]</f>
        <v>0.57640176240208885</v>
      </c>
      <c r="O2372" t="str">
        <f>TEXT(tblTransactions[[#This Row],[Date]], "MMM-YYYY")</f>
        <v>May-2024</v>
      </c>
      <c r="P2372" t="str">
        <f>"Q"&amp;ROUNDUP(MONTH(tblTransactions[[#This Row],[Date]])/3,0)&amp;"-"&amp;YEAR(tblTransactions[[#This Row],[Date]])</f>
        <v>Q2-2024</v>
      </c>
      <c r="Q2372">
        <f>YEAR(tblTransactions[[#This Row],[Date]])</f>
        <v>2024</v>
      </c>
      <c r="R2372" t="str">
        <f>TEXT(tblTransactions[[#This Row],[Date]],"DDDD")</f>
        <v>Sunday</v>
      </c>
      <c r="S2372">
        <f>MONTH(tblTransactions[[#This Row],[Date]])</f>
        <v>5</v>
      </c>
      <c r="T2372" t="str">
        <f>VLOOKUP(E2372, Products!$A:$B,2,0)</f>
        <v>Keyboards Acc-4</v>
      </c>
      <c r="U2372" t="str">
        <f>VLOOKUP(E2372,Products!$A:$C,3,0)</f>
        <v>Accessories</v>
      </c>
      <c r="V2372" t="str">
        <f>VLOOKUP(E2372,Products!$A:$D,4,0)</f>
        <v>Keyboards</v>
      </c>
      <c r="W2372" t="str">
        <f>VLOOKUP(D2372,Customers!$A:$C,3,0)</f>
        <v>B2C</v>
      </c>
      <c r="X2372" t="str">
        <f>VLOOKUP(C2372,Sales_Representatives!$A:$B,2,0)</f>
        <v>Robert Jones</v>
      </c>
    </row>
    <row r="2373" spans="1:24" x14ac:dyDescent="0.3">
      <c r="A2373" t="s">
        <v>3317</v>
      </c>
      <c r="B2373" t="s">
        <v>3313</v>
      </c>
      <c r="C2373" t="s">
        <v>70</v>
      </c>
      <c r="D2373" t="s">
        <v>1808</v>
      </c>
      <c r="E2373" t="s">
        <v>450</v>
      </c>
      <c r="F2373">
        <v>6</v>
      </c>
      <c r="G2373">
        <v>2083.92</v>
      </c>
      <c r="H2373">
        <v>0.09</v>
      </c>
      <c r="I2373" s="4">
        <v>11378.2</v>
      </c>
      <c r="J2373" t="s">
        <v>16</v>
      </c>
      <c r="K2373" t="s">
        <v>48</v>
      </c>
      <c r="L2373" s="4">
        <f>VLOOKUP(tblTransactions[[#This Row],[Product_ID]],tblProducts[],5,FALSE)</f>
        <v>1425.78</v>
      </c>
      <c r="M2373" s="4">
        <f>tblTransactions[[#This Row],[Total_Amount]]-(tblTransactions[[#This Row],[Cost_Prices]]*tblTransactions[[#This Row],[Quantity]]*(1-tblTransactions[[#This Row],[Discount]]))</f>
        <v>3593.4412000000002</v>
      </c>
      <c r="N2373" s="3">
        <f>tblTransactions[[#This Row],[Profit]]/tblTransactions[[#This Row],[Total_Amount]]</f>
        <v>0.31581807315744143</v>
      </c>
      <c r="O2373" t="str">
        <f>TEXT(tblTransactions[[#This Row],[Date]], "MMM-YYYY")</f>
        <v>May-2024</v>
      </c>
      <c r="P2373" t="str">
        <f>"Q"&amp;ROUNDUP(MONTH(tblTransactions[[#This Row],[Date]])/3,0)&amp;"-"&amp;YEAR(tblTransactions[[#This Row],[Date]])</f>
        <v>Q2-2024</v>
      </c>
      <c r="Q2373">
        <f>YEAR(tblTransactions[[#This Row],[Date]])</f>
        <v>2024</v>
      </c>
      <c r="R2373" t="str">
        <f>TEXT(tblTransactions[[#This Row],[Date]],"DDDD")</f>
        <v>Sunday</v>
      </c>
      <c r="S2373">
        <f>MONTH(tblTransactions[[#This Row],[Date]])</f>
        <v>5</v>
      </c>
      <c r="T2373" t="str">
        <f>VLOOKUP(E2373, Products!$A:$B,2,0)</f>
        <v>Monitors Tec-4</v>
      </c>
      <c r="U2373" t="str">
        <f>VLOOKUP(E2373,Products!$A:$C,3,0)</f>
        <v>Technology</v>
      </c>
      <c r="V2373" t="str">
        <f>VLOOKUP(E2373,Products!$A:$D,4,0)</f>
        <v>Monitors</v>
      </c>
      <c r="W2373" t="str">
        <f>VLOOKUP(D2373,Customers!$A:$C,3,0)</f>
        <v>B2B</v>
      </c>
      <c r="X2373" t="str">
        <f>VLOOKUP(C2373,Sales_Representatives!$A:$B,2,0)</f>
        <v>Linda Smith</v>
      </c>
    </row>
    <row r="2374" spans="1:24" x14ac:dyDescent="0.3">
      <c r="A2374" t="s">
        <v>3318</v>
      </c>
      <c r="B2374" t="s">
        <v>3313</v>
      </c>
      <c r="C2374" t="s">
        <v>82</v>
      </c>
      <c r="D2374" t="s">
        <v>1988</v>
      </c>
      <c r="E2374" t="s">
        <v>125</v>
      </c>
      <c r="F2374">
        <v>49</v>
      </c>
      <c r="G2374">
        <v>1201.4000000000001</v>
      </c>
      <c r="H2374">
        <v>0.23</v>
      </c>
      <c r="I2374" s="4">
        <v>45328.82</v>
      </c>
      <c r="J2374" t="s">
        <v>34</v>
      </c>
      <c r="K2374" t="s">
        <v>48</v>
      </c>
      <c r="L2374" s="4">
        <f>VLOOKUP(tblTransactions[[#This Row],[Product_ID]],tblProducts[],5,FALSE)</f>
        <v>672.72</v>
      </c>
      <c r="M2374" s="4">
        <f>tblTransactions[[#This Row],[Total_Amount]]-(tblTransactions[[#This Row],[Cost_Prices]]*tblTransactions[[#This Row],[Quantity]]*(1-tblTransactions[[#This Row],[Discount]]))</f>
        <v>19947.094400000002</v>
      </c>
      <c r="N2374" s="3">
        <f>tblTransactions[[#This Row],[Profit]]/tblTransactions[[#This Row],[Total_Amount]]</f>
        <v>0.44005324647762728</v>
      </c>
      <c r="O2374" t="str">
        <f>TEXT(tblTransactions[[#This Row],[Date]], "MMM-YYYY")</f>
        <v>May-2024</v>
      </c>
      <c r="P2374" t="str">
        <f>"Q"&amp;ROUNDUP(MONTH(tblTransactions[[#This Row],[Date]])/3,0)&amp;"-"&amp;YEAR(tblTransactions[[#This Row],[Date]])</f>
        <v>Q2-2024</v>
      </c>
      <c r="Q2374">
        <f>YEAR(tblTransactions[[#This Row],[Date]])</f>
        <v>2024</v>
      </c>
      <c r="R2374" t="str">
        <f>TEXT(tblTransactions[[#This Row],[Date]],"DDDD")</f>
        <v>Sunday</v>
      </c>
      <c r="S2374">
        <f>MONTH(tblTransactions[[#This Row],[Date]])</f>
        <v>5</v>
      </c>
      <c r="T2374" t="str">
        <f>VLOOKUP(E2374, Products!$A:$B,2,0)</f>
        <v>Printers Tec-2</v>
      </c>
      <c r="U2374" t="str">
        <f>VLOOKUP(E2374,Products!$A:$C,3,0)</f>
        <v>Technology</v>
      </c>
      <c r="V2374" t="str">
        <f>VLOOKUP(E2374,Products!$A:$D,4,0)</f>
        <v>Printers</v>
      </c>
      <c r="W2374" t="str">
        <f>VLOOKUP(D2374,Customers!$A:$C,3,0)</f>
        <v>Enterprise</v>
      </c>
      <c r="X2374" t="str">
        <f>VLOOKUP(C2374,Sales_Representatives!$A:$B,2,0)</f>
        <v>John Brown</v>
      </c>
    </row>
    <row r="2375" spans="1:24" x14ac:dyDescent="0.3">
      <c r="A2375" t="s">
        <v>3319</v>
      </c>
      <c r="B2375" t="s">
        <v>3320</v>
      </c>
      <c r="C2375" t="s">
        <v>59</v>
      </c>
      <c r="D2375" t="s">
        <v>2417</v>
      </c>
      <c r="E2375" t="s">
        <v>125</v>
      </c>
      <c r="F2375">
        <v>7</v>
      </c>
      <c r="G2375">
        <v>1201.4000000000001</v>
      </c>
      <c r="H2375">
        <v>0.05</v>
      </c>
      <c r="I2375" s="4">
        <v>7989.31</v>
      </c>
      <c r="J2375" t="s">
        <v>21</v>
      </c>
      <c r="K2375" t="s">
        <v>39</v>
      </c>
      <c r="L2375" s="4">
        <f>VLOOKUP(tblTransactions[[#This Row],[Product_ID]],tblProducts[],5,FALSE)</f>
        <v>672.72</v>
      </c>
      <c r="M2375" s="4">
        <f>tblTransactions[[#This Row],[Total_Amount]]-(tblTransactions[[#This Row],[Cost_Prices]]*tblTransactions[[#This Row],[Quantity]]*(1-tblTransactions[[#This Row],[Discount]]))</f>
        <v>3515.7220000000007</v>
      </c>
      <c r="N2375" s="3">
        <f>tblTransactions[[#This Row],[Profit]]/tblTransactions[[#This Row],[Total_Amount]]</f>
        <v>0.4400532711836192</v>
      </c>
      <c r="O2375" t="str">
        <f>TEXT(tblTransactions[[#This Row],[Date]], "MMM-YYYY")</f>
        <v>May-2024</v>
      </c>
      <c r="P2375" t="str">
        <f>"Q"&amp;ROUNDUP(MONTH(tblTransactions[[#This Row],[Date]])/3,0)&amp;"-"&amp;YEAR(tblTransactions[[#This Row],[Date]])</f>
        <v>Q2-2024</v>
      </c>
      <c r="Q2375">
        <f>YEAR(tblTransactions[[#This Row],[Date]])</f>
        <v>2024</v>
      </c>
      <c r="R2375" t="str">
        <f>TEXT(tblTransactions[[#This Row],[Date]],"DDDD")</f>
        <v>Monday</v>
      </c>
      <c r="S2375">
        <f>MONTH(tblTransactions[[#This Row],[Date]])</f>
        <v>5</v>
      </c>
      <c r="T2375" t="str">
        <f>VLOOKUP(E2375, Products!$A:$B,2,0)</f>
        <v>Printers Tec-2</v>
      </c>
      <c r="U2375" t="str">
        <f>VLOOKUP(E2375,Products!$A:$C,3,0)</f>
        <v>Technology</v>
      </c>
      <c r="V2375" t="str">
        <f>VLOOKUP(E2375,Products!$A:$D,4,0)</f>
        <v>Printers</v>
      </c>
      <c r="W2375" t="str">
        <f>VLOOKUP(D2375,Customers!$A:$C,3,0)</f>
        <v>B2B</v>
      </c>
      <c r="X2375" t="str">
        <f>VLOOKUP(C2375,Sales_Representatives!$A:$B,2,0)</f>
        <v>Sarah Brown</v>
      </c>
    </row>
    <row r="2376" spans="1:24" x14ac:dyDescent="0.3">
      <c r="A2376" t="s">
        <v>3321</v>
      </c>
      <c r="B2376" t="s">
        <v>3320</v>
      </c>
      <c r="C2376" t="s">
        <v>70</v>
      </c>
      <c r="D2376" t="s">
        <v>134</v>
      </c>
      <c r="E2376" t="s">
        <v>25</v>
      </c>
      <c r="F2376">
        <v>10</v>
      </c>
      <c r="G2376">
        <v>1467.49</v>
      </c>
      <c r="H2376">
        <v>0.05</v>
      </c>
      <c r="I2376" s="4">
        <v>13941.16</v>
      </c>
      <c r="J2376" t="s">
        <v>16</v>
      </c>
      <c r="K2376" t="s">
        <v>22</v>
      </c>
      <c r="L2376" s="4">
        <f>VLOOKUP(tblTransactions[[#This Row],[Product_ID]],tblProducts[],5,FALSE)</f>
        <v>757.65</v>
      </c>
      <c r="M2376" s="4">
        <f>tblTransactions[[#This Row],[Total_Amount]]-(tblTransactions[[#This Row],[Cost_Prices]]*tblTransactions[[#This Row],[Quantity]]*(1-tblTransactions[[#This Row],[Discount]]))</f>
        <v>6743.4850000000006</v>
      </c>
      <c r="N2376" s="3">
        <f>tblTransactions[[#This Row],[Profit]]/tblTransactions[[#This Row],[Total_Amount]]</f>
        <v>0.48371046598704848</v>
      </c>
      <c r="O2376" t="str">
        <f>TEXT(tblTransactions[[#This Row],[Date]], "MMM-YYYY")</f>
        <v>May-2024</v>
      </c>
      <c r="P2376" t="str">
        <f>"Q"&amp;ROUNDUP(MONTH(tblTransactions[[#This Row],[Date]])/3,0)&amp;"-"&amp;YEAR(tblTransactions[[#This Row],[Date]])</f>
        <v>Q2-2024</v>
      </c>
      <c r="Q2376">
        <f>YEAR(tblTransactions[[#This Row],[Date]])</f>
        <v>2024</v>
      </c>
      <c r="R2376" t="str">
        <f>TEXT(tblTransactions[[#This Row],[Date]],"DDDD")</f>
        <v>Monday</v>
      </c>
      <c r="S2376">
        <f>MONTH(tblTransactions[[#This Row],[Date]])</f>
        <v>5</v>
      </c>
      <c r="T2376" t="str">
        <f>VLOOKUP(E2376, Products!$A:$B,2,0)</f>
        <v>Tables Fur-3</v>
      </c>
      <c r="U2376" t="str">
        <f>VLOOKUP(E2376,Products!$A:$C,3,0)</f>
        <v>Furniture</v>
      </c>
      <c r="V2376" t="str">
        <f>VLOOKUP(E2376,Products!$A:$D,4,0)</f>
        <v>Tables</v>
      </c>
      <c r="W2376" t="str">
        <f>VLOOKUP(D2376,Customers!$A:$C,3,0)</f>
        <v>B2B</v>
      </c>
      <c r="X2376" t="str">
        <f>VLOOKUP(C2376,Sales_Representatives!$A:$B,2,0)</f>
        <v>Linda Smith</v>
      </c>
    </row>
    <row r="2377" spans="1:24" x14ac:dyDescent="0.3">
      <c r="A2377" t="s">
        <v>3322</v>
      </c>
      <c r="B2377" t="s">
        <v>3320</v>
      </c>
      <c r="C2377" t="s">
        <v>63</v>
      </c>
      <c r="D2377" t="s">
        <v>1691</v>
      </c>
      <c r="E2377" t="s">
        <v>68</v>
      </c>
      <c r="F2377">
        <v>2</v>
      </c>
      <c r="G2377">
        <v>522.63</v>
      </c>
      <c r="H2377">
        <v>0.02</v>
      </c>
      <c r="I2377" s="4">
        <v>1024.3499999999999</v>
      </c>
      <c r="J2377" t="s">
        <v>21</v>
      </c>
      <c r="K2377" t="s">
        <v>17</v>
      </c>
      <c r="L2377" s="4">
        <f>VLOOKUP(tblTransactions[[#This Row],[Product_ID]],tblProducts[],5,FALSE)</f>
        <v>355.82</v>
      </c>
      <c r="M2377" s="4">
        <f>tblTransactions[[#This Row],[Total_Amount]]-(tblTransactions[[#This Row],[Cost_Prices]]*tblTransactions[[#This Row],[Quantity]]*(1-tblTransactions[[#This Row],[Discount]]))</f>
        <v>326.94279999999992</v>
      </c>
      <c r="N2377" s="3">
        <f>tblTransactions[[#This Row],[Profit]]/tblTransactions[[#This Row],[Total_Amount]]</f>
        <v>0.3191709864792307</v>
      </c>
      <c r="O2377" t="str">
        <f>TEXT(tblTransactions[[#This Row],[Date]], "MMM-YYYY")</f>
        <v>May-2024</v>
      </c>
      <c r="P2377" t="str">
        <f>"Q"&amp;ROUNDUP(MONTH(tblTransactions[[#This Row],[Date]])/3,0)&amp;"-"&amp;YEAR(tblTransactions[[#This Row],[Date]])</f>
        <v>Q2-2024</v>
      </c>
      <c r="Q2377">
        <f>YEAR(tblTransactions[[#This Row],[Date]])</f>
        <v>2024</v>
      </c>
      <c r="R2377" t="str">
        <f>TEXT(tblTransactions[[#This Row],[Date]],"DDDD")</f>
        <v>Monday</v>
      </c>
      <c r="S2377">
        <f>MONTH(tblTransactions[[#This Row],[Date]])</f>
        <v>5</v>
      </c>
      <c r="T2377" t="str">
        <f>VLOOKUP(E2377, Products!$A:$B,2,0)</f>
        <v>Monitors Tec-3</v>
      </c>
      <c r="U2377" t="str">
        <f>VLOOKUP(E2377,Products!$A:$C,3,0)</f>
        <v>Technology</v>
      </c>
      <c r="V2377" t="str">
        <f>VLOOKUP(E2377,Products!$A:$D,4,0)</f>
        <v>Monitors</v>
      </c>
      <c r="W2377" t="str">
        <f>VLOOKUP(D2377,Customers!$A:$C,3,0)</f>
        <v>Small Business</v>
      </c>
      <c r="X2377" t="str">
        <f>VLOOKUP(C2377,Sales_Representatives!$A:$B,2,0)</f>
        <v>Richard Wilson</v>
      </c>
    </row>
    <row r="2378" spans="1:24" x14ac:dyDescent="0.3">
      <c r="A2378" t="s">
        <v>3323</v>
      </c>
      <c r="B2378" t="s">
        <v>3324</v>
      </c>
      <c r="C2378" t="s">
        <v>56</v>
      </c>
      <c r="D2378" t="s">
        <v>2769</v>
      </c>
      <c r="E2378" t="s">
        <v>435</v>
      </c>
      <c r="F2378">
        <v>5</v>
      </c>
      <c r="G2378">
        <v>198.72</v>
      </c>
      <c r="H2378">
        <v>0.02</v>
      </c>
      <c r="I2378" s="4">
        <v>973.73</v>
      </c>
      <c r="J2378" t="s">
        <v>34</v>
      </c>
      <c r="K2378" t="s">
        <v>35</v>
      </c>
      <c r="L2378" s="4">
        <f>VLOOKUP(tblTransactions[[#This Row],[Product_ID]],tblProducts[],5,FALSE)</f>
        <v>116.98</v>
      </c>
      <c r="M2378" s="4">
        <f>tblTransactions[[#This Row],[Total_Amount]]-(tblTransactions[[#This Row],[Cost_Prices]]*tblTransactions[[#This Row],[Quantity]]*(1-tblTransactions[[#This Row],[Discount]]))</f>
        <v>400.52800000000002</v>
      </c>
      <c r="N2378" s="3">
        <f>tblTransactions[[#This Row],[Profit]]/tblTransactions[[#This Row],[Total_Amount]]</f>
        <v>0.41133373727830097</v>
      </c>
      <c r="O2378" t="str">
        <f>TEXT(tblTransactions[[#This Row],[Date]], "MMM-YYYY")</f>
        <v>May-2024</v>
      </c>
      <c r="P2378" t="str">
        <f>"Q"&amp;ROUNDUP(MONTH(tblTransactions[[#This Row],[Date]])/3,0)&amp;"-"&amp;YEAR(tblTransactions[[#This Row],[Date]])</f>
        <v>Q2-2024</v>
      </c>
      <c r="Q2378">
        <f>YEAR(tblTransactions[[#This Row],[Date]])</f>
        <v>2024</v>
      </c>
      <c r="R2378" t="str">
        <f>TEXT(tblTransactions[[#This Row],[Date]],"DDDD")</f>
        <v>Tuesday</v>
      </c>
      <c r="S2378">
        <f>MONTH(tblTransactions[[#This Row],[Date]])</f>
        <v>5</v>
      </c>
      <c r="T2378" t="str">
        <f>VLOOKUP(E2378, Products!$A:$B,2,0)</f>
        <v>Paper Off-4</v>
      </c>
      <c r="U2378" t="str">
        <f>VLOOKUP(E2378,Products!$A:$C,3,0)</f>
        <v>Office Supplies</v>
      </c>
      <c r="V2378" t="str">
        <f>VLOOKUP(E2378,Products!$A:$D,4,0)</f>
        <v>Paper</v>
      </c>
      <c r="W2378" t="str">
        <f>VLOOKUP(D2378,Customers!$A:$C,3,0)</f>
        <v>Small Business</v>
      </c>
      <c r="X2378" t="str">
        <f>VLOOKUP(C2378,Sales_Representatives!$A:$B,2,0)</f>
        <v>Thomas Hernandez</v>
      </c>
    </row>
    <row r="2379" spans="1:24" x14ac:dyDescent="0.3">
      <c r="A2379" t="s">
        <v>3325</v>
      </c>
      <c r="B2379" t="s">
        <v>3324</v>
      </c>
      <c r="C2379" t="s">
        <v>75</v>
      </c>
      <c r="D2379" t="s">
        <v>1947</v>
      </c>
      <c r="E2379" t="s">
        <v>87</v>
      </c>
      <c r="F2379">
        <v>29</v>
      </c>
      <c r="G2379">
        <v>1047.8900000000001</v>
      </c>
      <c r="H2379">
        <v>0.19</v>
      </c>
      <c r="I2379" s="4">
        <v>24614.94</v>
      </c>
      <c r="J2379" t="s">
        <v>44</v>
      </c>
      <c r="K2379" t="s">
        <v>35</v>
      </c>
      <c r="L2379" s="4">
        <f>VLOOKUP(tblTransactions[[#This Row],[Product_ID]],tblProducts[],5,FALSE)</f>
        <v>742.63</v>
      </c>
      <c r="M2379" s="4">
        <f>tblTransactions[[#This Row],[Total_Amount]]-(tblTransactions[[#This Row],[Cost_Prices]]*tblTransactions[[#This Row],[Quantity]]*(1-tblTransactions[[#This Row],[Discount]]))</f>
        <v>7170.5612999999976</v>
      </c>
      <c r="N2379" s="3">
        <f>tblTransactions[[#This Row],[Profit]]/tblTransactions[[#This Row],[Total_Amount]]</f>
        <v>0.29130931458699466</v>
      </c>
      <c r="O2379" t="str">
        <f>TEXT(tblTransactions[[#This Row],[Date]], "MMM-YYYY")</f>
        <v>May-2024</v>
      </c>
      <c r="P2379" t="str">
        <f>"Q"&amp;ROUNDUP(MONTH(tblTransactions[[#This Row],[Date]])/3,0)&amp;"-"&amp;YEAR(tblTransactions[[#This Row],[Date]])</f>
        <v>Q2-2024</v>
      </c>
      <c r="Q2379">
        <f>YEAR(tblTransactions[[#This Row],[Date]])</f>
        <v>2024</v>
      </c>
      <c r="R2379" t="str">
        <f>TEXT(tblTransactions[[#This Row],[Date]],"DDDD")</f>
        <v>Tuesday</v>
      </c>
      <c r="S2379">
        <f>MONTH(tblTransactions[[#This Row],[Date]])</f>
        <v>5</v>
      </c>
      <c r="T2379" t="str">
        <f>VLOOKUP(E2379, Products!$A:$B,2,0)</f>
        <v>Monitors Tec-2</v>
      </c>
      <c r="U2379" t="str">
        <f>VLOOKUP(E2379,Products!$A:$C,3,0)</f>
        <v>Technology</v>
      </c>
      <c r="V2379" t="str">
        <f>VLOOKUP(E2379,Products!$A:$D,4,0)</f>
        <v>Monitors</v>
      </c>
      <c r="W2379" t="str">
        <f>VLOOKUP(D2379,Customers!$A:$C,3,0)</f>
        <v>Enterprise</v>
      </c>
      <c r="X2379" t="str">
        <f>VLOOKUP(C2379,Sales_Representatives!$A:$B,2,0)</f>
        <v>Jessica Anderson</v>
      </c>
    </row>
    <row r="2380" spans="1:24" x14ac:dyDescent="0.3">
      <c r="A2380" t="s">
        <v>3326</v>
      </c>
      <c r="B2380" t="s">
        <v>3324</v>
      </c>
      <c r="C2380" t="s">
        <v>107</v>
      </c>
      <c r="D2380" t="s">
        <v>1535</v>
      </c>
      <c r="E2380" t="s">
        <v>200</v>
      </c>
      <c r="F2380">
        <v>19</v>
      </c>
      <c r="G2380">
        <v>544.77</v>
      </c>
      <c r="H2380">
        <v>0.18</v>
      </c>
      <c r="I2380" s="4">
        <v>8487.52</v>
      </c>
      <c r="J2380" t="s">
        <v>109</v>
      </c>
      <c r="K2380" t="s">
        <v>48</v>
      </c>
      <c r="L2380" s="4">
        <f>VLOOKUP(tblTransactions[[#This Row],[Product_ID]],tblProducts[],5,FALSE)</f>
        <v>318.2</v>
      </c>
      <c r="M2380" s="4">
        <f>tblTransactions[[#This Row],[Total_Amount]]-(tblTransactions[[#This Row],[Cost_Prices]]*tblTransactions[[#This Row],[Quantity]]*(1-tblTransactions[[#This Row],[Discount]]))</f>
        <v>3529.9639999999999</v>
      </c>
      <c r="N2380" s="3">
        <f>tblTransactions[[#This Row],[Profit]]/tblTransactions[[#This Row],[Total_Amount]]</f>
        <v>0.41590052217844548</v>
      </c>
      <c r="O2380" t="str">
        <f>TEXT(tblTransactions[[#This Row],[Date]], "MMM-YYYY")</f>
        <v>May-2024</v>
      </c>
      <c r="P2380" t="str">
        <f>"Q"&amp;ROUNDUP(MONTH(tblTransactions[[#This Row],[Date]])/3,0)&amp;"-"&amp;YEAR(tblTransactions[[#This Row],[Date]])</f>
        <v>Q2-2024</v>
      </c>
      <c r="Q2380">
        <f>YEAR(tblTransactions[[#This Row],[Date]])</f>
        <v>2024</v>
      </c>
      <c r="R2380" t="str">
        <f>TEXT(tblTransactions[[#This Row],[Date]],"DDDD")</f>
        <v>Tuesday</v>
      </c>
      <c r="S2380">
        <f>MONTH(tblTransactions[[#This Row],[Date]])</f>
        <v>5</v>
      </c>
      <c r="T2380" t="str">
        <f>VLOOKUP(E2380, Products!$A:$B,2,0)</f>
        <v>Desks Fur-4</v>
      </c>
      <c r="U2380" t="str">
        <f>VLOOKUP(E2380,Products!$A:$C,3,0)</f>
        <v>Furniture</v>
      </c>
      <c r="V2380" t="str">
        <f>VLOOKUP(E2380,Products!$A:$D,4,0)</f>
        <v>Desks</v>
      </c>
      <c r="W2380" t="str">
        <f>VLOOKUP(D2380,Customers!$A:$C,3,0)</f>
        <v>Enterprise</v>
      </c>
      <c r="X2380" t="str">
        <f>VLOOKUP(C2380,Sales_Representatives!$A:$B,2,0)</f>
        <v>Jennifer Brown</v>
      </c>
    </row>
    <row r="2381" spans="1:24" x14ac:dyDescent="0.3">
      <c r="A2381" t="s">
        <v>3327</v>
      </c>
      <c r="B2381" t="s">
        <v>3324</v>
      </c>
      <c r="C2381" t="s">
        <v>19</v>
      </c>
      <c r="D2381" t="s">
        <v>1623</v>
      </c>
      <c r="E2381" t="s">
        <v>87</v>
      </c>
      <c r="F2381">
        <v>1</v>
      </c>
      <c r="G2381">
        <v>1047.8900000000001</v>
      </c>
      <c r="H2381">
        <v>0.03</v>
      </c>
      <c r="I2381" s="4">
        <v>1016.45</v>
      </c>
      <c r="J2381" t="s">
        <v>21</v>
      </c>
      <c r="K2381" t="s">
        <v>17</v>
      </c>
      <c r="L2381" s="4">
        <f>VLOOKUP(tblTransactions[[#This Row],[Product_ID]],tblProducts[],5,FALSE)</f>
        <v>742.63</v>
      </c>
      <c r="M2381" s="4">
        <f>tblTransactions[[#This Row],[Total_Amount]]-(tblTransactions[[#This Row],[Cost_Prices]]*tblTransactions[[#This Row],[Quantity]]*(1-tblTransactions[[#This Row],[Discount]]))</f>
        <v>296.09890000000007</v>
      </c>
      <c r="N2381" s="3">
        <f>tblTransactions[[#This Row],[Profit]]/tblTransactions[[#This Row],[Total_Amount]]</f>
        <v>0.29130690147080529</v>
      </c>
      <c r="O2381" t="str">
        <f>TEXT(tblTransactions[[#This Row],[Date]], "MMM-YYYY")</f>
        <v>May-2024</v>
      </c>
      <c r="P2381" t="str">
        <f>"Q"&amp;ROUNDUP(MONTH(tblTransactions[[#This Row],[Date]])/3,0)&amp;"-"&amp;YEAR(tblTransactions[[#This Row],[Date]])</f>
        <v>Q2-2024</v>
      </c>
      <c r="Q2381">
        <f>YEAR(tblTransactions[[#This Row],[Date]])</f>
        <v>2024</v>
      </c>
      <c r="R2381" t="str">
        <f>TEXT(tblTransactions[[#This Row],[Date]],"DDDD")</f>
        <v>Tuesday</v>
      </c>
      <c r="S2381">
        <f>MONTH(tblTransactions[[#This Row],[Date]])</f>
        <v>5</v>
      </c>
      <c r="T2381" t="str">
        <f>VLOOKUP(E2381, Products!$A:$B,2,0)</f>
        <v>Monitors Tec-2</v>
      </c>
      <c r="U2381" t="str">
        <f>VLOOKUP(E2381,Products!$A:$C,3,0)</f>
        <v>Technology</v>
      </c>
      <c r="V2381" t="str">
        <f>VLOOKUP(E2381,Products!$A:$D,4,0)</f>
        <v>Monitors</v>
      </c>
      <c r="W2381" t="str">
        <f>VLOOKUP(D2381,Customers!$A:$C,3,0)</f>
        <v>B2C</v>
      </c>
      <c r="X2381" t="str">
        <f>VLOOKUP(C2381,Sales_Representatives!$A:$B,2,0)</f>
        <v>Robert Jones</v>
      </c>
    </row>
    <row r="2382" spans="1:24" x14ac:dyDescent="0.3">
      <c r="A2382" t="s">
        <v>3328</v>
      </c>
      <c r="B2382" t="s">
        <v>3324</v>
      </c>
      <c r="C2382" t="s">
        <v>127</v>
      </c>
      <c r="D2382" t="s">
        <v>32</v>
      </c>
      <c r="E2382" t="s">
        <v>102</v>
      </c>
      <c r="F2382">
        <v>5</v>
      </c>
      <c r="G2382">
        <v>1097.75</v>
      </c>
      <c r="H2382">
        <v>0.08</v>
      </c>
      <c r="I2382" s="4">
        <v>5049.6499999999996</v>
      </c>
      <c r="J2382" t="s">
        <v>109</v>
      </c>
      <c r="K2382" t="s">
        <v>17</v>
      </c>
      <c r="L2382" s="4">
        <f>VLOOKUP(tblTransactions[[#This Row],[Product_ID]],tblProducts[],5,FALSE)</f>
        <v>680.12</v>
      </c>
      <c r="M2382" s="4">
        <f>tblTransactions[[#This Row],[Total_Amount]]-(tblTransactions[[#This Row],[Cost_Prices]]*tblTransactions[[#This Row],[Quantity]]*(1-tblTransactions[[#This Row],[Discount]]))</f>
        <v>1921.0979999999995</v>
      </c>
      <c r="N2382" s="3">
        <f>tblTransactions[[#This Row],[Profit]]/tblTransactions[[#This Row],[Total_Amount]]</f>
        <v>0.38044181279890676</v>
      </c>
      <c r="O2382" t="str">
        <f>TEXT(tblTransactions[[#This Row],[Date]], "MMM-YYYY")</f>
        <v>May-2024</v>
      </c>
      <c r="P2382" t="str">
        <f>"Q"&amp;ROUNDUP(MONTH(tblTransactions[[#This Row],[Date]])/3,0)&amp;"-"&amp;YEAR(tblTransactions[[#This Row],[Date]])</f>
        <v>Q2-2024</v>
      </c>
      <c r="Q2382">
        <f>YEAR(tblTransactions[[#This Row],[Date]])</f>
        <v>2024</v>
      </c>
      <c r="R2382" t="str">
        <f>TEXT(tblTransactions[[#This Row],[Date]],"DDDD")</f>
        <v>Tuesday</v>
      </c>
      <c r="S2382">
        <f>MONTH(tblTransactions[[#This Row],[Date]])</f>
        <v>5</v>
      </c>
      <c r="T2382" t="str">
        <f>VLOOKUP(E2382, Products!$A:$B,2,0)</f>
        <v>Storage Fur-4</v>
      </c>
      <c r="U2382" t="str">
        <f>VLOOKUP(E2382,Products!$A:$C,3,0)</f>
        <v>Furniture</v>
      </c>
      <c r="V2382" t="str">
        <f>VLOOKUP(E2382,Products!$A:$D,4,0)</f>
        <v>Storage</v>
      </c>
      <c r="W2382" t="str">
        <f>VLOOKUP(D2382,Customers!$A:$C,3,0)</f>
        <v>B2C</v>
      </c>
      <c r="X2382" t="str">
        <f>VLOOKUP(C2382,Sales_Representatives!$A:$B,2,0)</f>
        <v>Emily Hernandez</v>
      </c>
    </row>
    <row r="2383" spans="1:24" x14ac:dyDescent="0.3">
      <c r="A2383" t="s">
        <v>3329</v>
      </c>
      <c r="B2383" t="s">
        <v>3330</v>
      </c>
      <c r="C2383" t="s">
        <v>75</v>
      </c>
      <c r="D2383" t="s">
        <v>1762</v>
      </c>
      <c r="E2383" t="s">
        <v>79</v>
      </c>
      <c r="F2383">
        <v>21</v>
      </c>
      <c r="G2383">
        <v>1452.36</v>
      </c>
      <c r="H2383">
        <v>0.17</v>
      </c>
      <c r="I2383" s="4">
        <v>25314.63</v>
      </c>
      <c r="J2383" t="s">
        <v>44</v>
      </c>
      <c r="K2383" t="s">
        <v>17</v>
      </c>
      <c r="L2383" s="4">
        <f>VLOOKUP(tblTransactions[[#This Row],[Product_ID]],tblProducts[],5,FALSE)</f>
        <v>778.71</v>
      </c>
      <c r="M2383" s="4">
        <f>tblTransactions[[#This Row],[Total_Amount]]-(tblTransactions[[#This Row],[Cost_Prices]]*tblTransactions[[#This Row],[Quantity]]*(1-tblTransactions[[#This Row],[Discount]]))</f>
        <v>11741.714700000002</v>
      </c>
      <c r="N2383" s="3">
        <f>tblTransactions[[#This Row],[Profit]]/tblTransactions[[#This Row],[Total_Amount]]</f>
        <v>0.4638311798355339</v>
      </c>
      <c r="O2383" t="str">
        <f>TEXT(tblTransactions[[#This Row],[Date]], "MMM-YYYY")</f>
        <v>May-2024</v>
      </c>
      <c r="P2383" t="str">
        <f>"Q"&amp;ROUNDUP(MONTH(tblTransactions[[#This Row],[Date]])/3,0)&amp;"-"&amp;YEAR(tblTransactions[[#This Row],[Date]])</f>
        <v>Q2-2024</v>
      </c>
      <c r="Q2383">
        <f>YEAR(tblTransactions[[#This Row],[Date]])</f>
        <v>2024</v>
      </c>
      <c r="R2383" t="str">
        <f>TEXT(tblTransactions[[#This Row],[Date]],"DDDD")</f>
        <v>Wednesday</v>
      </c>
      <c r="S2383">
        <f>MONTH(tblTransactions[[#This Row],[Date]])</f>
        <v>5</v>
      </c>
      <c r="T2383" t="str">
        <f>VLOOKUP(E2383, Products!$A:$B,2,0)</f>
        <v>Tables Fur-2</v>
      </c>
      <c r="U2383" t="str">
        <f>VLOOKUP(E2383,Products!$A:$C,3,0)</f>
        <v>Furniture</v>
      </c>
      <c r="V2383" t="str">
        <f>VLOOKUP(E2383,Products!$A:$D,4,0)</f>
        <v>Tables</v>
      </c>
      <c r="W2383" t="str">
        <f>VLOOKUP(D2383,Customers!$A:$C,3,0)</f>
        <v>Enterprise</v>
      </c>
      <c r="X2383" t="str">
        <f>VLOOKUP(C2383,Sales_Representatives!$A:$B,2,0)</f>
        <v>Jessica Anderson</v>
      </c>
    </row>
    <row r="2384" spans="1:24" x14ac:dyDescent="0.3">
      <c r="A2384" t="s">
        <v>3331</v>
      </c>
      <c r="B2384" t="s">
        <v>3330</v>
      </c>
      <c r="C2384" t="s">
        <v>27</v>
      </c>
      <c r="D2384" t="s">
        <v>1602</v>
      </c>
      <c r="E2384" t="s">
        <v>29</v>
      </c>
      <c r="F2384">
        <v>3</v>
      </c>
      <c r="G2384">
        <v>1363.46</v>
      </c>
      <c r="H2384">
        <v>0.08</v>
      </c>
      <c r="I2384" s="4">
        <v>3763.15</v>
      </c>
      <c r="J2384" t="s">
        <v>16</v>
      </c>
      <c r="K2384" t="s">
        <v>39</v>
      </c>
      <c r="L2384" s="4">
        <f>VLOOKUP(tblTransactions[[#This Row],[Product_ID]],tblProducts[],5,FALSE)</f>
        <v>995.41</v>
      </c>
      <c r="M2384" s="4">
        <f>tblTransactions[[#This Row],[Total_Amount]]-(tblTransactions[[#This Row],[Cost_Prices]]*tblTransactions[[#This Row],[Quantity]]*(1-tblTransactions[[#This Row],[Discount]]))</f>
        <v>1015.8184000000001</v>
      </c>
      <c r="N2384" s="3">
        <f>tblTransactions[[#This Row],[Profit]]/tblTransactions[[#This Row],[Total_Amount]]</f>
        <v>0.26993832294753067</v>
      </c>
      <c r="O2384" t="str">
        <f>TEXT(tblTransactions[[#This Row],[Date]], "MMM-YYYY")</f>
        <v>May-2024</v>
      </c>
      <c r="P2384" t="str">
        <f>"Q"&amp;ROUNDUP(MONTH(tblTransactions[[#This Row],[Date]])/3,0)&amp;"-"&amp;YEAR(tblTransactions[[#This Row],[Date]])</f>
        <v>Q2-2024</v>
      </c>
      <c r="Q2384">
        <f>YEAR(tblTransactions[[#This Row],[Date]])</f>
        <v>2024</v>
      </c>
      <c r="R2384" t="str">
        <f>TEXT(tblTransactions[[#This Row],[Date]],"DDDD")</f>
        <v>Wednesday</v>
      </c>
      <c r="S2384">
        <f>MONTH(tblTransactions[[#This Row],[Date]])</f>
        <v>5</v>
      </c>
      <c r="T2384" t="str">
        <f>VLOOKUP(E2384, Products!$A:$B,2,0)</f>
        <v>Phones Ele-3</v>
      </c>
      <c r="U2384" t="str">
        <f>VLOOKUP(E2384,Products!$A:$C,3,0)</f>
        <v>Electronics</v>
      </c>
      <c r="V2384" t="str">
        <f>VLOOKUP(E2384,Products!$A:$D,4,0)</f>
        <v>Phones</v>
      </c>
      <c r="W2384" t="str">
        <f>VLOOKUP(D2384,Customers!$A:$C,3,0)</f>
        <v>B2C</v>
      </c>
      <c r="X2384" t="str">
        <f>VLOOKUP(C2384,Sales_Representatives!$A:$B,2,0)</f>
        <v>Thomas Lopez</v>
      </c>
    </row>
    <row r="2385" spans="1:24" x14ac:dyDescent="0.3">
      <c r="A2385" t="s">
        <v>3332</v>
      </c>
      <c r="B2385" t="s">
        <v>3330</v>
      </c>
      <c r="C2385" t="s">
        <v>31</v>
      </c>
      <c r="D2385" t="s">
        <v>42</v>
      </c>
      <c r="E2385" t="s">
        <v>43</v>
      </c>
      <c r="F2385">
        <v>2</v>
      </c>
      <c r="G2385">
        <v>39.32</v>
      </c>
      <c r="H2385">
        <v>0.01</v>
      </c>
      <c r="I2385" s="4">
        <v>77.849999999999994</v>
      </c>
      <c r="J2385" t="s">
        <v>34</v>
      </c>
      <c r="K2385" t="s">
        <v>17</v>
      </c>
      <c r="L2385" s="4">
        <f>VLOOKUP(tblTransactions[[#This Row],[Product_ID]],tblProducts[],5,FALSE)</f>
        <v>15.81</v>
      </c>
      <c r="M2385" s="4">
        <f>tblTransactions[[#This Row],[Total_Amount]]-(tblTransactions[[#This Row],[Cost_Prices]]*tblTransactions[[#This Row],[Quantity]]*(1-tblTransactions[[#This Row],[Discount]]))</f>
        <v>46.546199999999999</v>
      </c>
      <c r="N2385" s="3">
        <f>tblTransactions[[#This Row],[Profit]]/tblTransactions[[#This Row],[Total_Amount]]</f>
        <v>0.59789595375722548</v>
      </c>
      <c r="O2385" t="str">
        <f>TEXT(tblTransactions[[#This Row],[Date]], "MMM-YYYY")</f>
        <v>May-2024</v>
      </c>
      <c r="P2385" t="str">
        <f>"Q"&amp;ROUNDUP(MONTH(tblTransactions[[#This Row],[Date]])/3,0)&amp;"-"&amp;YEAR(tblTransactions[[#This Row],[Date]])</f>
        <v>Q2-2024</v>
      </c>
      <c r="Q2385">
        <f>YEAR(tblTransactions[[#This Row],[Date]])</f>
        <v>2024</v>
      </c>
      <c r="R2385" t="str">
        <f>TEXT(tblTransactions[[#This Row],[Date]],"DDDD")</f>
        <v>Wednesday</v>
      </c>
      <c r="S2385">
        <f>MONTH(tblTransactions[[#This Row],[Date]])</f>
        <v>5</v>
      </c>
      <c r="T2385" t="str">
        <f>VLOOKUP(E2385, Products!$A:$B,2,0)</f>
        <v>Paper Off-3</v>
      </c>
      <c r="U2385" t="str">
        <f>VLOOKUP(E2385,Products!$A:$C,3,0)</f>
        <v>Office Supplies</v>
      </c>
      <c r="V2385" t="str">
        <f>VLOOKUP(E2385,Products!$A:$D,4,0)</f>
        <v>Paper</v>
      </c>
      <c r="W2385" t="str">
        <f>VLOOKUP(D2385,Customers!$A:$C,3,0)</f>
        <v>B2C</v>
      </c>
      <c r="X2385" t="str">
        <f>VLOOKUP(C2385,Sales_Representatives!$A:$B,2,0)</f>
        <v>Thomas Martinez</v>
      </c>
    </row>
    <row r="2386" spans="1:24" x14ac:dyDescent="0.3">
      <c r="A2386" t="s">
        <v>3333</v>
      </c>
      <c r="B2386" t="s">
        <v>3330</v>
      </c>
      <c r="C2386" t="s">
        <v>107</v>
      </c>
      <c r="D2386" t="s">
        <v>2505</v>
      </c>
      <c r="E2386" t="s">
        <v>376</v>
      </c>
      <c r="F2386">
        <v>7</v>
      </c>
      <c r="G2386">
        <v>229.65</v>
      </c>
      <c r="H2386">
        <v>0.06</v>
      </c>
      <c r="I2386" s="4">
        <v>1511.1</v>
      </c>
      <c r="J2386" t="s">
        <v>109</v>
      </c>
      <c r="K2386" t="s">
        <v>48</v>
      </c>
      <c r="L2386" s="4">
        <f>VLOOKUP(tblTransactions[[#This Row],[Product_ID]],tblProducts[],5,FALSE)</f>
        <v>96.84</v>
      </c>
      <c r="M2386" s="4">
        <f>tblTransactions[[#This Row],[Total_Amount]]-(tblTransactions[[#This Row],[Cost_Prices]]*tblTransactions[[#This Row],[Quantity]]*(1-tblTransactions[[#This Row],[Discount]]))</f>
        <v>873.89279999999997</v>
      </c>
      <c r="N2386" s="3">
        <f>tblTransactions[[#This Row],[Profit]]/tblTransactions[[#This Row],[Total_Amount]]</f>
        <v>0.5783156640857654</v>
      </c>
      <c r="O2386" t="str">
        <f>TEXT(tblTransactions[[#This Row],[Date]], "MMM-YYYY")</f>
        <v>May-2024</v>
      </c>
      <c r="P2386" t="str">
        <f>"Q"&amp;ROUNDUP(MONTH(tblTransactions[[#This Row],[Date]])/3,0)&amp;"-"&amp;YEAR(tblTransactions[[#This Row],[Date]])</f>
        <v>Q2-2024</v>
      </c>
      <c r="Q2386">
        <f>YEAR(tblTransactions[[#This Row],[Date]])</f>
        <v>2024</v>
      </c>
      <c r="R2386" t="str">
        <f>TEXT(tblTransactions[[#This Row],[Date]],"DDDD")</f>
        <v>Wednesday</v>
      </c>
      <c r="S2386">
        <f>MONTH(tblTransactions[[#This Row],[Date]])</f>
        <v>5</v>
      </c>
      <c r="T2386" t="str">
        <f>VLOOKUP(E2386, Products!$A:$B,2,0)</f>
        <v>Adapters Acc-2</v>
      </c>
      <c r="U2386" t="str">
        <f>VLOOKUP(E2386,Products!$A:$C,3,0)</f>
        <v>Accessories</v>
      </c>
      <c r="V2386" t="str">
        <f>VLOOKUP(E2386,Products!$A:$D,4,0)</f>
        <v>Adapters</v>
      </c>
      <c r="W2386" t="str">
        <f>VLOOKUP(D2386,Customers!$A:$C,3,0)</f>
        <v>B2C</v>
      </c>
      <c r="X2386" t="str">
        <f>VLOOKUP(C2386,Sales_Representatives!$A:$B,2,0)</f>
        <v>Jennifer Brown</v>
      </c>
    </row>
    <row r="2387" spans="1:24" x14ac:dyDescent="0.3">
      <c r="A2387" t="s">
        <v>3334</v>
      </c>
      <c r="B2387" t="s">
        <v>3335</v>
      </c>
      <c r="C2387" t="s">
        <v>27</v>
      </c>
      <c r="D2387" t="s">
        <v>1994</v>
      </c>
      <c r="E2387" t="s">
        <v>25</v>
      </c>
      <c r="F2387">
        <v>4</v>
      </c>
      <c r="G2387">
        <v>1467.49</v>
      </c>
      <c r="H2387">
        <v>0.01</v>
      </c>
      <c r="I2387" s="4">
        <v>5811.26</v>
      </c>
      <c r="J2387" t="s">
        <v>16</v>
      </c>
      <c r="K2387" t="s">
        <v>22</v>
      </c>
      <c r="L2387" s="4">
        <f>VLOOKUP(tblTransactions[[#This Row],[Product_ID]],tblProducts[],5,FALSE)</f>
        <v>757.65</v>
      </c>
      <c r="M2387" s="4">
        <f>tblTransactions[[#This Row],[Total_Amount]]-(tblTransactions[[#This Row],[Cost_Prices]]*tblTransactions[[#This Row],[Quantity]]*(1-tblTransactions[[#This Row],[Discount]]))</f>
        <v>2810.9660000000003</v>
      </c>
      <c r="N2387" s="3">
        <f>tblTransactions[[#This Row],[Profit]]/tblTransactions[[#This Row],[Total_Amount]]</f>
        <v>0.4837102452824345</v>
      </c>
      <c r="O2387" t="str">
        <f>TEXT(tblTransactions[[#This Row],[Date]], "MMM-YYYY")</f>
        <v>May-2024</v>
      </c>
      <c r="P2387" t="str">
        <f>"Q"&amp;ROUNDUP(MONTH(tblTransactions[[#This Row],[Date]])/3,0)&amp;"-"&amp;YEAR(tblTransactions[[#This Row],[Date]])</f>
        <v>Q2-2024</v>
      </c>
      <c r="Q2387">
        <f>YEAR(tblTransactions[[#This Row],[Date]])</f>
        <v>2024</v>
      </c>
      <c r="R2387" t="str">
        <f>TEXT(tblTransactions[[#This Row],[Date]],"DDDD")</f>
        <v>Thursday</v>
      </c>
      <c r="S2387">
        <f>MONTH(tblTransactions[[#This Row],[Date]])</f>
        <v>5</v>
      </c>
      <c r="T2387" t="str">
        <f>VLOOKUP(E2387, Products!$A:$B,2,0)</f>
        <v>Tables Fur-3</v>
      </c>
      <c r="U2387" t="str">
        <f>VLOOKUP(E2387,Products!$A:$C,3,0)</f>
        <v>Furniture</v>
      </c>
      <c r="V2387" t="str">
        <f>VLOOKUP(E2387,Products!$A:$D,4,0)</f>
        <v>Tables</v>
      </c>
      <c r="W2387" t="str">
        <f>VLOOKUP(D2387,Customers!$A:$C,3,0)</f>
        <v>B2C</v>
      </c>
      <c r="X2387" t="str">
        <f>VLOOKUP(C2387,Sales_Representatives!$A:$B,2,0)</f>
        <v>Thomas Lopez</v>
      </c>
    </row>
    <row r="2388" spans="1:24" x14ac:dyDescent="0.3">
      <c r="A2388" t="s">
        <v>3336</v>
      </c>
      <c r="B2388" t="s">
        <v>3335</v>
      </c>
      <c r="C2388" t="s">
        <v>127</v>
      </c>
      <c r="D2388" t="s">
        <v>1540</v>
      </c>
      <c r="E2388" t="s">
        <v>53</v>
      </c>
      <c r="F2388">
        <v>7</v>
      </c>
      <c r="G2388">
        <v>2069.2199999999998</v>
      </c>
      <c r="H2388">
        <v>0.12</v>
      </c>
      <c r="I2388" s="4">
        <v>12746.4</v>
      </c>
      <c r="J2388" t="s">
        <v>109</v>
      </c>
      <c r="K2388" t="s">
        <v>48</v>
      </c>
      <c r="L2388" s="4">
        <f>VLOOKUP(tblTransactions[[#This Row],[Product_ID]],tblProducts[],5,FALSE)</f>
        <v>1451.18</v>
      </c>
      <c r="M2388" s="4">
        <f>tblTransactions[[#This Row],[Total_Amount]]-(tblTransactions[[#This Row],[Cost_Prices]]*tblTransactions[[#This Row],[Quantity]]*(1-tblTransactions[[#This Row],[Discount]]))</f>
        <v>3807.1311999999998</v>
      </c>
      <c r="N2388" s="3">
        <f>tblTransactions[[#This Row],[Profit]]/tblTransactions[[#This Row],[Total_Amount]]</f>
        <v>0.29868285947404755</v>
      </c>
      <c r="O2388" t="str">
        <f>TEXT(tblTransactions[[#This Row],[Date]], "MMM-YYYY")</f>
        <v>May-2024</v>
      </c>
      <c r="P2388" t="str">
        <f>"Q"&amp;ROUNDUP(MONTH(tblTransactions[[#This Row],[Date]])/3,0)&amp;"-"&amp;YEAR(tblTransactions[[#This Row],[Date]])</f>
        <v>Q2-2024</v>
      </c>
      <c r="Q2388">
        <f>YEAR(tblTransactions[[#This Row],[Date]])</f>
        <v>2024</v>
      </c>
      <c r="R2388" t="str">
        <f>TEXT(tblTransactions[[#This Row],[Date]],"DDDD")</f>
        <v>Thursday</v>
      </c>
      <c r="S2388">
        <f>MONTH(tblTransactions[[#This Row],[Date]])</f>
        <v>5</v>
      </c>
      <c r="T2388" t="str">
        <f>VLOOKUP(E2388, Products!$A:$B,2,0)</f>
        <v>Printers Tec-3</v>
      </c>
      <c r="U2388" t="str">
        <f>VLOOKUP(E2388,Products!$A:$C,3,0)</f>
        <v>Technology</v>
      </c>
      <c r="V2388" t="str">
        <f>VLOOKUP(E2388,Products!$A:$D,4,0)</f>
        <v>Printers</v>
      </c>
      <c r="W2388" t="str">
        <f>VLOOKUP(D2388,Customers!$A:$C,3,0)</f>
        <v>B2C</v>
      </c>
      <c r="X2388" t="str">
        <f>VLOOKUP(C2388,Sales_Representatives!$A:$B,2,0)</f>
        <v>Emily Hernandez</v>
      </c>
    </row>
    <row r="2389" spans="1:24" x14ac:dyDescent="0.3">
      <c r="A2389" t="s">
        <v>3337</v>
      </c>
      <c r="B2389" t="s">
        <v>3335</v>
      </c>
      <c r="C2389" t="s">
        <v>63</v>
      </c>
      <c r="D2389" t="s">
        <v>1651</v>
      </c>
      <c r="E2389" t="s">
        <v>264</v>
      </c>
      <c r="F2389">
        <v>30</v>
      </c>
      <c r="G2389">
        <v>607.29999999999995</v>
      </c>
      <c r="H2389">
        <v>0.24</v>
      </c>
      <c r="I2389" s="4">
        <v>13846.44</v>
      </c>
      <c r="J2389" t="s">
        <v>21</v>
      </c>
      <c r="K2389" t="s">
        <v>48</v>
      </c>
      <c r="L2389" s="4">
        <f>VLOOKUP(tblTransactions[[#This Row],[Product_ID]],tblProducts[],5,FALSE)</f>
        <v>436.37</v>
      </c>
      <c r="M2389" s="4">
        <f>tblTransactions[[#This Row],[Total_Amount]]-(tblTransactions[[#This Row],[Cost_Prices]]*tblTransactions[[#This Row],[Quantity]]*(1-tblTransactions[[#This Row],[Discount]]))</f>
        <v>3897.2039999999997</v>
      </c>
      <c r="N2389" s="3">
        <f>tblTransactions[[#This Row],[Profit]]/tblTransactions[[#This Row],[Total_Amount]]</f>
        <v>0.2814589165157253</v>
      </c>
      <c r="O2389" t="str">
        <f>TEXT(tblTransactions[[#This Row],[Date]], "MMM-YYYY")</f>
        <v>May-2024</v>
      </c>
      <c r="P2389" t="str">
        <f>"Q"&amp;ROUNDUP(MONTH(tblTransactions[[#This Row],[Date]])/3,0)&amp;"-"&amp;YEAR(tblTransactions[[#This Row],[Date]])</f>
        <v>Q2-2024</v>
      </c>
      <c r="Q2389">
        <f>YEAR(tblTransactions[[#This Row],[Date]])</f>
        <v>2024</v>
      </c>
      <c r="R2389" t="str">
        <f>TEXT(tblTransactions[[#This Row],[Date]],"DDDD")</f>
        <v>Thursday</v>
      </c>
      <c r="S2389">
        <f>MONTH(tblTransactions[[#This Row],[Date]])</f>
        <v>5</v>
      </c>
      <c r="T2389" t="str">
        <f>VLOOKUP(E2389, Products!$A:$B,2,0)</f>
        <v>Tablets Ele-4</v>
      </c>
      <c r="U2389" t="str">
        <f>VLOOKUP(E2389,Products!$A:$C,3,0)</f>
        <v>Electronics</v>
      </c>
      <c r="V2389" t="str">
        <f>VLOOKUP(E2389,Products!$A:$D,4,0)</f>
        <v>Tablets</v>
      </c>
      <c r="W2389" t="str">
        <f>VLOOKUP(D2389,Customers!$A:$C,3,0)</f>
        <v>Enterprise</v>
      </c>
      <c r="X2389" t="str">
        <f>VLOOKUP(C2389,Sales_Representatives!$A:$B,2,0)</f>
        <v>Richard Wilson</v>
      </c>
    </row>
    <row r="2390" spans="1:24" x14ac:dyDescent="0.3">
      <c r="A2390" t="s">
        <v>3338</v>
      </c>
      <c r="B2390" t="s">
        <v>3335</v>
      </c>
      <c r="C2390" t="s">
        <v>82</v>
      </c>
      <c r="D2390" t="s">
        <v>1840</v>
      </c>
      <c r="E2390" t="s">
        <v>168</v>
      </c>
      <c r="F2390">
        <v>1</v>
      </c>
      <c r="G2390">
        <v>101.59</v>
      </c>
      <c r="H2390">
        <v>0.09</v>
      </c>
      <c r="I2390" s="4">
        <v>92.45</v>
      </c>
      <c r="J2390" t="s">
        <v>34</v>
      </c>
      <c r="K2390" t="s">
        <v>48</v>
      </c>
      <c r="L2390" s="4">
        <f>VLOOKUP(tblTransactions[[#This Row],[Product_ID]],tblProducts[],5,FALSE)</f>
        <v>50.58</v>
      </c>
      <c r="M2390" s="4">
        <f>tblTransactions[[#This Row],[Total_Amount]]-(tblTransactions[[#This Row],[Cost_Prices]]*tblTransactions[[#This Row],[Quantity]]*(1-tblTransactions[[#This Row],[Discount]]))</f>
        <v>46.422200000000004</v>
      </c>
      <c r="N2390" s="3">
        <f>tblTransactions[[#This Row],[Profit]]/tblTransactions[[#This Row],[Total_Amount]]</f>
        <v>0.50213304488912924</v>
      </c>
      <c r="O2390" t="str">
        <f>TEXT(tblTransactions[[#This Row],[Date]], "MMM-YYYY")</f>
        <v>May-2024</v>
      </c>
      <c r="P2390" t="str">
        <f>"Q"&amp;ROUNDUP(MONTH(tblTransactions[[#This Row],[Date]])/3,0)&amp;"-"&amp;YEAR(tblTransactions[[#This Row],[Date]])</f>
        <v>Q2-2024</v>
      </c>
      <c r="Q2390">
        <f>YEAR(tblTransactions[[#This Row],[Date]])</f>
        <v>2024</v>
      </c>
      <c r="R2390" t="str">
        <f>TEXT(tblTransactions[[#This Row],[Date]],"DDDD")</f>
        <v>Thursday</v>
      </c>
      <c r="S2390">
        <f>MONTH(tblTransactions[[#This Row],[Date]])</f>
        <v>5</v>
      </c>
      <c r="T2390" t="str">
        <f>VLOOKUP(E2390, Products!$A:$B,2,0)</f>
        <v>Cases Acc-4</v>
      </c>
      <c r="U2390" t="str">
        <f>VLOOKUP(E2390,Products!$A:$C,3,0)</f>
        <v>Accessories</v>
      </c>
      <c r="V2390" t="str">
        <f>VLOOKUP(E2390,Products!$A:$D,4,0)</f>
        <v>Cases</v>
      </c>
      <c r="W2390" t="str">
        <f>VLOOKUP(D2390,Customers!$A:$C,3,0)</f>
        <v>Small Business</v>
      </c>
      <c r="X2390" t="str">
        <f>VLOOKUP(C2390,Sales_Representatives!$A:$B,2,0)</f>
        <v>John Brown</v>
      </c>
    </row>
    <row r="2391" spans="1:24" x14ac:dyDescent="0.3">
      <c r="A2391" t="s">
        <v>3339</v>
      </c>
      <c r="B2391" t="s">
        <v>3335</v>
      </c>
      <c r="C2391" t="s">
        <v>31</v>
      </c>
      <c r="D2391" t="s">
        <v>1563</v>
      </c>
      <c r="E2391" t="s">
        <v>264</v>
      </c>
      <c r="F2391">
        <v>1</v>
      </c>
      <c r="G2391">
        <v>607.29999999999995</v>
      </c>
      <c r="H2391">
        <v>0.09</v>
      </c>
      <c r="I2391" s="4">
        <v>552.64</v>
      </c>
      <c r="J2391" t="s">
        <v>34</v>
      </c>
      <c r="K2391" t="s">
        <v>35</v>
      </c>
      <c r="L2391" s="4">
        <f>VLOOKUP(tblTransactions[[#This Row],[Product_ID]],tblProducts[],5,FALSE)</f>
        <v>436.37</v>
      </c>
      <c r="M2391" s="4">
        <f>tblTransactions[[#This Row],[Total_Amount]]-(tblTransactions[[#This Row],[Cost_Prices]]*tblTransactions[[#This Row],[Quantity]]*(1-tblTransactions[[#This Row],[Discount]]))</f>
        <v>155.54329999999999</v>
      </c>
      <c r="N2391" s="3">
        <f>tblTransactions[[#This Row],[Profit]]/tblTransactions[[#This Row],[Total_Amount]]</f>
        <v>0.28145501592356686</v>
      </c>
      <c r="O2391" t="str">
        <f>TEXT(tblTransactions[[#This Row],[Date]], "MMM-YYYY")</f>
        <v>May-2024</v>
      </c>
      <c r="P2391" t="str">
        <f>"Q"&amp;ROUNDUP(MONTH(tblTransactions[[#This Row],[Date]])/3,0)&amp;"-"&amp;YEAR(tblTransactions[[#This Row],[Date]])</f>
        <v>Q2-2024</v>
      </c>
      <c r="Q2391">
        <f>YEAR(tblTransactions[[#This Row],[Date]])</f>
        <v>2024</v>
      </c>
      <c r="R2391" t="str">
        <f>TEXT(tblTransactions[[#This Row],[Date]],"DDDD")</f>
        <v>Thursday</v>
      </c>
      <c r="S2391">
        <f>MONTH(tblTransactions[[#This Row],[Date]])</f>
        <v>5</v>
      </c>
      <c r="T2391" t="str">
        <f>VLOOKUP(E2391, Products!$A:$B,2,0)</f>
        <v>Tablets Ele-4</v>
      </c>
      <c r="U2391" t="str">
        <f>VLOOKUP(E2391,Products!$A:$C,3,0)</f>
        <v>Electronics</v>
      </c>
      <c r="V2391" t="str">
        <f>VLOOKUP(E2391,Products!$A:$D,4,0)</f>
        <v>Tablets</v>
      </c>
      <c r="W2391" t="str">
        <f>VLOOKUP(D2391,Customers!$A:$C,3,0)</f>
        <v>B2C</v>
      </c>
      <c r="X2391" t="str">
        <f>VLOOKUP(C2391,Sales_Representatives!$A:$B,2,0)</f>
        <v>Thomas Martinez</v>
      </c>
    </row>
    <row r="2392" spans="1:24" x14ac:dyDescent="0.3">
      <c r="A2392" t="s">
        <v>3340</v>
      </c>
      <c r="B2392" t="s">
        <v>3341</v>
      </c>
      <c r="C2392" t="s">
        <v>59</v>
      </c>
      <c r="D2392" t="s">
        <v>1819</v>
      </c>
      <c r="E2392" t="s">
        <v>255</v>
      </c>
      <c r="F2392">
        <v>1</v>
      </c>
      <c r="G2392">
        <v>1444.13</v>
      </c>
      <c r="H2392">
        <v>0.08</v>
      </c>
      <c r="I2392" s="4">
        <v>1328.6</v>
      </c>
      <c r="J2392" t="s">
        <v>21</v>
      </c>
      <c r="K2392" t="s">
        <v>48</v>
      </c>
      <c r="L2392" s="4">
        <f>VLOOKUP(tblTransactions[[#This Row],[Product_ID]],tblProducts[],5,FALSE)</f>
        <v>874.43</v>
      </c>
      <c r="M2392" s="4">
        <f>tblTransactions[[#This Row],[Total_Amount]]-(tblTransactions[[#This Row],[Cost_Prices]]*tblTransactions[[#This Row],[Quantity]]*(1-tblTransactions[[#This Row],[Discount]]))</f>
        <v>524.12439999999992</v>
      </c>
      <c r="N2392" s="3">
        <f>tblTransactions[[#This Row],[Profit]]/tblTransactions[[#This Row],[Total_Amount]]</f>
        <v>0.39449375282251992</v>
      </c>
      <c r="O2392" t="str">
        <f>TEXT(tblTransactions[[#This Row],[Date]], "MMM-YYYY")</f>
        <v>May-2024</v>
      </c>
      <c r="P2392" t="str">
        <f>"Q"&amp;ROUNDUP(MONTH(tblTransactions[[#This Row],[Date]])/3,0)&amp;"-"&amp;YEAR(tblTransactions[[#This Row],[Date]])</f>
        <v>Q2-2024</v>
      </c>
      <c r="Q2392">
        <f>YEAR(tblTransactions[[#This Row],[Date]])</f>
        <v>2024</v>
      </c>
      <c r="R2392" t="str">
        <f>TEXT(tblTransactions[[#This Row],[Date]],"DDDD")</f>
        <v>Friday</v>
      </c>
      <c r="S2392">
        <f>MONTH(tblTransactions[[#This Row],[Date]])</f>
        <v>5</v>
      </c>
      <c r="T2392" t="str">
        <f>VLOOKUP(E2392, Products!$A:$B,2,0)</f>
        <v>Printers Tec-1</v>
      </c>
      <c r="U2392" t="str">
        <f>VLOOKUP(E2392,Products!$A:$C,3,0)</f>
        <v>Technology</v>
      </c>
      <c r="V2392" t="str">
        <f>VLOOKUP(E2392,Products!$A:$D,4,0)</f>
        <v>Printers</v>
      </c>
      <c r="W2392" t="str">
        <f>VLOOKUP(D2392,Customers!$A:$C,3,0)</f>
        <v>Small Business</v>
      </c>
      <c r="X2392" t="str">
        <f>VLOOKUP(C2392,Sales_Representatives!$A:$B,2,0)</f>
        <v>Sarah Brown</v>
      </c>
    </row>
    <row r="2393" spans="1:24" x14ac:dyDescent="0.3">
      <c r="A2393" t="s">
        <v>3342</v>
      </c>
      <c r="B2393" t="s">
        <v>3341</v>
      </c>
      <c r="C2393" t="s">
        <v>131</v>
      </c>
      <c r="D2393" t="s">
        <v>2068</v>
      </c>
      <c r="E2393" t="s">
        <v>105</v>
      </c>
      <c r="F2393">
        <v>3</v>
      </c>
      <c r="G2393">
        <v>1342.04</v>
      </c>
      <c r="H2393">
        <v>0.02</v>
      </c>
      <c r="I2393" s="4">
        <v>3945.6</v>
      </c>
      <c r="J2393" t="s">
        <v>44</v>
      </c>
      <c r="K2393" t="s">
        <v>48</v>
      </c>
      <c r="L2393" s="4">
        <f>VLOOKUP(tblTransactions[[#This Row],[Product_ID]],tblProducts[],5,FALSE)</f>
        <v>792.89</v>
      </c>
      <c r="M2393" s="4">
        <f>tblTransactions[[#This Row],[Total_Amount]]-(tblTransactions[[#This Row],[Cost_Prices]]*tblTransactions[[#This Row],[Quantity]]*(1-tblTransactions[[#This Row],[Discount]]))</f>
        <v>1614.5034000000001</v>
      </c>
      <c r="N2393" s="3">
        <f>tblTransactions[[#This Row],[Profit]]/tblTransactions[[#This Row],[Total_Amount]]</f>
        <v>0.40919084549878348</v>
      </c>
      <c r="O2393" t="str">
        <f>TEXT(tblTransactions[[#This Row],[Date]], "MMM-YYYY")</f>
        <v>May-2024</v>
      </c>
      <c r="P2393" t="str">
        <f>"Q"&amp;ROUNDUP(MONTH(tblTransactions[[#This Row],[Date]])/3,0)&amp;"-"&amp;YEAR(tblTransactions[[#This Row],[Date]])</f>
        <v>Q2-2024</v>
      </c>
      <c r="Q2393">
        <f>YEAR(tblTransactions[[#This Row],[Date]])</f>
        <v>2024</v>
      </c>
      <c r="R2393" t="str">
        <f>TEXT(tblTransactions[[#This Row],[Date]],"DDDD")</f>
        <v>Friday</v>
      </c>
      <c r="S2393">
        <f>MONTH(tblTransactions[[#This Row],[Date]])</f>
        <v>5</v>
      </c>
      <c r="T2393" t="str">
        <f>VLOOKUP(E2393, Products!$A:$B,2,0)</f>
        <v>Cameras Ele-1</v>
      </c>
      <c r="U2393" t="str">
        <f>VLOOKUP(E2393,Products!$A:$C,3,0)</f>
        <v>Electronics</v>
      </c>
      <c r="V2393" t="str">
        <f>VLOOKUP(E2393,Products!$A:$D,4,0)</f>
        <v>Cameras</v>
      </c>
      <c r="W2393" t="str">
        <f>VLOOKUP(D2393,Customers!$A:$C,3,0)</f>
        <v>Small Business</v>
      </c>
      <c r="X2393" t="str">
        <f>VLOOKUP(C2393,Sales_Representatives!$A:$B,2,0)</f>
        <v>Michael Davis</v>
      </c>
    </row>
    <row r="2394" spans="1:24" x14ac:dyDescent="0.3">
      <c r="A2394" t="s">
        <v>3343</v>
      </c>
      <c r="B2394" t="s">
        <v>3344</v>
      </c>
      <c r="C2394" t="s">
        <v>63</v>
      </c>
      <c r="D2394" t="s">
        <v>134</v>
      </c>
      <c r="E2394" t="s">
        <v>290</v>
      </c>
      <c r="F2394">
        <v>10</v>
      </c>
      <c r="G2394">
        <v>729.32</v>
      </c>
      <c r="H2394">
        <v>0.11</v>
      </c>
      <c r="I2394" s="4">
        <v>6490.95</v>
      </c>
      <c r="J2394" t="s">
        <v>21</v>
      </c>
      <c r="K2394" t="s">
        <v>17</v>
      </c>
      <c r="L2394" s="4">
        <f>VLOOKUP(tblTransactions[[#This Row],[Product_ID]],tblProducts[],5,FALSE)</f>
        <v>482.7</v>
      </c>
      <c r="M2394" s="4">
        <f>tblTransactions[[#This Row],[Total_Amount]]-(tblTransactions[[#This Row],[Cost_Prices]]*tblTransactions[[#This Row],[Quantity]]*(1-tblTransactions[[#This Row],[Discount]]))</f>
        <v>2194.92</v>
      </c>
      <c r="N2394" s="3">
        <f>tblTransactions[[#This Row],[Profit]]/tblTransactions[[#This Row],[Total_Amount]]</f>
        <v>0.33815080997388675</v>
      </c>
      <c r="O2394" t="str">
        <f>TEXT(tblTransactions[[#This Row],[Date]], "MMM-YYYY")</f>
        <v>May-2024</v>
      </c>
      <c r="P2394" t="str">
        <f>"Q"&amp;ROUNDUP(MONTH(tblTransactions[[#This Row],[Date]])/3,0)&amp;"-"&amp;YEAR(tblTransactions[[#This Row],[Date]])</f>
        <v>Q2-2024</v>
      </c>
      <c r="Q2394">
        <f>YEAR(tblTransactions[[#This Row],[Date]])</f>
        <v>2024</v>
      </c>
      <c r="R2394" t="str">
        <f>TEXT(tblTransactions[[#This Row],[Date]],"DDDD")</f>
        <v>Saturday</v>
      </c>
      <c r="S2394">
        <f>MONTH(tblTransactions[[#This Row],[Date]])</f>
        <v>5</v>
      </c>
      <c r="T2394" t="str">
        <f>VLOOKUP(E2394, Products!$A:$B,2,0)</f>
        <v>Tables Fur-1</v>
      </c>
      <c r="U2394" t="str">
        <f>VLOOKUP(E2394,Products!$A:$C,3,0)</f>
        <v>Furniture</v>
      </c>
      <c r="V2394" t="str">
        <f>VLOOKUP(E2394,Products!$A:$D,4,0)</f>
        <v>Tables</v>
      </c>
      <c r="W2394" t="str">
        <f>VLOOKUP(D2394,Customers!$A:$C,3,0)</f>
        <v>B2B</v>
      </c>
      <c r="X2394" t="str">
        <f>VLOOKUP(C2394,Sales_Representatives!$A:$B,2,0)</f>
        <v>Richard Wilson</v>
      </c>
    </row>
    <row r="2395" spans="1:24" x14ac:dyDescent="0.3">
      <c r="A2395" t="s">
        <v>3345</v>
      </c>
      <c r="B2395" t="s">
        <v>3344</v>
      </c>
      <c r="C2395" t="s">
        <v>31</v>
      </c>
      <c r="D2395" t="s">
        <v>2102</v>
      </c>
      <c r="E2395" t="s">
        <v>376</v>
      </c>
      <c r="F2395">
        <v>4</v>
      </c>
      <c r="G2395">
        <v>229.65</v>
      </c>
      <c r="H2395">
        <v>0.09</v>
      </c>
      <c r="I2395" s="4">
        <v>835.93</v>
      </c>
      <c r="J2395" t="s">
        <v>34</v>
      </c>
      <c r="K2395" t="s">
        <v>35</v>
      </c>
      <c r="L2395" s="4">
        <f>VLOOKUP(tblTransactions[[#This Row],[Product_ID]],tblProducts[],5,FALSE)</f>
        <v>96.84</v>
      </c>
      <c r="M2395" s="4">
        <f>tblTransactions[[#This Row],[Total_Amount]]-(tblTransactions[[#This Row],[Cost_Prices]]*tblTransactions[[#This Row],[Quantity]]*(1-tblTransactions[[#This Row],[Discount]]))</f>
        <v>483.43239999999992</v>
      </c>
      <c r="N2395" s="3">
        <f>tblTransactions[[#This Row],[Profit]]/tblTransactions[[#This Row],[Total_Amount]]</f>
        <v>0.57831684471187772</v>
      </c>
      <c r="O2395" t="str">
        <f>TEXT(tblTransactions[[#This Row],[Date]], "MMM-YYYY")</f>
        <v>May-2024</v>
      </c>
      <c r="P2395" t="str">
        <f>"Q"&amp;ROUNDUP(MONTH(tblTransactions[[#This Row],[Date]])/3,0)&amp;"-"&amp;YEAR(tblTransactions[[#This Row],[Date]])</f>
        <v>Q2-2024</v>
      </c>
      <c r="Q2395">
        <f>YEAR(tblTransactions[[#This Row],[Date]])</f>
        <v>2024</v>
      </c>
      <c r="R2395" t="str">
        <f>TEXT(tblTransactions[[#This Row],[Date]],"DDDD")</f>
        <v>Saturday</v>
      </c>
      <c r="S2395">
        <f>MONTH(tblTransactions[[#This Row],[Date]])</f>
        <v>5</v>
      </c>
      <c r="T2395" t="str">
        <f>VLOOKUP(E2395, Products!$A:$B,2,0)</f>
        <v>Adapters Acc-2</v>
      </c>
      <c r="U2395" t="str">
        <f>VLOOKUP(E2395,Products!$A:$C,3,0)</f>
        <v>Accessories</v>
      </c>
      <c r="V2395" t="str">
        <f>VLOOKUP(E2395,Products!$A:$D,4,0)</f>
        <v>Adapters</v>
      </c>
      <c r="W2395" t="str">
        <f>VLOOKUP(D2395,Customers!$A:$C,3,0)</f>
        <v>B2C</v>
      </c>
      <c r="X2395" t="str">
        <f>VLOOKUP(C2395,Sales_Representatives!$A:$B,2,0)</f>
        <v>Thomas Martinez</v>
      </c>
    </row>
    <row r="2396" spans="1:24" x14ac:dyDescent="0.3">
      <c r="A2396" t="s">
        <v>3346</v>
      </c>
      <c r="B2396" t="s">
        <v>3344</v>
      </c>
      <c r="C2396" t="s">
        <v>131</v>
      </c>
      <c r="D2396" t="s">
        <v>2029</v>
      </c>
      <c r="E2396" t="s">
        <v>198</v>
      </c>
      <c r="F2396">
        <v>10</v>
      </c>
      <c r="G2396">
        <v>1802.96</v>
      </c>
      <c r="H2396">
        <v>0.06</v>
      </c>
      <c r="I2396" s="4">
        <v>16947.82</v>
      </c>
      <c r="J2396" t="s">
        <v>44</v>
      </c>
      <c r="K2396" t="s">
        <v>22</v>
      </c>
      <c r="L2396" s="4">
        <f>VLOOKUP(tblTransactions[[#This Row],[Product_ID]],tblProducts[],5,FALSE)</f>
        <v>1282.18</v>
      </c>
      <c r="M2396" s="4">
        <f>tblTransactions[[#This Row],[Total_Amount]]-(tblTransactions[[#This Row],[Cost_Prices]]*tblTransactions[[#This Row],[Quantity]]*(1-tblTransactions[[#This Row],[Discount]]))</f>
        <v>4895.3279999999995</v>
      </c>
      <c r="N2396" s="3">
        <f>tblTransactions[[#This Row],[Profit]]/tblTransactions[[#This Row],[Total_Amount]]</f>
        <v>0.28884706115594805</v>
      </c>
      <c r="O2396" t="str">
        <f>TEXT(tblTransactions[[#This Row],[Date]], "MMM-YYYY")</f>
        <v>May-2024</v>
      </c>
      <c r="P2396" t="str">
        <f>"Q"&amp;ROUNDUP(MONTH(tblTransactions[[#This Row],[Date]])/3,0)&amp;"-"&amp;YEAR(tblTransactions[[#This Row],[Date]])</f>
        <v>Q2-2024</v>
      </c>
      <c r="Q2396">
        <f>YEAR(tblTransactions[[#This Row],[Date]])</f>
        <v>2024</v>
      </c>
      <c r="R2396" t="str">
        <f>TEXT(tblTransactions[[#This Row],[Date]],"DDDD")</f>
        <v>Saturday</v>
      </c>
      <c r="S2396">
        <f>MONTH(tblTransactions[[#This Row],[Date]])</f>
        <v>5</v>
      </c>
      <c r="T2396" t="str">
        <f>VLOOKUP(E2396, Products!$A:$B,2,0)</f>
        <v>Tablets Ele-3</v>
      </c>
      <c r="U2396" t="str">
        <f>VLOOKUP(E2396,Products!$A:$C,3,0)</f>
        <v>Electronics</v>
      </c>
      <c r="V2396" t="str">
        <f>VLOOKUP(E2396,Products!$A:$D,4,0)</f>
        <v>Tablets</v>
      </c>
      <c r="W2396" t="str">
        <f>VLOOKUP(D2396,Customers!$A:$C,3,0)</f>
        <v>B2B</v>
      </c>
      <c r="X2396" t="str">
        <f>VLOOKUP(C2396,Sales_Representatives!$A:$B,2,0)</f>
        <v>Michael Davis</v>
      </c>
    </row>
    <row r="2397" spans="1:24" x14ac:dyDescent="0.3">
      <c r="A2397" t="s">
        <v>3347</v>
      </c>
      <c r="B2397" t="s">
        <v>3348</v>
      </c>
      <c r="C2397" t="s">
        <v>59</v>
      </c>
      <c r="D2397" t="s">
        <v>1971</v>
      </c>
      <c r="E2397" t="s">
        <v>198</v>
      </c>
      <c r="F2397">
        <v>3</v>
      </c>
      <c r="G2397">
        <v>1802.96</v>
      </c>
      <c r="H2397">
        <v>7.0000000000000007E-2</v>
      </c>
      <c r="I2397" s="4">
        <v>5030.26</v>
      </c>
      <c r="J2397" t="s">
        <v>21</v>
      </c>
      <c r="K2397" t="s">
        <v>17</v>
      </c>
      <c r="L2397" s="4">
        <f>VLOOKUP(tblTransactions[[#This Row],[Product_ID]],tblProducts[],5,FALSE)</f>
        <v>1282.18</v>
      </c>
      <c r="M2397" s="4">
        <f>tblTransactions[[#This Row],[Total_Amount]]-(tblTransactions[[#This Row],[Cost_Prices]]*tblTransactions[[#This Row],[Quantity]]*(1-tblTransactions[[#This Row],[Discount]]))</f>
        <v>1452.9778000000006</v>
      </c>
      <c r="N2397" s="3">
        <f>tblTransactions[[#This Row],[Profit]]/tblTransactions[[#This Row],[Total_Amount]]</f>
        <v>0.28884745520112293</v>
      </c>
      <c r="O2397" t="str">
        <f>TEXT(tblTransactions[[#This Row],[Date]], "MMM-YYYY")</f>
        <v>May-2024</v>
      </c>
      <c r="P2397" t="str">
        <f>"Q"&amp;ROUNDUP(MONTH(tblTransactions[[#This Row],[Date]])/3,0)&amp;"-"&amp;YEAR(tblTransactions[[#This Row],[Date]])</f>
        <v>Q2-2024</v>
      </c>
      <c r="Q2397">
        <f>YEAR(tblTransactions[[#This Row],[Date]])</f>
        <v>2024</v>
      </c>
      <c r="R2397" t="str">
        <f>TEXT(tblTransactions[[#This Row],[Date]],"DDDD")</f>
        <v>Sunday</v>
      </c>
      <c r="S2397">
        <f>MONTH(tblTransactions[[#This Row],[Date]])</f>
        <v>5</v>
      </c>
      <c r="T2397" t="str">
        <f>VLOOKUP(E2397, Products!$A:$B,2,0)</f>
        <v>Tablets Ele-3</v>
      </c>
      <c r="U2397" t="str">
        <f>VLOOKUP(E2397,Products!$A:$C,3,0)</f>
        <v>Electronics</v>
      </c>
      <c r="V2397" t="str">
        <f>VLOOKUP(E2397,Products!$A:$D,4,0)</f>
        <v>Tablets</v>
      </c>
      <c r="W2397" t="str">
        <f>VLOOKUP(D2397,Customers!$A:$C,3,0)</f>
        <v>B2B</v>
      </c>
      <c r="X2397" t="str">
        <f>VLOOKUP(C2397,Sales_Representatives!$A:$B,2,0)</f>
        <v>Sarah Brown</v>
      </c>
    </row>
    <row r="2398" spans="1:24" x14ac:dyDescent="0.3">
      <c r="A2398" t="s">
        <v>3349</v>
      </c>
      <c r="B2398" t="s">
        <v>3348</v>
      </c>
      <c r="C2398" t="s">
        <v>70</v>
      </c>
      <c r="D2398" t="s">
        <v>67</v>
      </c>
      <c r="E2398" t="s">
        <v>255</v>
      </c>
      <c r="F2398">
        <v>4</v>
      </c>
      <c r="G2398">
        <v>1444.13</v>
      </c>
      <c r="H2398">
        <v>0.1</v>
      </c>
      <c r="I2398" s="4">
        <v>5198.87</v>
      </c>
      <c r="J2398" t="s">
        <v>16</v>
      </c>
      <c r="K2398" t="s">
        <v>39</v>
      </c>
      <c r="L2398" s="4">
        <f>VLOOKUP(tblTransactions[[#This Row],[Product_ID]],tblProducts[],5,FALSE)</f>
        <v>874.43</v>
      </c>
      <c r="M2398" s="4">
        <f>tblTransactions[[#This Row],[Total_Amount]]-(tblTransactions[[#This Row],[Cost_Prices]]*tblTransactions[[#This Row],[Quantity]]*(1-tblTransactions[[#This Row],[Discount]]))</f>
        <v>2050.922</v>
      </c>
      <c r="N2398" s="3">
        <f>tblTransactions[[#This Row],[Profit]]/tblTransactions[[#This Row],[Total_Amount]]</f>
        <v>0.39449380346113677</v>
      </c>
      <c r="O2398" t="str">
        <f>TEXT(tblTransactions[[#This Row],[Date]], "MMM-YYYY")</f>
        <v>May-2024</v>
      </c>
      <c r="P2398" t="str">
        <f>"Q"&amp;ROUNDUP(MONTH(tblTransactions[[#This Row],[Date]])/3,0)&amp;"-"&amp;YEAR(tblTransactions[[#This Row],[Date]])</f>
        <v>Q2-2024</v>
      </c>
      <c r="Q2398">
        <f>YEAR(tblTransactions[[#This Row],[Date]])</f>
        <v>2024</v>
      </c>
      <c r="R2398" t="str">
        <f>TEXT(tblTransactions[[#This Row],[Date]],"DDDD")</f>
        <v>Sunday</v>
      </c>
      <c r="S2398">
        <f>MONTH(tblTransactions[[#This Row],[Date]])</f>
        <v>5</v>
      </c>
      <c r="T2398" t="str">
        <f>VLOOKUP(E2398, Products!$A:$B,2,0)</f>
        <v>Printers Tec-1</v>
      </c>
      <c r="U2398" t="str">
        <f>VLOOKUP(E2398,Products!$A:$C,3,0)</f>
        <v>Technology</v>
      </c>
      <c r="V2398" t="str">
        <f>VLOOKUP(E2398,Products!$A:$D,4,0)</f>
        <v>Printers</v>
      </c>
      <c r="W2398" t="str">
        <f>VLOOKUP(D2398,Customers!$A:$C,3,0)</f>
        <v>B2C</v>
      </c>
      <c r="X2398" t="str">
        <f>VLOOKUP(C2398,Sales_Representatives!$A:$B,2,0)</f>
        <v>Linda Smith</v>
      </c>
    </row>
    <row r="2399" spans="1:24" x14ac:dyDescent="0.3">
      <c r="A2399" t="s">
        <v>3350</v>
      </c>
      <c r="B2399" t="s">
        <v>3348</v>
      </c>
      <c r="C2399" t="s">
        <v>75</v>
      </c>
      <c r="D2399" t="s">
        <v>1500</v>
      </c>
      <c r="E2399" t="s">
        <v>20</v>
      </c>
      <c r="F2399">
        <v>7</v>
      </c>
      <c r="G2399">
        <v>1219.49</v>
      </c>
      <c r="H2399">
        <v>0.08</v>
      </c>
      <c r="I2399" s="4">
        <v>7853.52</v>
      </c>
      <c r="J2399" t="s">
        <v>44</v>
      </c>
      <c r="K2399" t="s">
        <v>35</v>
      </c>
      <c r="L2399" s="4">
        <f>VLOOKUP(tblTransactions[[#This Row],[Product_ID]],tblProducts[],5,FALSE)</f>
        <v>686.9</v>
      </c>
      <c r="M2399" s="4">
        <f>tblTransactions[[#This Row],[Total_Amount]]-(tblTransactions[[#This Row],[Cost_Prices]]*tblTransactions[[#This Row],[Quantity]]*(1-tblTransactions[[#This Row],[Discount]]))</f>
        <v>3429.884</v>
      </c>
      <c r="N2399" s="3">
        <f>tblTransactions[[#This Row],[Profit]]/tblTransactions[[#This Row],[Total_Amount]]</f>
        <v>0.43673206409355292</v>
      </c>
      <c r="O2399" t="str">
        <f>TEXT(tblTransactions[[#This Row],[Date]], "MMM-YYYY")</f>
        <v>May-2024</v>
      </c>
      <c r="P2399" t="str">
        <f>"Q"&amp;ROUNDUP(MONTH(tblTransactions[[#This Row],[Date]])/3,0)&amp;"-"&amp;YEAR(tblTransactions[[#This Row],[Date]])</f>
        <v>Q2-2024</v>
      </c>
      <c r="Q2399">
        <f>YEAR(tblTransactions[[#This Row],[Date]])</f>
        <v>2024</v>
      </c>
      <c r="R2399" t="str">
        <f>TEXT(tblTransactions[[#This Row],[Date]],"DDDD")</f>
        <v>Sunday</v>
      </c>
      <c r="S2399">
        <f>MONTH(tblTransactions[[#This Row],[Date]])</f>
        <v>5</v>
      </c>
      <c r="T2399" t="str">
        <f>VLOOKUP(E2399, Products!$A:$B,2,0)</f>
        <v>Laptops Ele-1</v>
      </c>
      <c r="U2399" t="str">
        <f>VLOOKUP(E2399,Products!$A:$C,3,0)</f>
        <v>Electronics</v>
      </c>
      <c r="V2399" t="str">
        <f>VLOOKUP(E2399,Products!$A:$D,4,0)</f>
        <v>Laptops</v>
      </c>
      <c r="W2399" t="str">
        <f>VLOOKUP(D2399,Customers!$A:$C,3,0)</f>
        <v>B2C</v>
      </c>
      <c r="X2399" t="str">
        <f>VLOOKUP(C2399,Sales_Representatives!$A:$B,2,0)</f>
        <v>Jessica Anderson</v>
      </c>
    </row>
    <row r="2400" spans="1:24" x14ac:dyDescent="0.3">
      <c r="A2400" t="s">
        <v>3351</v>
      </c>
      <c r="B2400" t="s">
        <v>3352</v>
      </c>
      <c r="C2400" t="s">
        <v>127</v>
      </c>
      <c r="D2400" t="s">
        <v>362</v>
      </c>
      <c r="E2400" t="s">
        <v>113</v>
      </c>
      <c r="F2400">
        <v>1</v>
      </c>
      <c r="G2400">
        <v>930.41</v>
      </c>
      <c r="H2400">
        <v>0.09</v>
      </c>
      <c r="I2400" s="4">
        <v>846.67</v>
      </c>
      <c r="J2400" t="s">
        <v>109</v>
      </c>
      <c r="K2400" t="s">
        <v>39</v>
      </c>
      <c r="L2400" s="4">
        <f>VLOOKUP(tblTransactions[[#This Row],[Product_ID]],tblProducts[],5,FALSE)</f>
        <v>595.51</v>
      </c>
      <c r="M2400" s="4">
        <f>tblTransactions[[#This Row],[Total_Amount]]-(tblTransactions[[#This Row],[Cost_Prices]]*tblTransactions[[#This Row],[Quantity]]*(1-tblTransactions[[#This Row],[Discount]]))</f>
        <v>304.7559</v>
      </c>
      <c r="N2400" s="3">
        <f>tblTransactions[[#This Row],[Profit]]/tblTransactions[[#This Row],[Total_Amount]]</f>
        <v>0.35994649627363673</v>
      </c>
      <c r="O2400" t="str">
        <f>TEXT(tblTransactions[[#This Row],[Date]], "MMM-YYYY")</f>
        <v>May-2024</v>
      </c>
      <c r="P2400" t="str">
        <f>"Q"&amp;ROUNDUP(MONTH(tblTransactions[[#This Row],[Date]])/3,0)&amp;"-"&amp;YEAR(tblTransactions[[#This Row],[Date]])</f>
        <v>Q2-2024</v>
      </c>
      <c r="Q2400">
        <f>YEAR(tblTransactions[[#This Row],[Date]])</f>
        <v>2024</v>
      </c>
      <c r="R2400" t="str">
        <f>TEXT(tblTransactions[[#This Row],[Date]],"DDDD")</f>
        <v>Monday</v>
      </c>
      <c r="S2400">
        <f>MONTH(tblTransactions[[#This Row],[Date]])</f>
        <v>5</v>
      </c>
      <c r="T2400" t="str">
        <f>VLOOKUP(E2400, Products!$A:$B,2,0)</f>
        <v>Phones Ele-1</v>
      </c>
      <c r="U2400" t="str">
        <f>VLOOKUP(E2400,Products!$A:$C,3,0)</f>
        <v>Electronics</v>
      </c>
      <c r="V2400" t="str">
        <f>VLOOKUP(E2400,Products!$A:$D,4,0)</f>
        <v>Phones</v>
      </c>
      <c r="W2400" t="str">
        <f>VLOOKUP(D2400,Customers!$A:$C,3,0)</f>
        <v>Small Business</v>
      </c>
      <c r="X2400" t="str">
        <f>VLOOKUP(C2400,Sales_Representatives!$A:$B,2,0)</f>
        <v>Emily Hernandez</v>
      </c>
    </row>
    <row r="2401" spans="1:24" x14ac:dyDescent="0.3">
      <c r="A2401" t="s">
        <v>3353</v>
      </c>
      <c r="B2401" t="s">
        <v>3354</v>
      </c>
      <c r="C2401" t="s">
        <v>13</v>
      </c>
      <c r="D2401" t="s">
        <v>1854</v>
      </c>
      <c r="E2401" t="s">
        <v>200</v>
      </c>
      <c r="F2401">
        <v>1</v>
      </c>
      <c r="G2401">
        <v>544.77</v>
      </c>
      <c r="H2401">
        <v>0.06</v>
      </c>
      <c r="I2401" s="4">
        <v>512.08000000000004</v>
      </c>
      <c r="J2401" t="s">
        <v>16</v>
      </c>
      <c r="K2401" t="s">
        <v>17</v>
      </c>
      <c r="L2401" s="4">
        <f>VLOOKUP(tblTransactions[[#This Row],[Product_ID]],tblProducts[],5,FALSE)</f>
        <v>318.2</v>
      </c>
      <c r="M2401" s="4">
        <f>tblTransactions[[#This Row],[Total_Amount]]-(tblTransactions[[#This Row],[Cost_Prices]]*tblTransactions[[#This Row],[Quantity]]*(1-tblTransactions[[#This Row],[Discount]]))</f>
        <v>212.97200000000009</v>
      </c>
      <c r="N2401" s="3">
        <f>tblTransactions[[#This Row],[Profit]]/tblTransactions[[#This Row],[Total_Amount]]</f>
        <v>0.4158959537572256</v>
      </c>
      <c r="O2401" t="str">
        <f>TEXT(tblTransactions[[#This Row],[Date]], "MMM-YYYY")</f>
        <v>May-2024</v>
      </c>
      <c r="P2401" t="str">
        <f>"Q"&amp;ROUNDUP(MONTH(tblTransactions[[#This Row],[Date]])/3,0)&amp;"-"&amp;YEAR(tblTransactions[[#This Row],[Date]])</f>
        <v>Q2-2024</v>
      </c>
      <c r="Q2401">
        <f>YEAR(tblTransactions[[#This Row],[Date]])</f>
        <v>2024</v>
      </c>
      <c r="R2401" t="str">
        <f>TEXT(tblTransactions[[#This Row],[Date]],"DDDD")</f>
        <v>Tuesday</v>
      </c>
      <c r="S2401">
        <f>MONTH(tblTransactions[[#This Row],[Date]])</f>
        <v>5</v>
      </c>
      <c r="T2401" t="str">
        <f>VLOOKUP(E2401, Products!$A:$B,2,0)</f>
        <v>Desks Fur-4</v>
      </c>
      <c r="U2401" t="str">
        <f>VLOOKUP(E2401,Products!$A:$C,3,0)</f>
        <v>Furniture</v>
      </c>
      <c r="V2401" t="str">
        <f>VLOOKUP(E2401,Products!$A:$D,4,0)</f>
        <v>Desks</v>
      </c>
      <c r="W2401" t="str">
        <f>VLOOKUP(D2401,Customers!$A:$C,3,0)</f>
        <v>Small Business</v>
      </c>
      <c r="X2401" t="str">
        <f>VLOOKUP(C2401,Sales_Representatives!$A:$B,2,0)</f>
        <v>Jennifer Rodriguez</v>
      </c>
    </row>
    <row r="2402" spans="1:24" x14ac:dyDescent="0.3">
      <c r="A2402" t="s">
        <v>3355</v>
      </c>
      <c r="B2402" t="s">
        <v>3354</v>
      </c>
      <c r="C2402" t="s">
        <v>27</v>
      </c>
      <c r="D2402" t="s">
        <v>2068</v>
      </c>
      <c r="E2402" t="s">
        <v>243</v>
      </c>
      <c r="F2402">
        <v>2</v>
      </c>
      <c r="G2402">
        <v>384.18</v>
      </c>
      <c r="H2402">
        <v>0.01</v>
      </c>
      <c r="I2402" s="4">
        <v>760.68</v>
      </c>
      <c r="J2402" t="s">
        <v>16</v>
      </c>
      <c r="K2402" t="s">
        <v>17</v>
      </c>
      <c r="L2402" s="4">
        <f>VLOOKUP(tblTransactions[[#This Row],[Product_ID]],tblProducts[],5,FALSE)</f>
        <v>266.92</v>
      </c>
      <c r="M2402" s="4">
        <f>tblTransactions[[#This Row],[Total_Amount]]-(tblTransactions[[#This Row],[Cost_Prices]]*tblTransactions[[#This Row],[Quantity]]*(1-tblTransactions[[#This Row],[Discount]]))</f>
        <v>232.1783999999999</v>
      </c>
      <c r="N2402" s="3">
        <f>tblTransactions[[#This Row],[Profit]]/tblTransactions[[#This Row],[Total_Amount]]</f>
        <v>0.30522479886417403</v>
      </c>
      <c r="O2402" t="str">
        <f>TEXT(tblTransactions[[#This Row],[Date]], "MMM-YYYY")</f>
        <v>May-2024</v>
      </c>
      <c r="P2402" t="str">
        <f>"Q"&amp;ROUNDUP(MONTH(tblTransactions[[#This Row],[Date]])/3,0)&amp;"-"&amp;YEAR(tblTransactions[[#This Row],[Date]])</f>
        <v>Q2-2024</v>
      </c>
      <c r="Q2402">
        <f>YEAR(tblTransactions[[#This Row],[Date]])</f>
        <v>2024</v>
      </c>
      <c r="R2402" t="str">
        <f>TEXT(tblTransactions[[#This Row],[Date]],"DDDD")</f>
        <v>Tuesday</v>
      </c>
      <c r="S2402">
        <f>MONTH(tblTransactions[[#This Row],[Date]])</f>
        <v>5</v>
      </c>
      <c r="T2402" t="str">
        <f>VLOOKUP(E2402, Products!$A:$B,2,0)</f>
        <v>Routers Tec-3</v>
      </c>
      <c r="U2402" t="str">
        <f>VLOOKUP(E2402,Products!$A:$C,3,0)</f>
        <v>Technology</v>
      </c>
      <c r="V2402" t="str">
        <f>VLOOKUP(E2402,Products!$A:$D,4,0)</f>
        <v>Routers</v>
      </c>
      <c r="W2402" t="str">
        <f>VLOOKUP(D2402,Customers!$A:$C,3,0)</f>
        <v>Small Business</v>
      </c>
      <c r="X2402" t="str">
        <f>VLOOKUP(C2402,Sales_Representatives!$A:$B,2,0)</f>
        <v>Thomas Lopez</v>
      </c>
    </row>
    <row r="2403" spans="1:24" x14ac:dyDescent="0.3">
      <c r="A2403" t="s">
        <v>3356</v>
      </c>
      <c r="B2403" t="s">
        <v>3354</v>
      </c>
      <c r="C2403" t="s">
        <v>75</v>
      </c>
      <c r="D2403" t="s">
        <v>1598</v>
      </c>
      <c r="E2403" t="s">
        <v>68</v>
      </c>
      <c r="F2403">
        <v>6</v>
      </c>
      <c r="G2403">
        <v>522.63</v>
      </c>
      <c r="H2403">
        <v>0.13</v>
      </c>
      <c r="I2403" s="4">
        <v>2728.13</v>
      </c>
      <c r="J2403" t="s">
        <v>44</v>
      </c>
      <c r="K2403" t="s">
        <v>35</v>
      </c>
      <c r="L2403" s="4">
        <f>VLOOKUP(tblTransactions[[#This Row],[Product_ID]],tblProducts[],5,FALSE)</f>
        <v>355.82</v>
      </c>
      <c r="M2403" s="4">
        <f>tblTransactions[[#This Row],[Total_Amount]]-(tblTransactions[[#This Row],[Cost_Prices]]*tblTransactions[[#This Row],[Quantity]]*(1-tblTransactions[[#This Row],[Discount]]))</f>
        <v>870.7496000000001</v>
      </c>
      <c r="N2403" s="3">
        <f>tblTransactions[[#This Row],[Profit]]/tblTransactions[[#This Row],[Total_Amount]]</f>
        <v>0.31917452614061648</v>
      </c>
      <c r="O2403" t="str">
        <f>TEXT(tblTransactions[[#This Row],[Date]], "MMM-YYYY")</f>
        <v>May-2024</v>
      </c>
      <c r="P2403" t="str">
        <f>"Q"&amp;ROUNDUP(MONTH(tblTransactions[[#This Row],[Date]])/3,0)&amp;"-"&amp;YEAR(tblTransactions[[#This Row],[Date]])</f>
        <v>Q2-2024</v>
      </c>
      <c r="Q2403">
        <f>YEAR(tblTransactions[[#This Row],[Date]])</f>
        <v>2024</v>
      </c>
      <c r="R2403" t="str">
        <f>TEXT(tblTransactions[[#This Row],[Date]],"DDDD")</f>
        <v>Tuesday</v>
      </c>
      <c r="S2403">
        <f>MONTH(tblTransactions[[#This Row],[Date]])</f>
        <v>5</v>
      </c>
      <c r="T2403" t="str">
        <f>VLOOKUP(E2403, Products!$A:$B,2,0)</f>
        <v>Monitors Tec-3</v>
      </c>
      <c r="U2403" t="str">
        <f>VLOOKUP(E2403,Products!$A:$C,3,0)</f>
        <v>Technology</v>
      </c>
      <c r="V2403" t="str">
        <f>VLOOKUP(E2403,Products!$A:$D,4,0)</f>
        <v>Monitors</v>
      </c>
      <c r="W2403" t="str">
        <f>VLOOKUP(D2403,Customers!$A:$C,3,0)</f>
        <v>B2C</v>
      </c>
      <c r="X2403" t="str">
        <f>VLOOKUP(C2403,Sales_Representatives!$A:$B,2,0)</f>
        <v>Jessica Anderson</v>
      </c>
    </row>
    <row r="2404" spans="1:24" x14ac:dyDescent="0.3">
      <c r="A2404" t="s">
        <v>3357</v>
      </c>
      <c r="B2404" t="s">
        <v>3354</v>
      </c>
      <c r="C2404" t="s">
        <v>127</v>
      </c>
      <c r="D2404" t="s">
        <v>1530</v>
      </c>
      <c r="E2404" t="s">
        <v>72</v>
      </c>
      <c r="F2404">
        <v>47</v>
      </c>
      <c r="G2404">
        <v>404.76</v>
      </c>
      <c r="H2404">
        <v>0.18</v>
      </c>
      <c r="I2404" s="4">
        <v>15599.45</v>
      </c>
      <c r="J2404" t="s">
        <v>109</v>
      </c>
      <c r="K2404" t="s">
        <v>39</v>
      </c>
      <c r="L2404" s="4">
        <f>VLOOKUP(tblTransactions[[#This Row],[Product_ID]],tblProducts[],5,FALSE)</f>
        <v>226.76</v>
      </c>
      <c r="M2404" s="4">
        <f>tblTransactions[[#This Row],[Total_Amount]]-(tblTransactions[[#This Row],[Cost_Prices]]*tblTransactions[[#This Row],[Quantity]]*(1-tblTransactions[[#This Row],[Discount]]))</f>
        <v>6860.1196</v>
      </c>
      <c r="N2404" s="3">
        <f>tblTransactions[[#This Row],[Profit]]/tblTransactions[[#This Row],[Total_Amount]]</f>
        <v>0.43976676100759959</v>
      </c>
      <c r="O2404" t="str">
        <f>TEXT(tblTransactions[[#This Row],[Date]], "MMM-YYYY")</f>
        <v>May-2024</v>
      </c>
      <c r="P2404" t="str">
        <f>"Q"&amp;ROUNDUP(MONTH(tblTransactions[[#This Row],[Date]])/3,0)&amp;"-"&amp;YEAR(tblTransactions[[#This Row],[Date]])</f>
        <v>Q2-2024</v>
      </c>
      <c r="Q2404">
        <f>YEAR(tblTransactions[[#This Row],[Date]])</f>
        <v>2024</v>
      </c>
      <c r="R2404" t="str">
        <f>TEXT(tblTransactions[[#This Row],[Date]],"DDDD")</f>
        <v>Tuesday</v>
      </c>
      <c r="S2404">
        <f>MONTH(tblTransactions[[#This Row],[Date]])</f>
        <v>5</v>
      </c>
      <c r="T2404" t="str">
        <f>VLOOKUP(E2404, Products!$A:$B,2,0)</f>
        <v>Tablets Ele-2</v>
      </c>
      <c r="U2404" t="str">
        <f>VLOOKUP(E2404,Products!$A:$C,3,0)</f>
        <v>Electronics</v>
      </c>
      <c r="V2404" t="str">
        <f>VLOOKUP(E2404,Products!$A:$D,4,0)</f>
        <v>Tablets</v>
      </c>
      <c r="W2404" t="str">
        <f>VLOOKUP(D2404,Customers!$A:$C,3,0)</f>
        <v>Enterprise</v>
      </c>
      <c r="X2404" t="str">
        <f>VLOOKUP(C2404,Sales_Representatives!$A:$B,2,0)</f>
        <v>Emily Hernandez</v>
      </c>
    </row>
    <row r="2405" spans="1:24" x14ac:dyDescent="0.3">
      <c r="A2405" t="s">
        <v>3358</v>
      </c>
      <c r="B2405" t="s">
        <v>3354</v>
      </c>
      <c r="C2405" t="s">
        <v>141</v>
      </c>
      <c r="D2405" t="s">
        <v>1567</v>
      </c>
      <c r="E2405" t="s">
        <v>198</v>
      </c>
      <c r="F2405">
        <v>5</v>
      </c>
      <c r="G2405">
        <v>1802.96</v>
      </c>
      <c r="H2405">
        <v>7.0000000000000007E-2</v>
      </c>
      <c r="I2405" s="4">
        <v>8383.76</v>
      </c>
      <c r="J2405" t="s">
        <v>109</v>
      </c>
      <c r="K2405" t="s">
        <v>39</v>
      </c>
      <c r="L2405" s="4">
        <f>VLOOKUP(tblTransactions[[#This Row],[Product_ID]],tblProducts[],5,FALSE)</f>
        <v>1282.18</v>
      </c>
      <c r="M2405" s="4">
        <f>tblTransactions[[#This Row],[Total_Amount]]-(tblTransactions[[#This Row],[Cost_Prices]]*tblTransactions[[#This Row],[Quantity]]*(1-tblTransactions[[#This Row],[Discount]]))</f>
        <v>2421.6230000000005</v>
      </c>
      <c r="N2405" s="3">
        <f>tblTransactions[[#This Row],[Profit]]/tblTransactions[[#This Row],[Total_Amount]]</f>
        <v>0.28884688970104111</v>
      </c>
      <c r="O2405" t="str">
        <f>TEXT(tblTransactions[[#This Row],[Date]], "MMM-YYYY")</f>
        <v>May-2024</v>
      </c>
      <c r="P2405" t="str">
        <f>"Q"&amp;ROUNDUP(MONTH(tblTransactions[[#This Row],[Date]])/3,0)&amp;"-"&amp;YEAR(tblTransactions[[#This Row],[Date]])</f>
        <v>Q2-2024</v>
      </c>
      <c r="Q2405">
        <f>YEAR(tblTransactions[[#This Row],[Date]])</f>
        <v>2024</v>
      </c>
      <c r="R2405" t="str">
        <f>TEXT(tblTransactions[[#This Row],[Date]],"DDDD")</f>
        <v>Tuesday</v>
      </c>
      <c r="S2405">
        <f>MONTH(tblTransactions[[#This Row],[Date]])</f>
        <v>5</v>
      </c>
      <c r="T2405" t="str">
        <f>VLOOKUP(E2405, Products!$A:$B,2,0)</f>
        <v>Tablets Ele-3</v>
      </c>
      <c r="U2405" t="str">
        <f>VLOOKUP(E2405,Products!$A:$C,3,0)</f>
        <v>Electronics</v>
      </c>
      <c r="V2405" t="str">
        <f>VLOOKUP(E2405,Products!$A:$D,4,0)</f>
        <v>Tablets</v>
      </c>
      <c r="W2405" t="str">
        <f>VLOOKUP(D2405,Customers!$A:$C,3,0)</f>
        <v>B2C</v>
      </c>
      <c r="X2405" t="str">
        <f>VLOOKUP(C2405,Sales_Representatives!$A:$B,2,0)</f>
        <v>Richard Garcia</v>
      </c>
    </row>
    <row r="2406" spans="1:24" x14ac:dyDescent="0.3">
      <c r="A2406" t="s">
        <v>3359</v>
      </c>
      <c r="B2406" t="s">
        <v>3354</v>
      </c>
      <c r="C2406" t="s">
        <v>141</v>
      </c>
      <c r="D2406" t="s">
        <v>2334</v>
      </c>
      <c r="E2406" t="s">
        <v>129</v>
      </c>
      <c r="F2406">
        <v>11</v>
      </c>
      <c r="G2406">
        <v>1283.71</v>
      </c>
      <c r="H2406">
        <v>0.2</v>
      </c>
      <c r="I2406" s="4">
        <v>11296.65</v>
      </c>
      <c r="J2406" t="s">
        <v>109</v>
      </c>
      <c r="K2406" t="s">
        <v>35</v>
      </c>
      <c r="L2406" s="4">
        <f>VLOOKUP(tblTransactions[[#This Row],[Product_ID]],tblProducts[],5,FALSE)</f>
        <v>970.14</v>
      </c>
      <c r="M2406" s="4">
        <f>tblTransactions[[#This Row],[Total_Amount]]-(tblTransactions[[#This Row],[Cost_Prices]]*tblTransactions[[#This Row],[Quantity]]*(1-tblTransactions[[#This Row],[Discount]]))</f>
        <v>2759.4179999999997</v>
      </c>
      <c r="N2406" s="3">
        <f>tblTransactions[[#This Row],[Profit]]/tblTransactions[[#This Row],[Total_Amount]]</f>
        <v>0.24426869912761745</v>
      </c>
      <c r="O2406" t="str">
        <f>TEXT(tblTransactions[[#This Row],[Date]], "MMM-YYYY")</f>
        <v>May-2024</v>
      </c>
      <c r="P2406" t="str">
        <f>"Q"&amp;ROUNDUP(MONTH(tblTransactions[[#This Row],[Date]])/3,0)&amp;"-"&amp;YEAR(tblTransactions[[#This Row],[Date]])</f>
        <v>Q2-2024</v>
      </c>
      <c r="Q2406">
        <f>YEAR(tblTransactions[[#This Row],[Date]])</f>
        <v>2024</v>
      </c>
      <c r="R2406" t="str">
        <f>TEXT(tblTransactions[[#This Row],[Date]],"DDDD")</f>
        <v>Tuesday</v>
      </c>
      <c r="S2406">
        <f>MONTH(tblTransactions[[#This Row],[Date]])</f>
        <v>5</v>
      </c>
      <c r="T2406" t="str">
        <f>VLOOKUP(E2406, Products!$A:$B,2,0)</f>
        <v>Cameras Ele-3</v>
      </c>
      <c r="U2406" t="str">
        <f>VLOOKUP(E2406,Products!$A:$C,3,0)</f>
        <v>Electronics</v>
      </c>
      <c r="V2406" t="str">
        <f>VLOOKUP(E2406,Products!$A:$D,4,0)</f>
        <v>Cameras</v>
      </c>
      <c r="W2406" t="str">
        <f>VLOOKUP(D2406,Customers!$A:$C,3,0)</f>
        <v>B2B</v>
      </c>
      <c r="X2406" t="str">
        <f>VLOOKUP(C2406,Sales_Representatives!$A:$B,2,0)</f>
        <v>Richard Garcia</v>
      </c>
    </row>
    <row r="2407" spans="1:24" x14ac:dyDescent="0.3">
      <c r="A2407" t="s">
        <v>3360</v>
      </c>
      <c r="B2407" t="s">
        <v>3361</v>
      </c>
      <c r="C2407" t="s">
        <v>70</v>
      </c>
      <c r="D2407" t="s">
        <v>2137</v>
      </c>
      <c r="E2407" t="s">
        <v>206</v>
      </c>
      <c r="F2407">
        <v>6</v>
      </c>
      <c r="G2407">
        <v>292.51</v>
      </c>
      <c r="H2407">
        <v>0.15</v>
      </c>
      <c r="I2407" s="4">
        <v>1491.8</v>
      </c>
      <c r="J2407" t="s">
        <v>16</v>
      </c>
      <c r="K2407" t="s">
        <v>39</v>
      </c>
      <c r="L2407" s="4">
        <f>VLOOKUP(tblTransactions[[#This Row],[Product_ID]],tblProducts[],5,FALSE)</f>
        <v>122.08</v>
      </c>
      <c r="M2407" s="4">
        <f>tblTransactions[[#This Row],[Total_Amount]]-(tblTransactions[[#This Row],[Cost_Prices]]*tblTransactions[[#This Row],[Quantity]]*(1-tblTransactions[[#This Row],[Discount]]))</f>
        <v>869.19200000000001</v>
      </c>
      <c r="N2407" s="3">
        <f>tblTransactions[[#This Row],[Profit]]/tblTransactions[[#This Row],[Total_Amount]]</f>
        <v>0.58264646735487335</v>
      </c>
      <c r="O2407" t="str">
        <f>TEXT(tblTransactions[[#This Row],[Date]], "MMM-YYYY")</f>
        <v>May-2024</v>
      </c>
      <c r="P2407" t="str">
        <f>"Q"&amp;ROUNDUP(MONTH(tblTransactions[[#This Row],[Date]])/3,0)&amp;"-"&amp;YEAR(tblTransactions[[#This Row],[Date]])</f>
        <v>Q2-2024</v>
      </c>
      <c r="Q2407">
        <f>YEAR(tblTransactions[[#This Row],[Date]])</f>
        <v>2024</v>
      </c>
      <c r="R2407" t="str">
        <f>TEXT(tblTransactions[[#This Row],[Date]],"DDDD")</f>
        <v>Wednesday</v>
      </c>
      <c r="S2407">
        <f>MONTH(tblTransactions[[#This Row],[Date]])</f>
        <v>5</v>
      </c>
      <c r="T2407" t="str">
        <f>VLOOKUP(E2407, Products!$A:$B,2,0)</f>
        <v>Keyboards Acc-1</v>
      </c>
      <c r="U2407" t="str">
        <f>VLOOKUP(E2407,Products!$A:$C,3,0)</f>
        <v>Accessories</v>
      </c>
      <c r="V2407" t="str">
        <f>VLOOKUP(E2407,Products!$A:$D,4,0)</f>
        <v>Keyboards</v>
      </c>
      <c r="W2407" t="str">
        <f>VLOOKUP(D2407,Customers!$A:$C,3,0)</f>
        <v>B2C</v>
      </c>
      <c r="X2407" t="str">
        <f>VLOOKUP(C2407,Sales_Representatives!$A:$B,2,0)</f>
        <v>Linda Smith</v>
      </c>
    </row>
    <row r="2408" spans="1:24" x14ac:dyDescent="0.3">
      <c r="A2408" t="s">
        <v>3362</v>
      </c>
      <c r="B2408" t="s">
        <v>3361</v>
      </c>
      <c r="C2408" t="s">
        <v>19</v>
      </c>
      <c r="D2408" t="s">
        <v>2179</v>
      </c>
      <c r="E2408" t="s">
        <v>89</v>
      </c>
      <c r="F2408">
        <v>4</v>
      </c>
      <c r="G2408">
        <v>555.08000000000004</v>
      </c>
      <c r="H2408">
        <v>0.08</v>
      </c>
      <c r="I2408" s="4">
        <v>2042.69</v>
      </c>
      <c r="J2408" t="s">
        <v>21</v>
      </c>
      <c r="K2408" t="s">
        <v>48</v>
      </c>
      <c r="L2408" s="4">
        <f>VLOOKUP(tblTransactions[[#This Row],[Product_ID]],tblProducts[],5,FALSE)</f>
        <v>402.82</v>
      </c>
      <c r="M2408" s="4">
        <f>tblTransactions[[#This Row],[Total_Amount]]-(tblTransactions[[#This Row],[Cost_Prices]]*tblTransactions[[#This Row],[Quantity]]*(1-tblTransactions[[#This Row],[Discount]]))</f>
        <v>560.31240000000003</v>
      </c>
      <c r="N2408" s="3">
        <f>tblTransactions[[#This Row],[Profit]]/tblTransactions[[#This Row],[Total_Amount]]</f>
        <v>0.27430124003152706</v>
      </c>
      <c r="O2408" t="str">
        <f>TEXT(tblTransactions[[#This Row],[Date]], "MMM-YYYY")</f>
        <v>May-2024</v>
      </c>
      <c r="P2408" t="str">
        <f>"Q"&amp;ROUNDUP(MONTH(tblTransactions[[#This Row],[Date]])/3,0)&amp;"-"&amp;YEAR(tblTransactions[[#This Row],[Date]])</f>
        <v>Q2-2024</v>
      </c>
      <c r="Q2408">
        <f>YEAR(tblTransactions[[#This Row],[Date]])</f>
        <v>2024</v>
      </c>
      <c r="R2408" t="str">
        <f>TEXT(tblTransactions[[#This Row],[Date]],"DDDD")</f>
        <v>Wednesday</v>
      </c>
      <c r="S2408">
        <f>MONTH(tblTransactions[[#This Row],[Date]])</f>
        <v>5</v>
      </c>
      <c r="T2408" t="str">
        <f>VLOOKUP(E2408, Products!$A:$B,2,0)</f>
        <v>Laptops Ele-3</v>
      </c>
      <c r="U2408" t="str">
        <f>VLOOKUP(E2408,Products!$A:$C,3,0)</f>
        <v>Electronics</v>
      </c>
      <c r="V2408" t="str">
        <f>VLOOKUP(E2408,Products!$A:$D,4,0)</f>
        <v>Laptops</v>
      </c>
      <c r="W2408" t="str">
        <f>VLOOKUP(D2408,Customers!$A:$C,3,0)</f>
        <v>B2C</v>
      </c>
      <c r="X2408" t="str">
        <f>VLOOKUP(C2408,Sales_Representatives!$A:$B,2,0)</f>
        <v>Robert Jones</v>
      </c>
    </row>
    <row r="2409" spans="1:24" x14ac:dyDescent="0.3">
      <c r="A2409" t="s">
        <v>3363</v>
      </c>
      <c r="B2409" t="s">
        <v>3361</v>
      </c>
      <c r="C2409" t="s">
        <v>59</v>
      </c>
      <c r="D2409" t="s">
        <v>50</v>
      </c>
      <c r="E2409" t="s">
        <v>157</v>
      </c>
      <c r="F2409">
        <v>4</v>
      </c>
      <c r="G2409">
        <v>1227.68</v>
      </c>
      <c r="H2409">
        <v>7.0000000000000007E-2</v>
      </c>
      <c r="I2409" s="4">
        <v>4566.97</v>
      </c>
      <c r="J2409" t="s">
        <v>21</v>
      </c>
      <c r="K2409" t="s">
        <v>22</v>
      </c>
      <c r="L2409" s="4">
        <f>VLOOKUP(tblTransactions[[#This Row],[Product_ID]],tblProducts[],5,FALSE)</f>
        <v>846.42</v>
      </c>
      <c r="M2409" s="4">
        <f>tblTransactions[[#This Row],[Total_Amount]]-(tblTransactions[[#This Row],[Cost_Prices]]*tblTransactions[[#This Row],[Quantity]]*(1-tblTransactions[[#This Row],[Discount]]))</f>
        <v>1418.2876000000006</v>
      </c>
      <c r="N2409" s="3">
        <f>tblTransactions[[#This Row],[Profit]]/tblTransactions[[#This Row],[Total_Amount]]</f>
        <v>0.31055329901444512</v>
      </c>
      <c r="O2409" t="str">
        <f>TEXT(tblTransactions[[#This Row],[Date]], "MMM-YYYY")</f>
        <v>May-2024</v>
      </c>
      <c r="P2409" t="str">
        <f>"Q"&amp;ROUNDUP(MONTH(tblTransactions[[#This Row],[Date]])/3,0)&amp;"-"&amp;YEAR(tblTransactions[[#This Row],[Date]])</f>
        <v>Q2-2024</v>
      </c>
      <c r="Q2409">
        <f>YEAR(tblTransactions[[#This Row],[Date]])</f>
        <v>2024</v>
      </c>
      <c r="R2409" t="str">
        <f>TEXT(tblTransactions[[#This Row],[Date]],"DDDD")</f>
        <v>Wednesday</v>
      </c>
      <c r="S2409">
        <f>MONTH(tblTransactions[[#This Row],[Date]])</f>
        <v>5</v>
      </c>
      <c r="T2409" t="str">
        <f>VLOOKUP(E2409, Products!$A:$B,2,0)</f>
        <v>Printers Tec-4</v>
      </c>
      <c r="U2409" t="str">
        <f>VLOOKUP(E2409,Products!$A:$C,3,0)</f>
        <v>Technology</v>
      </c>
      <c r="V2409" t="str">
        <f>VLOOKUP(E2409,Products!$A:$D,4,0)</f>
        <v>Printers</v>
      </c>
      <c r="W2409" t="str">
        <f>VLOOKUP(D2409,Customers!$A:$C,3,0)</f>
        <v>Small Business</v>
      </c>
      <c r="X2409" t="str">
        <f>VLOOKUP(C2409,Sales_Representatives!$A:$B,2,0)</f>
        <v>Sarah Brown</v>
      </c>
    </row>
    <row r="2410" spans="1:24" x14ac:dyDescent="0.3">
      <c r="A2410" t="s">
        <v>3364</v>
      </c>
      <c r="B2410" t="s">
        <v>3361</v>
      </c>
      <c r="C2410" t="s">
        <v>19</v>
      </c>
      <c r="D2410" t="s">
        <v>1654</v>
      </c>
      <c r="E2410" t="s">
        <v>84</v>
      </c>
      <c r="F2410">
        <v>3</v>
      </c>
      <c r="G2410">
        <v>1841.77</v>
      </c>
      <c r="H2410">
        <v>7.0000000000000007E-2</v>
      </c>
      <c r="I2410" s="4">
        <v>5138.54</v>
      </c>
      <c r="J2410" t="s">
        <v>21</v>
      </c>
      <c r="K2410" t="s">
        <v>48</v>
      </c>
      <c r="L2410" s="4">
        <f>VLOOKUP(tblTransactions[[#This Row],[Product_ID]],tblProducts[],5,FALSE)</f>
        <v>1151.5899999999999</v>
      </c>
      <c r="M2410" s="4">
        <f>tblTransactions[[#This Row],[Total_Amount]]-(tblTransactions[[#This Row],[Cost_Prices]]*tblTransactions[[#This Row],[Quantity]]*(1-tblTransactions[[#This Row],[Discount]]))</f>
        <v>1925.6039000000005</v>
      </c>
      <c r="N2410" s="3">
        <f>tblTransactions[[#This Row],[Profit]]/tblTransactions[[#This Row],[Total_Amount]]</f>
        <v>0.3747375519116326</v>
      </c>
      <c r="O2410" t="str">
        <f>TEXT(tblTransactions[[#This Row],[Date]], "MMM-YYYY")</f>
        <v>May-2024</v>
      </c>
      <c r="P2410" t="str">
        <f>"Q"&amp;ROUNDUP(MONTH(tblTransactions[[#This Row],[Date]])/3,0)&amp;"-"&amp;YEAR(tblTransactions[[#This Row],[Date]])</f>
        <v>Q2-2024</v>
      </c>
      <c r="Q2410">
        <f>YEAR(tblTransactions[[#This Row],[Date]])</f>
        <v>2024</v>
      </c>
      <c r="R2410" t="str">
        <f>TEXT(tblTransactions[[#This Row],[Date]],"DDDD")</f>
        <v>Wednesday</v>
      </c>
      <c r="S2410">
        <f>MONTH(tblTransactions[[#This Row],[Date]])</f>
        <v>5</v>
      </c>
      <c r="T2410" t="str">
        <f>VLOOKUP(E2410, Products!$A:$B,2,0)</f>
        <v>Laptops Ele-2</v>
      </c>
      <c r="U2410" t="str">
        <f>VLOOKUP(E2410,Products!$A:$C,3,0)</f>
        <v>Electronics</v>
      </c>
      <c r="V2410" t="str">
        <f>VLOOKUP(E2410,Products!$A:$D,4,0)</f>
        <v>Laptops</v>
      </c>
      <c r="W2410" t="str">
        <f>VLOOKUP(D2410,Customers!$A:$C,3,0)</f>
        <v>B2C</v>
      </c>
      <c r="X2410" t="str">
        <f>VLOOKUP(C2410,Sales_Representatives!$A:$B,2,0)</f>
        <v>Robert Jones</v>
      </c>
    </row>
    <row r="2411" spans="1:24" x14ac:dyDescent="0.3">
      <c r="A2411" t="s">
        <v>3365</v>
      </c>
      <c r="B2411" t="s">
        <v>3361</v>
      </c>
      <c r="C2411" t="s">
        <v>127</v>
      </c>
      <c r="D2411" t="s">
        <v>1571</v>
      </c>
      <c r="E2411" t="s">
        <v>221</v>
      </c>
      <c r="F2411">
        <v>5</v>
      </c>
      <c r="G2411">
        <v>210.02</v>
      </c>
      <c r="H2411">
        <v>7.0000000000000007E-2</v>
      </c>
      <c r="I2411" s="4">
        <v>976.59</v>
      </c>
      <c r="J2411" t="s">
        <v>109</v>
      </c>
      <c r="K2411" t="s">
        <v>48</v>
      </c>
      <c r="L2411" s="4">
        <f>VLOOKUP(tblTransactions[[#This Row],[Product_ID]],tblProducts[],5,FALSE)</f>
        <v>131.66</v>
      </c>
      <c r="M2411" s="4">
        <f>tblTransactions[[#This Row],[Total_Amount]]-(tblTransactions[[#This Row],[Cost_Prices]]*tblTransactions[[#This Row],[Quantity]]*(1-tblTransactions[[#This Row],[Discount]]))</f>
        <v>364.37100000000009</v>
      </c>
      <c r="N2411" s="3">
        <f>tblTransactions[[#This Row],[Profit]]/tblTransactions[[#This Row],[Total_Amount]]</f>
        <v>0.37310539735201065</v>
      </c>
      <c r="O2411" t="str">
        <f>TEXT(tblTransactions[[#This Row],[Date]], "MMM-YYYY")</f>
        <v>May-2024</v>
      </c>
      <c r="P2411" t="str">
        <f>"Q"&amp;ROUNDUP(MONTH(tblTransactions[[#This Row],[Date]])/3,0)&amp;"-"&amp;YEAR(tblTransactions[[#This Row],[Date]])</f>
        <v>Q2-2024</v>
      </c>
      <c r="Q2411">
        <f>YEAR(tblTransactions[[#This Row],[Date]])</f>
        <v>2024</v>
      </c>
      <c r="R2411" t="str">
        <f>TEXT(tblTransactions[[#This Row],[Date]],"DDDD")</f>
        <v>Wednesday</v>
      </c>
      <c r="S2411">
        <f>MONTH(tblTransactions[[#This Row],[Date]])</f>
        <v>5</v>
      </c>
      <c r="T2411" t="str">
        <f>VLOOKUP(E2411, Products!$A:$B,2,0)</f>
        <v>Storage Fur-2</v>
      </c>
      <c r="U2411" t="str">
        <f>VLOOKUP(E2411,Products!$A:$C,3,0)</f>
        <v>Furniture</v>
      </c>
      <c r="V2411" t="str">
        <f>VLOOKUP(E2411,Products!$A:$D,4,0)</f>
        <v>Storage</v>
      </c>
      <c r="W2411" t="str">
        <f>VLOOKUP(D2411,Customers!$A:$C,3,0)</f>
        <v>B2C</v>
      </c>
      <c r="X2411" t="str">
        <f>VLOOKUP(C2411,Sales_Representatives!$A:$B,2,0)</f>
        <v>Emily Hernandez</v>
      </c>
    </row>
    <row r="2412" spans="1:24" x14ac:dyDescent="0.3">
      <c r="A2412" t="s">
        <v>3366</v>
      </c>
      <c r="B2412" t="s">
        <v>3361</v>
      </c>
      <c r="C2412" t="s">
        <v>131</v>
      </c>
      <c r="D2412" t="s">
        <v>42</v>
      </c>
      <c r="E2412" t="s">
        <v>221</v>
      </c>
      <c r="F2412">
        <v>5</v>
      </c>
      <c r="G2412">
        <v>210.02</v>
      </c>
      <c r="H2412">
        <v>0.03</v>
      </c>
      <c r="I2412" s="4">
        <v>1018.6</v>
      </c>
      <c r="J2412" t="s">
        <v>44</v>
      </c>
      <c r="K2412" t="s">
        <v>35</v>
      </c>
      <c r="L2412" s="4">
        <f>VLOOKUP(tblTransactions[[#This Row],[Product_ID]],tblProducts[],5,FALSE)</f>
        <v>131.66</v>
      </c>
      <c r="M2412" s="4">
        <f>tblTransactions[[#This Row],[Total_Amount]]-(tblTransactions[[#This Row],[Cost_Prices]]*tblTransactions[[#This Row],[Quantity]]*(1-tblTransactions[[#This Row],[Discount]]))</f>
        <v>380.04900000000009</v>
      </c>
      <c r="N2412" s="3">
        <f>tblTransactions[[#This Row],[Profit]]/tblTransactions[[#This Row],[Total_Amount]]</f>
        <v>0.37310916944826239</v>
      </c>
      <c r="O2412" t="str">
        <f>TEXT(tblTransactions[[#This Row],[Date]], "MMM-YYYY")</f>
        <v>May-2024</v>
      </c>
      <c r="P2412" t="str">
        <f>"Q"&amp;ROUNDUP(MONTH(tblTransactions[[#This Row],[Date]])/3,0)&amp;"-"&amp;YEAR(tblTransactions[[#This Row],[Date]])</f>
        <v>Q2-2024</v>
      </c>
      <c r="Q2412">
        <f>YEAR(tblTransactions[[#This Row],[Date]])</f>
        <v>2024</v>
      </c>
      <c r="R2412" t="str">
        <f>TEXT(tblTransactions[[#This Row],[Date]],"DDDD")</f>
        <v>Wednesday</v>
      </c>
      <c r="S2412">
        <f>MONTH(tblTransactions[[#This Row],[Date]])</f>
        <v>5</v>
      </c>
      <c r="T2412" t="str">
        <f>VLOOKUP(E2412, Products!$A:$B,2,0)</f>
        <v>Storage Fur-2</v>
      </c>
      <c r="U2412" t="str">
        <f>VLOOKUP(E2412,Products!$A:$C,3,0)</f>
        <v>Furniture</v>
      </c>
      <c r="V2412" t="str">
        <f>VLOOKUP(E2412,Products!$A:$D,4,0)</f>
        <v>Storage</v>
      </c>
      <c r="W2412" t="str">
        <f>VLOOKUP(D2412,Customers!$A:$C,3,0)</f>
        <v>B2C</v>
      </c>
      <c r="X2412" t="str">
        <f>VLOOKUP(C2412,Sales_Representatives!$A:$B,2,0)</f>
        <v>Michael Davis</v>
      </c>
    </row>
    <row r="2413" spans="1:24" x14ac:dyDescent="0.3">
      <c r="A2413" t="s">
        <v>3367</v>
      </c>
      <c r="B2413" t="s">
        <v>3361</v>
      </c>
      <c r="C2413" t="s">
        <v>19</v>
      </c>
      <c r="D2413" t="s">
        <v>2600</v>
      </c>
      <c r="E2413" t="s">
        <v>20</v>
      </c>
      <c r="F2413">
        <v>45</v>
      </c>
      <c r="G2413">
        <v>1219.49</v>
      </c>
      <c r="H2413">
        <v>0.17</v>
      </c>
      <c r="I2413" s="4">
        <v>45547.95</v>
      </c>
      <c r="J2413" t="s">
        <v>21</v>
      </c>
      <c r="K2413" t="s">
        <v>48</v>
      </c>
      <c r="L2413" s="4">
        <f>VLOOKUP(tblTransactions[[#This Row],[Product_ID]],tblProducts[],5,FALSE)</f>
        <v>686.9</v>
      </c>
      <c r="M2413" s="4">
        <f>tblTransactions[[#This Row],[Total_Amount]]-(tblTransactions[[#This Row],[Cost_Prices]]*tblTransactions[[#This Row],[Quantity]]*(1-tblTransactions[[#This Row],[Discount]]))</f>
        <v>19892.234999999997</v>
      </c>
      <c r="N2413" s="3">
        <f>tblTransactions[[#This Row],[Profit]]/tblTransactions[[#This Row],[Total_Amount]]</f>
        <v>0.43673172996808851</v>
      </c>
      <c r="O2413" t="str">
        <f>TEXT(tblTransactions[[#This Row],[Date]], "MMM-YYYY")</f>
        <v>May-2024</v>
      </c>
      <c r="P2413" t="str">
        <f>"Q"&amp;ROUNDUP(MONTH(tblTransactions[[#This Row],[Date]])/3,0)&amp;"-"&amp;YEAR(tblTransactions[[#This Row],[Date]])</f>
        <v>Q2-2024</v>
      </c>
      <c r="Q2413">
        <f>YEAR(tblTransactions[[#This Row],[Date]])</f>
        <v>2024</v>
      </c>
      <c r="R2413" t="str">
        <f>TEXT(tblTransactions[[#This Row],[Date]],"DDDD")</f>
        <v>Wednesday</v>
      </c>
      <c r="S2413">
        <f>MONTH(tblTransactions[[#This Row],[Date]])</f>
        <v>5</v>
      </c>
      <c r="T2413" t="str">
        <f>VLOOKUP(E2413, Products!$A:$B,2,0)</f>
        <v>Laptops Ele-1</v>
      </c>
      <c r="U2413" t="str">
        <f>VLOOKUP(E2413,Products!$A:$C,3,0)</f>
        <v>Electronics</v>
      </c>
      <c r="V2413" t="str">
        <f>VLOOKUP(E2413,Products!$A:$D,4,0)</f>
        <v>Laptops</v>
      </c>
      <c r="W2413" t="str">
        <f>VLOOKUP(D2413,Customers!$A:$C,3,0)</f>
        <v>Enterprise</v>
      </c>
      <c r="X2413" t="str">
        <f>VLOOKUP(C2413,Sales_Representatives!$A:$B,2,0)</f>
        <v>Robert Jones</v>
      </c>
    </row>
    <row r="2414" spans="1:24" x14ac:dyDescent="0.3">
      <c r="A2414" t="s">
        <v>3368</v>
      </c>
      <c r="B2414" t="s">
        <v>3369</v>
      </c>
      <c r="C2414" t="s">
        <v>56</v>
      </c>
      <c r="D2414" t="s">
        <v>2173</v>
      </c>
      <c r="E2414" t="s">
        <v>152</v>
      </c>
      <c r="F2414">
        <v>5</v>
      </c>
      <c r="G2414">
        <v>859.93</v>
      </c>
      <c r="H2414">
        <v>0.01</v>
      </c>
      <c r="I2414" s="4">
        <v>4256.6499999999996</v>
      </c>
      <c r="J2414" t="s">
        <v>34</v>
      </c>
      <c r="K2414" t="s">
        <v>17</v>
      </c>
      <c r="L2414" s="4">
        <f>VLOOKUP(tblTransactions[[#This Row],[Product_ID]],tblProducts[],5,FALSE)</f>
        <v>579.79</v>
      </c>
      <c r="M2414" s="4">
        <f>tblTransactions[[#This Row],[Total_Amount]]-(tblTransactions[[#This Row],[Cost_Prices]]*tblTransactions[[#This Row],[Quantity]]*(1-tblTransactions[[#This Row],[Discount]]))</f>
        <v>1386.6895</v>
      </c>
      <c r="N2414" s="3">
        <f>tblTransactions[[#This Row],[Profit]]/tblTransactions[[#This Row],[Total_Amount]]</f>
        <v>0.32577014788624858</v>
      </c>
      <c r="O2414" t="str">
        <f>TEXT(tblTransactions[[#This Row],[Date]], "MMM-YYYY")</f>
        <v>May-2024</v>
      </c>
      <c r="P2414" t="str">
        <f>"Q"&amp;ROUNDUP(MONTH(tblTransactions[[#This Row],[Date]])/3,0)&amp;"-"&amp;YEAR(tblTransactions[[#This Row],[Date]])</f>
        <v>Q2-2024</v>
      </c>
      <c r="Q2414">
        <f>YEAR(tblTransactions[[#This Row],[Date]])</f>
        <v>2024</v>
      </c>
      <c r="R2414" t="str">
        <f>TEXT(tblTransactions[[#This Row],[Date]],"DDDD")</f>
        <v>Thursday</v>
      </c>
      <c r="S2414">
        <f>MONTH(tblTransactions[[#This Row],[Date]])</f>
        <v>5</v>
      </c>
      <c r="T2414" t="str">
        <f>VLOOKUP(E2414, Products!$A:$B,2,0)</f>
        <v>Phones Ele-4</v>
      </c>
      <c r="U2414" t="str">
        <f>VLOOKUP(E2414,Products!$A:$C,3,0)</f>
        <v>Electronics</v>
      </c>
      <c r="V2414" t="str">
        <f>VLOOKUP(E2414,Products!$A:$D,4,0)</f>
        <v>Phones</v>
      </c>
      <c r="W2414" t="str">
        <f>VLOOKUP(D2414,Customers!$A:$C,3,0)</f>
        <v>B2C</v>
      </c>
      <c r="X2414" t="str">
        <f>VLOOKUP(C2414,Sales_Representatives!$A:$B,2,0)</f>
        <v>Thomas Hernandez</v>
      </c>
    </row>
    <row r="2415" spans="1:24" x14ac:dyDescent="0.3">
      <c r="A2415" t="s">
        <v>3370</v>
      </c>
      <c r="B2415" t="s">
        <v>3369</v>
      </c>
      <c r="C2415" t="s">
        <v>70</v>
      </c>
      <c r="D2415" t="s">
        <v>1879</v>
      </c>
      <c r="E2415" t="s">
        <v>172</v>
      </c>
      <c r="F2415">
        <v>1</v>
      </c>
      <c r="G2415">
        <v>1371.15</v>
      </c>
      <c r="H2415">
        <v>0.09</v>
      </c>
      <c r="I2415" s="4">
        <v>1247.75</v>
      </c>
      <c r="J2415" t="s">
        <v>16</v>
      </c>
      <c r="K2415" t="s">
        <v>39</v>
      </c>
      <c r="L2415" s="4">
        <f>VLOOKUP(tblTransactions[[#This Row],[Product_ID]],tblProducts[],5,FALSE)</f>
        <v>989.81</v>
      </c>
      <c r="M2415" s="4">
        <f>tblTransactions[[#This Row],[Total_Amount]]-(tblTransactions[[#This Row],[Cost_Prices]]*tblTransactions[[#This Row],[Quantity]]*(1-tblTransactions[[#This Row],[Discount]]))</f>
        <v>347.02290000000005</v>
      </c>
      <c r="N2415" s="3">
        <f>tblTransactions[[#This Row],[Profit]]/tblTransactions[[#This Row],[Total_Amount]]</f>
        <v>0.27811893408134647</v>
      </c>
      <c r="O2415" t="str">
        <f>TEXT(tblTransactions[[#This Row],[Date]], "MMM-YYYY")</f>
        <v>May-2024</v>
      </c>
      <c r="P2415" t="str">
        <f>"Q"&amp;ROUNDUP(MONTH(tblTransactions[[#This Row],[Date]])/3,0)&amp;"-"&amp;YEAR(tblTransactions[[#This Row],[Date]])</f>
        <v>Q2-2024</v>
      </c>
      <c r="Q2415">
        <f>YEAR(tblTransactions[[#This Row],[Date]])</f>
        <v>2024</v>
      </c>
      <c r="R2415" t="str">
        <f>TEXT(tblTransactions[[#This Row],[Date]],"DDDD")</f>
        <v>Thursday</v>
      </c>
      <c r="S2415">
        <f>MONTH(tblTransactions[[#This Row],[Date]])</f>
        <v>5</v>
      </c>
      <c r="T2415" t="str">
        <f>VLOOKUP(E2415, Products!$A:$B,2,0)</f>
        <v>Cameras Ele-4</v>
      </c>
      <c r="U2415" t="str">
        <f>VLOOKUP(E2415,Products!$A:$C,3,0)</f>
        <v>Electronics</v>
      </c>
      <c r="V2415" t="str">
        <f>VLOOKUP(E2415,Products!$A:$D,4,0)</f>
        <v>Cameras</v>
      </c>
      <c r="W2415" t="str">
        <f>VLOOKUP(D2415,Customers!$A:$C,3,0)</f>
        <v>B2C</v>
      </c>
      <c r="X2415" t="str">
        <f>VLOOKUP(C2415,Sales_Representatives!$A:$B,2,0)</f>
        <v>Linda Smith</v>
      </c>
    </row>
    <row r="2416" spans="1:24" x14ac:dyDescent="0.3">
      <c r="A2416" t="s">
        <v>3371</v>
      </c>
      <c r="B2416" t="s">
        <v>3369</v>
      </c>
      <c r="C2416" t="s">
        <v>141</v>
      </c>
      <c r="D2416" t="s">
        <v>1616</v>
      </c>
      <c r="E2416" t="s">
        <v>178</v>
      </c>
      <c r="F2416">
        <v>44</v>
      </c>
      <c r="G2416">
        <v>1623.35</v>
      </c>
      <c r="H2416">
        <v>0.24</v>
      </c>
      <c r="I2416" s="4">
        <v>54284.82</v>
      </c>
      <c r="J2416" t="s">
        <v>109</v>
      </c>
      <c r="K2416" t="s">
        <v>35</v>
      </c>
      <c r="L2416" s="4">
        <f>VLOOKUP(tblTransactions[[#This Row],[Product_ID]],tblProducts[],5,FALSE)</f>
        <v>981.45</v>
      </c>
      <c r="M2416" s="4">
        <f>tblTransactions[[#This Row],[Total_Amount]]-(tblTransactions[[#This Row],[Cost_Prices]]*tblTransactions[[#This Row],[Quantity]]*(1-tblTransactions[[#This Row],[Discount]]))</f>
        <v>21465.131999999998</v>
      </c>
      <c r="N2416" s="3">
        <f>tblTransactions[[#This Row],[Profit]]/tblTransactions[[#This Row],[Total_Amount]]</f>
        <v>0.39541684028794788</v>
      </c>
      <c r="O2416" t="str">
        <f>TEXT(tblTransactions[[#This Row],[Date]], "MMM-YYYY")</f>
        <v>May-2024</v>
      </c>
      <c r="P2416" t="str">
        <f>"Q"&amp;ROUNDUP(MONTH(tblTransactions[[#This Row],[Date]])/3,0)&amp;"-"&amp;YEAR(tblTransactions[[#This Row],[Date]])</f>
        <v>Q2-2024</v>
      </c>
      <c r="Q2416">
        <f>YEAR(tblTransactions[[#This Row],[Date]])</f>
        <v>2024</v>
      </c>
      <c r="R2416" t="str">
        <f>TEXT(tblTransactions[[#This Row],[Date]],"DDDD")</f>
        <v>Thursday</v>
      </c>
      <c r="S2416">
        <f>MONTH(tblTransactions[[#This Row],[Date]])</f>
        <v>5</v>
      </c>
      <c r="T2416" t="str">
        <f>VLOOKUP(E2416, Products!$A:$B,2,0)</f>
        <v>Tablets Ele-1</v>
      </c>
      <c r="U2416" t="str">
        <f>VLOOKUP(E2416,Products!$A:$C,3,0)</f>
        <v>Electronics</v>
      </c>
      <c r="V2416" t="str">
        <f>VLOOKUP(E2416,Products!$A:$D,4,0)</f>
        <v>Tablets</v>
      </c>
      <c r="W2416" t="str">
        <f>VLOOKUP(D2416,Customers!$A:$C,3,0)</f>
        <v>Enterprise</v>
      </c>
      <c r="X2416" t="str">
        <f>VLOOKUP(C2416,Sales_Representatives!$A:$B,2,0)</f>
        <v>Richard Garcia</v>
      </c>
    </row>
    <row r="2417" spans="1:24" x14ac:dyDescent="0.3">
      <c r="A2417" t="s">
        <v>3372</v>
      </c>
      <c r="B2417" t="s">
        <v>3369</v>
      </c>
      <c r="C2417" t="s">
        <v>70</v>
      </c>
      <c r="D2417" t="s">
        <v>1453</v>
      </c>
      <c r="E2417" t="s">
        <v>89</v>
      </c>
      <c r="F2417">
        <v>19</v>
      </c>
      <c r="G2417">
        <v>555.08000000000004</v>
      </c>
      <c r="H2417">
        <v>0.19</v>
      </c>
      <c r="I2417" s="4">
        <v>8542.68</v>
      </c>
      <c r="J2417" t="s">
        <v>16</v>
      </c>
      <c r="K2417" t="s">
        <v>17</v>
      </c>
      <c r="L2417" s="4">
        <f>VLOOKUP(tblTransactions[[#This Row],[Product_ID]],tblProducts[],5,FALSE)</f>
        <v>402.82</v>
      </c>
      <c r="M2417" s="4">
        <f>tblTransactions[[#This Row],[Total_Amount]]-(tblTransactions[[#This Row],[Cost_Prices]]*tblTransactions[[#This Row],[Quantity]]*(1-tblTransactions[[#This Row],[Discount]]))</f>
        <v>2343.2802000000001</v>
      </c>
      <c r="N2417" s="3">
        <f>tblTransactions[[#This Row],[Profit]]/tblTransactions[[#This Row],[Total_Amount]]</f>
        <v>0.27430270126002615</v>
      </c>
      <c r="O2417" t="str">
        <f>TEXT(tblTransactions[[#This Row],[Date]], "MMM-YYYY")</f>
        <v>May-2024</v>
      </c>
      <c r="P2417" t="str">
        <f>"Q"&amp;ROUNDUP(MONTH(tblTransactions[[#This Row],[Date]])/3,0)&amp;"-"&amp;YEAR(tblTransactions[[#This Row],[Date]])</f>
        <v>Q2-2024</v>
      </c>
      <c r="Q2417">
        <f>YEAR(tblTransactions[[#This Row],[Date]])</f>
        <v>2024</v>
      </c>
      <c r="R2417" t="str">
        <f>TEXT(tblTransactions[[#This Row],[Date]],"DDDD")</f>
        <v>Thursday</v>
      </c>
      <c r="S2417">
        <f>MONTH(tblTransactions[[#This Row],[Date]])</f>
        <v>5</v>
      </c>
      <c r="T2417" t="str">
        <f>VLOOKUP(E2417, Products!$A:$B,2,0)</f>
        <v>Laptops Ele-3</v>
      </c>
      <c r="U2417" t="str">
        <f>VLOOKUP(E2417,Products!$A:$C,3,0)</f>
        <v>Electronics</v>
      </c>
      <c r="V2417" t="str">
        <f>VLOOKUP(E2417,Products!$A:$D,4,0)</f>
        <v>Laptops</v>
      </c>
      <c r="W2417" t="str">
        <f>VLOOKUP(D2417,Customers!$A:$C,3,0)</f>
        <v>B2B</v>
      </c>
      <c r="X2417" t="str">
        <f>VLOOKUP(C2417,Sales_Representatives!$A:$B,2,0)</f>
        <v>Linda Smith</v>
      </c>
    </row>
    <row r="2418" spans="1:24" x14ac:dyDescent="0.3">
      <c r="A2418" t="s">
        <v>3373</v>
      </c>
      <c r="B2418" t="s">
        <v>3369</v>
      </c>
      <c r="C2418" t="s">
        <v>13</v>
      </c>
      <c r="D2418" t="s">
        <v>1725</v>
      </c>
      <c r="E2418" t="s">
        <v>157</v>
      </c>
      <c r="F2418">
        <v>5</v>
      </c>
      <c r="G2418">
        <v>1227.68</v>
      </c>
      <c r="H2418">
        <v>0.02</v>
      </c>
      <c r="I2418" s="4">
        <v>6015.63</v>
      </c>
      <c r="J2418" t="s">
        <v>16</v>
      </c>
      <c r="K2418" t="s">
        <v>17</v>
      </c>
      <c r="L2418" s="4">
        <f>VLOOKUP(tblTransactions[[#This Row],[Product_ID]],tblProducts[],5,FALSE)</f>
        <v>846.42</v>
      </c>
      <c r="M2418" s="4">
        <f>tblTransactions[[#This Row],[Total_Amount]]-(tblTransactions[[#This Row],[Cost_Prices]]*tblTransactions[[#This Row],[Quantity]]*(1-tblTransactions[[#This Row],[Discount]]))</f>
        <v>1868.1720000000005</v>
      </c>
      <c r="N2418" s="3">
        <f>tblTransactions[[#This Row],[Profit]]/tblTransactions[[#This Row],[Total_Amount]]</f>
        <v>0.31055300941048575</v>
      </c>
      <c r="O2418" t="str">
        <f>TEXT(tblTransactions[[#This Row],[Date]], "MMM-YYYY")</f>
        <v>May-2024</v>
      </c>
      <c r="P2418" t="str">
        <f>"Q"&amp;ROUNDUP(MONTH(tblTransactions[[#This Row],[Date]])/3,0)&amp;"-"&amp;YEAR(tblTransactions[[#This Row],[Date]])</f>
        <v>Q2-2024</v>
      </c>
      <c r="Q2418">
        <f>YEAR(tblTransactions[[#This Row],[Date]])</f>
        <v>2024</v>
      </c>
      <c r="R2418" t="str">
        <f>TEXT(tblTransactions[[#This Row],[Date]],"DDDD")</f>
        <v>Thursday</v>
      </c>
      <c r="S2418">
        <f>MONTH(tblTransactions[[#This Row],[Date]])</f>
        <v>5</v>
      </c>
      <c r="T2418" t="str">
        <f>VLOOKUP(E2418, Products!$A:$B,2,0)</f>
        <v>Printers Tec-4</v>
      </c>
      <c r="U2418" t="str">
        <f>VLOOKUP(E2418,Products!$A:$C,3,0)</f>
        <v>Technology</v>
      </c>
      <c r="V2418" t="str">
        <f>VLOOKUP(E2418,Products!$A:$D,4,0)</f>
        <v>Printers</v>
      </c>
      <c r="W2418" t="str">
        <f>VLOOKUP(D2418,Customers!$A:$C,3,0)</f>
        <v>B2C</v>
      </c>
      <c r="X2418" t="str">
        <f>VLOOKUP(C2418,Sales_Representatives!$A:$B,2,0)</f>
        <v>Jennifer Rodriguez</v>
      </c>
    </row>
    <row r="2419" spans="1:24" x14ac:dyDescent="0.3">
      <c r="A2419" t="s">
        <v>3374</v>
      </c>
      <c r="B2419" t="s">
        <v>3369</v>
      </c>
      <c r="C2419" t="s">
        <v>41</v>
      </c>
      <c r="D2419" t="s">
        <v>1910</v>
      </c>
      <c r="E2419" t="s">
        <v>198</v>
      </c>
      <c r="F2419">
        <v>6</v>
      </c>
      <c r="G2419">
        <v>1802.96</v>
      </c>
      <c r="H2419">
        <v>7.0000000000000007E-2</v>
      </c>
      <c r="I2419" s="4">
        <v>10060.52</v>
      </c>
      <c r="J2419" t="s">
        <v>44</v>
      </c>
      <c r="K2419" t="s">
        <v>48</v>
      </c>
      <c r="L2419" s="4">
        <f>VLOOKUP(tblTransactions[[#This Row],[Product_ID]],tblProducts[],5,FALSE)</f>
        <v>1282.18</v>
      </c>
      <c r="M2419" s="4">
        <f>tblTransactions[[#This Row],[Total_Amount]]-(tblTransactions[[#This Row],[Cost_Prices]]*tblTransactions[[#This Row],[Quantity]]*(1-tblTransactions[[#This Row],[Discount]]))</f>
        <v>2905.9556000000011</v>
      </c>
      <c r="N2419" s="3">
        <f>tblTransactions[[#This Row],[Profit]]/tblTransactions[[#This Row],[Total_Amount]]</f>
        <v>0.28884745520112293</v>
      </c>
      <c r="O2419" t="str">
        <f>TEXT(tblTransactions[[#This Row],[Date]], "MMM-YYYY")</f>
        <v>May-2024</v>
      </c>
      <c r="P2419" t="str">
        <f>"Q"&amp;ROUNDUP(MONTH(tblTransactions[[#This Row],[Date]])/3,0)&amp;"-"&amp;YEAR(tblTransactions[[#This Row],[Date]])</f>
        <v>Q2-2024</v>
      </c>
      <c r="Q2419">
        <f>YEAR(tblTransactions[[#This Row],[Date]])</f>
        <v>2024</v>
      </c>
      <c r="R2419" t="str">
        <f>TEXT(tblTransactions[[#This Row],[Date]],"DDDD")</f>
        <v>Thursday</v>
      </c>
      <c r="S2419">
        <f>MONTH(tblTransactions[[#This Row],[Date]])</f>
        <v>5</v>
      </c>
      <c r="T2419" t="str">
        <f>VLOOKUP(E2419, Products!$A:$B,2,0)</f>
        <v>Tablets Ele-3</v>
      </c>
      <c r="U2419" t="str">
        <f>VLOOKUP(E2419,Products!$A:$C,3,0)</f>
        <v>Electronics</v>
      </c>
      <c r="V2419" t="str">
        <f>VLOOKUP(E2419,Products!$A:$D,4,0)</f>
        <v>Tablets</v>
      </c>
      <c r="W2419" t="str">
        <f>VLOOKUP(D2419,Customers!$A:$C,3,0)</f>
        <v>B2C</v>
      </c>
      <c r="X2419" t="str">
        <f>VLOOKUP(C2419,Sales_Representatives!$A:$B,2,0)</f>
        <v>Robert Jones</v>
      </c>
    </row>
    <row r="2420" spans="1:24" x14ac:dyDescent="0.3">
      <c r="A2420" t="s">
        <v>3375</v>
      </c>
      <c r="B2420" t="s">
        <v>3376</v>
      </c>
      <c r="C2420" t="s">
        <v>75</v>
      </c>
      <c r="D2420" t="s">
        <v>1938</v>
      </c>
      <c r="E2420" t="s">
        <v>91</v>
      </c>
      <c r="F2420">
        <v>6</v>
      </c>
      <c r="G2420">
        <v>286.62</v>
      </c>
      <c r="H2420">
        <v>0.08</v>
      </c>
      <c r="I2420" s="4">
        <v>1582.14</v>
      </c>
      <c r="J2420" t="s">
        <v>44</v>
      </c>
      <c r="K2420" t="s">
        <v>35</v>
      </c>
      <c r="L2420" s="4">
        <f>VLOOKUP(tblTransactions[[#This Row],[Product_ID]],tblProducts[],5,FALSE)</f>
        <v>145.54</v>
      </c>
      <c r="M2420" s="4">
        <f>tblTransactions[[#This Row],[Total_Amount]]-(tblTransactions[[#This Row],[Cost_Prices]]*tblTransactions[[#This Row],[Quantity]]*(1-tblTransactions[[#This Row],[Discount]]))</f>
        <v>778.75920000000008</v>
      </c>
      <c r="N2420" s="3">
        <f>tblTransactions[[#This Row],[Profit]]/tblTransactions[[#This Row],[Total_Amount]]</f>
        <v>0.49221889339755015</v>
      </c>
      <c r="O2420" t="str">
        <f>TEXT(tblTransactions[[#This Row],[Date]], "MMM-YYYY")</f>
        <v>May-2024</v>
      </c>
      <c r="P2420" t="str">
        <f>"Q"&amp;ROUNDUP(MONTH(tblTransactions[[#This Row],[Date]])/3,0)&amp;"-"&amp;YEAR(tblTransactions[[#This Row],[Date]])</f>
        <v>Q2-2024</v>
      </c>
      <c r="Q2420">
        <f>YEAR(tblTransactions[[#This Row],[Date]])</f>
        <v>2024</v>
      </c>
      <c r="R2420" t="str">
        <f>TEXT(tblTransactions[[#This Row],[Date]],"DDDD")</f>
        <v>Friday</v>
      </c>
      <c r="S2420">
        <f>MONTH(tblTransactions[[#This Row],[Date]])</f>
        <v>5</v>
      </c>
      <c r="T2420" t="str">
        <f>VLOOKUP(E2420, Products!$A:$B,2,0)</f>
        <v>Chairs Fur-1</v>
      </c>
      <c r="U2420" t="str">
        <f>VLOOKUP(E2420,Products!$A:$C,3,0)</f>
        <v>Furniture</v>
      </c>
      <c r="V2420" t="str">
        <f>VLOOKUP(E2420,Products!$A:$D,4,0)</f>
        <v>Chairs</v>
      </c>
      <c r="W2420" t="str">
        <f>VLOOKUP(D2420,Customers!$A:$C,3,0)</f>
        <v>B2C</v>
      </c>
      <c r="X2420" t="str">
        <f>VLOOKUP(C2420,Sales_Representatives!$A:$B,2,0)</f>
        <v>Jessica Anderson</v>
      </c>
    </row>
    <row r="2421" spans="1:24" x14ac:dyDescent="0.3">
      <c r="A2421" t="s">
        <v>3377</v>
      </c>
      <c r="B2421" t="s">
        <v>3376</v>
      </c>
      <c r="C2421" t="s">
        <v>82</v>
      </c>
      <c r="D2421" t="s">
        <v>2166</v>
      </c>
      <c r="E2421" t="s">
        <v>96</v>
      </c>
      <c r="F2421">
        <v>7</v>
      </c>
      <c r="G2421">
        <v>751.9</v>
      </c>
      <c r="H2421">
        <v>0.12</v>
      </c>
      <c r="I2421" s="4">
        <v>4631.7</v>
      </c>
      <c r="J2421" t="s">
        <v>34</v>
      </c>
      <c r="K2421" t="s">
        <v>17</v>
      </c>
      <c r="L2421" s="4">
        <f>VLOOKUP(tblTransactions[[#This Row],[Product_ID]],tblProducts[],5,FALSE)</f>
        <v>570.29</v>
      </c>
      <c r="M2421" s="4">
        <f>tblTransactions[[#This Row],[Total_Amount]]-(tblTransactions[[#This Row],[Cost_Prices]]*tblTransactions[[#This Row],[Quantity]]*(1-tblTransactions[[#This Row],[Discount]]))</f>
        <v>1118.7136</v>
      </c>
      <c r="N2421" s="3">
        <f>tblTransactions[[#This Row],[Profit]]/tblTransactions[[#This Row],[Total_Amount]]</f>
        <v>0.24153412353995296</v>
      </c>
      <c r="O2421" t="str">
        <f>TEXT(tblTransactions[[#This Row],[Date]], "MMM-YYYY")</f>
        <v>May-2024</v>
      </c>
      <c r="P2421" t="str">
        <f>"Q"&amp;ROUNDUP(MONTH(tblTransactions[[#This Row],[Date]])/3,0)&amp;"-"&amp;YEAR(tblTransactions[[#This Row],[Date]])</f>
        <v>Q2-2024</v>
      </c>
      <c r="Q2421">
        <f>YEAR(tblTransactions[[#This Row],[Date]])</f>
        <v>2024</v>
      </c>
      <c r="R2421" t="str">
        <f>TEXT(tblTransactions[[#This Row],[Date]],"DDDD")</f>
        <v>Friday</v>
      </c>
      <c r="S2421">
        <f>MONTH(tblTransactions[[#This Row],[Date]])</f>
        <v>5</v>
      </c>
      <c r="T2421" t="str">
        <f>VLOOKUP(E2421, Products!$A:$B,2,0)</f>
        <v>Routers Tec-1</v>
      </c>
      <c r="U2421" t="str">
        <f>VLOOKUP(E2421,Products!$A:$C,3,0)</f>
        <v>Technology</v>
      </c>
      <c r="V2421" t="str">
        <f>VLOOKUP(E2421,Products!$A:$D,4,0)</f>
        <v>Routers</v>
      </c>
      <c r="W2421" t="str">
        <f>VLOOKUP(D2421,Customers!$A:$C,3,0)</f>
        <v>Enterprise</v>
      </c>
      <c r="X2421" t="str">
        <f>VLOOKUP(C2421,Sales_Representatives!$A:$B,2,0)</f>
        <v>John Brown</v>
      </c>
    </row>
    <row r="2422" spans="1:24" x14ac:dyDescent="0.3">
      <c r="A2422" t="s">
        <v>3378</v>
      </c>
      <c r="B2422" t="s">
        <v>3376</v>
      </c>
      <c r="C2422" t="s">
        <v>141</v>
      </c>
      <c r="D2422" t="s">
        <v>1702</v>
      </c>
      <c r="E2422" t="s">
        <v>129</v>
      </c>
      <c r="F2422">
        <v>6</v>
      </c>
      <c r="G2422">
        <v>1283.71</v>
      </c>
      <c r="H2422">
        <v>0.13</v>
      </c>
      <c r="I2422" s="4">
        <v>6700.97</v>
      </c>
      <c r="J2422" t="s">
        <v>109</v>
      </c>
      <c r="K2422" t="s">
        <v>35</v>
      </c>
      <c r="L2422" s="4">
        <f>VLOOKUP(tblTransactions[[#This Row],[Product_ID]],tblProducts[],5,FALSE)</f>
        <v>970.14</v>
      </c>
      <c r="M2422" s="4">
        <f>tblTransactions[[#This Row],[Total_Amount]]-(tblTransactions[[#This Row],[Cost_Prices]]*tblTransactions[[#This Row],[Quantity]]*(1-tblTransactions[[#This Row],[Discount]]))</f>
        <v>1636.8392000000003</v>
      </c>
      <c r="N2422" s="3">
        <f>tblTransactions[[#This Row],[Profit]]/tblTransactions[[#This Row],[Total_Amount]]</f>
        <v>0.24426899389192913</v>
      </c>
      <c r="O2422" t="str">
        <f>TEXT(tblTransactions[[#This Row],[Date]], "MMM-YYYY")</f>
        <v>May-2024</v>
      </c>
      <c r="P2422" t="str">
        <f>"Q"&amp;ROUNDUP(MONTH(tblTransactions[[#This Row],[Date]])/3,0)&amp;"-"&amp;YEAR(tblTransactions[[#This Row],[Date]])</f>
        <v>Q2-2024</v>
      </c>
      <c r="Q2422">
        <f>YEAR(tblTransactions[[#This Row],[Date]])</f>
        <v>2024</v>
      </c>
      <c r="R2422" t="str">
        <f>TEXT(tblTransactions[[#This Row],[Date]],"DDDD")</f>
        <v>Friday</v>
      </c>
      <c r="S2422">
        <f>MONTH(tblTransactions[[#This Row],[Date]])</f>
        <v>5</v>
      </c>
      <c r="T2422" t="str">
        <f>VLOOKUP(E2422, Products!$A:$B,2,0)</f>
        <v>Cameras Ele-3</v>
      </c>
      <c r="U2422" t="str">
        <f>VLOOKUP(E2422,Products!$A:$C,3,0)</f>
        <v>Electronics</v>
      </c>
      <c r="V2422" t="str">
        <f>VLOOKUP(E2422,Products!$A:$D,4,0)</f>
        <v>Cameras</v>
      </c>
      <c r="W2422" t="str">
        <f>VLOOKUP(D2422,Customers!$A:$C,3,0)</f>
        <v>B2C</v>
      </c>
      <c r="X2422" t="str">
        <f>VLOOKUP(C2422,Sales_Representatives!$A:$B,2,0)</f>
        <v>Richard Garcia</v>
      </c>
    </row>
    <row r="2423" spans="1:24" x14ac:dyDescent="0.3">
      <c r="A2423" t="s">
        <v>3379</v>
      </c>
      <c r="B2423" t="s">
        <v>3376</v>
      </c>
      <c r="C2423" t="s">
        <v>82</v>
      </c>
      <c r="D2423" t="s">
        <v>1934</v>
      </c>
      <c r="E2423" t="s">
        <v>264</v>
      </c>
      <c r="F2423">
        <v>2</v>
      </c>
      <c r="G2423">
        <v>607.29999999999995</v>
      </c>
      <c r="H2423">
        <v>0.03</v>
      </c>
      <c r="I2423" s="4">
        <v>1178.1600000000001</v>
      </c>
      <c r="J2423" t="s">
        <v>34</v>
      </c>
      <c r="K2423" t="s">
        <v>17</v>
      </c>
      <c r="L2423" s="4">
        <f>VLOOKUP(tblTransactions[[#This Row],[Product_ID]],tblProducts[],5,FALSE)</f>
        <v>436.37</v>
      </c>
      <c r="M2423" s="4">
        <f>tblTransactions[[#This Row],[Total_Amount]]-(tblTransactions[[#This Row],[Cost_Prices]]*tblTransactions[[#This Row],[Quantity]]*(1-tblTransactions[[#This Row],[Discount]]))</f>
        <v>331.60220000000015</v>
      </c>
      <c r="N2423" s="3">
        <f>tblTransactions[[#This Row],[Profit]]/tblTransactions[[#This Row],[Total_Amount]]</f>
        <v>0.28145769674747073</v>
      </c>
      <c r="O2423" t="str">
        <f>TEXT(tblTransactions[[#This Row],[Date]], "MMM-YYYY")</f>
        <v>May-2024</v>
      </c>
      <c r="P2423" t="str">
        <f>"Q"&amp;ROUNDUP(MONTH(tblTransactions[[#This Row],[Date]])/3,0)&amp;"-"&amp;YEAR(tblTransactions[[#This Row],[Date]])</f>
        <v>Q2-2024</v>
      </c>
      <c r="Q2423">
        <f>YEAR(tblTransactions[[#This Row],[Date]])</f>
        <v>2024</v>
      </c>
      <c r="R2423" t="str">
        <f>TEXT(tblTransactions[[#This Row],[Date]],"DDDD")</f>
        <v>Friday</v>
      </c>
      <c r="S2423">
        <f>MONTH(tblTransactions[[#This Row],[Date]])</f>
        <v>5</v>
      </c>
      <c r="T2423" t="str">
        <f>VLOOKUP(E2423, Products!$A:$B,2,0)</f>
        <v>Tablets Ele-4</v>
      </c>
      <c r="U2423" t="str">
        <f>VLOOKUP(E2423,Products!$A:$C,3,0)</f>
        <v>Electronics</v>
      </c>
      <c r="V2423" t="str">
        <f>VLOOKUP(E2423,Products!$A:$D,4,0)</f>
        <v>Tablets</v>
      </c>
      <c r="W2423" t="str">
        <f>VLOOKUP(D2423,Customers!$A:$C,3,0)</f>
        <v>B2C</v>
      </c>
      <c r="X2423" t="str">
        <f>VLOOKUP(C2423,Sales_Representatives!$A:$B,2,0)</f>
        <v>John Brown</v>
      </c>
    </row>
    <row r="2424" spans="1:24" x14ac:dyDescent="0.3">
      <c r="A2424" t="s">
        <v>3380</v>
      </c>
      <c r="B2424" t="s">
        <v>3376</v>
      </c>
      <c r="C2424" t="s">
        <v>27</v>
      </c>
      <c r="D2424" t="s">
        <v>1891</v>
      </c>
      <c r="E2424" t="s">
        <v>172</v>
      </c>
      <c r="F2424">
        <v>13</v>
      </c>
      <c r="G2424">
        <v>1371.15</v>
      </c>
      <c r="H2424">
        <v>0.19</v>
      </c>
      <c r="I2424" s="4">
        <v>14438.21</v>
      </c>
      <c r="J2424" t="s">
        <v>16</v>
      </c>
      <c r="K2424" t="s">
        <v>22</v>
      </c>
      <c r="L2424" s="4">
        <f>VLOOKUP(tblTransactions[[#This Row],[Product_ID]],tblProducts[],5,FALSE)</f>
        <v>989.81</v>
      </c>
      <c r="M2424" s="4">
        <f>tblTransactions[[#This Row],[Total_Amount]]-(tblTransactions[[#This Row],[Cost_Prices]]*tblTransactions[[#This Row],[Quantity]]*(1-tblTransactions[[#This Row],[Discount]]))</f>
        <v>4015.5106999999989</v>
      </c>
      <c r="N2424" s="3">
        <f>tblTransactions[[#This Row],[Profit]]/tblTransactions[[#This Row],[Total_Amount]]</f>
        <v>0.27811693416289135</v>
      </c>
      <c r="O2424" t="str">
        <f>TEXT(tblTransactions[[#This Row],[Date]], "MMM-YYYY")</f>
        <v>May-2024</v>
      </c>
      <c r="P2424" t="str">
        <f>"Q"&amp;ROUNDUP(MONTH(tblTransactions[[#This Row],[Date]])/3,0)&amp;"-"&amp;YEAR(tblTransactions[[#This Row],[Date]])</f>
        <v>Q2-2024</v>
      </c>
      <c r="Q2424">
        <f>YEAR(tblTransactions[[#This Row],[Date]])</f>
        <v>2024</v>
      </c>
      <c r="R2424" t="str">
        <f>TEXT(tblTransactions[[#This Row],[Date]],"DDDD")</f>
        <v>Friday</v>
      </c>
      <c r="S2424">
        <f>MONTH(tblTransactions[[#This Row],[Date]])</f>
        <v>5</v>
      </c>
      <c r="T2424" t="str">
        <f>VLOOKUP(E2424, Products!$A:$B,2,0)</f>
        <v>Cameras Ele-4</v>
      </c>
      <c r="U2424" t="str">
        <f>VLOOKUP(E2424,Products!$A:$C,3,0)</f>
        <v>Electronics</v>
      </c>
      <c r="V2424" t="str">
        <f>VLOOKUP(E2424,Products!$A:$D,4,0)</f>
        <v>Cameras</v>
      </c>
      <c r="W2424" t="str">
        <f>VLOOKUP(D2424,Customers!$A:$C,3,0)</f>
        <v>B2B</v>
      </c>
      <c r="X2424" t="str">
        <f>VLOOKUP(C2424,Sales_Representatives!$A:$B,2,0)</f>
        <v>Thomas Lopez</v>
      </c>
    </row>
    <row r="2425" spans="1:24" x14ac:dyDescent="0.3">
      <c r="A2425" t="s">
        <v>3381</v>
      </c>
      <c r="B2425" t="s">
        <v>3376</v>
      </c>
      <c r="C2425" t="s">
        <v>63</v>
      </c>
      <c r="D2425" t="s">
        <v>1754</v>
      </c>
      <c r="E2425" t="s">
        <v>200</v>
      </c>
      <c r="F2425">
        <v>4</v>
      </c>
      <c r="G2425">
        <v>544.77</v>
      </c>
      <c r="H2425">
        <v>0</v>
      </c>
      <c r="I2425" s="4">
        <v>2179.08</v>
      </c>
      <c r="J2425" t="s">
        <v>21</v>
      </c>
      <c r="K2425" t="s">
        <v>39</v>
      </c>
      <c r="L2425" s="4">
        <f>VLOOKUP(tblTransactions[[#This Row],[Product_ID]],tblProducts[],5,FALSE)</f>
        <v>318.2</v>
      </c>
      <c r="M2425" s="4">
        <f>tblTransactions[[#This Row],[Total_Amount]]-(tblTransactions[[#This Row],[Cost_Prices]]*tblTransactions[[#This Row],[Quantity]]*(1-tblTransactions[[#This Row],[Discount]]))</f>
        <v>906.28</v>
      </c>
      <c r="N2425" s="3">
        <f>tblTransactions[[#This Row],[Profit]]/tblTransactions[[#This Row],[Total_Amount]]</f>
        <v>0.41590028819501806</v>
      </c>
      <c r="O2425" t="str">
        <f>TEXT(tblTransactions[[#This Row],[Date]], "MMM-YYYY")</f>
        <v>May-2024</v>
      </c>
      <c r="P2425" t="str">
        <f>"Q"&amp;ROUNDUP(MONTH(tblTransactions[[#This Row],[Date]])/3,0)&amp;"-"&amp;YEAR(tblTransactions[[#This Row],[Date]])</f>
        <v>Q2-2024</v>
      </c>
      <c r="Q2425">
        <f>YEAR(tblTransactions[[#This Row],[Date]])</f>
        <v>2024</v>
      </c>
      <c r="R2425" t="str">
        <f>TEXT(tblTransactions[[#This Row],[Date]],"DDDD")</f>
        <v>Friday</v>
      </c>
      <c r="S2425">
        <f>MONTH(tblTransactions[[#This Row],[Date]])</f>
        <v>5</v>
      </c>
      <c r="T2425" t="str">
        <f>VLOOKUP(E2425, Products!$A:$B,2,0)</f>
        <v>Desks Fur-4</v>
      </c>
      <c r="U2425" t="str">
        <f>VLOOKUP(E2425,Products!$A:$C,3,0)</f>
        <v>Furniture</v>
      </c>
      <c r="V2425" t="str">
        <f>VLOOKUP(E2425,Products!$A:$D,4,0)</f>
        <v>Desks</v>
      </c>
      <c r="W2425" t="str">
        <f>VLOOKUP(D2425,Customers!$A:$C,3,0)</f>
        <v>Small Business</v>
      </c>
      <c r="X2425" t="str">
        <f>VLOOKUP(C2425,Sales_Representatives!$A:$B,2,0)</f>
        <v>Richard Wilson</v>
      </c>
    </row>
    <row r="2426" spans="1:24" x14ac:dyDescent="0.3">
      <c r="A2426" t="s">
        <v>3382</v>
      </c>
      <c r="B2426" t="s">
        <v>3376</v>
      </c>
      <c r="C2426" t="s">
        <v>31</v>
      </c>
      <c r="D2426" t="s">
        <v>1552</v>
      </c>
      <c r="E2426" t="s">
        <v>99</v>
      </c>
      <c r="F2426">
        <v>20</v>
      </c>
      <c r="G2426">
        <v>325.14</v>
      </c>
      <c r="H2426">
        <v>0.12</v>
      </c>
      <c r="I2426" s="4">
        <v>5722.46</v>
      </c>
      <c r="J2426" t="s">
        <v>34</v>
      </c>
      <c r="K2426" t="s">
        <v>22</v>
      </c>
      <c r="L2426" s="4">
        <f>VLOOKUP(tblTransactions[[#This Row],[Product_ID]],tblProducts[],5,FALSE)</f>
        <v>209.04</v>
      </c>
      <c r="M2426" s="4">
        <f>tblTransactions[[#This Row],[Total_Amount]]-(tblTransactions[[#This Row],[Cost_Prices]]*tblTransactions[[#This Row],[Quantity]]*(1-tblTransactions[[#This Row],[Discount]]))</f>
        <v>2043.3559999999998</v>
      </c>
      <c r="N2426" s="3">
        <f>tblTransactions[[#This Row],[Profit]]/tblTransactions[[#This Row],[Total_Amount]]</f>
        <v>0.35707650206379771</v>
      </c>
      <c r="O2426" t="str">
        <f>TEXT(tblTransactions[[#This Row],[Date]], "MMM-YYYY")</f>
        <v>May-2024</v>
      </c>
      <c r="P2426" t="str">
        <f>"Q"&amp;ROUNDUP(MONTH(tblTransactions[[#This Row],[Date]])/3,0)&amp;"-"&amp;YEAR(tblTransactions[[#This Row],[Date]])</f>
        <v>Q2-2024</v>
      </c>
      <c r="Q2426">
        <f>YEAR(tblTransactions[[#This Row],[Date]])</f>
        <v>2024</v>
      </c>
      <c r="R2426" t="str">
        <f>TEXT(tblTransactions[[#This Row],[Date]],"DDDD")</f>
        <v>Friday</v>
      </c>
      <c r="S2426">
        <f>MONTH(tblTransactions[[#This Row],[Date]])</f>
        <v>5</v>
      </c>
      <c r="T2426" t="str">
        <f>VLOOKUP(E2426, Products!$A:$B,2,0)</f>
        <v>Monitors Tec-1</v>
      </c>
      <c r="U2426" t="str">
        <f>VLOOKUP(E2426,Products!$A:$C,3,0)</f>
        <v>Technology</v>
      </c>
      <c r="V2426" t="str">
        <f>VLOOKUP(E2426,Products!$A:$D,4,0)</f>
        <v>Monitors</v>
      </c>
      <c r="W2426" t="str">
        <f>VLOOKUP(D2426,Customers!$A:$C,3,0)</f>
        <v>Enterprise</v>
      </c>
      <c r="X2426" t="str">
        <f>VLOOKUP(C2426,Sales_Representatives!$A:$B,2,0)</f>
        <v>Thomas Martinez</v>
      </c>
    </row>
    <row r="2427" spans="1:24" x14ac:dyDescent="0.3">
      <c r="A2427" t="s">
        <v>3383</v>
      </c>
      <c r="B2427" t="s">
        <v>3376</v>
      </c>
      <c r="C2427" t="s">
        <v>63</v>
      </c>
      <c r="D2427" t="s">
        <v>95</v>
      </c>
      <c r="E2427" t="s">
        <v>89</v>
      </c>
      <c r="F2427">
        <v>12</v>
      </c>
      <c r="G2427">
        <v>555.08000000000004</v>
      </c>
      <c r="H2427">
        <v>0.1</v>
      </c>
      <c r="I2427" s="4">
        <v>5994.86</v>
      </c>
      <c r="J2427" t="s">
        <v>21</v>
      </c>
      <c r="K2427" t="s">
        <v>39</v>
      </c>
      <c r="L2427" s="4">
        <f>VLOOKUP(tblTransactions[[#This Row],[Product_ID]],tblProducts[],5,FALSE)</f>
        <v>402.82</v>
      </c>
      <c r="M2427" s="4">
        <f>tblTransactions[[#This Row],[Total_Amount]]-(tblTransactions[[#This Row],[Cost_Prices]]*tblTransactions[[#This Row],[Quantity]]*(1-tblTransactions[[#This Row],[Discount]]))</f>
        <v>1644.4039999999995</v>
      </c>
      <c r="N2427" s="3">
        <f>tblTransactions[[#This Row],[Profit]]/tblTransactions[[#This Row],[Total_Amount]]</f>
        <v>0.27430231898659846</v>
      </c>
      <c r="O2427" t="str">
        <f>TEXT(tblTransactions[[#This Row],[Date]], "MMM-YYYY")</f>
        <v>May-2024</v>
      </c>
      <c r="P2427" t="str">
        <f>"Q"&amp;ROUNDUP(MONTH(tblTransactions[[#This Row],[Date]])/3,0)&amp;"-"&amp;YEAR(tblTransactions[[#This Row],[Date]])</f>
        <v>Q2-2024</v>
      </c>
      <c r="Q2427">
        <f>YEAR(tblTransactions[[#This Row],[Date]])</f>
        <v>2024</v>
      </c>
      <c r="R2427" t="str">
        <f>TEXT(tblTransactions[[#This Row],[Date]],"DDDD")</f>
        <v>Friday</v>
      </c>
      <c r="S2427">
        <f>MONTH(tblTransactions[[#This Row],[Date]])</f>
        <v>5</v>
      </c>
      <c r="T2427" t="str">
        <f>VLOOKUP(E2427, Products!$A:$B,2,0)</f>
        <v>Laptops Ele-3</v>
      </c>
      <c r="U2427" t="str">
        <f>VLOOKUP(E2427,Products!$A:$C,3,0)</f>
        <v>Electronics</v>
      </c>
      <c r="V2427" t="str">
        <f>VLOOKUP(E2427,Products!$A:$D,4,0)</f>
        <v>Laptops</v>
      </c>
      <c r="W2427" t="str">
        <f>VLOOKUP(D2427,Customers!$A:$C,3,0)</f>
        <v>Enterprise</v>
      </c>
      <c r="X2427" t="str">
        <f>VLOOKUP(C2427,Sales_Representatives!$A:$B,2,0)</f>
        <v>Richard Wilson</v>
      </c>
    </row>
    <row r="2428" spans="1:24" x14ac:dyDescent="0.3">
      <c r="A2428" t="s">
        <v>3384</v>
      </c>
      <c r="B2428" t="s">
        <v>3376</v>
      </c>
      <c r="C2428" t="s">
        <v>141</v>
      </c>
      <c r="D2428" t="s">
        <v>2763</v>
      </c>
      <c r="E2428" t="s">
        <v>96</v>
      </c>
      <c r="F2428">
        <v>2</v>
      </c>
      <c r="G2428">
        <v>751.9</v>
      </c>
      <c r="H2428">
        <v>0.03</v>
      </c>
      <c r="I2428" s="4">
        <v>1458.69</v>
      </c>
      <c r="J2428" t="s">
        <v>109</v>
      </c>
      <c r="K2428" t="s">
        <v>48</v>
      </c>
      <c r="L2428" s="4">
        <f>VLOOKUP(tblTransactions[[#This Row],[Product_ID]],tblProducts[],5,FALSE)</f>
        <v>570.29</v>
      </c>
      <c r="M2428" s="4">
        <f>tblTransactions[[#This Row],[Total_Amount]]-(tblTransactions[[#This Row],[Cost_Prices]]*tblTransactions[[#This Row],[Quantity]]*(1-tblTransactions[[#This Row],[Discount]]))</f>
        <v>352.32740000000013</v>
      </c>
      <c r="N2428" s="3">
        <f>tblTransactions[[#This Row],[Profit]]/tblTransactions[[#This Row],[Total_Amount]]</f>
        <v>0.24153685841405653</v>
      </c>
      <c r="O2428" t="str">
        <f>TEXT(tblTransactions[[#This Row],[Date]], "MMM-YYYY")</f>
        <v>May-2024</v>
      </c>
      <c r="P2428" t="str">
        <f>"Q"&amp;ROUNDUP(MONTH(tblTransactions[[#This Row],[Date]])/3,0)&amp;"-"&amp;YEAR(tblTransactions[[#This Row],[Date]])</f>
        <v>Q2-2024</v>
      </c>
      <c r="Q2428">
        <f>YEAR(tblTransactions[[#This Row],[Date]])</f>
        <v>2024</v>
      </c>
      <c r="R2428" t="str">
        <f>TEXT(tblTransactions[[#This Row],[Date]],"DDDD")</f>
        <v>Friday</v>
      </c>
      <c r="S2428">
        <f>MONTH(tblTransactions[[#This Row],[Date]])</f>
        <v>5</v>
      </c>
      <c r="T2428" t="str">
        <f>VLOOKUP(E2428, Products!$A:$B,2,0)</f>
        <v>Routers Tec-1</v>
      </c>
      <c r="U2428" t="str">
        <f>VLOOKUP(E2428,Products!$A:$C,3,0)</f>
        <v>Technology</v>
      </c>
      <c r="V2428" t="str">
        <f>VLOOKUP(E2428,Products!$A:$D,4,0)</f>
        <v>Routers</v>
      </c>
      <c r="W2428" t="str">
        <f>VLOOKUP(D2428,Customers!$A:$C,3,0)</f>
        <v>B2C</v>
      </c>
      <c r="X2428" t="str">
        <f>VLOOKUP(C2428,Sales_Representatives!$A:$B,2,0)</f>
        <v>Richard Garcia</v>
      </c>
    </row>
    <row r="2429" spans="1:24" x14ac:dyDescent="0.3">
      <c r="A2429" t="s">
        <v>3385</v>
      </c>
      <c r="B2429" t="s">
        <v>3376</v>
      </c>
      <c r="C2429" t="s">
        <v>141</v>
      </c>
      <c r="D2429" t="s">
        <v>2166</v>
      </c>
      <c r="E2429" t="s">
        <v>324</v>
      </c>
      <c r="F2429">
        <v>27</v>
      </c>
      <c r="G2429">
        <v>245.76</v>
      </c>
      <c r="H2429">
        <v>0.17</v>
      </c>
      <c r="I2429" s="4">
        <v>5507.48</v>
      </c>
      <c r="J2429" t="s">
        <v>109</v>
      </c>
      <c r="K2429" t="s">
        <v>22</v>
      </c>
      <c r="L2429" s="4">
        <f>VLOOKUP(tblTransactions[[#This Row],[Product_ID]],tblProducts[],5,FALSE)</f>
        <v>161.94</v>
      </c>
      <c r="M2429" s="4">
        <f>tblTransactions[[#This Row],[Total_Amount]]-(tblTransactions[[#This Row],[Cost_Prices]]*tblTransactions[[#This Row],[Quantity]]*(1-tblTransactions[[#This Row],[Discount]]))</f>
        <v>1878.4045999999998</v>
      </c>
      <c r="N2429" s="3">
        <f>tblTransactions[[#This Row],[Profit]]/tblTransactions[[#This Row],[Total_Amount]]</f>
        <v>0.34106426169500387</v>
      </c>
      <c r="O2429" t="str">
        <f>TEXT(tblTransactions[[#This Row],[Date]], "MMM-YYYY")</f>
        <v>May-2024</v>
      </c>
      <c r="P2429" t="str">
        <f>"Q"&amp;ROUNDUP(MONTH(tblTransactions[[#This Row],[Date]])/3,0)&amp;"-"&amp;YEAR(tblTransactions[[#This Row],[Date]])</f>
        <v>Q2-2024</v>
      </c>
      <c r="Q2429">
        <f>YEAR(tblTransactions[[#This Row],[Date]])</f>
        <v>2024</v>
      </c>
      <c r="R2429" t="str">
        <f>TEXT(tblTransactions[[#This Row],[Date]],"DDDD")</f>
        <v>Friday</v>
      </c>
      <c r="S2429">
        <f>MONTH(tblTransactions[[#This Row],[Date]])</f>
        <v>5</v>
      </c>
      <c r="T2429" t="str">
        <f>VLOOKUP(E2429, Products!$A:$B,2,0)</f>
        <v>Storage Fur-1</v>
      </c>
      <c r="U2429" t="str">
        <f>VLOOKUP(E2429,Products!$A:$C,3,0)</f>
        <v>Furniture</v>
      </c>
      <c r="V2429" t="str">
        <f>VLOOKUP(E2429,Products!$A:$D,4,0)</f>
        <v>Storage</v>
      </c>
      <c r="W2429" t="str">
        <f>VLOOKUP(D2429,Customers!$A:$C,3,0)</f>
        <v>Enterprise</v>
      </c>
      <c r="X2429" t="str">
        <f>VLOOKUP(C2429,Sales_Representatives!$A:$B,2,0)</f>
        <v>Richard Garcia</v>
      </c>
    </row>
    <row r="2430" spans="1:24" x14ac:dyDescent="0.3">
      <c r="A2430" t="s">
        <v>3386</v>
      </c>
      <c r="B2430" t="s">
        <v>3387</v>
      </c>
      <c r="C2430" t="s">
        <v>31</v>
      </c>
      <c r="D2430" t="s">
        <v>2204</v>
      </c>
      <c r="E2430" t="s">
        <v>450</v>
      </c>
      <c r="F2430">
        <v>39</v>
      </c>
      <c r="G2430">
        <v>2083.92</v>
      </c>
      <c r="H2430">
        <v>0.21</v>
      </c>
      <c r="I2430" s="4">
        <v>64205.58</v>
      </c>
      <c r="J2430" t="s">
        <v>34</v>
      </c>
      <c r="K2430" t="s">
        <v>22</v>
      </c>
      <c r="L2430" s="4">
        <f>VLOOKUP(tblTransactions[[#This Row],[Product_ID]],tblProducts[],5,FALSE)</f>
        <v>1425.78</v>
      </c>
      <c r="M2430" s="4">
        <f>tblTransactions[[#This Row],[Total_Amount]]-(tblTransactions[[#This Row],[Cost_Prices]]*tblTransactions[[#This Row],[Quantity]]*(1-tblTransactions[[#This Row],[Discount]]))</f>
        <v>20277.298200000005</v>
      </c>
      <c r="N2430" s="3">
        <f>tblTransactions[[#This Row],[Profit]]/tblTransactions[[#This Row],[Total_Amount]]</f>
        <v>0.31581831672574262</v>
      </c>
      <c r="O2430" t="str">
        <f>TEXT(tblTransactions[[#This Row],[Date]], "MMM-YYYY")</f>
        <v>Jun-2024</v>
      </c>
      <c r="P2430" t="str">
        <f>"Q"&amp;ROUNDUP(MONTH(tblTransactions[[#This Row],[Date]])/3,0)&amp;"-"&amp;YEAR(tblTransactions[[#This Row],[Date]])</f>
        <v>Q2-2024</v>
      </c>
      <c r="Q2430">
        <f>YEAR(tblTransactions[[#This Row],[Date]])</f>
        <v>2024</v>
      </c>
      <c r="R2430" t="str">
        <f>TEXT(tblTransactions[[#This Row],[Date]],"DDDD")</f>
        <v>Saturday</v>
      </c>
      <c r="S2430">
        <f>MONTH(tblTransactions[[#This Row],[Date]])</f>
        <v>6</v>
      </c>
      <c r="T2430" t="str">
        <f>VLOOKUP(E2430, Products!$A:$B,2,0)</f>
        <v>Monitors Tec-4</v>
      </c>
      <c r="U2430" t="str">
        <f>VLOOKUP(E2430,Products!$A:$C,3,0)</f>
        <v>Technology</v>
      </c>
      <c r="V2430" t="str">
        <f>VLOOKUP(E2430,Products!$A:$D,4,0)</f>
        <v>Monitors</v>
      </c>
      <c r="W2430" t="str">
        <f>VLOOKUP(D2430,Customers!$A:$C,3,0)</f>
        <v>Enterprise</v>
      </c>
      <c r="X2430" t="str">
        <f>VLOOKUP(C2430,Sales_Representatives!$A:$B,2,0)</f>
        <v>Thomas Martinez</v>
      </c>
    </row>
    <row r="2431" spans="1:24" x14ac:dyDescent="0.3">
      <c r="A2431" t="s">
        <v>3388</v>
      </c>
      <c r="B2431" t="s">
        <v>3387</v>
      </c>
      <c r="C2431" t="s">
        <v>19</v>
      </c>
      <c r="D2431" t="s">
        <v>1485</v>
      </c>
      <c r="E2431" t="s">
        <v>178</v>
      </c>
      <c r="F2431">
        <v>9</v>
      </c>
      <c r="G2431">
        <v>1623.35</v>
      </c>
      <c r="H2431">
        <v>0.13</v>
      </c>
      <c r="I2431" s="4">
        <v>12710.83</v>
      </c>
      <c r="J2431" t="s">
        <v>21</v>
      </c>
      <c r="K2431" t="s">
        <v>22</v>
      </c>
      <c r="L2431" s="4">
        <f>VLOOKUP(tblTransactions[[#This Row],[Product_ID]],tblProducts[],5,FALSE)</f>
        <v>981.45</v>
      </c>
      <c r="M2431" s="4">
        <f>tblTransactions[[#This Row],[Total_Amount]]-(tblTransactions[[#This Row],[Cost_Prices]]*tblTransactions[[#This Row],[Quantity]]*(1-tblTransactions[[#This Row],[Discount]]))</f>
        <v>5026.0764999999992</v>
      </c>
      <c r="N2431" s="3">
        <f>tblTransactions[[#This Row],[Profit]]/tblTransactions[[#This Row],[Total_Amount]]</f>
        <v>0.39541686105470686</v>
      </c>
      <c r="O2431" t="str">
        <f>TEXT(tblTransactions[[#This Row],[Date]], "MMM-YYYY")</f>
        <v>Jun-2024</v>
      </c>
      <c r="P2431" t="str">
        <f>"Q"&amp;ROUNDUP(MONTH(tblTransactions[[#This Row],[Date]])/3,0)&amp;"-"&amp;YEAR(tblTransactions[[#This Row],[Date]])</f>
        <v>Q2-2024</v>
      </c>
      <c r="Q2431">
        <f>YEAR(tblTransactions[[#This Row],[Date]])</f>
        <v>2024</v>
      </c>
      <c r="R2431" t="str">
        <f>TEXT(tblTransactions[[#This Row],[Date]],"DDDD")</f>
        <v>Saturday</v>
      </c>
      <c r="S2431">
        <f>MONTH(tblTransactions[[#This Row],[Date]])</f>
        <v>6</v>
      </c>
      <c r="T2431" t="str">
        <f>VLOOKUP(E2431, Products!$A:$B,2,0)</f>
        <v>Tablets Ele-1</v>
      </c>
      <c r="U2431" t="str">
        <f>VLOOKUP(E2431,Products!$A:$C,3,0)</f>
        <v>Electronics</v>
      </c>
      <c r="V2431" t="str">
        <f>VLOOKUP(E2431,Products!$A:$D,4,0)</f>
        <v>Tablets</v>
      </c>
      <c r="W2431" t="str">
        <f>VLOOKUP(D2431,Customers!$A:$C,3,0)</f>
        <v>B2B</v>
      </c>
      <c r="X2431" t="str">
        <f>VLOOKUP(C2431,Sales_Representatives!$A:$B,2,0)</f>
        <v>Robert Jones</v>
      </c>
    </row>
    <row r="2432" spans="1:24" x14ac:dyDescent="0.3">
      <c r="A2432" t="s">
        <v>3389</v>
      </c>
      <c r="B2432" t="s">
        <v>3390</v>
      </c>
      <c r="C2432" t="s">
        <v>41</v>
      </c>
      <c r="D2432" t="s">
        <v>1866</v>
      </c>
      <c r="E2432" t="s">
        <v>72</v>
      </c>
      <c r="F2432">
        <v>19</v>
      </c>
      <c r="G2432">
        <v>404.76</v>
      </c>
      <c r="H2432">
        <v>0.18</v>
      </c>
      <c r="I2432" s="4">
        <v>6306.16</v>
      </c>
      <c r="J2432" t="s">
        <v>44</v>
      </c>
      <c r="K2432" t="s">
        <v>17</v>
      </c>
      <c r="L2432" s="4">
        <f>VLOOKUP(tblTransactions[[#This Row],[Product_ID]],tblProducts[],5,FALSE)</f>
        <v>226.76</v>
      </c>
      <c r="M2432" s="4">
        <f>tblTransactions[[#This Row],[Total_Amount]]-(tblTransactions[[#This Row],[Cost_Prices]]*tblTransactions[[#This Row],[Quantity]]*(1-tblTransactions[[#This Row],[Discount]]))</f>
        <v>2773.2392</v>
      </c>
      <c r="N2432" s="3">
        <f>tblTransactions[[#This Row],[Profit]]/tblTransactions[[#This Row],[Total_Amount]]</f>
        <v>0.43976670430182552</v>
      </c>
      <c r="O2432" t="str">
        <f>TEXT(tblTransactions[[#This Row],[Date]], "MMM-YYYY")</f>
        <v>Jun-2024</v>
      </c>
      <c r="P2432" t="str">
        <f>"Q"&amp;ROUNDUP(MONTH(tblTransactions[[#This Row],[Date]])/3,0)&amp;"-"&amp;YEAR(tblTransactions[[#This Row],[Date]])</f>
        <v>Q2-2024</v>
      </c>
      <c r="Q2432">
        <f>YEAR(tblTransactions[[#This Row],[Date]])</f>
        <v>2024</v>
      </c>
      <c r="R2432" t="str">
        <f>TEXT(tblTransactions[[#This Row],[Date]],"DDDD")</f>
        <v>Sunday</v>
      </c>
      <c r="S2432">
        <f>MONTH(tblTransactions[[#This Row],[Date]])</f>
        <v>6</v>
      </c>
      <c r="T2432" t="str">
        <f>VLOOKUP(E2432, Products!$A:$B,2,0)</f>
        <v>Tablets Ele-2</v>
      </c>
      <c r="U2432" t="str">
        <f>VLOOKUP(E2432,Products!$A:$C,3,0)</f>
        <v>Electronics</v>
      </c>
      <c r="V2432" t="str">
        <f>VLOOKUP(E2432,Products!$A:$D,4,0)</f>
        <v>Tablets</v>
      </c>
      <c r="W2432" t="str">
        <f>VLOOKUP(D2432,Customers!$A:$C,3,0)</f>
        <v>B2B</v>
      </c>
      <c r="X2432" t="str">
        <f>VLOOKUP(C2432,Sales_Representatives!$A:$B,2,0)</f>
        <v>Robert Jones</v>
      </c>
    </row>
    <row r="2433" spans="1:24" x14ac:dyDescent="0.3">
      <c r="A2433" t="s">
        <v>3391</v>
      </c>
      <c r="B2433" t="s">
        <v>3390</v>
      </c>
      <c r="C2433" t="s">
        <v>41</v>
      </c>
      <c r="D2433" t="s">
        <v>1991</v>
      </c>
      <c r="E2433" t="s">
        <v>198</v>
      </c>
      <c r="F2433">
        <v>2</v>
      </c>
      <c r="G2433">
        <v>1802.96</v>
      </c>
      <c r="H2433">
        <v>0.02</v>
      </c>
      <c r="I2433" s="4">
        <v>3533.8</v>
      </c>
      <c r="J2433" t="s">
        <v>44</v>
      </c>
      <c r="K2433" t="s">
        <v>17</v>
      </c>
      <c r="L2433" s="4">
        <f>VLOOKUP(tblTransactions[[#This Row],[Product_ID]],tblProducts[],5,FALSE)</f>
        <v>1282.18</v>
      </c>
      <c r="M2433" s="4">
        <f>tblTransactions[[#This Row],[Total_Amount]]-(tblTransactions[[#This Row],[Cost_Prices]]*tblTransactions[[#This Row],[Quantity]]*(1-tblTransactions[[#This Row],[Discount]]))</f>
        <v>1020.7272000000003</v>
      </c>
      <c r="N2433" s="3">
        <f>tblTransactions[[#This Row],[Profit]]/tblTransactions[[#This Row],[Total_Amount]]</f>
        <v>0.28884690701228144</v>
      </c>
      <c r="O2433" t="str">
        <f>TEXT(tblTransactions[[#This Row],[Date]], "MMM-YYYY")</f>
        <v>Jun-2024</v>
      </c>
      <c r="P2433" t="str">
        <f>"Q"&amp;ROUNDUP(MONTH(tblTransactions[[#This Row],[Date]])/3,0)&amp;"-"&amp;YEAR(tblTransactions[[#This Row],[Date]])</f>
        <v>Q2-2024</v>
      </c>
      <c r="Q2433">
        <f>YEAR(tblTransactions[[#This Row],[Date]])</f>
        <v>2024</v>
      </c>
      <c r="R2433" t="str">
        <f>TEXT(tblTransactions[[#This Row],[Date]],"DDDD")</f>
        <v>Sunday</v>
      </c>
      <c r="S2433">
        <f>MONTH(tblTransactions[[#This Row],[Date]])</f>
        <v>6</v>
      </c>
      <c r="T2433" t="str">
        <f>VLOOKUP(E2433, Products!$A:$B,2,0)</f>
        <v>Tablets Ele-3</v>
      </c>
      <c r="U2433" t="str">
        <f>VLOOKUP(E2433,Products!$A:$C,3,0)</f>
        <v>Electronics</v>
      </c>
      <c r="V2433" t="str">
        <f>VLOOKUP(E2433,Products!$A:$D,4,0)</f>
        <v>Tablets</v>
      </c>
      <c r="W2433" t="str">
        <f>VLOOKUP(D2433,Customers!$A:$C,3,0)</f>
        <v>Small Business</v>
      </c>
      <c r="X2433" t="str">
        <f>VLOOKUP(C2433,Sales_Representatives!$A:$B,2,0)</f>
        <v>Robert Jones</v>
      </c>
    </row>
    <row r="2434" spans="1:24" x14ac:dyDescent="0.3">
      <c r="A2434" t="s">
        <v>3392</v>
      </c>
      <c r="B2434" t="s">
        <v>3390</v>
      </c>
      <c r="C2434" t="s">
        <v>59</v>
      </c>
      <c r="D2434" t="s">
        <v>1921</v>
      </c>
      <c r="E2434" t="s">
        <v>172</v>
      </c>
      <c r="F2434">
        <v>6</v>
      </c>
      <c r="G2434">
        <v>1371.15</v>
      </c>
      <c r="H2434">
        <v>0.1</v>
      </c>
      <c r="I2434" s="4">
        <v>7404.21</v>
      </c>
      <c r="J2434" t="s">
        <v>21</v>
      </c>
      <c r="K2434" t="s">
        <v>48</v>
      </c>
      <c r="L2434" s="4">
        <f>VLOOKUP(tblTransactions[[#This Row],[Product_ID]],tblProducts[],5,FALSE)</f>
        <v>989.81</v>
      </c>
      <c r="M2434" s="4">
        <f>tblTransactions[[#This Row],[Total_Amount]]-(tblTransactions[[#This Row],[Cost_Prices]]*tblTransactions[[#This Row],[Quantity]]*(1-tblTransactions[[#This Row],[Discount]]))</f>
        <v>2059.2359999999999</v>
      </c>
      <c r="N2434" s="3">
        <f>tblTransactions[[#This Row],[Profit]]/tblTransactions[[#This Row],[Total_Amount]]</f>
        <v>0.27811690916384058</v>
      </c>
      <c r="O2434" t="str">
        <f>TEXT(tblTransactions[[#This Row],[Date]], "MMM-YYYY")</f>
        <v>Jun-2024</v>
      </c>
      <c r="P2434" t="str">
        <f>"Q"&amp;ROUNDUP(MONTH(tblTransactions[[#This Row],[Date]])/3,0)&amp;"-"&amp;YEAR(tblTransactions[[#This Row],[Date]])</f>
        <v>Q2-2024</v>
      </c>
      <c r="Q2434">
        <f>YEAR(tblTransactions[[#This Row],[Date]])</f>
        <v>2024</v>
      </c>
      <c r="R2434" t="str">
        <f>TEXT(tblTransactions[[#This Row],[Date]],"DDDD")</f>
        <v>Sunday</v>
      </c>
      <c r="S2434">
        <f>MONTH(tblTransactions[[#This Row],[Date]])</f>
        <v>6</v>
      </c>
      <c r="T2434" t="str">
        <f>VLOOKUP(E2434, Products!$A:$B,2,0)</f>
        <v>Cameras Ele-4</v>
      </c>
      <c r="U2434" t="str">
        <f>VLOOKUP(E2434,Products!$A:$C,3,0)</f>
        <v>Electronics</v>
      </c>
      <c r="V2434" t="str">
        <f>VLOOKUP(E2434,Products!$A:$D,4,0)</f>
        <v>Cameras</v>
      </c>
      <c r="W2434" t="str">
        <f>VLOOKUP(D2434,Customers!$A:$C,3,0)</f>
        <v>Small Business</v>
      </c>
      <c r="X2434" t="str">
        <f>VLOOKUP(C2434,Sales_Representatives!$A:$B,2,0)</f>
        <v>Sarah Brown</v>
      </c>
    </row>
    <row r="2435" spans="1:24" x14ac:dyDescent="0.3">
      <c r="A2435" t="s">
        <v>3393</v>
      </c>
      <c r="B2435" t="s">
        <v>3390</v>
      </c>
      <c r="C2435" t="s">
        <v>82</v>
      </c>
      <c r="D2435" t="s">
        <v>2188</v>
      </c>
      <c r="E2435" t="s">
        <v>204</v>
      </c>
      <c r="F2435">
        <v>4</v>
      </c>
      <c r="G2435">
        <v>715.62</v>
      </c>
      <c r="H2435">
        <v>0.03</v>
      </c>
      <c r="I2435" s="4">
        <v>2776.61</v>
      </c>
      <c r="J2435" t="s">
        <v>34</v>
      </c>
      <c r="K2435" t="s">
        <v>22</v>
      </c>
      <c r="L2435" s="4">
        <f>VLOOKUP(tblTransactions[[#This Row],[Product_ID]],tblProducts[],5,FALSE)</f>
        <v>459.58</v>
      </c>
      <c r="M2435" s="4">
        <f>tblTransactions[[#This Row],[Total_Amount]]-(tblTransactions[[#This Row],[Cost_Prices]]*tblTransactions[[#This Row],[Quantity]]*(1-tblTransactions[[#This Row],[Discount]]))</f>
        <v>993.43960000000015</v>
      </c>
      <c r="N2435" s="3">
        <f>tblTransactions[[#This Row],[Profit]]/tblTransactions[[#This Row],[Total_Amount]]</f>
        <v>0.35778867035701811</v>
      </c>
      <c r="O2435" t="str">
        <f>TEXT(tblTransactions[[#This Row],[Date]], "MMM-YYYY")</f>
        <v>Jun-2024</v>
      </c>
      <c r="P2435" t="str">
        <f>"Q"&amp;ROUNDUP(MONTH(tblTransactions[[#This Row],[Date]])/3,0)&amp;"-"&amp;YEAR(tblTransactions[[#This Row],[Date]])</f>
        <v>Q2-2024</v>
      </c>
      <c r="Q2435">
        <f>YEAR(tblTransactions[[#This Row],[Date]])</f>
        <v>2024</v>
      </c>
      <c r="R2435" t="str">
        <f>TEXT(tblTransactions[[#This Row],[Date]],"DDDD")</f>
        <v>Sunday</v>
      </c>
      <c r="S2435">
        <f>MONTH(tblTransactions[[#This Row],[Date]])</f>
        <v>6</v>
      </c>
      <c r="T2435" t="str">
        <f>VLOOKUP(E2435, Products!$A:$B,2,0)</f>
        <v>Cameras Ele-2</v>
      </c>
      <c r="U2435" t="str">
        <f>VLOOKUP(E2435,Products!$A:$C,3,0)</f>
        <v>Electronics</v>
      </c>
      <c r="V2435" t="str">
        <f>VLOOKUP(E2435,Products!$A:$D,4,0)</f>
        <v>Cameras</v>
      </c>
      <c r="W2435" t="str">
        <f>VLOOKUP(D2435,Customers!$A:$C,3,0)</f>
        <v>B2C</v>
      </c>
      <c r="X2435" t="str">
        <f>VLOOKUP(C2435,Sales_Representatives!$A:$B,2,0)</f>
        <v>John Brown</v>
      </c>
    </row>
    <row r="2436" spans="1:24" x14ac:dyDescent="0.3">
      <c r="A2436" t="s">
        <v>3394</v>
      </c>
      <c r="B2436" t="s">
        <v>3390</v>
      </c>
      <c r="C2436" t="s">
        <v>70</v>
      </c>
      <c r="D2436" t="s">
        <v>2201</v>
      </c>
      <c r="E2436" t="s">
        <v>121</v>
      </c>
      <c r="F2436">
        <v>3</v>
      </c>
      <c r="G2436">
        <v>183.9</v>
      </c>
      <c r="H2436">
        <v>0.01</v>
      </c>
      <c r="I2436" s="4">
        <v>546.17999999999995</v>
      </c>
      <c r="J2436" t="s">
        <v>16</v>
      </c>
      <c r="K2436" t="s">
        <v>22</v>
      </c>
      <c r="L2436" s="4">
        <f>VLOOKUP(tblTransactions[[#This Row],[Product_ID]],tblProducts[],5,FALSE)</f>
        <v>116.83</v>
      </c>
      <c r="M2436" s="4">
        <f>tblTransactions[[#This Row],[Total_Amount]]-(tblTransactions[[#This Row],[Cost_Prices]]*tblTransactions[[#This Row],[Quantity]]*(1-tblTransactions[[#This Row],[Discount]]))</f>
        <v>199.19489999999996</v>
      </c>
      <c r="N2436" s="3">
        <f>tblTransactions[[#This Row],[Profit]]/tblTransactions[[#This Row],[Total_Amount]]</f>
        <v>0.36470559156322085</v>
      </c>
      <c r="O2436" t="str">
        <f>TEXT(tblTransactions[[#This Row],[Date]], "MMM-YYYY")</f>
        <v>Jun-2024</v>
      </c>
      <c r="P2436" t="str">
        <f>"Q"&amp;ROUNDUP(MONTH(tblTransactions[[#This Row],[Date]])/3,0)&amp;"-"&amp;YEAR(tblTransactions[[#This Row],[Date]])</f>
        <v>Q2-2024</v>
      </c>
      <c r="Q2436">
        <f>YEAR(tblTransactions[[#This Row],[Date]])</f>
        <v>2024</v>
      </c>
      <c r="R2436" t="str">
        <f>TEXT(tblTransactions[[#This Row],[Date]],"DDDD")</f>
        <v>Sunday</v>
      </c>
      <c r="S2436">
        <f>MONTH(tblTransactions[[#This Row],[Date]])</f>
        <v>6</v>
      </c>
      <c r="T2436" t="str">
        <f>VLOOKUP(E2436, Products!$A:$B,2,0)</f>
        <v>Pens Off-3</v>
      </c>
      <c r="U2436" t="str">
        <f>VLOOKUP(E2436,Products!$A:$C,3,0)</f>
        <v>Office Supplies</v>
      </c>
      <c r="V2436" t="str">
        <f>VLOOKUP(E2436,Products!$A:$D,4,0)</f>
        <v>Pens</v>
      </c>
      <c r="W2436" t="str">
        <f>VLOOKUP(D2436,Customers!$A:$C,3,0)</f>
        <v>B2C</v>
      </c>
      <c r="X2436" t="str">
        <f>VLOOKUP(C2436,Sales_Representatives!$A:$B,2,0)</f>
        <v>Linda Smith</v>
      </c>
    </row>
    <row r="2437" spans="1:24" x14ac:dyDescent="0.3">
      <c r="A2437" t="s">
        <v>3395</v>
      </c>
      <c r="B2437" t="s">
        <v>3396</v>
      </c>
      <c r="C2437" t="s">
        <v>59</v>
      </c>
      <c r="D2437" t="s">
        <v>1573</v>
      </c>
      <c r="E2437" t="s">
        <v>324</v>
      </c>
      <c r="F2437">
        <v>2</v>
      </c>
      <c r="G2437">
        <v>245.76</v>
      </c>
      <c r="H2437">
        <v>0.1</v>
      </c>
      <c r="I2437" s="4">
        <v>442.37</v>
      </c>
      <c r="J2437" t="s">
        <v>21</v>
      </c>
      <c r="K2437" t="s">
        <v>48</v>
      </c>
      <c r="L2437" s="4">
        <f>VLOOKUP(tblTransactions[[#This Row],[Product_ID]],tblProducts[],5,FALSE)</f>
        <v>161.94</v>
      </c>
      <c r="M2437" s="4">
        <f>tblTransactions[[#This Row],[Total_Amount]]-(tblTransactions[[#This Row],[Cost_Prices]]*tblTransactions[[#This Row],[Quantity]]*(1-tblTransactions[[#This Row],[Discount]]))</f>
        <v>150.87799999999999</v>
      </c>
      <c r="N2437" s="3">
        <f>tblTransactions[[#This Row],[Profit]]/tblTransactions[[#This Row],[Total_Amount]]</f>
        <v>0.3410674322399801</v>
      </c>
      <c r="O2437" t="str">
        <f>TEXT(tblTransactions[[#This Row],[Date]], "MMM-YYYY")</f>
        <v>Jun-2024</v>
      </c>
      <c r="P2437" t="str">
        <f>"Q"&amp;ROUNDUP(MONTH(tblTransactions[[#This Row],[Date]])/3,0)&amp;"-"&amp;YEAR(tblTransactions[[#This Row],[Date]])</f>
        <v>Q2-2024</v>
      </c>
      <c r="Q2437">
        <f>YEAR(tblTransactions[[#This Row],[Date]])</f>
        <v>2024</v>
      </c>
      <c r="R2437" t="str">
        <f>TEXT(tblTransactions[[#This Row],[Date]],"DDDD")</f>
        <v>Monday</v>
      </c>
      <c r="S2437">
        <f>MONTH(tblTransactions[[#This Row],[Date]])</f>
        <v>6</v>
      </c>
      <c r="T2437" t="str">
        <f>VLOOKUP(E2437, Products!$A:$B,2,0)</f>
        <v>Storage Fur-1</v>
      </c>
      <c r="U2437" t="str">
        <f>VLOOKUP(E2437,Products!$A:$C,3,0)</f>
        <v>Furniture</v>
      </c>
      <c r="V2437" t="str">
        <f>VLOOKUP(E2437,Products!$A:$D,4,0)</f>
        <v>Storage</v>
      </c>
      <c r="W2437" t="str">
        <f>VLOOKUP(D2437,Customers!$A:$C,3,0)</f>
        <v>Small Business</v>
      </c>
      <c r="X2437" t="str">
        <f>VLOOKUP(C2437,Sales_Representatives!$A:$B,2,0)</f>
        <v>Sarah Brown</v>
      </c>
    </row>
    <row r="2438" spans="1:24" x14ac:dyDescent="0.3">
      <c r="A2438" t="s">
        <v>3397</v>
      </c>
      <c r="B2438" t="s">
        <v>3396</v>
      </c>
      <c r="C2438" t="s">
        <v>41</v>
      </c>
      <c r="D2438" t="s">
        <v>1752</v>
      </c>
      <c r="E2438" t="s">
        <v>198</v>
      </c>
      <c r="F2438">
        <v>17</v>
      </c>
      <c r="G2438">
        <v>1802.96</v>
      </c>
      <c r="H2438">
        <v>0.2</v>
      </c>
      <c r="I2438" s="4">
        <v>24520.26</v>
      </c>
      <c r="J2438" t="s">
        <v>44</v>
      </c>
      <c r="K2438" t="s">
        <v>22</v>
      </c>
      <c r="L2438" s="4">
        <f>VLOOKUP(tblTransactions[[#This Row],[Product_ID]],tblProducts[],5,FALSE)</f>
        <v>1282.18</v>
      </c>
      <c r="M2438" s="4">
        <f>tblTransactions[[#This Row],[Total_Amount]]-(tblTransactions[[#This Row],[Cost_Prices]]*tblTransactions[[#This Row],[Quantity]]*(1-tblTransactions[[#This Row],[Discount]]))</f>
        <v>7082.6119999999974</v>
      </c>
      <c r="N2438" s="3">
        <f>tblTransactions[[#This Row],[Profit]]/tblTransactions[[#This Row],[Total_Amount]]</f>
        <v>0.28884734501183912</v>
      </c>
      <c r="O2438" t="str">
        <f>TEXT(tblTransactions[[#This Row],[Date]], "MMM-YYYY")</f>
        <v>Jun-2024</v>
      </c>
      <c r="P2438" t="str">
        <f>"Q"&amp;ROUNDUP(MONTH(tblTransactions[[#This Row],[Date]])/3,0)&amp;"-"&amp;YEAR(tblTransactions[[#This Row],[Date]])</f>
        <v>Q2-2024</v>
      </c>
      <c r="Q2438">
        <f>YEAR(tblTransactions[[#This Row],[Date]])</f>
        <v>2024</v>
      </c>
      <c r="R2438" t="str">
        <f>TEXT(tblTransactions[[#This Row],[Date]],"DDDD")</f>
        <v>Monday</v>
      </c>
      <c r="S2438">
        <f>MONTH(tblTransactions[[#This Row],[Date]])</f>
        <v>6</v>
      </c>
      <c r="T2438" t="str">
        <f>VLOOKUP(E2438, Products!$A:$B,2,0)</f>
        <v>Tablets Ele-3</v>
      </c>
      <c r="U2438" t="str">
        <f>VLOOKUP(E2438,Products!$A:$C,3,0)</f>
        <v>Electronics</v>
      </c>
      <c r="V2438" t="str">
        <f>VLOOKUP(E2438,Products!$A:$D,4,0)</f>
        <v>Tablets</v>
      </c>
      <c r="W2438" t="str">
        <f>VLOOKUP(D2438,Customers!$A:$C,3,0)</f>
        <v>B2B</v>
      </c>
      <c r="X2438" t="str">
        <f>VLOOKUP(C2438,Sales_Representatives!$A:$B,2,0)</f>
        <v>Robert Jones</v>
      </c>
    </row>
    <row r="2439" spans="1:24" x14ac:dyDescent="0.3">
      <c r="A2439" t="s">
        <v>3398</v>
      </c>
      <c r="B2439" t="s">
        <v>3396</v>
      </c>
      <c r="C2439" t="s">
        <v>19</v>
      </c>
      <c r="D2439" t="s">
        <v>3006</v>
      </c>
      <c r="E2439" t="s">
        <v>232</v>
      </c>
      <c r="F2439">
        <v>3</v>
      </c>
      <c r="G2439">
        <v>60.21</v>
      </c>
      <c r="H2439">
        <v>0.09</v>
      </c>
      <c r="I2439" s="4">
        <v>164.37</v>
      </c>
      <c r="J2439" t="s">
        <v>21</v>
      </c>
      <c r="K2439" t="s">
        <v>48</v>
      </c>
      <c r="L2439" s="4">
        <f>VLOOKUP(tblTransactions[[#This Row],[Product_ID]],tblProducts[],5,FALSE)</f>
        <v>38.18</v>
      </c>
      <c r="M2439" s="4">
        <f>tblTransactions[[#This Row],[Total_Amount]]-(tblTransactions[[#This Row],[Cost_Prices]]*tblTransactions[[#This Row],[Quantity]]*(1-tblTransactions[[#This Row],[Discount]]))</f>
        <v>60.138600000000011</v>
      </c>
      <c r="N2439" s="3">
        <f>tblTransactions[[#This Row],[Profit]]/tblTransactions[[#This Row],[Total_Amount]]</f>
        <v>0.36587333455010046</v>
      </c>
      <c r="O2439" t="str">
        <f>TEXT(tblTransactions[[#This Row],[Date]], "MMM-YYYY")</f>
        <v>Jun-2024</v>
      </c>
      <c r="P2439" t="str">
        <f>"Q"&amp;ROUNDUP(MONTH(tblTransactions[[#This Row],[Date]])/3,0)&amp;"-"&amp;YEAR(tblTransactions[[#This Row],[Date]])</f>
        <v>Q2-2024</v>
      </c>
      <c r="Q2439">
        <f>YEAR(tblTransactions[[#This Row],[Date]])</f>
        <v>2024</v>
      </c>
      <c r="R2439" t="str">
        <f>TEXT(tblTransactions[[#This Row],[Date]],"DDDD")</f>
        <v>Monday</v>
      </c>
      <c r="S2439">
        <f>MONTH(tblTransactions[[#This Row],[Date]])</f>
        <v>6</v>
      </c>
      <c r="T2439" t="str">
        <f>VLOOKUP(E2439, Products!$A:$B,2,0)</f>
        <v>Cables Acc-3</v>
      </c>
      <c r="U2439" t="str">
        <f>VLOOKUP(E2439,Products!$A:$C,3,0)</f>
        <v>Accessories</v>
      </c>
      <c r="V2439" t="str">
        <f>VLOOKUP(E2439,Products!$A:$D,4,0)</f>
        <v>Cables</v>
      </c>
      <c r="W2439" t="str">
        <f>VLOOKUP(D2439,Customers!$A:$C,3,0)</f>
        <v>B2C</v>
      </c>
      <c r="X2439" t="str">
        <f>VLOOKUP(C2439,Sales_Representatives!$A:$B,2,0)</f>
        <v>Robert Jones</v>
      </c>
    </row>
    <row r="2440" spans="1:24" x14ac:dyDescent="0.3">
      <c r="A2440" t="s">
        <v>3399</v>
      </c>
      <c r="B2440" t="s">
        <v>3396</v>
      </c>
      <c r="C2440" t="s">
        <v>27</v>
      </c>
      <c r="D2440" t="s">
        <v>1596</v>
      </c>
      <c r="E2440" t="s">
        <v>89</v>
      </c>
      <c r="F2440">
        <v>23</v>
      </c>
      <c r="G2440">
        <v>555.08000000000004</v>
      </c>
      <c r="H2440">
        <v>0.23</v>
      </c>
      <c r="I2440" s="4">
        <v>9830.4699999999993</v>
      </c>
      <c r="J2440" t="s">
        <v>16</v>
      </c>
      <c r="K2440" t="s">
        <v>39</v>
      </c>
      <c r="L2440" s="4">
        <f>VLOOKUP(tblTransactions[[#This Row],[Product_ID]],tblProducts[],5,FALSE)</f>
        <v>402.82</v>
      </c>
      <c r="M2440" s="4">
        <f>tblTransactions[[#This Row],[Total_Amount]]-(tblTransactions[[#This Row],[Cost_Prices]]*tblTransactions[[#This Row],[Quantity]]*(1-tblTransactions[[#This Row],[Discount]]))</f>
        <v>2696.5277999999989</v>
      </c>
      <c r="N2440" s="3">
        <f>tblTransactions[[#This Row],[Profit]]/tblTransactions[[#This Row],[Total_Amount]]</f>
        <v>0.27430303942741285</v>
      </c>
      <c r="O2440" t="str">
        <f>TEXT(tblTransactions[[#This Row],[Date]], "MMM-YYYY")</f>
        <v>Jun-2024</v>
      </c>
      <c r="P2440" t="str">
        <f>"Q"&amp;ROUNDUP(MONTH(tblTransactions[[#This Row],[Date]])/3,0)&amp;"-"&amp;YEAR(tblTransactions[[#This Row],[Date]])</f>
        <v>Q2-2024</v>
      </c>
      <c r="Q2440">
        <f>YEAR(tblTransactions[[#This Row],[Date]])</f>
        <v>2024</v>
      </c>
      <c r="R2440" t="str">
        <f>TEXT(tblTransactions[[#This Row],[Date]],"DDDD")</f>
        <v>Monday</v>
      </c>
      <c r="S2440">
        <f>MONTH(tblTransactions[[#This Row],[Date]])</f>
        <v>6</v>
      </c>
      <c r="T2440" t="str">
        <f>VLOOKUP(E2440, Products!$A:$B,2,0)</f>
        <v>Laptops Ele-3</v>
      </c>
      <c r="U2440" t="str">
        <f>VLOOKUP(E2440,Products!$A:$C,3,0)</f>
        <v>Electronics</v>
      </c>
      <c r="V2440" t="str">
        <f>VLOOKUP(E2440,Products!$A:$D,4,0)</f>
        <v>Laptops</v>
      </c>
      <c r="W2440" t="str">
        <f>VLOOKUP(D2440,Customers!$A:$C,3,0)</f>
        <v>Enterprise</v>
      </c>
      <c r="X2440" t="str">
        <f>VLOOKUP(C2440,Sales_Representatives!$A:$B,2,0)</f>
        <v>Thomas Lopez</v>
      </c>
    </row>
    <row r="2441" spans="1:24" x14ac:dyDescent="0.3">
      <c r="A2441" t="s">
        <v>3400</v>
      </c>
      <c r="B2441" t="s">
        <v>3396</v>
      </c>
      <c r="C2441" t="s">
        <v>41</v>
      </c>
      <c r="D2441" t="s">
        <v>2417</v>
      </c>
      <c r="E2441" t="s">
        <v>347</v>
      </c>
      <c r="F2441">
        <v>19</v>
      </c>
      <c r="G2441">
        <v>1539.6</v>
      </c>
      <c r="H2441">
        <v>0.14000000000000001</v>
      </c>
      <c r="I2441" s="4">
        <v>25157.06</v>
      </c>
      <c r="J2441" t="s">
        <v>44</v>
      </c>
      <c r="K2441" t="s">
        <v>48</v>
      </c>
      <c r="L2441" s="4">
        <f>VLOOKUP(tblTransactions[[#This Row],[Product_ID]],tblProducts[],5,FALSE)</f>
        <v>992.43</v>
      </c>
      <c r="M2441" s="4">
        <f>tblTransactions[[#This Row],[Total_Amount]]-(tblTransactions[[#This Row],[Cost_Prices]]*tblTransactions[[#This Row],[Quantity]]*(1-tblTransactions[[#This Row],[Discount]]))</f>
        <v>8940.7538000000022</v>
      </c>
      <c r="N2441" s="3">
        <f>tblTransactions[[#This Row],[Profit]]/tblTransactions[[#This Row],[Total_Amount]]</f>
        <v>0.3553974033531741</v>
      </c>
      <c r="O2441" t="str">
        <f>TEXT(tblTransactions[[#This Row],[Date]], "MMM-YYYY")</f>
        <v>Jun-2024</v>
      </c>
      <c r="P2441" t="str">
        <f>"Q"&amp;ROUNDUP(MONTH(tblTransactions[[#This Row],[Date]])/3,0)&amp;"-"&amp;YEAR(tblTransactions[[#This Row],[Date]])</f>
        <v>Q2-2024</v>
      </c>
      <c r="Q2441">
        <f>YEAR(tblTransactions[[#This Row],[Date]])</f>
        <v>2024</v>
      </c>
      <c r="R2441" t="str">
        <f>TEXT(tblTransactions[[#This Row],[Date]],"DDDD")</f>
        <v>Monday</v>
      </c>
      <c r="S2441">
        <f>MONTH(tblTransactions[[#This Row],[Date]])</f>
        <v>6</v>
      </c>
      <c r="T2441" t="str">
        <f>VLOOKUP(E2441, Products!$A:$B,2,0)</f>
        <v>Routers Tec-2</v>
      </c>
      <c r="U2441" t="str">
        <f>VLOOKUP(E2441,Products!$A:$C,3,0)</f>
        <v>Technology</v>
      </c>
      <c r="V2441" t="str">
        <f>VLOOKUP(E2441,Products!$A:$D,4,0)</f>
        <v>Routers</v>
      </c>
      <c r="W2441" t="str">
        <f>VLOOKUP(D2441,Customers!$A:$C,3,0)</f>
        <v>B2B</v>
      </c>
      <c r="X2441" t="str">
        <f>VLOOKUP(C2441,Sales_Representatives!$A:$B,2,0)</f>
        <v>Robert Jones</v>
      </c>
    </row>
    <row r="2442" spans="1:24" x14ac:dyDescent="0.3">
      <c r="A2442" t="s">
        <v>3401</v>
      </c>
      <c r="B2442" t="s">
        <v>3396</v>
      </c>
      <c r="C2442" t="s">
        <v>70</v>
      </c>
      <c r="D2442" t="s">
        <v>1616</v>
      </c>
      <c r="E2442" t="s">
        <v>137</v>
      </c>
      <c r="F2442">
        <v>49</v>
      </c>
      <c r="G2442">
        <v>241.39</v>
      </c>
      <c r="H2442">
        <v>0.24</v>
      </c>
      <c r="I2442" s="4">
        <v>8989.36</v>
      </c>
      <c r="J2442" t="s">
        <v>16</v>
      </c>
      <c r="K2442" t="s">
        <v>17</v>
      </c>
      <c r="L2442" s="4">
        <f>VLOOKUP(tblTransactions[[#This Row],[Product_ID]],tblProducts[],5,FALSE)</f>
        <v>124.07</v>
      </c>
      <c r="M2442" s="4">
        <f>tblTransactions[[#This Row],[Total_Amount]]-(tblTransactions[[#This Row],[Cost_Prices]]*tblTransactions[[#This Row],[Quantity]]*(1-tblTransactions[[#This Row],[Discount]]))</f>
        <v>4368.9932000000008</v>
      </c>
      <c r="N2442" s="3">
        <f>tblTransactions[[#This Row],[Profit]]/tblTransactions[[#This Row],[Total_Amount]]</f>
        <v>0.48601827048866664</v>
      </c>
      <c r="O2442" t="str">
        <f>TEXT(tblTransactions[[#This Row],[Date]], "MMM-YYYY")</f>
        <v>Jun-2024</v>
      </c>
      <c r="P2442" t="str">
        <f>"Q"&amp;ROUNDUP(MONTH(tblTransactions[[#This Row],[Date]])/3,0)&amp;"-"&amp;YEAR(tblTransactions[[#This Row],[Date]])</f>
        <v>Q2-2024</v>
      </c>
      <c r="Q2442">
        <f>YEAR(tblTransactions[[#This Row],[Date]])</f>
        <v>2024</v>
      </c>
      <c r="R2442" t="str">
        <f>TEXT(tblTransactions[[#This Row],[Date]],"DDDD")</f>
        <v>Monday</v>
      </c>
      <c r="S2442">
        <f>MONTH(tblTransactions[[#This Row],[Date]])</f>
        <v>6</v>
      </c>
      <c r="T2442" t="str">
        <f>VLOOKUP(E2442, Products!$A:$B,2,0)</f>
        <v>Desks Fur-2</v>
      </c>
      <c r="U2442" t="str">
        <f>VLOOKUP(E2442,Products!$A:$C,3,0)</f>
        <v>Furniture</v>
      </c>
      <c r="V2442" t="str">
        <f>VLOOKUP(E2442,Products!$A:$D,4,0)</f>
        <v>Desks</v>
      </c>
      <c r="W2442" t="str">
        <f>VLOOKUP(D2442,Customers!$A:$C,3,0)</f>
        <v>Enterprise</v>
      </c>
      <c r="X2442" t="str">
        <f>VLOOKUP(C2442,Sales_Representatives!$A:$B,2,0)</f>
        <v>Linda Smith</v>
      </c>
    </row>
    <row r="2443" spans="1:24" x14ac:dyDescent="0.3">
      <c r="A2443" t="s">
        <v>3402</v>
      </c>
      <c r="B2443" t="s">
        <v>3396</v>
      </c>
      <c r="C2443" t="s">
        <v>13</v>
      </c>
      <c r="D2443" t="s">
        <v>362</v>
      </c>
      <c r="E2443" t="s">
        <v>121</v>
      </c>
      <c r="F2443">
        <v>3</v>
      </c>
      <c r="G2443">
        <v>183.9</v>
      </c>
      <c r="H2443">
        <v>0.05</v>
      </c>
      <c r="I2443" s="4">
        <v>524.12</v>
      </c>
      <c r="J2443" t="s">
        <v>16</v>
      </c>
      <c r="K2443" t="s">
        <v>48</v>
      </c>
      <c r="L2443" s="4">
        <f>VLOOKUP(tblTransactions[[#This Row],[Product_ID]],tblProducts[],5,FALSE)</f>
        <v>116.83</v>
      </c>
      <c r="M2443" s="4">
        <f>tblTransactions[[#This Row],[Total_Amount]]-(tblTransactions[[#This Row],[Cost_Prices]]*tblTransactions[[#This Row],[Quantity]]*(1-tblTransactions[[#This Row],[Discount]]))</f>
        <v>191.15449999999998</v>
      </c>
      <c r="N2443" s="3">
        <f>tblTransactions[[#This Row],[Profit]]/tblTransactions[[#This Row],[Total_Amount]]</f>
        <v>0.36471514157063267</v>
      </c>
      <c r="O2443" t="str">
        <f>TEXT(tblTransactions[[#This Row],[Date]], "MMM-YYYY")</f>
        <v>Jun-2024</v>
      </c>
      <c r="P2443" t="str">
        <f>"Q"&amp;ROUNDUP(MONTH(tblTransactions[[#This Row],[Date]])/3,0)&amp;"-"&amp;YEAR(tblTransactions[[#This Row],[Date]])</f>
        <v>Q2-2024</v>
      </c>
      <c r="Q2443">
        <f>YEAR(tblTransactions[[#This Row],[Date]])</f>
        <v>2024</v>
      </c>
      <c r="R2443" t="str">
        <f>TEXT(tblTransactions[[#This Row],[Date]],"DDDD")</f>
        <v>Monday</v>
      </c>
      <c r="S2443">
        <f>MONTH(tblTransactions[[#This Row],[Date]])</f>
        <v>6</v>
      </c>
      <c r="T2443" t="str">
        <f>VLOOKUP(E2443, Products!$A:$B,2,0)</f>
        <v>Pens Off-3</v>
      </c>
      <c r="U2443" t="str">
        <f>VLOOKUP(E2443,Products!$A:$C,3,0)</f>
        <v>Office Supplies</v>
      </c>
      <c r="V2443" t="str">
        <f>VLOOKUP(E2443,Products!$A:$D,4,0)</f>
        <v>Pens</v>
      </c>
      <c r="W2443" t="str">
        <f>VLOOKUP(D2443,Customers!$A:$C,3,0)</f>
        <v>Small Business</v>
      </c>
      <c r="X2443" t="str">
        <f>VLOOKUP(C2443,Sales_Representatives!$A:$B,2,0)</f>
        <v>Jennifer Rodriguez</v>
      </c>
    </row>
    <row r="2444" spans="1:24" x14ac:dyDescent="0.3">
      <c r="A2444" t="s">
        <v>3403</v>
      </c>
      <c r="B2444" t="s">
        <v>3396</v>
      </c>
      <c r="C2444" t="s">
        <v>59</v>
      </c>
      <c r="D2444" t="s">
        <v>3404</v>
      </c>
      <c r="E2444" t="s">
        <v>232</v>
      </c>
      <c r="F2444">
        <v>5</v>
      </c>
      <c r="G2444">
        <v>60.21</v>
      </c>
      <c r="H2444">
        <v>0.01</v>
      </c>
      <c r="I2444" s="4">
        <v>298.04000000000002</v>
      </c>
      <c r="J2444" t="s">
        <v>21</v>
      </c>
      <c r="K2444" t="s">
        <v>35</v>
      </c>
      <c r="L2444" s="4">
        <f>VLOOKUP(tblTransactions[[#This Row],[Product_ID]],tblProducts[],5,FALSE)</f>
        <v>38.18</v>
      </c>
      <c r="M2444" s="4">
        <f>tblTransactions[[#This Row],[Total_Amount]]-(tblTransactions[[#This Row],[Cost_Prices]]*tblTransactions[[#This Row],[Quantity]]*(1-tblTransactions[[#This Row],[Discount]]))</f>
        <v>109.04900000000001</v>
      </c>
      <c r="N2444" s="3">
        <f>tblTransactions[[#This Row],[Profit]]/tblTransactions[[#This Row],[Total_Amount]]</f>
        <v>0.3658871292443967</v>
      </c>
      <c r="O2444" t="str">
        <f>TEXT(tblTransactions[[#This Row],[Date]], "MMM-YYYY")</f>
        <v>Jun-2024</v>
      </c>
      <c r="P2444" t="str">
        <f>"Q"&amp;ROUNDUP(MONTH(tblTransactions[[#This Row],[Date]])/3,0)&amp;"-"&amp;YEAR(tblTransactions[[#This Row],[Date]])</f>
        <v>Q2-2024</v>
      </c>
      <c r="Q2444">
        <f>YEAR(tblTransactions[[#This Row],[Date]])</f>
        <v>2024</v>
      </c>
      <c r="R2444" t="str">
        <f>TEXT(tblTransactions[[#This Row],[Date]],"DDDD")</f>
        <v>Monday</v>
      </c>
      <c r="S2444">
        <f>MONTH(tblTransactions[[#This Row],[Date]])</f>
        <v>6</v>
      </c>
      <c r="T2444" t="str">
        <f>VLOOKUP(E2444, Products!$A:$B,2,0)</f>
        <v>Cables Acc-3</v>
      </c>
      <c r="U2444" t="str">
        <f>VLOOKUP(E2444,Products!$A:$C,3,0)</f>
        <v>Accessories</v>
      </c>
      <c r="V2444" t="str">
        <f>VLOOKUP(E2444,Products!$A:$D,4,0)</f>
        <v>Cables</v>
      </c>
      <c r="W2444" t="str">
        <f>VLOOKUP(D2444,Customers!$A:$C,3,0)</f>
        <v>B2C</v>
      </c>
      <c r="X2444" t="str">
        <f>VLOOKUP(C2444,Sales_Representatives!$A:$B,2,0)</f>
        <v>Sarah Brown</v>
      </c>
    </row>
    <row r="2445" spans="1:24" x14ac:dyDescent="0.3">
      <c r="A2445" t="s">
        <v>3405</v>
      </c>
      <c r="B2445" t="s">
        <v>3406</v>
      </c>
      <c r="C2445" t="s">
        <v>31</v>
      </c>
      <c r="D2445" t="s">
        <v>2469</v>
      </c>
      <c r="E2445" t="s">
        <v>168</v>
      </c>
      <c r="F2445">
        <v>6</v>
      </c>
      <c r="G2445">
        <v>101.59</v>
      </c>
      <c r="H2445">
        <v>0.1</v>
      </c>
      <c r="I2445" s="4">
        <v>548.59</v>
      </c>
      <c r="J2445" t="s">
        <v>34</v>
      </c>
      <c r="K2445" t="s">
        <v>17</v>
      </c>
      <c r="L2445" s="4">
        <f>VLOOKUP(tblTransactions[[#This Row],[Product_ID]],tblProducts[],5,FALSE)</f>
        <v>50.58</v>
      </c>
      <c r="M2445" s="4">
        <f>tblTransactions[[#This Row],[Total_Amount]]-(tblTransactions[[#This Row],[Cost_Prices]]*tblTransactions[[#This Row],[Quantity]]*(1-tblTransactions[[#This Row],[Discount]]))</f>
        <v>275.45800000000003</v>
      </c>
      <c r="N2445" s="3">
        <f>tblTransactions[[#This Row],[Profit]]/tblTransactions[[#This Row],[Total_Amount]]</f>
        <v>0.50211998031316651</v>
      </c>
      <c r="O2445" t="str">
        <f>TEXT(tblTransactions[[#This Row],[Date]], "MMM-YYYY")</f>
        <v>Jun-2024</v>
      </c>
      <c r="P2445" t="str">
        <f>"Q"&amp;ROUNDUP(MONTH(tblTransactions[[#This Row],[Date]])/3,0)&amp;"-"&amp;YEAR(tblTransactions[[#This Row],[Date]])</f>
        <v>Q2-2024</v>
      </c>
      <c r="Q2445">
        <f>YEAR(tblTransactions[[#This Row],[Date]])</f>
        <v>2024</v>
      </c>
      <c r="R2445" t="str">
        <f>TEXT(tblTransactions[[#This Row],[Date]],"DDDD")</f>
        <v>Tuesday</v>
      </c>
      <c r="S2445">
        <f>MONTH(tblTransactions[[#This Row],[Date]])</f>
        <v>6</v>
      </c>
      <c r="T2445" t="str">
        <f>VLOOKUP(E2445, Products!$A:$B,2,0)</f>
        <v>Cases Acc-4</v>
      </c>
      <c r="U2445" t="str">
        <f>VLOOKUP(E2445,Products!$A:$C,3,0)</f>
        <v>Accessories</v>
      </c>
      <c r="V2445" t="str">
        <f>VLOOKUP(E2445,Products!$A:$D,4,0)</f>
        <v>Cases</v>
      </c>
      <c r="W2445" t="str">
        <f>VLOOKUP(D2445,Customers!$A:$C,3,0)</f>
        <v>B2C</v>
      </c>
      <c r="X2445" t="str">
        <f>VLOOKUP(C2445,Sales_Representatives!$A:$B,2,0)</f>
        <v>Thomas Martinez</v>
      </c>
    </row>
    <row r="2446" spans="1:24" x14ac:dyDescent="0.3">
      <c r="A2446" t="s">
        <v>3407</v>
      </c>
      <c r="B2446" t="s">
        <v>3406</v>
      </c>
      <c r="C2446" t="s">
        <v>82</v>
      </c>
      <c r="D2446" t="s">
        <v>2417</v>
      </c>
      <c r="E2446" t="s">
        <v>204</v>
      </c>
      <c r="F2446">
        <v>19</v>
      </c>
      <c r="G2446">
        <v>715.62</v>
      </c>
      <c r="H2446">
        <v>0.11</v>
      </c>
      <c r="I2446" s="4">
        <v>12101.13</v>
      </c>
      <c r="J2446" t="s">
        <v>34</v>
      </c>
      <c r="K2446" t="s">
        <v>35</v>
      </c>
      <c r="L2446" s="4">
        <f>VLOOKUP(tblTransactions[[#This Row],[Product_ID]],tblProducts[],5,FALSE)</f>
        <v>459.58</v>
      </c>
      <c r="M2446" s="4">
        <f>tblTransactions[[#This Row],[Total_Amount]]-(tblTransactions[[#This Row],[Cost_Prices]]*tblTransactions[[#This Row],[Quantity]]*(1-tblTransactions[[#This Row],[Discount]]))</f>
        <v>4329.6321999999991</v>
      </c>
      <c r="N2446" s="3">
        <f>tblTransactions[[#This Row],[Profit]]/tblTransactions[[#This Row],[Total_Amount]]</f>
        <v>0.35778742976895539</v>
      </c>
      <c r="O2446" t="str">
        <f>TEXT(tblTransactions[[#This Row],[Date]], "MMM-YYYY")</f>
        <v>Jun-2024</v>
      </c>
      <c r="P2446" t="str">
        <f>"Q"&amp;ROUNDUP(MONTH(tblTransactions[[#This Row],[Date]])/3,0)&amp;"-"&amp;YEAR(tblTransactions[[#This Row],[Date]])</f>
        <v>Q2-2024</v>
      </c>
      <c r="Q2446">
        <f>YEAR(tblTransactions[[#This Row],[Date]])</f>
        <v>2024</v>
      </c>
      <c r="R2446" t="str">
        <f>TEXT(tblTransactions[[#This Row],[Date]],"DDDD")</f>
        <v>Tuesday</v>
      </c>
      <c r="S2446">
        <f>MONTH(tblTransactions[[#This Row],[Date]])</f>
        <v>6</v>
      </c>
      <c r="T2446" t="str">
        <f>VLOOKUP(E2446, Products!$A:$B,2,0)</f>
        <v>Cameras Ele-2</v>
      </c>
      <c r="U2446" t="str">
        <f>VLOOKUP(E2446,Products!$A:$C,3,0)</f>
        <v>Electronics</v>
      </c>
      <c r="V2446" t="str">
        <f>VLOOKUP(E2446,Products!$A:$D,4,0)</f>
        <v>Cameras</v>
      </c>
      <c r="W2446" t="str">
        <f>VLOOKUP(D2446,Customers!$A:$C,3,0)</f>
        <v>B2B</v>
      </c>
      <c r="X2446" t="str">
        <f>VLOOKUP(C2446,Sales_Representatives!$A:$B,2,0)</f>
        <v>John Brown</v>
      </c>
    </row>
    <row r="2447" spans="1:24" x14ac:dyDescent="0.3">
      <c r="A2447" t="s">
        <v>3408</v>
      </c>
      <c r="B2447" t="s">
        <v>3406</v>
      </c>
      <c r="C2447" t="s">
        <v>107</v>
      </c>
      <c r="D2447" t="s">
        <v>1507</v>
      </c>
      <c r="E2447" t="s">
        <v>290</v>
      </c>
      <c r="F2447">
        <v>42</v>
      </c>
      <c r="G2447">
        <v>729.32</v>
      </c>
      <c r="H2447">
        <v>0.22</v>
      </c>
      <c r="I2447" s="4">
        <v>23892.52</v>
      </c>
      <c r="J2447" t="s">
        <v>109</v>
      </c>
      <c r="K2447" t="s">
        <v>39</v>
      </c>
      <c r="L2447" s="4">
        <f>VLOOKUP(tblTransactions[[#This Row],[Product_ID]],tblProducts[],5,FALSE)</f>
        <v>482.7</v>
      </c>
      <c r="M2447" s="4">
        <f>tblTransactions[[#This Row],[Total_Amount]]-(tblTransactions[[#This Row],[Cost_Prices]]*tblTransactions[[#This Row],[Quantity]]*(1-tblTransactions[[#This Row],[Discount]]))</f>
        <v>8079.2680000000018</v>
      </c>
      <c r="N2447" s="3">
        <f>tblTransactions[[#This Row],[Profit]]/tblTransactions[[#This Row],[Total_Amount]]</f>
        <v>0.33815051740042495</v>
      </c>
      <c r="O2447" t="str">
        <f>TEXT(tblTransactions[[#This Row],[Date]], "MMM-YYYY")</f>
        <v>Jun-2024</v>
      </c>
      <c r="P2447" t="str">
        <f>"Q"&amp;ROUNDUP(MONTH(tblTransactions[[#This Row],[Date]])/3,0)&amp;"-"&amp;YEAR(tblTransactions[[#This Row],[Date]])</f>
        <v>Q2-2024</v>
      </c>
      <c r="Q2447">
        <f>YEAR(tblTransactions[[#This Row],[Date]])</f>
        <v>2024</v>
      </c>
      <c r="R2447" t="str">
        <f>TEXT(tblTransactions[[#This Row],[Date]],"DDDD")</f>
        <v>Tuesday</v>
      </c>
      <c r="S2447">
        <f>MONTH(tblTransactions[[#This Row],[Date]])</f>
        <v>6</v>
      </c>
      <c r="T2447" t="str">
        <f>VLOOKUP(E2447, Products!$A:$B,2,0)</f>
        <v>Tables Fur-1</v>
      </c>
      <c r="U2447" t="str">
        <f>VLOOKUP(E2447,Products!$A:$C,3,0)</f>
        <v>Furniture</v>
      </c>
      <c r="V2447" t="str">
        <f>VLOOKUP(E2447,Products!$A:$D,4,0)</f>
        <v>Tables</v>
      </c>
      <c r="W2447" t="str">
        <f>VLOOKUP(D2447,Customers!$A:$C,3,0)</f>
        <v>Enterprise</v>
      </c>
      <c r="X2447" t="str">
        <f>VLOOKUP(C2447,Sales_Representatives!$A:$B,2,0)</f>
        <v>Jennifer Brown</v>
      </c>
    </row>
    <row r="2448" spans="1:24" x14ac:dyDescent="0.3">
      <c r="A2448" t="s">
        <v>3409</v>
      </c>
      <c r="B2448" t="s">
        <v>3406</v>
      </c>
      <c r="C2448" t="s">
        <v>13</v>
      </c>
      <c r="D2448" t="s">
        <v>1959</v>
      </c>
      <c r="E2448" t="s">
        <v>304</v>
      </c>
      <c r="F2448">
        <v>2</v>
      </c>
      <c r="G2448">
        <v>13.43</v>
      </c>
      <c r="H2448">
        <v>0.1</v>
      </c>
      <c r="I2448" s="4">
        <v>24.17</v>
      </c>
      <c r="J2448" t="s">
        <v>16</v>
      </c>
      <c r="K2448" t="s">
        <v>17</v>
      </c>
      <c r="L2448" s="4">
        <f>VLOOKUP(tblTransactions[[#This Row],[Product_ID]],tblProducts[],5,FALSE)</f>
        <v>5.8</v>
      </c>
      <c r="M2448" s="4">
        <f>tblTransactions[[#This Row],[Total_Amount]]-(tblTransactions[[#This Row],[Cost_Prices]]*tblTransactions[[#This Row],[Quantity]]*(1-tblTransactions[[#This Row],[Discount]]))</f>
        <v>13.730000000000002</v>
      </c>
      <c r="N2448" s="3">
        <f>tblTransactions[[#This Row],[Profit]]/tblTransactions[[#This Row],[Total_Amount]]</f>
        <v>0.56805957798924289</v>
      </c>
      <c r="O2448" t="str">
        <f>TEXT(tblTransactions[[#This Row],[Date]], "MMM-YYYY")</f>
        <v>Jun-2024</v>
      </c>
      <c r="P2448" t="str">
        <f>"Q"&amp;ROUNDUP(MONTH(tblTransactions[[#This Row],[Date]])/3,0)&amp;"-"&amp;YEAR(tblTransactions[[#This Row],[Date]])</f>
        <v>Q2-2024</v>
      </c>
      <c r="Q2448">
        <f>YEAR(tblTransactions[[#This Row],[Date]])</f>
        <v>2024</v>
      </c>
      <c r="R2448" t="str">
        <f>TEXT(tblTransactions[[#This Row],[Date]],"DDDD")</f>
        <v>Tuesday</v>
      </c>
      <c r="S2448">
        <f>MONTH(tblTransactions[[#This Row],[Date]])</f>
        <v>6</v>
      </c>
      <c r="T2448" t="str">
        <f>VLOOKUP(E2448, Products!$A:$B,2,0)</f>
        <v>Pens Off-1</v>
      </c>
      <c r="U2448" t="str">
        <f>VLOOKUP(E2448,Products!$A:$C,3,0)</f>
        <v>Office Supplies</v>
      </c>
      <c r="V2448" t="str">
        <f>VLOOKUP(E2448,Products!$A:$D,4,0)</f>
        <v>Pens</v>
      </c>
      <c r="W2448" t="str">
        <f>VLOOKUP(D2448,Customers!$A:$C,3,0)</f>
        <v>Small Business</v>
      </c>
      <c r="X2448" t="str">
        <f>VLOOKUP(C2448,Sales_Representatives!$A:$B,2,0)</f>
        <v>Jennifer Rodriguez</v>
      </c>
    </row>
    <row r="2449" spans="1:24" x14ac:dyDescent="0.3">
      <c r="A2449" t="s">
        <v>3410</v>
      </c>
      <c r="B2449" t="s">
        <v>3406</v>
      </c>
      <c r="C2449" t="s">
        <v>19</v>
      </c>
      <c r="D2449" t="s">
        <v>1988</v>
      </c>
      <c r="E2449" t="s">
        <v>450</v>
      </c>
      <c r="F2449">
        <v>36</v>
      </c>
      <c r="G2449">
        <v>2083.92</v>
      </c>
      <c r="H2449">
        <v>0.17</v>
      </c>
      <c r="I2449" s="4">
        <v>62267.53</v>
      </c>
      <c r="J2449" t="s">
        <v>21</v>
      </c>
      <c r="K2449" t="s">
        <v>17</v>
      </c>
      <c r="L2449" s="4">
        <f>VLOOKUP(tblTransactions[[#This Row],[Product_ID]],tblProducts[],5,FALSE)</f>
        <v>1425.78</v>
      </c>
      <c r="M2449" s="4">
        <f>tblTransactions[[#This Row],[Total_Amount]]-(tblTransactions[[#This Row],[Cost_Prices]]*tblTransactions[[#This Row],[Quantity]]*(1-tblTransactions[[#This Row],[Discount]]))</f>
        <v>19665.223599999998</v>
      </c>
      <c r="N2449" s="3">
        <f>tblTransactions[[#This Row],[Profit]]/tblTransactions[[#This Row],[Total_Amount]]</f>
        <v>0.31581826997152446</v>
      </c>
      <c r="O2449" t="str">
        <f>TEXT(tblTransactions[[#This Row],[Date]], "MMM-YYYY")</f>
        <v>Jun-2024</v>
      </c>
      <c r="P2449" t="str">
        <f>"Q"&amp;ROUNDUP(MONTH(tblTransactions[[#This Row],[Date]])/3,0)&amp;"-"&amp;YEAR(tblTransactions[[#This Row],[Date]])</f>
        <v>Q2-2024</v>
      </c>
      <c r="Q2449">
        <f>YEAR(tblTransactions[[#This Row],[Date]])</f>
        <v>2024</v>
      </c>
      <c r="R2449" t="str">
        <f>TEXT(tblTransactions[[#This Row],[Date]],"DDDD")</f>
        <v>Tuesday</v>
      </c>
      <c r="S2449">
        <f>MONTH(tblTransactions[[#This Row],[Date]])</f>
        <v>6</v>
      </c>
      <c r="T2449" t="str">
        <f>VLOOKUP(E2449, Products!$A:$B,2,0)</f>
        <v>Monitors Tec-4</v>
      </c>
      <c r="U2449" t="str">
        <f>VLOOKUP(E2449,Products!$A:$C,3,0)</f>
        <v>Technology</v>
      </c>
      <c r="V2449" t="str">
        <f>VLOOKUP(E2449,Products!$A:$D,4,0)</f>
        <v>Monitors</v>
      </c>
      <c r="W2449" t="str">
        <f>VLOOKUP(D2449,Customers!$A:$C,3,0)</f>
        <v>Enterprise</v>
      </c>
      <c r="X2449" t="str">
        <f>VLOOKUP(C2449,Sales_Representatives!$A:$B,2,0)</f>
        <v>Robert Jones</v>
      </c>
    </row>
    <row r="2450" spans="1:24" x14ac:dyDescent="0.3">
      <c r="A2450" t="s">
        <v>3411</v>
      </c>
      <c r="B2450" t="s">
        <v>3406</v>
      </c>
      <c r="C2450" t="s">
        <v>107</v>
      </c>
      <c r="D2450" t="s">
        <v>1543</v>
      </c>
      <c r="E2450" t="s">
        <v>191</v>
      </c>
      <c r="F2450">
        <v>6</v>
      </c>
      <c r="G2450">
        <v>1012.75</v>
      </c>
      <c r="H2450">
        <v>0.14000000000000001</v>
      </c>
      <c r="I2450" s="4">
        <v>5225.79</v>
      </c>
      <c r="J2450" t="s">
        <v>109</v>
      </c>
      <c r="K2450" t="s">
        <v>22</v>
      </c>
      <c r="L2450" s="4">
        <f>VLOOKUP(tblTransactions[[#This Row],[Product_ID]],tblProducts[],5,FALSE)</f>
        <v>518.53</v>
      </c>
      <c r="M2450" s="4">
        <f>tblTransactions[[#This Row],[Total_Amount]]-(tblTransactions[[#This Row],[Cost_Prices]]*tblTransactions[[#This Row],[Quantity]]*(1-tblTransactions[[#This Row],[Discount]]))</f>
        <v>2550.1752000000001</v>
      </c>
      <c r="N2450" s="3">
        <f>tblTransactions[[#This Row],[Profit]]/tblTransactions[[#This Row],[Total_Amount]]</f>
        <v>0.48799802517896818</v>
      </c>
      <c r="O2450" t="str">
        <f>TEXT(tblTransactions[[#This Row],[Date]], "MMM-YYYY")</f>
        <v>Jun-2024</v>
      </c>
      <c r="P2450" t="str">
        <f>"Q"&amp;ROUNDUP(MONTH(tblTransactions[[#This Row],[Date]])/3,0)&amp;"-"&amp;YEAR(tblTransactions[[#This Row],[Date]])</f>
        <v>Q2-2024</v>
      </c>
      <c r="Q2450">
        <f>YEAR(tblTransactions[[#This Row],[Date]])</f>
        <v>2024</v>
      </c>
      <c r="R2450" t="str">
        <f>TEXT(tblTransactions[[#This Row],[Date]],"DDDD")</f>
        <v>Tuesday</v>
      </c>
      <c r="S2450">
        <f>MONTH(tblTransactions[[#This Row],[Date]])</f>
        <v>6</v>
      </c>
      <c r="T2450" t="str">
        <f>VLOOKUP(E2450, Products!$A:$B,2,0)</f>
        <v>Tables Fur-4</v>
      </c>
      <c r="U2450" t="str">
        <f>VLOOKUP(E2450,Products!$A:$C,3,0)</f>
        <v>Furniture</v>
      </c>
      <c r="V2450" t="str">
        <f>VLOOKUP(E2450,Products!$A:$D,4,0)</f>
        <v>Tables</v>
      </c>
      <c r="W2450" t="str">
        <f>VLOOKUP(D2450,Customers!$A:$C,3,0)</f>
        <v>B2C</v>
      </c>
      <c r="X2450" t="str">
        <f>VLOOKUP(C2450,Sales_Representatives!$A:$B,2,0)</f>
        <v>Jennifer Brown</v>
      </c>
    </row>
    <row r="2451" spans="1:24" x14ac:dyDescent="0.3">
      <c r="A2451" t="s">
        <v>3412</v>
      </c>
      <c r="B2451" t="s">
        <v>3413</v>
      </c>
      <c r="C2451" t="s">
        <v>41</v>
      </c>
      <c r="D2451" t="s">
        <v>1600</v>
      </c>
      <c r="E2451" t="s">
        <v>137</v>
      </c>
      <c r="F2451">
        <v>2</v>
      </c>
      <c r="G2451">
        <v>241.39</v>
      </c>
      <c r="H2451">
        <v>0.08</v>
      </c>
      <c r="I2451" s="4">
        <v>444.16</v>
      </c>
      <c r="J2451" t="s">
        <v>44</v>
      </c>
      <c r="K2451" t="s">
        <v>22</v>
      </c>
      <c r="L2451" s="4">
        <f>VLOOKUP(tblTransactions[[#This Row],[Product_ID]],tblProducts[],5,FALSE)</f>
        <v>124.07</v>
      </c>
      <c r="M2451" s="4">
        <f>tblTransactions[[#This Row],[Total_Amount]]-(tblTransactions[[#This Row],[Cost_Prices]]*tblTransactions[[#This Row],[Quantity]]*(1-tblTransactions[[#This Row],[Discount]]))</f>
        <v>215.87120000000002</v>
      </c>
      <c r="N2451" s="3">
        <f>tblTransactions[[#This Row],[Profit]]/tblTransactions[[#This Row],[Total_Amount]]</f>
        <v>0.48602125360230547</v>
      </c>
      <c r="O2451" t="str">
        <f>TEXT(tblTransactions[[#This Row],[Date]], "MMM-YYYY")</f>
        <v>Jun-2024</v>
      </c>
      <c r="P2451" t="str">
        <f>"Q"&amp;ROUNDUP(MONTH(tblTransactions[[#This Row],[Date]])/3,0)&amp;"-"&amp;YEAR(tblTransactions[[#This Row],[Date]])</f>
        <v>Q2-2024</v>
      </c>
      <c r="Q2451">
        <f>YEAR(tblTransactions[[#This Row],[Date]])</f>
        <v>2024</v>
      </c>
      <c r="R2451" t="str">
        <f>TEXT(tblTransactions[[#This Row],[Date]],"DDDD")</f>
        <v>Wednesday</v>
      </c>
      <c r="S2451">
        <f>MONTH(tblTransactions[[#This Row],[Date]])</f>
        <v>6</v>
      </c>
      <c r="T2451" t="str">
        <f>VLOOKUP(E2451, Products!$A:$B,2,0)</f>
        <v>Desks Fur-2</v>
      </c>
      <c r="U2451" t="str">
        <f>VLOOKUP(E2451,Products!$A:$C,3,0)</f>
        <v>Furniture</v>
      </c>
      <c r="V2451" t="str">
        <f>VLOOKUP(E2451,Products!$A:$D,4,0)</f>
        <v>Desks</v>
      </c>
      <c r="W2451" t="str">
        <f>VLOOKUP(D2451,Customers!$A:$C,3,0)</f>
        <v>B2C</v>
      </c>
      <c r="X2451" t="str">
        <f>VLOOKUP(C2451,Sales_Representatives!$A:$B,2,0)</f>
        <v>Robert Jones</v>
      </c>
    </row>
    <row r="2452" spans="1:24" x14ac:dyDescent="0.3">
      <c r="A2452" t="s">
        <v>3414</v>
      </c>
      <c r="B2452" t="s">
        <v>3415</v>
      </c>
      <c r="C2452" t="s">
        <v>127</v>
      </c>
      <c r="D2452" t="s">
        <v>2469</v>
      </c>
      <c r="E2452" t="s">
        <v>435</v>
      </c>
      <c r="F2452">
        <v>7</v>
      </c>
      <c r="G2452">
        <v>198.72</v>
      </c>
      <c r="H2452">
        <v>0.09</v>
      </c>
      <c r="I2452" s="4">
        <v>1265.8499999999999</v>
      </c>
      <c r="J2452" t="s">
        <v>109</v>
      </c>
      <c r="K2452" t="s">
        <v>35</v>
      </c>
      <c r="L2452" s="4">
        <f>VLOOKUP(tblTransactions[[#This Row],[Product_ID]],tblProducts[],5,FALSE)</f>
        <v>116.98</v>
      </c>
      <c r="M2452" s="4">
        <f>tblTransactions[[#This Row],[Total_Amount]]-(tblTransactions[[#This Row],[Cost_Prices]]*tblTransactions[[#This Row],[Quantity]]*(1-tblTransactions[[#This Row],[Discount]]))</f>
        <v>520.68739999999991</v>
      </c>
      <c r="N2452" s="3">
        <f>tblTransactions[[#This Row],[Profit]]/tblTransactions[[#This Row],[Total_Amount]]</f>
        <v>0.41133420231465018</v>
      </c>
      <c r="O2452" t="str">
        <f>TEXT(tblTransactions[[#This Row],[Date]], "MMM-YYYY")</f>
        <v>Jun-2024</v>
      </c>
      <c r="P2452" t="str">
        <f>"Q"&amp;ROUNDUP(MONTH(tblTransactions[[#This Row],[Date]])/3,0)&amp;"-"&amp;YEAR(tblTransactions[[#This Row],[Date]])</f>
        <v>Q2-2024</v>
      </c>
      <c r="Q2452">
        <f>YEAR(tblTransactions[[#This Row],[Date]])</f>
        <v>2024</v>
      </c>
      <c r="R2452" t="str">
        <f>TEXT(tblTransactions[[#This Row],[Date]],"DDDD")</f>
        <v>Thursday</v>
      </c>
      <c r="S2452">
        <f>MONTH(tblTransactions[[#This Row],[Date]])</f>
        <v>6</v>
      </c>
      <c r="T2452" t="str">
        <f>VLOOKUP(E2452, Products!$A:$B,2,0)</f>
        <v>Paper Off-4</v>
      </c>
      <c r="U2452" t="str">
        <f>VLOOKUP(E2452,Products!$A:$C,3,0)</f>
        <v>Office Supplies</v>
      </c>
      <c r="V2452" t="str">
        <f>VLOOKUP(E2452,Products!$A:$D,4,0)</f>
        <v>Paper</v>
      </c>
      <c r="W2452" t="str">
        <f>VLOOKUP(D2452,Customers!$A:$C,3,0)</f>
        <v>B2C</v>
      </c>
      <c r="X2452" t="str">
        <f>VLOOKUP(C2452,Sales_Representatives!$A:$B,2,0)</f>
        <v>Emily Hernandez</v>
      </c>
    </row>
    <row r="2453" spans="1:24" x14ac:dyDescent="0.3">
      <c r="A2453" t="s">
        <v>3416</v>
      </c>
      <c r="B2453" t="s">
        <v>3415</v>
      </c>
      <c r="C2453" t="s">
        <v>41</v>
      </c>
      <c r="D2453" t="s">
        <v>1441</v>
      </c>
      <c r="E2453" t="s">
        <v>191</v>
      </c>
      <c r="F2453">
        <v>5</v>
      </c>
      <c r="G2453">
        <v>1012.75</v>
      </c>
      <c r="H2453">
        <v>0.09</v>
      </c>
      <c r="I2453" s="4">
        <v>4608.01</v>
      </c>
      <c r="J2453" t="s">
        <v>44</v>
      </c>
      <c r="K2453" t="s">
        <v>48</v>
      </c>
      <c r="L2453" s="4">
        <f>VLOOKUP(tblTransactions[[#This Row],[Product_ID]],tblProducts[],5,FALSE)</f>
        <v>518.53</v>
      </c>
      <c r="M2453" s="4">
        <f>tblTransactions[[#This Row],[Total_Amount]]-(tblTransactions[[#This Row],[Cost_Prices]]*tblTransactions[[#This Row],[Quantity]]*(1-tblTransactions[[#This Row],[Discount]]))</f>
        <v>2248.6985000000004</v>
      </c>
      <c r="N2453" s="3">
        <f>tblTransactions[[#This Row],[Profit]]/tblTransactions[[#This Row],[Total_Amount]]</f>
        <v>0.48799774740072188</v>
      </c>
      <c r="O2453" t="str">
        <f>TEXT(tblTransactions[[#This Row],[Date]], "MMM-YYYY")</f>
        <v>Jun-2024</v>
      </c>
      <c r="P2453" t="str">
        <f>"Q"&amp;ROUNDUP(MONTH(tblTransactions[[#This Row],[Date]])/3,0)&amp;"-"&amp;YEAR(tblTransactions[[#This Row],[Date]])</f>
        <v>Q2-2024</v>
      </c>
      <c r="Q2453">
        <f>YEAR(tblTransactions[[#This Row],[Date]])</f>
        <v>2024</v>
      </c>
      <c r="R2453" t="str">
        <f>TEXT(tblTransactions[[#This Row],[Date]],"DDDD")</f>
        <v>Thursday</v>
      </c>
      <c r="S2453">
        <f>MONTH(tblTransactions[[#This Row],[Date]])</f>
        <v>6</v>
      </c>
      <c r="T2453" t="str">
        <f>VLOOKUP(E2453, Products!$A:$B,2,0)</f>
        <v>Tables Fur-4</v>
      </c>
      <c r="U2453" t="str">
        <f>VLOOKUP(E2453,Products!$A:$C,3,0)</f>
        <v>Furniture</v>
      </c>
      <c r="V2453" t="str">
        <f>VLOOKUP(E2453,Products!$A:$D,4,0)</f>
        <v>Tables</v>
      </c>
      <c r="W2453" t="str">
        <f>VLOOKUP(D2453,Customers!$A:$C,3,0)</f>
        <v>Small Business</v>
      </c>
      <c r="X2453" t="str">
        <f>VLOOKUP(C2453,Sales_Representatives!$A:$B,2,0)</f>
        <v>Robert Jones</v>
      </c>
    </row>
    <row r="2454" spans="1:24" x14ac:dyDescent="0.3">
      <c r="A2454" t="s">
        <v>3417</v>
      </c>
      <c r="B2454" t="s">
        <v>3415</v>
      </c>
      <c r="C2454" t="s">
        <v>19</v>
      </c>
      <c r="D2454" t="s">
        <v>1719</v>
      </c>
      <c r="E2454" t="s">
        <v>324</v>
      </c>
      <c r="F2454">
        <v>19</v>
      </c>
      <c r="G2454">
        <v>245.76</v>
      </c>
      <c r="H2454">
        <v>0.16</v>
      </c>
      <c r="I2454" s="4">
        <v>3922.33</v>
      </c>
      <c r="J2454" t="s">
        <v>21</v>
      </c>
      <c r="K2454" t="s">
        <v>48</v>
      </c>
      <c r="L2454" s="4">
        <f>VLOOKUP(tblTransactions[[#This Row],[Product_ID]],tblProducts[],5,FALSE)</f>
        <v>161.94</v>
      </c>
      <c r="M2454" s="4">
        <f>tblTransactions[[#This Row],[Total_Amount]]-(tblTransactions[[#This Row],[Cost_Prices]]*tblTransactions[[#This Row],[Quantity]]*(1-tblTransactions[[#This Row],[Discount]]))</f>
        <v>1337.7676000000001</v>
      </c>
      <c r="N2454" s="3">
        <f>tblTransactions[[#This Row],[Profit]]/tblTransactions[[#This Row],[Total_Amount]]</f>
        <v>0.34106452032337925</v>
      </c>
      <c r="O2454" t="str">
        <f>TEXT(tblTransactions[[#This Row],[Date]], "MMM-YYYY")</f>
        <v>Jun-2024</v>
      </c>
      <c r="P2454" t="str">
        <f>"Q"&amp;ROUNDUP(MONTH(tblTransactions[[#This Row],[Date]])/3,0)&amp;"-"&amp;YEAR(tblTransactions[[#This Row],[Date]])</f>
        <v>Q2-2024</v>
      </c>
      <c r="Q2454">
        <f>YEAR(tblTransactions[[#This Row],[Date]])</f>
        <v>2024</v>
      </c>
      <c r="R2454" t="str">
        <f>TEXT(tblTransactions[[#This Row],[Date]],"DDDD")</f>
        <v>Thursday</v>
      </c>
      <c r="S2454">
        <f>MONTH(tblTransactions[[#This Row],[Date]])</f>
        <v>6</v>
      </c>
      <c r="T2454" t="str">
        <f>VLOOKUP(E2454, Products!$A:$B,2,0)</f>
        <v>Storage Fur-1</v>
      </c>
      <c r="U2454" t="str">
        <f>VLOOKUP(E2454,Products!$A:$C,3,0)</f>
        <v>Furniture</v>
      </c>
      <c r="V2454" t="str">
        <f>VLOOKUP(E2454,Products!$A:$D,4,0)</f>
        <v>Storage</v>
      </c>
      <c r="W2454" t="str">
        <f>VLOOKUP(D2454,Customers!$A:$C,3,0)</f>
        <v>B2B</v>
      </c>
      <c r="X2454" t="str">
        <f>VLOOKUP(C2454,Sales_Representatives!$A:$B,2,0)</f>
        <v>Robert Jones</v>
      </c>
    </row>
    <row r="2455" spans="1:24" x14ac:dyDescent="0.3">
      <c r="A2455" t="s">
        <v>3418</v>
      </c>
      <c r="B2455" t="s">
        <v>3415</v>
      </c>
      <c r="C2455" t="s">
        <v>13</v>
      </c>
      <c r="D2455" t="s">
        <v>1478</v>
      </c>
      <c r="E2455" t="s">
        <v>15</v>
      </c>
      <c r="F2455">
        <v>7</v>
      </c>
      <c r="G2455">
        <v>477.48</v>
      </c>
      <c r="H2455">
        <v>0.05</v>
      </c>
      <c r="I2455" s="4">
        <v>3175.24</v>
      </c>
      <c r="J2455" t="s">
        <v>16</v>
      </c>
      <c r="K2455" t="s">
        <v>48</v>
      </c>
      <c r="L2455" s="4">
        <f>VLOOKUP(tblTransactions[[#This Row],[Product_ID]],tblProducts[],5,FALSE)</f>
        <v>275.51</v>
      </c>
      <c r="M2455" s="4">
        <f>tblTransactions[[#This Row],[Total_Amount]]-(tblTransactions[[#This Row],[Cost_Prices]]*tblTransactions[[#This Row],[Quantity]]*(1-tblTransactions[[#This Row],[Discount]]))</f>
        <v>1343.0984999999998</v>
      </c>
      <c r="N2455" s="3">
        <f>tblTransactions[[#This Row],[Profit]]/tblTransactions[[#This Row],[Total_Amount]]</f>
        <v>0.42299117547020065</v>
      </c>
      <c r="O2455" t="str">
        <f>TEXT(tblTransactions[[#This Row],[Date]], "MMM-YYYY")</f>
        <v>Jun-2024</v>
      </c>
      <c r="P2455" t="str">
        <f>"Q"&amp;ROUNDUP(MONTH(tblTransactions[[#This Row],[Date]])/3,0)&amp;"-"&amp;YEAR(tblTransactions[[#This Row],[Date]])</f>
        <v>Q2-2024</v>
      </c>
      <c r="Q2455">
        <f>YEAR(tblTransactions[[#This Row],[Date]])</f>
        <v>2024</v>
      </c>
      <c r="R2455" t="str">
        <f>TEXT(tblTransactions[[#This Row],[Date]],"DDDD")</f>
        <v>Thursday</v>
      </c>
      <c r="S2455">
        <f>MONTH(tblTransactions[[#This Row],[Date]])</f>
        <v>6</v>
      </c>
      <c r="T2455" t="str">
        <f>VLOOKUP(E2455, Products!$A:$B,2,0)</f>
        <v>Laptops Ele-4</v>
      </c>
      <c r="U2455" t="str">
        <f>VLOOKUP(E2455,Products!$A:$C,3,0)</f>
        <v>Electronics</v>
      </c>
      <c r="V2455" t="str">
        <f>VLOOKUP(E2455,Products!$A:$D,4,0)</f>
        <v>Laptops</v>
      </c>
      <c r="W2455" t="str">
        <f>VLOOKUP(D2455,Customers!$A:$C,3,0)</f>
        <v>Small Business</v>
      </c>
      <c r="X2455" t="str">
        <f>VLOOKUP(C2455,Sales_Representatives!$A:$B,2,0)</f>
        <v>Jennifer Rodriguez</v>
      </c>
    </row>
    <row r="2456" spans="1:24" x14ac:dyDescent="0.3">
      <c r="A2456" t="s">
        <v>3419</v>
      </c>
      <c r="B2456" t="s">
        <v>3415</v>
      </c>
      <c r="C2456" t="s">
        <v>41</v>
      </c>
      <c r="D2456" t="s">
        <v>1567</v>
      </c>
      <c r="E2456" t="s">
        <v>339</v>
      </c>
      <c r="F2456">
        <v>1</v>
      </c>
      <c r="G2456">
        <v>1100.8800000000001</v>
      </c>
      <c r="H2456">
        <v>0.03</v>
      </c>
      <c r="I2456" s="4">
        <v>1067.8499999999999</v>
      </c>
      <c r="J2456" t="s">
        <v>44</v>
      </c>
      <c r="K2456" t="s">
        <v>48</v>
      </c>
      <c r="L2456" s="4">
        <f>VLOOKUP(tblTransactions[[#This Row],[Product_ID]],tblProducts[],5,FALSE)</f>
        <v>761.53</v>
      </c>
      <c r="M2456" s="4">
        <f>tblTransactions[[#This Row],[Total_Amount]]-(tblTransactions[[#This Row],[Cost_Prices]]*tblTransactions[[#This Row],[Quantity]]*(1-tblTransactions[[#This Row],[Discount]]))</f>
        <v>329.16589999999997</v>
      </c>
      <c r="N2456" s="3">
        <f>tblTransactions[[#This Row],[Profit]]/tblTransactions[[#This Row],[Total_Amount]]</f>
        <v>0.30825106522451656</v>
      </c>
      <c r="O2456" t="str">
        <f>TEXT(tblTransactions[[#This Row],[Date]], "MMM-YYYY")</f>
        <v>Jun-2024</v>
      </c>
      <c r="P2456" t="str">
        <f>"Q"&amp;ROUNDUP(MONTH(tblTransactions[[#This Row],[Date]])/3,0)&amp;"-"&amp;YEAR(tblTransactions[[#This Row],[Date]])</f>
        <v>Q2-2024</v>
      </c>
      <c r="Q2456">
        <f>YEAR(tblTransactions[[#This Row],[Date]])</f>
        <v>2024</v>
      </c>
      <c r="R2456" t="str">
        <f>TEXT(tblTransactions[[#This Row],[Date]],"DDDD")</f>
        <v>Thursday</v>
      </c>
      <c r="S2456">
        <f>MONTH(tblTransactions[[#This Row],[Date]])</f>
        <v>6</v>
      </c>
      <c r="T2456" t="str">
        <f>VLOOKUP(E2456, Products!$A:$B,2,0)</f>
        <v>Phones Ele-2</v>
      </c>
      <c r="U2456" t="str">
        <f>VLOOKUP(E2456,Products!$A:$C,3,0)</f>
        <v>Electronics</v>
      </c>
      <c r="V2456" t="str">
        <f>VLOOKUP(E2456,Products!$A:$D,4,0)</f>
        <v>Phones</v>
      </c>
      <c r="W2456" t="str">
        <f>VLOOKUP(D2456,Customers!$A:$C,3,0)</f>
        <v>B2C</v>
      </c>
      <c r="X2456" t="str">
        <f>VLOOKUP(C2456,Sales_Representatives!$A:$B,2,0)</f>
        <v>Robert Jones</v>
      </c>
    </row>
    <row r="2457" spans="1:24" x14ac:dyDescent="0.3">
      <c r="A2457" t="s">
        <v>3420</v>
      </c>
      <c r="B2457" t="s">
        <v>3421</v>
      </c>
      <c r="C2457" t="s">
        <v>27</v>
      </c>
      <c r="D2457" t="s">
        <v>1567</v>
      </c>
      <c r="E2457" t="s">
        <v>324</v>
      </c>
      <c r="F2457">
        <v>5</v>
      </c>
      <c r="G2457">
        <v>245.76</v>
      </c>
      <c r="H2457">
        <v>0</v>
      </c>
      <c r="I2457" s="4">
        <v>1228.8</v>
      </c>
      <c r="J2457" t="s">
        <v>16</v>
      </c>
      <c r="K2457" t="s">
        <v>22</v>
      </c>
      <c r="L2457" s="4">
        <f>VLOOKUP(tblTransactions[[#This Row],[Product_ID]],tblProducts[],5,FALSE)</f>
        <v>161.94</v>
      </c>
      <c r="M2457" s="4">
        <f>tblTransactions[[#This Row],[Total_Amount]]-(tblTransactions[[#This Row],[Cost_Prices]]*tblTransactions[[#This Row],[Quantity]]*(1-tblTransactions[[#This Row],[Discount]]))</f>
        <v>419.09999999999991</v>
      </c>
      <c r="N2457" s="3">
        <f>tblTransactions[[#This Row],[Profit]]/tblTransactions[[#This Row],[Total_Amount]]</f>
        <v>0.34106445312499994</v>
      </c>
      <c r="O2457" t="str">
        <f>TEXT(tblTransactions[[#This Row],[Date]], "MMM-YYYY")</f>
        <v>Jun-2024</v>
      </c>
      <c r="P2457" t="str">
        <f>"Q"&amp;ROUNDUP(MONTH(tblTransactions[[#This Row],[Date]])/3,0)&amp;"-"&amp;YEAR(tblTransactions[[#This Row],[Date]])</f>
        <v>Q2-2024</v>
      </c>
      <c r="Q2457">
        <f>YEAR(tblTransactions[[#This Row],[Date]])</f>
        <v>2024</v>
      </c>
      <c r="R2457" t="str">
        <f>TEXT(tblTransactions[[#This Row],[Date]],"DDDD")</f>
        <v>Friday</v>
      </c>
      <c r="S2457">
        <f>MONTH(tblTransactions[[#This Row],[Date]])</f>
        <v>6</v>
      </c>
      <c r="T2457" t="str">
        <f>VLOOKUP(E2457, Products!$A:$B,2,0)</f>
        <v>Storage Fur-1</v>
      </c>
      <c r="U2457" t="str">
        <f>VLOOKUP(E2457,Products!$A:$C,3,0)</f>
        <v>Furniture</v>
      </c>
      <c r="V2457" t="str">
        <f>VLOOKUP(E2457,Products!$A:$D,4,0)</f>
        <v>Storage</v>
      </c>
      <c r="W2457" t="str">
        <f>VLOOKUP(D2457,Customers!$A:$C,3,0)</f>
        <v>B2C</v>
      </c>
      <c r="X2457" t="str">
        <f>VLOOKUP(C2457,Sales_Representatives!$A:$B,2,0)</f>
        <v>Thomas Lopez</v>
      </c>
    </row>
    <row r="2458" spans="1:24" x14ac:dyDescent="0.3">
      <c r="A2458" t="s">
        <v>3422</v>
      </c>
      <c r="B2458" t="s">
        <v>3421</v>
      </c>
      <c r="C2458" t="s">
        <v>59</v>
      </c>
      <c r="D2458" t="s">
        <v>14</v>
      </c>
      <c r="E2458" t="s">
        <v>129</v>
      </c>
      <c r="F2458">
        <v>8</v>
      </c>
      <c r="G2458">
        <v>1283.71</v>
      </c>
      <c r="H2458">
        <v>7.0000000000000007E-2</v>
      </c>
      <c r="I2458" s="4">
        <v>9550.7999999999993</v>
      </c>
      <c r="J2458" t="s">
        <v>21</v>
      </c>
      <c r="K2458" t="s">
        <v>17</v>
      </c>
      <c r="L2458" s="4">
        <f>VLOOKUP(tblTransactions[[#This Row],[Product_ID]],tblProducts[],5,FALSE)</f>
        <v>970.14</v>
      </c>
      <c r="M2458" s="4">
        <f>tblTransactions[[#This Row],[Total_Amount]]-(tblTransactions[[#This Row],[Cost_Prices]]*tblTransactions[[#This Row],[Quantity]]*(1-tblTransactions[[#This Row],[Discount]]))</f>
        <v>2332.9583999999995</v>
      </c>
      <c r="N2458" s="3">
        <f>tblTransactions[[#This Row],[Profit]]/tblTransactions[[#This Row],[Total_Amount]]</f>
        <v>0.24426837542404822</v>
      </c>
      <c r="O2458" t="str">
        <f>TEXT(tblTransactions[[#This Row],[Date]], "MMM-YYYY")</f>
        <v>Jun-2024</v>
      </c>
      <c r="P2458" t="str">
        <f>"Q"&amp;ROUNDUP(MONTH(tblTransactions[[#This Row],[Date]])/3,0)&amp;"-"&amp;YEAR(tblTransactions[[#This Row],[Date]])</f>
        <v>Q2-2024</v>
      </c>
      <c r="Q2458">
        <f>YEAR(tblTransactions[[#This Row],[Date]])</f>
        <v>2024</v>
      </c>
      <c r="R2458" t="str">
        <f>TEXT(tblTransactions[[#This Row],[Date]],"DDDD")</f>
        <v>Friday</v>
      </c>
      <c r="S2458">
        <f>MONTH(tblTransactions[[#This Row],[Date]])</f>
        <v>6</v>
      </c>
      <c r="T2458" t="str">
        <f>VLOOKUP(E2458, Products!$A:$B,2,0)</f>
        <v>Cameras Ele-3</v>
      </c>
      <c r="U2458" t="str">
        <f>VLOOKUP(E2458,Products!$A:$C,3,0)</f>
        <v>Electronics</v>
      </c>
      <c r="V2458" t="str">
        <f>VLOOKUP(E2458,Products!$A:$D,4,0)</f>
        <v>Cameras</v>
      </c>
      <c r="W2458" t="str">
        <f>VLOOKUP(D2458,Customers!$A:$C,3,0)</f>
        <v>B2B</v>
      </c>
      <c r="X2458" t="str">
        <f>VLOOKUP(C2458,Sales_Representatives!$A:$B,2,0)</f>
        <v>Sarah Brown</v>
      </c>
    </row>
    <row r="2459" spans="1:24" x14ac:dyDescent="0.3">
      <c r="A2459" t="s">
        <v>3423</v>
      </c>
      <c r="B2459" t="s">
        <v>3421</v>
      </c>
      <c r="C2459" t="s">
        <v>82</v>
      </c>
      <c r="D2459" t="s">
        <v>124</v>
      </c>
      <c r="E2459" t="s">
        <v>339</v>
      </c>
      <c r="F2459">
        <v>13</v>
      </c>
      <c r="G2459">
        <v>1100.8800000000001</v>
      </c>
      <c r="H2459">
        <v>0.16</v>
      </c>
      <c r="I2459" s="4">
        <v>12021.61</v>
      </c>
      <c r="J2459" t="s">
        <v>34</v>
      </c>
      <c r="K2459" t="s">
        <v>39</v>
      </c>
      <c r="L2459" s="4">
        <f>VLOOKUP(tblTransactions[[#This Row],[Product_ID]],tblProducts[],5,FALSE)</f>
        <v>761.53</v>
      </c>
      <c r="M2459" s="4">
        <f>tblTransactions[[#This Row],[Total_Amount]]-(tblTransactions[[#This Row],[Cost_Prices]]*tblTransactions[[#This Row],[Quantity]]*(1-tblTransactions[[#This Row],[Discount]]))</f>
        <v>3705.7024000000019</v>
      </c>
      <c r="N2459" s="3">
        <f>tblTransactions[[#This Row],[Profit]]/tblTransactions[[#This Row],[Total_Amount]]</f>
        <v>0.30825342029894515</v>
      </c>
      <c r="O2459" t="str">
        <f>TEXT(tblTransactions[[#This Row],[Date]], "MMM-YYYY")</f>
        <v>Jun-2024</v>
      </c>
      <c r="P2459" t="str">
        <f>"Q"&amp;ROUNDUP(MONTH(tblTransactions[[#This Row],[Date]])/3,0)&amp;"-"&amp;YEAR(tblTransactions[[#This Row],[Date]])</f>
        <v>Q2-2024</v>
      </c>
      <c r="Q2459">
        <f>YEAR(tblTransactions[[#This Row],[Date]])</f>
        <v>2024</v>
      </c>
      <c r="R2459" t="str">
        <f>TEXT(tblTransactions[[#This Row],[Date]],"DDDD")</f>
        <v>Friday</v>
      </c>
      <c r="S2459">
        <f>MONTH(tblTransactions[[#This Row],[Date]])</f>
        <v>6</v>
      </c>
      <c r="T2459" t="str">
        <f>VLOOKUP(E2459, Products!$A:$B,2,0)</f>
        <v>Phones Ele-2</v>
      </c>
      <c r="U2459" t="str">
        <f>VLOOKUP(E2459,Products!$A:$C,3,0)</f>
        <v>Electronics</v>
      </c>
      <c r="V2459" t="str">
        <f>VLOOKUP(E2459,Products!$A:$D,4,0)</f>
        <v>Phones</v>
      </c>
      <c r="W2459" t="str">
        <f>VLOOKUP(D2459,Customers!$A:$C,3,0)</f>
        <v>B2B</v>
      </c>
      <c r="X2459" t="str">
        <f>VLOOKUP(C2459,Sales_Representatives!$A:$B,2,0)</f>
        <v>John Brown</v>
      </c>
    </row>
    <row r="2460" spans="1:24" x14ac:dyDescent="0.3">
      <c r="A2460" t="s">
        <v>3424</v>
      </c>
      <c r="B2460" t="s">
        <v>3421</v>
      </c>
      <c r="C2460" t="s">
        <v>27</v>
      </c>
      <c r="D2460" t="s">
        <v>1986</v>
      </c>
      <c r="E2460" t="s">
        <v>206</v>
      </c>
      <c r="F2460">
        <v>1</v>
      </c>
      <c r="G2460">
        <v>292.51</v>
      </c>
      <c r="H2460">
        <v>0.09</v>
      </c>
      <c r="I2460" s="4">
        <v>266.18</v>
      </c>
      <c r="J2460" t="s">
        <v>16</v>
      </c>
      <c r="K2460" t="s">
        <v>48</v>
      </c>
      <c r="L2460" s="4">
        <f>VLOOKUP(tblTransactions[[#This Row],[Product_ID]],tblProducts[],5,FALSE)</f>
        <v>122.08</v>
      </c>
      <c r="M2460" s="4">
        <f>tblTransactions[[#This Row],[Total_Amount]]-(tblTransactions[[#This Row],[Cost_Prices]]*tblTransactions[[#This Row],[Quantity]]*(1-tblTransactions[[#This Row],[Discount]]))</f>
        <v>155.0872</v>
      </c>
      <c r="N2460" s="3">
        <f>tblTransactions[[#This Row],[Profit]]/tblTransactions[[#This Row],[Total_Amount]]</f>
        <v>0.58264031858141108</v>
      </c>
      <c r="O2460" t="str">
        <f>TEXT(tblTransactions[[#This Row],[Date]], "MMM-YYYY")</f>
        <v>Jun-2024</v>
      </c>
      <c r="P2460" t="str">
        <f>"Q"&amp;ROUNDUP(MONTH(tblTransactions[[#This Row],[Date]])/3,0)&amp;"-"&amp;YEAR(tblTransactions[[#This Row],[Date]])</f>
        <v>Q2-2024</v>
      </c>
      <c r="Q2460">
        <f>YEAR(tblTransactions[[#This Row],[Date]])</f>
        <v>2024</v>
      </c>
      <c r="R2460" t="str">
        <f>TEXT(tblTransactions[[#This Row],[Date]],"DDDD")</f>
        <v>Friday</v>
      </c>
      <c r="S2460">
        <f>MONTH(tblTransactions[[#This Row],[Date]])</f>
        <v>6</v>
      </c>
      <c r="T2460" t="str">
        <f>VLOOKUP(E2460, Products!$A:$B,2,0)</f>
        <v>Keyboards Acc-1</v>
      </c>
      <c r="U2460" t="str">
        <f>VLOOKUP(E2460,Products!$A:$C,3,0)</f>
        <v>Accessories</v>
      </c>
      <c r="V2460" t="str">
        <f>VLOOKUP(E2460,Products!$A:$D,4,0)</f>
        <v>Keyboards</v>
      </c>
      <c r="W2460" t="str">
        <f>VLOOKUP(D2460,Customers!$A:$C,3,0)</f>
        <v>B2C</v>
      </c>
      <c r="X2460" t="str">
        <f>VLOOKUP(C2460,Sales_Representatives!$A:$B,2,0)</f>
        <v>Thomas Lopez</v>
      </c>
    </row>
    <row r="2461" spans="1:24" x14ac:dyDescent="0.3">
      <c r="A2461" t="s">
        <v>3425</v>
      </c>
      <c r="B2461" t="s">
        <v>3421</v>
      </c>
      <c r="C2461" t="s">
        <v>82</v>
      </c>
      <c r="D2461" t="s">
        <v>1991</v>
      </c>
      <c r="E2461" t="s">
        <v>65</v>
      </c>
      <c r="F2461">
        <v>2</v>
      </c>
      <c r="G2461">
        <v>49.44</v>
      </c>
      <c r="H2461">
        <v>0.05</v>
      </c>
      <c r="I2461" s="4">
        <v>93.94</v>
      </c>
      <c r="J2461" t="s">
        <v>34</v>
      </c>
      <c r="K2461" t="s">
        <v>39</v>
      </c>
      <c r="L2461" s="4">
        <f>VLOOKUP(tblTransactions[[#This Row],[Product_ID]],tblProducts[],5,FALSE)</f>
        <v>22.34</v>
      </c>
      <c r="M2461" s="4">
        <f>tblTransactions[[#This Row],[Total_Amount]]-(tblTransactions[[#This Row],[Cost_Prices]]*tblTransactions[[#This Row],[Quantity]]*(1-tblTransactions[[#This Row],[Discount]]))</f>
        <v>51.494</v>
      </c>
      <c r="N2461" s="3">
        <f>tblTransactions[[#This Row],[Profit]]/tblTransactions[[#This Row],[Total_Amount]]</f>
        <v>0.54815839897807117</v>
      </c>
      <c r="O2461" t="str">
        <f>TEXT(tblTransactions[[#This Row],[Date]], "MMM-YYYY")</f>
        <v>Jun-2024</v>
      </c>
      <c r="P2461" t="str">
        <f>"Q"&amp;ROUNDUP(MONTH(tblTransactions[[#This Row],[Date]])/3,0)&amp;"-"&amp;YEAR(tblTransactions[[#This Row],[Date]])</f>
        <v>Q2-2024</v>
      </c>
      <c r="Q2461">
        <f>YEAR(tblTransactions[[#This Row],[Date]])</f>
        <v>2024</v>
      </c>
      <c r="R2461" t="str">
        <f>TEXT(tblTransactions[[#This Row],[Date]],"DDDD")</f>
        <v>Friday</v>
      </c>
      <c r="S2461">
        <f>MONTH(tblTransactions[[#This Row],[Date]])</f>
        <v>6</v>
      </c>
      <c r="T2461" t="str">
        <f>VLOOKUP(E2461, Products!$A:$B,2,0)</f>
        <v>Folders Off-2</v>
      </c>
      <c r="U2461" t="str">
        <f>VLOOKUP(E2461,Products!$A:$C,3,0)</f>
        <v>Office Supplies</v>
      </c>
      <c r="V2461" t="str">
        <f>VLOOKUP(E2461,Products!$A:$D,4,0)</f>
        <v>Folders</v>
      </c>
      <c r="W2461" t="str">
        <f>VLOOKUP(D2461,Customers!$A:$C,3,0)</f>
        <v>Small Business</v>
      </c>
      <c r="X2461" t="str">
        <f>VLOOKUP(C2461,Sales_Representatives!$A:$B,2,0)</f>
        <v>John Brown</v>
      </c>
    </row>
    <row r="2462" spans="1:24" x14ac:dyDescent="0.3">
      <c r="A2462" t="s">
        <v>3426</v>
      </c>
      <c r="B2462" t="s">
        <v>3421</v>
      </c>
      <c r="C2462" t="s">
        <v>141</v>
      </c>
      <c r="D2462" t="s">
        <v>1776</v>
      </c>
      <c r="E2462" t="s">
        <v>99</v>
      </c>
      <c r="F2462">
        <v>2</v>
      </c>
      <c r="G2462">
        <v>325.14</v>
      </c>
      <c r="H2462">
        <v>0.08</v>
      </c>
      <c r="I2462" s="4">
        <v>598.26</v>
      </c>
      <c r="J2462" t="s">
        <v>109</v>
      </c>
      <c r="K2462" t="s">
        <v>17</v>
      </c>
      <c r="L2462" s="4">
        <f>VLOOKUP(tblTransactions[[#This Row],[Product_ID]],tblProducts[],5,FALSE)</f>
        <v>209.04</v>
      </c>
      <c r="M2462" s="4">
        <f>tblTransactions[[#This Row],[Total_Amount]]-(tblTransactions[[#This Row],[Cost_Prices]]*tblTransactions[[#This Row],[Quantity]]*(1-tblTransactions[[#This Row],[Discount]]))</f>
        <v>213.62639999999999</v>
      </c>
      <c r="N2462" s="3">
        <f>tblTransactions[[#This Row],[Profit]]/tblTransactions[[#This Row],[Total_Amount]]</f>
        <v>0.35707953063885267</v>
      </c>
      <c r="O2462" t="str">
        <f>TEXT(tblTransactions[[#This Row],[Date]], "MMM-YYYY")</f>
        <v>Jun-2024</v>
      </c>
      <c r="P2462" t="str">
        <f>"Q"&amp;ROUNDUP(MONTH(tblTransactions[[#This Row],[Date]])/3,0)&amp;"-"&amp;YEAR(tblTransactions[[#This Row],[Date]])</f>
        <v>Q2-2024</v>
      </c>
      <c r="Q2462">
        <f>YEAR(tblTransactions[[#This Row],[Date]])</f>
        <v>2024</v>
      </c>
      <c r="R2462" t="str">
        <f>TEXT(tblTransactions[[#This Row],[Date]],"DDDD")</f>
        <v>Friday</v>
      </c>
      <c r="S2462">
        <f>MONTH(tblTransactions[[#This Row],[Date]])</f>
        <v>6</v>
      </c>
      <c r="T2462" t="str">
        <f>VLOOKUP(E2462, Products!$A:$B,2,0)</f>
        <v>Monitors Tec-1</v>
      </c>
      <c r="U2462" t="str">
        <f>VLOOKUP(E2462,Products!$A:$C,3,0)</f>
        <v>Technology</v>
      </c>
      <c r="V2462" t="str">
        <f>VLOOKUP(E2462,Products!$A:$D,4,0)</f>
        <v>Monitors</v>
      </c>
      <c r="W2462" t="str">
        <f>VLOOKUP(D2462,Customers!$A:$C,3,0)</f>
        <v>B2C</v>
      </c>
      <c r="X2462" t="str">
        <f>VLOOKUP(C2462,Sales_Representatives!$A:$B,2,0)</f>
        <v>Richard Garcia</v>
      </c>
    </row>
    <row r="2463" spans="1:24" x14ac:dyDescent="0.3">
      <c r="A2463" t="s">
        <v>3427</v>
      </c>
      <c r="B2463" t="s">
        <v>3421</v>
      </c>
      <c r="C2463" t="s">
        <v>31</v>
      </c>
      <c r="D2463" t="s">
        <v>2469</v>
      </c>
      <c r="E2463" t="s">
        <v>194</v>
      </c>
      <c r="F2463">
        <v>7</v>
      </c>
      <c r="G2463">
        <v>82.84</v>
      </c>
      <c r="H2463">
        <v>0.14000000000000001</v>
      </c>
      <c r="I2463" s="4">
        <v>498.7</v>
      </c>
      <c r="J2463" t="s">
        <v>34</v>
      </c>
      <c r="K2463" t="s">
        <v>39</v>
      </c>
      <c r="L2463" s="4">
        <f>VLOOKUP(tblTransactions[[#This Row],[Product_ID]],tblProducts[],5,FALSE)</f>
        <v>52.98</v>
      </c>
      <c r="M2463" s="4">
        <f>tblTransactions[[#This Row],[Total_Amount]]-(tblTransactions[[#This Row],[Cost_Prices]]*tblTransactions[[#This Row],[Quantity]]*(1-tblTransactions[[#This Row],[Discount]]))</f>
        <v>179.7604</v>
      </c>
      <c r="N2463" s="3">
        <f>tblTransactions[[#This Row],[Profit]]/tblTransactions[[#This Row],[Total_Amount]]</f>
        <v>0.36045799077601764</v>
      </c>
      <c r="O2463" t="str">
        <f>TEXT(tblTransactions[[#This Row],[Date]], "MMM-YYYY")</f>
        <v>Jun-2024</v>
      </c>
      <c r="P2463" t="str">
        <f>"Q"&amp;ROUNDUP(MONTH(tblTransactions[[#This Row],[Date]])/3,0)&amp;"-"&amp;YEAR(tblTransactions[[#This Row],[Date]])</f>
        <v>Q2-2024</v>
      </c>
      <c r="Q2463">
        <f>YEAR(tblTransactions[[#This Row],[Date]])</f>
        <v>2024</v>
      </c>
      <c r="R2463" t="str">
        <f>TEXT(tblTransactions[[#This Row],[Date]],"DDDD")</f>
        <v>Friday</v>
      </c>
      <c r="S2463">
        <f>MONTH(tblTransactions[[#This Row],[Date]])</f>
        <v>6</v>
      </c>
      <c r="T2463" t="str">
        <f>VLOOKUP(E2463, Products!$A:$B,2,0)</f>
        <v>Binders Off-2</v>
      </c>
      <c r="U2463" t="str">
        <f>VLOOKUP(E2463,Products!$A:$C,3,0)</f>
        <v>Office Supplies</v>
      </c>
      <c r="V2463" t="str">
        <f>VLOOKUP(E2463,Products!$A:$D,4,0)</f>
        <v>Binders</v>
      </c>
      <c r="W2463" t="str">
        <f>VLOOKUP(D2463,Customers!$A:$C,3,0)</f>
        <v>B2C</v>
      </c>
      <c r="X2463" t="str">
        <f>VLOOKUP(C2463,Sales_Representatives!$A:$B,2,0)</f>
        <v>Thomas Martinez</v>
      </c>
    </row>
    <row r="2464" spans="1:24" x14ac:dyDescent="0.3">
      <c r="A2464" t="s">
        <v>3428</v>
      </c>
      <c r="B2464" t="s">
        <v>3429</v>
      </c>
      <c r="C2464" t="s">
        <v>107</v>
      </c>
      <c r="D2464" t="s">
        <v>1561</v>
      </c>
      <c r="E2464" t="s">
        <v>96</v>
      </c>
      <c r="F2464">
        <v>4</v>
      </c>
      <c r="G2464">
        <v>751.9</v>
      </c>
      <c r="H2464">
        <v>0.02</v>
      </c>
      <c r="I2464" s="4">
        <v>2947.45</v>
      </c>
      <c r="J2464" t="s">
        <v>109</v>
      </c>
      <c r="K2464" t="s">
        <v>39</v>
      </c>
      <c r="L2464" s="4">
        <f>VLOOKUP(tblTransactions[[#This Row],[Product_ID]],tblProducts[],5,FALSE)</f>
        <v>570.29</v>
      </c>
      <c r="M2464" s="4">
        <f>tblTransactions[[#This Row],[Total_Amount]]-(tblTransactions[[#This Row],[Cost_Prices]]*tblTransactions[[#This Row],[Quantity]]*(1-tblTransactions[[#This Row],[Discount]]))</f>
        <v>711.91319999999996</v>
      </c>
      <c r="N2464" s="3">
        <f>tblTransactions[[#This Row],[Profit]]/tblTransactions[[#This Row],[Total_Amount]]</f>
        <v>0.24153529321956269</v>
      </c>
      <c r="O2464" t="str">
        <f>TEXT(tblTransactions[[#This Row],[Date]], "MMM-YYYY")</f>
        <v>Jun-2024</v>
      </c>
      <c r="P2464" t="str">
        <f>"Q"&amp;ROUNDUP(MONTH(tblTransactions[[#This Row],[Date]])/3,0)&amp;"-"&amp;YEAR(tblTransactions[[#This Row],[Date]])</f>
        <v>Q2-2024</v>
      </c>
      <c r="Q2464">
        <f>YEAR(tblTransactions[[#This Row],[Date]])</f>
        <v>2024</v>
      </c>
      <c r="R2464" t="str">
        <f>TEXT(tblTransactions[[#This Row],[Date]],"DDDD")</f>
        <v>Saturday</v>
      </c>
      <c r="S2464">
        <f>MONTH(tblTransactions[[#This Row],[Date]])</f>
        <v>6</v>
      </c>
      <c r="T2464" t="str">
        <f>VLOOKUP(E2464, Products!$A:$B,2,0)</f>
        <v>Routers Tec-1</v>
      </c>
      <c r="U2464" t="str">
        <f>VLOOKUP(E2464,Products!$A:$C,3,0)</f>
        <v>Technology</v>
      </c>
      <c r="V2464" t="str">
        <f>VLOOKUP(E2464,Products!$A:$D,4,0)</f>
        <v>Routers</v>
      </c>
      <c r="W2464" t="str">
        <f>VLOOKUP(D2464,Customers!$A:$C,3,0)</f>
        <v>B2B</v>
      </c>
      <c r="X2464" t="str">
        <f>VLOOKUP(C2464,Sales_Representatives!$A:$B,2,0)</f>
        <v>Jennifer Brown</v>
      </c>
    </row>
    <row r="2465" spans="1:24" x14ac:dyDescent="0.3">
      <c r="A2465" t="s">
        <v>3430</v>
      </c>
      <c r="B2465" t="s">
        <v>3429</v>
      </c>
      <c r="C2465" t="s">
        <v>56</v>
      </c>
      <c r="D2465" t="s">
        <v>1449</v>
      </c>
      <c r="E2465" t="s">
        <v>113</v>
      </c>
      <c r="F2465">
        <v>11</v>
      </c>
      <c r="G2465">
        <v>930.41</v>
      </c>
      <c r="H2465">
        <v>0.12</v>
      </c>
      <c r="I2465" s="4">
        <v>9006.3700000000008</v>
      </c>
      <c r="J2465" t="s">
        <v>34</v>
      </c>
      <c r="K2465" t="s">
        <v>22</v>
      </c>
      <c r="L2465" s="4">
        <f>VLOOKUP(tblTransactions[[#This Row],[Product_ID]],tblProducts[],5,FALSE)</f>
        <v>595.51</v>
      </c>
      <c r="M2465" s="4">
        <f>tblTransactions[[#This Row],[Total_Amount]]-(tblTransactions[[#This Row],[Cost_Prices]]*tblTransactions[[#This Row],[Quantity]]*(1-tblTransactions[[#This Row],[Discount]]))</f>
        <v>3241.8332000000009</v>
      </c>
      <c r="N2465" s="3">
        <f>tblTransactions[[#This Row],[Profit]]/tblTransactions[[#This Row],[Total_Amount]]</f>
        <v>0.35994892503861164</v>
      </c>
      <c r="O2465" t="str">
        <f>TEXT(tblTransactions[[#This Row],[Date]], "MMM-YYYY")</f>
        <v>Jun-2024</v>
      </c>
      <c r="P2465" t="str">
        <f>"Q"&amp;ROUNDUP(MONTH(tblTransactions[[#This Row],[Date]])/3,0)&amp;"-"&amp;YEAR(tblTransactions[[#This Row],[Date]])</f>
        <v>Q2-2024</v>
      </c>
      <c r="Q2465">
        <f>YEAR(tblTransactions[[#This Row],[Date]])</f>
        <v>2024</v>
      </c>
      <c r="R2465" t="str">
        <f>TEXT(tblTransactions[[#This Row],[Date]],"DDDD")</f>
        <v>Saturday</v>
      </c>
      <c r="S2465">
        <f>MONTH(tblTransactions[[#This Row],[Date]])</f>
        <v>6</v>
      </c>
      <c r="T2465" t="str">
        <f>VLOOKUP(E2465, Products!$A:$B,2,0)</f>
        <v>Phones Ele-1</v>
      </c>
      <c r="U2465" t="str">
        <f>VLOOKUP(E2465,Products!$A:$C,3,0)</f>
        <v>Electronics</v>
      </c>
      <c r="V2465" t="str">
        <f>VLOOKUP(E2465,Products!$A:$D,4,0)</f>
        <v>Phones</v>
      </c>
      <c r="W2465" t="str">
        <f>VLOOKUP(D2465,Customers!$A:$C,3,0)</f>
        <v>B2B</v>
      </c>
      <c r="X2465" t="str">
        <f>VLOOKUP(C2465,Sales_Representatives!$A:$B,2,0)</f>
        <v>Thomas Hernandez</v>
      </c>
    </row>
    <row r="2466" spans="1:24" x14ac:dyDescent="0.3">
      <c r="A2466" t="s">
        <v>3431</v>
      </c>
      <c r="B2466" t="s">
        <v>3429</v>
      </c>
      <c r="C2466" t="s">
        <v>107</v>
      </c>
      <c r="D2466" t="s">
        <v>1925</v>
      </c>
      <c r="E2466" t="s">
        <v>243</v>
      </c>
      <c r="F2466">
        <v>8</v>
      </c>
      <c r="G2466">
        <v>384.18</v>
      </c>
      <c r="H2466">
        <v>0.11</v>
      </c>
      <c r="I2466" s="4">
        <v>2735.36</v>
      </c>
      <c r="J2466" t="s">
        <v>109</v>
      </c>
      <c r="K2466" t="s">
        <v>22</v>
      </c>
      <c r="L2466" s="4">
        <f>VLOOKUP(tblTransactions[[#This Row],[Product_ID]],tblProducts[],5,FALSE)</f>
        <v>266.92</v>
      </c>
      <c r="M2466" s="4">
        <f>tblTransactions[[#This Row],[Total_Amount]]-(tblTransactions[[#This Row],[Cost_Prices]]*tblTransactions[[#This Row],[Quantity]]*(1-tblTransactions[[#This Row],[Discount]]))</f>
        <v>834.88959999999997</v>
      </c>
      <c r="N2466" s="3">
        <f>tblTransactions[[#This Row],[Profit]]/tblTransactions[[#This Row],[Total_Amount]]</f>
        <v>0.30522110435189514</v>
      </c>
      <c r="O2466" t="str">
        <f>TEXT(tblTransactions[[#This Row],[Date]], "MMM-YYYY")</f>
        <v>Jun-2024</v>
      </c>
      <c r="P2466" t="str">
        <f>"Q"&amp;ROUNDUP(MONTH(tblTransactions[[#This Row],[Date]])/3,0)&amp;"-"&amp;YEAR(tblTransactions[[#This Row],[Date]])</f>
        <v>Q2-2024</v>
      </c>
      <c r="Q2466">
        <f>YEAR(tblTransactions[[#This Row],[Date]])</f>
        <v>2024</v>
      </c>
      <c r="R2466" t="str">
        <f>TEXT(tblTransactions[[#This Row],[Date]],"DDDD")</f>
        <v>Saturday</v>
      </c>
      <c r="S2466">
        <f>MONTH(tblTransactions[[#This Row],[Date]])</f>
        <v>6</v>
      </c>
      <c r="T2466" t="str">
        <f>VLOOKUP(E2466, Products!$A:$B,2,0)</f>
        <v>Routers Tec-3</v>
      </c>
      <c r="U2466" t="str">
        <f>VLOOKUP(E2466,Products!$A:$C,3,0)</f>
        <v>Technology</v>
      </c>
      <c r="V2466" t="str">
        <f>VLOOKUP(E2466,Products!$A:$D,4,0)</f>
        <v>Routers</v>
      </c>
      <c r="W2466" t="str">
        <f>VLOOKUP(D2466,Customers!$A:$C,3,0)</f>
        <v>B2B</v>
      </c>
      <c r="X2466" t="str">
        <f>VLOOKUP(C2466,Sales_Representatives!$A:$B,2,0)</f>
        <v>Jennifer Brown</v>
      </c>
    </row>
    <row r="2467" spans="1:24" x14ac:dyDescent="0.3">
      <c r="A2467" t="s">
        <v>3432</v>
      </c>
      <c r="B2467" t="s">
        <v>3429</v>
      </c>
      <c r="C2467" t="s">
        <v>41</v>
      </c>
      <c r="D2467" t="s">
        <v>396</v>
      </c>
      <c r="E2467" t="s">
        <v>148</v>
      </c>
      <c r="F2467">
        <v>2</v>
      </c>
      <c r="G2467">
        <v>20.420000000000002</v>
      </c>
      <c r="H2467">
        <v>0.05</v>
      </c>
      <c r="I2467" s="4">
        <v>38.799999999999997</v>
      </c>
      <c r="J2467" t="s">
        <v>44</v>
      </c>
      <c r="K2467" t="s">
        <v>39</v>
      </c>
      <c r="L2467" s="4">
        <f>VLOOKUP(tblTransactions[[#This Row],[Product_ID]],tblProducts[],5,FALSE)</f>
        <v>9.56</v>
      </c>
      <c r="M2467" s="4">
        <f>tblTransactions[[#This Row],[Total_Amount]]-(tblTransactions[[#This Row],[Cost_Prices]]*tblTransactions[[#This Row],[Quantity]]*(1-tblTransactions[[#This Row],[Discount]]))</f>
        <v>20.635999999999996</v>
      </c>
      <c r="N2467" s="3">
        <f>tblTransactions[[#This Row],[Profit]]/tblTransactions[[#This Row],[Total_Amount]]</f>
        <v>0.53185567010309276</v>
      </c>
      <c r="O2467" t="str">
        <f>TEXT(tblTransactions[[#This Row],[Date]], "MMM-YYYY")</f>
        <v>Jun-2024</v>
      </c>
      <c r="P2467" t="str">
        <f>"Q"&amp;ROUNDUP(MONTH(tblTransactions[[#This Row],[Date]])/3,0)&amp;"-"&amp;YEAR(tblTransactions[[#This Row],[Date]])</f>
        <v>Q2-2024</v>
      </c>
      <c r="Q2467">
        <f>YEAR(tblTransactions[[#This Row],[Date]])</f>
        <v>2024</v>
      </c>
      <c r="R2467" t="str">
        <f>TEXT(tblTransactions[[#This Row],[Date]],"DDDD")</f>
        <v>Saturday</v>
      </c>
      <c r="S2467">
        <f>MONTH(tblTransactions[[#This Row],[Date]])</f>
        <v>6</v>
      </c>
      <c r="T2467" t="str">
        <f>VLOOKUP(E2467, Products!$A:$B,2,0)</f>
        <v>Cases Acc-3</v>
      </c>
      <c r="U2467" t="str">
        <f>VLOOKUP(E2467,Products!$A:$C,3,0)</f>
        <v>Accessories</v>
      </c>
      <c r="V2467" t="str">
        <f>VLOOKUP(E2467,Products!$A:$D,4,0)</f>
        <v>Cases</v>
      </c>
      <c r="W2467" t="str">
        <f>VLOOKUP(D2467,Customers!$A:$C,3,0)</f>
        <v>Small Business</v>
      </c>
      <c r="X2467" t="str">
        <f>VLOOKUP(C2467,Sales_Representatives!$A:$B,2,0)</f>
        <v>Robert Jones</v>
      </c>
    </row>
    <row r="2468" spans="1:24" x14ac:dyDescent="0.3">
      <c r="A2468" t="s">
        <v>3433</v>
      </c>
      <c r="B2468" t="s">
        <v>3434</v>
      </c>
      <c r="C2468" t="s">
        <v>70</v>
      </c>
      <c r="D2468" t="s">
        <v>32</v>
      </c>
      <c r="E2468" t="s">
        <v>84</v>
      </c>
      <c r="F2468">
        <v>2</v>
      </c>
      <c r="G2468">
        <v>1841.77</v>
      </c>
      <c r="H2468">
        <v>0.08</v>
      </c>
      <c r="I2468" s="4">
        <v>3388.86</v>
      </c>
      <c r="J2468" t="s">
        <v>16</v>
      </c>
      <c r="K2468" t="s">
        <v>17</v>
      </c>
      <c r="L2468" s="4">
        <f>VLOOKUP(tblTransactions[[#This Row],[Product_ID]],tblProducts[],5,FALSE)</f>
        <v>1151.5899999999999</v>
      </c>
      <c r="M2468" s="4">
        <f>tblTransactions[[#This Row],[Total_Amount]]-(tblTransactions[[#This Row],[Cost_Prices]]*tblTransactions[[#This Row],[Quantity]]*(1-tblTransactions[[#This Row],[Discount]]))</f>
        <v>1269.9344000000001</v>
      </c>
      <c r="N2468" s="3">
        <f>tblTransactions[[#This Row],[Profit]]/tblTransactions[[#This Row],[Total_Amount]]</f>
        <v>0.37473793547092532</v>
      </c>
      <c r="O2468" t="str">
        <f>TEXT(tblTransactions[[#This Row],[Date]], "MMM-YYYY")</f>
        <v>Jun-2024</v>
      </c>
      <c r="P2468" t="str">
        <f>"Q"&amp;ROUNDUP(MONTH(tblTransactions[[#This Row],[Date]])/3,0)&amp;"-"&amp;YEAR(tblTransactions[[#This Row],[Date]])</f>
        <v>Q2-2024</v>
      </c>
      <c r="Q2468">
        <f>YEAR(tblTransactions[[#This Row],[Date]])</f>
        <v>2024</v>
      </c>
      <c r="R2468" t="str">
        <f>TEXT(tblTransactions[[#This Row],[Date]],"DDDD")</f>
        <v>Sunday</v>
      </c>
      <c r="S2468">
        <f>MONTH(tblTransactions[[#This Row],[Date]])</f>
        <v>6</v>
      </c>
      <c r="T2468" t="str">
        <f>VLOOKUP(E2468, Products!$A:$B,2,0)</f>
        <v>Laptops Ele-2</v>
      </c>
      <c r="U2468" t="str">
        <f>VLOOKUP(E2468,Products!$A:$C,3,0)</f>
        <v>Electronics</v>
      </c>
      <c r="V2468" t="str">
        <f>VLOOKUP(E2468,Products!$A:$D,4,0)</f>
        <v>Laptops</v>
      </c>
      <c r="W2468" t="str">
        <f>VLOOKUP(D2468,Customers!$A:$C,3,0)</f>
        <v>B2C</v>
      </c>
      <c r="X2468" t="str">
        <f>VLOOKUP(C2468,Sales_Representatives!$A:$B,2,0)</f>
        <v>Linda Smith</v>
      </c>
    </row>
    <row r="2469" spans="1:24" x14ac:dyDescent="0.3">
      <c r="A2469" t="s">
        <v>3435</v>
      </c>
      <c r="B2469" t="s">
        <v>3434</v>
      </c>
      <c r="C2469" t="s">
        <v>70</v>
      </c>
      <c r="D2469" t="s">
        <v>1569</v>
      </c>
      <c r="E2469" t="s">
        <v>129</v>
      </c>
      <c r="F2469">
        <v>3</v>
      </c>
      <c r="G2469">
        <v>1283.71</v>
      </c>
      <c r="H2469">
        <v>7.0000000000000007E-2</v>
      </c>
      <c r="I2469" s="4">
        <v>3581.55</v>
      </c>
      <c r="J2469" t="s">
        <v>16</v>
      </c>
      <c r="K2469" t="s">
        <v>22</v>
      </c>
      <c r="L2469" s="4">
        <f>VLOOKUP(tblTransactions[[#This Row],[Product_ID]],tblProducts[],5,FALSE)</f>
        <v>970.14</v>
      </c>
      <c r="M2469" s="4">
        <f>tblTransactions[[#This Row],[Total_Amount]]-(tblTransactions[[#This Row],[Cost_Prices]]*tblTransactions[[#This Row],[Quantity]]*(1-tblTransactions[[#This Row],[Discount]]))</f>
        <v>874.85940000000028</v>
      </c>
      <c r="N2469" s="3">
        <f>tblTransactions[[#This Row],[Profit]]/tblTransactions[[#This Row],[Total_Amount]]</f>
        <v>0.24426837542404831</v>
      </c>
      <c r="O2469" t="str">
        <f>TEXT(tblTransactions[[#This Row],[Date]], "MMM-YYYY")</f>
        <v>Jun-2024</v>
      </c>
      <c r="P2469" t="str">
        <f>"Q"&amp;ROUNDUP(MONTH(tblTransactions[[#This Row],[Date]])/3,0)&amp;"-"&amp;YEAR(tblTransactions[[#This Row],[Date]])</f>
        <v>Q2-2024</v>
      </c>
      <c r="Q2469">
        <f>YEAR(tblTransactions[[#This Row],[Date]])</f>
        <v>2024</v>
      </c>
      <c r="R2469" t="str">
        <f>TEXT(tblTransactions[[#This Row],[Date]],"DDDD")</f>
        <v>Sunday</v>
      </c>
      <c r="S2469">
        <f>MONTH(tblTransactions[[#This Row],[Date]])</f>
        <v>6</v>
      </c>
      <c r="T2469" t="str">
        <f>VLOOKUP(E2469, Products!$A:$B,2,0)</f>
        <v>Cameras Ele-3</v>
      </c>
      <c r="U2469" t="str">
        <f>VLOOKUP(E2469,Products!$A:$C,3,0)</f>
        <v>Electronics</v>
      </c>
      <c r="V2469" t="str">
        <f>VLOOKUP(E2469,Products!$A:$D,4,0)</f>
        <v>Cameras</v>
      </c>
      <c r="W2469" t="str">
        <f>VLOOKUP(D2469,Customers!$A:$C,3,0)</f>
        <v>Small Business</v>
      </c>
      <c r="X2469" t="str">
        <f>VLOOKUP(C2469,Sales_Representatives!$A:$B,2,0)</f>
        <v>Linda Smith</v>
      </c>
    </row>
    <row r="2470" spans="1:24" x14ac:dyDescent="0.3">
      <c r="A2470" t="s">
        <v>3436</v>
      </c>
      <c r="B2470" t="s">
        <v>3434</v>
      </c>
      <c r="C2470" t="s">
        <v>75</v>
      </c>
      <c r="D2470" t="s">
        <v>1801</v>
      </c>
      <c r="E2470" t="s">
        <v>96</v>
      </c>
      <c r="F2470">
        <v>5</v>
      </c>
      <c r="G2470">
        <v>751.9</v>
      </c>
      <c r="H2470">
        <v>7.0000000000000007E-2</v>
      </c>
      <c r="I2470" s="4">
        <v>3496.34</v>
      </c>
      <c r="J2470" t="s">
        <v>44</v>
      </c>
      <c r="K2470" t="s">
        <v>22</v>
      </c>
      <c r="L2470" s="4">
        <f>VLOOKUP(tblTransactions[[#This Row],[Product_ID]],tblProducts[],5,FALSE)</f>
        <v>570.29</v>
      </c>
      <c r="M2470" s="4">
        <f>tblTransactions[[#This Row],[Total_Amount]]-(tblTransactions[[#This Row],[Cost_Prices]]*tblTransactions[[#This Row],[Quantity]]*(1-tblTransactions[[#This Row],[Discount]]))</f>
        <v>844.49150000000054</v>
      </c>
      <c r="N2470" s="3">
        <f>tblTransactions[[#This Row],[Profit]]/tblTransactions[[#This Row],[Total_Amount]]</f>
        <v>0.24153586321696416</v>
      </c>
      <c r="O2470" t="str">
        <f>TEXT(tblTransactions[[#This Row],[Date]], "MMM-YYYY")</f>
        <v>Jun-2024</v>
      </c>
      <c r="P2470" t="str">
        <f>"Q"&amp;ROUNDUP(MONTH(tblTransactions[[#This Row],[Date]])/3,0)&amp;"-"&amp;YEAR(tblTransactions[[#This Row],[Date]])</f>
        <v>Q2-2024</v>
      </c>
      <c r="Q2470">
        <f>YEAR(tblTransactions[[#This Row],[Date]])</f>
        <v>2024</v>
      </c>
      <c r="R2470" t="str">
        <f>TEXT(tblTransactions[[#This Row],[Date]],"DDDD")</f>
        <v>Sunday</v>
      </c>
      <c r="S2470">
        <f>MONTH(tblTransactions[[#This Row],[Date]])</f>
        <v>6</v>
      </c>
      <c r="T2470" t="str">
        <f>VLOOKUP(E2470, Products!$A:$B,2,0)</f>
        <v>Routers Tec-1</v>
      </c>
      <c r="U2470" t="str">
        <f>VLOOKUP(E2470,Products!$A:$C,3,0)</f>
        <v>Technology</v>
      </c>
      <c r="V2470" t="str">
        <f>VLOOKUP(E2470,Products!$A:$D,4,0)</f>
        <v>Routers</v>
      </c>
      <c r="W2470" t="str">
        <f>VLOOKUP(D2470,Customers!$A:$C,3,0)</f>
        <v>Small Business</v>
      </c>
      <c r="X2470" t="str">
        <f>VLOOKUP(C2470,Sales_Representatives!$A:$B,2,0)</f>
        <v>Jessica Anderson</v>
      </c>
    </row>
    <row r="2471" spans="1:24" x14ac:dyDescent="0.3">
      <c r="A2471" t="s">
        <v>3437</v>
      </c>
      <c r="B2471" t="s">
        <v>3434</v>
      </c>
      <c r="C2471" t="s">
        <v>107</v>
      </c>
      <c r="D2471" t="s">
        <v>2778</v>
      </c>
      <c r="E2471" t="s">
        <v>394</v>
      </c>
      <c r="F2471">
        <v>4</v>
      </c>
      <c r="G2471">
        <v>314.69</v>
      </c>
      <c r="H2471">
        <v>7.0000000000000007E-2</v>
      </c>
      <c r="I2471" s="4">
        <v>1170.6500000000001</v>
      </c>
      <c r="J2471" t="s">
        <v>109</v>
      </c>
      <c r="K2471" t="s">
        <v>35</v>
      </c>
      <c r="L2471" s="4">
        <f>VLOOKUP(tblTransactions[[#This Row],[Product_ID]],tblProducts[],5,FALSE)</f>
        <v>185.43</v>
      </c>
      <c r="M2471" s="4">
        <f>tblTransactions[[#This Row],[Total_Amount]]-(tblTransactions[[#This Row],[Cost_Prices]]*tblTransactions[[#This Row],[Quantity]]*(1-tblTransactions[[#This Row],[Discount]]))</f>
        <v>480.85040000000015</v>
      </c>
      <c r="N2471" s="3">
        <f>tblTransactions[[#This Row],[Profit]]/tblTransactions[[#This Row],[Total_Amount]]</f>
        <v>0.41075505061290746</v>
      </c>
      <c r="O2471" t="str">
        <f>TEXT(tblTransactions[[#This Row],[Date]], "MMM-YYYY")</f>
        <v>Jun-2024</v>
      </c>
      <c r="P2471" t="str">
        <f>"Q"&amp;ROUNDUP(MONTH(tblTransactions[[#This Row],[Date]])/3,0)&amp;"-"&amp;YEAR(tblTransactions[[#This Row],[Date]])</f>
        <v>Q2-2024</v>
      </c>
      <c r="Q2471">
        <f>YEAR(tblTransactions[[#This Row],[Date]])</f>
        <v>2024</v>
      </c>
      <c r="R2471" t="str">
        <f>TEXT(tblTransactions[[#This Row],[Date]],"DDDD")</f>
        <v>Sunday</v>
      </c>
      <c r="S2471">
        <f>MONTH(tblTransactions[[#This Row],[Date]])</f>
        <v>6</v>
      </c>
      <c r="T2471" t="str">
        <f>VLOOKUP(E2471, Products!$A:$B,2,0)</f>
        <v>Desks Fur-1</v>
      </c>
      <c r="U2471" t="str">
        <f>VLOOKUP(E2471,Products!$A:$C,3,0)</f>
        <v>Furniture</v>
      </c>
      <c r="V2471" t="str">
        <f>VLOOKUP(E2471,Products!$A:$D,4,0)</f>
        <v>Desks</v>
      </c>
      <c r="W2471" t="str">
        <f>VLOOKUP(D2471,Customers!$A:$C,3,0)</f>
        <v>B2B</v>
      </c>
      <c r="X2471" t="str">
        <f>VLOOKUP(C2471,Sales_Representatives!$A:$B,2,0)</f>
        <v>Jennifer Brown</v>
      </c>
    </row>
    <row r="2472" spans="1:24" x14ac:dyDescent="0.3">
      <c r="A2472" t="s">
        <v>3438</v>
      </c>
      <c r="B2472" t="s">
        <v>3434</v>
      </c>
      <c r="C2472" t="s">
        <v>70</v>
      </c>
      <c r="D2472" t="s">
        <v>1728</v>
      </c>
      <c r="E2472" t="s">
        <v>79</v>
      </c>
      <c r="F2472">
        <v>3</v>
      </c>
      <c r="G2472">
        <v>1452.36</v>
      </c>
      <c r="H2472">
        <v>7.0000000000000007E-2</v>
      </c>
      <c r="I2472" s="4">
        <v>4052.08</v>
      </c>
      <c r="J2472" t="s">
        <v>16</v>
      </c>
      <c r="K2472" t="s">
        <v>39</v>
      </c>
      <c r="L2472" s="4">
        <f>VLOOKUP(tblTransactions[[#This Row],[Product_ID]],tblProducts[],5,FALSE)</f>
        <v>778.71</v>
      </c>
      <c r="M2472" s="4">
        <f>tblTransactions[[#This Row],[Total_Amount]]-(tblTransactions[[#This Row],[Cost_Prices]]*tblTransactions[[#This Row],[Quantity]]*(1-tblTransactions[[#This Row],[Discount]]))</f>
        <v>1879.4791</v>
      </c>
      <c r="N2472" s="3">
        <f>tblTransactions[[#This Row],[Profit]]/tblTransactions[[#This Row],[Total_Amount]]</f>
        <v>0.46383069929517678</v>
      </c>
      <c r="O2472" t="str">
        <f>TEXT(tblTransactions[[#This Row],[Date]], "MMM-YYYY")</f>
        <v>Jun-2024</v>
      </c>
      <c r="P2472" t="str">
        <f>"Q"&amp;ROUNDUP(MONTH(tblTransactions[[#This Row],[Date]])/3,0)&amp;"-"&amp;YEAR(tblTransactions[[#This Row],[Date]])</f>
        <v>Q2-2024</v>
      </c>
      <c r="Q2472">
        <f>YEAR(tblTransactions[[#This Row],[Date]])</f>
        <v>2024</v>
      </c>
      <c r="R2472" t="str">
        <f>TEXT(tblTransactions[[#This Row],[Date]],"DDDD")</f>
        <v>Sunday</v>
      </c>
      <c r="S2472">
        <f>MONTH(tblTransactions[[#This Row],[Date]])</f>
        <v>6</v>
      </c>
      <c r="T2472" t="str">
        <f>VLOOKUP(E2472, Products!$A:$B,2,0)</f>
        <v>Tables Fur-2</v>
      </c>
      <c r="U2472" t="str">
        <f>VLOOKUP(E2472,Products!$A:$C,3,0)</f>
        <v>Furniture</v>
      </c>
      <c r="V2472" t="str">
        <f>VLOOKUP(E2472,Products!$A:$D,4,0)</f>
        <v>Tables</v>
      </c>
      <c r="W2472" t="str">
        <f>VLOOKUP(D2472,Customers!$A:$C,3,0)</f>
        <v>B2B</v>
      </c>
      <c r="X2472" t="str">
        <f>VLOOKUP(C2472,Sales_Representatives!$A:$B,2,0)</f>
        <v>Linda Smith</v>
      </c>
    </row>
    <row r="2473" spans="1:24" x14ac:dyDescent="0.3">
      <c r="A2473" t="s">
        <v>3439</v>
      </c>
      <c r="B2473" t="s">
        <v>3434</v>
      </c>
      <c r="C2473" t="s">
        <v>31</v>
      </c>
      <c r="D2473" t="s">
        <v>2567</v>
      </c>
      <c r="E2473" t="s">
        <v>29</v>
      </c>
      <c r="F2473">
        <v>6</v>
      </c>
      <c r="G2473">
        <v>1363.46</v>
      </c>
      <c r="H2473">
        <v>7.0000000000000007E-2</v>
      </c>
      <c r="I2473" s="4">
        <v>7608.11</v>
      </c>
      <c r="J2473" t="s">
        <v>34</v>
      </c>
      <c r="K2473" t="s">
        <v>39</v>
      </c>
      <c r="L2473" s="4">
        <f>VLOOKUP(tblTransactions[[#This Row],[Product_ID]],tblProducts[],5,FALSE)</f>
        <v>995.41</v>
      </c>
      <c r="M2473" s="4">
        <f>tblTransactions[[#This Row],[Total_Amount]]-(tblTransactions[[#This Row],[Cost_Prices]]*tblTransactions[[#This Row],[Quantity]]*(1-tblTransactions[[#This Row],[Discount]]))</f>
        <v>2053.7222000000002</v>
      </c>
      <c r="N2473" s="3">
        <f>tblTransactions[[#This Row],[Profit]]/tblTransactions[[#This Row],[Total_Amount]]</f>
        <v>0.26993855241314862</v>
      </c>
      <c r="O2473" t="str">
        <f>TEXT(tblTransactions[[#This Row],[Date]], "MMM-YYYY")</f>
        <v>Jun-2024</v>
      </c>
      <c r="P2473" t="str">
        <f>"Q"&amp;ROUNDUP(MONTH(tblTransactions[[#This Row],[Date]])/3,0)&amp;"-"&amp;YEAR(tblTransactions[[#This Row],[Date]])</f>
        <v>Q2-2024</v>
      </c>
      <c r="Q2473">
        <f>YEAR(tblTransactions[[#This Row],[Date]])</f>
        <v>2024</v>
      </c>
      <c r="R2473" t="str">
        <f>TEXT(tblTransactions[[#This Row],[Date]],"DDDD")</f>
        <v>Sunday</v>
      </c>
      <c r="S2473">
        <f>MONTH(tblTransactions[[#This Row],[Date]])</f>
        <v>6</v>
      </c>
      <c r="T2473" t="str">
        <f>VLOOKUP(E2473, Products!$A:$B,2,0)</f>
        <v>Phones Ele-3</v>
      </c>
      <c r="U2473" t="str">
        <f>VLOOKUP(E2473,Products!$A:$C,3,0)</f>
        <v>Electronics</v>
      </c>
      <c r="V2473" t="str">
        <f>VLOOKUP(E2473,Products!$A:$D,4,0)</f>
        <v>Phones</v>
      </c>
      <c r="W2473" t="str">
        <f>VLOOKUP(D2473,Customers!$A:$C,3,0)</f>
        <v>B2B</v>
      </c>
      <c r="X2473" t="str">
        <f>VLOOKUP(C2473,Sales_Representatives!$A:$B,2,0)</f>
        <v>Thomas Martinez</v>
      </c>
    </row>
    <row r="2474" spans="1:24" x14ac:dyDescent="0.3">
      <c r="A2474" t="s">
        <v>3440</v>
      </c>
      <c r="B2474" t="s">
        <v>3434</v>
      </c>
      <c r="C2474" t="s">
        <v>27</v>
      </c>
      <c r="D2474" t="s">
        <v>3014</v>
      </c>
      <c r="E2474" t="s">
        <v>299</v>
      </c>
      <c r="F2474">
        <v>9</v>
      </c>
      <c r="G2474">
        <v>963.44</v>
      </c>
      <c r="H2474">
        <v>0.06</v>
      </c>
      <c r="I2474" s="4">
        <v>8150.7</v>
      </c>
      <c r="J2474" t="s">
        <v>16</v>
      </c>
      <c r="K2474" t="s">
        <v>39</v>
      </c>
      <c r="L2474" s="4">
        <f>VLOOKUP(tblTransactions[[#This Row],[Product_ID]],tblProducts[],5,FALSE)</f>
        <v>578.96</v>
      </c>
      <c r="M2474" s="4">
        <f>tblTransactions[[#This Row],[Total_Amount]]-(tblTransactions[[#This Row],[Cost_Prices]]*tblTransactions[[#This Row],[Quantity]]*(1-tblTransactions[[#This Row],[Discount]]))</f>
        <v>3252.6984000000002</v>
      </c>
      <c r="N2474" s="3">
        <f>tblTransactions[[#This Row],[Profit]]/tblTransactions[[#This Row],[Total_Amount]]</f>
        <v>0.39906982222385812</v>
      </c>
      <c r="O2474" t="str">
        <f>TEXT(tblTransactions[[#This Row],[Date]], "MMM-YYYY")</f>
        <v>Jun-2024</v>
      </c>
      <c r="P2474" t="str">
        <f>"Q"&amp;ROUNDUP(MONTH(tblTransactions[[#This Row],[Date]])/3,0)&amp;"-"&amp;YEAR(tblTransactions[[#This Row],[Date]])</f>
        <v>Q2-2024</v>
      </c>
      <c r="Q2474">
        <f>YEAR(tblTransactions[[#This Row],[Date]])</f>
        <v>2024</v>
      </c>
      <c r="R2474" t="str">
        <f>TEXT(tblTransactions[[#This Row],[Date]],"DDDD")</f>
        <v>Sunday</v>
      </c>
      <c r="S2474">
        <f>MONTH(tblTransactions[[#This Row],[Date]])</f>
        <v>6</v>
      </c>
      <c r="T2474" t="str">
        <f>VLOOKUP(E2474, Products!$A:$B,2,0)</f>
        <v>Chairs Fur-4</v>
      </c>
      <c r="U2474" t="str">
        <f>VLOOKUP(E2474,Products!$A:$C,3,0)</f>
        <v>Furniture</v>
      </c>
      <c r="V2474" t="str">
        <f>VLOOKUP(E2474,Products!$A:$D,4,0)</f>
        <v>Chairs</v>
      </c>
      <c r="W2474" t="str">
        <f>VLOOKUP(D2474,Customers!$A:$C,3,0)</f>
        <v>B2B</v>
      </c>
      <c r="X2474" t="str">
        <f>VLOOKUP(C2474,Sales_Representatives!$A:$B,2,0)</f>
        <v>Thomas Lopez</v>
      </c>
    </row>
    <row r="2475" spans="1:24" x14ac:dyDescent="0.3">
      <c r="A2475" t="s">
        <v>3441</v>
      </c>
      <c r="B2475" t="s">
        <v>3442</v>
      </c>
      <c r="C2475" t="s">
        <v>56</v>
      </c>
      <c r="D2475" t="s">
        <v>2600</v>
      </c>
      <c r="E2475" t="s">
        <v>172</v>
      </c>
      <c r="F2475">
        <v>21</v>
      </c>
      <c r="G2475">
        <v>1371.15</v>
      </c>
      <c r="H2475">
        <v>0.25</v>
      </c>
      <c r="I2475" s="4">
        <v>21595.61</v>
      </c>
      <c r="J2475" t="s">
        <v>34</v>
      </c>
      <c r="K2475" t="s">
        <v>39</v>
      </c>
      <c r="L2475" s="4">
        <f>VLOOKUP(tblTransactions[[#This Row],[Product_ID]],tblProducts[],5,FALSE)</f>
        <v>989.81</v>
      </c>
      <c r="M2475" s="4">
        <f>tblTransactions[[#This Row],[Total_Amount]]-(tblTransactions[[#This Row],[Cost_Prices]]*tblTransactions[[#This Row],[Quantity]]*(1-tblTransactions[[#This Row],[Discount]]))</f>
        <v>6006.1025000000009</v>
      </c>
      <c r="N2475" s="3">
        <f>tblTransactions[[#This Row],[Profit]]/tblTransactions[[#This Row],[Total_Amount]]</f>
        <v>0.27811682559557249</v>
      </c>
      <c r="O2475" t="str">
        <f>TEXT(tblTransactions[[#This Row],[Date]], "MMM-YYYY")</f>
        <v>Jun-2024</v>
      </c>
      <c r="P2475" t="str">
        <f>"Q"&amp;ROUNDUP(MONTH(tblTransactions[[#This Row],[Date]])/3,0)&amp;"-"&amp;YEAR(tblTransactions[[#This Row],[Date]])</f>
        <v>Q2-2024</v>
      </c>
      <c r="Q2475">
        <f>YEAR(tblTransactions[[#This Row],[Date]])</f>
        <v>2024</v>
      </c>
      <c r="R2475" t="str">
        <f>TEXT(tblTransactions[[#This Row],[Date]],"DDDD")</f>
        <v>Monday</v>
      </c>
      <c r="S2475">
        <f>MONTH(tblTransactions[[#This Row],[Date]])</f>
        <v>6</v>
      </c>
      <c r="T2475" t="str">
        <f>VLOOKUP(E2475, Products!$A:$B,2,0)</f>
        <v>Cameras Ele-4</v>
      </c>
      <c r="U2475" t="str">
        <f>VLOOKUP(E2475,Products!$A:$C,3,0)</f>
        <v>Electronics</v>
      </c>
      <c r="V2475" t="str">
        <f>VLOOKUP(E2475,Products!$A:$D,4,0)</f>
        <v>Cameras</v>
      </c>
      <c r="W2475" t="str">
        <f>VLOOKUP(D2475,Customers!$A:$C,3,0)</f>
        <v>Enterprise</v>
      </c>
      <c r="X2475" t="str">
        <f>VLOOKUP(C2475,Sales_Representatives!$A:$B,2,0)</f>
        <v>Thomas Hernandez</v>
      </c>
    </row>
    <row r="2476" spans="1:24" x14ac:dyDescent="0.3">
      <c r="A2476" t="s">
        <v>3443</v>
      </c>
      <c r="B2476" t="s">
        <v>3442</v>
      </c>
      <c r="C2476" t="s">
        <v>59</v>
      </c>
      <c r="D2476" t="s">
        <v>2620</v>
      </c>
      <c r="E2476" t="s">
        <v>25</v>
      </c>
      <c r="F2476">
        <v>27</v>
      </c>
      <c r="G2476">
        <v>1467.49</v>
      </c>
      <c r="H2476">
        <v>0.19</v>
      </c>
      <c r="I2476" s="4">
        <v>32094.01</v>
      </c>
      <c r="J2476" t="s">
        <v>21</v>
      </c>
      <c r="K2476" t="s">
        <v>35</v>
      </c>
      <c r="L2476" s="4">
        <f>VLOOKUP(tblTransactions[[#This Row],[Product_ID]],tblProducts[],5,FALSE)</f>
        <v>757.65</v>
      </c>
      <c r="M2476" s="4">
        <f>tblTransactions[[#This Row],[Total_Amount]]-(tblTransactions[[#This Row],[Cost_Prices]]*tblTransactions[[#This Row],[Quantity]]*(1-tblTransactions[[#This Row],[Discount]]))</f>
        <v>15524.204499999996</v>
      </c>
      <c r="N2476" s="3">
        <f>tblTransactions[[#This Row],[Profit]]/tblTransactions[[#This Row],[Total_Amount]]</f>
        <v>0.48371034034076754</v>
      </c>
      <c r="O2476" t="str">
        <f>TEXT(tblTransactions[[#This Row],[Date]], "MMM-YYYY")</f>
        <v>Jun-2024</v>
      </c>
      <c r="P2476" t="str">
        <f>"Q"&amp;ROUNDUP(MONTH(tblTransactions[[#This Row],[Date]])/3,0)&amp;"-"&amp;YEAR(tblTransactions[[#This Row],[Date]])</f>
        <v>Q2-2024</v>
      </c>
      <c r="Q2476">
        <f>YEAR(tblTransactions[[#This Row],[Date]])</f>
        <v>2024</v>
      </c>
      <c r="R2476" t="str">
        <f>TEXT(tblTransactions[[#This Row],[Date]],"DDDD")</f>
        <v>Monday</v>
      </c>
      <c r="S2476">
        <f>MONTH(tblTransactions[[#This Row],[Date]])</f>
        <v>6</v>
      </c>
      <c r="T2476" t="str">
        <f>VLOOKUP(E2476, Products!$A:$B,2,0)</f>
        <v>Tables Fur-3</v>
      </c>
      <c r="U2476" t="str">
        <f>VLOOKUP(E2476,Products!$A:$C,3,0)</f>
        <v>Furniture</v>
      </c>
      <c r="V2476" t="str">
        <f>VLOOKUP(E2476,Products!$A:$D,4,0)</f>
        <v>Tables</v>
      </c>
      <c r="W2476" t="str">
        <f>VLOOKUP(D2476,Customers!$A:$C,3,0)</f>
        <v>Enterprise</v>
      </c>
      <c r="X2476" t="str">
        <f>VLOOKUP(C2476,Sales_Representatives!$A:$B,2,0)</f>
        <v>Sarah Brown</v>
      </c>
    </row>
    <row r="2477" spans="1:24" x14ac:dyDescent="0.3">
      <c r="A2477" t="s">
        <v>3444</v>
      </c>
      <c r="B2477" t="s">
        <v>3442</v>
      </c>
      <c r="C2477" t="s">
        <v>141</v>
      </c>
      <c r="D2477" t="s">
        <v>2050</v>
      </c>
      <c r="E2477" t="s">
        <v>339</v>
      </c>
      <c r="F2477">
        <v>7</v>
      </c>
      <c r="G2477">
        <v>1100.8800000000001</v>
      </c>
      <c r="H2477">
        <v>0.14000000000000001</v>
      </c>
      <c r="I2477" s="4">
        <v>6627.3</v>
      </c>
      <c r="J2477" t="s">
        <v>109</v>
      </c>
      <c r="K2477" t="s">
        <v>39</v>
      </c>
      <c r="L2477" s="4">
        <f>VLOOKUP(tblTransactions[[#This Row],[Product_ID]],tblProducts[],5,FALSE)</f>
        <v>761.53</v>
      </c>
      <c r="M2477" s="4">
        <f>tblTransactions[[#This Row],[Total_Amount]]-(tblTransactions[[#This Row],[Cost_Prices]]*tblTransactions[[#This Row],[Quantity]]*(1-tblTransactions[[#This Row],[Discount]]))</f>
        <v>2042.8894</v>
      </c>
      <c r="N2477" s="3">
        <f>tblTransactions[[#This Row],[Profit]]/tblTransactions[[#This Row],[Total_Amount]]</f>
        <v>0.30825364779020115</v>
      </c>
      <c r="O2477" t="str">
        <f>TEXT(tblTransactions[[#This Row],[Date]], "MMM-YYYY")</f>
        <v>Jun-2024</v>
      </c>
      <c r="P2477" t="str">
        <f>"Q"&amp;ROUNDUP(MONTH(tblTransactions[[#This Row],[Date]])/3,0)&amp;"-"&amp;YEAR(tblTransactions[[#This Row],[Date]])</f>
        <v>Q2-2024</v>
      </c>
      <c r="Q2477">
        <f>YEAR(tblTransactions[[#This Row],[Date]])</f>
        <v>2024</v>
      </c>
      <c r="R2477" t="str">
        <f>TEXT(tblTransactions[[#This Row],[Date]],"DDDD")</f>
        <v>Monday</v>
      </c>
      <c r="S2477">
        <f>MONTH(tblTransactions[[#This Row],[Date]])</f>
        <v>6</v>
      </c>
      <c r="T2477" t="str">
        <f>VLOOKUP(E2477, Products!$A:$B,2,0)</f>
        <v>Phones Ele-2</v>
      </c>
      <c r="U2477" t="str">
        <f>VLOOKUP(E2477,Products!$A:$C,3,0)</f>
        <v>Electronics</v>
      </c>
      <c r="V2477" t="str">
        <f>VLOOKUP(E2477,Products!$A:$D,4,0)</f>
        <v>Phones</v>
      </c>
      <c r="W2477" t="str">
        <f>VLOOKUP(D2477,Customers!$A:$C,3,0)</f>
        <v>B2C</v>
      </c>
      <c r="X2477" t="str">
        <f>VLOOKUP(C2477,Sales_Representatives!$A:$B,2,0)</f>
        <v>Richard Garcia</v>
      </c>
    </row>
    <row r="2478" spans="1:24" x14ac:dyDescent="0.3">
      <c r="A2478" t="s">
        <v>3445</v>
      </c>
      <c r="B2478" t="s">
        <v>3442</v>
      </c>
      <c r="C2478" t="s">
        <v>41</v>
      </c>
      <c r="D2478" t="s">
        <v>1604</v>
      </c>
      <c r="E2478" t="s">
        <v>587</v>
      </c>
      <c r="F2478">
        <v>1</v>
      </c>
      <c r="G2478">
        <v>58.54</v>
      </c>
      <c r="H2478">
        <v>0.04</v>
      </c>
      <c r="I2478" s="4">
        <v>56.2</v>
      </c>
      <c r="J2478" t="s">
        <v>44</v>
      </c>
      <c r="K2478" t="s">
        <v>39</v>
      </c>
      <c r="L2478" s="4">
        <f>VLOOKUP(tblTransactions[[#This Row],[Product_ID]],tblProducts[],5,FALSE)</f>
        <v>25.43</v>
      </c>
      <c r="M2478" s="4">
        <f>tblTransactions[[#This Row],[Total_Amount]]-(tblTransactions[[#This Row],[Cost_Prices]]*tblTransactions[[#This Row],[Quantity]]*(1-tblTransactions[[#This Row],[Discount]]))</f>
        <v>31.787200000000006</v>
      </c>
      <c r="N2478" s="3">
        <f>tblTransactions[[#This Row],[Profit]]/tblTransactions[[#This Row],[Total_Amount]]</f>
        <v>0.56560854092526702</v>
      </c>
      <c r="O2478" t="str">
        <f>TEXT(tblTransactions[[#This Row],[Date]], "MMM-YYYY")</f>
        <v>Jun-2024</v>
      </c>
      <c r="P2478" t="str">
        <f>"Q"&amp;ROUNDUP(MONTH(tblTransactions[[#This Row],[Date]])/3,0)&amp;"-"&amp;YEAR(tblTransactions[[#This Row],[Date]])</f>
        <v>Q2-2024</v>
      </c>
      <c r="Q2478">
        <f>YEAR(tblTransactions[[#This Row],[Date]])</f>
        <v>2024</v>
      </c>
      <c r="R2478" t="str">
        <f>TEXT(tblTransactions[[#This Row],[Date]],"DDDD")</f>
        <v>Monday</v>
      </c>
      <c r="S2478">
        <f>MONTH(tblTransactions[[#This Row],[Date]])</f>
        <v>6</v>
      </c>
      <c r="T2478" t="str">
        <f>VLOOKUP(E2478, Products!$A:$B,2,0)</f>
        <v>Paper Off-2</v>
      </c>
      <c r="U2478" t="str">
        <f>VLOOKUP(E2478,Products!$A:$C,3,0)</f>
        <v>Office Supplies</v>
      </c>
      <c r="V2478" t="str">
        <f>VLOOKUP(E2478,Products!$A:$D,4,0)</f>
        <v>Paper</v>
      </c>
      <c r="W2478" t="str">
        <f>VLOOKUP(D2478,Customers!$A:$C,3,0)</f>
        <v>B2C</v>
      </c>
      <c r="X2478" t="str">
        <f>VLOOKUP(C2478,Sales_Representatives!$A:$B,2,0)</f>
        <v>Robert Jones</v>
      </c>
    </row>
    <row r="2479" spans="1:24" x14ac:dyDescent="0.3">
      <c r="A2479" t="s">
        <v>3446</v>
      </c>
      <c r="B2479" t="s">
        <v>3447</v>
      </c>
      <c r="C2479" t="s">
        <v>107</v>
      </c>
      <c r="D2479" t="s">
        <v>1441</v>
      </c>
      <c r="E2479" t="s">
        <v>65</v>
      </c>
      <c r="F2479">
        <v>6</v>
      </c>
      <c r="G2479">
        <v>49.44</v>
      </c>
      <c r="H2479">
        <v>0.14000000000000001</v>
      </c>
      <c r="I2479" s="4">
        <v>255.11</v>
      </c>
      <c r="J2479" t="s">
        <v>109</v>
      </c>
      <c r="K2479" t="s">
        <v>48</v>
      </c>
      <c r="L2479" s="4">
        <f>VLOOKUP(tblTransactions[[#This Row],[Product_ID]],tblProducts[],5,FALSE)</f>
        <v>22.34</v>
      </c>
      <c r="M2479" s="4">
        <f>tblTransactions[[#This Row],[Total_Amount]]-(tblTransactions[[#This Row],[Cost_Prices]]*tblTransactions[[#This Row],[Quantity]]*(1-tblTransactions[[#This Row],[Discount]]))</f>
        <v>139.83560000000003</v>
      </c>
      <c r="N2479" s="3">
        <f>tblTransactions[[#This Row],[Profit]]/tblTransactions[[#This Row],[Total_Amount]]</f>
        <v>0.54813845008035755</v>
      </c>
      <c r="O2479" t="str">
        <f>TEXT(tblTransactions[[#This Row],[Date]], "MMM-YYYY")</f>
        <v>Jun-2024</v>
      </c>
      <c r="P2479" t="str">
        <f>"Q"&amp;ROUNDUP(MONTH(tblTransactions[[#This Row],[Date]])/3,0)&amp;"-"&amp;YEAR(tblTransactions[[#This Row],[Date]])</f>
        <v>Q2-2024</v>
      </c>
      <c r="Q2479">
        <f>YEAR(tblTransactions[[#This Row],[Date]])</f>
        <v>2024</v>
      </c>
      <c r="R2479" t="str">
        <f>TEXT(tblTransactions[[#This Row],[Date]],"DDDD")</f>
        <v>Tuesday</v>
      </c>
      <c r="S2479">
        <f>MONTH(tblTransactions[[#This Row],[Date]])</f>
        <v>6</v>
      </c>
      <c r="T2479" t="str">
        <f>VLOOKUP(E2479, Products!$A:$B,2,0)</f>
        <v>Folders Off-2</v>
      </c>
      <c r="U2479" t="str">
        <f>VLOOKUP(E2479,Products!$A:$C,3,0)</f>
        <v>Office Supplies</v>
      </c>
      <c r="V2479" t="str">
        <f>VLOOKUP(E2479,Products!$A:$D,4,0)</f>
        <v>Folders</v>
      </c>
      <c r="W2479" t="str">
        <f>VLOOKUP(D2479,Customers!$A:$C,3,0)</f>
        <v>Small Business</v>
      </c>
      <c r="X2479" t="str">
        <f>VLOOKUP(C2479,Sales_Representatives!$A:$B,2,0)</f>
        <v>Jennifer Brown</v>
      </c>
    </row>
    <row r="2480" spans="1:24" x14ac:dyDescent="0.3">
      <c r="A2480" t="s">
        <v>3448</v>
      </c>
      <c r="B2480" t="s">
        <v>3447</v>
      </c>
      <c r="C2480" t="s">
        <v>107</v>
      </c>
      <c r="D2480" t="s">
        <v>1838</v>
      </c>
      <c r="E2480" t="s">
        <v>283</v>
      </c>
      <c r="F2480">
        <v>19</v>
      </c>
      <c r="G2480">
        <v>456.88</v>
      </c>
      <c r="H2480">
        <v>0.11</v>
      </c>
      <c r="I2480" s="4">
        <v>7725.84</v>
      </c>
      <c r="J2480" t="s">
        <v>109</v>
      </c>
      <c r="K2480" t="s">
        <v>48</v>
      </c>
      <c r="L2480" s="4">
        <f>VLOOKUP(tblTransactions[[#This Row],[Product_ID]],tblProducts[],5,FALSE)</f>
        <v>313.23</v>
      </c>
      <c r="M2480" s="4">
        <f>tblTransactions[[#This Row],[Total_Amount]]-(tblTransactions[[#This Row],[Cost_Prices]]*tblTransactions[[#This Row],[Quantity]]*(1-tblTransactions[[#This Row],[Discount]]))</f>
        <v>2429.1206999999995</v>
      </c>
      <c r="N2480" s="3">
        <f>tblTransactions[[#This Row],[Profit]]/tblTransactions[[#This Row],[Total_Amount]]</f>
        <v>0.31441509272778101</v>
      </c>
      <c r="O2480" t="str">
        <f>TEXT(tblTransactions[[#This Row],[Date]], "MMM-YYYY")</f>
        <v>Jun-2024</v>
      </c>
      <c r="P2480" t="str">
        <f>"Q"&amp;ROUNDUP(MONTH(tblTransactions[[#This Row],[Date]])/3,0)&amp;"-"&amp;YEAR(tblTransactions[[#This Row],[Date]])</f>
        <v>Q2-2024</v>
      </c>
      <c r="Q2480">
        <f>YEAR(tblTransactions[[#This Row],[Date]])</f>
        <v>2024</v>
      </c>
      <c r="R2480" t="str">
        <f>TEXT(tblTransactions[[#This Row],[Date]],"DDDD")</f>
        <v>Tuesday</v>
      </c>
      <c r="S2480">
        <f>MONTH(tblTransactions[[#This Row],[Date]])</f>
        <v>6</v>
      </c>
      <c r="T2480" t="str">
        <f>VLOOKUP(E2480, Products!$A:$B,2,0)</f>
        <v>Chairs Fur-3</v>
      </c>
      <c r="U2480" t="str">
        <f>VLOOKUP(E2480,Products!$A:$C,3,0)</f>
        <v>Furniture</v>
      </c>
      <c r="V2480" t="str">
        <f>VLOOKUP(E2480,Products!$A:$D,4,0)</f>
        <v>Chairs</v>
      </c>
      <c r="W2480" t="str">
        <f>VLOOKUP(D2480,Customers!$A:$C,3,0)</f>
        <v>Enterprise</v>
      </c>
      <c r="X2480" t="str">
        <f>VLOOKUP(C2480,Sales_Representatives!$A:$B,2,0)</f>
        <v>Jennifer Brown</v>
      </c>
    </row>
    <row r="2481" spans="1:24" x14ac:dyDescent="0.3">
      <c r="A2481" t="s">
        <v>3449</v>
      </c>
      <c r="B2481" t="s">
        <v>3447</v>
      </c>
      <c r="C2481" t="s">
        <v>63</v>
      </c>
      <c r="D2481" t="s">
        <v>3001</v>
      </c>
      <c r="E2481" t="s">
        <v>53</v>
      </c>
      <c r="F2481">
        <v>16</v>
      </c>
      <c r="G2481">
        <v>2069.2199999999998</v>
      </c>
      <c r="H2481">
        <v>0.18</v>
      </c>
      <c r="I2481" s="4">
        <v>27148.17</v>
      </c>
      <c r="J2481" t="s">
        <v>21</v>
      </c>
      <c r="K2481" t="s">
        <v>35</v>
      </c>
      <c r="L2481" s="4">
        <f>VLOOKUP(tblTransactions[[#This Row],[Product_ID]],tblProducts[],5,FALSE)</f>
        <v>1451.18</v>
      </c>
      <c r="M2481" s="4">
        <f>tblTransactions[[#This Row],[Total_Amount]]-(tblTransactions[[#This Row],[Cost_Prices]]*tblTransactions[[#This Row],[Quantity]]*(1-tblTransactions[[#This Row],[Discount]]))</f>
        <v>8108.6883999999955</v>
      </c>
      <c r="N2481" s="3">
        <f>tblTransactions[[#This Row],[Profit]]/tblTransactions[[#This Row],[Total_Amount]]</f>
        <v>0.29868268837273365</v>
      </c>
      <c r="O2481" t="str">
        <f>TEXT(tblTransactions[[#This Row],[Date]], "MMM-YYYY")</f>
        <v>Jun-2024</v>
      </c>
      <c r="P2481" t="str">
        <f>"Q"&amp;ROUNDUP(MONTH(tblTransactions[[#This Row],[Date]])/3,0)&amp;"-"&amp;YEAR(tblTransactions[[#This Row],[Date]])</f>
        <v>Q2-2024</v>
      </c>
      <c r="Q2481">
        <f>YEAR(tblTransactions[[#This Row],[Date]])</f>
        <v>2024</v>
      </c>
      <c r="R2481" t="str">
        <f>TEXT(tblTransactions[[#This Row],[Date]],"DDDD")</f>
        <v>Tuesday</v>
      </c>
      <c r="S2481">
        <f>MONTH(tblTransactions[[#This Row],[Date]])</f>
        <v>6</v>
      </c>
      <c r="T2481" t="str">
        <f>VLOOKUP(E2481, Products!$A:$B,2,0)</f>
        <v>Printers Tec-3</v>
      </c>
      <c r="U2481" t="str">
        <f>VLOOKUP(E2481,Products!$A:$C,3,0)</f>
        <v>Technology</v>
      </c>
      <c r="V2481" t="str">
        <f>VLOOKUP(E2481,Products!$A:$D,4,0)</f>
        <v>Printers</v>
      </c>
      <c r="W2481" t="str">
        <f>VLOOKUP(D2481,Customers!$A:$C,3,0)</f>
        <v>B2B</v>
      </c>
      <c r="X2481" t="str">
        <f>VLOOKUP(C2481,Sales_Representatives!$A:$B,2,0)</f>
        <v>Richard Wilson</v>
      </c>
    </row>
    <row r="2482" spans="1:24" x14ac:dyDescent="0.3">
      <c r="A2482" t="s">
        <v>3450</v>
      </c>
      <c r="B2482" t="s">
        <v>3447</v>
      </c>
      <c r="C2482" t="s">
        <v>82</v>
      </c>
      <c r="D2482" t="s">
        <v>2763</v>
      </c>
      <c r="E2482" t="s">
        <v>176</v>
      </c>
      <c r="F2482">
        <v>5</v>
      </c>
      <c r="G2482">
        <v>1462.68</v>
      </c>
      <c r="H2482">
        <v>7.0000000000000007E-2</v>
      </c>
      <c r="I2482" s="4">
        <v>6801.46</v>
      </c>
      <c r="J2482" t="s">
        <v>34</v>
      </c>
      <c r="K2482" t="s">
        <v>35</v>
      </c>
      <c r="L2482" s="4">
        <f>VLOOKUP(tblTransactions[[#This Row],[Product_ID]],tblProducts[],5,FALSE)</f>
        <v>775.94</v>
      </c>
      <c r="M2482" s="4">
        <f>tblTransactions[[#This Row],[Total_Amount]]-(tblTransactions[[#This Row],[Cost_Prices]]*tblTransactions[[#This Row],[Quantity]]*(1-tblTransactions[[#This Row],[Discount]]))</f>
        <v>3193.3389999999999</v>
      </c>
      <c r="N2482" s="3">
        <f>tblTransactions[[#This Row],[Profit]]/tblTransactions[[#This Row],[Total_Amount]]</f>
        <v>0.46950787036900898</v>
      </c>
      <c r="O2482" t="str">
        <f>TEXT(tblTransactions[[#This Row],[Date]], "MMM-YYYY")</f>
        <v>Jun-2024</v>
      </c>
      <c r="P2482" t="str">
        <f>"Q"&amp;ROUNDUP(MONTH(tblTransactions[[#This Row],[Date]])/3,0)&amp;"-"&amp;YEAR(tblTransactions[[#This Row],[Date]])</f>
        <v>Q2-2024</v>
      </c>
      <c r="Q2482">
        <f>YEAR(tblTransactions[[#This Row],[Date]])</f>
        <v>2024</v>
      </c>
      <c r="R2482" t="str">
        <f>TEXT(tblTransactions[[#This Row],[Date]],"DDDD")</f>
        <v>Tuesday</v>
      </c>
      <c r="S2482">
        <f>MONTH(tblTransactions[[#This Row],[Date]])</f>
        <v>6</v>
      </c>
      <c r="T2482" t="str">
        <f>VLOOKUP(E2482, Products!$A:$B,2,0)</f>
        <v>Chairs Fur-2</v>
      </c>
      <c r="U2482" t="str">
        <f>VLOOKUP(E2482,Products!$A:$C,3,0)</f>
        <v>Furniture</v>
      </c>
      <c r="V2482" t="str">
        <f>VLOOKUP(E2482,Products!$A:$D,4,0)</f>
        <v>Chairs</v>
      </c>
      <c r="W2482" t="str">
        <f>VLOOKUP(D2482,Customers!$A:$C,3,0)</f>
        <v>B2C</v>
      </c>
      <c r="X2482" t="str">
        <f>VLOOKUP(C2482,Sales_Representatives!$A:$B,2,0)</f>
        <v>John Brown</v>
      </c>
    </row>
    <row r="2483" spans="1:24" x14ac:dyDescent="0.3">
      <c r="A2483" t="s">
        <v>3451</v>
      </c>
      <c r="B2483" t="s">
        <v>3452</v>
      </c>
      <c r="C2483" t="s">
        <v>59</v>
      </c>
      <c r="D2483" t="s">
        <v>1610</v>
      </c>
      <c r="E2483" t="s">
        <v>152</v>
      </c>
      <c r="F2483">
        <v>5</v>
      </c>
      <c r="G2483">
        <v>859.93</v>
      </c>
      <c r="H2483">
        <v>0</v>
      </c>
      <c r="I2483" s="4">
        <v>4299.6499999999996</v>
      </c>
      <c r="J2483" t="s">
        <v>21</v>
      </c>
      <c r="K2483" t="s">
        <v>39</v>
      </c>
      <c r="L2483" s="4">
        <f>VLOOKUP(tblTransactions[[#This Row],[Product_ID]],tblProducts[],5,FALSE)</f>
        <v>579.79</v>
      </c>
      <c r="M2483" s="4">
        <f>tblTransactions[[#This Row],[Total_Amount]]-(tblTransactions[[#This Row],[Cost_Prices]]*tblTransactions[[#This Row],[Quantity]]*(1-tblTransactions[[#This Row],[Discount]]))</f>
        <v>1400.6999999999998</v>
      </c>
      <c r="N2483" s="3">
        <f>tblTransactions[[#This Row],[Profit]]/tblTransactions[[#This Row],[Total_Amount]]</f>
        <v>0.32577070226646354</v>
      </c>
      <c r="O2483" t="str">
        <f>TEXT(tblTransactions[[#This Row],[Date]], "MMM-YYYY")</f>
        <v>Jun-2024</v>
      </c>
      <c r="P2483" t="str">
        <f>"Q"&amp;ROUNDUP(MONTH(tblTransactions[[#This Row],[Date]])/3,0)&amp;"-"&amp;YEAR(tblTransactions[[#This Row],[Date]])</f>
        <v>Q2-2024</v>
      </c>
      <c r="Q2483">
        <f>YEAR(tblTransactions[[#This Row],[Date]])</f>
        <v>2024</v>
      </c>
      <c r="R2483" t="str">
        <f>TEXT(tblTransactions[[#This Row],[Date]],"DDDD")</f>
        <v>Wednesday</v>
      </c>
      <c r="S2483">
        <f>MONTH(tblTransactions[[#This Row],[Date]])</f>
        <v>6</v>
      </c>
      <c r="T2483" t="str">
        <f>VLOOKUP(E2483, Products!$A:$B,2,0)</f>
        <v>Phones Ele-4</v>
      </c>
      <c r="U2483" t="str">
        <f>VLOOKUP(E2483,Products!$A:$C,3,0)</f>
        <v>Electronics</v>
      </c>
      <c r="V2483" t="str">
        <f>VLOOKUP(E2483,Products!$A:$D,4,0)</f>
        <v>Phones</v>
      </c>
      <c r="W2483" t="str">
        <f>VLOOKUP(D2483,Customers!$A:$C,3,0)</f>
        <v>B2C</v>
      </c>
      <c r="X2483" t="str">
        <f>VLOOKUP(C2483,Sales_Representatives!$A:$B,2,0)</f>
        <v>Sarah Brown</v>
      </c>
    </row>
    <row r="2484" spans="1:24" x14ac:dyDescent="0.3">
      <c r="A2484" t="s">
        <v>3453</v>
      </c>
      <c r="B2484" t="s">
        <v>3452</v>
      </c>
      <c r="C2484" t="s">
        <v>19</v>
      </c>
      <c r="D2484" t="s">
        <v>197</v>
      </c>
      <c r="E2484" t="s">
        <v>89</v>
      </c>
      <c r="F2484">
        <v>46</v>
      </c>
      <c r="G2484">
        <v>555.08000000000004</v>
      </c>
      <c r="H2484">
        <v>0.2</v>
      </c>
      <c r="I2484" s="4">
        <v>20426.939999999999</v>
      </c>
      <c r="J2484" t="s">
        <v>21</v>
      </c>
      <c r="K2484" t="s">
        <v>22</v>
      </c>
      <c r="L2484" s="4">
        <f>VLOOKUP(tblTransactions[[#This Row],[Product_ID]],tblProducts[],5,FALSE)</f>
        <v>402.82</v>
      </c>
      <c r="M2484" s="4">
        <f>tblTransactions[[#This Row],[Total_Amount]]-(tblTransactions[[#This Row],[Cost_Prices]]*tblTransactions[[#This Row],[Quantity]]*(1-tblTransactions[[#This Row],[Discount]]))</f>
        <v>5603.163999999997</v>
      </c>
      <c r="N2484" s="3">
        <f>tblTransactions[[#This Row],[Profit]]/tblTransactions[[#This Row],[Total_Amount]]</f>
        <v>0.27430266109363405</v>
      </c>
      <c r="O2484" t="str">
        <f>TEXT(tblTransactions[[#This Row],[Date]], "MMM-YYYY")</f>
        <v>Jun-2024</v>
      </c>
      <c r="P2484" t="str">
        <f>"Q"&amp;ROUNDUP(MONTH(tblTransactions[[#This Row],[Date]])/3,0)&amp;"-"&amp;YEAR(tblTransactions[[#This Row],[Date]])</f>
        <v>Q2-2024</v>
      </c>
      <c r="Q2484">
        <f>YEAR(tblTransactions[[#This Row],[Date]])</f>
        <v>2024</v>
      </c>
      <c r="R2484" t="str">
        <f>TEXT(tblTransactions[[#This Row],[Date]],"DDDD")</f>
        <v>Wednesday</v>
      </c>
      <c r="S2484">
        <f>MONTH(tblTransactions[[#This Row],[Date]])</f>
        <v>6</v>
      </c>
      <c r="T2484" t="str">
        <f>VLOOKUP(E2484, Products!$A:$B,2,0)</f>
        <v>Laptops Ele-3</v>
      </c>
      <c r="U2484" t="str">
        <f>VLOOKUP(E2484,Products!$A:$C,3,0)</f>
        <v>Electronics</v>
      </c>
      <c r="V2484" t="str">
        <f>VLOOKUP(E2484,Products!$A:$D,4,0)</f>
        <v>Laptops</v>
      </c>
      <c r="W2484" t="str">
        <f>VLOOKUP(D2484,Customers!$A:$C,3,0)</f>
        <v>Enterprise</v>
      </c>
      <c r="X2484" t="str">
        <f>VLOOKUP(C2484,Sales_Representatives!$A:$B,2,0)</f>
        <v>Robert Jones</v>
      </c>
    </row>
    <row r="2485" spans="1:24" x14ac:dyDescent="0.3">
      <c r="A2485" t="s">
        <v>3454</v>
      </c>
      <c r="B2485" t="s">
        <v>3452</v>
      </c>
      <c r="C2485" t="s">
        <v>59</v>
      </c>
      <c r="D2485" t="s">
        <v>2297</v>
      </c>
      <c r="E2485" t="s">
        <v>108</v>
      </c>
      <c r="F2485">
        <v>1</v>
      </c>
      <c r="G2485">
        <v>155.75</v>
      </c>
      <c r="H2485">
        <v>0.09</v>
      </c>
      <c r="I2485" s="4">
        <v>141.72999999999999</v>
      </c>
      <c r="J2485" t="s">
        <v>21</v>
      </c>
      <c r="K2485" t="s">
        <v>48</v>
      </c>
      <c r="L2485" s="4">
        <f>VLOOKUP(tblTransactions[[#This Row],[Product_ID]],tblProducts[],5,FALSE)</f>
        <v>80.8</v>
      </c>
      <c r="M2485" s="4">
        <f>tblTransactions[[#This Row],[Total_Amount]]-(tblTransactions[[#This Row],[Cost_Prices]]*tblTransactions[[#This Row],[Quantity]]*(1-tblTransactions[[#This Row],[Discount]]))</f>
        <v>68.201999999999984</v>
      </c>
      <c r="N2485" s="3">
        <f>tblTransactions[[#This Row],[Profit]]/tblTransactions[[#This Row],[Total_Amount]]</f>
        <v>0.48121075283990677</v>
      </c>
      <c r="O2485" t="str">
        <f>TEXT(tblTransactions[[#This Row],[Date]], "MMM-YYYY")</f>
        <v>Jun-2024</v>
      </c>
      <c r="P2485" t="str">
        <f>"Q"&amp;ROUNDUP(MONTH(tblTransactions[[#This Row],[Date]])/3,0)&amp;"-"&amp;YEAR(tblTransactions[[#This Row],[Date]])</f>
        <v>Q2-2024</v>
      </c>
      <c r="Q2485">
        <f>YEAR(tblTransactions[[#This Row],[Date]])</f>
        <v>2024</v>
      </c>
      <c r="R2485" t="str">
        <f>TEXT(tblTransactions[[#This Row],[Date]],"DDDD")</f>
        <v>Wednesday</v>
      </c>
      <c r="S2485">
        <f>MONTH(tblTransactions[[#This Row],[Date]])</f>
        <v>6</v>
      </c>
      <c r="T2485" t="str">
        <f>VLOOKUP(E2485, Products!$A:$B,2,0)</f>
        <v>Cases Acc-1</v>
      </c>
      <c r="U2485" t="str">
        <f>VLOOKUP(E2485,Products!$A:$C,3,0)</f>
        <v>Accessories</v>
      </c>
      <c r="V2485" t="str">
        <f>VLOOKUP(E2485,Products!$A:$D,4,0)</f>
        <v>Cases</v>
      </c>
      <c r="W2485" t="str">
        <f>VLOOKUP(D2485,Customers!$A:$C,3,0)</f>
        <v>B2C</v>
      </c>
      <c r="X2485" t="str">
        <f>VLOOKUP(C2485,Sales_Representatives!$A:$B,2,0)</f>
        <v>Sarah Brown</v>
      </c>
    </row>
    <row r="2486" spans="1:24" x14ac:dyDescent="0.3">
      <c r="A2486" t="s">
        <v>3455</v>
      </c>
      <c r="B2486" t="s">
        <v>3452</v>
      </c>
      <c r="C2486" t="s">
        <v>13</v>
      </c>
      <c r="D2486" t="s">
        <v>1627</v>
      </c>
      <c r="E2486" t="s">
        <v>129</v>
      </c>
      <c r="F2486">
        <v>21</v>
      </c>
      <c r="G2486">
        <v>1283.71</v>
      </c>
      <c r="H2486">
        <v>0.24</v>
      </c>
      <c r="I2486" s="4">
        <v>20488.009999999998</v>
      </c>
      <c r="J2486" t="s">
        <v>16</v>
      </c>
      <c r="K2486" t="s">
        <v>35</v>
      </c>
      <c r="L2486" s="4">
        <f>VLOOKUP(tblTransactions[[#This Row],[Product_ID]],tblProducts[],5,FALSE)</f>
        <v>970.14</v>
      </c>
      <c r="M2486" s="4">
        <f>tblTransactions[[#This Row],[Total_Amount]]-(tblTransactions[[#This Row],[Cost_Prices]]*tblTransactions[[#This Row],[Quantity]]*(1-tblTransactions[[#This Row],[Discount]]))</f>
        <v>5004.5756000000001</v>
      </c>
      <c r="N2486" s="3">
        <f>tblTransactions[[#This Row],[Profit]]/tblTransactions[[#This Row],[Total_Amount]]</f>
        <v>0.24426850631174041</v>
      </c>
      <c r="O2486" t="str">
        <f>TEXT(tblTransactions[[#This Row],[Date]], "MMM-YYYY")</f>
        <v>Jun-2024</v>
      </c>
      <c r="P2486" t="str">
        <f>"Q"&amp;ROUNDUP(MONTH(tblTransactions[[#This Row],[Date]])/3,0)&amp;"-"&amp;YEAR(tblTransactions[[#This Row],[Date]])</f>
        <v>Q2-2024</v>
      </c>
      <c r="Q2486">
        <f>YEAR(tblTransactions[[#This Row],[Date]])</f>
        <v>2024</v>
      </c>
      <c r="R2486" t="str">
        <f>TEXT(tblTransactions[[#This Row],[Date]],"DDDD")</f>
        <v>Wednesday</v>
      </c>
      <c r="S2486">
        <f>MONTH(tblTransactions[[#This Row],[Date]])</f>
        <v>6</v>
      </c>
      <c r="T2486" t="str">
        <f>VLOOKUP(E2486, Products!$A:$B,2,0)</f>
        <v>Cameras Ele-3</v>
      </c>
      <c r="U2486" t="str">
        <f>VLOOKUP(E2486,Products!$A:$C,3,0)</f>
        <v>Electronics</v>
      </c>
      <c r="V2486" t="str">
        <f>VLOOKUP(E2486,Products!$A:$D,4,0)</f>
        <v>Cameras</v>
      </c>
      <c r="W2486" t="str">
        <f>VLOOKUP(D2486,Customers!$A:$C,3,0)</f>
        <v>Enterprise</v>
      </c>
      <c r="X2486" t="str">
        <f>VLOOKUP(C2486,Sales_Representatives!$A:$B,2,0)</f>
        <v>Jennifer Rodriguez</v>
      </c>
    </row>
    <row r="2487" spans="1:24" x14ac:dyDescent="0.3">
      <c r="A2487" t="s">
        <v>3456</v>
      </c>
      <c r="B2487" t="s">
        <v>3452</v>
      </c>
      <c r="C2487" t="s">
        <v>127</v>
      </c>
      <c r="D2487" t="s">
        <v>2329</v>
      </c>
      <c r="E2487" t="s">
        <v>29</v>
      </c>
      <c r="F2487">
        <v>2</v>
      </c>
      <c r="G2487">
        <v>1363.46</v>
      </c>
      <c r="H2487">
        <v>0.09</v>
      </c>
      <c r="I2487" s="4">
        <v>2481.5</v>
      </c>
      <c r="J2487" t="s">
        <v>109</v>
      </c>
      <c r="K2487" t="s">
        <v>39</v>
      </c>
      <c r="L2487" s="4">
        <f>VLOOKUP(tblTransactions[[#This Row],[Product_ID]],tblProducts[],5,FALSE)</f>
        <v>995.41</v>
      </c>
      <c r="M2487" s="4">
        <f>tblTransactions[[#This Row],[Total_Amount]]-(tblTransactions[[#This Row],[Cost_Prices]]*tblTransactions[[#This Row],[Quantity]]*(1-tblTransactions[[#This Row],[Discount]]))</f>
        <v>669.85380000000009</v>
      </c>
      <c r="N2487" s="3">
        <f>tblTransactions[[#This Row],[Profit]]/tblTransactions[[#This Row],[Total_Amount]]</f>
        <v>0.26993906911142457</v>
      </c>
      <c r="O2487" t="str">
        <f>TEXT(tblTransactions[[#This Row],[Date]], "MMM-YYYY")</f>
        <v>Jun-2024</v>
      </c>
      <c r="P2487" t="str">
        <f>"Q"&amp;ROUNDUP(MONTH(tblTransactions[[#This Row],[Date]])/3,0)&amp;"-"&amp;YEAR(tblTransactions[[#This Row],[Date]])</f>
        <v>Q2-2024</v>
      </c>
      <c r="Q2487">
        <f>YEAR(tblTransactions[[#This Row],[Date]])</f>
        <v>2024</v>
      </c>
      <c r="R2487" t="str">
        <f>TEXT(tblTransactions[[#This Row],[Date]],"DDDD")</f>
        <v>Wednesday</v>
      </c>
      <c r="S2487">
        <f>MONTH(tblTransactions[[#This Row],[Date]])</f>
        <v>6</v>
      </c>
      <c r="T2487" t="str">
        <f>VLOOKUP(E2487, Products!$A:$B,2,0)</f>
        <v>Phones Ele-3</v>
      </c>
      <c r="U2487" t="str">
        <f>VLOOKUP(E2487,Products!$A:$C,3,0)</f>
        <v>Electronics</v>
      </c>
      <c r="V2487" t="str">
        <f>VLOOKUP(E2487,Products!$A:$D,4,0)</f>
        <v>Phones</v>
      </c>
      <c r="W2487" t="str">
        <f>VLOOKUP(D2487,Customers!$A:$C,3,0)</f>
        <v>B2C</v>
      </c>
      <c r="X2487" t="str">
        <f>VLOOKUP(C2487,Sales_Representatives!$A:$B,2,0)</f>
        <v>Emily Hernandez</v>
      </c>
    </row>
    <row r="2488" spans="1:24" x14ac:dyDescent="0.3">
      <c r="A2488" t="s">
        <v>3457</v>
      </c>
      <c r="B2488" t="s">
        <v>3458</v>
      </c>
      <c r="C2488" t="s">
        <v>27</v>
      </c>
      <c r="D2488" t="s">
        <v>1455</v>
      </c>
      <c r="E2488" t="s">
        <v>105</v>
      </c>
      <c r="F2488">
        <v>1</v>
      </c>
      <c r="G2488">
        <v>1342.04</v>
      </c>
      <c r="H2488">
        <v>0.02</v>
      </c>
      <c r="I2488" s="4">
        <v>1315.2</v>
      </c>
      <c r="J2488" t="s">
        <v>16</v>
      </c>
      <c r="K2488" t="s">
        <v>35</v>
      </c>
      <c r="L2488" s="4">
        <f>VLOOKUP(tblTransactions[[#This Row],[Product_ID]],tblProducts[],5,FALSE)</f>
        <v>792.89</v>
      </c>
      <c r="M2488" s="4">
        <f>tblTransactions[[#This Row],[Total_Amount]]-(tblTransactions[[#This Row],[Cost_Prices]]*tblTransactions[[#This Row],[Quantity]]*(1-tblTransactions[[#This Row],[Discount]]))</f>
        <v>538.16780000000006</v>
      </c>
      <c r="N2488" s="3">
        <f>tblTransactions[[#This Row],[Profit]]/tblTransactions[[#This Row],[Total_Amount]]</f>
        <v>0.40919084549878348</v>
      </c>
      <c r="O2488" t="str">
        <f>TEXT(tblTransactions[[#This Row],[Date]], "MMM-YYYY")</f>
        <v>Jun-2024</v>
      </c>
      <c r="P2488" t="str">
        <f>"Q"&amp;ROUNDUP(MONTH(tblTransactions[[#This Row],[Date]])/3,0)&amp;"-"&amp;YEAR(tblTransactions[[#This Row],[Date]])</f>
        <v>Q2-2024</v>
      </c>
      <c r="Q2488">
        <f>YEAR(tblTransactions[[#This Row],[Date]])</f>
        <v>2024</v>
      </c>
      <c r="R2488" t="str">
        <f>TEXT(tblTransactions[[#This Row],[Date]],"DDDD")</f>
        <v>Thursday</v>
      </c>
      <c r="S2488">
        <f>MONTH(tblTransactions[[#This Row],[Date]])</f>
        <v>6</v>
      </c>
      <c r="T2488" t="str">
        <f>VLOOKUP(E2488, Products!$A:$B,2,0)</f>
        <v>Cameras Ele-1</v>
      </c>
      <c r="U2488" t="str">
        <f>VLOOKUP(E2488,Products!$A:$C,3,0)</f>
        <v>Electronics</v>
      </c>
      <c r="V2488" t="str">
        <f>VLOOKUP(E2488,Products!$A:$D,4,0)</f>
        <v>Cameras</v>
      </c>
      <c r="W2488" t="str">
        <f>VLOOKUP(D2488,Customers!$A:$C,3,0)</f>
        <v>Small Business</v>
      </c>
      <c r="X2488" t="str">
        <f>VLOOKUP(C2488,Sales_Representatives!$A:$B,2,0)</f>
        <v>Thomas Lopez</v>
      </c>
    </row>
    <row r="2489" spans="1:24" x14ac:dyDescent="0.3">
      <c r="A2489" t="s">
        <v>3459</v>
      </c>
      <c r="B2489" t="s">
        <v>3458</v>
      </c>
      <c r="C2489" t="s">
        <v>141</v>
      </c>
      <c r="D2489" t="s">
        <v>2094</v>
      </c>
      <c r="E2489" t="s">
        <v>152</v>
      </c>
      <c r="F2489">
        <v>6</v>
      </c>
      <c r="G2489">
        <v>859.93</v>
      </c>
      <c r="H2489">
        <v>0.08</v>
      </c>
      <c r="I2489" s="4">
        <v>4746.8100000000004</v>
      </c>
      <c r="J2489" t="s">
        <v>109</v>
      </c>
      <c r="K2489" t="s">
        <v>17</v>
      </c>
      <c r="L2489" s="4">
        <f>VLOOKUP(tblTransactions[[#This Row],[Product_ID]],tblProducts[],5,FALSE)</f>
        <v>579.79</v>
      </c>
      <c r="M2489" s="4">
        <f>tblTransactions[[#This Row],[Total_Amount]]-(tblTransactions[[#This Row],[Cost_Prices]]*tblTransactions[[#This Row],[Quantity]]*(1-tblTransactions[[#This Row],[Discount]]))</f>
        <v>1546.3692000000005</v>
      </c>
      <c r="N2489" s="3">
        <f>tblTransactions[[#This Row],[Profit]]/tblTransactions[[#This Row],[Total_Amount]]</f>
        <v>0.32577019092822346</v>
      </c>
      <c r="O2489" t="str">
        <f>TEXT(tblTransactions[[#This Row],[Date]], "MMM-YYYY")</f>
        <v>Jun-2024</v>
      </c>
      <c r="P2489" t="str">
        <f>"Q"&amp;ROUNDUP(MONTH(tblTransactions[[#This Row],[Date]])/3,0)&amp;"-"&amp;YEAR(tblTransactions[[#This Row],[Date]])</f>
        <v>Q2-2024</v>
      </c>
      <c r="Q2489">
        <f>YEAR(tblTransactions[[#This Row],[Date]])</f>
        <v>2024</v>
      </c>
      <c r="R2489" t="str">
        <f>TEXT(tblTransactions[[#This Row],[Date]],"DDDD")</f>
        <v>Thursday</v>
      </c>
      <c r="S2489">
        <f>MONTH(tblTransactions[[#This Row],[Date]])</f>
        <v>6</v>
      </c>
      <c r="T2489" t="str">
        <f>VLOOKUP(E2489, Products!$A:$B,2,0)</f>
        <v>Phones Ele-4</v>
      </c>
      <c r="U2489" t="str">
        <f>VLOOKUP(E2489,Products!$A:$C,3,0)</f>
        <v>Electronics</v>
      </c>
      <c r="V2489" t="str">
        <f>VLOOKUP(E2489,Products!$A:$D,4,0)</f>
        <v>Phones</v>
      </c>
      <c r="W2489" t="str">
        <f>VLOOKUP(D2489,Customers!$A:$C,3,0)</f>
        <v>Small Business</v>
      </c>
      <c r="X2489" t="str">
        <f>VLOOKUP(C2489,Sales_Representatives!$A:$B,2,0)</f>
        <v>Richard Garcia</v>
      </c>
    </row>
    <row r="2490" spans="1:24" x14ac:dyDescent="0.3">
      <c r="A2490" t="s">
        <v>3460</v>
      </c>
      <c r="B2490" t="s">
        <v>3461</v>
      </c>
      <c r="C2490" t="s">
        <v>141</v>
      </c>
      <c r="D2490" t="s">
        <v>2678</v>
      </c>
      <c r="E2490" t="s">
        <v>121</v>
      </c>
      <c r="F2490">
        <v>7</v>
      </c>
      <c r="G2490">
        <v>183.9</v>
      </c>
      <c r="H2490">
        <v>0.15</v>
      </c>
      <c r="I2490" s="4">
        <v>1094.2</v>
      </c>
      <c r="J2490" t="s">
        <v>109</v>
      </c>
      <c r="K2490" t="s">
        <v>39</v>
      </c>
      <c r="L2490" s="4">
        <f>VLOOKUP(tblTransactions[[#This Row],[Product_ID]],tblProducts[],5,FALSE)</f>
        <v>116.83</v>
      </c>
      <c r="M2490" s="4">
        <f>tblTransactions[[#This Row],[Total_Amount]]-(tblTransactions[[#This Row],[Cost_Prices]]*tblTransactions[[#This Row],[Quantity]]*(1-tblTransactions[[#This Row],[Discount]]))</f>
        <v>399.06150000000014</v>
      </c>
      <c r="N2490" s="3">
        <f>tblTransactions[[#This Row],[Profit]]/tblTransactions[[#This Row],[Total_Amount]]</f>
        <v>0.36470617802961081</v>
      </c>
      <c r="O2490" t="str">
        <f>TEXT(tblTransactions[[#This Row],[Date]], "MMM-YYYY")</f>
        <v>Jun-2024</v>
      </c>
      <c r="P2490" t="str">
        <f>"Q"&amp;ROUNDUP(MONTH(tblTransactions[[#This Row],[Date]])/3,0)&amp;"-"&amp;YEAR(tblTransactions[[#This Row],[Date]])</f>
        <v>Q2-2024</v>
      </c>
      <c r="Q2490">
        <f>YEAR(tblTransactions[[#This Row],[Date]])</f>
        <v>2024</v>
      </c>
      <c r="R2490" t="str">
        <f>TEXT(tblTransactions[[#This Row],[Date]],"DDDD")</f>
        <v>Friday</v>
      </c>
      <c r="S2490">
        <f>MONTH(tblTransactions[[#This Row],[Date]])</f>
        <v>6</v>
      </c>
      <c r="T2490" t="str">
        <f>VLOOKUP(E2490, Products!$A:$B,2,0)</f>
        <v>Pens Off-3</v>
      </c>
      <c r="U2490" t="str">
        <f>VLOOKUP(E2490,Products!$A:$C,3,0)</f>
        <v>Office Supplies</v>
      </c>
      <c r="V2490" t="str">
        <f>VLOOKUP(E2490,Products!$A:$D,4,0)</f>
        <v>Pens</v>
      </c>
      <c r="W2490" t="str">
        <f>VLOOKUP(D2490,Customers!$A:$C,3,0)</f>
        <v>B2C</v>
      </c>
      <c r="X2490" t="str">
        <f>VLOOKUP(C2490,Sales_Representatives!$A:$B,2,0)</f>
        <v>Richard Garcia</v>
      </c>
    </row>
    <row r="2491" spans="1:24" x14ac:dyDescent="0.3">
      <c r="A2491" t="s">
        <v>3462</v>
      </c>
      <c r="B2491" t="s">
        <v>3461</v>
      </c>
      <c r="C2491" t="s">
        <v>19</v>
      </c>
      <c r="D2491" t="s">
        <v>1532</v>
      </c>
      <c r="E2491" t="s">
        <v>283</v>
      </c>
      <c r="F2491">
        <v>21</v>
      </c>
      <c r="G2491">
        <v>456.88</v>
      </c>
      <c r="H2491">
        <v>0.15</v>
      </c>
      <c r="I2491" s="4">
        <v>8155.31</v>
      </c>
      <c r="J2491" t="s">
        <v>21</v>
      </c>
      <c r="K2491" t="s">
        <v>17</v>
      </c>
      <c r="L2491" s="4">
        <f>VLOOKUP(tblTransactions[[#This Row],[Product_ID]],tblProducts[],5,FALSE)</f>
        <v>313.23</v>
      </c>
      <c r="M2491" s="4">
        <f>tblTransactions[[#This Row],[Total_Amount]]-(tblTransactions[[#This Row],[Cost_Prices]]*tblTransactions[[#This Row],[Quantity]]*(1-tblTransactions[[#This Row],[Discount]]))</f>
        <v>2564.1545000000006</v>
      </c>
      <c r="N2491" s="3">
        <f>tblTransactions[[#This Row],[Profit]]/tblTransactions[[#This Row],[Total_Amount]]</f>
        <v>0.31441533185127241</v>
      </c>
      <c r="O2491" t="str">
        <f>TEXT(tblTransactions[[#This Row],[Date]], "MMM-YYYY")</f>
        <v>Jun-2024</v>
      </c>
      <c r="P2491" t="str">
        <f>"Q"&amp;ROUNDUP(MONTH(tblTransactions[[#This Row],[Date]])/3,0)&amp;"-"&amp;YEAR(tblTransactions[[#This Row],[Date]])</f>
        <v>Q2-2024</v>
      </c>
      <c r="Q2491">
        <f>YEAR(tblTransactions[[#This Row],[Date]])</f>
        <v>2024</v>
      </c>
      <c r="R2491" t="str">
        <f>TEXT(tblTransactions[[#This Row],[Date]],"DDDD")</f>
        <v>Friday</v>
      </c>
      <c r="S2491">
        <f>MONTH(tblTransactions[[#This Row],[Date]])</f>
        <v>6</v>
      </c>
      <c r="T2491" t="str">
        <f>VLOOKUP(E2491, Products!$A:$B,2,0)</f>
        <v>Chairs Fur-3</v>
      </c>
      <c r="U2491" t="str">
        <f>VLOOKUP(E2491,Products!$A:$C,3,0)</f>
        <v>Furniture</v>
      </c>
      <c r="V2491" t="str">
        <f>VLOOKUP(E2491,Products!$A:$D,4,0)</f>
        <v>Chairs</v>
      </c>
      <c r="W2491" t="str">
        <f>VLOOKUP(D2491,Customers!$A:$C,3,0)</f>
        <v>Enterprise</v>
      </c>
      <c r="X2491" t="str">
        <f>VLOOKUP(C2491,Sales_Representatives!$A:$B,2,0)</f>
        <v>Robert Jones</v>
      </c>
    </row>
    <row r="2492" spans="1:24" x14ac:dyDescent="0.3">
      <c r="A2492" t="s">
        <v>3463</v>
      </c>
      <c r="B2492" t="s">
        <v>3464</v>
      </c>
      <c r="C2492" t="s">
        <v>31</v>
      </c>
      <c r="D2492" t="s">
        <v>2573</v>
      </c>
      <c r="E2492" t="s">
        <v>314</v>
      </c>
      <c r="F2492">
        <v>1</v>
      </c>
      <c r="G2492">
        <v>204.97</v>
      </c>
      <c r="H2492">
        <v>0.04</v>
      </c>
      <c r="I2492" s="4">
        <v>196.77</v>
      </c>
      <c r="J2492" t="s">
        <v>34</v>
      </c>
      <c r="K2492" t="s">
        <v>22</v>
      </c>
      <c r="L2492" s="4">
        <f>VLOOKUP(tblTransactions[[#This Row],[Product_ID]],tblProducts[],5,FALSE)</f>
        <v>121.53</v>
      </c>
      <c r="M2492" s="4">
        <f>tblTransactions[[#This Row],[Total_Amount]]-(tblTransactions[[#This Row],[Cost_Prices]]*tblTransactions[[#This Row],[Quantity]]*(1-tblTransactions[[#This Row],[Discount]]))</f>
        <v>80.10120000000002</v>
      </c>
      <c r="N2492" s="3">
        <f>tblTransactions[[#This Row],[Profit]]/tblTransactions[[#This Row],[Total_Amount]]</f>
        <v>0.40708034761396561</v>
      </c>
      <c r="O2492" t="str">
        <f>TEXT(tblTransactions[[#This Row],[Date]], "MMM-YYYY")</f>
        <v>Jun-2024</v>
      </c>
      <c r="P2492" t="str">
        <f>"Q"&amp;ROUNDUP(MONTH(tblTransactions[[#This Row],[Date]])/3,0)&amp;"-"&amp;YEAR(tblTransactions[[#This Row],[Date]])</f>
        <v>Q2-2024</v>
      </c>
      <c r="Q2492">
        <f>YEAR(tblTransactions[[#This Row],[Date]])</f>
        <v>2024</v>
      </c>
      <c r="R2492" t="str">
        <f>TEXT(tblTransactions[[#This Row],[Date]],"DDDD")</f>
        <v>Saturday</v>
      </c>
      <c r="S2492">
        <f>MONTH(tblTransactions[[#This Row],[Date]])</f>
        <v>6</v>
      </c>
      <c r="T2492" t="str">
        <f>VLOOKUP(E2492, Products!$A:$B,2,0)</f>
        <v>Adapters Acc-3</v>
      </c>
      <c r="U2492" t="str">
        <f>VLOOKUP(E2492,Products!$A:$C,3,0)</f>
        <v>Accessories</v>
      </c>
      <c r="V2492" t="str">
        <f>VLOOKUP(E2492,Products!$A:$D,4,0)</f>
        <v>Adapters</v>
      </c>
      <c r="W2492" t="str">
        <f>VLOOKUP(D2492,Customers!$A:$C,3,0)</f>
        <v>Small Business</v>
      </c>
      <c r="X2492" t="str">
        <f>VLOOKUP(C2492,Sales_Representatives!$A:$B,2,0)</f>
        <v>Thomas Martinez</v>
      </c>
    </row>
    <row r="2493" spans="1:24" x14ac:dyDescent="0.3">
      <c r="A2493" t="s">
        <v>3465</v>
      </c>
      <c r="B2493" t="s">
        <v>3464</v>
      </c>
      <c r="C2493" t="s">
        <v>107</v>
      </c>
      <c r="D2493" t="s">
        <v>2054</v>
      </c>
      <c r="E2493" t="s">
        <v>324</v>
      </c>
      <c r="F2493">
        <v>4</v>
      </c>
      <c r="G2493">
        <v>245.76</v>
      </c>
      <c r="H2493">
        <v>0.03</v>
      </c>
      <c r="I2493" s="4">
        <v>953.55</v>
      </c>
      <c r="J2493" t="s">
        <v>109</v>
      </c>
      <c r="K2493" t="s">
        <v>17</v>
      </c>
      <c r="L2493" s="4">
        <f>VLOOKUP(tblTransactions[[#This Row],[Product_ID]],tblProducts[],5,FALSE)</f>
        <v>161.94</v>
      </c>
      <c r="M2493" s="4">
        <f>tblTransactions[[#This Row],[Total_Amount]]-(tblTransactions[[#This Row],[Cost_Prices]]*tblTransactions[[#This Row],[Quantity]]*(1-tblTransactions[[#This Row],[Discount]]))</f>
        <v>325.22280000000001</v>
      </c>
      <c r="N2493" s="3">
        <f>tblTransactions[[#This Row],[Profit]]/tblTransactions[[#This Row],[Total_Amount]]</f>
        <v>0.34106528236589589</v>
      </c>
      <c r="O2493" t="str">
        <f>TEXT(tblTransactions[[#This Row],[Date]], "MMM-YYYY")</f>
        <v>Jun-2024</v>
      </c>
      <c r="P2493" t="str">
        <f>"Q"&amp;ROUNDUP(MONTH(tblTransactions[[#This Row],[Date]])/3,0)&amp;"-"&amp;YEAR(tblTransactions[[#This Row],[Date]])</f>
        <v>Q2-2024</v>
      </c>
      <c r="Q2493">
        <f>YEAR(tblTransactions[[#This Row],[Date]])</f>
        <v>2024</v>
      </c>
      <c r="R2493" t="str">
        <f>TEXT(tblTransactions[[#This Row],[Date]],"DDDD")</f>
        <v>Saturday</v>
      </c>
      <c r="S2493">
        <f>MONTH(tblTransactions[[#This Row],[Date]])</f>
        <v>6</v>
      </c>
      <c r="T2493" t="str">
        <f>VLOOKUP(E2493, Products!$A:$B,2,0)</f>
        <v>Storage Fur-1</v>
      </c>
      <c r="U2493" t="str">
        <f>VLOOKUP(E2493,Products!$A:$C,3,0)</f>
        <v>Furniture</v>
      </c>
      <c r="V2493" t="str">
        <f>VLOOKUP(E2493,Products!$A:$D,4,0)</f>
        <v>Storage</v>
      </c>
      <c r="W2493" t="str">
        <f>VLOOKUP(D2493,Customers!$A:$C,3,0)</f>
        <v>Small Business</v>
      </c>
      <c r="X2493" t="str">
        <f>VLOOKUP(C2493,Sales_Representatives!$A:$B,2,0)</f>
        <v>Jennifer Brown</v>
      </c>
    </row>
    <row r="2494" spans="1:24" x14ac:dyDescent="0.3">
      <c r="A2494" t="s">
        <v>3466</v>
      </c>
      <c r="B2494" t="s">
        <v>3464</v>
      </c>
      <c r="C2494" t="s">
        <v>27</v>
      </c>
      <c r="D2494" t="s">
        <v>1441</v>
      </c>
      <c r="E2494" t="s">
        <v>99</v>
      </c>
      <c r="F2494">
        <v>4</v>
      </c>
      <c r="G2494">
        <v>325.14</v>
      </c>
      <c r="H2494">
        <v>0.05</v>
      </c>
      <c r="I2494" s="4">
        <v>1235.53</v>
      </c>
      <c r="J2494" t="s">
        <v>16</v>
      </c>
      <c r="K2494" t="s">
        <v>35</v>
      </c>
      <c r="L2494" s="4">
        <f>VLOOKUP(tblTransactions[[#This Row],[Product_ID]],tblProducts[],5,FALSE)</f>
        <v>209.04</v>
      </c>
      <c r="M2494" s="4">
        <f>tblTransactions[[#This Row],[Total_Amount]]-(tblTransactions[[#This Row],[Cost_Prices]]*tblTransactions[[#This Row],[Quantity]]*(1-tblTransactions[[#This Row],[Discount]]))</f>
        <v>441.178</v>
      </c>
      <c r="N2494" s="3">
        <f>tblTransactions[[#This Row],[Profit]]/tblTransactions[[#This Row],[Total_Amount]]</f>
        <v>0.35707591074275818</v>
      </c>
      <c r="O2494" t="str">
        <f>TEXT(tblTransactions[[#This Row],[Date]], "MMM-YYYY")</f>
        <v>Jun-2024</v>
      </c>
      <c r="P2494" t="str">
        <f>"Q"&amp;ROUNDUP(MONTH(tblTransactions[[#This Row],[Date]])/3,0)&amp;"-"&amp;YEAR(tblTransactions[[#This Row],[Date]])</f>
        <v>Q2-2024</v>
      </c>
      <c r="Q2494">
        <f>YEAR(tblTransactions[[#This Row],[Date]])</f>
        <v>2024</v>
      </c>
      <c r="R2494" t="str">
        <f>TEXT(tblTransactions[[#This Row],[Date]],"DDDD")</f>
        <v>Saturday</v>
      </c>
      <c r="S2494">
        <f>MONTH(tblTransactions[[#This Row],[Date]])</f>
        <v>6</v>
      </c>
      <c r="T2494" t="str">
        <f>VLOOKUP(E2494, Products!$A:$B,2,0)</f>
        <v>Monitors Tec-1</v>
      </c>
      <c r="U2494" t="str">
        <f>VLOOKUP(E2494,Products!$A:$C,3,0)</f>
        <v>Technology</v>
      </c>
      <c r="V2494" t="str">
        <f>VLOOKUP(E2494,Products!$A:$D,4,0)</f>
        <v>Monitors</v>
      </c>
      <c r="W2494" t="str">
        <f>VLOOKUP(D2494,Customers!$A:$C,3,0)</f>
        <v>Small Business</v>
      </c>
      <c r="X2494" t="str">
        <f>VLOOKUP(C2494,Sales_Representatives!$A:$B,2,0)</f>
        <v>Thomas Lopez</v>
      </c>
    </row>
    <row r="2495" spans="1:24" x14ac:dyDescent="0.3">
      <c r="A2495" t="s">
        <v>3467</v>
      </c>
      <c r="B2495" t="s">
        <v>3464</v>
      </c>
      <c r="C2495" t="s">
        <v>19</v>
      </c>
      <c r="D2495" t="s">
        <v>1455</v>
      </c>
      <c r="E2495" t="s">
        <v>304</v>
      </c>
      <c r="F2495">
        <v>6</v>
      </c>
      <c r="G2495">
        <v>13.43</v>
      </c>
      <c r="H2495">
        <v>0.13</v>
      </c>
      <c r="I2495" s="4">
        <v>70.099999999999994</v>
      </c>
      <c r="J2495" t="s">
        <v>21</v>
      </c>
      <c r="K2495" t="s">
        <v>22</v>
      </c>
      <c r="L2495" s="4">
        <f>VLOOKUP(tblTransactions[[#This Row],[Product_ID]],tblProducts[],5,FALSE)</f>
        <v>5.8</v>
      </c>
      <c r="M2495" s="4">
        <f>tblTransactions[[#This Row],[Total_Amount]]-(tblTransactions[[#This Row],[Cost_Prices]]*tblTransactions[[#This Row],[Quantity]]*(1-tblTransactions[[#This Row],[Discount]]))</f>
        <v>39.823999999999998</v>
      </c>
      <c r="N2495" s="3">
        <f>tblTransactions[[#This Row],[Profit]]/tblTransactions[[#This Row],[Total_Amount]]</f>
        <v>0.56810271041369476</v>
      </c>
      <c r="O2495" t="str">
        <f>TEXT(tblTransactions[[#This Row],[Date]], "MMM-YYYY")</f>
        <v>Jun-2024</v>
      </c>
      <c r="P2495" t="str">
        <f>"Q"&amp;ROUNDUP(MONTH(tblTransactions[[#This Row],[Date]])/3,0)&amp;"-"&amp;YEAR(tblTransactions[[#This Row],[Date]])</f>
        <v>Q2-2024</v>
      </c>
      <c r="Q2495">
        <f>YEAR(tblTransactions[[#This Row],[Date]])</f>
        <v>2024</v>
      </c>
      <c r="R2495" t="str">
        <f>TEXT(tblTransactions[[#This Row],[Date]],"DDDD")</f>
        <v>Saturday</v>
      </c>
      <c r="S2495">
        <f>MONTH(tblTransactions[[#This Row],[Date]])</f>
        <v>6</v>
      </c>
      <c r="T2495" t="str">
        <f>VLOOKUP(E2495, Products!$A:$B,2,0)</f>
        <v>Pens Off-1</v>
      </c>
      <c r="U2495" t="str">
        <f>VLOOKUP(E2495,Products!$A:$C,3,0)</f>
        <v>Office Supplies</v>
      </c>
      <c r="V2495" t="str">
        <f>VLOOKUP(E2495,Products!$A:$D,4,0)</f>
        <v>Pens</v>
      </c>
      <c r="W2495" t="str">
        <f>VLOOKUP(D2495,Customers!$A:$C,3,0)</f>
        <v>Small Business</v>
      </c>
      <c r="X2495" t="str">
        <f>VLOOKUP(C2495,Sales_Representatives!$A:$B,2,0)</f>
        <v>Robert Jones</v>
      </c>
    </row>
    <row r="2496" spans="1:24" x14ac:dyDescent="0.3">
      <c r="A2496" t="s">
        <v>3468</v>
      </c>
      <c r="B2496" t="s">
        <v>3469</v>
      </c>
      <c r="C2496" t="s">
        <v>107</v>
      </c>
      <c r="D2496" t="s">
        <v>1613</v>
      </c>
      <c r="E2496" t="s">
        <v>137</v>
      </c>
      <c r="F2496">
        <v>30</v>
      </c>
      <c r="G2496">
        <v>241.39</v>
      </c>
      <c r="H2496">
        <v>0.2</v>
      </c>
      <c r="I2496" s="4">
        <v>5793.36</v>
      </c>
      <c r="J2496" t="s">
        <v>109</v>
      </c>
      <c r="K2496" t="s">
        <v>39</v>
      </c>
      <c r="L2496" s="4">
        <f>VLOOKUP(tblTransactions[[#This Row],[Product_ID]],tblProducts[],5,FALSE)</f>
        <v>124.07</v>
      </c>
      <c r="M2496" s="4">
        <f>tblTransactions[[#This Row],[Total_Amount]]-(tblTransactions[[#This Row],[Cost_Prices]]*tblTransactions[[#This Row],[Quantity]]*(1-tblTransactions[[#This Row],[Discount]]))</f>
        <v>2815.6799999999994</v>
      </c>
      <c r="N2496" s="3">
        <f>tblTransactions[[#This Row],[Profit]]/tblTransactions[[#This Row],[Total_Amount]]</f>
        <v>0.48601847632461981</v>
      </c>
      <c r="O2496" t="str">
        <f>TEXT(tblTransactions[[#This Row],[Date]], "MMM-YYYY")</f>
        <v>Jun-2024</v>
      </c>
      <c r="P2496" t="str">
        <f>"Q"&amp;ROUNDUP(MONTH(tblTransactions[[#This Row],[Date]])/3,0)&amp;"-"&amp;YEAR(tblTransactions[[#This Row],[Date]])</f>
        <v>Q2-2024</v>
      </c>
      <c r="Q2496">
        <f>YEAR(tblTransactions[[#This Row],[Date]])</f>
        <v>2024</v>
      </c>
      <c r="R2496" t="str">
        <f>TEXT(tblTransactions[[#This Row],[Date]],"DDDD")</f>
        <v>Sunday</v>
      </c>
      <c r="S2496">
        <f>MONTH(tblTransactions[[#This Row],[Date]])</f>
        <v>6</v>
      </c>
      <c r="T2496" t="str">
        <f>VLOOKUP(E2496, Products!$A:$B,2,0)</f>
        <v>Desks Fur-2</v>
      </c>
      <c r="U2496" t="str">
        <f>VLOOKUP(E2496,Products!$A:$C,3,0)</f>
        <v>Furniture</v>
      </c>
      <c r="V2496" t="str">
        <f>VLOOKUP(E2496,Products!$A:$D,4,0)</f>
        <v>Desks</v>
      </c>
      <c r="W2496" t="str">
        <f>VLOOKUP(D2496,Customers!$A:$C,3,0)</f>
        <v>Enterprise</v>
      </c>
      <c r="X2496" t="str">
        <f>VLOOKUP(C2496,Sales_Representatives!$A:$B,2,0)</f>
        <v>Jennifer Brown</v>
      </c>
    </row>
    <row r="2497" spans="1:24" x14ac:dyDescent="0.3">
      <c r="A2497" t="s">
        <v>3470</v>
      </c>
      <c r="B2497" t="s">
        <v>3469</v>
      </c>
      <c r="C2497" t="s">
        <v>27</v>
      </c>
      <c r="D2497" t="s">
        <v>228</v>
      </c>
      <c r="E2497" t="s">
        <v>29</v>
      </c>
      <c r="F2497">
        <v>6</v>
      </c>
      <c r="G2497">
        <v>1363.46</v>
      </c>
      <c r="H2497">
        <v>0.12</v>
      </c>
      <c r="I2497" s="4">
        <v>7199.07</v>
      </c>
      <c r="J2497" t="s">
        <v>16</v>
      </c>
      <c r="K2497" t="s">
        <v>48</v>
      </c>
      <c r="L2497" s="4">
        <f>VLOOKUP(tblTransactions[[#This Row],[Product_ID]],tblProducts[],5,FALSE)</f>
        <v>995.41</v>
      </c>
      <c r="M2497" s="4">
        <f>tblTransactions[[#This Row],[Total_Amount]]-(tblTransactions[[#This Row],[Cost_Prices]]*tblTransactions[[#This Row],[Quantity]]*(1-tblTransactions[[#This Row],[Discount]]))</f>
        <v>1943.3051999999998</v>
      </c>
      <c r="N2497" s="3">
        <f>tblTransactions[[#This Row],[Profit]]/tblTransactions[[#This Row],[Total_Amount]]</f>
        <v>0.26993836703907587</v>
      </c>
      <c r="O2497" t="str">
        <f>TEXT(tblTransactions[[#This Row],[Date]], "MMM-YYYY")</f>
        <v>Jun-2024</v>
      </c>
      <c r="P2497" t="str">
        <f>"Q"&amp;ROUNDUP(MONTH(tblTransactions[[#This Row],[Date]])/3,0)&amp;"-"&amp;YEAR(tblTransactions[[#This Row],[Date]])</f>
        <v>Q2-2024</v>
      </c>
      <c r="Q2497">
        <f>YEAR(tblTransactions[[#This Row],[Date]])</f>
        <v>2024</v>
      </c>
      <c r="R2497" t="str">
        <f>TEXT(tblTransactions[[#This Row],[Date]],"DDDD")</f>
        <v>Sunday</v>
      </c>
      <c r="S2497">
        <f>MONTH(tblTransactions[[#This Row],[Date]])</f>
        <v>6</v>
      </c>
      <c r="T2497" t="str">
        <f>VLOOKUP(E2497, Products!$A:$B,2,0)</f>
        <v>Phones Ele-3</v>
      </c>
      <c r="U2497" t="str">
        <f>VLOOKUP(E2497,Products!$A:$C,3,0)</f>
        <v>Electronics</v>
      </c>
      <c r="V2497" t="str">
        <f>VLOOKUP(E2497,Products!$A:$D,4,0)</f>
        <v>Phones</v>
      </c>
      <c r="W2497" t="str">
        <f>VLOOKUP(D2497,Customers!$A:$C,3,0)</f>
        <v>Small Business</v>
      </c>
      <c r="X2497" t="str">
        <f>VLOOKUP(C2497,Sales_Representatives!$A:$B,2,0)</f>
        <v>Thomas Lopez</v>
      </c>
    </row>
    <row r="2498" spans="1:24" x14ac:dyDescent="0.3">
      <c r="A2498" t="s">
        <v>3471</v>
      </c>
      <c r="B2498" t="s">
        <v>3469</v>
      </c>
      <c r="C2498" t="s">
        <v>56</v>
      </c>
      <c r="D2498" t="s">
        <v>1947</v>
      </c>
      <c r="E2498" t="s">
        <v>99</v>
      </c>
      <c r="F2498">
        <v>22</v>
      </c>
      <c r="G2498">
        <v>325.14</v>
      </c>
      <c r="H2498">
        <v>0.18</v>
      </c>
      <c r="I2498" s="4">
        <v>5865.53</v>
      </c>
      <c r="J2498" t="s">
        <v>34</v>
      </c>
      <c r="K2498" t="s">
        <v>22</v>
      </c>
      <c r="L2498" s="4">
        <f>VLOOKUP(tblTransactions[[#This Row],[Product_ID]],tblProducts[],5,FALSE)</f>
        <v>209.04</v>
      </c>
      <c r="M2498" s="4">
        <f>tblTransactions[[#This Row],[Total_Amount]]-(tblTransactions[[#This Row],[Cost_Prices]]*tblTransactions[[#This Row],[Quantity]]*(1-tblTransactions[[#This Row],[Discount]]))</f>
        <v>2094.4483999999993</v>
      </c>
      <c r="N2498" s="3">
        <f>tblTransactions[[#This Row],[Profit]]/tblTransactions[[#This Row],[Total_Amount]]</f>
        <v>0.3570774337527895</v>
      </c>
      <c r="O2498" t="str">
        <f>TEXT(tblTransactions[[#This Row],[Date]], "MMM-YYYY")</f>
        <v>Jun-2024</v>
      </c>
      <c r="P2498" t="str">
        <f>"Q"&amp;ROUNDUP(MONTH(tblTransactions[[#This Row],[Date]])/3,0)&amp;"-"&amp;YEAR(tblTransactions[[#This Row],[Date]])</f>
        <v>Q2-2024</v>
      </c>
      <c r="Q2498">
        <f>YEAR(tblTransactions[[#This Row],[Date]])</f>
        <v>2024</v>
      </c>
      <c r="R2498" t="str">
        <f>TEXT(tblTransactions[[#This Row],[Date]],"DDDD")</f>
        <v>Sunday</v>
      </c>
      <c r="S2498">
        <f>MONTH(tblTransactions[[#This Row],[Date]])</f>
        <v>6</v>
      </c>
      <c r="T2498" t="str">
        <f>VLOOKUP(E2498, Products!$A:$B,2,0)</f>
        <v>Monitors Tec-1</v>
      </c>
      <c r="U2498" t="str">
        <f>VLOOKUP(E2498,Products!$A:$C,3,0)</f>
        <v>Technology</v>
      </c>
      <c r="V2498" t="str">
        <f>VLOOKUP(E2498,Products!$A:$D,4,0)</f>
        <v>Monitors</v>
      </c>
      <c r="W2498" t="str">
        <f>VLOOKUP(D2498,Customers!$A:$C,3,0)</f>
        <v>Enterprise</v>
      </c>
      <c r="X2498" t="str">
        <f>VLOOKUP(C2498,Sales_Representatives!$A:$B,2,0)</f>
        <v>Thomas Hernandez</v>
      </c>
    </row>
    <row r="2499" spans="1:24" x14ac:dyDescent="0.3">
      <c r="A2499" t="s">
        <v>3472</v>
      </c>
      <c r="B2499" t="s">
        <v>3469</v>
      </c>
      <c r="C2499" t="s">
        <v>131</v>
      </c>
      <c r="D2499" t="s">
        <v>2065</v>
      </c>
      <c r="E2499" t="s">
        <v>152</v>
      </c>
      <c r="F2499">
        <v>7</v>
      </c>
      <c r="G2499">
        <v>859.93</v>
      </c>
      <c r="H2499">
        <v>0.11</v>
      </c>
      <c r="I2499" s="4">
        <v>5357.36</v>
      </c>
      <c r="J2499" t="s">
        <v>44</v>
      </c>
      <c r="K2499" t="s">
        <v>48</v>
      </c>
      <c r="L2499" s="4">
        <f>VLOOKUP(tblTransactions[[#This Row],[Product_ID]],tblProducts[],5,FALSE)</f>
        <v>579.79</v>
      </c>
      <c r="M2499" s="4">
        <f>tblTransactions[[#This Row],[Total_Amount]]-(tblTransactions[[#This Row],[Cost_Prices]]*tblTransactions[[#This Row],[Quantity]]*(1-tblTransactions[[#This Row],[Discount]]))</f>
        <v>1745.2682999999997</v>
      </c>
      <c r="N2499" s="3">
        <f>tblTransactions[[#This Row],[Profit]]/tblTransactions[[#This Row],[Total_Amount]]</f>
        <v>0.32577021144742929</v>
      </c>
      <c r="O2499" t="str">
        <f>TEXT(tblTransactions[[#This Row],[Date]], "MMM-YYYY")</f>
        <v>Jun-2024</v>
      </c>
      <c r="P2499" t="str">
        <f>"Q"&amp;ROUNDUP(MONTH(tblTransactions[[#This Row],[Date]])/3,0)&amp;"-"&amp;YEAR(tblTransactions[[#This Row],[Date]])</f>
        <v>Q2-2024</v>
      </c>
      <c r="Q2499">
        <f>YEAR(tblTransactions[[#This Row],[Date]])</f>
        <v>2024</v>
      </c>
      <c r="R2499" t="str">
        <f>TEXT(tblTransactions[[#This Row],[Date]],"DDDD")</f>
        <v>Sunday</v>
      </c>
      <c r="S2499">
        <f>MONTH(tblTransactions[[#This Row],[Date]])</f>
        <v>6</v>
      </c>
      <c r="T2499" t="str">
        <f>VLOOKUP(E2499, Products!$A:$B,2,0)</f>
        <v>Phones Ele-4</v>
      </c>
      <c r="U2499" t="str">
        <f>VLOOKUP(E2499,Products!$A:$C,3,0)</f>
        <v>Electronics</v>
      </c>
      <c r="V2499" t="str">
        <f>VLOOKUP(E2499,Products!$A:$D,4,0)</f>
        <v>Phones</v>
      </c>
      <c r="W2499" t="str">
        <f>VLOOKUP(D2499,Customers!$A:$C,3,0)</f>
        <v>B2B</v>
      </c>
      <c r="X2499" t="str">
        <f>VLOOKUP(C2499,Sales_Representatives!$A:$B,2,0)</f>
        <v>Michael Davis</v>
      </c>
    </row>
    <row r="2500" spans="1:24" x14ac:dyDescent="0.3">
      <c r="A2500" t="s">
        <v>3473</v>
      </c>
      <c r="B2500" t="s">
        <v>3469</v>
      </c>
      <c r="C2500" t="s">
        <v>141</v>
      </c>
      <c r="D2500" t="s">
        <v>1596</v>
      </c>
      <c r="E2500" t="s">
        <v>224</v>
      </c>
      <c r="F2500">
        <v>10</v>
      </c>
      <c r="G2500">
        <v>505.37</v>
      </c>
      <c r="H2500">
        <v>0.14000000000000001</v>
      </c>
      <c r="I2500" s="4">
        <v>4346.18</v>
      </c>
      <c r="J2500" t="s">
        <v>109</v>
      </c>
      <c r="K2500" t="s">
        <v>39</v>
      </c>
      <c r="L2500" s="4">
        <f>VLOOKUP(tblTransactions[[#This Row],[Product_ID]],tblProducts[],5,FALSE)</f>
        <v>281.14999999999998</v>
      </c>
      <c r="M2500" s="4">
        <f>tblTransactions[[#This Row],[Total_Amount]]-(tblTransactions[[#This Row],[Cost_Prices]]*tblTransactions[[#This Row],[Quantity]]*(1-tblTransactions[[#This Row],[Discount]]))</f>
        <v>1928.2900000000004</v>
      </c>
      <c r="N2500" s="3">
        <f>tblTransactions[[#This Row],[Profit]]/tblTransactions[[#This Row],[Total_Amount]]</f>
        <v>0.4436746752320429</v>
      </c>
      <c r="O2500" t="str">
        <f>TEXT(tblTransactions[[#This Row],[Date]], "MMM-YYYY")</f>
        <v>Jun-2024</v>
      </c>
      <c r="P2500" t="str">
        <f>"Q"&amp;ROUNDUP(MONTH(tblTransactions[[#This Row],[Date]])/3,0)&amp;"-"&amp;YEAR(tblTransactions[[#This Row],[Date]])</f>
        <v>Q2-2024</v>
      </c>
      <c r="Q2500">
        <f>YEAR(tblTransactions[[#This Row],[Date]])</f>
        <v>2024</v>
      </c>
      <c r="R2500" t="str">
        <f>TEXT(tblTransactions[[#This Row],[Date]],"DDDD")</f>
        <v>Sunday</v>
      </c>
      <c r="S2500">
        <f>MONTH(tblTransactions[[#This Row],[Date]])</f>
        <v>6</v>
      </c>
      <c r="T2500" t="str">
        <f>VLOOKUP(E2500, Products!$A:$B,2,0)</f>
        <v>Desks Fur-3</v>
      </c>
      <c r="U2500" t="str">
        <f>VLOOKUP(E2500,Products!$A:$C,3,0)</f>
        <v>Furniture</v>
      </c>
      <c r="V2500" t="str">
        <f>VLOOKUP(E2500,Products!$A:$D,4,0)</f>
        <v>Desks</v>
      </c>
      <c r="W2500" t="str">
        <f>VLOOKUP(D2500,Customers!$A:$C,3,0)</f>
        <v>Enterprise</v>
      </c>
      <c r="X2500" t="str">
        <f>VLOOKUP(C2500,Sales_Representatives!$A:$B,2,0)</f>
        <v>Richard Garcia</v>
      </c>
    </row>
    <row r="2501" spans="1:24" x14ac:dyDescent="0.3">
      <c r="A2501" t="s">
        <v>3474</v>
      </c>
      <c r="B2501" t="s">
        <v>3469</v>
      </c>
      <c r="C2501" t="s">
        <v>70</v>
      </c>
      <c r="D2501" t="s">
        <v>1569</v>
      </c>
      <c r="E2501" t="s">
        <v>435</v>
      </c>
      <c r="F2501">
        <v>6</v>
      </c>
      <c r="G2501">
        <v>198.72</v>
      </c>
      <c r="H2501">
        <v>7.0000000000000007E-2</v>
      </c>
      <c r="I2501" s="4">
        <v>1108.8599999999999</v>
      </c>
      <c r="J2501" t="s">
        <v>16</v>
      </c>
      <c r="K2501" t="s">
        <v>17</v>
      </c>
      <c r="L2501" s="4">
        <f>VLOOKUP(tblTransactions[[#This Row],[Product_ID]],tblProducts[],5,FALSE)</f>
        <v>116.98</v>
      </c>
      <c r="M2501" s="4">
        <f>tblTransactions[[#This Row],[Total_Amount]]-(tblTransactions[[#This Row],[Cost_Prices]]*tblTransactions[[#This Row],[Quantity]]*(1-tblTransactions[[#This Row],[Discount]]))</f>
        <v>456.11159999999995</v>
      </c>
      <c r="N2501" s="3">
        <f>tblTransactions[[#This Row],[Profit]]/tblTransactions[[#This Row],[Total_Amount]]</f>
        <v>0.4113338022834262</v>
      </c>
      <c r="O2501" t="str">
        <f>TEXT(tblTransactions[[#This Row],[Date]], "MMM-YYYY")</f>
        <v>Jun-2024</v>
      </c>
      <c r="P2501" t="str">
        <f>"Q"&amp;ROUNDUP(MONTH(tblTransactions[[#This Row],[Date]])/3,0)&amp;"-"&amp;YEAR(tblTransactions[[#This Row],[Date]])</f>
        <v>Q2-2024</v>
      </c>
      <c r="Q2501">
        <f>YEAR(tblTransactions[[#This Row],[Date]])</f>
        <v>2024</v>
      </c>
      <c r="R2501" t="str">
        <f>TEXT(tblTransactions[[#This Row],[Date]],"DDDD")</f>
        <v>Sunday</v>
      </c>
      <c r="S2501">
        <f>MONTH(tblTransactions[[#This Row],[Date]])</f>
        <v>6</v>
      </c>
      <c r="T2501" t="str">
        <f>VLOOKUP(E2501, Products!$A:$B,2,0)</f>
        <v>Paper Off-4</v>
      </c>
      <c r="U2501" t="str">
        <f>VLOOKUP(E2501,Products!$A:$C,3,0)</f>
        <v>Office Supplies</v>
      </c>
      <c r="V2501" t="str">
        <f>VLOOKUP(E2501,Products!$A:$D,4,0)</f>
        <v>Paper</v>
      </c>
      <c r="W2501" t="str">
        <f>VLOOKUP(D2501,Customers!$A:$C,3,0)</f>
        <v>Small Business</v>
      </c>
      <c r="X2501" t="str">
        <f>VLOOKUP(C2501,Sales_Representatives!$A:$B,2,0)</f>
        <v>Linda Smith</v>
      </c>
    </row>
    <row r="2502" spans="1:24" x14ac:dyDescent="0.3">
      <c r="A2502" t="s">
        <v>3475</v>
      </c>
      <c r="B2502" t="s">
        <v>3469</v>
      </c>
      <c r="C2502" t="s">
        <v>19</v>
      </c>
      <c r="D2502" t="s">
        <v>1602</v>
      </c>
      <c r="E2502" t="s">
        <v>65</v>
      </c>
      <c r="F2502">
        <v>7</v>
      </c>
      <c r="G2502">
        <v>49.44</v>
      </c>
      <c r="H2502">
        <v>0.09</v>
      </c>
      <c r="I2502" s="4">
        <v>314.93</v>
      </c>
      <c r="J2502" t="s">
        <v>21</v>
      </c>
      <c r="K2502" t="s">
        <v>35</v>
      </c>
      <c r="L2502" s="4">
        <f>VLOOKUP(tblTransactions[[#This Row],[Product_ID]],tblProducts[],5,FALSE)</f>
        <v>22.34</v>
      </c>
      <c r="M2502" s="4">
        <f>tblTransactions[[#This Row],[Total_Amount]]-(tblTransactions[[#This Row],[Cost_Prices]]*tblTransactions[[#This Row],[Quantity]]*(1-tblTransactions[[#This Row],[Discount]]))</f>
        <v>172.6242</v>
      </c>
      <c r="N2502" s="3">
        <f>tblTransactions[[#This Row],[Profit]]/tblTransactions[[#This Row],[Total_Amount]]</f>
        <v>0.54813514114247608</v>
      </c>
      <c r="O2502" t="str">
        <f>TEXT(tblTransactions[[#This Row],[Date]], "MMM-YYYY")</f>
        <v>Jun-2024</v>
      </c>
      <c r="P2502" t="str">
        <f>"Q"&amp;ROUNDUP(MONTH(tblTransactions[[#This Row],[Date]])/3,0)&amp;"-"&amp;YEAR(tblTransactions[[#This Row],[Date]])</f>
        <v>Q2-2024</v>
      </c>
      <c r="Q2502">
        <f>YEAR(tblTransactions[[#This Row],[Date]])</f>
        <v>2024</v>
      </c>
      <c r="R2502" t="str">
        <f>TEXT(tblTransactions[[#This Row],[Date]],"DDDD")</f>
        <v>Sunday</v>
      </c>
      <c r="S2502">
        <f>MONTH(tblTransactions[[#This Row],[Date]])</f>
        <v>6</v>
      </c>
      <c r="T2502" t="str">
        <f>VLOOKUP(E2502, Products!$A:$B,2,0)</f>
        <v>Folders Off-2</v>
      </c>
      <c r="U2502" t="str">
        <f>VLOOKUP(E2502,Products!$A:$C,3,0)</f>
        <v>Office Supplies</v>
      </c>
      <c r="V2502" t="str">
        <f>VLOOKUP(E2502,Products!$A:$D,4,0)</f>
        <v>Folders</v>
      </c>
      <c r="W2502" t="str">
        <f>VLOOKUP(D2502,Customers!$A:$C,3,0)</f>
        <v>B2C</v>
      </c>
      <c r="X2502" t="str">
        <f>VLOOKUP(C2502,Sales_Representatives!$A:$B,2,0)</f>
        <v>Robert Jones</v>
      </c>
    </row>
    <row r="2503" spans="1:24" x14ac:dyDescent="0.3">
      <c r="A2503" t="s">
        <v>3476</v>
      </c>
      <c r="B2503" t="s">
        <v>3469</v>
      </c>
      <c r="C2503" t="s">
        <v>56</v>
      </c>
      <c r="D2503" t="s">
        <v>1515</v>
      </c>
      <c r="E2503" t="s">
        <v>450</v>
      </c>
      <c r="F2503">
        <v>1</v>
      </c>
      <c r="G2503">
        <v>2083.92</v>
      </c>
      <c r="H2503">
        <v>0.04</v>
      </c>
      <c r="I2503" s="4">
        <v>2000.56</v>
      </c>
      <c r="J2503" t="s">
        <v>34</v>
      </c>
      <c r="K2503" t="s">
        <v>39</v>
      </c>
      <c r="L2503" s="4">
        <f>VLOOKUP(tblTransactions[[#This Row],[Product_ID]],tblProducts[],5,FALSE)</f>
        <v>1425.78</v>
      </c>
      <c r="M2503" s="4">
        <f>tblTransactions[[#This Row],[Total_Amount]]-(tblTransactions[[#This Row],[Cost_Prices]]*tblTransactions[[#This Row],[Quantity]]*(1-tblTransactions[[#This Row],[Discount]]))</f>
        <v>631.8112000000001</v>
      </c>
      <c r="N2503" s="3">
        <f>tblTransactions[[#This Row],[Profit]]/tblTransactions[[#This Row],[Total_Amount]]</f>
        <v>0.31581717119206626</v>
      </c>
      <c r="O2503" t="str">
        <f>TEXT(tblTransactions[[#This Row],[Date]], "MMM-YYYY")</f>
        <v>Jun-2024</v>
      </c>
      <c r="P2503" t="str">
        <f>"Q"&amp;ROUNDUP(MONTH(tblTransactions[[#This Row],[Date]])/3,0)&amp;"-"&amp;YEAR(tblTransactions[[#This Row],[Date]])</f>
        <v>Q2-2024</v>
      </c>
      <c r="Q2503">
        <f>YEAR(tblTransactions[[#This Row],[Date]])</f>
        <v>2024</v>
      </c>
      <c r="R2503" t="str">
        <f>TEXT(tblTransactions[[#This Row],[Date]],"DDDD")</f>
        <v>Sunday</v>
      </c>
      <c r="S2503">
        <f>MONTH(tblTransactions[[#This Row],[Date]])</f>
        <v>6</v>
      </c>
      <c r="T2503" t="str">
        <f>VLOOKUP(E2503, Products!$A:$B,2,0)</f>
        <v>Monitors Tec-4</v>
      </c>
      <c r="U2503" t="str">
        <f>VLOOKUP(E2503,Products!$A:$C,3,0)</f>
        <v>Technology</v>
      </c>
      <c r="V2503" t="str">
        <f>VLOOKUP(E2503,Products!$A:$D,4,0)</f>
        <v>Monitors</v>
      </c>
      <c r="W2503" t="str">
        <f>VLOOKUP(D2503,Customers!$A:$C,3,0)</f>
        <v>B2C</v>
      </c>
      <c r="X2503" t="str">
        <f>VLOOKUP(C2503,Sales_Representatives!$A:$B,2,0)</f>
        <v>Thomas Hernandez</v>
      </c>
    </row>
    <row r="2504" spans="1:24" x14ac:dyDescent="0.3">
      <c r="A2504" t="s">
        <v>3477</v>
      </c>
      <c r="B2504" t="s">
        <v>3478</v>
      </c>
      <c r="C2504" t="s">
        <v>63</v>
      </c>
      <c r="D2504" t="s">
        <v>2278</v>
      </c>
      <c r="E2504" t="s">
        <v>339</v>
      </c>
      <c r="F2504">
        <v>16</v>
      </c>
      <c r="G2504">
        <v>1100.8800000000001</v>
      </c>
      <c r="H2504">
        <v>0.19</v>
      </c>
      <c r="I2504" s="4">
        <v>14267.4</v>
      </c>
      <c r="J2504" t="s">
        <v>21</v>
      </c>
      <c r="K2504" t="s">
        <v>22</v>
      </c>
      <c r="L2504" s="4">
        <f>VLOOKUP(tblTransactions[[#This Row],[Product_ID]],tblProducts[],5,FALSE)</f>
        <v>761.53</v>
      </c>
      <c r="M2504" s="4">
        <f>tblTransactions[[#This Row],[Total_Amount]]-(tblTransactions[[#This Row],[Cost_Prices]]*tblTransactions[[#This Row],[Quantity]]*(1-tblTransactions[[#This Row],[Discount]]))</f>
        <v>4397.9712</v>
      </c>
      <c r="N2504" s="3">
        <f>tblTransactions[[#This Row],[Profit]]/tblTransactions[[#This Row],[Total_Amount]]</f>
        <v>0.30825316455696206</v>
      </c>
      <c r="O2504" t="str">
        <f>TEXT(tblTransactions[[#This Row],[Date]], "MMM-YYYY")</f>
        <v>Jun-2024</v>
      </c>
      <c r="P2504" t="str">
        <f>"Q"&amp;ROUNDUP(MONTH(tblTransactions[[#This Row],[Date]])/3,0)&amp;"-"&amp;YEAR(tblTransactions[[#This Row],[Date]])</f>
        <v>Q2-2024</v>
      </c>
      <c r="Q2504">
        <f>YEAR(tblTransactions[[#This Row],[Date]])</f>
        <v>2024</v>
      </c>
      <c r="R2504" t="str">
        <f>TEXT(tblTransactions[[#This Row],[Date]],"DDDD")</f>
        <v>Monday</v>
      </c>
      <c r="S2504">
        <f>MONTH(tblTransactions[[#This Row],[Date]])</f>
        <v>6</v>
      </c>
      <c r="T2504" t="str">
        <f>VLOOKUP(E2504, Products!$A:$B,2,0)</f>
        <v>Phones Ele-2</v>
      </c>
      <c r="U2504" t="str">
        <f>VLOOKUP(E2504,Products!$A:$C,3,0)</f>
        <v>Electronics</v>
      </c>
      <c r="V2504" t="str">
        <f>VLOOKUP(E2504,Products!$A:$D,4,0)</f>
        <v>Phones</v>
      </c>
      <c r="W2504" t="str">
        <f>VLOOKUP(D2504,Customers!$A:$C,3,0)</f>
        <v>B2B</v>
      </c>
      <c r="X2504" t="str">
        <f>VLOOKUP(C2504,Sales_Representatives!$A:$B,2,0)</f>
        <v>Richard Wilson</v>
      </c>
    </row>
    <row r="2505" spans="1:24" x14ac:dyDescent="0.3">
      <c r="A2505" t="s">
        <v>3479</v>
      </c>
      <c r="B2505" t="s">
        <v>3480</v>
      </c>
      <c r="C2505" t="s">
        <v>59</v>
      </c>
      <c r="D2505" t="s">
        <v>2341</v>
      </c>
      <c r="E2505" t="s">
        <v>258</v>
      </c>
      <c r="F2505">
        <v>1</v>
      </c>
      <c r="G2505">
        <v>73.33</v>
      </c>
      <c r="H2505">
        <v>7.0000000000000007E-2</v>
      </c>
      <c r="I2505" s="4">
        <v>68.2</v>
      </c>
      <c r="J2505" t="s">
        <v>21</v>
      </c>
      <c r="K2505" t="s">
        <v>35</v>
      </c>
      <c r="L2505" s="4">
        <f>VLOOKUP(tblTransactions[[#This Row],[Product_ID]],tblProducts[],5,FALSE)</f>
        <v>38.049999999999997</v>
      </c>
      <c r="M2505" s="4">
        <f>tblTransactions[[#This Row],[Total_Amount]]-(tblTransactions[[#This Row],[Cost_Prices]]*tblTransactions[[#This Row],[Quantity]]*(1-tblTransactions[[#This Row],[Discount]]))</f>
        <v>32.813500000000005</v>
      </c>
      <c r="N2505" s="3">
        <f>tblTransactions[[#This Row],[Profit]]/tblTransactions[[#This Row],[Total_Amount]]</f>
        <v>0.4811363636363637</v>
      </c>
      <c r="O2505" t="str">
        <f>TEXT(tblTransactions[[#This Row],[Date]], "MMM-YYYY")</f>
        <v>Jun-2024</v>
      </c>
      <c r="P2505" t="str">
        <f>"Q"&amp;ROUNDUP(MONTH(tblTransactions[[#This Row],[Date]])/3,0)&amp;"-"&amp;YEAR(tblTransactions[[#This Row],[Date]])</f>
        <v>Q2-2024</v>
      </c>
      <c r="Q2505">
        <f>YEAR(tblTransactions[[#This Row],[Date]])</f>
        <v>2024</v>
      </c>
      <c r="R2505" t="str">
        <f>TEXT(tblTransactions[[#This Row],[Date]],"DDDD")</f>
        <v>Tuesday</v>
      </c>
      <c r="S2505">
        <f>MONTH(tblTransactions[[#This Row],[Date]])</f>
        <v>6</v>
      </c>
      <c r="T2505" t="str">
        <f>VLOOKUP(E2505, Products!$A:$B,2,0)</f>
        <v>Keyboards Acc-3</v>
      </c>
      <c r="U2505" t="str">
        <f>VLOOKUP(E2505,Products!$A:$C,3,0)</f>
        <v>Accessories</v>
      </c>
      <c r="V2505" t="str">
        <f>VLOOKUP(E2505,Products!$A:$D,4,0)</f>
        <v>Keyboards</v>
      </c>
      <c r="W2505" t="str">
        <f>VLOOKUP(D2505,Customers!$A:$C,3,0)</f>
        <v>B2C</v>
      </c>
      <c r="X2505" t="str">
        <f>VLOOKUP(C2505,Sales_Representatives!$A:$B,2,0)</f>
        <v>Sarah Brown</v>
      </c>
    </row>
    <row r="2506" spans="1:24" x14ac:dyDescent="0.3">
      <c r="A2506" t="s">
        <v>3481</v>
      </c>
      <c r="B2506" t="s">
        <v>3480</v>
      </c>
      <c r="C2506" t="s">
        <v>59</v>
      </c>
      <c r="D2506" t="s">
        <v>2577</v>
      </c>
      <c r="E2506" t="s">
        <v>370</v>
      </c>
      <c r="F2506">
        <v>4</v>
      </c>
      <c r="G2506">
        <v>238.95</v>
      </c>
      <c r="H2506">
        <v>0.01</v>
      </c>
      <c r="I2506" s="4">
        <v>946.24</v>
      </c>
      <c r="J2506" t="s">
        <v>21</v>
      </c>
      <c r="K2506" t="s">
        <v>17</v>
      </c>
      <c r="L2506" s="4">
        <f>VLOOKUP(tblTransactions[[#This Row],[Product_ID]],tblProducts[],5,FALSE)</f>
        <v>136.6</v>
      </c>
      <c r="M2506" s="4">
        <f>tblTransactions[[#This Row],[Total_Amount]]-(tblTransactions[[#This Row],[Cost_Prices]]*tblTransactions[[#This Row],[Quantity]]*(1-tblTransactions[[#This Row],[Discount]]))</f>
        <v>405.30400000000009</v>
      </c>
      <c r="N2506" s="3">
        <f>tblTransactions[[#This Row],[Profit]]/tblTransactions[[#This Row],[Total_Amount]]</f>
        <v>0.42833107879607718</v>
      </c>
      <c r="O2506" t="str">
        <f>TEXT(tblTransactions[[#This Row],[Date]], "MMM-YYYY")</f>
        <v>Jun-2024</v>
      </c>
      <c r="P2506" t="str">
        <f>"Q"&amp;ROUNDUP(MONTH(tblTransactions[[#This Row],[Date]])/3,0)&amp;"-"&amp;YEAR(tblTransactions[[#This Row],[Date]])</f>
        <v>Q2-2024</v>
      </c>
      <c r="Q2506">
        <f>YEAR(tblTransactions[[#This Row],[Date]])</f>
        <v>2024</v>
      </c>
      <c r="R2506" t="str">
        <f>TEXT(tblTransactions[[#This Row],[Date]],"DDDD")</f>
        <v>Tuesday</v>
      </c>
      <c r="S2506">
        <f>MONTH(tblTransactions[[#This Row],[Date]])</f>
        <v>6</v>
      </c>
      <c r="T2506" t="str">
        <f>VLOOKUP(E2506, Products!$A:$B,2,0)</f>
        <v>Cables Acc-1</v>
      </c>
      <c r="U2506" t="str">
        <f>VLOOKUP(E2506,Products!$A:$C,3,0)</f>
        <v>Accessories</v>
      </c>
      <c r="V2506" t="str">
        <f>VLOOKUP(E2506,Products!$A:$D,4,0)</f>
        <v>Cables</v>
      </c>
      <c r="W2506" t="str">
        <f>VLOOKUP(D2506,Customers!$A:$C,3,0)</f>
        <v>B2C</v>
      </c>
      <c r="X2506" t="str">
        <f>VLOOKUP(C2506,Sales_Representatives!$A:$B,2,0)</f>
        <v>Sarah Brown</v>
      </c>
    </row>
    <row r="2507" spans="1:24" x14ac:dyDescent="0.3">
      <c r="A2507" t="s">
        <v>3482</v>
      </c>
      <c r="B2507" t="s">
        <v>3483</v>
      </c>
      <c r="C2507" t="s">
        <v>56</v>
      </c>
      <c r="D2507" t="s">
        <v>1776</v>
      </c>
      <c r="E2507" t="s">
        <v>224</v>
      </c>
      <c r="F2507">
        <v>6</v>
      </c>
      <c r="G2507">
        <v>505.37</v>
      </c>
      <c r="H2507">
        <v>0.12</v>
      </c>
      <c r="I2507" s="4">
        <v>2668.35</v>
      </c>
      <c r="J2507" t="s">
        <v>34</v>
      </c>
      <c r="K2507" t="s">
        <v>22</v>
      </c>
      <c r="L2507" s="4">
        <f>VLOOKUP(tblTransactions[[#This Row],[Product_ID]],tblProducts[],5,FALSE)</f>
        <v>281.14999999999998</v>
      </c>
      <c r="M2507" s="4">
        <f>tblTransactions[[#This Row],[Total_Amount]]-(tblTransactions[[#This Row],[Cost_Prices]]*tblTransactions[[#This Row],[Quantity]]*(1-tblTransactions[[#This Row],[Discount]]))</f>
        <v>1183.8779999999999</v>
      </c>
      <c r="N2507" s="3">
        <f>tblTransactions[[#This Row],[Profit]]/tblTransactions[[#This Row],[Total_Amount]]</f>
        <v>0.44367418067344988</v>
      </c>
      <c r="O2507" t="str">
        <f>TEXT(tblTransactions[[#This Row],[Date]], "MMM-YYYY")</f>
        <v>Jun-2024</v>
      </c>
      <c r="P2507" t="str">
        <f>"Q"&amp;ROUNDUP(MONTH(tblTransactions[[#This Row],[Date]])/3,0)&amp;"-"&amp;YEAR(tblTransactions[[#This Row],[Date]])</f>
        <v>Q2-2024</v>
      </c>
      <c r="Q2507">
        <f>YEAR(tblTransactions[[#This Row],[Date]])</f>
        <v>2024</v>
      </c>
      <c r="R2507" t="str">
        <f>TEXT(tblTransactions[[#This Row],[Date]],"DDDD")</f>
        <v>Wednesday</v>
      </c>
      <c r="S2507">
        <f>MONTH(tblTransactions[[#This Row],[Date]])</f>
        <v>6</v>
      </c>
      <c r="T2507" t="str">
        <f>VLOOKUP(E2507, Products!$A:$B,2,0)</f>
        <v>Desks Fur-3</v>
      </c>
      <c r="U2507" t="str">
        <f>VLOOKUP(E2507,Products!$A:$C,3,0)</f>
        <v>Furniture</v>
      </c>
      <c r="V2507" t="str">
        <f>VLOOKUP(E2507,Products!$A:$D,4,0)</f>
        <v>Desks</v>
      </c>
      <c r="W2507" t="str">
        <f>VLOOKUP(D2507,Customers!$A:$C,3,0)</f>
        <v>B2C</v>
      </c>
      <c r="X2507" t="str">
        <f>VLOOKUP(C2507,Sales_Representatives!$A:$B,2,0)</f>
        <v>Thomas Hernandez</v>
      </c>
    </row>
    <row r="2508" spans="1:24" x14ac:dyDescent="0.3">
      <c r="A2508" t="s">
        <v>3484</v>
      </c>
      <c r="B2508" t="s">
        <v>3483</v>
      </c>
      <c r="C2508" t="s">
        <v>70</v>
      </c>
      <c r="D2508" t="s">
        <v>2192</v>
      </c>
      <c r="E2508" t="s">
        <v>283</v>
      </c>
      <c r="F2508">
        <v>4</v>
      </c>
      <c r="G2508">
        <v>456.88</v>
      </c>
      <c r="H2508">
        <v>0.06</v>
      </c>
      <c r="I2508" s="4">
        <v>1717.87</v>
      </c>
      <c r="J2508" t="s">
        <v>16</v>
      </c>
      <c r="K2508" t="s">
        <v>35</v>
      </c>
      <c r="L2508" s="4">
        <f>VLOOKUP(tblTransactions[[#This Row],[Product_ID]],tblProducts[],5,FALSE)</f>
        <v>313.23</v>
      </c>
      <c r="M2508" s="4">
        <f>tblTransactions[[#This Row],[Total_Amount]]-(tblTransactions[[#This Row],[Cost_Prices]]*tblTransactions[[#This Row],[Quantity]]*(1-tblTransactions[[#This Row],[Discount]]))</f>
        <v>540.12519999999995</v>
      </c>
      <c r="N2508" s="3">
        <f>tblTransactions[[#This Row],[Profit]]/tblTransactions[[#This Row],[Total_Amount]]</f>
        <v>0.31441564262720695</v>
      </c>
      <c r="O2508" t="str">
        <f>TEXT(tblTransactions[[#This Row],[Date]], "MMM-YYYY")</f>
        <v>Jun-2024</v>
      </c>
      <c r="P2508" t="str">
        <f>"Q"&amp;ROUNDUP(MONTH(tblTransactions[[#This Row],[Date]])/3,0)&amp;"-"&amp;YEAR(tblTransactions[[#This Row],[Date]])</f>
        <v>Q2-2024</v>
      </c>
      <c r="Q2508">
        <f>YEAR(tblTransactions[[#This Row],[Date]])</f>
        <v>2024</v>
      </c>
      <c r="R2508" t="str">
        <f>TEXT(tblTransactions[[#This Row],[Date]],"DDDD")</f>
        <v>Wednesday</v>
      </c>
      <c r="S2508">
        <f>MONTH(tblTransactions[[#This Row],[Date]])</f>
        <v>6</v>
      </c>
      <c r="T2508" t="str">
        <f>VLOOKUP(E2508, Products!$A:$B,2,0)</f>
        <v>Chairs Fur-3</v>
      </c>
      <c r="U2508" t="str">
        <f>VLOOKUP(E2508,Products!$A:$C,3,0)</f>
        <v>Furniture</v>
      </c>
      <c r="V2508" t="str">
        <f>VLOOKUP(E2508,Products!$A:$D,4,0)</f>
        <v>Chairs</v>
      </c>
      <c r="W2508" t="str">
        <f>VLOOKUP(D2508,Customers!$A:$C,3,0)</f>
        <v>B2C</v>
      </c>
      <c r="X2508" t="str">
        <f>VLOOKUP(C2508,Sales_Representatives!$A:$B,2,0)</f>
        <v>Linda Smith</v>
      </c>
    </row>
    <row r="2509" spans="1:24" x14ac:dyDescent="0.3">
      <c r="A2509" t="s">
        <v>3485</v>
      </c>
      <c r="B2509" t="s">
        <v>3483</v>
      </c>
      <c r="C2509" t="s">
        <v>13</v>
      </c>
      <c r="D2509" t="s">
        <v>2224</v>
      </c>
      <c r="E2509" t="s">
        <v>129</v>
      </c>
      <c r="F2509">
        <v>7</v>
      </c>
      <c r="G2509">
        <v>1283.71</v>
      </c>
      <c r="H2509">
        <v>0.11</v>
      </c>
      <c r="I2509" s="4">
        <v>7997.51</v>
      </c>
      <c r="J2509" t="s">
        <v>16</v>
      </c>
      <c r="K2509" t="s">
        <v>39</v>
      </c>
      <c r="L2509" s="4">
        <f>VLOOKUP(tblTransactions[[#This Row],[Product_ID]],tblProducts[],5,FALSE)</f>
        <v>970.14</v>
      </c>
      <c r="M2509" s="4">
        <f>tblTransactions[[#This Row],[Total_Amount]]-(tblTransactions[[#This Row],[Cost_Prices]]*tblTransactions[[#This Row],[Quantity]]*(1-tblTransactions[[#This Row],[Discount]]))</f>
        <v>1953.537800000001</v>
      </c>
      <c r="N2509" s="3">
        <f>tblTransactions[[#This Row],[Profit]]/tblTransactions[[#This Row],[Total_Amount]]</f>
        <v>0.24426825349390008</v>
      </c>
      <c r="O2509" t="str">
        <f>TEXT(tblTransactions[[#This Row],[Date]], "MMM-YYYY")</f>
        <v>Jun-2024</v>
      </c>
      <c r="P2509" t="str">
        <f>"Q"&amp;ROUNDUP(MONTH(tblTransactions[[#This Row],[Date]])/3,0)&amp;"-"&amp;YEAR(tblTransactions[[#This Row],[Date]])</f>
        <v>Q2-2024</v>
      </c>
      <c r="Q2509">
        <f>YEAR(tblTransactions[[#This Row],[Date]])</f>
        <v>2024</v>
      </c>
      <c r="R2509" t="str">
        <f>TEXT(tblTransactions[[#This Row],[Date]],"DDDD")</f>
        <v>Wednesday</v>
      </c>
      <c r="S2509">
        <f>MONTH(tblTransactions[[#This Row],[Date]])</f>
        <v>6</v>
      </c>
      <c r="T2509" t="str">
        <f>VLOOKUP(E2509, Products!$A:$B,2,0)</f>
        <v>Cameras Ele-3</v>
      </c>
      <c r="U2509" t="str">
        <f>VLOOKUP(E2509,Products!$A:$C,3,0)</f>
        <v>Electronics</v>
      </c>
      <c r="V2509" t="str">
        <f>VLOOKUP(E2509,Products!$A:$D,4,0)</f>
        <v>Cameras</v>
      </c>
      <c r="W2509" t="str">
        <f>VLOOKUP(D2509,Customers!$A:$C,3,0)</f>
        <v>B2B</v>
      </c>
      <c r="X2509" t="str">
        <f>VLOOKUP(C2509,Sales_Representatives!$A:$B,2,0)</f>
        <v>Jennifer Rodriguez</v>
      </c>
    </row>
    <row r="2510" spans="1:24" x14ac:dyDescent="0.3">
      <c r="A2510" t="s">
        <v>3486</v>
      </c>
      <c r="B2510" t="s">
        <v>3483</v>
      </c>
      <c r="C2510" t="s">
        <v>131</v>
      </c>
      <c r="D2510" t="s">
        <v>2121</v>
      </c>
      <c r="E2510" t="s">
        <v>248</v>
      </c>
      <c r="F2510">
        <v>3</v>
      </c>
      <c r="G2510">
        <v>82.29</v>
      </c>
      <c r="H2510">
        <v>0.1</v>
      </c>
      <c r="I2510" s="4">
        <v>222.18</v>
      </c>
      <c r="J2510" t="s">
        <v>44</v>
      </c>
      <c r="K2510" t="s">
        <v>17</v>
      </c>
      <c r="L2510" s="4">
        <f>VLOOKUP(tblTransactions[[#This Row],[Product_ID]],tblProducts[],5,FALSE)</f>
        <v>51.11</v>
      </c>
      <c r="M2510" s="4">
        <f>tblTransactions[[#This Row],[Total_Amount]]-(tblTransactions[[#This Row],[Cost_Prices]]*tblTransactions[[#This Row],[Quantity]]*(1-tblTransactions[[#This Row],[Discount]]))</f>
        <v>84.183000000000021</v>
      </c>
      <c r="N2510" s="3">
        <f>tblTransactions[[#This Row],[Profit]]/tblTransactions[[#This Row],[Total_Amount]]</f>
        <v>0.37889549014312729</v>
      </c>
      <c r="O2510" t="str">
        <f>TEXT(tblTransactions[[#This Row],[Date]], "MMM-YYYY")</f>
        <v>Jun-2024</v>
      </c>
      <c r="P2510" t="str">
        <f>"Q"&amp;ROUNDUP(MONTH(tblTransactions[[#This Row],[Date]])/3,0)&amp;"-"&amp;YEAR(tblTransactions[[#This Row],[Date]])</f>
        <v>Q2-2024</v>
      </c>
      <c r="Q2510">
        <f>YEAR(tblTransactions[[#This Row],[Date]])</f>
        <v>2024</v>
      </c>
      <c r="R2510" t="str">
        <f>TEXT(tblTransactions[[#This Row],[Date]],"DDDD")</f>
        <v>Wednesday</v>
      </c>
      <c r="S2510">
        <f>MONTH(tblTransactions[[#This Row],[Date]])</f>
        <v>6</v>
      </c>
      <c r="T2510" t="str">
        <f>VLOOKUP(E2510, Products!$A:$B,2,0)</f>
        <v>Keyboards Acc-2</v>
      </c>
      <c r="U2510" t="str">
        <f>VLOOKUP(E2510,Products!$A:$C,3,0)</f>
        <v>Accessories</v>
      </c>
      <c r="V2510" t="str">
        <f>VLOOKUP(E2510,Products!$A:$D,4,0)</f>
        <v>Keyboards</v>
      </c>
      <c r="W2510" t="str">
        <f>VLOOKUP(D2510,Customers!$A:$C,3,0)</f>
        <v>B2C</v>
      </c>
      <c r="X2510" t="str">
        <f>VLOOKUP(C2510,Sales_Representatives!$A:$B,2,0)</f>
        <v>Michael Davis</v>
      </c>
    </row>
    <row r="2511" spans="1:24" x14ac:dyDescent="0.3">
      <c r="A2511" t="s">
        <v>3487</v>
      </c>
      <c r="B2511" t="s">
        <v>3483</v>
      </c>
      <c r="C2511" t="s">
        <v>82</v>
      </c>
      <c r="D2511" t="s">
        <v>216</v>
      </c>
      <c r="E2511" t="s">
        <v>68</v>
      </c>
      <c r="F2511">
        <v>1</v>
      </c>
      <c r="G2511">
        <v>522.63</v>
      </c>
      <c r="H2511">
        <v>0.06</v>
      </c>
      <c r="I2511" s="4">
        <v>491.27</v>
      </c>
      <c r="J2511" t="s">
        <v>34</v>
      </c>
      <c r="K2511" t="s">
        <v>48</v>
      </c>
      <c r="L2511" s="4">
        <f>VLOOKUP(tblTransactions[[#This Row],[Product_ID]],tblProducts[],5,FALSE)</f>
        <v>355.82</v>
      </c>
      <c r="M2511" s="4">
        <f>tblTransactions[[#This Row],[Total_Amount]]-(tblTransactions[[#This Row],[Cost_Prices]]*tblTransactions[[#This Row],[Quantity]]*(1-tblTransactions[[#This Row],[Discount]]))</f>
        <v>156.79919999999998</v>
      </c>
      <c r="N2511" s="3">
        <f>tblTransactions[[#This Row],[Profit]]/tblTransactions[[#This Row],[Total_Amount]]</f>
        <v>0.319171127893012</v>
      </c>
      <c r="O2511" t="str">
        <f>TEXT(tblTransactions[[#This Row],[Date]], "MMM-YYYY")</f>
        <v>Jun-2024</v>
      </c>
      <c r="P2511" t="str">
        <f>"Q"&amp;ROUNDUP(MONTH(tblTransactions[[#This Row],[Date]])/3,0)&amp;"-"&amp;YEAR(tblTransactions[[#This Row],[Date]])</f>
        <v>Q2-2024</v>
      </c>
      <c r="Q2511">
        <f>YEAR(tblTransactions[[#This Row],[Date]])</f>
        <v>2024</v>
      </c>
      <c r="R2511" t="str">
        <f>TEXT(tblTransactions[[#This Row],[Date]],"DDDD")</f>
        <v>Wednesday</v>
      </c>
      <c r="S2511">
        <f>MONTH(tblTransactions[[#This Row],[Date]])</f>
        <v>6</v>
      </c>
      <c r="T2511" t="str">
        <f>VLOOKUP(E2511, Products!$A:$B,2,0)</f>
        <v>Monitors Tec-3</v>
      </c>
      <c r="U2511" t="str">
        <f>VLOOKUP(E2511,Products!$A:$C,3,0)</f>
        <v>Technology</v>
      </c>
      <c r="V2511" t="str">
        <f>VLOOKUP(E2511,Products!$A:$D,4,0)</f>
        <v>Monitors</v>
      </c>
      <c r="W2511" t="str">
        <f>VLOOKUP(D2511,Customers!$A:$C,3,0)</f>
        <v>Small Business</v>
      </c>
      <c r="X2511" t="str">
        <f>VLOOKUP(C2511,Sales_Representatives!$A:$B,2,0)</f>
        <v>John Brown</v>
      </c>
    </row>
    <row r="2512" spans="1:24" x14ac:dyDescent="0.3">
      <c r="A2512" t="s">
        <v>3488</v>
      </c>
      <c r="B2512" t="s">
        <v>3483</v>
      </c>
      <c r="C2512" t="s">
        <v>41</v>
      </c>
      <c r="D2512" t="s">
        <v>1961</v>
      </c>
      <c r="E2512" t="s">
        <v>324</v>
      </c>
      <c r="F2512">
        <v>14</v>
      </c>
      <c r="G2512">
        <v>245.76</v>
      </c>
      <c r="H2512">
        <v>0.19</v>
      </c>
      <c r="I2512" s="4">
        <v>2786.92</v>
      </c>
      <c r="J2512" t="s">
        <v>44</v>
      </c>
      <c r="K2512" t="s">
        <v>48</v>
      </c>
      <c r="L2512" s="4">
        <f>VLOOKUP(tblTransactions[[#This Row],[Product_ID]],tblProducts[],5,FALSE)</f>
        <v>161.94</v>
      </c>
      <c r="M2512" s="4">
        <f>tblTransactions[[#This Row],[Total_Amount]]-(tblTransactions[[#This Row],[Cost_Prices]]*tblTransactions[[#This Row],[Quantity]]*(1-tblTransactions[[#This Row],[Discount]]))</f>
        <v>950.52040000000011</v>
      </c>
      <c r="N2512" s="3">
        <f>tblTransactions[[#This Row],[Profit]]/tblTransactions[[#This Row],[Total_Amount]]</f>
        <v>0.3410648314268081</v>
      </c>
      <c r="O2512" t="str">
        <f>TEXT(tblTransactions[[#This Row],[Date]], "MMM-YYYY")</f>
        <v>Jun-2024</v>
      </c>
      <c r="P2512" t="str">
        <f>"Q"&amp;ROUNDUP(MONTH(tblTransactions[[#This Row],[Date]])/3,0)&amp;"-"&amp;YEAR(tblTransactions[[#This Row],[Date]])</f>
        <v>Q2-2024</v>
      </c>
      <c r="Q2512">
        <f>YEAR(tblTransactions[[#This Row],[Date]])</f>
        <v>2024</v>
      </c>
      <c r="R2512" t="str">
        <f>TEXT(tblTransactions[[#This Row],[Date]],"DDDD")</f>
        <v>Wednesday</v>
      </c>
      <c r="S2512">
        <f>MONTH(tblTransactions[[#This Row],[Date]])</f>
        <v>6</v>
      </c>
      <c r="T2512" t="str">
        <f>VLOOKUP(E2512, Products!$A:$B,2,0)</f>
        <v>Storage Fur-1</v>
      </c>
      <c r="U2512" t="str">
        <f>VLOOKUP(E2512,Products!$A:$C,3,0)</f>
        <v>Furniture</v>
      </c>
      <c r="V2512" t="str">
        <f>VLOOKUP(E2512,Products!$A:$D,4,0)</f>
        <v>Storage</v>
      </c>
      <c r="W2512" t="str">
        <f>VLOOKUP(D2512,Customers!$A:$C,3,0)</f>
        <v>B2B</v>
      </c>
      <c r="X2512" t="str">
        <f>VLOOKUP(C2512,Sales_Representatives!$A:$B,2,0)</f>
        <v>Robert Jones</v>
      </c>
    </row>
    <row r="2513" spans="1:24" x14ac:dyDescent="0.3">
      <c r="A2513" t="s">
        <v>3489</v>
      </c>
      <c r="B2513" t="s">
        <v>3483</v>
      </c>
      <c r="C2513" t="s">
        <v>59</v>
      </c>
      <c r="D2513" t="s">
        <v>1441</v>
      </c>
      <c r="E2513" t="s">
        <v>200</v>
      </c>
      <c r="F2513">
        <v>5</v>
      </c>
      <c r="G2513">
        <v>544.77</v>
      </c>
      <c r="H2513">
        <v>0.03</v>
      </c>
      <c r="I2513" s="4">
        <v>2642.13</v>
      </c>
      <c r="J2513" t="s">
        <v>21</v>
      </c>
      <c r="K2513" t="s">
        <v>22</v>
      </c>
      <c r="L2513" s="4">
        <f>VLOOKUP(tblTransactions[[#This Row],[Product_ID]],tblProducts[],5,FALSE)</f>
        <v>318.2</v>
      </c>
      <c r="M2513" s="4">
        <f>tblTransactions[[#This Row],[Total_Amount]]-(tblTransactions[[#This Row],[Cost_Prices]]*tblTransactions[[#This Row],[Quantity]]*(1-tblTransactions[[#This Row],[Discount]]))</f>
        <v>1098.8600000000001</v>
      </c>
      <c r="N2513" s="3">
        <f>tblTransactions[[#This Row],[Profit]]/tblTransactions[[#This Row],[Total_Amount]]</f>
        <v>0.41589929337314974</v>
      </c>
      <c r="O2513" t="str">
        <f>TEXT(tblTransactions[[#This Row],[Date]], "MMM-YYYY")</f>
        <v>Jun-2024</v>
      </c>
      <c r="P2513" t="str">
        <f>"Q"&amp;ROUNDUP(MONTH(tblTransactions[[#This Row],[Date]])/3,0)&amp;"-"&amp;YEAR(tblTransactions[[#This Row],[Date]])</f>
        <v>Q2-2024</v>
      </c>
      <c r="Q2513">
        <f>YEAR(tblTransactions[[#This Row],[Date]])</f>
        <v>2024</v>
      </c>
      <c r="R2513" t="str">
        <f>TEXT(tblTransactions[[#This Row],[Date]],"DDDD")</f>
        <v>Wednesday</v>
      </c>
      <c r="S2513">
        <f>MONTH(tblTransactions[[#This Row],[Date]])</f>
        <v>6</v>
      </c>
      <c r="T2513" t="str">
        <f>VLOOKUP(E2513, Products!$A:$B,2,0)</f>
        <v>Desks Fur-4</v>
      </c>
      <c r="U2513" t="str">
        <f>VLOOKUP(E2513,Products!$A:$C,3,0)</f>
        <v>Furniture</v>
      </c>
      <c r="V2513" t="str">
        <f>VLOOKUP(E2513,Products!$A:$D,4,0)</f>
        <v>Desks</v>
      </c>
      <c r="W2513" t="str">
        <f>VLOOKUP(D2513,Customers!$A:$C,3,0)</f>
        <v>Small Business</v>
      </c>
      <c r="X2513" t="str">
        <f>VLOOKUP(C2513,Sales_Representatives!$A:$B,2,0)</f>
        <v>Sarah Brown</v>
      </c>
    </row>
    <row r="2514" spans="1:24" x14ac:dyDescent="0.3">
      <c r="A2514" t="s">
        <v>3490</v>
      </c>
      <c r="B2514" t="s">
        <v>3491</v>
      </c>
      <c r="C2514" t="s">
        <v>27</v>
      </c>
      <c r="D2514" t="s">
        <v>2449</v>
      </c>
      <c r="E2514" t="s">
        <v>290</v>
      </c>
      <c r="F2514">
        <v>13</v>
      </c>
      <c r="G2514">
        <v>729.32</v>
      </c>
      <c r="H2514">
        <v>0.14000000000000001</v>
      </c>
      <c r="I2514" s="4">
        <v>8153.8</v>
      </c>
      <c r="J2514" t="s">
        <v>16</v>
      </c>
      <c r="K2514" t="s">
        <v>48</v>
      </c>
      <c r="L2514" s="4">
        <f>VLOOKUP(tblTransactions[[#This Row],[Product_ID]],tblProducts[],5,FALSE)</f>
        <v>482.7</v>
      </c>
      <c r="M2514" s="4">
        <f>tblTransactions[[#This Row],[Total_Amount]]-(tblTransactions[[#This Row],[Cost_Prices]]*tblTransactions[[#This Row],[Quantity]]*(1-tblTransactions[[#This Row],[Discount]]))</f>
        <v>2757.2140000000009</v>
      </c>
      <c r="N2514" s="3">
        <f>tblTransactions[[#This Row],[Profit]]/tblTransactions[[#This Row],[Total_Amount]]</f>
        <v>0.33815080085358984</v>
      </c>
      <c r="O2514" t="str">
        <f>TEXT(tblTransactions[[#This Row],[Date]], "MMM-YYYY")</f>
        <v>Jun-2024</v>
      </c>
      <c r="P2514" t="str">
        <f>"Q"&amp;ROUNDUP(MONTH(tblTransactions[[#This Row],[Date]])/3,0)&amp;"-"&amp;YEAR(tblTransactions[[#This Row],[Date]])</f>
        <v>Q2-2024</v>
      </c>
      <c r="Q2514">
        <f>YEAR(tblTransactions[[#This Row],[Date]])</f>
        <v>2024</v>
      </c>
      <c r="R2514" t="str">
        <f>TEXT(tblTransactions[[#This Row],[Date]],"DDDD")</f>
        <v>Thursday</v>
      </c>
      <c r="S2514">
        <f>MONTH(tblTransactions[[#This Row],[Date]])</f>
        <v>6</v>
      </c>
      <c r="T2514" t="str">
        <f>VLOOKUP(E2514, Products!$A:$B,2,0)</f>
        <v>Tables Fur-1</v>
      </c>
      <c r="U2514" t="str">
        <f>VLOOKUP(E2514,Products!$A:$C,3,0)</f>
        <v>Furniture</v>
      </c>
      <c r="V2514" t="str">
        <f>VLOOKUP(E2514,Products!$A:$D,4,0)</f>
        <v>Tables</v>
      </c>
      <c r="W2514" t="str">
        <f>VLOOKUP(D2514,Customers!$A:$C,3,0)</f>
        <v>B2B</v>
      </c>
      <c r="X2514" t="str">
        <f>VLOOKUP(C2514,Sales_Representatives!$A:$B,2,0)</f>
        <v>Thomas Lopez</v>
      </c>
    </row>
    <row r="2515" spans="1:24" x14ac:dyDescent="0.3">
      <c r="A2515" t="s">
        <v>3492</v>
      </c>
      <c r="B2515" t="s">
        <v>3491</v>
      </c>
      <c r="C2515" t="s">
        <v>82</v>
      </c>
      <c r="D2515" t="s">
        <v>2206</v>
      </c>
      <c r="E2515" t="s">
        <v>38</v>
      </c>
      <c r="F2515">
        <v>7</v>
      </c>
      <c r="G2515">
        <v>581.47</v>
      </c>
      <c r="H2515">
        <v>0.08</v>
      </c>
      <c r="I2515" s="4">
        <v>3744.67</v>
      </c>
      <c r="J2515" t="s">
        <v>34</v>
      </c>
      <c r="K2515" t="s">
        <v>35</v>
      </c>
      <c r="L2515" s="4">
        <f>VLOOKUP(tblTransactions[[#This Row],[Product_ID]],tblProducts[],5,FALSE)</f>
        <v>372.07</v>
      </c>
      <c r="M2515" s="4">
        <f>tblTransactions[[#This Row],[Total_Amount]]-(tblTransactions[[#This Row],[Cost_Prices]]*tblTransactions[[#This Row],[Quantity]]*(1-tblTransactions[[#This Row],[Discount]]))</f>
        <v>1348.5392000000002</v>
      </c>
      <c r="N2515" s="3">
        <f>tblTransactions[[#This Row],[Profit]]/tblTransactions[[#This Row],[Total_Amount]]</f>
        <v>0.36012230717259469</v>
      </c>
      <c r="O2515" t="str">
        <f>TEXT(tblTransactions[[#This Row],[Date]], "MMM-YYYY")</f>
        <v>Jun-2024</v>
      </c>
      <c r="P2515" t="str">
        <f>"Q"&amp;ROUNDUP(MONTH(tblTransactions[[#This Row],[Date]])/3,0)&amp;"-"&amp;YEAR(tblTransactions[[#This Row],[Date]])</f>
        <v>Q2-2024</v>
      </c>
      <c r="Q2515">
        <f>YEAR(tblTransactions[[#This Row],[Date]])</f>
        <v>2024</v>
      </c>
      <c r="R2515" t="str">
        <f>TEXT(tblTransactions[[#This Row],[Date]],"DDDD")</f>
        <v>Thursday</v>
      </c>
      <c r="S2515">
        <f>MONTH(tblTransactions[[#This Row],[Date]])</f>
        <v>6</v>
      </c>
      <c r="T2515" t="str">
        <f>VLOOKUP(E2515, Products!$A:$B,2,0)</f>
        <v>Storage Fur-3</v>
      </c>
      <c r="U2515" t="str">
        <f>VLOOKUP(E2515,Products!$A:$C,3,0)</f>
        <v>Furniture</v>
      </c>
      <c r="V2515" t="str">
        <f>VLOOKUP(E2515,Products!$A:$D,4,0)</f>
        <v>Storage</v>
      </c>
      <c r="W2515" t="str">
        <f>VLOOKUP(D2515,Customers!$A:$C,3,0)</f>
        <v>B2C</v>
      </c>
      <c r="X2515" t="str">
        <f>VLOOKUP(C2515,Sales_Representatives!$A:$B,2,0)</f>
        <v>John Brown</v>
      </c>
    </row>
    <row r="2516" spans="1:24" x14ac:dyDescent="0.3">
      <c r="A2516" t="s">
        <v>3493</v>
      </c>
      <c r="B2516" t="s">
        <v>3491</v>
      </c>
      <c r="C2516" t="s">
        <v>131</v>
      </c>
      <c r="D2516" t="s">
        <v>2102</v>
      </c>
      <c r="E2516" t="s">
        <v>91</v>
      </c>
      <c r="F2516">
        <v>1</v>
      </c>
      <c r="G2516">
        <v>286.62</v>
      </c>
      <c r="H2516">
        <v>0.1</v>
      </c>
      <c r="I2516" s="4">
        <v>257.95999999999998</v>
      </c>
      <c r="J2516" t="s">
        <v>44</v>
      </c>
      <c r="K2516" t="s">
        <v>17</v>
      </c>
      <c r="L2516" s="4">
        <f>VLOOKUP(tblTransactions[[#This Row],[Product_ID]],tblProducts[],5,FALSE)</f>
        <v>145.54</v>
      </c>
      <c r="M2516" s="4">
        <f>tblTransactions[[#This Row],[Total_Amount]]-(tblTransactions[[#This Row],[Cost_Prices]]*tblTransactions[[#This Row],[Quantity]]*(1-tblTransactions[[#This Row],[Discount]]))</f>
        <v>126.97399999999999</v>
      </c>
      <c r="N2516" s="3">
        <f>tblTransactions[[#This Row],[Profit]]/tblTransactions[[#This Row],[Total_Amount]]</f>
        <v>0.49222360055822606</v>
      </c>
      <c r="O2516" t="str">
        <f>TEXT(tblTransactions[[#This Row],[Date]], "MMM-YYYY")</f>
        <v>Jun-2024</v>
      </c>
      <c r="P2516" t="str">
        <f>"Q"&amp;ROUNDUP(MONTH(tblTransactions[[#This Row],[Date]])/3,0)&amp;"-"&amp;YEAR(tblTransactions[[#This Row],[Date]])</f>
        <v>Q2-2024</v>
      </c>
      <c r="Q2516">
        <f>YEAR(tblTransactions[[#This Row],[Date]])</f>
        <v>2024</v>
      </c>
      <c r="R2516" t="str">
        <f>TEXT(tblTransactions[[#This Row],[Date]],"DDDD")</f>
        <v>Thursday</v>
      </c>
      <c r="S2516">
        <f>MONTH(tblTransactions[[#This Row],[Date]])</f>
        <v>6</v>
      </c>
      <c r="T2516" t="str">
        <f>VLOOKUP(E2516, Products!$A:$B,2,0)</f>
        <v>Chairs Fur-1</v>
      </c>
      <c r="U2516" t="str">
        <f>VLOOKUP(E2516,Products!$A:$C,3,0)</f>
        <v>Furniture</v>
      </c>
      <c r="V2516" t="str">
        <f>VLOOKUP(E2516,Products!$A:$D,4,0)</f>
        <v>Chairs</v>
      </c>
      <c r="W2516" t="str">
        <f>VLOOKUP(D2516,Customers!$A:$C,3,0)</f>
        <v>B2C</v>
      </c>
      <c r="X2516" t="str">
        <f>VLOOKUP(C2516,Sales_Representatives!$A:$B,2,0)</f>
        <v>Michael Davis</v>
      </c>
    </row>
    <row r="2517" spans="1:24" x14ac:dyDescent="0.3">
      <c r="A2517" t="s">
        <v>3494</v>
      </c>
      <c r="B2517" t="s">
        <v>3491</v>
      </c>
      <c r="C2517" t="s">
        <v>63</v>
      </c>
      <c r="D2517" t="s">
        <v>2594</v>
      </c>
      <c r="E2517" t="s">
        <v>224</v>
      </c>
      <c r="F2517">
        <v>16</v>
      </c>
      <c r="G2517">
        <v>505.37</v>
      </c>
      <c r="H2517">
        <v>0.12</v>
      </c>
      <c r="I2517" s="4">
        <v>7115.61</v>
      </c>
      <c r="J2517" t="s">
        <v>21</v>
      </c>
      <c r="K2517" t="s">
        <v>22</v>
      </c>
      <c r="L2517" s="4">
        <f>VLOOKUP(tblTransactions[[#This Row],[Product_ID]],tblProducts[],5,FALSE)</f>
        <v>281.14999999999998</v>
      </c>
      <c r="M2517" s="4">
        <f>tblTransactions[[#This Row],[Total_Amount]]-(tblTransactions[[#This Row],[Cost_Prices]]*tblTransactions[[#This Row],[Quantity]]*(1-tblTransactions[[#This Row],[Discount]]))</f>
        <v>3157.018</v>
      </c>
      <c r="N2517" s="3">
        <f>tblTransactions[[#This Row],[Profit]]/tblTransactions[[#This Row],[Total_Amount]]</f>
        <v>0.44367496251199828</v>
      </c>
      <c r="O2517" t="str">
        <f>TEXT(tblTransactions[[#This Row],[Date]], "MMM-YYYY")</f>
        <v>Jun-2024</v>
      </c>
      <c r="P2517" t="str">
        <f>"Q"&amp;ROUNDUP(MONTH(tblTransactions[[#This Row],[Date]])/3,0)&amp;"-"&amp;YEAR(tblTransactions[[#This Row],[Date]])</f>
        <v>Q2-2024</v>
      </c>
      <c r="Q2517">
        <f>YEAR(tblTransactions[[#This Row],[Date]])</f>
        <v>2024</v>
      </c>
      <c r="R2517" t="str">
        <f>TEXT(tblTransactions[[#This Row],[Date]],"DDDD")</f>
        <v>Thursday</v>
      </c>
      <c r="S2517">
        <f>MONTH(tblTransactions[[#This Row],[Date]])</f>
        <v>6</v>
      </c>
      <c r="T2517" t="str">
        <f>VLOOKUP(E2517, Products!$A:$B,2,0)</f>
        <v>Desks Fur-3</v>
      </c>
      <c r="U2517" t="str">
        <f>VLOOKUP(E2517,Products!$A:$C,3,0)</f>
        <v>Furniture</v>
      </c>
      <c r="V2517" t="str">
        <f>VLOOKUP(E2517,Products!$A:$D,4,0)</f>
        <v>Desks</v>
      </c>
      <c r="W2517" t="str">
        <f>VLOOKUP(D2517,Customers!$A:$C,3,0)</f>
        <v>B2B</v>
      </c>
      <c r="X2517" t="str">
        <f>VLOOKUP(C2517,Sales_Representatives!$A:$B,2,0)</f>
        <v>Richard Wilson</v>
      </c>
    </row>
    <row r="2518" spans="1:24" x14ac:dyDescent="0.3">
      <c r="A2518" t="s">
        <v>3495</v>
      </c>
      <c r="B2518" t="s">
        <v>3491</v>
      </c>
      <c r="C2518" t="s">
        <v>13</v>
      </c>
      <c r="D2518" t="s">
        <v>1451</v>
      </c>
      <c r="E2518" t="s">
        <v>221</v>
      </c>
      <c r="F2518">
        <v>6</v>
      </c>
      <c r="G2518">
        <v>210.02</v>
      </c>
      <c r="H2518">
        <v>0.05</v>
      </c>
      <c r="I2518" s="4">
        <v>1197.1099999999999</v>
      </c>
      <c r="J2518" t="s">
        <v>16</v>
      </c>
      <c r="K2518" t="s">
        <v>22</v>
      </c>
      <c r="L2518" s="4">
        <f>VLOOKUP(tblTransactions[[#This Row],[Product_ID]],tblProducts[],5,FALSE)</f>
        <v>131.66</v>
      </c>
      <c r="M2518" s="4">
        <f>tblTransactions[[#This Row],[Total_Amount]]-(tblTransactions[[#This Row],[Cost_Prices]]*tblTransactions[[#This Row],[Quantity]]*(1-tblTransactions[[#This Row],[Discount]]))</f>
        <v>446.64799999999991</v>
      </c>
      <c r="N2518" s="3">
        <f>tblTransactions[[#This Row],[Profit]]/tblTransactions[[#This Row],[Total_Amount]]</f>
        <v>0.37310522842512378</v>
      </c>
      <c r="O2518" t="str">
        <f>TEXT(tblTransactions[[#This Row],[Date]], "MMM-YYYY")</f>
        <v>Jun-2024</v>
      </c>
      <c r="P2518" t="str">
        <f>"Q"&amp;ROUNDUP(MONTH(tblTransactions[[#This Row],[Date]])/3,0)&amp;"-"&amp;YEAR(tblTransactions[[#This Row],[Date]])</f>
        <v>Q2-2024</v>
      </c>
      <c r="Q2518">
        <f>YEAR(tblTransactions[[#This Row],[Date]])</f>
        <v>2024</v>
      </c>
      <c r="R2518" t="str">
        <f>TEXT(tblTransactions[[#This Row],[Date]],"DDDD")</f>
        <v>Thursday</v>
      </c>
      <c r="S2518">
        <f>MONTH(tblTransactions[[#This Row],[Date]])</f>
        <v>6</v>
      </c>
      <c r="T2518" t="str">
        <f>VLOOKUP(E2518, Products!$A:$B,2,0)</f>
        <v>Storage Fur-2</v>
      </c>
      <c r="U2518" t="str">
        <f>VLOOKUP(E2518,Products!$A:$C,3,0)</f>
        <v>Furniture</v>
      </c>
      <c r="V2518" t="str">
        <f>VLOOKUP(E2518,Products!$A:$D,4,0)</f>
        <v>Storage</v>
      </c>
      <c r="W2518" t="str">
        <f>VLOOKUP(D2518,Customers!$A:$C,3,0)</f>
        <v>B2B</v>
      </c>
      <c r="X2518" t="str">
        <f>VLOOKUP(C2518,Sales_Representatives!$A:$B,2,0)</f>
        <v>Jennifer Rodriguez</v>
      </c>
    </row>
    <row r="2519" spans="1:24" x14ac:dyDescent="0.3">
      <c r="A2519" t="s">
        <v>3496</v>
      </c>
      <c r="B2519" t="s">
        <v>3491</v>
      </c>
      <c r="C2519" t="s">
        <v>131</v>
      </c>
      <c r="D2519" t="s">
        <v>1515</v>
      </c>
      <c r="E2519" t="s">
        <v>168</v>
      </c>
      <c r="F2519">
        <v>4</v>
      </c>
      <c r="G2519">
        <v>101.59</v>
      </c>
      <c r="H2519">
        <v>0.09</v>
      </c>
      <c r="I2519" s="4">
        <v>369.79</v>
      </c>
      <c r="J2519" t="s">
        <v>44</v>
      </c>
      <c r="K2519" t="s">
        <v>35</v>
      </c>
      <c r="L2519" s="4">
        <f>VLOOKUP(tblTransactions[[#This Row],[Product_ID]],tblProducts[],5,FALSE)</f>
        <v>50.58</v>
      </c>
      <c r="M2519" s="4">
        <f>tblTransactions[[#This Row],[Total_Amount]]-(tblTransactions[[#This Row],[Cost_Prices]]*tblTransactions[[#This Row],[Quantity]]*(1-tblTransactions[[#This Row],[Discount]]))</f>
        <v>185.67880000000002</v>
      </c>
      <c r="N2519" s="3">
        <f>tblTransactions[[#This Row],[Profit]]/tblTransactions[[#This Row],[Total_Amount]]</f>
        <v>0.50211958138402879</v>
      </c>
      <c r="O2519" t="str">
        <f>TEXT(tblTransactions[[#This Row],[Date]], "MMM-YYYY")</f>
        <v>Jun-2024</v>
      </c>
      <c r="P2519" t="str">
        <f>"Q"&amp;ROUNDUP(MONTH(tblTransactions[[#This Row],[Date]])/3,0)&amp;"-"&amp;YEAR(tblTransactions[[#This Row],[Date]])</f>
        <v>Q2-2024</v>
      </c>
      <c r="Q2519">
        <f>YEAR(tblTransactions[[#This Row],[Date]])</f>
        <v>2024</v>
      </c>
      <c r="R2519" t="str">
        <f>TEXT(tblTransactions[[#This Row],[Date]],"DDDD")</f>
        <v>Thursday</v>
      </c>
      <c r="S2519">
        <f>MONTH(tblTransactions[[#This Row],[Date]])</f>
        <v>6</v>
      </c>
      <c r="T2519" t="str">
        <f>VLOOKUP(E2519, Products!$A:$B,2,0)</f>
        <v>Cases Acc-4</v>
      </c>
      <c r="U2519" t="str">
        <f>VLOOKUP(E2519,Products!$A:$C,3,0)</f>
        <v>Accessories</v>
      </c>
      <c r="V2519" t="str">
        <f>VLOOKUP(E2519,Products!$A:$D,4,0)</f>
        <v>Cases</v>
      </c>
      <c r="W2519" t="str">
        <f>VLOOKUP(D2519,Customers!$A:$C,3,0)</f>
        <v>B2C</v>
      </c>
      <c r="X2519" t="str">
        <f>VLOOKUP(C2519,Sales_Representatives!$A:$B,2,0)</f>
        <v>Michael Davis</v>
      </c>
    </row>
    <row r="2520" spans="1:24" x14ac:dyDescent="0.3">
      <c r="A2520" t="s">
        <v>3497</v>
      </c>
      <c r="B2520" t="s">
        <v>3491</v>
      </c>
      <c r="C2520" t="s">
        <v>131</v>
      </c>
      <c r="D2520" t="s">
        <v>1906</v>
      </c>
      <c r="E2520" t="s">
        <v>99</v>
      </c>
      <c r="F2520">
        <v>7</v>
      </c>
      <c r="G2520">
        <v>325.14</v>
      </c>
      <c r="H2520">
        <v>0.09</v>
      </c>
      <c r="I2520" s="4">
        <v>2071.14</v>
      </c>
      <c r="J2520" t="s">
        <v>44</v>
      </c>
      <c r="K2520" t="s">
        <v>17</v>
      </c>
      <c r="L2520" s="4">
        <f>VLOOKUP(tblTransactions[[#This Row],[Product_ID]],tblProducts[],5,FALSE)</f>
        <v>209.04</v>
      </c>
      <c r="M2520" s="4">
        <f>tblTransactions[[#This Row],[Total_Amount]]-(tblTransactions[[#This Row],[Cost_Prices]]*tblTransactions[[#This Row],[Quantity]]*(1-tblTransactions[[#This Row],[Discount]]))</f>
        <v>739.55519999999979</v>
      </c>
      <c r="N2520" s="3">
        <f>tblTransactions[[#This Row],[Profit]]/tblTransactions[[#This Row],[Total_Amount]]</f>
        <v>0.3570763927112604</v>
      </c>
      <c r="O2520" t="str">
        <f>TEXT(tblTransactions[[#This Row],[Date]], "MMM-YYYY")</f>
        <v>Jun-2024</v>
      </c>
      <c r="P2520" t="str">
        <f>"Q"&amp;ROUNDUP(MONTH(tblTransactions[[#This Row],[Date]])/3,0)&amp;"-"&amp;YEAR(tblTransactions[[#This Row],[Date]])</f>
        <v>Q2-2024</v>
      </c>
      <c r="Q2520">
        <f>YEAR(tblTransactions[[#This Row],[Date]])</f>
        <v>2024</v>
      </c>
      <c r="R2520" t="str">
        <f>TEXT(tblTransactions[[#This Row],[Date]],"DDDD")</f>
        <v>Thursday</v>
      </c>
      <c r="S2520">
        <f>MONTH(tblTransactions[[#This Row],[Date]])</f>
        <v>6</v>
      </c>
      <c r="T2520" t="str">
        <f>VLOOKUP(E2520, Products!$A:$B,2,0)</f>
        <v>Monitors Tec-1</v>
      </c>
      <c r="U2520" t="str">
        <f>VLOOKUP(E2520,Products!$A:$C,3,0)</f>
        <v>Technology</v>
      </c>
      <c r="V2520" t="str">
        <f>VLOOKUP(E2520,Products!$A:$D,4,0)</f>
        <v>Monitors</v>
      </c>
      <c r="W2520" t="str">
        <f>VLOOKUP(D2520,Customers!$A:$C,3,0)</f>
        <v>B2B</v>
      </c>
      <c r="X2520" t="str">
        <f>VLOOKUP(C2520,Sales_Representatives!$A:$B,2,0)</f>
        <v>Michael Davis</v>
      </c>
    </row>
    <row r="2521" spans="1:24" x14ac:dyDescent="0.3">
      <c r="A2521" t="s">
        <v>3498</v>
      </c>
      <c r="B2521" t="s">
        <v>3491</v>
      </c>
      <c r="C2521" t="s">
        <v>70</v>
      </c>
      <c r="D2521" t="s">
        <v>3006</v>
      </c>
      <c r="E2521" t="s">
        <v>184</v>
      </c>
      <c r="F2521">
        <v>1</v>
      </c>
      <c r="G2521">
        <v>276.35000000000002</v>
      </c>
      <c r="H2521">
        <v>0.01</v>
      </c>
      <c r="I2521" s="4">
        <v>273.58999999999997</v>
      </c>
      <c r="J2521" t="s">
        <v>16</v>
      </c>
      <c r="K2521" t="s">
        <v>39</v>
      </c>
      <c r="L2521" s="4">
        <f>VLOOKUP(tblTransactions[[#This Row],[Product_ID]],tblProducts[],5,FALSE)</f>
        <v>130.15</v>
      </c>
      <c r="M2521" s="4">
        <f>tblTransactions[[#This Row],[Total_Amount]]-(tblTransactions[[#This Row],[Cost_Prices]]*tblTransactions[[#This Row],[Quantity]]*(1-tblTransactions[[#This Row],[Discount]]))</f>
        <v>144.74149999999997</v>
      </c>
      <c r="N2521" s="3">
        <f>tblTransactions[[#This Row],[Profit]]/tblTransactions[[#This Row],[Total_Amount]]</f>
        <v>0.52904528674293649</v>
      </c>
      <c r="O2521" t="str">
        <f>TEXT(tblTransactions[[#This Row],[Date]], "MMM-YYYY")</f>
        <v>Jun-2024</v>
      </c>
      <c r="P2521" t="str">
        <f>"Q"&amp;ROUNDUP(MONTH(tblTransactions[[#This Row],[Date]])/3,0)&amp;"-"&amp;YEAR(tblTransactions[[#This Row],[Date]])</f>
        <v>Q2-2024</v>
      </c>
      <c r="Q2521">
        <f>YEAR(tblTransactions[[#This Row],[Date]])</f>
        <v>2024</v>
      </c>
      <c r="R2521" t="str">
        <f>TEXT(tblTransactions[[#This Row],[Date]],"DDDD")</f>
        <v>Thursday</v>
      </c>
      <c r="S2521">
        <f>MONTH(tblTransactions[[#This Row],[Date]])</f>
        <v>6</v>
      </c>
      <c r="T2521" t="str">
        <f>VLOOKUP(E2521, Products!$A:$B,2,0)</f>
        <v>Binders Off-1</v>
      </c>
      <c r="U2521" t="str">
        <f>VLOOKUP(E2521,Products!$A:$C,3,0)</f>
        <v>Office Supplies</v>
      </c>
      <c r="V2521" t="str">
        <f>VLOOKUP(E2521,Products!$A:$D,4,0)</f>
        <v>Binders</v>
      </c>
      <c r="W2521" t="str">
        <f>VLOOKUP(D2521,Customers!$A:$C,3,0)</f>
        <v>B2C</v>
      </c>
      <c r="X2521" t="str">
        <f>VLOOKUP(C2521,Sales_Representatives!$A:$B,2,0)</f>
        <v>Linda Smith</v>
      </c>
    </row>
    <row r="2522" spans="1:24" x14ac:dyDescent="0.3">
      <c r="A2522" t="s">
        <v>3499</v>
      </c>
      <c r="B2522" t="s">
        <v>3500</v>
      </c>
      <c r="C2522" t="s">
        <v>131</v>
      </c>
      <c r="D2522" t="s">
        <v>2868</v>
      </c>
      <c r="E2522" t="s">
        <v>243</v>
      </c>
      <c r="F2522">
        <v>3</v>
      </c>
      <c r="G2522">
        <v>384.18</v>
      </c>
      <c r="H2522">
        <v>0.05</v>
      </c>
      <c r="I2522" s="4">
        <v>1094.9100000000001</v>
      </c>
      <c r="J2522" t="s">
        <v>44</v>
      </c>
      <c r="K2522" t="s">
        <v>22</v>
      </c>
      <c r="L2522" s="4">
        <f>VLOOKUP(tblTransactions[[#This Row],[Product_ID]],tblProducts[],5,FALSE)</f>
        <v>266.92</v>
      </c>
      <c r="M2522" s="4">
        <f>tblTransactions[[#This Row],[Total_Amount]]-(tblTransactions[[#This Row],[Cost_Prices]]*tblTransactions[[#This Row],[Quantity]]*(1-tblTransactions[[#This Row],[Discount]]))</f>
        <v>334.1880000000001</v>
      </c>
      <c r="N2522" s="3">
        <f>tblTransactions[[#This Row],[Profit]]/tblTransactions[[#This Row],[Total_Amount]]</f>
        <v>0.30521960709099383</v>
      </c>
      <c r="O2522" t="str">
        <f>TEXT(tblTransactions[[#This Row],[Date]], "MMM-YYYY")</f>
        <v>Jun-2024</v>
      </c>
      <c r="P2522" t="str">
        <f>"Q"&amp;ROUNDUP(MONTH(tblTransactions[[#This Row],[Date]])/3,0)&amp;"-"&amp;YEAR(tblTransactions[[#This Row],[Date]])</f>
        <v>Q2-2024</v>
      </c>
      <c r="Q2522">
        <f>YEAR(tblTransactions[[#This Row],[Date]])</f>
        <v>2024</v>
      </c>
      <c r="R2522" t="str">
        <f>TEXT(tblTransactions[[#This Row],[Date]],"DDDD")</f>
        <v>Friday</v>
      </c>
      <c r="S2522">
        <f>MONTH(tblTransactions[[#This Row],[Date]])</f>
        <v>6</v>
      </c>
      <c r="T2522" t="str">
        <f>VLOOKUP(E2522, Products!$A:$B,2,0)</f>
        <v>Routers Tec-3</v>
      </c>
      <c r="U2522" t="str">
        <f>VLOOKUP(E2522,Products!$A:$C,3,0)</f>
        <v>Technology</v>
      </c>
      <c r="V2522" t="str">
        <f>VLOOKUP(E2522,Products!$A:$D,4,0)</f>
        <v>Routers</v>
      </c>
      <c r="W2522" t="str">
        <f>VLOOKUP(D2522,Customers!$A:$C,3,0)</f>
        <v>B2B</v>
      </c>
      <c r="X2522" t="str">
        <f>VLOOKUP(C2522,Sales_Representatives!$A:$B,2,0)</f>
        <v>Michael Davis</v>
      </c>
    </row>
    <row r="2523" spans="1:24" x14ac:dyDescent="0.3">
      <c r="A2523" t="s">
        <v>3501</v>
      </c>
      <c r="B2523" t="s">
        <v>3500</v>
      </c>
      <c r="C2523" t="s">
        <v>75</v>
      </c>
      <c r="D2523" t="s">
        <v>1463</v>
      </c>
      <c r="E2523" t="s">
        <v>324</v>
      </c>
      <c r="F2523">
        <v>7</v>
      </c>
      <c r="G2523">
        <v>245.76</v>
      </c>
      <c r="H2523">
        <v>0.14000000000000001</v>
      </c>
      <c r="I2523" s="4">
        <v>1479.48</v>
      </c>
      <c r="J2523" t="s">
        <v>44</v>
      </c>
      <c r="K2523" t="s">
        <v>22</v>
      </c>
      <c r="L2523" s="4">
        <f>VLOOKUP(tblTransactions[[#This Row],[Product_ID]],tblProducts[],5,FALSE)</f>
        <v>161.94</v>
      </c>
      <c r="M2523" s="4">
        <f>tblTransactions[[#This Row],[Total_Amount]]-(tblTransactions[[#This Row],[Cost_Prices]]*tblTransactions[[#This Row],[Quantity]]*(1-tblTransactions[[#This Row],[Discount]]))</f>
        <v>504.60120000000006</v>
      </c>
      <c r="N2523" s="3">
        <f>tblTransactions[[#This Row],[Profit]]/tblTransactions[[#This Row],[Total_Amount]]</f>
        <v>0.34106659096439296</v>
      </c>
      <c r="O2523" t="str">
        <f>TEXT(tblTransactions[[#This Row],[Date]], "MMM-YYYY")</f>
        <v>Jun-2024</v>
      </c>
      <c r="P2523" t="str">
        <f>"Q"&amp;ROUNDUP(MONTH(tblTransactions[[#This Row],[Date]])/3,0)&amp;"-"&amp;YEAR(tblTransactions[[#This Row],[Date]])</f>
        <v>Q2-2024</v>
      </c>
      <c r="Q2523">
        <f>YEAR(tblTransactions[[#This Row],[Date]])</f>
        <v>2024</v>
      </c>
      <c r="R2523" t="str">
        <f>TEXT(tblTransactions[[#This Row],[Date]],"DDDD")</f>
        <v>Friday</v>
      </c>
      <c r="S2523">
        <f>MONTH(tblTransactions[[#This Row],[Date]])</f>
        <v>6</v>
      </c>
      <c r="T2523" t="str">
        <f>VLOOKUP(E2523, Products!$A:$B,2,0)</f>
        <v>Storage Fur-1</v>
      </c>
      <c r="U2523" t="str">
        <f>VLOOKUP(E2523,Products!$A:$C,3,0)</f>
        <v>Furniture</v>
      </c>
      <c r="V2523" t="str">
        <f>VLOOKUP(E2523,Products!$A:$D,4,0)</f>
        <v>Storage</v>
      </c>
      <c r="W2523" t="str">
        <f>VLOOKUP(D2523,Customers!$A:$C,3,0)</f>
        <v>Small Business</v>
      </c>
      <c r="X2523" t="str">
        <f>VLOOKUP(C2523,Sales_Representatives!$A:$B,2,0)</f>
        <v>Jessica Anderson</v>
      </c>
    </row>
    <row r="2524" spans="1:24" x14ac:dyDescent="0.3">
      <c r="A2524" t="s">
        <v>3502</v>
      </c>
      <c r="B2524" t="s">
        <v>3500</v>
      </c>
      <c r="C2524" t="s">
        <v>131</v>
      </c>
      <c r="D2524" t="s">
        <v>1752</v>
      </c>
      <c r="E2524" t="s">
        <v>53</v>
      </c>
      <c r="F2524">
        <v>15</v>
      </c>
      <c r="G2524">
        <v>2069.2199999999998</v>
      </c>
      <c r="H2524">
        <v>0.1</v>
      </c>
      <c r="I2524" s="4">
        <v>27934.47</v>
      </c>
      <c r="J2524" t="s">
        <v>44</v>
      </c>
      <c r="K2524" t="s">
        <v>35</v>
      </c>
      <c r="L2524" s="4">
        <f>VLOOKUP(tblTransactions[[#This Row],[Product_ID]],tblProducts[],5,FALSE)</f>
        <v>1451.18</v>
      </c>
      <c r="M2524" s="4">
        <f>tblTransactions[[#This Row],[Total_Amount]]-(tblTransactions[[#This Row],[Cost_Prices]]*tblTransactions[[#This Row],[Quantity]]*(1-tblTransactions[[#This Row],[Discount]]))</f>
        <v>8343.5400000000009</v>
      </c>
      <c r="N2524" s="3">
        <f>tblTransactions[[#This Row],[Profit]]/tblTransactions[[#This Row],[Total_Amount]]</f>
        <v>0.29868259537410236</v>
      </c>
      <c r="O2524" t="str">
        <f>TEXT(tblTransactions[[#This Row],[Date]], "MMM-YYYY")</f>
        <v>Jun-2024</v>
      </c>
      <c r="P2524" t="str">
        <f>"Q"&amp;ROUNDUP(MONTH(tblTransactions[[#This Row],[Date]])/3,0)&amp;"-"&amp;YEAR(tblTransactions[[#This Row],[Date]])</f>
        <v>Q2-2024</v>
      </c>
      <c r="Q2524">
        <f>YEAR(tblTransactions[[#This Row],[Date]])</f>
        <v>2024</v>
      </c>
      <c r="R2524" t="str">
        <f>TEXT(tblTransactions[[#This Row],[Date]],"DDDD")</f>
        <v>Friday</v>
      </c>
      <c r="S2524">
        <f>MONTH(tblTransactions[[#This Row],[Date]])</f>
        <v>6</v>
      </c>
      <c r="T2524" t="str">
        <f>VLOOKUP(E2524, Products!$A:$B,2,0)</f>
        <v>Printers Tec-3</v>
      </c>
      <c r="U2524" t="str">
        <f>VLOOKUP(E2524,Products!$A:$C,3,0)</f>
        <v>Technology</v>
      </c>
      <c r="V2524" t="str">
        <f>VLOOKUP(E2524,Products!$A:$D,4,0)</f>
        <v>Printers</v>
      </c>
      <c r="W2524" t="str">
        <f>VLOOKUP(D2524,Customers!$A:$C,3,0)</f>
        <v>B2B</v>
      </c>
      <c r="X2524" t="str">
        <f>VLOOKUP(C2524,Sales_Representatives!$A:$B,2,0)</f>
        <v>Michael Davis</v>
      </c>
    </row>
    <row r="2525" spans="1:24" x14ac:dyDescent="0.3">
      <c r="A2525" t="s">
        <v>3503</v>
      </c>
      <c r="B2525" t="s">
        <v>3504</v>
      </c>
      <c r="C2525" t="s">
        <v>59</v>
      </c>
      <c r="D2525" t="s">
        <v>2487</v>
      </c>
      <c r="E2525" t="s">
        <v>65</v>
      </c>
      <c r="F2525">
        <v>2</v>
      </c>
      <c r="G2525">
        <v>49.44</v>
      </c>
      <c r="H2525">
        <v>0.09</v>
      </c>
      <c r="I2525" s="4">
        <v>89.98</v>
      </c>
      <c r="J2525" t="s">
        <v>21</v>
      </c>
      <c r="K2525" t="s">
        <v>17</v>
      </c>
      <c r="L2525" s="4">
        <f>VLOOKUP(tblTransactions[[#This Row],[Product_ID]],tblProducts[],5,FALSE)</f>
        <v>22.34</v>
      </c>
      <c r="M2525" s="4">
        <f>tblTransactions[[#This Row],[Total_Amount]]-(tblTransactions[[#This Row],[Cost_Prices]]*tblTransactions[[#This Row],[Quantity]]*(1-tblTransactions[[#This Row],[Discount]]))</f>
        <v>49.321200000000005</v>
      </c>
      <c r="N2525" s="3">
        <f>tblTransactions[[#This Row],[Profit]]/tblTransactions[[#This Row],[Total_Amount]]</f>
        <v>0.54813514114247608</v>
      </c>
      <c r="O2525" t="str">
        <f>TEXT(tblTransactions[[#This Row],[Date]], "MMM-YYYY")</f>
        <v>Jun-2024</v>
      </c>
      <c r="P2525" t="str">
        <f>"Q"&amp;ROUNDUP(MONTH(tblTransactions[[#This Row],[Date]])/3,0)&amp;"-"&amp;YEAR(tblTransactions[[#This Row],[Date]])</f>
        <v>Q2-2024</v>
      </c>
      <c r="Q2525">
        <f>YEAR(tblTransactions[[#This Row],[Date]])</f>
        <v>2024</v>
      </c>
      <c r="R2525" t="str">
        <f>TEXT(tblTransactions[[#This Row],[Date]],"DDDD")</f>
        <v>Saturday</v>
      </c>
      <c r="S2525">
        <f>MONTH(tblTransactions[[#This Row],[Date]])</f>
        <v>6</v>
      </c>
      <c r="T2525" t="str">
        <f>VLOOKUP(E2525, Products!$A:$B,2,0)</f>
        <v>Folders Off-2</v>
      </c>
      <c r="U2525" t="str">
        <f>VLOOKUP(E2525,Products!$A:$C,3,0)</f>
        <v>Office Supplies</v>
      </c>
      <c r="V2525" t="str">
        <f>VLOOKUP(E2525,Products!$A:$D,4,0)</f>
        <v>Folders</v>
      </c>
      <c r="W2525" t="str">
        <f>VLOOKUP(D2525,Customers!$A:$C,3,0)</f>
        <v>B2C</v>
      </c>
      <c r="X2525" t="str">
        <f>VLOOKUP(C2525,Sales_Representatives!$A:$B,2,0)</f>
        <v>Sarah Brown</v>
      </c>
    </row>
    <row r="2526" spans="1:24" x14ac:dyDescent="0.3">
      <c r="A2526" t="s">
        <v>3505</v>
      </c>
      <c r="B2526" t="s">
        <v>3504</v>
      </c>
      <c r="C2526" t="s">
        <v>127</v>
      </c>
      <c r="D2526" t="s">
        <v>101</v>
      </c>
      <c r="E2526" t="s">
        <v>168</v>
      </c>
      <c r="F2526">
        <v>4</v>
      </c>
      <c r="G2526">
        <v>101.59</v>
      </c>
      <c r="H2526">
        <v>0.01</v>
      </c>
      <c r="I2526" s="4">
        <v>402.3</v>
      </c>
      <c r="J2526" t="s">
        <v>109</v>
      </c>
      <c r="K2526" t="s">
        <v>39</v>
      </c>
      <c r="L2526" s="4">
        <f>VLOOKUP(tblTransactions[[#This Row],[Product_ID]],tblProducts[],5,FALSE)</f>
        <v>50.58</v>
      </c>
      <c r="M2526" s="4">
        <f>tblTransactions[[#This Row],[Total_Amount]]-(tblTransactions[[#This Row],[Cost_Prices]]*tblTransactions[[#This Row],[Quantity]]*(1-tblTransactions[[#This Row],[Discount]]))</f>
        <v>202.00320000000002</v>
      </c>
      <c r="N2526" s="3">
        <f>tblTransactions[[#This Row],[Profit]]/tblTransactions[[#This Row],[Total_Amount]]</f>
        <v>0.50212080536912751</v>
      </c>
      <c r="O2526" t="str">
        <f>TEXT(tblTransactions[[#This Row],[Date]], "MMM-YYYY")</f>
        <v>Jun-2024</v>
      </c>
      <c r="P2526" t="str">
        <f>"Q"&amp;ROUNDUP(MONTH(tblTransactions[[#This Row],[Date]])/3,0)&amp;"-"&amp;YEAR(tblTransactions[[#This Row],[Date]])</f>
        <v>Q2-2024</v>
      </c>
      <c r="Q2526">
        <f>YEAR(tblTransactions[[#This Row],[Date]])</f>
        <v>2024</v>
      </c>
      <c r="R2526" t="str">
        <f>TEXT(tblTransactions[[#This Row],[Date]],"DDDD")</f>
        <v>Saturday</v>
      </c>
      <c r="S2526">
        <f>MONTH(tblTransactions[[#This Row],[Date]])</f>
        <v>6</v>
      </c>
      <c r="T2526" t="str">
        <f>VLOOKUP(E2526, Products!$A:$B,2,0)</f>
        <v>Cases Acc-4</v>
      </c>
      <c r="U2526" t="str">
        <f>VLOOKUP(E2526,Products!$A:$C,3,0)</f>
        <v>Accessories</v>
      </c>
      <c r="V2526" t="str">
        <f>VLOOKUP(E2526,Products!$A:$D,4,0)</f>
        <v>Cases</v>
      </c>
      <c r="W2526" t="str">
        <f>VLOOKUP(D2526,Customers!$A:$C,3,0)</f>
        <v>B2C</v>
      </c>
      <c r="X2526" t="str">
        <f>VLOOKUP(C2526,Sales_Representatives!$A:$B,2,0)</f>
        <v>Emily Hernandez</v>
      </c>
    </row>
    <row r="2527" spans="1:24" x14ac:dyDescent="0.3">
      <c r="A2527" t="s">
        <v>3506</v>
      </c>
      <c r="B2527" t="s">
        <v>3504</v>
      </c>
      <c r="C2527" t="s">
        <v>19</v>
      </c>
      <c r="D2527" t="s">
        <v>1472</v>
      </c>
      <c r="E2527" t="s">
        <v>224</v>
      </c>
      <c r="F2527">
        <v>3</v>
      </c>
      <c r="G2527">
        <v>505.37</v>
      </c>
      <c r="H2527">
        <v>0.06</v>
      </c>
      <c r="I2527" s="4">
        <v>1425.14</v>
      </c>
      <c r="J2527" t="s">
        <v>21</v>
      </c>
      <c r="K2527" t="s">
        <v>39</v>
      </c>
      <c r="L2527" s="4">
        <f>VLOOKUP(tblTransactions[[#This Row],[Product_ID]],tblProducts[],5,FALSE)</f>
        <v>281.14999999999998</v>
      </c>
      <c r="M2527" s="4">
        <f>tblTransactions[[#This Row],[Total_Amount]]-(tblTransactions[[#This Row],[Cost_Prices]]*tblTransactions[[#This Row],[Quantity]]*(1-tblTransactions[[#This Row],[Discount]]))</f>
        <v>632.29700000000025</v>
      </c>
      <c r="N2527" s="3">
        <f>tblTransactions[[#This Row],[Profit]]/tblTransactions[[#This Row],[Total_Amount]]</f>
        <v>0.44367360399680045</v>
      </c>
      <c r="O2527" t="str">
        <f>TEXT(tblTransactions[[#This Row],[Date]], "MMM-YYYY")</f>
        <v>Jun-2024</v>
      </c>
      <c r="P2527" t="str">
        <f>"Q"&amp;ROUNDUP(MONTH(tblTransactions[[#This Row],[Date]])/3,0)&amp;"-"&amp;YEAR(tblTransactions[[#This Row],[Date]])</f>
        <v>Q2-2024</v>
      </c>
      <c r="Q2527">
        <f>YEAR(tblTransactions[[#This Row],[Date]])</f>
        <v>2024</v>
      </c>
      <c r="R2527" t="str">
        <f>TEXT(tblTransactions[[#This Row],[Date]],"DDDD")</f>
        <v>Saturday</v>
      </c>
      <c r="S2527">
        <f>MONTH(tblTransactions[[#This Row],[Date]])</f>
        <v>6</v>
      </c>
      <c r="T2527" t="str">
        <f>VLOOKUP(E2527, Products!$A:$B,2,0)</f>
        <v>Desks Fur-3</v>
      </c>
      <c r="U2527" t="str">
        <f>VLOOKUP(E2527,Products!$A:$C,3,0)</f>
        <v>Furniture</v>
      </c>
      <c r="V2527" t="str">
        <f>VLOOKUP(E2527,Products!$A:$D,4,0)</f>
        <v>Desks</v>
      </c>
      <c r="W2527" t="str">
        <f>VLOOKUP(D2527,Customers!$A:$C,3,0)</f>
        <v>B2B</v>
      </c>
      <c r="X2527" t="str">
        <f>VLOOKUP(C2527,Sales_Representatives!$A:$B,2,0)</f>
        <v>Robert Jones</v>
      </c>
    </row>
    <row r="2528" spans="1:24" x14ac:dyDescent="0.3">
      <c r="A2528" t="s">
        <v>3507</v>
      </c>
      <c r="B2528" t="s">
        <v>3504</v>
      </c>
      <c r="C2528" t="s">
        <v>141</v>
      </c>
      <c r="D2528" t="s">
        <v>1697</v>
      </c>
      <c r="E2528" t="s">
        <v>68</v>
      </c>
      <c r="F2528">
        <v>3</v>
      </c>
      <c r="G2528">
        <v>522.63</v>
      </c>
      <c r="H2528">
        <v>0.01</v>
      </c>
      <c r="I2528" s="4">
        <v>1552.21</v>
      </c>
      <c r="J2528" t="s">
        <v>109</v>
      </c>
      <c r="K2528" t="s">
        <v>35</v>
      </c>
      <c r="L2528" s="4">
        <f>VLOOKUP(tblTransactions[[#This Row],[Product_ID]],tblProducts[],5,FALSE)</f>
        <v>355.82</v>
      </c>
      <c r="M2528" s="4">
        <f>tblTransactions[[#This Row],[Total_Amount]]-(tblTransactions[[#This Row],[Cost_Prices]]*tblTransactions[[#This Row],[Quantity]]*(1-tblTransactions[[#This Row],[Discount]]))</f>
        <v>495.42460000000005</v>
      </c>
      <c r="N2528" s="3">
        <f>tblTransactions[[#This Row],[Profit]]/tblTransactions[[#This Row],[Total_Amount]]</f>
        <v>0.31917369428105735</v>
      </c>
      <c r="O2528" t="str">
        <f>TEXT(tblTransactions[[#This Row],[Date]], "MMM-YYYY")</f>
        <v>Jun-2024</v>
      </c>
      <c r="P2528" t="str">
        <f>"Q"&amp;ROUNDUP(MONTH(tblTransactions[[#This Row],[Date]])/3,0)&amp;"-"&amp;YEAR(tblTransactions[[#This Row],[Date]])</f>
        <v>Q2-2024</v>
      </c>
      <c r="Q2528">
        <f>YEAR(tblTransactions[[#This Row],[Date]])</f>
        <v>2024</v>
      </c>
      <c r="R2528" t="str">
        <f>TEXT(tblTransactions[[#This Row],[Date]],"DDDD")</f>
        <v>Saturday</v>
      </c>
      <c r="S2528">
        <f>MONTH(tblTransactions[[#This Row],[Date]])</f>
        <v>6</v>
      </c>
      <c r="T2528" t="str">
        <f>VLOOKUP(E2528, Products!$A:$B,2,0)</f>
        <v>Monitors Tec-3</v>
      </c>
      <c r="U2528" t="str">
        <f>VLOOKUP(E2528,Products!$A:$C,3,0)</f>
        <v>Technology</v>
      </c>
      <c r="V2528" t="str">
        <f>VLOOKUP(E2528,Products!$A:$D,4,0)</f>
        <v>Monitors</v>
      </c>
      <c r="W2528" t="str">
        <f>VLOOKUP(D2528,Customers!$A:$C,3,0)</f>
        <v>B2C</v>
      </c>
      <c r="X2528" t="str">
        <f>VLOOKUP(C2528,Sales_Representatives!$A:$B,2,0)</f>
        <v>Richard Garcia</v>
      </c>
    </row>
    <row r="2529" spans="1:24" x14ac:dyDescent="0.3">
      <c r="A2529" t="s">
        <v>3508</v>
      </c>
      <c r="B2529" t="s">
        <v>3509</v>
      </c>
      <c r="C2529" t="s">
        <v>70</v>
      </c>
      <c r="D2529" t="s">
        <v>2050</v>
      </c>
      <c r="E2529" t="s">
        <v>264</v>
      </c>
      <c r="F2529">
        <v>4</v>
      </c>
      <c r="G2529">
        <v>607.29999999999995</v>
      </c>
      <c r="H2529">
        <v>0</v>
      </c>
      <c r="I2529" s="4">
        <v>2429.1999999999998</v>
      </c>
      <c r="J2529" t="s">
        <v>16</v>
      </c>
      <c r="K2529" t="s">
        <v>39</v>
      </c>
      <c r="L2529" s="4">
        <f>VLOOKUP(tblTransactions[[#This Row],[Product_ID]],tblProducts[],5,FALSE)</f>
        <v>436.37</v>
      </c>
      <c r="M2529" s="4">
        <f>tblTransactions[[#This Row],[Total_Amount]]-(tblTransactions[[#This Row],[Cost_Prices]]*tblTransactions[[#This Row],[Quantity]]*(1-tblTransactions[[#This Row],[Discount]]))</f>
        <v>683.7199999999998</v>
      </c>
      <c r="N2529" s="3">
        <f>tblTransactions[[#This Row],[Profit]]/tblTransactions[[#This Row],[Total_Amount]]</f>
        <v>0.2814589165157253</v>
      </c>
      <c r="O2529" t="str">
        <f>TEXT(tblTransactions[[#This Row],[Date]], "MMM-YYYY")</f>
        <v>Jun-2024</v>
      </c>
      <c r="P2529" t="str">
        <f>"Q"&amp;ROUNDUP(MONTH(tblTransactions[[#This Row],[Date]])/3,0)&amp;"-"&amp;YEAR(tblTransactions[[#This Row],[Date]])</f>
        <v>Q2-2024</v>
      </c>
      <c r="Q2529">
        <f>YEAR(tblTransactions[[#This Row],[Date]])</f>
        <v>2024</v>
      </c>
      <c r="R2529" t="str">
        <f>TEXT(tblTransactions[[#This Row],[Date]],"DDDD")</f>
        <v>Sunday</v>
      </c>
      <c r="S2529">
        <f>MONTH(tblTransactions[[#This Row],[Date]])</f>
        <v>6</v>
      </c>
      <c r="T2529" t="str">
        <f>VLOOKUP(E2529, Products!$A:$B,2,0)</f>
        <v>Tablets Ele-4</v>
      </c>
      <c r="U2529" t="str">
        <f>VLOOKUP(E2529,Products!$A:$C,3,0)</f>
        <v>Electronics</v>
      </c>
      <c r="V2529" t="str">
        <f>VLOOKUP(E2529,Products!$A:$D,4,0)</f>
        <v>Tablets</v>
      </c>
      <c r="W2529" t="str">
        <f>VLOOKUP(D2529,Customers!$A:$C,3,0)</f>
        <v>B2C</v>
      </c>
      <c r="X2529" t="str">
        <f>VLOOKUP(C2529,Sales_Representatives!$A:$B,2,0)</f>
        <v>Linda Smith</v>
      </c>
    </row>
    <row r="2530" spans="1:24" x14ac:dyDescent="0.3">
      <c r="A2530" t="s">
        <v>3510</v>
      </c>
      <c r="B2530" t="s">
        <v>3509</v>
      </c>
      <c r="C2530" t="s">
        <v>63</v>
      </c>
      <c r="D2530" t="s">
        <v>1559</v>
      </c>
      <c r="E2530" t="s">
        <v>25</v>
      </c>
      <c r="F2530">
        <v>9</v>
      </c>
      <c r="G2530">
        <v>1467.49</v>
      </c>
      <c r="H2530">
        <v>0.12</v>
      </c>
      <c r="I2530" s="4">
        <v>11622.52</v>
      </c>
      <c r="J2530" t="s">
        <v>21</v>
      </c>
      <c r="K2530" t="s">
        <v>22</v>
      </c>
      <c r="L2530" s="4">
        <f>VLOOKUP(tblTransactions[[#This Row],[Product_ID]],tblProducts[],5,FALSE)</f>
        <v>757.65</v>
      </c>
      <c r="M2530" s="4">
        <f>tblTransactions[[#This Row],[Total_Amount]]-(tblTransactions[[#This Row],[Cost_Prices]]*tblTransactions[[#This Row],[Quantity]]*(1-tblTransactions[[#This Row],[Discount]]))</f>
        <v>5621.9320000000007</v>
      </c>
      <c r="N2530" s="3">
        <f>tblTransactions[[#This Row],[Profit]]/tblTransactions[[#This Row],[Total_Amount]]</f>
        <v>0.4837102452824345</v>
      </c>
      <c r="O2530" t="str">
        <f>TEXT(tblTransactions[[#This Row],[Date]], "MMM-YYYY")</f>
        <v>Jun-2024</v>
      </c>
      <c r="P2530" t="str">
        <f>"Q"&amp;ROUNDUP(MONTH(tblTransactions[[#This Row],[Date]])/3,0)&amp;"-"&amp;YEAR(tblTransactions[[#This Row],[Date]])</f>
        <v>Q2-2024</v>
      </c>
      <c r="Q2530">
        <f>YEAR(tblTransactions[[#This Row],[Date]])</f>
        <v>2024</v>
      </c>
      <c r="R2530" t="str">
        <f>TEXT(tblTransactions[[#This Row],[Date]],"DDDD")</f>
        <v>Sunday</v>
      </c>
      <c r="S2530">
        <f>MONTH(tblTransactions[[#This Row],[Date]])</f>
        <v>6</v>
      </c>
      <c r="T2530" t="str">
        <f>VLOOKUP(E2530, Products!$A:$B,2,0)</f>
        <v>Tables Fur-3</v>
      </c>
      <c r="U2530" t="str">
        <f>VLOOKUP(E2530,Products!$A:$C,3,0)</f>
        <v>Furniture</v>
      </c>
      <c r="V2530" t="str">
        <f>VLOOKUP(E2530,Products!$A:$D,4,0)</f>
        <v>Tables</v>
      </c>
      <c r="W2530" t="str">
        <f>VLOOKUP(D2530,Customers!$A:$C,3,0)</f>
        <v>B2B</v>
      </c>
      <c r="X2530" t="str">
        <f>VLOOKUP(C2530,Sales_Representatives!$A:$B,2,0)</f>
        <v>Richard Wilson</v>
      </c>
    </row>
    <row r="2531" spans="1:24" x14ac:dyDescent="0.3">
      <c r="A2531" t="s">
        <v>3511</v>
      </c>
      <c r="B2531" t="s">
        <v>3509</v>
      </c>
      <c r="C2531" t="s">
        <v>41</v>
      </c>
      <c r="D2531" t="s">
        <v>1900</v>
      </c>
      <c r="E2531" t="s">
        <v>221</v>
      </c>
      <c r="F2531">
        <v>6</v>
      </c>
      <c r="G2531">
        <v>210.02</v>
      </c>
      <c r="H2531">
        <v>0.09</v>
      </c>
      <c r="I2531" s="4">
        <v>1146.71</v>
      </c>
      <c r="J2531" t="s">
        <v>44</v>
      </c>
      <c r="K2531" t="s">
        <v>39</v>
      </c>
      <c r="L2531" s="4">
        <f>VLOOKUP(tblTransactions[[#This Row],[Product_ID]],tblProducts[],5,FALSE)</f>
        <v>131.66</v>
      </c>
      <c r="M2531" s="4">
        <f>tblTransactions[[#This Row],[Total_Amount]]-(tblTransactions[[#This Row],[Cost_Prices]]*tblTransactions[[#This Row],[Quantity]]*(1-tblTransactions[[#This Row],[Discount]]))</f>
        <v>427.84640000000002</v>
      </c>
      <c r="N2531" s="3">
        <f>tblTransactions[[#This Row],[Profit]]/tblTransactions[[#This Row],[Total_Amount]]</f>
        <v>0.37310776046254068</v>
      </c>
      <c r="O2531" t="str">
        <f>TEXT(tblTransactions[[#This Row],[Date]], "MMM-YYYY")</f>
        <v>Jun-2024</v>
      </c>
      <c r="P2531" t="str">
        <f>"Q"&amp;ROUNDUP(MONTH(tblTransactions[[#This Row],[Date]])/3,0)&amp;"-"&amp;YEAR(tblTransactions[[#This Row],[Date]])</f>
        <v>Q2-2024</v>
      </c>
      <c r="Q2531">
        <f>YEAR(tblTransactions[[#This Row],[Date]])</f>
        <v>2024</v>
      </c>
      <c r="R2531" t="str">
        <f>TEXT(tblTransactions[[#This Row],[Date]],"DDDD")</f>
        <v>Sunday</v>
      </c>
      <c r="S2531">
        <f>MONTH(tblTransactions[[#This Row],[Date]])</f>
        <v>6</v>
      </c>
      <c r="T2531" t="str">
        <f>VLOOKUP(E2531, Products!$A:$B,2,0)</f>
        <v>Storage Fur-2</v>
      </c>
      <c r="U2531" t="str">
        <f>VLOOKUP(E2531,Products!$A:$C,3,0)</f>
        <v>Furniture</v>
      </c>
      <c r="V2531" t="str">
        <f>VLOOKUP(E2531,Products!$A:$D,4,0)</f>
        <v>Storage</v>
      </c>
      <c r="W2531" t="str">
        <f>VLOOKUP(D2531,Customers!$A:$C,3,0)</f>
        <v>B2C</v>
      </c>
      <c r="X2531" t="str">
        <f>VLOOKUP(C2531,Sales_Representatives!$A:$B,2,0)</f>
        <v>Robert Jones</v>
      </c>
    </row>
    <row r="2532" spans="1:24" x14ac:dyDescent="0.3">
      <c r="A2532" t="s">
        <v>3512</v>
      </c>
      <c r="B2532" t="s">
        <v>3509</v>
      </c>
      <c r="C2532" t="s">
        <v>127</v>
      </c>
      <c r="D2532" t="s">
        <v>2341</v>
      </c>
      <c r="E2532" t="s">
        <v>121</v>
      </c>
      <c r="F2532">
        <v>6</v>
      </c>
      <c r="G2532">
        <v>183.9</v>
      </c>
      <c r="H2532">
        <v>0.14000000000000001</v>
      </c>
      <c r="I2532" s="4">
        <v>948.92</v>
      </c>
      <c r="J2532" t="s">
        <v>109</v>
      </c>
      <c r="K2532" t="s">
        <v>39</v>
      </c>
      <c r="L2532" s="4">
        <f>VLOOKUP(tblTransactions[[#This Row],[Product_ID]],tblProducts[],5,FALSE)</f>
        <v>116.83</v>
      </c>
      <c r="M2532" s="4">
        <f>tblTransactions[[#This Row],[Total_Amount]]-(tblTransactions[[#This Row],[Cost_Prices]]*tblTransactions[[#This Row],[Quantity]]*(1-tblTransactions[[#This Row],[Discount]]))</f>
        <v>346.07719999999995</v>
      </c>
      <c r="N2532" s="3">
        <f>tblTransactions[[#This Row],[Profit]]/tblTransactions[[#This Row],[Total_Amount]]</f>
        <v>0.36470640306875179</v>
      </c>
      <c r="O2532" t="str">
        <f>TEXT(tblTransactions[[#This Row],[Date]], "MMM-YYYY")</f>
        <v>Jun-2024</v>
      </c>
      <c r="P2532" t="str">
        <f>"Q"&amp;ROUNDUP(MONTH(tblTransactions[[#This Row],[Date]])/3,0)&amp;"-"&amp;YEAR(tblTransactions[[#This Row],[Date]])</f>
        <v>Q2-2024</v>
      </c>
      <c r="Q2532">
        <f>YEAR(tblTransactions[[#This Row],[Date]])</f>
        <v>2024</v>
      </c>
      <c r="R2532" t="str">
        <f>TEXT(tblTransactions[[#This Row],[Date]],"DDDD")</f>
        <v>Sunday</v>
      </c>
      <c r="S2532">
        <f>MONTH(tblTransactions[[#This Row],[Date]])</f>
        <v>6</v>
      </c>
      <c r="T2532" t="str">
        <f>VLOOKUP(E2532, Products!$A:$B,2,0)</f>
        <v>Pens Off-3</v>
      </c>
      <c r="U2532" t="str">
        <f>VLOOKUP(E2532,Products!$A:$C,3,0)</f>
        <v>Office Supplies</v>
      </c>
      <c r="V2532" t="str">
        <f>VLOOKUP(E2532,Products!$A:$D,4,0)</f>
        <v>Pens</v>
      </c>
      <c r="W2532" t="str">
        <f>VLOOKUP(D2532,Customers!$A:$C,3,0)</f>
        <v>B2C</v>
      </c>
      <c r="X2532" t="str">
        <f>VLOOKUP(C2532,Sales_Representatives!$A:$B,2,0)</f>
        <v>Emily Hernandez</v>
      </c>
    </row>
    <row r="2533" spans="1:24" x14ac:dyDescent="0.3">
      <c r="A2533" t="s">
        <v>3513</v>
      </c>
      <c r="B2533" t="s">
        <v>3509</v>
      </c>
      <c r="C2533" t="s">
        <v>31</v>
      </c>
      <c r="D2533" t="s">
        <v>1988</v>
      </c>
      <c r="E2533" t="s">
        <v>283</v>
      </c>
      <c r="F2533">
        <v>26</v>
      </c>
      <c r="G2533">
        <v>456.88</v>
      </c>
      <c r="H2533">
        <v>0.16</v>
      </c>
      <c r="I2533" s="4">
        <v>9978.26</v>
      </c>
      <c r="J2533" t="s">
        <v>34</v>
      </c>
      <c r="K2533" t="s">
        <v>35</v>
      </c>
      <c r="L2533" s="4">
        <f>VLOOKUP(tblTransactions[[#This Row],[Product_ID]],tblProducts[],5,FALSE)</f>
        <v>313.23</v>
      </c>
      <c r="M2533" s="4">
        <f>tblTransactions[[#This Row],[Total_Amount]]-(tblTransactions[[#This Row],[Cost_Prices]]*tblTransactions[[#This Row],[Quantity]]*(1-tblTransactions[[#This Row],[Discount]]))</f>
        <v>3137.3168000000005</v>
      </c>
      <c r="N2533" s="3">
        <f>tblTransactions[[#This Row],[Profit]]/tblTransactions[[#This Row],[Total_Amount]]</f>
        <v>0.31441521868542216</v>
      </c>
      <c r="O2533" t="str">
        <f>TEXT(tblTransactions[[#This Row],[Date]], "MMM-YYYY")</f>
        <v>Jun-2024</v>
      </c>
      <c r="P2533" t="str">
        <f>"Q"&amp;ROUNDUP(MONTH(tblTransactions[[#This Row],[Date]])/3,0)&amp;"-"&amp;YEAR(tblTransactions[[#This Row],[Date]])</f>
        <v>Q2-2024</v>
      </c>
      <c r="Q2533">
        <f>YEAR(tblTransactions[[#This Row],[Date]])</f>
        <v>2024</v>
      </c>
      <c r="R2533" t="str">
        <f>TEXT(tblTransactions[[#This Row],[Date]],"DDDD")</f>
        <v>Sunday</v>
      </c>
      <c r="S2533">
        <f>MONTH(tblTransactions[[#This Row],[Date]])</f>
        <v>6</v>
      </c>
      <c r="T2533" t="str">
        <f>VLOOKUP(E2533, Products!$A:$B,2,0)</f>
        <v>Chairs Fur-3</v>
      </c>
      <c r="U2533" t="str">
        <f>VLOOKUP(E2533,Products!$A:$C,3,0)</f>
        <v>Furniture</v>
      </c>
      <c r="V2533" t="str">
        <f>VLOOKUP(E2533,Products!$A:$D,4,0)</f>
        <v>Chairs</v>
      </c>
      <c r="W2533" t="str">
        <f>VLOOKUP(D2533,Customers!$A:$C,3,0)</f>
        <v>Enterprise</v>
      </c>
      <c r="X2533" t="str">
        <f>VLOOKUP(C2533,Sales_Representatives!$A:$B,2,0)</f>
        <v>Thomas Martinez</v>
      </c>
    </row>
    <row r="2534" spans="1:24" x14ac:dyDescent="0.3">
      <c r="A2534" t="s">
        <v>3514</v>
      </c>
      <c r="B2534" t="s">
        <v>3509</v>
      </c>
      <c r="C2534" t="s">
        <v>107</v>
      </c>
      <c r="D2534" t="s">
        <v>2047</v>
      </c>
      <c r="E2534" t="s">
        <v>121</v>
      </c>
      <c r="F2534">
        <v>4</v>
      </c>
      <c r="G2534">
        <v>183.9</v>
      </c>
      <c r="H2534">
        <v>0.01</v>
      </c>
      <c r="I2534" s="4">
        <v>728.24</v>
      </c>
      <c r="J2534" t="s">
        <v>109</v>
      </c>
      <c r="K2534" t="s">
        <v>48</v>
      </c>
      <c r="L2534" s="4">
        <f>VLOOKUP(tblTransactions[[#This Row],[Product_ID]],tblProducts[],5,FALSE)</f>
        <v>116.83</v>
      </c>
      <c r="M2534" s="4">
        <f>tblTransactions[[#This Row],[Total_Amount]]-(tblTransactions[[#This Row],[Cost_Prices]]*tblTransactions[[#This Row],[Quantity]]*(1-tblTransactions[[#This Row],[Discount]]))</f>
        <v>265.59320000000002</v>
      </c>
      <c r="N2534" s="3">
        <f>tblTransactions[[#This Row],[Profit]]/tblTransactions[[#This Row],[Total_Amount]]</f>
        <v>0.36470559156322097</v>
      </c>
      <c r="O2534" t="str">
        <f>TEXT(tblTransactions[[#This Row],[Date]], "MMM-YYYY")</f>
        <v>Jun-2024</v>
      </c>
      <c r="P2534" t="str">
        <f>"Q"&amp;ROUNDUP(MONTH(tblTransactions[[#This Row],[Date]])/3,0)&amp;"-"&amp;YEAR(tblTransactions[[#This Row],[Date]])</f>
        <v>Q2-2024</v>
      </c>
      <c r="Q2534">
        <f>YEAR(tblTransactions[[#This Row],[Date]])</f>
        <v>2024</v>
      </c>
      <c r="R2534" t="str">
        <f>TEXT(tblTransactions[[#This Row],[Date]],"DDDD")</f>
        <v>Sunday</v>
      </c>
      <c r="S2534">
        <f>MONTH(tblTransactions[[#This Row],[Date]])</f>
        <v>6</v>
      </c>
      <c r="T2534" t="str">
        <f>VLOOKUP(E2534, Products!$A:$B,2,0)</f>
        <v>Pens Off-3</v>
      </c>
      <c r="U2534" t="str">
        <f>VLOOKUP(E2534,Products!$A:$C,3,0)</f>
        <v>Office Supplies</v>
      </c>
      <c r="V2534" t="str">
        <f>VLOOKUP(E2534,Products!$A:$D,4,0)</f>
        <v>Pens</v>
      </c>
      <c r="W2534" t="str">
        <f>VLOOKUP(D2534,Customers!$A:$C,3,0)</f>
        <v>B2C</v>
      </c>
      <c r="X2534" t="str">
        <f>VLOOKUP(C2534,Sales_Representatives!$A:$B,2,0)</f>
        <v>Jennifer Brown</v>
      </c>
    </row>
    <row r="2535" spans="1:24" x14ac:dyDescent="0.3">
      <c r="A2535" t="s">
        <v>3515</v>
      </c>
      <c r="B2535" t="s">
        <v>3516</v>
      </c>
      <c r="C2535" t="s">
        <v>82</v>
      </c>
      <c r="D2535" t="s">
        <v>166</v>
      </c>
      <c r="E2535" t="s">
        <v>87</v>
      </c>
      <c r="F2535">
        <v>4</v>
      </c>
      <c r="G2535">
        <v>1047.8900000000001</v>
      </c>
      <c r="H2535">
        <v>0.04</v>
      </c>
      <c r="I2535" s="4">
        <v>4023.9</v>
      </c>
      <c r="J2535" t="s">
        <v>34</v>
      </c>
      <c r="K2535" t="s">
        <v>22</v>
      </c>
      <c r="L2535" s="4">
        <f>VLOOKUP(tblTransactions[[#This Row],[Product_ID]],tblProducts[],5,FALSE)</f>
        <v>742.63</v>
      </c>
      <c r="M2535" s="4">
        <f>tblTransactions[[#This Row],[Total_Amount]]-(tblTransactions[[#This Row],[Cost_Prices]]*tblTransactions[[#This Row],[Quantity]]*(1-tblTransactions[[#This Row],[Discount]]))</f>
        <v>1172.2008000000001</v>
      </c>
      <c r="N2535" s="3">
        <f>tblTransactions[[#This Row],[Profit]]/tblTransactions[[#This Row],[Total_Amount]]</f>
        <v>0.29130962499068069</v>
      </c>
      <c r="O2535" t="str">
        <f>TEXT(tblTransactions[[#This Row],[Date]], "MMM-YYYY")</f>
        <v>Jun-2024</v>
      </c>
      <c r="P2535" t="str">
        <f>"Q"&amp;ROUNDUP(MONTH(tblTransactions[[#This Row],[Date]])/3,0)&amp;"-"&amp;YEAR(tblTransactions[[#This Row],[Date]])</f>
        <v>Q2-2024</v>
      </c>
      <c r="Q2535">
        <f>YEAR(tblTransactions[[#This Row],[Date]])</f>
        <v>2024</v>
      </c>
      <c r="R2535" t="str">
        <f>TEXT(tblTransactions[[#This Row],[Date]],"DDDD")</f>
        <v>Monday</v>
      </c>
      <c r="S2535">
        <f>MONTH(tblTransactions[[#This Row],[Date]])</f>
        <v>6</v>
      </c>
      <c r="T2535" t="str">
        <f>VLOOKUP(E2535, Products!$A:$B,2,0)</f>
        <v>Monitors Tec-2</v>
      </c>
      <c r="U2535" t="str">
        <f>VLOOKUP(E2535,Products!$A:$C,3,0)</f>
        <v>Technology</v>
      </c>
      <c r="V2535" t="str">
        <f>VLOOKUP(E2535,Products!$A:$D,4,0)</f>
        <v>Monitors</v>
      </c>
      <c r="W2535" t="str">
        <f>VLOOKUP(D2535,Customers!$A:$C,3,0)</f>
        <v>B2C</v>
      </c>
      <c r="X2535" t="str">
        <f>VLOOKUP(C2535,Sales_Representatives!$A:$B,2,0)</f>
        <v>John Brown</v>
      </c>
    </row>
    <row r="2536" spans="1:24" x14ac:dyDescent="0.3">
      <c r="A2536" t="s">
        <v>3517</v>
      </c>
      <c r="B2536" t="s">
        <v>3516</v>
      </c>
      <c r="C2536" t="s">
        <v>41</v>
      </c>
      <c r="D2536" t="s">
        <v>2208</v>
      </c>
      <c r="E2536" t="s">
        <v>176</v>
      </c>
      <c r="F2536">
        <v>16</v>
      </c>
      <c r="G2536">
        <v>1462.68</v>
      </c>
      <c r="H2536">
        <v>0.14000000000000001</v>
      </c>
      <c r="I2536" s="4">
        <v>20126.48</v>
      </c>
      <c r="J2536" t="s">
        <v>44</v>
      </c>
      <c r="K2536" t="s">
        <v>17</v>
      </c>
      <c r="L2536" s="4">
        <f>VLOOKUP(tblTransactions[[#This Row],[Product_ID]],tblProducts[],5,FALSE)</f>
        <v>775.94</v>
      </c>
      <c r="M2536" s="4">
        <f>tblTransactions[[#This Row],[Total_Amount]]-(tblTransactions[[#This Row],[Cost_Prices]]*tblTransactions[[#This Row],[Quantity]]*(1-tblTransactions[[#This Row],[Discount]]))</f>
        <v>9449.5455999999995</v>
      </c>
      <c r="N2536" s="3">
        <f>tblTransactions[[#This Row],[Profit]]/tblTransactions[[#This Row],[Total_Amount]]</f>
        <v>0.46950811070788334</v>
      </c>
      <c r="O2536" t="str">
        <f>TEXT(tblTransactions[[#This Row],[Date]], "MMM-YYYY")</f>
        <v>Jun-2024</v>
      </c>
      <c r="P2536" t="str">
        <f>"Q"&amp;ROUNDUP(MONTH(tblTransactions[[#This Row],[Date]])/3,0)&amp;"-"&amp;YEAR(tblTransactions[[#This Row],[Date]])</f>
        <v>Q2-2024</v>
      </c>
      <c r="Q2536">
        <f>YEAR(tblTransactions[[#This Row],[Date]])</f>
        <v>2024</v>
      </c>
      <c r="R2536" t="str">
        <f>TEXT(tblTransactions[[#This Row],[Date]],"DDDD")</f>
        <v>Monday</v>
      </c>
      <c r="S2536">
        <f>MONTH(tblTransactions[[#This Row],[Date]])</f>
        <v>6</v>
      </c>
      <c r="T2536" t="str">
        <f>VLOOKUP(E2536, Products!$A:$B,2,0)</f>
        <v>Chairs Fur-2</v>
      </c>
      <c r="U2536" t="str">
        <f>VLOOKUP(E2536,Products!$A:$C,3,0)</f>
        <v>Furniture</v>
      </c>
      <c r="V2536" t="str">
        <f>VLOOKUP(E2536,Products!$A:$D,4,0)</f>
        <v>Chairs</v>
      </c>
      <c r="W2536" t="str">
        <f>VLOOKUP(D2536,Customers!$A:$C,3,0)</f>
        <v>B2B</v>
      </c>
      <c r="X2536" t="str">
        <f>VLOOKUP(C2536,Sales_Representatives!$A:$B,2,0)</f>
        <v>Robert Jones</v>
      </c>
    </row>
    <row r="2537" spans="1:24" x14ac:dyDescent="0.3">
      <c r="A2537" t="s">
        <v>3518</v>
      </c>
      <c r="B2537" t="s">
        <v>3516</v>
      </c>
      <c r="C2537" t="s">
        <v>31</v>
      </c>
      <c r="D2537" t="s">
        <v>1678</v>
      </c>
      <c r="E2537" t="s">
        <v>84</v>
      </c>
      <c r="F2537">
        <v>3</v>
      </c>
      <c r="G2537">
        <v>1841.77</v>
      </c>
      <c r="H2537">
        <v>0.02</v>
      </c>
      <c r="I2537" s="4">
        <v>5414.8</v>
      </c>
      <c r="J2537" t="s">
        <v>34</v>
      </c>
      <c r="K2537" t="s">
        <v>48</v>
      </c>
      <c r="L2537" s="4">
        <f>VLOOKUP(tblTransactions[[#This Row],[Product_ID]],tblProducts[],5,FALSE)</f>
        <v>1151.5899999999999</v>
      </c>
      <c r="M2537" s="4">
        <f>tblTransactions[[#This Row],[Total_Amount]]-(tblTransactions[[#This Row],[Cost_Prices]]*tblTransactions[[#This Row],[Quantity]]*(1-tblTransactions[[#This Row],[Discount]]))</f>
        <v>2029.1254000000008</v>
      </c>
      <c r="N2537" s="3">
        <f>tblTransactions[[#This Row],[Profit]]/tblTransactions[[#This Row],[Total_Amount]]</f>
        <v>0.37473690625692557</v>
      </c>
      <c r="O2537" t="str">
        <f>TEXT(tblTransactions[[#This Row],[Date]], "MMM-YYYY")</f>
        <v>Jun-2024</v>
      </c>
      <c r="P2537" t="str">
        <f>"Q"&amp;ROUNDUP(MONTH(tblTransactions[[#This Row],[Date]])/3,0)&amp;"-"&amp;YEAR(tblTransactions[[#This Row],[Date]])</f>
        <v>Q2-2024</v>
      </c>
      <c r="Q2537">
        <f>YEAR(tblTransactions[[#This Row],[Date]])</f>
        <v>2024</v>
      </c>
      <c r="R2537" t="str">
        <f>TEXT(tblTransactions[[#This Row],[Date]],"DDDD")</f>
        <v>Monday</v>
      </c>
      <c r="S2537">
        <f>MONTH(tblTransactions[[#This Row],[Date]])</f>
        <v>6</v>
      </c>
      <c r="T2537" t="str">
        <f>VLOOKUP(E2537, Products!$A:$B,2,0)</f>
        <v>Laptops Ele-2</v>
      </c>
      <c r="U2537" t="str">
        <f>VLOOKUP(E2537,Products!$A:$C,3,0)</f>
        <v>Electronics</v>
      </c>
      <c r="V2537" t="str">
        <f>VLOOKUP(E2537,Products!$A:$D,4,0)</f>
        <v>Laptops</v>
      </c>
      <c r="W2537" t="str">
        <f>VLOOKUP(D2537,Customers!$A:$C,3,0)</f>
        <v>B2C</v>
      </c>
      <c r="X2537" t="str">
        <f>VLOOKUP(C2537,Sales_Representatives!$A:$B,2,0)</f>
        <v>Thomas Martinez</v>
      </c>
    </row>
    <row r="2538" spans="1:24" x14ac:dyDescent="0.3">
      <c r="A2538" t="s">
        <v>3519</v>
      </c>
      <c r="B2538" t="s">
        <v>3520</v>
      </c>
      <c r="C2538" t="s">
        <v>13</v>
      </c>
      <c r="D2538" t="s">
        <v>2235</v>
      </c>
      <c r="E2538" t="s">
        <v>168</v>
      </c>
      <c r="F2538">
        <v>1</v>
      </c>
      <c r="G2538">
        <v>101.59</v>
      </c>
      <c r="H2538">
        <v>0.04</v>
      </c>
      <c r="I2538" s="4">
        <v>97.53</v>
      </c>
      <c r="J2538" t="s">
        <v>16</v>
      </c>
      <c r="K2538" t="s">
        <v>35</v>
      </c>
      <c r="L2538" s="4">
        <f>VLOOKUP(tblTransactions[[#This Row],[Product_ID]],tblProducts[],5,FALSE)</f>
        <v>50.58</v>
      </c>
      <c r="M2538" s="4">
        <f>tblTransactions[[#This Row],[Total_Amount]]-(tblTransactions[[#This Row],[Cost_Prices]]*tblTransactions[[#This Row],[Quantity]]*(1-tblTransactions[[#This Row],[Discount]]))</f>
        <v>48.973200000000006</v>
      </c>
      <c r="N2538" s="3">
        <f>tblTransactions[[#This Row],[Profit]]/tblTransactions[[#This Row],[Total_Amount]]</f>
        <v>0.50213472777606893</v>
      </c>
      <c r="O2538" t="str">
        <f>TEXT(tblTransactions[[#This Row],[Date]], "MMM-YYYY")</f>
        <v>Jun-2024</v>
      </c>
      <c r="P2538" t="str">
        <f>"Q"&amp;ROUNDUP(MONTH(tblTransactions[[#This Row],[Date]])/3,0)&amp;"-"&amp;YEAR(tblTransactions[[#This Row],[Date]])</f>
        <v>Q2-2024</v>
      </c>
      <c r="Q2538">
        <f>YEAR(tblTransactions[[#This Row],[Date]])</f>
        <v>2024</v>
      </c>
      <c r="R2538" t="str">
        <f>TEXT(tblTransactions[[#This Row],[Date]],"DDDD")</f>
        <v>Tuesday</v>
      </c>
      <c r="S2538">
        <f>MONTH(tblTransactions[[#This Row],[Date]])</f>
        <v>6</v>
      </c>
      <c r="T2538" t="str">
        <f>VLOOKUP(E2538, Products!$A:$B,2,0)</f>
        <v>Cases Acc-4</v>
      </c>
      <c r="U2538" t="str">
        <f>VLOOKUP(E2538,Products!$A:$C,3,0)</f>
        <v>Accessories</v>
      </c>
      <c r="V2538" t="str">
        <f>VLOOKUP(E2538,Products!$A:$D,4,0)</f>
        <v>Cases</v>
      </c>
      <c r="W2538" t="str">
        <f>VLOOKUP(D2538,Customers!$A:$C,3,0)</f>
        <v>B2C</v>
      </c>
      <c r="X2538" t="str">
        <f>VLOOKUP(C2538,Sales_Representatives!$A:$B,2,0)</f>
        <v>Jennifer Rodriguez</v>
      </c>
    </row>
    <row r="2539" spans="1:24" x14ac:dyDescent="0.3">
      <c r="A2539" t="s">
        <v>3521</v>
      </c>
      <c r="B2539" t="s">
        <v>3520</v>
      </c>
      <c r="C2539" t="s">
        <v>131</v>
      </c>
      <c r="D2539" t="s">
        <v>2469</v>
      </c>
      <c r="E2539" t="s">
        <v>25</v>
      </c>
      <c r="F2539">
        <v>6</v>
      </c>
      <c r="G2539">
        <v>1467.49</v>
      </c>
      <c r="H2539">
        <v>0.14000000000000001</v>
      </c>
      <c r="I2539" s="4">
        <v>7572.25</v>
      </c>
      <c r="J2539" t="s">
        <v>44</v>
      </c>
      <c r="K2539" t="s">
        <v>22</v>
      </c>
      <c r="L2539" s="4">
        <f>VLOOKUP(tblTransactions[[#This Row],[Product_ID]],tblProducts[],5,FALSE)</f>
        <v>757.65</v>
      </c>
      <c r="M2539" s="4">
        <f>tblTransactions[[#This Row],[Total_Amount]]-(tblTransactions[[#This Row],[Cost_Prices]]*tblTransactions[[#This Row],[Quantity]]*(1-tblTransactions[[#This Row],[Discount]]))</f>
        <v>3662.7760000000003</v>
      </c>
      <c r="N2539" s="3">
        <f>tblTransactions[[#This Row],[Profit]]/tblTransactions[[#This Row],[Total_Amount]]</f>
        <v>0.48371038991052862</v>
      </c>
      <c r="O2539" t="str">
        <f>TEXT(tblTransactions[[#This Row],[Date]], "MMM-YYYY")</f>
        <v>Jun-2024</v>
      </c>
      <c r="P2539" t="str">
        <f>"Q"&amp;ROUNDUP(MONTH(tblTransactions[[#This Row],[Date]])/3,0)&amp;"-"&amp;YEAR(tblTransactions[[#This Row],[Date]])</f>
        <v>Q2-2024</v>
      </c>
      <c r="Q2539">
        <f>YEAR(tblTransactions[[#This Row],[Date]])</f>
        <v>2024</v>
      </c>
      <c r="R2539" t="str">
        <f>TEXT(tblTransactions[[#This Row],[Date]],"DDDD")</f>
        <v>Tuesday</v>
      </c>
      <c r="S2539">
        <f>MONTH(tblTransactions[[#This Row],[Date]])</f>
        <v>6</v>
      </c>
      <c r="T2539" t="str">
        <f>VLOOKUP(E2539, Products!$A:$B,2,0)</f>
        <v>Tables Fur-3</v>
      </c>
      <c r="U2539" t="str">
        <f>VLOOKUP(E2539,Products!$A:$C,3,0)</f>
        <v>Furniture</v>
      </c>
      <c r="V2539" t="str">
        <f>VLOOKUP(E2539,Products!$A:$D,4,0)</f>
        <v>Tables</v>
      </c>
      <c r="W2539" t="str">
        <f>VLOOKUP(D2539,Customers!$A:$C,3,0)</f>
        <v>B2C</v>
      </c>
      <c r="X2539" t="str">
        <f>VLOOKUP(C2539,Sales_Representatives!$A:$B,2,0)</f>
        <v>Michael Davis</v>
      </c>
    </row>
    <row r="2540" spans="1:24" x14ac:dyDescent="0.3">
      <c r="A2540" t="s">
        <v>3522</v>
      </c>
      <c r="B2540" t="s">
        <v>3520</v>
      </c>
      <c r="C2540" t="s">
        <v>127</v>
      </c>
      <c r="D2540" t="s">
        <v>154</v>
      </c>
      <c r="E2540" t="s">
        <v>347</v>
      </c>
      <c r="F2540">
        <v>3</v>
      </c>
      <c r="G2540">
        <v>1539.6</v>
      </c>
      <c r="H2540">
        <v>0.05</v>
      </c>
      <c r="I2540" s="4">
        <v>4387.8599999999997</v>
      </c>
      <c r="J2540" t="s">
        <v>109</v>
      </c>
      <c r="K2540" t="s">
        <v>17</v>
      </c>
      <c r="L2540" s="4">
        <f>VLOOKUP(tblTransactions[[#This Row],[Product_ID]],tblProducts[],5,FALSE)</f>
        <v>992.43</v>
      </c>
      <c r="M2540" s="4">
        <f>tblTransactions[[#This Row],[Total_Amount]]-(tblTransactions[[#This Row],[Cost_Prices]]*tblTransactions[[#This Row],[Quantity]]*(1-tblTransactions[[#This Row],[Discount]]))</f>
        <v>1559.4344999999998</v>
      </c>
      <c r="N2540" s="3">
        <f>tblTransactions[[#This Row],[Profit]]/tblTransactions[[#This Row],[Total_Amount]]</f>
        <v>0.3553975058456742</v>
      </c>
      <c r="O2540" t="str">
        <f>TEXT(tblTransactions[[#This Row],[Date]], "MMM-YYYY")</f>
        <v>Jun-2024</v>
      </c>
      <c r="P2540" t="str">
        <f>"Q"&amp;ROUNDUP(MONTH(tblTransactions[[#This Row],[Date]])/3,0)&amp;"-"&amp;YEAR(tblTransactions[[#This Row],[Date]])</f>
        <v>Q2-2024</v>
      </c>
      <c r="Q2540">
        <f>YEAR(tblTransactions[[#This Row],[Date]])</f>
        <v>2024</v>
      </c>
      <c r="R2540" t="str">
        <f>TEXT(tblTransactions[[#This Row],[Date]],"DDDD")</f>
        <v>Tuesday</v>
      </c>
      <c r="S2540">
        <f>MONTH(tblTransactions[[#This Row],[Date]])</f>
        <v>6</v>
      </c>
      <c r="T2540" t="str">
        <f>VLOOKUP(E2540, Products!$A:$B,2,0)</f>
        <v>Routers Tec-2</v>
      </c>
      <c r="U2540" t="str">
        <f>VLOOKUP(E2540,Products!$A:$C,3,0)</f>
        <v>Technology</v>
      </c>
      <c r="V2540" t="str">
        <f>VLOOKUP(E2540,Products!$A:$D,4,0)</f>
        <v>Routers</v>
      </c>
      <c r="W2540" t="str">
        <f>VLOOKUP(D2540,Customers!$A:$C,3,0)</f>
        <v>B2B</v>
      </c>
      <c r="X2540" t="str">
        <f>VLOOKUP(C2540,Sales_Representatives!$A:$B,2,0)</f>
        <v>Emily Hernandez</v>
      </c>
    </row>
    <row r="2541" spans="1:24" x14ac:dyDescent="0.3">
      <c r="A2541" t="s">
        <v>3523</v>
      </c>
      <c r="B2541" t="s">
        <v>3520</v>
      </c>
      <c r="C2541" t="s">
        <v>63</v>
      </c>
      <c r="D2541" t="s">
        <v>28</v>
      </c>
      <c r="E2541" t="s">
        <v>84</v>
      </c>
      <c r="F2541">
        <v>8</v>
      </c>
      <c r="G2541">
        <v>1841.77</v>
      </c>
      <c r="H2541">
        <v>0.1</v>
      </c>
      <c r="I2541" s="4">
        <v>13260.74</v>
      </c>
      <c r="J2541" t="s">
        <v>21</v>
      </c>
      <c r="K2541" t="s">
        <v>22</v>
      </c>
      <c r="L2541" s="4">
        <f>VLOOKUP(tblTransactions[[#This Row],[Product_ID]],tblProducts[],5,FALSE)</f>
        <v>1151.5899999999999</v>
      </c>
      <c r="M2541" s="4">
        <f>tblTransactions[[#This Row],[Total_Amount]]-(tblTransactions[[#This Row],[Cost_Prices]]*tblTransactions[[#This Row],[Quantity]]*(1-tblTransactions[[#This Row],[Discount]]))</f>
        <v>4969.2919999999995</v>
      </c>
      <c r="N2541" s="3">
        <f>tblTransactions[[#This Row],[Profit]]/tblTransactions[[#This Row],[Total_Amount]]</f>
        <v>0.37473715644828265</v>
      </c>
      <c r="O2541" t="str">
        <f>TEXT(tblTransactions[[#This Row],[Date]], "MMM-YYYY")</f>
        <v>Jun-2024</v>
      </c>
      <c r="P2541" t="str">
        <f>"Q"&amp;ROUNDUP(MONTH(tblTransactions[[#This Row],[Date]])/3,0)&amp;"-"&amp;YEAR(tblTransactions[[#This Row],[Date]])</f>
        <v>Q2-2024</v>
      </c>
      <c r="Q2541">
        <f>YEAR(tblTransactions[[#This Row],[Date]])</f>
        <v>2024</v>
      </c>
      <c r="R2541" t="str">
        <f>TEXT(tblTransactions[[#This Row],[Date]],"DDDD")</f>
        <v>Tuesday</v>
      </c>
      <c r="S2541">
        <f>MONTH(tblTransactions[[#This Row],[Date]])</f>
        <v>6</v>
      </c>
      <c r="T2541" t="str">
        <f>VLOOKUP(E2541, Products!$A:$B,2,0)</f>
        <v>Laptops Ele-2</v>
      </c>
      <c r="U2541" t="str">
        <f>VLOOKUP(E2541,Products!$A:$C,3,0)</f>
        <v>Electronics</v>
      </c>
      <c r="V2541" t="str">
        <f>VLOOKUP(E2541,Products!$A:$D,4,0)</f>
        <v>Laptops</v>
      </c>
      <c r="W2541" t="str">
        <f>VLOOKUP(D2541,Customers!$A:$C,3,0)</f>
        <v>B2B</v>
      </c>
      <c r="X2541" t="str">
        <f>VLOOKUP(C2541,Sales_Representatives!$A:$B,2,0)</f>
        <v>Richard Wilson</v>
      </c>
    </row>
    <row r="2542" spans="1:24" x14ac:dyDescent="0.3">
      <c r="A2542" t="s">
        <v>3524</v>
      </c>
      <c r="B2542" t="s">
        <v>3520</v>
      </c>
      <c r="C2542" t="s">
        <v>27</v>
      </c>
      <c r="D2542" t="s">
        <v>396</v>
      </c>
      <c r="E2542" t="s">
        <v>204</v>
      </c>
      <c r="F2542">
        <v>5</v>
      </c>
      <c r="G2542">
        <v>715.62</v>
      </c>
      <c r="H2542">
        <v>0.1</v>
      </c>
      <c r="I2542" s="4">
        <v>3220.29</v>
      </c>
      <c r="J2542" t="s">
        <v>16</v>
      </c>
      <c r="K2542" t="s">
        <v>48</v>
      </c>
      <c r="L2542" s="4">
        <f>VLOOKUP(tblTransactions[[#This Row],[Product_ID]],tblProducts[],5,FALSE)</f>
        <v>459.58</v>
      </c>
      <c r="M2542" s="4">
        <f>tblTransactions[[#This Row],[Total_Amount]]-(tblTransactions[[#This Row],[Cost_Prices]]*tblTransactions[[#This Row],[Quantity]]*(1-tblTransactions[[#This Row],[Discount]]))</f>
        <v>1152.1799999999998</v>
      </c>
      <c r="N2542" s="3">
        <f>tblTransactions[[#This Row],[Profit]]/tblTransactions[[#This Row],[Total_Amount]]</f>
        <v>0.35778765266482204</v>
      </c>
      <c r="O2542" t="str">
        <f>TEXT(tblTransactions[[#This Row],[Date]], "MMM-YYYY")</f>
        <v>Jun-2024</v>
      </c>
      <c r="P2542" t="str">
        <f>"Q"&amp;ROUNDUP(MONTH(tblTransactions[[#This Row],[Date]])/3,0)&amp;"-"&amp;YEAR(tblTransactions[[#This Row],[Date]])</f>
        <v>Q2-2024</v>
      </c>
      <c r="Q2542">
        <f>YEAR(tblTransactions[[#This Row],[Date]])</f>
        <v>2024</v>
      </c>
      <c r="R2542" t="str">
        <f>TEXT(tblTransactions[[#This Row],[Date]],"DDDD")</f>
        <v>Tuesday</v>
      </c>
      <c r="S2542">
        <f>MONTH(tblTransactions[[#This Row],[Date]])</f>
        <v>6</v>
      </c>
      <c r="T2542" t="str">
        <f>VLOOKUP(E2542, Products!$A:$B,2,0)</f>
        <v>Cameras Ele-2</v>
      </c>
      <c r="U2542" t="str">
        <f>VLOOKUP(E2542,Products!$A:$C,3,0)</f>
        <v>Electronics</v>
      </c>
      <c r="V2542" t="str">
        <f>VLOOKUP(E2542,Products!$A:$D,4,0)</f>
        <v>Cameras</v>
      </c>
      <c r="W2542" t="str">
        <f>VLOOKUP(D2542,Customers!$A:$C,3,0)</f>
        <v>Small Business</v>
      </c>
      <c r="X2542" t="str">
        <f>VLOOKUP(C2542,Sales_Representatives!$A:$B,2,0)</f>
        <v>Thomas Lopez</v>
      </c>
    </row>
    <row r="2543" spans="1:24" x14ac:dyDescent="0.3">
      <c r="A2543" t="s">
        <v>3525</v>
      </c>
      <c r="B2543" t="s">
        <v>3520</v>
      </c>
      <c r="C2543" t="s">
        <v>31</v>
      </c>
      <c r="D2543" t="s">
        <v>1619</v>
      </c>
      <c r="E2543" t="s">
        <v>450</v>
      </c>
      <c r="F2543">
        <v>15</v>
      </c>
      <c r="G2543">
        <v>2083.92</v>
      </c>
      <c r="H2543">
        <v>0.12</v>
      </c>
      <c r="I2543" s="4">
        <v>27507.74</v>
      </c>
      <c r="J2543" t="s">
        <v>34</v>
      </c>
      <c r="K2543" t="s">
        <v>17</v>
      </c>
      <c r="L2543" s="4">
        <f>VLOOKUP(tblTransactions[[#This Row],[Product_ID]],tblProducts[],5,FALSE)</f>
        <v>1425.78</v>
      </c>
      <c r="M2543" s="4">
        <f>tblTransactions[[#This Row],[Total_Amount]]-(tblTransactions[[#This Row],[Cost_Prices]]*tblTransactions[[#This Row],[Quantity]]*(1-tblTransactions[[#This Row],[Discount]]))</f>
        <v>8687.4439999999995</v>
      </c>
      <c r="N2543" s="3">
        <f>tblTransactions[[#This Row],[Profit]]/tblTransactions[[#This Row],[Total_Amount]]</f>
        <v>0.31581816608707219</v>
      </c>
      <c r="O2543" t="str">
        <f>TEXT(tblTransactions[[#This Row],[Date]], "MMM-YYYY")</f>
        <v>Jun-2024</v>
      </c>
      <c r="P2543" t="str">
        <f>"Q"&amp;ROUNDUP(MONTH(tblTransactions[[#This Row],[Date]])/3,0)&amp;"-"&amp;YEAR(tblTransactions[[#This Row],[Date]])</f>
        <v>Q2-2024</v>
      </c>
      <c r="Q2543">
        <f>YEAR(tblTransactions[[#This Row],[Date]])</f>
        <v>2024</v>
      </c>
      <c r="R2543" t="str">
        <f>TEXT(tblTransactions[[#This Row],[Date]],"DDDD")</f>
        <v>Tuesday</v>
      </c>
      <c r="S2543">
        <f>MONTH(tblTransactions[[#This Row],[Date]])</f>
        <v>6</v>
      </c>
      <c r="T2543" t="str">
        <f>VLOOKUP(E2543, Products!$A:$B,2,0)</f>
        <v>Monitors Tec-4</v>
      </c>
      <c r="U2543" t="str">
        <f>VLOOKUP(E2543,Products!$A:$C,3,0)</f>
        <v>Technology</v>
      </c>
      <c r="V2543" t="str">
        <f>VLOOKUP(E2543,Products!$A:$D,4,0)</f>
        <v>Monitors</v>
      </c>
      <c r="W2543" t="str">
        <f>VLOOKUP(D2543,Customers!$A:$C,3,0)</f>
        <v>B2B</v>
      </c>
      <c r="X2543" t="str">
        <f>VLOOKUP(C2543,Sales_Representatives!$A:$B,2,0)</f>
        <v>Thomas Martinez</v>
      </c>
    </row>
    <row r="2544" spans="1:24" x14ac:dyDescent="0.3">
      <c r="A2544" t="s">
        <v>3526</v>
      </c>
      <c r="B2544" t="s">
        <v>3527</v>
      </c>
      <c r="C2544" t="s">
        <v>13</v>
      </c>
      <c r="D2544" t="s">
        <v>1658</v>
      </c>
      <c r="E2544" t="s">
        <v>89</v>
      </c>
      <c r="F2544">
        <v>23</v>
      </c>
      <c r="G2544">
        <v>555.08000000000004</v>
      </c>
      <c r="H2544">
        <v>0.17</v>
      </c>
      <c r="I2544" s="4">
        <v>10596.48</v>
      </c>
      <c r="J2544" t="s">
        <v>16</v>
      </c>
      <c r="K2544" t="s">
        <v>35</v>
      </c>
      <c r="L2544" s="4">
        <f>VLOOKUP(tblTransactions[[#This Row],[Product_ID]],tblProducts[],5,FALSE)</f>
        <v>402.82</v>
      </c>
      <c r="M2544" s="4">
        <f>tblTransactions[[#This Row],[Total_Amount]]-(tblTransactions[[#This Row],[Cost_Prices]]*tblTransactions[[#This Row],[Quantity]]*(1-tblTransactions[[#This Row],[Discount]]))</f>
        <v>2906.6461999999992</v>
      </c>
      <c r="N2544" s="3">
        <f>tblTransactions[[#This Row],[Profit]]/tblTransactions[[#This Row],[Total_Amount]]</f>
        <v>0.27430299495681576</v>
      </c>
      <c r="O2544" t="str">
        <f>TEXT(tblTransactions[[#This Row],[Date]], "MMM-YYYY")</f>
        <v>Jun-2024</v>
      </c>
      <c r="P2544" t="str">
        <f>"Q"&amp;ROUNDUP(MONTH(tblTransactions[[#This Row],[Date]])/3,0)&amp;"-"&amp;YEAR(tblTransactions[[#This Row],[Date]])</f>
        <v>Q2-2024</v>
      </c>
      <c r="Q2544">
        <f>YEAR(tblTransactions[[#This Row],[Date]])</f>
        <v>2024</v>
      </c>
      <c r="R2544" t="str">
        <f>TEXT(tblTransactions[[#This Row],[Date]],"DDDD")</f>
        <v>Wednesday</v>
      </c>
      <c r="S2544">
        <f>MONTH(tblTransactions[[#This Row],[Date]])</f>
        <v>6</v>
      </c>
      <c r="T2544" t="str">
        <f>VLOOKUP(E2544, Products!$A:$B,2,0)</f>
        <v>Laptops Ele-3</v>
      </c>
      <c r="U2544" t="str">
        <f>VLOOKUP(E2544,Products!$A:$C,3,0)</f>
        <v>Electronics</v>
      </c>
      <c r="V2544" t="str">
        <f>VLOOKUP(E2544,Products!$A:$D,4,0)</f>
        <v>Laptops</v>
      </c>
      <c r="W2544" t="str">
        <f>VLOOKUP(D2544,Customers!$A:$C,3,0)</f>
        <v>Enterprise</v>
      </c>
      <c r="X2544" t="str">
        <f>VLOOKUP(C2544,Sales_Representatives!$A:$B,2,0)</f>
        <v>Jennifer Rodriguez</v>
      </c>
    </row>
    <row r="2545" spans="1:24" x14ac:dyDescent="0.3">
      <c r="A2545" t="s">
        <v>3528</v>
      </c>
      <c r="B2545" t="s">
        <v>3527</v>
      </c>
      <c r="C2545" t="s">
        <v>82</v>
      </c>
      <c r="D2545" t="s">
        <v>83</v>
      </c>
      <c r="E2545" t="s">
        <v>99</v>
      </c>
      <c r="F2545">
        <v>5</v>
      </c>
      <c r="G2545">
        <v>325.14</v>
      </c>
      <c r="H2545">
        <v>0.05</v>
      </c>
      <c r="I2545" s="4">
        <v>1544.41</v>
      </c>
      <c r="J2545" t="s">
        <v>34</v>
      </c>
      <c r="K2545" t="s">
        <v>35</v>
      </c>
      <c r="L2545" s="4">
        <f>VLOOKUP(tblTransactions[[#This Row],[Product_ID]],tblProducts[],5,FALSE)</f>
        <v>209.04</v>
      </c>
      <c r="M2545" s="4">
        <f>tblTransactions[[#This Row],[Total_Amount]]-(tblTransactions[[#This Row],[Cost_Prices]]*tblTransactions[[#This Row],[Quantity]]*(1-tblTransactions[[#This Row],[Discount]]))</f>
        <v>551.47000000000014</v>
      </c>
      <c r="N2545" s="3">
        <f>tblTransactions[[#This Row],[Profit]]/tblTransactions[[#This Row],[Total_Amount]]</f>
        <v>0.35707487001508675</v>
      </c>
      <c r="O2545" t="str">
        <f>TEXT(tblTransactions[[#This Row],[Date]], "MMM-YYYY")</f>
        <v>Jun-2024</v>
      </c>
      <c r="P2545" t="str">
        <f>"Q"&amp;ROUNDUP(MONTH(tblTransactions[[#This Row],[Date]])/3,0)&amp;"-"&amp;YEAR(tblTransactions[[#This Row],[Date]])</f>
        <v>Q2-2024</v>
      </c>
      <c r="Q2545">
        <f>YEAR(tblTransactions[[#This Row],[Date]])</f>
        <v>2024</v>
      </c>
      <c r="R2545" t="str">
        <f>TEXT(tblTransactions[[#This Row],[Date]],"DDDD")</f>
        <v>Wednesday</v>
      </c>
      <c r="S2545">
        <f>MONTH(tblTransactions[[#This Row],[Date]])</f>
        <v>6</v>
      </c>
      <c r="T2545" t="str">
        <f>VLOOKUP(E2545, Products!$A:$B,2,0)</f>
        <v>Monitors Tec-1</v>
      </c>
      <c r="U2545" t="str">
        <f>VLOOKUP(E2545,Products!$A:$C,3,0)</f>
        <v>Technology</v>
      </c>
      <c r="V2545" t="str">
        <f>VLOOKUP(E2545,Products!$A:$D,4,0)</f>
        <v>Monitors</v>
      </c>
      <c r="W2545" t="str">
        <f>VLOOKUP(D2545,Customers!$A:$C,3,0)</f>
        <v>Small Business</v>
      </c>
      <c r="X2545" t="str">
        <f>VLOOKUP(C2545,Sales_Representatives!$A:$B,2,0)</f>
        <v>John Brown</v>
      </c>
    </row>
    <row r="2546" spans="1:24" x14ac:dyDescent="0.3">
      <c r="A2546" t="s">
        <v>3529</v>
      </c>
      <c r="B2546" t="s">
        <v>3530</v>
      </c>
      <c r="C2546" t="s">
        <v>41</v>
      </c>
      <c r="D2546" t="s">
        <v>2204</v>
      </c>
      <c r="E2546" t="s">
        <v>221</v>
      </c>
      <c r="F2546">
        <v>5</v>
      </c>
      <c r="G2546">
        <v>210.02</v>
      </c>
      <c r="H2546">
        <v>0.05</v>
      </c>
      <c r="I2546" s="4">
        <v>997.6</v>
      </c>
      <c r="J2546" t="s">
        <v>44</v>
      </c>
      <c r="K2546" t="s">
        <v>22</v>
      </c>
      <c r="L2546" s="4">
        <f>VLOOKUP(tblTransactions[[#This Row],[Product_ID]],tblProducts[],5,FALSE)</f>
        <v>131.66</v>
      </c>
      <c r="M2546" s="4">
        <f>tblTransactions[[#This Row],[Total_Amount]]-(tblTransactions[[#This Row],[Cost_Prices]]*tblTransactions[[#This Row],[Quantity]]*(1-tblTransactions[[#This Row],[Discount]]))</f>
        <v>372.21500000000015</v>
      </c>
      <c r="N2546" s="3">
        <f>tblTransactions[[#This Row],[Profit]]/tblTransactions[[#This Row],[Total_Amount]]</f>
        <v>0.37311046511627921</v>
      </c>
      <c r="O2546" t="str">
        <f>TEXT(tblTransactions[[#This Row],[Date]], "MMM-YYYY")</f>
        <v>Jun-2024</v>
      </c>
      <c r="P2546" t="str">
        <f>"Q"&amp;ROUNDUP(MONTH(tblTransactions[[#This Row],[Date]])/3,0)&amp;"-"&amp;YEAR(tblTransactions[[#This Row],[Date]])</f>
        <v>Q2-2024</v>
      </c>
      <c r="Q2546">
        <f>YEAR(tblTransactions[[#This Row],[Date]])</f>
        <v>2024</v>
      </c>
      <c r="R2546" t="str">
        <f>TEXT(tblTransactions[[#This Row],[Date]],"DDDD")</f>
        <v>Thursday</v>
      </c>
      <c r="S2546">
        <f>MONTH(tblTransactions[[#This Row],[Date]])</f>
        <v>6</v>
      </c>
      <c r="T2546" t="str">
        <f>VLOOKUP(E2546, Products!$A:$B,2,0)</f>
        <v>Storage Fur-2</v>
      </c>
      <c r="U2546" t="str">
        <f>VLOOKUP(E2546,Products!$A:$C,3,0)</f>
        <v>Furniture</v>
      </c>
      <c r="V2546" t="str">
        <f>VLOOKUP(E2546,Products!$A:$D,4,0)</f>
        <v>Storage</v>
      </c>
      <c r="W2546" t="str">
        <f>VLOOKUP(D2546,Customers!$A:$C,3,0)</f>
        <v>Enterprise</v>
      </c>
      <c r="X2546" t="str">
        <f>VLOOKUP(C2546,Sales_Representatives!$A:$B,2,0)</f>
        <v>Robert Jones</v>
      </c>
    </row>
    <row r="2547" spans="1:24" x14ac:dyDescent="0.3">
      <c r="A2547" t="s">
        <v>3531</v>
      </c>
      <c r="B2547" t="s">
        <v>3530</v>
      </c>
      <c r="C2547" t="s">
        <v>70</v>
      </c>
      <c r="D2547" t="s">
        <v>2232</v>
      </c>
      <c r="E2547" t="s">
        <v>125</v>
      </c>
      <c r="F2547">
        <v>4</v>
      </c>
      <c r="G2547">
        <v>1201.4000000000001</v>
      </c>
      <c r="H2547">
        <v>0.05</v>
      </c>
      <c r="I2547" s="4">
        <v>4565.32</v>
      </c>
      <c r="J2547" t="s">
        <v>16</v>
      </c>
      <c r="K2547" t="s">
        <v>17</v>
      </c>
      <c r="L2547" s="4">
        <f>VLOOKUP(tblTransactions[[#This Row],[Product_ID]],tblProducts[],5,FALSE)</f>
        <v>672.72</v>
      </c>
      <c r="M2547" s="4">
        <f>tblTransactions[[#This Row],[Total_Amount]]-(tblTransactions[[#This Row],[Cost_Prices]]*tblTransactions[[#This Row],[Quantity]]*(1-tblTransactions[[#This Row],[Discount]]))</f>
        <v>2008.9839999999999</v>
      </c>
      <c r="N2547" s="3">
        <f>tblTransactions[[#This Row],[Profit]]/tblTransactions[[#This Row],[Total_Amount]]</f>
        <v>0.44005327118361914</v>
      </c>
      <c r="O2547" t="str">
        <f>TEXT(tblTransactions[[#This Row],[Date]], "MMM-YYYY")</f>
        <v>Jun-2024</v>
      </c>
      <c r="P2547" t="str">
        <f>"Q"&amp;ROUNDUP(MONTH(tblTransactions[[#This Row],[Date]])/3,0)&amp;"-"&amp;YEAR(tblTransactions[[#This Row],[Date]])</f>
        <v>Q2-2024</v>
      </c>
      <c r="Q2547">
        <f>YEAR(tblTransactions[[#This Row],[Date]])</f>
        <v>2024</v>
      </c>
      <c r="R2547" t="str">
        <f>TEXT(tblTransactions[[#This Row],[Date]],"DDDD")</f>
        <v>Thursday</v>
      </c>
      <c r="S2547">
        <f>MONTH(tblTransactions[[#This Row],[Date]])</f>
        <v>6</v>
      </c>
      <c r="T2547" t="str">
        <f>VLOOKUP(E2547, Products!$A:$B,2,0)</f>
        <v>Printers Tec-2</v>
      </c>
      <c r="U2547" t="str">
        <f>VLOOKUP(E2547,Products!$A:$C,3,0)</f>
        <v>Technology</v>
      </c>
      <c r="V2547" t="str">
        <f>VLOOKUP(E2547,Products!$A:$D,4,0)</f>
        <v>Printers</v>
      </c>
      <c r="W2547" t="str">
        <f>VLOOKUP(D2547,Customers!$A:$C,3,0)</f>
        <v>B2C</v>
      </c>
      <c r="X2547" t="str">
        <f>VLOOKUP(C2547,Sales_Representatives!$A:$B,2,0)</f>
        <v>Linda Smith</v>
      </c>
    </row>
    <row r="2548" spans="1:24" x14ac:dyDescent="0.3">
      <c r="A2548" t="s">
        <v>3532</v>
      </c>
      <c r="B2548" t="s">
        <v>3530</v>
      </c>
      <c r="C2548" t="s">
        <v>75</v>
      </c>
      <c r="D2548" t="s">
        <v>3533</v>
      </c>
      <c r="E2548" t="s">
        <v>304</v>
      </c>
      <c r="F2548">
        <v>3</v>
      </c>
      <c r="G2548">
        <v>13.43</v>
      </c>
      <c r="H2548">
        <v>0.05</v>
      </c>
      <c r="I2548" s="4">
        <v>38.28</v>
      </c>
      <c r="J2548" t="s">
        <v>44</v>
      </c>
      <c r="K2548" t="s">
        <v>48</v>
      </c>
      <c r="L2548" s="4">
        <f>VLOOKUP(tblTransactions[[#This Row],[Product_ID]],tblProducts[],5,FALSE)</f>
        <v>5.8</v>
      </c>
      <c r="M2548" s="4">
        <f>tblTransactions[[#This Row],[Total_Amount]]-(tblTransactions[[#This Row],[Cost_Prices]]*tblTransactions[[#This Row],[Quantity]]*(1-tblTransactions[[#This Row],[Discount]]))</f>
        <v>21.750000000000004</v>
      </c>
      <c r="N2548" s="3">
        <f>tblTransactions[[#This Row],[Profit]]/tblTransactions[[#This Row],[Total_Amount]]</f>
        <v>0.56818181818181823</v>
      </c>
      <c r="O2548" t="str">
        <f>TEXT(tblTransactions[[#This Row],[Date]], "MMM-YYYY")</f>
        <v>Jun-2024</v>
      </c>
      <c r="P2548" t="str">
        <f>"Q"&amp;ROUNDUP(MONTH(tblTransactions[[#This Row],[Date]])/3,0)&amp;"-"&amp;YEAR(tblTransactions[[#This Row],[Date]])</f>
        <v>Q2-2024</v>
      </c>
      <c r="Q2548">
        <f>YEAR(tblTransactions[[#This Row],[Date]])</f>
        <v>2024</v>
      </c>
      <c r="R2548" t="str">
        <f>TEXT(tblTransactions[[#This Row],[Date]],"DDDD")</f>
        <v>Thursday</v>
      </c>
      <c r="S2548">
        <f>MONTH(tblTransactions[[#This Row],[Date]])</f>
        <v>6</v>
      </c>
      <c r="T2548" t="str">
        <f>VLOOKUP(E2548, Products!$A:$B,2,0)</f>
        <v>Pens Off-1</v>
      </c>
      <c r="U2548" t="str">
        <f>VLOOKUP(E2548,Products!$A:$C,3,0)</f>
        <v>Office Supplies</v>
      </c>
      <c r="V2548" t="str">
        <f>VLOOKUP(E2548,Products!$A:$D,4,0)</f>
        <v>Pens</v>
      </c>
      <c r="W2548" t="str">
        <f>VLOOKUP(D2548,Customers!$A:$C,3,0)</f>
        <v>B2C</v>
      </c>
      <c r="X2548" t="str">
        <f>VLOOKUP(C2548,Sales_Representatives!$A:$B,2,0)</f>
        <v>Jessica Anderson</v>
      </c>
    </row>
    <row r="2549" spans="1:24" x14ac:dyDescent="0.3">
      <c r="A2549" t="s">
        <v>3534</v>
      </c>
      <c r="B2549" t="s">
        <v>3530</v>
      </c>
      <c r="C2549" t="s">
        <v>41</v>
      </c>
      <c r="D2549" t="s">
        <v>1485</v>
      </c>
      <c r="E2549" t="s">
        <v>176</v>
      </c>
      <c r="F2549">
        <v>17</v>
      </c>
      <c r="G2549">
        <v>1462.68</v>
      </c>
      <c r="H2549">
        <v>0.17</v>
      </c>
      <c r="I2549" s="4">
        <v>20638.41</v>
      </c>
      <c r="J2549" t="s">
        <v>44</v>
      </c>
      <c r="K2549" t="s">
        <v>48</v>
      </c>
      <c r="L2549" s="4">
        <f>VLOOKUP(tblTransactions[[#This Row],[Product_ID]],tblProducts[],5,FALSE)</f>
        <v>775.94</v>
      </c>
      <c r="M2549" s="4">
        <f>tblTransactions[[#This Row],[Total_Amount]]-(tblTransactions[[#This Row],[Cost_Prices]]*tblTransactions[[#This Row],[Quantity]]*(1-tblTransactions[[#This Row],[Discount]]))</f>
        <v>9689.8966</v>
      </c>
      <c r="N2549" s="3">
        <f>tblTransactions[[#This Row],[Profit]]/tblTransactions[[#This Row],[Total_Amount]]</f>
        <v>0.4695079029828364</v>
      </c>
      <c r="O2549" t="str">
        <f>TEXT(tblTransactions[[#This Row],[Date]], "MMM-YYYY")</f>
        <v>Jun-2024</v>
      </c>
      <c r="P2549" t="str">
        <f>"Q"&amp;ROUNDUP(MONTH(tblTransactions[[#This Row],[Date]])/3,0)&amp;"-"&amp;YEAR(tblTransactions[[#This Row],[Date]])</f>
        <v>Q2-2024</v>
      </c>
      <c r="Q2549">
        <f>YEAR(tblTransactions[[#This Row],[Date]])</f>
        <v>2024</v>
      </c>
      <c r="R2549" t="str">
        <f>TEXT(tblTransactions[[#This Row],[Date]],"DDDD")</f>
        <v>Thursday</v>
      </c>
      <c r="S2549">
        <f>MONTH(tblTransactions[[#This Row],[Date]])</f>
        <v>6</v>
      </c>
      <c r="T2549" t="str">
        <f>VLOOKUP(E2549, Products!$A:$B,2,0)</f>
        <v>Chairs Fur-2</v>
      </c>
      <c r="U2549" t="str">
        <f>VLOOKUP(E2549,Products!$A:$C,3,0)</f>
        <v>Furniture</v>
      </c>
      <c r="V2549" t="str">
        <f>VLOOKUP(E2549,Products!$A:$D,4,0)</f>
        <v>Chairs</v>
      </c>
      <c r="W2549" t="str">
        <f>VLOOKUP(D2549,Customers!$A:$C,3,0)</f>
        <v>B2B</v>
      </c>
      <c r="X2549" t="str">
        <f>VLOOKUP(C2549,Sales_Representatives!$A:$B,2,0)</f>
        <v>Robert Jones</v>
      </c>
    </row>
    <row r="2550" spans="1:24" x14ac:dyDescent="0.3">
      <c r="A2550" t="s">
        <v>3535</v>
      </c>
      <c r="B2550" t="s">
        <v>3530</v>
      </c>
      <c r="C2550" t="s">
        <v>141</v>
      </c>
      <c r="D2550" t="s">
        <v>1728</v>
      </c>
      <c r="E2550" t="s">
        <v>29</v>
      </c>
      <c r="F2550">
        <v>17</v>
      </c>
      <c r="G2550">
        <v>1363.46</v>
      </c>
      <c r="H2550">
        <v>0.17</v>
      </c>
      <c r="I2550" s="4">
        <v>19238.419999999998</v>
      </c>
      <c r="J2550" t="s">
        <v>109</v>
      </c>
      <c r="K2550" t="s">
        <v>39</v>
      </c>
      <c r="L2550" s="4">
        <f>VLOOKUP(tblTransactions[[#This Row],[Product_ID]],tblProducts[],5,FALSE)</f>
        <v>995.41</v>
      </c>
      <c r="M2550" s="4">
        <f>tblTransactions[[#This Row],[Total_Amount]]-(tblTransactions[[#This Row],[Cost_Prices]]*tblTransactions[[#This Row],[Quantity]]*(1-tblTransactions[[#This Row],[Discount]]))</f>
        <v>5193.1848999999984</v>
      </c>
      <c r="N2550" s="3">
        <f>tblTransactions[[#This Row],[Profit]]/tblTransactions[[#This Row],[Total_Amount]]</f>
        <v>0.2699382225775297</v>
      </c>
      <c r="O2550" t="str">
        <f>TEXT(tblTransactions[[#This Row],[Date]], "MMM-YYYY")</f>
        <v>Jun-2024</v>
      </c>
      <c r="P2550" t="str">
        <f>"Q"&amp;ROUNDUP(MONTH(tblTransactions[[#This Row],[Date]])/3,0)&amp;"-"&amp;YEAR(tblTransactions[[#This Row],[Date]])</f>
        <v>Q2-2024</v>
      </c>
      <c r="Q2550">
        <f>YEAR(tblTransactions[[#This Row],[Date]])</f>
        <v>2024</v>
      </c>
      <c r="R2550" t="str">
        <f>TEXT(tblTransactions[[#This Row],[Date]],"DDDD")</f>
        <v>Thursday</v>
      </c>
      <c r="S2550">
        <f>MONTH(tblTransactions[[#This Row],[Date]])</f>
        <v>6</v>
      </c>
      <c r="T2550" t="str">
        <f>VLOOKUP(E2550, Products!$A:$B,2,0)</f>
        <v>Phones Ele-3</v>
      </c>
      <c r="U2550" t="str">
        <f>VLOOKUP(E2550,Products!$A:$C,3,0)</f>
        <v>Electronics</v>
      </c>
      <c r="V2550" t="str">
        <f>VLOOKUP(E2550,Products!$A:$D,4,0)</f>
        <v>Phones</v>
      </c>
      <c r="W2550" t="str">
        <f>VLOOKUP(D2550,Customers!$A:$C,3,0)</f>
        <v>B2B</v>
      </c>
      <c r="X2550" t="str">
        <f>VLOOKUP(C2550,Sales_Representatives!$A:$B,2,0)</f>
        <v>Richard Garcia</v>
      </c>
    </row>
    <row r="2551" spans="1:24" x14ac:dyDescent="0.3">
      <c r="A2551" t="s">
        <v>3536</v>
      </c>
      <c r="B2551" t="s">
        <v>3537</v>
      </c>
      <c r="C2551" t="s">
        <v>56</v>
      </c>
      <c r="D2551" t="s">
        <v>2376</v>
      </c>
      <c r="E2551" t="s">
        <v>194</v>
      </c>
      <c r="F2551">
        <v>7</v>
      </c>
      <c r="G2551">
        <v>82.84</v>
      </c>
      <c r="H2551">
        <v>0.08</v>
      </c>
      <c r="I2551" s="4">
        <v>533.49</v>
      </c>
      <c r="J2551" t="s">
        <v>34</v>
      </c>
      <c r="K2551" t="s">
        <v>17</v>
      </c>
      <c r="L2551" s="4">
        <f>VLOOKUP(tblTransactions[[#This Row],[Product_ID]],tblProducts[],5,FALSE)</f>
        <v>52.98</v>
      </c>
      <c r="M2551" s="4">
        <f>tblTransactions[[#This Row],[Total_Amount]]-(tblTransactions[[#This Row],[Cost_Prices]]*tblTransactions[[#This Row],[Quantity]]*(1-tblTransactions[[#This Row],[Discount]]))</f>
        <v>192.29880000000003</v>
      </c>
      <c r="N2551" s="3">
        <f>tblTransactions[[#This Row],[Profit]]/tblTransactions[[#This Row],[Total_Amount]]</f>
        <v>0.36045436652983193</v>
      </c>
      <c r="O2551" t="str">
        <f>TEXT(tblTransactions[[#This Row],[Date]], "MMM-YYYY")</f>
        <v>Jun-2024</v>
      </c>
      <c r="P2551" t="str">
        <f>"Q"&amp;ROUNDUP(MONTH(tblTransactions[[#This Row],[Date]])/3,0)&amp;"-"&amp;YEAR(tblTransactions[[#This Row],[Date]])</f>
        <v>Q2-2024</v>
      </c>
      <c r="Q2551">
        <f>YEAR(tblTransactions[[#This Row],[Date]])</f>
        <v>2024</v>
      </c>
      <c r="R2551" t="str">
        <f>TEXT(tblTransactions[[#This Row],[Date]],"DDDD")</f>
        <v>Saturday</v>
      </c>
      <c r="S2551">
        <f>MONTH(tblTransactions[[#This Row],[Date]])</f>
        <v>6</v>
      </c>
      <c r="T2551" t="str">
        <f>VLOOKUP(E2551, Products!$A:$B,2,0)</f>
        <v>Binders Off-2</v>
      </c>
      <c r="U2551" t="str">
        <f>VLOOKUP(E2551,Products!$A:$C,3,0)</f>
        <v>Office Supplies</v>
      </c>
      <c r="V2551" t="str">
        <f>VLOOKUP(E2551,Products!$A:$D,4,0)</f>
        <v>Binders</v>
      </c>
      <c r="W2551" t="str">
        <f>VLOOKUP(D2551,Customers!$A:$C,3,0)</f>
        <v>B2C</v>
      </c>
      <c r="X2551" t="str">
        <f>VLOOKUP(C2551,Sales_Representatives!$A:$B,2,0)</f>
        <v>Thomas Hernandez</v>
      </c>
    </row>
    <row r="2552" spans="1:24" x14ac:dyDescent="0.3">
      <c r="A2552" t="s">
        <v>3538</v>
      </c>
      <c r="B2552" t="s">
        <v>3537</v>
      </c>
      <c r="C2552" t="s">
        <v>31</v>
      </c>
      <c r="D2552" t="s">
        <v>28</v>
      </c>
      <c r="E2552" t="s">
        <v>204</v>
      </c>
      <c r="F2552">
        <v>8</v>
      </c>
      <c r="G2552">
        <v>715.62</v>
      </c>
      <c r="H2552">
        <v>0.06</v>
      </c>
      <c r="I2552" s="4">
        <v>5381.46</v>
      </c>
      <c r="J2552" t="s">
        <v>34</v>
      </c>
      <c r="K2552" t="s">
        <v>35</v>
      </c>
      <c r="L2552" s="4">
        <f>VLOOKUP(tblTransactions[[#This Row],[Product_ID]],tblProducts[],5,FALSE)</f>
        <v>459.58</v>
      </c>
      <c r="M2552" s="4">
        <f>tblTransactions[[#This Row],[Total_Amount]]-(tblTransactions[[#This Row],[Cost_Prices]]*tblTransactions[[#This Row],[Quantity]]*(1-tblTransactions[[#This Row],[Discount]]))</f>
        <v>1925.4184000000005</v>
      </c>
      <c r="N2552" s="3">
        <f>tblTransactions[[#This Row],[Profit]]/tblTransactions[[#This Row],[Total_Amount]]</f>
        <v>0.35778736625376767</v>
      </c>
      <c r="O2552" t="str">
        <f>TEXT(tblTransactions[[#This Row],[Date]], "MMM-YYYY")</f>
        <v>Jun-2024</v>
      </c>
      <c r="P2552" t="str">
        <f>"Q"&amp;ROUNDUP(MONTH(tblTransactions[[#This Row],[Date]])/3,0)&amp;"-"&amp;YEAR(tblTransactions[[#This Row],[Date]])</f>
        <v>Q2-2024</v>
      </c>
      <c r="Q2552">
        <f>YEAR(tblTransactions[[#This Row],[Date]])</f>
        <v>2024</v>
      </c>
      <c r="R2552" t="str">
        <f>TEXT(tblTransactions[[#This Row],[Date]],"DDDD")</f>
        <v>Saturday</v>
      </c>
      <c r="S2552">
        <f>MONTH(tblTransactions[[#This Row],[Date]])</f>
        <v>6</v>
      </c>
      <c r="T2552" t="str">
        <f>VLOOKUP(E2552, Products!$A:$B,2,0)</f>
        <v>Cameras Ele-2</v>
      </c>
      <c r="U2552" t="str">
        <f>VLOOKUP(E2552,Products!$A:$C,3,0)</f>
        <v>Electronics</v>
      </c>
      <c r="V2552" t="str">
        <f>VLOOKUP(E2552,Products!$A:$D,4,0)</f>
        <v>Cameras</v>
      </c>
      <c r="W2552" t="str">
        <f>VLOOKUP(D2552,Customers!$A:$C,3,0)</f>
        <v>B2B</v>
      </c>
      <c r="X2552" t="str">
        <f>VLOOKUP(C2552,Sales_Representatives!$A:$B,2,0)</f>
        <v>Thomas Martinez</v>
      </c>
    </row>
    <row r="2553" spans="1:24" x14ac:dyDescent="0.3">
      <c r="A2553" t="s">
        <v>3539</v>
      </c>
      <c r="B2553" t="s">
        <v>3537</v>
      </c>
      <c r="C2553" t="s">
        <v>19</v>
      </c>
      <c r="D2553" t="s">
        <v>1912</v>
      </c>
      <c r="E2553" t="s">
        <v>20</v>
      </c>
      <c r="F2553">
        <v>8</v>
      </c>
      <c r="G2553">
        <v>1219.49</v>
      </c>
      <c r="H2553">
        <v>0.08</v>
      </c>
      <c r="I2553" s="4">
        <v>8975.4500000000007</v>
      </c>
      <c r="J2553" t="s">
        <v>21</v>
      </c>
      <c r="K2553" t="s">
        <v>17</v>
      </c>
      <c r="L2553" s="4">
        <f>VLOOKUP(tblTransactions[[#This Row],[Product_ID]],tblProducts[],5,FALSE)</f>
        <v>686.9</v>
      </c>
      <c r="M2553" s="4">
        <f>tblTransactions[[#This Row],[Total_Amount]]-(tblTransactions[[#This Row],[Cost_Prices]]*tblTransactions[[#This Row],[Quantity]]*(1-tblTransactions[[#This Row],[Discount]]))</f>
        <v>3919.8660000000009</v>
      </c>
      <c r="N2553" s="3">
        <f>tblTransactions[[#This Row],[Profit]]/tblTransactions[[#This Row],[Total_Amount]]</f>
        <v>0.436731974441393</v>
      </c>
      <c r="O2553" t="str">
        <f>TEXT(tblTransactions[[#This Row],[Date]], "MMM-YYYY")</f>
        <v>Jun-2024</v>
      </c>
      <c r="P2553" t="str">
        <f>"Q"&amp;ROUNDUP(MONTH(tblTransactions[[#This Row],[Date]])/3,0)&amp;"-"&amp;YEAR(tblTransactions[[#This Row],[Date]])</f>
        <v>Q2-2024</v>
      </c>
      <c r="Q2553">
        <f>YEAR(tblTransactions[[#This Row],[Date]])</f>
        <v>2024</v>
      </c>
      <c r="R2553" t="str">
        <f>TEXT(tblTransactions[[#This Row],[Date]],"DDDD")</f>
        <v>Saturday</v>
      </c>
      <c r="S2553">
        <f>MONTH(tblTransactions[[#This Row],[Date]])</f>
        <v>6</v>
      </c>
      <c r="T2553" t="str">
        <f>VLOOKUP(E2553, Products!$A:$B,2,0)</f>
        <v>Laptops Ele-1</v>
      </c>
      <c r="U2553" t="str">
        <f>VLOOKUP(E2553,Products!$A:$C,3,0)</f>
        <v>Electronics</v>
      </c>
      <c r="V2553" t="str">
        <f>VLOOKUP(E2553,Products!$A:$D,4,0)</f>
        <v>Laptops</v>
      </c>
      <c r="W2553" t="str">
        <f>VLOOKUP(D2553,Customers!$A:$C,3,0)</f>
        <v>Enterprise</v>
      </c>
      <c r="X2553" t="str">
        <f>VLOOKUP(C2553,Sales_Representatives!$A:$B,2,0)</f>
        <v>Robert Jones</v>
      </c>
    </row>
    <row r="2554" spans="1:24" x14ac:dyDescent="0.3">
      <c r="A2554" t="s">
        <v>3540</v>
      </c>
      <c r="B2554" t="s">
        <v>3537</v>
      </c>
      <c r="C2554" t="s">
        <v>13</v>
      </c>
      <c r="D2554" t="s">
        <v>1481</v>
      </c>
      <c r="E2554" t="s">
        <v>96</v>
      </c>
      <c r="F2554">
        <v>17</v>
      </c>
      <c r="G2554">
        <v>751.9</v>
      </c>
      <c r="H2554">
        <v>0.12</v>
      </c>
      <c r="I2554" s="4">
        <v>11248.42</v>
      </c>
      <c r="J2554" t="s">
        <v>16</v>
      </c>
      <c r="K2554" t="s">
        <v>39</v>
      </c>
      <c r="L2554" s="4">
        <f>VLOOKUP(tblTransactions[[#This Row],[Product_ID]],tblProducts[],5,FALSE)</f>
        <v>570.29</v>
      </c>
      <c r="M2554" s="4">
        <f>tblTransactions[[#This Row],[Total_Amount]]-(tblTransactions[[#This Row],[Cost_Prices]]*tblTransactions[[#This Row],[Quantity]]*(1-tblTransactions[[#This Row],[Discount]]))</f>
        <v>2716.8816000000006</v>
      </c>
      <c r="N2554" s="3">
        <f>tblTransactions[[#This Row],[Profit]]/tblTransactions[[#This Row],[Total_Amount]]</f>
        <v>0.24153450884657585</v>
      </c>
      <c r="O2554" t="str">
        <f>TEXT(tblTransactions[[#This Row],[Date]], "MMM-YYYY")</f>
        <v>Jun-2024</v>
      </c>
      <c r="P2554" t="str">
        <f>"Q"&amp;ROUNDUP(MONTH(tblTransactions[[#This Row],[Date]])/3,0)&amp;"-"&amp;YEAR(tblTransactions[[#This Row],[Date]])</f>
        <v>Q2-2024</v>
      </c>
      <c r="Q2554">
        <f>YEAR(tblTransactions[[#This Row],[Date]])</f>
        <v>2024</v>
      </c>
      <c r="R2554" t="str">
        <f>TEXT(tblTransactions[[#This Row],[Date]],"DDDD")</f>
        <v>Saturday</v>
      </c>
      <c r="S2554">
        <f>MONTH(tblTransactions[[#This Row],[Date]])</f>
        <v>6</v>
      </c>
      <c r="T2554" t="str">
        <f>VLOOKUP(E2554, Products!$A:$B,2,0)</f>
        <v>Routers Tec-1</v>
      </c>
      <c r="U2554" t="str">
        <f>VLOOKUP(E2554,Products!$A:$C,3,0)</f>
        <v>Technology</v>
      </c>
      <c r="V2554" t="str">
        <f>VLOOKUP(E2554,Products!$A:$D,4,0)</f>
        <v>Routers</v>
      </c>
      <c r="W2554" t="str">
        <f>VLOOKUP(D2554,Customers!$A:$C,3,0)</f>
        <v>B2B</v>
      </c>
      <c r="X2554" t="str">
        <f>VLOOKUP(C2554,Sales_Representatives!$A:$B,2,0)</f>
        <v>Jennifer Rodriguez</v>
      </c>
    </row>
    <row r="2555" spans="1:24" x14ac:dyDescent="0.3">
      <c r="A2555" t="s">
        <v>3541</v>
      </c>
      <c r="B2555" t="s">
        <v>3542</v>
      </c>
      <c r="C2555" t="s">
        <v>82</v>
      </c>
      <c r="D2555" t="s">
        <v>362</v>
      </c>
      <c r="E2555" t="s">
        <v>29</v>
      </c>
      <c r="F2555">
        <v>6</v>
      </c>
      <c r="G2555">
        <v>1363.46</v>
      </c>
      <c r="H2555">
        <v>0.13</v>
      </c>
      <c r="I2555" s="4">
        <v>7117.26</v>
      </c>
      <c r="J2555" t="s">
        <v>34</v>
      </c>
      <c r="K2555" t="s">
        <v>39</v>
      </c>
      <c r="L2555" s="4">
        <f>VLOOKUP(tblTransactions[[#This Row],[Product_ID]],tblProducts[],5,FALSE)</f>
        <v>995.41</v>
      </c>
      <c r="M2555" s="4">
        <f>tblTransactions[[#This Row],[Total_Amount]]-(tblTransactions[[#This Row],[Cost_Prices]]*tblTransactions[[#This Row],[Quantity]]*(1-tblTransactions[[#This Row],[Discount]]))</f>
        <v>1921.2197999999999</v>
      </c>
      <c r="N2555" s="3">
        <f>tblTransactions[[#This Row],[Profit]]/tblTransactions[[#This Row],[Total_Amount]]</f>
        <v>0.26993812225491265</v>
      </c>
      <c r="O2555" t="str">
        <f>TEXT(tblTransactions[[#This Row],[Date]], "MMM-YYYY")</f>
        <v>Jun-2024</v>
      </c>
      <c r="P2555" t="str">
        <f>"Q"&amp;ROUNDUP(MONTH(tblTransactions[[#This Row],[Date]])/3,0)&amp;"-"&amp;YEAR(tblTransactions[[#This Row],[Date]])</f>
        <v>Q2-2024</v>
      </c>
      <c r="Q2555">
        <f>YEAR(tblTransactions[[#This Row],[Date]])</f>
        <v>2024</v>
      </c>
      <c r="R2555" t="str">
        <f>TEXT(tblTransactions[[#This Row],[Date]],"DDDD")</f>
        <v>Sunday</v>
      </c>
      <c r="S2555">
        <f>MONTH(tblTransactions[[#This Row],[Date]])</f>
        <v>6</v>
      </c>
      <c r="T2555" t="str">
        <f>VLOOKUP(E2555, Products!$A:$B,2,0)</f>
        <v>Phones Ele-3</v>
      </c>
      <c r="U2555" t="str">
        <f>VLOOKUP(E2555,Products!$A:$C,3,0)</f>
        <v>Electronics</v>
      </c>
      <c r="V2555" t="str">
        <f>VLOOKUP(E2555,Products!$A:$D,4,0)</f>
        <v>Phones</v>
      </c>
      <c r="W2555" t="str">
        <f>VLOOKUP(D2555,Customers!$A:$C,3,0)</f>
        <v>Small Business</v>
      </c>
      <c r="X2555" t="str">
        <f>VLOOKUP(C2555,Sales_Representatives!$A:$B,2,0)</f>
        <v>John Brown</v>
      </c>
    </row>
    <row r="2556" spans="1:24" x14ac:dyDescent="0.3">
      <c r="A2556" t="s">
        <v>3543</v>
      </c>
      <c r="B2556" t="s">
        <v>3542</v>
      </c>
      <c r="C2556" t="s">
        <v>13</v>
      </c>
      <c r="D2556" t="s">
        <v>1635</v>
      </c>
      <c r="E2556" t="s">
        <v>89</v>
      </c>
      <c r="F2556">
        <v>5</v>
      </c>
      <c r="G2556">
        <v>555.08000000000004</v>
      </c>
      <c r="H2556">
        <v>0.02</v>
      </c>
      <c r="I2556" s="4">
        <v>2719.89</v>
      </c>
      <c r="J2556" t="s">
        <v>16</v>
      </c>
      <c r="K2556" t="s">
        <v>35</v>
      </c>
      <c r="L2556" s="4">
        <f>VLOOKUP(tblTransactions[[#This Row],[Product_ID]],tblProducts[],5,FALSE)</f>
        <v>402.82</v>
      </c>
      <c r="M2556" s="4">
        <f>tblTransactions[[#This Row],[Total_Amount]]-(tblTransactions[[#This Row],[Cost_Prices]]*tblTransactions[[#This Row],[Quantity]]*(1-tblTransactions[[#This Row],[Discount]]))</f>
        <v>746.07199999999989</v>
      </c>
      <c r="N2556" s="3">
        <f>tblTransactions[[#This Row],[Profit]]/tblTransactions[[#This Row],[Total_Amount]]</f>
        <v>0.27430226957707848</v>
      </c>
      <c r="O2556" t="str">
        <f>TEXT(tblTransactions[[#This Row],[Date]], "MMM-YYYY")</f>
        <v>Jun-2024</v>
      </c>
      <c r="P2556" t="str">
        <f>"Q"&amp;ROUNDUP(MONTH(tblTransactions[[#This Row],[Date]])/3,0)&amp;"-"&amp;YEAR(tblTransactions[[#This Row],[Date]])</f>
        <v>Q2-2024</v>
      </c>
      <c r="Q2556">
        <f>YEAR(tblTransactions[[#This Row],[Date]])</f>
        <v>2024</v>
      </c>
      <c r="R2556" t="str">
        <f>TEXT(tblTransactions[[#This Row],[Date]],"DDDD")</f>
        <v>Sunday</v>
      </c>
      <c r="S2556">
        <f>MONTH(tblTransactions[[#This Row],[Date]])</f>
        <v>6</v>
      </c>
      <c r="T2556" t="str">
        <f>VLOOKUP(E2556, Products!$A:$B,2,0)</f>
        <v>Laptops Ele-3</v>
      </c>
      <c r="U2556" t="str">
        <f>VLOOKUP(E2556,Products!$A:$C,3,0)</f>
        <v>Electronics</v>
      </c>
      <c r="V2556" t="str">
        <f>VLOOKUP(E2556,Products!$A:$D,4,0)</f>
        <v>Laptops</v>
      </c>
      <c r="W2556" t="str">
        <f>VLOOKUP(D2556,Customers!$A:$C,3,0)</f>
        <v>Enterprise</v>
      </c>
      <c r="X2556" t="str">
        <f>VLOOKUP(C2556,Sales_Representatives!$A:$B,2,0)</f>
        <v>Jennifer Rodriguez</v>
      </c>
    </row>
    <row r="2557" spans="1:24" x14ac:dyDescent="0.3">
      <c r="A2557" t="s">
        <v>3544</v>
      </c>
      <c r="B2557" t="s">
        <v>3542</v>
      </c>
      <c r="C2557" t="s">
        <v>13</v>
      </c>
      <c r="D2557" t="s">
        <v>1530</v>
      </c>
      <c r="E2557" t="s">
        <v>84</v>
      </c>
      <c r="F2557">
        <v>45</v>
      </c>
      <c r="G2557">
        <v>1841.77</v>
      </c>
      <c r="H2557">
        <v>0.18</v>
      </c>
      <c r="I2557" s="4">
        <v>67961.31</v>
      </c>
      <c r="J2557" t="s">
        <v>16</v>
      </c>
      <c r="K2557" t="s">
        <v>39</v>
      </c>
      <c r="L2557" s="4">
        <f>VLOOKUP(tblTransactions[[#This Row],[Product_ID]],tblProducts[],5,FALSE)</f>
        <v>1151.5899999999999</v>
      </c>
      <c r="M2557" s="4">
        <f>tblTransactions[[#This Row],[Total_Amount]]-(tblTransactions[[#This Row],[Cost_Prices]]*tblTransactions[[#This Row],[Quantity]]*(1-tblTransactions[[#This Row],[Discount]]))</f>
        <v>25467.638999999996</v>
      </c>
      <c r="N2557" s="3">
        <f>tblTransactions[[#This Row],[Profit]]/tblTransactions[[#This Row],[Total_Amount]]</f>
        <v>0.37473731745312144</v>
      </c>
      <c r="O2557" t="str">
        <f>TEXT(tblTransactions[[#This Row],[Date]], "MMM-YYYY")</f>
        <v>Jun-2024</v>
      </c>
      <c r="P2557" t="str">
        <f>"Q"&amp;ROUNDUP(MONTH(tblTransactions[[#This Row],[Date]])/3,0)&amp;"-"&amp;YEAR(tblTransactions[[#This Row],[Date]])</f>
        <v>Q2-2024</v>
      </c>
      <c r="Q2557">
        <f>YEAR(tblTransactions[[#This Row],[Date]])</f>
        <v>2024</v>
      </c>
      <c r="R2557" t="str">
        <f>TEXT(tblTransactions[[#This Row],[Date]],"DDDD")</f>
        <v>Sunday</v>
      </c>
      <c r="S2557">
        <f>MONTH(tblTransactions[[#This Row],[Date]])</f>
        <v>6</v>
      </c>
      <c r="T2557" t="str">
        <f>VLOOKUP(E2557, Products!$A:$B,2,0)</f>
        <v>Laptops Ele-2</v>
      </c>
      <c r="U2557" t="str">
        <f>VLOOKUP(E2557,Products!$A:$C,3,0)</f>
        <v>Electronics</v>
      </c>
      <c r="V2557" t="str">
        <f>VLOOKUP(E2557,Products!$A:$D,4,0)</f>
        <v>Laptops</v>
      </c>
      <c r="W2557" t="str">
        <f>VLOOKUP(D2557,Customers!$A:$C,3,0)</f>
        <v>Enterprise</v>
      </c>
      <c r="X2557" t="str">
        <f>VLOOKUP(C2557,Sales_Representatives!$A:$B,2,0)</f>
        <v>Jennifer Rodriguez</v>
      </c>
    </row>
    <row r="2558" spans="1:24" x14ac:dyDescent="0.3">
      <c r="A2558" t="s">
        <v>3545</v>
      </c>
      <c r="B2558" t="s">
        <v>3542</v>
      </c>
      <c r="C2558" t="s">
        <v>82</v>
      </c>
      <c r="D2558" t="s">
        <v>1986</v>
      </c>
      <c r="E2558" t="s">
        <v>376</v>
      </c>
      <c r="F2558">
        <v>6</v>
      </c>
      <c r="G2558">
        <v>229.65</v>
      </c>
      <c r="H2558">
        <v>0.11</v>
      </c>
      <c r="I2558" s="4">
        <v>1226.33</v>
      </c>
      <c r="J2558" t="s">
        <v>34</v>
      </c>
      <c r="K2558" t="s">
        <v>35</v>
      </c>
      <c r="L2558" s="4">
        <f>VLOOKUP(tblTransactions[[#This Row],[Product_ID]],tblProducts[],5,FALSE)</f>
        <v>96.84</v>
      </c>
      <c r="M2558" s="4">
        <f>tblTransactions[[#This Row],[Total_Amount]]-(tblTransactions[[#This Row],[Cost_Prices]]*tblTransactions[[#This Row],[Quantity]]*(1-tblTransactions[[#This Row],[Discount]]))</f>
        <v>709.20439999999996</v>
      </c>
      <c r="N2558" s="3">
        <f>tblTransactions[[#This Row],[Profit]]/tblTransactions[[#This Row],[Total_Amount]]</f>
        <v>0.57831448305105482</v>
      </c>
      <c r="O2558" t="str">
        <f>TEXT(tblTransactions[[#This Row],[Date]], "MMM-YYYY")</f>
        <v>Jun-2024</v>
      </c>
      <c r="P2558" t="str">
        <f>"Q"&amp;ROUNDUP(MONTH(tblTransactions[[#This Row],[Date]])/3,0)&amp;"-"&amp;YEAR(tblTransactions[[#This Row],[Date]])</f>
        <v>Q2-2024</v>
      </c>
      <c r="Q2558">
        <f>YEAR(tblTransactions[[#This Row],[Date]])</f>
        <v>2024</v>
      </c>
      <c r="R2558" t="str">
        <f>TEXT(tblTransactions[[#This Row],[Date]],"DDDD")</f>
        <v>Sunday</v>
      </c>
      <c r="S2558">
        <f>MONTH(tblTransactions[[#This Row],[Date]])</f>
        <v>6</v>
      </c>
      <c r="T2558" t="str">
        <f>VLOOKUP(E2558, Products!$A:$B,2,0)</f>
        <v>Adapters Acc-2</v>
      </c>
      <c r="U2558" t="str">
        <f>VLOOKUP(E2558,Products!$A:$C,3,0)</f>
        <v>Accessories</v>
      </c>
      <c r="V2558" t="str">
        <f>VLOOKUP(E2558,Products!$A:$D,4,0)</f>
        <v>Adapters</v>
      </c>
      <c r="W2558" t="str">
        <f>VLOOKUP(D2558,Customers!$A:$C,3,0)</f>
        <v>B2C</v>
      </c>
      <c r="X2558" t="str">
        <f>VLOOKUP(C2558,Sales_Representatives!$A:$B,2,0)</f>
        <v>John Brown</v>
      </c>
    </row>
    <row r="2559" spans="1:24" x14ac:dyDescent="0.3">
      <c r="A2559" t="s">
        <v>3546</v>
      </c>
      <c r="B2559" t="s">
        <v>3547</v>
      </c>
      <c r="C2559" t="s">
        <v>56</v>
      </c>
      <c r="D2559" t="s">
        <v>1673</v>
      </c>
      <c r="E2559" t="s">
        <v>435</v>
      </c>
      <c r="F2559">
        <v>2</v>
      </c>
      <c r="G2559">
        <v>198.72</v>
      </c>
      <c r="H2559">
        <v>0.05</v>
      </c>
      <c r="I2559" s="4">
        <v>377.57</v>
      </c>
      <c r="J2559" t="s">
        <v>34</v>
      </c>
      <c r="K2559" t="s">
        <v>17</v>
      </c>
      <c r="L2559" s="4">
        <f>VLOOKUP(tblTransactions[[#This Row],[Product_ID]],tblProducts[],5,FALSE)</f>
        <v>116.98</v>
      </c>
      <c r="M2559" s="4">
        <f>tblTransactions[[#This Row],[Total_Amount]]-(tblTransactions[[#This Row],[Cost_Prices]]*tblTransactions[[#This Row],[Quantity]]*(1-tblTransactions[[#This Row],[Discount]]))</f>
        <v>155.30799999999999</v>
      </c>
      <c r="N2559" s="3">
        <f>tblTransactions[[#This Row],[Profit]]/tblTransactions[[#This Row],[Total_Amount]]</f>
        <v>0.41133564637020947</v>
      </c>
      <c r="O2559" t="str">
        <f>TEXT(tblTransactions[[#This Row],[Date]], "MMM-YYYY")</f>
        <v>Jul-2024</v>
      </c>
      <c r="P2559" t="str">
        <f>"Q"&amp;ROUNDUP(MONTH(tblTransactions[[#This Row],[Date]])/3,0)&amp;"-"&amp;YEAR(tblTransactions[[#This Row],[Date]])</f>
        <v>Q3-2024</v>
      </c>
      <c r="Q2559">
        <f>YEAR(tblTransactions[[#This Row],[Date]])</f>
        <v>2024</v>
      </c>
      <c r="R2559" t="str">
        <f>TEXT(tblTransactions[[#This Row],[Date]],"DDDD")</f>
        <v>Monday</v>
      </c>
      <c r="S2559">
        <f>MONTH(tblTransactions[[#This Row],[Date]])</f>
        <v>7</v>
      </c>
      <c r="T2559" t="str">
        <f>VLOOKUP(E2559, Products!$A:$B,2,0)</f>
        <v>Paper Off-4</v>
      </c>
      <c r="U2559" t="str">
        <f>VLOOKUP(E2559,Products!$A:$C,3,0)</f>
        <v>Office Supplies</v>
      </c>
      <c r="V2559" t="str">
        <f>VLOOKUP(E2559,Products!$A:$D,4,0)</f>
        <v>Paper</v>
      </c>
      <c r="W2559" t="str">
        <f>VLOOKUP(D2559,Customers!$A:$C,3,0)</f>
        <v>B2C</v>
      </c>
      <c r="X2559" t="str">
        <f>VLOOKUP(C2559,Sales_Representatives!$A:$B,2,0)</f>
        <v>Thomas Hernandez</v>
      </c>
    </row>
    <row r="2560" spans="1:24" x14ac:dyDescent="0.3">
      <c r="A2560" t="s">
        <v>3548</v>
      </c>
      <c r="B2560" t="s">
        <v>3547</v>
      </c>
      <c r="C2560" t="s">
        <v>70</v>
      </c>
      <c r="D2560" t="s">
        <v>2466</v>
      </c>
      <c r="E2560" t="s">
        <v>108</v>
      </c>
      <c r="F2560">
        <v>1</v>
      </c>
      <c r="G2560">
        <v>155.75</v>
      </c>
      <c r="H2560">
        <v>0.03</v>
      </c>
      <c r="I2560" s="4">
        <v>151.08000000000001</v>
      </c>
      <c r="J2560" t="s">
        <v>16</v>
      </c>
      <c r="K2560" t="s">
        <v>39</v>
      </c>
      <c r="L2560" s="4">
        <f>VLOOKUP(tblTransactions[[#This Row],[Product_ID]],tblProducts[],5,FALSE)</f>
        <v>80.8</v>
      </c>
      <c r="M2560" s="4">
        <f>tblTransactions[[#This Row],[Total_Amount]]-(tblTransactions[[#This Row],[Cost_Prices]]*tblTransactions[[#This Row],[Quantity]]*(1-tblTransactions[[#This Row],[Discount]]))</f>
        <v>72.704000000000022</v>
      </c>
      <c r="N2560" s="3">
        <f>tblTransactions[[#This Row],[Profit]]/tblTransactions[[#This Row],[Total_Amount]]</f>
        <v>0.48122848821816266</v>
      </c>
      <c r="O2560" t="str">
        <f>TEXT(tblTransactions[[#This Row],[Date]], "MMM-YYYY")</f>
        <v>Jul-2024</v>
      </c>
      <c r="P2560" t="str">
        <f>"Q"&amp;ROUNDUP(MONTH(tblTransactions[[#This Row],[Date]])/3,0)&amp;"-"&amp;YEAR(tblTransactions[[#This Row],[Date]])</f>
        <v>Q3-2024</v>
      </c>
      <c r="Q2560">
        <f>YEAR(tblTransactions[[#This Row],[Date]])</f>
        <v>2024</v>
      </c>
      <c r="R2560" t="str">
        <f>TEXT(tblTransactions[[#This Row],[Date]],"DDDD")</f>
        <v>Monday</v>
      </c>
      <c r="S2560">
        <f>MONTH(tblTransactions[[#This Row],[Date]])</f>
        <v>7</v>
      </c>
      <c r="T2560" t="str">
        <f>VLOOKUP(E2560, Products!$A:$B,2,0)</f>
        <v>Cases Acc-1</v>
      </c>
      <c r="U2560" t="str">
        <f>VLOOKUP(E2560,Products!$A:$C,3,0)</f>
        <v>Accessories</v>
      </c>
      <c r="V2560" t="str">
        <f>VLOOKUP(E2560,Products!$A:$D,4,0)</f>
        <v>Cases</v>
      </c>
      <c r="W2560" t="str">
        <f>VLOOKUP(D2560,Customers!$A:$C,3,0)</f>
        <v>B2C</v>
      </c>
      <c r="X2560" t="str">
        <f>VLOOKUP(C2560,Sales_Representatives!$A:$B,2,0)</f>
        <v>Linda Smith</v>
      </c>
    </row>
    <row r="2561" spans="1:24" x14ac:dyDescent="0.3">
      <c r="A2561" t="s">
        <v>3549</v>
      </c>
      <c r="B2561" t="s">
        <v>3547</v>
      </c>
      <c r="C2561" t="s">
        <v>27</v>
      </c>
      <c r="D2561" t="s">
        <v>3001</v>
      </c>
      <c r="E2561" t="s">
        <v>157</v>
      </c>
      <c r="F2561">
        <v>6</v>
      </c>
      <c r="G2561">
        <v>1227.68</v>
      </c>
      <c r="H2561">
        <v>7.0000000000000007E-2</v>
      </c>
      <c r="I2561" s="4">
        <v>6850.45</v>
      </c>
      <c r="J2561" t="s">
        <v>16</v>
      </c>
      <c r="K2561" t="s">
        <v>22</v>
      </c>
      <c r="L2561" s="4">
        <f>VLOOKUP(tblTransactions[[#This Row],[Product_ID]],tblProducts[],5,FALSE)</f>
        <v>846.42</v>
      </c>
      <c r="M2561" s="4">
        <f>tblTransactions[[#This Row],[Total_Amount]]-(tblTransactions[[#This Row],[Cost_Prices]]*tblTransactions[[#This Row],[Quantity]]*(1-tblTransactions[[#This Row],[Discount]]))</f>
        <v>2127.4264000000003</v>
      </c>
      <c r="N2561" s="3">
        <f>tblTransactions[[#This Row],[Profit]]/tblTransactions[[#This Row],[Total_Amount]]</f>
        <v>0.31055279580173573</v>
      </c>
      <c r="O2561" t="str">
        <f>TEXT(tblTransactions[[#This Row],[Date]], "MMM-YYYY")</f>
        <v>Jul-2024</v>
      </c>
      <c r="P2561" t="str">
        <f>"Q"&amp;ROUNDUP(MONTH(tblTransactions[[#This Row],[Date]])/3,0)&amp;"-"&amp;YEAR(tblTransactions[[#This Row],[Date]])</f>
        <v>Q3-2024</v>
      </c>
      <c r="Q2561">
        <f>YEAR(tblTransactions[[#This Row],[Date]])</f>
        <v>2024</v>
      </c>
      <c r="R2561" t="str">
        <f>TEXT(tblTransactions[[#This Row],[Date]],"DDDD")</f>
        <v>Monday</v>
      </c>
      <c r="S2561">
        <f>MONTH(tblTransactions[[#This Row],[Date]])</f>
        <v>7</v>
      </c>
      <c r="T2561" t="str">
        <f>VLOOKUP(E2561, Products!$A:$B,2,0)</f>
        <v>Printers Tec-4</v>
      </c>
      <c r="U2561" t="str">
        <f>VLOOKUP(E2561,Products!$A:$C,3,0)</f>
        <v>Technology</v>
      </c>
      <c r="V2561" t="str">
        <f>VLOOKUP(E2561,Products!$A:$D,4,0)</f>
        <v>Printers</v>
      </c>
      <c r="W2561" t="str">
        <f>VLOOKUP(D2561,Customers!$A:$C,3,0)</f>
        <v>B2B</v>
      </c>
      <c r="X2561" t="str">
        <f>VLOOKUP(C2561,Sales_Representatives!$A:$B,2,0)</f>
        <v>Thomas Lopez</v>
      </c>
    </row>
    <row r="2562" spans="1:24" x14ac:dyDescent="0.3">
      <c r="A2562" t="s">
        <v>3550</v>
      </c>
      <c r="B2562" t="s">
        <v>3547</v>
      </c>
      <c r="C2562" t="s">
        <v>131</v>
      </c>
      <c r="D2562" t="s">
        <v>2505</v>
      </c>
      <c r="E2562" t="s">
        <v>129</v>
      </c>
      <c r="F2562">
        <v>1</v>
      </c>
      <c r="G2562">
        <v>1283.71</v>
      </c>
      <c r="H2562">
        <v>0.05</v>
      </c>
      <c r="I2562" s="4">
        <v>1219.52</v>
      </c>
      <c r="J2562" t="s">
        <v>44</v>
      </c>
      <c r="K2562" t="s">
        <v>48</v>
      </c>
      <c r="L2562" s="4">
        <f>VLOOKUP(tblTransactions[[#This Row],[Product_ID]],tblProducts[],5,FALSE)</f>
        <v>970.14</v>
      </c>
      <c r="M2562" s="4">
        <f>tblTransactions[[#This Row],[Total_Amount]]-(tblTransactions[[#This Row],[Cost_Prices]]*tblTransactions[[#This Row],[Quantity]]*(1-tblTransactions[[#This Row],[Discount]]))</f>
        <v>297.88700000000006</v>
      </c>
      <c r="N2562" s="3">
        <f>tblTransactions[[#This Row],[Profit]]/tblTransactions[[#This Row],[Total_Amount]]</f>
        <v>0.24426577669902919</v>
      </c>
      <c r="O2562" t="str">
        <f>TEXT(tblTransactions[[#This Row],[Date]], "MMM-YYYY")</f>
        <v>Jul-2024</v>
      </c>
      <c r="P2562" t="str">
        <f>"Q"&amp;ROUNDUP(MONTH(tblTransactions[[#This Row],[Date]])/3,0)&amp;"-"&amp;YEAR(tblTransactions[[#This Row],[Date]])</f>
        <v>Q3-2024</v>
      </c>
      <c r="Q2562">
        <f>YEAR(tblTransactions[[#This Row],[Date]])</f>
        <v>2024</v>
      </c>
      <c r="R2562" t="str">
        <f>TEXT(tblTransactions[[#This Row],[Date]],"DDDD")</f>
        <v>Monday</v>
      </c>
      <c r="S2562">
        <f>MONTH(tblTransactions[[#This Row],[Date]])</f>
        <v>7</v>
      </c>
      <c r="T2562" t="str">
        <f>VLOOKUP(E2562, Products!$A:$B,2,0)</f>
        <v>Cameras Ele-3</v>
      </c>
      <c r="U2562" t="str">
        <f>VLOOKUP(E2562,Products!$A:$C,3,0)</f>
        <v>Electronics</v>
      </c>
      <c r="V2562" t="str">
        <f>VLOOKUP(E2562,Products!$A:$D,4,0)</f>
        <v>Cameras</v>
      </c>
      <c r="W2562" t="str">
        <f>VLOOKUP(D2562,Customers!$A:$C,3,0)</f>
        <v>B2C</v>
      </c>
      <c r="X2562" t="str">
        <f>VLOOKUP(C2562,Sales_Representatives!$A:$B,2,0)</f>
        <v>Michael Davis</v>
      </c>
    </row>
    <row r="2563" spans="1:24" x14ac:dyDescent="0.3">
      <c r="A2563" t="s">
        <v>3551</v>
      </c>
      <c r="B2563" t="s">
        <v>3547</v>
      </c>
      <c r="C2563" t="s">
        <v>131</v>
      </c>
      <c r="D2563" t="s">
        <v>71</v>
      </c>
      <c r="E2563" t="s">
        <v>347</v>
      </c>
      <c r="F2563">
        <v>7</v>
      </c>
      <c r="G2563">
        <v>1539.6</v>
      </c>
      <c r="H2563">
        <v>0.13</v>
      </c>
      <c r="I2563" s="4">
        <v>9376.16</v>
      </c>
      <c r="J2563" t="s">
        <v>44</v>
      </c>
      <c r="K2563" t="s">
        <v>35</v>
      </c>
      <c r="L2563" s="4">
        <f>VLOOKUP(tblTransactions[[#This Row],[Product_ID]],tblProducts[],5,FALSE)</f>
        <v>992.43</v>
      </c>
      <c r="M2563" s="4">
        <f>tblTransactions[[#This Row],[Total_Amount]]-(tblTransactions[[#This Row],[Cost_Prices]]*tblTransactions[[#This Row],[Quantity]]*(1-tblTransactions[[#This Row],[Discount]]))</f>
        <v>3332.2613000000001</v>
      </c>
      <c r="N2563" s="3">
        <f>tblTransactions[[#This Row],[Profit]]/tblTransactions[[#This Row],[Total_Amount]]</f>
        <v>0.35539723084930291</v>
      </c>
      <c r="O2563" t="str">
        <f>TEXT(tblTransactions[[#This Row],[Date]], "MMM-YYYY")</f>
        <v>Jul-2024</v>
      </c>
      <c r="P2563" t="str">
        <f>"Q"&amp;ROUNDUP(MONTH(tblTransactions[[#This Row],[Date]])/3,0)&amp;"-"&amp;YEAR(tblTransactions[[#This Row],[Date]])</f>
        <v>Q3-2024</v>
      </c>
      <c r="Q2563">
        <f>YEAR(tblTransactions[[#This Row],[Date]])</f>
        <v>2024</v>
      </c>
      <c r="R2563" t="str">
        <f>TEXT(tblTransactions[[#This Row],[Date]],"DDDD")</f>
        <v>Monday</v>
      </c>
      <c r="S2563">
        <f>MONTH(tblTransactions[[#This Row],[Date]])</f>
        <v>7</v>
      </c>
      <c r="T2563" t="str">
        <f>VLOOKUP(E2563, Products!$A:$B,2,0)</f>
        <v>Routers Tec-2</v>
      </c>
      <c r="U2563" t="str">
        <f>VLOOKUP(E2563,Products!$A:$C,3,0)</f>
        <v>Technology</v>
      </c>
      <c r="V2563" t="str">
        <f>VLOOKUP(E2563,Products!$A:$D,4,0)</f>
        <v>Routers</v>
      </c>
      <c r="W2563" t="str">
        <f>VLOOKUP(D2563,Customers!$A:$C,3,0)</f>
        <v>B2B</v>
      </c>
      <c r="X2563" t="str">
        <f>VLOOKUP(C2563,Sales_Representatives!$A:$B,2,0)</f>
        <v>Michael Davis</v>
      </c>
    </row>
    <row r="2564" spans="1:24" x14ac:dyDescent="0.3">
      <c r="A2564" t="s">
        <v>3552</v>
      </c>
      <c r="B2564" t="s">
        <v>3553</v>
      </c>
      <c r="C2564" t="s">
        <v>70</v>
      </c>
      <c r="D2564" t="s">
        <v>1963</v>
      </c>
      <c r="E2564" t="s">
        <v>255</v>
      </c>
      <c r="F2564">
        <v>3</v>
      </c>
      <c r="G2564">
        <v>1444.13</v>
      </c>
      <c r="H2564">
        <v>0.1</v>
      </c>
      <c r="I2564" s="4">
        <v>3899.15</v>
      </c>
      <c r="J2564" t="s">
        <v>16</v>
      </c>
      <c r="K2564" t="s">
        <v>48</v>
      </c>
      <c r="L2564" s="4">
        <f>VLOOKUP(tblTransactions[[#This Row],[Product_ID]],tblProducts[],5,FALSE)</f>
        <v>874.43</v>
      </c>
      <c r="M2564" s="4">
        <f>tblTransactions[[#This Row],[Total_Amount]]-(tblTransactions[[#This Row],[Cost_Prices]]*tblTransactions[[#This Row],[Quantity]]*(1-tblTransactions[[#This Row],[Discount]]))</f>
        <v>1538.1889999999999</v>
      </c>
      <c r="N2564" s="3">
        <f>tblTransactions[[#This Row],[Profit]]/tblTransactions[[#This Row],[Total_Amount]]</f>
        <v>0.39449341523152476</v>
      </c>
      <c r="O2564" t="str">
        <f>TEXT(tblTransactions[[#This Row],[Date]], "MMM-YYYY")</f>
        <v>Jul-2024</v>
      </c>
      <c r="P2564" t="str">
        <f>"Q"&amp;ROUNDUP(MONTH(tblTransactions[[#This Row],[Date]])/3,0)&amp;"-"&amp;YEAR(tblTransactions[[#This Row],[Date]])</f>
        <v>Q3-2024</v>
      </c>
      <c r="Q2564">
        <f>YEAR(tblTransactions[[#This Row],[Date]])</f>
        <v>2024</v>
      </c>
      <c r="R2564" t="str">
        <f>TEXT(tblTransactions[[#This Row],[Date]],"DDDD")</f>
        <v>Tuesday</v>
      </c>
      <c r="S2564">
        <f>MONTH(tblTransactions[[#This Row],[Date]])</f>
        <v>7</v>
      </c>
      <c r="T2564" t="str">
        <f>VLOOKUP(E2564, Products!$A:$B,2,0)</f>
        <v>Printers Tec-1</v>
      </c>
      <c r="U2564" t="str">
        <f>VLOOKUP(E2564,Products!$A:$C,3,0)</f>
        <v>Technology</v>
      </c>
      <c r="V2564" t="str">
        <f>VLOOKUP(E2564,Products!$A:$D,4,0)</f>
        <v>Printers</v>
      </c>
      <c r="W2564" t="str">
        <f>VLOOKUP(D2564,Customers!$A:$C,3,0)</f>
        <v>Small Business</v>
      </c>
      <c r="X2564" t="str">
        <f>VLOOKUP(C2564,Sales_Representatives!$A:$B,2,0)</f>
        <v>Linda Smith</v>
      </c>
    </row>
    <row r="2565" spans="1:24" x14ac:dyDescent="0.3">
      <c r="A2565" t="s">
        <v>3554</v>
      </c>
      <c r="B2565" t="s">
        <v>3553</v>
      </c>
      <c r="C2565" t="s">
        <v>56</v>
      </c>
      <c r="D2565" t="s">
        <v>95</v>
      </c>
      <c r="E2565" t="s">
        <v>178</v>
      </c>
      <c r="F2565">
        <v>28</v>
      </c>
      <c r="G2565">
        <v>1623.35</v>
      </c>
      <c r="H2565">
        <v>0.17</v>
      </c>
      <c r="I2565" s="4">
        <v>37726.65</v>
      </c>
      <c r="J2565" t="s">
        <v>34</v>
      </c>
      <c r="K2565" t="s">
        <v>39</v>
      </c>
      <c r="L2565" s="4">
        <f>VLOOKUP(tblTransactions[[#This Row],[Product_ID]],tblProducts[],5,FALSE)</f>
        <v>981.45</v>
      </c>
      <c r="M2565" s="4">
        <f>tblTransactions[[#This Row],[Total_Amount]]-(tblTransactions[[#This Row],[Cost_Prices]]*tblTransactions[[#This Row],[Quantity]]*(1-tblTransactions[[#This Row],[Discount]]))</f>
        <v>14917.752</v>
      </c>
      <c r="N2565" s="3">
        <f>tblTransactions[[#This Row],[Profit]]/tblTransactions[[#This Row],[Total_Amount]]</f>
        <v>0.39541682073547479</v>
      </c>
      <c r="O2565" t="str">
        <f>TEXT(tblTransactions[[#This Row],[Date]], "MMM-YYYY")</f>
        <v>Jul-2024</v>
      </c>
      <c r="P2565" t="str">
        <f>"Q"&amp;ROUNDUP(MONTH(tblTransactions[[#This Row],[Date]])/3,0)&amp;"-"&amp;YEAR(tblTransactions[[#This Row],[Date]])</f>
        <v>Q3-2024</v>
      </c>
      <c r="Q2565">
        <f>YEAR(tblTransactions[[#This Row],[Date]])</f>
        <v>2024</v>
      </c>
      <c r="R2565" t="str">
        <f>TEXT(tblTransactions[[#This Row],[Date]],"DDDD")</f>
        <v>Tuesday</v>
      </c>
      <c r="S2565">
        <f>MONTH(tblTransactions[[#This Row],[Date]])</f>
        <v>7</v>
      </c>
      <c r="T2565" t="str">
        <f>VLOOKUP(E2565, Products!$A:$B,2,0)</f>
        <v>Tablets Ele-1</v>
      </c>
      <c r="U2565" t="str">
        <f>VLOOKUP(E2565,Products!$A:$C,3,0)</f>
        <v>Electronics</v>
      </c>
      <c r="V2565" t="str">
        <f>VLOOKUP(E2565,Products!$A:$D,4,0)</f>
        <v>Tablets</v>
      </c>
      <c r="W2565" t="str">
        <f>VLOOKUP(D2565,Customers!$A:$C,3,0)</f>
        <v>Enterprise</v>
      </c>
      <c r="X2565" t="str">
        <f>VLOOKUP(C2565,Sales_Representatives!$A:$B,2,0)</f>
        <v>Thomas Hernandez</v>
      </c>
    </row>
    <row r="2566" spans="1:24" x14ac:dyDescent="0.3">
      <c r="A2566" t="s">
        <v>3555</v>
      </c>
      <c r="B2566" t="s">
        <v>3553</v>
      </c>
      <c r="C2566" t="s">
        <v>59</v>
      </c>
      <c r="D2566" t="s">
        <v>1991</v>
      </c>
      <c r="E2566" t="s">
        <v>224</v>
      </c>
      <c r="F2566">
        <v>6</v>
      </c>
      <c r="G2566">
        <v>505.37</v>
      </c>
      <c r="H2566">
        <v>0.09</v>
      </c>
      <c r="I2566" s="4">
        <v>2759.32</v>
      </c>
      <c r="J2566" t="s">
        <v>21</v>
      </c>
      <c r="K2566" t="s">
        <v>17</v>
      </c>
      <c r="L2566" s="4">
        <f>VLOOKUP(tblTransactions[[#This Row],[Product_ID]],tblProducts[],5,FALSE)</f>
        <v>281.14999999999998</v>
      </c>
      <c r="M2566" s="4">
        <f>tblTransactions[[#This Row],[Total_Amount]]-(tblTransactions[[#This Row],[Cost_Prices]]*tblTransactions[[#This Row],[Quantity]]*(1-tblTransactions[[#This Row],[Discount]]))</f>
        <v>1224.2410000000002</v>
      </c>
      <c r="N2566" s="3">
        <f>tblTransactions[[#This Row],[Profit]]/tblTransactions[[#This Row],[Total_Amount]]</f>
        <v>0.44367489091515305</v>
      </c>
      <c r="O2566" t="str">
        <f>TEXT(tblTransactions[[#This Row],[Date]], "MMM-YYYY")</f>
        <v>Jul-2024</v>
      </c>
      <c r="P2566" t="str">
        <f>"Q"&amp;ROUNDUP(MONTH(tblTransactions[[#This Row],[Date]])/3,0)&amp;"-"&amp;YEAR(tblTransactions[[#This Row],[Date]])</f>
        <v>Q3-2024</v>
      </c>
      <c r="Q2566">
        <f>YEAR(tblTransactions[[#This Row],[Date]])</f>
        <v>2024</v>
      </c>
      <c r="R2566" t="str">
        <f>TEXT(tblTransactions[[#This Row],[Date]],"DDDD")</f>
        <v>Tuesday</v>
      </c>
      <c r="S2566">
        <f>MONTH(tblTransactions[[#This Row],[Date]])</f>
        <v>7</v>
      </c>
      <c r="T2566" t="str">
        <f>VLOOKUP(E2566, Products!$A:$B,2,0)</f>
        <v>Desks Fur-3</v>
      </c>
      <c r="U2566" t="str">
        <f>VLOOKUP(E2566,Products!$A:$C,3,0)</f>
        <v>Furniture</v>
      </c>
      <c r="V2566" t="str">
        <f>VLOOKUP(E2566,Products!$A:$D,4,0)</f>
        <v>Desks</v>
      </c>
      <c r="W2566" t="str">
        <f>VLOOKUP(D2566,Customers!$A:$C,3,0)</f>
        <v>Small Business</v>
      </c>
      <c r="X2566" t="str">
        <f>VLOOKUP(C2566,Sales_Representatives!$A:$B,2,0)</f>
        <v>Sarah Brown</v>
      </c>
    </row>
    <row r="2567" spans="1:24" x14ac:dyDescent="0.3">
      <c r="A2567" t="s">
        <v>3556</v>
      </c>
      <c r="B2567" t="s">
        <v>3553</v>
      </c>
      <c r="C2567" t="s">
        <v>141</v>
      </c>
      <c r="D2567" t="s">
        <v>1866</v>
      </c>
      <c r="E2567" t="s">
        <v>72</v>
      </c>
      <c r="F2567">
        <v>4</v>
      </c>
      <c r="G2567">
        <v>404.76</v>
      </c>
      <c r="H2567">
        <v>0</v>
      </c>
      <c r="I2567" s="4">
        <v>1619.04</v>
      </c>
      <c r="J2567" t="s">
        <v>109</v>
      </c>
      <c r="K2567" t="s">
        <v>48</v>
      </c>
      <c r="L2567" s="4">
        <f>VLOOKUP(tblTransactions[[#This Row],[Product_ID]],tblProducts[],5,FALSE)</f>
        <v>226.76</v>
      </c>
      <c r="M2567" s="4">
        <f>tblTransactions[[#This Row],[Total_Amount]]-(tblTransactions[[#This Row],[Cost_Prices]]*tblTransactions[[#This Row],[Quantity]]*(1-tblTransactions[[#This Row],[Discount]]))</f>
        <v>712</v>
      </c>
      <c r="N2567" s="3">
        <f>tblTransactions[[#This Row],[Profit]]/tblTransactions[[#This Row],[Total_Amount]]</f>
        <v>0.43976677537306058</v>
      </c>
      <c r="O2567" t="str">
        <f>TEXT(tblTransactions[[#This Row],[Date]], "MMM-YYYY")</f>
        <v>Jul-2024</v>
      </c>
      <c r="P2567" t="str">
        <f>"Q"&amp;ROUNDUP(MONTH(tblTransactions[[#This Row],[Date]])/3,0)&amp;"-"&amp;YEAR(tblTransactions[[#This Row],[Date]])</f>
        <v>Q3-2024</v>
      </c>
      <c r="Q2567">
        <f>YEAR(tblTransactions[[#This Row],[Date]])</f>
        <v>2024</v>
      </c>
      <c r="R2567" t="str">
        <f>TEXT(tblTransactions[[#This Row],[Date]],"DDDD")</f>
        <v>Tuesday</v>
      </c>
      <c r="S2567">
        <f>MONTH(tblTransactions[[#This Row],[Date]])</f>
        <v>7</v>
      </c>
      <c r="T2567" t="str">
        <f>VLOOKUP(E2567, Products!$A:$B,2,0)</f>
        <v>Tablets Ele-2</v>
      </c>
      <c r="U2567" t="str">
        <f>VLOOKUP(E2567,Products!$A:$C,3,0)</f>
        <v>Electronics</v>
      </c>
      <c r="V2567" t="str">
        <f>VLOOKUP(E2567,Products!$A:$D,4,0)</f>
        <v>Tablets</v>
      </c>
      <c r="W2567" t="str">
        <f>VLOOKUP(D2567,Customers!$A:$C,3,0)</f>
        <v>B2B</v>
      </c>
      <c r="X2567" t="str">
        <f>VLOOKUP(C2567,Sales_Representatives!$A:$B,2,0)</f>
        <v>Richard Garcia</v>
      </c>
    </row>
    <row r="2568" spans="1:24" x14ac:dyDescent="0.3">
      <c r="A2568" t="s">
        <v>3557</v>
      </c>
      <c r="B2568" t="s">
        <v>3553</v>
      </c>
      <c r="C2568" t="s">
        <v>56</v>
      </c>
      <c r="D2568" t="s">
        <v>1591</v>
      </c>
      <c r="E2568" t="s">
        <v>255</v>
      </c>
      <c r="F2568">
        <v>7</v>
      </c>
      <c r="G2568">
        <v>1444.13</v>
      </c>
      <c r="H2568">
        <v>0.08</v>
      </c>
      <c r="I2568" s="4">
        <v>9300.2000000000007</v>
      </c>
      <c r="J2568" t="s">
        <v>34</v>
      </c>
      <c r="K2568" t="s">
        <v>17</v>
      </c>
      <c r="L2568" s="4">
        <f>VLOOKUP(tblTransactions[[#This Row],[Product_ID]],tblProducts[],5,FALSE)</f>
        <v>874.43</v>
      </c>
      <c r="M2568" s="4">
        <f>tblTransactions[[#This Row],[Total_Amount]]-(tblTransactions[[#This Row],[Cost_Prices]]*tblTransactions[[#This Row],[Quantity]]*(1-tblTransactions[[#This Row],[Discount]]))</f>
        <v>3668.8708000000015</v>
      </c>
      <c r="N2568" s="3">
        <f>tblTransactions[[#This Row],[Profit]]/tblTransactions[[#This Row],[Total_Amount]]</f>
        <v>0.39449375282252008</v>
      </c>
      <c r="O2568" t="str">
        <f>TEXT(tblTransactions[[#This Row],[Date]], "MMM-YYYY")</f>
        <v>Jul-2024</v>
      </c>
      <c r="P2568" t="str">
        <f>"Q"&amp;ROUNDUP(MONTH(tblTransactions[[#This Row],[Date]])/3,0)&amp;"-"&amp;YEAR(tblTransactions[[#This Row],[Date]])</f>
        <v>Q3-2024</v>
      </c>
      <c r="Q2568">
        <f>YEAR(tblTransactions[[#This Row],[Date]])</f>
        <v>2024</v>
      </c>
      <c r="R2568" t="str">
        <f>TEXT(tblTransactions[[#This Row],[Date]],"DDDD")</f>
        <v>Tuesday</v>
      </c>
      <c r="S2568">
        <f>MONTH(tblTransactions[[#This Row],[Date]])</f>
        <v>7</v>
      </c>
      <c r="T2568" t="str">
        <f>VLOOKUP(E2568, Products!$A:$B,2,0)</f>
        <v>Printers Tec-1</v>
      </c>
      <c r="U2568" t="str">
        <f>VLOOKUP(E2568,Products!$A:$C,3,0)</f>
        <v>Technology</v>
      </c>
      <c r="V2568" t="str">
        <f>VLOOKUP(E2568,Products!$A:$D,4,0)</f>
        <v>Printers</v>
      </c>
      <c r="W2568" t="str">
        <f>VLOOKUP(D2568,Customers!$A:$C,3,0)</f>
        <v>Enterprise</v>
      </c>
      <c r="X2568" t="str">
        <f>VLOOKUP(C2568,Sales_Representatives!$A:$B,2,0)</f>
        <v>Thomas Hernandez</v>
      </c>
    </row>
    <row r="2569" spans="1:24" x14ac:dyDescent="0.3">
      <c r="A2569" t="s">
        <v>3558</v>
      </c>
      <c r="B2569" t="s">
        <v>3559</v>
      </c>
      <c r="C2569" t="s">
        <v>56</v>
      </c>
      <c r="D2569" t="s">
        <v>2466</v>
      </c>
      <c r="E2569" t="s">
        <v>204</v>
      </c>
      <c r="F2569">
        <v>1</v>
      </c>
      <c r="G2569">
        <v>715.62</v>
      </c>
      <c r="H2569">
        <v>0.01</v>
      </c>
      <c r="I2569" s="4">
        <v>708.46</v>
      </c>
      <c r="J2569" t="s">
        <v>34</v>
      </c>
      <c r="K2569" t="s">
        <v>48</v>
      </c>
      <c r="L2569" s="4">
        <f>VLOOKUP(tblTransactions[[#This Row],[Product_ID]],tblProducts[],5,FALSE)</f>
        <v>459.58</v>
      </c>
      <c r="M2569" s="4">
        <f>tblTransactions[[#This Row],[Total_Amount]]-(tblTransactions[[#This Row],[Cost_Prices]]*tblTransactions[[#This Row],[Quantity]]*(1-tblTransactions[[#This Row],[Discount]]))</f>
        <v>253.47580000000005</v>
      </c>
      <c r="N2569" s="3">
        <f>tblTransactions[[#This Row],[Profit]]/tblTransactions[[#This Row],[Total_Amount]]</f>
        <v>0.35778420800045174</v>
      </c>
      <c r="O2569" t="str">
        <f>TEXT(tblTransactions[[#This Row],[Date]], "MMM-YYYY")</f>
        <v>Jul-2024</v>
      </c>
      <c r="P2569" t="str">
        <f>"Q"&amp;ROUNDUP(MONTH(tblTransactions[[#This Row],[Date]])/3,0)&amp;"-"&amp;YEAR(tblTransactions[[#This Row],[Date]])</f>
        <v>Q3-2024</v>
      </c>
      <c r="Q2569">
        <f>YEAR(tblTransactions[[#This Row],[Date]])</f>
        <v>2024</v>
      </c>
      <c r="R2569" t="str">
        <f>TEXT(tblTransactions[[#This Row],[Date]],"DDDD")</f>
        <v>Wednesday</v>
      </c>
      <c r="S2569">
        <f>MONTH(tblTransactions[[#This Row],[Date]])</f>
        <v>7</v>
      </c>
      <c r="T2569" t="str">
        <f>VLOOKUP(E2569, Products!$A:$B,2,0)</f>
        <v>Cameras Ele-2</v>
      </c>
      <c r="U2569" t="str">
        <f>VLOOKUP(E2569,Products!$A:$C,3,0)</f>
        <v>Electronics</v>
      </c>
      <c r="V2569" t="str">
        <f>VLOOKUP(E2569,Products!$A:$D,4,0)</f>
        <v>Cameras</v>
      </c>
      <c r="W2569" t="str">
        <f>VLOOKUP(D2569,Customers!$A:$C,3,0)</f>
        <v>B2C</v>
      </c>
      <c r="X2569" t="str">
        <f>VLOOKUP(C2569,Sales_Representatives!$A:$B,2,0)</f>
        <v>Thomas Hernandez</v>
      </c>
    </row>
    <row r="2570" spans="1:24" x14ac:dyDescent="0.3">
      <c r="A2570" t="s">
        <v>3560</v>
      </c>
      <c r="B2570" t="s">
        <v>3559</v>
      </c>
      <c r="C2570" t="s">
        <v>59</v>
      </c>
      <c r="D2570" t="s">
        <v>1942</v>
      </c>
      <c r="E2570" t="s">
        <v>347</v>
      </c>
      <c r="F2570">
        <v>18</v>
      </c>
      <c r="G2570">
        <v>1539.6</v>
      </c>
      <c r="H2570">
        <v>0.16</v>
      </c>
      <c r="I2570" s="4">
        <v>23278.75</v>
      </c>
      <c r="J2570" t="s">
        <v>21</v>
      </c>
      <c r="K2570" t="s">
        <v>17</v>
      </c>
      <c r="L2570" s="4">
        <f>VLOOKUP(tblTransactions[[#This Row],[Product_ID]],tblProducts[],5,FALSE)</f>
        <v>992.43</v>
      </c>
      <c r="M2570" s="4">
        <f>tblTransactions[[#This Row],[Total_Amount]]-(tblTransactions[[#This Row],[Cost_Prices]]*tblTransactions[[#This Row],[Quantity]]*(1-tblTransactions[[#This Row],[Discount]]))</f>
        <v>8273.2084000000032</v>
      </c>
      <c r="N2570" s="3">
        <f>tblTransactions[[#This Row],[Profit]]/tblTransactions[[#This Row],[Total_Amount]]</f>
        <v>0.35539745046447957</v>
      </c>
      <c r="O2570" t="str">
        <f>TEXT(tblTransactions[[#This Row],[Date]], "MMM-YYYY")</f>
        <v>Jul-2024</v>
      </c>
      <c r="P2570" t="str">
        <f>"Q"&amp;ROUNDUP(MONTH(tblTransactions[[#This Row],[Date]])/3,0)&amp;"-"&amp;YEAR(tblTransactions[[#This Row],[Date]])</f>
        <v>Q3-2024</v>
      </c>
      <c r="Q2570">
        <f>YEAR(tblTransactions[[#This Row],[Date]])</f>
        <v>2024</v>
      </c>
      <c r="R2570" t="str">
        <f>TEXT(tblTransactions[[#This Row],[Date]],"DDDD")</f>
        <v>Wednesday</v>
      </c>
      <c r="S2570">
        <f>MONTH(tblTransactions[[#This Row],[Date]])</f>
        <v>7</v>
      </c>
      <c r="T2570" t="str">
        <f>VLOOKUP(E2570, Products!$A:$B,2,0)</f>
        <v>Routers Tec-2</v>
      </c>
      <c r="U2570" t="str">
        <f>VLOOKUP(E2570,Products!$A:$C,3,0)</f>
        <v>Technology</v>
      </c>
      <c r="V2570" t="str">
        <f>VLOOKUP(E2570,Products!$A:$D,4,0)</f>
        <v>Routers</v>
      </c>
      <c r="W2570" t="str">
        <f>VLOOKUP(D2570,Customers!$A:$C,3,0)</f>
        <v>B2B</v>
      </c>
      <c r="X2570" t="str">
        <f>VLOOKUP(C2570,Sales_Representatives!$A:$B,2,0)</f>
        <v>Sarah Brown</v>
      </c>
    </row>
    <row r="2571" spans="1:24" x14ac:dyDescent="0.3">
      <c r="A2571" t="s">
        <v>3561</v>
      </c>
      <c r="B2571" t="s">
        <v>3559</v>
      </c>
      <c r="C2571" t="s">
        <v>141</v>
      </c>
      <c r="D2571" t="s">
        <v>1643</v>
      </c>
      <c r="E2571" t="s">
        <v>435</v>
      </c>
      <c r="F2571">
        <v>7</v>
      </c>
      <c r="G2571">
        <v>198.72</v>
      </c>
      <c r="H2571">
        <v>0.08</v>
      </c>
      <c r="I2571" s="4">
        <v>1279.76</v>
      </c>
      <c r="J2571" t="s">
        <v>109</v>
      </c>
      <c r="K2571" t="s">
        <v>48</v>
      </c>
      <c r="L2571" s="4">
        <f>VLOOKUP(tblTransactions[[#This Row],[Product_ID]],tblProducts[],5,FALSE)</f>
        <v>116.98</v>
      </c>
      <c r="M2571" s="4">
        <f>tblTransactions[[#This Row],[Total_Amount]]-(tblTransactions[[#This Row],[Cost_Prices]]*tblTransactions[[#This Row],[Quantity]]*(1-tblTransactions[[#This Row],[Discount]]))</f>
        <v>526.40879999999993</v>
      </c>
      <c r="N2571" s="3">
        <f>tblTransactions[[#This Row],[Profit]]/tblTransactions[[#This Row],[Total_Amount]]</f>
        <v>0.41133400012502341</v>
      </c>
      <c r="O2571" t="str">
        <f>TEXT(tblTransactions[[#This Row],[Date]], "MMM-YYYY")</f>
        <v>Jul-2024</v>
      </c>
      <c r="P2571" t="str">
        <f>"Q"&amp;ROUNDUP(MONTH(tblTransactions[[#This Row],[Date]])/3,0)&amp;"-"&amp;YEAR(tblTransactions[[#This Row],[Date]])</f>
        <v>Q3-2024</v>
      </c>
      <c r="Q2571">
        <f>YEAR(tblTransactions[[#This Row],[Date]])</f>
        <v>2024</v>
      </c>
      <c r="R2571" t="str">
        <f>TEXT(tblTransactions[[#This Row],[Date]],"DDDD")</f>
        <v>Wednesday</v>
      </c>
      <c r="S2571">
        <f>MONTH(tblTransactions[[#This Row],[Date]])</f>
        <v>7</v>
      </c>
      <c r="T2571" t="str">
        <f>VLOOKUP(E2571, Products!$A:$B,2,0)</f>
        <v>Paper Off-4</v>
      </c>
      <c r="U2571" t="str">
        <f>VLOOKUP(E2571,Products!$A:$C,3,0)</f>
        <v>Office Supplies</v>
      </c>
      <c r="V2571" t="str">
        <f>VLOOKUP(E2571,Products!$A:$D,4,0)</f>
        <v>Paper</v>
      </c>
      <c r="W2571" t="str">
        <f>VLOOKUP(D2571,Customers!$A:$C,3,0)</f>
        <v>B2C</v>
      </c>
      <c r="X2571" t="str">
        <f>VLOOKUP(C2571,Sales_Representatives!$A:$B,2,0)</f>
        <v>Richard Garcia</v>
      </c>
    </row>
    <row r="2572" spans="1:24" x14ac:dyDescent="0.3">
      <c r="A2572" t="s">
        <v>3562</v>
      </c>
      <c r="B2572" t="s">
        <v>3559</v>
      </c>
      <c r="C2572" t="s">
        <v>70</v>
      </c>
      <c r="D2572" t="s">
        <v>1893</v>
      </c>
      <c r="E2572" t="s">
        <v>79</v>
      </c>
      <c r="F2572">
        <v>19</v>
      </c>
      <c r="G2572">
        <v>1452.36</v>
      </c>
      <c r="H2572">
        <v>0.17</v>
      </c>
      <c r="I2572" s="4">
        <v>22903.72</v>
      </c>
      <c r="J2572" t="s">
        <v>16</v>
      </c>
      <c r="K2572" t="s">
        <v>39</v>
      </c>
      <c r="L2572" s="4">
        <f>VLOOKUP(tblTransactions[[#This Row],[Product_ID]],tblProducts[],5,FALSE)</f>
        <v>778.71</v>
      </c>
      <c r="M2572" s="4">
        <f>tblTransactions[[#This Row],[Total_Amount]]-(tblTransactions[[#This Row],[Cost_Prices]]*tblTransactions[[#This Row],[Quantity]]*(1-tblTransactions[[#This Row],[Discount]]))</f>
        <v>10623.463300000001</v>
      </c>
      <c r="N2572" s="3">
        <f>tblTransactions[[#This Row],[Profit]]/tblTransactions[[#This Row],[Total_Amount]]</f>
        <v>0.46383134704755385</v>
      </c>
      <c r="O2572" t="str">
        <f>TEXT(tblTransactions[[#This Row],[Date]], "MMM-YYYY")</f>
        <v>Jul-2024</v>
      </c>
      <c r="P2572" t="str">
        <f>"Q"&amp;ROUNDUP(MONTH(tblTransactions[[#This Row],[Date]])/3,0)&amp;"-"&amp;YEAR(tblTransactions[[#This Row],[Date]])</f>
        <v>Q3-2024</v>
      </c>
      <c r="Q2572">
        <f>YEAR(tblTransactions[[#This Row],[Date]])</f>
        <v>2024</v>
      </c>
      <c r="R2572" t="str">
        <f>TEXT(tblTransactions[[#This Row],[Date]],"DDDD")</f>
        <v>Wednesday</v>
      </c>
      <c r="S2572">
        <f>MONTH(tblTransactions[[#This Row],[Date]])</f>
        <v>7</v>
      </c>
      <c r="T2572" t="str">
        <f>VLOOKUP(E2572, Products!$A:$B,2,0)</f>
        <v>Tables Fur-2</v>
      </c>
      <c r="U2572" t="str">
        <f>VLOOKUP(E2572,Products!$A:$C,3,0)</f>
        <v>Furniture</v>
      </c>
      <c r="V2572" t="str">
        <f>VLOOKUP(E2572,Products!$A:$D,4,0)</f>
        <v>Tables</v>
      </c>
      <c r="W2572" t="str">
        <f>VLOOKUP(D2572,Customers!$A:$C,3,0)</f>
        <v>B2B</v>
      </c>
      <c r="X2572" t="str">
        <f>VLOOKUP(C2572,Sales_Representatives!$A:$B,2,0)</f>
        <v>Linda Smith</v>
      </c>
    </row>
    <row r="2573" spans="1:24" x14ac:dyDescent="0.3">
      <c r="A2573" t="s">
        <v>3563</v>
      </c>
      <c r="B2573" t="s">
        <v>3559</v>
      </c>
      <c r="C2573" t="s">
        <v>82</v>
      </c>
      <c r="D2573" t="s">
        <v>2763</v>
      </c>
      <c r="E2573" t="s">
        <v>53</v>
      </c>
      <c r="F2573">
        <v>7</v>
      </c>
      <c r="G2573">
        <v>2069.2199999999998</v>
      </c>
      <c r="H2573">
        <v>0.09</v>
      </c>
      <c r="I2573" s="4">
        <v>13180.93</v>
      </c>
      <c r="J2573" t="s">
        <v>34</v>
      </c>
      <c r="K2573" t="s">
        <v>39</v>
      </c>
      <c r="L2573" s="4">
        <f>VLOOKUP(tblTransactions[[#This Row],[Product_ID]],tblProducts[],5,FALSE)</f>
        <v>1451.18</v>
      </c>
      <c r="M2573" s="4">
        <f>tblTransactions[[#This Row],[Total_Amount]]-(tblTransactions[[#This Row],[Cost_Prices]]*tblTransactions[[#This Row],[Quantity]]*(1-tblTransactions[[#This Row],[Discount]]))</f>
        <v>3936.9133999999995</v>
      </c>
      <c r="N2573" s="3">
        <f>tblTransactions[[#This Row],[Profit]]/tblTransactions[[#This Row],[Total_Amount]]</f>
        <v>0.29868252088433817</v>
      </c>
      <c r="O2573" t="str">
        <f>TEXT(tblTransactions[[#This Row],[Date]], "MMM-YYYY")</f>
        <v>Jul-2024</v>
      </c>
      <c r="P2573" t="str">
        <f>"Q"&amp;ROUNDUP(MONTH(tblTransactions[[#This Row],[Date]])/3,0)&amp;"-"&amp;YEAR(tblTransactions[[#This Row],[Date]])</f>
        <v>Q3-2024</v>
      </c>
      <c r="Q2573">
        <f>YEAR(tblTransactions[[#This Row],[Date]])</f>
        <v>2024</v>
      </c>
      <c r="R2573" t="str">
        <f>TEXT(tblTransactions[[#This Row],[Date]],"DDDD")</f>
        <v>Wednesday</v>
      </c>
      <c r="S2573">
        <f>MONTH(tblTransactions[[#This Row],[Date]])</f>
        <v>7</v>
      </c>
      <c r="T2573" t="str">
        <f>VLOOKUP(E2573, Products!$A:$B,2,0)</f>
        <v>Printers Tec-3</v>
      </c>
      <c r="U2573" t="str">
        <f>VLOOKUP(E2573,Products!$A:$C,3,0)</f>
        <v>Technology</v>
      </c>
      <c r="V2573" t="str">
        <f>VLOOKUP(E2573,Products!$A:$D,4,0)</f>
        <v>Printers</v>
      </c>
      <c r="W2573" t="str">
        <f>VLOOKUP(D2573,Customers!$A:$C,3,0)</f>
        <v>B2C</v>
      </c>
      <c r="X2573" t="str">
        <f>VLOOKUP(C2573,Sales_Representatives!$A:$B,2,0)</f>
        <v>John Brown</v>
      </c>
    </row>
    <row r="2574" spans="1:24" x14ac:dyDescent="0.3">
      <c r="A2574" t="s">
        <v>3564</v>
      </c>
      <c r="B2574" t="s">
        <v>3565</v>
      </c>
      <c r="C2574" t="s">
        <v>70</v>
      </c>
      <c r="D2574" t="s">
        <v>1538</v>
      </c>
      <c r="E2574" t="s">
        <v>255</v>
      </c>
      <c r="F2574">
        <v>4</v>
      </c>
      <c r="G2574">
        <v>1444.13</v>
      </c>
      <c r="H2574">
        <v>0.04</v>
      </c>
      <c r="I2574" s="4">
        <v>5545.46</v>
      </c>
      <c r="J2574" t="s">
        <v>16</v>
      </c>
      <c r="K2574" t="s">
        <v>22</v>
      </c>
      <c r="L2574" s="4">
        <f>VLOOKUP(tblTransactions[[#This Row],[Product_ID]],tblProducts[],5,FALSE)</f>
        <v>874.43</v>
      </c>
      <c r="M2574" s="4">
        <f>tblTransactions[[#This Row],[Total_Amount]]-(tblTransactions[[#This Row],[Cost_Prices]]*tblTransactions[[#This Row],[Quantity]]*(1-tblTransactions[[#This Row],[Discount]]))</f>
        <v>2187.6488000000004</v>
      </c>
      <c r="N2574" s="3">
        <f>tblTransactions[[#This Row],[Profit]]/tblTransactions[[#This Row],[Total_Amount]]</f>
        <v>0.39449365787509066</v>
      </c>
      <c r="O2574" t="str">
        <f>TEXT(tblTransactions[[#This Row],[Date]], "MMM-YYYY")</f>
        <v>Jul-2024</v>
      </c>
      <c r="P2574" t="str">
        <f>"Q"&amp;ROUNDUP(MONTH(tblTransactions[[#This Row],[Date]])/3,0)&amp;"-"&amp;YEAR(tblTransactions[[#This Row],[Date]])</f>
        <v>Q3-2024</v>
      </c>
      <c r="Q2574">
        <f>YEAR(tblTransactions[[#This Row],[Date]])</f>
        <v>2024</v>
      </c>
      <c r="R2574" t="str">
        <f>TEXT(tblTransactions[[#This Row],[Date]],"DDDD")</f>
        <v>Thursday</v>
      </c>
      <c r="S2574">
        <f>MONTH(tblTransactions[[#This Row],[Date]])</f>
        <v>7</v>
      </c>
      <c r="T2574" t="str">
        <f>VLOOKUP(E2574, Products!$A:$B,2,0)</f>
        <v>Printers Tec-1</v>
      </c>
      <c r="U2574" t="str">
        <f>VLOOKUP(E2574,Products!$A:$C,3,0)</f>
        <v>Technology</v>
      </c>
      <c r="V2574" t="str">
        <f>VLOOKUP(E2574,Products!$A:$D,4,0)</f>
        <v>Printers</v>
      </c>
      <c r="W2574" t="str">
        <f>VLOOKUP(D2574,Customers!$A:$C,3,0)</f>
        <v>B2C</v>
      </c>
      <c r="X2574" t="str">
        <f>VLOOKUP(C2574,Sales_Representatives!$A:$B,2,0)</f>
        <v>Linda Smith</v>
      </c>
    </row>
    <row r="2575" spans="1:24" x14ac:dyDescent="0.3">
      <c r="A2575" t="s">
        <v>3566</v>
      </c>
      <c r="B2575" t="s">
        <v>3565</v>
      </c>
      <c r="C2575" t="s">
        <v>31</v>
      </c>
      <c r="D2575" t="s">
        <v>3533</v>
      </c>
      <c r="E2575" t="s">
        <v>96</v>
      </c>
      <c r="F2575">
        <v>5</v>
      </c>
      <c r="G2575">
        <v>751.9</v>
      </c>
      <c r="H2575">
        <v>0.06</v>
      </c>
      <c r="I2575" s="4">
        <v>3533.93</v>
      </c>
      <c r="J2575" t="s">
        <v>34</v>
      </c>
      <c r="K2575" t="s">
        <v>22</v>
      </c>
      <c r="L2575" s="4">
        <f>VLOOKUP(tblTransactions[[#This Row],[Product_ID]],tblProducts[],5,FALSE)</f>
        <v>570.29</v>
      </c>
      <c r="M2575" s="4">
        <f>tblTransactions[[#This Row],[Total_Amount]]-(tblTransactions[[#This Row],[Cost_Prices]]*tblTransactions[[#This Row],[Quantity]]*(1-tblTransactions[[#This Row],[Discount]]))</f>
        <v>853.56700000000001</v>
      </c>
      <c r="N2575" s="3">
        <f>tblTransactions[[#This Row],[Profit]]/tblTransactions[[#This Row],[Total_Amount]]</f>
        <v>0.24153477856097888</v>
      </c>
      <c r="O2575" t="str">
        <f>TEXT(tblTransactions[[#This Row],[Date]], "MMM-YYYY")</f>
        <v>Jul-2024</v>
      </c>
      <c r="P2575" t="str">
        <f>"Q"&amp;ROUNDUP(MONTH(tblTransactions[[#This Row],[Date]])/3,0)&amp;"-"&amp;YEAR(tblTransactions[[#This Row],[Date]])</f>
        <v>Q3-2024</v>
      </c>
      <c r="Q2575">
        <f>YEAR(tblTransactions[[#This Row],[Date]])</f>
        <v>2024</v>
      </c>
      <c r="R2575" t="str">
        <f>TEXT(tblTransactions[[#This Row],[Date]],"DDDD")</f>
        <v>Thursday</v>
      </c>
      <c r="S2575">
        <f>MONTH(tblTransactions[[#This Row],[Date]])</f>
        <v>7</v>
      </c>
      <c r="T2575" t="str">
        <f>VLOOKUP(E2575, Products!$A:$B,2,0)</f>
        <v>Routers Tec-1</v>
      </c>
      <c r="U2575" t="str">
        <f>VLOOKUP(E2575,Products!$A:$C,3,0)</f>
        <v>Technology</v>
      </c>
      <c r="V2575" t="str">
        <f>VLOOKUP(E2575,Products!$A:$D,4,0)</f>
        <v>Routers</v>
      </c>
      <c r="W2575" t="str">
        <f>VLOOKUP(D2575,Customers!$A:$C,3,0)</f>
        <v>B2C</v>
      </c>
      <c r="X2575" t="str">
        <f>VLOOKUP(C2575,Sales_Representatives!$A:$B,2,0)</f>
        <v>Thomas Martinez</v>
      </c>
    </row>
    <row r="2576" spans="1:24" x14ac:dyDescent="0.3">
      <c r="A2576" t="s">
        <v>3567</v>
      </c>
      <c r="B2576" t="s">
        <v>3565</v>
      </c>
      <c r="C2576" t="s">
        <v>41</v>
      </c>
      <c r="D2576" t="s">
        <v>2255</v>
      </c>
      <c r="E2576" t="s">
        <v>310</v>
      </c>
      <c r="F2576">
        <v>4</v>
      </c>
      <c r="G2576">
        <v>274.13</v>
      </c>
      <c r="H2576">
        <v>0.04</v>
      </c>
      <c r="I2576" s="4">
        <v>1052.6600000000001</v>
      </c>
      <c r="J2576" t="s">
        <v>44</v>
      </c>
      <c r="K2576" t="s">
        <v>22</v>
      </c>
      <c r="L2576" s="4">
        <f>VLOOKUP(tblTransactions[[#This Row],[Product_ID]],tblProducts[],5,FALSE)</f>
        <v>134.41999999999999</v>
      </c>
      <c r="M2576" s="4">
        <f>tblTransactions[[#This Row],[Total_Amount]]-(tblTransactions[[#This Row],[Cost_Prices]]*tblTransactions[[#This Row],[Quantity]]*(1-tblTransactions[[#This Row],[Discount]]))</f>
        <v>536.48720000000014</v>
      </c>
      <c r="N2576" s="3">
        <f>tblTransactions[[#This Row],[Profit]]/tblTransactions[[#This Row],[Total_Amount]]</f>
        <v>0.50964907947485427</v>
      </c>
      <c r="O2576" t="str">
        <f>TEXT(tblTransactions[[#This Row],[Date]], "MMM-YYYY")</f>
        <v>Jul-2024</v>
      </c>
      <c r="P2576" t="str">
        <f>"Q"&amp;ROUNDUP(MONTH(tblTransactions[[#This Row],[Date]])/3,0)&amp;"-"&amp;YEAR(tblTransactions[[#This Row],[Date]])</f>
        <v>Q3-2024</v>
      </c>
      <c r="Q2576">
        <f>YEAR(tblTransactions[[#This Row],[Date]])</f>
        <v>2024</v>
      </c>
      <c r="R2576" t="str">
        <f>TEXT(tblTransactions[[#This Row],[Date]],"DDDD")</f>
        <v>Thursday</v>
      </c>
      <c r="S2576">
        <f>MONTH(tblTransactions[[#This Row],[Date]])</f>
        <v>7</v>
      </c>
      <c r="T2576" t="str">
        <f>VLOOKUP(E2576, Products!$A:$B,2,0)</f>
        <v>Adapters Acc-4</v>
      </c>
      <c r="U2576" t="str">
        <f>VLOOKUP(E2576,Products!$A:$C,3,0)</f>
        <v>Accessories</v>
      </c>
      <c r="V2576" t="str">
        <f>VLOOKUP(E2576,Products!$A:$D,4,0)</f>
        <v>Adapters</v>
      </c>
      <c r="W2576" t="str">
        <f>VLOOKUP(D2576,Customers!$A:$C,3,0)</f>
        <v>Small Business</v>
      </c>
      <c r="X2576" t="str">
        <f>VLOOKUP(C2576,Sales_Representatives!$A:$B,2,0)</f>
        <v>Robert Jones</v>
      </c>
    </row>
    <row r="2577" spans="1:24" x14ac:dyDescent="0.3">
      <c r="A2577" t="s">
        <v>3568</v>
      </c>
      <c r="B2577" t="s">
        <v>3565</v>
      </c>
      <c r="C2577" t="s">
        <v>127</v>
      </c>
      <c r="D2577" t="s">
        <v>327</v>
      </c>
      <c r="E2577" t="s">
        <v>376</v>
      </c>
      <c r="F2577">
        <v>1</v>
      </c>
      <c r="G2577">
        <v>229.65</v>
      </c>
      <c r="H2577">
        <v>0.04</v>
      </c>
      <c r="I2577" s="4">
        <v>220.46</v>
      </c>
      <c r="J2577" t="s">
        <v>109</v>
      </c>
      <c r="K2577" t="s">
        <v>35</v>
      </c>
      <c r="L2577" s="4">
        <f>VLOOKUP(tblTransactions[[#This Row],[Product_ID]],tblProducts[],5,FALSE)</f>
        <v>96.84</v>
      </c>
      <c r="M2577" s="4">
        <f>tblTransactions[[#This Row],[Total_Amount]]-(tblTransactions[[#This Row],[Cost_Prices]]*tblTransactions[[#This Row],[Quantity]]*(1-tblTransactions[[#This Row],[Discount]]))</f>
        <v>127.49360000000001</v>
      </c>
      <c r="N2577" s="3">
        <f>tblTransactions[[#This Row],[Profit]]/tblTransactions[[#This Row],[Total_Amount]]</f>
        <v>0.57830717590492609</v>
      </c>
      <c r="O2577" t="str">
        <f>TEXT(tblTransactions[[#This Row],[Date]], "MMM-YYYY")</f>
        <v>Jul-2024</v>
      </c>
      <c r="P2577" t="str">
        <f>"Q"&amp;ROUNDUP(MONTH(tblTransactions[[#This Row],[Date]])/3,0)&amp;"-"&amp;YEAR(tblTransactions[[#This Row],[Date]])</f>
        <v>Q3-2024</v>
      </c>
      <c r="Q2577">
        <f>YEAR(tblTransactions[[#This Row],[Date]])</f>
        <v>2024</v>
      </c>
      <c r="R2577" t="str">
        <f>TEXT(tblTransactions[[#This Row],[Date]],"DDDD")</f>
        <v>Thursday</v>
      </c>
      <c r="S2577">
        <f>MONTH(tblTransactions[[#This Row],[Date]])</f>
        <v>7</v>
      </c>
      <c r="T2577" t="str">
        <f>VLOOKUP(E2577, Products!$A:$B,2,0)</f>
        <v>Adapters Acc-2</v>
      </c>
      <c r="U2577" t="str">
        <f>VLOOKUP(E2577,Products!$A:$C,3,0)</f>
        <v>Accessories</v>
      </c>
      <c r="V2577" t="str">
        <f>VLOOKUP(E2577,Products!$A:$D,4,0)</f>
        <v>Adapters</v>
      </c>
      <c r="W2577" t="str">
        <f>VLOOKUP(D2577,Customers!$A:$C,3,0)</f>
        <v>B2C</v>
      </c>
      <c r="X2577" t="str">
        <f>VLOOKUP(C2577,Sales_Representatives!$A:$B,2,0)</f>
        <v>Emily Hernandez</v>
      </c>
    </row>
    <row r="2578" spans="1:24" x14ac:dyDescent="0.3">
      <c r="A2578" t="s">
        <v>3569</v>
      </c>
      <c r="B2578" t="s">
        <v>3565</v>
      </c>
      <c r="C2578" t="s">
        <v>75</v>
      </c>
      <c r="D2578" t="s">
        <v>132</v>
      </c>
      <c r="E2578" t="s">
        <v>137</v>
      </c>
      <c r="F2578">
        <v>16</v>
      </c>
      <c r="G2578">
        <v>241.39</v>
      </c>
      <c r="H2578">
        <v>0.12</v>
      </c>
      <c r="I2578" s="4">
        <v>3398.77</v>
      </c>
      <c r="J2578" t="s">
        <v>44</v>
      </c>
      <c r="K2578" t="s">
        <v>39</v>
      </c>
      <c r="L2578" s="4">
        <f>VLOOKUP(tblTransactions[[#This Row],[Product_ID]],tblProducts[],5,FALSE)</f>
        <v>124.07</v>
      </c>
      <c r="M2578" s="4">
        <f>tblTransactions[[#This Row],[Total_Amount]]-(tblTransactions[[#This Row],[Cost_Prices]]*tblTransactions[[#This Row],[Quantity]]*(1-tblTransactions[[#This Row],[Discount]]))</f>
        <v>1651.8644000000002</v>
      </c>
      <c r="N2578" s="3">
        <f>tblTransactions[[#This Row],[Profit]]/tblTransactions[[#This Row],[Total_Amount]]</f>
        <v>0.48601829485372655</v>
      </c>
      <c r="O2578" t="str">
        <f>TEXT(tblTransactions[[#This Row],[Date]], "MMM-YYYY")</f>
        <v>Jul-2024</v>
      </c>
      <c r="P2578" t="str">
        <f>"Q"&amp;ROUNDUP(MONTH(tblTransactions[[#This Row],[Date]])/3,0)&amp;"-"&amp;YEAR(tblTransactions[[#This Row],[Date]])</f>
        <v>Q3-2024</v>
      </c>
      <c r="Q2578">
        <f>YEAR(tblTransactions[[#This Row],[Date]])</f>
        <v>2024</v>
      </c>
      <c r="R2578" t="str">
        <f>TEXT(tblTransactions[[#This Row],[Date]],"DDDD")</f>
        <v>Thursday</v>
      </c>
      <c r="S2578">
        <f>MONTH(tblTransactions[[#This Row],[Date]])</f>
        <v>7</v>
      </c>
      <c r="T2578" t="str">
        <f>VLOOKUP(E2578, Products!$A:$B,2,0)</f>
        <v>Desks Fur-2</v>
      </c>
      <c r="U2578" t="str">
        <f>VLOOKUP(E2578,Products!$A:$C,3,0)</f>
        <v>Furniture</v>
      </c>
      <c r="V2578" t="str">
        <f>VLOOKUP(E2578,Products!$A:$D,4,0)</f>
        <v>Desks</v>
      </c>
      <c r="W2578" t="str">
        <f>VLOOKUP(D2578,Customers!$A:$C,3,0)</f>
        <v>B2B</v>
      </c>
      <c r="X2578" t="str">
        <f>VLOOKUP(C2578,Sales_Representatives!$A:$B,2,0)</f>
        <v>Jessica Anderson</v>
      </c>
    </row>
    <row r="2579" spans="1:24" x14ac:dyDescent="0.3">
      <c r="A2579" t="s">
        <v>3570</v>
      </c>
      <c r="B2579" t="s">
        <v>3571</v>
      </c>
      <c r="C2579" t="s">
        <v>41</v>
      </c>
      <c r="D2579" t="s">
        <v>2166</v>
      </c>
      <c r="E2579" t="s">
        <v>53</v>
      </c>
      <c r="F2579">
        <v>16</v>
      </c>
      <c r="G2579">
        <v>2069.2199999999998</v>
      </c>
      <c r="H2579">
        <v>0.2</v>
      </c>
      <c r="I2579" s="4">
        <v>26486.02</v>
      </c>
      <c r="J2579" t="s">
        <v>44</v>
      </c>
      <c r="K2579" t="s">
        <v>35</v>
      </c>
      <c r="L2579" s="4">
        <f>VLOOKUP(tblTransactions[[#This Row],[Product_ID]],tblProducts[],5,FALSE)</f>
        <v>1451.18</v>
      </c>
      <c r="M2579" s="4">
        <f>tblTransactions[[#This Row],[Total_Amount]]-(tblTransactions[[#This Row],[Cost_Prices]]*tblTransactions[[#This Row],[Quantity]]*(1-tblTransactions[[#This Row],[Discount]]))</f>
        <v>7910.9159999999974</v>
      </c>
      <c r="N2579" s="3">
        <f>tblTransactions[[#This Row],[Profit]]/tblTransactions[[#This Row],[Total_Amount]]</f>
        <v>0.29868270128920832</v>
      </c>
      <c r="O2579" t="str">
        <f>TEXT(tblTransactions[[#This Row],[Date]], "MMM-YYYY")</f>
        <v>Jul-2024</v>
      </c>
      <c r="P2579" t="str">
        <f>"Q"&amp;ROUNDUP(MONTH(tblTransactions[[#This Row],[Date]])/3,0)&amp;"-"&amp;YEAR(tblTransactions[[#This Row],[Date]])</f>
        <v>Q3-2024</v>
      </c>
      <c r="Q2579">
        <f>YEAR(tblTransactions[[#This Row],[Date]])</f>
        <v>2024</v>
      </c>
      <c r="R2579" t="str">
        <f>TEXT(tblTransactions[[#This Row],[Date]],"DDDD")</f>
        <v>Friday</v>
      </c>
      <c r="S2579">
        <f>MONTH(tblTransactions[[#This Row],[Date]])</f>
        <v>7</v>
      </c>
      <c r="T2579" t="str">
        <f>VLOOKUP(E2579, Products!$A:$B,2,0)</f>
        <v>Printers Tec-3</v>
      </c>
      <c r="U2579" t="str">
        <f>VLOOKUP(E2579,Products!$A:$C,3,0)</f>
        <v>Technology</v>
      </c>
      <c r="V2579" t="str">
        <f>VLOOKUP(E2579,Products!$A:$D,4,0)</f>
        <v>Printers</v>
      </c>
      <c r="W2579" t="str">
        <f>VLOOKUP(D2579,Customers!$A:$C,3,0)</f>
        <v>Enterprise</v>
      </c>
      <c r="X2579" t="str">
        <f>VLOOKUP(C2579,Sales_Representatives!$A:$B,2,0)</f>
        <v>Robert Jones</v>
      </c>
    </row>
    <row r="2580" spans="1:24" x14ac:dyDescent="0.3">
      <c r="A2580" t="s">
        <v>3572</v>
      </c>
      <c r="B2580" t="s">
        <v>3571</v>
      </c>
      <c r="C2580" t="s">
        <v>131</v>
      </c>
      <c r="D2580" t="s">
        <v>2235</v>
      </c>
      <c r="E2580" t="s">
        <v>43</v>
      </c>
      <c r="F2580">
        <v>7</v>
      </c>
      <c r="G2580">
        <v>39.32</v>
      </c>
      <c r="H2580">
        <v>7.0000000000000007E-2</v>
      </c>
      <c r="I2580" s="4">
        <v>255.97</v>
      </c>
      <c r="J2580" t="s">
        <v>44</v>
      </c>
      <c r="K2580" t="s">
        <v>48</v>
      </c>
      <c r="L2580" s="4">
        <f>VLOOKUP(tblTransactions[[#This Row],[Product_ID]],tblProducts[],5,FALSE)</f>
        <v>15.81</v>
      </c>
      <c r="M2580" s="4">
        <f>tblTransactions[[#This Row],[Total_Amount]]-(tblTransactions[[#This Row],[Cost_Prices]]*tblTransactions[[#This Row],[Quantity]]*(1-tblTransactions[[#This Row],[Discount]]))</f>
        <v>153.04689999999999</v>
      </c>
      <c r="N2580" s="3">
        <f>tblTransactions[[#This Row],[Profit]]/tblTransactions[[#This Row],[Total_Amount]]</f>
        <v>0.5979095206469508</v>
      </c>
      <c r="O2580" t="str">
        <f>TEXT(tblTransactions[[#This Row],[Date]], "MMM-YYYY")</f>
        <v>Jul-2024</v>
      </c>
      <c r="P2580" t="str">
        <f>"Q"&amp;ROUNDUP(MONTH(tblTransactions[[#This Row],[Date]])/3,0)&amp;"-"&amp;YEAR(tblTransactions[[#This Row],[Date]])</f>
        <v>Q3-2024</v>
      </c>
      <c r="Q2580">
        <f>YEAR(tblTransactions[[#This Row],[Date]])</f>
        <v>2024</v>
      </c>
      <c r="R2580" t="str">
        <f>TEXT(tblTransactions[[#This Row],[Date]],"DDDD")</f>
        <v>Friday</v>
      </c>
      <c r="S2580">
        <f>MONTH(tblTransactions[[#This Row],[Date]])</f>
        <v>7</v>
      </c>
      <c r="T2580" t="str">
        <f>VLOOKUP(E2580, Products!$A:$B,2,0)</f>
        <v>Paper Off-3</v>
      </c>
      <c r="U2580" t="str">
        <f>VLOOKUP(E2580,Products!$A:$C,3,0)</f>
        <v>Office Supplies</v>
      </c>
      <c r="V2580" t="str">
        <f>VLOOKUP(E2580,Products!$A:$D,4,0)</f>
        <v>Paper</v>
      </c>
      <c r="W2580" t="str">
        <f>VLOOKUP(D2580,Customers!$A:$C,3,0)</f>
        <v>B2C</v>
      </c>
      <c r="X2580" t="str">
        <f>VLOOKUP(C2580,Sales_Representatives!$A:$B,2,0)</f>
        <v>Michael Davis</v>
      </c>
    </row>
    <row r="2581" spans="1:24" x14ac:dyDescent="0.3">
      <c r="A2581" t="s">
        <v>3573</v>
      </c>
      <c r="B2581" t="s">
        <v>3571</v>
      </c>
      <c r="C2581" t="s">
        <v>75</v>
      </c>
      <c r="D2581" t="s">
        <v>2690</v>
      </c>
      <c r="E2581" t="s">
        <v>99</v>
      </c>
      <c r="F2581">
        <v>12</v>
      </c>
      <c r="G2581">
        <v>325.14</v>
      </c>
      <c r="H2581">
        <v>0.13</v>
      </c>
      <c r="I2581" s="4">
        <v>3394.46</v>
      </c>
      <c r="J2581" t="s">
        <v>44</v>
      </c>
      <c r="K2581" t="s">
        <v>39</v>
      </c>
      <c r="L2581" s="4">
        <f>VLOOKUP(tblTransactions[[#This Row],[Product_ID]],tblProducts[],5,FALSE)</f>
        <v>209.04</v>
      </c>
      <c r="M2581" s="4">
        <f>tblTransactions[[#This Row],[Total_Amount]]-(tblTransactions[[#This Row],[Cost_Prices]]*tblTransactions[[#This Row],[Quantity]]*(1-tblTransactions[[#This Row],[Discount]]))</f>
        <v>1212.0824000000002</v>
      </c>
      <c r="N2581" s="3">
        <f>tblTransactions[[#This Row],[Profit]]/tblTransactions[[#This Row],[Total_Amount]]</f>
        <v>0.35707664842125114</v>
      </c>
      <c r="O2581" t="str">
        <f>TEXT(tblTransactions[[#This Row],[Date]], "MMM-YYYY")</f>
        <v>Jul-2024</v>
      </c>
      <c r="P2581" t="str">
        <f>"Q"&amp;ROUNDUP(MONTH(tblTransactions[[#This Row],[Date]])/3,0)&amp;"-"&amp;YEAR(tblTransactions[[#This Row],[Date]])</f>
        <v>Q3-2024</v>
      </c>
      <c r="Q2581">
        <f>YEAR(tblTransactions[[#This Row],[Date]])</f>
        <v>2024</v>
      </c>
      <c r="R2581" t="str">
        <f>TEXT(tblTransactions[[#This Row],[Date]],"DDDD")</f>
        <v>Friday</v>
      </c>
      <c r="S2581">
        <f>MONTH(tblTransactions[[#This Row],[Date]])</f>
        <v>7</v>
      </c>
      <c r="T2581" t="str">
        <f>VLOOKUP(E2581, Products!$A:$B,2,0)</f>
        <v>Monitors Tec-1</v>
      </c>
      <c r="U2581" t="str">
        <f>VLOOKUP(E2581,Products!$A:$C,3,0)</f>
        <v>Technology</v>
      </c>
      <c r="V2581" t="str">
        <f>VLOOKUP(E2581,Products!$A:$D,4,0)</f>
        <v>Monitors</v>
      </c>
      <c r="W2581" t="str">
        <f>VLOOKUP(D2581,Customers!$A:$C,3,0)</f>
        <v>Enterprise</v>
      </c>
      <c r="X2581" t="str">
        <f>VLOOKUP(C2581,Sales_Representatives!$A:$B,2,0)</f>
        <v>Jessica Anderson</v>
      </c>
    </row>
    <row r="2582" spans="1:24" x14ac:dyDescent="0.3">
      <c r="A2582" t="s">
        <v>3574</v>
      </c>
      <c r="B2582" t="s">
        <v>3571</v>
      </c>
      <c r="C2582" t="s">
        <v>141</v>
      </c>
      <c r="D2582" t="s">
        <v>212</v>
      </c>
      <c r="E2582" t="s">
        <v>77</v>
      </c>
      <c r="F2582">
        <v>5</v>
      </c>
      <c r="G2582">
        <v>236.82</v>
      </c>
      <c r="H2582">
        <v>0.02</v>
      </c>
      <c r="I2582" s="4">
        <v>1160.42</v>
      </c>
      <c r="J2582" t="s">
        <v>109</v>
      </c>
      <c r="K2582" t="s">
        <v>17</v>
      </c>
      <c r="L2582" s="4">
        <f>VLOOKUP(tblTransactions[[#This Row],[Product_ID]],tblProducts[],5,FALSE)</f>
        <v>110.79</v>
      </c>
      <c r="M2582" s="4">
        <f>tblTransactions[[#This Row],[Total_Amount]]-(tblTransactions[[#This Row],[Cost_Prices]]*tblTransactions[[#This Row],[Quantity]]*(1-tblTransactions[[#This Row],[Discount]]))</f>
        <v>617.54900000000009</v>
      </c>
      <c r="N2582" s="3">
        <f>tblTransactions[[#This Row],[Profit]]/tblTransactions[[#This Row],[Total_Amount]]</f>
        <v>0.53217714275865635</v>
      </c>
      <c r="O2582" t="str">
        <f>TEXT(tblTransactions[[#This Row],[Date]], "MMM-YYYY")</f>
        <v>Jul-2024</v>
      </c>
      <c r="P2582" t="str">
        <f>"Q"&amp;ROUNDUP(MONTH(tblTransactions[[#This Row],[Date]])/3,0)&amp;"-"&amp;YEAR(tblTransactions[[#This Row],[Date]])</f>
        <v>Q3-2024</v>
      </c>
      <c r="Q2582">
        <f>YEAR(tblTransactions[[#This Row],[Date]])</f>
        <v>2024</v>
      </c>
      <c r="R2582" t="str">
        <f>TEXT(tblTransactions[[#This Row],[Date]],"DDDD")</f>
        <v>Friday</v>
      </c>
      <c r="S2582">
        <f>MONTH(tblTransactions[[#This Row],[Date]])</f>
        <v>7</v>
      </c>
      <c r="T2582" t="str">
        <f>VLOOKUP(E2582, Products!$A:$B,2,0)</f>
        <v>Binders Off-4</v>
      </c>
      <c r="U2582" t="str">
        <f>VLOOKUP(E2582,Products!$A:$C,3,0)</f>
        <v>Office Supplies</v>
      </c>
      <c r="V2582" t="str">
        <f>VLOOKUP(E2582,Products!$A:$D,4,0)</f>
        <v>Binders</v>
      </c>
      <c r="W2582" t="str">
        <f>VLOOKUP(D2582,Customers!$A:$C,3,0)</f>
        <v>B2C</v>
      </c>
      <c r="X2582" t="str">
        <f>VLOOKUP(C2582,Sales_Representatives!$A:$B,2,0)</f>
        <v>Richard Garcia</v>
      </c>
    </row>
    <row r="2583" spans="1:24" x14ac:dyDescent="0.3">
      <c r="A2583" t="s">
        <v>3575</v>
      </c>
      <c r="B2583" t="s">
        <v>3576</v>
      </c>
      <c r="C2583" t="s">
        <v>13</v>
      </c>
      <c r="D2583" t="s">
        <v>1808</v>
      </c>
      <c r="E2583" t="s">
        <v>290</v>
      </c>
      <c r="F2583">
        <v>6</v>
      </c>
      <c r="G2583">
        <v>729.32</v>
      </c>
      <c r="H2583">
        <v>0.15</v>
      </c>
      <c r="I2583" s="4">
        <v>3719.53</v>
      </c>
      <c r="J2583" t="s">
        <v>16</v>
      </c>
      <c r="K2583" t="s">
        <v>48</v>
      </c>
      <c r="L2583" s="4">
        <f>VLOOKUP(tblTransactions[[#This Row],[Product_ID]],tblProducts[],5,FALSE)</f>
        <v>482.7</v>
      </c>
      <c r="M2583" s="4">
        <f>tblTransactions[[#This Row],[Total_Amount]]-(tblTransactions[[#This Row],[Cost_Prices]]*tblTransactions[[#This Row],[Quantity]]*(1-tblTransactions[[#This Row],[Discount]]))</f>
        <v>1257.7600000000002</v>
      </c>
      <c r="N2583" s="3">
        <f>tblTransactions[[#This Row],[Profit]]/tblTransactions[[#This Row],[Total_Amount]]</f>
        <v>0.33815025016601563</v>
      </c>
      <c r="O2583" t="str">
        <f>TEXT(tblTransactions[[#This Row],[Date]], "MMM-YYYY")</f>
        <v>Jul-2024</v>
      </c>
      <c r="P2583" t="str">
        <f>"Q"&amp;ROUNDUP(MONTH(tblTransactions[[#This Row],[Date]])/3,0)&amp;"-"&amp;YEAR(tblTransactions[[#This Row],[Date]])</f>
        <v>Q3-2024</v>
      </c>
      <c r="Q2583">
        <f>YEAR(tblTransactions[[#This Row],[Date]])</f>
        <v>2024</v>
      </c>
      <c r="R2583" t="str">
        <f>TEXT(tblTransactions[[#This Row],[Date]],"DDDD")</f>
        <v>Saturday</v>
      </c>
      <c r="S2583">
        <f>MONTH(tblTransactions[[#This Row],[Date]])</f>
        <v>7</v>
      </c>
      <c r="T2583" t="str">
        <f>VLOOKUP(E2583, Products!$A:$B,2,0)</f>
        <v>Tables Fur-1</v>
      </c>
      <c r="U2583" t="str">
        <f>VLOOKUP(E2583,Products!$A:$C,3,0)</f>
        <v>Furniture</v>
      </c>
      <c r="V2583" t="str">
        <f>VLOOKUP(E2583,Products!$A:$D,4,0)</f>
        <v>Tables</v>
      </c>
      <c r="W2583" t="str">
        <f>VLOOKUP(D2583,Customers!$A:$C,3,0)</f>
        <v>B2B</v>
      </c>
      <c r="X2583" t="str">
        <f>VLOOKUP(C2583,Sales_Representatives!$A:$B,2,0)</f>
        <v>Jennifer Rodriguez</v>
      </c>
    </row>
    <row r="2584" spans="1:24" x14ac:dyDescent="0.3">
      <c r="A2584" t="s">
        <v>3577</v>
      </c>
      <c r="B2584" t="s">
        <v>3576</v>
      </c>
      <c r="C2584" t="s">
        <v>41</v>
      </c>
      <c r="D2584" t="s">
        <v>1578</v>
      </c>
      <c r="E2584" t="s">
        <v>394</v>
      </c>
      <c r="F2584">
        <v>19</v>
      </c>
      <c r="G2584">
        <v>314.69</v>
      </c>
      <c r="H2584">
        <v>0.15</v>
      </c>
      <c r="I2584" s="4">
        <v>5082.24</v>
      </c>
      <c r="J2584" t="s">
        <v>44</v>
      </c>
      <c r="K2584" t="s">
        <v>22</v>
      </c>
      <c r="L2584" s="4">
        <f>VLOOKUP(tblTransactions[[#This Row],[Product_ID]],tblProducts[],5,FALSE)</f>
        <v>185.43</v>
      </c>
      <c r="M2584" s="4">
        <f>tblTransactions[[#This Row],[Total_Amount]]-(tblTransactions[[#This Row],[Cost_Prices]]*tblTransactions[[#This Row],[Quantity]]*(1-tblTransactions[[#This Row],[Discount]]))</f>
        <v>2087.5454999999997</v>
      </c>
      <c r="N2584" s="3">
        <f>tblTransactions[[#This Row],[Profit]]/tblTransactions[[#This Row],[Total_Amount]]</f>
        <v>0.41075303409520209</v>
      </c>
      <c r="O2584" t="str">
        <f>TEXT(tblTransactions[[#This Row],[Date]], "MMM-YYYY")</f>
        <v>Jul-2024</v>
      </c>
      <c r="P2584" t="str">
        <f>"Q"&amp;ROUNDUP(MONTH(tblTransactions[[#This Row],[Date]])/3,0)&amp;"-"&amp;YEAR(tblTransactions[[#This Row],[Date]])</f>
        <v>Q3-2024</v>
      </c>
      <c r="Q2584">
        <f>YEAR(tblTransactions[[#This Row],[Date]])</f>
        <v>2024</v>
      </c>
      <c r="R2584" t="str">
        <f>TEXT(tblTransactions[[#This Row],[Date]],"DDDD")</f>
        <v>Saturday</v>
      </c>
      <c r="S2584">
        <f>MONTH(tblTransactions[[#This Row],[Date]])</f>
        <v>7</v>
      </c>
      <c r="T2584" t="str">
        <f>VLOOKUP(E2584, Products!$A:$B,2,0)</f>
        <v>Desks Fur-1</v>
      </c>
      <c r="U2584" t="str">
        <f>VLOOKUP(E2584,Products!$A:$C,3,0)</f>
        <v>Furniture</v>
      </c>
      <c r="V2584" t="str">
        <f>VLOOKUP(E2584,Products!$A:$D,4,0)</f>
        <v>Desks</v>
      </c>
      <c r="W2584" t="str">
        <f>VLOOKUP(D2584,Customers!$A:$C,3,0)</f>
        <v>Enterprise</v>
      </c>
      <c r="X2584" t="str">
        <f>VLOOKUP(C2584,Sales_Representatives!$A:$B,2,0)</f>
        <v>Robert Jones</v>
      </c>
    </row>
    <row r="2585" spans="1:24" x14ac:dyDescent="0.3">
      <c r="A2585" t="s">
        <v>3578</v>
      </c>
      <c r="B2585" t="s">
        <v>3576</v>
      </c>
      <c r="C2585" t="s">
        <v>56</v>
      </c>
      <c r="D2585" t="s">
        <v>98</v>
      </c>
      <c r="E2585" t="s">
        <v>324</v>
      </c>
      <c r="F2585">
        <v>1</v>
      </c>
      <c r="G2585">
        <v>245.76</v>
      </c>
      <c r="H2585">
        <v>0</v>
      </c>
      <c r="I2585" s="4">
        <v>245.76</v>
      </c>
      <c r="J2585" t="s">
        <v>34</v>
      </c>
      <c r="K2585" t="s">
        <v>22</v>
      </c>
      <c r="L2585" s="4">
        <f>VLOOKUP(tblTransactions[[#This Row],[Product_ID]],tblProducts[],5,FALSE)</f>
        <v>161.94</v>
      </c>
      <c r="M2585" s="4">
        <f>tblTransactions[[#This Row],[Total_Amount]]-(tblTransactions[[#This Row],[Cost_Prices]]*tblTransactions[[#This Row],[Quantity]]*(1-tblTransactions[[#This Row],[Discount]]))</f>
        <v>83.82</v>
      </c>
      <c r="N2585" s="3">
        <f>tblTransactions[[#This Row],[Profit]]/tblTransactions[[#This Row],[Total_Amount]]</f>
        <v>0.341064453125</v>
      </c>
      <c r="O2585" t="str">
        <f>TEXT(tblTransactions[[#This Row],[Date]], "MMM-YYYY")</f>
        <v>Jul-2024</v>
      </c>
      <c r="P2585" t="str">
        <f>"Q"&amp;ROUNDUP(MONTH(tblTransactions[[#This Row],[Date]])/3,0)&amp;"-"&amp;YEAR(tblTransactions[[#This Row],[Date]])</f>
        <v>Q3-2024</v>
      </c>
      <c r="Q2585">
        <f>YEAR(tblTransactions[[#This Row],[Date]])</f>
        <v>2024</v>
      </c>
      <c r="R2585" t="str">
        <f>TEXT(tblTransactions[[#This Row],[Date]],"DDDD")</f>
        <v>Saturday</v>
      </c>
      <c r="S2585">
        <f>MONTH(tblTransactions[[#This Row],[Date]])</f>
        <v>7</v>
      </c>
      <c r="T2585" t="str">
        <f>VLOOKUP(E2585, Products!$A:$B,2,0)</f>
        <v>Storage Fur-1</v>
      </c>
      <c r="U2585" t="str">
        <f>VLOOKUP(E2585,Products!$A:$C,3,0)</f>
        <v>Furniture</v>
      </c>
      <c r="V2585" t="str">
        <f>VLOOKUP(E2585,Products!$A:$D,4,0)</f>
        <v>Storage</v>
      </c>
      <c r="W2585" t="str">
        <f>VLOOKUP(D2585,Customers!$A:$C,3,0)</f>
        <v>B2C</v>
      </c>
      <c r="X2585" t="str">
        <f>VLOOKUP(C2585,Sales_Representatives!$A:$B,2,0)</f>
        <v>Thomas Hernandez</v>
      </c>
    </row>
    <row r="2586" spans="1:24" x14ac:dyDescent="0.3">
      <c r="A2586" t="s">
        <v>3579</v>
      </c>
      <c r="B2586" t="s">
        <v>3576</v>
      </c>
      <c r="C2586" t="s">
        <v>127</v>
      </c>
      <c r="D2586" t="s">
        <v>3074</v>
      </c>
      <c r="E2586" t="s">
        <v>129</v>
      </c>
      <c r="F2586">
        <v>14</v>
      </c>
      <c r="G2586">
        <v>1283.71</v>
      </c>
      <c r="H2586">
        <v>0.18</v>
      </c>
      <c r="I2586" s="4">
        <v>14736.99</v>
      </c>
      <c r="J2586" t="s">
        <v>109</v>
      </c>
      <c r="K2586" t="s">
        <v>17</v>
      </c>
      <c r="L2586" s="4">
        <f>VLOOKUP(tblTransactions[[#This Row],[Product_ID]],tblProducts[],5,FALSE)</f>
        <v>970.14</v>
      </c>
      <c r="M2586" s="4">
        <f>tblTransactions[[#This Row],[Total_Amount]]-(tblTransactions[[#This Row],[Cost_Prices]]*tblTransactions[[#This Row],[Quantity]]*(1-tblTransactions[[#This Row],[Discount]]))</f>
        <v>3599.782799999999</v>
      </c>
      <c r="N2586" s="3">
        <f>tblTransactions[[#This Row],[Profit]]/tblTransactions[[#This Row],[Total_Amount]]</f>
        <v>0.24426852430516674</v>
      </c>
      <c r="O2586" t="str">
        <f>TEXT(tblTransactions[[#This Row],[Date]], "MMM-YYYY")</f>
        <v>Jul-2024</v>
      </c>
      <c r="P2586" t="str">
        <f>"Q"&amp;ROUNDUP(MONTH(tblTransactions[[#This Row],[Date]])/3,0)&amp;"-"&amp;YEAR(tblTransactions[[#This Row],[Date]])</f>
        <v>Q3-2024</v>
      </c>
      <c r="Q2586">
        <f>YEAR(tblTransactions[[#This Row],[Date]])</f>
        <v>2024</v>
      </c>
      <c r="R2586" t="str">
        <f>TEXT(tblTransactions[[#This Row],[Date]],"DDDD")</f>
        <v>Saturday</v>
      </c>
      <c r="S2586">
        <f>MONTH(tblTransactions[[#This Row],[Date]])</f>
        <v>7</v>
      </c>
      <c r="T2586" t="str">
        <f>VLOOKUP(E2586, Products!$A:$B,2,0)</f>
        <v>Cameras Ele-3</v>
      </c>
      <c r="U2586" t="str">
        <f>VLOOKUP(E2586,Products!$A:$C,3,0)</f>
        <v>Electronics</v>
      </c>
      <c r="V2586" t="str">
        <f>VLOOKUP(E2586,Products!$A:$D,4,0)</f>
        <v>Cameras</v>
      </c>
      <c r="W2586" t="str">
        <f>VLOOKUP(D2586,Customers!$A:$C,3,0)</f>
        <v>Enterprise</v>
      </c>
      <c r="X2586" t="str">
        <f>VLOOKUP(C2586,Sales_Representatives!$A:$B,2,0)</f>
        <v>Emily Hernandez</v>
      </c>
    </row>
    <row r="2587" spans="1:24" x14ac:dyDescent="0.3">
      <c r="A2587" t="s">
        <v>3580</v>
      </c>
      <c r="B2587" t="s">
        <v>3576</v>
      </c>
      <c r="C2587" t="s">
        <v>131</v>
      </c>
      <c r="D2587" t="s">
        <v>362</v>
      </c>
      <c r="E2587" t="s">
        <v>121</v>
      </c>
      <c r="F2587">
        <v>1</v>
      </c>
      <c r="G2587">
        <v>183.9</v>
      </c>
      <c r="H2587">
        <v>7.0000000000000007E-2</v>
      </c>
      <c r="I2587" s="4">
        <v>171.03</v>
      </c>
      <c r="J2587" t="s">
        <v>44</v>
      </c>
      <c r="K2587" t="s">
        <v>17</v>
      </c>
      <c r="L2587" s="4">
        <f>VLOOKUP(tblTransactions[[#This Row],[Product_ID]],tblProducts[],5,FALSE)</f>
        <v>116.83</v>
      </c>
      <c r="M2587" s="4">
        <f>tblTransactions[[#This Row],[Total_Amount]]-(tblTransactions[[#This Row],[Cost_Prices]]*tblTransactions[[#This Row],[Quantity]]*(1-tblTransactions[[#This Row],[Discount]]))</f>
        <v>62.378100000000003</v>
      </c>
      <c r="N2587" s="3">
        <f>tblTransactions[[#This Row],[Profit]]/tblTransactions[[#This Row],[Total_Amount]]</f>
        <v>0.36472022452201369</v>
      </c>
      <c r="O2587" t="str">
        <f>TEXT(tblTransactions[[#This Row],[Date]], "MMM-YYYY")</f>
        <v>Jul-2024</v>
      </c>
      <c r="P2587" t="str">
        <f>"Q"&amp;ROUNDUP(MONTH(tblTransactions[[#This Row],[Date]])/3,0)&amp;"-"&amp;YEAR(tblTransactions[[#This Row],[Date]])</f>
        <v>Q3-2024</v>
      </c>
      <c r="Q2587">
        <f>YEAR(tblTransactions[[#This Row],[Date]])</f>
        <v>2024</v>
      </c>
      <c r="R2587" t="str">
        <f>TEXT(tblTransactions[[#This Row],[Date]],"DDDD")</f>
        <v>Saturday</v>
      </c>
      <c r="S2587">
        <f>MONTH(tblTransactions[[#This Row],[Date]])</f>
        <v>7</v>
      </c>
      <c r="T2587" t="str">
        <f>VLOOKUP(E2587, Products!$A:$B,2,0)</f>
        <v>Pens Off-3</v>
      </c>
      <c r="U2587" t="str">
        <f>VLOOKUP(E2587,Products!$A:$C,3,0)</f>
        <v>Office Supplies</v>
      </c>
      <c r="V2587" t="str">
        <f>VLOOKUP(E2587,Products!$A:$D,4,0)</f>
        <v>Pens</v>
      </c>
      <c r="W2587" t="str">
        <f>VLOOKUP(D2587,Customers!$A:$C,3,0)</f>
        <v>Small Business</v>
      </c>
      <c r="X2587" t="str">
        <f>VLOOKUP(C2587,Sales_Representatives!$A:$B,2,0)</f>
        <v>Michael Davis</v>
      </c>
    </row>
    <row r="2588" spans="1:24" x14ac:dyDescent="0.3">
      <c r="A2588" t="s">
        <v>3581</v>
      </c>
      <c r="B2588" t="s">
        <v>3576</v>
      </c>
      <c r="C2588" t="s">
        <v>41</v>
      </c>
      <c r="D2588" t="s">
        <v>1912</v>
      </c>
      <c r="E2588" t="s">
        <v>87</v>
      </c>
      <c r="F2588">
        <v>44</v>
      </c>
      <c r="G2588">
        <v>1047.8900000000001</v>
      </c>
      <c r="H2588">
        <v>0.16</v>
      </c>
      <c r="I2588" s="4">
        <v>38730.01</v>
      </c>
      <c r="J2588" t="s">
        <v>44</v>
      </c>
      <c r="K2588" t="s">
        <v>48</v>
      </c>
      <c r="L2588" s="4">
        <f>VLOOKUP(tblTransactions[[#This Row],[Product_ID]],tblProducts[],5,FALSE)</f>
        <v>742.63</v>
      </c>
      <c r="M2588" s="4">
        <f>tblTransactions[[#This Row],[Total_Amount]]-(tblTransactions[[#This Row],[Cost_Prices]]*tblTransactions[[#This Row],[Quantity]]*(1-tblTransactions[[#This Row],[Discount]]))</f>
        <v>11282.405200000001</v>
      </c>
      <c r="N2588" s="3">
        <f>tblTransactions[[#This Row],[Profit]]/tblTransactions[[#This Row],[Total_Amount]]</f>
        <v>0.29130912178953738</v>
      </c>
      <c r="O2588" t="str">
        <f>TEXT(tblTransactions[[#This Row],[Date]], "MMM-YYYY")</f>
        <v>Jul-2024</v>
      </c>
      <c r="P2588" t="str">
        <f>"Q"&amp;ROUNDUP(MONTH(tblTransactions[[#This Row],[Date]])/3,0)&amp;"-"&amp;YEAR(tblTransactions[[#This Row],[Date]])</f>
        <v>Q3-2024</v>
      </c>
      <c r="Q2588">
        <f>YEAR(tblTransactions[[#This Row],[Date]])</f>
        <v>2024</v>
      </c>
      <c r="R2588" t="str">
        <f>TEXT(tblTransactions[[#This Row],[Date]],"DDDD")</f>
        <v>Saturday</v>
      </c>
      <c r="S2588">
        <f>MONTH(tblTransactions[[#This Row],[Date]])</f>
        <v>7</v>
      </c>
      <c r="T2588" t="str">
        <f>VLOOKUP(E2588, Products!$A:$B,2,0)</f>
        <v>Monitors Tec-2</v>
      </c>
      <c r="U2588" t="str">
        <f>VLOOKUP(E2588,Products!$A:$C,3,0)</f>
        <v>Technology</v>
      </c>
      <c r="V2588" t="str">
        <f>VLOOKUP(E2588,Products!$A:$D,4,0)</f>
        <v>Monitors</v>
      </c>
      <c r="W2588" t="str">
        <f>VLOOKUP(D2588,Customers!$A:$C,3,0)</f>
        <v>Enterprise</v>
      </c>
      <c r="X2588" t="str">
        <f>VLOOKUP(C2588,Sales_Representatives!$A:$B,2,0)</f>
        <v>Robert Jones</v>
      </c>
    </row>
    <row r="2589" spans="1:24" x14ac:dyDescent="0.3">
      <c r="A2589" t="s">
        <v>3582</v>
      </c>
      <c r="B2589" t="s">
        <v>3576</v>
      </c>
      <c r="C2589" t="s">
        <v>70</v>
      </c>
      <c r="D2589" t="s">
        <v>1635</v>
      </c>
      <c r="E2589" t="s">
        <v>224</v>
      </c>
      <c r="F2589">
        <v>18</v>
      </c>
      <c r="G2589">
        <v>505.37</v>
      </c>
      <c r="H2589">
        <v>0.11</v>
      </c>
      <c r="I2589" s="4">
        <v>8096.03</v>
      </c>
      <c r="J2589" t="s">
        <v>16</v>
      </c>
      <c r="K2589" t="s">
        <v>17</v>
      </c>
      <c r="L2589" s="4">
        <f>VLOOKUP(tblTransactions[[#This Row],[Product_ID]],tblProducts[],5,FALSE)</f>
        <v>281.14999999999998</v>
      </c>
      <c r="M2589" s="4">
        <f>tblTransactions[[#This Row],[Total_Amount]]-(tblTransactions[[#This Row],[Cost_Prices]]*tblTransactions[[#This Row],[Quantity]]*(1-tblTransactions[[#This Row],[Discount]]))</f>
        <v>3592.0069999999996</v>
      </c>
      <c r="N2589" s="3">
        <f>tblTransactions[[#This Row],[Profit]]/tblTransactions[[#This Row],[Total_Amount]]</f>
        <v>0.44367510989954334</v>
      </c>
      <c r="O2589" t="str">
        <f>TEXT(tblTransactions[[#This Row],[Date]], "MMM-YYYY")</f>
        <v>Jul-2024</v>
      </c>
      <c r="P2589" t="str">
        <f>"Q"&amp;ROUNDUP(MONTH(tblTransactions[[#This Row],[Date]])/3,0)&amp;"-"&amp;YEAR(tblTransactions[[#This Row],[Date]])</f>
        <v>Q3-2024</v>
      </c>
      <c r="Q2589">
        <f>YEAR(tblTransactions[[#This Row],[Date]])</f>
        <v>2024</v>
      </c>
      <c r="R2589" t="str">
        <f>TEXT(tblTransactions[[#This Row],[Date]],"DDDD")</f>
        <v>Saturday</v>
      </c>
      <c r="S2589">
        <f>MONTH(tblTransactions[[#This Row],[Date]])</f>
        <v>7</v>
      </c>
      <c r="T2589" t="str">
        <f>VLOOKUP(E2589, Products!$A:$B,2,0)</f>
        <v>Desks Fur-3</v>
      </c>
      <c r="U2589" t="str">
        <f>VLOOKUP(E2589,Products!$A:$C,3,0)</f>
        <v>Furniture</v>
      </c>
      <c r="V2589" t="str">
        <f>VLOOKUP(E2589,Products!$A:$D,4,0)</f>
        <v>Desks</v>
      </c>
      <c r="W2589" t="str">
        <f>VLOOKUP(D2589,Customers!$A:$C,3,0)</f>
        <v>Enterprise</v>
      </c>
      <c r="X2589" t="str">
        <f>VLOOKUP(C2589,Sales_Representatives!$A:$B,2,0)</f>
        <v>Linda Smith</v>
      </c>
    </row>
    <row r="2590" spans="1:24" x14ac:dyDescent="0.3">
      <c r="A2590" t="s">
        <v>3583</v>
      </c>
      <c r="B2590" t="s">
        <v>3584</v>
      </c>
      <c r="C2590" t="s">
        <v>70</v>
      </c>
      <c r="D2590" t="s">
        <v>166</v>
      </c>
      <c r="E2590" t="s">
        <v>283</v>
      </c>
      <c r="F2590">
        <v>6</v>
      </c>
      <c r="G2590">
        <v>456.88</v>
      </c>
      <c r="H2590">
        <v>0.13</v>
      </c>
      <c r="I2590" s="4">
        <v>2384.91</v>
      </c>
      <c r="J2590" t="s">
        <v>16</v>
      </c>
      <c r="K2590" t="s">
        <v>35</v>
      </c>
      <c r="L2590" s="4">
        <f>VLOOKUP(tblTransactions[[#This Row],[Product_ID]],tblProducts[],5,FALSE)</f>
        <v>313.23</v>
      </c>
      <c r="M2590" s="4">
        <f>tblTransactions[[#This Row],[Total_Amount]]-(tblTransactions[[#This Row],[Cost_Prices]]*tblTransactions[[#This Row],[Quantity]]*(1-tblTransactions[[#This Row],[Discount]]))</f>
        <v>749.84939999999983</v>
      </c>
      <c r="N2590" s="3">
        <f>tblTransactions[[#This Row],[Profit]]/tblTransactions[[#This Row],[Total_Amount]]</f>
        <v>0.31441412883505032</v>
      </c>
      <c r="O2590" t="str">
        <f>TEXT(tblTransactions[[#This Row],[Date]], "MMM-YYYY")</f>
        <v>Jul-2024</v>
      </c>
      <c r="P2590" t="str">
        <f>"Q"&amp;ROUNDUP(MONTH(tblTransactions[[#This Row],[Date]])/3,0)&amp;"-"&amp;YEAR(tblTransactions[[#This Row],[Date]])</f>
        <v>Q3-2024</v>
      </c>
      <c r="Q2590">
        <f>YEAR(tblTransactions[[#This Row],[Date]])</f>
        <v>2024</v>
      </c>
      <c r="R2590" t="str">
        <f>TEXT(tblTransactions[[#This Row],[Date]],"DDDD")</f>
        <v>Sunday</v>
      </c>
      <c r="S2590">
        <f>MONTH(tblTransactions[[#This Row],[Date]])</f>
        <v>7</v>
      </c>
      <c r="T2590" t="str">
        <f>VLOOKUP(E2590, Products!$A:$B,2,0)</f>
        <v>Chairs Fur-3</v>
      </c>
      <c r="U2590" t="str">
        <f>VLOOKUP(E2590,Products!$A:$C,3,0)</f>
        <v>Furniture</v>
      </c>
      <c r="V2590" t="str">
        <f>VLOOKUP(E2590,Products!$A:$D,4,0)</f>
        <v>Chairs</v>
      </c>
      <c r="W2590" t="str">
        <f>VLOOKUP(D2590,Customers!$A:$C,3,0)</f>
        <v>B2C</v>
      </c>
      <c r="X2590" t="str">
        <f>VLOOKUP(C2590,Sales_Representatives!$A:$B,2,0)</f>
        <v>Linda Smith</v>
      </c>
    </row>
    <row r="2591" spans="1:24" x14ac:dyDescent="0.3">
      <c r="A2591" t="s">
        <v>3585</v>
      </c>
      <c r="B2591" t="s">
        <v>3584</v>
      </c>
      <c r="C2591" t="s">
        <v>31</v>
      </c>
      <c r="D2591" t="s">
        <v>2141</v>
      </c>
      <c r="E2591" t="s">
        <v>221</v>
      </c>
      <c r="F2591">
        <v>5</v>
      </c>
      <c r="G2591">
        <v>210.02</v>
      </c>
      <c r="H2591">
        <v>0.04</v>
      </c>
      <c r="I2591" s="4">
        <v>1008.1</v>
      </c>
      <c r="J2591" t="s">
        <v>34</v>
      </c>
      <c r="K2591" t="s">
        <v>17</v>
      </c>
      <c r="L2591" s="4">
        <f>VLOOKUP(tblTransactions[[#This Row],[Product_ID]],tblProducts[],5,FALSE)</f>
        <v>131.66</v>
      </c>
      <c r="M2591" s="4">
        <f>tblTransactions[[#This Row],[Total_Amount]]-(tblTransactions[[#This Row],[Cost_Prices]]*tblTransactions[[#This Row],[Quantity]]*(1-tblTransactions[[#This Row],[Discount]]))</f>
        <v>376.13200000000006</v>
      </c>
      <c r="N2591" s="3">
        <f>tblTransactions[[#This Row],[Profit]]/tblTransactions[[#This Row],[Total_Amount]]</f>
        <v>0.37310981053466924</v>
      </c>
      <c r="O2591" t="str">
        <f>TEXT(tblTransactions[[#This Row],[Date]], "MMM-YYYY")</f>
        <v>Jul-2024</v>
      </c>
      <c r="P2591" t="str">
        <f>"Q"&amp;ROUNDUP(MONTH(tblTransactions[[#This Row],[Date]])/3,0)&amp;"-"&amp;YEAR(tblTransactions[[#This Row],[Date]])</f>
        <v>Q3-2024</v>
      </c>
      <c r="Q2591">
        <f>YEAR(tblTransactions[[#This Row],[Date]])</f>
        <v>2024</v>
      </c>
      <c r="R2591" t="str">
        <f>TEXT(tblTransactions[[#This Row],[Date]],"DDDD")</f>
        <v>Sunday</v>
      </c>
      <c r="S2591">
        <f>MONTH(tblTransactions[[#This Row],[Date]])</f>
        <v>7</v>
      </c>
      <c r="T2591" t="str">
        <f>VLOOKUP(E2591, Products!$A:$B,2,0)</f>
        <v>Storage Fur-2</v>
      </c>
      <c r="U2591" t="str">
        <f>VLOOKUP(E2591,Products!$A:$C,3,0)</f>
        <v>Furniture</v>
      </c>
      <c r="V2591" t="str">
        <f>VLOOKUP(E2591,Products!$A:$D,4,0)</f>
        <v>Storage</v>
      </c>
      <c r="W2591" t="str">
        <f>VLOOKUP(D2591,Customers!$A:$C,3,0)</f>
        <v>B2C</v>
      </c>
      <c r="X2591" t="str">
        <f>VLOOKUP(C2591,Sales_Representatives!$A:$B,2,0)</f>
        <v>Thomas Martinez</v>
      </c>
    </row>
    <row r="2592" spans="1:24" x14ac:dyDescent="0.3">
      <c r="A2592" t="s">
        <v>3586</v>
      </c>
      <c r="B2592" t="s">
        <v>3584</v>
      </c>
      <c r="C2592" t="s">
        <v>75</v>
      </c>
      <c r="D2592" t="s">
        <v>1627</v>
      </c>
      <c r="E2592" t="s">
        <v>178</v>
      </c>
      <c r="F2592">
        <v>38</v>
      </c>
      <c r="G2592">
        <v>1623.35</v>
      </c>
      <c r="H2592">
        <v>0.22</v>
      </c>
      <c r="I2592" s="4">
        <v>48116.09</v>
      </c>
      <c r="J2592" t="s">
        <v>44</v>
      </c>
      <c r="K2592" t="s">
        <v>48</v>
      </c>
      <c r="L2592" s="4">
        <f>VLOOKUP(tblTransactions[[#This Row],[Product_ID]],tblProducts[],5,FALSE)</f>
        <v>981.45</v>
      </c>
      <c r="M2592" s="4">
        <f>tblTransactions[[#This Row],[Total_Amount]]-(tblTransactions[[#This Row],[Cost_Prices]]*tblTransactions[[#This Row],[Quantity]]*(1-tblTransactions[[#This Row],[Discount]]))</f>
        <v>19025.911999999997</v>
      </c>
      <c r="N2592" s="3">
        <f>tblTransactions[[#This Row],[Profit]]/tblTransactions[[#This Row],[Total_Amount]]</f>
        <v>0.39541683457654181</v>
      </c>
      <c r="O2592" t="str">
        <f>TEXT(tblTransactions[[#This Row],[Date]], "MMM-YYYY")</f>
        <v>Jul-2024</v>
      </c>
      <c r="P2592" t="str">
        <f>"Q"&amp;ROUNDUP(MONTH(tblTransactions[[#This Row],[Date]])/3,0)&amp;"-"&amp;YEAR(tblTransactions[[#This Row],[Date]])</f>
        <v>Q3-2024</v>
      </c>
      <c r="Q2592">
        <f>YEAR(tblTransactions[[#This Row],[Date]])</f>
        <v>2024</v>
      </c>
      <c r="R2592" t="str">
        <f>TEXT(tblTransactions[[#This Row],[Date]],"DDDD")</f>
        <v>Sunday</v>
      </c>
      <c r="S2592">
        <f>MONTH(tblTransactions[[#This Row],[Date]])</f>
        <v>7</v>
      </c>
      <c r="T2592" t="str">
        <f>VLOOKUP(E2592, Products!$A:$B,2,0)</f>
        <v>Tablets Ele-1</v>
      </c>
      <c r="U2592" t="str">
        <f>VLOOKUP(E2592,Products!$A:$C,3,0)</f>
        <v>Electronics</v>
      </c>
      <c r="V2592" t="str">
        <f>VLOOKUP(E2592,Products!$A:$D,4,0)</f>
        <v>Tablets</v>
      </c>
      <c r="W2592" t="str">
        <f>VLOOKUP(D2592,Customers!$A:$C,3,0)</f>
        <v>Enterprise</v>
      </c>
      <c r="X2592" t="str">
        <f>VLOOKUP(C2592,Sales_Representatives!$A:$B,2,0)</f>
        <v>Jessica Anderson</v>
      </c>
    </row>
    <row r="2593" spans="1:24" x14ac:dyDescent="0.3">
      <c r="A2593" t="s">
        <v>3587</v>
      </c>
      <c r="B2593" t="s">
        <v>3584</v>
      </c>
      <c r="C2593" t="s">
        <v>82</v>
      </c>
      <c r="D2593" t="s">
        <v>2567</v>
      </c>
      <c r="E2593" t="s">
        <v>96</v>
      </c>
      <c r="F2593">
        <v>12</v>
      </c>
      <c r="G2593">
        <v>751.9</v>
      </c>
      <c r="H2593">
        <v>0.19</v>
      </c>
      <c r="I2593" s="4">
        <v>7308.47</v>
      </c>
      <c r="J2593" t="s">
        <v>34</v>
      </c>
      <c r="K2593" t="s">
        <v>35</v>
      </c>
      <c r="L2593" s="4">
        <f>VLOOKUP(tblTransactions[[#This Row],[Product_ID]],tblProducts[],5,FALSE)</f>
        <v>570.29</v>
      </c>
      <c r="M2593" s="4">
        <f>tblTransactions[[#This Row],[Total_Amount]]-(tblTransactions[[#This Row],[Cost_Prices]]*tblTransactions[[#This Row],[Quantity]]*(1-tblTransactions[[#This Row],[Discount]]))</f>
        <v>1765.2512000000006</v>
      </c>
      <c r="N2593" s="3">
        <f>tblTransactions[[#This Row],[Profit]]/tblTransactions[[#This Row],[Total_Amount]]</f>
        <v>0.24153498611884575</v>
      </c>
      <c r="O2593" t="str">
        <f>TEXT(tblTransactions[[#This Row],[Date]], "MMM-YYYY")</f>
        <v>Jul-2024</v>
      </c>
      <c r="P2593" t="str">
        <f>"Q"&amp;ROUNDUP(MONTH(tblTransactions[[#This Row],[Date]])/3,0)&amp;"-"&amp;YEAR(tblTransactions[[#This Row],[Date]])</f>
        <v>Q3-2024</v>
      </c>
      <c r="Q2593">
        <f>YEAR(tblTransactions[[#This Row],[Date]])</f>
        <v>2024</v>
      </c>
      <c r="R2593" t="str">
        <f>TEXT(tblTransactions[[#This Row],[Date]],"DDDD")</f>
        <v>Sunday</v>
      </c>
      <c r="S2593">
        <f>MONTH(tblTransactions[[#This Row],[Date]])</f>
        <v>7</v>
      </c>
      <c r="T2593" t="str">
        <f>VLOOKUP(E2593, Products!$A:$B,2,0)</f>
        <v>Routers Tec-1</v>
      </c>
      <c r="U2593" t="str">
        <f>VLOOKUP(E2593,Products!$A:$C,3,0)</f>
        <v>Technology</v>
      </c>
      <c r="V2593" t="str">
        <f>VLOOKUP(E2593,Products!$A:$D,4,0)</f>
        <v>Routers</v>
      </c>
      <c r="W2593" t="str">
        <f>VLOOKUP(D2593,Customers!$A:$C,3,0)</f>
        <v>B2B</v>
      </c>
      <c r="X2593" t="str">
        <f>VLOOKUP(C2593,Sales_Representatives!$A:$B,2,0)</f>
        <v>John Brown</v>
      </c>
    </row>
    <row r="2594" spans="1:24" x14ac:dyDescent="0.3">
      <c r="A2594" t="s">
        <v>3588</v>
      </c>
      <c r="B2594" t="s">
        <v>3584</v>
      </c>
      <c r="C2594" t="s">
        <v>13</v>
      </c>
      <c r="D2594" t="s">
        <v>1741</v>
      </c>
      <c r="E2594" t="s">
        <v>38</v>
      </c>
      <c r="F2594">
        <v>5</v>
      </c>
      <c r="G2594">
        <v>581.47</v>
      </c>
      <c r="H2594">
        <v>0.01</v>
      </c>
      <c r="I2594" s="4">
        <v>2878.28</v>
      </c>
      <c r="J2594" t="s">
        <v>16</v>
      </c>
      <c r="K2594" t="s">
        <v>22</v>
      </c>
      <c r="L2594" s="4">
        <f>VLOOKUP(tblTransactions[[#This Row],[Product_ID]],tblProducts[],5,FALSE)</f>
        <v>372.07</v>
      </c>
      <c r="M2594" s="4">
        <f>tblTransactions[[#This Row],[Total_Amount]]-(tblTransactions[[#This Row],[Cost_Prices]]*tblTransactions[[#This Row],[Quantity]]*(1-tblTransactions[[#This Row],[Discount]]))</f>
        <v>1036.5335000000002</v>
      </c>
      <c r="N2594" s="3">
        <f>tblTransactions[[#This Row],[Profit]]/tblTransactions[[#This Row],[Total_Amount]]</f>
        <v>0.36012253846046949</v>
      </c>
      <c r="O2594" t="str">
        <f>TEXT(tblTransactions[[#This Row],[Date]], "MMM-YYYY")</f>
        <v>Jul-2024</v>
      </c>
      <c r="P2594" t="str">
        <f>"Q"&amp;ROUNDUP(MONTH(tblTransactions[[#This Row],[Date]])/3,0)&amp;"-"&amp;YEAR(tblTransactions[[#This Row],[Date]])</f>
        <v>Q3-2024</v>
      </c>
      <c r="Q2594">
        <f>YEAR(tblTransactions[[#This Row],[Date]])</f>
        <v>2024</v>
      </c>
      <c r="R2594" t="str">
        <f>TEXT(tblTransactions[[#This Row],[Date]],"DDDD")</f>
        <v>Sunday</v>
      </c>
      <c r="S2594">
        <f>MONTH(tblTransactions[[#This Row],[Date]])</f>
        <v>7</v>
      </c>
      <c r="T2594" t="str">
        <f>VLOOKUP(E2594, Products!$A:$B,2,0)</f>
        <v>Storage Fur-3</v>
      </c>
      <c r="U2594" t="str">
        <f>VLOOKUP(E2594,Products!$A:$C,3,0)</f>
        <v>Furniture</v>
      </c>
      <c r="V2594" t="str">
        <f>VLOOKUP(E2594,Products!$A:$D,4,0)</f>
        <v>Storage</v>
      </c>
      <c r="W2594" t="str">
        <f>VLOOKUP(D2594,Customers!$A:$C,3,0)</f>
        <v>B2B</v>
      </c>
      <c r="X2594" t="str">
        <f>VLOOKUP(C2594,Sales_Representatives!$A:$B,2,0)</f>
        <v>Jennifer Rodriguez</v>
      </c>
    </row>
    <row r="2595" spans="1:24" x14ac:dyDescent="0.3">
      <c r="A2595" t="s">
        <v>3589</v>
      </c>
      <c r="B2595" t="s">
        <v>3584</v>
      </c>
      <c r="C2595" t="s">
        <v>27</v>
      </c>
      <c r="D2595" t="s">
        <v>1658</v>
      </c>
      <c r="E2595" t="s">
        <v>29</v>
      </c>
      <c r="F2595">
        <v>46</v>
      </c>
      <c r="G2595">
        <v>1363.46</v>
      </c>
      <c r="H2595">
        <v>0.16</v>
      </c>
      <c r="I2595" s="4">
        <v>52684.09</v>
      </c>
      <c r="J2595" t="s">
        <v>16</v>
      </c>
      <c r="K2595" t="s">
        <v>17</v>
      </c>
      <c r="L2595" s="4">
        <f>VLOOKUP(tblTransactions[[#This Row],[Product_ID]],tblProducts[],5,FALSE)</f>
        <v>995.41</v>
      </c>
      <c r="M2595" s="4">
        <f>tblTransactions[[#This Row],[Total_Amount]]-(tblTransactions[[#This Row],[Cost_Prices]]*tblTransactions[[#This Row],[Quantity]]*(1-tblTransactions[[#This Row],[Discount]]))</f>
        <v>14221.4476</v>
      </c>
      <c r="N2595" s="3">
        <f>tblTransactions[[#This Row],[Profit]]/tblTransactions[[#This Row],[Total_Amount]]</f>
        <v>0.26993818437406814</v>
      </c>
      <c r="O2595" t="str">
        <f>TEXT(tblTransactions[[#This Row],[Date]], "MMM-YYYY")</f>
        <v>Jul-2024</v>
      </c>
      <c r="P2595" t="str">
        <f>"Q"&amp;ROUNDUP(MONTH(tblTransactions[[#This Row],[Date]])/3,0)&amp;"-"&amp;YEAR(tblTransactions[[#This Row],[Date]])</f>
        <v>Q3-2024</v>
      </c>
      <c r="Q2595">
        <f>YEAR(tblTransactions[[#This Row],[Date]])</f>
        <v>2024</v>
      </c>
      <c r="R2595" t="str">
        <f>TEXT(tblTransactions[[#This Row],[Date]],"DDDD")</f>
        <v>Sunday</v>
      </c>
      <c r="S2595">
        <f>MONTH(tblTransactions[[#This Row],[Date]])</f>
        <v>7</v>
      </c>
      <c r="T2595" t="str">
        <f>VLOOKUP(E2595, Products!$A:$B,2,0)</f>
        <v>Phones Ele-3</v>
      </c>
      <c r="U2595" t="str">
        <f>VLOOKUP(E2595,Products!$A:$C,3,0)</f>
        <v>Electronics</v>
      </c>
      <c r="V2595" t="str">
        <f>VLOOKUP(E2595,Products!$A:$D,4,0)</f>
        <v>Phones</v>
      </c>
      <c r="W2595" t="str">
        <f>VLOOKUP(D2595,Customers!$A:$C,3,0)</f>
        <v>Enterprise</v>
      </c>
      <c r="X2595" t="str">
        <f>VLOOKUP(C2595,Sales_Representatives!$A:$B,2,0)</f>
        <v>Thomas Lopez</v>
      </c>
    </row>
    <row r="2596" spans="1:24" x14ac:dyDescent="0.3">
      <c r="A2596" t="s">
        <v>3590</v>
      </c>
      <c r="B2596" t="s">
        <v>3584</v>
      </c>
      <c r="C2596" t="s">
        <v>27</v>
      </c>
      <c r="D2596" t="s">
        <v>2527</v>
      </c>
      <c r="E2596" t="s">
        <v>176</v>
      </c>
      <c r="F2596">
        <v>7</v>
      </c>
      <c r="G2596">
        <v>1462.68</v>
      </c>
      <c r="H2596">
        <v>0.13</v>
      </c>
      <c r="I2596" s="4">
        <v>8907.7199999999993</v>
      </c>
      <c r="J2596" t="s">
        <v>16</v>
      </c>
      <c r="K2596" t="s">
        <v>39</v>
      </c>
      <c r="L2596" s="4">
        <f>VLOOKUP(tblTransactions[[#This Row],[Product_ID]],tblProducts[],5,FALSE)</f>
        <v>775.94</v>
      </c>
      <c r="M2596" s="4">
        <f>tblTransactions[[#This Row],[Total_Amount]]-(tblTransactions[[#This Row],[Cost_Prices]]*tblTransactions[[#This Row],[Quantity]]*(1-tblTransactions[[#This Row],[Discount]]))</f>
        <v>4182.2453999999998</v>
      </c>
      <c r="N2596" s="3">
        <f>tblTransactions[[#This Row],[Profit]]/tblTransactions[[#This Row],[Total_Amount]]</f>
        <v>0.46950795489754954</v>
      </c>
      <c r="O2596" t="str">
        <f>TEXT(tblTransactions[[#This Row],[Date]], "MMM-YYYY")</f>
        <v>Jul-2024</v>
      </c>
      <c r="P2596" t="str">
        <f>"Q"&amp;ROUNDUP(MONTH(tblTransactions[[#This Row],[Date]])/3,0)&amp;"-"&amp;YEAR(tblTransactions[[#This Row],[Date]])</f>
        <v>Q3-2024</v>
      </c>
      <c r="Q2596">
        <f>YEAR(tblTransactions[[#This Row],[Date]])</f>
        <v>2024</v>
      </c>
      <c r="R2596" t="str">
        <f>TEXT(tblTransactions[[#This Row],[Date]],"DDDD")</f>
        <v>Sunday</v>
      </c>
      <c r="S2596">
        <f>MONTH(tblTransactions[[#This Row],[Date]])</f>
        <v>7</v>
      </c>
      <c r="T2596" t="str">
        <f>VLOOKUP(E2596, Products!$A:$B,2,0)</f>
        <v>Chairs Fur-2</v>
      </c>
      <c r="U2596" t="str">
        <f>VLOOKUP(E2596,Products!$A:$C,3,0)</f>
        <v>Furniture</v>
      </c>
      <c r="V2596" t="str">
        <f>VLOOKUP(E2596,Products!$A:$D,4,0)</f>
        <v>Chairs</v>
      </c>
      <c r="W2596" t="str">
        <f>VLOOKUP(D2596,Customers!$A:$C,3,0)</f>
        <v>B2C</v>
      </c>
      <c r="X2596" t="str">
        <f>VLOOKUP(C2596,Sales_Representatives!$A:$B,2,0)</f>
        <v>Thomas Lopez</v>
      </c>
    </row>
    <row r="2597" spans="1:24" x14ac:dyDescent="0.3">
      <c r="A2597" t="s">
        <v>3591</v>
      </c>
      <c r="B2597" t="s">
        <v>3592</v>
      </c>
      <c r="C2597" t="s">
        <v>63</v>
      </c>
      <c r="D2597" t="s">
        <v>1965</v>
      </c>
      <c r="E2597" t="s">
        <v>347</v>
      </c>
      <c r="F2597">
        <v>3</v>
      </c>
      <c r="G2597">
        <v>1539.6</v>
      </c>
      <c r="H2597">
        <v>0.09</v>
      </c>
      <c r="I2597" s="4">
        <v>4203.1099999999997</v>
      </c>
      <c r="J2597" t="s">
        <v>21</v>
      </c>
      <c r="K2597" t="s">
        <v>35</v>
      </c>
      <c r="L2597" s="4">
        <f>VLOOKUP(tblTransactions[[#This Row],[Product_ID]],tblProducts[],5,FALSE)</f>
        <v>992.43</v>
      </c>
      <c r="M2597" s="4">
        <f>tblTransactions[[#This Row],[Total_Amount]]-(tblTransactions[[#This Row],[Cost_Prices]]*tblTransactions[[#This Row],[Quantity]]*(1-tblTransactions[[#This Row],[Discount]]))</f>
        <v>1493.7760999999996</v>
      </c>
      <c r="N2597" s="3">
        <f>tblTransactions[[#This Row],[Profit]]/tblTransactions[[#This Row],[Total_Amount]]</f>
        <v>0.35539781257211916</v>
      </c>
      <c r="O2597" t="str">
        <f>TEXT(tblTransactions[[#This Row],[Date]], "MMM-YYYY")</f>
        <v>Jul-2024</v>
      </c>
      <c r="P2597" t="str">
        <f>"Q"&amp;ROUNDUP(MONTH(tblTransactions[[#This Row],[Date]])/3,0)&amp;"-"&amp;YEAR(tblTransactions[[#This Row],[Date]])</f>
        <v>Q3-2024</v>
      </c>
      <c r="Q2597">
        <f>YEAR(tblTransactions[[#This Row],[Date]])</f>
        <v>2024</v>
      </c>
      <c r="R2597" t="str">
        <f>TEXT(tblTransactions[[#This Row],[Date]],"DDDD")</f>
        <v>Monday</v>
      </c>
      <c r="S2597">
        <f>MONTH(tblTransactions[[#This Row],[Date]])</f>
        <v>7</v>
      </c>
      <c r="T2597" t="str">
        <f>VLOOKUP(E2597, Products!$A:$B,2,0)</f>
        <v>Routers Tec-2</v>
      </c>
      <c r="U2597" t="str">
        <f>VLOOKUP(E2597,Products!$A:$C,3,0)</f>
        <v>Technology</v>
      </c>
      <c r="V2597" t="str">
        <f>VLOOKUP(E2597,Products!$A:$D,4,0)</f>
        <v>Routers</v>
      </c>
      <c r="W2597" t="str">
        <f>VLOOKUP(D2597,Customers!$A:$C,3,0)</f>
        <v>B2B</v>
      </c>
      <c r="X2597" t="str">
        <f>VLOOKUP(C2597,Sales_Representatives!$A:$B,2,0)</f>
        <v>Richard Wilson</v>
      </c>
    </row>
    <row r="2598" spans="1:24" x14ac:dyDescent="0.3">
      <c r="A2598" t="s">
        <v>3593</v>
      </c>
      <c r="B2598" t="s">
        <v>3592</v>
      </c>
      <c r="C2598" t="s">
        <v>63</v>
      </c>
      <c r="D2598" t="s">
        <v>2562</v>
      </c>
      <c r="E2598" t="s">
        <v>248</v>
      </c>
      <c r="F2598">
        <v>2</v>
      </c>
      <c r="G2598">
        <v>82.29</v>
      </c>
      <c r="H2598">
        <v>0.03</v>
      </c>
      <c r="I2598" s="4">
        <v>159.63999999999999</v>
      </c>
      <c r="J2598" t="s">
        <v>21</v>
      </c>
      <c r="K2598" t="s">
        <v>22</v>
      </c>
      <c r="L2598" s="4">
        <f>VLOOKUP(tblTransactions[[#This Row],[Product_ID]],tblProducts[],5,FALSE)</f>
        <v>51.11</v>
      </c>
      <c r="M2598" s="4">
        <f>tblTransactions[[#This Row],[Total_Amount]]-(tblTransactions[[#This Row],[Cost_Prices]]*tblTransactions[[#This Row],[Quantity]]*(1-tblTransactions[[#This Row],[Discount]]))</f>
        <v>60.486599999999996</v>
      </c>
      <c r="N2598" s="3">
        <f>tblTransactions[[#This Row],[Profit]]/tblTransactions[[#This Row],[Total_Amount]]</f>
        <v>0.37889376096216487</v>
      </c>
      <c r="O2598" t="str">
        <f>TEXT(tblTransactions[[#This Row],[Date]], "MMM-YYYY")</f>
        <v>Jul-2024</v>
      </c>
      <c r="P2598" t="str">
        <f>"Q"&amp;ROUNDUP(MONTH(tblTransactions[[#This Row],[Date]])/3,0)&amp;"-"&amp;YEAR(tblTransactions[[#This Row],[Date]])</f>
        <v>Q3-2024</v>
      </c>
      <c r="Q2598">
        <f>YEAR(tblTransactions[[#This Row],[Date]])</f>
        <v>2024</v>
      </c>
      <c r="R2598" t="str">
        <f>TEXT(tblTransactions[[#This Row],[Date]],"DDDD")</f>
        <v>Monday</v>
      </c>
      <c r="S2598">
        <f>MONTH(tblTransactions[[#This Row],[Date]])</f>
        <v>7</v>
      </c>
      <c r="T2598" t="str">
        <f>VLOOKUP(E2598, Products!$A:$B,2,0)</f>
        <v>Keyboards Acc-2</v>
      </c>
      <c r="U2598" t="str">
        <f>VLOOKUP(E2598,Products!$A:$C,3,0)</f>
        <v>Accessories</v>
      </c>
      <c r="V2598" t="str">
        <f>VLOOKUP(E2598,Products!$A:$D,4,0)</f>
        <v>Keyboards</v>
      </c>
      <c r="W2598" t="str">
        <f>VLOOKUP(D2598,Customers!$A:$C,3,0)</f>
        <v>B2C</v>
      </c>
      <c r="X2598" t="str">
        <f>VLOOKUP(C2598,Sales_Representatives!$A:$B,2,0)</f>
        <v>Richard Wilson</v>
      </c>
    </row>
    <row r="2599" spans="1:24" x14ac:dyDescent="0.3">
      <c r="A2599" t="s">
        <v>3594</v>
      </c>
      <c r="B2599" t="s">
        <v>3592</v>
      </c>
      <c r="C2599" t="s">
        <v>70</v>
      </c>
      <c r="D2599" t="s">
        <v>2074</v>
      </c>
      <c r="E2599" t="s">
        <v>172</v>
      </c>
      <c r="F2599">
        <v>3</v>
      </c>
      <c r="G2599">
        <v>1371.15</v>
      </c>
      <c r="H2599">
        <v>0.03</v>
      </c>
      <c r="I2599" s="4">
        <v>3990.05</v>
      </c>
      <c r="J2599" t="s">
        <v>16</v>
      </c>
      <c r="K2599" t="s">
        <v>22</v>
      </c>
      <c r="L2599" s="4">
        <f>VLOOKUP(tblTransactions[[#This Row],[Product_ID]],tblProducts[],5,FALSE)</f>
        <v>989.81</v>
      </c>
      <c r="M2599" s="4">
        <f>tblTransactions[[#This Row],[Total_Amount]]-(tblTransactions[[#This Row],[Cost_Prices]]*tblTransactions[[#This Row],[Quantity]]*(1-tblTransactions[[#This Row],[Discount]]))</f>
        <v>1109.7029000000002</v>
      </c>
      <c r="N2599" s="3">
        <f>tblTransactions[[#This Row],[Profit]]/tblTransactions[[#This Row],[Total_Amount]]</f>
        <v>0.27811754238668696</v>
      </c>
      <c r="O2599" t="str">
        <f>TEXT(tblTransactions[[#This Row],[Date]], "MMM-YYYY")</f>
        <v>Jul-2024</v>
      </c>
      <c r="P2599" t="str">
        <f>"Q"&amp;ROUNDUP(MONTH(tblTransactions[[#This Row],[Date]])/3,0)&amp;"-"&amp;YEAR(tblTransactions[[#This Row],[Date]])</f>
        <v>Q3-2024</v>
      </c>
      <c r="Q2599">
        <f>YEAR(tblTransactions[[#This Row],[Date]])</f>
        <v>2024</v>
      </c>
      <c r="R2599" t="str">
        <f>TEXT(tblTransactions[[#This Row],[Date]],"DDDD")</f>
        <v>Monday</v>
      </c>
      <c r="S2599">
        <f>MONTH(tblTransactions[[#This Row],[Date]])</f>
        <v>7</v>
      </c>
      <c r="T2599" t="str">
        <f>VLOOKUP(E2599, Products!$A:$B,2,0)</f>
        <v>Cameras Ele-4</v>
      </c>
      <c r="U2599" t="str">
        <f>VLOOKUP(E2599,Products!$A:$C,3,0)</f>
        <v>Electronics</v>
      </c>
      <c r="V2599" t="str">
        <f>VLOOKUP(E2599,Products!$A:$D,4,0)</f>
        <v>Cameras</v>
      </c>
      <c r="W2599" t="str">
        <f>VLOOKUP(D2599,Customers!$A:$C,3,0)</f>
        <v>B2C</v>
      </c>
      <c r="X2599" t="str">
        <f>VLOOKUP(C2599,Sales_Representatives!$A:$B,2,0)</f>
        <v>Linda Smith</v>
      </c>
    </row>
    <row r="2600" spans="1:24" x14ac:dyDescent="0.3">
      <c r="A2600" t="s">
        <v>3595</v>
      </c>
      <c r="B2600" t="s">
        <v>3596</v>
      </c>
      <c r="C2600" t="s">
        <v>70</v>
      </c>
      <c r="D2600" t="s">
        <v>3597</v>
      </c>
      <c r="E2600" t="s">
        <v>25</v>
      </c>
      <c r="F2600">
        <v>3</v>
      </c>
      <c r="G2600">
        <v>1467.49</v>
      </c>
      <c r="H2600">
        <v>0</v>
      </c>
      <c r="I2600" s="4">
        <v>4402.47</v>
      </c>
      <c r="J2600" t="s">
        <v>16</v>
      </c>
      <c r="K2600" t="s">
        <v>39</v>
      </c>
      <c r="L2600" s="4">
        <f>VLOOKUP(tblTransactions[[#This Row],[Product_ID]],tblProducts[],5,FALSE)</f>
        <v>757.65</v>
      </c>
      <c r="M2600" s="4">
        <f>tblTransactions[[#This Row],[Total_Amount]]-(tblTransactions[[#This Row],[Cost_Prices]]*tblTransactions[[#This Row],[Quantity]]*(1-tblTransactions[[#This Row],[Discount]]))</f>
        <v>2129.5200000000004</v>
      </c>
      <c r="N2600" s="3">
        <f>tblTransactions[[#This Row],[Profit]]/tblTransactions[[#This Row],[Total_Amount]]</f>
        <v>0.48371028081963086</v>
      </c>
      <c r="O2600" t="str">
        <f>TEXT(tblTransactions[[#This Row],[Date]], "MMM-YYYY")</f>
        <v>Jul-2024</v>
      </c>
      <c r="P2600" t="str">
        <f>"Q"&amp;ROUNDUP(MONTH(tblTransactions[[#This Row],[Date]])/3,0)&amp;"-"&amp;YEAR(tblTransactions[[#This Row],[Date]])</f>
        <v>Q3-2024</v>
      </c>
      <c r="Q2600">
        <f>YEAR(tblTransactions[[#This Row],[Date]])</f>
        <v>2024</v>
      </c>
      <c r="R2600" t="str">
        <f>TEXT(tblTransactions[[#This Row],[Date]],"DDDD")</f>
        <v>Tuesday</v>
      </c>
      <c r="S2600">
        <f>MONTH(tblTransactions[[#This Row],[Date]])</f>
        <v>7</v>
      </c>
      <c r="T2600" t="str">
        <f>VLOOKUP(E2600, Products!$A:$B,2,0)</f>
        <v>Tables Fur-3</v>
      </c>
      <c r="U2600" t="str">
        <f>VLOOKUP(E2600,Products!$A:$C,3,0)</f>
        <v>Furniture</v>
      </c>
      <c r="V2600" t="str">
        <f>VLOOKUP(E2600,Products!$A:$D,4,0)</f>
        <v>Tables</v>
      </c>
      <c r="W2600" t="str">
        <f>VLOOKUP(D2600,Customers!$A:$C,3,0)</f>
        <v>B2C</v>
      </c>
      <c r="X2600" t="str">
        <f>VLOOKUP(C2600,Sales_Representatives!$A:$B,2,0)</f>
        <v>Linda Smith</v>
      </c>
    </row>
    <row r="2601" spans="1:24" x14ac:dyDescent="0.3">
      <c r="A2601" t="s">
        <v>3598</v>
      </c>
      <c r="B2601" t="s">
        <v>3596</v>
      </c>
      <c r="C2601" t="s">
        <v>141</v>
      </c>
      <c r="D2601" t="s">
        <v>1957</v>
      </c>
      <c r="E2601" t="s">
        <v>89</v>
      </c>
      <c r="F2601">
        <v>17</v>
      </c>
      <c r="G2601">
        <v>555.08000000000004</v>
      </c>
      <c r="H2601">
        <v>0.13</v>
      </c>
      <c r="I2601" s="4">
        <v>8209.6299999999992</v>
      </c>
      <c r="J2601" t="s">
        <v>109</v>
      </c>
      <c r="K2601" t="s">
        <v>17</v>
      </c>
      <c r="L2601" s="4">
        <f>VLOOKUP(tblTransactions[[#This Row],[Product_ID]],tblProducts[],5,FALSE)</f>
        <v>402.82</v>
      </c>
      <c r="M2601" s="4">
        <f>tblTransactions[[#This Row],[Total_Amount]]-(tblTransactions[[#This Row],[Cost_Prices]]*tblTransactions[[#This Row],[Quantity]]*(1-tblTransactions[[#This Row],[Discount]]))</f>
        <v>2251.9222</v>
      </c>
      <c r="N2601" s="3">
        <f>tblTransactions[[#This Row],[Profit]]/tblTransactions[[#This Row],[Total_Amount]]</f>
        <v>0.27430252033282865</v>
      </c>
      <c r="O2601" t="str">
        <f>TEXT(tblTransactions[[#This Row],[Date]], "MMM-YYYY")</f>
        <v>Jul-2024</v>
      </c>
      <c r="P2601" t="str">
        <f>"Q"&amp;ROUNDUP(MONTH(tblTransactions[[#This Row],[Date]])/3,0)&amp;"-"&amp;YEAR(tblTransactions[[#This Row],[Date]])</f>
        <v>Q3-2024</v>
      </c>
      <c r="Q2601">
        <f>YEAR(tblTransactions[[#This Row],[Date]])</f>
        <v>2024</v>
      </c>
      <c r="R2601" t="str">
        <f>TEXT(tblTransactions[[#This Row],[Date]],"DDDD")</f>
        <v>Tuesday</v>
      </c>
      <c r="S2601">
        <f>MONTH(tblTransactions[[#This Row],[Date]])</f>
        <v>7</v>
      </c>
      <c r="T2601" t="str">
        <f>VLOOKUP(E2601, Products!$A:$B,2,0)</f>
        <v>Laptops Ele-3</v>
      </c>
      <c r="U2601" t="str">
        <f>VLOOKUP(E2601,Products!$A:$C,3,0)</f>
        <v>Electronics</v>
      </c>
      <c r="V2601" t="str">
        <f>VLOOKUP(E2601,Products!$A:$D,4,0)</f>
        <v>Laptops</v>
      </c>
      <c r="W2601" t="str">
        <f>VLOOKUP(D2601,Customers!$A:$C,3,0)</f>
        <v>B2B</v>
      </c>
      <c r="X2601" t="str">
        <f>VLOOKUP(C2601,Sales_Representatives!$A:$B,2,0)</f>
        <v>Richard Garcia</v>
      </c>
    </row>
    <row r="2602" spans="1:24" x14ac:dyDescent="0.3">
      <c r="A2602" t="s">
        <v>3599</v>
      </c>
      <c r="B2602" t="s">
        <v>3600</v>
      </c>
      <c r="C2602" t="s">
        <v>63</v>
      </c>
      <c r="D2602" t="s">
        <v>2573</v>
      </c>
      <c r="E2602" t="s">
        <v>450</v>
      </c>
      <c r="F2602">
        <v>6</v>
      </c>
      <c r="G2602">
        <v>2083.92</v>
      </c>
      <c r="H2602">
        <v>0.13</v>
      </c>
      <c r="I2602" s="4">
        <v>10878.06</v>
      </c>
      <c r="J2602" t="s">
        <v>21</v>
      </c>
      <c r="K2602" t="s">
        <v>39</v>
      </c>
      <c r="L2602" s="4">
        <f>VLOOKUP(tblTransactions[[#This Row],[Product_ID]],tblProducts[],5,FALSE)</f>
        <v>1425.78</v>
      </c>
      <c r="M2602" s="4">
        <f>tblTransactions[[#This Row],[Total_Amount]]-(tblTransactions[[#This Row],[Cost_Prices]]*tblTransactions[[#This Row],[Quantity]]*(1-tblTransactions[[#This Row],[Discount]]))</f>
        <v>3435.4883999999993</v>
      </c>
      <c r="N2602" s="3">
        <f>tblTransactions[[#This Row],[Profit]]/tblTransactions[[#This Row],[Total_Amount]]</f>
        <v>0.31581811462705661</v>
      </c>
      <c r="O2602" t="str">
        <f>TEXT(tblTransactions[[#This Row],[Date]], "MMM-YYYY")</f>
        <v>Jul-2024</v>
      </c>
      <c r="P2602" t="str">
        <f>"Q"&amp;ROUNDUP(MONTH(tblTransactions[[#This Row],[Date]])/3,0)&amp;"-"&amp;YEAR(tblTransactions[[#This Row],[Date]])</f>
        <v>Q3-2024</v>
      </c>
      <c r="Q2602">
        <f>YEAR(tblTransactions[[#This Row],[Date]])</f>
        <v>2024</v>
      </c>
      <c r="R2602" t="str">
        <f>TEXT(tblTransactions[[#This Row],[Date]],"DDDD")</f>
        <v>Wednesday</v>
      </c>
      <c r="S2602">
        <f>MONTH(tblTransactions[[#This Row],[Date]])</f>
        <v>7</v>
      </c>
      <c r="T2602" t="str">
        <f>VLOOKUP(E2602, Products!$A:$B,2,0)</f>
        <v>Monitors Tec-4</v>
      </c>
      <c r="U2602" t="str">
        <f>VLOOKUP(E2602,Products!$A:$C,3,0)</f>
        <v>Technology</v>
      </c>
      <c r="V2602" t="str">
        <f>VLOOKUP(E2602,Products!$A:$D,4,0)</f>
        <v>Monitors</v>
      </c>
      <c r="W2602" t="str">
        <f>VLOOKUP(D2602,Customers!$A:$C,3,0)</f>
        <v>Small Business</v>
      </c>
      <c r="X2602" t="str">
        <f>VLOOKUP(C2602,Sales_Representatives!$A:$B,2,0)</f>
        <v>Richard Wilson</v>
      </c>
    </row>
    <row r="2603" spans="1:24" x14ac:dyDescent="0.3">
      <c r="A2603" t="s">
        <v>3601</v>
      </c>
      <c r="B2603" t="s">
        <v>3600</v>
      </c>
      <c r="C2603" t="s">
        <v>56</v>
      </c>
      <c r="D2603" t="s">
        <v>154</v>
      </c>
      <c r="E2603" t="s">
        <v>176</v>
      </c>
      <c r="F2603">
        <v>19</v>
      </c>
      <c r="G2603">
        <v>1462.68</v>
      </c>
      <c r="H2603">
        <v>0.19</v>
      </c>
      <c r="I2603" s="4">
        <v>22510.65</v>
      </c>
      <c r="J2603" t="s">
        <v>34</v>
      </c>
      <c r="K2603" t="s">
        <v>48</v>
      </c>
      <c r="L2603" s="4">
        <f>VLOOKUP(tblTransactions[[#This Row],[Product_ID]],tblProducts[],5,FALSE)</f>
        <v>775.94</v>
      </c>
      <c r="M2603" s="4">
        <f>tblTransactions[[#This Row],[Total_Amount]]-(tblTransactions[[#This Row],[Cost_Prices]]*tblTransactions[[#This Row],[Quantity]]*(1-tblTransactions[[#This Row],[Discount]]))</f>
        <v>10568.9334</v>
      </c>
      <c r="N2603" s="3">
        <f>tblTransactions[[#This Row],[Profit]]/tblTransactions[[#This Row],[Total_Amount]]</f>
        <v>0.46950813948064579</v>
      </c>
      <c r="O2603" t="str">
        <f>TEXT(tblTransactions[[#This Row],[Date]], "MMM-YYYY")</f>
        <v>Jul-2024</v>
      </c>
      <c r="P2603" t="str">
        <f>"Q"&amp;ROUNDUP(MONTH(tblTransactions[[#This Row],[Date]])/3,0)&amp;"-"&amp;YEAR(tblTransactions[[#This Row],[Date]])</f>
        <v>Q3-2024</v>
      </c>
      <c r="Q2603">
        <f>YEAR(tblTransactions[[#This Row],[Date]])</f>
        <v>2024</v>
      </c>
      <c r="R2603" t="str">
        <f>TEXT(tblTransactions[[#This Row],[Date]],"DDDD")</f>
        <v>Wednesday</v>
      </c>
      <c r="S2603">
        <f>MONTH(tblTransactions[[#This Row],[Date]])</f>
        <v>7</v>
      </c>
      <c r="T2603" t="str">
        <f>VLOOKUP(E2603, Products!$A:$B,2,0)</f>
        <v>Chairs Fur-2</v>
      </c>
      <c r="U2603" t="str">
        <f>VLOOKUP(E2603,Products!$A:$C,3,0)</f>
        <v>Furniture</v>
      </c>
      <c r="V2603" t="str">
        <f>VLOOKUP(E2603,Products!$A:$D,4,0)</f>
        <v>Chairs</v>
      </c>
      <c r="W2603" t="str">
        <f>VLOOKUP(D2603,Customers!$A:$C,3,0)</f>
        <v>B2B</v>
      </c>
      <c r="X2603" t="str">
        <f>VLOOKUP(C2603,Sales_Representatives!$A:$B,2,0)</f>
        <v>Thomas Hernandez</v>
      </c>
    </row>
    <row r="2604" spans="1:24" x14ac:dyDescent="0.3">
      <c r="A2604" t="s">
        <v>3602</v>
      </c>
      <c r="B2604" t="s">
        <v>3600</v>
      </c>
      <c r="C2604" t="s">
        <v>27</v>
      </c>
      <c r="D2604" t="s">
        <v>1912</v>
      </c>
      <c r="E2604" t="s">
        <v>394</v>
      </c>
      <c r="F2604">
        <v>11</v>
      </c>
      <c r="G2604">
        <v>314.69</v>
      </c>
      <c r="H2604">
        <v>0.13</v>
      </c>
      <c r="I2604" s="4">
        <v>3011.58</v>
      </c>
      <c r="J2604" t="s">
        <v>16</v>
      </c>
      <c r="K2604" t="s">
        <v>48</v>
      </c>
      <c r="L2604" s="4">
        <f>VLOOKUP(tblTransactions[[#This Row],[Product_ID]],tblProducts[],5,FALSE)</f>
        <v>185.43</v>
      </c>
      <c r="M2604" s="4">
        <f>tblTransactions[[#This Row],[Total_Amount]]-(tblTransactions[[#This Row],[Cost_Prices]]*tblTransactions[[#This Row],[Quantity]]*(1-tblTransactions[[#This Row],[Discount]]))</f>
        <v>1237.0148999999999</v>
      </c>
      <c r="N2604" s="3">
        <f>tblTransactions[[#This Row],[Profit]]/tblTransactions[[#This Row],[Total_Amount]]</f>
        <v>0.41075279421433264</v>
      </c>
      <c r="O2604" t="str">
        <f>TEXT(tblTransactions[[#This Row],[Date]], "MMM-YYYY")</f>
        <v>Jul-2024</v>
      </c>
      <c r="P2604" t="str">
        <f>"Q"&amp;ROUNDUP(MONTH(tblTransactions[[#This Row],[Date]])/3,0)&amp;"-"&amp;YEAR(tblTransactions[[#This Row],[Date]])</f>
        <v>Q3-2024</v>
      </c>
      <c r="Q2604">
        <f>YEAR(tblTransactions[[#This Row],[Date]])</f>
        <v>2024</v>
      </c>
      <c r="R2604" t="str">
        <f>TEXT(tblTransactions[[#This Row],[Date]],"DDDD")</f>
        <v>Wednesday</v>
      </c>
      <c r="S2604">
        <f>MONTH(tblTransactions[[#This Row],[Date]])</f>
        <v>7</v>
      </c>
      <c r="T2604" t="str">
        <f>VLOOKUP(E2604, Products!$A:$B,2,0)</f>
        <v>Desks Fur-1</v>
      </c>
      <c r="U2604" t="str">
        <f>VLOOKUP(E2604,Products!$A:$C,3,0)</f>
        <v>Furniture</v>
      </c>
      <c r="V2604" t="str">
        <f>VLOOKUP(E2604,Products!$A:$D,4,0)</f>
        <v>Desks</v>
      </c>
      <c r="W2604" t="str">
        <f>VLOOKUP(D2604,Customers!$A:$C,3,0)</f>
        <v>Enterprise</v>
      </c>
      <c r="X2604" t="str">
        <f>VLOOKUP(C2604,Sales_Representatives!$A:$B,2,0)</f>
        <v>Thomas Lopez</v>
      </c>
    </row>
    <row r="2605" spans="1:24" x14ac:dyDescent="0.3">
      <c r="A2605" t="s">
        <v>3603</v>
      </c>
      <c r="B2605" t="s">
        <v>3600</v>
      </c>
      <c r="C2605" t="s">
        <v>127</v>
      </c>
      <c r="D2605" t="s">
        <v>3604</v>
      </c>
      <c r="E2605" t="s">
        <v>339</v>
      </c>
      <c r="F2605">
        <v>47</v>
      </c>
      <c r="G2605">
        <v>1100.8800000000001</v>
      </c>
      <c r="H2605">
        <v>0.25</v>
      </c>
      <c r="I2605" s="4">
        <v>38806.019999999997</v>
      </c>
      <c r="J2605" t="s">
        <v>109</v>
      </c>
      <c r="K2605" t="s">
        <v>17</v>
      </c>
      <c r="L2605" s="4">
        <f>VLOOKUP(tblTransactions[[#This Row],[Product_ID]],tblProducts[],5,FALSE)</f>
        <v>761.53</v>
      </c>
      <c r="M2605" s="4">
        <f>tblTransactions[[#This Row],[Total_Amount]]-(tblTransactions[[#This Row],[Cost_Prices]]*tblTransactions[[#This Row],[Quantity]]*(1-tblTransactions[[#This Row],[Discount]]))</f>
        <v>11962.087500000001</v>
      </c>
      <c r="N2605" s="3">
        <f>tblTransactions[[#This Row],[Profit]]/tblTransactions[[#This Row],[Total_Amount]]</f>
        <v>0.30825339728217432</v>
      </c>
      <c r="O2605" t="str">
        <f>TEXT(tblTransactions[[#This Row],[Date]], "MMM-YYYY")</f>
        <v>Jul-2024</v>
      </c>
      <c r="P2605" t="str">
        <f>"Q"&amp;ROUNDUP(MONTH(tblTransactions[[#This Row],[Date]])/3,0)&amp;"-"&amp;YEAR(tblTransactions[[#This Row],[Date]])</f>
        <v>Q3-2024</v>
      </c>
      <c r="Q2605">
        <f>YEAR(tblTransactions[[#This Row],[Date]])</f>
        <v>2024</v>
      </c>
      <c r="R2605" t="str">
        <f>TEXT(tblTransactions[[#This Row],[Date]],"DDDD")</f>
        <v>Wednesday</v>
      </c>
      <c r="S2605">
        <f>MONTH(tblTransactions[[#This Row],[Date]])</f>
        <v>7</v>
      </c>
      <c r="T2605" t="str">
        <f>VLOOKUP(E2605, Products!$A:$B,2,0)</f>
        <v>Phones Ele-2</v>
      </c>
      <c r="U2605" t="str">
        <f>VLOOKUP(E2605,Products!$A:$C,3,0)</f>
        <v>Electronics</v>
      </c>
      <c r="V2605" t="str">
        <f>VLOOKUP(E2605,Products!$A:$D,4,0)</f>
        <v>Phones</v>
      </c>
      <c r="W2605" t="str">
        <f>VLOOKUP(D2605,Customers!$A:$C,3,0)</f>
        <v>Enterprise</v>
      </c>
      <c r="X2605" t="str">
        <f>VLOOKUP(C2605,Sales_Representatives!$A:$B,2,0)</f>
        <v>Emily Hernandez</v>
      </c>
    </row>
    <row r="2606" spans="1:24" x14ac:dyDescent="0.3">
      <c r="A2606" t="s">
        <v>3605</v>
      </c>
      <c r="B2606" t="s">
        <v>3606</v>
      </c>
      <c r="C2606" t="s">
        <v>131</v>
      </c>
      <c r="D2606" t="s">
        <v>1934</v>
      </c>
      <c r="E2606" t="s">
        <v>61</v>
      </c>
      <c r="F2606">
        <v>1</v>
      </c>
      <c r="G2606">
        <v>92.07</v>
      </c>
      <c r="H2606">
        <v>0.03</v>
      </c>
      <c r="I2606" s="4">
        <v>89.31</v>
      </c>
      <c r="J2606" t="s">
        <v>44</v>
      </c>
      <c r="K2606" t="s">
        <v>48</v>
      </c>
      <c r="L2606" s="4">
        <f>VLOOKUP(tblTransactions[[#This Row],[Product_ID]],tblProducts[],5,FALSE)</f>
        <v>56.98</v>
      </c>
      <c r="M2606" s="4">
        <f>tblTransactions[[#This Row],[Total_Amount]]-(tblTransactions[[#This Row],[Cost_Prices]]*tblTransactions[[#This Row],[Quantity]]*(1-tblTransactions[[#This Row],[Discount]]))</f>
        <v>34.039400000000008</v>
      </c>
      <c r="N2606" s="3">
        <f>tblTransactions[[#This Row],[Profit]]/tblTransactions[[#This Row],[Total_Amount]]</f>
        <v>0.38113761056992507</v>
      </c>
      <c r="O2606" t="str">
        <f>TEXT(tblTransactions[[#This Row],[Date]], "MMM-YYYY")</f>
        <v>Jul-2024</v>
      </c>
      <c r="P2606" t="str">
        <f>"Q"&amp;ROUNDUP(MONTH(tblTransactions[[#This Row],[Date]])/3,0)&amp;"-"&amp;YEAR(tblTransactions[[#This Row],[Date]])</f>
        <v>Q3-2024</v>
      </c>
      <c r="Q2606">
        <f>YEAR(tblTransactions[[#This Row],[Date]])</f>
        <v>2024</v>
      </c>
      <c r="R2606" t="str">
        <f>TEXT(tblTransactions[[#This Row],[Date]],"DDDD")</f>
        <v>Thursday</v>
      </c>
      <c r="S2606">
        <f>MONTH(tblTransactions[[#This Row],[Date]])</f>
        <v>7</v>
      </c>
      <c r="T2606" t="str">
        <f>VLOOKUP(E2606, Products!$A:$B,2,0)</f>
        <v>Pens Off-4</v>
      </c>
      <c r="U2606" t="str">
        <f>VLOOKUP(E2606,Products!$A:$C,3,0)</f>
        <v>Office Supplies</v>
      </c>
      <c r="V2606" t="str">
        <f>VLOOKUP(E2606,Products!$A:$D,4,0)</f>
        <v>Pens</v>
      </c>
      <c r="W2606" t="str">
        <f>VLOOKUP(D2606,Customers!$A:$C,3,0)</f>
        <v>B2C</v>
      </c>
      <c r="X2606" t="str">
        <f>VLOOKUP(C2606,Sales_Representatives!$A:$B,2,0)</f>
        <v>Michael Davis</v>
      </c>
    </row>
    <row r="2607" spans="1:24" x14ac:dyDescent="0.3">
      <c r="A2607" t="s">
        <v>3607</v>
      </c>
      <c r="B2607" t="s">
        <v>3606</v>
      </c>
      <c r="C2607" t="s">
        <v>131</v>
      </c>
      <c r="D2607" t="s">
        <v>139</v>
      </c>
      <c r="E2607" t="s">
        <v>232</v>
      </c>
      <c r="F2607">
        <v>2</v>
      </c>
      <c r="G2607">
        <v>60.21</v>
      </c>
      <c r="H2607">
        <v>0.02</v>
      </c>
      <c r="I2607" s="4">
        <v>118.01</v>
      </c>
      <c r="J2607" t="s">
        <v>44</v>
      </c>
      <c r="K2607" t="s">
        <v>22</v>
      </c>
      <c r="L2607" s="4">
        <f>VLOOKUP(tblTransactions[[#This Row],[Product_ID]],tblProducts[],5,FALSE)</f>
        <v>38.18</v>
      </c>
      <c r="M2607" s="4">
        <f>tblTransactions[[#This Row],[Total_Amount]]-(tblTransactions[[#This Row],[Cost_Prices]]*tblTransactions[[#This Row],[Quantity]]*(1-tblTransactions[[#This Row],[Discount]]))</f>
        <v>43.177200000000013</v>
      </c>
      <c r="N2607" s="3">
        <f>tblTransactions[[#This Row],[Profit]]/tblTransactions[[#This Row],[Total_Amount]]</f>
        <v>0.36587746801118559</v>
      </c>
      <c r="O2607" t="str">
        <f>TEXT(tblTransactions[[#This Row],[Date]], "MMM-YYYY")</f>
        <v>Jul-2024</v>
      </c>
      <c r="P2607" t="str">
        <f>"Q"&amp;ROUNDUP(MONTH(tblTransactions[[#This Row],[Date]])/3,0)&amp;"-"&amp;YEAR(tblTransactions[[#This Row],[Date]])</f>
        <v>Q3-2024</v>
      </c>
      <c r="Q2607">
        <f>YEAR(tblTransactions[[#This Row],[Date]])</f>
        <v>2024</v>
      </c>
      <c r="R2607" t="str">
        <f>TEXT(tblTransactions[[#This Row],[Date]],"DDDD")</f>
        <v>Thursday</v>
      </c>
      <c r="S2607">
        <f>MONTH(tblTransactions[[#This Row],[Date]])</f>
        <v>7</v>
      </c>
      <c r="T2607" t="str">
        <f>VLOOKUP(E2607, Products!$A:$B,2,0)</f>
        <v>Cables Acc-3</v>
      </c>
      <c r="U2607" t="str">
        <f>VLOOKUP(E2607,Products!$A:$C,3,0)</f>
        <v>Accessories</v>
      </c>
      <c r="V2607" t="str">
        <f>VLOOKUP(E2607,Products!$A:$D,4,0)</f>
        <v>Cables</v>
      </c>
      <c r="W2607" t="str">
        <f>VLOOKUP(D2607,Customers!$A:$C,3,0)</f>
        <v>B2C</v>
      </c>
      <c r="X2607" t="str">
        <f>VLOOKUP(C2607,Sales_Representatives!$A:$B,2,0)</f>
        <v>Michael Davis</v>
      </c>
    </row>
    <row r="2608" spans="1:24" x14ac:dyDescent="0.3">
      <c r="A2608" t="s">
        <v>3608</v>
      </c>
      <c r="B2608" t="s">
        <v>3606</v>
      </c>
      <c r="C2608" t="s">
        <v>63</v>
      </c>
      <c r="D2608" t="s">
        <v>1470</v>
      </c>
      <c r="E2608" t="s">
        <v>61</v>
      </c>
      <c r="F2608">
        <v>7</v>
      </c>
      <c r="G2608">
        <v>92.07</v>
      </c>
      <c r="H2608">
        <v>0.13</v>
      </c>
      <c r="I2608" s="4">
        <v>560.71</v>
      </c>
      <c r="J2608" t="s">
        <v>21</v>
      </c>
      <c r="K2608" t="s">
        <v>17</v>
      </c>
      <c r="L2608" s="4">
        <f>VLOOKUP(tblTransactions[[#This Row],[Product_ID]],tblProducts[],5,FALSE)</f>
        <v>56.98</v>
      </c>
      <c r="M2608" s="4">
        <f>tblTransactions[[#This Row],[Total_Amount]]-(tblTransactions[[#This Row],[Cost_Prices]]*tblTransactions[[#This Row],[Quantity]]*(1-tblTransactions[[#This Row],[Discount]]))</f>
        <v>213.70180000000005</v>
      </c>
      <c r="N2608" s="3">
        <f>tblTransactions[[#This Row],[Profit]]/tblTransactions[[#This Row],[Total_Amount]]</f>
        <v>0.38112714237306278</v>
      </c>
      <c r="O2608" t="str">
        <f>TEXT(tblTransactions[[#This Row],[Date]], "MMM-YYYY")</f>
        <v>Jul-2024</v>
      </c>
      <c r="P2608" t="str">
        <f>"Q"&amp;ROUNDUP(MONTH(tblTransactions[[#This Row],[Date]])/3,0)&amp;"-"&amp;YEAR(tblTransactions[[#This Row],[Date]])</f>
        <v>Q3-2024</v>
      </c>
      <c r="Q2608">
        <f>YEAR(tblTransactions[[#This Row],[Date]])</f>
        <v>2024</v>
      </c>
      <c r="R2608" t="str">
        <f>TEXT(tblTransactions[[#This Row],[Date]],"DDDD")</f>
        <v>Thursday</v>
      </c>
      <c r="S2608">
        <f>MONTH(tblTransactions[[#This Row],[Date]])</f>
        <v>7</v>
      </c>
      <c r="T2608" t="str">
        <f>VLOOKUP(E2608, Products!$A:$B,2,0)</f>
        <v>Pens Off-4</v>
      </c>
      <c r="U2608" t="str">
        <f>VLOOKUP(E2608,Products!$A:$C,3,0)</f>
        <v>Office Supplies</v>
      </c>
      <c r="V2608" t="str">
        <f>VLOOKUP(E2608,Products!$A:$D,4,0)</f>
        <v>Pens</v>
      </c>
      <c r="W2608" t="str">
        <f>VLOOKUP(D2608,Customers!$A:$C,3,0)</f>
        <v>Small Business</v>
      </c>
      <c r="X2608" t="str">
        <f>VLOOKUP(C2608,Sales_Representatives!$A:$B,2,0)</f>
        <v>Richard Wilson</v>
      </c>
    </row>
    <row r="2609" spans="1:24" x14ac:dyDescent="0.3">
      <c r="A2609" t="s">
        <v>3609</v>
      </c>
      <c r="B2609" t="s">
        <v>3606</v>
      </c>
      <c r="C2609" t="s">
        <v>56</v>
      </c>
      <c r="D2609" t="s">
        <v>1725</v>
      </c>
      <c r="E2609" t="s">
        <v>283</v>
      </c>
      <c r="F2609">
        <v>3</v>
      </c>
      <c r="G2609">
        <v>456.88</v>
      </c>
      <c r="H2609">
        <v>0.04</v>
      </c>
      <c r="I2609" s="4">
        <v>1315.81</v>
      </c>
      <c r="J2609" t="s">
        <v>34</v>
      </c>
      <c r="K2609" t="s">
        <v>35</v>
      </c>
      <c r="L2609" s="4">
        <f>VLOOKUP(tblTransactions[[#This Row],[Product_ID]],tblProducts[],5,FALSE)</f>
        <v>313.23</v>
      </c>
      <c r="M2609" s="4">
        <f>tblTransactions[[#This Row],[Total_Amount]]-(tblTransactions[[#This Row],[Cost_Prices]]*tblTransactions[[#This Row],[Quantity]]*(1-tblTransactions[[#This Row],[Discount]]))</f>
        <v>413.70759999999996</v>
      </c>
      <c r="N2609" s="3">
        <f>tblTransactions[[#This Row],[Profit]]/tblTransactions[[#This Row],[Total_Amount]]</f>
        <v>0.31441287115920991</v>
      </c>
      <c r="O2609" t="str">
        <f>TEXT(tblTransactions[[#This Row],[Date]], "MMM-YYYY")</f>
        <v>Jul-2024</v>
      </c>
      <c r="P2609" t="str">
        <f>"Q"&amp;ROUNDUP(MONTH(tblTransactions[[#This Row],[Date]])/3,0)&amp;"-"&amp;YEAR(tblTransactions[[#This Row],[Date]])</f>
        <v>Q3-2024</v>
      </c>
      <c r="Q2609">
        <f>YEAR(tblTransactions[[#This Row],[Date]])</f>
        <v>2024</v>
      </c>
      <c r="R2609" t="str">
        <f>TEXT(tblTransactions[[#This Row],[Date]],"DDDD")</f>
        <v>Thursday</v>
      </c>
      <c r="S2609">
        <f>MONTH(tblTransactions[[#This Row],[Date]])</f>
        <v>7</v>
      </c>
      <c r="T2609" t="str">
        <f>VLOOKUP(E2609, Products!$A:$B,2,0)</f>
        <v>Chairs Fur-3</v>
      </c>
      <c r="U2609" t="str">
        <f>VLOOKUP(E2609,Products!$A:$C,3,0)</f>
        <v>Furniture</v>
      </c>
      <c r="V2609" t="str">
        <f>VLOOKUP(E2609,Products!$A:$D,4,0)</f>
        <v>Chairs</v>
      </c>
      <c r="W2609" t="str">
        <f>VLOOKUP(D2609,Customers!$A:$C,3,0)</f>
        <v>B2C</v>
      </c>
      <c r="X2609" t="str">
        <f>VLOOKUP(C2609,Sales_Representatives!$A:$B,2,0)</f>
        <v>Thomas Hernandez</v>
      </c>
    </row>
    <row r="2610" spans="1:24" x14ac:dyDescent="0.3">
      <c r="A2610" t="s">
        <v>3610</v>
      </c>
      <c r="B2610" t="s">
        <v>3606</v>
      </c>
      <c r="C2610" t="s">
        <v>19</v>
      </c>
      <c r="D2610" t="s">
        <v>1496</v>
      </c>
      <c r="E2610" t="s">
        <v>224</v>
      </c>
      <c r="F2610">
        <v>22</v>
      </c>
      <c r="G2610">
        <v>505.37</v>
      </c>
      <c r="H2610">
        <v>0.23</v>
      </c>
      <c r="I2610" s="4">
        <v>8560.9699999999993</v>
      </c>
      <c r="J2610" t="s">
        <v>21</v>
      </c>
      <c r="K2610" t="s">
        <v>17</v>
      </c>
      <c r="L2610" s="4">
        <f>VLOOKUP(tblTransactions[[#This Row],[Product_ID]],tblProducts[],5,FALSE)</f>
        <v>281.14999999999998</v>
      </c>
      <c r="M2610" s="4">
        <f>tblTransactions[[#This Row],[Total_Amount]]-(tblTransactions[[#This Row],[Cost_Prices]]*tblTransactions[[#This Row],[Quantity]]*(1-tblTransactions[[#This Row],[Discount]]))</f>
        <v>3798.2889999999998</v>
      </c>
      <c r="N2610" s="3">
        <f>tblTransactions[[#This Row],[Profit]]/tblTransactions[[#This Row],[Total_Amount]]</f>
        <v>0.44367507420304009</v>
      </c>
      <c r="O2610" t="str">
        <f>TEXT(tblTransactions[[#This Row],[Date]], "MMM-YYYY")</f>
        <v>Jul-2024</v>
      </c>
      <c r="P2610" t="str">
        <f>"Q"&amp;ROUNDUP(MONTH(tblTransactions[[#This Row],[Date]])/3,0)&amp;"-"&amp;YEAR(tblTransactions[[#This Row],[Date]])</f>
        <v>Q3-2024</v>
      </c>
      <c r="Q2610">
        <f>YEAR(tblTransactions[[#This Row],[Date]])</f>
        <v>2024</v>
      </c>
      <c r="R2610" t="str">
        <f>TEXT(tblTransactions[[#This Row],[Date]],"DDDD")</f>
        <v>Thursday</v>
      </c>
      <c r="S2610">
        <f>MONTH(tblTransactions[[#This Row],[Date]])</f>
        <v>7</v>
      </c>
      <c r="T2610" t="str">
        <f>VLOOKUP(E2610, Products!$A:$B,2,0)</f>
        <v>Desks Fur-3</v>
      </c>
      <c r="U2610" t="str">
        <f>VLOOKUP(E2610,Products!$A:$C,3,0)</f>
        <v>Furniture</v>
      </c>
      <c r="V2610" t="str">
        <f>VLOOKUP(E2610,Products!$A:$D,4,0)</f>
        <v>Desks</v>
      </c>
      <c r="W2610" t="str">
        <f>VLOOKUP(D2610,Customers!$A:$C,3,0)</f>
        <v>Enterprise</v>
      </c>
      <c r="X2610" t="str">
        <f>VLOOKUP(C2610,Sales_Representatives!$A:$B,2,0)</f>
        <v>Robert Jones</v>
      </c>
    </row>
    <row r="2611" spans="1:24" x14ac:dyDescent="0.3">
      <c r="A2611" t="s">
        <v>3611</v>
      </c>
      <c r="B2611" t="s">
        <v>3606</v>
      </c>
      <c r="C2611" t="s">
        <v>41</v>
      </c>
      <c r="D2611" t="s">
        <v>136</v>
      </c>
      <c r="E2611" t="s">
        <v>450</v>
      </c>
      <c r="F2611">
        <v>6</v>
      </c>
      <c r="G2611">
        <v>2083.92</v>
      </c>
      <c r="H2611">
        <v>0.12</v>
      </c>
      <c r="I2611" s="4">
        <v>11003.1</v>
      </c>
      <c r="J2611" t="s">
        <v>44</v>
      </c>
      <c r="K2611" t="s">
        <v>17</v>
      </c>
      <c r="L2611" s="4">
        <f>VLOOKUP(tblTransactions[[#This Row],[Product_ID]],tblProducts[],5,FALSE)</f>
        <v>1425.78</v>
      </c>
      <c r="M2611" s="4">
        <f>tblTransactions[[#This Row],[Total_Amount]]-(tblTransactions[[#This Row],[Cost_Prices]]*tblTransactions[[#This Row],[Quantity]]*(1-tblTransactions[[#This Row],[Discount]]))</f>
        <v>3474.9816000000001</v>
      </c>
      <c r="N2611" s="3">
        <f>tblTransactions[[#This Row],[Profit]]/tblTransactions[[#This Row],[Total_Amount]]</f>
        <v>0.31581841481037159</v>
      </c>
      <c r="O2611" t="str">
        <f>TEXT(tblTransactions[[#This Row],[Date]], "MMM-YYYY")</f>
        <v>Jul-2024</v>
      </c>
      <c r="P2611" t="str">
        <f>"Q"&amp;ROUNDUP(MONTH(tblTransactions[[#This Row],[Date]])/3,0)&amp;"-"&amp;YEAR(tblTransactions[[#This Row],[Date]])</f>
        <v>Q3-2024</v>
      </c>
      <c r="Q2611">
        <f>YEAR(tblTransactions[[#This Row],[Date]])</f>
        <v>2024</v>
      </c>
      <c r="R2611" t="str">
        <f>TEXT(tblTransactions[[#This Row],[Date]],"DDDD")</f>
        <v>Thursday</v>
      </c>
      <c r="S2611">
        <f>MONTH(tblTransactions[[#This Row],[Date]])</f>
        <v>7</v>
      </c>
      <c r="T2611" t="str">
        <f>VLOOKUP(E2611, Products!$A:$B,2,0)</f>
        <v>Monitors Tec-4</v>
      </c>
      <c r="U2611" t="str">
        <f>VLOOKUP(E2611,Products!$A:$C,3,0)</f>
        <v>Technology</v>
      </c>
      <c r="V2611" t="str">
        <f>VLOOKUP(E2611,Products!$A:$D,4,0)</f>
        <v>Monitors</v>
      </c>
      <c r="W2611" t="str">
        <f>VLOOKUP(D2611,Customers!$A:$C,3,0)</f>
        <v>B2B</v>
      </c>
      <c r="X2611" t="str">
        <f>VLOOKUP(C2611,Sales_Representatives!$A:$B,2,0)</f>
        <v>Robert Jones</v>
      </c>
    </row>
    <row r="2612" spans="1:24" x14ac:dyDescent="0.3">
      <c r="A2612" t="s">
        <v>3612</v>
      </c>
      <c r="B2612" t="s">
        <v>3606</v>
      </c>
      <c r="C2612" t="s">
        <v>31</v>
      </c>
      <c r="D2612" t="s">
        <v>1819</v>
      </c>
      <c r="E2612" t="s">
        <v>345</v>
      </c>
      <c r="F2612">
        <v>5</v>
      </c>
      <c r="G2612">
        <v>13.97</v>
      </c>
      <c r="H2612">
        <v>0.01</v>
      </c>
      <c r="I2612" s="4">
        <v>69.150000000000006</v>
      </c>
      <c r="J2612" t="s">
        <v>34</v>
      </c>
      <c r="K2612" t="s">
        <v>48</v>
      </c>
      <c r="L2612" s="4">
        <f>VLOOKUP(tblTransactions[[#This Row],[Product_ID]],tblProducts[],5,FALSE)</f>
        <v>8.69</v>
      </c>
      <c r="M2612" s="4">
        <f>tblTransactions[[#This Row],[Total_Amount]]-(tblTransactions[[#This Row],[Cost_Prices]]*tblTransactions[[#This Row],[Quantity]]*(1-tblTransactions[[#This Row],[Discount]]))</f>
        <v>26.13450000000001</v>
      </c>
      <c r="N2612" s="3">
        <f>tblTransactions[[#This Row],[Profit]]/tblTransactions[[#This Row],[Total_Amount]]</f>
        <v>0.37793926247288512</v>
      </c>
      <c r="O2612" t="str">
        <f>TEXT(tblTransactions[[#This Row],[Date]], "MMM-YYYY")</f>
        <v>Jul-2024</v>
      </c>
      <c r="P2612" t="str">
        <f>"Q"&amp;ROUNDUP(MONTH(tblTransactions[[#This Row],[Date]])/3,0)&amp;"-"&amp;YEAR(tblTransactions[[#This Row],[Date]])</f>
        <v>Q3-2024</v>
      </c>
      <c r="Q2612">
        <f>YEAR(tblTransactions[[#This Row],[Date]])</f>
        <v>2024</v>
      </c>
      <c r="R2612" t="str">
        <f>TEXT(tblTransactions[[#This Row],[Date]],"DDDD")</f>
        <v>Thursday</v>
      </c>
      <c r="S2612">
        <f>MONTH(tblTransactions[[#This Row],[Date]])</f>
        <v>7</v>
      </c>
      <c r="T2612" t="str">
        <f>VLOOKUP(E2612, Products!$A:$B,2,0)</f>
        <v>Cases Acc-2</v>
      </c>
      <c r="U2612" t="str">
        <f>VLOOKUP(E2612,Products!$A:$C,3,0)</f>
        <v>Accessories</v>
      </c>
      <c r="V2612" t="str">
        <f>VLOOKUP(E2612,Products!$A:$D,4,0)</f>
        <v>Cases</v>
      </c>
      <c r="W2612" t="str">
        <f>VLOOKUP(D2612,Customers!$A:$C,3,0)</f>
        <v>Small Business</v>
      </c>
      <c r="X2612" t="str">
        <f>VLOOKUP(C2612,Sales_Representatives!$A:$B,2,0)</f>
        <v>Thomas Martinez</v>
      </c>
    </row>
    <row r="2613" spans="1:24" x14ac:dyDescent="0.3">
      <c r="A2613" t="s">
        <v>3613</v>
      </c>
      <c r="B2613" t="s">
        <v>3606</v>
      </c>
      <c r="C2613" t="s">
        <v>70</v>
      </c>
      <c r="D2613" t="s">
        <v>3614</v>
      </c>
      <c r="E2613" t="s">
        <v>172</v>
      </c>
      <c r="F2613">
        <v>6</v>
      </c>
      <c r="G2613">
        <v>1371.15</v>
      </c>
      <c r="H2613">
        <v>0.14000000000000001</v>
      </c>
      <c r="I2613" s="4">
        <v>7075.13</v>
      </c>
      <c r="J2613" t="s">
        <v>16</v>
      </c>
      <c r="K2613" t="s">
        <v>48</v>
      </c>
      <c r="L2613" s="4">
        <f>VLOOKUP(tblTransactions[[#This Row],[Product_ID]],tblProducts[],5,FALSE)</f>
        <v>989.81</v>
      </c>
      <c r="M2613" s="4">
        <f>tblTransactions[[#This Row],[Total_Amount]]-(tblTransactions[[#This Row],[Cost_Prices]]*tblTransactions[[#This Row],[Quantity]]*(1-tblTransactions[[#This Row],[Discount]]))</f>
        <v>1967.7104000000008</v>
      </c>
      <c r="N2613" s="3">
        <f>tblTransactions[[#This Row],[Profit]]/tblTransactions[[#This Row],[Total_Amount]]</f>
        <v>0.27811650103955698</v>
      </c>
      <c r="O2613" t="str">
        <f>TEXT(tblTransactions[[#This Row],[Date]], "MMM-YYYY")</f>
        <v>Jul-2024</v>
      </c>
      <c r="P2613" t="str">
        <f>"Q"&amp;ROUNDUP(MONTH(tblTransactions[[#This Row],[Date]])/3,0)&amp;"-"&amp;YEAR(tblTransactions[[#This Row],[Date]])</f>
        <v>Q3-2024</v>
      </c>
      <c r="Q2613">
        <f>YEAR(tblTransactions[[#This Row],[Date]])</f>
        <v>2024</v>
      </c>
      <c r="R2613" t="str">
        <f>TEXT(tblTransactions[[#This Row],[Date]],"DDDD")</f>
        <v>Thursday</v>
      </c>
      <c r="S2613">
        <f>MONTH(tblTransactions[[#This Row],[Date]])</f>
        <v>7</v>
      </c>
      <c r="T2613" t="str">
        <f>VLOOKUP(E2613, Products!$A:$B,2,0)</f>
        <v>Cameras Ele-4</v>
      </c>
      <c r="U2613" t="str">
        <f>VLOOKUP(E2613,Products!$A:$C,3,0)</f>
        <v>Electronics</v>
      </c>
      <c r="V2613" t="str">
        <f>VLOOKUP(E2613,Products!$A:$D,4,0)</f>
        <v>Cameras</v>
      </c>
      <c r="W2613" t="str">
        <f>VLOOKUP(D2613,Customers!$A:$C,3,0)</f>
        <v>B2B</v>
      </c>
      <c r="X2613" t="str">
        <f>VLOOKUP(C2613,Sales_Representatives!$A:$B,2,0)</f>
        <v>Linda Smith</v>
      </c>
    </row>
    <row r="2614" spans="1:24" x14ac:dyDescent="0.3">
      <c r="A2614" t="s">
        <v>3615</v>
      </c>
      <c r="B2614" t="s">
        <v>3616</v>
      </c>
      <c r="C2614" t="s">
        <v>31</v>
      </c>
      <c r="D2614" t="s">
        <v>1845</v>
      </c>
      <c r="E2614" t="s">
        <v>339</v>
      </c>
      <c r="F2614">
        <v>3</v>
      </c>
      <c r="G2614">
        <v>1100.8800000000001</v>
      </c>
      <c r="H2614">
        <v>0</v>
      </c>
      <c r="I2614" s="4">
        <v>3302.64</v>
      </c>
      <c r="J2614" t="s">
        <v>34</v>
      </c>
      <c r="K2614" t="s">
        <v>39</v>
      </c>
      <c r="L2614" s="4">
        <f>VLOOKUP(tblTransactions[[#This Row],[Product_ID]],tblProducts[],5,FALSE)</f>
        <v>761.53</v>
      </c>
      <c r="M2614" s="4">
        <f>tblTransactions[[#This Row],[Total_Amount]]-(tblTransactions[[#This Row],[Cost_Prices]]*tblTransactions[[#This Row],[Quantity]]*(1-tblTransactions[[#This Row],[Discount]]))</f>
        <v>1018.0499999999997</v>
      </c>
      <c r="N2614" s="3">
        <f>tblTransactions[[#This Row],[Profit]]/tblTransactions[[#This Row],[Total_Amount]]</f>
        <v>0.30825339728217421</v>
      </c>
      <c r="O2614" t="str">
        <f>TEXT(tblTransactions[[#This Row],[Date]], "MMM-YYYY")</f>
        <v>Jul-2024</v>
      </c>
      <c r="P2614" t="str">
        <f>"Q"&amp;ROUNDUP(MONTH(tblTransactions[[#This Row],[Date]])/3,0)&amp;"-"&amp;YEAR(tblTransactions[[#This Row],[Date]])</f>
        <v>Q3-2024</v>
      </c>
      <c r="Q2614">
        <f>YEAR(tblTransactions[[#This Row],[Date]])</f>
        <v>2024</v>
      </c>
      <c r="R2614" t="str">
        <f>TEXT(tblTransactions[[#This Row],[Date]],"DDDD")</f>
        <v>Friday</v>
      </c>
      <c r="S2614">
        <f>MONTH(tblTransactions[[#This Row],[Date]])</f>
        <v>7</v>
      </c>
      <c r="T2614" t="str">
        <f>VLOOKUP(E2614, Products!$A:$B,2,0)</f>
        <v>Phones Ele-2</v>
      </c>
      <c r="U2614" t="str">
        <f>VLOOKUP(E2614,Products!$A:$C,3,0)</f>
        <v>Electronics</v>
      </c>
      <c r="V2614" t="str">
        <f>VLOOKUP(E2614,Products!$A:$D,4,0)</f>
        <v>Phones</v>
      </c>
      <c r="W2614" t="str">
        <f>VLOOKUP(D2614,Customers!$A:$C,3,0)</f>
        <v>B2C</v>
      </c>
      <c r="X2614" t="str">
        <f>VLOOKUP(C2614,Sales_Representatives!$A:$B,2,0)</f>
        <v>Thomas Martinez</v>
      </c>
    </row>
    <row r="2615" spans="1:24" x14ac:dyDescent="0.3">
      <c r="A2615" t="s">
        <v>3617</v>
      </c>
      <c r="B2615" t="s">
        <v>3616</v>
      </c>
      <c r="C2615" t="s">
        <v>13</v>
      </c>
      <c r="D2615" t="s">
        <v>2446</v>
      </c>
      <c r="E2615" t="s">
        <v>347</v>
      </c>
      <c r="F2615">
        <v>16</v>
      </c>
      <c r="G2615">
        <v>1539.6</v>
      </c>
      <c r="H2615">
        <v>0.15</v>
      </c>
      <c r="I2615" s="4">
        <v>20938.560000000001</v>
      </c>
      <c r="J2615" t="s">
        <v>16</v>
      </c>
      <c r="K2615" t="s">
        <v>48</v>
      </c>
      <c r="L2615" s="4">
        <f>VLOOKUP(tblTransactions[[#This Row],[Product_ID]],tblProducts[],5,FALSE)</f>
        <v>992.43</v>
      </c>
      <c r="M2615" s="4">
        <f>tblTransactions[[#This Row],[Total_Amount]]-(tblTransactions[[#This Row],[Cost_Prices]]*tblTransactions[[#This Row],[Quantity]]*(1-tblTransactions[[#This Row],[Discount]]))</f>
        <v>7441.5120000000024</v>
      </c>
      <c r="N2615" s="3">
        <f>tblTransactions[[#This Row],[Profit]]/tblTransactions[[#This Row],[Total_Amount]]</f>
        <v>0.35539750584567431</v>
      </c>
      <c r="O2615" t="str">
        <f>TEXT(tblTransactions[[#This Row],[Date]], "MMM-YYYY")</f>
        <v>Jul-2024</v>
      </c>
      <c r="P2615" t="str">
        <f>"Q"&amp;ROUNDUP(MONTH(tblTransactions[[#This Row],[Date]])/3,0)&amp;"-"&amp;YEAR(tblTransactions[[#This Row],[Date]])</f>
        <v>Q3-2024</v>
      </c>
      <c r="Q2615">
        <f>YEAR(tblTransactions[[#This Row],[Date]])</f>
        <v>2024</v>
      </c>
      <c r="R2615" t="str">
        <f>TEXT(tblTransactions[[#This Row],[Date]],"DDDD")</f>
        <v>Friday</v>
      </c>
      <c r="S2615">
        <f>MONTH(tblTransactions[[#This Row],[Date]])</f>
        <v>7</v>
      </c>
      <c r="T2615" t="str">
        <f>VLOOKUP(E2615, Products!$A:$B,2,0)</f>
        <v>Routers Tec-2</v>
      </c>
      <c r="U2615" t="str">
        <f>VLOOKUP(E2615,Products!$A:$C,3,0)</f>
        <v>Technology</v>
      </c>
      <c r="V2615" t="str">
        <f>VLOOKUP(E2615,Products!$A:$D,4,0)</f>
        <v>Routers</v>
      </c>
      <c r="W2615" t="str">
        <f>VLOOKUP(D2615,Customers!$A:$C,3,0)</f>
        <v>B2B</v>
      </c>
      <c r="X2615" t="str">
        <f>VLOOKUP(C2615,Sales_Representatives!$A:$B,2,0)</f>
        <v>Jennifer Rodriguez</v>
      </c>
    </row>
    <row r="2616" spans="1:24" x14ac:dyDescent="0.3">
      <c r="A2616" t="s">
        <v>3618</v>
      </c>
      <c r="B2616" t="s">
        <v>3616</v>
      </c>
      <c r="C2616" t="s">
        <v>75</v>
      </c>
      <c r="D2616" t="s">
        <v>1439</v>
      </c>
      <c r="E2616" t="s">
        <v>65</v>
      </c>
      <c r="F2616">
        <v>5</v>
      </c>
      <c r="G2616">
        <v>49.44</v>
      </c>
      <c r="H2616">
        <v>0.06</v>
      </c>
      <c r="I2616" s="4">
        <v>232.37</v>
      </c>
      <c r="J2616" t="s">
        <v>44</v>
      </c>
      <c r="K2616" t="s">
        <v>17</v>
      </c>
      <c r="L2616" s="4">
        <f>VLOOKUP(tblTransactions[[#This Row],[Product_ID]],tblProducts[],5,FALSE)</f>
        <v>22.34</v>
      </c>
      <c r="M2616" s="4">
        <f>tblTransactions[[#This Row],[Total_Amount]]-(tblTransactions[[#This Row],[Cost_Prices]]*tblTransactions[[#This Row],[Quantity]]*(1-tblTransactions[[#This Row],[Discount]]))</f>
        <v>127.37200000000001</v>
      </c>
      <c r="N2616" s="3">
        <f>tblTransactions[[#This Row],[Profit]]/tblTransactions[[#This Row],[Total_Amount]]</f>
        <v>0.54814304772561007</v>
      </c>
      <c r="O2616" t="str">
        <f>TEXT(tblTransactions[[#This Row],[Date]], "MMM-YYYY")</f>
        <v>Jul-2024</v>
      </c>
      <c r="P2616" t="str">
        <f>"Q"&amp;ROUNDUP(MONTH(tblTransactions[[#This Row],[Date]])/3,0)&amp;"-"&amp;YEAR(tblTransactions[[#This Row],[Date]])</f>
        <v>Q3-2024</v>
      </c>
      <c r="Q2616">
        <f>YEAR(tblTransactions[[#This Row],[Date]])</f>
        <v>2024</v>
      </c>
      <c r="R2616" t="str">
        <f>TEXT(tblTransactions[[#This Row],[Date]],"DDDD")</f>
        <v>Friday</v>
      </c>
      <c r="S2616">
        <f>MONTH(tblTransactions[[#This Row],[Date]])</f>
        <v>7</v>
      </c>
      <c r="T2616" t="str">
        <f>VLOOKUP(E2616, Products!$A:$B,2,0)</f>
        <v>Folders Off-2</v>
      </c>
      <c r="U2616" t="str">
        <f>VLOOKUP(E2616,Products!$A:$C,3,0)</f>
        <v>Office Supplies</v>
      </c>
      <c r="V2616" t="str">
        <f>VLOOKUP(E2616,Products!$A:$D,4,0)</f>
        <v>Folders</v>
      </c>
      <c r="W2616" t="str">
        <f>VLOOKUP(D2616,Customers!$A:$C,3,0)</f>
        <v>B2C</v>
      </c>
      <c r="X2616" t="str">
        <f>VLOOKUP(C2616,Sales_Representatives!$A:$B,2,0)</f>
        <v>Jessica Anderson</v>
      </c>
    </row>
    <row r="2617" spans="1:24" x14ac:dyDescent="0.3">
      <c r="A2617" t="s">
        <v>3619</v>
      </c>
      <c r="B2617" t="s">
        <v>3616</v>
      </c>
      <c r="C2617" t="s">
        <v>131</v>
      </c>
      <c r="D2617" t="s">
        <v>2137</v>
      </c>
      <c r="E2617" t="s">
        <v>89</v>
      </c>
      <c r="F2617">
        <v>3</v>
      </c>
      <c r="G2617">
        <v>555.08000000000004</v>
      </c>
      <c r="H2617">
        <v>0.03</v>
      </c>
      <c r="I2617" s="4">
        <v>1615.28</v>
      </c>
      <c r="J2617" t="s">
        <v>44</v>
      </c>
      <c r="K2617" t="s">
        <v>35</v>
      </c>
      <c r="L2617" s="4">
        <f>VLOOKUP(tblTransactions[[#This Row],[Product_ID]],tblProducts[],5,FALSE)</f>
        <v>402.82</v>
      </c>
      <c r="M2617" s="4">
        <f>tblTransactions[[#This Row],[Total_Amount]]-(tblTransactions[[#This Row],[Cost_Prices]]*tblTransactions[[#This Row],[Quantity]]*(1-tblTransactions[[#This Row],[Discount]]))</f>
        <v>443.07379999999989</v>
      </c>
      <c r="N2617" s="3">
        <f>tblTransactions[[#This Row],[Profit]]/tblTransactions[[#This Row],[Total_Amount]]</f>
        <v>0.27430154524292993</v>
      </c>
      <c r="O2617" t="str">
        <f>TEXT(tblTransactions[[#This Row],[Date]], "MMM-YYYY")</f>
        <v>Jul-2024</v>
      </c>
      <c r="P2617" t="str">
        <f>"Q"&amp;ROUNDUP(MONTH(tblTransactions[[#This Row],[Date]])/3,0)&amp;"-"&amp;YEAR(tblTransactions[[#This Row],[Date]])</f>
        <v>Q3-2024</v>
      </c>
      <c r="Q2617">
        <f>YEAR(tblTransactions[[#This Row],[Date]])</f>
        <v>2024</v>
      </c>
      <c r="R2617" t="str">
        <f>TEXT(tblTransactions[[#This Row],[Date]],"DDDD")</f>
        <v>Friday</v>
      </c>
      <c r="S2617">
        <f>MONTH(tblTransactions[[#This Row],[Date]])</f>
        <v>7</v>
      </c>
      <c r="T2617" t="str">
        <f>VLOOKUP(E2617, Products!$A:$B,2,0)</f>
        <v>Laptops Ele-3</v>
      </c>
      <c r="U2617" t="str">
        <f>VLOOKUP(E2617,Products!$A:$C,3,0)</f>
        <v>Electronics</v>
      </c>
      <c r="V2617" t="str">
        <f>VLOOKUP(E2617,Products!$A:$D,4,0)</f>
        <v>Laptops</v>
      </c>
      <c r="W2617" t="str">
        <f>VLOOKUP(D2617,Customers!$A:$C,3,0)</f>
        <v>B2C</v>
      </c>
      <c r="X2617" t="str">
        <f>VLOOKUP(C2617,Sales_Representatives!$A:$B,2,0)</f>
        <v>Michael Davis</v>
      </c>
    </row>
    <row r="2618" spans="1:24" x14ac:dyDescent="0.3">
      <c r="A2618" t="s">
        <v>3620</v>
      </c>
      <c r="B2618" t="s">
        <v>3616</v>
      </c>
      <c r="C2618" t="s">
        <v>107</v>
      </c>
      <c r="D2618" t="s">
        <v>1467</v>
      </c>
      <c r="E2618" t="s">
        <v>299</v>
      </c>
      <c r="F2618">
        <v>1</v>
      </c>
      <c r="G2618">
        <v>963.44</v>
      </c>
      <c r="H2618">
        <v>7.0000000000000007E-2</v>
      </c>
      <c r="I2618" s="4">
        <v>896</v>
      </c>
      <c r="J2618" t="s">
        <v>109</v>
      </c>
      <c r="K2618" t="s">
        <v>39</v>
      </c>
      <c r="L2618" s="4">
        <f>VLOOKUP(tblTransactions[[#This Row],[Product_ID]],tblProducts[],5,FALSE)</f>
        <v>578.96</v>
      </c>
      <c r="M2618" s="4">
        <f>tblTransactions[[#This Row],[Total_Amount]]-(tblTransactions[[#This Row],[Cost_Prices]]*tblTransactions[[#This Row],[Quantity]]*(1-tblTransactions[[#This Row],[Discount]]))</f>
        <v>357.56719999999996</v>
      </c>
      <c r="N2618" s="3">
        <f>tblTransactions[[#This Row],[Profit]]/tblTransactions[[#This Row],[Total_Amount]]</f>
        <v>0.39907053571428569</v>
      </c>
      <c r="O2618" t="str">
        <f>TEXT(tblTransactions[[#This Row],[Date]], "MMM-YYYY")</f>
        <v>Jul-2024</v>
      </c>
      <c r="P2618" t="str">
        <f>"Q"&amp;ROUNDUP(MONTH(tblTransactions[[#This Row],[Date]])/3,0)&amp;"-"&amp;YEAR(tblTransactions[[#This Row],[Date]])</f>
        <v>Q3-2024</v>
      </c>
      <c r="Q2618">
        <f>YEAR(tblTransactions[[#This Row],[Date]])</f>
        <v>2024</v>
      </c>
      <c r="R2618" t="str">
        <f>TEXT(tblTransactions[[#This Row],[Date]],"DDDD")</f>
        <v>Friday</v>
      </c>
      <c r="S2618">
        <f>MONTH(tblTransactions[[#This Row],[Date]])</f>
        <v>7</v>
      </c>
      <c r="T2618" t="str">
        <f>VLOOKUP(E2618, Products!$A:$B,2,0)</f>
        <v>Chairs Fur-4</v>
      </c>
      <c r="U2618" t="str">
        <f>VLOOKUP(E2618,Products!$A:$C,3,0)</f>
        <v>Furniture</v>
      </c>
      <c r="V2618" t="str">
        <f>VLOOKUP(E2618,Products!$A:$D,4,0)</f>
        <v>Chairs</v>
      </c>
      <c r="W2618" t="str">
        <f>VLOOKUP(D2618,Customers!$A:$C,3,0)</f>
        <v>B2C</v>
      </c>
      <c r="X2618" t="str">
        <f>VLOOKUP(C2618,Sales_Representatives!$A:$B,2,0)</f>
        <v>Jennifer Brown</v>
      </c>
    </row>
    <row r="2619" spans="1:24" x14ac:dyDescent="0.3">
      <c r="A2619" t="s">
        <v>3621</v>
      </c>
      <c r="B2619" t="s">
        <v>3616</v>
      </c>
      <c r="C2619" t="s">
        <v>70</v>
      </c>
      <c r="D2619" t="s">
        <v>95</v>
      </c>
      <c r="E2619" t="s">
        <v>105</v>
      </c>
      <c r="F2619">
        <v>14</v>
      </c>
      <c r="G2619">
        <v>1342.04</v>
      </c>
      <c r="H2619">
        <v>0.19</v>
      </c>
      <c r="I2619" s="4">
        <v>15218.73</v>
      </c>
      <c r="J2619" t="s">
        <v>16</v>
      </c>
      <c r="K2619" t="s">
        <v>39</v>
      </c>
      <c r="L2619" s="4">
        <f>VLOOKUP(tblTransactions[[#This Row],[Product_ID]],tblProducts[],5,FALSE)</f>
        <v>792.89</v>
      </c>
      <c r="M2619" s="4">
        <f>tblTransactions[[#This Row],[Total_Amount]]-(tblTransactions[[#This Row],[Cost_Prices]]*tblTransactions[[#This Row],[Quantity]]*(1-tblTransactions[[#This Row],[Discount]]))</f>
        <v>6227.357399999999</v>
      </c>
      <c r="N2619" s="3">
        <f>tblTransactions[[#This Row],[Profit]]/tblTransactions[[#This Row],[Total_Amount]]</f>
        <v>0.40919034636924362</v>
      </c>
      <c r="O2619" t="str">
        <f>TEXT(tblTransactions[[#This Row],[Date]], "MMM-YYYY")</f>
        <v>Jul-2024</v>
      </c>
      <c r="P2619" t="str">
        <f>"Q"&amp;ROUNDUP(MONTH(tblTransactions[[#This Row],[Date]])/3,0)&amp;"-"&amp;YEAR(tblTransactions[[#This Row],[Date]])</f>
        <v>Q3-2024</v>
      </c>
      <c r="Q2619">
        <f>YEAR(tblTransactions[[#This Row],[Date]])</f>
        <v>2024</v>
      </c>
      <c r="R2619" t="str">
        <f>TEXT(tblTransactions[[#This Row],[Date]],"DDDD")</f>
        <v>Friday</v>
      </c>
      <c r="S2619">
        <f>MONTH(tblTransactions[[#This Row],[Date]])</f>
        <v>7</v>
      </c>
      <c r="T2619" t="str">
        <f>VLOOKUP(E2619, Products!$A:$B,2,0)</f>
        <v>Cameras Ele-1</v>
      </c>
      <c r="U2619" t="str">
        <f>VLOOKUP(E2619,Products!$A:$C,3,0)</f>
        <v>Electronics</v>
      </c>
      <c r="V2619" t="str">
        <f>VLOOKUP(E2619,Products!$A:$D,4,0)</f>
        <v>Cameras</v>
      </c>
      <c r="W2619" t="str">
        <f>VLOOKUP(D2619,Customers!$A:$C,3,0)</f>
        <v>Enterprise</v>
      </c>
      <c r="X2619" t="str">
        <f>VLOOKUP(C2619,Sales_Representatives!$A:$B,2,0)</f>
        <v>Linda Smith</v>
      </c>
    </row>
    <row r="2620" spans="1:24" x14ac:dyDescent="0.3">
      <c r="A2620" t="s">
        <v>3622</v>
      </c>
      <c r="B2620" t="s">
        <v>3616</v>
      </c>
      <c r="C2620" t="s">
        <v>56</v>
      </c>
      <c r="D2620" t="s">
        <v>1559</v>
      </c>
      <c r="E2620" t="s">
        <v>243</v>
      </c>
      <c r="F2620">
        <v>5</v>
      </c>
      <c r="G2620">
        <v>384.18</v>
      </c>
      <c r="H2620">
        <v>0.09</v>
      </c>
      <c r="I2620" s="4">
        <v>1748.02</v>
      </c>
      <c r="J2620" t="s">
        <v>34</v>
      </c>
      <c r="K2620" t="s">
        <v>17</v>
      </c>
      <c r="L2620" s="4">
        <f>VLOOKUP(tblTransactions[[#This Row],[Product_ID]],tblProducts[],5,FALSE)</f>
        <v>266.92</v>
      </c>
      <c r="M2620" s="4">
        <f>tblTransactions[[#This Row],[Total_Amount]]-(tblTransactions[[#This Row],[Cost_Prices]]*tblTransactions[[#This Row],[Quantity]]*(1-tblTransactions[[#This Row],[Discount]]))</f>
        <v>533.53399999999988</v>
      </c>
      <c r="N2620" s="3">
        <f>tblTransactions[[#This Row],[Profit]]/tblTransactions[[#This Row],[Total_Amount]]</f>
        <v>0.30522190821615308</v>
      </c>
      <c r="O2620" t="str">
        <f>TEXT(tblTransactions[[#This Row],[Date]], "MMM-YYYY")</f>
        <v>Jul-2024</v>
      </c>
      <c r="P2620" t="str">
        <f>"Q"&amp;ROUNDUP(MONTH(tblTransactions[[#This Row],[Date]])/3,0)&amp;"-"&amp;YEAR(tblTransactions[[#This Row],[Date]])</f>
        <v>Q3-2024</v>
      </c>
      <c r="Q2620">
        <f>YEAR(tblTransactions[[#This Row],[Date]])</f>
        <v>2024</v>
      </c>
      <c r="R2620" t="str">
        <f>TEXT(tblTransactions[[#This Row],[Date]],"DDDD")</f>
        <v>Friday</v>
      </c>
      <c r="S2620">
        <f>MONTH(tblTransactions[[#This Row],[Date]])</f>
        <v>7</v>
      </c>
      <c r="T2620" t="str">
        <f>VLOOKUP(E2620, Products!$A:$B,2,0)</f>
        <v>Routers Tec-3</v>
      </c>
      <c r="U2620" t="str">
        <f>VLOOKUP(E2620,Products!$A:$C,3,0)</f>
        <v>Technology</v>
      </c>
      <c r="V2620" t="str">
        <f>VLOOKUP(E2620,Products!$A:$D,4,0)</f>
        <v>Routers</v>
      </c>
      <c r="W2620" t="str">
        <f>VLOOKUP(D2620,Customers!$A:$C,3,0)</f>
        <v>B2B</v>
      </c>
      <c r="X2620" t="str">
        <f>VLOOKUP(C2620,Sales_Representatives!$A:$B,2,0)</f>
        <v>Thomas Hernandez</v>
      </c>
    </row>
    <row r="2621" spans="1:24" x14ac:dyDescent="0.3">
      <c r="A2621" t="s">
        <v>3623</v>
      </c>
      <c r="B2621" t="s">
        <v>3616</v>
      </c>
      <c r="C2621" t="s">
        <v>75</v>
      </c>
      <c r="D2621" t="s">
        <v>1610</v>
      </c>
      <c r="E2621" t="s">
        <v>200</v>
      </c>
      <c r="F2621">
        <v>4</v>
      </c>
      <c r="G2621">
        <v>544.77</v>
      </c>
      <c r="H2621">
        <v>0.04</v>
      </c>
      <c r="I2621" s="4">
        <v>2091.92</v>
      </c>
      <c r="J2621" t="s">
        <v>44</v>
      </c>
      <c r="K2621" t="s">
        <v>17</v>
      </c>
      <c r="L2621" s="4">
        <f>VLOOKUP(tblTransactions[[#This Row],[Product_ID]],tblProducts[],5,FALSE)</f>
        <v>318.2</v>
      </c>
      <c r="M2621" s="4">
        <f>tblTransactions[[#This Row],[Total_Amount]]-(tblTransactions[[#This Row],[Cost_Prices]]*tblTransactions[[#This Row],[Quantity]]*(1-tblTransactions[[#This Row],[Discount]]))</f>
        <v>870.03200000000015</v>
      </c>
      <c r="N2621" s="3">
        <f>tblTransactions[[#This Row],[Profit]]/tblTransactions[[#This Row],[Total_Amount]]</f>
        <v>0.41590118168954843</v>
      </c>
      <c r="O2621" t="str">
        <f>TEXT(tblTransactions[[#This Row],[Date]], "MMM-YYYY")</f>
        <v>Jul-2024</v>
      </c>
      <c r="P2621" t="str">
        <f>"Q"&amp;ROUNDUP(MONTH(tblTransactions[[#This Row],[Date]])/3,0)&amp;"-"&amp;YEAR(tblTransactions[[#This Row],[Date]])</f>
        <v>Q3-2024</v>
      </c>
      <c r="Q2621">
        <f>YEAR(tblTransactions[[#This Row],[Date]])</f>
        <v>2024</v>
      </c>
      <c r="R2621" t="str">
        <f>TEXT(tblTransactions[[#This Row],[Date]],"DDDD")</f>
        <v>Friday</v>
      </c>
      <c r="S2621">
        <f>MONTH(tblTransactions[[#This Row],[Date]])</f>
        <v>7</v>
      </c>
      <c r="T2621" t="str">
        <f>VLOOKUP(E2621, Products!$A:$B,2,0)</f>
        <v>Desks Fur-4</v>
      </c>
      <c r="U2621" t="str">
        <f>VLOOKUP(E2621,Products!$A:$C,3,0)</f>
        <v>Furniture</v>
      </c>
      <c r="V2621" t="str">
        <f>VLOOKUP(E2621,Products!$A:$D,4,0)</f>
        <v>Desks</v>
      </c>
      <c r="W2621" t="str">
        <f>VLOOKUP(D2621,Customers!$A:$C,3,0)</f>
        <v>B2C</v>
      </c>
      <c r="X2621" t="str">
        <f>VLOOKUP(C2621,Sales_Representatives!$A:$B,2,0)</f>
        <v>Jessica Anderson</v>
      </c>
    </row>
    <row r="2622" spans="1:24" x14ac:dyDescent="0.3">
      <c r="A2622" t="s">
        <v>3624</v>
      </c>
      <c r="B2622" t="s">
        <v>3625</v>
      </c>
      <c r="C2622" t="s">
        <v>107</v>
      </c>
      <c r="D2622" t="s">
        <v>1621</v>
      </c>
      <c r="E2622" t="s">
        <v>72</v>
      </c>
      <c r="F2622">
        <v>3</v>
      </c>
      <c r="G2622">
        <v>404.76</v>
      </c>
      <c r="H2622">
        <v>0.01</v>
      </c>
      <c r="I2622" s="4">
        <v>1202.1400000000001</v>
      </c>
      <c r="J2622" t="s">
        <v>109</v>
      </c>
      <c r="K2622" t="s">
        <v>48</v>
      </c>
      <c r="L2622" s="4">
        <f>VLOOKUP(tblTransactions[[#This Row],[Product_ID]],tblProducts[],5,FALSE)</f>
        <v>226.76</v>
      </c>
      <c r="M2622" s="4">
        <f>tblTransactions[[#This Row],[Total_Amount]]-(tblTransactions[[#This Row],[Cost_Prices]]*tblTransactions[[#This Row],[Quantity]]*(1-tblTransactions[[#This Row],[Discount]]))</f>
        <v>528.66280000000017</v>
      </c>
      <c r="N2622" s="3">
        <f>tblTransactions[[#This Row],[Profit]]/tblTransactions[[#This Row],[Total_Amount]]</f>
        <v>0.43976808025687536</v>
      </c>
      <c r="O2622" t="str">
        <f>TEXT(tblTransactions[[#This Row],[Date]], "MMM-YYYY")</f>
        <v>Jul-2024</v>
      </c>
      <c r="P2622" t="str">
        <f>"Q"&amp;ROUNDUP(MONTH(tblTransactions[[#This Row],[Date]])/3,0)&amp;"-"&amp;YEAR(tblTransactions[[#This Row],[Date]])</f>
        <v>Q3-2024</v>
      </c>
      <c r="Q2622">
        <f>YEAR(tblTransactions[[#This Row],[Date]])</f>
        <v>2024</v>
      </c>
      <c r="R2622" t="str">
        <f>TEXT(tblTransactions[[#This Row],[Date]],"DDDD")</f>
        <v>Saturday</v>
      </c>
      <c r="S2622">
        <f>MONTH(tblTransactions[[#This Row],[Date]])</f>
        <v>7</v>
      </c>
      <c r="T2622" t="str">
        <f>VLOOKUP(E2622, Products!$A:$B,2,0)</f>
        <v>Tablets Ele-2</v>
      </c>
      <c r="U2622" t="str">
        <f>VLOOKUP(E2622,Products!$A:$C,3,0)</f>
        <v>Electronics</v>
      </c>
      <c r="V2622" t="str">
        <f>VLOOKUP(E2622,Products!$A:$D,4,0)</f>
        <v>Tablets</v>
      </c>
      <c r="W2622" t="str">
        <f>VLOOKUP(D2622,Customers!$A:$C,3,0)</f>
        <v>B2C</v>
      </c>
      <c r="X2622" t="str">
        <f>VLOOKUP(C2622,Sales_Representatives!$A:$B,2,0)</f>
        <v>Jennifer Brown</v>
      </c>
    </row>
    <row r="2623" spans="1:24" x14ac:dyDescent="0.3">
      <c r="A2623" t="s">
        <v>3626</v>
      </c>
      <c r="B2623" t="s">
        <v>3625</v>
      </c>
      <c r="C2623" t="s">
        <v>75</v>
      </c>
      <c r="D2623" t="s">
        <v>2213</v>
      </c>
      <c r="E2623" t="s">
        <v>113</v>
      </c>
      <c r="F2623">
        <v>3</v>
      </c>
      <c r="G2623">
        <v>930.41</v>
      </c>
      <c r="H2623">
        <v>7.0000000000000007E-2</v>
      </c>
      <c r="I2623" s="4">
        <v>2595.84</v>
      </c>
      <c r="J2623" t="s">
        <v>44</v>
      </c>
      <c r="K2623" t="s">
        <v>22</v>
      </c>
      <c r="L2623" s="4">
        <f>VLOOKUP(tblTransactions[[#This Row],[Product_ID]],tblProducts[],5,FALSE)</f>
        <v>595.51</v>
      </c>
      <c r="M2623" s="4">
        <f>tblTransactions[[#This Row],[Total_Amount]]-(tblTransactions[[#This Row],[Cost_Prices]]*tblTransactions[[#This Row],[Quantity]]*(1-tblTransactions[[#This Row],[Discount]]))</f>
        <v>934.36710000000039</v>
      </c>
      <c r="N2623" s="3">
        <f>tblTransactions[[#This Row],[Profit]]/tblTransactions[[#This Row],[Total_Amount]]</f>
        <v>0.35994787814349127</v>
      </c>
      <c r="O2623" t="str">
        <f>TEXT(tblTransactions[[#This Row],[Date]], "MMM-YYYY")</f>
        <v>Jul-2024</v>
      </c>
      <c r="P2623" t="str">
        <f>"Q"&amp;ROUNDUP(MONTH(tblTransactions[[#This Row],[Date]])/3,0)&amp;"-"&amp;YEAR(tblTransactions[[#This Row],[Date]])</f>
        <v>Q3-2024</v>
      </c>
      <c r="Q2623">
        <f>YEAR(tblTransactions[[#This Row],[Date]])</f>
        <v>2024</v>
      </c>
      <c r="R2623" t="str">
        <f>TEXT(tblTransactions[[#This Row],[Date]],"DDDD")</f>
        <v>Saturday</v>
      </c>
      <c r="S2623">
        <f>MONTH(tblTransactions[[#This Row],[Date]])</f>
        <v>7</v>
      </c>
      <c r="T2623" t="str">
        <f>VLOOKUP(E2623, Products!$A:$B,2,0)</f>
        <v>Phones Ele-1</v>
      </c>
      <c r="U2623" t="str">
        <f>VLOOKUP(E2623,Products!$A:$C,3,0)</f>
        <v>Electronics</v>
      </c>
      <c r="V2623" t="str">
        <f>VLOOKUP(E2623,Products!$A:$D,4,0)</f>
        <v>Phones</v>
      </c>
      <c r="W2623" t="str">
        <f>VLOOKUP(D2623,Customers!$A:$C,3,0)</f>
        <v>B2C</v>
      </c>
      <c r="X2623" t="str">
        <f>VLOOKUP(C2623,Sales_Representatives!$A:$B,2,0)</f>
        <v>Jessica Anderson</v>
      </c>
    </row>
    <row r="2624" spans="1:24" x14ac:dyDescent="0.3">
      <c r="A2624" t="s">
        <v>3627</v>
      </c>
      <c r="B2624" t="s">
        <v>3625</v>
      </c>
      <c r="C2624" t="s">
        <v>59</v>
      </c>
      <c r="D2624" t="s">
        <v>1947</v>
      </c>
      <c r="E2624" t="s">
        <v>79</v>
      </c>
      <c r="F2624">
        <v>20</v>
      </c>
      <c r="G2624">
        <v>1452.36</v>
      </c>
      <c r="H2624">
        <v>0.11</v>
      </c>
      <c r="I2624" s="4">
        <v>25852.01</v>
      </c>
      <c r="J2624" t="s">
        <v>21</v>
      </c>
      <c r="K2624" t="s">
        <v>17</v>
      </c>
      <c r="L2624" s="4">
        <f>VLOOKUP(tblTransactions[[#This Row],[Product_ID]],tblProducts[],5,FALSE)</f>
        <v>778.71</v>
      </c>
      <c r="M2624" s="4">
        <f>tblTransactions[[#This Row],[Total_Amount]]-(tblTransactions[[#This Row],[Cost_Prices]]*tblTransactions[[#This Row],[Quantity]]*(1-tblTransactions[[#This Row],[Discount]]))</f>
        <v>11990.971999999998</v>
      </c>
      <c r="N2624" s="3">
        <f>tblTransactions[[#This Row],[Profit]]/tblTransactions[[#This Row],[Total_Amount]]</f>
        <v>0.46383132298030205</v>
      </c>
      <c r="O2624" t="str">
        <f>TEXT(tblTransactions[[#This Row],[Date]], "MMM-YYYY")</f>
        <v>Jul-2024</v>
      </c>
      <c r="P2624" t="str">
        <f>"Q"&amp;ROUNDUP(MONTH(tblTransactions[[#This Row],[Date]])/3,0)&amp;"-"&amp;YEAR(tblTransactions[[#This Row],[Date]])</f>
        <v>Q3-2024</v>
      </c>
      <c r="Q2624">
        <f>YEAR(tblTransactions[[#This Row],[Date]])</f>
        <v>2024</v>
      </c>
      <c r="R2624" t="str">
        <f>TEXT(tblTransactions[[#This Row],[Date]],"DDDD")</f>
        <v>Saturday</v>
      </c>
      <c r="S2624">
        <f>MONTH(tblTransactions[[#This Row],[Date]])</f>
        <v>7</v>
      </c>
      <c r="T2624" t="str">
        <f>VLOOKUP(E2624, Products!$A:$B,2,0)</f>
        <v>Tables Fur-2</v>
      </c>
      <c r="U2624" t="str">
        <f>VLOOKUP(E2624,Products!$A:$C,3,0)</f>
        <v>Furniture</v>
      </c>
      <c r="V2624" t="str">
        <f>VLOOKUP(E2624,Products!$A:$D,4,0)</f>
        <v>Tables</v>
      </c>
      <c r="W2624" t="str">
        <f>VLOOKUP(D2624,Customers!$A:$C,3,0)</f>
        <v>Enterprise</v>
      </c>
      <c r="X2624" t="str">
        <f>VLOOKUP(C2624,Sales_Representatives!$A:$B,2,0)</f>
        <v>Sarah Brown</v>
      </c>
    </row>
    <row r="2625" spans="1:24" x14ac:dyDescent="0.3">
      <c r="A2625" t="s">
        <v>3628</v>
      </c>
      <c r="B2625" t="s">
        <v>3625</v>
      </c>
      <c r="C2625" t="s">
        <v>75</v>
      </c>
      <c r="D2625" t="s">
        <v>112</v>
      </c>
      <c r="E2625" t="s">
        <v>25</v>
      </c>
      <c r="F2625">
        <v>5</v>
      </c>
      <c r="G2625">
        <v>1467.49</v>
      </c>
      <c r="H2625">
        <v>7.0000000000000007E-2</v>
      </c>
      <c r="I2625" s="4">
        <v>6823.83</v>
      </c>
      <c r="J2625" t="s">
        <v>44</v>
      </c>
      <c r="K2625" t="s">
        <v>22</v>
      </c>
      <c r="L2625" s="4">
        <f>VLOOKUP(tblTransactions[[#This Row],[Product_ID]],tblProducts[],5,FALSE)</f>
        <v>757.65</v>
      </c>
      <c r="M2625" s="4">
        <f>tblTransactions[[#This Row],[Total_Amount]]-(tblTransactions[[#This Row],[Cost_Prices]]*tblTransactions[[#This Row],[Quantity]]*(1-tblTransactions[[#This Row],[Discount]]))</f>
        <v>3300.7575000000002</v>
      </c>
      <c r="N2625" s="3">
        <f>tblTransactions[[#This Row],[Profit]]/tblTransactions[[#This Row],[Total_Amount]]</f>
        <v>0.48371039430935414</v>
      </c>
      <c r="O2625" t="str">
        <f>TEXT(tblTransactions[[#This Row],[Date]], "MMM-YYYY")</f>
        <v>Jul-2024</v>
      </c>
      <c r="P2625" t="str">
        <f>"Q"&amp;ROUNDUP(MONTH(tblTransactions[[#This Row],[Date]])/3,0)&amp;"-"&amp;YEAR(tblTransactions[[#This Row],[Date]])</f>
        <v>Q3-2024</v>
      </c>
      <c r="Q2625">
        <f>YEAR(tblTransactions[[#This Row],[Date]])</f>
        <v>2024</v>
      </c>
      <c r="R2625" t="str">
        <f>TEXT(tblTransactions[[#This Row],[Date]],"DDDD")</f>
        <v>Saturday</v>
      </c>
      <c r="S2625">
        <f>MONTH(tblTransactions[[#This Row],[Date]])</f>
        <v>7</v>
      </c>
      <c r="T2625" t="str">
        <f>VLOOKUP(E2625, Products!$A:$B,2,0)</f>
        <v>Tables Fur-3</v>
      </c>
      <c r="U2625" t="str">
        <f>VLOOKUP(E2625,Products!$A:$C,3,0)</f>
        <v>Furniture</v>
      </c>
      <c r="V2625" t="str">
        <f>VLOOKUP(E2625,Products!$A:$D,4,0)</f>
        <v>Tables</v>
      </c>
      <c r="W2625" t="str">
        <f>VLOOKUP(D2625,Customers!$A:$C,3,0)</f>
        <v>Enterprise</v>
      </c>
      <c r="X2625" t="str">
        <f>VLOOKUP(C2625,Sales_Representatives!$A:$B,2,0)</f>
        <v>Jessica Anderson</v>
      </c>
    </row>
    <row r="2626" spans="1:24" x14ac:dyDescent="0.3">
      <c r="A2626" t="s">
        <v>3629</v>
      </c>
      <c r="B2626" t="s">
        <v>3625</v>
      </c>
      <c r="C2626" t="s">
        <v>63</v>
      </c>
      <c r="D2626" t="s">
        <v>64</v>
      </c>
      <c r="E2626" t="s">
        <v>704</v>
      </c>
      <c r="F2626">
        <v>7</v>
      </c>
      <c r="G2626">
        <v>291.81</v>
      </c>
      <c r="H2626">
        <v>0.06</v>
      </c>
      <c r="I2626" s="4">
        <v>1920.11</v>
      </c>
      <c r="J2626" t="s">
        <v>21</v>
      </c>
      <c r="K2626" t="s">
        <v>39</v>
      </c>
      <c r="L2626" s="4">
        <f>VLOOKUP(tblTransactions[[#This Row],[Product_ID]],tblProducts[],5,FALSE)</f>
        <v>123.61</v>
      </c>
      <c r="M2626" s="4">
        <f>tblTransactions[[#This Row],[Total_Amount]]-(tblTransactions[[#This Row],[Cost_Prices]]*tblTransactions[[#This Row],[Quantity]]*(1-tblTransactions[[#This Row],[Discount]]))</f>
        <v>1106.7561999999998</v>
      </c>
      <c r="N2626" s="3">
        <f>tblTransactions[[#This Row],[Profit]]/tblTransactions[[#This Row],[Total_Amount]]</f>
        <v>0.576402497773565</v>
      </c>
      <c r="O2626" t="str">
        <f>TEXT(tblTransactions[[#This Row],[Date]], "MMM-YYYY")</f>
        <v>Jul-2024</v>
      </c>
      <c r="P2626" t="str">
        <f>"Q"&amp;ROUNDUP(MONTH(tblTransactions[[#This Row],[Date]])/3,0)&amp;"-"&amp;YEAR(tblTransactions[[#This Row],[Date]])</f>
        <v>Q3-2024</v>
      </c>
      <c r="Q2626">
        <f>YEAR(tblTransactions[[#This Row],[Date]])</f>
        <v>2024</v>
      </c>
      <c r="R2626" t="str">
        <f>TEXT(tblTransactions[[#This Row],[Date]],"DDDD")</f>
        <v>Saturday</v>
      </c>
      <c r="S2626">
        <f>MONTH(tblTransactions[[#This Row],[Date]])</f>
        <v>7</v>
      </c>
      <c r="T2626" t="str">
        <f>VLOOKUP(E2626, Products!$A:$B,2,0)</f>
        <v>Keyboards Acc-4</v>
      </c>
      <c r="U2626" t="str">
        <f>VLOOKUP(E2626,Products!$A:$C,3,0)</f>
        <v>Accessories</v>
      </c>
      <c r="V2626" t="str">
        <f>VLOOKUP(E2626,Products!$A:$D,4,0)</f>
        <v>Keyboards</v>
      </c>
      <c r="W2626" t="str">
        <f>VLOOKUP(D2626,Customers!$A:$C,3,0)</f>
        <v>Small Business</v>
      </c>
      <c r="X2626" t="str">
        <f>VLOOKUP(C2626,Sales_Representatives!$A:$B,2,0)</f>
        <v>Richard Wilson</v>
      </c>
    </row>
    <row r="2627" spans="1:24" x14ac:dyDescent="0.3">
      <c r="A2627" t="s">
        <v>3630</v>
      </c>
      <c r="B2627" t="s">
        <v>3625</v>
      </c>
      <c r="C2627" t="s">
        <v>59</v>
      </c>
      <c r="D2627" t="s">
        <v>2003</v>
      </c>
      <c r="E2627" t="s">
        <v>108</v>
      </c>
      <c r="F2627">
        <v>2</v>
      </c>
      <c r="G2627">
        <v>155.75</v>
      </c>
      <c r="H2627">
        <v>0.05</v>
      </c>
      <c r="I2627" s="4">
        <v>295.92</v>
      </c>
      <c r="J2627" t="s">
        <v>21</v>
      </c>
      <c r="K2627" t="s">
        <v>35</v>
      </c>
      <c r="L2627" s="4">
        <f>VLOOKUP(tblTransactions[[#This Row],[Product_ID]],tblProducts[],5,FALSE)</f>
        <v>80.8</v>
      </c>
      <c r="M2627" s="4">
        <f>tblTransactions[[#This Row],[Total_Amount]]-(tblTransactions[[#This Row],[Cost_Prices]]*tblTransactions[[#This Row],[Quantity]]*(1-tblTransactions[[#This Row],[Discount]]))</f>
        <v>142.40000000000003</v>
      </c>
      <c r="N2627" s="3">
        <f>tblTransactions[[#This Row],[Profit]]/tblTransactions[[#This Row],[Total_Amount]]</f>
        <v>0.48121113814544481</v>
      </c>
      <c r="O2627" t="str">
        <f>TEXT(tblTransactions[[#This Row],[Date]], "MMM-YYYY")</f>
        <v>Jul-2024</v>
      </c>
      <c r="P2627" t="str">
        <f>"Q"&amp;ROUNDUP(MONTH(tblTransactions[[#This Row],[Date]])/3,0)&amp;"-"&amp;YEAR(tblTransactions[[#This Row],[Date]])</f>
        <v>Q3-2024</v>
      </c>
      <c r="Q2627">
        <f>YEAR(tblTransactions[[#This Row],[Date]])</f>
        <v>2024</v>
      </c>
      <c r="R2627" t="str">
        <f>TEXT(tblTransactions[[#This Row],[Date]],"DDDD")</f>
        <v>Saturday</v>
      </c>
      <c r="S2627">
        <f>MONTH(tblTransactions[[#This Row],[Date]])</f>
        <v>7</v>
      </c>
      <c r="T2627" t="str">
        <f>VLOOKUP(E2627, Products!$A:$B,2,0)</f>
        <v>Cases Acc-1</v>
      </c>
      <c r="U2627" t="str">
        <f>VLOOKUP(E2627,Products!$A:$C,3,0)</f>
        <v>Accessories</v>
      </c>
      <c r="V2627" t="str">
        <f>VLOOKUP(E2627,Products!$A:$D,4,0)</f>
        <v>Cases</v>
      </c>
      <c r="W2627" t="str">
        <f>VLOOKUP(D2627,Customers!$A:$C,3,0)</f>
        <v>Small Business</v>
      </c>
      <c r="X2627" t="str">
        <f>VLOOKUP(C2627,Sales_Representatives!$A:$B,2,0)</f>
        <v>Sarah Brown</v>
      </c>
    </row>
    <row r="2628" spans="1:24" x14ac:dyDescent="0.3">
      <c r="A2628" t="s">
        <v>3631</v>
      </c>
      <c r="B2628" t="s">
        <v>3632</v>
      </c>
      <c r="C2628" t="s">
        <v>75</v>
      </c>
      <c r="D2628" t="s">
        <v>1840</v>
      </c>
      <c r="E2628" t="s">
        <v>159</v>
      </c>
      <c r="F2628">
        <v>6</v>
      </c>
      <c r="G2628">
        <v>78.09</v>
      </c>
      <c r="H2628">
        <v>0.09</v>
      </c>
      <c r="I2628" s="4">
        <v>426.37</v>
      </c>
      <c r="J2628" t="s">
        <v>44</v>
      </c>
      <c r="K2628" t="s">
        <v>48</v>
      </c>
      <c r="L2628" s="4">
        <f>VLOOKUP(tblTransactions[[#This Row],[Product_ID]],tblProducts[],5,FALSE)</f>
        <v>47.01</v>
      </c>
      <c r="M2628" s="4">
        <f>tblTransactions[[#This Row],[Total_Amount]]-(tblTransactions[[#This Row],[Cost_Prices]]*tblTransactions[[#This Row],[Quantity]]*(1-tblTransactions[[#This Row],[Discount]]))</f>
        <v>169.69540000000001</v>
      </c>
      <c r="N2628" s="3">
        <f>tblTransactions[[#This Row],[Profit]]/tblTransactions[[#This Row],[Total_Amount]]</f>
        <v>0.39800032835330817</v>
      </c>
      <c r="O2628" t="str">
        <f>TEXT(tblTransactions[[#This Row],[Date]], "MMM-YYYY")</f>
        <v>Jul-2024</v>
      </c>
      <c r="P2628" t="str">
        <f>"Q"&amp;ROUNDUP(MONTH(tblTransactions[[#This Row],[Date]])/3,0)&amp;"-"&amp;YEAR(tblTransactions[[#This Row],[Date]])</f>
        <v>Q3-2024</v>
      </c>
      <c r="Q2628">
        <f>YEAR(tblTransactions[[#This Row],[Date]])</f>
        <v>2024</v>
      </c>
      <c r="R2628" t="str">
        <f>TEXT(tblTransactions[[#This Row],[Date]],"DDDD")</f>
        <v>Sunday</v>
      </c>
      <c r="S2628">
        <f>MONTH(tblTransactions[[#This Row],[Date]])</f>
        <v>7</v>
      </c>
      <c r="T2628" t="str">
        <f>VLOOKUP(E2628, Products!$A:$B,2,0)</f>
        <v>Cables Acc-4</v>
      </c>
      <c r="U2628" t="str">
        <f>VLOOKUP(E2628,Products!$A:$C,3,0)</f>
        <v>Accessories</v>
      </c>
      <c r="V2628" t="str">
        <f>VLOOKUP(E2628,Products!$A:$D,4,0)</f>
        <v>Cables</v>
      </c>
      <c r="W2628" t="str">
        <f>VLOOKUP(D2628,Customers!$A:$C,3,0)</f>
        <v>Small Business</v>
      </c>
      <c r="X2628" t="str">
        <f>VLOOKUP(C2628,Sales_Representatives!$A:$B,2,0)</f>
        <v>Jessica Anderson</v>
      </c>
    </row>
    <row r="2629" spans="1:24" x14ac:dyDescent="0.3">
      <c r="A2629" t="s">
        <v>3633</v>
      </c>
      <c r="B2629" t="s">
        <v>3632</v>
      </c>
      <c r="C2629" t="s">
        <v>141</v>
      </c>
      <c r="D2629" t="s">
        <v>1862</v>
      </c>
      <c r="E2629" t="s">
        <v>178</v>
      </c>
      <c r="F2629">
        <v>15</v>
      </c>
      <c r="G2629">
        <v>1623.35</v>
      </c>
      <c r="H2629">
        <v>0.18</v>
      </c>
      <c r="I2629" s="4">
        <v>19967.21</v>
      </c>
      <c r="J2629" t="s">
        <v>109</v>
      </c>
      <c r="K2629" t="s">
        <v>22</v>
      </c>
      <c r="L2629" s="4">
        <f>VLOOKUP(tblTransactions[[#This Row],[Product_ID]],tblProducts[],5,FALSE)</f>
        <v>981.45</v>
      </c>
      <c r="M2629" s="4">
        <f>tblTransactions[[#This Row],[Total_Amount]]-(tblTransactions[[#This Row],[Cost_Prices]]*tblTransactions[[#This Row],[Quantity]]*(1-tblTransactions[[#This Row],[Discount]]))</f>
        <v>7895.3749999999982</v>
      </c>
      <c r="N2629" s="3">
        <f>tblTransactions[[#This Row],[Profit]]/tblTransactions[[#This Row],[Total_Amount]]</f>
        <v>0.39541703623090046</v>
      </c>
      <c r="O2629" t="str">
        <f>TEXT(tblTransactions[[#This Row],[Date]], "MMM-YYYY")</f>
        <v>Jul-2024</v>
      </c>
      <c r="P2629" t="str">
        <f>"Q"&amp;ROUNDUP(MONTH(tblTransactions[[#This Row],[Date]])/3,0)&amp;"-"&amp;YEAR(tblTransactions[[#This Row],[Date]])</f>
        <v>Q3-2024</v>
      </c>
      <c r="Q2629">
        <f>YEAR(tblTransactions[[#This Row],[Date]])</f>
        <v>2024</v>
      </c>
      <c r="R2629" t="str">
        <f>TEXT(tblTransactions[[#This Row],[Date]],"DDDD")</f>
        <v>Sunday</v>
      </c>
      <c r="S2629">
        <f>MONTH(tblTransactions[[#This Row],[Date]])</f>
        <v>7</v>
      </c>
      <c r="T2629" t="str">
        <f>VLOOKUP(E2629, Products!$A:$B,2,0)</f>
        <v>Tablets Ele-1</v>
      </c>
      <c r="U2629" t="str">
        <f>VLOOKUP(E2629,Products!$A:$C,3,0)</f>
        <v>Electronics</v>
      </c>
      <c r="V2629" t="str">
        <f>VLOOKUP(E2629,Products!$A:$D,4,0)</f>
        <v>Tablets</v>
      </c>
      <c r="W2629" t="str">
        <f>VLOOKUP(D2629,Customers!$A:$C,3,0)</f>
        <v>B2B</v>
      </c>
      <c r="X2629" t="str">
        <f>VLOOKUP(C2629,Sales_Representatives!$A:$B,2,0)</f>
        <v>Richard Garcia</v>
      </c>
    </row>
    <row r="2630" spans="1:24" x14ac:dyDescent="0.3">
      <c r="A2630" t="s">
        <v>3634</v>
      </c>
      <c r="B2630" t="s">
        <v>3632</v>
      </c>
      <c r="C2630" t="s">
        <v>141</v>
      </c>
      <c r="D2630" t="s">
        <v>1754</v>
      </c>
      <c r="E2630" t="s">
        <v>450</v>
      </c>
      <c r="F2630">
        <v>7</v>
      </c>
      <c r="G2630">
        <v>2083.92</v>
      </c>
      <c r="H2630">
        <v>0.12</v>
      </c>
      <c r="I2630" s="4">
        <v>12836.95</v>
      </c>
      <c r="J2630" t="s">
        <v>109</v>
      </c>
      <c r="K2630" t="s">
        <v>39</v>
      </c>
      <c r="L2630" s="4">
        <f>VLOOKUP(tblTransactions[[#This Row],[Product_ID]],tblProducts[],5,FALSE)</f>
        <v>1425.78</v>
      </c>
      <c r="M2630" s="4">
        <f>tblTransactions[[#This Row],[Total_Amount]]-(tblTransactions[[#This Row],[Cost_Prices]]*tblTransactions[[#This Row],[Quantity]]*(1-tblTransactions[[#This Row],[Discount]]))</f>
        <v>4054.1452000000008</v>
      </c>
      <c r="N2630" s="3">
        <f>tblTransactions[[#This Row],[Profit]]/tblTransactions[[#This Row],[Total_Amount]]</f>
        <v>0.31581841481037165</v>
      </c>
      <c r="O2630" t="str">
        <f>TEXT(tblTransactions[[#This Row],[Date]], "MMM-YYYY")</f>
        <v>Jul-2024</v>
      </c>
      <c r="P2630" t="str">
        <f>"Q"&amp;ROUNDUP(MONTH(tblTransactions[[#This Row],[Date]])/3,0)&amp;"-"&amp;YEAR(tblTransactions[[#This Row],[Date]])</f>
        <v>Q3-2024</v>
      </c>
      <c r="Q2630">
        <f>YEAR(tblTransactions[[#This Row],[Date]])</f>
        <v>2024</v>
      </c>
      <c r="R2630" t="str">
        <f>TEXT(tblTransactions[[#This Row],[Date]],"DDDD")</f>
        <v>Sunday</v>
      </c>
      <c r="S2630">
        <f>MONTH(tblTransactions[[#This Row],[Date]])</f>
        <v>7</v>
      </c>
      <c r="T2630" t="str">
        <f>VLOOKUP(E2630, Products!$A:$B,2,0)</f>
        <v>Monitors Tec-4</v>
      </c>
      <c r="U2630" t="str">
        <f>VLOOKUP(E2630,Products!$A:$C,3,0)</f>
        <v>Technology</v>
      </c>
      <c r="V2630" t="str">
        <f>VLOOKUP(E2630,Products!$A:$D,4,0)</f>
        <v>Monitors</v>
      </c>
      <c r="W2630" t="str">
        <f>VLOOKUP(D2630,Customers!$A:$C,3,0)</f>
        <v>Small Business</v>
      </c>
      <c r="X2630" t="str">
        <f>VLOOKUP(C2630,Sales_Representatives!$A:$B,2,0)</f>
        <v>Richard Garcia</v>
      </c>
    </row>
    <row r="2631" spans="1:24" x14ac:dyDescent="0.3">
      <c r="A2631" t="s">
        <v>3635</v>
      </c>
      <c r="B2631" t="s">
        <v>3632</v>
      </c>
      <c r="C2631" t="s">
        <v>41</v>
      </c>
      <c r="D2631" t="s">
        <v>3001</v>
      </c>
      <c r="E2631" t="s">
        <v>198</v>
      </c>
      <c r="F2631">
        <v>8</v>
      </c>
      <c r="G2631">
        <v>1802.96</v>
      </c>
      <c r="H2631">
        <v>0.13</v>
      </c>
      <c r="I2631" s="4">
        <v>12548.6</v>
      </c>
      <c r="J2631" t="s">
        <v>44</v>
      </c>
      <c r="K2631" t="s">
        <v>17</v>
      </c>
      <c r="L2631" s="4">
        <f>VLOOKUP(tblTransactions[[#This Row],[Product_ID]],tblProducts[],5,FALSE)</f>
        <v>1282.18</v>
      </c>
      <c r="M2631" s="4">
        <f>tblTransactions[[#This Row],[Total_Amount]]-(tblTransactions[[#This Row],[Cost_Prices]]*tblTransactions[[#This Row],[Quantity]]*(1-tblTransactions[[#This Row],[Discount]]))</f>
        <v>3624.6272000000008</v>
      </c>
      <c r="N2631" s="3">
        <f>tblTransactions[[#This Row],[Profit]]/tblTransactions[[#This Row],[Total_Amount]]</f>
        <v>0.28884713832618786</v>
      </c>
      <c r="O2631" t="str">
        <f>TEXT(tblTransactions[[#This Row],[Date]], "MMM-YYYY")</f>
        <v>Jul-2024</v>
      </c>
      <c r="P2631" t="str">
        <f>"Q"&amp;ROUNDUP(MONTH(tblTransactions[[#This Row],[Date]])/3,0)&amp;"-"&amp;YEAR(tblTransactions[[#This Row],[Date]])</f>
        <v>Q3-2024</v>
      </c>
      <c r="Q2631">
        <f>YEAR(tblTransactions[[#This Row],[Date]])</f>
        <v>2024</v>
      </c>
      <c r="R2631" t="str">
        <f>TEXT(tblTransactions[[#This Row],[Date]],"DDDD")</f>
        <v>Sunday</v>
      </c>
      <c r="S2631">
        <f>MONTH(tblTransactions[[#This Row],[Date]])</f>
        <v>7</v>
      </c>
      <c r="T2631" t="str">
        <f>VLOOKUP(E2631, Products!$A:$B,2,0)</f>
        <v>Tablets Ele-3</v>
      </c>
      <c r="U2631" t="str">
        <f>VLOOKUP(E2631,Products!$A:$C,3,0)</f>
        <v>Electronics</v>
      </c>
      <c r="V2631" t="str">
        <f>VLOOKUP(E2631,Products!$A:$D,4,0)</f>
        <v>Tablets</v>
      </c>
      <c r="W2631" t="str">
        <f>VLOOKUP(D2631,Customers!$A:$C,3,0)</f>
        <v>B2B</v>
      </c>
      <c r="X2631" t="str">
        <f>VLOOKUP(C2631,Sales_Representatives!$A:$B,2,0)</f>
        <v>Robert Jones</v>
      </c>
    </row>
    <row r="2632" spans="1:24" x14ac:dyDescent="0.3">
      <c r="A2632" t="s">
        <v>3636</v>
      </c>
      <c r="B2632" t="s">
        <v>3632</v>
      </c>
      <c r="C2632" t="s">
        <v>56</v>
      </c>
      <c r="D2632" t="s">
        <v>3280</v>
      </c>
      <c r="E2632" t="s">
        <v>191</v>
      </c>
      <c r="F2632">
        <v>2</v>
      </c>
      <c r="G2632">
        <v>1012.75</v>
      </c>
      <c r="H2632">
        <v>0.09</v>
      </c>
      <c r="I2632" s="4">
        <v>1843.2</v>
      </c>
      <c r="J2632" t="s">
        <v>34</v>
      </c>
      <c r="K2632" t="s">
        <v>22</v>
      </c>
      <c r="L2632" s="4">
        <f>VLOOKUP(tblTransactions[[#This Row],[Product_ID]],tblProducts[],5,FALSE)</f>
        <v>518.53</v>
      </c>
      <c r="M2632" s="4">
        <f>tblTransactions[[#This Row],[Total_Amount]]-(tblTransactions[[#This Row],[Cost_Prices]]*tblTransactions[[#This Row],[Quantity]]*(1-tblTransactions[[#This Row],[Discount]]))</f>
        <v>899.47540000000004</v>
      </c>
      <c r="N2632" s="3">
        <f>tblTransactions[[#This Row],[Profit]]/tblTransactions[[#This Row],[Total_Amount]]</f>
        <v>0.48799663628472223</v>
      </c>
      <c r="O2632" t="str">
        <f>TEXT(tblTransactions[[#This Row],[Date]], "MMM-YYYY")</f>
        <v>Jul-2024</v>
      </c>
      <c r="P2632" t="str">
        <f>"Q"&amp;ROUNDUP(MONTH(tblTransactions[[#This Row],[Date]])/3,0)&amp;"-"&amp;YEAR(tblTransactions[[#This Row],[Date]])</f>
        <v>Q3-2024</v>
      </c>
      <c r="Q2632">
        <f>YEAR(tblTransactions[[#This Row],[Date]])</f>
        <v>2024</v>
      </c>
      <c r="R2632" t="str">
        <f>TEXT(tblTransactions[[#This Row],[Date]],"DDDD")</f>
        <v>Sunday</v>
      </c>
      <c r="S2632">
        <f>MONTH(tblTransactions[[#This Row],[Date]])</f>
        <v>7</v>
      </c>
      <c r="T2632" t="str">
        <f>VLOOKUP(E2632, Products!$A:$B,2,0)</f>
        <v>Tables Fur-4</v>
      </c>
      <c r="U2632" t="str">
        <f>VLOOKUP(E2632,Products!$A:$C,3,0)</f>
        <v>Furniture</v>
      </c>
      <c r="V2632" t="str">
        <f>VLOOKUP(E2632,Products!$A:$D,4,0)</f>
        <v>Tables</v>
      </c>
      <c r="W2632" t="str">
        <f>VLOOKUP(D2632,Customers!$A:$C,3,0)</f>
        <v>B2C</v>
      </c>
      <c r="X2632" t="str">
        <f>VLOOKUP(C2632,Sales_Representatives!$A:$B,2,0)</f>
        <v>Thomas Hernandez</v>
      </c>
    </row>
    <row r="2633" spans="1:24" x14ac:dyDescent="0.3">
      <c r="A2633" t="s">
        <v>3637</v>
      </c>
      <c r="B2633" t="s">
        <v>3632</v>
      </c>
      <c r="C2633" t="s">
        <v>127</v>
      </c>
      <c r="D2633" t="s">
        <v>1984</v>
      </c>
      <c r="E2633" t="s">
        <v>20</v>
      </c>
      <c r="F2633">
        <v>6</v>
      </c>
      <c r="G2633">
        <v>1219.49</v>
      </c>
      <c r="H2633">
        <v>0.14000000000000001</v>
      </c>
      <c r="I2633" s="4">
        <v>6292.57</v>
      </c>
      <c r="J2633" t="s">
        <v>109</v>
      </c>
      <c r="K2633" t="s">
        <v>48</v>
      </c>
      <c r="L2633" s="4">
        <f>VLOOKUP(tblTransactions[[#This Row],[Product_ID]],tblProducts[],5,FALSE)</f>
        <v>686.9</v>
      </c>
      <c r="M2633" s="4">
        <f>tblTransactions[[#This Row],[Total_Amount]]-(tblTransactions[[#This Row],[Cost_Prices]]*tblTransactions[[#This Row],[Quantity]]*(1-tblTransactions[[#This Row],[Discount]]))</f>
        <v>2748.1660000000002</v>
      </c>
      <c r="N2633" s="3">
        <f>tblTransactions[[#This Row],[Profit]]/tblTransactions[[#This Row],[Total_Amount]]</f>
        <v>0.43673189173898747</v>
      </c>
      <c r="O2633" t="str">
        <f>TEXT(tblTransactions[[#This Row],[Date]], "MMM-YYYY")</f>
        <v>Jul-2024</v>
      </c>
      <c r="P2633" t="str">
        <f>"Q"&amp;ROUNDUP(MONTH(tblTransactions[[#This Row],[Date]])/3,0)&amp;"-"&amp;YEAR(tblTransactions[[#This Row],[Date]])</f>
        <v>Q3-2024</v>
      </c>
      <c r="Q2633">
        <f>YEAR(tblTransactions[[#This Row],[Date]])</f>
        <v>2024</v>
      </c>
      <c r="R2633" t="str">
        <f>TEXT(tblTransactions[[#This Row],[Date]],"DDDD")</f>
        <v>Sunday</v>
      </c>
      <c r="S2633">
        <f>MONTH(tblTransactions[[#This Row],[Date]])</f>
        <v>7</v>
      </c>
      <c r="T2633" t="str">
        <f>VLOOKUP(E2633, Products!$A:$B,2,0)</f>
        <v>Laptops Ele-1</v>
      </c>
      <c r="U2633" t="str">
        <f>VLOOKUP(E2633,Products!$A:$C,3,0)</f>
        <v>Electronics</v>
      </c>
      <c r="V2633" t="str">
        <f>VLOOKUP(E2633,Products!$A:$D,4,0)</f>
        <v>Laptops</v>
      </c>
      <c r="W2633" t="str">
        <f>VLOOKUP(D2633,Customers!$A:$C,3,0)</f>
        <v>B2C</v>
      </c>
      <c r="X2633" t="str">
        <f>VLOOKUP(C2633,Sales_Representatives!$A:$B,2,0)</f>
        <v>Emily Hernandez</v>
      </c>
    </row>
    <row r="2634" spans="1:24" x14ac:dyDescent="0.3">
      <c r="A2634" t="s">
        <v>3638</v>
      </c>
      <c r="B2634" t="s">
        <v>3632</v>
      </c>
      <c r="C2634" t="s">
        <v>27</v>
      </c>
      <c r="D2634" t="s">
        <v>1918</v>
      </c>
      <c r="E2634" t="s">
        <v>68</v>
      </c>
      <c r="F2634">
        <v>3</v>
      </c>
      <c r="G2634">
        <v>522.63</v>
      </c>
      <c r="H2634">
        <v>0.06</v>
      </c>
      <c r="I2634" s="4">
        <v>1473.82</v>
      </c>
      <c r="J2634" t="s">
        <v>16</v>
      </c>
      <c r="K2634" t="s">
        <v>22</v>
      </c>
      <c r="L2634" s="4">
        <f>VLOOKUP(tblTransactions[[#This Row],[Product_ID]],tblProducts[],5,FALSE)</f>
        <v>355.82</v>
      </c>
      <c r="M2634" s="4">
        <f>tblTransactions[[#This Row],[Total_Amount]]-(tblTransactions[[#This Row],[Cost_Prices]]*tblTransactions[[#This Row],[Quantity]]*(1-tblTransactions[[#This Row],[Discount]]))</f>
        <v>470.4076</v>
      </c>
      <c r="N2634" s="3">
        <f>tblTransactions[[#This Row],[Profit]]/tblTransactions[[#This Row],[Total_Amount]]</f>
        <v>0.3191757473775631</v>
      </c>
      <c r="O2634" t="str">
        <f>TEXT(tblTransactions[[#This Row],[Date]], "MMM-YYYY")</f>
        <v>Jul-2024</v>
      </c>
      <c r="P2634" t="str">
        <f>"Q"&amp;ROUNDUP(MONTH(tblTransactions[[#This Row],[Date]])/3,0)&amp;"-"&amp;YEAR(tblTransactions[[#This Row],[Date]])</f>
        <v>Q3-2024</v>
      </c>
      <c r="Q2634">
        <f>YEAR(tblTransactions[[#This Row],[Date]])</f>
        <v>2024</v>
      </c>
      <c r="R2634" t="str">
        <f>TEXT(tblTransactions[[#This Row],[Date]],"DDDD")</f>
        <v>Sunday</v>
      </c>
      <c r="S2634">
        <f>MONTH(tblTransactions[[#This Row],[Date]])</f>
        <v>7</v>
      </c>
      <c r="T2634" t="str">
        <f>VLOOKUP(E2634, Products!$A:$B,2,0)</f>
        <v>Monitors Tec-3</v>
      </c>
      <c r="U2634" t="str">
        <f>VLOOKUP(E2634,Products!$A:$C,3,0)</f>
        <v>Technology</v>
      </c>
      <c r="V2634" t="str">
        <f>VLOOKUP(E2634,Products!$A:$D,4,0)</f>
        <v>Monitors</v>
      </c>
      <c r="W2634" t="str">
        <f>VLOOKUP(D2634,Customers!$A:$C,3,0)</f>
        <v>B2B</v>
      </c>
      <c r="X2634" t="str">
        <f>VLOOKUP(C2634,Sales_Representatives!$A:$B,2,0)</f>
        <v>Thomas Lopez</v>
      </c>
    </row>
    <row r="2635" spans="1:24" x14ac:dyDescent="0.3">
      <c r="A2635" t="s">
        <v>3639</v>
      </c>
      <c r="B2635" t="s">
        <v>3632</v>
      </c>
      <c r="C2635" t="s">
        <v>56</v>
      </c>
      <c r="D2635" t="s">
        <v>1557</v>
      </c>
      <c r="E2635" t="s">
        <v>255</v>
      </c>
      <c r="F2635">
        <v>5</v>
      </c>
      <c r="G2635">
        <v>1444.13</v>
      </c>
      <c r="H2635">
        <v>0.04</v>
      </c>
      <c r="I2635" s="4">
        <v>6931.82</v>
      </c>
      <c r="J2635" t="s">
        <v>34</v>
      </c>
      <c r="K2635" t="s">
        <v>35</v>
      </c>
      <c r="L2635" s="4">
        <f>VLOOKUP(tblTransactions[[#This Row],[Product_ID]],tblProducts[],5,FALSE)</f>
        <v>874.43</v>
      </c>
      <c r="M2635" s="4">
        <f>tblTransactions[[#This Row],[Total_Amount]]-(tblTransactions[[#This Row],[Cost_Prices]]*tblTransactions[[#This Row],[Quantity]]*(1-tblTransactions[[#This Row],[Discount]]))</f>
        <v>2734.5560000000005</v>
      </c>
      <c r="N2635" s="3">
        <f>tblTransactions[[#This Row],[Profit]]/tblTransactions[[#This Row],[Total_Amount]]</f>
        <v>0.39449322111653223</v>
      </c>
      <c r="O2635" t="str">
        <f>TEXT(tblTransactions[[#This Row],[Date]], "MMM-YYYY")</f>
        <v>Jul-2024</v>
      </c>
      <c r="P2635" t="str">
        <f>"Q"&amp;ROUNDUP(MONTH(tblTransactions[[#This Row],[Date]])/3,0)&amp;"-"&amp;YEAR(tblTransactions[[#This Row],[Date]])</f>
        <v>Q3-2024</v>
      </c>
      <c r="Q2635">
        <f>YEAR(tblTransactions[[#This Row],[Date]])</f>
        <v>2024</v>
      </c>
      <c r="R2635" t="str">
        <f>TEXT(tblTransactions[[#This Row],[Date]],"DDDD")</f>
        <v>Sunday</v>
      </c>
      <c r="S2635">
        <f>MONTH(tblTransactions[[#This Row],[Date]])</f>
        <v>7</v>
      </c>
      <c r="T2635" t="str">
        <f>VLOOKUP(E2635, Products!$A:$B,2,0)</f>
        <v>Printers Tec-1</v>
      </c>
      <c r="U2635" t="str">
        <f>VLOOKUP(E2635,Products!$A:$C,3,0)</f>
        <v>Technology</v>
      </c>
      <c r="V2635" t="str">
        <f>VLOOKUP(E2635,Products!$A:$D,4,0)</f>
        <v>Printers</v>
      </c>
      <c r="W2635" t="str">
        <f>VLOOKUP(D2635,Customers!$A:$C,3,0)</f>
        <v>B2C</v>
      </c>
      <c r="X2635" t="str">
        <f>VLOOKUP(C2635,Sales_Representatives!$A:$B,2,0)</f>
        <v>Thomas Hernandez</v>
      </c>
    </row>
    <row r="2636" spans="1:24" x14ac:dyDescent="0.3">
      <c r="A2636" t="s">
        <v>3640</v>
      </c>
      <c r="B2636" t="s">
        <v>3641</v>
      </c>
      <c r="C2636" t="s">
        <v>31</v>
      </c>
      <c r="D2636" t="s">
        <v>2512</v>
      </c>
      <c r="E2636" t="s">
        <v>99</v>
      </c>
      <c r="F2636">
        <v>7</v>
      </c>
      <c r="G2636">
        <v>325.14</v>
      </c>
      <c r="H2636">
        <v>0.14000000000000001</v>
      </c>
      <c r="I2636" s="4">
        <v>1957.34</v>
      </c>
      <c r="J2636" t="s">
        <v>34</v>
      </c>
      <c r="K2636" t="s">
        <v>39</v>
      </c>
      <c r="L2636" s="4">
        <f>VLOOKUP(tblTransactions[[#This Row],[Product_ID]],tblProducts[],5,FALSE)</f>
        <v>209.04</v>
      </c>
      <c r="M2636" s="4">
        <f>tblTransactions[[#This Row],[Total_Amount]]-(tblTransactions[[#This Row],[Cost_Prices]]*tblTransactions[[#This Row],[Quantity]]*(1-tblTransactions[[#This Row],[Discount]]))</f>
        <v>698.91920000000005</v>
      </c>
      <c r="N2636" s="3">
        <f>tblTransactions[[#This Row],[Profit]]/tblTransactions[[#This Row],[Total_Amount]]</f>
        <v>0.35707603175738506</v>
      </c>
      <c r="O2636" t="str">
        <f>TEXT(tblTransactions[[#This Row],[Date]], "MMM-YYYY")</f>
        <v>Jul-2024</v>
      </c>
      <c r="P2636" t="str">
        <f>"Q"&amp;ROUNDUP(MONTH(tblTransactions[[#This Row],[Date]])/3,0)&amp;"-"&amp;YEAR(tblTransactions[[#This Row],[Date]])</f>
        <v>Q3-2024</v>
      </c>
      <c r="Q2636">
        <f>YEAR(tblTransactions[[#This Row],[Date]])</f>
        <v>2024</v>
      </c>
      <c r="R2636" t="str">
        <f>TEXT(tblTransactions[[#This Row],[Date]],"DDDD")</f>
        <v>Monday</v>
      </c>
      <c r="S2636">
        <f>MONTH(tblTransactions[[#This Row],[Date]])</f>
        <v>7</v>
      </c>
      <c r="T2636" t="str">
        <f>VLOOKUP(E2636, Products!$A:$B,2,0)</f>
        <v>Monitors Tec-1</v>
      </c>
      <c r="U2636" t="str">
        <f>VLOOKUP(E2636,Products!$A:$C,3,0)</f>
        <v>Technology</v>
      </c>
      <c r="V2636" t="str">
        <f>VLOOKUP(E2636,Products!$A:$D,4,0)</f>
        <v>Monitors</v>
      </c>
      <c r="W2636" t="str">
        <f>VLOOKUP(D2636,Customers!$A:$C,3,0)</f>
        <v>Small Business</v>
      </c>
      <c r="X2636" t="str">
        <f>VLOOKUP(C2636,Sales_Representatives!$A:$B,2,0)</f>
        <v>Thomas Martinez</v>
      </c>
    </row>
    <row r="2637" spans="1:24" x14ac:dyDescent="0.3">
      <c r="A2637" t="s">
        <v>3642</v>
      </c>
      <c r="B2637" t="s">
        <v>3641</v>
      </c>
      <c r="C2637" t="s">
        <v>56</v>
      </c>
      <c r="D2637" t="s">
        <v>1945</v>
      </c>
      <c r="E2637" t="s">
        <v>264</v>
      </c>
      <c r="F2637">
        <v>11</v>
      </c>
      <c r="G2637">
        <v>607.29999999999995</v>
      </c>
      <c r="H2637">
        <v>0.18</v>
      </c>
      <c r="I2637" s="4">
        <v>5477.85</v>
      </c>
      <c r="J2637" t="s">
        <v>34</v>
      </c>
      <c r="K2637" t="s">
        <v>35</v>
      </c>
      <c r="L2637" s="4">
        <f>VLOOKUP(tblTransactions[[#This Row],[Product_ID]],tblProducts[],5,FALSE)</f>
        <v>436.37</v>
      </c>
      <c r="M2637" s="4">
        <f>tblTransactions[[#This Row],[Total_Amount]]-(tblTransactions[[#This Row],[Cost_Prices]]*tblTransactions[[#This Row],[Quantity]]*(1-tblTransactions[[#This Row],[Discount]]))</f>
        <v>1541.7926000000002</v>
      </c>
      <c r="N2637" s="3">
        <f>tblTransactions[[#This Row],[Profit]]/tblTransactions[[#This Row],[Total_Amount]]</f>
        <v>0.28145944120412209</v>
      </c>
      <c r="O2637" t="str">
        <f>TEXT(tblTransactions[[#This Row],[Date]], "MMM-YYYY")</f>
        <v>Jul-2024</v>
      </c>
      <c r="P2637" t="str">
        <f>"Q"&amp;ROUNDUP(MONTH(tblTransactions[[#This Row],[Date]])/3,0)&amp;"-"&amp;YEAR(tblTransactions[[#This Row],[Date]])</f>
        <v>Q3-2024</v>
      </c>
      <c r="Q2637">
        <f>YEAR(tblTransactions[[#This Row],[Date]])</f>
        <v>2024</v>
      </c>
      <c r="R2637" t="str">
        <f>TEXT(tblTransactions[[#This Row],[Date]],"DDDD")</f>
        <v>Monday</v>
      </c>
      <c r="S2637">
        <f>MONTH(tblTransactions[[#This Row],[Date]])</f>
        <v>7</v>
      </c>
      <c r="T2637" t="str">
        <f>VLOOKUP(E2637, Products!$A:$B,2,0)</f>
        <v>Tablets Ele-4</v>
      </c>
      <c r="U2637" t="str">
        <f>VLOOKUP(E2637,Products!$A:$C,3,0)</f>
        <v>Electronics</v>
      </c>
      <c r="V2637" t="str">
        <f>VLOOKUP(E2637,Products!$A:$D,4,0)</f>
        <v>Tablets</v>
      </c>
      <c r="W2637" t="str">
        <f>VLOOKUP(D2637,Customers!$A:$C,3,0)</f>
        <v>B2B</v>
      </c>
      <c r="X2637" t="str">
        <f>VLOOKUP(C2637,Sales_Representatives!$A:$B,2,0)</f>
        <v>Thomas Hernandez</v>
      </c>
    </row>
    <row r="2638" spans="1:24" x14ac:dyDescent="0.3">
      <c r="A2638" t="s">
        <v>3643</v>
      </c>
      <c r="B2638" t="s">
        <v>3641</v>
      </c>
      <c r="C2638" t="s">
        <v>141</v>
      </c>
      <c r="D2638" t="s">
        <v>203</v>
      </c>
      <c r="E2638" t="s">
        <v>299</v>
      </c>
      <c r="F2638">
        <v>17</v>
      </c>
      <c r="G2638">
        <v>963.44</v>
      </c>
      <c r="H2638">
        <v>0.17</v>
      </c>
      <c r="I2638" s="4">
        <v>13594.14</v>
      </c>
      <c r="J2638" t="s">
        <v>109</v>
      </c>
      <c r="K2638" t="s">
        <v>17</v>
      </c>
      <c r="L2638" s="4">
        <f>VLOOKUP(tblTransactions[[#This Row],[Product_ID]],tblProducts[],5,FALSE)</f>
        <v>578.96</v>
      </c>
      <c r="M2638" s="4">
        <f>tblTransactions[[#This Row],[Total_Amount]]-(tblTransactions[[#This Row],[Cost_Prices]]*tblTransactions[[#This Row],[Quantity]]*(1-tblTransactions[[#This Row],[Discount]]))</f>
        <v>5425.0144</v>
      </c>
      <c r="N2638" s="3">
        <f>tblTransactions[[#This Row],[Profit]]/tblTransactions[[#This Row],[Total_Amount]]</f>
        <v>0.39907006989776478</v>
      </c>
      <c r="O2638" t="str">
        <f>TEXT(tblTransactions[[#This Row],[Date]], "MMM-YYYY")</f>
        <v>Jul-2024</v>
      </c>
      <c r="P2638" t="str">
        <f>"Q"&amp;ROUNDUP(MONTH(tblTransactions[[#This Row],[Date]])/3,0)&amp;"-"&amp;YEAR(tblTransactions[[#This Row],[Date]])</f>
        <v>Q3-2024</v>
      </c>
      <c r="Q2638">
        <f>YEAR(tblTransactions[[#This Row],[Date]])</f>
        <v>2024</v>
      </c>
      <c r="R2638" t="str">
        <f>TEXT(tblTransactions[[#This Row],[Date]],"DDDD")</f>
        <v>Monday</v>
      </c>
      <c r="S2638">
        <f>MONTH(tblTransactions[[#This Row],[Date]])</f>
        <v>7</v>
      </c>
      <c r="T2638" t="str">
        <f>VLOOKUP(E2638, Products!$A:$B,2,0)</f>
        <v>Chairs Fur-4</v>
      </c>
      <c r="U2638" t="str">
        <f>VLOOKUP(E2638,Products!$A:$C,3,0)</f>
        <v>Furniture</v>
      </c>
      <c r="V2638" t="str">
        <f>VLOOKUP(E2638,Products!$A:$D,4,0)</f>
        <v>Chairs</v>
      </c>
      <c r="W2638" t="str">
        <f>VLOOKUP(D2638,Customers!$A:$C,3,0)</f>
        <v>Enterprise</v>
      </c>
      <c r="X2638" t="str">
        <f>VLOOKUP(C2638,Sales_Representatives!$A:$B,2,0)</f>
        <v>Richard Garcia</v>
      </c>
    </row>
    <row r="2639" spans="1:24" x14ac:dyDescent="0.3">
      <c r="A2639" t="s">
        <v>3644</v>
      </c>
      <c r="B2639" t="s">
        <v>3641</v>
      </c>
      <c r="C2639" t="s">
        <v>41</v>
      </c>
      <c r="D2639" t="s">
        <v>134</v>
      </c>
      <c r="E2639" t="s">
        <v>102</v>
      </c>
      <c r="F2639">
        <v>5</v>
      </c>
      <c r="G2639">
        <v>1097.75</v>
      </c>
      <c r="H2639">
        <v>0.01</v>
      </c>
      <c r="I2639" s="4">
        <v>5433.86</v>
      </c>
      <c r="J2639" t="s">
        <v>44</v>
      </c>
      <c r="K2639" t="s">
        <v>48</v>
      </c>
      <c r="L2639" s="4">
        <f>VLOOKUP(tblTransactions[[#This Row],[Product_ID]],tblProducts[],5,FALSE)</f>
        <v>680.12</v>
      </c>
      <c r="M2639" s="4">
        <f>tblTransactions[[#This Row],[Total_Amount]]-(tblTransactions[[#This Row],[Cost_Prices]]*tblTransactions[[#This Row],[Quantity]]*(1-tblTransactions[[#This Row],[Discount]]))</f>
        <v>2067.2659999999996</v>
      </c>
      <c r="N2639" s="3">
        <f>tblTransactions[[#This Row],[Profit]]/tblTransactions[[#This Row],[Total_Amount]]</f>
        <v>0.38044152775375145</v>
      </c>
      <c r="O2639" t="str">
        <f>TEXT(tblTransactions[[#This Row],[Date]], "MMM-YYYY")</f>
        <v>Jul-2024</v>
      </c>
      <c r="P2639" t="str">
        <f>"Q"&amp;ROUNDUP(MONTH(tblTransactions[[#This Row],[Date]])/3,0)&amp;"-"&amp;YEAR(tblTransactions[[#This Row],[Date]])</f>
        <v>Q3-2024</v>
      </c>
      <c r="Q2639">
        <f>YEAR(tblTransactions[[#This Row],[Date]])</f>
        <v>2024</v>
      </c>
      <c r="R2639" t="str">
        <f>TEXT(tblTransactions[[#This Row],[Date]],"DDDD")</f>
        <v>Monday</v>
      </c>
      <c r="S2639">
        <f>MONTH(tblTransactions[[#This Row],[Date]])</f>
        <v>7</v>
      </c>
      <c r="T2639" t="str">
        <f>VLOOKUP(E2639, Products!$A:$B,2,0)</f>
        <v>Storage Fur-4</v>
      </c>
      <c r="U2639" t="str">
        <f>VLOOKUP(E2639,Products!$A:$C,3,0)</f>
        <v>Furniture</v>
      </c>
      <c r="V2639" t="str">
        <f>VLOOKUP(E2639,Products!$A:$D,4,0)</f>
        <v>Storage</v>
      </c>
      <c r="W2639" t="str">
        <f>VLOOKUP(D2639,Customers!$A:$C,3,0)</f>
        <v>B2B</v>
      </c>
      <c r="X2639" t="str">
        <f>VLOOKUP(C2639,Sales_Representatives!$A:$B,2,0)</f>
        <v>Robert Jones</v>
      </c>
    </row>
    <row r="2640" spans="1:24" x14ac:dyDescent="0.3">
      <c r="A2640" t="s">
        <v>3645</v>
      </c>
      <c r="B2640" t="s">
        <v>3641</v>
      </c>
      <c r="C2640" t="s">
        <v>13</v>
      </c>
      <c r="D2640" t="s">
        <v>95</v>
      </c>
      <c r="E2640" t="s">
        <v>394</v>
      </c>
      <c r="F2640">
        <v>32</v>
      </c>
      <c r="G2640">
        <v>314.69</v>
      </c>
      <c r="H2640">
        <v>0.24</v>
      </c>
      <c r="I2640" s="4">
        <v>7653.26</v>
      </c>
      <c r="J2640" t="s">
        <v>16</v>
      </c>
      <c r="K2640" t="s">
        <v>17</v>
      </c>
      <c r="L2640" s="4">
        <f>VLOOKUP(tblTransactions[[#This Row],[Product_ID]],tblProducts[],5,FALSE)</f>
        <v>185.43</v>
      </c>
      <c r="M2640" s="4">
        <f>tblTransactions[[#This Row],[Total_Amount]]-(tblTransactions[[#This Row],[Cost_Prices]]*tblTransactions[[#This Row],[Quantity]]*(1-tblTransactions[[#This Row],[Discount]]))</f>
        <v>3143.6023999999998</v>
      </c>
      <c r="N2640" s="3">
        <f>tblTransactions[[#This Row],[Profit]]/tblTransactions[[#This Row],[Total_Amount]]</f>
        <v>0.41075337829892095</v>
      </c>
      <c r="O2640" t="str">
        <f>TEXT(tblTransactions[[#This Row],[Date]], "MMM-YYYY")</f>
        <v>Jul-2024</v>
      </c>
      <c r="P2640" t="str">
        <f>"Q"&amp;ROUNDUP(MONTH(tblTransactions[[#This Row],[Date]])/3,0)&amp;"-"&amp;YEAR(tblTransactions[[#This Row],[Date]])</f>
        <v>Q3-2024</v>
      </c>
      <c r="Q2640">
        <f>YEAR(tblTransactions[[#This Row],[Date]])</f>
        <v>2024</v>
      </c>
      <c r="R2640" t="str">
        <f>TEXT(tblTransactions[[#This Row],[Date]],"DDDD")</f>
        <v>Monday</v>
      </c>
      <c r="S2640">
        <f>MONTH(tblTransactions[[#This Row],[Date]])</f>
        <v>7</v>
      </c>
      <c r="T2640" t="str">
        <f>VLOOKUP(E2640, Products!$A:$B,2,0)</f>
        <v>Desks Fur-1</v>
      </c>
      <c r="U2640" t="str">
        <f>VLOOKUP(E2640,Products!$A:$C,3,0)</f>
        <v>Furniture</v>
      </c>
      <c r="V2640" t="str">
        <f>VLOOKUP(E2640,Products!$A:$D,4,0)</f>
        <v>Desks</v>
      </c>
      <c r="W2640" t="str">
        <f>VLOOKUP(D2640,Customers!$A:$C,3,0)</f>
        <v>Enterprise</v>
      </c>
      <c r="X2640" t="str">
        <f>VLOOKUP(C2640,Sales_Representatives!$A:$B,2,0)</f>
        <v>Jennifer Rodriguez</v>
      </c>
    </row>
    <row r="2641" spans="1:24" x14ac:dyDescent="0.3">
      <c r="A2641" t="s">
        <v>3646</v>
      </c>
      <c r="B2641" t="s">
        <v>3647</v>
      </c>
      <c r="C2641" t="s">
        <v>59</v>
      </c>
      <c r="D2641" t="s">
        <v>3016</v>
      </c>
      <c r="E2641" t="s">
        <v>178</v>
      </c>
      <c r="F2641">
        <v>2</v>
      </c>
      <c r="G2641">
        <v>1623.35</v>
      </c>
      <c r="H2641">
        <v>0.04</v>
      </c>
      <c r="I2641" s="4">
        <v>3116.83</v>
      </c>
      <c r="J2641" t="s">
        <v>21</v>
      </c>
      <c r="K2641" t="s">
        <v>35</v>
      </c>
      <c r="L2641" s="4">
        <f>VLOOKUP(tblTransactions[[#This Row],[Product_ID]],tblProducts[],5,FALSE)</f>
        <v>981.45</v>
      </c>
      <c r="M2641" s="4">
        <f>tblTransactions[[#This Row],[Total_Amount]]-(tblTransactions[[#This Row],[Cost_Prices]]*tblTransactions[[#This Row],[Quantity]]*(1-tblTransactions[[#This Row],[Discount]]))</f>
        <v>1232.4459999999999</v>
      </c>
      <c r="N2641" s="3">
        <f>tblTransactions[[#This Row],[Profit]]/tblTransactions[[#This Row],[Total_Amount]]</f>
        <v>0.39541649688946778</v>
      </c>
      <c r="O2641" t="str">
        <f>TEXT(tblTransactions[[#This Row],[Date]], "MMM-YYYY")</f>
        <v>Jul-2024</v>
      </c>
      <c r="P2641" t="str">
        <f>"Q"&amp;ROUNDUP(MONTH(tblTransactions[[#This Row],[Date]])/3,0)&amp;"-"&amp;YEAR(tblTransactions[[#This Row],[Date]])</f>
        <v>Q3-2024</v>
      </c>
      <c r="Q2641">
        <f>YEAR(tblTransactions[[#This Row],[Date]])</f>
        <v>2024</v>
      </c>
      <c r="R2641" t="str">
        <f>TEXT(tblTransactions[[#This Row],[Date]],"DDDD")</f>
        <v>Tuesday</v>
      </c>
      <c r="S2641">
        <f>MONTH(tblTransactions[[#This Row],[Date]])</f>
        <v>7</v>
      </c>
      <c r="T2641" t="str">
        <f>VLOOKUP(E2641, Products!$A:$B,2,0)</f>
        <v>Tablets Ele-1</v>
      </c>
      <c r="U2641" t="str">
        <f>VLOOKUP(E2641,Products!$A:$C,3,0)</f>
        <v>Electronics</v>
      </c>
      <c r="V2641" t="str">
        <f>VLOOKUP(E2641,Products!$A:$D,4,0)</f>
        <v>Tablets</v>
      </c>
      <c r="W2641" t="str">
        <f>VLOOKUP(D2641,Customers!$A:$C,3,0)</f>
        <v>B2C</v>
      </c>
      <c r="X2641" t="str">
        <f>VLOOKUP(C2641,Sales_Representatives!$A:$B,2,0)</f>
        <v>Sarah Brown</v>
      </c>
    </row>
    <row r="2642" spans="1:24" x14ac:dyDescent="0.3">
      <c r="A2642" t="s">
        <v>3648</v>
      </c>
      <c r="B2642" t="s">
        <v>3647</v>
      </c>
      <c r="C2642" t="s">
        <v>41</v>
      </c>
      <c r="D2642" t="s">
        <v>1638</v>
      </c>
      <c r="E2642" t="s">
        <v>304</v>
      </c>
      <c r="F2642">
        <v>5</v>
      </c>
      <c r="G2642">
        <v>13.43</v>
      </c>
      <c r="H2642">
        <v>0.09</v>
      </c>
      <c r="I2642" s="4">
        <v>61.11</v>
      </c>
      <c r="J2642" t="s">
        <v>44</v>
      </c>
      <c r="K2642" t="s">
        <v>48</v>
      </c>
      <c r="L2642" s="4">
        <f>VLOOKUP(tblTransactions[[#This Row],[Product_ID]],tblProducts[],5,FALSE)</f>
        <v>5.8</v>
      </c>
      <c r="M2642" s="4">
        <f>tblTransactions[[#This Row],[Total_Amount]]-(tblTransactions[[#This Row],[Cost_Prices]]*tblTransactions[[#This Row],[Quantity]]*(1-tblTransactions[[#This Row],[Discount]]))</f>
        <v>34.72</v>
      </c>
      <c r="N2642" s="3">
        <f>tblTransactions[[#This Row],[Profit]]/tblTransactions[[#This Row],[Total_Amount]]</f>
        <v>0.56815578465062999</v>
      </c>
      <c r="O2642" t="str">
        <f>TEXT(tblTransactions[[#This Row],[Date]], "MMM-YYYY")</f>
        <v>Jul-2024</v>
      </c>
      <c r="P2642" t="str">
        <f>"Q"&amp;ROUNDUP(MONTH(tblTransactions[[#This Row],[Date]])/3,0)&amp;"-"&amp;YEAR(tblTransactions[[#This Row],[Date]])</f>
        <v>Q3-2024</v>
      </c>
      <c r="Q2642">
        <f>YEAR(tblTransactions[[#This Row],[Date]])</f>
        <v>2024</v>
      </c>
      <c r="R2642" t="str">
        <f>TEXT(tblTransactions[[#This Row],[Date]],"DDDD")</f>
        <v>Tuesday</v>
      </c>
      <c r="S2642">
        <f>MONTH(tblTransactions[[#This Row],[Date]])</f>
        <v>7</v>
      </c>
      <c r="T2642" t="str">
        <f>VLOOKUP(E2642, Products!$A:$B,2,0)</f>
        <v>Pens Off-1</v>
      </c>
      <c r="U2642" t="str">
        <f>VLOOKUP(E2642,Products!$A:$C,3,0)</f>
        <v>Office Supplies</v>
      </c>
      <c r="V2642" t="str">
        <f>VLOOKUP(E2642,Products!$A:$D,4,0)</f>
        <v>Pens</v>
      </c>
      <c r="W2642" t="str">
        <f>VLOOKUP(D2642,Customers!$A:$C,3,0)</f>
        <v>B2C</v>
      </c>
      <c r="X2642" t="str">
        <f>VLOOKUP(C2642,Sales_Representatives!$A:$B,2,0)</f>
        <v>Robert Jones</v>
      </c>
    </row>
    <row r="2643" spans="1:24" x14ac:dyDescent="0.3">
      <c r="A2643" t="s">
        <v>3649</v>
      </c>
      <c r="B2643" t="s">
        <v>3647</v>
      </c>
      <c r="C2643" t="s">
        <v>127</v>
      </c>
      <c r="D2643" t="s">
        <v>2591</v>
      </c>
      <c r="E2643" t="s">
        <v>314</v>
      </c>
      <c r="F2643">
        <v>3</v>
      </c>
      <c r="G2643">
        <v>204.97</v>
      </c>
      <c r="H2643">
        <v>0.02</v>
      </c>
      <c r="I2643" s="4">
        <v>602.61</v>
      </c>
      <c r="J2643" t="s">
        <v>109</v>
      </c>
      <c r="K2643" t="s">
        <v>17</v>
      </c>
      <c r="L2643" s="4">
        <f>VLOOKUP(tblTransactions[[#This Row],[Product_ID]],tblProducts[],5,FALSE)</f>
        <v>121.53</v>
      </c>
      <c r="M2643" s="4">
        <f>tblTransactions[[#This Row],[Total_Amount]]-(tblTransactions[[#This Row],[Cost_Prices]]*tblTransactions[[#This Row],[Quantity]]*(1-tblTransactions[[#This Row],[Discount]]))</f>
        <v>245.31180000000001</v>
      </c>
      <c r="N2643" s="3">
        <f>tblTransactions[[#This Row],[Profit]]/tblTransactions[[#This Row],[Total_Amount]]</f>
        <v>0.40708219246278687</v>
      </c>
      <c r="O2643" t="str">
        <f>TEXT(tblTransactions[[#This Row],[Date]], "MMM-YYYY")</f>
        <v>Jul-2024</v>
      </c>
      <c r="P2643" t="str">
        <f>"Q"&amp;ROUNDUP(MONTH(tblTransactions[[#This Row],[Date]])/3,0)&amp;"-"&amp;YEAR(tblTransactions[[#This Row],[Date]])</f>
        <v>Q3-2024</v>
      </c>
      <c r="Q2643">
        <f>YEAR(tblTransactions[[#This Row],[Date]])</f>
        <v>2024</v>
      </c>
      <c r="R2643" t="str">
        <f>TEXT(tblTransactions[[#This Row],[Date]],"DDDD")</f>
        <v>Tuesday</v>
      </c>
      <c r="S2643">
        <f>MONTH(tblTransactions[[#This Row],[Date]])</f>
        <v>7</v>
      </c>
      <c r="T2643" t="str">
        <f>VLOOKUP(E2643, Products!$A:$B,2,0)</f>
        <v>Adapters Acc-3</v>
      </c>
      <c r="U2643" t="str">
        <f>VLOOKUP(E2643,Products!$A:$C,3,0)</f>
        <v>Accessories</v>
      </c>
      <c r="V2643" t="str">
        <f>VLOOKUP(E2643,Products!$A:$D,4,0)</f>
        <v>Adapters</v>
      </c>
      <c r="W2643" t="str">
        <f>VLOOKUP(D2643,Customers!$A:$C,3,0)</f>
        <v>B2C</v>
      </c>
      <c r="X2643" t="str">
        <f>VLOOKUP(C2643,Sales_Representatives!$A:$B,2,0)</f>
        <v>Emily Hernandez</v>
      </c>
    </row>
    <row r="2644" spans="1:24" x14ac:dyDescent="0.3">
      <c r="A2644" t="s">
        <v>3650</v>
      </c>
      <c r="B2644" t="s">
        <v>3647</v>
      </c>
      <c r="C2644" t="s">
        <v>82</v>
      </c>
      <c r="D2644" t="s">
        <v>42</v>
      </c>
      <c r="E2644" t="s">
        <v>198</v>
      </c>
      <c r="F2644">
        <v>2</v>
      </c>
      <c r="G2644">
        <v>1802.96</v>
      </c>
      <c r="H2644">
        <v>7.0000000000000007E-2</v>
      </c>
      <c r="I2644" s="4">
        <v>3353.51</v>
      </c>
      <c r="J2644" t="s">
        <v>34</v>
      </c>
      <c r="K2644" t="s">
        <v>48</v>
      </c>
      <c r="L2644" s="4">
        <f>VLOOKUP(tblTransactions[[#This Row],[Product_ID]],tblProducts[],5,FALSE)</f>
        <v>1282.18</v>
      </c>
      <c r="M2644" s="4">
        <f>tblTransactions[[#This Row],[Total_Amount]]-(tblTransactions[[#This Row],[Cost_Prices]]*tblTransactions[[#This Row],[Quantity]]*(1-tblTransactions[[#This Row],[Discount]]))</f>
        <v>968.65520000000015</v>
      </c>
      <c r="N2644" s="3">
        <f>tblTransactions[[#This Row],[Profit]]/tblTransactions[[#This Row],[Total_Amount]]</f>
        <v>0.28884816207496028</v>
      </c>
      <c r="O2644" t="str">
        <f>TEXT(tblTransactions[[#This Row],[Date]], "MMM-YYYY")</f>
        <v>Jul-2024</v>
      </c>
      <c r="P2644" t="str">
        <f>"Q"&amp;ROUNDUP(MONTH(tblTransactions[[#This Row],[Date]])/3,0)&amp;"-"&amp;YEAR(tblTransactions[[#This Row],[Date]])</f>
        <v>Q3-2024</v>
      </c>
      <c r="Q2644">
        <f>YEAR(tblTransactions[[#This Row],[Date]])</f>
        <v>2024</v>
      </c>
      <c r="R2644" t="str">
        <f>TEXT(tblTransactions[[#This Row],[Date]],"DDDD")</f>
        <v>Tuesday</v>
      </c>
      <c r="S2644">
        <f>MONTH(tblTransactions[[#This Row],[Date]])</f>
        <v>7</v>
      </c>
      <c r="T2644" t="str">
        <f>VLOOKUP(E2644, Products!$A:$B,2,0)</f>
        <v>Tablets Ele-3</v>
      </c>
      <c r="U2644" t="str">
        <f>VLOOKUP(E2644,Products!$A:$C,3,0)</f>
        <v>Electronics</v>
      </c>
      <c r="V2644" t="str">
        <f>VLOOKUP(E2644,Products!$A:$D,4,0)</f>
        <v>Tablets</v>
      </c>
      <c r="W2644" t="str">
        <f>VLOOKUP(D2644,Customers!$A:$C,3,0)</f>
        <v>B2C</v>
      </c>
      <c r="X2644" t="str">
        <f>VLOOKUP(C2644,Sales_Representatives!$A:$B,2,0)</f>
        <v>John Brown</v>
      </c>
    </row>
    <row r="2645" spans="1:24" x14ac:dyDescent="0.3">
      <c r="A2645" t="s">
        <v>3651</v>
      </c>
      <c r="B2645" t="s">
        <v>3647</v>
      </c>
      <c r="C2645" t="s">
        <v>56</v>
      </c>
      <c r="D2645" t="s">
        <v>1523</v>
      </c>
      <c r="E2645" t="s">
        <v>508</v>
      </c>
      <c r="F2645">
        <v>2</v>
      </c>
      <c r="G2645">
        <v>237.69</v>
      </c>
      <c r="H2645">
        <v>7.0000000000000007E-2</v>
      </c>
      <c r="I2645" s="4">
        <v>442.1</v>
      </c>
      <c r="J2645" t="s">
        <v>34</v>
      </c>
      <c r="K2645" t="s">
        <v>22</v>
      </c>
      <c r="L2645" s="4">
        <f>VLOOKUP(tblTransactions[[#This Row],[Product_ID]],tblProducts[],5,FALSE)</f>
        <v>115.31</v>
      </c>
      <c r="M2645" s="4">
        <f>tblTransactions[[#This Row],[Total_Amount]]-(tblTransactions[[#This Row],[Cost_Prices]]*tblTransactions[[#This Row],[Quantity]]*(1-tblTransactions[[#This Row],[Discount]]))</f>
        <v>227.62340000000003</v>
      </c>
      <c r="N2645" s="3">
        <f>tblTransactions[[#This Row],[Profit]]/tblTransactions[[#This Row],[Total_Amount]]</f>
        <v>0.51486858176883066</v>
      </c>
      <c r="O2645" t="str">
        <f>TEXT(tblTransactions[[#This Row],[Date]], "MMM-YYYY")</f>
        <v>Jul-2024</v>
      </c>
      <c r="P2645" t="str">
        <f>"Q"&amp;ROUNDUP(MONTH(tblTransactions[[#This Row],[Date]])/3,0)&amp;"-"&amp;YEAR(tblTransactions[[#This Row],[Date]])</f>
        <v>Q3-2024</v>
      </c>
      <c r="Q2645">
        <f>YEAR(tblTransactions[[#This Row],[Date]])</f>
        <v>2024</v>
      </c>
      <c r="R2645" t="str">
        <f>TEXT(tblTransactions[[#This Row],[Date]],"DDDD")</f>
        <v>Tuesday</v>
      </c>
      <c r="S2645">
        <f>MONTH(tblTransactions[[#This Row],[Date]])</f>
        <v>7</v>
      </c>
      <c r="T2645" t="str">
        <f>VLOOKUP(E2645, Products!$A:$B,2,0)</f>
        <v>Folders Off-3</v>
      </c>
      <c r="U2645" t="str">
        <f>VLOOKUP(E2645,Products!$A:$C,3,0)</f>
        <v>Office Supplies</v>
      </c>
      <c r="V2645" t="str">
        <f>VLOOKUP(E2645,Products!$A:$D,4,0)</f>
        <v>Folders</v>
      </c>
      <c r="W2645" t="str">
        <f>VLOOKUP(D2645,Customers!$A:$C,3,0)</f>
        <v>Small Business</v>
      </c>
      <c r="X2645" t="str">
        <f>VLOOKUP(C2645,Sales_Representatives!$A:$B,2,0)</f>
        <v>Thomas Hernandez</v>
      </c>
    </row>
    <row r="2646" spans="1:24" x14ac:dyDescent="0.3">
      <c r="A2646" t="s">
        <v>3652</v>
      </c>
      <c r="B2646" t="s">
        <v>3647</v>
      </c>
      <c r="C2646" t="s">
        <v>31</v>
      </c>
      <c r="D2646" t="s">
        <v>2162</v>
      </c>
      <c r="E2646" t="s">
        <v>316</v>
      </c>
      <c r="F2646">
        <v>4</v>
      </c>
      <c r="G2646">
        <v>91.42</v>
      </c>
      <c r="H2646">
        <v>0.05</v>
      </c>
      <c r="I2646" s="4">
        <v>347.4</v>
      </c>
      <c r="J2646" t="s">
        <v>34</v>
      </c>
      <c r="K2646" t="s">
        <v>22</v>
      </c>
      <c r="L2646" s="4">
        <f>VLOOKUP(tblTransactions[[#This Row],[Product_ID]],tblProducts[],5,FALSE)</f>
        <v>50.09</v>
      </c>
      <c r="M2646" s="4">
        <f>tblTransactions[[#This Row],[Total_Amount]]-(tblTransactions[[#This Row],[Cost_Prices]]*tblTransactions[[#This Row],[Quantity]]*(1-tblTransactions[[#This Row],[Discount]]))</f>
        <v>157.05799999999996</v>
      </c>
      <c r="N2646" s="3">
        <f>tblTransactions[[#This Row],[Profit]]/tblTransactions[[#This Row],[Total_Amount]]</f>
        <v>0.45209556706966025</v>
      </c>
      <c r="O2646" t="str">
        <f>TEXT(tblTransactions[[#This Row],[Date]], "MMM-YYYY")</f>
        <v>Jul-2024</v>
      </c>
      <c r="P2646" t="str">
        <f>"Q"&amp;ROUNDUP(MONTH(tblTransactions[[#This Row],[Date]])/3,0)&amp;"-"&amp;YEAR(tblTransactions[[#This Row],[Date]])</f>
        <v>Q3-2024</v>
      </c>
      <c r="Q2646">
        <f>YEAR(tblTransactions[[#This Row],[Date]])</f>
        <v>2024</v>
      </c>
      <c r="R2646" t="str">
        <f>TEXT(tblTransactions[[#This Row],[Date]],"DDDD")</f>
        <v>Tuesday</v>
      </c>
      <c r="S2646">
        <f>MONTH(tblTransactions[[#This Row],[Date]])</f>
        <v>7</v>
      </c>
      <c r="T2646" t="str">
        <f>VLOOKUP(E2646, Products!$A:$B,2,0)</f>
        <v>Binders Off-3</v>
      </c>
      <c r="U2646" t="str">
        <f>VLOOKUP(E2646,Products!$A:$C,3,0)</f>
        <v>Office Supplies</v>
      </c>
      <c r="V2646" t="str">
        <f>VLOOKUP(E2646,Products!$A:$D,4,0)</f>
        <v>Binders</v>
      </c>
      <c r="W2646" t="str">
        <f>VLOOKUP(D2646,Customers!$A:$C,3,0)</f>
        <v>Small Business</v>
      </c>
      <c r="X2646" t="str">
        <f>VLOOKUP(C2646,Sales_Representatives!$A:$B,2,0)</f>
        <v>Thomas Martinez</v>
      </c>
    </row>
    <row r="2647" spans="1:24" x14ac:dyDescent="0.3">
      <c r="A2647" t="s">
        <v>3653</v>
      </c>
      <c r="B2647" t="s">
        <v>3654</v>
      </c>
      <c r="C2647" t="s">
        <v>63</v>
      </c>
      <c r="D2647" t="s">
        <v>1925</v>
      </c>
      <c r="E2647" t="s">
        <v>79</v>
      </c>
      <c r="F2647">
        <v>7</v>
      </c>
      <c r="G2647">
        <v>1452.36</v>
      </c>
      <c r="H2647">
        <v>0.06</v>
      </c>
      <c r="I2647" s="4">
        <v>9556.5300000000007</v>
      </c>
      <c r="J2647" t="s">
        <v>21</v>
      </c>
      <c r="K2647" t="s">
        <v>17</v>
      </c>
      <c r="L2647" s="4">
        <f>VLOOKUP(tblTransactions[[#This Row],[Product_ID]],tblProducts[],5,FALSE)</f>
        <v>778.71</v>
      </c>
      <c r="M2647" s="4">
        <f>tblTransactions[[#This Row],[Total_Amount]]-(tblTransactions[[#This Row],[Cost_Prices]]*tblTransactions[[#This Row],[Quantity]]*(1-tblTransactions[[#This Row],[Discount]]))</f>
        <v>4432.6182000000008</v>
      </c>
      <c r="N2647" s="3">
        <f>tblTransactions[[#This Row],[Profit]]/tblTransactions[[#This Row],[Total_Amount]]</f>
        <v>0.46383134882640459</v>
      </c>
      <c r="O2647" t="str">
        <f>TEXT(tblTransactions[[#This Row],[Date]], "MMM-YYYY")</f>
        <v>Jul-2024</v>
      </c>
      <c r="P2647" t="str">
        <f>"Q"&amp;ROUNDUP(MONTH(tblTransactions[[#This Row],[Date]])/3,0)&amp;"-"&amp;YEAR(tblTransactions[[#This Row],[Date]])</f>
        <v>Q3-2024</v>
      </c>
      <c r="Q2647">
        <f>YEAR(tblTransactions[[#This Row],[Date]])</f>
        <v>2024</v>
      </c>
      <c r="R2647" t="str">
        <f>TEXT(tblTransactions[[#This Row],[Date]],"DDDD")</f>
        <v>Wednesday</v>
      </c>
      <c r="S2647">
        <f>MONTH(tblTransactions[[#This Row],[Date]])</f>
        <v>7</v>
      </c>
      <c r="T2647" t="str">
        <f>VLOOKUP(E2647, Products!$A:$B,2,0)</f>
        <v>Tables Fur-2</v>
      </c>
      <c r="U2647" t="str">
        <f>VLOOKUP(E2647,Products!$A:$C,3,0)</f>
        <v>Furniture</v>
      </c>
      <c r="V2647" t="str">
        <f>VLOOKUP(E2647,Products!$A:$D,4,0)</f>
        <v>Tables</v>
      </c>
      <c r="W2647" t="str">
        <f>VLOOKUP(D2647,Customers!$A:$C,3,0)</f>
        <v>B2B</v>
      </c>
      <c r="X2647" t="str">
        <f>VLOOKUP(C2647,Sales_Representatives!$A:$B,2,0)</f>
        <v>Richard Wilson</v>
      </c>
    </row>
    <row r="2648" spans="1:24" x14ac:dyDescent="0.3">
      <c r="A2648" t="s">
        <v>3655</v>
      </c>
      <c r="B2648" t="s">
        <v>3654</v>
      </c>
      <c r="C2648" t="s">
        <v>63</v>
      </c>
      <c r="D2648" t="s">
        <v>1938</v>
      </c>
      <c r="E2648" t="s">
        <v>339</v>
      </c>
      <c r="F2648">
        <v>4</v>
      </c>
      <c r="G2648">
        <v>1100.8800000000001</v>
      </c>
      <c r="H2648">
        <v>0.02</v>
      </c>
      <c r="I2648" s="4">
        <v>4315.45</v>
      </c>
      <c r="J2648" t="s">
        <v>21</v>
      </c>
      <c r="K2648" t="s">
        <v>48</v>
      </c>
      <c r="L2648" s="4">
        <f>VLOOKUP(tblTransactions[[#This Row],[Product_ID]],tblProducts[],5,FALSE)</f>
        <v>761.53</v>
      </c>
      <c r="M2648" s="4">
        <f>tblTransactions[[#This Row],[Total_Amount]]-(tblTransactions[[#This Row],[Cost_Prices]]*tblTransactions[[#This Row],[Quantity]]*(1-tblTransactions[[#This Row],[Discount]]))</f>
        <v>1330.2523999999999</v>
      </c>
      <c r="N2648" s="3">
        <f>tblTransactions[[#This Row],[Profit]]/tblTransactions[[#This Row],[Total_Amount]]</f>
        <v>0.30825346140031745</v>
      </c>
      <c r="O2648" t="str">
        <f>TEXT(tblTransactions[[#This Row],[Date]], "MMM-YYYY")</f>
        <v>Jul-2024</v>
      </c>
      <c r="P2648" t="str">
        <f>"Q"&amp;ROUNDUP(MONTH(tblTransactions[[#This Row],[Date]])/3,0)&amp;"-"&amp;YEAR(tblTransactions[[#This Row],[Date]])</f>
        <v>Q3-2024</v>
      </c>
      <c r="Q2648">
        <f>YEAR(tblTransactions[[#This Row],[Date]])</f>
        <v>2024</v>
      </c>
      <c r="R2648" t="str">
        <f>TEXT(tblTransactions[[#This Row],[Date]],"DDDD")</f>
        <v>Wednesday</v>
      </c>
      <c r="S2648">
        <f>MONTH(tblTransactions[[#This Row],[Date]])</f>
        <v>7</v>
      </c>
      <c r="T2648" t="str">
        <f>VLOOKUP(E2648, Products!$A:$B,2,0)</f>
        <v>Phones Ele-2</v>
      </c>
      <c r="U2648" t="str">
        <f>VLOOKUP(E2648,Products!$A:$C,3,0)</f>
        <v>Electronics</v>
      </c>
      <c r="V2648" t="str">
        <f>VLOOKUP(E2648,Products!$A:$D,4,0)</f>
        <v>Phones</v>
      </c>
      <c r="W2648" t="str">
        <f>VLOOKUP(D2648,Customers!$A:$C,3,0)</f>
        <v>B2C</v>
      </c>
      <c r="X2648" t="str">
        <f>VLOOKUP(C2648,Sales_Representatives!$A:$B,2,0)</f>
        <v>Richard Wilson</v>
      </c>
    </row>
    <row r="2649" spans="1:24" x14ac:dyDescent="0.3">
      <c r="A2649" t="s">
        <v>3656</v>
      </c>
      <c r="B2649" t="s">
        <v>3654</v>
      </c>
      <c r="C2649" t="s">
        <v>27</v>
      </c>
      <c r="D2649" t="s">
        <v>1507</v>
      </c>
      <c r="E2649" t="s">
        <v>96</v>
      </c>
      <c r="F2649">
        <v>26</v>
      </c>
      <c r="G2649">
        <v>751.9</v>
      </c>
      <c r="H2649">
        <v>0.17</v>
      </c>
      <c r="I2649" s="4">
        <v>16226</v>
      </c>
      <c r="J2649" t="s">
        <v>16</v>
      </c>
      <c r="K2649" t="s">
        <v>39</v>
      </c>
      <c r="L2649" s="4">
        <f>VLOOKUP(tblTransactions[[#This Row],[Product_ID]],tblProducts[],5,FALSE)</f>
        <v>570.29</v>
      </c>
      <c r="M2649" s="4">
        <f>tblTransactions[[#This Row],[Total_Amount]]-(tblTransactions[[#This Row],[Cost_Prices]]*tblTransactions[[#This Row],[Quantity]]*(1-tblTransactions[[#This Row],[Discount]]))</f>
        <v>3919.1418000000012</v>
      </c>
      <c r="N2649" s="3">
        <f>tblTransactions[[#This Row],[Profit]]/tblTransactions[[#This Row],[Total_Amount]]</f>
        <v>0.24153468507333917</v>
      </c>
      <c r="O2649" t="str">
        <f>TEXT(tblTransactions[[#This Row],[Date]], "MMM-YYYY")</f>
        <v>Jul-2024</v>
      </c>
      <c r="P2649" t="str">
        <f>"Q"&amp;ROUNDUP(MONTH(tblTransactions[[#This Row],[Date]])/3,0)&amp;"-"&amp;YEAR(tblTransactions[[#This Row],[Date]])</f>
        <v>Q3-2024</v>
      </c>
      <c r="Q2649">
        <f>YEAR(tblTransactions[[#This Row],[Date]])</f>
        <v>2024</v>
      </c>
      <c r="R2649" t="str">
        <f>TEXT(tblTransactions[[#This Row],[Date]],"DDDD")</f>
        <v>Wednesday</v>
      </c>
      <c r="S2649">
        <f>MONTH(tblTransactions[[#This Row],[Date]])</f>
        <v>7</v>
      </c>
      <c r="T2649" t="str">
        <f>VLOOKUP(E2649, Products!$A:$B,2,0)</f>
        <v>Routers Tec-1</v>
      </c>
      <c r="U2649" t="str">
        <f>VLOOKUP(E2649,Products!$A:$C,3,0)</f>
        <v>Technology</v>
      </c>
      <c r="V2649" t="str">
        <f>VLOOKUP(E2649,Products!$A:$D,4,0)</f>
        <v>Routers</v>
      </c>
      <c r="W2649" t="str">
        <f>VLOOKUP(D2649,Customers!$A:$C,3,0)</f>
        <v>Enterprise</v>
      </c>
      <c r="X2649" t="str">
        <f>VLOOKUP(C2649,Sales_Representatives!$A:$B,2,0)</f>
        <v>Thomas Lopez</v>
      </c>
    </row>
    <row r="2650" spans="1:24" x14ac:dyDescent="0.3">
      <c r="A2650" t="s">
        <v>3657</v>
      </c>
      <c r="B2650" t="s">
        <v>3654</v>
      </c>
      <c r="C2650" t="s">
        <v>19</v>
      </c>
      <c r="D2650" t="s">
        <v>1801</v>
      </c>
      <c r="E2650" t="s">
        <v>145</v>
      </c>
      <c r="F2650">
        <v>4</v>
      </c>
      <c r="G2650">
        <v>93.43</v>
      </c>
      <c r="H2650">
        <v>0.01</v>
      </c>
      <c r="I2650" s="4">
        <v>369.98</v>
      </c>
      <c r="J2650" t="s">
        <v>21</v>
      </c>
      <c r="K2650" t="s">
        <v>35</v>
      </c>
      <c r="L2650" s="4">
        <f>VLOOKUP(tblTransactions[[#This Row],[Product_ID]],tblProducts[],5,FALSE)</f>
        <v>45.74</v>
      </c>
      <c r="M2650" s="4">
        <f>tblTransactions[[#This Row],[Total_Amount]]-(tblTransactions[[#This Row],[Cost_Prices]]*tblTransactions[[#This Row],[Quantity]]*(1-tblTransactions[[#This Row],[Discount]]))</f>
        <v>188.84960000000001</v>
      </c>
      <c r="N2650" s="3">
        <f>tblTransactions[[#This Row],[Profit]]/tblTransactions[[#This Row],[Total_Amount]]</f>
        <v>0.5104319152386616</v>
      </c>
      <c r="O2650" t="str">
        <f>TEXT(tblTransactions[[#This Row],[Date]], "MMM-YYYY")</f>
        <v>Jul-2024</v>
      </c>
      <c r="P2650" t="str">
        <f>"Q"&amp;ROUNDUP(MONTH(tblTransactions[[#This Row],[Date]])/3,0)&amp;"-"&amp;YEAR(tblTransactions[[#This Row],[Date]])</f>
        <v>Q3-2024</v>
      </c>
      <c r="Q2650">
        <f>YEAR(tblTransactions[[#This Row],[Date]])</f>
        <v>2024</v>
      </c>
      <c r="R2650" t="str">
        <f>TEXT(tblTransactions[[#This Row],[Date]],"DDDD")</f>
        <v>Wednesday</v>
      </c>
      <c r="S2650">
        <f>MONTH(tblTransactions[[#This Row],[Date]])</f>
        <v>7</v>
      </c>
      <c r="T2650" t="str">
        <f>VLOOKUP(E2650, Products!$A:$B,2,0)</f>
        <v>Paper Off-1</v>
      </c>
      <c r="U2650" t="str">
        <f>VLOOKUP(E2650,Products!$A:$C,3,0)</f>
        <v>Office Supplies</v>
      </c>
      <c r="V2650" t="str">
        <f>VLOOKUP(E2650,Products!$A:$D,4,0)</f>
        <v>Paper</v>
      </c>
      <c r="W2650" t="str">
        <f>VLOOKUP(D2650,Customers!$A:$C,3,0)</f>
        <v>Small Business</v>
      </c>
      <c r="X2650" t="str">
        <f>VLOOKUP(C2650,Sales_Representatives!$A:$B,2,0)</f>
        <v>Robert Jones</v>
      </c>
    </row>
    <row r="2651" spans="1:24" x14ac:dyDescent="0.3">
      <c r="A2651" t="s">
        <v>3658</v>
      </c>
      <c r="B2651" t="s">
        <v>3654</v>
      </c>
      <c r="C2651" t="s">
        <v>63</v>
      </c>
      <c r="D2651" t="s">
        <v>1467</v>
      </c>
      <c r="E2651" t="s">
        <v>587</v>
      </c>
      <c r="F2651">
        <v>3</v>
      </c>
      <c r="G2651">
        <v>58.54</v>
      </c>
      <c r="H2651">
        <v>0.04</v>
      </c>
      <c r="I2651" s="4">
        <v>168.6</v>
      </c>
      <c r="J2651" t="s">
        <v>21</v>
      </c>
      <c r="K2651" t="s">
        <v>22</v>
      </c>
      <c r="L2651" s="4">
        <f>VLOOKUP(tblTransactions[[#This Row],[Product_ID]],tblProducts[],5,FALSE)</f>
        <v>25.43</v>
      </c>
      <c r="M2651" s="4">
        <f>tblTransactions[[#This Row],[Total_Amount]]-(tblTransactions[[#This Row],[Cost_Prices]]*tblTransactions[[#This Row],[Quantity]]*(1-tblTransactions[[#This Row],[Discount]]))</f>
        <v>95.36160000000001</v>
      </c>
      <c r="N2651" s="3">
        <f>tblTransactions[[#This Row],[Profit]]/tblTransactions[[#This Row],[Total_Amount]]</f>
        <v>0.56560854092526702</v>
      </c>
      <c r="O2651" t="str">
        <f>TEXT(tblTransactions[[#This Row],[Date]], "MMM-YYYY")</f>
        <v>Jul-2024</v>
      </c>
      <c r="P2651" t="str">
        <f>"Q"&amp;ROUNDUP(MONTH(tblTransactions[[#This Row],[Date]])/3,0)&amp;"-"&amp;YEAR(tblTransactions[[#This Row],[Date]])</f>
        <v>Q3-2024</v>
      </c>
      <c r="Q2651">
        <f>YEAR(tblTransactions[[#This Row],[Date]])</f>
        <v>2024</v>
      </c>
      <c r="R2651" t="str">
        <f>TEXT(tblTransactions[[#This Row],[Date]],"DDDD")</f>
        <v>Wednesday</v>
      </c>
      <c r="S2651">
        <f>MONTH(tblTransactions[[#This Row],[Date]])</f>
        <v>7</v>
      </c>
      <c r="T2651" t="str">
        <f>VLOOKUP(E2651, Products!$A:$B,2,0)</f>
        <v>Paper Off-2</v>
      </c>
      <c r="U2651" t="str">
        <f>VLOOKUP(E2651,Products!$A:$C,3,0)</f>
        <v>Office Supplies</v>
      </c>
      <c r="V2651" t="str">
        <f>VLOOKUP(E2651,Products!$A:$D,4,0)</f>
        <v>Paper</v>
      </c>
      <c r="W2651" t="str">
        <f>VLOOKUP(D2651,Customers!$A:$C,3,0)</f>
        <v>B2C</v>
      </c>
      <c r="X2651" t="str">
        <f>VLOOKUP(C2651,Sales_Representatives!$A:$B,2,0)</f>
        <v>Richard Wilson</v>
      </c>
    </row>
    <row r="2652" spans="1:24" x14ac:dyDescent="0.3">
      <c r="A2652" t="s">
        <v>3659</v>
      </c>
      <c r="B2652" t="s">
        <v>3660</v>
      </c>
      <c r="C2652" t="s">
        <v>82</v>
      </c>
      <c r="D2652" t="s">
        <v>1616</v>
      </c>
      <c r="E2652" t="s">
        <v>91</v>
      </c>
      <c r="F2652">
        <v>43</v>
      </c>
      <c r="G2652">
        <v>286.62</v>
      </c>
      <c r="H2652">
        <v>0.18</v>
      </c>
      <c r="I2652" s="4">
        <v>10106.219999999999</v>
      </c>
      <c r="J2652" t="s">
        <v>34</v>
      </c>
      <c r="K2652" t="s">
        <v>17</v>
      </c>
      <c r="L2652" s="4">
        <f>VLOOKUP(tblTransactions[[#This Row],[Product_ID]],tblProducts[],5,FALSE)</f>
        <v>145.54</v>
      </c>
      <c r="M2652" s="4">
        <f>tblTransactions[[#This Row],[Total_Amount]]-(tblTransactions[[#This Row],[Cost_Prices]]*tblTransactions[[#This Row],[Quantity]]*(1-tblTransactions[[#This Row],[Discount]]))</f>
        <v>4974.4795999999997</v>
      </c>
      <c r="N2652" s="3">
        <f>tblTransactions[[#This Row],[Profit]]/tblTransactions[[#This Row],[Total_Amount]]</f>
        <v>0.49221960337297227</v>
      </c>
      <c r="O2652" t="str">
        <f>TEXT(tblTransactions[[#This Row],[Date]], "MMM-YYYY")</f>
        <v>Jul-2024</v>
      </c>
      <c r="P2652" t="str">
        <f>"Q"&amp;ROUNDUP(MONTH(tblTransactions[[#This Row],[Date]])/3,0)&amp;"-"&amp;YEAR(tblTransactions[[#This Row],[Date]])</f>
        <v>Q3-2024</v>
      </c>
      <c r="Q2652">
        <f>YEAR(tblTransactions[[#This Row],[Date]])</f>
        <v>2024</v>
      </c>
      <c r="R2652" t="str">
        <f>TEXT(tblTransactions[[#This Row],[Date]],"DDDD")</f>
        <v>Thursday</v>
      </c>
      <c r="S2652">
        <f>MONTH(tblTransactions[[#This Row],[Date]])</f>
        <v>7</v>
      </c>
      <c r="T2652" t="str">
        <f>VLOOKUP(E2652, Products!$A:$B,2,0)</f>
        <v>Chairs Fur-1</v>
      </c>
      <c r="U2652" t="str">
        <f>VLOOKUP(E2652,Products!$A:$C,3,0)</f>
        <v>Furniture</v>
      </c>
      <c r="V2652" t="str">
        <f>VLOOKUP(E2652,Products!$A:$D,4,0)</f>
        <v>Chairs</v>
      </c>
      <c r="W2652" t="str">
        <f>VLOOKUP(D2652,Customers!$A:$C,3,0)</f>
        <v>Enterprise</v>
      </c>
      <c r="X2652" t="str">
        <f>VLOOKUP(C2652,Sales_Representatives!$A:$B,2,0)</f>
        <v>John Brown</v>
      </c>
    </row>
    <row r="2653" spans="1:24" x14ac:dyDescent="0.3">
      <c r="A2653" t="s">
        <v>3661</v>
      </c>
      <c r="B2653" t="s">
        <v>3660</v>
      </c>
      <c r="C2653" t="s">
        <v>131</v>
      </c>
      <c r="D2653" t="s">
        <v>2224</v>
      </c>
      <c r="E2653" t="s">
        <v>99</v>
      </c>
      <c r="F2653">
        <v>2</v>
      </c>
      <c r="G2653">
        <v>325.14</v>
      </c>
      <c r="H2653">
        <v>7.0000000000000007E-2</v>
      </c>
      <c r="I2653" s="4">
        <v>604.76</v>
      </c>
      <c r="J2653" t="s">
        <v>44</v>
      </c>
      <c r="K2653" t="s">
        <v>35</v>
      </c>
      <c r="L2653" s="4">
        <f>VLOOKUP(tblTransactions[[#This Row],[Product_ID]],tblProducts[],5,FALSE)</f>
        <v>209.04</v>
      </c>
      <c r="M2653" s="4">
        <f>tblTransactions[[#This Row],[Total_Amount]]-(tblTransactions[[#This Row],[Cost_Prices]]*tblTransactions[[#This Row],[Quantity]]*(1-tblTransactions[[#This Row],[Discount]]))</f>
        <v>215.94560000000001</v>
      </c>
      <c r="N2653" s="3">
        <f>tblTransactions[[#This Row],[Profit]]/tblTransactions[[#This Row],[Total_Amount]]</f>
        <v>0.35707652622527947</v>
      </c>
      <c r="O2653" t="str">
        <f>TEXT(tblTransactions[[#This Row],[Date]], "MMM-YYYY")</f>
        <v>Jul-2024</v>
      </c>
      <c r="P2653" t="str">
        <f>"Q"&amp;ROUNDUP(MONTH(tblTransactions[[#This Row],[Date]])/3,0)&amp;"-"&amp;YEAR(tblTransactions[[#This Row],[Date]])</f>
        <v>Q3-2024</v>
      </c>
      <c r="Q2653">
        <f>YEAR(tblTransactions[[#This Row],[Date]])</f>
        <v>2024</v>
      </c>
      <c r="R2653" t="str">
        <f>TEXT(tblTransactions[[#This Row],[Date]],"DDDD")</f>
        <v>Thursday</v>
      </c>
      <c r="S2653">
        <f>MONTH(tblTransactions[[#This Row],[Date]])</f>
        <v>7</v>
      </c>
      <c r="T2653" t="str">
        <f>VLOOKUP(E2653, Products!$A:$B,2,0)</f>
        <v>Monitors Tec-1</v>
      </c>
      <c r="U2653" t="str">
        <f>VLOOKUP(E2653,Products!$A:$C,3,0)</f>
        <v>Technology</v>
      </c>
      <c r="V2653" t="str">
        <f>VLOOKUP(E2653,Products!$A:$D,4,0)</f>
        <v>Monitors</v>
      </c>
      <c r="W2653" t="str">
        <f>VLOOKUP(D2653,Customers!$A:$C,3,0)</f>
        <v>B2B</v>
      </c>
      <c r="X2653" t="str">
        <f>VLOOKUP(C2653,Sales_Representatives!$A:$B,2,0)</f>
        <v>Michael Davis</v>
      </c>
    </row>
    <row r="2654" spans="1:24" x14ac:dyDescent="0.3">
      <c r="A2654" t="s">
        <v>3662</v>
      </c>
      <c r="B2654" t="s">
        <v>3660</v>
      </c>
      <c r="C2654" t="s">
        <v>27</v>
      </c>
      <c r="D2654" t="s">
        <v>2487</v>
      </c>
      <c r="E2654" t="s">
        <v>283</v>
      </c>
      <c r="F2654">
        <v>5</v>
      </c>
      <c r="G2654">
        <v>456.88</v>
      </c>
      <c r="H2654">
        <v>0.08</v>
      </c>
      <c r="I2654" s="4">
        <v>2101.65</v>
      </c>
      <c r="J2654" t="s">
        <v>16</v>
      </c>
      <c r="K2654" t="s">
        <v>48</v>
      </c>
      <c r="L2654" s="4">
        <f>VLOOKUP(tblTransactions[[#This Row],[Product_ID]],tblProducts[],5,FALSE)</f>
        <v>313.23</v>
      </c>
      <c r="M2654" s="4">
        <f>tblTransactions[[#This Row],[Total_Amount]]-(tblTransactions[[#This Row],[Cost_Prices]]*tblTransactions[[#This Row],[Quantity]]*(1-tblTransactions[[#This Row],[Discount]]))</f>
        <v>660.79199999999992</v>
      </c>
      <c r="N2654" s="3">
        <f>tblTransactions[[#This Row],[Profit]]/tblTransactions[[#This Row],[Total_Amount]]</f>
        <v>0.31441581614445785</v>
      </c>
      <c r="O2654" t="str">
        <f>TEXT(tblTransactions[[#This Row],[Date]], "MMM-YYYY")</f>
        <v>Jul-2024</v>
      </c>
      <c r="P2654" t="str">
        <f>"Q"&amp;ROUNDUP(MONTH(tblTransactions[[#This Row],[Date]])/3,0)&amp;"-"&amp;YEAR(tblTransactions[[#This Row],[Date]])</f>
        <v>Q3-2024</v>
      </c>
      <c r="Q2654">
        <f>YEAR(tblTransactions[[#This Row],[Date]])</f>
        <v>2024</v>
      </c>
      <c r="R2654" t="str">
        <f>TEXT(tblTransactions[[#This Row],[Date]],"DDDD")</f>
        <v>Thursday</v>
      </c>
      <c r="S2654">
        <f>MONTH(tblTransactions[[#This Row],[Date]])</f>
        <v>7</v>
      </c>
      <c r="T2654" t="str">
        <f>VLOOKUP(E2654, Products!$A:$B,2,0)</f>
        <v>Chairs Fur-3</v>
      </c>
      <c r="U2654" t="str">
        <f>VLOOKUP(E2654,Products!$A:$C,3,0)</f>
        <v>Furniture</v>
      </c>
      <c r="V2654" t="str">
        <f>VLOOKUP(E2654,Products!$A:$D,4,0)</f>
        <v>Chairs</v>
      </c>
      <c r="W2654" t="str">
        <f>VLOOKUP(D2654,Customers!$A:$C,3,0)</f>
        <v>B2C</v>
      </c>
      <c r="X2654" t="str">
        <f>VLOOKUP(C2654,Sales_Representatives!$A:$B,2,0)</f>
        <v>Thomas Lopez</v>
      </c>
    </row>
    <row r="2655" spans="1:24" x14ac:dyDescent="0.3">
      <c r="A2655" t="s">
        <v>3663</v>
      </c>
      <c r="B2655" t="s">
        <v>3664</v>
      </c>
      <c r="C2655" t="s">
        <v>31</v>
      </c>
      <c r="D2655" t="s">
        <v>2000</v>
      </c>
      <c r="E2655" t="s">
        <v>91</v>
      </c>
      <c r="F2655">
        <v>19</v>
      </c>
      <c r="G2655">
        <v>286.62</v>
      </c>
      <c r="H2655">
        <v>0.15</v>
      </c>
      <c r="I2655" s="4">
        <v>4628.91</v>
      </c>
      <c r="J2655" t="s">
        <v>34</v>
      </c>
      <c r="K2655" t="s">
        <v>35</v>
      </c>
      <c r="L2655" s="4">
        <f>VLOOKUP(tblTransactions[[#This Row],[Product_ID]],tblProducts[],5,FALSE)</f>
        <v>145.54</v>
      </c>
      <c r="M2655" s="4">
        <f>tblTransactions[[#This Row],[Total_Amount]]-(tblTransactions[[#This Row],[Cost_Prices]]*tblTransactions[[#This Row],[Quantity]]*(1-tblTransactions[[#This Row],[Discount]]))</f>
        <v>2278.4390000000003</v>
      </c>
      <c r="N2655" s="3">
        <f>tblTransactions[[#This Row],[Profit]]/tblTransactions[[#This Row],[Total_Amount]]</f>
        <v>0.49221933457336614</v>
      </c>
      <c r="O2655" t="str">
        <f>TEXT(tblTransactions[[#This Row],[Date]], "MMM-YYYY")</f>
        <v>Jul-2024</v>
      </c>
      <c r="P2655" t="str">
        <f>"Q"&amp;ROUNDUP(MONTH(tblTransactions[[#This Row],[Date]])/3,0)&amp;"-"&amp;YEAR(tblTransactions[[#This Row],[Date]])</f>
        <v>Q3-2024</v>
      </c>
      <c r="Q2655">
        <f>YEAR(tblTransactions[[#This Row],[Date]])</f>
        <v>2024</v>
      </c>
      <c r="R2655" t="str">
        <f>TEXT(tblTransactions[[#This Row],[Date]],"DDDD")</f>
        <v>Friday</v>
      </c>
      <c r="S2655">
        <f>MONTH(tblTransactions[[#This Row],[Date]])</f>
        <v>7</v>
      </c>
      <c r="T2655" t="str">
        <f>VLOOKUP(E2655, Products!$A:$B,2,0)</f>
        <v>Chairs Fur-1</v>
      </c>
      <c r="U2655" t="str">
        <f>VLOOKUP(E2655,Products!$A:$C,3,0)</f>
        <v>Furniture</v>
      </c>
      <c r="V2655" t="str">
        <f>VLOOKUP(E2655,Products!$A:$D,4,0)</f>
        <v>Chairs</v>
      </c>
      <c r="W2655" t="str">
        <f>VLOOKUP(D2655,Customers!$A:$C,3,0)</f>
        <v>B2B</v>
      </c>
      <c r="X2655" t="str">
        <f>VLOOKUP(C2655,Sales_Representatives!$A:$B,2,0)</f>
        <v>Thomas Martinez</v>
      </c>
    </row>
    <row r="2656" spans="1:24" x14ac:dyDescent="0.3">
      <c r="A2656" t="s">
        <v>3665</v>
      </c>
      <c r="B2656" t="s">
        <v>3664</v>
      </c>
      <c r="C2656" t="s">
        <v>31</v>
      </c>
      <c r="D2656" t="s">
        <v>1557</v>
      </c>
      <c r="E2656" t="s">
        <v>481</v>
      </c>
      <c r="F2656">
        <v>7</v>
      </c>
      <c r="G2656">
        <v>263.58999999999997</v>
      </c>
      <c r="H2656">
        <v>0.14000000000000001</v>
      </c>
      <c r="I2656" s="4">
        <v>1586.81</v>
      </c>
      <c r="J2656" t="s">
        <v>34</v>
      </c>
      <c r="K2656" t="s">
        <v>48</v>
      </c>
      <c r="L2656" s="4">
        <f>VLOOKUP(tblTransactions[[#This Row],[Product_ID]],tblProducts[],5,FALSE)</f>
        <v>133.65</v>
      </c>
      <c r="M2656" s="4">
        <f>tblTransactions[[#This Row],[Total_Amount]]-(tblTransactions[[#This Row],[Cost_Prices]]*tblTransactions[[#This Row],[Quantity]]*(1-tblTransactions[[#This Row],[Discount]]))</f>
        <v>782.23699999999985</v>
      </c>
      <c r="N2656" s="3">
        <f>tblTransactions[[#This Row],[Profit]]/tblTransactions[[#This Row],[Total_Amount]]</f>
        <v>0.49296198032530669</v>
      </c>
      <c r="O2656" t="str">
        <f>TEXT(tblTransactions[[#This Row],[Date]], "MMM-YYYY")</f>
        <v>Jul-2024</v>
      </c>
      <c r="P2656" t="str">
        <f>"Q"&amp;ROUNDUP(MONTH(tblTransactions[[#This Row],[Date]])/3,0)&amp;"-"&amp;YEAR(tblTransactions[[#This Row],[Date]])</f>
        <v>Q3-2024</v>
      </c>
      <c r="Q2656">
        <f>YEAR(tblTransactions[[#This Row],[Date]])</f>
        <v>2024</v>
      </c>
      <c r="R2656" t="str">
        <f>TEXT(tblTransactions[[#This Row],[Date]],"DDDD")</f>
        <v>Friday</v>
      </c>
      <c r="S2656">
        <f>MONTH(tblTransactions[[#This Row],[Date]])</f>
        <v>7</v>
      </c>
      <c r="T2656" t="str">
        <f>VLOOKUP(E2656, Products!$A:$B,2,0)</f>
        <v>Folders Off-1</v>
      </c>
      <c r="U2656" t="str">
        <f>VLOOKUP(E2656,Products!$A:$C,3,0)</f>
        <v>Office Supplies</v>
      </c>
      <c r="V2656" t="str">
        <f>VLOOKUP(E2656,Products!$A:$D,4,0)</f>
        <v>Folders</v>
      </c>
      <c r="W2656" t="str">
        <f>VLOOKUP(D2656,Customers!$A:$C,3,0)</f>
        <v>B2C</v>
      </c>
      <c r="X2656" t="str">
        <f>VLOOKUP(C2656,Sales_Representatives!$A:$B,2,0)</f>
        <v>Thomas Martinez</v>
      </c>
    </row>
    <row r="2657" spans="1:24" x14ac:dyDescent="0.3">
      <c r="A2657" t="s">
        <v>3666</v>
      </c>
      <c r="B2657" t="s">
        <v>3664</v>
      </c>
      <c r="C2657" t="s">
        <v>141</v>
      </c>
      <c r="D2657" t="s">
        <v>1808</v>
      </c>
      <c r="E2657" t="s">
        <v>198</v>
      </c>
      <c r="F2657">
        <v>17</v>
      </c>
      <c r="G2657">
        <v>1802.96</v>
      </c>
      <c r="H2657">
        <v>0.14000000000000001</v>
      </c>
      <c r="I2657" s="4">
        <v>26359.279999999999</v>
      </c>
      <c r="J2657" t="s">
        <v>109</v>
      </c>
      <c r="K2657" t="s">
        <v>48</v>
      </c>
      <c r="L2657" s="4">
        <f>VLOOKUP(tblTransactions[[#This Row],[Product_ID]],tblProducts[],5,FALSE)</f>
        <v>1282.18</v>
      </c>
      <c r="M2657" s="4">
        <f>tblTransactions[[#This Row],[Total_Amount]]-(tblTransactions[[#This Row],[Cost_Prices]]*tblTransactions[[#This Row],[Quantity]]*(1-tblTransactions[[#This Row],[Discount]]))</f>
        <v>7613.8083999999981</v>
      </c>
      <c r="N2657" s="3">
        <f>tblTransactions[[#This Row],[Profit]]/tblTransactions[[#This Row],[Total_Amount]]</f>
        <v>0.28884735850144611</v>
      </c>
      <c r="O2657" t="str">
        <f>TEXT(tblTransactions[[#This Row],[Date]], "MMM-YYYY")</f>
        <v>Jul-2024</v>
      </c>
      <c r="P2657" t="str">
        <f>"Q"&amp;ROUNDUP(MONTH(tblTransactions[[#This Row],[Date]])/3,0)&amp;"-"&amp;YEAR(tblTransactions[[#This Row],[Date]])</f>
        <v>Q3-2024</v>
      </c>
      <c r="Q2657">
        <f>YEAR(tblTransactions[[#This Row],[Date]])</f>
        <v>2024</v>
      </c>
      <c r="R2657" t="str">
        <f>TEXT(tblTransactions[[#This Row],[Date]],"DDDD")</f>
        <v>Friday</v>
      </c>
      <c r="S2657">
        <f>MONTH(tblTransactions[[#This Row],[Date]])</f>
        <v>7</v>
      </c>
      <c r="T2657" t="str">
        <f>VLOOKUP(E2657, Products!$A:$B,2,0)</f>
        <v>Tablets Ele-3</v>
      </c>
      <c r="U2657" t="str">
        <f>VLOOKUP(E2657,Products!$A:$C,3,0)</f>
        <v>Electronics</v>
      </c>
      <c r="V2657" t="str">
        <f>VLOOKUP(E2657,Products!$A:$D,4,0)</f>
        <v>Tablets</v>
      </c>
      <c r="W2657" t="str">
        <f>VLOOKUP(D2657,Customers!$A:$C,3,0)</f>
        <v>B2B</v>
      </c>
      <c r="X2657" t="str">
        <f>VLOOKUP(C2657,Sales_Representatives!$A:$B,2,0)</f>
        <v>Richard Garcia</v>
      </c>
    </row>
    <row r="2658" spans="1:24" x14ac:dyDescent="0.3">
      <c r="A2658" t="s">
        <v>3667</v>
      </c>
      <c r="B2658" t="s">
        <v>3664</v>
      </c>
      <c r="C2658" t="s">
        <v>41</v>
      </c>
      <c r="D2658" t="s">
        <v>1507</v>
      </c>
      <c r="E2658" t="s">
        <v>221</v>
      </c>
      <c r="F2658">
        <v>41</v>
      </c>
      <c r="G2658">
        <v>210.02</v>
      </c>
      <c r="H2658">
        <v>0.19</v>
      </c>
      <c r="I2658" s="4">
        <v>6974.76</v>
      </c>
      <c r="J2658" t="s">
        <v>44</v>
      </c>
      <c r="K2658" t="s">
        <v>17</v>
      </c>
      <c r="L2658" s="4">
        <f>VLOOKUP(tblTransactions[[#This Row],[Product_ID]],tblProducts[],5,FALSE)</f>
        <v>131.66</v>
      </c>
      <c r="M2658" s="4">
        <f>tblTransactions[[#This Row],[Total_Amount]]-(tblTransactions[[#This Row],[Cost_Prices]]*tblTransactions[[#This Row],[Quantity]]*(1-tblTransactions[[#This Row],[Discount]]))</f>
        <v>2602.3314</v>
      </c>
      <c r="N2658" s="3">
        <f>tblTransactions[[#This Row],[Profit]]/tblTransactions[[#This Row],[Total_Amount]]</f>
        <v>0.37310694561533297</v>
      </c>
      <c r="O2658" t="str">
        <f>TEXT(tblTransactions[[#This Row],[Date]], "MMM-YYYY")</f>
        <v>Jul-2024</v>
      </c>
      <c r="P2658" t="str">
        <f>"Q"&amp;ROUNDUP(MONTH(tblTransactions[[#This Row],[Date]])/3,0)&amp;"-"&amp;YEAR(tblTransactions[[#This Row],[Date]])</f>
        <v>Q3-2024</v>
      </c>
      <c r="Q2658">
        <f>YEAR(tblTransactions[[#This Row],[Date]])</f>
        <v>2024</v>
      </c>
      <c r="R2658" t="str">
        <f>TEXT(tblTransactions[[#This Row],[Date]],"DDDD")</f>
        <v>Friday</v>
      </c>
      <c r="S2658">
        <f>MONTH(tblTransactions[[#This Row],[Date]])</f>
        <v>7</v>
      </c>
      <c r="T2658" t="str">
        <f>VLOOKUP(E2658, Products!$A:$B,2,0)</f>
        <v>Storage Fur-2</v>
      </c>
      <c r="U2658" t="str">
        <f>VLOOKUP(E2658,Products!$A:$C,3,0)</f>
        <v>Furniture</v>
      </c>
      <c r="V2658" t="str">
        <f>VLOOKUP(E2658,Products!$A:$D,4,0)</f>
        <v>Storage</v>
      </c>
      <c r="W2658" t="str">
        <f>VLOOKUP(D2658,Customers!$A:$C,3,0)</f>
        <v>Enterprise</v>
      </c>
      <c r="X2658" t="str">
        <f>VLOOKUP(C2658,Sales_Representatives!$A:$B,2,0)</f>
        <v>Robert Jones</v>
      </c>
    </row>
    <row r="2659" spans="1:24" x14ac:dyDescent="0.3">
      <c r="A2659" t="s">
        <v>3668</v>
      </c>
      <c r="B2659" t="s">
        <v>3664</v>
      </c>
      <c r="C2659" t="s">
        <v>27</v>
      </c>
      <c r="D2659" t="s">
        <v>1563</v>
      </c>
      <c r="E2659" t="s">
        <v>310</v>
      </c>
      <c r="F2659">
        <v>4</v>
      </c>
      <c r="G2659">
        <v>274.13</v>
      </c>
      <c r="H2659">
        <v>0.09</v>
      </c>
      <c r="I2659" s="4">
        <v>997.83</v>
      </c>
      <c r="J2659" t="s">
        <v>16</v>
      </c>
      <c r="K2659" t="s">
        <v>17</v>
      </c>
      <c r="L2659" s="4">
        <f>VLOOKUP(tblTransactions[[#This Row],[Product_ID]],tblProducts[],5,FALSE)</f>
        <v>134.41999999999999</v>
      </c>
      <c r="M2659" s="4">
        <f>tblTransactions[[#This Row],[Total_Amount]]-(tblTransactions[[#This Row],[Cost_Prices]]*tblTransactions[[#This Row],[Quantity]]*(1-tblTransactions[[#This Row],[Discount]]))</f>
        <v>508.54120000000006</v>
      </c>
      <c r="N2659" s="3">
        <f>tblTransactions[[#This Row],[Profit]]/tblTransactions[[#This Row],[Total_Amount]]</f>
        <v>0.50964713428139063</v>
      </c>
      <c r="O2659" t="str">
        <f>TEXT(tblTransactions[[#This Row],[Date]], "MMM-YYYY")</f>
        <v>Jul-2024</v>
      </c>
      <c r="P2659" t="str">
        <f>"Q"&amp;ROUNDUP(MONTH(tblTransactions[[#This Row],[Date]])/3,0)&amp;"-"&amp;YEAR(tblTransactions[[#This Row],[Date]])</f>
        <v>Q3-2024</v>
      </c>
      <c r="Q2659">
        <f>YEAR(tblTransactions[[#This Row],[Date]])</f>
        <v>2024</v>
      </c>
      <c r="R2659" t="str">
        <f>TEXT(tblTransactions[[#This Row],[Date]],"DDDD")</f>
        <v>Friday</v>
      </c>
      <c r="S2659">
        <f>MONTH(tblTransactions[[#This Row],[Date]])</f>
        <v>7</v>
      </c>
      <c r="T2659" t="str">
        <f>VLOOKUP(E2659, Products!$A:$B,2,0)</f>
        <v>Adapters Acc-4</v>
      </c>
      <c r="U2659" t="str">
        <f>VLOOKUP(E2659,Products!$A:$C,3,0)</f>
        <v>Accessories</v>
      </c>
      <c r="V2659" t="str">
        <f>VLOOKUP(E2659,Products!$A:$D,4,0)</f>
        <v>Adapters</v>
      </c>
      <c r="W2659" t="str">
        <f>VLOOKUP(D2659,Customers!$A:$C,3,0)</f>
        <v>B2C</v>
      </c>
      <c r="X2659" t="str">
        <f>VLOOKUP(C2659,Sales_Representatives!$A:$B,2,0)</f>
        <v>Thomas Lopez</v>
      </c>
    </row>
    <row r="2660" spans="1:24" x14ac:dyDescent="0.3">
      <c r="A2660" t="s">
        <v>3669</v>
      </c>
      <c r="B2660" t="s">
        <v>3670</v>
      </c>
      <c r="C2660" t="s">
        <v>13</v>
      </c>
      <c r="D2660" t="s">
        <v>1485</v>
      </c>
      <c r="E2660" t="s">
        <v>224</v>
      </c>
      <c r="F2660">
        <v>13</v>
      </c>
      <c r="G2660">
        <v>505.37</v>
      </c>
      <c r="H2660">
        <v>0.12</v>
      </c>
      <c r="I2660" s="4">
        <v>5781.43</v>
      </c>
      <c r="J2660" t="s">
        <v>16</v>
      </c>
      <c r="K2660" t="s">
        <v>22</v>
      </c>
      <c r="L2660" s="4">
        <f>VLOOKUP(tblTransactions[[#This Row],[Product_ID]],tblProducts[],5,FALSE)</f>
        <v>281.14999999999998</v>
      </c>
      <c r="M2660" s="4">
        <f>tblTransactions[[#This Row],[Total_Amount]]-(tblTransactions[[#This Row],[Cost_Prices]]*tblTransactions[[#This Row],[Quantity]]*(1-tblTransactions[[#This Row],[Discount]]))</f>
        <v>2565.0740000000005</v>
      </c>
      <c r="N2660" s="3">
        <f>tblTransactions[[#This Row],[Profit]]/tblTransactions[[#This Row],[Total_Amount]]</f>
        <v>0.44367466180512438</v>
      </c>
      <c r="O2660" t="str">
        <f>TEXT(tblTransactions[[#This Row],[Date]], "MMM-YYYY")</f>
        <v>Jul-2024</v>
      </c>
      <c r="P2660" t="str">
        <f>"Q"&amp;ROUNDUP(MONTH(tblTransactions[[#This Row],[Date]])/3,0)&amp;"-"&amp;YEAR(tblTransactions[[#This Row],[Date]])</f>
        <v>Q3-2024</v>
      </c>
      <c r="Q2660">
        <f>YEAR(tblTransactions[[#This Row],[Date]])</f>
        <v>2024</v>
      </c>
      <c r="R2660" t="str">
        <f>TEXT(tblTransactions[[#This Row],[Date]],"DDDD")</f>
        <v>Saturday</v>
      </c>
      <c r="S2660">
        <f>MONTH(tblTransactions[[#This Row],[Date]])</f>
        <v>7</v>
      </c>
      <c r="T2660" t="str">
        <f>VLOOKUP(E2660, Products!$A:$B,2,0)</f>
        <v>Desks Fur-3</v>
      </c>
      <c r="U2660" t="str">
        <f>VLOOKUP(E2660,Products!$A:$C,3,0)</f>
        <v>Furniture</v>
      </c>
      <c r="V2660" t="str">
        <f>VLOOKUP(E2660,Products!$A:$D,4,0)</f>
        <v>Desks</v>
      </c>
      <c r="W2660" t="str">
        <f>VLOOKUP(D2660,Customers!$A:$C,3,0)</f>
        <v>B2B</v>
      </c>
      <c r="X2660" t="str">
        <f>VLOOKUP(C2660,Sales_Representatives!$A:$B,2,0)</f>
        <v>Jennifer Rodriguez</v>
      </c>
    </row>
    <row r="2661" spans="1:24" x14ac:dyDescent="0.3">
      <c r="A2661" t="s">
        <v>3671</v>
      </c>
      <c r="B2661" t="s">
        <v>3670</v>
      </c>
      <c r="C2661" t="s">
        <v>41</v>
      </c>
      <c r="D2661" t="s">
        <v>2102</v>
      </c>
      <c r="E2661" t="s">
        <v>77</v>
      </c>
      <c r="F2661">
        <v>3</v>
      </c>
      <c r="G2661">
        <v>236.82</v>
      </c>
      <c r="H2661">
        <v>0.05</v>
      </c>
      <c r="I2661" s="4">
        <v>674.94</v>
      </c>
      <c r="J2661" t="s">
        <v>44</v>
      </c>
      <c r="K2661" t="s">
        <v>35</v>
      </c>
      <c r="L2661" s="4">
        <f>VLOOKUP(tblTransactions[[#This Row],[Product_ID]],tblProducts[],5,FALSE)</f>
        <v>110.79</v>
      </c>
      <c r="M2661" s="4">
        <f>tblTransactions[[#This Row],[Total_Amount]]-(tblTransactions[[#This Row],[Cost_Prices]]*tblTransactions[[#This Row],[Quantity]]*(1-tblTransactions[[#This Row],[Discount]]))</f>
        <v>359.18850000000009</v>
      </c>
      <c r="N2661" s="3">
        <f>tblTransactions[[#This Row],[Profit]]/tblTransactions[[#This Row],[Total_Amount]]</f>
        <v>0.53217841585918757</v>
      </c>
      <c r="O2661" t="str">
        <f>TEXT(tblTransactions[[#This Row],[Date]], "MMM-YYYY")</f>
        <v>Jul-2024</v>
      </c>
      <c r="P2661" t="str">
        <f>"Q"&amp;ROUNDUP(MONTH(tblTransactions[[#This Row],[Date]])/3,0)&amp;"-"&amp;YEAR(tblTransactions[[#This Row],[Date]])</f>
        <v>Q3-2024</v>
      </c>
      <c r="Q2661">
        <f>YEAR(tblTransactions[[#This Row],[Date]])</f>
        <v>2024</v>
      </c>
      <c r="R2661" t="str">
        <f>TEXT(tblTransactions[[#This Row],[Date]],"DDDD")</f>
        <v>Saturday</v>
      </c>
      <c r="S2661">
        <f>MONTH(tblTransactions[[#This Row],[Date]])</f>
        <v>7</v>
      </c>
      <c r="T2661" t="str">
        <f>VLOOKUP(E2661, Products!$A:$B,2,0)</f>
        <v>Binders Off-4</v>
      </c>
      <c r="U2661" t="str">
        <f>VLOOKUP(E2661,Products!$A:$C,3,0)</f>
        <v>Office Supplies</v>
      </c>
      <c r="V2661" t="str">
        <f>VLOOKUP(E2661,Products!$A:$D,4,0)</f>
        <v>Binders</v>
      </c>
      <c r="W2661" t="str">
        <f>VLOOKUP(D2661,Customers!$A:$C,3,0)</f>
        <v>B2C</v>
      </c>
      <c r="X2661" t="str">
        <f>VLOOKUP(C2661,Sales_Representatives!$A:$B,2,0)</f>
        <v>Robert Jones</v>
      </c>
    </row>
    <row r="2662" spans="1:24" x14ac:dyDescent="0.3">
      <c r="A2662" t="s">
        <v>3672</v>
      </c>
      <c r="B2662" t="s">
        <v>3670</v>
      </c>
      <c r="C2662" t="s">
        <v>63</v>
      </c>
      <c r="D2662" t="s">
        <v>1523</v>
      </c>
      <c r="E2662" t="s">
        <v>450</v>
      </c>
      <c r="F2662">
        <v>7</v>
      </c>
      <c r="G2662">
        <v>2083.92</v>
      </c>
      <c r="H2662">
        <v>0.1</v>
      </c>
      <c r="I2662" s="4">
        <v>13128.7</v>
      </c>
      <c r="J2662" t="s">
        <v>21</v>
      </c>
      <c r="K2662" t="s">
        <v>48</v>
      </c>
      <c r="L2662" s="4">
        <f>VLOOKUP(tblTransactions[[#This Row],[Product_ID]],tblProducts[],5,FALSE)</f>
        <v>1425.78</v>
      </c>
      <c r="M2662" s="4">
        <f>tblTransactions[[#This Row],[Total_Amount]]-(tblTransactions[[#This Row],[Cost_Prices]]*tblTransactions[[#This Row],[Quantity]]*(1-tblTransactions[[#This Row],[Discount]]))</f>
        <v>4146.2860000000019</v>
      </c>
      <c r="N2662" s="3">
        <f>tblTransactions[[#This Row],[Profit]]/tblTransactions[[#This Row],[Total_Amount]]</f>
        <v>0.31581847403017826</v>
      </c>
      <c r="O2662" t="str">
        <f>TEXT(tblTransactions[[#This Row],[Date]], "MMM-YYYY")</f>
        <v>Jul-2024</v>
      </c>
      <c r="P2662" t="str">
        <f>"Q"&amp;ROUNDUP(MONTH(tblTransactions[[#This Row],[Date]])/3,0)&amp;"-"&amp;YEAR(tblTransactions[[#This Row],[Date]])</f>
        <v>Q3-2024</v>
      </c>
      <c r="Q2662">
        <f>YEAR(tblTransactions[[#This Row],[Date]])</f>
        <v>2024</v>
      </c>
      <c r="R2662" t="str">
        <f>TEXT(tblTransactions[[#This Row],[Date]],"DDDD")</f>
        <v>Saturday</v>
      </c>
      <c r="S2662">
        <f>MONTH(tblTransactions[[#This Row],[Date]])</f>
        <v>7</v>
      </c>
      <c r="T2662" t="str">
        <f>VLOOKUP(E2662, Products!$A:$B,2,0)</f>
        <v>Monitors Tec-4</v>
      </c>
      <c r="U2662" t="str">
        <f>VLOOKUP(E2662,Products!$A:$C,3,0)</f>
        <v>Technology</v>
      </c>
      <c r="V2662" t="str">
        <f>VLOOKUP(E2662,Products!$A:$D,4,0)</f>
        <v>Monitors</v>
      </c>
      <c r="W2662" t="str">
        <f>VLOOKUP(D2662,Customers!$A:$C,3,0)</f>
        <v>Small Business</v>
      </c>
      <c r="X2662" t="str">
        <f>VLOOKUP(C2662,Sales_Representatives!$A:$B,2,0)</f>
        <v>Richard Wilson</v>
      </c>
    </row>
    <row r="2663" spans="1:24" x14ac:dyDescent="0.3">
      <c r="A2663" t="s">
        <v>3673</v>
      </c>
      <c r="B2663" t="s">
        <v>3670</v>
      </c>
      <c r="C2663" t="s">
        <v>131</v>
      </c>
      <c r="D2663" t="s">
        <v>2854</v>
      </c>
      <c r="E2663" t="s">
        <v>87</v>
      </c>
      <c r="F2663">
        <v>4</v>
      </c>
      <c r="G2663">
        <v>1047.8900000000001</v>
      </c>
      <c r="H2663">
        <v>0.02</v>
      </c>
      <c r="I2663" s="4">
        <v>4107.7299999999996</v>
      </c>
      <c r="J2663" t="s">
        <v>44</v>
      </c>
      <c r="K2663" t="s">
        <v>48</v>
      </c>
      <c r="L2663" s="4">
        <f>VLOOKUP(tblTransactions[[#This Row],[Product_ID]],tblProducts[],5,FALSE)</f>
        <v>742.63</v>
      </c>
      <c r="M2663" s="4">
        <f>tblTransactions[[#This Row],[Total_Amount]]-(tblTransactions[[#This Row],[Cost_Prices]]*tblTransactions[[#This Row],[Quantity]]*(1-tblTransactions[[#This Row],[Discount]]))</f>
        <v>1196.6203999999998</v>
      </c>
      <c r="N2663" s="3">
        <f>tblTransactions[[#This Row],[Profit]]/tblTransactions[[#This Row],[Total_Amount]]</f>
        <v>0.29130940933313532</v>
      </c>
      <c r="O2663" t="str">
        <f>TEXT(tblTransactions[[#This Row],[Date]], "MMM-YYYY")</f>
        <v>Jul-2024</v>
      </c>
      <c r="P2663" t="str">
        <f>"Q"&amp;ROUNDUP(MONTH(tblTransactions[[#This Row],[Date]])/3,0)&amp;"-"&amp;YEAR(tblTransactions[[#This Row],[Date]])</f>
        <v>Q3-2024</v>
      </c>
      <c r="Q2663">
        <f>YEAR(tblTransactions[[#This Row],[Date]])</f>
        <v>2024</v>
      </c>
      <c r="R2663" t="str">
        <f>TEXT(tblTransactions[[#This Row],[Date]],"DDDD")</f>
        <v>Saturday</v>
      </c>
      <c r="S2663">
        <f>MONTH(tblTransactions[[#This Row],[Date]])</f>
        <v>7</v>
      </c>
      <c r="T2663" t="str">
        <f>VLOOKUP(E2663, Products!$A:$B,2,0)</f>
        <v>Monitors Tec-2</v>
      </c>
      <c r="U2663" t="str">
        <f>VLOOKUP(E2663,Products!$A:$C,3,0)</f>
        <v>Technology</v>
      </c>
      <c r="V2663" t="str">
        <f>VLOOKUP(E2663,Products!$A:$D,4,0)</f>
        <v>Monitors</v>
      </c>
      <c r="W2663" t="str">
        <f>VLOOKUP(D2663,Customers!$A:$C,3,0)</f>
        <v>B2C</v>
      </c>
      <c r="X2663" t="str">
        <f>VLOOKUP(C2663,Sales_Representatives!$A:$B,2,0)</f>
        <v>Michael Davis</v>
      </c>
    </row>
    <row r="2664" spans="1:24" x14ac:dyDescent="0.3">
      <c r="A2664" t="s">
        <v>3674</v>
      </c>
      <c r="B2664" t="s">
        <v>3670</v>
      </c>
      <c r="C2664" t="s">
        <v>107</v>
      </c>
      <c r="D2664" t="s">
        <v>2320</v>
      </c>
      <c r="E2664" t="s">
        <v>450</v>
      </c>
      <c r="F2664">
        <v>13</v>
      </c>
      <c r="G2664">
        <v>2083.92</v>
      </c>
      <c r="H2664">
        <v>0.16</v>
      </c>
      <c r="I2664" s="4">
        <v>22756.41</v>
      </c>
      <c r="J2664" t="s">
        <v>109</v>
      </c>
      <c r="K2664" t="s">
        <v>35</v>
      </c>
      <c r="L2664" s="4">
        <f>VLOOKUP(tblTransactions[[#This Row],[Product_ID]],tblProducts[],5,FALSE)</f>
        <v>1425.78</v>
      </c>
      <c r="M2664" s="4">
        <f>tblTransactions[[#This Row],[Total_Amount]]-(tblTransactions[[#This Row],[Cost_Prices]]*tblTransactions[[#This Row],[Quantity]]*(1-tblTransactions[[#This Row],[Discount]]))</f>
        <v>7186.8924000000006</v>
      </c>
      <c r="N2664" s="3">
        <f>tblTransactions[[#This Row],[Profit]]/tblTransactions[[#This Row],[Total_Amount]]</f>
        <v>0.31581837381203803</v>
      </c>
      <c r="O2664" t="str">
        <f>TEXT(tblTransactions[[#This Row],[Date]], "MMM-YYYY")</f>
        <v>Jul-2024</v>
      </c>
      <c r="P2664" t="str">
        <f>"Q"&amp;ROUNDUP(MONTH(tblTransactions[[#This Row],[Date]])/3,0)&amp;"-"&amp;YEAR(tblTransactions[[#This Row],[Date]])</f>
        <v>Q3-2024</v>
      </c>
      <c r="Q2664">
        <f>YEAR(tblTransactions[[#This Row],[Date]])</f>
        <v>2024</v>
      </c>
      <c r="R2664" t="str">
        <f>TEXT(tblTransactions[[#This Row],[Date]],"DDDD")</f>
        <v>Saturday</v>
      </c>
      <c r="S2664">
        <f>MONTH(tblTransactions[[#This Row],[Date]])</f>
        <v>7</v>
      </c>
      <c r="T2664" t="str">
        <f>VLOOKUP(E2664, Products!$A:$B,2,0)</f>
        <v>Monitors Tec-4</v>
      </c>
      <c r="U2664" t="str">
        <f>VLOOKUP(E2664,Products!$A:$C,3,0)</f>
        <v>Technology</v>
      </c>
      <c r="V2664" t="str">
        <f>VLOOKUP(E2664,Products!$A:$D,4,0)</f>
        <v>Monitors</v>
      </c>
      <c r="W2664" t="str">
        <f>VLOOKUP(D2664,Customers!$A:$C,3,0)</f>
        <v>Enterprise</v>
      </c>
      <c r="X2664" t="str">
        <f>VLOOKUP(C2664,Sales_Representatives!$A:$B,2,0)</f>
        <v>Jennifer Brown</v>
      </c>
    </row>
    <row r="2665" spans="1:24" x14ac:dyDescent="0.3">
      <c r="A2665" t="s">
        <v>3675</v>
      </c>
      <c r="B2665" t="s">
        <v>3676</v>
      </c>
      <c r="C2665" t="s">
        <v>13</v>
      </c>
      <c r="D2665" t="s">
        <v>1643</v>
      </c>
      <c r="E2665" t="s">
        <v>77</v>
      </c>
      <c r="F2665">
        <v>1</v>
      </c>
      <c r="G2665">
        <v>236.82</v>
      </c>
      <c r="H2665">
        <v>0.01</v>
      </c>
      <c r="I2665" s="4">
        <v>234.45</v>
      </c>
      <c r="J2665" t="s">
        <v>16</v>
      </c>
      <c r="K2665" t="s">
        <v>35</v>
      </c>
      <c r="L2665" s="4">
        <f>VLOOKUP(tblTransactions[[#This Row],[Product_ID]],tblProducts[],5,FALSE)</f>
        <v>110.79</v>
      </c>
      <c r="M2665" s="4">
        <f>tblTransactions[[#This Row],[Total_Amount]]-(tblTransactions[[#This Row],[Cost_Prices]]*tblTransactions[[#This Row],[Quantity]]*(1-tblTransactions[[#This Row],[Discount]]))</f>
        <v>124.76789999999998</v>
      </c>
      <c r="N2665" s="3">
        <f>tblTransactions[[#This Row],[Profit]]/tblTransactions[[#This Row],[Total_Amount]]</f>
        <v>0.53217274472168896</v>
      </c>
      <c r="O2665" t="str">
        <f>TEXT(tblTransactions[[#This Row],[Date]], "MMM-YYYY")</f>
        <v>Jul-2024</v>
      </c>
      <c r="P2665" t="str">
        <f>"Q"&amp;ROUNDUP(MONTH(tblTransactions[[#This Row],[Date]])/3,0)&amp;"-"&amp;YEAR(tblTransactions[[#This Row],[Date]])</f>
        <v>Q3-2024</v>
      </c>
      <c r="Q2665">
        <f>YEAR(tblTransactions[[#This Row],[Date]])</f>
        <v>2024</v>
      </c>
      <c r="R2665" t="str">
        <f>TEXT(tblTransactions[[#This Row],[Date]],"DDDD")</f>
        <v>Sunday</v>
      </c>
      <c r="S2665">
        <f>MONTH(tblTransactions[[#This Row],[Date]])</f>
        <v>7</v>
      </c>
      <c r="T2665" t="str">
        <f>VLOOKUP(E2665, Products!$A:$B,2,0)</f>
        <v>Binders Off-4</v>
      </c>
      <c r="U2665" t="str">
        <f>VLOOKUP(E2665,Products!$A:$C,3,0)</f>
        <v>Office Supplies</v>
      </c>
      <c r="V2665" t="str">
        <f>VLOOKUP(E2665,Products!$A:$D,4,0)</f>
        <v>Binders</v>
      </c>
      <c r="W2665" t="str">
        <f>VLOOKUP(D2665,Customers!$A:$C,3,0)</f>
        <v>B2C</v>
      </c>
      <c r="X2665" t="str">
        <f>VLOOKUP(C2665,Sales_Representatives!$A:$B,2,0)</f>
        <v>Jennifer Rodriguez</v>
      </c>
    </row>
    <row r="2666" spans="1:24" x14ac:dyDescent="0.3">
      <c r="A2666" t="s">
        <v>3677</v>
      </c>
      <c r="B2666" t="s">
        <v>3676</v>
      </c>
      <c r="C2666" t="s">
        <v>41</v>
      </c>
      <c r="D2666" t="s">
        <v>1712</v>
      </c>
      <c r="E2666" t="s">
        <v>129</v>
      </c>
      <c r="F2666">
        <v>16</v>
      </c>
      <c r="G2666">
        <v>1283.71</v>
      </c>
      <c r="H2666">
        <v>0.13</v>
      </c>
      <c r="I2666" s="4">
        <v>17869.240000000002</v>
      </c>
      <c r="J2666" t="s">
        <v>44</v>
      </c>
      <c r="K2666" t="s">
        <v>35</v>
      </c>
      <c r="L2666" s="4">
        <f>VLOOKUP(tblTransactions[[#This Row],[Product_ID]],tblProducts[],5,FALSE)</f>
        <v>970.14</v>
      </c>
      <c r="M2666" s="4">
        <f>tblTransactions[[#This Row],[Total_Amount]]-(tblTransactions[[#This Row],[Cost_Prices]]*tblTransactions[[#This Row],[Quantity]]*(1-tblTransactions[[#This Row],[Discount]]))</f>
        <v>4364.8912000000018</v>
      </c>
      <c r="N2666" s="3">
        <f>tblTransactions[[#This Row],[Profit]]/tblTransactions[[#This Row],[Total_Amount]]</f>
        <v>0.2442684299947844</v>
      </c>
      <c r="O2666" t="str">
        <f>TEXT(tblTransactions[[#This Row],[Date]], "MMM-YYYY")</f>
        <v>Jul-2024</v>
      </c>
      <c r="P2666" t="str">
        <f>"Q"&amp;ROUNDUP(MONTH(tblTransactions[[#This Row],[Date]])/3,0)&amp;"-"&amp;YEAR(tblTransactions[[#This Row],[Date]])</f>
        <v>Q3-2024</v>
      </c>
      <c r="Q2666">
        <f>YEAR(tblTransactions[[#This Row],[Date]])</f>
        <v>2024</v>
      </c>
      <c r="R2666" t="str">
        <f>TEXT(tblTransactions[[#This Row],[Date]],"DDDD")</f>
        <v>Sunday</v>
      </c>
      <c r="S2666">
        <f>MONTH(tblTransactions[[#This Row],[Date]])</f>
        <v>7</v>
      </c>
      <c r="T2666" t="str">
        <f>VLOOKUP(E2666, Products!$A:$B,2,0)</f>
        <v>Cameras Ele-3</v>
      </c>
      <c r="U2666" t="str">
        <f>VLOOKUP(E2666,Products!$A:$C,3,0)</f>
        <v>Electronics</v>
      </c>
      <c r="V2666" t="str">
        <f>VLOOKUP(E2666,Products!$A:$D,4,0)</f>
        <v>Cameras</v>
      </c>
      <c r="W2666" t="str">
        <f>VLOOKUP(D2666,Customers!$A:$C,3,0)</f>
        <v>B2B</v>
      </c>
      <c r="X2666" t="str">
        <f>VLOOKUP(C2666,Sales_Representatives!$A:$B,2,0)</f>
        <v>Robert Jones</v>
      </c>
    </row>
    <row r="2667" spans="1:24" x14ac:dyDescent="0.3">
      <c r="A2667" t="s">
        <v>3678</v>
      </c>
      <c r="B2667" t="s">
        <v>3676</v>
      </c>
      <c r="C2667" t="s">
        <v>13</v>
      </c>
      <c r="D2667" t="s">
        <v>1600</v>
      </c>
      <c r="E2667" t="s">
        <v>704</v>
      </c>
      <c r="F2667">
        <v>6</v>
      </c>
      <c r="G2667">
        <v>291.81</v>
      </c>
      <c r="H2667">
        <v>0.06</v>
      </c>
      <c r="I2667" s="4">
        <v>1645.81</v>
      </c>
      <c r="J2667" t="s">
        <v>16</v>
      </c>
      <c r="K2667" t="s">
        <v>39</v>
      </c>
      <c r="L2667" s="4">
        <f>VLOOKUP(tblTransactions[[#This Row],[Product_ID]],tblProducts[],5,FALSE)</f>
        <v>123.61</v>
      </c>
      <c r="M2667" s="4">
        <f>tblTransactions[[#This Row],[Total_Amount]]-(tblTransactions[[#This Row],[Cost_Prices]]*tblTransactions[[#This Row],[Quantity]]*(1-tblTransactions[[#This Row],[Discount]]))</f>
        <v>948.64959999999996</v>
      </c>
      <c r="N2667" s="3">
        <f>tblTransactions[[#This Row],[Profit]]/tblTransactions[[#This Row],[Total_Amount]]</f>
        <v>0.57640286545834574</v>
      </c>
      <c r="O2667" t="str">
        <f>TEXT(tblTransactions[[#This Row],[Date]], "MMM-YYYY")</f>
        <v>Jul-2024</v>
      </c>
      <c r="P2667" t="str">
        <f>"Q"&amp;ROUNDUP(MONTH(tblTransactions[[#This Row],[Date]])/3,0)&amp;"-"&amp;YEAR(tblTransactions[[#This Row],[Date]])</f>
        <v>Q3-2024</v>
      </c>
      <c r="Q2667">
        <f>YEAR(tblTransactions[[#This Row],[Date]])</f>
        <v>2024</v>
      </c>
      <c r="R2667" t="str">
        <f>TEXT(tblTransactions[[#This Row],[Date]],"DDDD")</f>
        <v>Sunday</v>
      </c>
      <c r="S2667">
        <f>MONTH(tblTransactions[[#This Row],[Date]])</f>
        <v>7</v>
      </c>
      <c r="T2667" t="str">
        <f>VLOOKUP(E2667, Products!$A:$B,2,0)</f>
        <v>Keyboards Acc-4</v>
      </c>
      <c r="U2667" t="str">
        <f>VLOOKUP(E2667,Products!$A:$C,3,0)</f>
        <v>Accessories</v>
      </c>
      <c r="V2667" t="str">
        <f>VLOOKUP(E2667,Products!$A:$D,4,0)</f>
        <v>Keyboards</v>
      </c>
      <c r="W2667" t="str">
        <f>VLOOKUP(D2667,Customers!$A:$C,3,0)</f>
        <v>B2C</v>
      </c>
      <c r="X2667" t="str">
        <f>VLOOKUP(C2667,Sales_Representatives!$A:$B,2,0)</f>
        <v>Jennifer Rodriguez</v>
      </c>
    </row>
    <row r="2668" spans="1:24" x14ac:dyDescent="0.3">
      <c r="A2668" t="s">
        <v>3679</v>
      </c>
      <c r="B2668" t="s">
        <v>3680</v>
      </c>
      <c r="C2668" t="s">
        <v>75</v>
      </c>
      <c r="D2668" t="s">
        <v>67</v>
      </c>
      <c r="E2668" t="s">
        <v>157</v>
      </c>
      <c r="F2668">
        <v>7</v>
      </c>
      <c r="G2668">
        <v>1227.68</v>
      </c>
      <c r="H2668">
        <v>0.13</v>
      </c>
      <c r="I2668" s="4">
        <v>7476.57</v>
      </c>
      <c r="J2668" t="s">
        <v>44</v>
      </c>
      <c r="K2668" t="s">
        <v>35</v>
      </c>
      <c r="L2668" s="4">
        <f>VLOOKUP(tblTransactions[[#This Row],[Product_ID]],tblProducts[],5,FALSE)</f>
        <v>846.42</v>
      </c>
      <c r="M2668" s="4">
        <f>tblTransactions[[#This Row],[Total_Amount]]-(tblTransactions[[#This Row],[Cost_Prices]]*tblTransactions[[#This Row],[Quantity]]*(1-tblTransactions[[#This Row],[Discount]]))</f>
        <v>2321.8721999999998</v>
      </c>
      <c r="N2668" s="3">
        <f>tblTransactions[[#This Row],[Profit]]/tblTransactions[[#This Row],[Total_Amount]]</f>
        <v>0.31055312797178386</v>
      </c>
      <c r="O2668" t="str">
        <f>TEXT(tblTransactions[[#This Row],[Date]], "MMM-YYYY")</f>
        <v>Jul-2024</v>
      </c>
      <c r="P2668" t="str">
        <f>"Q"&amp;ROUNDUP(MONTH(tblTransactions[[#This Row],[Date]])/3,0)&amp;"-"&amp;YEAR(tblTransactions[[#This Row],[Date]])</f>
        <v>Q3-2024</v>
      </c>
      <c r="Q2668">
        <f>YEAR(tblTransactions[[#This Row],[Date]])</f>
        <v>2024</v>
      </c>
      <c r="R2668" t="str">
        <f>TEXT(tblTransactions[[#This Row],[Date]],"DDDD")</f>
        <v>Monday</v>
      </c>
      <c r="S2668">
        <f>MONTH(tblTransactions[[#This Row],[Date]])</f>
        <v>7</v>
      </c>
      <c r="T2668" t="str">
        <f>VLOOKUP(E2668, Products!$A:$B,2,0)</f>
        <v>Printers Tec-4</v>
      </c>
      <c r="U2668" t="str">
        <f>VLOOKUP(E2668,Products!$A:$C,3,0)</f>
        <v>Technology</v>
      </c>
      <c r="V2668" t="str">
        <f>VLOOKUP(E2668,Products!$A:$D,4,0)</f>
        <v>Printers</v>
      </c>
      <c r="W2668" t="str">
        <f>VLOOKUP(D2668,Customers!$A:$C,3,0)</f>
        <v>B2C</v>
      </c>
      <c r="X2668" t="str">
        <f>VLOOKUP(C2668,Sales_Representatives!$A:$B,2,0)</f>
        <v>Jessica Anderson</v>
      </c>
    </row>
    <row r="2669" spans="1:24" x14ac:dyDescent="0.3">
      <c r="A2669" t="s">
        <v>3681</v>
      </c>
      <c r="B2669" t="s">
        <v>3680</v>
      </c>
      <c r="C2669" t="s">
        <v>63</v>
      </c>
      <c r="D2669" t="s">
        <v>1866</v>
      </c>
      <c r="E2669" t="s">
        <v>283</v>
      </c>
      <c r="F2669">
        <v>3</v>
      </c>
      <c r="G2669">
        <v>456.88</v>
      </c>
      <c r="H2669">
        <v>7.0000000000000007E-2</v>
      </c>
      <c r="I2669" s="4">
        <v>1274.7</v>
      </c>
      <c r="J2669" t="s">
        <v>21</v>
      </c>
      <c r="K2669" t="s">
        <v>39</v>
      </c>
      <c r="L2669" s="4">
        <f>VLOOKUP(tblTransactions[[#This Row],[Product_ID]],tblProducts[],5,FALSE)</f>
        <v>313.23</v>
      </c>
      <c r="M2669" s="4">
        <f>tblTransactions[[#This Row],[Total_Amount]]-(tblTransactions[[#This Row],[Cost_Prices]]*tblTransactions[[#This Row],[Quantity]]*(1-tblTransactions[[#This Row],[Discount]]))</f>
        <v>400.78830000000005</v>
      </c>
      <c r="N2669" s="3">
        <f>tblTransactions[[#This Row],[Profit]]/tblTransactions[[#This Row],[Total_Amount]]</f>
        <v>0.31441774535184752</v>
      </c>
      <c r="O2669" t="str">
        <f>TEXT(tblTransactions[[#This Row],[Date]], "MMM-YYYY")</f>
        <v>Jul-2024</v>
      </c>
      <c r="P2669" t="str">
        <f>"Q"&amp;ROUNDUP(MONTH(tblTransactions[[#This Row],[Date]])/3,0)&amp;"-"&amp;YEAR(tblTransactions[[#This Row],[Date]])</f>
        <v>Q3-2024</v>
      </c>
      <c r="Q2669">
        <f>YEAR(tblTransactions[[#This Row],[Date]])</f>
        <v>2024</v>
      </c>
      <c r="R2669" t="str">
        <f>TEXT(tblTransactions[[#This Row],[Date]],"DDDD")</f>
        <v>Monday</v>
      </c>
      <c r="S2669">
        <f>MONTH(tblTransactions[[#This Row],[Date]])</f>
        <v>7</v>
      </c>
      <c r="T2669" t="str">
        <f>VLOOKUP(E2669, Products!$A:$B,2,0)</f>
        <v>Chairs Fur-3</v>
      </c>
      <c r="U2669" t="str">
        <f>VLOOKUP(E2669,Products!$A:$C,3,0)</f>
        <v>Furniture</v>
      </c>
      <c r="V2669" t="str">
        <f>VLOOKUP(E2669,Products!$A:$D,4,0)</f>
        <v>Chairs</v>
      </c>
      <c r="W2669" t="str">
        <f>VLOOKUP(D2669,Customers!$A:$C,3,0)</f>
        <v>B2B</v>
      </c>
      <c r="X2669" t="str">
        <f>VLOOKUP(C2669,Sales_Representatives!$A:$B,2,0)</f>
        <v>Richard Wilson</v>
      </c>
    </row>
    <row r="2670" spans="1:24" x14ac:dyDescent="0.3">
      <c r="A2670" t="s">
        <v>3682</v>
      </c>
      <c r="B2670" t="s">
        <v>3680</v>
      </c>
      <c r="C2670" t="s">
        <v>41</v>
      </c>
      <c r="D2670" t="s">
        <v>1515</v>
      </c>
      <c r="E2670" t="s">
        <v>157</v>
      </c>
      <c r="F2670">
        <v>1</v>
      </c>
      <c r="G2670">
        <v>1227.68</v>
      </c>
      <c r="H2670">
        <v>0.05</v>
      </c>
      <c r="I2670" s="4">
        <v>1166.3</v>
      </c>
      <c r="J2670" t="s">
        <v>44</v>
      </c>
      <c r="K2670" t="s">
        <v>48</v>
      </c>
      <c r="L2670" s="4">
        <f>VLOOKUP(tblTransactions[[#This Row],[Product_ID]],tblProducts[],5,FALSE)</f>
        <v>846.42</v>
      </c>
      <c r="M2670" s="4">
        <f>tblTransactions[[#This Row],[Total_Amount]]-(tblTransactions[[#This Row],[Cost_Prices]]*tblTransactions[[#This Row],[Quantity]]*(1-tblTransactions[[#This Row],[Discount]]))</f>
        <v>362.20100000000002</v>
      </c>
      <c r="N2670" s="3">
        <f>tblTransactions[[#This Row],[Profit]]/tblTransactions[[#This Row],[Total_Amount]]</f>
        <v>0.31055560318957387</v>
      </c>
      <c r="O2670" t="str">
        <f>TEXT(tblTransactions[[#This Row],[Date]], "MMM-YYYY")</f>
        <v>Jul-2024</v>
      </c>
      <c r="P2670" t="str">
        <f>"Q"&amp;ROUNDUP(MONTH(tblTransactions[[#This Row],[Date]])/3,0)&amp;"-"&amp;YEAR(tblTransactions[[#This Row],[Date]])</f>
        <v>Q3-2024</v>
      </c>
      <c r="Q2670">
        <f>YEAR(tblTransactions[[#This Row],[Date]])</f>
        <v>2024</v>
      </c>
      <c r="R2670" t="str">
        <f>TEXT(tblTransactions[[#This Row],[Date]],"DDDD")</f>
        <v>Monday</v>
      </c>
      <c r="S2670">
        <f>MONTH(tblTransactions[[#This Row],[Date]])</f>
        <v>7</v>
      </c>
      <c r="T2670" t="str">
        <f>VLOOKUP(E2670, Products!$A:$B,2,0)</f>
        <v>Printers Tec-4</v>
      </c>
      <c r="U2670" t="str">
        <f>VLOOKUP(E2670,Products!$A:$C,3,0)</f>
        <v>Technology</v>
      </c>
      <c r="V2670" t="str">
        <f>VLOOKUP(E2670,Products!$A:$D,4,0)</f>
        <v>Printers</v>
      </c>
      <c r="W2670" t="str">
        <f>VLOOKUP(D2670,Customers!$A:$C,3,0)</f>
        <v>B2C</v>
      </c>
      <c r="X2670" t="str">
        <f>VLOOKUP(C2670,Sales_Representatives!$A:$B,2,0)</f>
        <v>Robert Jones</v>
      </c>
    </row>
    <row r="2671" spans="1:24" x14ac:dyDescent="0.3">
      <c r="A2671" t="s">
        <v>3683</v>
      </c>
      <c r="B2671" t="s">
        <v>3680</v>
      </c>
      <c r="C2671" t="s">
        <v>141</v>
      </c>
      <c r="D2671" t="s">
        <v>1730</v>
      </c>
      <c r="E2671" t="s">
        <v>15</v>
      </c>
      <c r="F2671">
        <v>13</v>
      </c>
      <c r="G2671">
        <v>477.48</v>
      </c>
      <c r="H2671">
        <v>0.12</v>
      </c>
      <c r="I2671" s="4">
        <v>5462.37</v>
      </c>
      <c r="J2671" t="s">
        <v>109</v>
      </c>
      <c r="K2671" t="s">
        <v>39</v>
      </c>
      <c r="L2671" s="4">
        <f>VLOOKUP(tblTransactions[[#This Row],[Product_ID]],tblProducts[],5,FALSE)</f>
        <v>275.51</v>
      </c>
      <c r="M2671" s="4">
        <f>tblTransactions[[#This Row],[Total_Amount]]-(tblTransactions[[#This Row],[Cost_Prices]]*tblTransactions[[#This Row],[Quantity]]*(1-tblTransactions[[#This Row],[Discount]]))</f>
        <v>2310.5355999999997</v>
      </c>
      <c r="N2671" s="3">
        <f>tblTransactions[[#This Row],[Profit]]/tblTransactions[[#This Row],[Total_Amount]]</f>
        <v>0.42299141215260039</v>
      </c>
      <c r="O2671" t="str">
        <f>TEXT(tblTransactions[[#This Row],[Date]], "MMM-YYYY")</f>
        <v>Jul-2024</v>
      </c>
      <c r="P2671" t="str">
        <f>"Q"&amp;ROUNDUP(MONTH(tblTransactions[[#This Row],[Date]])/3,0)&amp;"-"&amp;YEAR(tblTransactions[[#This Row],[Date]])</f>
        <v>Q3-2024</v>
      </c>
      <c r="Q2671">
        <f>YEAR(tblTransactions[[#This Row],[Date]])</f>
        <v>2024</v>
      </c>
      <c r="R2671" t="str">
        <f>TEXT(tblTransactions[[#This Row],[Date]],"DDDD")</f>
        <v>Monday</v>
      </c>
      <c r="S2671">
        <f>MONTH(tblTransactions[[#This Row],[Date]])</f>
        <v>7</v>
      </c>
      <c r="T2671" t="str">
        <f>VLOOKUP(E2671, Products!$A:$B,2,0)</f>
        <v>Laptops Ele-4</v>
      </c>
      <c r="U2671" t="str">
        <f>VLOOKUP(E2671,Products!$A:$C,3,0)</f>
        <v>Electronics</v>
      </c>
      <c r="V2671" t="str">
        <f>VLOOKUP(E2671,Products!$A:$D,4,0)</f>
        <v>Laptops</v>
      </c>
      <c r="W2671" t="str">
        <f>VLOOKUP(D2671,Customers!$A:$C,3,0)</f>
        <v>B2B</v>
      </c>
      <c r="X2671" t="str">
        <f>VLOOKUP(C2671,Sales_Representatives!$A:$B,2,0)</f>
        <v>Richard Garcia</v>
      </c>
    </row>
    <row r="2672" spans="1:24" x14ac:dyDescent="0.3">
      <c r="A2672" t="s">
        <v>3684</v>
      </c>
      <c r="B2672" t="s">
        <v>3680</v>
      </c>
      <c r="C2672" t="s">
        <v>41</v>
      </c>
      <c r="D2672" t="s">
        <v>2567</v>
      </c>
      <c r="E2672" t="s">
        <v>84</v>
      </c>
      <c r="F2672">
        <v>12</v>
      </c>
      <c r="G2672">
        <v>1841.77</v>
      </c>
      <c r="H2672">
        <v>0.14000000000000001</v>
      </c>
      <c r="I2672" s="4">
        <v>19007.07</v>
      </c>
      <c r="J2672" t="s">
        <v>44</v>
      </c>
      <c r="K2672" t="s">
        <v>17</v>
      </c>
      <c r="L2672" s="4">
        <f>VLOOKUP(tblTransactions[[#This Row],[Product_ID]],tblProducts[],5,FALSE)</f>
        <v>1151.5899999999999</v>
      </c>
      <c r="M2672" s="4">
        <f>tblTransactions[[#This Row],[Total_Amount]]-(tblTransactions[[#This Row],[Cost_Prices]]*tblTransactions[[#This Row],[Quantity]]*(1-tblTransactions[[#This Row],[Discount]]))</f>
        <v>7122.6612000000023</v>
      </c>
      <c r="N2672" s="3">
        <f>tblTransactions[[#This Row],[Profit]]/tblTransactions[[#This Row],[Total_Amount]]</f>
        <v>0.37473746348069442</v>
      </c>
      <c r="O2672" t="str">
        <f>TEXT(tblTransactions[[#This Row],[Date]], "MMM-YYYY")</f>
        <v>Jul-2024</v>
      </c>
      <c r="P2672" t="str">
        <f>"Q"&amp;ROUNDUP(MONTH(tblTransactions[[#This Row],[Date]])/3,0)&amp;"-"&amp;YEAR(tblTransactions[[#This Row],[Date]])</f>
        <v>Q3-2024</v>
      </c>
      <c r="Q2672">
        <f>YEAR(tblTransactions[[#This Row],[Date]])</f>
        <v>2024</v>
      </c>
      <c r="R2672" t="str">
        <f>TEXT(tblTransactions[[#This Row],[Date]],"DDDD")</f>
        <v>Monday</v>
      </c>
      <c r="S2672">
        <f>MONTH(tblTransactions[[#This Row],[Date]])</f>
        <v>7</v>
      </c>
      <c r="T2672" t="str">
        <f>VLOOKUP(E2672, Products!$A:$B,2,0)</f>
        <v>Laptops Ele-2</v>
      </c>
      <c r="U2672" t="str">
        <f>VLOOKUP(E2672,Products!$A:$C,3,0)</f>
        <v>Electronics</v>
      </c>
      <c r="V2672" t="str">
        <f>VLOOKUP(E2672,Products!$A:$D,4,0)</f>
        <v>Laptops</v>
      </c>
      <c r="W2672" t="str">
        <f>VLOOKUP(D2672,Customers!$A:$C,3,0)</f>
        <v>B2B</v>
      </c>
      <c r="X2672" t="str">
        <f>VLOOKUP(C2672,Sales_Representatives!$A:$B,2,0)</f>
        <v>Robert Jones</v>
      </c>
    </row>
    <row r="2673" spans="1:24" x14ac:dyDescent="0.3">
      <c r="A2673" t="s">
        <v>3685</v>
      </c>
      <c r="B2673" t="s">
        <v>3686</v>
      </c>
      <c r="C2673" t="s">
        <v>19</v>
      </c>
      <c r="D2673" t="s">
        <v>1523</v>
      </c>
      <c r="E2673" t="s">
        <v>394</v>
      </c>
      <c r="F2673">
        <v>4</v>
      </c>
      <c r="G2673">
        <v>314.69</v>
      </c>
      <c r="H2673">
        <v>0.06</v>
      </c>
      <c r="I2673" s="4">
        <v>1183.23</v>
      </c>
      <c r="J2673" t="s">
        <v>21</v>
      </c>
      <c r="K2673" t="s">
        <v>17</v>
      </c>
      <c r="L2673" s="4">
        <f>VLOOKUP(tblTransactions[[#This Row],[Product_ID]],tblProducts[],5,FALSE)</f>
        <v>185.43</v>
      </c>
      <c r="M2673" s="4">
        <f>tblTransactions[[#This Row],[Total_Amount]]-(tblTransactions[[#This Row],[Cost_Prices]]*tblTransactions[[#This Row],[Quantity]]*(1-tblTransactions[[#This Row],[Discount]]))</f>
        <v>486.01319999999998</v>
      </c>
      <c r="N2673" s="3">
        <f>tblTransactions[[#This Row],[Profit]]/tblTransactions[[#This Row],[Total_Amount]]</f>
        <v>0.41075124870059071</v>
      </c>
      <c r="O2673" t="str">
        <f>TEXT(tblTransactions[[#This Row],[Date]], "MMM-YYYY")</f>
        <v>Jul-2024</v>
      </c>
      <c r="P2673" t="str">
        <f>"Q"&amp;ROUNDUP(MONTH(tblTransactions[[#This Row],[Date]])/3,0)&amp;"-"&amp;YEAR(tblTransactions[[#This Row],[Date]])</f>
        <v>Q3-2024</v>
      </c>
      <c r="Q2673">
        <f>YEAR(tblTransactions[[#This Row],[Date]])</f>
        <v>2024</v>
      </c>
      <c r="R2673" t="str">
        <f>TEXT(tblTransactions[[#This Row],[Date]],"DDDD")</f>
        <v>Tuesday</v>
      </c>
      <c r="S2673">
        <f>MONTH(tblTransactions[[#This Row],[Date]])</f>
        <v>7</v>
      </c>
      <c r="T2673" t="str">
        <f>VLOOKUP(E2673, Products!$A:$B,2,0)</f>
        <v>Desks Fur-1</v>
      </c>
      <c r="U2673" t="str">
        <f>VLOOKUP(E2673,Products!$A:$C,3,0)</f>
        <v>Furniture</v>
      </c>
      <c r="V2673" t="str">
        <f>VLOOKUP(E2673,Products!$A:$D,4,0)</f>
        <v>Desks</v>
      </c>
      <c r="W2673" t="str">
        <f>VLOOKUP(D2673,Customers!$A:$C,3,0)</f>
        <v>Small Business</v>
      </c>
      <c r="X2673" t="str">
        <f>VLOOKUP(C2673,Sales_Representatives!$A:$B,2,0)</f>
        <v>Robert Jones</v>
      </c>
    </row>
    <row r="2674" spans="1:24" x14ac:dyDescent="0.3">
      <c r="A2674" t="s">
        <v>3687</v>
      </c>
      <c r="B2674" t="s">
        <v>3686</v>
      </c>
      <c r="C2674" t="s">
        <v>13</v>
      </c>
      <c r="D2674" t="s">
        <v>1654</v>
      </c>
      <c r="E2674" t="s">
        <v>394</v>
      </c>
      <c r="F2674">
        <v>5</v>
      </c>
      <c r="G2674">
        <v>314.69</v>
      </c>
      <c r="H2674">
        <v>0.01</v>
      </c>
      <c r="I2674" s="4">
        <v>1557.72</v>
      </c>
      <c r="J2674" t="s">
        <v>16</v>
      </c>
      <c r="K2674" t="s">
        <v>48</v>
      </c>
      <c r="L2674" s="4">
        <f>VLOOKUP(tblTransactions[[#This Row],[Product_ID]],tblProducts[],5,FALSE)</f>
        <v>185.43</v>
      </c>
      <c r="M2674" s="4">
        <f>tblTransactions[[#This Row],[Total_Amount]]-(tblTransactions[[#This Row],[Cost_Prices]]*tblTransactions[[#This Row],[Quantity]]*(1-tblTransactions[[#This Row],[Discount]]))</f>
        <v>639.8415</v>
      </c>
      <c r="N2674" s="3">
        <f>tblTransactions[[#This Row],[Profit]]/tblTransactions[[#This Row],[Total_Amount]]</f>
        <v>0.41075514213080655</v>
      </c>
      <c r="O2674" t="str">
        <f>TEXT(tblTransactions[[#This Row],[Date]], "MMM-YYYY")</f>
        <v>Jul-2024</v>
      </c>
      <c r="P2674" t="str">
        <f>"Q"&amp;ROUNDUP(MONTH(tblTransactions[[#This Row],[Date]])/3,0)&amp;"-"&amp;YEAR(tblTransactions[[#This Row],[Date]])</f>
        <v>Q3-2024</v>
      </c>
      <c r="Q2674">
        <f>YEAR(tblTransactions[[#This Row],[Date]])</f>
        <v>2024</v>
      </c>
      <c r="R2674" t="str">
        <f>TEXT(tblTransactions[[#This Row],[Date]],"DDDD")</f>
        <v>Tuesday</v>
      </c>
      <c r="S2674">
        <f>MONTH(tblTransactions[[#This Row],[Date]])</f>
        <v>7</v>
      </c>
      <c r="T2674" t="str">
        <f>VLOOKUP(E2674, Products!$A:$B,2,0)</f>
        <v>Desks Fur-1</v>
      </c>
      <c r="U2674" t="str">
        <f>VLOOKUP(E2674,Products!$A:$C,3,0)</f>
        <v>Furniture</v>
      </c>
      <c r="V2674" t="str">
        <f>VLOOKUP(E2674,Products!$A:$D,4,0)</f>
        <v>Desks</v>
      </c>
      <c r="W2674" t="str">
        <f>VLOOKUP(D2674,Customers!$A:$C,3,0)</f>
        <v>B2C</v>
      </c>
      <c r="X2674" t="str">
        <f>VLOOKUP(C2674,Sales_Representatives!$A:$B,2,0)</f>
        <v>Jennifer Rodriguez</v>
      </c>
    </row>
    <row r="2675" spans="1:24" x14ac:dyDescent="0.3">
      <c r="A2675" t="s">
        <v>3688</v>
      </c>
      <c r="B2675" t="s">
        <v>3686</v>
      </c>
      <c r="C2675" t="s">
        <v>13</v>
      </c>
      <c r="D2675" t="s">
        <v>124</v>
      </c>
      <c r="E2675" t="s">
        <v>53</v>
      </c>
      <c r="F2675">
        <v>5</v>
      </c>
      <c r="G2675">
        <v>2069.2199999999998</v>
      </c>
      <c r="H2675">
        <v>0.05</v>
      </c>
      <c r="I2675" s="4">
        <v>9828.7900000000009</v>
      </c>
      <c r="J2675" t="s">
        <v>16</v>
      </c>
      <c r="K2675" t="s">
        <v>39</v>
      </c>
      <c r="L2675" s="4">
        <f>VLOOKUP(tblTransactions[[#This Row],[Product_ID]],tblProducts[],5,FALSE)</f>
        <v>1451.18</v>
      </c>
      <c r="M2675" s="4">
        <f>tblTransactions[[#This Row],[Total_Amount]]-(tblTransactions[[#This Row],[Cost_Prices]]*tblTransactions[[#This Row],[Quantity]]*(1-tblTransactions[[#This Row],[Discount]]))</f>
        <v>2935.6850000000004</v>
      </c>
      <c r="N2675" s="3">
        <f>tblTransactions[[#This Row],[Profit]]/tblTransactions[[#This Row],[Total_Amount]]</f>
        <v>0.29868223860719378</v>
      </c>
      <c r="O2675" t="str">
        <f>TEXT(tblTransactions[[#This Row],[Date]], "MMM-YYYY")</f>
        <v>Jul-2024</v>
      </c>
      <c r="P2675" t="str">
        <f>"Q"&amp;ROUNDUP(MONTH(tblTransactions[[#This Row],[Date]])/3,0)&amp;"-"&amp;YEAR(tblTransactions[[#This Row],[Date]])</f>
        <v>Q3-2024</v>
      </c>
      <c r="Q2675">
        <f>YEAR(tblTransactions[[#This Row],[Date]])</f>
        <v>2024</v>
      </c>
      <c r="R2675" t="str">
        <f>TEXT(tblTransactions[[#This Row],[Date]],"DDDD")</f>
        <v>Tuesday</v>
      </c>
      <c r="S2675">
        <f>MONTH(tblTransactions[[#This Row],[Date]])</f>
        <v>7</v>
      </c>
      <c r="T2675" t="str">
        <f>VLOOKUP(E2675, Products!$A:$B,2,0)</f>
        <v>Printers Tec-3</v>
      </c>
      <c r="U2675" t="str">
        <f>VLOOKUP(E2675,Products!$A:$C,3,0)</f>
        <v>Technology</v>
      </c>
      <c r="V2675" t="str">
        <f>VLOOKUP(E2675,Products!$A:$D,4,0)</f>
        <v>Printers</v>
      </c>
      <c r="W2675" t="str">
        <f>VLOOKUP(D2675,Customers!$A:$C,3,0)</f>
        <v>B2B</v>
      </c>
      <c r="X2675" t="str">
        <f>VLOOKUP(C2675,Sales_Representatives!$A:$B,2,0)</f>
        <v>Jennifer Rodriguez</v>
      </c>
    </row>
    <row r="2676" spans="1:24" x14ac:dyDescent="0.3">
      <c r="A2676" t="s">
        <v>3689</v>
      </c>
      <c r="B2676" t="s">
        <v>3690</v>
      </c>
      <c r="C2676" t="s">
        <v>131</v>
      </c>
      <c r="D2676" t="s">
        <v>1478</v>
      </c>
      <c r="E2676" t="s">
        <v>178</v>
      </c>
      <c r="F2676">
        <v>4</v>
      </c>
      <c r="G2676">
        <v>1623.35</v>
      </c>
      <c r="H2676">
        <v>0.04</v>
      </c>
      <c r="I2676" s="4">
        <v>6233.66</v>
      </c>
      <c r="J2676" t="s">
        <v>44</v>
      </c>
      <c r="K2676" t="s">
        <v>22</v>
      </c>
      <c r="L2676" s="4">
        <f>VLOOKUP(tblTransactions[[#This Row],[Product_ID]],tblProducts[],5,FALSE)</f>
        <v>981.45</v>
      </c>
      <c r="M2676" s="4">
        <f>tblTransactions[[#This Row],[Total_Amount]]-(tblTransactions[[#This Row],[Cost_Prices]]*tblTransactions[[#This Row],[Quantity]]*(1-tblTransactions[[#This Row],[Discount]]))</f>
        <v>2464.8919999999998</v>
      </c>
      <c r="N2676" s="3">
        <f>tblTransactions[[#This Row],[Profit]]/tblTransactions[[#This Row],[Total_Amount]]</f>
        <v>0.39541649688946778</v>
      </c>
      <c r="O2676" t="str">
        <f>TEXT(tblTransactions[[#This Row],[Date]], "MMM-YYYY")</f>
        <v>Jul-2024</v>
      </c>
      <c r="P2676" t="str">
        <f>"Q"&amp;ROUNDUP(MONTH(tblTransactions[[#This Row],[Date]])/3,0)&amp;"-"&amp;YEAR(tblTransactions[[#This Row],[Date]])</f>
        <v>Q3-2024</v>
      </c>
      <c r="Q2676">
        <f>YEAR(tblTransactions[[#This Row],[Date]])</f>
        <v>2024</v>
      </c>
      <c r="R2676" t="str">
        <f>TEXT(tblTransactions[[#This Row],[Date]],"DDDD")</f>
        <v>Wednesday</v>
      </c>
      <c r="S2676">
        <f>MONTH(tblTransactions[[#This Row],[Date]])</f>
        <v>7</v>
      </c>
      <c r="T2676" t="str">
        <f>VLOOKUP(E2676, Products!$A:$B,2,0)</f>
        <v>Tablets Ele-1</v>
      </c>
      <c r="U2676" t="str">
        <f>VLOOKUP(E2676,Products!$A:$C,3,0)</f>
        <v>Electronics</v>
      </c>
      <c r="V2676" t="str">
        <f>VLOOKUP(E2676,Products!$A:$D,4,0)</f>
        <v>Tablets</v>
      </c>
      <c r="W2676" t="str">
        <f>VLOOKUP(D2676,Customers!$A:$C,3,0)</f>
        <v>Small Business</v>
      </c>
      <c r="X2676" t="str">
        <f>VLOOKUP(C2676,Sales_Representatives!$A:$B,2,0)</f>
        <v>Michael Davis</v>
      </c>
    </row>
    <row r="2677" spans="1:24" x14ac:dyDescent="0.3">
      <c r="A2677" t="s">
        <v>3691</v>
      </c>
      <c r="B2677" t="s">
        <v>3690</v>
      </c>
      <c r="C2677" t="s">
        <v>70</v>
      </c>
      <c r="D2677" t="s">
        <v>64</v>
      </c>
      <c r="E2677" t="s">
        <v>450</v>
      </c>
      <c r="F2677">
        <v>1</v>
      </c>
      <c r="G2677">
        <v>2083.92</v>
      </c>
      <c r="H2677">
        <v>0.08</v>
      </c>
      <c r="I2677" s="4">
        <v>1917.21</v>
      </c>
      <c r="J2677" t="s">
        <v>16</v>
      </c>
      <c r="K2677" t="s">
        <v>39</v>
      </c>
      <c r="L2677" s="4">
        <f>VLOOKUP(tblTransactions[[#This Row],[Product_ID]],tblProducts[],5,FALSE)</f>
        <v>1425.78</v>
      </c>
      <c r="M2677" s="4">
        <f>tblTransactions[[#This Row],[Total_Amount]]-(tblTransactions[[#This Row],[Cost_Prices]]*tblTransactions[[#This Row],[Quantity]]*(1-tblTransactions[[#This Row],[Discount]]))</f>
        <v>605.49240000000009</v>
      </c>
      <c r="N2677" s="3">
        <f>tblTransactions[[#This Row],[Profit]]/tblTransactions[[#This Row],[Total_Amount]]</f>
        <v>0.31581955028400649</v>
      </c>
      <c r="O2677" t="str">
        <f>TEXT(tblTransactions[[#This Row],[Date]], "MMM-YYYY")</f>
        <v>Jul-2024</v>
      </c>
      <c r="P2677" t="str">
        <f>"Q"&amp;ROUNDUP(MONTH(tblTransactions[[#This Row],[Date]])/3,0)&amp;"-"&amp;YEAR(tblTransactions[[#This Row],[Date]])</f>
        <v>Q3-2024</v>
      </c>
      <c r="Q2677">
        <f>YEAR(tblTransactions[[#This Row],[Date]])</f>
        <v>2024</v>
      </c>
      <c r="R2677" t="str">
        <f>TEXT(tblTransactions[[#This Row],[Date]],"DDDD")</f>
        <v>Wednesday</v>
      </c>
      <c r="S2677">
        <f>MONTH(tblTransactions[[#This Row],[Date]])</f>
        <v>7</v>
      </c>
      <c r="T2677" t="str">
        <f>VLOOKUP(E2677, Products!$A:$B,2,0)</f>
        <v>Monitors Tec-4</v>
      </c>
      <c r="U2677" t="str">
        <f>VLOOKUP(E2677,Products!$A:$C,3,0)</f>
        <v>Technology</v>
      </c>
      <c r="V2677" t="str">
        <f>VLOOKUP(E2677,Products!$A:$D,4,0)</f>
        <v>Monitors</v>
      </c>
      <c r="W2677" t="str">
        <f>VLOOKUP(D2677,Customers!$A:$C,3,0)</f>
        <v>Small Business</v>
      </c>
      <c r="X2677" t="str">
        <f>VLOOKUP(C2677,Sales_Representatives!$A:$B,2,0)</f>
        <v>Linda Smith</v>
      </c>
    </row>
    <row r="2678" spans="1:24" x14ac:dyDescent="0.3">
      <c r="A2678" t="s">
        <v>3692</v>
      </c>
      <c r="B2678" t="s">
        <v>3690</v>
      </c>
      <c r="C2678" t="s">
        <v>131</v>
      </c>
      <c r="D2678" t="s">
        <v>118</v>
      </c>
      <c r="E2678" t="s">
        <v>316</v>
      </c>
      <c r="F2678">
        <v>3</v>
      </c>
      <c r="G2678">
        <v>91.42</v>
      </c>
      <c r="H2678">
        <v>0.04</v>
      </c>
      <c r="I2678" s="4">
        <v>263.29000000000002</v>
      </c>
      <c r="J2678" t="s">
        <v>44</v>
      </c>
      <c r="K2678" t="s">
        <v>39</v>
      </c>
      <c r="L2678" s="4">
        <f>VLOOKUP(tblTransactions[[#This Row],[Product_ID]],tblProducts[],5,FALSE)</f>
        <v>50.09</v>
      </c>
      <c r="M2678" s="4">
        <f>tblTransactions[[#This Row],[Total_Amount]]-(tblTransactions[[#This Row],[Cost_Prices]]*tblTransactions[[#This Row],[Quantity]]*(1-tblTransactions[[#This Row],[Discount]]))</f>
        <v>119.03080000000003</v>
      </c>
      <c r="N2678" s="3">
        <f>tblTransactions[[#This Row],[Profit]]/tblTransactions[[#This Row],[Total_Amount]]</f>
        <v>0.4520900907744313</v>
      </c>
      <c r="O2678" t="str">
        <f>TEXT(tblTransactions[[#This Row],[Date]], "MMM-YYYY")</f>
        <v>Jul-2024</v>
      </c>
      <c r="P2678" t="str">
        <f>"Q"&amp;ROUNDUP(MONTH(tblTransactions[[#This Row],[Date]])/3,0)&amp;"-"&amp;YEAR(tblTransactions[[#This Row],[Date]])</f>
        <v>Q3-2024</v>
      </c>
      <c r="Q2678">
        <f>YEAR(tblTransactions[[#This Row],[Date]])</f>
        <v>2024</v>
      </c>
      <c r="R2678" t="str">
        <f>TEXT(tblTransactions[[#This Row],[Date]],"DDDD")</f>
        <v>Wednesday</v>
      </c>
      <c r="S2678">
        <f>MONTH(tblTransactions[[#This Row],[Date]])</f>
        <v>7</v>
      </c>
      <c r="T2678" t="str">
        <f>VLOOKUP(E2678, Products!$A:$B,2,0)</f>
        <v>Binders Off-3</v>
      </c>
      <c r="U2678" t="str">
        <f>VLOOKUP(E2678,Products!$A:$C,3,0)</f>
        <v>Office Supplies</v>
      </c>
      <c r="V2678" t="str">
        <f>VLOOKUP(E2678,Products!$A:$D,4,0)</f>
        <v>Binders</v>
      </c>
      <c r="W2678" t="str">
        <f>VLOOKUP(D2678,Customers!$A:$C,3,0)</f>
        <v>B2C</v>
      </c>
      <c r="X2678" t="str">
        <f>VLOOKUP(C2678,Sales_Representatives!$A:$B,2,0)</f>
        <v>Michael Davis</v>
      </c>
    </row>
    <row r="2679" spans="1:24" x14ac:dyDescent="0.3">
      <c r="A2679" t="s">
        <v>3693</v>
      </c>
      <c r="B2679" t="s">
        <v>3690</v>
      </c>
      <c r="C2679" t="s">
        <v>41</v>
      </c>
      <c r="D2679" t="s">
        <v>3006</v>
      </c>
      <c r="E2679" t="s">
        <v>198</v>
      </c>
      <c r="F2679">
        <v>1</v>
      </c>
      <c r="G2679">
        <v>1802.96</v>
      </c>
      <c r="H2679">
        <v>7.0000000000000007E-2</v>
      </c>
      <c r="I2679" s="4">
        <v>1676.75</v>
      </c>
      <c r="J2679" t="s">
        <v>44</v>
      </c>
      <c r="K2679" t="s">
        <v>39</v>
      </c>
      <c r="L2679" s="4">
        <f>VLOOKUP(tblTransactions[[#This Row],[Product_ID]],tblProducts[],5,FALSE)</f>
        <v>1282.18</v>
      </c>
      <c r="M2679" s="4">
        <f>tblTransactions[[#This Row],[Total_Amount]]-(tblTransactions[[#This Row],[Cost_Prices]]*tblTransactions[[#This Row],[Quantity]]*(1-tblTransactions[[#This Row],[Discount]]))</f>
        <v>484.32259999999997</v>
      </c>
      <c r="N2679" s="3">
        <f>tblTransactions[[#This Row],[Profit]]/tblTransactions[[#This Row],[Total_Amount]]</f>
        <v>0.28884604144923215</v>
      </c>
      <c r="O2679" t="str">
        <f>TEXT(tblTransactions[[#This Row],[Date]], "MMM-YYYY")</f>
        <v>Jul-2024</v>
      </c>
      <c r="P2679" t="str">
        <f>"Q"&amp;ROUNDUP(MONTH(tblTransactions[[#This Row],[Date]])/3,0)&amp;"-"&amp;YEAR(tblTransactions[[#This Row],[Date]])</f>
        <v>Q3-2024</v>
      </c>
      <c r="Q2679">
        <f>YEAR(tblTransactions[[#This Row],[Date]])</f>
        <v>2024</v>
      </c>
      <c r="R2679" t="str">
        <f>TEXT(tblTransactions[[#This Row],[Date]],"DDDD")</f>
        <v>Wednesday</v>
      </c>
      <c r="S2679">
        <f>MONTH(tblTransactions[[#This Row],[Date]])</f>
        <v>7</v>
      </c>
      <c r="T2679" t="str">
        <f>VLOOKUP(E2679, Products!$A:$B,2,0)</f>
        <v>Tablets Ele-3</v>
      </c>
      <c r="U2679" t="str">
        <f>VLOOKUP(E2679,Products!$A:$C,3,0)</f>
        <v>Electronics</v>
      </c>
      <c r="V2679" t="str">
        <f>VLOOKUP(E2679,Products!$A:$D,4,0)</f>
        <v>Tablets</v>
      </c>
      <c r="W2679" t="str">
        <f>VLOOKUP(D2679,Customers!$A:$C,3,0)</f>
        <v>B2C</v>
      </c>
      <c r="X2679" t="str">
        <f>VLOOKUP(C2679,Sales_Representatives!$A:$B,2,0)</f>
        <v>Robert Jones</v>
      </c>
    </row>
    <row r="2680" spans="1:24" x14ac:dyDescent="0.3">
      <c r="A2680" t="s">
        <v>3694</v>
      </c>
      <c r="B2680" t="s">
        <v>3690</v>
      </c>
      <c r="C2680" t="s">
        <v>75</v>
      </c>
      <c r="D2680" t="s">
        <v>2119</v>
      </c>
      <c r="E2680" t="s">
        <v>176</v>
      </c>
      <c r="F2680">
        <v>18</v>
      </c>
      <c r="G2680">
        <v>1462.68</v>
      </c>
      <c r="H2680">
        <v>0.16</v>
      </c>
      <c r="I2680" s="4">
        <v>22115.72</v>
      </c>
      <c r="J2680" t="s">
        <v>44</v>
      </c>
      <c r="K2680" t="s">
        <v>22</v>
      </c>
      <c r="L2680" s="4">
        <f>VLOOKUP(tblTransactions[[#This Row],[Product_ID]],tblProducts[],5,FALSE)</f>
        <v>775.94</v>
      </c>
      <c r="M2680" s="4">
        <f>tblTransactions[[#This Row],[Total_Amount]]-(tblTransactions[[#This Row],[Cost_Prices]]*tblTransactions[[#This Row],[Quantity]]*(1-tblTransactions[[#This Row],[Discount]]))</f>
        <v>10383.5072</v>
      </c>
      <c r="N2680" s="3">
        <f>tblTransactions[[#This Row],[Profit]]/tblTransactions[[#This Row],[Total_Amount]]</f>
        <v>0.46950798798320831</v>
      </c>
      <c r="O2680" t="str">
        <f>TEXT(tblTransactions[[#This Row],[Date]], "MMM-YYYY")</f>
        <v>Jul-2024</v>
      </c>
      <c r="P2680" t="str">
        <f>"Q"&amp;ROUNDUP(MONTH(tblTransactions[[#This Row],[Date]])/3,0)&amp;"-"&amp;YEAR(tblTransactions[[#This Row],[Date]])</f>
        <v>Q3-2024</v>
      </c>
      <c r="Q2680">
        <f>YEAR(tblTransactions[[#This Row],[Date]])</f>
        <v>2024</v>
      </c>
      <c r="R2680" t="str">
        <f>TEXT(tblTransactions[[#This Row],[Date]],"DDDD")</f>
        <v>Wednesday</v>
      </c>
      <c r="S2680">
        <f>MONTH(tblTransactions[[#This Row],[Date]])</f>
        <v>7</v>
      </c>
      <c r="T2680" t="str">
        <f>VLOOKUP(E2680, Products!$A:$B,2,0)</f>
        <v>Chairs Fur-2</v>
      </c>
      <c r="U2680" t="str">
        <f>VLOOKUP(E2680,Products!$A:$C,3,0)</f>
        <v>Furniture</v>
      </c>
      <c r="V2680" t="str">
        <f>VLOOKUP(E2680,Products!$A:$D,4,0)</f>
        <v>Chairs</v>
      </c>
      <c r="W2680" t="str">
        <f>VLOOKUP(D2680,Customers!$A:$C,3,0)</f>
        <v>B2B</v>
      </c>
      <c r="X2680" t="str">
        <f>VLOOKUP(C2680,Sales_Representatives!$A:$B,2,0)</f>
        <v>Jessica Anderson</v>
      </c>
    </row>
    <row r="2681" spans="1:24" x14ac:dyDescent="0.3">
      <c r="A2681" t="s">
        <v>3695</v>
      </c>
      <c r="B2681" t="s">
        <v>3690</v>
      </c>
      <c r="C2681" t="s">
        <v>27</v>
      </c>
      <c r="D2681" t="s">
        <v>1502</v>
      </c>
      <c r="E2681" t="s">
        <v>204</v>
      </c>
      <c r="F2681">
        <v>5</v>
      </c>
      <c r="G2681">
        <v>715.62</v>
      </c>
      <c r="H2681">
        <v>0.05</v>
      </c>
      <c r="I2681" s="4">
        <v>3399.2</v>
      </c>
      <c r="J2681" t="s">
        <v>16</v>
      </c>
      <c r="K2681" t="s">
        <v>22</v>
      </c>
      <c r="L2681" s="4">
        <f>VLOOKUP(tblTransactions[[#This Row],[Product_ID]],tblProducts[],5,FALSE)</f>
        <v>459.58</v>
      </c>
      <c r="M2681" s="4">
        <f>tblTransactions[[#This Row],[Total_Amount]]-(tblTransactions[[#This Row],[Cost_Prices]]*tblTransactions[[#This Row],[Quantity]]*(1-tblTransactions[[#This Row],[Discount]]))</f>
        <v>1216.1949999999997</v>
      </c>
      <c r="N2681" s="3">
        <f>tblTransactions[[#This Row],[Profit]]/tblTransactions[[#This Row],[Total_Amount]]</f>
        <v>0.35778859731701568</v>
      </c>
      <c r="O2681" t="str">
        <f>TEXT(tblTransactions[[#This Row],[Date]], "MMM-YYYY")</f>
        <v>Jul-2024</v>
      </c>
      <c r="P2681" t="str">
        <f>"Q"&amp;ROUNDUP(MONTH(tblTransactions[[#This Row],[Date]])/3,0)&amp;"-"&amp;YEAR(tblTransactions[[#This Row],[Date]])</f>
        <v>Q3-2024</v>
      </c>
      <c r="Q2681">
        <f>YEAR(tblTransactions[[#This Row],[Date]])</f>
        <v>2024</v>
      </c>
      <c r="R2681" t="str">
        <f>TEXT(tblTransactions[[#This Row],[Date]],"DDDD")</f>
        <v>Wednesday</v>
      </c>
      <c r="S2681">
        <f>MONTH(tblTransactions[[#This Row],[Date]])</f>
        <v>7</v>
      </c>
      <c r="T2681" t="str">
        <f>VLOOKUP(E2681, Products!$A:$B,2,0)</f>
        <v>Cameras Ele-2</v>
      </c>
      <c r="U2681" t="str">
        <f>VLOOKUP(E2681,Products!$A:$C,3,0)</f>
        <v>Electronics</v>
      </c>
      <c r="V2681" t="str">
        <f>VLOOKUP(E2681,Products!$A:$D,4,0)</f>
        <v>Cameras</v>
      </c>
      <c r="W2681" t="str">
        <f>VLOOKUP(D2681,Customers!$A:$C,3,0)</f>
        <v>Small Business</v>
      </c>
      <c r="X2681" t="str">
        <f>VLOOKUP(C2681,Sales_Representatives!$A:$B,2,0)</f>
        <v>Thomas Lopez</v>
      </c>
    </row>
    <row r="2682" spans="1:24" x14ac:dyDescent="0.3">
      <c r="A2682" t="s">
        <v>3696</v>
      </c>
      <c r="B2682" t="s">
        <v>3690</v>
      </c>
      <c r="C2682" t="s">
        <v>31</v>
      </c>
      <c r="D2682" t="s">
        <v>2567</v>
      </c>
      <c r="E2682" t="s">
        <v>450</v>
      </c>
      <c r="F2682">
        <v>7</v>
      </c>
      <c r="G2682">
        <v>2083.92</v>
      </c>
      <c r="H2682">
        <v>0.06</v>
      </c>
      <c r="I2682" s="4">
        <v>13712.19</v>
      </c>
      <c r="J2682" t="s">
        <v>34</v>
      </c>
      <c r="K2682" t="s">
        <v>17</v>
      </c>
      <c r="L2682" s="4">
        <f>VLOOKUP(tblTransactions[[#This Row],[Product_ID]],tblProducts[],5,FALSE)</f>
        <v>1425.78</v>
      </c>
      <c r="M2682" s="4">
        <f>tblTransactions[[#This Row],[Total_Amount]]-(tblTransactions[[#This Row],[Cost_Prices]]*tblTransactions[[#This Row],[Quantity]]*(1-tblTransactions[[#This Row],[Discount]]))</f>
        <v>4330.5576000000019</v>
      </c>
      <c r="N2682" s="3">
        <f>tblTransactions[[#This Row],[Profit]]/tblTransactions[[#This Row],[Total_Amount]]</f>
        <v>0.31581808595125954</v>
      </c>
      <c r="O2682" t="str">
        <f>TEXT(tblTransactions[[#This Row],[Date]], "MMM-YYYY")</f>
        <v>Jul-2024</v>
      </c>
      <c r="P2682" t="str">
        <f>"Q"&amp;ROUNDUP(MONTH(tblTransactions[[#This Row],[Date]])/3,0)&amp;"-"&amp;YEAR(tblTransactions[[#This Row],[Date]])</f>
        <v>Q3-2024</v>
      </c>
      <c r="Q2682">
        <f>YEAR(tblTransactions[[#This Row],[Date]])</f>
        <v>2024</v>
      </c>
      <c r="R2682" t="str">
        <f>TEXT(tblTransactions[[#This Row],[Date]],"DDDD")</f>
        <v>Wednesday</v>
      </c>
      <c r="S2682">
        <f>MONTH(tblTransactions[[#This Row],[Date]])</f>
        <v>7</v>
      </c>
      <c r="T2682" t="str">
        <f>VLOOKUP(E2682, Products!$A:$B,2,0)</f>
        <v>Monitors Tec-4</v>
      </c>
      <c r="U2682" t="str">
        <f>VLOOKUP(E2682,Products!$A:$C,3,0)</f>
        <v>Technology</v>
      </c>
      <c r="V2682" t="str">
        <f>VLOOKUP(E2682,Products!$A:$D,4,0)</f>
        <v>Monitors</v>
      </c>
      <c r="W2682" t="str">
        <f>VLOOKUP(D2682,Customers!$A:$C,3,0)</f>
        <v>B2B</v>
      </c>
      <c r="X2682" t="str">
        <f>VLOOKUP(C2682,Sales_Representatives!$A:$B,2,0)</f>
        <v>Thomas Martinez</v>
      </c>
    </row>
    <row r="2683" spans="1:24" x14ac:dyDescent="0.3">
      <c r="A2683" t="s">
        <v>3697</v>
      </c>
      <c r="B2683" t="s">
        <v>3690</v>
      </c>
      <c r="C2683" t="s">
        <v>70</v>
      </c>
      <c r="D2683" t="s">
        <v>1494</v>
      </c>
      <c r="E2683" t="s">
        <v>72</v>
      </c>
      <c r="F2683">
        <v>6</v>
      </c>
      <c r="G2683">
        <v>404.76</v>
      </c>
      <c r="H2683">
        <v>0.11</v>
      </c>
      <c r="I2683" s="4">
        <v>2161.42</v>
      </c>
      <c r="J2683" t="s">
        <v>16</v>
      </c>
      <c r="K2683" t="s">
        <v>39</v>
      </c>
      <c r="L2683" s="4">
        <f>VLOOKUP(tblTransactions[[#This Row],[Product_ID]],tblProducts[],5,FALSE)</f>
        <v>226.76</v>
      </c>
      <c r="M2683" s="4">
        <f>tblTransactions[[#This Row],[Total_Amount]]-(tblTransactions[[#This Row],[Cost_Prices]]*tblTransactions[[#This Row],[Quantity]]*(1-tblTransactions[[#This Row],[Discount]]))</f>
        <v>950.52160000000003</v>
      </c>
      <c r="N2683" s="3">
        <f>tblTransactions[[#This Row],[Profit]]/tblTransactions[[#This Row],[Total_Amount]]</f>
        <v>0.43976719008799769</v>
      </c>
      <c r="O2683" t="str">
        <f>TEXT(tblTransactions[[#This Row],[Date]], "MMM-YYYY")</f>
        <v>Jul-2024</v>
      </c>
      <c r="P2683" t="str">
        <f>"Q"&amp;ROUNDUP(MONTH(tblTransactions[[#This Row],[Date]])/3,0)&amp;"-"&amp;YEAR(tblTransactions[[#This Row],[Date]])</f>
        <v>Q3-2024</v>
      </c>
      <c r="Q2683">
        <f>YEAR(tblTransactions[[#This Row],[Date]])</f>
        <v>2024</v>
      </c>
      <c r="R2683" t="str">
        <f>TEXT(tblTransactions[[#This Row],[Date]],"DDDD")</f>
        <v>Wednesday</v>
      </c>
      <c r="S2683">
        <f>MONTH(tblTransactions[[#This Row],[Date]])</f>
        <v>7</v>
      </c>
      <c r="T2683" t="str">
        <f>VLOOKUP(E2683, Products!$A:$B,2,0)</f>
        <v>Tablets Ele-2</v>
      </c>
      <c r="U2683" t="str">
        <f>VLOOKUP(E2683,Products!$A:$C,3,0)</f>
        <v>Electronics</v>
      </c>
      <c r="V2683" t="str">
        <f>VLOOKUP(E2683,Products!$A:$D,4,0)</f>
        <v>Tablets</v>
      </c>
      <c r="W2683" t="str">
        <f>VLOOKUP(D2683,Customers!$A:$C,3,0)</f>
        <v>Small Business</v>
      </c>
      <c r="X2683" t="str">
        <f>VLOOKUP(C2683,Sales_Representatives!$A:$B,2,0)</f>
        <v>Linda Smith</v>
      </c>
    </row>
    <row r="2684" spans="1:24" x14ac:dyDescent="0.3">
      <c r="A2684" t="s">
        <v>3698</v>
      </c>
      <c r="B2684" t="s">
        <v>3690</v>
      </c>
      <c r="C2684" t="s">
        <v>56</v>
      </c>
      <c r="D2684" t="s">
        <v>2268</v>
      </c>
      <c r="E2684" t="s">
        <v>204</v>
      </c>
      <c r="F2684">
        <v>42</v>
      </c>
      <c r="G2684">
        <v>715.62</v>
      </c>
      <c r="H2684">
        <v>0.18</v>
      </c>
      <c r="I2684" s="4">
        <v>24645.95</v>
      </c>
      <c r="J2684" t="s">
        <v>34</v>
      </c>
      <c r="K2684" t="s">
        <v>17</v>
      </c>
      <c r="L2684" s="4">
        <f>VLOOKUP(tblTransactions[[#This Row],[Product_ID]],tblProducts[],5,FALSE)</f>
        <v>459.58</v>
      </c>
      <c r="M2684" s="4">
        <f>tblTransactions[[#This Row],[Total_Amount]]-(tblTransactions[[#This Row],[Cost_Prices]]*tblTransactions[[#This Row],[Quantity]]*(1-tblTransactions[[#This Row],[Discount]]))</f>
        <v>8818.014799999999</v>
      </c>
      <c r="N2684" s="3">
        <f>tblTransactions[[#This Row],[Profit]]/tblTransactions[[#This Row],[Total_Amount]]</f>
        <v>0.35778757970376468</v>
      </c>
      <c r="O2684" t="str">
        <f>TEXT(tblTransactions[[#This Row],[Date]], "MMM-YYYY")</f>
        <v>Jul-2024</v>
      </c>
      <c r="P2684" t="str">
        <f>"Q"&amp;ROUNDUP(MONTH(tblTransactions[[#This Row],[Date]])/3,0)&amp;"-"&amp;YEAR(tblTransactions[[#This Row],[Date]])</f>
        <v>Q3-2024</v>
      </c>
      <c r="Q2684">
        <f>YEAR(tblTransactions[[#This Row],[Date]])</f>
        <v>2024</v>
      </c>
      <c r="R2684" t="str">
        <f>TEXT(tblTransactions[[#This Row],[Date]],"DDDD")</f>
        <v>Wednesday</v>
      </c>
      <c r="S2684">
        <f>MONTH(tblTransactions[[#This Row],[Date]])</f>
        <v>7</v>
      </c>
      <c r="T2684" t="str">
        <f>VLOOKUP(E2684, Products!$A:$B,2,0)</f>
        <v>Cameras Ele-2</v>
      </c>
      <c r="U2684" t="str">
        <f>VLOOKUP(E2684,Products!$A:$C,3,0)</f>
        <v>Electronics</v>
      </c>
      <c r="V2684" t="str">
        <f>VLOOKUP(E2684,Products!$A:$D,4,0)</f>
        <v>Cameras</v>
      </c>
      <c r="W2684" t="str">
        <f>VLOOKUP(D2684,Customers!$A:$C,3,0)</f>
        <v>Enterprise</v>
      </c>
      <c r="X2684" t="str">
        <f>VLOOKUP(C2684,Sales_Representatives!$A:$B,2,0)</f>
        <v>Thomas Hernandez</v>
      </c>
    </row>
    <row r="2685" spans="1:24" x14ac:dyDescent="0.3">
      <c r="A2685" t="s">
        <v>3699</v>
      </c>
      <c r="B2685" t="s">
        <v>3690</v>
      </c>
      <c r="C2685" t="s">
        <v>31</v>
      </c>
      <c r="D2685" t="s">
        <v>3014</v>
      </c>
      <c r="E2685" t="s">
        <v>91</v>
      </c>
      <c r="F2685">
        <v>17</v>
      </c>
      <c r="G2685">
        <v>286.62</v>
      </c>
      <c r="H2685">
        <v>0.11</v>
      </c>
      <c r="I2685" s="4">
        <v>4336.5600000000004</v>
      </c>
      <c r="J2685" t="s">
        <v>34</v>
      </c>
      <c r="K2685" t="s">
        <v>39</v>
      </c>
      <c r="L2685" s="4">
        <f>VLOOKUP(tblTransactions[[#This Row],[Product_ID]],tblProducts[],5,FALSE)</f>
        <v>145.54</v>
      </c>
      <c r="M2685" s="4">
        <f>tblTransactions[[#This Row],[Total_Amount]]-(tblTransactions[[#This Row],[Cost_Prices]]*tblTransactions[[#This Row],[Quantity]]*(1-tblTransactions[[#This Row],[Discount]]))</f>
        <v>2134.5398000000005</v>
      </c>
      <c r="N2685" s="3">
        <f>tblTransactions[[#This Row],[Profit]]/tblTransactions[[#This Row],[Total_Amount]]</f>
        <v>0.49221959341044519</v>
      </c>
      <c r="O2685" t="str">
        <f>TEXT(tblTransactions[[#This Row],[Date]], "MMM-YYYY")</f>
        <v>Jul-2024</v>
      </c>
      <c r="P2685" t="str">
        <f>"Q"&amp;ROUNDUP(MONTH(tblTransactions[[#This Row],[Date]])/3,0)&amp;"-"&amp;YEAR(tblTransactions[[#This Row],[Date]])</f>
        <v>Q3-2024</v>
      </c>
      <c r="Q2685">
        <f>YEAR(tblTransactions[[#This Row],[Date]])</f>
        <v>2024</v>
      </c>
      <c r="R2685" t="str">
        <f>TEXT(tblTransactions[[#This Row],[Date]],"DDDD")</f>
        <v>Wednesday</v>
      </c>
      <c r="S2685">
        <f>MONTH(tblTransactions[[#This Row],[Date]])</f>
        <v>7</v>
      </c>
      <c r="T2685" t="str">
        <f>VLOOKUP(E2685, Products!$A:$B,2,0)</f>
        <v>Chairs Fur-1</v>
      </c>
      <c r="U2685" t="str">
        <f>VLOOKUP(E2685,Products!$A:$C,3,0)</f>
        <v>Furniture</v>
      </c>
      <c r="V2685" t="str">
        <f>VLOOKUP(E2685,Products!$A:$D,4,0)</f>
        <v>Chairs</v>
      </c>
      <c r="W2685" t="str">
        <f>VLOOKUP(D2685,Customers!$A:$C,3,0)</f>
        <v>B2B</v>
      </c>
      <c r="X2685" t="str">
        <f>VLOOKUP(C2685,Sales_Representatives!$A:$B,2,0)</f>
        <v>Thomas Martinez</v>
      </c>
    </row>
    <row r="2686" spans="1:24" x14ac:dyDescent="0.3">
      <c r="A2686" t="s">
        <v>3700</v>
      </c>
      <c r="B2686" t="s">
        <v>3701</v>
      </c>
      <c r="C2686" t="s">
        <v>107</v>
      </c>
      <c r="D2686" t="s">
        <v>2287</v>
      </c>
      <c r="E2686" t="s">
        <v>99</v>
      </c>
      <c r="F2686">
        <v>2</v>
      </c>
      <c r="G2686">
        <v>325.14</v>
      </c>
      <c r="H2686">
        <v>0.01</v>
      </c>
      <c r="I2686" s="4">
        <v>643.78</v>
      </c>
      <c r="J2686" t="s">
        <v>109</v>
      </c>
      <c r="K2686" t="s">
        <v>35</v>
      </c>
      <c r="L2686" s="4">
        <f>VLOOKUP(tblTransactions[[#This Row],[Product_ID]],tblProducts[],5,FALSE)</f>
        <v>209.04</v>
      </c>
      <c r="M2686" s="4">
        <f>tblTransactions[[#This Row],[Total_Amount]]-(tblTransactions[[#This Row],[Cost_Prices]]*tblTransactions[[#This Row],[Quantity]]*(1-tblTransactions[[#This Row],[Discount]]))</f>
        <v>229.88079999999997</v>
      </c>
      <c r="N2686" s="3">
        <f>tblTransactions[[#This Row],[Profit]]/tblTransactions[[#This Row],[Total_Amount]]</f>
        <v>0.35707974773991114</v>
      </c>
      <c r="O2686" t="str">
        <f>TEXT(tblTransactions[[#This Row],[Date]], "MMM-YYYY")</f>
        <v>Jul-2024</v>
      </c>
      <c r="P2686" t="str">
        <f>"Q"&amp;ROUNDUP(MONTH(tblTransactions[[#This Row],[Date]])/3,0)&amp;"-"&amp;YEAR(tblTransactions[[#This Row],[Date]])</f>
        <v>Q3-2024</v>
      </c>
      <c r="Q2686">
        <f>YEAR(tblTransactions[[#This Row],[Date]])</f>
        <v>2024</v>
      </c>
      <c r="R2686" t="str">
        <f>TEXT(tblTransactions[[#This Row],[Date]],"DDDD")</f>
        <v>Thursday</v>
      </c>
      <c r="S2686">
        <f>MONTH(tblTransactions[[#This Row],[Date]])</f>
        <v>7</v>
      </c>
      <c r="T2686" t="str">
        <f>VLOOKUP(E2686, Products!$A:$B,2,0)</f>
        <v>Monitors Tec-1</v>
      </c>
      <c r="U2686" t="str">
        <f>VLOOKUP(E2686,Products!$A:$C,3,0)</f>
        <v>Technology</v>
      </c>
      <c r="V2686" t="str">
        <f>VLOOKUP(E2686,Products!$A:$D,4,0)</f>
        <v>Monitors</v>
      </c>
      <c r="W2686" t="str">
        <f>VLOOKUP(D2686,Customers!$A:$C,3,0)</f>
        <v>B2B</v>
      </c>
      <c r="X2686" t="str">
        <f>VLOOKUP(C2686,Sales_Representatives!$A:$B,2,0)</f>
        <v>Jennifer Brown</v>
      </c>
    </row>
    <row r="2687" spans="1:24" x14ac:dyDescent="0.3">
      <c r="A2687" t="s">
        <v>3702</v>
      </c>
      <c r="B2687" t="s">
        <v>3701</v>
      </c>
      <c r="C2687" t="s">
        <v>82</v>
      </c>
      <c r="D2687" t="s">
        <v>128</v>
      </c>
      <c r="E2687" t="s">
        <v>200</v>
      </c>
      <c r="F2687">
        <v>14</v>
      </c>
      <c r="G2687">
        <v>544.77</v>
      </c>
      <c r="H2687">
        <v>0.15</v>
      </c>
      <c r="I2687" s="4">
        <v>6482.76</v>
      </c>
      <c r="J2687" t="s">
        <v>34</v>
      </c>
      <c r="K2687" t="s">
        <v>39</v>
      </c>
      <c r="L2687" s="4">
        <f>VLOOKUP(tblTransactions[[#This Row],[Product_ID]],tblProducts[],5,FALSE)</f>
        <v>318.2</v>
      </c>
      <c r="M2687" s="4">
        <f>tblTransactions[[#This Row],[Total_Amount]]-(tblTransactions[[#This Row],[Cost_Prices]]*tblTransactions[[#This Row],[Quantity]]*(1-tblTransactions[[#This Row],[Discount]]))</f>
        <v>2696.1800000000003</v>
      </c>
      <c r="N2687" s="3">
        <f>tblTransactions[[#This Row],[Profit]]/tblTransactions[[#This Row],[Total_Amount]]</f>
        <v>0.41590001789361325</v>
      </c>
      <c r="O2687" t="str">
        <f>TEXT(tblTransactions[[#This Row],[Date]], "MMM-YYYY")</f>
        <v>Jul-2024</v>
      </c>
      <c r="P2687" t="str">
        <f>"Q"&amp;ROUNDUP(MONTH(tblTransactions[[#This Row],[Date]])/3,0)&amp;"-"&amp;YEAR(tblTransactions[[#This Row],[Date]])</f>
        <v>Q3-2024</v>
      </c>
      <c r="Q2687">
        <f>YEAR(tblTransactions[[#This Row],[Date]])</f>
        <v>2024</v>
      </c>
      <c r="R2687" t="str">
        <f>TEXT(tblTransactions[[#This Row],[Date]],"DDDD")</f>
        <v>Thursday</v>
      </c>
      <c r="S2687">
        <f>MONTH(tblTransactions[[#This Row],[Date]])</f>
        <v>7</v>
      </c>
      <c r="T2687" t="str">
        <f>VLOOKUP(E2687, Products!$A:$B,2,0)</f>
        <v>Desks Fur-4</v>
      </c>
      <c r="U2687" t="str">
        <f>VLOOKUP(E2687,Products!$A:$C,3,0)</f>
        <v>Furniture</v>
      </c>
      <c r="V2687" t="str">
        <f>VLOOKUP(E2687,Products!$A:$D,4,0)</f>
        <v>Desks</v>
      </c>
      <c r="W2687" t="str">
        <f>VLOOKUP(D2687,Customers!$A:$C,3,0)</f>
        <v>B2B</v>
      </c>
      <c r="X2687" t="str">
        <f>VLOOKUP(C2687,Sales_Representatives!$A:$B,2,0)</f>
        <v>John Brown</v>
      </c>
    </row>
    <row r="2688" spans="1:24" x14ac:dyDescent="0.3">
      <c r="A2688" t="s">
        <v>3703</v>
      </c>
      <c r="B2688" t="s">
        <v>3701</v>
      </c>
      <c r="C2688" t="s">
        <v>56</v>
      </c>
      <c r="D2688" t="s">
        <v>1947</v>
      </c>
      <c r="E2688" t="s">
        <v>79</v>
      </c>
      <c r="F2688">
        <v>10</v>
      </c>
      <c r="G2688">
        <v>1452.36</v>
      </c>
      <c r="H2688">
        <v>0.09</v>
      </c>
      <c r="I2688" s="4">
        <v>13216.48</v>
      </c>
      <c r="J2688" t="s">
        <v>34</v>
      </c>
      <c r="K2688" t="s">
        <v>17</v>
      </c>
      <c r="L2688" s="4">
        <f>VLOOKUP(tblTransactions[[#This Row],[Product_ID]],tblProducts[],5,FALSE)</f>
        <v>778.71</v>
      </c>
      <c r="M2688" s="4">
        <f>tblTransactions[[#This Row],[Total_Amount]]-(tblTransactions[[#This Row],[Cost_Prices]]*tblTransactions[[#This Row],[Quantity]]*(1-tblTransactions[[#This Row],[Discount]]))</f>
        <v>6130.2189999999991</v>
      </c>
      <c r="N2688" s="3">
        <f>tblTransactions[[#This Row],[Profit]]/tblTransactions[[#This Row],[Total_Amount]]</f>
        <v>0.46383144377322855</v>
      </c>
      <c r="O2688" t="str">
        <f>TEXT(tblTransactions[[#This Row],[Date]], "MMM-YYYY")</f>
        <v>Jul-2024</v>
      </c>
      <c r="P2688" t="str">
        <f>"Q"&amp;ROUNDUP(MONTH(tblTransactions[[#This Row],[Date]])/3,0)&amp;"-"&amp;YEAR(tblTransactions[[#This Row],[Date]])</f>
        <v>Q3-2024</v>
      </c>
      <c r="Q2688">
        <f>YEAR(tblTransactions[[#This Row],[Date]])</f>
        <v>2024</v>
      </c>
      <c r="R2688" t="str">
        <f>TEXT(tblTransactions[[#This Row],[Date]],"DDDD")</f>
        <v>Thursday</v>
      </c>
      <c r="S2688">
        <f>MONTH(tblTransactions[[#This Row],[Date]])</f>
        <v>7</v>
      </c>
      <c r="T2688" t="str">
        <f>VLOOKUP(E2688, Products!$A:$B,2,0)</f>
        <v>Tables Fur-2</v>
      </c>
      <c r="U2688" t="str">
        <f>VLOOKUP(E2688,Products!$A:$C,3,0)</f>
        <v>Furniture</v>
      </c>
      <c r="V2688" t="str">
        <f>VLOOKUP(E2688,Products!$A:$D,4,0)</f>
        <v>Tables</v>
      </c>
      <c r="W2688" t="str">
        <f>VLOOKUP(D2688,Customers!$A:$C,3,0)</f>
        <v>Enterprise</v>
      </c>
      <c r="X2688" t="str">
        <f>VLOOKUP(C2688,Sales_Representatives!$A:$B,2,0)</f>
        <v>Thomas Hernandez</v>
      </c>
    </row>
    <row r="2689" spans="1:24" x14ac:dyDescent="0.3">
      <c r="A2689" t="s">
        <v>3704</v>
      </c>
      <c r="B2689" t="s">
        <v>3705</v>
      </c>
      <c r="C2689" t="s">
        <v>141</v>
      </c>
      <c r="D2689" t="s">
        <v>1822</v>
      </c>
      <c r="E2689" t="s">
        <v>450</v>
      </c>
      <c r="F2689">
        <v>4</v>
      </c>
      <c r="G2689">
        <v>2083.92</v>
      </c>
      <c r="H2689">
        <v>7.0000000000000007E-2</v>
      </c>
      <c r="I2689" s="4">
        <v>7752.18</v>
      </c>
      <c r="J2689" t="s">
        <v>109</v>
      </c>
      <c r="K2689" t="s">
        <v>39</v>
      </c>
      <c r="L2689" s="4">
        <f>VLOOKUP(tblTransactions[[#This Row],[Product_ID]],tblProducts[],5,FALSE)</f>
        <v>1425.78</v>
      </c>
      <c r="M2689" s="4">
        <f>tblTransactions[[#This Row],[Total_Amount]]-(tblTransactions[[#This Row],[Cost_Prices]]*tblTransactions[[#This Row],[Quantity]]*(1-tblTransactions[[#This Row],[Discount]]))</f>
        <v>2448.2784000000011</v>
      </c>
      <c r="N2689" s="3">
        <f>tblTransactions[[#This Row],[Profit]]/tblTransactions[[#This Row],[Total_Amount]]</f>
        <v>0.31581805376036171</v>
      </c>
      <c r="O2689" t="str">
        <f>TEXT(tblTransactions[[#This Row],[Date]], "MMM-YYYY")</f>
        <v>Jul-2024</v>
      </c>
      <c r="P2689" t="str">
        <f>"Q"&amp;ROUNDUP(MONTH(tblTransactions[[#This Row],[Date]])/3,0)&amp;"-"&amp;YEAR(tblTransactions[[#This Row],[Date]])</f>
        <v>Q3-2024</v>
      </c>
      <c r="Q2689">
        <f>YEAR(tblTransactions[[#This Row],[Date]])</f>
        <v>2024</v>
      </c>
      <c r="R2689" t="str">
        <f>TEXT(tblTransactions[[#This Row],[Date]],"DDDD")</f>
        <v>Friday</v>
      </c>
      <c r="S2689">
        <f>MONTH(tblTransactions[[#This Row],[Date]])</f>
        <v>7</v>
      </c>
      <c r="T2689" t="str">
        <f>VLOOKUP(E2689, Products!$A:$B,2,0)</f>
        <v>Monitors Tec-4</v>
      </c>
      <c r="U2689" t="str">
        <f>VLOOKUP(E2689,Products!$A:$C,3,0)</f>
        <v>Technology</v>
      </c>
      <c r="V2689" t="str">
        <f>VLOOKUP(E2689,Products!$A:$D,4,0)</f>
        <v>Monitors</v>
      </c>
      <c r="W2689" t="str">
        <f>VLOOKUP(D2689,Customers!$A:$C,3,0)</f>
        <v>B2C</v>
      </c>
      <c r="X2689" t="str">
        <f>VLOOKUP(C2689,Sales_Representatives!$A:$B,2,0)</f>
        <v>Richard Garcia</v>
      </c>
    </row>
    <row r="2690" spans="1:24" x14ac:dyDescent="0.3">
      <c r="A2690" t="s">
        <v>3706</v>
      </c>
      <c r="B2690" t="s">
        <v>3705</v>
      </c>
      <c r="C2690" t="s">
        <v>75</v>
      </c>
      <c r="D2690" t="s">
        <v>2102</v>
      </c>
      <c r="E2690" t="s">
        <v>339</v>
      </c>
      <c r="F2690">
        <v>4</v>
      </c>
      <c r="G2690">
        <v>1100.8800000000001</v>
      </c>
      <c r="H2690">
        <v>0.08</v>
      </c>
      <c r="I2690" s="4">
        <v>4051.24</v>
      </c>
      <c r="J2690" t="s">
        <v>44</v>
      </c>
      <c r="K2690" t="s">
        <v>17</v>
      </c>
      <c r="L2690" s="4">
        <f>VLOOKUP(tblTransactions[[#This Row],[Product_ID]],tblProducts[],5,FALSE)</f>
        <v>761.53</v>
      </c>
      <c r="M2690" s="4">
        <f>tblTransactions[[#This Row],[Total_Amount]]-(tblTransactions[[#This Row],[Cost_Prices]]*tblTransactions[[#This Row],[Quantity]]*(1-tblTransactions[[#This Row],[Discount]]))</f>
        <v>1248.8095999999996</v>
      </c>
      <c r="N2690" s="3">
        <f>tblTransactions[[#This Row],[Profit]]/tblTransactions[[#This Row],[Total_Amount]]</f>
        <v>0.30825367048113655</v>
      </c>
      <c r="O2690" t="str">
        <f>TEXT(tblTransactions[[#This Row],[Date]], "MMM-YYYY")</f>
        <v>Jul-2024</v>
      </c>
      <c r="P2690" t="str">
        <f>"Q"&amp;ROUNDUP(MONTH(tblTransactions[[#This Row],[Date]])/3,0)&amp;"-"&amp;YEAR(tblTransactions[[#This Row],[Date]])</f>
        <v>Q3-2024</v>
      </c>
      <c r="Q2690">
        <f>YEAR(tblTransactions[[#This Row],[Date]])</f>
        <v>2024</v>
      </c>
      <c r="R2690" t="str">
        <f>TEXT(tblTransactions[[#This Row],[Date]],"DDDD")</f>
        <v>Friday</v>
      </c>
      <c r="S2690">
        <f>MONTH(tblTransactions[[#This Row],[Date]])</f>
        <v>7</v>
      </c>
      <c r="T2690" t="str">
        <f>VLOOKUP(E2690, Products!$A:$B,2,0)</f>
        <v>Phones Ele-2</v>
      </c>
      <c r="U2690" t="str">
        <f>VLOOKUP(E2690,Products!$A:$C,3,0)</f>
        <v>Electronics</v>
      </c>
      <c r="V2690" t="str">
        <f>VLOOKUP(E2690,Products!$A:$D,4,0)</f>
        <v>Phones</v>
      </c>
      <c r="W2690" t="str">
        <f>VLOOKUP(D2690,Customers!$A:$C,3,0)</f>
        <v>B2C</v>
      </c>
      <c r="X2690" t="str">
        <f>VLOOKUP(C2690,Sales_Representatives!$A:$B,2,0)</f>
        <v>Jessica Anderson</v>
      </c>
    </row>
    <row r="2691" spans="1:24" x14ac:dyDescent="0.3">
      <c r="A2691" t="s">
        <v>3707</v>
      </c>
      <c r="B2691" t="s">
        <v>3705</v>
      </c>
      <c r="C2691" t="s">
        <v>13</v>
      </c>
      <c r="D2691" t="s">
        <v>2056</v>
      </c>
      <c r="E2691" t="s">
        <v>168</v>
      </c>
      <c r="F2691">
        <v>7</v>
      </c>
      <c r="G2691">
        <v>101.59</v>
      </c>
      <c r="H2691">
        <v>7.0000000000000007E-2</v>
      </c>
      <c r="I2691" s="4">
        <v>661.35</v>
      </c>
      <c r="J2691" t="s">
        <v>16</v>
      </c>
      <c r="K2691" t="s">
        <v>48</v>
      </c>
      <c r="L2691" s="4">
        <f>VLOOKUP(tblTransactions[[#This Row],[Product_ID]],tblProducts[],5,FALSE)</f>
        <v>50.58</v>
      </c>
      <c r="M2691" s="4">
        <f>tblTransactions[[#This Row],[Total_Amount]]-(tblTransactions[[#This Row],[Cost_Prices]]*tblTransactions[[#This Row],[Quantity]]*(1-tblTransactions[[#This Row],[Discount]]))</f>
        <v>332.07420000000002</v>
      </c>
      <c r="N2691" s="3">
        <f>tblTransactions[[#This Row],[Profit]]/tblTransactions[[#This Row],[Total_Amount]]</f>
        <v>0.50211567248809252</v>
      </c>
      <c r="O2691" t="str">
        <f>TEXT(tblTransactions[[#This Row],[Date]], "MMM-YYYY")</f>
        <v>Jul-2024</v>
      </c>
      <c r="P2691" t="str">
        <f>"Q"&amp;ROUNDUP(MONTH(tblTransactions[[#This Row],[Date]])/3,0)&amp;"-"&amp;YEAR(tblTransactions[[#This Row],[Date]])</f>
        <v>Q3-2024</v>
      </c>
      <c r="Q2691">
        <f>YEAR(tblTransactions[[#This Row],[Date]])</f>
        <v>2024</v>
      </c>
      <c r="R2691" t="str">
        <f>TEXT(tblTransactions[[#This Row],[Date]],"DDDD")</f>
        <v>Friday</v>
      </c>
      <c r="S2691">
        <f>MONTH(tblTransactions[[#This Row],[Date]])</f>
        <v>7</v>
      </c>
      <c r="T2691" t="str">
        <f>VLOOKUP(E2691, Products!$A:$B,2,0)</f>
        <v>Cases Acc-4</v>
      </c>
      <c r="U2691" t="str">
        <f>VLOOKUP(E2691,Products!$A:$C,3,0)</f>
        <v>Accessories</v>
      </c>
      <c r="V2691" t="str">
        <f>VLOOKUP(E2691,Products!$A:$D,4,0)</f>
        <v>Cases</v>
      </c>
      <c r="W2691" t="str">
        <f>VLOOKUP(D2691,Customers!$A:$C,3,0)</f>
        <v>Small Business</v>
      </c>
      <c r="X2691" t="str">
        <f>VLOOKUP(C2691,Sales_Representatives!$A:$B,2,0)</f>
        <v>Jennifer Rodriguez</v>
      </c>
    </row>
    <row r="2692" spans="1:24" x14ac:dyDescent="0.3">
      <c r="A2692" t="s">
        <v>3708</v>
      </c>
      <c r="B2692" t="s">
        <v>3705</v>
      </c>
      <c r="C2692" t="s">
        <v>131</v>
      </c>
      <c r="D2692" t="s">
        <v>1722</v>
      </c>
      <c r="E2692" t="s">
        <v>264</v>
      </c>
      <c r="F2692">
        <v>7</v>
      </c>
      <c r="G2692">
        <v>607.29999999999995</v>
      </c>
      <c r="H2692">
        <v>0.11</v>
      </c>
      <c r="I2692" s="4">
        <v>3783.48</v>
      </c>
      <c r="J2692" t="s">
        <v>44</v>
      </c>
      <c r="K2692" t="s">
        <v>22</v>
      </c>
      <c r="L2692" s="4">
        <f>VLOOKUP(tblTransactions[[#This Row],[Product_ID]],tblProducts[],5,FALSE)</f>
        <v>436.37</v>
      </c>
      <c r="M2692" s="4">
        <f>tblTransactions[[#This Row],[Total_Amount]]-(tblTransactions[[#This Row],[Cost_Prices]]*tblTransactions[[#This Row],[Quantity]]*(1-tblTransactions[[#This Row],[Discount]]))</f>
        <v>1064.8948999999998</v>
      </c>
      <c r="N2692" s="3">
        <f>tblTransactions[[#This Row],[Profit]]/tblTransactions[[#This Row],[Total_Amount]]</f>
        <v>0.28145910643111627</v>
      </c>
      <c r="O2692" t="str">
        <f>TEXT(tblTransactions[[#This Row],[Date]], "MMM-YYYY")</f>
        <v>Jul-2024</v>
      </c>
      <c r="P2692" t="str">
        <f>"Q"&amp;ROUNDUP(MONTH(tblTransactions[[#This Row],[Date]])/3,0)&amp;"-"&amp;YEAR(tblTransactions[[#This Row],[Date]])</f>
        <v>Q3-2024</v>
      </c>
      <c r="Q2692">
        <f>YEAR(tblTransactions[[#This Row],[Date]])</f>
        <v>2024</v>
      </c>
      <c r="R2692" t="str">
        <f>TEXT(tblTransactions[[#This Row],[Date]],"DDDD")</f>
        <v>Friday</v>
      </c>
      <c r="S2692">
        <f>MONTH(tblTransactions[[#This Row],[Date]])</f>
        <v>7</v>
      </c>
      <c r="T2692" t="str">
        <f>VLOOKUP(E2692, Products!$A:$B,2,0)</f>
        <v>Tablets Ele-4</v>
      </c>
      <c r="U2692" t="str">
        <f>VLOOKUP(E2692,Products!$A:$C,3,0)</f>
        <v>Electronics</v>
      </c>
      <c r="V2692" t="str">
        <f>VLOOKUP(E2692,Products!$A:$D,4,0)</f>
        <v>Tablets</v>
      </c>
      <c r="W2692" t="str">
        <f>VLOOKUP(D2692,Customers!$A:$C,3,0)</f>
        <v>B2C</v>
      </c>
      <c r="X2692" t="str">
        <f>VLOOKUP(C2692,Sales_Representatives!$A:$B,2,0)</f>
        <v>Michael Davis</v>
      </c>
    </row>
    <row r="2693" spans="1:24" x14ac:dyDescent="0.3">
      <c r="A2693" t="s">
        <v>3709</v>
      </c>
      <c r="B2693" t="s">
        <v>3705</v>
      </c>
      <c r="C2693" t="s">
        <v>41</v>
      </c>
      <c r="D2693" t="s">
        <v>2334</v>
      </c>
      <c r="E2693" t="s">
        <v>176</v>
      </c>
      <c r="F2693">
        <v>7</v>
      </c>
      <c r="G2693">
        <v>1462.68</v>
      </c>
      <c r="H2693">
        <v>0.06</v>
      </c>
      <c r="I2693" s="4">
        <v>9624.43</v>
      </c>
      <c r="J2693" t="s">
        <v>44</v>
      </c>
      <c r="K2693" t="s">
        <v>35</v>
      </c>
      <c r="L2693" s="4">
        <f>VLOOKUP(tblTransactions[[#This Row],[Product_ID]],tblProducts[],5,FALSE)</f>
        <v>775.94</v>
      </c>
      <c r="M2693" s="4">
        <f>tblTransactions[[#This Row],[Total_Amount]]-(tblTransactions[[#This Row],[Cost_Prices]]*tblTransactions[[#This Row],[Quantity]]*(1-tblTransactions[[#This Row],[Discount]]))</f>
        <v>4518.7448000000004</v>
      </c>
      <c r="N2693" s="3">
        <f>tblTransactions[[#This Row],[Profit]]/tblTransactions[[#This Row],[Total_Amount]]</f>
        <v>0.46950778383758834</v>
      </c>
      <c r="O2693" t="str">
        <f>TEXT(tblTransactions[[#This Row],[Date]], "MMM-YYYY")</f>
        <v>Jul-2024</v>
      </c>
      <c r="P2693" t="str">
        <f>"Q"&amp;ROUNDUP(MONTH(tblTransactions[[#This Row],[Date]])/3,0)&amp;"-"&amp;YEAR(tblTransactions[[#This Row],[Date]])</f>
        <v>Q3-2024</v>
      </c>
      <c r="Q2693">
        <f>YEAR(tblTransactions[[#This Row],[Date]])</f>
        <v>2024</v>
      </c>
      <c r="R2693" t="str">
        <f>TEXT(tblTransactions[[#This Row],[Date]],"DDDD")</f>
        <v>Friday</v>
      </c>
      <c r="S2693">
        <f>MONTH(tblTransactions[[#This Row],[Date]])</f>
        <v>7</v>
      </c>
      <c r="T2693" t="str">
        <f>VLOOKUP(E2693, Products!$A:$B,2,0)</f>
        <v>Chairs Fur-2</v>
      </c>
      <c r="U2693" t="str">
        <f>VLOOKUP(E2693,Products!$A:$C,3,0)</f>
        <v>Furniture</v>
      </c>
      <c r="V2693" t="str">
        <f>VLOOKUP(E2693,Products!$A:$D,4,0)</f>
        <v>Chairs</v>
      </c>
      <c r="W2693" t="str">
        <f>VLOOKUP(D2693,Customers!$A:$C,3,0)</f>
        <v>B2B</v>
      </c>
      <c r="X2693" t="str">
        <f>VLOOKUP(C2693,Sales_Representatives!$A:$B,2,0)</f>
        <v>Robert Jones</v>
      </c>
    </row>
    <row r="2694" spans="1:24" x14ac:dyDescent="0.3">
      <c r="A2694" t="s">
        <v>3710</v>
      </c>
      <c r="B2694" t="s">
        <v>3705</v>
      </c>
      <c r="C2694" t="s">
        <v>13</v>
      </c>
      <c r="D2694" t="s">
        <v>2620</v>
      </c>
      <c r="E2694" t="s">
        <v>38</v>
      </c>
      <c r="F2694">
        <v>36</v>
      </c>
      <c r="G2694">
        <v>581.47</v>
      </c>
      <c r="H2694">
        <v>0.2</v>
      </c>
      <c r="I2694" s="4">
        <v>16746.34</v>
      </c>
      <c r="J2694" t="s">
        <v>16</v>
      </c>
      <c r="K2694" t="s">
        <v>35</v>
      </c>
      <c r="L2694" s="4">
        <f>VLOOKUP(tblTransactions[[#This Row],[Product_ID]],tblProducts[],5,FALSE)</f>
        <v>372.07</v>
      </c>
      <c r="M2694" s="4">
        <f>tblTransactions[[#This Row],[Total_Amount]]-(tblTransactions[[#This Row],[Cost_Prices]]*tblTransactions[[#This Row],[Quantity]]*(1-tblTransactions[[#This Row],[Discount]]))</f>
        <v>6030.7239999999983</v>
      </c>
      <c r="N2694" s="3">
        <f>tblTransactions[[#This Row],[Profit]]/tblTransactions[[#This Row],[Total_Amount]]</f>
        <v>0.36012191320610942</v>
      </c>
      <c r="O2694" t="str">
        <f>TEXT(tblTransactions[[#This Row],[Date]], "MMM-YYYY")</f>
        <v>Jul-2024</v>
      </c>
      <c r="P2694" t="str">
        <f>"Q"&amp;ROUNDUP(MONTH(tblTransactions[[#This Row],[Date]])/3,0)&amp;"-"&amp;YEAR(tblTransactions[[#This Row],[Date]])</f>
        <v>Q3-2024</v>
      </c>
      <c r="Q2694">
        <f>YEAR(tblTransactions[[#This Row],[Date]])</f>
        <v>2024</v>
      </c>
      <c r="R2694" t="str">
        <f>TEXT(tblTransactions[[#This Row],[Date]],"DDDD")</f>
        <v>Friday</v>
      </c>
      <c r="S2694">
        <f>MONTH(tblTransactions[[#This Row],[Date]])</f>
        <v>7</v>
      </c>
      <c r="T2694" t="str">
        <f>VLOOKUP(E2694, Products!$A:$B,2,0)</f>
        <v>Storage Fur-3</v>
      </c>
      <c r="U2694" t="str">
        <f>VLOOKUP(E2694,Products!$A:$C,3,0)</f>
        <v>Furniture</v>
      </c>
      <c r="V2694" t="str">
        <f>VLOOKUP(E2694,Products!$A:$D,4,0)</f>
        <v>Storage</v>
      </c>
      <c r="W2694" t="str">
        <f>VLOOKUP(D2694,Customers!$A:$C,3,0)</f>
        <v>Enterprise</v>
      </c>
      <c r="X2694" t="str">
        <f>VLOOKUP(C2694,Sales_Representatives!$A:$B,2,0)</f>
        <v>Jennifer Rodriguez</v>
      </c>
    </row>
    <row r="2695" spans="1:24" x14ac:dyDescent="0.3">
      <c r="A2695" t="s">
        <v>3711</v>
      </c>
      <c r="B2695" t="s">
        <v>3705</v>
      </c>
      <c r="C2695" t="s">
        <v>107</v>
      </c>
      <c r="D2695" t="s">
        <v>3014</v>
      </c>
      <c r="E2695" t="s">
        <v>255</v>
      </c>
      <c r="F2695">
        <v>12</v>
      </c>
      <c r="G2695">
        <v>1444.13</v>
      </c>
      <c r="H2695">
        <v>0.17</v>
      </c>
      <c r="I2695" s="4">
        <v>14383.53</v>
      </c>
      <c r="J2695" t="s">
        <v>109</v>
      </c>
      <c r="K2695" t="s">
        <v>48</v>
      </c>
      <c r="L2695" s="4">
        <f>VLOOKUP(tblTransactions[[#This Row],[Product_ID]],tblProducts[],5,FALSE)</f>
        <v>874.43</v>
      </c>
      <c r="M2695" s="4">
        <f>tblTransactions[[#This Row],[Total_Amount]]-(tblTransactions[[#This Row],[Cost_Prices]]*tblTransactions[[#This Row],[Quantity]]*(1-tblTransactions[[#This Row],[Discount]]))</f>
        <v>5674.2072000000007</v>
      </c>
      <c r="N2695" s="3">
        <f>tblTransactions[[#This Row],[Profit]]/tblTransactions[[#This Row],[Total_Amount]]</f>
        <v>0.39449336845683919</v>
      </c>
      <c r="O2695" t="str">
        <f>TEXT(tblTransactions[[#This Row],[Date]], "MMM-YYYY")</f>
        <v>Jul-2024</v>
      </c>
      <c r="P2695" t="str">
        <f>"Q"&amp;ROUNDUP(MONTH(tblTransactions[[#This Row],[Date]])/3,0)&amp;"-"&amp;YEAR(tblTransactions[[#This Row],[Date]])</f>
        <v>Q3-2024</v>
      </c>
      <c r="Q2695">
        <f>YEAR(tblTransactions[[#This Row],[Date]])</f>
        <v>2024</v>
      </c>
      <c r="R2695" t="str">
        <f>TEXT(tblTransactions[[#This Row],[Date]],"DDDD")</f>
        <v>Friday</v>
      </c>
      <c r="S2695">
        <f>MONTH(tblTransactions[[#This Row],[Date]])</f>
        <v>7</v>
      </c>
      <c r="T2695" t="str">
        <f>VLOOKUP(E2695, Products!$A:$B,2,0)</f>
        <v>Printers Tec-1</v>
      </c>
      <c r="U2695" t="str">
        <f>VLOOKUP(E2695,Products!$A:$C,3,0)</f>
        <v>Technology</v>
      </c>
      <c r="V2695" t="str">
        <f>VLOOKUP(E2695,Products!$A:$D,4,0)</f>
        <v>Printers</v>
      </c>
      <c r="W2695" t="str">
        <f>VLOOKUP(D2695,Customers!$A:$C,3,0)</f>
        <v>B2B</v>
      </c>
      <c r="X2695" t="str">
        <f>VLOOKUP(C2695,Sales_Representatives!$A:$B,2,0)</f>
        <v>Jennifer Brown</v>
      </c>
    </row>
    <row r="2696" spans="1:24" x14ac:dyDescent="0.3">
      <c r="A2696" t="s">
        <v>3712</v>
      </c>
      <c r="B2696" t="s">
        <v>3713</v>
      </c>
      <c r="C2696" t="s">
        <v>13</v>
      </c>
      <c r="D2696" t="s">
        <v>1776</v>
      </c>
      <c r="E2696" t="s">
        <v>299</v>
      </c>
      <c r="F2696">
        <v>5</v>
      </c>
      <c r="G2696">
        <v>963.44</v>
      </c>
      <c r="H2696">
        <v>0.06</v>
      </c>
      <c r="I2696" s="4">
        <v>4528.17</v>
      </c>
      <c r="J2696" t="s">
        <v>16</v>
      </c>
      <c r="K2696" t="s">
        <v>35</v>
      </c>
      <c r="L2696" s="4">
        <f>VLOOKUP(tblTransactions[[#This Row],[Product_ID]],tblProducts[],5,FALSE)</f>
        <v>578.96</v>
      </c>
      <c r="M2696" s="4">
        <f>tblTransactions[[#This Row],[Total_Amount]]-(tblTransactions[[#This Row],[Cost_Prices]]*tblTransactions[[#This Row],[Quantity]]*(1-tblTransactions[[#This Row],[Discount]]))</f>
        <v>1807.058</v>
      </c>
      <c r="N2696" s="3">
        <f>tblTransactions[[#This Row],[Profit]]/tblTransactions[[#This Row],[Total_Amount]]</f>
        <v>0.39907026458812278</v>
      </c>
      <c r="O2696" t="str">
        <f>TEXT(tblTransactions[[#This Row],[Date]], "MMM-YYYY")</f>
        <v>Jul-2024</v>
      </c>
      <c r="P2696" t="str">
        <f>"Q"&amp;ROUNDUP(MONTH(tblTransactions[[#This Row],[Date]])/3,0)&amp;"-"&amp;YEAR(tblTransactions[[#This Row],[Date]])</f>
        <v>Q3-2024</v>
      </c>
      <c r="Q2696">
        <f>YEAR(tblTransactions[[#This Row],[Date]])</f>
        <v>2024</v>
      </c>
      <c r="R2696" t="str">
        <f>TEXT(tblTransactions[[#This Row],[Date]],"DDDD")</f>
        <v>Saturday</v>
      </c>
      <c r="S2696">
        <f>MONTH(tblTransactions[[#This Row],[Date]])</f>
        <v>7</v>
      </c>
      <c r="T2696" t="str">
        <f>VLOOKUP(E2696, Products!$A:$B,2,0)</f>
        <v>Chairs Fur-4</v>
      </c>
      <c r="U2696" t="str">
        <f>VLOOKUP(E2696,Products!$A:$C,3,0)</f>
        <v>Furniture</v>
      </c>
      <c r="V2696" t="str">
        <f>VLOOKUP(E2696,Products!$A:$D,4,0)</f>
        <v>Chairs</v>
      </c>
      <c r="W2696" t="str">
        <f>VLOOKUP(D2696,Customers!$A:$C,3,0)</f>
        <v>B2C</v>
      </c>
      <c r="X2696" t="str">
        <f>VLOOKUP(C2696,Sales_Representatives!$A:$B,2,0)</f>
        <v>Jennifer Rodriguez</v>
      </c>
    </row>
    <row r="2697" spans="1:24" x14ac:dyDescent="0.3">
      <c r="A2697" t="s">
        <v>3714</v>
      </c>
      <c r="B2697" t="s">
        <v>3713</v>
      </c>
      <c r="C2697" t="s">
        <v>31</v>
      </c>
      <c r="D2697" t="s">
        <v>2213</v>
      </c>
      <c r="E2697" t="s">
        <v>232</v>
      </c>
      <c r="F2697">
        <v>4</v>
      </c>
      <c r="G2697">
        <v>60.21</v>
      </c>
      <c r="H2697">
        <v>0.05</v>
      </c>
      <c r="I2697" s="4">
        <v>228.8</v>
      </c>
      <c r="J2697" t="s">
        <v>34</v>
      </c>
      <c r="K2697" t="s">
        <v>48</v>
      </c>
      <c r="L2697" s="4">
        <f>VLOOKUP(tblTransactions[[#This Row],[Product_ID]],tblProducts[],5,FALSE)</f>
        <v>38.18</v>
      </c>
      <c r="M2697" s="4">
        <f>tblTransactions[[#This Row],[Total_Amount]]-(tblTransactions[[#This Row],[Cost_Prices]]*tblTransactions[[#This Row],[Quantity]]*(1-tblTransactions[[#This Row],[Discount]]))</f>
        <v>83.716000000000008</v>
      </c>
      <c r="N2697" s="3">
        <f>tblTransactions[[#This Row],[Profit]]/tblTransactions[[#This Row],[Total_Amount]]</f>
        <v>0.36589160839160839</v>
      </c>
      <c r="O2697" t="str">
        <f>TEXT(tblTransactions[[#This Row],[Date]], "MMM-YYYY")</f>
        <v>Jul-2024</v>
      </c>
      <c r="P2697" t="str">
        <f>"Q"&amp;ROUNDUP(MONTH(tblTransactions[[#This Row],[Date]])/3,0)&amp;"-"&amp;YEAR(tblTransactions[[#This Row],[Date]])</f>
        <v>Q3-2024</v>
      </c>
      <c r="Q2697">
        <f>YEAR(tblTransactions[[#This Row],[Date]])</f>
        <v>2024</v>
      </c>
      <c r="R2697" t="str">
        <f>TEXT(tblTransactions[[#This Row],[Date]],"DDDD")</f>
        <v>Saturday</v>
      </c>
      <c r="S2697">
        <f>MONTH(tblTransactions[[#This Row],[Date]])</f>
        <v>7</v>
      </c>
      <c r="T2697" t="str">
        <f>VLOOKUP(E2697, Products!$A:$B,2,0)</f>
        <v>Cables Acc-3</v>
      </c>
      <c r="U2697" t="str">
        <f>VLOOKUP(E2697,Products!$A:$C,3,0)</f>
        <v>Accessories</v>
      </c>
      <c r="V2697" t="str">
        <f>VLOOKUP(E2697,Products!$A:$D,4,0)</f>
        <v>Cables</v>
      </c>
      <c r="W2697" t="str">
        <f>VLOOKUP(D2697,Customers!$A:$C,3,0)</f>
        <v>B2C</v>
      </c>
      <c r="X2697" t="str">
        <f>VLOOKUP(C2697,Sales_Representatives!$A:$B,2,0)</f>
        <v>Thomas Martinez</v>
      </c>
    </row>
    <row r="2698" spans="1:24" x14ac:dyDescent="0.3">
      <c r="A2698" t="s">
        <v>3715</v>
      </c>
      <c r="B2698" t="s">
        <v>3713</v>
      </c>
      <c r="C2698" t="s">
        <v>59</v>
      </c>
      <c r="D2698" t="s">
        <v>2573</v>
      </c>
      <c r="E2698" t="s">
        <v>38</v>
      </c>
      <c r="F2698">
        <v>5</v>
      </c>
      <c r="G2698">
        <v>581.47</v>
      </c>
      <c r="H2698">
        <v>0.06</v>
      </c>
      <c r="I2698" s="4">
        <v>2732.91</v>
      </c>
      <c r="J2698" t="s">
        <v>21</v>
      </c>
      <c r="K2698" t="s">
        <v>39</v>
      </c>
      <c r="L2698" s="4">
        <f>VLOOKUP(tblTransactions[[#This Row],[Product_ID]],tblProducts[],5,FALSE)</f>
        <v>372.07</v>
      </c>
      <c r="M2698" s="4">
        <f>tblTransactions[[#This Row],[Total_Amount]]-(tblTransactions[[#This Row],[Cost_Prices]]*tblTransactions[[#This Row],[Quantity]]*(1-tblTransactions[[#This Row],[Discount]]))</f>
        <v>984.18100000000004</v>
      </c>
      <c r="N2698" s="3">
        <f>tblTransactions[[#This Row],[Profit]]/tblTransactions[[#This Row],[Total_Amount]]</f>
        <v>0.36012199450402688</v>
      </c>
      <c r="O2698" t="str">
        <f>TEXT(tblTransactions[[#This Row],[Date]], "MMM-YYYY")</f>
        <v>Jul-2024</v>
      </c>
      <c r="P2698" t="str">
        <f>"Q"&amp;ROUNDUP(MONTH(tblTransactions[[#This Row],[Date]])/3,0)&amp;"-"&amp;YEAR(tblTransactions[[#This Row],[Date]])</f>
        <v>Q3-2024</v>
      </c>
      <c r="Q2698">
        <f>YEAR(tblTransactions[[#This Row],[Date]])</f>
        <v>2024</v>
      </c>
      <c r="R2698" t="str">
        <f>TEXT(tblTransactions[[#This Row],[Date]],"DDDD")</f>
        <v>Saturday</v>
      </c>
      <c r="S2698">
        <f>MONTH(tblTransactions[[#This Row],[Date]])</f>
        <v>7</v>
      </c>
      <c r="T2698" t="str">
        <f>VLOOKUP(E2698, Products!$A:$B,2,0)</f>
        <v>Storage Fur-3</v>
      </c>
      <c r="U2698" t="str">
        <f>VLOOKUP(E2698,Products!$A:$C,3,0)</f>
        <v>Furniture</v>
      </c>
      <c r="V2698" t="str">
        <f>VLOOKUP(E2698,Products!$A:$D,4,0)</f>
        <v>Storage</v>
      </c>
      <c r="W2698" t="str">
        <f>VLOOKUP(D2698,Customers!$A:$C,3,0)</f>
        <v>Small Business</v>
      </c>
      <c r="X2698" t="str">
        <f>VLOOKUP(C2698,Sales_Representatives!$A:$B,2,0)</f>
        <v>Sarah Brown</v>
      </c>
    </row>
    <row r="2699" spans="1:24" x14ac:dyDescent="0.3">
      <c r="A2699" t="s">
        <v>3716</v>
      </c>
      <c r="B2699" t="s">
        <v>3713</v>
      </c>
      <c r="C2699" t="s">
        <v>82</v>
      </c>
      <c r="D2699" t="s">
        <v>2278</v>
      </c>
      <c r="E2699" t="s">
        <v>299</v>
      </c>
      <c r="F2699">
        <v>18</v>
      </c>
      <c r="G2699">
        <v>963.44</v>
      </c>
      <c r="H2699">
        <v>0.13</v>
      </c>
      <c r="I2699" s="4">
        <v>15087.47</v>
      </c>
      <c r="J2699" t="s">
        <v>34</v>
      </c>
      <c r="K2699" t="s">
        <v>39</v>
      </c>
      <c r="L2699" s="4">
        <f>VLOOKUP(tblTransactions[[#This Row],[Product_ID]],tblProducts[],5,FALSE)</f>
        <v>578.96</v>
      </c>
      <c r="M2699" s="4">
        <f>tblTransactions[[#This Row],[Total_Amount]]-(tblTransactions[[#This Row],[Cost_Prices]]*tblTransactions[[#This Row],[Quantity]]*(1-tblTransactions[[#This Row],[Discount]]))</f>
        <v>6020.9563999999991</v>
      </c>
      <c r="N2699" s="3">
        <f>tblTransactions[[#This Row],[Profit]]/tblTransactions[[#This Row],[Total_Amount]]</f>
        <v>0.39906998323774623</v>
      </c>
      <c r="O2699" t="str">
        <f>TEXT(tblTransactions[[#This Row],[Date]], "MMM-YYYY")</f>
        <v>Jul-2024</v>
      </c>
      <c r="P2699" t="str">
        <f>"Q"&amp;ROUNDUP(MONTH(tblTransactions[[#This Row],[Date]])/3,0)&amp;"-"&amp;YEAR(tblTransactions[[#This Row],[Date]])</f>
        <v>Q3-2024</v>
      </c>
      <c r="Q2699">
        <f>YEAR(tblTransactions[[#This Row],[Date]])</f>
        <v>2024</v>
      </c>
      <c r="R2699" t="str">
        <f>TEXT(tblTransactions[[#This Row],[Date]],"DDDD")</f>
        <v>Saturday</v>
      </c>
      <c r="S2699">
        <f>MONTH(tblTransactions[[#This Row],[Date]])</f>
        <v>7</v>
      </c>
      <c r="T2699" t="str">
        <f>VLOOKUP(E2699, Products!$A:$B,2,0)</f>
        <v>Chairs Fur-4</v>
      </c>
      <c r="U2699" t="str">
        <f>VLOOKUP(E2699,Products!$A:$C,3,0)</f>
        <v>Furniture</v>
      </c>
      <c r="V2699" t="str">
        <f>VLOOKUP(E2699,Products!$A:$D,4,0)</f>
        <v>Chairs</v>
      </c>
      <c r="W2699" t="str">
        <f>VLOOKUP(D2699,Customers!$A:$C,3,0)</f>
        <v>B2B</v>
      </c>
      <c r="X2699" t="str">
        <f>VLOOKUP(C2699,Sales_Representatives!$A:$B,2,0)</f>
        <v>John Brown</v>
      </c>
    </row>
    <row r="2700" spans="1:24" x14ac:dyDescent="0.3">
      <c r="A2700" t="s">
        <v>3717</v>
      </c>
      <c r="B2700" t="s">
        <v>3713</v>
      </c>
      <c r="C2700" t="s">
        <v>13</v>
      </c>
      <c r="D2700" t="s">
        <v>3165</v>
      </c>
      <c r="E2700" t="s">
        <v>314</v>
      </c>
      <c r="F2700">
        <v>2</v>
      </c>
      <c r="G2700">
        <v>204.97</v>
      </c>
      <c r="H2700">
        <v>0.04</v>
      </c>
      <c r="I2700" s="4">
        <v>393.54</v>
      </c>
      <c r="J2700" t="s">
        <v>16</v>
      </c>
      <c r="K2700" t="s">
        <v>48</v>
      </c>
      <c r="L2700" s="4">
        <f>VLOOKUP(tblTransactions[[#This Row],[Product_ID]],tblProducts[],5,FALSE)</f>
        <v>121.53</v>
      </c>
      <c r="M2700" s="4">
        <f>tblTransactions[[#This Row],[Total_Amount]]-(tblTransactions[[#This Row],[Cost_Prices]]*tblTransactions[[#This Row],[Quantity]]*(1-tblTransactions[[#This Row],[Discount]]))</f>
        <v>160.20240000000004</v>
      </c>
      <c r="N2700" s="3">
        <f>tblTransactions[[#This Row],[Profit]]/tblTransactions[[#This Row],[Total_Amount]]</f>
        <v>0.40708034761396561</v>
      </c>
      <c r="O2700" t="str">
        <f>TEXT(tblTransactions[[#This Row],[Date]], "MMM-YYYY")</f>
        <v>Jul-2024</v>
      </c>
      <c r="P2700" t="str">
        <f>"Q"&amp;ROUNDUP(MONTH(tblTransactions[[#This Row],[Date]])/3,0)&amp;"-"&amp;YEAR(tblTransactions[[#This Row],[Date]])</f>
        <v>Q3-2024</v>
      </c>
      <c r="Q2700">
        <f>YEAR(tblTransactions[[#This Row],[Date]])</f>
        <v>2024</v>
      </c>
      <c r="R2700" t="str">
        <f>TEXT(tblTransactions[[#This Row],[Date]],"DDDD")</f>
        <v>Saturday</v>
      </c>
      <c r="S2700">
        <f>MONTH(tblTransactions[[#This Row],[Date]])</f>
        <v>7</v>
      </c>
      <c r="T2700" t="str">
        <f>VLOOKUP(E2700, Products!$A:$B,2,0)</f>
        <v>Adapters Acc-3</v>
      </c>
      <c r="U2700" t="str">
        <f>VLOOKUP(E2700,Products!$A:$C,3,0)</f>
        <v>Accessories</v>
      </c>
      <c r="V2700" t="str">
        <f>VLOOKUP(E2700,Products!$A:$D,4,0)</f>
        <v>Adapters</v>
      </c>
      <c r="W2700" t="str">
        <f>VLOOKUP(D2700,Customers!$A:$C,3,0)</f>
        <v>B2C</v>
      </c>
      <c r="X2700" t="str">
        <f>VLOOKUP(C2700,Sales_Representatives!$A:$B,2,0)</f>
        <v>Jennifer Rodriguez</v>
      </c>
    </row>
    <row r="2701" spans="1:24" x14ac:dyDescent="0.3">
      <c r="A2701" t="s">
        <v>3718</v>
      </c>
      <c r="B2701" t="s">
        <v>3719</v>
      </c>
      <c r="C2701" t="s">
        <v>19</v>
      </c>
      <c r="D2701" t="s">
        <v>1535</v>
      </c>
      <c r="E2701" t="s">
        <v>200</v>
      </c>
      <c r="F2701">
        <v>22</v>
      </c>
      <c r="G2701">
        <v>544.77</v>
      </c>
      <c r="H2701">
        <v>0.16</v>
      </c>
      <c r="I2701" s="4">
        <v>10067.35</v>
      </c>
      <c r="J2701" t="s">
        <v>21</v>
      </c>
      <c r="K2701" t="s">
        <v>48</v>
      </c>
      <c r="L2701" s="4">
        <f>VLOOKUP(tblTransactions[[#This Row],[Product_ID]],tblProducts[],5,FALSE)</f>
        <v>318.2</v>
      </c>
      <c r="M2701" s="4">
        <f>tblTransactions[[#This Row],[Total_Amount]]-(tblTransactions[[#This Row],[Cost_Prices]]*tblTransactions[[#This Row],[Quantity]]*(1-tblTransactions[[#This Row],[Discount]]))</f>
        <v>4187.014000000001</v>
      </c>
      <c r="N2701" s="3">
        <f>tblTransactions[[#This Row],[Profit]]/tblTransactions[[#This Row],[Total_Amount]]</f>
        <v>0.41590031140270289</v>
      </c>
      <c r="O2701" t="str">
        <f>TEXT(tblTransactions[[#This Row],[Date]], "MMM-YYYY")</f>
        <v>Jul-2024</v>
      </c>
      <c r="P2701" t="str">
        <f>"Q"&amp;ROUNDUP(MONTH(tblTransactions[[#This Row],[Date]])/3,0)&amp;"-"&amp;YEAR(tblTransactions[[#This Row],[Date]])</f>
        <v>Q3-2024</v>
      </c>
      <c r="Q2701">
        <f>YEAR(tblTransactions[[#This Row],[Date]])</f>
        <v>2024</v>
      </c>
      <c r="R2701" t="str">
        <f>TEXT(tblTransactions[[#This Row],[Date]],"DDDD")</f>
        <v>Sunday</v>
      </c>
      <c r="S2701">
        <f>MONTH(tblTransactions[[#This Row],[Date]])</f>
        <v>7</v>
      </c>
      <c r="T2701" t="str">
        <f>VLOOKUP(E2701, Products!$A:$B,2,0)</f>
        <v>Desks Fur-4</v>
      </c>
      <c r="U2701" t="str">
        <f>VLOOKUP(E2701,Products!$A:$C,3,0)</f>
        <v>Furniture</v>
      </c>
      <c r="V2701" t="str">
        <f>VLOOKUP(E2701,Products!$A:$D,4,0)</f>
        <v>Desks</v>
      </c>
      <c r="W2701" t="str">
        <f>VLOOKUP(D2701,Customers!$A:$C,3,0)</f>
        <v>Enterprise</v>
      </c>
      <c r="X2701" t="str">
        <f>VLOOKUP(C2701,Sales_Representatives!$A:$B,2,0)</f>
        <v>Robert Jones</v>
      </c>
    </row>
    <row r="2702" spans="1:24" x14ac:dyDescent="0.3">
      <c r="A2702" t="s">
        <v>3720</v>
      </c>
      <c r="B2702" t="s">
        <v>3719</v>
      </c>
      <c r="C2702" t="s">
        <v>75</v>
      </c>
      <c r="D2702" t="s">
        <v>2150</v>
      </c>
      <c r="E2702" t="s">
        <v>68</v>
      </c>
      <c r="F2702">
        <v>24</v>
      </c>
      <c r="G2702">
        <v>522.63</v>
      </c>
      <c r="H2702">
        <v>0.18</v>
      </c>
      <c r="I2702" s="4">
        <v>10285.36</v>
      </c>
      <c r="J2702" t="s">
        <v>44</v>
      </c>
      <c r="K2702" t="s">
        <v>39</v>
      </c>
      <c r="L2702" s="4">
        <f>VLOOKUP(tblTransactions[[#This Row],[Product_ID]],tblProducts[],5,FALSE)</f>
        <v>355.82</v>
      </c>
      <c r="M2702" s="4">
        <f>tblTransactions[[#This Row],[Total_Amount]]-(tblTransactions[[#This Row],[Cost_Prices]]*tblTransactions[[#This Row],[Quantity]]*(1-tblTransactions[[#This Row],[Discount]]))</f>
        <v>3282.8224</v>
      </c>
      <c r="N2702" s="3">
        <f>tblTransactions[[#This Row],[Profit]]/tblTransactions[[#This Row],[Total_Amount]]</f>
        <v>0.31917428266973641</v>
      </c>
      <c r="O2702" t="str">
        <f>TEXT(tblTransactions[[#This Row],[Date]], "MMM-YYYY")</f>
        <v>Jul-2024</v>
      </c>
      <c r="P2702" t="str">
        <f>"Q"&amp;ROUNDUP(MONTH(tblTransactions[[#This Row],[Date]])/3,0)&amp;"-"&amp;YEAR(tblTransactions[[#This Row],[Date]])</f>
        <v>Q3-2024</v>
      </c>
      <c r="Q2702">
        <f>YEAR(tblTransactions[[#This Row],[Date]])</f>
        <v>2024</v>
      </c>
      <c r="R2702" t="str">
        <f>TEXT(tblTransactions[[#This Row],[Date]],"DDDD")</f>
        <v>Sunday</v>
      </c>
      <c r="S2702">
        <f>MONTH(tblTransactions[[#This Row],[Date]])</f>
        <v>7</v>
      </c>
      <c r="T2702" t="str">
        <f>VLOOKUP(E2702, Products!$A:$B,2,0)</f>
        <v>Monitors Tec-3</v>
      </c>
      <c r="U2702" t="str">
        <f>VLOOKUP(E2702,Products!$A:$C,3,0)</f>
        <v>Technology</v>
      </c>
      <c r="V2702" t="str">
        <f>VLOOKUP(E2702,Products!$A:$D,4,0)</f>
        <v>Monitors</v>
      </c>
      <c r="W2702" t="str">
        <f>VLOOKUP(D2702,Customers!$A:$C,3,0)</f>
        <v>Enterprise</v>
      </c>
      <c r="X2702" t="str">
        <f>VLOOKUP(C2702,Sales_Representatives!$A:$B,2,0)</f>
        <v>Jessica Anderson</v>
      </c>
    </row>
    <row r="2703" spans="1:24" x14ac:dyDescent="0.3">
      <c r="A2703" t="s">
        <v>3721</v>
      </c>
      <c r="B2703" t="s">
        <v>3719</v>
      </c>
      <c r="C2703" t="s">
        <v>127</v>
      </c>
      <c r="D2703" t="s">
        <v>1961</v>
      </c>
      <c r="E2703" t="s">
        <v>99</v>
      </c>
      <c r="F2703">
        <v>4</v>
      </c>
      <c r="G2703">
        <v>325.14</v>
      </c>
      <c r="H2703">
        <v>0.02</v>
      </c>
      <c r="I2703" s="4">
        <v>1274.55</v>
      </c>
      <c r="J2703" t="s">
        <v>109</v>
      </c>
      <c r="K2703" t="s">
        <v>35</v>
      </c>
      <c r="L2703" s="4">
        <f>VLOOKUP(tblTransactions[[#This Row],[Product_ID]],tblProducts[],5,FALSE)</f>
        <v>209.04</v>
      </c>
      <c r="M2703" s="4">
        <f>tblTransactions[[#This Row],[Total_Amount]]-(tblTransactions[[#This Row],[Cost_Prices]]*tblTransactions[[#This Row],[Quantity]]*(1-tblTransactions[[#This Row],[Discount]]))</f>
        <v>455.11320000000001</v>
      </c>
      <c r="N2703" s="3">
        <f>tblTransactions[[#This Row],[Profit]]/tblTransactions[[#This Row],[Total_Amount]]</f>
        <v>0.35707755678474756</v>
      </c>
      <c r="O2703" t="str">
        <f>TEXT(tblTransactions[[#This Row],[Date]], "MMM-YYYY")</f>
        <v>Jul-2024</v>
      </c>
      <c r="P2703" t="str">
        <f>"Q"&amp;ROUNDUP(MONTH(tblTransactions[[#This Row],[Date]])/3,0)&amp;"-"&amp;YEAR(tblTransactions[[#This Row],[Date]])</f>
        <v>Q3-2024</v>
      </c>
      <c r="Q2703">
        <f>YEAR(tblTransactions[[#This Row],[Date]])</f>
        <v>2024</v>
      </c>
      <c r="R2703" t="str">
        <f>TEXT(tblTransactions[[#This Row],[Date]],"DDDD")</f>
        <v>Sunday</v>
      </c>
      <c r="S2703">
        <f>MONTH(tblTransactions[[#This Row],[Date]])</f>
        <v>7</v>
      </c>
      <c r="T2703" t="str">
        <f>VLOOKUP(E2703, Products!$A:$B,2,0)</f>
        <v>Monitors Tec-1</v>
      </c>
      <c r="U2703" t="str">
        <f>VLOOKUP(E2703,Products!$A:$C,3,0)</f>
        <v>Technology</v>
      </c>
      <c r="V2703" t="str">
        <f>VLOOKUP(E2703,Products!$A:$D,4,0)</f>
        <v>Monitors</v>
      </c>
      <c r="W2703" t="str">
        <f>VLOOKUP(D2703,Customers!$A:$C,3,0)</f>
        <v>B2B</v>
      </c>
      <c r="X2703" t="str">
        <f>VLOOKUP(C2703,Sales_Representatives!$A:$B,2,0)</f>
        <v>Emily Hernandez</v>
      </c>
    </row>
    <row r="2704" spans="1:24" x14ac:dyDescent="0.3">
      <c r="A2704" t="s">
        <v>3722</v>
      </c>
      <c r="B2704" t="s">
        <v>3719</v>
      </c>
      <c r="C2704" t="s">
        <v>41</v>
      </c>
      <c r="D2704" t="s">
        <v>1754</v>
      </c>
      <c r="E2704" t="s">
        <v>314</v>
      </c>
      <c r="F2704">
        <v>5</v>
      </c>
      <c r="G2704">
        <v>204.97</v>
      </c>
      <c r="H2704">
        <v>0.05</v>
      </c>
      <c r="I2704" s="4">
        <v>973.61</v>
      </c>
      <c r="J2704" t="s">
        <v>44</v>
      </c>
      <c r="K2704" t="s">
        <v>22</v>
      </c>
      <c r="L2704" s="4">
        <f>VLOOKUP(tblTransactions[[#This Row],[Product_ID]],tblProducts[],5,FALSE)</f>
        <v>121.53</v>
      </c>
      <c r="M2704" s="4">
        <f>tblTransactions[[#This Row],[Total_Amount]]-(tblTransactions[[#This Row],[Cost_Prices]]*tblTransactions[[#This Row],[Quantity]]*(1-tblTransactions[[#This Row],[Discount]]))</f>
        <v>396.34250000000009</v>
      </c>
      <c r="N2704" s="3">
        <f>tblTransactions[[#This Row],[Profit]]/tblTransactions[[#This Row],[Total_Amount]]</f>
        <v>0.40708548597487709</v>
      </c>
      <c r="O2704" t="str">
        <f>TEXT(tblTransactions[[#This Row],[Date]], "MMM-YYYY")</f>
        <v>Jul-2024</v>
      </c>
      <c r="P2704" t="str">
        <f>"Q"&amp;ROUNDUP(MONTH(tblTransactions[[#This Row],[Date]])/3,0)&amp;"-"&amp;YEAR(tblTransactions[[#This Row],[Date]])</f>
        <v>Q3-2024</v>
      </c>
      <c r="Q2704">
        <f>YEAR(tblTransactions[[#This Row],[Date]])</f>
        <v>2024</v>
      </c>
      <c r="R2704" t="str">
        <f>TEXT(tblTransactions[[#This Row],[Date]],"DDDD")</f>
        <v>Sunday</v>
      </c>
      <c r="S2704">
        <f>MONTH(tblTransactions[[#This Row],[Date]])</f>
        <v>7</v>
      </c>
      <c r="T2704" t="str">
        <f>VLOOKUP(E2704, Products!$A:$B,2,0)</f>
        <v>Adapters Acc-3</v>
      </c>
      <c r="U2704" t="str">
        <f>VLOOKUP(E2704,Products!$A:$C,3,0)</f>
        <v>Accessories</v>
      </c>
      <c r="V2704" t="str">
        <f>VLOOKUP(E2704,Products!$A:$D,4,0)</f>
        <v>Adapters</v>
      </c>
      <c r="W2704" t="str">
        <f>VLOOKUP(D2704,Customers!$A:$C,3,0)</f>
        <v>Small Business</v>
      </c>
      <c r="X2704" t="str">
        <f>VLOOKUP(C2704,Sales_Representatives!$A:$B,2,0)</f>
        <v>Robert Jones</v>
      </c>
    </row>
    <row r="2705" spans="1:24" x14ac:dyDescent="0.3">
      <c r="A2705" t="s">
        <v>3723</v>
      </c>
      <c r="B2705" t="s">
        <v>3719</v>
      </c>
      <c r="C2705" t="s">
        <v>127</v>
      </c>
      <c r="D2705" t="s">
        <v>2278</v>
      </c>
      <c r="E2705" t="s">
        <v>25</v>
      </c>
      <c r="F2705">
        <v>19</v>
      </c>
      <c r="G2705">
        <v>1467.49</v>
      </c>
      <c r="H2705">
        <v>0.18</v>
      </c>
      <c r="I2705" s="4">
        <v>22863.49</v>
      </c>
      <c r="J2705" t="s">
        <v>109</v>
      </c>
      <c r="K2705" t="s">
        <v>39</v>
      </c>
      <c r="L2705" s="4">
        <f>VLOOKUP(tblTransactions[[#This Row],[Product_ID]],tblProducts[],5,FALSE)</f>
        <v>757.65</v>
      </c>
      <c r="M2705" s="4">
        <f>tblTransactions[[#This Row],[Total_Amount]]-(tblTransactions[[#This Row],[Cost_Prices]]*tblTransactions[[#This Row],[Quantity]]*(1-tblTransactions[[#This Row],[Discount]]))</f>
        <v>11059.303</v>
      </c>
      <c r="N2705" s="3">
        <f>tblTransactions[[#This Row],[Profit]]/tblTransactions[[#This Row],[Total_Amount]]</f>
        <v>0.48371018597773124</v>
      </c>
      <c r="O2705" t="str">
        <f>TEXT(tblTransactions[[#This Row],[Date]], "MMM-YYYY")</f>
        <v>Jul-2024</v>
      </c>
      <c r="P2705" t="str">
        <f>"Q"&amp;ROUNDUP(MONTH(tblTransactions[[#This Row],[Date]])/3,0)&amp;"-"&amp;YEAR(tblTransactions[[#This Row],[Date]])</f>
        <v>Q3-2024</v>
      </c>
      <c r="Q2705">
        <f>YEAR(tblTransactions[[#This Row],[Date]])</f>
        <v>2024</v>
      </c>
      <c r="R2705" t="str">
        <f>TEXT(tblTransactions[[#This Row],[Date]],"DDDD")</f>
        <v>Sunday</v>
      </c>
      <c r="S2705">
        <f>MONTH(tblTransactions[[#This Row],[Date]])</f>
        <v>7</v>
      </c>
      <c r="T2705" t="str">
        <f>VLOOKUP(E2705, Products!$A:$B,2,0)</f>
        <v>Tables Fur-3</v>
      </c>
      <c r="U2705" t="str">
        <f>VLOOKUP(E2705,Products!$A:$C,3,0)</f>
        <v>Furniture</v>
      </c>
      <c r="V2705" t="str">
        <f>VLOOKUP(E2705,Products!$A:$D,4,0)</f>
        <v>Tables</v>
      </c>
      <c r="W2705" t="str">
        <f>VLOOKUP(D2705,Customers!$A:$C,3,0)</f>
        <v>B2B</v>
      </c>
      <c r="X2705" t="str">
        <f>VLOOKUP(C2705,Sales_Representatives!$A:$B,2,0)</f>
        <v>Emily Hernandez</v>
      </c>
    </row>
    <row r="2706" spans="1:24" x14ac:dyDescent="0.3">
      <c r="A2706" t="s">
        <v>3724</v>
      </c>
      <c r="B2706" t="s">
        <v>3719</v>
      </c>
      <c r="C2706" t="s">
        <v>13</v>
      </c>
      <c r="D2706" t="s">
        <v>1582</v>
      </c>
      <c r="E2706" t="s">
        <v>157</v>
      </c>
      <c r="F2706">
        <v>4</v>
      </c>
      <c r="G2706">
        <v>1227.68</v>
      </c>
      <c r="H2706">
        <v>0.04</v>
      </c>
      <c r="I2706" s="4">
        <v>4714.29</v>
      </c>
      <c r="J2706" t="s">
        <v>16</v>
      </c>
      <c r="K2706" t="s">
        <v>48</v>
      </c>
      <c r="L2706" s="4">
        <f>VLOOKUP(tblTransactions[[#This Row],[Product_ID]],tblProducts[],5,FALSE)</f>
        <v>846.42</v>
      </c>
      <c r="M2706" s="4">
        <f>tblTransactions[[#This Row],[Total_Amount]]-(tblTransactions[[#This Row],[Cost_Prices]]*tblTransactions[[#This Row],[Quantity]]*(1-tblTransactions[[#This Row],[Discount]]))</f>
        <v>1464.0372000000002</v>
      </c>
      <c r="N2706" s="3">
        <f>tblTransactions[[#This Row],[Profit]]/tblTransactions[[#This Row],[Total_Amount]]</f>
        <v>0.310553063133579</v>
      </c>
      <c r="O2706" t="str">
        <f>TEXT(tblTransactions[[#This Row],[Date]], "MMM-YYYY")</f>
        <v>Jul-2024</v>
      </c>
      <c r="P2706" t="str">
        <f>"Q"&amp;ROUNDUP(MONTH(tblTransactions[[#This Row],[Date]])/3,0)&amp;"-"&amp;YEAR(tblTransactions[[#This Row],[Date]])</f>
        <v>Q3-2024</v>
      </c>
      <c r="Q2706">
        <f>YEAR(tblTransactions[[#This Row],[Date]])</f>
        <v>2024</v>
      </c>
      <c r="R2706" t="str">
        <f>TEXT(tblTransactions[[#This Row],[Date]],"DDDD")</f>
        <v>Sunday</v>
      </c>
      <c r="S2706">
        <f>MONTH(tblTransactions[[#This Row],[Date]])</f>
        <v>7</v>
      </c>
      <c r="T2706" t="str">
        <f>VLOOKUP(E2706, Products!$A:$B,2,0)</f>
        <v>Printers Tec-4</v>
      </c>
      <c r="U2706" t="str">
        <f>VLOOKUP(E2706,Products!$A:$C,3,0)</f>
        <v>Technology</v>
      </c>
      <c r="V2706" t="str">
        <f>VLOOKUP(E2706,Products!$A:$D,4,0)</f>
        <v>Printers</v>
      </c>
      <c r="W2706" t="str">
        <f>VLOOKUP(D2706,Customers!$A:$C,3,0)</f>
        <v>Small Business</v>
      </c>
      <c r="X2706" t="str">
        <f>VLOOKUP(C2706,Sales_Representatives!$A:$B,2,0)</f>
        <v>Jennifer Rodriguez</v>
      </c>
    </row>
    <row r="2707" spans="1:24" x14ac:dyDescent="0.3">
      <c r="A2707" t="s">
        <v>3725</v>
      </c>
      <c r="B2707" t="s">
        <v>3719</v>
      </c>
      <c r="C2707" t="s">
        <v>141</v>
      </c>
      <c r="D2707" t="s">
        <v>1832</v>
      </c>
      <c r="E2707" t="s">
        <v>129</v>
      </c>
      <c r="F2707">
        <v>5</v>
      </c>
      <c r="G2707">
        <v>1283.71</v>
      </c>
      <c r="H2707">
        <v>0.02</v>
      </c>
      <c r="I2707" s="4">
        <v>6290.18</v>
      </c>
      <c r="J2707" t="s">
        <v>109</v>
      </c>
      <c r="K2707" t="s">
        <v>48</v>
      </c>
      <c r="L2707" s="4">
        <f>VLOOKUP(tblTransactions[[#This Row],[Product_ID]],tblProducts[],5,FALSE)</f>
        <v>970.14</v>
      </c>
      <c r="M2707" s="4">
        <f>tblTransactions[[#This Row],[Total_Amount]]-(tblTransactions[[#This Row],[Cost_Prices]]*tblTransactions[[#This Row],[Quantity]]*(1-tblTransactions[[#This Row],[Discount]]))</f>
        <v>1536.4940000000006</v>
      </c>
      <c r="N2707" s="3">
        <f>tblTransactions[[#This Row],[Profit]]/tblTransactions[[#This Row],[Total_Amount]]</f>
        <v>0.24426868547481956</v>
      </c>
      <c r="O2707" t="str">
        <f>TEXT(tblTransactions[[#This Row],[Date]], "MMM-YYYY")</f>
        <v>Jul-2024</v>
      </c>
      <c r="P2707" t="str">
        <f>"Q"&amp;ROUNDUP(MONTH(tblTransactions[[#This Row],[Date]])/3,0)&amp;"-"&amp;YEAR(tblTransactions[[#This Row],[Date]])</f>
        <v>Q3-2024</v>
      </c>
      <c r="Q2707">
        <f>YEAR(tblTransactions[[#This Row],[Date]])</f>
        <v>2024</v>
      </c>
      <c r="R2707" t="str">
        <f>TEXT(tblTransactions[[#This Row],[Date]],"DDDD")</f>
        <v>Sunday</v>
      </c>
      <c r="S2707">
        <f>MONTH(tblTransactions[[#This Row],[Date]])</f>
        <v>7</v>
      </c>
      <c r="T2707" t="str">
        <f>VLOOKUP(E2707, Products!$A:$B,2,0)</f>
        <v>Cameras Ele-3</v>
      </c>
      <c r="U2707" t="str">
        <f>VLOOKUP(E2707,Products!$A:$C,3,0)</f>
        <v>Electronics</v>
      </c>
      <c r="V2707" t="str">
        <f>VLOOKUP(E2707,Products!$A:$D,4,0)</f>
        <v>Cameras</v>
      </c>
      <c r="W2707" t="str">
        <f>VLOOKUP(D2707,Customers!$A:$C,3,0)</f>
        <v>Small Business</v>
      </c>
      <c r="X2707" t="str">
        <f>VLOOKUP(C2707,Sales_Representatives!$A:$B,2,0)</f>
        <v>Richard Garcia</v>
      </c>
    </row>
    <row r="2708" spans="1:24" x14ac:dyDescent="0.3">
      <c r="A2708" t="s">
        <v>3726</v>
      </c>
      <c r="B2708" t="s">
        <v>3727</v>
      </c>
      <c r="C2708" t="s">
        <v>107</v>
      </c>
      <c r="D2708" t="s">
        <v>1910</v>
      </c>
      <c r="E2708" t="s">
        <v>105</v>
      </c>
      <c r="F2708">
        <v>1</v>
      </c>
      <c r="G2708">
        <v>1342.04</v>
      </c>
      <c r="H2708">
        <v>0.02</v>
      </c>
      <c r="I2708" s="4">
        <v>1315.2</v>
      </c>
      <c r="J2708" t="s">
        <v>109</v>
      </c>
      <c r="K2708" t="s">
        <v>22</v>
      </c>
      <c r="L2708" s="4">
        <f>VLOOKUP(tblTransactions[[#This Row],[Product_ID]],tblProducts[],5,FALSE)</f>
        <v>792.89</v>
      </c>
      <c r="M2708" s="4">
        <f>tblTransactions[[#This Row],[Total_Amount]]-(tblTransactions[[#This Row],[Cost_Prices]]*tblTransactions[[#This Row],[Quantity]]*(1-tblTransactions[[#This Row],[Discount]]))</f>
        <v>538.16780000000006</v>
      </c>
      <c r="N2708" s="3">
        <f>tblTransactions[[#This Row],[Profit]]/tblTransactions[[#This Row],[Total_Amount]]</f>
        <v>0.40919084549878348</v>
      </c>
      <c r="O2708" t="str">
        <f>TEXT(tblTransactions[[#This Row],[Date]], "MMM-YYYY")</f>
        <v>Jul-2024</v>
      </c>
      <c r="P2708" t="str">
        <f>"Q"&amp;ROUNDUP(MONTH(tblTransactions[[#This Row],[Date]])/3,0)&amp;"-"&amp;YEAR(tblTransactions[[#This Row],[Date]])</f>
        <v>Q3-2024</v>
      </c>
      <c r="Q2708">
        <f>YEAR(tblTransactions[[#This Row],[Date]])</f>
        <v>2024</v>
      </c>
      <c r="R2708" t="str">
        <f>TEXT(tblTransactions[[#This Row],[Date]],"DDDD")</f>
        <v>Monday</v>
      </c>
      <c r="S2708">
        <f>MONTH(tblTransactions[[#This Row],[Date]])</f>
        <v>7</v>
      </c>
      <c r="T2708" t="str">
        <f>VLOOKUP(E2708, Products!$A:$B,2,0)</f>
        <v>Cameras Ele-1</v>
      </c>
      <c r="U2708" t="str">
        <f>VLOOKUP(E2708,Products!$A:$C,3,0)</f>
        <v>Electronics</v>
      </c>
      <c r="V2708" t="str">
        <f>VLOOKUP(E2708,Products!$A:$D,4,0)</f>
        <v>Cameras</v>
      </c>
      <c r="W2708" t="str">
        <f>VLOOKUP(D2708,Customers!$A:$C,3,0)</f>
        <v>B2C</v>
      </c>
      <c r="X2708" t="str">
        <f>VLOOKUP(C2708,Sales_Representatives!$A:$B,2,0)</f>
        <v>Jennifer Brown</v>
      </c>
    </row>
    <row r="2709" spans="1:24" x14ac:dyDescent="0.3">
      <c r="A2709" t="s">
        <v>3728</v>
      </c>
      <c r="B2709" t="s">
        <v>3727</v>
      </c>
      <c r="C2709" t="s">
        <v>59</v>
      </c>
      <c r="D2709" t="s">
        <v>2068</v>
      </c>
      <c r="E2709" t="s">
        <v>91</v>
      </c>
      <c r="F2709">
        <v>6</v>
      </c>
      <c r="G2709">
        <v>286.62</v>
      </c>
      <c r="H2709">
        <v>0.06</v>
      </c>
      <c r="I2709" s="4">
        <v>1616.54</v>
      </c>
      <c r="J2709" t="s">
        <v>21</v>
      </c>
      <c r="K2709" t="s">
        <v>35</v>
      </c>
      <c r="L2709" s="4">
        <f>VLOOKUP(tblTransactions[[#This Row],[Product_ID]],tblProducts[],5,FALSE)</f>
        <v>145.54</v>
      </c>
      <c r="M2709" s="4">
        <f>tblTransactions[[#This Row],[Total_Amount]]-(tblTransactions[[#This Row],[Cost_Prices]]*tblTransactions[[#This Row],[Quantity]]*(1-tblTransactions[[#This Row],[Discount]]))</f>
        <v>795.69439999999997</v>
      </c>
      <c r="N2709" s="3">
        <f>tblTransactions[[#This Row],[Profit]]/tblTransactions[[#This Row],[Total_Amount]]</f>
        <v>0.49222066883590881</v>
      </c>
      <c r="O2709" t="str">
        <f>TEXT(tblTransactions[[#This Row],[Date]], "MMM-YYYY")</f>
        <v>Jul-2024</v>
      </c>
      <c r="P2709" t="str">
        <f>"Q"&amp;ROUNDUP(MONTH(tblTransactions[[#This Row],[Date]])/3,0)&amp;"-"&amp;YEAR(tblTransactions[[#This Row],[Date]])</f>
        <v>Q3-2024</v>
      </c>
      <c r="Q2709">
        <f>YEAR(tblTransactions[[#This Row],[Date]])</f>
        <v>2024</v>
      </c>
      <c r="R2709" t="str">
        <f>TEXT(tblTransactions[[#This Row],[Date]],"DDDD")</f>
        <v>Monday</v>
      </c>
      <c r="S2709">
        <f>MONTH(tblTransactions[[#This Row],[Date]])</f>
        <v>7</v>
      </c>
      <c r="T2709" t="str">
        <f>VLOOKUP(E2709, Products!$A:$B,2,0)</f>
        <v>Chairs Fur-1</v>
      </c>
      <c r="U2709" t="str">
        <f>VLOOKUP(E2709,Products!$A:$C,3,0)</f>
        <v>Furniture</v>
      </c>
      <c r="V2709" t="str">
        <f>VLOOKUP(E2709,Products!$A:$D,4,0)</f>
        <v>Chairs</v>
      </c>
      <c r="W2709" t="str">
        <f>VLOOKUP(D2709,Customers!$A:$C,3,0)</f>
        <v>Small Business</v>
      </c>
      <c r="X2709" t="str">
        <f>VLOOKUP(C2709,Sales_Representatives!$A:$B,2,0)</f>
        <v>Sarah Brown</v>
      </c>
    </row>
    <row r="2710" spans="1:24" x14ac:dyDescent="0.3">
      <c r="A2710" t="s">
        <v>3729</v>
      </c>
      <c r="B2710" t="s">
        <v>3727</v>
      </c>
      <c r="C2710" t="s">
        <v>13</v>
      </c>
      <c r="D2710" t="s">
        <v>1485</v>
      </c>
      <c r="E2710" t="s">
        <v>137</v>
      </c>
      <c r="F2710">
        <v>15</v>
      </c>
      <c r="G2710">
        <v>241.39</v>
      </c>
      <c r="H2710">
        <v>0.18</v>
      </c>
      <c r="I2710" s="4">
        <v>2969.1</v>
      </c>
      <c r="J2710" t="s">
        <v>16</v>
      </c>
      <c r="K2710" t="s">
        <v>39</v>
      </c>
      <c r="L2710" s="4">
        <f>VLOOKUP(tblTransactions[[#This Row],[Product_ID]],tblProducts[],5,FALSE)</f>
        <v>124.07</v>
      </c>
      <c r="M2710" s="4">
        <f>tblTransactions[[#This Row],[Total_Amount]]-(tblTransactions[[#This Row],[Cost_Prices]]*tblTransactions[[#This Row],[Quantity]]*(1-tblTransactions[[#This Row],[Discount]]))</f>
        <v>1443.0389999999998</v>
      </c>
      <c r="N2710" s="3">
        <f>tblTransactions[[#This Row],[Profit]]/tblTransactions[[#This Row],[Total_Amount]]</f>
        <v>0.48601899565524898</v>
      </c>
      <c r="O2710" t="str">
        <f>TEXT(tblTransactions[[#This Row],[Date]], "MMM-YYYY")</f>
        <v>Jul-2024</v>
      </c>
      <c r="P2710" t="str">
        <f>"Q"&amp;ROUNDUP(MONTH(tblTransactions[[#This Row],[Date]])/3,0)&amp;"-"&amp;YEAR(tblTransactions[[#This Row],[Date]])</f>
        <v>Q3-2024</v>
      </c>
      <c r="Q2710">
        <f>YEAR(tblTransactions[[#This Row],[Date]])</f>
        <v>2024</v>
      </c>
      <c r="R2710" t="str">
        <f>TEXT(tblTransactions[[#This Row],[Date]],"DDDD")</f>
        <v>Monday</v>
      </c>
      <c r="S2710">
        <f>MONTH(tblTransactions[[#This Row],[Date]])</f>
        <v>7</v>
      </c>
      <c r="T2710" t="str">
        <f>VLOOKUP(E2710, Products!$A:$B,2,0)</f>
        <v>Desks Fur-2</v>
      </c>
      <c r="U2710" t="str">
        <f>VLOOKUP(E2710,Products!$A:$C,3,0)</f>
        <v>Furniture</v>
      </c>
      <c r="V2710" t="str">
        <f>VLOOKUP(E2710,Products!$A:$D,4,0)</f>
        <v>Desks</v>
      </c>
      <c r="W2710" t="str">
        <f>VLOOKUP(D2710,Customers!$A:$C,3,0)</f>
        <v>B2B</v>
      </c>
      <c r="X2710" t="str">
        <f>VLOOKUP(C2710,Sales_Representatives!$A:$B,2,0)</f>
        <v>Jennifer Rodriguez</v>
      </c>
    </row>
    <row r="2711" spans="1:24" x14ac:dyDescent="0.3">
      <c r="A2711" t="s">
        <v>3730</v>
      </c>
      <c r="B2711" t="s">
        <v>3727</v>
      </c>
      <c r="C2711" t="s">
        <v>31</v>
      </c>
      <c r="D2711" t="s">
        <v>2224</v>
      </c>
      <c r="E2711" t="s">
        <v>89</v>
      </c>
      <c r="F2711">
        <v>14</v>
      </c>
      <c r="G2711">
        <v>555.08000000000004</v>
      </c>
      <c r="H2711">
        <v>0.17</v>
      </c>
      <c r="I2711" s="4">
        <v>6450.03</v>
      </c>
      <c r="J2711" t="s">
        <v>34</v>
      </c>
      <c r="K2711" t="s">
        <v>48</v>
      </c>
      <c r="L2711" s="4">
        <f>VLOOKUP(tblTransactions[[#This Row],[Product_ID]],tblProducts[],5,FALSE)</f>
        <v>402.82</v>
      </c>
      <c r="M2711" s="4">
        <f>tblTransactions[[#This Row],[Total_Amount]]-(tblTransactions[[#This Row],[Cost_Prices]]*tblTransactions[[#This Row],[Quantity]]*(1-tblTransactions[[#This Row],[Discount]]))</f>
        <v>1769.2616000000007</v>
      </c>
      <c r="N2711" s="3">
        <f>tblTransactions[[#This Row],[Profit]]/tblTransactions[[#This Row],[Total_Amount]]</f>
        <v>0.2743028482038069</v>
      </c>
      <c r="O2711" t="str">
        <f>TEXT(tblTransactions[[#This Row],[Date]], "MMM-YYYY")</f>
        <v>Jul-2024</v>
      </c>
      <c r="P2711" t="str">
        <f>"Q"&amp;ROUNDUP(MONTH(tblTransactions[[#This Row],[Date]])/3,0)&amp;"-"&amp;YEAR(tblTransactions[[#This Row],[Date]])</f>
        <v>Q3-2024</v>
      </c>
      <c r="Q2711">
        <f>YEAR(tblTransactions[[#This Row],[Date]])</f>
        <v>2024</v>
      </c>
      <c r="R2711" t="str">
        <f>TEXT(tblTransactions[[#This Row],[Date]],"DDDD")</f>
        <v>Monday</v>
      </c>
      <c r="S2711">
        <f>MONTH(tblTransactions[[#This Row],[Date]])</f>
        <v>7</v>
      </c>
      <c r="T2711" t="str">
        <f>VLOOKUP(E2711, Products!$A:$B,2,0)</f>
        <v>Laptops Ele-3</v>
      </c>
      <c r="U2711" t="str">
        <f>VLOOKUP(E2711,Products!$A:$C,3,0)</f>
        <v>Electronics</v>
      </c>
      <c r="V2711" t="str">
        <f>VLOOKUP(E2711,Products!$A:$D,4,0)</f>
        <v>Laptops</v>
      </c>
      <c r="W2711" t="str">
        <f>VLOOKUP(D2711,Customers!$A:$C,3,0)</f>
        <v>B2B</v>
      </c>
      <c r="X2711" t="str">
        <f>VLOOKUP(C2711,Sales_Representatives!$A:$B,2,0)</f>
        <v>Thomas Martinez</v>
      </c>
    </row>
    <row r="2712" spans="1:24" x14ac:dyDescent="0.3">
      <c r="A2712" t="s">
        <v>3731</v>
      </c>
      <c r="B2712" t="s">
        <v>3732</v>
      </c>
      <c r="C2712" t="s">
        <v>31</v>
      </c>
      <c r="D2712" t="s">
        <v>2179</v>
      </c>
      <c r="E2712" t="s">
        <v>53</v>
      </c>
      <c r="F2712">
        <v>6</v>
      </c>
      <c r="G2712">
        <v>2069.2199999999998</v>
      </c>
      <c r="H2712">
        <v>0.11</v>
      </c>
      <c r="I2712" s="4">
        <v>11049.63</v>
      </c>
      <c r="J2712" t="s">
        <v>34</v>
      </c>
      <c r="K2712" t="s">
        <v>39</v>
      </c>
      <c r="L2712" s="4">
        <f>VLOOKUP(tblTransactions[[#This Row],[Product_ID]],tblProducts[],5,FALSE)</f>
        <v>1451.18</v>
      </c>
      <c r="M2712" s="4">
        <f>tblTransactions[[#This Row],[Total_Amount]]-(tblTransactions[[#This Row],[Cost_Prices]]*tblTransactions[[#This Row],[Quantity]]*(1-tblTransactions[[#This Row],[Discount]]))</f>
        <v>3300.3287999999993</v>
      </c>
      <c r="N2712" s="3">
        <f>tblTransactions[[#This Row],[Profit]]/tblTransactions[[#This Row],[Total_Amount]]</f>
        <v>0.29868229071923669</v>
      </c>
      <c r="O2712" t="str">
        <f>TEXT(tblTransactions[[#This Row],[Date]], "MMM-YYYY")</f>
        <v>Jul-2024</v>
      </c>
      <c r="P2712" t="str">
        <f>"Q"&amp;ROUNDUP(MONTH(tblTransactions[[#This Row],[Date]])/3,0)&amp;"-"&amp;YEAR(tblTransactions[[#This Row],[Date]])</f>
        <v>Q3-2024</v>
      </c>
      <c r="Q2712">
        <f>YEAR(tblTransactions[[#This Row],[Date]])</f>
        <v>2024</v>
      </c>
      <c r="R2712" t="str">
        <f>TEXT(tblTransactions[[#This Row],[Date]],"DDDD")</f>
        <v>Tuesday</v>
      </c>
      <c r="S2712">
        <f>MONTH(tblTransactions[[#This Row],[Date]])</f>
        <v>7</v>
      </c>
      <c r="T2712" t="str">
        <f>VLOOKUP(E2712, Products!$A:$B,2,0)</f>
        <v>Printers Tec-3</v>
      </c>
      <c r="U2712" t="str">
        <f>VLOOKUP(E2712,Products!$A:$C,3,0)</f>
        <v>Technology</v>
      </c>
      <c r="V2712" t="str">
        <f>VLOOKUP(E2712,Products!$A:$D,4,0)</f>
        <v>Printers</v>
      </c>
      <c r="W2712" t="str">
        <f>VLOOKUP(D2712,Customers!$A:$C,3,0)</f>
        <v>B2C</v>
      </c>
      <c r="X2712" t="str">
        <f>VLOOKUP(C2712,Sales_Representatives!$A:$B,2,0)</f>
        <v>Thomas Martinez</v>
      </c>
    </row>
    <row r="2713" spans="1:24" x14ac:dyDescent="0.3">
      <c r="A2713" t="s">
        <v>3733</v>
      </c>
      <c r="B2713" t="s">
        <v>3732</v>
      </c>
      <c r="C2713" t="s">
        <v>75</v>
      </c>
      <c r="D2713" t="s">
        <v>3014</v>
      </c>
      <c r="E2713" t="s">
        <v>290</v>
      </c>
      <c r="F2713">
        <v>14</v>
      </c>
      <c r="G2713">
        <v>729.32</v>
      </c>
      <c r="H2713">
        <v>0.16</v>
      </c>
      <c r="I2713" s="4">
        <v>8576.7999999999993</v>
      </c>
      <c r="J2713" t="s">
        <v>44</v>
      </c>
      <c r="K2713" t="s">
        <v>48</v>
      </c>
      <c r="L2713" s="4">
        <f>VLOOKUP(tblTransactions[[#This Row],[Product_ID]],tblProducts[],5,FALSE)</f>
        <v>482.7</v>
      </c>
      <c r="M2713" s="4">
        <f>tblTransactions[[#This Row],[Total_Amount]]-(tblTransactions[[#This Row],[Cost_Prices]]*tblTransactions[[#This Row],[Quantity]]*(1-tblTransactions[[#This Row],[Discount]]))</f>
        <v>2900.2479999999996</v>
      </c>
      <c r="N2713" s="3">
        <f>tblTransactions[[#This Row],[Profit]]/tblTransactions[[#This Row],[Total_Amount]]</f>
        <v>0.33815035910829211</v>
      </c>
      <c r="O2713" t="str">
        <f>TEXT(tblTransactions[[#This Row],[Date]], "MMM-YYYY")</f>
        <v>Jul-2024</v>
      </c>
      <c r="P2713" t="str">
        <f>"Q"&amp;ROUNDUP(MONTH(tblTransactions[[#This Row],[Date]])/3,0)&amp;"-"&amp;YEAR(tblTransactions[[#This Row],[Date]])</f>
        <v>Q3-2024</v>
      </c>
      <c r="Q2713">
        <f>YEAR(tblTransactions[[#This Row],[Date]])</f>
        <v>2024</v>
      </c>
      <c r="R2713" t="str">
        <f>TEXT(tblTransactions[[#This Row],[Date]],"DDDD")</f>
        <v>Tuesday</v>
      </c>
      <c r="S2713">
        <f>MONTH(tblTransactions[[#This Row],[Date]])</f>
        <v>7</v>
      </c>
      <c r="T2713" t="str">
        <f>VLOOKUP(E2713, Products!$A:$B,2,0)</f>
        <v>Tables Fur-1</v>
      </c>
      <c r="U2713" t="str">
        <f>VLOOKUP(E2713,Products!$A:$C,3,0)</f>
        <v>Furniture</v>
      </c>
      <c r="V2713" t="str">
        <f>VLOOKUP(E2713,Products!$A:$D,4,0)</f>
        <v>Tables</v>
      </c>
      <c r="W2713" t="str">
        <f>VLOOKUP(D2713,Customers!$A:$C,3,0)</f>
        <v>B2B</v>
      </c>
      <c r="X2713" t="str">
        <f>VLOOKUP(C2713,Sales_Representatives!$A:$B,2,0)</f>
        <v>Jessica Anderson</v>
      </c>
    </row>
    <row r="2714" spans="1:24" x14ac:dyDescent="0.3">
      <c r="A2714" t="s">
        <v>3734</v>
      </c>
      <c r="B2714" t="s">
        <v>3732</v>
      </c>
      <c r="C2714" t="s">
        <v>75</v>
      </c>
      <c r="D2714" t="s">
        <v>118</v>
      </c>
      <c r="E2714" t="s">
        <v>129</v>
      </c>
      <c r="F2714">
        <v>4</v>
      </c>
      <c r="G2714">
        <v>1283.71</v>
      </c>
      <c r="H2714">
        <v>0.03</v>
      </c>
      <c r="I2714" s="4">
        <v>4980.79</v>
      </c>
      <c r="J2714" t="s">
        <v>44</v>
      </c>
      <c r="K2714" t="s">
        <v>39</v>
      </c>
      <c r="L2714" s="4">
        <f>VLOOKUP(tblTransactions[[#This Row],[Product_ID]],tblProducts[],5,FALSE)</f>
        <v>970.14</v>
      </c>
      <c r="M2714" s="4">
        <f>tblTransactions[[#This Row],[Total_Amount]]-(tblTransactions[[#This Row],[Cost_Prices]]*tblTransactions[[#This Row],[Quantity]]*(1-tblTransactions[[#This Row],[Discount]]))</f>
        <v>1216.6468</v>
      </c>
      <c r="N2714" s="3">
        <f>tblTransactions[[#This Row],[Profit]]/tblTransactions[[#This Row],[Total_Amount]]</f>
        <v>0.24426783702986876</v>
      </c>
      <c r="O2714" t="str">
        <f>TEXT(tblTransactions[[#This Row],[Date]], "MMM-YYYY")</f>
        <v>Jul-2024</v>
      </c>
      <c r="P2714" t="str">
        <f>"Q"&amp;ROUNDUP(MONTH(tblTransactions[[#This Row],[Date]])/3,0)&amp;"-"&amp;YEAR(tblTransactions[[#This Row],[Date]])</f>
        <v>Q3-2024</v>
      </c>
      <c r="Q2714">
        <f>YEAR(tblTransactions[[#This Row],[Date]])</f>
        <v>2024</v>
      </c>
      <c r="R2714" t="str">
        <f>TEXT(tblTransactions[[#This Row],[Date]],"DDDD")</f>
        <v>Tuesday</v>
      </c>
      <c r="S2714">
        <f>MONTH(tblTransactions[[#This Row],[Date]])</f>
        <v>7</v>
      </c>
      <c r="T2714" t="str">
        <f>VLOOKUP(E2714, Products!$A:$B,2,0)</f>
        <v>Cameras Ele-3</v>
      </c>
      <c r="U2714" t="str">
        <f>VLOOKUP(E2714,Products!$A:$C,3,0)</f>
        <v>Electronics</v>
      </c>
      <c r="V2714" t="str">
        <f>VLOOKUP(E2714,Products!$A:$D,4,0)</f>
        <v>Cameras</v>
      </c>
      <c r="W2714" t="str">
        <f>VLOOKUP(D2714,Customers!$A:$C,3,0)</f>
        <v>B2C</v>
      </c>
      <c r="X2714" t="str">
        <f>VLOOKUP(C2714,Sales_Representatives!$A:$B,2,0)</f>
        <v>Jessica Anderson</v>
      </c>
    </row>
    <row r="2715" spans="1:24" x14ac:dyDescent="0.3">
      <c r="A2715" t="s">
        <v>3735</v>
      </c>
      <c r="B2715" t="s">
        <v>3736</v>
      </c>
      <c r="C2715" t="s">
        <v>41</v>
      </c>
      <c r="D2715" t="s">
        <v>1728</v>
      </c>
      <c r="E2715" t="s">
        <v>105</v>
      </c>
      <c r="F2715">
        <v>17</v>
      </c>
      <c r="G2715">
        <v>1342.04</v>
      </c>
      <c r="H2715">
        <v>0.17</v>
      </c>
      <c r="I2715" s="4">
        <v>18936.18</v>
      </c>
      <c r="J2715" t="s">
        <v>44</v>
      </c>
      <c r="K2715" t="s">
        <v>17</v>
      </c>
      <c r="L2715" s="4">
        <f>VLOOKUP(tblTransactions[[#This Row],[Product_ID]],tblProducts[],5,FALSE)</f>
        <v>792.89</v>
      </c>
      <c r="M2715" s="4">
        <f>tblTransactions[[#This Row],[Total_Amount]]-(tblTransactions[[#This Row],[Cost_Prices]]*tblTransactions[[#This Row],[Quantity]]*(1-tblTransactions[[#This Row],[Discount]]))</f>
        <v>7748.5021000000015</v>
      </c>
      <c r="N2715" s="3">
        <f>tblTransactions[[#This Row],[Profit]]/tblTransactions[[#This Row],[Total_Amount]]</f>
        <v>0.40919034884543776</v>
      </c>
      <c r="O2715" t="str">
        <f>TEXT(tblTransactions[[#This Row],[Date]], "MMM-YYYY")</f>
        <v>Jul-2024</v>
      </c>
      <c r="P2715" t="str">
        <f>"Q"&amp;ROUNDUP(MONTH(tblTransactions[[#This Row],[Date]])/3,0)&amp;"-"&amp;YEAR(tblTransactions[[#This Row],[Date]])</f>
        <v>Q3-2024</v>
      </c>
      <c r="Q2715">
        <f>YEAR(tblTransactions[[#This Row],[Date]])</f>
        <v>2024</v>
      </c>
      <c r="R2715" t="str">
        <f>TEXT(tblTransactions[[#This Row],[Date]],"DDDD")</f>
        <v>Wednesday</v>
      </c>
      <c r="S2715">
        <f>MONTH(tblTransactions[[#This Row],[Date]])</f>
        <v>7</v>
      </c>
      <c r="T2715" t="str">
        <f>VLOOKUP(E2715, Products!$A:$B,2,0)</f>
        <v>Cameras Ele-1</v>
      </c>
      <c r="U2715" t="str">
        <f>VLOOKUP(E2715,Products!$A:$C,3,0)</f>
        <v>Electronics</v>
      </c>
      <c r="V2715" t="str">
        <f>VLOOKUP(E2715,Products!$A:$D,4,0)</f>
        <v>Cameras</v>
      </c>
      <c r="W2715" t="str">
        <f>VLOOKUP(D2715,Customers!$A:$C,3,0)</f>
        <v>B2B</v>
      </c>
      <c r="X2715" t="str">
        <f>VLOOKUP(C2715,Sales_Representatives!$A:$B,2,0)</f>
        <v>Robert Jones</v>
      </c>
    </row>
    <row r="2716" spans="1:24" x14ac:dyDescent="0.3">
      <c r="A2716" t="s">
        <v>3737</v>
      </c>
      <c r="B2716" t="s">
        <v>3736</v>
      </c>
      <c r="C2716" t="s">
        <v>31</v>
      </c>
      <c r="D2716" t="s">
        <v>2620</v>
      </c>
      <c r="E2716" t="s">
        <v>347</v>
      </c>
      <c r="F2716">
        <v>46</v>
      </c>
      <c r="G2716">
        <v>1539.6</v>
      </c>
      <c r="H2716">
        <v>0.18</v>
      </c>
      <c r="I2716" s="4">
        <v>58073.71</v>
      </c>
      <c r="J2716" t="s">
        <v>34</v>
      </c>
      <c r="K2716" t="s">
        <v>35</v>
      </c>
      <c r="L2716" s="4">
        <f>VLOOKUP(tblTransactions[[#This Row],[Product_ID]],tblProducts[],5,FALSE)</f>
        <v>992.43</v>
      </c>
      <c r="M2716" s="4">
        <f>tblTransactions[[#This Row],[Total_Amount]]-(tblTransactions[[#This Row],[Cost_Prices]]*tblTransactions[[#This Row],[Quantity]]*(1-tblTransactions[[#This Row],[Discount]]))</f>
        <v>20639.250399999997</v>
      </c>
      <c r="N2716" s="3">
        <f>tblTransactions[[#This Row],[Profit]]/tblTransactions[[#This Row],[Total_Amount]]</f>
        <v>0.35539748364621437</v>
      </c>
      <c r="O2716" t="str">
        <f>TEXT(tblTransactions[[#This Row],[Date]], "MMM-YYYY")</f>
        <v>Jul-2024</v>
      </c>
      <c r="P2716" t="str">
        <f>"Q"&amp;ROUNDUP(MONTH(tblTransactions[[#This Row],[Date]])/3,0)&amp;"-"&amp;YEAR(tblTransactions[[#This Row],[Date]])</f>
        <v>Q3-2024</v>
      </c>
      <c r="Q2716">
        <f>YEAR(tblTransactions[[#This Row],[Date]])</f>
        <v>2024</v>
      </c>
      <c r="R2716" t="str">
        <f>TEXT(tblTransactions[[#This Row],[Date]],"DDDD")</f>
        <v>Wednesday</v>
      </c>
      <c r="S2716">
        <f>MONTH(tblTransactions[[#This Row],[Date]])</f>
        <v>7</v>
      </c>
      <c r="T2716" t="str">
        <f>VLOOKUP(E2716, Products!$A:$B,2,0)</f>
        <v>Routers Tec-2</v>
      </c>
      <c r="U2716" t="str">
        <f>VLOOKUP(E2716,Products!$A:$C,3,0)</f>
        <v>Technology</v>
      </c>
      <c r="V2716" t="str">
        <f>VLOOKUP(E2716,Products!$A:$D,4,0)</f>
        <v>Routers</v>
      </c>
      <c r="W2716" t="str">
        <f>VLOOKUP(D2716,Customers!$A:$C,3,0)</f>
        <v>Enterprise</v>
      </c>
      <c r="X2716" t="str">
        <f>VLOOKUP(C2716,Sales_Representatives!$A:$B,2,0)</f>
        <v>Thomas Martinez</v>
      </c>
    </row>
    <row r="2717" spans="1:24" x14ac:dyDescent="0.3">
      <c r="A2717" t="s">
        <v>3738</v>
      </c>
      <c r="B2717" t="s">
        <v>3736</v>
      </c>
      <c r="C2717" t="s">
        <v>70</v>
      </c>
      <c r="D2717" t="s">
        <v>2756</v>
      </c>
      <c r="E2717" t="s">
        <v>152</v>
      </c>
      <c r="F2717">
        <v>3</v>
      </c>
      <c r="G2717">
        <v>859.93</v>
      </c>
      <c r="H2717">
        <v>0.03</v>
      </c>
      <c r="I2717" s="4">
        <v>2502.4</v>
      </c>
      <c r="J2717" t="s">
        <v>16</v>
      </c>
      <c r="K2717" t="s">
        <v>35</v>
      </c>
      <c r="L2717" s="4">
        <f>VLOOKUP(tblTransactions[[#This Row],[Product_ID]],tblProducts[],5,FALSE)</f>
        <v>579.79</v>
      </c>
      <c r="M2717" s="4">
        <f>tblTransactions[[#This Row],[Total_Amount]]-(tblTransactions[[#This Row],[Cost_Prices]]*tblTransactions[[#This Row],[Quantity]]*(1-tblTransactions[[#This Row],[Discount]]))</f>
        <v>815.21110000000022</v>
      </c>
      <c r="N2717" s="3">
        <f>tblTransactions[[#This Row],[Profit]]/tblTransactions[[#This Row],[Total_Amount]]</f>
        <v>0.325771699168798</v>
      </c>
      <c r="O2717" t="str">
        <f>TEXT(tblTransactions[[#This Row],[Date]], "MMM-YYYY")</f>
        <v>Jul-2024</v>
      </c>
      <c r="P2717" t="str">
        <f>"Q"&amp;ROUNDUP(MONTH(tblTransactions[[#This Row],[Date]])/3,0)&amp;"-"&amp;YEAR(tblTransactions[[#This Row],[Date]])</f>
        <v>Q3-2024</v>
      </c>
      <c r="Q2717">
        <f>YEAR(tblTransactions[[#This Row],[Date]])</f>
        <v>2024</v>
      </c>
      <c r="R2717" t="str">
        <f>TEXT(tblTransactions[[#This Row],[Date]],"DDDD")</f>
        <v>Wednesday</v>
      </c>
      <c r="S2717">
        <f>MONTH(tblTransactions[[#This Row],[Date]])</f>
        <v>7</v>
      </c>
      <c r="T2717" t="str">
        <f>VLOOKUP(E2717, Products!$A:$B,2,0)</f>
        <v>Phones Ele-4</v>
      </c>
      <c r="U2717" t="str">
        <f>VLOOKUP(E2717,Products!$A:$C,3,0)</f>
        <v>Electronics</v>
      </c>
      <c r="V2717" t="str">
        <f>VLOOKUP(E2717,Products!$A:$D,4,0)</f>
        <v>Phones</v>
      </c>
      <c r="W2717" t="str">
        <f>VLOOKUP(D2717,Customers!$A:$C,3,0)</f>
        <v>B2C</v>
      </c>
      <c r="X2717" t="str">
        <f>VLOOKUP(C2717,Sales_Representatives!$A:$B,2,0)</f>
        <v>Linda Smith</v>
      </c>
    </row>
    <row r="2718" spans="1:24" x14ac:dyDescent="0.3">
      <c r="A2718" t="s">
        <v>3739</v>
      </c>
      <c r="B2718" t="s">
        <v>3740</v>
      </c>
      <c r="C2718" t="s">
        <v>82</v>
      </c>
      <c r="D2718" t="s">
        <v>2179</v>
      </c>
      <c r="E2718" t="s">
        <v>376</v>
      </c>
      <c r="F2718">
        <v>6</v>
      </c>
      <c r="G2718">
        <v>229.65</v>
      </c>
      <c r="H2718">
        <v>0.13</v>
      </c>
      <c r="I2718" s="4">
        <v>1198.77</v>
      </c>
      <c r="J2718" t="s">
        <v>34</v>
      </c>
      <c r="K2718" t="s">
        <v>39</v>
      </c>
      <c r="L2718" s="4">
        <f>VLOOKUP(tblTransactions[[#This Row],[Product_ID]],tblProducts[],5,FALSE)</f>
        <v>96.84</v>
      </c>
      <c r="M2718" s="4">
        <f>tblTransactions[[#This Row],[Total_Amount]]-(tblTransactions[[#This Row],[Cost_Prices]]*tblTransactions[[#This Row],[Quantity]]*(1-tblTransactions[[#This Row],[Discount]]))</f>
        <v>693.26520000000005</v>
      </c>
      <c r="N2718" s="3">
        <f>tblTransactions[[#This Row],[Profit]]/tblTransactions[[#This Row],[Total_Amount]]</f>
        <v>0.57831377161590636</v>
      </c>
      <c r="O2718" t="str">
        <f>TEXT(tblTransactions[[#This Row],[Date]], "MMM-YYYY")</f>
        <v>Aug-2024</v>
      </c>
      <c r="P2718" t="str">
        <f>"Q"&amp;ROUNDUP(MONTH(tblTransactions[[#This Row],[Date]])/3,0)&amp;"-"&amp;YEAR(tblTransactions[[#This Row],[Date]])</f>
        <v>Q3-2024</v>
      </c>
      <c r="Q2718">
        <f>YEAR(tblTransactions[[#This Row],[Date]])</f>
        <v>2024</v>
      </c>
      <c r="R2718" t="str">
        <f>TEXT(tblTransactions[[#This Row],[Date]],"DDDD")</f>
        <v>Thursday</v>
      </c>
      <c r="S2718">
        <f>MONTH(tblTransactions[[#This Row],[Date]])</f>
        <v>8</v>
      </c>
      <c r="T2718" t="str">
        <f>VLOOKUP(E2718, Products!$A:$B,2,0)</f>
        <v>Adapters Acc-2</v>
      </c>
      <c r="U2718" t="str">
        <f>VLOOKUP(E2718,Products!$A:$C,3,0)</f>
        <v>Accessories</v>
      </c>
      <c r="V2718" t="str">
        <f>VLOOKUP(E2718,Products!$A:$D,4,0)</f>
        <v>Adapters</v>
      </c>
      <c r="W2718" t="str">
        <f>VLOOKUP(D2718,Customers!$A:$C,3,0)</f>
        <v>B2C</v>
      </c>
      <c r="X2718" t="str">
        <f>VLOOKUP(C2718,Sales_Representatives!$A:$B,2,0)</f>
        <v>John Brown</v>
      </c>
    </row>
    <row r="2719" spans="1:24" x14ac:dyDescent="0.3">
      <c r="A2719" t="s">
        <v>3741</v>
      </c>
      <c r="B2719" t="s">
        <v>3740</v>
      </c>
      <c r="C2719" t="s">
        <v>31</v>
      </c>
      <c r="D2719" t="s">
        <v>3280</v>
      </c>
      <c r="E2719" t="s">
        <v>479</v>
      </c>
      <c r="F2719">
        <v>3</v>
      </c>
      <c r="G2719">
        <v>239.6</v>
      </c>
      <c r="H2719">
        <v>0.03</v>
      </c>
      <c r="I2719" s="4">
        <v>697.24</v>
      </c>
      <c r="J2719" t="s">
        <v>34</v>
      </c>
      <c r="K2719" t="s">
        <v>39</v>
      </c>
      <c r="L2719" s="4">
        <f>VLOOKUP(tblTransactions[[#This Row],[Product_ID]],tblProducts[],5,FALSE)</f>
        <v>107.49</v>
      </c>
      <c r="M2719" s="4">
        <f>tblTransactions[[#This Row],[Total_Amount]]-(tblTransactions[[#This Row],[Cost_Prices]]*tblTransactions[[#This Row],[Quantity]]*(1-tblTransactions[[#This Row],[Discount]]))</f>
        <v>384.44410000000005</v>
      </c>
      <c r="N2719" s="3">
        <f>tblTransactions[[#This Row],[Profit]]/tblTransactions[[#This Row],[Total_Amount]]</f>
        <v>0.55137986919855442</v>
      </c>
      <c r="O2719" t="str">
        <f>TEXT(tblTransactions[[#This Row],[Date]], "MMM-YYYY")</f>
        <v>Aug-2024</v>
      </c>
      <c r="P2719" t="str">
        <f>"Q"&amp;ROUNDUP(MONTH(tblTransactions[[#This Row],[Date]])/3,0)&amp;"-"&amp;YEAR(tblTransactions[[#This Row],[Date]])</f>
        <v>Q3-2024</v>
      </c>
      <c r="Q2719">
        <f>YEAR(tblTransactions[[#This Row],[Date]])</f>
        <v>2024</v>
      </c>
      <c r="R2719" t="str">
        <f>TEXT(tblTransactions[[#This Row],[Date]],"DDDD")</f>
        <v>Thursday</v>
      </c>
      <c r="S2719">
        <f>MONTH(tblTransactions[[#This Row],[Date]])</f>
        <v>8</v>
      </c>
      <c r="T2719" t="str">
        <f>VLOOKUP(E2719, Products!$A:$B,2,0)</f>
        <v>Pens Off-2</v>
      </c>
      <c r="U2719" t="str">
        <f>VLOOKUP(E2719,Products!$A:$C,3,0)</f>
        <v>Office Supplies</v>
      </c>
      <c r="V2719" t="str">
        <f>VLOOKUP(E2719,Products!$A:$D,4,0)</f>
        <v>Pens</v>
      </c>
      <c r="W2719" t="str">
        <f>VLOOKUP(D2719,Customers!$A:$C,3,0)</f>
        <v>B2C</v>
      </c>
      <c r="X2719" t="str">
        <f>VLOOKUP(C2719,Sales_Representatives!$A:$B,2,0)</f>
        <v>Thomas Martinez</v>
      </c>
    </row>
    <row r="2720" spans="1:24" x14ac:dyDescent="0.3">
      <c r="A2720" t="s">
        <v>3742</v>
      </c>
      <c r="B2720" t="s">
        <v>3740</v>
      </c>
      <c r="C2720" t="s">
        <v>141</v>
      </c>
      <c r="D2720" t="s">
        <v>2562</v>
      </c>
      <c r="E2720" t="s">
        <v>198</v>
      </c>
      <c r="F2720">
        <v>6</v>
      </c>
      <c r="G2720">
        <v>1802.96</v>
      </c>
      <c r="H2720">
        <v>0.05</v>
      </c>
      <c r="I2720" s="4">
        <v>10276.870000000001</v>
      </c>
      <c r="J2720" t="s">
        <v>109</v>
      </c>
      <c r="K2720" t="s">
        <v>35</v>
      </c>
      <c r="L2720" s="4">
        <f>VLOOKUP(tblTransactions[[#This Row],[Product_ID]],tblProducts[],5,FALSE)</f>
        <v>1282.18</v>
      </c>
      <c r="M2720" s="4">
        <f>tblTransactions[[#This Row],[Total_Amount]]-(tblTransactions[[#This Row],[Cost_Prices]]*tblTransactions[[#This Row],[Quantity]]*(1-tblTransactions[[#This Row],[Discount]]))</f>
        <v>2968.4440000000013</v>
      </c>
      <c r="N2720" s="3">
        <f>tblTransactions[[#This Row],[Profit]]/tblTransactions[[#This Row],[Total_Amount]]</f>
        <v>0.28884709060248898</v>
      </c>
      <c r="O2720" t="str">
        <f>TEXT(tblTransactions[[#This Row],[Date]], "MMM-YYYY")</f>
        <v>Aug-2024</v>
      </c>
      <c r="P2720" t="str">
        <f>"Q"&amp;ROUNDUP(MONTH(tblTransactions[[#This Row],[Date]])/3,0)&amp;"-"&amp;YEAR(tblTransactions[[#This Row],[Date]])</f>
        <v>Q3-2024</v>
      </c>
      <c r="Q2720">
        <f>YEAR(tblTransactions[[#This Row],[Date]])</f>
        <v>2024</v>
      </c>
      <c r="R2720" t="str">
        <f>TEXT(tblTransactions[[#This Row],[Date]],"DDDD")</f>
        <v>Thursday</v>
      </c>
      <c r="S2720">
        <f>MONTH(tblTransactions[[#This Row],[Date]])</f>
        <v>8</v>
      </c>
      <c r="T2720" t="str">
        <f>VLOOKUP(E2720, Products!$A:$B,2,0)</f>
        <v>Tablets Ele-3</v>
      </c>
      <c r="U2720" t="str">
        <f>VLOOKUP(E2720,Products!$A:$C,3,0)</f>
        <v>Electronics</v>
      </c>
      <c r="V2720" t="str">
        <f>VLOOKUP(E2720,Products!$A:$D,4,0)</f>
        <v>Tablets</v>
      </c>
      <c r="W2720" t="str">
        <f>VLOOKUP(D2720,Customers!$A:$C,3,0)</f>
        <v>B2C</v>
      </c>
      <c r="X2720" t="str">
        <f>VLOOKUP(C2720,Sales_Representatives!$A:$B,2,0)</f>
        <v>Richard Garcia</v>
      </c>
    </row>
    <row r="2721" spans="1:24" x14ac:dyDescent="0.3">
      <c r="A2721" t="s">
        <v>3743</v>
      </c>
      <c r="B2721" t="s">
        <v>3740</v>
      </c>
      <c r="C2721" t="s">
        <v>70</v>
      </c>
      <c r="D2721" t="s">
        <v>228</v>
      </c>
      <c r="E2721" t="s">
        <v>217</v>
      </c>
      <c r="F2721">
        <v>2</v>
      </c>
      <c r="G2721">
        <v>145.51</v>
      </c>
      <c r="H2721">
        <v>0.08</v>
      </c>
      <c r="I2721" s="4">
        <v>267.74</v>
      </c>
      <c r="J2721" t="s">
        <v>16</v>
      </c>
      <c r="K2721" t="s">
        <v>22</v>
      </c>
      <c r="L2721" s="4">
        <f>VLOOKUP(tblTransactions[[#This Row],[Product_ID]],tblProducts[],5,FALSE)</f>
        <v>64.510000000000005</v>
      </c>
      <c r="M2721" s="4">
        <f>tblTransactions[[#This Row],[Total_Amount]]-(tblTransactions[[#This Row],[Cost_Prices]]*tblTransactions[[#This Row],[Quantity]]*(1-tblTransactions[[#This Row],[Discount]]))</f>
        <v>149.04159999999999</v>
      </c>
      <c r="N2721" s="3">
        <f>tblTransactions[[#This Row],[Profit]]/tblTransactions[[#This Row],[Total_Amount]]</f>
        <v>0.55666542167774702</v>
      </c>
      <c r="O2721" t="str">
        <f>TEXT(tblTransactions[[#This Row],[Date]], "MMM-YYYY")</f>
        <v>Aug-2024</v>
      </c>
      <c r="P2721" t="str">
        <f>"Q"&amp;ROUNDUP(MONTH(tblTransactions[[#This Row],[Date]])/3,0)&amp;"-"&amp;YEAR(tblTransactions[[#This Row],[Date]])</f>
        <v>Q3-2024</v>
      </c>
      <c r="Q2721">
        <f>YEAR(tblTransactions[[#This Row],[Date]])</f>
        <v>2024</v>
      </c>
      <c r="R2721" t="str">
        <f>TEXT(tblTransactions[[#This Row],[Date]],"DDDD")</f>
        <v>Thursday</v>
      </c>
      <c r="S2721">
        <f>MONTH(tblTransactions[[#This Row],[Date]])</f>
        <v>8</v>
      </c>
      <c r="T2721" t="str">
        <f>VLOOKUP(E2721, Products!$A:$B,2,0)</f>
        <v>Cables Acc-2</v>
      </c>
      <c r="U2721" t="str">
        <f>VLOOKUP(E2721,Products!$A:$C,3,0)</f>
        <v>Accessories</v>
      </c>
      <c r="V2721" t="str">
        <f>VLOOKUP(E2721,Products!$A:$D,4,0)</f>
        <v>Cables</v>
      </c>
      <c r="W2721" t="str">
        <f>VLOOKUP(D2721,Customers!$A:$C,3,0)</f>
        <v>Small Business</v>
      </c>
      <c r="X2721" t="str">
        <f>VLOOKUP(C2721,Sales_Representatives!$A:$B,2,0)</f>
        <v>Linda Smith</v>
      </c>
    </row>
    <row r="2722" spans="1:24" x14ac:dyDescent="0.3">
      <c r="A2722" t="s">
        <v>3744</v>
      </c>
      <c r="B2722" t="s">
        <v>3740</v>
      </c>
      <c r="C2722" t="s">
        <v>127</v>
      </c>
      <c r="D2722" t="s">
        <v>2612</v>
      </c>
      <c r="E2722" t="s">
        <v>89</v>
      </c>
      <c r="F2722">
        <v>8</v>
      </c>
      <c r="G2722">
        <v>555.08000000000004</v>
      </c>
      <c r="H2722">
        <v>0.13</v>
      </c>
      <c r="I2722" s="4">
        <v>3863.36</v>
      </c>
      <c r="J2722" t="s">
        <v>109</v>
      </c>
      <c r="K2722" t="s">
        <v>48</v>
      </c>
      <c r="L2722" s="4">
        <f>VLOOKUP(tblTransactions[[#This Row],[Product_ID]],tblProducts[],5,FALSE)</f>
        <v>402.82</v>
      </c>
      <c r="M2722" s="4">
        <f>tblTransactions[[#This Row],[Total_Amount]]-(tblTransactions[[#This Row],[Cost_Prices]]*tblTransactions[[#This Row],[Quantity]]*(1-tblTransactions[[#This Row],[Discount]]))</f>
        <v>1059.7328000000002</v>
      </c>
      <c r="N2722" s="3">
        <f>tblTransactions[[#This Row],[Profit]]/tblTransactions[[#This Row],[Total_Amount]]</f>
        <v>0.27430340429056577</v>
      </c>
      <c r="O2722" t="str">
        <f>TEXT(tblTransactions[[#This Row],[Date]], "MMM-YYYY")</f>
        <v>Aug-2024</v>
      </c>
      <c r="P2722" t="str">
        <f>"Q"&amp;ROUNDUP(MONTH(tblTransactions[[#This Row],[Date]])/3,0)&amp;"-"&amp;YEAR(tblTransactions[[#This Row],[Date]])</f>
        <v>Q3-2024</v>
      </c>
      <c r="Q2722">
        <f>YEAR(tblTransactions[[#This Row],[Date]])</f>
        <v>2024</v>
      </c>
      <c r="R2722" t="str">
        <f>TEXT(tblTransactions[[#This Row],[Date]],"DDDD")</f>
        <v>Thursday</v>
      </c>
      <c r="S2722">
        <f>MONTH(tblTransactions[[#This Row],[Date]])</f>
        <v>8</v>
      </c>
      <c r="T2722" t="str">
        <f>VLOOKUP(E2722, Products!$A:$B,2,0)</f>
        <v>Laptops Ele-3</v>
      </c>
      <c r="U2722" t="str">
        <f>VLOOKUP(E2722,Products!$A:$C,3,0)</f>
        <v>Electronics</v>
      </c>
      <c r="V2722" t="str">
        <f>VLOOKUP(E2722,Products!$A:$D,4,0)</f>
        <v>Laptops</v>
      </c>
      <c r="W2722" t="str">
        <f>VLOOKUP(D2722,Customers!$A:$C,3,0)</f>
        <v>B2B</v>
      </c>
      <c r="X2722" t="str">
        <f>VLOOKUP(C2722,Sales_Representatives!$A:$B,2,0)</f>
        <v>Emily Hernandez</v>
      </c>
    </row>
    <row r="2723" spans="1:24" x14ac:dyDescent="0.3">
      <c r="A2723" t="s">
        <v>3745</v>
      </c>
      <c r="B2723" t="s">
        <v>3746</v>
      </c>
      <c r="C2723" t="s">
        <v>141</v>
      </c>
      <c r="D2723" t="s">
        <v>3747</v>
      </c>
      <c r="E2723" t="s">
        <v>84</v>
      </c>
      <c r="F2723">
        <v>7</v>
      </c>
      <c r="G2723">
        <v>1841.77</v>
      </c>
      <c r="H2723">
        <v>0.1</v>
      </c>
      <c r="I2723" s="4">
        <v>11603.15</v>
      </c>
      <c r="J2723" t="s">
        <v>109</v>
      </c>
      <c r="K2723" t="s">
        <v>35</v>
      </c>
      <c r="L2723" s="4">
        <f>VLOOKUP(tblTransactions[[#This Row],[Product_ID]],tblProducts[],5,FALSE)</f>
        <v>1151.5899999999999</v>
      </c>
      <c r="M2723" s="4">
        <f>tblTransactions[[#This Row],[Total_Amount]]-(tblTransactions[[#This Row],[Cost_Prices]]*tblTransactions[[#This Row],[Quantity]]*(1-tblTransactions[[#This Row],[Discount]]))</f>
        <v>4348.1329999999998</v>
      </c>
      <c r="N2723" s="3">
        <f>tblTransactions[[#This Row],[Profit]]/tblTransactions[[#This Row],[Total_Amount]]</f>
        <v>0.37473729116662285</v>
      </c>
      <c r="O2723" t="str">
        <f>TEXT(tblTransactions[[#This Row],[Date]], "MMM-YYYY")</f>
        <v>Aug-2024</v>
      </c>
      <c r="P2723" t="str">
        <f>"Q"&amp;ROUNDUP(MONTH(tblTransactions[[#This Row],[Date]])/3,0)&amp;"-"&amp;YEAR(tblTransactions[[#This Row],[Date]])</f>
        <v>Q3-2024</v>
      </c>
      <c r="Q2723">
        <f>YEAR(tblTransactions[[#This Row],[Date]])</f>
        <v>2024</v>
      </c>
      <c r="R2723" t="str">
        <f>TEXT(tblTransactions[[#This Row],[Date]],"DDDD")</f>
        <v>Friday</v>
      </c>
      <c r="S2723">
        <f>MONTH(tblTransactions[[#This Row],[Date]])</f>
        <v>8</v>
      </c>
      <c r="T2723" t="str">
        <f>VLOOKUP(E2723, Products!$A:$B,2,0)</f>
        <v>Laptops Ele-2</v>
      </c>
      <c r="U2723" t="str">
        <f>VLOOKUP(E2723,Products!$A:$C,3,0)</f>
        <v>Electronics</v>
      </c>
      <c r="V2723" t="str">
        <f>VLOOKUP(E2723,Products!$A:$D,4,0)</f>
        <v>Laptops</v>
      </c>
      <c r="W2723" t="str">
        <f>VLOOKUP(D2723,Customers!$A:$C,3,0)</f>
        <v>Enterprise</v>
      </c>
      <c r="X2723" t="str">
        <f>VLOOKUP(C2723,Sales_Representatives!$A:$B,2,0)</f>
        <v>Richard Garcia</v>
      </c>
    </row>
    <row r="2724" spans="1:24" x14ac:dyDescent="0.3">
      <c r="A2724" t="s">
        <v>3748</v>
      </c>
      <c r="B2724" t="s">
        <v>3746</v>
      </c>
      <c r="C2724" t="s">
        <v>19</v>
      </c>
      <c r="D2724" t="s">
        <v>1623</v>
      </c>
      <c r="E2724" t="s">
        <v>168</v>
      </c>
      <c r="F2724">
        <v>3</v>
      </c>
      <c r="G2724">
        <v>101.59</v>
      </c>
      <c r="H2724">
        <v>0.1</v>
      </c>
      <c r="I2724" s="4">
        <v>274.29000000000002</v>
      </c>
      <c r="J2724" t="s">
        <v>21</v>
      </c>
      <c r="K2724" t="s">
        <v>22</v>
      </c>
      <c r="L2724" s="4">
        <f>VLOOKUP(tblTransactions[[#This Row],[Product_ID]],tblProducts[],5,FALSE)</f>
        <v>50.58</v>
      </c>
      <c r="M2724" s="4">
        <f>tblTransactions[[#This Row],[Total_Amount]]-(tblTransactions[[#This Row],[Cost_Prices]]*tblTransactions[[#This Row],[Quantity]]*(1-tblTransactions[[#This Row],[Discount]]))</f>
        <v>137.72400000000002</v>
      </c>
      <c r="N2724" s="3">
        <f>tblTransactions[[#This Row],[Profit]]/tblTransactions[[#This Row],[Total_Amount]]</f>
        <v>0.50211090451711693</v>
      </c>
      <c r="O2724" t="str">
        <f>TEXT(tblTransactions[[#This Row],[Date]], "MMM-YYYY")</f>
        <v>Aug-2024</v>
      </c>
      <c r="P2724" t="str">
        <f>"Q"&amp;ROUNDUP(MONTH(tblTransactions[[#This Row],[Date]])/3,0)&amp;"-"&amp;YEAR(tblTransactions[[#This Row],[Date]])</f>
        <v>Q3-2024</v>
      </c>
      <c r="Q2724">
        <f>YEAR(tblTransactions[[#This Row],[Date]])</f>
        <v>2024</v>
      </c>
      <c r="R2724" t="str">
        <f>TEXT(tblTransactions[[#This Row],[Date]],"DDDD")</f>
        <v>Friday</v>
      </c>
      <c r="S2724">
        <f>MONTH(tblTransactions[[#This Row],[Date]])</f>
        <v>8</v>
      </c>
      <c r="T2724" t="str">
        <f>VLOOKUP(E2724, Products!$A:$B,2,0)</f>
        <v>Cases Acc-4</v>
      </c>
      <c r="U2724" t="str">
        <f>VLOOKUP(E2724,Products!$A:$C,3,0)</f>
        <v>Accessories</v>
      </c>
      <c r="V2724" t="str">
        <f>VLOOKUP(E2724,Products!$A:$D,4,0)</f>
        <v>Cases</v>
      </c>
      <c r="W2724" t="str">
        <f>VLOOKUP(D2724,Customers!$A:$C,3,0)</f>
        <v>B2C</v>
      </c>
      <c r="X2724" t="str">
        <f>VLOOKUP(C2724,Sales_Representatives!$A:$B,2,0)</f>
        <v>Robert Jones</v>
      </c>
    </row>
    <row r="2725" spans="1:24" x14ac:dyDescent="0.3">
      <c r="A2725" t="s">
        <v>3749</v>
      </c>
      <c r="B2725" t="s">
        <v>3746</v>
      </c>
      <c r="C2725" t="s">
        <v>41</v>
      </c>
      <c r="D2725" t="s">
        <v>1610</v>
      </c>
      <c r="E2725" t="s">
        <v>217</v>
      </c>
      <c r="F2725">
        <v>4</v>
      </c>
      <c r="G2725">
        <v>145.51</v>
      </c>
      <c r="H2725">
        <v>0.1</v>
      </c>
      <c r="I2725" s="4">
        <v>523.84</v>
      </c>
      <c r="J2725" t="s">
        <v>44</v>
      </c>
      <c r="K2725" t="s">
        <v>48</v>
      </c>
      <c r="L2725" s="4">
        <f>VLOOKUP(tblTransactions[[#This Row],[Product_ID]],tblProducts[],5,FALSE)</f>
        <v>64.510000000000005</v>
      </c>
      <c r="M2725" s="4">
        <f>tblTransactions[[#This Row],[Total_Amount]]-(tblTransactions[[#This Row],[Cost_Prices]]*tblTransactions[[#This Row],[Quantity]]*(1-tblTransactions[[#This Row],[Discount]]))</f>
        <v>291.60400000000004</v>
      </c>
      <c r="N2725" s="3">
        <f>tblTransactions[[#This Row],[Profit]]/tblTransactions[[#This Row],[Total_Amount]]</f>
        <v>0.55666615760537574</v>
      </c>
      <c r="O2725" t="str">
        <f>TEXT(tblTransactions[[#This Row],[Date]], "MMM-YYYY")</f>
        <v>Aug-2024</v>
      </c>
      <c r="P2725" t="str">
        <f>"Q"&amp;ROUNDUP(MONTH(tblTransactions[[#This Row],[Date]])/3,0)&amp;"-"&amp;YEAR(tblTransactions[[#This Row],[Date]])</f>
        <v>Q3-2024</v>
      </c>
      <c r="Q2725">
        <f>YEAR(tblTransactions[[#This Row],[Date]])</f>
        <v>2024</v>
      </c>
      <c r="R2725" t="str">
        <f>TEXT(tblTransactions[[#This Row],[Date]],"DDDD")</f>
        <v>Friday</v>
      </c>
      <c r="S2725">
        <f>MONTH(tblTransactions[[#This Row],[Date]])</f>
        <v>8</v>
      </c>
      <c r="T2725" t="str">
        <f>VLOOKUP(E2725, Products!$A:$B,2,0)</f>
        <v>Cables Acc-2</v>
      </c>
      <c r="U2725" t="str">
        <f>VLOOKUP(E2725,Products!$A:$C,3,0)</f>
        <v>Accessories</v>
      </c>
      <c r="V2725" t="str">
        <f>VLOOKUP(E2725,Products!$A:$D,4,0)</f>
        <v>Cables</v>
      </c>
      <c r="W2725" t="str">
        <f>VLOOKUP(D2725,Customers!$A:$C,3,0)</f>
        <v>B2C</v>
      </c>
      <c r="X2725" t="str">
        <f>VLOOKUP(C2725,Sales_Representatives!$A:$B,2,0)</f>
        <v>Robert Jones</v>
      </c>
    </row>
    <row r="2726" spans="1:24" x14ac:dyDescent="0.3">
      <c r="A2726" t="s">
        <v>3750</v>
      </c>
      <c r="B2726" t="s">
        <v>3746</v>
      </c>
      <c r="C2726" t="s">
        <v>141</v>
      </c>
      <c r="D2726" t="s">
        <v>1530</v>
      </c>
      <c r="E2726" t="s">
        <v>221</v>
      </c>
      <c r="F2726">
        <v>19</v>
      </c>
      <c r="G2726">
        <v>210.02</v>
      </c>
      <c r="H2726">
        <v>0.19</v>
      </c>
      <c r="I2726" s="4">
        <v>3232.21</v>
      </c>
      <c r="J2726" t="s">
        <v>109</v>
      </c>
      <c r="K2726" t="s">
        <v>39</v>
      </c>
      <c r="L2726" s="4">
        <f>VLOOKUP(tblTransactions[[#This Row],[Product_ID]],tblProducts[],5,FALSE)</f>
        <v>131.66</v>
      </c>
      <c r="M2726" s="4">
        <f>tblTransactions[[#This Row],[Total_Amount]]-(tblTransactions[[#This Row],[Cost_Prices]]*tblTransactions[[#This Row],[Quantity]]*(1-tblTransactions[[#This Row],[Discount]]))</f>
        <v>1205.9625999999998</v>
      </c>
      <c r="N2726" s="3">
        <f>tblTransactions[[#This Row],[Profit]]/tblTransactions[[#This Row],[Total_Amount]]</f>
        <v>0.37310774980586031</v>
      </c>
      <c r="O2726" t="str">
        <f>TEXT(tblTransactions[[#This Row],[Date]], "MMM-YYYY")</f>
        <v>Aug-2024</v>
      </c>
      <c r="P2726" t="str">
        <f>"Q"&amp;ROUNDUP(MONTH(tblTransactions[[#This Row],[Date]])/3,0)&amp;"-"&amp;YEAR(tblTransactions[[#This Row],[Date]])</f>
        <v>Q3-2024</v>
      </c>
      <c r="Q2726">
        <f>YEAR(tblTransactions[[#This Row],[Date]])</f>
        <v>2024</v>
      </c>
      <c r="R2726" t="str">
        <f>TEXT(tblTransactions[[#This Row],[Date]],"DDDD")</f>
        <v>Friday</v>
      </c>
      <c r="S2726">
        <f>MONTH(tblTransactions[[#This Row],[Date]])</f>
        <v>8</v>
      </c>
      <c r="T2726" t="str">
        <f>VLOOKUP(E2726, Products!$A:$B,2,0)</f>
        <v>Storage Fur-2</v>
      </c>
      <c r="U2726" t="str">
        <f>VLOOKUP(E2726,Products!$A:$C,3,0)</f>
        <v>Furniture</v>
      </c>
      <c r="V2726" t="str">
        <f>VLOOKUP(E2726,Products!$A:$D,4,0)</f>
        <v>Storage</v>
      </c>
      <c r="W2726" t="str">
        <f>VLOOKUP(D2726,Customers!$A:$C,3,0)</f>
        <v>Enterprise</v>
      </c>
      <c r="X2726" t="str">
        <f>VLOOKUP(C2726,Sales_Representatives!$A:$B,2,0)</f>
        <v>Richard Garcia</v>
      </c>
    </row>
    <row r="2727" spans="1:24" x14ac:dyDescent="0.3">
      <c r="A2727" t="s">
        <v>3751</v>
      </c>
      <c r="B2727" t="s">
        <v>3746</v>
      </c>
      <c r="C2727" t="s">
        <v>127</v>
      </c>
      <c r="D2727" t="s">
        <v>2567</v>
      </c>
      <c r="E2727" t="s">
        <v>191</v>
      </c>
      <c r="F2727">
        <v>12</v>
      </c>
      <c r="G2727">
        <v>1012.75</v>
      </c>
      <c r="H2727">
        <v>0.12</v>
      </c>
      <c r="I2727" s="4">
        <v>10694.64</v>
      </c>
      <c r="J2727" t="s">
        <v>109</v>
      </c>
      <c r="K2727" t="s">
        <v>48</v>
      </c>
      <c r="L2727" s="4">
        <f>VLOOKUP(tblTransactions[[#This Row],[Product_ID]],tblProducts[],5,FALSE)</f>
        <v>518.53</v>
      </c>
      <c r="M2727" s="4">
        <f>tblTransactions[[#This Row],[Total_Amount]]-(tblTransactions[[#This Row],[Cost_Prices]]*tblTransactions[[#This Row],[Quantity]]*(1-tblTransactions[[#This Row],[Discount]]))</f>
        <v>5218.9631999999992</v>
      </c>
      <c r="N2727" s="3">
        <f>tblTransactions[[#This Row],[Profit]]/tblTransactions[[#This Row],[Total_Amount]]</f>
        <v>0.48799802517896812</v>
      </c>
      <c r="O2727" t="str">
        <f>TEXT(tblTransactions[[#This Row],[Date]], "MMM-YYYY")</f>
        <v>Aug-2024</v>
      </c>
      <c r="P2727" t="str">
        <f>"Q"&amp;ROUNDUP(MONTH(tblTransactions[[#This Row],[Date]])/3,0)&amp;"-"&amp;YEAR(tblTransactions[[#This Row],[Date]])</f>
        <v>Q3-2024</v>
      </c>
      <c r="Q2727">
        <f>YEAR(tblTransactions[[#This Row],[Date]])</f>
        <v>2024</v>
      </c>
      <c r="R2727" t="str">
        <f>TEXT(tblTransactions[[#This Row],[Date]],"DDDD")</f>
        <v>Friday</v>
      </c>
      <c r="S2727">
        <f>MONTH(tblTransactions[[#This Row],[Date]])</f>
        <v>8</v>
      </c>
      <c r="T2727" t="str">
        <f>VLOOKUP(E2727, Products!$A:$B,2,0)</f>
        <v>Tables Fur-4</v>
      </c>
      <c r="U2727" t="str">
        <f>VLOOKUP(E2727,Products!$A:$C,3,0)</f>
        <v>Furniture</v>
      </c>
      <c r="V2727" t="str">
        <f>VLOOKUP(E2727,Products!$A:$D,4,0)</f>
        <v>Tables</v>
      </c>
      <c r="W2727" t="str">
        <f>VLOOKUP(D2727,Customers!$A:$C,3,0)</f>
        <v>B2B</v>
      </c>
      <c r="X2727" t="str">
        <f>VLOOKUP(C2727,Sales_Representatives!$A:$B,2,0)</f>
        <v>Emily Hernandez</v>
      </c>
    </row>
    <row r="2728" spans="1:24" x14ac:dyDescent="0.3">
      <c r="A2728" t="s">
        <v>3752</v>
      </c>
      <c r="B2728" t="s">
        <v>3746</v>
      </c>
      <c r="C2728" t="s">
        <v>75</v>
      </c>
      <c r="D2728" t="s">
        <v>1675</v>
      </c>
      <c r="E2728" t="s">
        <v>152</v>
      </c>
      <c r="F2728">
        <v>4</v>
      </c>
      <c r="G2728">
        <v>859.93</v>
      </c>
      <c r="H2728">
        <v>0.06</v>
      </c>
      <c r="I2728" s="4">
        <v>3233.34</v>
      </c>
      <c r="J2728" t="s">
        <v>44</v>
      </c>
      <c r="K2728" t="s">
        <v>22</v>
      </c>
      <c r="L2728" s="4">
        <f>VLOOKUP(tblTransactions[[#This Row],[Product_ID]],tblProducts[],5,FALSE)</f>
        <v>579.79</v>
      </c>
      <c r="M2728" s="4">
        <f>tblTransactions[[#This Row],[Total_Amount]]-(tblTransactions[[#This Row],[Cost_Prices]]*tblTransactions[[#This Row],[Quantity]]*(1-tblTransactions[[#This Row],[Discount]]))</f>
        <v>1053.3296000000005</v>
      </c>
      <c r="N2728" s="3">
        <f>tblTransactions[[#This Row],[Profit]]/tblTransactions[[#This Row],[Total_Amount]]</f>
        <v>0.32577136954356811</v>
      </c>
      <c r="O2728" t="str">
        <f>TEXT(tblTransactions[[#This Row],[Date]], "MMM-YYYY")</f>
        <v>Aug-2024</v>
      </c>
      <c r="P2728" t="str">
        <f>"Q"&amp;ROUNDUP(MONTH(tblTransactions[[#This Row],[Date]])/3,0)&amp;"-"&amp;YEAR(tblTransactions[[#This Row],[Date]])</f>
        <v>Q3-2024</v>
      </c>
      <c r="Q2728">
        <f>YEAR(tblTransactions[[#This Row],[Date]])</f>
        <v>2024</v>
      </c>
      <c r="R2728" t="str">
        <f>TEXT(tblTransactions[[#This Row],[Date]],"DDDD")</f>
        <v>Friday</v>
      </c>
      <c r="S2728">
        <f>MONTH(tblTransactions[[#This Row],[Date]])</f>
        <v>8</v>
      </c>
      <c r="T2728" t="str">
        <f>VLOOKUP(E2728, Products!$A:$B,2,0)</f>
        <v>Phones Ele-4</v>
      </c>
      <c r="U2728" t="str">
        <f>VLOOKUP(E2728,Products!$A:$C,3,0)</f>
        <v>Electronics</v>
      </c>
      <c r="V2728" t="str">
        <f>VLOOKUP(E2728,Products!$A:$D,4,0)</f>
        <v>Phones</v>
      </c>
      <c r="W2728" t="str">
        <f>VLOOKUP(D2728,Customers!$A:$C,3,0)</f>
        <v>B2B</v>
      </c>
      <c r="X2728" t="str">
        <f>VLOOKUP(C2728,Sales_Representatives!$A:$B,2,0)</f>
        <v>Jessica Anderson</v>
      </c>
    </row>
    <row r="2729" spans="1:24" x14ac:dyDescent="0.3">
      <c r="A2729" t="s">
        <v>3753</v>
      </c>
      <c r="B2729" t="s">
        <v>3754</v>
      </c>
      <c r="C2729" t="s">
        <v>127</v>
      </c>
      <c r="D2729" t="s">
        <v>1557</v>
      </c>
      <c r="E2729" t="s">
        <v>184</v>
      </c>
      <c r="F2729">
        <v>2</v>
      </c>
      <c r="G2729">
        <v>276.35000000000002</v>
      </c>
      <c r="H2729">
        <v>0.02</v>
      </c>
      <c r="I2729" s="4">
        <v>541.65</v>
      </c>
      <c r="J2729" t="s">
        <v>109</v>
      </c>
      <c r="K2729" t="s">
        <v>17</v>
      </c>
      <c r="L2729" s="4">
        <f>VLOOKUP(tblTransactions[[#This Row],[Product_ID]],tblProducts[],5,FALSE)</f>
        <v>130.15</v>
      </c>
      <c r="M2729" s="4">
        <f>tblTransactions[[#This Row],[Total_Amount]]-(tblTransactions[[#This Row],[Cost_Prices]]*tblTransactions[[#This Row],[Quantity]]*(1-tblTransactions[[#This Row],[Discount]]))</f>
        <v>286.55599999999998</v>
      </c>
      <c r="N2729" s="3">
        <f>tblTransactions[[#This Row],[Profit]]/tblTransactions[[#This Row],[Total_Amount]]</f>
        <v>0.52904273977660854</v>
      </c>
      <c r="O2729" t="str">
        <f>TEXT(tblTransactions[[#This Row],[Date]], "MMM-YYYY")</f>
        <v>Aug-2024</v>
      </c>
      <c r="P2729" t="str">
        <f>"Q"&amp;ROUNDUP(MONTH(tblTransactions[[#This Row],[Date]])/3,0)&amp;"-"&amp;YEAR(tblTransactions[[#This Row],[Date]])</f>
        <v>Q3-2024</v>
      </c>
      <c r="Q2729">
        <f>YEAR(tblTransactions[[#This Row],[Date]])</f>
        <v>2024</v>
      </c>
      <c r="R2729" t="str">
        <f>TEXT(tblTransactions[[#This Row],[Date]],"DDDD")</f>
        <v>Saturday</v>
      </c>
      <c r="S2729">
        <f>MONTH(tblTransactions[[#This Row],[Date]])</f>
        <v>8</v>
      </c>
      <c r="T2729" t="str">
        <f>VLOOKUP(E2729, Products!$A:$B,2,0)</f>
        <v>Binders Off-1</v>
      </c>
      <c r="U2729" t="str">
        <f>VLOOKUP(E2729,Products!$A:$C,3,0)</f>
        <v>Office Supplies</v>
      </c>
      <c r="V2729" t="str">
        <f>VLOOKUP(E2729,Products!$A:$D,4,0)</f>
        <v>Binders</v>
      </c>
      <c r="W2729" t="str">
        <f>VLOOKUP(D2729,Customers!$A:$C,3,0)</f>
        <v>B2C</v>
      </c>
      <c r="X2729" t="str">
        <f>VLOOKUP(C2729,Sales_Representatives!$A:$B,2,0)</f>
        <v>Emily Hernandez</v>
      </c>
    </row>
    <row r="2730" spans="1:24" x14ac:dyDescent="0.3">
      <c r="A2730" t="s">
        <v>3755</v>
      </c>
      <c r="B2730" t="s">
        <v>3754</v>
      </c>
      <c r="C2730" t="s">
        <v>141</v>
      </c>
      <c r="D2730" t="s">
        <v>1912</v>
      </c>
      <c r="E2730" t="s">
        <v>125</v>
      </c>
      <c r="F2730">
        <v>27</v>
      </c>
      <c r="G2730">
        <v>1201.4000000000001</v>
      </c>
      <c r="H2730">
        <v>0.17</v>
      </c>
      <c r="I2730" s="4">
        <v>26923.37</v>
      </c>
      <c r="J2730" t="s">
        <v>109</v>
      </c>
      <c r="K2730" t="s">
        <v>48</v>
      </c>
      <c r="L2730" s="4">
        <f>VLOOKUP(tblTransactions[[#This Row],[Product_ID]],tblProducts[],5,FALSE)</f>
        <v>672.72</v>
      </c>
      <c r="M2730" s="4">
        <f>tblTransactions[[#This Row],[Total_Amount]]-(tblTransactions[[#This Row],[Cost_Prices]]*tblTransactions[[#This Row],[Quantity]]*(1-tblTransactions[[#This Row],[Discount]]))</f>
        <v>11847.714799999998</v>
      </c>
      <c r="N2730" s="3">
        <f>tblTransactions[[#This Row],[Profit]]/tblTransactions[[#This Row],[Total_Amount]]</f>
        <v>0.4400531879924392</v>
      </c>
      <c r="O2730" t="str">
        <f>TEXT(tblTransactions[[#This Row],[Date]], "MMM-YYYY")</f>
        <v>Aug-2024</v>
      </c>
      <c r="P2730" t="str">
        <f>"Q"&amp;ROUNDUP(MONTH(tblTransactions[[#This Row],[Date]])/3,0)&amp;"-"&amp;YEAR(tblTransactions[[#This Row],[Date]])</f>
        <v>Q3-2024</v>
      </c>
      <c r="Q2730">
        <f>YEAR(tblTransactions[[#This Row],[Date]])</f>
        <v>2024</v>
      </c>
      <c r="R2730" t="str">
        <f>TEXT(tblTransactions[[#This Row],[Date]],"DDDD")</f>
        <v>Saturday</v>
      </c>
      <c r="S2730">
        <f>MONTH(tblTransactions[[#This Row],[Date]])</f>
        <v>8</v>
      </c>
      <c r="T2730" t="str">
        <f>VLOOKUP(E2730, Products!$A:$B,2,0)</f>
        <v>Printers Tec-2</v>
      </c>
      <c r="U2730" t="str">
        <f>VLOOKUP(E2730,Products!$A:$C,3,0)</f>
        <v>Technology</v>
      </c>
      <c r="V2730" t="str">
        <f>VLOOKUP(E2730,Products!$A:$D,4,0)</f>
        <v>Printers</v>
      </c>
      <c r="W2730" t="str">
        <f>VLOOKUP(D2730,Customers!$A:$C,3,0)</f>
        <v>Enterprise</v>
      </c>
      <c r="X2730" t="str">
        <f>VLOOKUP(C2730,Sales_Representatives!$A:$B,2,0)</f>
        <v>Richard Garcia</v>
      </c>
    </row>
    <row r="2731" spans="1:24" x14ac:dyDescent="0.3">
      <c r="A2731" t="s">
        <v>3756</v>
      </c>
      <c r="B2731" t="s">
        <v>3754</v>
      </c>
      <c r="C2731" t="s">
        <v>41</v>
      </c>
      <c r="D2731" t="s">
        <v>3604</v>
      </c>
      <c r="E2731" t="s">
        <v>450</v>
      </c>
      <c r="F2731">
        <v>7</v>
      </c>
      <c r="G2731">
        <v>2083.92</v>
      </c>
      <c r="H2731">
        <v>0.14000000000000001</v>
      </c>
      <c r="I2731" s="4">
        <v>12545.2</v>
      </c>
      <c r="J2731" t="s">
        <v>44</v>
      </c>
      <c r="K2731" t="s">
        <v>17</v>
      </c>
      <c r="L2731" s="4">
        <f>VLOOKUP(tblTransactions[[#This Row],[Product_ID]],tblProducts[],5,FALSE)</f>
        <v>1425.78</v>
      </c>
      <c r="M2731" s="4">
        <f>tblTransactions[[#This Row],[Total_Amount]]-(tblTransactions[[#This Row],[Cost_Prices]]*tblTransactions[[#This Row],[Quantity]]*(1-tblTransactions[[#This Row],[Discount]]))</f>
        <v>3962.0044000000016</v>
      </c>
      <c r="N2731" s="3">
        <f>tblTransactions[[#This Row],[Profit]]/tblTransactions[[#This Row],[Total_Amount]]</f>
        <v>0.31581835283614462</v>
      </c>
      <c r="O2731" t="str">
        <f>TEXT(tblTransactions[[#This Row],[Date]], "MMM-YYYY")</f>
        <v>Aug-2024</v>
      </c>
      <c r="P2731" t="str">
        <f>"Q"&amp;ROUNDUP(MONTH(tblTransactions[[#This Row],[Date]])/3,0)&amp;"-"&amp;YEAR(tblTransactions[[#This Row],[Date]])</f>
        <v>Q3-2024</v>
      </c>
      <c r="Q2731">
        <f>YEAR(tblTransactions[[#This Row],[Date]])</f>
        <v>2024</v>
      </c>
      <c r="R2731" t="str">
        <f>TEXT(tblTransactions[[#This Row],[Date]],"DDDD")</f>
        <v>Saturday</v>
      </c>
      <c r="S2731">
        <f>MONTH(tblTransactions[[#This Row],[Date]])</f>
        <v>8</v>
      </c>
      <c r="T2731" t="str">
        <f>VLOOKUP(E2731, Products!$A:$B,2,0)</f>
        <v>Monitors Tec-4</v>
      </c>
      <c r="U2731" t="str">
        <f>VLOOKUP(E2731,Products!$A:$C,3,0)</f>
        <v>Technology</v>
      </c>
      <c r="V2731" t="str">
        <f>VLOOKUP(E2731,Products!$A:$D,4,0)</f>
        <v>Monitors</v>
      </c>
      <c r="W2731" t="str">
        <f>VLOOKUP(D2731,Customers!$A:$C,3,0)</f>
        <v>Enterprise</v>
      </c>
      <c r="X2731" t="str">
        <f>VLOOKUP(C2731,Sales_Representatives!$A:$B,2,0)</f>
        <v>Robert Jones</v>
      </c>
    </row>
    <row r="2732" spans="1:24" x14ac:dyDescent="0.3">
      <c r="A2732" t="s">
        <v>3757</v>
      </c>
      <c r="B2732" t="s">
        <v>3754</v>
      </c>
      <c r="C2732" t="s">
        <v>70</v>
      </c>
      <c r="D2732" t="s">
        <v>1582</v>
      </c>
      <c r="E2732" t="s">
        <v>15</v>
      </c>
      <c r="F2732">
        <v>3</v>
      </c>
      <c r="G2732">
        <v>477.48</v>
      </c>
      <c r="H2732">
        <v>0.05</v>
      </c>
      <c r="I2732" s="4">
        <v>1360.82</v>
      </c>
      <c r="J2732" t="s">
        <v>16</v>
      </c>
      <c r="K2732" t="s">
        <v>17</v>
      </c>
      <c r="L2732" s="4">
        <f>VLOOKUP(tblTransactions[[#This Row],[Product_ID]],tblProducts[],5,FALSE)</f>
        <v>275.51</v>
      </c>
      <c r="M2732" s="4">
        <f>tblTransactions[[#This Row],[Total_Amount]]-(tblTransactions[[#This Row],[Cost_Prices]]*tblTransactions[[#This Row],[Quantity]]*(1-tblTransactions[[#This Row],[Discount]]))</f>
        <v>575.61649999999997</v>
      </c>
      <c r="N2732" s="3">
        <f>tblTransactions[[#This Row],[Profit]]/tblTransactions[[#This Row],[Total_Amount]]</f>
        <v>0.4229923869431666</v>
      </c>
      <c r="O2732" t="str">
        <f>TEXT(tblTransactions[[#This Row],[Date]], "MMM-YYYY")</f>
        <v>Aug-2024</v>
      </c>
      <c r="P2732" t="str">
        <f>"Q"&amp;ROUNDUP(MONTH(tblTransactions[[#This Row],[Date]])/3,0)&amp;"-"&amp;YEAR(tblTransactions[[#This Row],[Date]])</f>
        <v>Q3-2024</v>
      </c>
      <c r="Q2732">
        <f>YEAR(tblTransactions[[#This Row],[Date]])</f>
        <v>2024</v>
      </c>
      <c r="R2732" t="str">
        <f>TEXT(tblTransactions[[#This Row],[Date]],"DDDD")</f>
        <v>Saturday</v>
      </c>
      <c r="S2732">
        <f>MONTH(tblTransactions[[#This Row],[Date]])</f>
        <v>8</v>
      </c>
      <c r="T2732" t="str">
        <f>VLOOKUP(E2732, Products!$A:$B,2,0)</f>
        <v>Laptops Ele-4</v>
      </c>
      <c r="U2732" t="str">
        <f>VLOOKUP(E2732,Products!$A:$C,3,0)</f>
        <v>Electronics</v>
      </c>
      <c r="V2732" t="str">
        <f>VLOOKUP(E2732,Products!$A:$D,4,0)</f>
        <v>Laptops</v>
      </c>
      <c r="W2732" t="str">
        <f>VLOOKUP(D2732,Customers!$A:$C,3,0)</f>
        <v>Small Business</v>
      </c>
      <c r="X2732" t="str">
        <f>VLOOKUP(C2732,Sales_Representatives!$A:$B,2,0)</f>
        <v>Linda Smith</v>
      </c>
    </row>
    <row r="2733" spans="1:24" x14ac:dyDescent="0.3">
      <c r="A2733" t="s">
        <v>3758</v>
      </c>
      <c r="B2733" t="s">
        <v>3754</v>
      </c>
      <c r="C2733" t="s">
        <v>41</v>
      </c>
      <c r="D2733" t="s">
        <v>50</v>
      </c>
      <c r="E2733" t="s">
        <v>200</v>
      </c>
      <c r="F2733">
        <v>2</v>
      </c>
      <c r="G2733">
        <v>544.77</v>
      </c>
      <c r="H2733">
        <v>0.08</v>
      </c>
      <c r="I2733" s="4">
        <v>1002.38</v>
      </c>
      <c r="J2733" t="s">
        <v>44</v>
      </c>
      <c r="K2733" t="s">
        <v>48</v>
      </c>
      <c r="L2733" s="4">
        <f>VLOOKUP(tblTransactions[[#This Row],[Product_ID]],tblProducts[],5,FALSE)</f>
        <v>318.2</v>
      </c>
      <c r="M2733" s="4">
        <f>tblTransactions[[#This Row],[Total_Amount]]-(tblTransactions[[#This Row],[Cost_Prices]]*tblTransactions[[#This Row],[Quantity]]*(1-tblTransactions[[#This Row],[Discount]]))</f>
        <v>416.89199999999994</v>
      </c>
      <c r="N2733" s="3">
        <f>tblTransactions[[#This Row],[Profit]]/tblTransactions[[#This Row],[Total_Amount]]</f>
        <v>0.41590215287615467</v>
      </c>
      <c r="O2733" t="str">
        <f>TEXT(tblTransactions[[#This Row],[Date]], "MMM-YYYY")</f>
        <v>Aug-2024</v>
      </c>
      <c r="P2733" t="str">
        <f>"Q"&amp;ROUNDUP(MONTH(tblTransactions[[#This Row],[Date]])/3,0)&amp;"-"&amp;YEAR(tblTransactions[[#This Row],[Date]])</f>
        <v>Q3-2024</v>
      </c>
      <c r="Q2733">
        <f>YEAR(tblTransactions[[#This Row],[Date]])</f>
        <v>2024</v>
      </c>
      <c r="R2733" t="str">
        <f>TEXT(tblTransactions[[#This Row],[Date]],"DDDD")</f>
        <v>Saturday</v>
      </c>
      <c r="S2733">
        <f>MONTH(tblTransactions[[#This Row],[Date]])</f>
        <v>8</v>
      </c>
      <c r="T2733" t="str">
        <f>VLOOKUP(E2733, Products!$A:$B,2,0)</f>
        <v>Desks Fur-4</v>
      </c>
      <c r="U2733" t="str">
        <f>VLOOKUP(E2733,Products!$A:$C,3,0)</f>
        <v>Furniture</v>
      </c>
      <c r="V2733" t="str">
        <f>VLOOKUP(E2733,Products!$A:$D,4,0)</f>
        <v>Desks</v>
      </c>
      <c r="W2733" t="str">
        <f>VLOOKUP(D2733,Customers!$A:$C,3,0)</f>
        <v>Small Business</v>
      </c>
      <c r="X2733" t="str">
        <f>VLOOKUP(C2733,Sales_Representatives!$A:$B,2,0)</f>
        <v>Robert Jones</v>
      </c>
    </row>
    <row r="2734" spans="1:24" x14ac:dyDescent="0.3">
      <c r="A2734" t="s">
        <v>3759</v>
      </c>
      <c r="B2734" t="s">
        <v>3760</v>
      </c>
      <c r="C2734" t="s">
        <v>19</v>
      </c>
      <c r="D2734" t="s">
        <v>60</v>
      </c>
      <c r="E2734" t="s">
        <v>43</v>
      </c>
      <c r="F2734">
        <v>2</v>
      </c>
      <c r="G2734">
        <v>39.32</v>
      </c>
      <c r="H2734">
        <v>0</v>
      </c>
      <c r="I2734" s="4">
        <v>78.64</v>
      </c>
      <c r="J2734" t="s">
        <v>21</v>
      </c>
      <c r="K2734" t="s">
        <v>48</v>
      </c>
      <c r="L2734" s="4">
        <f>VLOOKUP(tblTransactions[[#This Row],[Product_ID]],tblProducts[],5,FALSE)</f>
        <v>15.81</v>
      </c>
      <c r="M2734" s="4">
        <f>tblTransactions[[#This Row],[Total_Amount]]-(tblTransactions[[#This Row],[Cost_Prices]]*tblTransactions[[#This Row],[Quantity]]*(1-tblTransactions[[#This Row],[Discount]]))</f>
        <v>47.019999999999996</v>
      </c>
      <c r="N2734" s="3">
        <f>tblTransactions[[#This Row],[Profit]]/tblTransactions[[#This Row],[Total_Amount]]</f>
        <v>0.59791454730417082</v>
      </c>
      <c r="O2734" t="str">
        <f>TEXT(tblTransactions[[#This Row],[Date]], "MMM-YYYY")</f>
        <v>Aug-2024</v>
      </c>
      <c r="P2734" t="str">
        <f>"Q"&amp;ROUNDUP(MONTH(tblTransactions[[#This Row],[Date]])/3,0)&amp;"-"&amp;YEAR(tblTransactions[[#This Row],[Date]])</f>
        <v>Q3-2024</v>
      </c>
      <c r="Q2734">
        <f>YEAR(tblTransactions[[#This Row],[Date]])</f>
        <v>2024</v>
      </c>
      <c r="R2734" t="str">
        <f>TEXT(tblTransactions[[#This Row],[Date]],"DDDD")</f>
        <v>Sunday</v>
      </c>
      <c r="S2734">
        <f>MONTH(tblTransactions[[#This Row],[Date]])</f>
        <v>8</v>
      </c>
      <c r="T2734" t="str">
        <f>VLOOKUP(E2734, Products!$A:$B,2,0)</f>
        <v>Paper Off-3</v>
      </c>
      <c r="U2734" t="str">
        <f>VLOOKUP(E2734,Products!$A:$C,3,0)</f>
        <v>Office Supplies</v>
      </c>
      <c r="V2734" t="str">
        <f>VLOOKUP(E2734,Products!$A:$D,4,0)</f>
        <v>Paper</v>
      </c>
      <c r="W2734" t="str">
        <f>VLOOKUP(D2734,Customers!$A:$C,3,0)</f>
        <v>B2C</v>
      </c>
      <c r="X2734" t="str">
        <f>VLOOKUP(C2734,Sales_Representatives!$A:$B,2,0)</f>
        <v>Robert Jones</v>
      </c>
    </row>
    <row r="2735" spans="1:24" x14ac:dyDescent="0.3">
      <c r="A2735" t="s">
        <v>3761</v>
      </c>
      <c r="B2735" t="s">
        <v>3760</v>
      </c>
      <c r="C2735" t="s">
        <v>127</v>
      </c>
      <c r="D2735" t="s">
        <v>1475</v>
      </c>
      <c r="E2735" t="s">
        <v>91</v>
      </c>
      <c r="F2735">
        <v>8</v>
      </c>
      <c r="G2735">
        <v>286.62</v>
      </c>
      <c r="H2735">
        <v>0.09</v>
      </c>
      <c r="I2735" s="4">
        <v>2086.59</v>
      </c>
      <c r="J2735" t="s">
        <v>109</v>
      </c>
      <c r="K2735" t="s">
        <v>39</v>
      </c>
      <c r="L2735" s="4">
        <f>VLOOKUP(tblTransactions[[#This Row],[Product_ID]],tblProducts[],5,FALSE)</f>
        <v>145.54</v>
      </c>
      <c r="M2735" s="4">
        <f>tblTransactions[[#This Row],[Total_Amount]]-(tblTransactions[[#This Row],[Cost_Prices]]*tblTransactions[[#This Row],[Quantity]]*(1-tblTransactions[[#This Row],[Discount]]))</f>
        <v>1027.0588000000002</v>
      </c>
      <c r="N2735" s="3">
        <f>tblTransactions[[#This Row],[Profit]]/tblTransactions[[#This Row],[Total_Amount]]</f>
        <v>0.49221878759123744</v>
      </c>
      <c r="O2735" t="str">
        <f>TEXT(tblTransactions[[#This Row],[Date]], "MMM-YYYY")</f>
        <v>Aug-2024</v>
      </c>
      <c r="P2735" t="str">
        <f>"Q"&amp;ROUNDUP(MONTH(tblTransactions[[#This Row],[Date]])/3,0)&amp;"-"&amp;YEAR(tblTransactions[[#This Row],[Date]])</f>
        <v>Q3-2024</v>
      </c>
      <c r="Q2735">
        <f>YEAR(tblTransactions[[#This Row],[Date]])</f>
        <v>2024</v>
      </c>
      <c r="R2735" t="str">
        <f>TEXT(tblTransactions[[#This Row],[Date]],"DDDD")</f>
        <v>Sunday</v>
      </c>
      <c r="S2735">
        <f>MONTH(tblTransactions[[#This Row],[Date]])</f>
        <v>8</v>
      </c>
      <c r="T2735" t="str">
        <f>VLOOKUP(E2735, Products!$A:$B,2,0)</f>
        <v>Chairs Fur-1</v>
      </c>
      <c r="U2735" t="str">
        <f>VLOOKUP(E2735,Products!$A:$C,3,0)</f>
        <v>Furniture</v>
      </c>
      <c r="V2735" t="str">
        <f>VLOOKUP(E2735,Products!$A:$D,4,0)</f>
        <v>Chairs</v>
      </c>
      <c r="W2735" t="str">
        <f>VLOOKUP(D2735,Customers!$A:$C,3,0)</f>
        <v>Enterprise</v>
      </c>
      <c r="X2735" t="str">
        <f>VLOOKUP(C2735,Sales_Representatives!$A:$B,2,0)</f>
        <v>Emily Hernandez</v>
      </c>
    </row>
    <row r="2736" spans="1:24" x14ac:dyDescent="0.3">
      <c r="A2736" t="s">
        <v>3762</v>
      </c>
      <c r="B2736" t="s">
        <v>3760</v>
      </c>
      <c r="C2736" t="s">
        <v>19</v>
      </c>
      <c r="D2736" t="s">
        <v>1656</v>
      </c>
      <c r="E2736" t="s">
        <v>481</v>
      </c>
      <c r="F2736">
        <v>3</v>
      </c>
      <c r="G2736">
        <v>263.58999999999997</v>
      </c>
      <c r="H2736">
        <v>0.08</v>
      </c>
      <c r="I2736" s="4">
        <v>727.51</v>
      </c>
      <c r="J2736" t="s">
        <v>21</v>
      </c>
      <c r="K2736" t="s">
        <v>17</v>
      </c>
      <c r="L2736" s="4">
        <f>VLOOKUP(tblTransactions[[#This Row],[Product_ID]],tblProducts[],5,FALSE)</f>
        <v>133.65</v>
      </c>
      <c r="M2736" s="4">
        <f>tblTransactions[[#This Row],[Total_Amount]]-(tblTransactions[[#This Row],[Cost_Prices]]*tblTransactions[[#This Row],[Quantity]]*(1-tblTransactions[[#This Row],[Discount]]))</f>
        <v>358.63599999999991</v>
      </c>
      <c r="N2736" s="3">
        <f>tblTransactions[[#This Row],[Profit]]/tblTransactions[[#This Row],[Total_Amount]]</f>
        <v>0.49296367060246582</v>
      </c>
      <c r="O2736" t="str">
        <f>TEXT(tblTransactions[[#This Row],[Date]], "MMM-YYYY")</f>
        <v>Aug-2024</v>
      </c>
      <c r="P2736" t="str">
        <f>"Q"&amp;ROUNDUP(MONTH(tblTransactions[[#This Row],[Date]])/3,0)&amp;"-"&amp;YEAR(tblTransactions[[#This Row],[Date]])</f>
        <v>Q3-2024</v>
      </c>
      <c r="Q2736">
        <f>YEAR(tblTransactions[[#This Row],[Date]])</f>
        <v>2024</v>
      </c>
      <c r="R2736" t="str">
        <f>TEXT(tblTransactions[[#This Row],[Date]],"DDDD")</f>
        <v>Sunday</v>
      </c>
      <c r="S2736">
        <f>MONTH(tblTransactions[[#This Row],[Date]])</f>
        <v>8</v>
      </c>
      <c r="T2736" t="str">
        <f>VLOOKUP(E2736, Products!$A:$B,2,0)</f>
        <v>Folders Off-1</v>
      </c>
      <c r="U2736" t="str">
        <f>VLOOKUP(E2736,Products!$A:$C,3,0)</f>
        <v>Office Supplies</v>
      </c>
      <c r="V2736" t="str">
        <f>VLOOKUP(E2736,Products!$A:$D,4,0)</f>
        <v>Folders</v>
      </c>
      <c r="W2736" t="str">
        <f>VLOOKUP(D2736,Customers!$A:$C,3,0)</f>
        <v>B2C</v>
      </c>
      <c r="X2736" t="str">
        <f>VLOOKUP(C2736,Sales_Representatives!$A:$B,2,0)</f>
        <v>Robert Jones</v>
      </c>
    </row>
    <row r="2737" spans="1:24" x14ac:dyDescent="0.3">
      <c r="A2737" t="s">
        <v>3763</v>
      </c>
      <c r="B2737" t="s">
        <v>3760</v>
      </c>
      <c r="C2737" t="s">
        <v>107</v>
      </c>
      <c r="D2737" t="s">
        <v>37</v>
      </c>
      <c r="E2737" t="s">
        <v>25</v>
      </c>
      <c r="F2737">
        <v>21</v>
      </c>
      <c r="G2737">
        <v>1467.49</v>
      </c>
      <c r="H2737">
        <v>0.24</v>
      </c>
      <c r="I2737" s="4">
        <v>23421.14</v>
      </c>
      <c r="J2737" t="s">
        <v>109</v>
      </c>
      <c r="K2737" t="s">
        <v>17</v>
      </c>
      <c r="L2737" s="4">
        <f>VLOOKUP(tblTransactions[[#This Row],[Product_ID]],tblProducts[],5,FALSE)</f>
        <v>757.65</v>
      </c>
      <c r="M2737" s="4">
        <f>tblTransactions[[#This Row],[Total_Amount]]-(tblTransactions[[#This Row],[Cost_Prices]]*tblTransactions[[#This Row],[Quantity]]*(1-tblTransactions[[#This Row],[Discount]]))</f>
        <v>11329.046</v>
      </c>
      <c r="N2737" s="3">
        <f>tblTransactions[[#This Row],[Profit]]/tblTransactions[[#This Row],[Total_Amount]]</f>
        <v>0.48371027200213146</v>
      </c>
      <c r="O2737" t="str">
        <f>TEXT(tblTransactions[[#This Row],[Date]], "MMM-YYYY")</f>
        <v>Aug-2024</v>
      </c>
      <c r="P2737" t="str">
        <f>"Q"&amp;ROUNDUP(MONTH(tblTransactions[[#This Row],[Date]])/3,0)&amp;"-"&amp;YEAR(tblTransactions[[#This Row],[Date]])</f>
        <v>Q3-2024</v>
      </c>
      <c r="Q2737">
        <f>YEAR(tblTransactions[[#This Row],[Date]])</f>
        <v>2024</v>
      </c>
      <c r="R2737" t="str">
        <f>TEXT(tblTransactions[[#This Row],[Date]],"DDDD")</f>
        <v>Sunday</v>
      </c>
      <c r="S2737">
        <f>MONTH(tblTransactions[[#This Row],[Date]])</f>
        <v>8</v>
      </c>
      <c r="T2737" t="str">
        <f>VLOOKUP(E2737, Products!$A:$B,2,0)</f>
        <v>Tables Fur-3</v>
      </c>
      <c r="U2737" t="str">
        <f>VLOOKUP(E2737,Products!$A:$C,3,0)</f>
        <v>Furniture</v>
      </c>
      <c r="V2737" t="str">
        <f>VLOOKUP(E2737,Products!$A:$D,4,0)</f>
        <v>Tables</v>
      </c>
      <c r="W2737" t="str">
        <f>VLOOKUP(D2737,Customers!$A:$C,3,0)</f>
        <v>Enterprise</v>
      </c>
      <c r="X2737" t="str">
        <f>VLOOKUP(C2737,Sales_Representatives!$A:$B,2,0)</f>
        <v>Jennifer Brown</v>
      </c>
    </row>
    <row r="2738" spans="1:24" x14ac:dyDescent="0.3">
      <c r="A2738" t="s">
        <v>3764</v>
      </c>
      <c r="B2738" t="s">
        <v>3760</v>
      </c>
      <c r="C2738" t="s">
        <v>75</v>
      </c>
      <c r="D2738" t="s">
        <v>1635</v>
      </c>
      <c r="E2738" t="s">
        <v>178</v>
      </c>
      <c r="F2738">
        <v>6</v>
      </c>
      <c r="G2738">
        <v>1623.35</v>
      </c>
      <c r="H2738">
        <v>0.14000000000000001</v>
      </c>
      <c r="I2738" s="4">
        <v>8376.49</v>
      </c>
      <c r="J2738" t="s">
        <v>44</v>
      </c>
      <c r="K2738" t="s">
        <v>35</v>
      </c>
      <c r="L2738" s="4">
        <f>VLOOKUP(tblTransactions[[#This Row],[Product_ID]],tblProducts[],5,FALSE)</f>
        <v>981.45</v>
      </c>
      <c r="M2738" s="4">
        <f>tblTransactions[[#This Row],[Total_Amount]]-(tblTransactions[[#This Row],[Cost_Prices]]*tblTransactions[[#This Row],[Quantity]]*(1-tblTransactions[[#This Row],[Discount]]))</f>
        <v>3312.2079999999996</v>
      </c>
      <c r="N2738" s="3">
        <f>tblTransactions[[#This Row],[Profit]]/tblTransactions[[#This Row],[Total_Amount]]</f>
        <v>0.39541717354166239</v>
      </c>
      <c r="O2738" t="str">
        <f>TEXT(tblTransactions[[#This Row],[Date]], "MMM-YYYY")</f>
        <v>Aug-2024</v>
      </c>
      <c r="P2738" t="str">
        <f>"Q"&amp;ROUNDUP(MONTH(tblTransactions[[#This Row],[Date]])/3,0)&amp;"-"&amp;YEAR(tblTransactions[[#This Row],[Date]])</f>
        <v>Q3-2024</v>
      </c>
      <c r="Q2738">
        <f>YEAR(tblTransactions[[#This Row],[Date]])</f>
        <v>2024</v>
      </c>
      <c r="R2738" t="str">
        <f>TEXT(tblTransactions[[#This Row],[Date]],"DDDD")</f>
        <v>Sunday</v>
      </c>
      <c r="S2738">
        <f>MONTH(tblTransactions[[#This Row],[Date]])</f>
        <v>8</v>
      </c>
      <c r="T2738" t="str">
        <f>VLOOKUP(E2738, Products!$A:$B,2,0)</f>
        <v>Tablets Ele-1</v>
      </c>
      <c r="U2738" t="str">
        <f>VLOOKUP(E2738,Products!$A:$C,3,0)</f>
        <v>Electronics</v>
      </c>
      <c r="V2738" t="str">
        <f>VLOOKUP(E2738,Products!$A:$D,4,0)</f>
        <v>Tablets</v>
      </c>
      <c r="W2738" t="str">
        <f>VLOOKUP(D2738,Customers!$A:$C,3,0)</f>
        <v>Enterprise</v>
      </c>
      <c r="X2738" t="str">
        <f>VLOOKUP(C2738,Sales_Representatives!$A:$B,2,0)</f>
        <v>Jessica Anderson</v>
      </c>
    </row>
    <row r="2739" spans="1:24" x14ac:dyDescent="0.3">
      <c r="A2739" t="s">
        <v>3765</v>
      </c>
      <c r="B2739" t="s">
        <v>3760</v>
      </c>
      <c r="C2739" t="s">
        <v>27</v>
      </c>
      <c r="D2739" t="s">
        <v>327</v>
      </c>
      <c r="E2739" t="s">
        <v>232</v>
      </c>
      <c r="F2739">
        <v>1</v>
      </c>
      <c r="G2739">
        <v>60.21</v>
      </c>
      <c r="H2739">
        <v>0.01</v>
      </c>
      <c r="I2739" s="4">
        <v>59.61</v>
      </c>
      <c r="J2739" t="s">
        <v>16</v>
      </c>
      <c r="K2739" t="s">
        <v>48</v>
      </c>
      <c r="L2739" s="4">
        <f>VLOOKUP(tblTransactions[[#This Row],[Product_ID]],tblProducts[],5,FALSE)</f>
        <v>38.18</v>
      </c>
      <c r="M2739" s="4">
        <f>tblTransactions[[#This Row],[Total_Amount]]-(tblTransactions[[#This Row],[Cost_Prices]]*tblTransactions[[#This Row],[Quantity]]*(1-tblTransactions[[#This Row],[Discount]]))</f>
        <v>21.811799999999998</v>
      </c>
      <c r="N2739" s="3">
        <f>tblTransactions[[#This Row],[Profit]]/tblTransactions[[#This Row],[Total_Amount]]</f>
        <v>0.36590840463009561</v>
      </c>
      <c r="O2739" t="str">
        <f>TEXT(tblTransactions[[#This Row],[Date]], "MMM-YYYY")</f>
        <v>Aug-2024</v>
      </c>
      <c r="P2739" t="str">
        <f>"Q"&amp;ROUNDUP(MONTH(tblTransactions[[#This Row],[Date]])/3,0)&amp;"-"&amp;YEAR(tblTransactions[[#This Row],[Date]])</f>
        <v>Q3-2024</v>
      </c>
      <c r="Q2739">
        <f>YEAR(tblTransactions[[#This Row],[Date]])</f>
        <v>2024</v>
      </c>
      <c r="R2739" t="str">
        <f>TEXT(tblTransactions[[#This Row],[Date]],"DDDD")</f>
        <v>Sunday</v>
      </c>
      <c r="S2739">
        <f>MONTH(tblTransactions[[#This Row],[Date]])</f>
        <v>8</v>
      </c>
      <c r="T2739" t="str">
        <f>VLOOKUP(E2739, Products!$A:$B,2,0)</f>
        <v>Cables Acc-3</v>
      </c>
      <c r="U2739" t="str">
        <f>VLOOKUP(E2739,Products!$A:$C,3,0)</f>
        <v>Accessories</v>
      </c>
      <c r="V2739" t="str">
        <f>VLOOKUP(E2739,Products!$A:$D,4,0)</f>
        <v>Cables</v>
      </c>
      <c r="W2739" t="str">
        <f>VLOOKUP(D2739,Customers!$A:$C,3,0)</f>
        <v>B2C</v>
      </c>
      <c r="X2739" t="str">
        <f>VLOOKUP(C2739,Sales_Representatives!$A:$B,2,0)</f>
        <v>Thomas Lopez</v>
      </c>
    </row>
    <row r="2740" spans="1:24" x14ac:dyDescent="0.3">
      <c r="A2740" t="s">
        <v>3766</v>
      </c>
      <c r="B2740" t="s">
        <v>3767</v>
      </c>
      <c r="C2740" t="s">
        <v>70</v>
      </c>
      <c r="D2740" t="s">
        <v>1608</v>
      </c>
      <c r="E2740" t="s">
        <v>224</v>
      </c>
      <c r="F2740">
        <v>6</v>
      </c>
      <c r="G2740">
        <v>505.37</v>
      </c>
      <c r="H2740">
        <v>0.11</v>
      </c>
      <c r="I2740" s="4">
        <v>2698.68</v>
      </c>
      <c r="J2740" t="s">
        <v>16</v>
      </c>
      <c r="K2740" t="s">
        <v>35</v>
      </c>
      <c r="L2740" s="4">
        <f>VLOOKUP(tblTransactions[[#This Row],[Product_ID]],tblProducts[],5,FALSE)</f>
        <v>281.14999999999998</v>
      </c>
      <c r="M2740" s="4">
        <f>tblTransactions[[#This Row],[Total_Amount]]-(tblTransactions[[#This Row],[Cost_Prices]]*tblTransactions[[#This Row],[Quantity]]*(1-tblTransactions[[#This Row],[Discount]]))</f>
        <v>1197.3389999999999</v>
      </c>
      <c r="N2740" s="3">
        <f>tblTransactions[[#This Row],[Profit]]/tblTransactions[[#This Row],[Total_Amount]]</f>
        <v>0.44367579705633864</v>
      </c>
      <c r="O2740" t="str">
        <f>TEXT(tblTransactions[[#This Row],[Date]], "MMM-YYYY")</f>
        <v>Aug-2024</v>
      </c>
      <c r="P2740" t="str">
        <f>"Q"&amp;ROUNDUP(MONTH(tblTransactions[[#This Row],[Date]])/3,0)&amp;"-"&amp;YEAR(tblTransactions[[#This Row],[Date]])</f>
        <v>Q3-2024</v>
      </c>
      <c r="Q2740">
        <f>YEAR(tblTransactions[[#This Row],[Date]])</f>
        <v>2024</v>
      </c>
      <c r="R2740" t="str">
        <f>TEXT(tblTransactions[[#This Row],[Date]],"DDDD")</f>
        <v>Monday</v>
      </c>
      <c r="S2740">
        <f>MONTH(tblTransactions[[#This Row],[Date]])</f>
        <v>8</v>
      </c>
      <c r="T2740" t="str">
        <f>VLOOKUP(E2740, Products!$A:$B,2,0)</f>
        <v>Desks Fur-3</v>
      </c>
      <c r="U2740" t="str">
        <f>VLOOKUP(E2740,Products!$A:$C,3,0)</f>
        <v>Furniture</v>
      </c>
      <c r="V2740" t="str">
        <f>VLOOKUP(E2740,Products!$A:$D,4,0)</f>
        <v>Desks</v>
      </c>
      <c r="W2740" t="str">
        <f>VLOOKUP(D2740,Customers!$A:$C,3,0)</f>
        <v>B2C</v>
      </c>
      <c r="X2740" t="str">
        <f>VLOOKUP(C2740,Sales_Representatives!$A:$B,2,0)</f>
        <v>Linda Smith</v>
      </c>
    </row>
    <row r="2741" spans="1:24" x14ac:dyDescent="0.3">
      <c r="A2741" t="s">
        <v>3768</v>
      </c>
      <c r="B2741" t="s">
        <v>3767</v>
      </c>
      <c r="C2741" t="s">
        <v>75</v>
      </c>
      <c r="D2741" t="s">
        <v>3074</v>
      </c>
      <c r="E2741" t="s">
        <v>255</v>
      </c>
      <c r="F2741">
        <v>25</v>
      </c>
      <c r="G2741">
        <v>1444.13</v>
      </c>
      <c r="H2741">
        <v>0.23</v>
      </c>
      <c r="I2741" s="4">
        <v>27799.5</v>
      </c>
      <c r="J2741" t="s">
        <v>44</v>
      </c>
      <c r="K2741" t="s">
        <v>35</v>
      </c>
      <c r="L2741" s="4">
        <f>VLOOKUP(tblTransactions[[#This Row],[Product_ID]],tblProducts[],5,FALSE)</f>
        <v>874.43</v>
      </c>
      <c r="M2741" s="4">
        <f>tblTransactions[[#This Row],[Total_Amount]]-(tblTransactions[[#This Row],[Cost_Prices]]*tblTransactions[[#This Row],[Quantity]]*(1-tblTransactions[[#This Row],[Discount]]))</f>
        <v>10966.7225</v>
      </c>
      <c r="N2741" s="3">
        <f>tblTransactions[[#This Row],[Profit]]/tblTransactions[[#This Row],[Total_Amount]]</f>
        <v>0.39449351607043293</v>
      </c>
      <c r="O2741" t="str">
        <f>TEXT(tblTransactions[[#This Row],[Date]], "MMM-YYYY")</f>
        <v>Aug-2024</v>
      </c>
      <c r="P2741" t="str">
        <f>"Q"&amp;ROUNDUP(MONTH(tblTransactions[[#This Row],[Date]])/3,0)&amp;"-"&amp;YEAR(tblTransactions[[#This Row],[Date]])</f>
        <v>Q3-2024</v>
      </c>
      <c r="Q2741">
        <f>YEAR(tblTransactions[[#This Row],[Date]])</f>
        <v>2024</v>
      </c>
      <c r="R2741" t="str">
        <f>TEXT(tblTransactions[[#This Row],[Date]],"DDDD")</f>
        <v>Monday</v>
      </c>
      <c r="S2741">
        <f>MONTH(tblTransactions[[#This Row],[Date]])</f>
        <v>8</v>
      </c>
      <c r="T2741" t="str">
        <f>VLOOKUP(E2741, Products!$A:$B,2,0)</f>
        <v>Printers Tec-1</v>
      </c>
      <c r="U2741" t="str">
        <f>VLOOKUP(E2741,Products!$A:$C,3,0)</f>
        <v>Technology</v>
      </c>
      <c r="V2741" t="str">
        <f>VLOOKUP(E2741,Products!$A:$D,4,0)</f>
        <v>Printers</v>
      </c>
      <c r="W2741" t="str">
        <f>VLOOKUP(D2741,Customers!$A:$C,3,0)</f>
        <v>Enterprise</v>
      </c>
      <c r="X2741" t="str">
        <f>VLOOKUP(C2741,Sales_Representatives!$A:$B,2,0)</f>
        <v>Jessica Anderson</v>
      </c>
    </row>
    <row r="2742" spans="1:24" x14ac:dyDescent="0.3">
      <c r="A2742" t="s">
        <v>3769</v>
      </c>
      <c r="B2742" t="s">
        <v>3767</v>
      </c>
      <c r="C2742" t="s">
        <v>13</v>
      </c>
      <c r="D2742" t="s">
        <v>1910</v>
      </c>
      <c r="E2742" t="s">
        <v>310</v>
      </c>
      <c r="F2742">
        <v>6</v>
      </c>
      <c r="G2742">
        <v>274.13</v>
      </c>
      <c r="H2742">
        <v>0.11</v>
      </c>
      <c r="I2742" s="4">
        <v>1463.85</v>
      </c>
      <c r="J2742" t="s">
        <v>16</v>
      </c>
      <c r="K2742" t="s">
        <v>39</v>
      </c>
      <c r="L2742" s="4">
        <f>VLOOKUP(tblTransactions[[#This Row],[Product_ID]],tblProducts[],5,FALSE)</f>
        <v>134.41999999999999</v>
      </c>
      <c r="M2742" s="4">
        <f>tblTransactions[[#This Row],[Total_Amount]]-(tblTransactions[[#This Row],[Cost_Prices]]*tblTransactions[[#This Row],[Quantity]]*(1-tblTransactions[[#This Row],[Discount]]))</f>
        <v>746.04719999999986</v>
      </c>
      <c r="N2742" s="3">
        <f>tblTransactions[[#This Row],[Profit]]/tblTransactions[[#This Row],[Total_Amount]]</f>
        <v>0.50964729992827129</v>
      </c>
      <c r="O2742" t="str">
        <f>TEXT(tblTransactions[[#This Row],[Date]], "MMM-YYYY")</f>
        <v>Aug-2024</v>
      </c>
      <c r="P2742" t="str">
        <f>"Q"&amp;ROUNDUP(MONTH(tblTransactions[[#This Row],[Date]])/3,0)&amp;"-"&amp;YEAR(tblTransactions[[#This Row],[Date]])</f>
        <v>Q3-2024</v>
      </c>
      <c r="Q2742">
        <f>YEAR(tblTransactions[[#This Row],[Date]])</f>
        <v>2024</v>
      </c>
      <c r="R2742" t="str">
        <f>TEXT(tblTransactions[[#This Row],[Date]],"DDDD")</f>
        <v>Monday</v>
      </c>
      <c r="S2742">
        <f>MONTH(tblTransactions[[#This Row],[Date]])</f>
        <v>8</v>
      </c>
      <c r="T2742" t="str">
        <f>VLOOKUP(E2742, Products!$A:$B,2,0)</f>
        <v>Adapters Acc-4</v>
      </c>
      <c r="U2742" t="str">
        <f>VLOOKUP(E2742,Products!$A:$C,3,0)</f>
        <v>Accessories</v>
      </c>
      <c r="V2742" t="str">
        <f>VLOOKUP(E2742,Products!$A:$D,4,0)</f>
        <v>Adapters</v>
      </c>
      <c r="W2742" t="str">
        <f>VLOOKUP(D2742,Customers!$A:$C,3,0)</f>
        <v>B2C</v>
      </c>
      <c r="X2742" t="str">
        <f>VLOOKUP(C2742,Sales_Representatives!$A:$B,2,0)</f>
        <v>Jennifer Rodriguez</v>
      </c>
    </row>
    <row r="2743" spans="1:24" x14ac:dyDescent="0.3">
      <c r="A2743" t="s">
        <v>3770</v>
      </c>
      <c r="B2743" t="s">
        <v>3771</v>
      </c>
      <c r="C2743" t="s">
        <v>141</v>
      </c>
      <c r="D2743" t="s">
        <v>2278</v>
      </c>
      <c r="E2743" t="s">
        <v>72</v>
      </c>
      <c r="F2743">
        <v>8</v>
      </c>
      <c r="G2743">
        <v>404.76</v>
      </c>
      <c r="H2743">
        <v>0.1</v>
      </c>
      <c r="I2743" s="4">
        <v>2914.27</v>
      </c>
      <c r="J2743" t="s">
        <v>109</v>
      </c>
      <c r="K2743" t="s">
        <v>39</v>
      </c>
      <c r="L2743" s="4">
        <f>VLOOKUP(tblTransactions[[#This Row],[Product_ID]],tblProducts[],5,FALSE)</f>
        <v>226.76</v>
      </c>
      <c r="M2743" s="4">
        <f>tblTransactions[[#This Row],[Total_Amount]]-(tblTransactions[[#This Row],[Cost_Prices]]*tblTransactions[[#This Row],[Quantity]]*(1-tblTransactions[[#This Row],[Discount]]))</f>
        <v>1281.598</v>
      </c>
      <c r="N2743" s="3">
        <f>tblTransactions[[#This Row],[Profit]]/tblTransactions[[#This Row],[Total_Amount]]</f>
        <v>0.43976639089720582</v>
      </c>
      <c r="O2743" t="str">
        <f>TEXT(tblTransactions[[#This Row],[Date]], "MMM-YYYY")</f>
        <v>Aug-2024</v>
      </c>
      <c r="P2743" t="str">
        <f>"Q"&amp;ROUNDUP(MONTH(tblTransactions[[#This Row],[Date]])/3,0)&amp;"-"&amp;YEAR(tblTransactions[[#This Row],[Date]])</f>
        <v>Q3-2024</v>
      </c>
      <c r="Q2743">
        <f>YEAR(tblTransactions[[#This Row],[Date]])</f>
        <v>2024</v>
      </c>
      <c r="R2743" t="str">
        <f>TEXT(tblTransactions[[#This Row],[Date]],"DDDD")</f>
        <v>Tuesday</v>
      </c>
      <c r="S2743">
        <f>MONTH(tblTransactions[[#This Row],[Date]])</f>
        <v>8</v>
      </c>
      <c r="T2743" t="str">
        <f>VLOOKUP(E2743, Products!$A:$B,2,0)</f>
        <v>Tablets Ele-2</v>
      </c>
      <c r="U2743" t="str">
        <f>VLOOKUP(E2743,Products!$A:$C,3,0)</f>
        <v>Electronics</v>
      </c>
      <c r="V2743" t="str">
        <f>VLOOKUP(E2743,Products!$A:$D,4,0)</f>
        <v>Tablets</v>
      </c>
      <c r="W2743" t="str">
        <f>VLOOKUP(D2743,Customers!$A:$C,3,0)</f>
        <v>B2B</v>
      </c>
      <c r="X2743" t="str">
        <f>VLOOKUP(C2743,Sales_Representatives!$A:$B,2,0)</f>
        <v>Richard Garcia</v>
      </c>
    </row>
    <row r="2744" spans="1:24" x14ac:dyDescent="0.3">
      <c r="A2744" t="s">
        <v>3772</v>
      </c>
      <c r="B2744" t="s">
        <v>3771</v>
      </c>
      <c r="C2744" t="s">
        <v>107</v>
      </c>
      <c r="D2744" t="s">
        <v>2166</v>
      </c>
      <c r="E2744" t="s">
        <v>347</v>
      </c>
      <c r="F2744">
        <v>40</v>
      </c>
      <c r="G2744">
        <v>1539.6</v>
      </c>
      <c r="H2744">
        <v>0.2</v>
      </c>
      <c r="I2744" s="4">
        <v>49267.199999999997</v>
      </c>
      <c r="J2744" t="s">
        <v>109</v>
      </c>
      <c r="K2744" t="s">
        <v>17</v>
      </c>
      <c r="L2744" s="4">
        <f>VLOOKUP(tblTransactions[[#This Row],[Product_ID]],tblProducts[],5,FALSE)</f>
        <v>992.43</v>
      </c>
      <c r="M2744" s="4">
        <f>tblTransactions[[#This Row],[Total_Amount]]-(tblTransactions[[#This Row],[Cost_Prices]]*tblTransactions[[#This Row],[Quantity]]*(1-tblTransactions[[#This Row],[Discount]]))</f>
        <v>17509.439999999999</v>
      </c>
      <c r="N2744" s="3">
        <f>tblTransactions[[#This Row],[Profit]]/tblTransactions[[#This Row],[Total_Amount]]</f>
        <v>0.3553975058456742</v>
      </c>
      <c r="O2744" t="str">
        <f>TEXT(tblTransactions[[#This Row],[Date]], "MMM-YYYY")</f>
        <v>Aug-2024</v>
      </c>
      <c r="P2744" t="str">
        <f>"Q"&amp;ROUNDUP(MONTH(tblTransactions[[#This Row],[Date]])/3,0)&amp;"-"&amp;YEAR(tblTransactions[[#This Row],[Date]])</f>
        <v>Q3-2024</v>
      </c>
      <c r="Q2744">
        <f>YEAR(tblTransactions[[#This Row],[Date]])</f>
        <v>2024</v>
      </c>
      <c r="R2744" t="str">
        <f>TEXT(tblTransactions[[#This Row],[Date]],"DDDD")</f>
        <v>Tuesday</v>
      </c>
      <c r="S2744">
        <f>MONTH(tblTransactions[[#This Row],[Date]])</f>
        <v>8</v>
      </c>
      <c r="T2744" t="str">
        <f>VLOOKUP(E2744, Products!$A:$B,2,0)</f>
        <v>Routers Tec-2</v>
      </c>
      <c r="U2744" t="str">
        <f>VLOOKUP(E2744,Products!$A:$C,3,0)</f>
        <v>Technology</v>
      </c>
      <c r="V2744" t="str">
        <f>VLOOKUP(E2744,Products!$A:$D,4,0)</f>
        <v>Routers</v>
      </c>
      <c r="W2744" t="str">
        <f>VLOOKUP(D2744,Customers!$A:$C,3,0)</f>
        <v>Enterprise</v>
      </c>
      <c r="X2744" t="str">
        <f>VLOOKUP(C2744,Sales_Representatives!$A:$B,2,0)</f>
        <v>Jennifer Brown</v>
      </c>
    </row>
    <row r="2745" spans="1:24" x14ac:dyDescent="0.3">
      <c r="A2745" t="s">
        <v>3773</v>
      </c>
      <c r="B2745" t="s">
        <v>3771</v>
      </c>
      <c r="C2745" t="s">
        <v>56</v>
      </c>
      <c r="D2745" t="s">
        <v>2411</v>
      </c>
      <c r="E2745" t="s">
        <v>176</v>
      </c>
      <c r="F2745">
        <v>17</v>
      </c>
      <c r="G2745">
        <v>1462.68</v>
      </c>
      <c r="H2745">
        <v>0.12</v>
      </c>
      <c r="I2745" s="4">
        <v>21881.69</v>
      </c>
      <c r="J2745" t="s">
        <v>34</v>
      </c>
      <c r="K2745" t="s">
        <v>39</v>
      </c>
      <c r="L2745" s="4">
        <f>VLOOKUP(tblTransactions[[#This Row],[Product_ID]],tblProducts[],5,FALSE)</f>
        <v>775.94</v>
      </c>
      <c r="M2745" s="4">
        <f>tblTransactions[[#This Row],[Total_Amount]]-(tblTransactions[[#This Row],[Cost_Prices]]*tblTransactions[[#This Row],[Quantity]]*(1-tblTransactions[[#This Row],[Discount]]))</f>
        <v>10273.627599999998</v>
      </c>
      <c r="N2745" s="3">
        <f>tblTransactions[[#This Row],[Profit]]/tblTransactions[[#This Row],[Total_Amount]]</f>
        <v>0.46950795848035498</v>
      </c>
      <c r="O2745" t="str">
        <f>TEXT(tblTransactions[[#This Row],[Date]], "MMM-YYYY")</f>
        <v>Aug-2024</v>
      </c>
      <c r="P2745" t="str">
        <f>"Q"&amp;ROUNDUP(MONTH(tblTransactions[[#This Row],[Date]])/3,0)&amp;"-"&amp;YEAR(tblTransactions[[#This Row],[Date]])</f>
        <v>Q3-2024</v>
      </c>
      <c r="Q2745">
        <f>YEAR(tblTransactions[[#This Row],[Date]])</f>
        <v>2024</v>
      </c>
      <c r="R2745" t="str">
        <f>TEXT(tblTransactions[[#This Row],[Date]],"DDDD")</f>
        <v>Tuesday</v>
      </c>
      <c r="S2745">
        <f>MONTH(tblTransactions[[#This Row],[Date]])</f>
        <v>8</v>
      </c>
      <c r="T2745" t="str">
        <f>VLOOKUP(E2745, Products!$A:$B,2,0)</f>
        <v>Chairs Fur-2</v>
      </c>
      <c r="U2745" t="str">
        <f>VLOOKUP(E2745,Products!$A:$C,3,0)</f>
        <v>Furniture</v>
      </c>
      <c r="V2745" t="str">
        <f>VLOOKUP(E2745,Products!$A:$D,4,0)</f>
        <v>Chairs</v>
      </c>
      <c r="W2745" t="str">
        <f>VLOOKUP(D2745,Customers!$A:$C,3,0)</f>
        <v>B2B</v>
      </c>
      <c r="X2745" t="str">
        <f>VLOOKUP(C2745,Sales_Representatives!$A:$B,2,0)</f>
        <v>Thomas Hernandez</v>
      </c>
    </row>
    <row r="2746" spans="1:24" x14ac:dyDescent="0.3">
      <c r="A2746" t="s">
        <v>3774</v>
      </c>
      <c r="B2746" t="s">
        <v>3771</v>
      </c>
      <c r="C2746" t="s">
        <v>107</v>
      </c>
      <c r="D2746" t="s">
        <v>2411</v>
      </c>
      <c r="E2746" t="s">
        <v>152</v>
      </c>
      <c r="F2746">
        <v>6</v>
      </c>
      <c r="G2746">
        <v>859.93</v>
      </c>
      <c r="H2746">
        <v>7.0000000000000007E-2</v>
      </c>
      <c r="I2746" s="4">
        <v>4798.41</v>
      </c>
      <c r="J2746" t="s">
        <v>109</v>
      </c>
      <c r="K2746" t="s">
        <v>39</v>
      </c>
      <c r="L2746" s="4">
        <f>VLOOKUP(tblTransactions[[#This Row],[Product_ID]],tblProducts[],5,FALSE)</f>
        <v>579.79</v>
      </c>
      <c r="M2746" s="4">
        <f>tblTransactions[[#This Row],[Total_Amount]]-(tblTransactions[[#This Row],[Cost_Prices]]*tblTransactions[[#This Row],[Quantity]]*(1-tblTransactions[[#This Row],[Discount]]))</f>
        <v>1563.1818000000003</v>
      </c>
      <c r="N2746" s="3">
        <f>tblTransactions[[#This Row],[Profit]]/tblTransactions[[#This Row],[Total_Amount]]</f>
        <v>0.32577078657305242</v>
      </c>
      <c r="O2746" t="str">
        <f>TEXT(tblTransactions[[#This Row],[Date]], "MMM-YYYY")</f>
        <v>Aug-2024</v>
      </c>
      <c r="P2746" t="str">
        <f>"Q"&amp;ROUNDUP(MONTH(tblTransactions[[#This Row],[Date]])/3,0)&amp;"-"&amp;YEAR(tblTransactions[[#This Row],[Date]])</f>
        <v>Q3-2024</v>
      </c>
      <c r="Q2746">
        <f>YEAR(tblTransactions[[#This Row],[Date]])</f>
        <v>2024</v>
      </c>
      <c r="R2746" t="str">
        <f>TEXT(tblTransactions[[#This Row],[Date]],"DDDD")</f>
        <v>Tuesday</v>
      </c>
      <c r="S2746">
        <f>MONTH(tblTransactions[[#This Row],[Date]])</f>
        <v>8</v>
      </c>
      <c r="T2746" t="str">
        <f>VLOOKUP(E2746, Products!$A:$B,2,0)</f>
        <v>Phones Ele-4</v>
      </c>
      <c r="U2746" t="str">
        <f>VLOOKUP(E2746,Products!$A:$C,3,0)</f>
        <v>Electronics</v>
      </c>
      <c r="V2746" t="str">
        <f>VLOOKUP(E2746,Products!$A:$D,4,0)</f>
        <v>Phones</v>
      </c>
      <c r="W2746" t="str">
        <f>VLOOKUP(D2746,Customers!$A:$C,3,0)</f>
        <v>B2B</v>
      </c>
      <c r="X2746" t="str">
        <f>VLOOKUP(C2746,Sales_Representatives!$A:$B,2,0)</f>
        <v>Jennifer Brown</v>
      </c>
    </row>
    <row r="2747" spans="1:24" x14ac:dyDescent="0.3">
      <c r="A2747" t="s">
        <v>3775</v>
      </c>
      <c r="B2747" t="s">
        <v>3771</v>
      </c>
      <c r="C2747" t="s">
        <v>141</v>
      </c>
      <c r="D2747" t="s">
        <v>1540</v>
      </c>
      <c r="E2747" t="s">
        <v>89</v>
      </c>
      <c r="F2747">
        <v>3</v>
      </c>
      <c r="G2747">
        <v>555.08000000000004</v>
      </c>
      <c r="H2747">
        <v>0.08</v>
      </c>
      <c r="I2747" s="4">
        <v>1532.02</v>
      </c>
      <c r="J2747" t="s">
        <v>109</v>
      </c>
      <c r="K2747" t="s">
        <v>22</v>
      </c>
      <c r="L2747" s="4">
        <f>VLOOKUP(tblTransactions[[#This Row],[Product_ID]],tblProducts[],5,FALSE)</f>
        <v>402.82</v>
      </c>
      <c r="M2747" s="4">
        <f>tblTransactions[[#This Row],[Total_Amount]]-(tblTransactions[[#This Row],[Cost_Prices]]*tblTransactions[[#This Row],[Quantity]]*(1-tblTransactions[[#This Row],[Discount]]))</f>
        <v>420.2367999999999</v>
      </c>
      <c r="N2747" s="3">
        <f>tblTransactions[[#This Row],[Profit]]/tblTransactions[[#This Row],[Total_Amount]]</f>
        <v>0.27430242425033607</v>
      </c>
      <c r="O2747" t="str">
        <f>TEXT(tblTransactions[[#This Row],[Date]], "MMM-YYYY")</f>
        <v>Aug-2024</v>
      </c>
      <c r="P2747" t="str">
        <f>"Q"&amp;ROUNDUP(MONTH(tblTransactions[[#This Row],[Date]])/3,0)&amp;"-"&amp;YEAR(tblTransactions[[#This Row],[Date]])</f>
        <v>Q3-2024</v>
      </c>
      <c r="Q2747">
        <f>YEAR(tblTransactions[[#This Row],[Date]])</f>
        <v>2024</v>
      </c>
      <c r="R2747" t="str">
        <f>TEXT(tblTransactions[[#This Row],[Date]],"DDDD")</f>
        <v>Tuesday</v>
      </c>
      <c r="S2747">
        <f>MONTH(tblTransactions[[#This Row],[Date]])</f>
        <v>8</v>
      </c>
      <c r="T2747" t="str">
        <f>VLOOKUP(E2747, Products!$A:$B,2,0)</f>
        <v>Laptops Ele-3</v>
      </c>
      <c r="U2747" t="str">
        <f>VLOOKUP(E2747,Products!$A:$C,3,0)</f>
        <v>Electronics</v>
      </c>
      <c r="V2747" t="str">
        <f>VLOOKUP(E2747,Products!$A:$D,4,0)</f>
        <v>Laptops</v>
      </c>
      <c r="W2747" t="str">
        <f>VLOOKUP(D2747,Customers!$A:$C,3,0)</f>
        <v>B2C</v>
      </c>
      <c r="X2747" t="str">
        <f>VLOOKUP(C2747,Sales_Representatives!$A:$B,2,0)</f>
        <v>Richard Garcia</v>
      </c>
    </row>
    <row r="2748" spans="1:24" x14ac:dyDescent="0.3">
      <c r="A2748" t="s">
        <v>3776</v>
      </c>
      <c r="B2748" t="s">
        <v>3771</v>
      </c>
      <c r="C2748" t="s">
        <v>70</v>
      </c>
      <c r="D2748" t="s">
        <v>2068</v>
      </c>
      <c r="E2748" t="s">
        <v>299</v>
      </c>
      <c r="F2748">
        <v>1</v>
      </c>
      <c r="G2748">
        <v>963.44</v>
      </c>
      <c r="H2748">
        <v>0.02</v>
      </c>
      <c r="I2748" s="4">
        <v>944.17</v>
      </c>
      <c r="J2748" t="s">
        <v>16</v>
      </c>
      <c r="K2748" t="s">
        <v>22</v>
      </c>
      <c r="L2748" s="4">
        <f>VLOOKUP(tblTransactions[[#This Row],[Product_ID]],tblProducts[],5,FALSE)</f>
        <v>578.96</v>
      </c>
      <c r="M2748" s="4">
        <f>tblTransactions[[#This Row],[Total_Amount]]-(tblTransactions[[#This Row],[Cost_Prices]]*tblTransactions[[#This Row],[Quantity]]*(1-tblTransactions[[#This Row],[Discount]]))</f>
        <v>376.78919999999994</v>
      </c>
      <c r="N2748" s="3">
        <f>tblTransactions[[#This Row],[Profit]]/tblTransactions[[#This Row],[Total_Amount]]</f>
        <v>0.39906923541311412</v>
      </c>
      <c r="O2748" t="str">
        <f>TEXT(tblTransactions[[#This Row],[Date]], "MMM-YYYY")</f>
        <v>Aug-2024</v>
      </c>
      <c r="P2748" t="str">
        <f>"Q"&amp;ROUNDUP(MONTH(tblTransactions[[#This Row],[Date]])/3,0)&amp;"-"&amp;YEAR(tblTransactions[[#This Row],[Date]])</f>
        <v>Q3-2024</v>
      </c>
      <c r="Q2748">
        <f>YEAR(tblTransactions[[#This Row],[Date]])</f>
        <v>2024</v>
      </c>
      <c r="R2748" t="str">
        <f>TEXT(tblTransactions[[#This Row],[Date]],"DDDD")</f>
        <v>Tuesday</v>
      </c>
      <c r="S2748">
        <f>MONTH(tblTransactions[[#This Row],[Date]])</f>
        <v>8</v>
      </c>
      <c r="T2748" t="str">
        <f>VLOOKUP(E2748, Products!$A:$B,2,0)</f>
        <v>Chairs Fur-4</v>
      </c>
      <c r="U2748" t="str">
        <f>VLOOKUP(E2748,Products!$A:$C,3,0)</f>
        <v>Furniture</v>
      </c>
      <c r="V2748" t="str">
        <f>VLOOKUP(E2748,Products!$A:$D,4,0)</f>
        <v>Chairs</v>
      </c>
      <c r="W2748" t="str">
        <f>VLOOKUP(D2748,Customers!$A:$C,3,0)</f>
        <v>Small Business</v>
      </c>
      <c r="X2748" t="str">
        <f>VLOOKUP(C2748,Sales_Representatives!$A:$B,2,0)</f>
        <v>Linda Smith</v>
      </c>
    </row>
    <row r="2749" spans="1:24" x14ac:dyDescent="0.3">
      <c r="A2749" t="s">
        <v>3777</v>
      </c>
      <c r="B2749" t="s">
        <v>3771</v>
      </c>
      <c r="C2749" t="s">
        <v>131</v>
      </c>
      <c r="D2749" t="s">
        <v>1908</v>
      </c>
      <c r="E2749" t="s">
        <v>184</v>
      </c>
      <c r="F2749">
        <v>6</v>
      </c>
      <c r="G2749">
        <v>276.35000000000002</v>
      </c>
      <c r="H2749">
        <v>0.12</v>
      </c>
      <c r="I2749" s="4">
        <v>1459.13</v>
      </c>
      <c r="J2749" t="s">
        <v>44</v>
      </c>
      <c r="K2749" t="s">
        <v>22</v>
      </c>
      <c r="L2749" s="4">
        <f>VLOOKUP(tblTransactions[[#This Row],[Product_ID]],tblProducts[],5,FALSE)</f>
        <v>130.15</v>
      </c>
      <c r="M2749" s="4">
        <f>tblTransactions[[#This Row],[Total_Amount]]-(tblTransactions[[#This Row],[Cost_Prices]]*tblTransactions[[#This Row],[Quantity]]*(1-tblTransactions[[#This Row],[Discount]]))</f>
        <v>771.93799999999999</v>
      </c>
      <c r="N2749" s="3">
        <f>tblTransactions[[#This Row],[Profit]]/tblTransactions[[#This Row],[Total_Amount]]</f>
        <v>0.5290399073420462</v>
      </c>
      <c r="O2749" t="str">
        <f>TEXT(tblTransactions[[#This Row],[Date]], "MMM-YYYY")</f>
        <v>Aug-2024</v>
      </c>
      <c r="P2749" t="str">
        <f>"Q"&amp;ROUNDUP(MONTH(tblTransactions[[#This Row],[Date]])/3,0)&amp;"-"&amp;YEAR(tblTransactions[[#This Row],[Date]])</f>
        <v>Q3-2024</v>
      </c>
      <c r="Q2749">
        <f>YEAR(tblTransactions[[#This Row],[Date]])</f>
        <v>2024</v>
      </c>
      <c r="R2749" t="str">
        <f>TEXT(tblTransactions[[#This Row],[Date]],"DDDD")</f>
        <v>Tuesday</v>
      </c>
      <c r="S2749">
        <f>MONTH(tblTransactions[[#This Row],[Date]])</f>
        <v>8</v>
      </c>
      <c r="T2749" t="str">
        <f>VLOOKUP(E2749, Products!$A:$B,2,0)</f>
        <v>Binders Off-1</v>
      </c>
      <c r="U2749" t="str">
        <f>VLOOKUP(E2749,Products!$A:$C,3,0)</f>
        <v>Office Supplies</v>
      </c>
      <c r="V2749" t="str">
        <f>VLOOKUP(E2749,Products!$A:$D,4,0)</f>
        <v>Binders</v>
      </c>
      <c r="W2749" t="str">
        <f>VLOOKUP(D2749,Customers!$A:$C,3,0)</f>
        <v>B2C</v>
      </c>
      <c r="X2749" t="str">
        <f>VLOOKUP(C2749,Sales_Representatives!$A:$B,2,0)</f>
        <v>Michael Davis</v>
      </c>
    </row>
    <row r="2750" spans="1:24" x14ac:dyDescent="0.3">
      <c r="A2750" t="s">
        <v>3778</v>
      </c>
      <c r="B2750" t="s">
        <v>3771</v>
      </c>
      <c r="C2750" t="s">
        <v>56</v>
      </c>
      <c r="D2750" t="s">
        <v>1737</v>
      </c>
      <c r="E2750" t="s">
        <v>255</v>
      </c>
      <c r="F2750">
        <v>19</v>
      </c>
      <c r="G2750">
        <v>1444.13</v>
      </c>
      <c r="H2750">
        <v>0.19</v>
      </c>
      <c r="I2750" s="4">
        <v>22225.16</v>
      </c>
      <c r="J2750" t="s">
        <v>34</v>
      </c>
      <c r="K2750" t="s">
        <v>48</v>
      </c>
      <c r="L2750" s="4">
        <f>VLOOKUP(tblTransactions[[#This Row],[Product_ID]],tblProducts[],5,FALSE)</f>
        <v>874.43</v>
      </c>
      <c r="M2750" s="4">
        <f>tblTransactions[[#This Row],[Total_Amount]]-(tblTransactions[[#This Row],[Cost_Prices]]*tblTransactions[[#This Row],[Quantity]]*(1-tblTransactions[[#This Row],[Discount]]))</f>
        <v>8767.6823000000004</v>
      </c>
      <c r="N2750" s="3">
        <f>tblTransactions[[#This Row],[Profit]]/tblTransactions[[#This Row],[Total_Amount]]</f>
        <v>0.39449355145249798</v>
      </c>
      <c r="O2750" t="str">
        <f>TEXT(tblTransactions[[#This Row],[Date]], "MMM-YYYY")</f>
        <v>Aug-2024</v>
      </c>
      <c r="P2750" t="str">
        <f>"Q"&amp;ROUNDUP(MONTH(tblTransactions[[#This Row],[Date]])/3,0)&amp;"-"&amp;YEAR(tblTransactions[[#This Row],[Date]])</f>
        <v>Q3-2024</v>
      </c>
      <c r="Q2750">
        <f>YEAR(tblTransactions[[#This Row],[Date]])</f>
        <v>2024</v>
      </c>
      <c r="R2750" t="str">
        <f>TEXT(tblTransactions[[#This Row],[Date]],"DDDD")</f>
        <v>Tuesday</v>
      </c>
      <c r="S2750">
        <f>MONTH(tblTransactions[[#This Row],[Date]])</f>
        <v>8</v>
      </c>
      <c r="T2750" t="str">
        <f>VLOOKUP(E2750, Products!$A:$B,2,0)</f>
        <v>Printers Tec-1</v>
      </c>
      <c r="U2750" t="str">
        <f>VLOOKUP(E2750,Products!$A:$C,3,0)</f>
        <v>Technology</v>
      </c>
      <c r="V2750" t="str">
        <f>VLOOKUP(E2750,Products!$A:$D,4,0)</f>
        <v>Printers</v>
      </c>
      <c r="W2750" t="str">
        <f>VLOOKUP(D2750,Customers!$A:$C,3,0)</f>
        <v>B2B</v>
      </c>
      <c r="X2750" t="str">
        <f>VLOOKUP(C2750,Sales_Representatives!$A:$B,2,0)</f>
        <v>Thomas Hernandez</v>
      </c>
    </row>
    <row r="2751" spans="1:24" x14ac:dyDescent="0.3">
      <c r="A2751" t="s">
        <v>3779</v>
      </c>
      <c r="B2751" t="s">
        <v>3780</v>
      </c>
      <c r="C2751" t="s">
        <v>131</v>
      </c>
      <c r="D2751" t="s">
        <v>1961</v>
      </c>
      <c r="E2751" t="s">
        <v>91</v>
      </c>
      <c r="F2751">
        <v>19</v>
      </c>
      <c r="G2751">
        <v>286.62</v>
      </c>
      <c r="H2751">
        <v>0.14000000000000001</v>
      </c>
      <c r="I2751" s="4">
        <v>4683.37</v>
      </c>
      <c r="J2751" t="s">
        <v>44</v>
      </c>
      <c r="K2751" t="s">
        <v>17</v>
      </c>
      <c r="L2751" s="4">
        <f>VLOOKUP(tblTransactions[[#This Row],[Product_ID]],tblProducts[],5,FALSE)</f>
        <v>145.54</v>
      </c>
      <c r="M2751" s="4">
        <f>tblTransactions[[#This Row],[Total_Amount]]-(tblTransactions[[#This Row],[Cost_Prices]]*tblTransactions[[#This Row],[Quantity]]*(1-tblTransactions[[#This Row],[Discount]]))</f>
        <v>2305.2464</v>
      </c>
      <c r="N2751" s="3">
        <f>tblTransactions[[#This Row],[Profit]]/tblTransactions[[#This Row],[Total_Amount]]</f>
        <v>0.49221957692857921</v>
      </c>
      <c r="O2751" t="str">
        <f>TEXT(tblTransactions[[#This Row],[Date]], "MMM-YYYY")</f>
        <v>Aug-2024</v>
      </c>
      <c r="P2751" t="str">
        <f>"Q"&amp;ROUNDUP(MONTH(tblTransactions[[#This Row],[Date]])/3,0)&amp;"-"&amp;YEAR(tblTransactions[[#This Row],[Date]])</f>
        <v>Q3-2024</v>
      </c>
      <c r="Q2751">
        <f>YEAR(tblTransactions[[#This Row],[Date]])</f>
        <v>2024</v>
      </c>
      <c r="R2751" t="str">
        <f>TEXT(tblTransactions[[#This Row],[Date]],"DDDD")</f>
        <v>Wednesday</v>
      </c>
      <c r="S2751">
        <f>MONTH(tblTransactions[[#This Row],[Date]])</f>
        <v>8</v>
      </c>
      <c r="T2751" t="str">
        <f>VLOOKUP(E2751, Products!$A:$B,2,0)</f>
        <v>Chairs Fur-1</v>
      </c>
      <c r="U2751" t="str">
        <f>VLOOKUP(E2751,Products!$A:$C,3,0)</f>
        <v>Furniture</v>
      </c>
      <c r="V2751" t="str">
        <f>VLOOKUP(E2751,Products!$A:$D,4,0)</f>
        <v>Chairs</v>
      </c>
      <c r="W2751" t="str">
        <f>VLOOKUP(D2751,Customers!$A:$C,3,0)</f>
        <v>B2B</v>
      </c>
      <c r="X2751" t="str">
        <f>VLOOKUP(C2751,Sales_Representatives!$A:$B,2,0)</f>
        <v>Michael Davis</v>
      </c>
    </row>
    <row r="2752" spans="1:24" x14ac:dyDescent="0.3">
      <c r="A2752" t="s">
        <v>3781</v>
      </c>
      <c r="B2752" t="s">
        <v>3780</v>
      </c>
      <c r="C2752" t="s">
        <v>31</v>
      </c>
      <c r="D2752" t="s">
        <v>2204</v>
      </c>
      <c r="E2752" t="s">
        <v>200</v>
      </c>
      <c r="F2752">
        <v>49</v>
      </c>
      <c r="G2752">
        <v>544.77</v>
      </c>
      <c r="H2752">
        <v>0.2</v>
      </c>
      <c r="I2752" s="4">
        <v>21354.98</v>
      </c>
      <c r="J2752" t="s">
        <v>34</v>
      </c>
      <c r="K2752" t="s">
        <v>22</v>
      </c>
      <c r="L2752" s="4">
        <f>VLOOKUP(tblTransactions[[#This Row],[Product_ID]],tblProducts[],5,FALSE)</f>
        <v>318.2</v>
      </c>
      <c r="M2752" s="4">
        <f>tblTransactions[[#This Row],[Total_Amount]]-(tblTransactions[[#This Row],[Cost_Prices]]*tblTransactions[[#This Row],[Quantity]]*(1-tblTransactions[[#This Row],[Discount]]))</f>
        <v>8881.5399999999991</v>
      </c>
      <c r="N2752" s="3">
        <f>tblTransactions[[#This Row],[Profit]]/tblTransactions[[#This Row],[Total_Amount]]</f>
        <v>0.41590017878733671</v>
      </c>
      <c r="O2752" t="str">
        <f>TEXT(tblTransactions[[#This Row],[Date]], "MMM-YYYY")</f>
        <v>Aug-2024</v>
      </c>
      <c r="P2752" t="str">
        <f>"Q"&amp;ROUNDUP(MONTH(tblTransactions[[#This Row],[Date]])/3,0)&amp;"-"&amp;YEAR(tblTransactions[[#This Row],[Date]])</f>
        <v>Q3-2024</v>
      </c>
      <c r="Q2752">
        <f>YEAR(tblTransactions[[#This Row],[Date]])</f>
        <v>2024</v>
      </c>
      <c r="R2752" t="str">
        <f>TEXT(tblTransactions[[#This Row],[Date]],"DDDD")</f>
        <v>Wednesday</v>
      </c>
      <c r="S2752">
        <f>MONTH(tblTransactions[[#This Row],[Date]])</f>
        <v>8</v>
      </c>
      <c r="T2752" t="str">
        <f>VLOOKUP(E2752, Products!$A:$B,2,0)</f>
        <v>Desks Fur-4</v>
      </c>
      <c r="U2752" t="str">
        <f>VLOOKUP(E2752,Products!$A:$C,3,0)</f>
        <v>Furniture</v>
      </c>
      <c r="V2752" t="str">
        <f>VLOOKUP(E2752,Products!$A:$D,4,0)</f>
        <v>Desks</v>
      </c>
      <c r="W2752" t="str">
        <f>VLOOKUP(D2752,Customers!$A:$C,3,0)</f>
        <v>Enterprise</v>
      </c>
      <c r="X2752" t="str">
        <f>VLOOKUP(C2752,Sales_Representatives!$A:$B,2,0)</f>
        <v>Thomas Martinez</v>
      </c>
    </row>
    <row r="2753" spans="1:24" x14ac:dyDescent="0.3">
      <c r="A2753" t="s">
        <v>3782</v>
      </c>
      <c r="B2753" t="s">
        <v>3780</v>
      </c>
      <c r="C2753" t="s">
        <v>127</v>
      </c>
      <c r="D2753" t="s">
        <v>2868</v>
      </c>
      <c r="E2753" t="s">
        <v>157</v>
      </c>
      <c r="F2753">
        <v>4</v>
      </c>
      <c r="G2753">
        <v>1227.68</v>
      </c>
      <c r="H2753">
        <v>7.0000000000000007E-2</v>
      </c>
      <c r="I2753" s="4">
        <v>4566.97</v>
      </c>
      <c r="J2753" t="s">
        <v>109</v>
      </c>
      <c r="K2753" t="s">
        <v>22</v>
      </c>
      <c r="L2753" s="4">
        <f>VLOOKUP(tblTransactions[[#This Row],[Product_ID]],tblProducts[],5,FALSE)</f>
        <v>846.42</v>
      </c>
      <c r="M2753" s="4">
        <f>tblTransactions[[#This Row],[Total_Amount]]-(tblTransactions[[#This Row],[Cost_Prices]]*tblTransactions[[#This Row],[Quantity]]*(1-tblTransactions[[#This Row],[Discount]]))</f>
        <v>1418.2876000000006</v>
      </c>
      <c r="N2753" s="3">
        <f>tblTransactions[[#This Row],[Profit]]/tblTransactions[[#This Row],[Total_Amount]]</f>
        <v>0.31055329901444512</v>
      </c>
      <c r="O2753" t="str">
        <f>TEXT(tblTransactions[[#This Row],[Date]], "MMM-YYYY")</f>
        <v>Aug-2024</v>
      </c>
      <c r="P2753" t="str">
        <f>"Q"&amp;ROUNDUP(MONTH(tblTransactions[[#This Row],[Date]])/3,0)&amp;"-"&amp;YEAR(tblTransactions[[#This Row],[Date]])</f>
        <v>Q3-2024</v>
      </c>
      <c r="Q2753">
        <f>YEAR(tblTransactions[[#This Row],[Date]])</f>
        <v>2024</v>
      </c>
      <c r="R2753" t="str">
        <f>TEXT(tblTransactions[[#This Row],[Date]],"DDDD")</f>
        <v>Wednesday</v>
      </c>
      <c r="S2753">
        <f>MONTH(tblTransactions[[#This Row],[Date]])</f>
        <v>8</v>
      </c>
      <c r="T2753" t="str">
        <f>VLOOKUP(E2753, Products!$A:$B,2,0)</f>
        <v>Printers Tec-4</v>
      </c>
      <c r="U2753" t="str">
        <f>VLOOKUP(E2753,Products!$A:$C,3,0)</f>
        <v>Technology</v>
      </c>
      <c r="V2753" t="str">
        <f>VLOOKUP(E2753,Products!$A:$D,4,0)</f>
        <v>Printers</v>
      </c>
      <c r="W2753" t="str">
        <f>VLOOKUP(D2753,Customers!$A:$C,3,0)</f>
        <v>B2B</v>
      </c>
      <c r="X2753" t="str">
        <f>VLOOKUP(C2753,Sales_Representatives!$A:$B,2,0)</f>
        <v>Emily Hernandez</v>
      </c>
    </row>
    <row r="2754" spans="1:24" x14ac:dyDescent="0.3">
      <c r="A2754" t="s">
        <v>3783</v>
      </c>
      <c r="B2754" t="s">
        <v>3784</v>
      </c>
      <c r="C2754" t="s">
        <v>131</v>
      </c>
      <c r="D2754" t="s">
        <v>1986</v>
      </c>
      <c r="E2754" t="s">
        <v>258</v>
      </c>
      <c r="F2754">
        <v>4</v>
      </c>
      <c r="G2754">
        <v>73.33</v>
      </c>
      <c r="H2754">
        <v>0.02</v>
      </c>
      <c r="I2754" s="4">
        <v>287.45</v>
      </c>
      <c r="J2754" t="s">
        <v>44</v>
      </c>
      <c r="K2754" t="s">
        <v>35</v>
      </c>
      <c r="L2754" s="4">
        <f>VLOOKUP(tblTransactions[[#This Row],[Product_ID]],tblProducts[],5,FALSE)</f>
        <v>38.049999999999997</v>
      </c>
      <c r="M2754" s="4">
        <f>tblTransactions[[#This Row],[Total_Amount]]-(tblTransactions[[#This Row],[Cost_Prices]]*tblTransactions[[#This Row],[Quantity]]*(1-tblTransactions[[#This Row],[Discount]]))</f>
        <v>138.29400000000001</v>
      </c>
      <c r="N2754" s="3">
        <f>tblTransactions[[#This Row],[Profit]]/tblTransactions[[#This Row],[Total_Amount]]</f>
        <v>0.48110627935293099</v>
      </c>
      <c r="O2754" t="str">
        <f>TEXT(tblTransactions[[#This Row],[Date]], "MMM-YYYY")</f>
        <v>Aug-2024</v>
      </c>
      <c r="P2754" t="str">
        <f>"Q"&amp;ROUNDUP(MONTH(tblTransactions[[#This Row],[Date]])/3,0)&amp;"-"&amp;YEAR(tblTransactions[[#This Row],[Date]])</f>
        <v>Q3-2024</v>
      </c>
      <c r="Q2754">
        <f>YEAR(tblTransactions[[#This Row],[Date]])</f>
        <v>2024</v>
      </c>
      <c r="R2754" t="str">
        <f>TEXT(tblTransactions[[#This Row],[Date]],"DDDD")</f>
        <v>Thursday</v>
      </c>
      <c r="S2754">
        <f>MONTH(tblTransactions[[#This Row],[Date]])</f>
        <v>8</v>
      </c>
      <c r="T2754" t="str">
        <f>VLOOKUP(E2754, Products!$A:$B,2,0)</f>
        <v>Keyboards Acc-3</v>
      </c>
      <c r="U2754" t="str">
        <f>VLOOKUP(E2754,Products!$A:$C,3,0)</f>
        <v>Accessories</v>
      </c>
      <c r="V2754" t="str">
        <f>VLOOKUP(E2754,Products!$A:$D,4,0)</f>
        <v>Keyboards</v>
      </c>
      <c r="W2754" t="str">
        <f>VLOOKUP(D2754,Customers!$A:$C,3,0)</f>
        <v>B2C</v>
      </c>
      <c r="X2754" t="str">
        <f>VLOOKUP(C2754,Sales_Representatives!$A:$B,2,0)</f>
        <v>Michael Davis</v>
      </c>
    </row>
    <row r="2755" spans="1:24" x14ac:dyDescent="0.3">
      <c r="A2755" t="s">
        <v>3785</v>
      </c>
      <c r="B2755" t="s">
        <v>3784</v>
      </c>
      <c r="C2755" t="s">
        <v>63</v>
      </c>
      <c r="D2755" t="s">
        <v>351</v>
      </c>
      <c r="E2755" t="s">
        <v>339</v>
      </c>
      <c r="F2755">
        <v>7</v>
      </c>
      <c r="G2755">
        <v>1100.8800000000001</v>
      </c>
      <c r="H2755">
        <v>7.0000000000000007E-2</v>
      </c>
      <c r="I2755" s="4">
        <v>7166.73</v>
      </c>
      <c r="J2755" t="s">
        <v>21</v>
      </c>
      <c r="K2755" t="s">
        <v>35</v>
      </c>
      <c r="L2755" s="4">
        <f>VLOOKUP(tblTransactions[[#This Row],[Product_ID]],tblProducts[],5,FALSE)</f>
        <v>761.53</v>
      </c>
      <c r="M2755" s="4">
        <f>tblTransactions[[#This Row],[Total_Amount]]-(tblTransactions[[#This Row],[Cost_Prices]]*tblTransactions[[#This Row],[Quantity]]*(1-tblTransactions[[#This Row],[Discount]]))</f>
        <v>2209.1696999999995</v>
      </c>
      <c r="N2755" s="3">
        <f>tblTransactions[[#This Row],[Profit]]/tblTransactions[[#This Row],[Total_Amount]]</f>
        <v>0.30825351310848875</v>
      </c>
      <c r="O2755" t="str">
        <f>TEXT(tblTransactions[[#This Row],[Date]], "MMM-YYYY")</f>
        <v>Aug-2024</v>
      </c>
      <c r="P2755" t="str">
        <f>"Q"&amp;ROUNDUP(MONTH(tblTransactions[[#This Row],[Date]])/3,0)&amp;"-"&amp;YEAR(tblTransactions[[#This Row],[Date]])</f>
        <v>Q3-2024</v>
      </c>
      <c r="Q2755">
        <f>YEAR(tblTransactions[[#This Row],[Date]])</f>
        <v>2024</v>
      </c>
      <c r="R2755" t="str">
        <f>TEXT(tblTransactions[[#This Row],[Date]],"DDDD")</f>
        <v>Thursday</v>
      </c>
      <c r="S2755">
        <f>MONTH(tblTransactions[[#This Row],[Date]])</f>
        <v>8</v>
      </c>
      <c r="T2755" t="str">
        <f>VLOOKUP(E2755, Products!$A:$B,2,0)</f>
        <v>Phones Ele-2</v>
      </c>
      <c r="U2755" t="str">
        <f>VLOOKUP(E2755,Products!$A:$C,3,0)</f>
        <v>Electronics</v>
      </c>
      <c r="V2755" t="str">
        <f>VLOOKUP(E2755,Products!$A:$D,4,0)</f>
        <v>Phones</v>
      </c>
      <c r="W2755" t="str">
        <f>VLOOKUP(D2755,Customers!$A:$C,3,0)</f>
        <v>B2C</v>
      </c>
      <c r="X2755" t="str">
        <f>VLOOKUP(C2755,Sales_Representatives!$A:$B,2,0)</f>
        <v>Richard Wilson</v>
      </c>
    </row>
    <row r="2756" spans="1:24" x14ac:dyDescent="0.3">
      <c r="A2756" t="s">
        <v>3786</v>
      </c>
      <c r="B2756" t="s">
        <v>3784</v>
      </c>
      <c r="C2756" t="s">
        <v>127</v>
      </c>
      <c r="D2756" t="s">
        <v>2718</v>
      </c>
      <c r="E2756" t="s">
        <v>15</v>
      </c>
      <c r="F2756">
        <v>1</v>
      </c>
      <c r="G2756">
        <v>477.48</v>
      </c>
      <c r="H2756">
        <v>0.05</v>
      </c>
      <c r="I2756" s="4">
        <v>453.61</v>
      </c>
      <c r="J2756" t="s">
        <v>109</v>
      </c>
      <c r="K2756" t="s">
        <v>39</v>
      </c>
      <c r="L2756" s="4">
        <f>VLOOKUP(tblTransactions[[#This Row],[Product_ID]],tblProducts[],5,FALSE)</f>
        <v>275.51</v>
      </c>
      <c r="M2756" s="4">
        <f>tblTransactions[[#This Row],[Total_Amount]]-(tblTransactions[[#This Row],[Cost_Prices]]*tblTransactions[[#This Row],[Quantity]]*(1-tblTransactions[[#This Row],[Discount]]))</f>
        <v>191.87550000000005</v>
      </c>
      <c r="N2756" s="3">
        <f>tblTransactions[[#This Row],[Profit]]/tblTransactions[[#This Row],[Total_Amount]]</f>
        <v>0.42299662705848645</v>
      </c>
      <c r="O2756" t="str">
        <f>TEXT(tblTransactions[[#This Row],[Date]], "MMM-YYYY")</f>
        <v>Aug-2024</v>
      </c>
      <c r="P2756" t="str">
        <f>"Q"&amp;ROUNDUP(MONTH(tblTransactions[[#This Row],[Date]])/3,0)&amp;"-"&amp;YEAR(tblTransactions[[#This Row],[Date]])</f>
        <v>Q3-2024</v>
      </c>
      <c r="Q2756">
        <f>YEAR(tblTransactions[[#This Row],[Date]])</f>
        <v>2024</v>
      </c>
      <c r="R2756" t="str">
        <f>TEXT(tblTransactions[[#This Row],[Date]],"DDDD")</f>
        <v>Thursday</v>
      </c>
      <c r="S2756">
        <f>MONTH(tblTransactions[[#This Row],[Date]])</f>
        <v>8</v>
      </c>
      <c r="T2756" t="str">
        <f>VLOOKUP(E2756, Products!$A:$B,2,0)</f>
        <v>Laptops Ele-4</v>
      </c>
      <c r="U2756" t="str">
        <f>VLOOKUP(E2756,Products!$A:$C,3,0)</f>
        <v>Electronics</v>
      </c>
      <c r="V2756" t="str">
        <f>VLOOKUP(E2756,Products!$A:$D,4,0)</f>
        <v>Laptops</v>
      </c>
      <c r="W2756" t="str">
        <f>VLOOKUP(D2756,Customers!$A:$C,3,0)</f>
        <v>B2C</v>
      </c>
      <c r="X2756" t="str">
        <f>VLOOKUP(C2756,Sales_Representatives!$A:$B,2,0)</f>
        <v>Emily Hernandez</v>
      </c>
    </row>
    <row r="2757" spans="1:24" x14ac:dyDescent="0.3">
      <c r="A2757" t="s">
        <v>3787</v>
      </c>
      <c r="B2757" t="s">
        <v>3784</v>
      </c>
      <c r="C2757" t="s">
        <v>141</v>
      </c>
      <c r="D2757" t="s">
        <v>1552</v>
      </c>
      <c r="E2757" t="s">
        <v>68</v>
      </c>
      <c r="F2757">
        <v>15</v>
      </c>
      <c r="G2757">
        <v>522.63</v>
      </c>
      <c r="H2757">
        <v>0.12</v>
      </c>
      <c r="I2757" s="4">
        <v>6898.72</v>
      </c>
      <c r="J2757" t="s">
        <v>109</v>
      </c>
      <c r="K2757" t="s">
        <v>39</v>
      </c>
      <c r="L2757" s="4">
        <f>VLOOKUP(tblTransactions[[#This Row],[Product_ID]],tblProducts[],5,FALSE)</f>
        <v>355.82</v>
      </c>
      <c r="M2757" s="4">
        <f>tblTransactions[[#This Row],[Total_Amount]]-(tblTransactions[[#This Row],[Cost_Prices]]*tblTransactions[[#This Row],[Quantity]]*(1-tblTransactions[[#This Row],[Discount]]))</f>
        <v>2201.8959999999997</v>
      </c>
      <c r="N2757" s="3">
        <f>tblTransactions[[#This Row],[Profit]]/tblTransactions[[#This Row],[Total_Amount]]</f>
        <v>0.31917457151471573</v>
      </c>
      <c r="O2757" t="str">
        <f>TEXT(tblTransactions[[#This Row],[Date]], "MMM-YYYY")</f>
        <v>Aug-2024</v>
      </c>
      <c r="P2757" t="str">
        <f>"Q"&amp;ROUNDUP(MONTH(tblTransactions[[#This Row],[Date]])/3,0)&amp;"-"&amp;YEAR(tblTransactions[[#This Row],[Date]])</f>
        <v>Q3-2024</v>
      </c>
      <c r="Q2757">
        <f>YEAR(tblTransactions[[#This Row],[Date]])</f>
        <v>2024</v>
      </c>
      <c r="R2757" t="str">
        <f>TEXT(tblTransactions[[#This Row],[Date]],"DDDD")</f>
        <v>Thursday</v>
      </c>
      <c r="S2757">
        <f>MONTH(tblTransactions[[#This Row],[Date]])</f>
        <v>8</v>
      </c>
      <c r="T2757" t="str">
        <f>VLOOKUP(E2757, Products!$A:$B,2,0)</f>
        <v>Monitors Tec-3</v>
      </c>
      <c r="U2757" t="str">
        <f>VLOOKUP(E2757,Products!$A:$C,3,0)</f>
        <v>Technology</v>
      </c>
      <c r="V2757" t="str">
        <f>VLOOKUP(E2757,Products!$A:$D,4,0)</f>
        <v>Monitors</v>
      </c>
      <c r="W2757" t="str">
        <f>VLOOKUP(D2757,Customers!$A:$C,3,0)</f>
        <v>Enterprise</v>
      </c>
      <c r="X2757" t="str">
        <f>VLOOKUP(C2757,Sales_Representatives!$A:$B,2,0)</f>
        <v>Richard Garcia</v>
      </c>
    </row>
    <row r="2758" spans="1:24" x14ac:dyDescent="0.3">
      <c r="A2758" t="s">
        <v>3788</v>
      </c>
      <c r="B2758" t="s">
        <v>3784</v>
      </c>
      <c r="C2758" t="s">
        <v>27</v>
      </c>
      <c r="D2758" t="s">
        <v>1596</v>
      </c>
      <c r="E2758" t="s">
        <v>221</v>
      </c>
      <c r="F2758">
        <v>35</v>
      </c>
      <c r="G2758">
        <v>210.02</v>
      </c>
      <c r="H2758">
        <v>0.2</v>
      </c>
      <c r="I2758" s="4">
        <v>5880.56</v>
      </c>
      <c r="J2758" t="s">
        <v>16</v>
      </c>
      <c r="K2758" t="s">
        <v>35</v>
      </c>
      <c r="L2758" s="4">
        <f>VLOOKUP(tblTransactions[[#This Row],[Product_ID]],tblProducts[],5,FALSE)</f>
        <v>131.66</v>
      </c>
      <c r="M2758" s="4">
        <f>tblTransactions[[#This Row],[Total_Amount]]-(tblTransactions[[#This Row],[Cost_Prices]]*tblTransactions[[#This Row],[Quantity]]*(1-tblTransactions[[#This Row],[Discount]]))</f>
        <v>2194.0800000000008</v>
      </c>
      <c r="N2758" s="3">
        <f>tblTransactions[[#This Row],[Profit]]/tblTransactions[[#This Row],[Total_Amount]]</f>
        <v>0.37310732311208467</v>
      </c>
      <c r="O2758" t="str">
        <f>TEXT(tblTransactions[[#This Row],[Date]], "MMM-YYYY")</f>
        <v>Aug-2024</v>
      </c>
      <c r="P2758" t="str">
        <f>"Q"&amp;ROUNDUP(MONTH(tblTransactions[[#This Row],[Date]])/3,0)&amp;"-"&amp;YEAR(tblTransactions[[#This Row],[Date]])</f>
        <v>Q3-2024</v>
      </c>
      <c r="Q2758">
        <f>YEAR(tblTransactions[[#This Row],[Date]])</f>
        <v>2024</v>
      </c>
      <c r="R2758" t="str">
        <f>TEXT(tblTransactions[[#This Row],[Date]],"DDDD")</f>
        <v>Thursday</v>
      </c>
      <c r="S2758">
        <f>MONTH(tblTransactions[[#This Row],[Date]])</f>
        <v>8</v>
      </c>
      <c r="T2758" t="str">
        <f>VLOOKUP(E2758, Products!$A:$B,2,0)</f>
        <v>Storage Fur-2</v>
      </c>
      <c r="U2758" t="str">
        <f>VLOOKUP(E2758,Products!$A:$C,3,0)</f>
        <v>Furniture</v>
      </c>
      <c r="V2758" t="str">
        <f>VLOOKUP(E2758,Products!$A:$D,4,0)</f>
        <v>Storage</v>
      </c>
      <c r="W2758" t="str">
        <f>VLOOKUP(D2758,Customers!$A:$C,3,0)</f>
        <v>Enterprise</v>
      </c>
      <c r="X2758" t="str">
        <f>VLOOKUP(C2758,Sales_Representatives!$A:$B,2,0)</f>
        <v>Thomas Lopez</v>
      </c>
    </row>
    <row r="2759" spans="1:24" x14ac:dyDescent="0.3">
      <c r="A2759" t="s">
        <v>3789</v>
      </c>
      <c r="B2759" t="s">
        <v>3790</v>
      </c>
      <c r="C2759" t="s">
        <v>63</v>
      </c>
      <c r="D2759" t="s">
        <v>1449</v>
      </c>
      <c r="E2759" t="s">
        <v>137</v>
      </c>
      <c r="F2759">
        <v>15</v>
      </c>
      <c r="G2759">
        <v>241.39</v>
      </c>
      <c r="H2759">
        <v>0.2</v>
      </c>
      <c r="I2759" s="4">
        <v>2896.68</v>
      </c>
      <c r="J2759" t="s">
        <v>21</v>
      </c>
      <c r="K2759" t="s">
        <v>39</v>
      </c>
      <c r="L2759" s="4">
        <f>VLOOKUP(tblTransactions[[#This Row],[Product_ID]],tblProducts[],5,FALSE)</f>
        <v>124.07</v>
      </c>
      <c r="M2759" s="4">
        <f>tblTransactions[[#This Row],[Total_Amount]]-(tblTransactions[[#This Row],[Cost_Prices]]*tblTransactions[[#This Row],[Quantity]]*(1-tblTransactions[[#This Row],[Discount]]))</f>
        <v>1407.8399999999997</v>
      </c>
      <c r="N2759" s="3">
        <f>tblTransactions[[#This Row],[Profit]]/tblTransactions[[#This Row],[Total_Amount]]</f>
        <v>0.48601847632461981</v>
      </c>
      <c r="O2759" t="str">
        <f>TEXT(tblTransactions[[#This Row],[Date]], "MMM-YYYY")</f>
        <v>Aug-2024</v>
      </c>
      <c r="P2759" t="str">
        <f>"Q"&amp;ROUNDUP(MONTH(tblTransactions[[#This Row],[Date]])/3,0)&amp;"-"&amp;YEAR(tblTransactions[[#This Row],[Date]])</f>
        <v>Q3-2024</v>
      </c>
      <c r="Q2759">
        <f>YEAR(tblTransactions[[#This Row],[Date]])</f>
        <v>2024</v>
      </c>
      <c r="R2759" t="str">
        <f>TEXT(tblTransactions[[#This Row],[Date]],"DDDD")</f>
        <v>Friday</v>
      </c>
      <c r="S2759">
        <f>MONTH(tblTransactions[[#This Row],[Date]])</f>
        <v>8</v>
      </c>
      <c r="T2759" t="str">
        <f>VLOOKUP(E2759, Products!$A:$B,2,0)</f>
        <v>Desks Fur-2</v>
      </c>
      <c r="U2759" t="str">
        <f>VLOOKUP(E2759,Products!$A:$C,3,0)</f>
        <v>Furniture</v>
      </c>
      <c r="V2759" t="str">
        <f>VLOOKUP(E2759,Products!$A:$D,4,0)</f>
        <v>Desks</v>
      </c>
      <c r="W2759" t="str">
        <f>VLOOKUP(D2759,Customers!$A:$C,3,0)</f>
        <v>B2B</v>
      </c>
      <c r="X2759" t="str">
        <f>VLOOKUP(C2759,Sales_Representatives!$A:$B,2,0)</f>
        <v>Richard Wilson</v>
      </c>
    </row>
    <row r="2760" spans="1:24" x14ac:dyDescent="0.3">
      <c r="A2760" t="s">
        <v>3791</v>
      </c>
      <c r="B2760" t="s">
        <v>3790</v>
      </c>
      <c r="C2760" t="s">
        <v>107</v>
      </c>
      <c r="D2760" t="s">
        <v>1526</v>
      </c>
      <c r="E2760" t="s">
        <v>217</v>
      </c>
      <c r="F2760">
        <v>6</v>
      </c>
      <c r="G2760">
        <v>145.51</v>
      </c>
      <c r="H2760">
        <v>0.11</v>
      </c>
      <c r="I2760" s="4">
        <v>777.02</v>
      </c>
      <c r="J2760" t="s">
        <v>109</v>
      </c>
      <c r="K2760" t="s">
        <v>48</v>
      </c>
      <c r="L2760" s="4">
        <f>VLOOKUP(tblTransactions[[#This Row],[Product_ID]],tblProducts[],5,FALSE)</f>
        <v>64.510000000000005</v>
      </c>
      <c r="M2760" s="4">
        <f>tblTransactions[[#This Row],[Total_Amount]]-(tblTransactions[[#This Row],[Cost_Prices]]*tblTransactions[[#This Row],[Quantity]]*(1-tblTransactions[[#This Row],[Discount]]))</f>
        <v>432.53659999999991</v>
      </c>
      <c r="N2760" s="3">
        <f>tblTransactions[[#This Row],[Profit]]/tblTransactions[[#This Row],[Total_Amount]]</f>
        <v>0.55666083241100606</v>
      </c>
      <c r="O2760" t="str">
        <f>TEXT(tblTransactions[[#This Row],[Date]], "MMM-YYYY")</f>
        <v>Aug-2024</v>
      </c>
      <c r="P2760" t="str">
        <f>"Q"&amp;ROUNDUP(MONTH(tblTransactions[[#This Row],[Date]])/3,0)&amp;"-"&amp;YEAR(tblTransactions[[#This Row],[Date]])</f>
        <v>Q3-2024</v>
      </c>
      <c r="Q2760">
        <f>YEAR(tblTransactions[[#This Row],[Date]])</f>
        <v>2024</v>
      </c>
      <c r="R2760" t="str">
        <f>TEXT(tblTransactions[[#This Row],[Date]],"DDDD")</f>
        <v>Friday</v>
      </c>
      <c r="S2760">
        <f>MONTH(tblTransactions[[#This Row],[Date]])</f>
        <v>8</v>
      </c>
      <c r="T2760" t="str">
        <f>VLOOKUP(E2760, Products!$A:$B,2,0)</f>
        <v>Cables Acc-2</v>
      </c>
      <c r="U2760" t="str">
        <f>VLOOKUP(E2760,Products!$A:$C,3,0)</f>
        <v>Accessories</v>
      </c>
      <c r="V2760" t="str">
        <f>VLOOKUP(E2760,Products!$A:$D,4,0)</f>
        <v>Cables</v>
      </c>
      <c r="W2760" t="str">
        <f>VLOOKUP(D2760,Customers!$A:$C,3,0)</f>
        <v>B2C</v>
      </c>
      <c r="X2760" t="str">
        <f>VLOOKUP(C2760,Sales_Representatives!$A:$B,2,0)</f>
        <v>Jennifer Brown</v>
      </c>
    </row>
    <row r="2761" spans="1:24" x14ac:dyDescent="0.3">
      <c r="A2761" t="s">
        <v>3792</v>
      </c>
      <c r="B2761" t="s">
        <v>3793</v>
      </c>
      <c r="C2761" t="s">
        <v>63</v>
      </c>
      <c r="D2761" t="s">
        <v>2507</v>
      </c>
      <c r="E2761" t="s">
        <v>200</v>
      </c>
      <c r="F2761">
        <v>18</v>
      </c>
      <c r="G2761">
        <v>544.77</v>
      </c>
      <c r="H2761">
        <v>0.12</v>
      </c>
      <c r="I2761" s="4">
        <v>8629.16</v>
      </c>
      <c r="J2761" t="s">
        <v>21</v>
      </c>
      <c r="K2761" t="s">
        <v>48</v>
      </c>
      <c r="L2761" s="4">
        <f>VLOOKUP(tblTransactions[[#This Row],[Product_ID]],tblProducts[],5,FALSE)</f>
        <v>318.2</v>
      </c>
      <c r="M2761" s="4">
        <f>tblTransactions[[#This Row],[Total_Amount]]-(tblTransactions[[#This Row],[Cost_Prices]]*tblTransactions[[#This Row],[Quantity]]*(1-tblTransactions[[#This Row],[Discount]]))</f>
        <v>3588.8720000000003</v>
      </c>
      <c r="N2761" s="3">
        <f>tblTransactions[[#This Row],[Profit]]/tblTransactions[[#This Row],[Total_Amount]]</f>
        <v>0.41590050480000373</v>
      </c>
      <c r="O2761" t="str">
        <f>TEXT(tblTransactions[[#This Row],[Date]], "MMM-YYYY")</f>
        <v>Aug-2024</v>
      </c>
      <c r="P2761" t="str">
        <f>"Q"&amp;ROUNDUP(MONTH(tblTransactions[[#This Row],[Date]])/3,0)&amp;"-"&amp;YEAR(tblTransactions[[#This Row],[Date]])</f>
        <v>Q3-2024</v>
      </c>
      <c r="Q2761">
        <f>YEAR(tblTransactions[[#This Row],[Date]])</f>
        <v>2024</v>
      </c>
      <c r="R2761" t="str">
        <f>TEXT(tblTransactions[[#This Row],[Date]],"DDDD")</f>
        <v>Saturday</v>
      </c>
      <c r="S2761">
        <f>MONTH(tblTransactions[[#This Row],[Date]])</f>
        <v>8</v>
      </c>
      <c r="T2761" t="str">
        <f>VLOOKUP(E2761, Products!$A:$B,2,0)</f>
        <v>Desks Fur-4</v>
      </c>
      <c r="U2761" t="str">
        <f>VLOOKUP(E2761,Products!$A:$C,3,0)</f>
        <v>Furniture</v>
      </c>
      <c r="V2761" t="str">
        <f>VLOOKUP(E2761,Products!$A:$D,4,0)</f>
        <v>Desks</v>
      </c>
      <c r="W2761" t="str">
        <f>VLOOKUP(D2761,Customers!$A:$C,3,0)</f>
        <v>B2B</v>
      </c>
      <c r="X2761" t="str">
        <f>VLOOKUP(C2761,Sales_Representatives!$A:$B,2,0)</f>
        <v>Richard Wilson</v>
      </c>
    </row>
    <row r="2762" spans="1:24" x14ac:dyDescent="0.3">
      <c r="A2762" t="s">
        <v>3794</v>
      </c>
      <c r="B2762" t="s">
        <v>3793</v>
      </c>
      <c r="C2762" t="s">
        <v>82</v>
      </c>
      <c r="D2762" t="s">
        <v>1705</v>
      </c>
      <c r="E2762" t="s">
        <v>61</v>
      </c>
      <c r="F2762">
        <v>6</v>
      </c>
      <c r="G2762">
        <v>92.07</v>
      </c>
      <c r="H2762">
        <v>0.09</v>
      </c>
      <c r="I2762" s="4">
        <v>502.7</v>
      </c>
      <c r="J2762" t="s">
        <v>34</v>
      </c>
      <c r="K2762" t="s">
        <v>39</v>
      </c>
      <c r="L2762" s="4">
        <f>VLOOKUP(tblTransactions[[#This Row],[Product_ID]],tblProducts[],5,FALSE)</f>
        <v>56.98</v>
      </c>
      <c r="M2762" s="4">
        <f>tblTransactions[[#This Row],[Total_Amount]]-(tblTransactions[[#This Row],[Cost_Prices]]*tblTransactions[[#This Row],[Quantity]]*(1-tblTransactions[[#This Row],[Discount]]))</f>
        <v>191.58920000000001</v>
      </c>
      <c r="N2762" s="3">
        <f>tblTransactions[[#This Row],[Profit]]/tblTransactions[[#This Row],[Total_Amount]]</f>
        <v>0.3811203501094092</v>
      </c>
      <c r="O2762" t="str">
        <f>TEXT(tblTransactions[[#This Row],[Date]], "MMM-YYYY")</f>
        <v>Aug-2024</v>
      </c>
      <c r="P2762" t="str">
        <f>"Q"&amp;ROUNDUP(MONTH(tblTransactions[[#This Row],[Date]])/3,0)&amp;"-"&amp;YEAR(tblTransactions[[#This Row],[Date]])</f>
        <v>Q3-2024</v>
      </c>
      <c r="Q2762">
        <f>YEAR(tblTransactions[[#This Row],[Date]])</f>
        <v>2024</v>
      </c>
      <c r="R2762" t="str">
        <f>TEXT(tblTransactions[[#This Row],[Date]],"DDDD")</f>
        <v>Saturday</v>
      </c>
      <c r="S2762">
        <f>MONTH(tblTransactions[[#This Row],[Date]])</f>
        <v>8</v>
      </c>
      <c r="T2762" t="str">
        <f>VLOOKUP(E2762, Products!$A:$B,2,0)</f>
        <v>Pens Off-4</v>
      </c>
      <c r="U2762" t="str">
        <f>VLOOKUP(E2762,Products!$A:$C,3,0)</f>
        <v>Office Supplies</v>
      </c>
      <c r="V2762" t="str">
        <f>VLOOKUP(E2762,Products!$A:$D,4,0)</f>
        <v>Pens</v>
      </c>
      <c r="W2762" t="str">
        <f>VLOOKUP(D2762,Customers!$A:$C,3,0)</f>
        <v>B2C</v>
      </c>
      <c r="X2762" t="str">
        <f>VLOOKUP(C2762,Sales_Representatives!$A:$B,2,0)</f>
        <v>John Brown</v>
      </c>
    </row>
    <row r="2763" spans="1:24" x14ac:dyDescent="0.3">
      <c r="A2763" t="s">
        <v>3795</v>
      </c>
      <c r="B2763" t="s">
        <v>3793</v>
      </c>
      <c r="C2763" t="s">
        <v>59</v>
      </c>
      <c r="D2763" t="s">
        <v>2334</v>
      </c>
      <c r="E2763" t="s">
        <v>191</v>
      </c>
      <c r="F2763">
        <v>11</v>
      </c>
      <c r="G2763">
        <v>1012.75</v>
      </c>
      <c r="H2763">
        <v>0.13</v>
      </c>
      <c r="I2763" s="4">
        <v>9692.02</v>
      </c>
      <c r="J2763" t="s">
        <v>21</v>
      </c>
      <c r="K2763" t="s">
        <v>39</v>
      </c>
      <c r="L2763" s="4">
        <f>VLOOKUP(tblTransactions[[#This Row],[Product_ID]],tblProducts[],5,FALSE)</f>
        <v>518.53</v>
      </c>
      <c r="M2763" s="4">
        <f>tblTransactions[[#This Row],[Total_Amount]]-(tblTransactions[[#This Row],[Cost_Prices]]*tblTransactions[[#This Row],[Quantity]]*(1-tblTransactions[[#This Row],[Discount]]))</f>
        <v>4729.6879000000008</v>
      </c>
      <c r="N2763" s="3">
        <f>tblTransactions[[#This Row],[Profit]]/tblTransactions[[#This Row],[Total_Amount]]</f>
        <v>0.48799815724688977</v>
      </c>
      <c r="O2763" t="str">
        <f>TEXT(tblTransactions[[#This Row],[Date]], "MMM-YYYY")</f>
        <v>Aug-2024</v>
      </c>
      <c r="P2763" t="str">
        <f>"Q"&amp;ROUNDUP(MONTH(tblTransactions[[#This Row],[Date]])/3,0)&amp;"-"&amp;YEAR(tblTransactions[[#This Row],[Date]])</f>
        <v>Q3-2024</v>
      </c>
      <c r="Q2763">
        <f>YEAR(tblTransactions[[#This Row],[Date]])</f>
        <v>2024</v>
      </c>
      <c r="R2763" t="str">
        <f>TEXT(tblTransactions[[#This Row],[Date]],"DDDD")</f>
        <v>Saturday</v>
      </c>
      <c r="S2763">
        <f>MONTH(tblTransactions[[#This Row],[Date]])</f>
        <v>8</v>
      </c>
      <c r="T2763" t="str">
        <f>VLOOKUP(E2763, Products!$A:$B,2,0)</f>
        <v>Tables Fur-4</v>
      </c>
      <c r="U2763" t="str">
        <f>VLOOKUP(E2763,Products!$A:$C,3,0)</f>
        <v>Furniture</v>
      </c>
      <c r="V2763" t="str">
        <f>VLOOKUP(E2763,Products!$A:$D,4,0)</f>
        <v>Tables</v>
      </c>
      <c r="W2763" t="str">
        <f>VLOOKUP(D2763,Customers!$A:$C,3,0)</f>
        <v>B2B</v>
      </c>
      <c r="X2763" t="str">
        <f>VLOOKUP(C2763,Sales_Representatives!$A:$B,2,0)</f>
        <v>Sarah Brown</v>
      </c>
    </row>
    <row r="2764" spans="1:24" x14ac:dyDescent="0.3">
      <c r="A2764" t="s">
        <v>3796</v>
      </c>
      <c r="B2764" t="s">
        <v>3793</v>
      </c>
      <c r="C2764" t="s">
        <v>41</v>
      </c>
      <c r="D2764" t="s">
        <v>1936</v>
      </c>
      <c r="E2764" t="s">
        <v>25</v>
      </c>
      <c r="F2764">
        <v>7</v>
      </c>
      <c r="G2764">
        <v>1467.49</v>
      </c>
      <c r="H2764">
        <v>0.11</v>
      </c>
      <c r="I2764" s="4">
        <v>9142.4599999999991</v>
      </c>
      <c r="J2764" t="s">
        <v>44</v>
      </c>
      <c r="K2764" t="s">
        <v>39</v>
      </c>
      <c r="L2764" s="4">
        <f>VLOOKUP(tblTransactions[[#This Row],[Product_ID]],tblProducts[],5,FALSE)</f>
        <v>757.65</v>
      </c>
      <c r="M2764" s="4">
        <f>tblTransactions[[#This Row],[Total_Amount]]-(tblTransactions[[#This Row],[Cost_Prices]]*tblTransactions[[#This Row],[Quantity]]*(1-tblTransactions[[#This Row],[Discount]]))</f>
        <v>4422.3004999999985</v>
      </c>
      <c r="N2764" s="3">
        <f>tblTransactions[[#This Row],[Profit]]/tblTransactions[[#This Row],[Total_Amount]]</f>
        <v>0.48371012834619992</v>
      </c>
      <c r="O2764" t="str">
        <f>TEXT(tblTransactions[[#This Row],[Date]], "MMM-YYYY")</f>
        <v>Aug-2024</v>
      </c>
      <c r="P2764" t="str">
        <f>"Q"&amp;ROUNDUP(MONTH(tblTransactions[[#This Row],[Date]])/3,0)&amp;"-"&amp;YEAR(tblTransactions[[#This Row],[Date]])</f>
        <v>Q3-2024</v>
      </c>
      <c r="Q2764">
        <f>YEAR(tblTransactions[[#This Row],[Date]])</f>
        <v>2024</v>
      </c>
      <c r="R2764" t="str">
        <f>TEXT(tblTransactions[[#This Row],[Date]],"DDDD")</f>
        <v>Saturday</v>
      </c>
      <c r="S2764">
        <f>MONTH(tblTransactions[[#This Row],[Date]])</f>
        <v>8</v>
      </c>
      <c r="T2764" t="str">
        <f>VLOOKUP(E2764, Products!$A:$B,2,0)</f>
        <v>Tables Fur-3</v>
      </c>
      <c r="U2764" t="str">
        <f>VLOOKUP(E2764,Products!$A:$C,3,0)</f>
        <v>Furniture</v>
      </c>
      <c r="V2764" t="str">
        <f>VLOOKUP(E2764,Products!$A:$D,4,0)</f>
        <v>Tables</v>
      </c>
      <c r="W2764" t="str">
        <f>VLOOKUP(D2764,Customers!$A:$C,3,0)</f>
        <v>Enterprise</v>
      </c>
      <c r="X2764" t="str">
        <f>VLOOKUP(C2764,Sales_Representatives!$A:$B,2,0)</f>
        <v>Robert Jones</v>
      </c>
    </row>
    <row r="2765" spans="1:24" x14ac:dyDescent="0.3">
      <c r="A2765" t="s">
        <v>3797</v>
      </c>
      <c r="B2765" t="s">
        <v>3793</v>
      </c>
      <c r="C2765" t="s">
        <v>56</v>
      </c>
      <c r="D2765" t="s">
        <v>1961</v>
      </c>
      <c r="E2765" t="s">
        <v>200</v>
      </c>
      <c r="F2765">
        <v>6</v>
      </c>
      <c r="G2765">
        <v>544.77</v>
      </c>
      <c r="H2765">
        <v>0.14000000000000001</v>
      </c>
      <c r="I2765" s="4">
        <v>2811.01</v>
      </c>
      <c r="J2765" t="s">
        <v>34</v>
      </c>
      <c r="K2765" t="s">
        <v>17</v>
      </c>
      <c r="L2765" s="4">
        <f>VLOOKUP(tblTransactions[[#This Row],[Product_ID]],tblProducts[],5,FALSE)</f>
        <v>318.2</v>
      </c>
      <c r="M2765" s="4">
        <f>tblTransactions[[#This Row],[Total_Amount]]-(tblTransactions[[#This Row],[Cost_Prices]]*tblTransactions[[#This Row],[Quantity]]*(1-tblTransactions[[#This Row],[Discount]]))</f>
        <v>1169.0980000000004</v>
      </c>
      <c r="N2765" s="3">
        <f>tblTransactions[[#This Row],[Profit]]/tblTransactions[[#This Row],[Total_Amount]]</f>
        <v>0.41589962326708207</v>
      </c>
      <c r="O2765" t="str">
        <f>TEXT(tblTransactions[[#This Row],[Date]], "MMM-YYYY")</f>
        <v>Aug-2024</v>
      </c>
      <c r="P2765" t="str">
        <f>"Q"&amp;ROUNDUP(MONTH(tblTransactions[[#This Row],[Date]])/3,0)&amp;"-"&amp;YEAR(tblTransactions[[#This Row],[Date]])</f>
        <v>Q3-2024</v>
      </c>
      <c r="Q2765">
        <f>YEAR(tblTransactions[[#This Row],[Date]])</f>
        <v>2024</v>
      </c>
      <c r="R2765" t="str">
        <f>TEXT(tblTransactions[[#This Row],[Date]],"DDDD")</f>
        <v>Saturday</v>
      </c>
      <c r="S2765">
        <f>MONTH(tblTransactions[[#This Row],[Date]])</f>
        <v>8</v>
      </c>
      <c r="T2765" t="str">
        <f>VLOOKUP(E2765, Products!$A:$B,2,0)</f>
        <v>Desks Fur-4</v>
      </c>
      <c r="U2765" t="str">
        <f>VLOOKUP(E2765,Products!$A:$C,3,0)</f>
        <v>Furniture</v>
      </c>
      <c r="V2765" t="str">
        <f>VLOOKUP(E2765,Products!$A:$D,4,0)</f>
        <v>Desks</v>
      </c>
      <c r="W2765" t="str">
        <f>VLOOKUP(D2765,Customers!$A:$C,3,0)</f>
        <v>B2B</v>
      </c>
      <c r="X2765" t="str">
        <f>VLOOKUP(C2765,Sales_Representatives!$A:$B,2,0)</f>
        <v>Thomas Hernandez</v>
      </c>
    </row>
    <row r="2766" spans="1:24" x14ac:dyDescent="0.3">
      <c r="A2766" t="s">
        <v>3798</v>
      </c>
      <c r="B2766" t="s">
        <v>3793</v>
      </c>
      <c r="C2766" t="s">
        <v>82</v>
      </c>
      <c r="D2766" t="s">
        <v>1891</v>
      </c>
      <c r="E2766" t="s">
        <v>102</v>
      </c>
      <c r="F2766">
        <v>12</v>
      </c>
      <c r="G2766">
        <v>1097.75</v>
      </c>
      <c r="H2766">
        <v>0.18</v>
      </c>
      <c r="I2766" s="4">
        <v>10801.86</v>
      </c>
      <c r="J2766" t="s">
        <v>34</v>
      </c>
      <c r="K2766" t="s">
        <v>22</v>
      </c>
      <c r="L2766" s="4">
        <f>VLOOKUP(tblTransactions[[#This Row],[Product_ID]],tblProducts[],5,FALSE)</f>
        <v>680.12</v>
      </c>
      <c r="M2766" s="4">
        <f>tblTransactions[[#This Row],[Total_Amount]]-(tblTransactions[[#This Row],[Cost_Prices]]*tblTransactions[[#This Row],[Quantity]]*(1-tblTransactions[[#This Row],[Discount]]))</f>
        <v>4109.4791999999998</v>
      </c>
      <c r="N2766" s="3">
        <f>tblTransactions[[#This Row],[Profit]]/tblTransactions[[#This Row],[Total_Amount]]</f>
        <v>0.38044181279890682</v>
      </c>
      <c r="O2766" t="str">
        <f>TEXT(tblTransactions[[#This Row],[Date]], "MMM-YYYY")</f>
        <v>Aug-2024</v>
      </c>
      <c r="P2766" t="str">
        <f>"Q"&amp;ROUNDUP(MONTH(tblTransactions[[#This Row],[Date]])/3,0)&amp;"-"&amp;YEAR(tblTransactions[[#This Row],[Date]])</f>
        <v>Q3-2024</v>
      </c>
      <c r="Q2766">
        <f>YEAR(tblTransactions[[#This Row],[Date]])</f>
        <v>2024</v>
      </c>
      <c r="R2766" t="str">
        <f>TEXT(tblTransactions[[#This Row],[Date]],"DDDD")</f>
        <v>Saturday</v>
      </c>
      <c r="S2766">
        <f>MONTH(tblTransactions[[#This Row],[Date]])</f>
        <v>8</v>
      </c>
      <c r="T2766" t="str">
        <f>VLOOKUP(E2766, Products!$A:$B,2,0)</f>
        <v>Storage Fur-4</v>
      </c>
      <c r="U2766" t="str">
        <f>VLOOKUP(E2766,Products!$A:$C,3,0)</f>
        <v>Furniture</v>
      </c>
      <c r="V2766" t="str">
        <f>VLOOKUP(E2766,Products!$A:$D,4,0)</f>
        <v>Storage</v>
      </c>
      <c r="W2766" t="str">
        <f>VLOOKUP(D2766,Customers!$A:$C,3,0)</f>
        <v>B2B</v>
      </c>
      <c r="X2766" t="str">
        <f>VLOOKUP(C2766,Sales_Representatives!$A:$B,2,0)</f>
        <v>John Brown</v>
      </c>
    </row>
    <row r="2767" spans="1:24" x14ac:dyDescent="0.3">
      <c r="A2767" t="s">
        <v>3799</v>
      </c>
      <c r="B2767" t="s">
        <v>3793</v>
      </c>
      <c r="C2767" t="s">
        <v>127</v>
      </c>
      <c r="D2767" t="s">
        <v>2507</v>
      </c>
      <c r="E2767" t="s">
        <v>105</v>
      </c>
      <c r="F2767">
        <v>16</v>
      </c>
      <c r="G2767">
        <v>1342.04</v>
      </c>
      <c r="H2767">
        <v>0.17</v>
      </c>
      <c r="I2767" s="4">
        <v>17822.29</v>
      </c>
      <c r="J2767" t="s">
        <v>109</v>
      </c>
      <c r="K2767" t="s">
        <v>48</v>
      </c>
      <c r="L2767" s="4">
        <f>VLOOKUP(tblTransactions[[#This Row],[Product_ID]],tblProducts[],5,FALSE)</f>
        <v>792.89</v>
      </c>
      <c r="M2767" s="4">
        <f>tblTransactions[[#This Row],[Total_Amount]]-(tblTransactions[[#This Row],[Cost_Prices]]*tblTransactions[[#This Row],[Quantity]]*(1-tblTransactions[[#This Row],[Discount]]))</f>
        <v>7292.7108000000007</v>
      </c>
      <c r="N2767" s="3">
        <f>tblTransactions[[#This Row],[Profit]]/tblTransactions[[#This Row],[Total_Amount]]</f>
        <v>0.40919044634555946</v>
      </c>
      <c r="O2767" t="str">
        <f>TEXT(tblTransactions[[#This Row],[Date]], "MMM-YYYY")</f>
        <v>Aug-2024</v>
      </c>
      <c r="P2767" t="str">
        <f>"Q"&amp;ROUNDUP(MONTH(tblTransactions[[#This Row],[Date]])/3,0)&amp;"-"&amp;YEAR(tblTransactions[[#This Row],[Date]])</f>
        <v>Q3-2024</v>
      </c>
      <c r="Q2767">
        <f>YEAR(tblTransactions[[#This Row],[Date]])</f>
        <v>2024</v>
      </c>
      <c r="R2767" t="str">
        <f>TEXT(tblTransactions[[#This Row],[Date]],"DDDD")</f>
        <v>Saturday</v>
      </c>
      <c r="S2767">
        <f>MONTH(tblTransactions[[#This Row],[Date]])</f>
        <v>8</v>
      </c>
      <c r="T2767" t="str">
        <f>VLOOKUP(E2767, Products!$A:$B,2,0)</f>
        <v>Cameras Ele-1</v>
      </c>
      <c r="U2767" t="str">
        <f>VLOOKUP(E2767,Products!$A:$C,3,0)</f>
        <v>Electronics</v>
      </c>
      <c r="V2767" t="str">
        <f>VLOOKUP(E2767,Products!$A:$D,4,0)</f>
        <v>Cameras</v>
      </c>
      <c r="W2767" t="str">
        <f>VLOOKUP(D2767,Customers!$A:$C,3,0)</f>
        <v>B2B</v>
      </c>
      <c r="X2767" t="str">
        <f>VLOOKUP(C2767,Sales_Representatives!$A:$B,2,0)</f>
        <v>Emily Hernandez</v>
      </c>
    </row>
    <row r="2768" spans="1:24" x14ac:dyDescent="0.3">
      <c r="A2768" t="s">
        <v>3800</v>
      </c>
      <c r="B2768" t="s">
        <v>3801</v>
      </c>
      <c r="C2768" t="s">
        <v>13</v>
      </c>
      <c r="D2768" t="s">
        <v>166</v>
      </c>
      <c r="E2768" t="s">
        <v>152</v>
      </c>
      <c r="F2768">
        <v>6</v>
      </c>
      <c r="G2768">
        <v>859.93</v>
      </c>
      <c r="H2768">
        <v>0.08</v>
      </c>
      <c r="I2768" s="4">
        <v>4746.8100000000004</v>
      </c>
      <c r="J2768" t="s">
        <v>16</v>
      </c>
      <c r="K2768" t="s">
        <v>48</v>
      </c>
      <c r="L2768" s="4">
        <f>VLOOKUP(tblTransactions[[#This Row],[Product_ID]],tblProducts[],5,FALSE)</f>
        <v>579.79</v>
      </c>
      <c r="M2768" s="4">
        <f>tblTransactions[[#This Row],[Total_Amount]]-(tblTransactions[[#This Row],[Cost_Prices]]*tblTransactions[[#This Row],[Quantity]]*(1-tblTransactions[[#This Row],[Discount]]))</f>
        <v>1546.3692000000005</v>
      </c>
      <c r="N2768" s="3">
        <f>tblTransactions[[#This Row],[Profit]]/tblTransactions[[#This Row],[Total_Amount]]</f>
        <v>0.32577019092822346</v>
      </c>
      <c r="O2768" t="str">
        <f>TEXT(tblTransactions[[#This Row],[Date]], "MMM-YYYY")</f>
        <v>Aug-2024</v>
      </c>
      <c r="P2768" t="str">
        <f>"Q"&amp;ROUNDUP(MONTH(tblTransactions[[#This Row],[Date]])/3,0)&amp;"-"&amp;YEAR(tblTransactions[[#This Row],[Date]])</f>
        <v>Q3-2024</v>
      </c>
      <c r="Q2768">
        <f>YEAR(tblTransactions[[#This Row],[Date]])</f>
        <v>2024</v>
      </c>
      <c r="R2768" t="str">
        <f>TEXT(tblTransactions[[#This Row],[Date]],"DDDD")</f>
        <v>Sunday</v>
      </c>
      <c r="S2768">
        <f>MONTH(tblTransactions[[#This Row],[Date]])</f>
        <v>8</v>
      </c>
      <c r="T2768" t="str">
        <f>VLOOKUP(E2768, Products!$A:$B,2,0)</f>
        <v>Phones Ele-4</v>
      </c>
      <c r="U2768" t="str">
        <f>VLOOKUP(E2768,Products!$A:$C,3,0)</f>
        <v>Electronics</v>
      </c>
      <c r="V2768" t="str">
        <f>VLOOKUP(E2768,Products!$A:$D,4,0)</f>
        <v>Phones</v>
      </c>
      <c r="W2768" t="str">
        <f>VLOOKUP(D2768,Customers!$A:$C,3,0)</f>
        <v>B2C</v>
      </c>
      <c r="X2768" t="str">
        <f>VLOOKUP(C2768,Sales_Representatives!$A:$B,2,0)</f>
        <v>Jennifer Rodriguez</v>
      </c>
    </row>
    <row r="2769" spans="1:24" x14ac:dyDescent="0.3">
      <c r="A2769" t="s">
        <v>3802</v>
      </c>
      <c r="B2769" t="s">
        <v>3801</v>
      </c>
      <c r="C2769" t="s">
        <v>19</v>
      </c>
      <c r="D2769" t="s">
        <v>1683</v>
      </c>
      <c r="E2769" t="s">
        <v>310</v>
      </c>
      <c r="F2769">
        <v>1</v>
      </c>
      <c r="G2769">
        <v>274.13</v>
      </c>
      <c r="H2769">
        <v>0</v>
      </c>
      <c r="I2769" s="4">
        <v>274.13</v>
      </c>
      <c r="J2769" t="s">
        <v>21</v>
      </c>
      <c r="K2769" t="s">
        <v>22</v>
      </c>
      <c r="L2769" s="4">
        <f>VLOOKUP(tblTransactions[[#This Row],[Product_ID]],tblProducts[],5,FALSE)</f>
        <v>134.41999999999999</v>
      </c>
      <c r="M2769" s="4">
        <f>tblTransactions[[#This Row],[Total_Amount]]-(tblTransactions[[#This Row],[Cost_Prices]]*tblTransactions[[#This Row],[Quantity]]*(1-tblTransactions[[#This Row],[Discount]]))</f>
        <v>139.71</v>
      </c>
      <c r="N2769" s="3">
        <f>tblTransactions[[#This Row],[Profit]]/tblTransactions[[#This Row],[Total_Amount]]</f>
        <v>0.50964870681793317</v>
      </c>
      <c r="O2769" t="str">
        <f>TEXT(tblTransactions[[#This Row],[Date]], "MMM-YYYY")</f>
        <v>Aug-2024</v>
      </c>
      <c r="P2769" t="str">
        <f>"Q"&amp;ROUNDUP(MONTH(tblTransactions[[#This Row],[Date]])/3,0)&amp;"-"&amp;YEAR(tblTransactions[[#This Row],[Date]])</f>
        <v>Q3-2024</v>
      </c>
      <c r="Q2769">
        <f>YEAR(tblTransactions[[#This Row],[Date]])</f>
        <v>2024</v>
      </c>
      <c r="R2769" t="str">
        <f>TEXT(tblTransactions[[#This Row],[Date]],"DDDD")</f>
        <v>Sunday</v>
      </c>
      <c r="S2769">
        <f>MONTH(tblTransactions[[#This Row],[Date]])</f>
        <v>8</v>
      </c>
      <c r="T2769" t="str">
        <f>VLOOKUP(E2769, Products!$A:$B,2,0)</f>
        <v>Adapters Acc-4</v>
      </c>
      <c r="U2769" t="str">
        <f>VLOOKUP(E2769,Products!$A:$C,3,0)</f>
        <v>Accessories</v>
      </c>
      <c r="V2769" t="str">
        <f>VLOOKUP(E2769,Products!$A:$D,4,0)</f>
        <v>Adapters</v>
      </c>
      <c r="W2769" t="str">
        <f>VLOOKUP(D2769,Customers!$A:$C,3,0)</f>
        <v>B2C</v>
      </c>
      <c r="X2769" t="str">
        <f>VLOOKUP(C2769,Sales_Representatives!$A:$B,2,0)</f>
        <v>Robert Jones</v>
      </c>
    </row>
    <row r="2770" spans="1:24" x14ac:dyDescent="0.3">
      <c r="A2770" t="s">
        <v>3803</v>
      </c>
      <c r="B2770" t="s">
        <v>3801</v>
      </c>
      <c r="C2770" t="s">
        <v>82</v>
      </c>
      <c r="D2770" t="s">
        <v>2675</v>
      </c>
      <c r="E2770" t="s">
        <v>191</v>
      </c>
      <c r="F2770">
        <v>19</v>
      </c>
      <c r="G2770">
        <v>1012.75</v>
      </c>
      <c r="H2770">
        <v>0.1</v>
      </c>
      <c r="I2770" s="4">
        <v>17318.03</v>
      </c>
      <c r="J2770" t="s">
        <v>34</v>
      </c>
      <c r="K2770" t="s">
        <v>17</v>
      </c>
      <c r="L2770" s="4">
        <f>VLOOKUP(tblTransactions[[#This Row],[Product_ID]],tblProducts[],5,FALSE)</f>
        <v>518.53</v>
      </c>
      <c r="M2770" s="4">
        <f>tblTransactions[[#This Row],[Total_Amount]]-(tblTransactions[[#This Row],[Cost_Prices]]*tblTransactions[[#This Row],[Quantity]]*(1-tblTransactions[[#This Row],[Discount]]))</f>
        <v>8451.1669999999995</v>
      </c>
      <c r="N2770" s="3">
        <f>tblTransactions[[#This Row],[Profit]]/tblTransactions[[#This Row],[Total_Amount]]</f>
        <v>0.48799817300235648</v>
      </c>
      <c r="O2770" t="str">
        <f>TEXT(tblTransactions[[#This Row],[Date]], "MMM-YYYY")</f>
        <v>Aug-2024</v>
      </c>
      <c r="P2770" t="str">
        <f>"Q"&amp;ROUNDUP(MONTH(tblTransactions[[#This Row],[Date]])/3,0)&amp;"-"&amp;YEAR(tblTransactions[[#This Row],[Date]])</f>
        <v>Q3-2024</v>
      </c>
      <c r="Q2770">
        <f>YEAR(tblTransactions[[#This Row],[Date]])</f>
        <v>2024</v>
      </c>
      <c r="R2770" t="str">
        <f>TEXT(tblTransactions[[#This Row],[Date]],"DDDD")</f>
        <v>Sunday</v>
      </c>
      <c r="S2770">
        <f>MONTH(tblTransactions[[#This Row],[Date]])</f>
        <v>8</v>
      </c>
      <c r="T2770" t="str">
        <f>VLOOKUP(E2770, Products!$A:$B,2,0)</f>
        <v>Tables Fur-4</v>
      </c>
      <c r="U2770" t="str">
        <f>VLOOKUP(E2770,Products!$A:$C,3,0)</f>
        <v>Furniture</v>
      </c>
      <c r="V2770" t="str">
        <f>VLOOKUP(E2770,Products!$A:$D,4,0)</f>
        <v>Tables</v>
      </c>
      <c r="W2770" t="str">
        <f>VLOOKUP(D2770,Customers!$A:$C,3,0)</f>
        <v>B2B</v>
      </c>
      <c r="X2770" t="str">
        <f>VLOOKUP(C2770,Sales_Representatives!$A:$B,2,0)</f>
        <v>John Brown</v>
      </c>
    </row>
    <row r="2771" spans="1:24" x14ac:dyDescent="0.3">
      <c r="A2771" t="s">
        <v>3804</v>
      </c>
      <c r="B2771" t="s">
        <v>3801</v>
      </c>
      <c r="C2771" t="s">
        <v>131</v>
      </c>
      <c r="D2771" t="s">
        <v>1959</v>
      </c>
      <c r="E2771" t="s">
        <v>168</v>
      </c>
      <c r="F2771">
        <v>3</v>
      </c>
      <c r="G2771">
        <v>101.59</v>
      </c>
      <c r="H2771">
        <v>0.06</v>
      </c>
      <c r="I2771" s="4">
        <v>286.48</v>
      </c>
      <c r="J2771" t="s">
        <v>44</v>
      </c>
      <c r="K2771" t="s">
        <v>48</v>
      </c>
      <c r="L2771" s="4">
        <f>VLOOKUP(tblTransactions[[#This Row],[Product_ID]],tblProducts[],5,FALSE)</f>
        <v>50.58</v>
      </c>
      <c r="M2771" s="4">
        <f>tblTransactions[[#This Row],[Total_Amount]]-(tblTransactions[[#This Row],[Cost_Prices]]*tblTransactions[[#This Row],[Quantity]]*(1-tblTransactions[[#This Row],[Discount]]))</f>
        <v>143.84440000000001</v>
      </c>
      <c r="N2771" s="3">
        <f>tblTransactions[[#This Row],[Profit]]/tblTransactions[[#This Row],[Total_Amount]]</f>
        <v>0.50210974588103885</v>
      </c>
      <c r="O2771" t="str">
        <f>TEXT(tblTransactions[[#This Row],[Date]], "MMM-YYYY")</f>
        <v>Aug-2024</v>
      </c>
      <c r="P2771" t="str">
        <f>"Q"&amp;ROUNDUP(MONTH(tblTransactions[[#This Row],[Date]])/3,0)&amp;"-"&amp;YEAR(tblTransactions[[#This Row],[Date]])</f>
        <v>Q3-2024</v>
      </c>
      <c r="Q2771">
        <f>YEAR(tblTransactions[[#This Row],[Date]])</f>
        <v>2024</v>
      </c>
      <c r="R2771" t="str">
        <f>TEXT(tblTransactions[[#This Row],[Date]],"DDDD")</f>
        <v>Sunday</v>
      </c>
      <c r="S2771">
        <f>MONTH(tblTransactions[[#This Row],[Date]])</f>
        <v>8</v>
      </c>
      <c r="T2771" t="str">
        <f>VLOOKUP(E2771, Products!$A:$B,2,0)</f>
        <v>Cases Acc-4</v>
      </c>
      <c r="U2771" t="str">
        <f>VLOOKUP(E2771,Products!$A:$C,3,0)</f>
        <v>Accessories</v>
      </c>
      <c r="V2771" t="str">
        <f>VLOOKUP(E2771,Products!$A:$D,4,0)</f>
        <v>Cases</v>
      </c>
      <c r="W2771" t="str">
        <f>VLOOKUP(D2771,Customers!$A:$C,3,0)</f>
        <v>Small Business</v>
      </c>
      <c r="X2771" t="str">
        <f>VLOOKUP(C2771,Sales_Representatives!$A:$B,2,0)</f>
        <v>Michael Davis</v>
      </c>
    </row>
    <row r="2772" spans="1:24" x14ac:dyDescent="0.3">
      <c r="A2772" t="s">
        <v>3805</v>
      </c>
      <c r="B2772" t="s">
        <v>3806</v>
      </c>
      <c r="C2772" t="s">
        <v>131</v>
      </c>
      <c r="D2772" t="s">
        <v>1470</v>
      </c>
      <c r="E2772" t="s">
        <v>376</v>
      </c>
      <c r="F2772">
        <v>7</v>
      </c>
      <c r="G2772">
        <v>229.65</v>
      </c>
      <c r="H2772">
        <v>0.14000000000000001</v>
      </c>
      <c r="I2772" s="4">
        <v>1382.49</v>
      </c>
      <c r="J2772" t="s">
        <v>44</v>
      </c>
      <c r="K2772" t="s">
        <v>17</v>
      </c>
      <c r="L2772" s="4">
        <f>VLOOKUP(tblTransactions[[#This Row],[Product_ID]],tblProducts[],5,FALSE)</f>
        <v>96.84</v>
      </c>
      <c r="M2772" s="4">
        <f>tblTransactions[[#This Row],[Total_Amount]]-(tblTransactions[[#This Row],[Cost_Prices]]*tblTransactions[[#This Row],[Quantity]]*(1-tblTransactions[[#This Row],[Discount]]))</f>
        <v>799.51319999999998</v>
      </c>
      <c r="N2772" s="3">
        <f>tblTransactions[[#This Row],[Profit]]/tblTransactions[[#This Row],[Total_Amount]]</f>
        <v>0.57831391185469694</v>
      </c>
      <c r="O2772" t="str">
        <f>TEXT(tblTransactions[[#This Row],[Date]], "MMM-YYYY")</f>
        <v>Aug-2024</v>
      </c>
      <c r="P2772" t="str">
        <f>"Q"&amp;ROUNDUP(MONTH(tblTransactions[[#This Row],[Date]])/3,0)&amp;"-"&amp;YEAR(tblTransactions[[#This Row],[Date]])</f>
        <v>Q3-2024</v>
      </c>
      <c r="Q2772">
        <f>YEAR(tblTransactions[[#This Row],[Date]])</f>
        <v>2024</v>
      </c>
      <c r="R2772" t="str">
        <f>TEXT(tblTransactions[[#This Row],[Date]],"DDDD")</f>
        <v>Monday</v>
      </c>
      <c r="S2772">
        <f>MONTH(tblTransactions[[#This Row],[Date]])</f>
        <v>8</v>
      </c>
      <c r="T2772" t="str">
        <f>VLOOKUP(E2772, Products!$A:$B,2,0)</f>
        <v>Adapters Acc-2</v>
      </c>
      <c r="U2772" t="str">
        <f>VLOOKUP(E2772,Products!$A:$C,3,0)</f>
        <v>Accessories</v>
      </c>
      <c r="V2772" t="str">
        <f>VLOOKUP(E2772,Products!$A:$D,4,0)</f>
        <v>Adapters</v>
      </c>
      <c r="W2772" t="str">
        <f>VLOOKUP(D2772,Customers!$A:$C,3,0)</f>
        <v>Small Business</v>
      </c>
      <c r="X2772" t="str">
        <f>VLOOKUP(C2772,Sales_Representatives!$A:$B,2,0)</f>
        <v>Michael Davis</v>
      </c>
    </row>
    <row r="2773" spans="1:24" x14ac:dyDescent="0.3">
      <c r="A2773" t="s">
        <v>3807</v>
      </c>
      <c r="B2773" t="s">
        <v>3806</v>
      </c>
      <c r="C2773" t="s">
        <v>75</v>
      </c>
      <c r="D2773" t="s">
        <v>164</v>
      </c>
      <c r="E2773" t="s">
        <v>96</v>
      </c>
      <c r="F2773">
        <v>6</v>
      </c>
      <c r="G2773">
        <v>751.9</v>
      </c>
      <c r="H2773">
        <v>0.06</v>
      </c>
      <c r="I2773" s="4">
        <v>4240.72</v>
      </c>
      <c r="J2773" t="s">
        <v>44</v>
      </c>
      <c r="K2773" t="s">
        <v>35</v>
      </c>
      <c r="L2773" s="4">
        <f>VLOOKUP(tblTransactions[[#This Row],[Product_ID]],tblProducts[],5,FALSE)</f>
        <v>570.29</v>
      </c>
      <c r="M2773" s="4">
        <f>tblTransactions[[#This Row],[Total_Amount]]-(tblTransactions[[#This Row],[Cost_Prices]]*tblTransactions[[#This Row],[Quantity]]*(1-tblTransactions[[#This Row],[Discount]]))</f>
        <v>1024.2844000000005</v>
      </c>
      <c r="N2773" s="3">
        <f>tblTransactions[[#This Row],[Profit]]/tblTransactions[[#This Row],[Total_Amount]]</f>
        <v>0.2415354939727217</v>
      </c>
      <c r="O2773" t="str">
        <f>TEXT(tblTransactions[[#This Row],[Date]], "MMM-YYYY")</f>
        <v>Aug-2024</v>
      </c>
      <c r="P2773" t="str">
        <f>"Q"&amp;ROUNDUP(MONTH(tblTransactions[[#This Row],[Date]])/3,0)&amp;"-"&amp;YEAR(tblTransactions[[#This Row],[Date]])</f>
        <v>Q3-2024</v>
      </c>
      <c r="Q2773">
        <f>YEAR(tblTransactions[[#This Row],[Date]])</f>
        <v>2024</v>
      </c>
      <c r="R2773" t="str">
        <f>TEXT(tblTransactions[[#This Row],[Date]],"DDDD")</f>
        <v>Monday</v>
      </c>
      <c r="S2773">
        <f>MONTH(tblTransactions[[#This Row],[Date]])</f>
        <v>8</v>
      </c>
      <c r="T2773" t="str">
        <f>VLOOKUP(E2773, Products!$A:$B,2,0)</f>
        <v>Routers Tec-1</v>
      </c>
      <c r="U2773" t="str">
        <f>VLOOKUP(E2773,Products!$A:$C,3,0)</f>
        <v>Technology</v>
      </c>
      <c r="V2773" t="str">
        <f>VLOOKUP(E2773,Products!$A:$D,4,0)</f>
        <v>Routers</v>
      </c>
      <c r="W2773" t="str">
        <f>VLOOKUP(D2773,Customers!$A:$C,3,0)</f>
        <v>Small Business</v>
      </c>
      <c r="X2773" t="str">
        <f>VLOOKUP(C2773,Sales_Representatives!$A:$B,2,0)</f>
        <v>Jessica Anderson</v>
      </c>
    </row>
    <row r="2774" spans="1:24" x14ac:dyDescent="0.3">
      <c r="A2774" t="s">
        <v>3808</v>
      </c>
      <c r="B2774" t="s">
        <v>3806</v>
      </c>
      <c r="C2774" t="s">
        <v>131</v>
      </c>
      <c r="D2774" t="s">
        <v>1478</v>
      </c>
      <c r="E2774" t="s">
        <v>159</v>
      </c>
      <c r="F2774">
        <v>6</v>
      </c>
      <c r="G2774">
        <v>78.09</v>
      </c>
      <c r="H2774">
        <v>0.11</v>
      </c>
      <c r="I2774" s="4">
        <v>417</v>
      </c>
      <c r="J2774" t="s">
        <v>44</v>
      </c>
      <c r="K2774" t="s">
        <v>39</v>
      </c>
      <c r="L2774" s="4">
        <f>VLOOKUP(tblTransactions[[#This Row],[Product_ID]],tblProducts[],5,FALSE)</f>
        <v>47.01</v>
      </c>
      <c r="M2774" s="4">
        <f>tblTransactions[[#This Row],[Total_Amount]]-(tblTransactions[[#This Row],[Cost_Prices]]*tblTransactions[[#This Row],[Quantity]]*(1-tblTransactions[[#This Row],[Discount]]))</f>
        <v>165.9666</v>
      </c>
      <c r="N2774" s="3">
        <f>tblTransactions[[#This Row],[Profit]]/tblTransactions[[#This Row],[Total_Amount]]</f>
        <v>0.39800143884892086</v>
      </c>
      <c r="O2774" t="str">
        <f>TEXT(tblTransactions[[#This Row],[Date]], "MMM-YYYY")</f>
        <v>Aug-2024</v>
      </c>
      <c r="P2774" t="str">
        <f>"Q"&amp;ROUNDUP(MONTH(tblTransactions[[#This Row],[Date]])/3,0)&amp;"-"&amp;YEAR(tblTransactions[[#This Row],[Date]])</f>
        <v>Q3-2024</v>
      </c>
      <c r="Q2774">
        <f>YEAR(tblTransactions[[#This Row],[Date]])</f>
        <v>2024</v>
      </c>
      <c r="R2774" t="str">
        <f>TEXT(tblTransactions[[#This Row],[Date]],"DDDD")</f>
        <v>Monday</v>
      </c>
      <c r="S2774">
        <f>MONTH(tblTransactions[[#This Row],[Date]])</f>
        <v>8</v>
      </c>
      <c r="T2774" t="str">
        <f>VLOOKUP(E2774, Products!$A:$B,2,0)</f>
        <v>Cables Acc-4</v>
      </c>
      <c r="U2774" t="str">
        <f>VLOOKUP(E2774,Products!$A:$C,3,0)</f>
        <v>Accessories</v>
      </c>
      <c r="V2774" t="str">
        <f>VLOOKUP(E2774,Products!$A:$D,4,0)</f>
        <v>Cables</v>
      </c>
      <c r="W2774" t="str">
        <f>VLOOKUP(D2774,Customers!$A:$C,3,0)</f>
        <v>Small Business</v>
      </c>
      <c r="X2774" t="str">
        <f>VLOOKUP(C2774,Sales_Representatives!$A:$B,2,0)</f>
        <v>Michael Davis</v>
      </c>
    </row>
    <row r="2775" spans="1:24" x14ac:dyDescent="0.3">
      <c r="A2775" t="s">
        <v>3809</v>
      </c>
      <c r="B2775" t="s">
        <v>3806</v>
      </c>
      <c r="C2775" t="s">
        <v>131</v>
      </c>
      <c r="D2775" t="s">
        <v>1481</v>
      </c>
      <c r="E2775" t="s">
        <v>87</v>
      </c>
      <c r="F2775">
        <v>9</v>
      </c>
      <c r="G2775">
        <v>1047.8900000000001</v>
      </c>
      <c r="H2775">
        <v>0.13</v>
      </c>
      <c r="I2775" s="4">
        <v>8204.98</v>
      </c>
      <c r="J2775" t="s">
        <v>44</v>
      </c>
      <c r="K2775" t="s">
        <v>35</v>
      </c>
      <c r="L2775" s="4">
        <f>VLOOKUP(tblTransactions[[#This Row],[Product_ID]],tblProducts[],5,FALSE)</f>
        <v>742.63</v>
      </c>
      <c r="M2775" s="4">
        <f>tblTransactions[[#This Row],[Total_Amount]]-(tblTransactions[[#This Row],[Cost_Prices]]*tblTransactions[[#This Row],[Quantity]]*(1-tblTransactions[[#This Row],[Discount]]))</f>
        <v>2390.1870999999992</v>
      </c>
      <c r="N2775" s="3">
        <f>tblTransactions[[#This Row],[Profit]]/tblTransactions[[#This Row],[Total_Amount]]</f>
        <v>0.29130931458699466</v>
      </c>
      <c r="O2775" t="str">
        <f>TEXT(tblTransactions[[#This Row],[Date]], "MMM-YYYY")</f>
        <v>Aug-2024</v>
      </c>
      <c r="P2775" t="str">
        <f>"Q"&amp;ROUNDUP(MONTH(tblTransactions[[#This Row],[Date]])/3,0)&amp;"-"&amp;YEAR(tblTransactions[[#This Row],[Date]])</f>
        <v>Q3-2024</v>
      </c>
      <c r="Q2775">
        <f>YEAR(tblTransactions[[#This Row],[Date]])</f>
        <v>2024</v>
      </c>
      <c r="R2775" t="str">
        <f>TEXT(tblTransactions[[#This Row],[Date]],"DDDD")</f>
        <v>Monday</v>
      </c>
      <c r="S2775">
        <f>MONTH(tblTransactions[[#This Row],[Date]])</f>
        <v>8</v>
      </c>
      <c r="T2775" t="str">
        <f>VLOOKUP(E2775, Products!$A:$B,2,0)</f>
        <v>Monitors Tec-2</v>
      </c>
      <c r="U2775" t="str">
        <f>VLOOKUP(E2775,Products!$A:$C,3,0)</f>
        <v>Technology</v>
      </c>
      <c r="V2775" t="str">
        <f>VLOOKUP(E2775,Products!$A:$D,4,0)</f>
        <v>Monitors</v>
      </c>
      <c r="W2775" t="str">
        <f>VLOOKUP(D2775,Customers!$A:$C,3,0)</f>
        <v>B2B</v>
      </c>
      <c r="X2775" t="str">
        <f>VLOOKUP(C2775,Sales_Representatives!$A:$B,2,0)</f>
        <v>Michael Davis</v>
      </c>
    </row>
    <row r="2776" spans="1:24" x14ac:dyDescent="0.3">
      <c r="A2776" t="s">
        <v>3810</v>
      </c>
      <c r="B2776" t="s">
        <v>3811</v>
      </c>
      <c r="C2776" t="s">
        <v>82</v>
      </c>
      <c r="D2776" t="s">
        <v>1573</v>
      </c>
      <c r="E2776" t="s">
        <v>29</v>
      </c>
      <c r="F2776">
        <v>3</v>
      </c>
      <c r="G2776">
        <v>1363.46</v>
      </c>
      <c r="H2776">
        <v>7.0000000000000007E-2</v>
      </c>
      <c r="I2776" s="4">
        <v>3804.05</v>
      </c>
      <c r="J2776" t="s">
        <v>34</v>
      </c>
      <c r="K2776" t="s">
        <v>39</v>
      </c>
      <c r="L2776" s="4">
        <f>VLOOKUP(tblTransactions[[#This Row],[Product_ID]],tblProducts[],5,FALSE)</f>
        <v>995.41</v>
      </c>
      <c r="M2776" s="4">
        <f>tblTransactions[[#This Row],[Total_Amount]]-(tblTransactions[[#This Row],[Cost_Prices]]*tblTransactions[[#This Row],[Quantity]]*(1-tblTransactions[[#This Row],[Discount]]))</f>
        <v>1026.8561000000004</v>
      </c>
      <c r="N2776" s="3">
        <f>tblTransactions[[#This Row],[Profit]]/tblTransactions[[#This Row],[Total_Amount]]</f>
        <v>0.26993759282869584</v>
      </c>
      <c r="O2776" t="str">
        <f>TEXT(tblTransactions[[#This Row],[Date]], "MMM-YYYY")</f>
        <v>Aug-2024</v>
      </c>
      <c r="P2776" t="str">
        <f>"Q"&amp;ROUNDUP(MONTH(tblTransactions[[#This Row],[Date]])/3,0)&amp;"-"&amp;YEAR(tblTransactions[[#This Row],[Date]])</f>
        <v>Q3-2024</v>
      </c>
      <c r="Q2776">
        <f>YEAR(tblTransactions[[#This Row],[Date]])</f>
        <v>2024</v>
      </c>
      <c r="R2776" t="str">
        <f>TEXT(tblTransactions[[#This Row],[Date]],"DDDD")</f>
        <v>Tuesday</v>
      </c>
      <c r="S2776">
        <f>MONTH(tblTransactions[[#This Row],[Date]])</f>
        <v>8</v>
      </c>
      <c r="T2776" t="str">
        <f>VLOOKUP(E2776, Products!$A:$B,2,0)</f>
        <v>Phones Ele-3</v>
      </c>
      <c r="U2776" t="str">
        <f>VLOOKUP(E2776,Products!$A:$C,3,0)</f>
        <v>Electronics</v>
      </c>
      <c r="V2776" t="str">
        <f>VLOOKUP(E2776,Products!$A:$D,4,0)</f>
        <v>Phones</v>
      </c>
      <c r="W2776" t="str">
        <f>VLOOKUP(D2776,Customers!$A:$C,3,0)</f>
        <v>Small Business</v>
      </c>
      <c r="X2776" t="str">
        <f>VLOOKUP(C2776,Sales_Representatives!$A:$B,2,0)</f>
        <v>John Brown</v>
      </c>
    </row>
    <row r="2777" spans="1:24" x14ac:dyDescent="0.3">
      <c r="A2777" t="s">
        <v>3812</v>
      </c>
      <c r="B2777" t="s">
        <v>3811</v>
      </c>
      <c r="C2777" t="s">
        <v>70</v>
      </c>
      <c r="D2777" t="s">
        <v>124</v>
      </c>
      <c r="E2777" t="s">
        <v>87</v>
      </c>
      <c r="F2777">
        <v>9</v>
      </c>
      <c r="G2777">
        <v>1047.8900000000001</v>
      </c>
      <c r="H2777">
        <v>0.14000000000000001</v>
      </c>
      <c r="I2777" s="4">
        <v>8110.67</v>
      </c>
      <c r="J2777" t="s">
        <v>16</v>
      </c>
      <c r="K2777" t="s">
        <v>22</v>
      </c>
      <c r="L2777" s="4">
        <f>VLOOKUP(tblTransactions[[#This Row],[Product_ID]],tblProducts[],5,FALSE)</f>
        <v>742.63</v>
      </c>
      <c r="M2777" s="4">
        <f>tblTransactions[[#This Row],[Total_Amount]]-(tblTransactions[[#This Row],[Cost_Prices]]*tblTransactions[[#This Row],[Quantity]]*(1-tblTransactions[[#This Row],[Discount]]))</f>
        <v>2362.7138000000004</v>
      </c>
      <c r="N2777" s="3">
        <f>tblTransactions[[#This Row],[Profit]]/tblTransactions[[#This Row],[Total_Amount]]</f>
        <v>0.29130932463039433</v>
      </c>
      <c r="O2777" t="str">
        <f>TEXT(tblTransactions[[#This Row],[Date]], "MMM-YYYY")</f>
        <v>Aug-2024</v>
      </c>
      <c r="P2777" t="str">
        <f>"Q"&amp;ROUNDUP(MONTH(tblTransactions[[#This Row],[Date]])/3,0)&amp;"-"&amp;YEAR(tblTransactions[[#This Row],[Date]])</f>
        <v>Q3-2024</v>
      </c>
      <c r="Q2777">
        <f>YEAR(tblTransactions[[#This Row],[Date]])</f>
        <v>2024</v>
      </c>
      <c r="R2777" t="str">
        <f>TEXT(tblTransactions[[#This Row],[Date]],"DDDD")</f>
        <v>Tuesday</v>
      </c>
      <c r="S2777">
        <f>MONTH(tblTransactions[[#This Row],[Date]])</f>
        <v>8</v>
      </c>
      <c r="T2777" t="str">
        <f>VLOOKUP(E2777, Products!$A:$B,2,0)</f>
        <v>Monitors Tec-2</v>
      </c>
      <c r="U2777" t="str">
        <f>VLOOKUP(E2777,Products!$A:$C,3,0)</f>
        <v>Technology</v>
      </c>
      <c r="V2777" t="str">
        <f>VLOOKUP(E2777,Products!$A:$D,4,0)</f>
        <v>Monitors</v>
      </c>
      <c r="W2777" t="str">
        <f>VLOOKUP(D2777,Customers!$A:$C,3,0)</f>
        <v>B2B</v>
      </c>
      <c r="X2777" t="str">
        <f>VLOOKUP(C2777,Sales_Representatives!$A:$B,2,0)</f>
        <v>Linda Smith</v>
      </c>
    </row>
    <row r="2778" spans="1:24" x14ac:dyDescent="0.3">
      <c r="A2778" t="s">
        <v>3813</v>
      </c>
      <c r="B2778" t="s">
        <v>3811</v>
      </c>
      <c r="C2778" t="s">
        <v>13</v>
      </c>
      <c r="D2778" t="s">
        <v>2466</v>
      </c>
      <c r="E2778" t="s">
        <v>178</v>
      </c>
      <c r="F2778">
        <v>5</v>
      </c>
      <c r="G2778">
        <v>1623.35</v>
      </c>
      <c r="H2778">
        <v>7.0000000000000007E-2</v>
      </c>
      <c r="I2778" s="4">
        <v>7548.58</v>
      </c>
      <c r="J2778" t="s">
        <v>16</v>
      </c>
      <c r="K2778" t="s">
        <v>17</v>
      </c>
      <c r="L2778" s="4">
        <f>VLOOKUP(tblTransactions[[#This Row],[Product_ID]],tblProducts[],5,FALSE)</f>
        <v>981.45</v>
      </c>
      <c r="M2778" s="4">
        <f>tblTransactions[[#This Row],[Total_Amount]]-(tblTransactions[[#This Row],[Cost_Prices]]*tblTransactions[[#This Row],[Quantity]]*(1-tblTransactions[[#This Row],[Discount]]))</f>
        <v>2984.8375000000005</v>
      </c>
      <c r="N2778" s="3">
        <f>tblTransactions[[#This Row],[Profit]]/tblTransactions[[#This Row],[Total_Amount]]</f>
        <v>0.39541708506765516</v>
      </c>
      <c r="O2778" t="str">
        <f>TEXT(tblTransactions[[#This Row],[Date]], "MMM-YYYY")</f>
        <v>Aug-2024</v>
      </c>
      <c r="P2778" t="str">
        <f>"Q"&amp;ROUNDUP(MONTH(tblTransactions[[#This Row],[Date]])/3,0)&amp;"-"&amp;YEAR(tblTransactions[[#This Row],[Date]])</f>
        <v>Q3-2024</v>
      </c>
      <c r="Q2778">
        <f>YEAR(tblTransactions[[#This Row],[Date]])</f>
        <v>2024</v>
      </c>
      <c r="R2778" t="str">
        <f>TEXT(tblTransactions[[#This Row],[Date]],"DDDD")</f>
        <v>Tuesday</v>
      </c>
      <c r="S2778">
        <f>MONTH(tblTransactions[[#This Row],[Date]])</f>
        <v>8</v>
      </c>
      <c r="T2778" t="str">
        <f>VLOOKUP(E2778, Products!$A:$B,2,0)</f>
        <v>Tablets Ele-1</v>
      </c>
      <c r="U2778" t="str">
        <f>VLOOKUP(E2778,Products!$A:$C,3,0)</f>
        <v>Electronics</v>
      </c>
      <c r="V2778" t="str">
        <f>VLOOKUP(E2778,Products!$A:$D,4,0)</f>
        <v>Tablets</v>
      </c>
      <c r="W2778" t="str">
        <f>VLOOKUP(D2778,Customers!$A:$C,3,0)</f>
        <v>B2C</v>
      </c>
      <c r="X2778" t="str">
        <f>VLOOKUP(C2778,Sales_Representatives!$A:$B,2,0)</f>
        <v>Jennifer Rodriguez</v>
      </c>
    </row>
    <row r="2779" spans="1:24" x14ac:dyDescent="0.3">
      <c r="A2779" t="s">
        <v>3814</v>
      </c>
      <c r="B2779" t="s">
        <v>3811</v>
      </c>
      <c r="C2779" t="s">
        <v>70</v>
      </c>
      <c r="D2779" t="s">
        <v>1520</v>
      </c>
      <c r="E2779" t="s">
        <v>113</v>
      </c>
      <c r="F2779">
        <v>3</v>
      </c>
      <c r="G2779">
        <v>930.41</v>
      </c>
      <c r="H2779">
        <v>0.06</v>
      </c>
      <c r="I2779" s="4">
        <v>2623.76</v>
      </c>
      <c r="J2779" t="s">
        <v>16</v>
      </c>
      <c r="K2779" t="s">
        <v>48</v>
      </c>
      <c r="L2779" s="4">
        <f>VLOOKUP(tblTransactions[[#This Row],[Product_ID]],tblProducts[],5,FALSE)</f>
        <v>595.51</v>
      </c>
      <c r="M2779" s="4">
        <f>tblTransactions[[#This Row],[Total_Amount]]-(tblTransactions[[#This Row],[Cost_Prices]]*tblTransactions[[#This Row],[Quantity]]*(1-tblTransactions[[#This Row],[Discount]]))</f>
        <v>944.4218000000003</v>
      </c>
      <c r="N2779" s="3">
        <f>tblTransactions[[#This Row],[Profit]]/tblTransactions[[#This Row],[Total_Amount]]</f>
        <v>0.35994976674695867</v>
      </c>
      <c r="O2779" t="str">
        <f>TEXT(tblTransactions[[#This Row],[Date]], "MMM-YYYY")</f>
        <v>Aug-2024</v>
      </c>
      <c r="P2779" t="str">
        <f>"Q"&amp;ROUNDUP(MONTH(tblTransactions[[#This Row],[Date]])/3,0)&amp;"-"&amp;YEAR(tblTransactions[[#This Row],[Date]])</f>
        <v>Q3-2024</v>
      </c>
      <c r="Q2779">
        <f>YEAR(tblTransactions[[#This Row],[Date]])</f>
        <v>2024</v>
      </c>
      <c r="R2779" t="str">
        <f>TEXT(tblTransactions[[#This Row],[Date]],"DDDD")</f>
        <v>Tuesday</v>
      </c>
      <c r="S2779">
        <f>MONTH(tblTransactions[[#This Row],[Date]])</f>
        <v>8</v>
      </c>
      <c r="T2779" t="str">
        <f>VLOOKUP(E2779, Products!$A:$B,2,0)</f>
        <v>Phones Ele-1</v>
      </c>
      <c r="U2779" t="str">
        <f>VLOOKUP(E2779,Products!$A:$C,3,0)</f>
        <v>Electronics</v>
      </c>
      <c r="V2779" t="str">
        <f>VLOOKUP(E2779,Products!$A:$D,4,0)</f>
        <v>Phones</v>
      </c>
      <c r="W2779" t="str">
        <f>VLOOKUP(D2779,Customers!$A:$C,3,0)</f>
        <v>B2C</v>
      </c>
      <c r="X2779" t="str">
        <f>VLOOKUP(C2779,Sales_Representatives!$A:$B,2,0)</f>
        <v>Linda Smith</v>
      </c>
    </row>
    <row r="2780" spans="1:24" x14ac:dyDescent="0.3">
      <c r="A2780" t="s">
        <v>3815</v>
      </c>
      <c r="B2780" t="s">
        <v>3816</v>
      </c>
      <c r="C2780" t="s">
        <v>59</v>
      </c>
      <c r="D2780" t="s">
        <v>124</v>
      </c>
      <c r="E2780" t="s">
        <v>89</v>
      </c>
      <c r="F2780">
        <v>9</v>
      </c>
      <c r="G2780">
        <v>555.08000000000004</v>
      </c>
      <c r="H2780">
        <v>0.13</v>
      </c>
      <c r="I2780" s="4">
        <v>4346.28</v>
      </c>
      <c r="J2780" t="s">
        <v>21</v>
      </c>
      <c r="K2780" t="s">
        <v>48</v>
      </c>
      <c r="L2780" s="4">
        <f>VLOOKUP(tblTransactions[[#This Row],[Product_ID]],tblProducts[],5,FALSE)</f>
        <v>402.82</v>
      </c>
      <c r="M2780" s="4">
        <f>tblTransactions[[#This Row],[Total_Amount]]-(tblTransactions[[#This Row],[Cost_Prices]]*tblTransactions[[#This Row],[Quantity]]*(1-tblTransactions[[#This Row],[Discount]]))</f>
        <v>1192.1993999999995</v>
      </c>
      <c r="N2780" s="3">
        <f>tblTransactions[[#This Row],[Profit]]/tblTransactions[[#This Row],[Total_Amount]]</f>
        <v>0.27430340429056566</v>
      </c>
      <c r="O2780" t="str">
        <f>TEXT(tblTransactions[[#This Row],[Date]], "MMM-YYYY")</f>
        <v>Aug-2024</v>
      </c>
      <c r="P2780" t="str">
        <f>"Q"&amp;ROUNDUP(MONTH(tblTransactions[[#This Row],[Date]])/3,0)&amp;"-"&amp;YEAR(tblTransactions[[#This Row],[Date]])</f>
        <v>Q3-2024</v>
      </c>
      <c r="Q2780">
        <f>YEAR(tblTransactions[[#This Row],[Date]])</f>
        <v>2024</v>
      </c>
      <c r="R2780" t="str">
        <f>TEXT(tblTransactions[[#This Row],[Date]],"DDDD")</f>
        <v>Wednesday</v>
      </c>
      <c r="S2780">
        <f>MONTH(tblTransactions[[#This Row],[Date]])</f>
        <v>8</v>
      </c>
      <c r="T2780" t="str">
        <f>VLOOKUP(E2780, Products!$A:$B,2,0)</f>
        <v>Laptops Ele-3</v>
      </c>
      <c r="U2780" t="str">
        <f>VLOOKUP(E2780,Products!$A:$C,3,0)</f>
        <v>Electronics</v>
      </c>
      <c r="V2780" t="str">
        <f>VLOOKUP(E2780,Products!$A:$D,4,0)</f>
        <v>Laptops</v>
      </c>
      <c r="W2780" t="str">
        <f>VLOOKUP(D2780,Customers!$A:$C,3,0)</f>
        <v>B2B</v>
      </c>
      <c r="X2780" t="str">
        <f>VLOOKUP(C2780,Sales_Representatives!$A:$B,2,0)</f>
        <v>Sarah Brown</v>
      </c>
    </row>
    <row r="2781" spans="1:24" x14ac:dyDescent="0.3">
      <c r="A2781" t="s">
        <v>3817</v>
      </c>
      <c r="B2781" t="s">
        <v>3816</v>
      </c>
      <c r="C2781" t="s">
        <v>56</v>
      </c>
      <c r="D2781" t="s">
        <v>3533</v>
      </c>
      <c r="E2781" t="s">
        <v>224</v>
      </c>
      <c r="F2781">
        <v>1</v>
      </c>
      <c r="G2781">
        <v>505.37</v>
      </c>
      <c r="H2781">
        <v>0.04</v>
      </c>
      <c r="I2781" s="4">
        <v>485.16</v>
      </c>
      <c r="J2781" t="s">
        <v>34</v>
      </c>
      <c r="K2781" t="s">
        <v>35</v>
      </c>
      <c r="L2781" s="4">
        <f>VLOOKUP(tblTransactions[[#This Row],[Product_ID]],tblProducts[],5,FALSE)</f>
        <v>281.14999999999998</v>
      </c>
      <c r="M2781" s="4">
        <f>tblTransactions[[#This Row],[Total_Amount]]-(tblTransactions[[#This Row],[Cost_Prices]]*tblTransactions[[#This Row],[Quantity]]*(1-tblTransactions[[#This Row],[Discount]]))</f>
        <v>215.25600000000003</v>
      </c>
      <c r="N2781" s="3">
        <f>tblTransactions[[#This Row],[Profit]]/tblTransactions[[#This Row],[Total_Amount]]</f>
        <v>0.44368043532030677</v>
      </c>
      <c r="O2781" t="str">
        <f>TEXT(tblTransactions[[#This Row],[Date]], "MMM-YYYY")</f>
        <v>Aug-2024</v>
      </c>
      <c r="P2781" t="str">
        <f>"Q"&amp;ROUNDUP(MONTH(tblTransactions[[#This Row],[Date]])/3,0)&amp;"-"&amp;YEAR(tblTransactions[[#This Row],[Date]])</f>
        <v>Q3-2024</v>
      </c>
      <c r="Q2781">
        <f>YEAR(tblTransactions[[#This Row],[Date]])</f>
        <v>2024</v>
      </c>
      <c r="R2781" t="str">
        <f>TEXT(tblTransactions[[#This Row],[Date]],"DDDD")</f>
        <v>Wednesday</v>
      </c>
      <c r="S2781">
        <f>MONTH(tblTransactions[[#This Row],[Date]])</f>
        <v>8</v>
      </c>
      <c r="T2781" t="str">
        <f>VLOOKUP(E2781, Products!$A:$B,2,0)</f>
        <v>Desks Fur-3</v>
      </c>
      <c r="U2781" t="str">
        <f>VLOOKUP(E2781,Products!$A:$C,3,0)</f>
        <v>Furniture</v>
      </c>
      <c r="V2781" t="str">
        <f>VLOOKUP(E2781,Products!$A:$D,4,0)</f>
        <v>Desks</v>
      </c>
      <c r="W2781" t="str">
        <f>VLOOKUP(D2781,Customers!$A:$C,3,0)</f>
        <v>B2C</v>
      </c>
      <c r="X2781" t="str">
        <f>VLOOKUP(C2781,Sales_Representatives!$A:$B,2,0)</f>
        <v>Thomas Hernandez</v>
      </c>
    </row>
    <row r="2782" spans="1:24" x14ac:dyDescent="0.3">
      <c r="A2782" t="s">
        <v>3818</v>
      </c>
      <c r="B2782" t="s">
        <v>3816</v>
      </c>
      <c r="C2782" t="s">
        <v>107</v>
      </c>
      <c r="D2782" t="s">
        <v>1681</v>
      </c>
      <c r="E2782" t="s">
        <v>121</v>
      </c>
      <c r="F2782">
        <v>3</v>
      </c>
      <c r="G2782">
        <v>183.9</v>
      </c>
      <c r="H2782">
        <v>0.05</v>
      </c>
      <c r="I2782" s="4">
        <v>524.12</v>
      </c>
      <c r="J2782" t="s">
        <v>109</v>
      </c>
      <c r="K2782" t="s">
        <v>39</v>
      </c>
      <c r="L2782" s="4">
        <f>VLOOKUP(tblTransactions[[#This Row],[Product_ID]],tblProducts[],5,FALSE)</f>
        <v>116.83</v>
      </c>
      <c r="M2782" s="4">
        <f>tblTransactions[[#This Row],[Total_Amount]]-(tblTransactions[[#This Row],[Cost_Prices]]*tblTransactions[[#This Row],[Quantity]]*(1-tblTransactions[[#This Row],[Discount]]))</f>
        <v>191.15449999999998</v>
      </c>
      <c r="N2782" s="3">
        <f>tblTransactions[[#This Row],[Profit]]/tblTransactions[[#This Row],[Total_Amount]]</f>
        <v>0.36471514157063267</v>
      </c>
      <c r="O2782" t="str">
        <f>TEXT(tblTransactions[[#This Row],[Date]], "MMM-YYYY")</f>
        <v>Aug-2024</v>
      </c>
      <c r="P2782" t="str">
        <f>"Q"&amp;ROUNDUP(MONTH(tblTransactions[[#This Row],[Date]])/3,0)&amp;"-"&amp;YEAR(tblTransactions[[#This Row],[Date]])</f>
        <v>Q3-2024</v>
      </c>
      <c r="Q2782">
        <f>YEAR(tblTransactions[[#This Row],[Date]])</f>
        <v>2024</v>
      </c>
      <c r="R2782" t="str">
        <f>TEXT(tblTransactions[[#This Row],[Date]],"DDDD")</f>
        <v>Wednesday</v>
      </c>
      <c r="S2782">
        <f>MONTH(tblTransactions[[#This Row],[Date]])</f>
        <v>8</v>
      </c>
      <c r="T2782" t="str">
        <f>VLOOKUP(E2782, Products!$A:$B,2,0)</f>
        <v>Pens Off-3</v>
      </c>
      <c r="U2782" t="str">
        <f>VLOOKUP(E2782,Products!$A:$C,3,0)</f>
        <v>Office Supplies</v>
      </c>
      <c r="V2782" t="str">
        <f>VLOOKUP(E2782,Products!$A:$D,4,0)</f>
        <v>Pens</v>
      </c>
      <c r="W2782" t="str">
        <f>VLOOKUP(D2782,Customers!$A:$C,3,0)</f>
        <v>B2C</v>
      </c>
      <c r="X2782" t="str">
        <f>VLOOKUP(C2782,Sales_Representatives!$A:$B,2,0)</f>
        <v>Jennifer Brown</v>
      </c>
    </row>
    <row r="2783" spans="1:24" x14ac:dyDescent="0.3">
      <c r="A2783" t="s">
        <v>3819</v>
      </c>
      <c r="B2783" t="s">
        <v>3816</v>
      </c>
      <c r="C2783" t="s">
        <v>107</v>
      </c>
      <c r="D2783" t="s">
        <v>1646</v>
      </c>
      <c r="E2783" t="s">
        <v>105</v>
      </c>
      <c r="F2783">
        <v>6</v>
      </c>
      <c r="G2783">
        <v>1342.04</v>
      </c>
      <c r="H2783">
        <v>0.14000000000000001</v>
      </c>
      <c r="I2783" s="4">
        <v>6924.93</v>
      </c>
      <c r="J2783" t="s">
        <v>109</v>
      </c>
      <c r="K2783" t="s">
        <v>35</v>
      </c>
      <c r="L2783" s="4">
        <f>VLOOKUP(tblTransactions[[#This Row],[Product_ID]],tblProducts[],5,FALSE)</f>
        <v>792.89</v>
      </c>
      <c r="M2783" s="4">
        <f>tblTransactions[[#This Row],[Total_Amount]]-(tblTransactions[[#This Row],[Cost_Prices]]*tblTransactions[[#This Row],[Quantity]]*(1-tblTransactions[[#This Row],[Discount]]))</f>
        <v>2833.6176</v>
      </c>
      <c r="N2783" s="3">
        <f>tblTransactions[[#This Row],[Profit]]/tblTransactions[[#This Row],[Total_Amount]]</f>
        <v>0.40919079326433622</v>
      </c>
      <c r="O2783" t="str">
        <f>TEXT(tblTransactions[[#This Row],[Date]], "MMM-YYYY")</f>
        <v>Aug-2024</v>
      </c>
      <c r="P2783" t="str">
        <f>"Q"&amp;ROUNDUP(MONTH(tblTransactions[[#This Row],[Date]])/3,0)&amp;"-"&amp;YEAR(tblTransactions[[#This Row],[Date]])</f>
        <v>Q3-2024</v>
      </c>
      <c r="Q2783">
        <f>YEAR(tblTransactions[[#This Row],[Date]])</f>
        <v>2024</v>
      </c>
      <c r="R2783" t="str">
        <f>TEXT(tblTransactions[[#This Row],[Date]],"DDDD")</f>
        <v>Wednesday</v>
      </c>
      <c r="S2783">
        <f>MONTH(tblTransactions[[#This Row],[Date]])</f>
        <v>8</v>
      </c>
      <c r="T2783" t="str">
        <f>VLOOKUP(E2783, Products!$A:$B,2,0)</f>
        <v>Cameras Ele-1</v>
      </c>
      <c r="U2783" t="str">
        <f>VLOOKUP(E2783,Products!$A:$C,3,0)</f>
        <v>Electronics</v>
      </c>
      <c r="V2783" t="str">
        <f>VLOOKUP(E2783,Products!$A:$D,4,0)</f>
        <v>Cameras</v>
      </c>
      <c r="W2783" t="str">
        <f>VLOOKUP(D2783,Customers!$A:$C,3,0)</f>
        <v>B2B</v>
      </c>
      <c r="X2783" t="str">
        <f>VLOOKUP(C2783,Sales_Representatives!$A:$B,2,0)</f>
        <v>Jennifer Brown</v>
      </c>
    </row>
    <row r="2784" spans="1:24" x14ac:dyDescent="0.3">
      <c r="A2784" t="s">
        <v>3820</v>
      </c>
      <c r="B2784" t="s">
        <v>3821</v>
      </c>
      <c r="C2784" t="s">
        <v>31</v>
      </c>
      <c r="D2784" t="s">
        <v>2121</v>
      </c>
      <c r="E2784" t="s">
        <v>184</v>
      </c>
      <c r="F2784">
        <v>1</v>
      </c>
      <c r="G2784">
        <v>276.35000000000002</v>
      </c>
      <c r="H2784">
        <v>0.05</v>
      </c>
      <c r="I2784" s="4">
        <v>262.52999999999997</v>
      </c>
      <c r="J2784" t="s">
        <v>34</v>
      </c>
      <c r="K2784" t="s">
        <v>48</v>
      </c>
      <c r="L2784" s="4">
        <f>VLOOKUP(tblTransactions[[#This Row],[Product_ID]],tblProducts[],5,FALSE)</f>
        <v>130.15</v>
      </c>
      <c r="M2784" s="4">
        <f>tblTransactions[[#This Row],[Total_Amount]]-(tblTransactions[[#This Row],[Cost_Prices]]*tblTransactions[[#This Row],[Quantity]]*(1-tblTransactions[[#This Row],[Discount]]))</f>
        <v>138.88749999999999</v>
      </c>
      <c r="N2784" s="3">
        <f>tblTransactions[[#This Row],[Profit]]/tblTransactions[[#This Row],[Total_Amount]]</f>
        <v>0.52903477697786916</v>
      </c>
      <c r="O2784" t="str">
        <f>TEXT(tblTransactions[[#This Row],[Date]], "MMM-YYYY")</f>
        <v>Aug-2024</v>
      </c>
      <c r="P2784" t="str">
        <f>"Q"&amp;ROUNDUP(MONTH(tblTransactions[[#This Row],[Date]])/3,0)&amp;"-"&amp;YEAR(tblTransactions[[#This Row],[Date]])</f>
        <v>Q3-2024</v>
      </c>
      <c r="Q2784">
        <f>YEAR(tblTransactions[[#This Row],[Date]])</f>
        <v>2024</v>
      </c>
      <c r="R2784" t="str">
        <f>TEXT(tblTransactions[[#This Row],[Date]],"DDDD")</f>
        <v>Thursday</v>
      </c>
      <c r="S2784">
        <f>MONTH(tblTransactions[[#This Row],[Date]])</f>
        <v>8</v>
      </c>
      <c r="T2784" t="str">
        <f>VLOOKUP(E2784, Products!$A:$B,2,0)</f>
        <v>Binders Off-1</v>
      </c>
      <c r="U2784" t="str">
        <f>VLOOKUP(E2784,Products!$A:$C,3,0)</f>
        <v>Office Supplies</v>
      </c>
      <c r="V2784" t="str">
        <f>VLOOKUP(E2784,Products!$A:$D,4,0)</f>
        <v>Binders</v>
      </c>
      <c r="W2784" t="str">
        <f>VLOOKUP(D2784,Customers!$A:$C,3,0)</f>
        <v>B2C</v>
      </c>
      <c r="X2784" t="str">
        <f>VLOOKUP(C2784,Sales_Representatives!$A:$B,2,0)</f>
        <v>Thomas Martinez</v>
      </c>
    </row>
    <row r="2785" spans="1:24" x14ac:dyDescent="0.3">
      <c r="A2785" t="s">
        <v>3822</v>
      </c>
      <c r="B2785" t="s">
        <v>3821</v>
      </c>
      <c r="C2785" t="s">
        <v>27</v>
      </c>
      <c r="D2785" t="s">
        <v>2376</v>
      </c>
      <c r="E2785" t="s">
        <v>25</v>
      </c>
      <c r="F2785">
        <v>4</v>
      </c>
      <c r="G2785">
        <v>1467.49</v>
      </c>
      <c r="H2785">
        <v>0.03</v>
      </c>
      <c r="I2785" s="4">
        <v>5693.86</v>
      </c>
      <c r="J2785" t="s">
        <v>16</v>
      </c>
      <c r="K2785" t="s">
        <v>17</v>
      </c>
      <c r="L2785" s="4">
        <f>VLOOKUP(tblTransactions[[#This Row],[Product_ID]],tblProducts[],5,FALSE)</f>
        <v>757.65</v>
      </c>
      <c r="M2785" s="4">
        <f>tblTransactions[[#This Row],[Total_Amount]]-(tblTransactions[[#This Row],[Cost_Prices]]*tblTransactions[[#This Row],[Quantity]]*(1-tblTransactions[[#This Row],[Discount]]))</f>
        <v>2754.1779999999999</v>
      </c>
      <c r="N2785" s="3">
        <f>tblTransactions[[#This Row],[Profit]]/tblTransactions[[#This Row],[Total_Amount]]</f>
        <v>0.48371017200984923</v>
      </c>
      <c r="O2785" t="str">
        <f>TEXT(tblTransactions[[#This Row],[Date]], "MMM-YYYY")</f>
        <v>Aug-2024</v>
      </c>
      <c r="P2785" t="str">
        <f>"Q"&amp;ROUNDUP(MONTH(tblTransactions[[#This Row],[Date]])/3,0)&amp;"-"&amp;YEAR(tblTransactions[[#This Row],[Date]])</f>
        <v>Q3-2024</v>
      </c>
      <c r="Q2785">
        <f>YEAR(tblTransactions[[#This Row],[Date]])</f>
        <v>2024</v>
      </c>
      <c r="R2785" t="str">
        <f>TEXT(tblTransactions[[#This Row],[Date]],"DDDD")</f>
        <v>Thursday</v>
      </c>
      <c r="S2785">
        <f>MONTH(tblTransactions[[#This Row],[Date]])</f>
        <v>8</v>
      </c>
      <c r="T2785" t="str">
        <f>VLOOKUP(E2785, Products!$A:$B,2,0)</f>
        <v>Tables Fur-3</v>
      </c>
      <c r="U2785" t="str">
        <f>VLOOKUP(E2785,Products!$A:$C,3,0)</f>
        <v>Furniture</v>
      </c>
      <c r="V2785" t="str">
        <f>VLOOKUP(E2785,Products!$A:$D,4,0)</f>
        <v>Tables</v>
      </c>
      <c r="W2785" t="str">
        <f>VLOOKUP(D2785,Customers!$A:$C,3,0)</f>
        <v>B2C</v>
      </c>
      <c r="X2785" t="str">
        <f>VLOOKUP(C2785,Sales_Representatives!$A:$B,2,0)</f>
        <v>Thomas Lopez</v>
      </c>
    </row>
    <row r="2786" spans="1:24" x14ac:dyDescent="0.3">
      <c r="A2786" t="s">
        <v>3823</v>
      </c>
      <c r="B2786" t="s">
        <v>3821</v>
      </c>
      <c r="C2786" t="s">
        <v>41</v>
      </c>
      <c r="D2786" t="s">
        <v>1441</v>
      </c>
      <c r="E2786" t="s">
        <v>148</v>
      </c>
      <c r="F2786">
        <v>7</v>
      </c>
      <c r="G2786">
        <v>20.420000000000002</v>
      </c>
      <c r="H2786">
        <v>0.05</v>
      </c>
      <c r="I2786" s="4">
        <v>135.79</v>
      </c>
      <c r="J2786" t="s">
        <v>44</v>
      </c>
      <c r="K2786" t="s">
        <v>35</v>
      </c>
      <c r="L2786" s="4">
        <f>VLOOKUP(tblTransactions[[#This Row],[Product_ID]],tblProducts[],5,FALSE)</f>
        <v>9.56</v>
      </c>
      <c r="M2786" s="4">
        <f>tblTransactions[[#This Row],[Total_Amount]]-(tblTransactions[[#This Row],[Cost_Prices]]*tblTransactions[[#This Row],[Quantity]]*(1-tblTransactions[[#This Row],[Discount]]))</f>
        <v>72.215999999999994</v>
      </c>
      <c r="N2786" s="3">
        <f>tblTransactions[[#This Row],[Profit]]/tblTransactions[[#This Row],[Total_Amount]]</f>
        <v>0.53182119449149423</v>
      </c>
      <c r="O2786" t="str">
        <f>TEXT(tblTransactions[[#This Row],[Date]], "MMM-YYYY")</f>
        <v>Aug-2024</v>
      </c>
      <c r="P2786" t="str">
        <f>"Q"&amp;ROUNDUP(MONTH(tblTransactions[[#This Row],[Date]])/3,0)&amp;"-"&amp;YEAR(tblTransactions[[#This Row],[Date]])</f>
        <v>Q3-2024</v>
      </c>
      <c r="Q2786">
        <f>YEAR(tblTransactions[[#This Row],[Date]])</f>
        <v>2024</v>
      </c>
      <c r="R2786" t="str">
        <f>TEXT(tblTransactions[[#This Row],[Date]],"DDDD")</f>
        <v>Thursday</v>
      </c>
      <c r="S2786">
        <f>MONTH(tblTransactions[[#This Row],[Date]])</f>
        <v>8</v>
      </c>
      <c r="T2786" t="str">
        <f>VLOOKUP(E2786, Products!$A:$B,2,0)</f>
        <v>Cases Acc-3</v>
      </c>
      <c r="U2786" t="str">
        <f>VLOOKUP(E2786,Products!$A:$C,3,0)</f>
        <v>Accessories</v>
      </c>
      <c r="V2786" t="str">
        <f>VLOOKUP(E2786,Products!$A:$D,4,0)</f>
        <v>Cases</v>
      </c>
      <c r="W2786" t="str">
        <f>VLOOKUP(D2786,Customers!$A:$C,3,0)</f>
        <v>Small Business</v>
      </c>
      <c r="X2786" t="str">
        <f>VLOOKUP(C2786,Sales_Representatives!$A:$B,2,0)</f>
        <v>Robert Jones</v>
      </c>
    </row>
    <row r="2787" spans="1:24" x14ac:dyDescent="0.3">
      <c r="A2787" t="s">
        <v>3824</v>
      </c>
      <c r="B2787" t="s">
        <v>3821</v>
      </c>
      <c r="C2787" t="s">
        <v>141</v>
      </c>
      <c r="D2787" t="s">
        <v>1832</v>
      </c>
      <c r="E2787" t="s">
        <v>148</v>
      </c>
      <c r="F2787">
        <v>1</v>
      </c>
      <c r="G2787">
        <v>20.420000000000002</v>
      </c>
      <c r="H2787">
        <v>0.05</v>
      </c>
      <c r="I2787" s="4">
        <v>19.399999999999999</v>
      </c>
      <c r="J2787" t="s">
        <v>109</v>
      </c>
      <c r="K2787" t="s">
        <v>48</v>
      </c>
      <c r="L2787" s="4">
        <f>VLOOKUP(tblTransactions[[#This Row],[Product_ID]],tblProducts[],5,FALSE)</f>
        <v>9.56</v>
      </c>
      <c r="M2787" s="4">
        <f>tblTransactions[[#This Row],[Total_Amount]]-(tblTransactions[[#This Row],[Cost_Prices]]*tblTransactions[[#This Row],[Quantity]]*(1-tblTransactions[[#This Row],[Discount]]))</f>
        <v>10.317999999999998</v>
      </c>
      <c r="N2787" s="3">
        <f>tblTransactions[[#This Row],[Profit]]/tblTransactions[[#This Row],[Total_Amount]]</f>
        <v>0.53185567010309276</v>
      </c>
      <c r="O2787" t="str">
        <f>TEXT(tblTransactions[[#This Row],[Date]], "MMM-YYYY")</f>
        <v>Aug-2024</v>
      </c>
      <c r="P2787" t="str">
        <f>"Q"&amp;ROUNDUP(MONTH(tblTransactions[[#This Row],[Date]])/3,0)&amp;"-"&amp;YEAR(tblTransactions[[#This Row],[Date]])</f>
        <v>Q3-2024</v>
      </c>
      <c r="Q2787">
        <f>YEAR(tblTransactions[[#This Row],[Date]])</f>
        <v>2024</v>
      </c>
      <c r="R2787" t="str">
        <f>TEXT(tblTransactions[[#This Row],[Date]],"DDDD")</f>
        <v>Thursday</v>
      </c>
      <c r="S2787">
        <f>MONTH(tblTransactions[[#This Row],[Date]])</f>
        <v>8</v>
      </c>
      <c r="T2787" t="str">
        <f>VLOOKUP(E2787, Products!$A:$B,2,0)</f>
        <v>Cases Acc-3</v>
      </c>
      <c r="U2787" t="str">
        <f>VLOOKUP(E2787,Products!$A:$C,3,0)</f>
        <v>Accessories</v>
      </c>
      <c r="V2787" t="str">
        <f>VLOOKUP(E2787,Products!$A:$D,4,0)</f>
        <v>Cases</v>
      </c>
      <c r="W2787" t="str">
        <f>VLOOKUP(D2787,Customers!$A:$C,3,0)</f>
        <v>Small Business</v>
      </c>
      <c r="X2787" t="str">
        <f>VLOOKUP(C2787,Sales_Representatives!$A:$B,2,0)</f>
        <v>Richard Garcia</v>
      </c>
    </row>
    <row r="2788" spans="1:24" x14ac:dyDescent="0.3">
      <c r="A2788" t="s">
        <v>3825</v>
      </c>
      <c r="B2788" t="s">
        <v>3821</v>
      </c>
      <c r="C2788" t="s">
        <v>56</v>
      </c>
      <c r="D2788" t="s">
        <v>98</v>
      </c>
      <c r="E2788" t="s">
        <v>129</v>
      </c>
      <c r="F2788">
        <v>1</v>
      </c>
      <c r="G2788">
        <v>1283.71</v>
      </c>
      <c r="H2788">
        <v>0.02</v>
      </c>
      <c r="I2788" s="4">
        <v>1258.04</v>
      </c>
      <c r="J2788" t="s">
        <v>34</v>
      </c>
      <c r="K2788" t="s">
        <v>39</v>
      </c>
      <c r="L2788" s="4">
        <f>VLOOKUP(tblTransactions[[#This Row],[Product_ID]],tblProducts[],5,FALSE)</f>
        <v>970.14</v>
      </c>
      <c r="M2788" s="4">
        <f>tblTransactions[[#This Row],[Total_Amount]]-(tblTransactions[[#This Row],[Cost_Prices]]*tblTransactions[[#This Row],[Quantity]]*(1-tblTransactions[[#This Row],[Discount]]))</f>
        <v>307.30280000000005</v>
      </c>
      <c r="N2788" s="3">
        <f>tblTransactions[[#This Row],[Profit]]/tblTransactions[[#This Row],[Total_Amount]]</f>
        <v>0.24427108835967065</v>
      </c>
      <c r="O2788" t="str">
        <f>TEXT(tblTransactions[[#This Row],[Date]], "MMM-YYYY")</f>
        <v>Aug-2024</v>
      </c>
      <c r="P2788" t="str">
        <f>"Q"&amp;ROUNDUP(MONTH(tblTransactions[[#This Row],[Date]])/3,0)&amp;"-"&amp;YEAR(tblTransactions[[#This Row],[Date]])</f>
        <v>Q3-2024</v>
      </c>
      <c r="Q2788">
        <f>YEAR(tblTransactions[[#This Row],[Date]])</f>
        <v>2024</v>
      </c>
      <c r="R2788" t="str">
        <f>TEXT(tblTransactions[[#This Row],[Date]],"DDDD")</f>
        <v>Thursday</v>
      </c>
      <c r="S2788">
        <f>MONTH(tblTransactions[[#This Row],[Date]])</f>
        <v>8</v>
      </c>
      <c r="T2788" t="str">
        <f>VLOOKUP(E2788, Products!$A:$B,2,0)</f>
        <v>Cameras Ele-3</v>
      </c>
      <c r="U2788" t="str">
        <f>VLOOKUP(E2788,Products!$A:$C,3,0)</f>
        <v>Electronics</v>
      </c>
      <c r="V2788" t="str">
        <f>VLOOKUP(E2788,Products!$A:$D,4,0)</f>
        <v>Cameras</v>
      </c>
      <c r="W2788" t="str">
        <f>VLOOKUP(D2788,Customers!$A:$C,3,0)</f>
        <v>B2C</v>
      </c>
      <c r="X2788" t="str">
        <f>VLOOKUP(C2788,Sales_Representatives!$A:$B,2,0)</f>
        <v>Thomas Hernandez</v>
      </c>
    </row>
    <row r="2789" spans="1:24" x14ac:dyDescent="0.3">
      <c r="A2789" t="s">
        <v>3826</v>
      </c>
      <c r="B2789" t="s">
        <v>3827</v>
      </c>
      <c r="C2789" t="s">
        <v>59</v>
      </c>
      <c r="D2789" t="s">
        <v>2341</v>
      </c>
      <c r="E2789" t="s">
        <v>376</v>
      </c>
      <c r="F2789">
        <v>4</v>
      </c>
      <c r="G2789">
        <v>229.65</v>
      </c>
      <c r="H2789">
        <v>0.04</v>
      </c>
      <c r="I2789" s="4">
        <v>881.86</v>
      </c>
      <c r="J2789" t="s">
        <v>21</v>
      </c>
      <c r="K2789" t="s">
        <v>48</v>
      </c>
      <c r="L2789" s="4">
        <f>VLOOKUP(tblTransactions[[#This Row],[Product_ID]],tblProducts[],5,FALSE)</f>
        <v>96.84</v>
      </c>
      <c r="M2789" s="4">
        <f>tblTransactions[[#This Row],[Total_Amount]]-(tblTransactions[[#This Row],[Cost_Prices]]*tblTransactions[[#This Row],[Quantity]]*(1-tblTransactions[[#This Row],[Discount]]))</f>
        <v>509.99440000000004</v>
      </c>
      <c r="N2789" s="3">
        <f>tblTransactions[[#This Row],[Profit]]/tblTransactions[[#This Row],[Total_Amount]]</f>
        <v>0.57831673961853358</v>
      </c>
      <c r="O2789" t="str">
        <f>TEXT(tblTransactions[[#This Row],[Date]], "MMM-YYYY")</f>
        <v>Aug-2024</v>
      </c>
      <c r="P2789" t="str">
        <f>"Q"&amp;ROUNDUP(MONTH(tblTransactions[[#This Row],[Date]])/3,0)&amp;"-"&amp;YEAR(tblTransactions[[#This Row],[Date]])</f>
        <v>Q3-2024</v>
      </c>
      <c r="Q2789">
        <f>YEAR(tblTransactions[[#This Row],[Date]])</f>
        <v>2024</v>
      </c>
      <c r="R2789" t="str">
        <f>TEXT(tblTransactions[[#This Row],[Date]],"DDDD")</f>
        <v>Friday</v>
      </c>
      <c r="S2789">
        <f>MONTH(tblTransactions[[#This Row],[Date]])</f>
        <v>8</v>
      </c>
      <c r="T2789" t="str">
        <f>VLOOKUP(E2789, Products!$A:$B,2,0)</f>
        <v>Adapters Acc-2</v>
      </c>
      <c r="U2789" t="str">
        <f>VLOOKUP(E2789,Products!$A:$C,3,0)</f>
        <v>Accessories</v>
      </c>
      <c r="V2789" t="str">
        <f>VLOOKUP(E2789,Products!$A:$D,4,0)</f>
        <v>Adapters</v>
      </c>
      <c r="W2789" t="str">
        <f>VLOOKUP(D2789,Customers!$A:$C,3,0)</f>
        <v>B2C</v>
      </c>
      <c r="X2789" t="str">
        <f>VLOOKUP(C2789,Sales_Representatives!$A:$B,2,0)</f>
        <v>Sarah Brown</v>
      </c>
    </row>
    <row r="2790" spans="1:24" x14ac:dyDescent="0.3">
      <c r="A2790" t="s">
        <v>3828</v>
      </c>
      <c r="B2790" t="s">
        <v>3827</v>
      </c>
      <c r="C2790" t="s">
        <v>56</v>
      </c>
      <c r="D2790" t="s">
        <v>2119</v>
      </c>
      <c r="E2790" t="s">
        <v>255</v>
      </c>
      <c r="F2790">
        <v>18</v>
      </c>
      <c r="G2790">
        <v>1444.13</v>
      </c>
      <c r="H2790">
        <v>0.13</v>
      </c>
      <c r="I2790" s="4">
        <v>22615.08</v>
      </c>
      <c r="J2790" t="s">
        <v>34</v>
      </c>
      <c r="K2790" t="s">
        <v>48</v>
      </c>
      <c r="L2790" s="4">
        <f>VLOOKUP(tblTransactions[[#This Row],[Product_ID]],tblProducts[],5,FALSE)</f>
        <v>874.43</v>
      </c>
      <c r="M2790" s="4">
        <f>tblTransactions[[#This Row],[Total_Amount]]-(tblTransactions[[#This Row],[Cost_Prices]]*tblTransactions[[#This Row],[Quantity]]*(1-tblTransactions[[#This Row],[Discount]]))</f>
        <v>8921.5062000000016</v>
      </c>
      <c r="N2790" s="3">
        <f>tblTransactions[[#This Row],[Profit]]/tblTransactions[[#This Row],[Total_Amount]]</f>
        <v>0.39449368297613807</v>
      </c>
      <c r="O2790" t="str">
        <f>TEXT(tblTransactions[[#This Row],[Date]], "MMM-YYYY")</f>
        <v>Aug-2024</v>
      </c>
      <c r="P2790" t="str">
        <f>"Q"&amp;ROUNDUP(MONTH(tblTransactions[[#This Row],[Date]])/3,0)&amp;"-"&amp;YEAR(tblTransactions[[#This Row],[Date]])</f>
        <v>Q3-2024</v>
      </c>
      <c r="Q2790">
        <f>YEAR(tblTransactions[[#This Row],[Date]])</f>
        <v>2024</v>
      </c>
      <c r="R2790" t="str">
        <f>TEXT(tblTransactions[[#This Row],[Date]],"DDDD")</f>
        <v>Friday</v>
      </c>
      <c r="S2790">
        <f>MONTH(tblTransactions[[#This Row],[Date]])</f>
        <v>8</v>
      </c>
      <c r="T2790" t="str">
        <f>VLOOKUP(E2790, Products!$A:$B,2,0)</f>
        <v>Printers Tec-1</v>
      </c>
      <c r="U2790" t="str">
        <f>VLOOKUP(E2790,Products!$A:$C,3,0)</f>
        <v>Technology</v>
      </c>
      <c r="V2790" t="str">
        <f>VLOOKUP(E2790,Products!$A:$D,4,0)</f>
        <v>Printers</v>
      </c>
      <c r="W2790" t="str">
        <f>VLOOKUP(D2790,Customers!$A:$C,3,0)</f>
        <v>B2B</v>
      </c>
      <c r="X2790" t="str">
        <f>VLOOKUP(C2790,Sales_Representatives!$A:$B,2,0)</f>
        <v>Thomas Hernandez</v>
      </c>
    </row>
    <row r="2791" spans="1:24" x14ac:dyDescent="0.3">
      <c r="A2791" t="s">
        <v>3829</v>
      </c>
      <c r="B2791" t="s">
        <v>3827</v>
      </c>
      <c r="C2791" t="s">
        <v>127</v>
      </c>
      <c r="D2791" t="s">
        <v>1658</v>
      </c>
      <c r="E2791" t="s">
        <v>450</v>
      </c>
      <c r="F2791">
        <v>32</v>
      </c>
      <c r="G2791">
        <v>2083.92</v>
      </c>
      <c r="H2791">
        <v>0.22</v>
      </c>
      <c r="I2791" s="4">
        <v>52014.64</v>
      </c>
      <c r="J2791" t="s">
        <v>109</v>
      </c>
      <c r="K2791" t="s">
        <v>39</v>
      </c>
      <c r="L2791" s="4">
        <f>VLOOKUP(tblTransactions[[#This Row],[Product_ID]],tblProducts[],5,FALSE)</f>
        <v>1425.78</v>
      </c>
      <c r="M2791" s="4">
        <f>tblTransactions[[#This Row],[Total_Amount]]-(tblTransactions[[#This Row],[Cost_Prices]]*tblTransactions[[#This Row],[Quantity]]*(1-tblTransactions[[#This Row],[Discount]]))</f>
        <v>16427.171199999997</v>
      </c>
      <c r="N2791" s="3">
        <f>tblTransactions[[#This Row],[Profit]]/tblTransactions[[#This Row],[Total_Amount]]</f>
        <v>0.31581822348477268</v>
      </c>
      <c r="O2791" t="str">
        <f>TEXT(tblTransactions[[#This Row],[Date]], "MMM-YYYY")</f>
        <v>Aug-2024</v>
      </c>
      <c r="P2791" t="str">
        <f>"Q"&amp;ROUNDUP(MONTH(tblTransactions[[#This Row],[Date]])/3,0)&amp;"-"&amp;YEAR(tblTransactions[[#This Row],[Date]])</f>
        <v>Q3-2024</v>
      </c>
      <c r="Q2791">
        <f>YEAR(tblTransactions[[#This Row],[Date]])</f>
        <v>2024</v>
      </c>
      <c r="R2791" t="str">
        <f>TEXT(tblTransactions[[#This Row],[Date]],"DDDD")</f>
        <v>Friday</v>
      </c>
      <c r="S2791">
        <f>MONTH(tblTransactions[[#This Row],[Date]])</f>
        <v>8</v>
      </c>
      <c r="T2791" t="str">
        <f>VLOOKUP(E2791, Products!$A:$B,2,0)</f>
        <v>Monitors Tec-4</v>
      </c>
      <c r="U2791" t="str">
        <f>VLOOKUP(E2791,Products!$A:$C,3,0)</f>
        <v>Technology</v>
      </c>
      <c r="V2791" t="str">
        <f>VLOOKUP(E2791,Products!$A:$D,4,0)</f>
        <v>Monitors</v>
      </c>
      <c r="W2791" t="str">
        <f>VLOOKUP(D2791,Customers!$A:$C,3,0)</f>
        <v>Enterprise</v>
      </c>
      <c r="X2791" t="str">
        <f>VLOOKUP(C2791,Sales_Representatives!$A:$B,2,0)</f>
        <v>Emily Hernandez</v>
      </c>
    </row>
    <row r="2792" spans="1:24" x14ac:dyDescent="0.3">
      <c r="A2792" t="s">
        <v>3830</v>
      </c>
      <c r="B2792" t="s">
        <v>3827</v>
      </c>
      <c r="C2792" t="s">
        <v>127</v>
      </c>
      <c r="D2792" t="s">
        <v>2671</v>
      </c>
      <c r="E2792" t="s">
        <v>324</v>
      </c>
      <c r="F2792">
        <v>2</v>
      </c>
      <c r="G2792">
        <v>245.76</v>
      </c>
      <c r="H2792">
        <v>0.03</v>
      </c>
      <c r="I2792" s="4">
        <v>476.77</v>
      </c>
      <c r="J2792" t="s">
        <v>109</v>
      </c>
      <c r="K2792" t="s">
        <v>17</v>
      </c>
      <c r="L2792" s="4">
        <f>VLOOKUP(tblTransactions[[#This Row],[Product_ID]],tblProducts[],5,FALSE)</f>
        <v>161.94</v>
      </c>
      <c r="M2792" s="4">
        <f>tblTransactions[[#This Row],[Total_Amount]]-(tblTransactions[[#This Row],[Cost_Prices]]*tblTransactions[[#This Row],[Quantity]]*(1-tblTransactions[[#This Row],[Discount]]))</f>
        <v>162.60640000000001</v>
      </c>
      <c r="N2792" s="3">
        <f>tblTransactions[[#This Row],[Profit]]/tblTransactions[[#This Row],[Total_Amount]]</f>
        <v>0.3410583719613231</v>
      </c>
      <c r="O2792" t="str">
        <f>TEXT(tblTransactions[[#This Row],[Date]], "MMM-YYYY")</f>
        <v>Aug-2024</v>
      </c>
      <c r="P2792" t="str">
        <f>"Q"&amp;ROUNDUP(MONTH(tblTransactions[[#This Row],[Date]])/3,0)&amp;"-"&amp;YEAR(tblTransactions[[#This Row],[Date]])</f>
        <v>Q3-2024</v>
      </c>
      <c r="Q2792">
        <f>YEAR(tblTransactions[[#This Row],[Date]])</f>
        <v>2024</v>
      </c>
      <c r="R2792" t="str">
        <f>TEXT(tblTransactions[[#This Row],[Date]],"DDDD")</f>
        <v>Friday</v>
      </c>
      <c r="S2792">
        <f>MONTH(tblTransactions[[#This Row],[Date]])</f>
        <v>8</v>
      </c>
      <c r="T2792" t="str">
        <f>VLOOKUP(E2792, Products!$A:$B,2,0)</f>
        <v>Storage Fur-1</v>
      </c>
      <c r="U2792" t="str">
        <f>VLOOKUP(E2792,Products!$A:$C,3,0)</f>
        <v>Furniture</v>
      </c>
      <c r="V2792" t="str">
        <f>VLOOKUP(E2792,Products!$A:$D,4,0)</f>
        <v>Storage</v>
      </c>
      <c r="W2792" t="str">
        <f>VLOOKUP(D2792,Customers!$A:$C,3,0)</f>
        <v>Small Business</v>
      </c>
      <c r="X2792" t="str">
        <f>VLOOKUP(C2792,Sales_Representatives!$A:$B,2,0)</f>
        <v>Emily Hernandez</v>
      </c>
    </row>
    <row r="2793" spans="1:24" x14ac:dyDescent="0.3">
      <c r="A2793" t="s">
        <v>3831</v>
      </c>
      <c r="B2793" t="s">
        <v>3827</v>
      </c>
      <c r="C2793" t="s">
        <v>41</v>
      </c>
      <c r="D2793" t="s">
        <v>2255</v>
      </c>
      <c r="E2793" t="s">
        <v>435</v>
      </c>
      <c r="F2793">
        <v>3</v>
      </c>
      <c r="G2793">
        <v>198.72</v>
      </c>
      <c r="H2793">
        <v>0.06</v>
      </c>
      <c r="I2793" s="4">
        <v>560.39</v>
      </c>
      <c r="J2793" t="s">
        <v>44</v>
      </c>
      <c r="K2793" t="s">
        <v>22</v>
      </c>
      <c r="L2793" s="4">
        <f>VLOOKUP(tblTransactions[[#This Row],[Product_ID]],tblProducts[],5,FALSE)</f>
        <v>116.98</v>
      </c>
      <c r="M2793" s="4">
        <f>tblTransactions[[#This Row],[Total_Amount]]-(tblTransactions[[#This Row],[Cost_Prices]]*tblTransactions[[#This Row],[Quantity]]*(1-tblTransactions[[#This Row],[Discount]]))</f>
        <v>230.50639999999999</v>
      </c>
      <c r="N2793" s="3">
        <f>tblTransactions[[#This Row],[Profit]]/tblTransactions[[#This Row],[Total_Amount]]</f>
        <v>0.41133210799621689</v>
      </c>
      <c r="O2793" t="str">
        <f>TEXT(tblTransactions[[#This Row],[Date]], "MMM-YYYY")</f>
        <v>Aug-2024</v>
      </c>
      <c r="P2793" t="str">
        <f>"Q"&amp;ROUNDUP(MONTH(tblTransactions[[#This Row],[Date]])/3,0)&amp;"-"&amp;YEAR(tblTransactions[[#This Row],[Date]])</f>
        <v>Q3-2024</v>
      </c>
      <c r="Q2793">
        <f>YEAR(tblTransactions[[#This Row],[Date]])</f>
        <v>2024</v>
      </c>
      <c r="R2793" t="str">
        <f>TEXT(tblTransactions[[#This Row],[Date]],"DDDD")</f>
        <v>Friday</v>
      </c>
      <c r="S2793">
        <f>MONTH(tblTransactions[[#This Row],[Date]])</f>
        <v>8</v>
      </c>
      <c r="T2793" t="str">
        <f>VLOOKUP(E2793, Products!$A:$B,2,0)</f>
        <v>Paper Off-4</v>
      </c>
      <c r="U2793" t="str">
        <f>VLOOKUP(E2793,Products!$A:$C,3,0)</f>
        <v>Office Supplies</v>
      </c>
      <c r="V2793" t="str">
        <f>VLOOKUP(E2793,Products!$A:$D,4,0)</f>
        <v>Paper</v>
      </c>
      <c r="W2793" t="str">
        <f>VLOOKUP(D2793,Customers!$A:$C,3,0)</f>
        <v>Small Business</v>
      </c>
      <c r="X2793" t="str">
        <f>VLOOKUP(C2793,Sales_Representatives!$A:$B,2,0)</f>
        <v>Robert Jones</v>
      </c>
    </row>
    <row r="2794" spans="1:24" x14ac:dyDescent="0.3">
      <c r="A2794" t="s">
        <v>3832</v>
      </c>
      <c r="B2794" t="s">
        <v>3827</v>
      </c>
      <c r="C2794" t="s">
        <v>56</v>
      </c>
      <c r="D2794" t="s">
        <v>28</v>
      </c>
      <c r="E2794" t="s">
        <v>137</v>
      </c>
      <c r="F2794">
        <v>17</v>
      </c>
      <c r="G2794">
        <v>241.39</v>
      </c>
      <c r="H2794">
        <v>0.12</v>
      </c>
      <c r="I2794" s="4">
        <v>3611.19</v>
      </c>
      <c r="J2794" t="s">
        <v>34</v>
      </c>
      <c r="K2794" t="s">
        <v>48</v>
      </c>
      <c r="L2794" s="4">
        <f>VLOOKUP(tblTransactions[[#This Row],[Product_ID]],tblProducts[],5,FALSE)</f>
        <v>124.07</v>
      </c>
      <c r="M2794" s="4">
        <f>tblTransactions[[#This Row],[Total_Amount]]-(tblTransactions[[#This Row],[Cost_Prices]]*tblTransactions[[#This Row],[Quantity]]*(1-tblTransactions[[#This Row],[Discount]]))</f>
        <v>1755.1027999999999</v>
      </c>
      <c r="N2794" s="3">
        <f>tblTransactions[[#This Row],[Profit]]/tblTransactions[[#This Row],[Total_Amount]]</f>
        <v>0.48601785007158299</v>
      </c>
      <c r="O2794" t="str">
        <f>TEXT(tblTransactions[[#This Row],[Date]], "MMM-YYYY")</f>
        <v>Aug-2024</v>
      </c>
      <c r="P2794" t="str">
        <f>"Q"&amp;ROUNDUP(MONTH(tblTransactions[[#This Row],[Date]])/3,0)&amp;"-"&amp;YEAR(tblTransactions[[#This Row],[Date]])</f>
        <v>Q3-2024</v>
      </c>
      <c r="Q2794">
        <f>YEAR(tblTransactions[[#This Row],[Date]])</f>
        <v>2024</v>
      </c>
      <c r="R2794" t="str">
        <f>TEXT(tblTransactions[[#This Row],[Date]],"DDDD")</f>
        <v>Friday</v>
      </c>
      <c r="S2794">
        <f>MONTH(tblTransactions[[#This Row],[Date]])</f>
        <v>8</v>
      </c>
      <c r="T2794" t="str">
        <f>VLOOKUP(E2794, Products!$A:$B,2,0)</f>
        <v>Desks Fur-2</v>
      </c>
      <c r="U2794" t="str">
        <f>VLOOKUP(E2794,Products!$A:$C,3,0)</f>
        <v>Furniture</v>
      </c>
      <c r="V2794" t="str">
        <f>VLOOKUP(E2794,Products!$A:$D,4,0)</f>
        <v>Desks</v>
      </c>
      <c r="W2794" t="str">
        <f>VLOOKUP(D2794,Customers!$A:$C,3,0)</f>
        <v>B2B</v>
      </c>
      <c r="X2794" t="str">
        <f>VLOOKUP(C2794,Sales_Representatives!$A:$B,2,0)</f>
        <v>Thomas Hernandez</v>
      </c>
    </row>
    <row r="2795" spans="1:24" x14ac:dyDescent="0.3">
      <c r="A2795" t="s">
        <v>3833</v>
      </c>
      <c r="B2795" t="s">
        <v>3827</v>
      </c>
      <c r="C2795" t="s">
        <v>27</v>
      </c>
      <c r="D2795" t="s">
        <v>1532</v>
      </c>
      <c r="E2795" t="s">
        <v>178</v>
      </c>
      <c r="F2795">
        <v>44</v>
      </c>
      <c r="G2795">
        <v>1623.35</v>
      </c>
      <c r="H2795">
        <v>0.22</v>
      </c>
      <c r="I2795" s="4">
        <v>55713.37</v>
      </c>
      <c r="J2795" t="s">
        <v>16</v>
      </c>
      <c r="K2795" t="s">
        <v>48</v>
      </c>
      <c r="L2795" s="4">
        <f>VLOOKUP(tblTransactions[[#This Row],[Product_ID]],tblProducts[],5,FALSE)</f>
        <v>981.45</v>
      </c>
      <c r="M2795" s="4">
        <f>tblTransactions[[#This Row],[Total_Amount]]-(tblTransactions[[#This Row],[Cost_Prices]]*tblTransactions[[#This Row],[Quantity]]*(1-tblTransactions[[#This Row],[Discount]]))</f>
        <v>22030.006000000001</v>
      </c>
      <c r="N2795" s="3">
        <f>tblTransactions[[#This Row],[Profit]]/tblTransactions[[#This Row],[Total_Amount]]</f>
        <v>0.39541686313357099</v>
      </c>
      <c r="O2795" t="str">
        <f>TEXT(tblTransactions[[#This Row],[Date]], "MMM-YYYY")</f>
        <v>Aug-2024</v>
      </c>
      <c r="P2795" t="str">
        <f>"Q"&amp;ROUNDUP(MONTH(tblTransactions[[#This Row],[Date]])/3,0)&amp;"-"&amp;YEAR(tblTransactions[[#This Row],[Date]])</f>
        <v>Q3-2024</v>
      </c>
      <c r="Q2795">
        <f>YEAR(tblTransactions[[#This Row],[Date]])</f>
        <v>2024</v>
      </c>
      <c r="R2795" t="str">
        <f>TEXT(tblTransactions[[#This Row],[Date]],"DDDD")</f>
        <v>Friday</v>
      </c>
      <c r="S2795">
        <f>MONTH(tblTransactions[[#This Row],[Date]])</f>
        <v>8</v>
      </c>
      <c r="T2795" t="str">
        <f>VLOOKUP(E2795, Products!$A:$B,2,0)</f>
        <v>Tablets Ele-1</v>
      </c>
      <c r="U2795" t="str">
        <f>VLOOKUP(E2795,Products!$A:$C,3,0)</f>
        <v>Electronics</v>
      </c>
      <c r="V2795" t="str">
        <f>VLOOKUP(E2795,Products!$A:$D,4,0)</f>
        <v>Tablets</v>
      </c>
      <c r="W2795" t="str">
        <f>VLOOKUP(D2795,Customers!$A:$C,3,0)</f>
        <v>Enterprise</v>
      </c>
      <c r="X2795" t="str">
        <f>VLOOKUP(C2795,Sales_Representatives!$A:$B,2,0)</f>
        <v>Thomas Lopez</v>
      </c>
    </row>
    <row r="2796" spans="1:24" x14ac:dyDescent="0.3">
      <c r="A2796" t="s">
        <v>3834</v>
      </c>
      <c r="B2796" t="s">
        <v>3835</v>
      </c>
      <c r="C2796" t="s">
        <v>56</v>
      </c>
      <c r="D2796" t="s">
        <v>1586</v>
      </c>
      <c r="E2796" t="s">
        <v>221</v>
      </c>
      <c r="F2796">
        <v>4</v>
      </c>
      <c r="G2796">
        <v>210.02</v>
      </c>
      <c r="H2796">
        <v>0.02</v>
      </c>
      <c r="I2796" s="4">
        <v>823.28</v>
      </c>
      <c r="J2796" t="s">
        <v>34</v>
      </c>
      <c r="K2796" t="s">
        <v>35</v>
      </c>
      <c r="L2796" s="4">
        <f>VLOOKUP(tblTransactions[[#This Row],[Product_ID]],tblProducts[],5,FALSE)</f>
        <v>131.66</v>
      </c>
      <c r="M2796" s="4">
        <f>tblTransactions[[#This Row],[Total_Amount]]-(tblTransactions[[#This Row],[Cost_Prices]]*tblTransactions[[#This Row],[Quantity]]*(1-tblTransactions[[#This Row],[Discount]]))</f>
        <v>307.17280000000005</v>
      </c>
      <c r="N2796" s="3">
        <f>tblTransactions[[#This Row],[Profit]]/tblTransactions[[#This Row],[Total_Amount]]</f>
        <v>0.37310854144398026</v>
      </c>
      <c r="O2796" t="str">
        <f>TEXT(tblTransactions[[#This Row],[Date]], "MMM-YYYY")</f>
        <v>Aug-2024</v>
      </c>
      <c r="P2796" t="str">
        <f>"Q"&amp;ROUNDUP(MONTH(tblTransactions[[#This Row],[Date]])/3,0)&amp;"-"&amp;YEAR(tblTransactions[[#This Row],[Date]])</f>
        <v>Q3-2024</v>
      </c>
      <c r="Q2796">
        <f>YEAR(tblTransactions[[#This Row],[Date]])</f>
        <v>2024</v>
      </c>
      <c r="R2796" t="str">
        <f>TEXT(tblTransactions[[#This Row],[Date]],"DDDD")</f>
        <v>Saturday</v>
      </c>
      <c r="S2796">
        <f>MONTH(tblTransactions[[#This Row],[Date]])</f>
        <v>8</v>
      </c>
      <c r="T2796" t="str">
        <f>VLOOKUP(E2796, Products!$A:$B,2,0)</f>
        <v>Storage Fur-2</v>
      </c>
      <c r="U2796" t="str">
        <f>VLOOKUP(E2796,Products!$A:$C,3,0)</f>
        <v>Furniture</v>
      </c>
      <c r="V2796" t="str">
        <f>VLOOKUP(E2796,Products!$A:$D,4,0)</f>
        <v>Storage</v>
      </c>
      <c r="W2796" t="str">
        <f>VLOOKUP(D2796,Customers!$A:$C,3,0)</f>
        <v>B2B</v>
      </c>
      <c r="X2796" t="str">
        <f>VLOOKUP(C2796,Sales_Representatives!$A:$B,2,0)</f>
        <v>Thomas Hernandez</v>
      </c>
    </row>
    <row r="2797" spans="1:24" x14ac:dyDescent="0.3">
      <c r="A2797" t="s">
        <v>3836</v>
      </c>
      <c r="B2797" t="s">
        <v>3835</v>
      </c>
      <c r="C2797" t="s">
        <v>41</v>
      </c>
      <c r="D2797" t="s">
        <v>1646</v>
      </c>
      <c r="E2797" t="s">
        <v>224</v>
      </c>
      <c r="F2797">
        <v>7</v>
      </c>
      <c r="G2797">
        <v>505.37</v>
      </c>
      <c r="H2797">
        <v>0.13</v>
      </c>
      <c r="I2797" s="4">
        <v>3077.7</v>
      </c>
      <c r="J2797" t="s">
        <v>44</v>
      </c>
      <c r="K2797" t="s">
        <v>39</v>
      </c>
      <c r="L2797" s="4">
        <f>VLOOKUP(tblTransactions[[#This Row],[Product_ID]],tblProducts[],5,FALSE)</f>
        <v>281.14999999999998</v>
      </c>
      <c r="M2797" s="4">
        <f>tblTransactions[[#This Row],[Total_Amount]]-(tblTransactions[[#This Row],[Cost_Prices]]*tblTransactions[[#This Row],[Quantity]]*(1-tblTransactions[[#This Row],[Discount]]))</f>
        <v>1365.4965</v>
      </c>
      <c r="N2797" s="3">
        <f>tblTransactions[[#This Row],[Profit]]/tblTransactions[[#This Row],[Total_Amount]]</f>
        <v>0.44367433473048057</v>
      </c>
      <c r="O2797" t="str">
        <f>TEXT(tblTransactions[[#This Row],[Date]], "MMM-YYYY")</f>
        <v>Aug-2024</v>
      </c>
      <c r="P2797" t="str">
        <f>"Q"&amp;ROUNDUP(MONTH(tblTransactions[[#This Row],[Date]])/3,0)&amp;"-"&amp;YEAR(tblTransactions[[#This Row],[Date]])</f>
        <v>Q3-2024</v>
      </c>
      <c r="Q2797">
        <f>YEAR(tblTransactions[[#This Row],[Date]])</f>
        <v>2024</v>
      </c>
      <c r="R2797" t="str">
        <f>TEXT(tblTransactions[[#This Row],[Date]],"DDDD")</f>
        <v>Saturday</v>
      </c>
      <c r="S2797">
        <f>MONTH(tblTransactions[[#This Row],[Date]])</f>
        <v>8</v>
      </c>
      <c r="T2797" t="str">
        <f>VLOOKUP(E2797, Products!$A:$B,2,0)</f>
        <v>Desks Fur-3</v>
      </c>
      <c r="U2797" t="str">
        <f>VLOOKUP(E2797,Products!$A:$C,3,0)</f>
        <v>Furniture</v>
      </c>
      <c r="V2797" t="str">
        <f>VLOOKUP(E2797,Products!$A:$D,4,0)</f>
        <v>Desks</v>
      </c>
      <c r="W2797" t="str">
        <f>VLOOKUP(D2797,Customers!$A:$C,3,0)</f>
        <v>B2B</v>
      </c>
      <c r="X2797" t="str">
        <f>VLOOKUP(C2797,Sales_Representatives!$A:$B,2,0)</f>
        <v>Robert Jones</v>
      </c>
    </row>
    <row r="2798" spans="1:24" x14ac:dyDescent="0.3">
      <c r="A2798" t="s">
        <v>3837</v>
      </c>
      <c r="B2798" t="s">
        <v>3838</v>
      </c>
      <c r="C2798" t="s">
        <v>82</v>
      </c>
      <c r="D2798" t="s">
        <v>2376</v>
      </c>
      <c r="E2798" t="s">
        <v>77</v>
      </c>
      <c r="F2798">
        <v>5</v>
      </c>
      <c r="G2798">
        <v>236.82</v>
      </c>
      <c r="H2798">
        <v>0.09</v>
      </c>
      <c r="I2798" s="4">
        <v>1077.53</v>
      </c>
      <c r="J2798" t="s">
        <v>34</v>
      </c>
      <c r="K2798" t="s">
        <v>22</v>
      </c>
      <c r="L2798" s="4">
        <f>VLOOKUP(tblTransactions[[#This Row],[Product_ID]],tblProducts[],5,FALSE)</f>
        <v>110.79</v>
      </c>
      <c r="M2798" s="4">
        <f>tblTransactions[[#This Row],[Total_Amount]]-(tblTransactions[[#This Row],[Cost_Prices]]*tblTransactions[[#This Row],[Quantity]]*(1-tblTransactions[[#This Row],[Discount]]))</f>
        <v>573.43549999999993</v>
      </c>
      <c r="N2798" s="3">
        <f>tblTransactions[[#This Row],[Profit]]/tblTransactions[[#This Row],[Total_Amount]]</f>
        <v>0.53217590229506362</v>
      </c>
      <c r="O2798" t="str">
        <f>TEXT(tblTransactions[[#This Row],[Date]], "MMM-YYYY")</f>
        <v>Aug-2024</v>
      </c>
      <c r="P2798" t="str">
        <f>"Q"&amp;ROUNDUP(MONTH(tblTransactions[[#This Row],[Date]])/3,0)&amp;"-"&amp;YEAR(tblTransactions[[#This Row],[Date]])</f>
        <v>Q3-2024</v>
      </c>
      <c r="Q2798">
        <f>YEAR(tblTransactions[[#This Row],[Date]])</f>
        <v>2024</v>
      </c>
      <c r="R2798" t="str">
        <f>TEXT(tblTransactions[[#This Row],[Date]],"DDDD")</f>
        <v>Sunday</v>
      </c>
      <c r="S2798">
        <f>MONTH(tblTransactions[[#This Row],[Date]])</f>
        <v>8</v>
      </c>
      <c r="T2798" t="str">
        <f>VLOOKUP(E2798, Products!$A:$B,2,0)</f>
        <v>Binders Off-4</v>
      </c>
      <c r="U2798" t="str">
        <f>VLOOKUP(E2798,Products!$A:$C,3,0)</f>
        <v>Office Supplies</v>
      </c>
      <c r="V2798" t="str">
        <f>VLOOKUP(E2798,Products!$A:$D,4,0)</f>
        <v>Binders</v>
      </c>
      <c r="W2798" t="str">
        <f>VLOOKUP(D2798,Customers!$A:$C,3,0)</f>
        <v>B2C</v>
      </c>
      <c r="X2798" t="str">
        <f>VLOOKUP(C2798,Sales_Representatives!$A:$B,2,0)</f>
        <v>John Brown</v>
      </c>
    </row>
    <row r="2799" spans="1:24" x14ac:dyDescent="0.3">
      <c r="A2799" t="s">
        <v>3839</v>
      </c>
      <c r="B2799" t="s">
        <v>3838</v>
      </c>
      <c r="C2799" t="s">
        <v>70</v>
      </c>
      <c r="D2799" t="s">
        <v>1485</v>
      </c>
      <c r="E2799" t="s">
        <v>290</v>
      </c>
      <c r="F2799">
        <v>8</v>
      </c>
      <c r="G2799">
        <v>729.32</v>
      </c>
      <c r="H2799">
        <v>0.06</v>
      </c>
      <c r="I2799" s="4">
        <v>5484.49</v>
      </c>
      <c r="J2799" t="s">
        <v>16</v>
      </c>
      <c r="K2799" t="s">
        <v>35</v>
      </c>
      <c r="L2799" s="4">
        <f>VLOOKUP(tblTransactions[[#This Row],[Product_ID]],tblProducts[],5,FALSE)</f>
        <v>482.7</v>
      </c>
      <c r="M2799" s="4">
        <f>tblTransactions[[#This Row],[Total_Amount]]-(tblTransactions[[#This Row],[Cost_Prices]]*tblTransactions[[#This Row],[Quantity]]*(1-tblTransactions[[#This Row],[Discount]]))</f>
        <v>1854.5860000000002</v>
      </c>
      <c r="N2799" s="3">
        <f>tblTransactions[[#This Row],[Profit]]/tblTransactions[[#This Row],[Total_Amount]]</f>
        <v>0.33815104047960709</v>
      </c>
      <c r="O2799" t="str">
        <f>TEXT(tblTransactions[[#This Row],[Date]], "MMM-YYYY")</f>
        <v>Aug-2024</v>
      </c>
      <c r="P2799" t="str">
        <f>"Q"&amp;ROUNDUP(MONTH(tblTransactions[[#This Row],[Date]])/3,0)&amp;"-"&amp;YEAR(tblTransactions[[#This Row],[Date]])</f>
        <v>Q3-2024</v>
      </c>
      <c r="Q2799">
        <f>YEAR(tblTransactions[[#This Row],[Date]])</f>
        <v>2024</v>
      </c>
      <c r="R2799" t="str">
        <f>TEXT(tblTransactions[[#This Row],[Date]],"DDDD")</f>
        <v>Sunday</v>
      </c>
      <c r="S2799">
        <f>MONTH(tblTransactions[[#This Row],[Date]])</f>
        <v>8</v>
      </c>
      <c r="T2799" t="str">
        <f>VLOOKUP(E2799, Products!$A:$B,2,0)</f>
        <v>Tables Fur-1</v>
      </c>
      <c r="U2799" t="str">
        <f>VLOOKUP(E2799,Products!$A:$C,3,0)</f>
        <v>Furniture</v>
      </c>
      <c r="V2799" t="str">
        <f>VLOOKUP(E2799,Products!$A:$D,4,0)</f>
        <v>Tables</v>
      </c>
      <c r="W2799" t="str">
        <f>VLOOKUP(D2799,Customers!$A:$C,3,0)</f>
        <v>B2B</v>
      </c>
      <c r="X2799" t="str">
        <f>VLOOKUP(C2799,Sales_Representatives!$A:$B,2,0)</f>
        <v>Linda Smith</v>
      </c>
    </row>
    <row r="2800" spans="1:24" x14ac:dyDescent="0.3">
      <c r="A2800" t="s">
        <v>3840</v>
      </c>
      <c r="B2800" t="s">
        <v>3838</v>
      </c>
      <c r="C2800" t="s">
        <v>27</v>
      </c>
      <c r="D2800" t="s">
        <v>1552</v>
      </c>
      <c r="E2800" t="s">
        <v>38</v>
      </c>
      <c r="F2800">
        <v>34</v>
      </c>
      <c r="G2800">
        <v>581.47</v>
      </c>
      <c r="H2800">
        <v>0.16</v>
      </c>
      <c r="I2800" s="4">
        <v>16606.78</v>
      </c>
      <c r="J2800" t="s">
        <v>16</v>
      </c>
      <c r="K2800" t="s">
        <v>17</v>
      </c>
      <c r="L2800" s="4">
        <f>VLOOKUP(tblTransactions[[#This Row],[Product_ID]],tblProducts[],5,FALSE)</f>
        <v>372.07</v>
      </c>
      <c r="M2800" s="4">
        <f>tblTransactions[[#This Row],[Total_Amount]]-(tblTransactions[[#This Row],[Cost_Prices]]*tblTransactions[[#This Row],[Quantity]]*(1-tblTransactions[[#This Row],[Discount]]))</f>
        <v>5980.4608000000007</v>
      </c>
      <c r="N2800" s="3">
        <f>tblTransactions[[#This Row],[Profit]]/tblTransactions[[#This Row],[Total_Amount]]</f>
        <v>0.36012163706630673</v>
      </c>
      <c r="O2800" t="str">
        <f>TEXT(tblTransactions[[#This Row],[Date]], "MMM-YYYY")</f>
        <v>Aug-2024</v>
      </c>
      <c r="P2800" t="str">
        <f>"Q"&amp;ROUNDUP(MONTH(tblTransactions[[#This Row],[Date]])/3,0)&amp;"-"&amp;YEAR(tblTransactions[[#This Row],[Date]])</f>
        <v>Q3-2024</v>
      </c>
      <c r="Q2800">
        <f>YEAR(tblTransactions[[#This Row],[Date]])</f>
        <v>2024</v>
      </c>
      <c r="R2800" t="str">
        <f>TEXT(tblTransactions[[#This Row],[Date]],"DDDD")</f>
        <v>Sunday</v>
      </c>
      <c r="S2800">
        <f>MONTH(tblTransactions[[#This Row],[Date]])</f>
        <v>8</v>
      </c>
      <c r="T2800" t="str">
        <f>VLOOKUP(E2800, Products!$A:$B,2,0)</f>
        <v>Storage Fur-3</v>
      </c>
      <c r="U2800" t="str">
        <f>VLOOKUP(E2800,Products!$A:$C,3,0)</f>
        <v>Furniture</v>
      </c>
      <c r="V2800" t="str">
        <f>VLOOKUP(E2800,Products!$A:$D,4,0)</f>
        <v>Storage</v>
      </c>
      <c r="W2800" t="str">
        <f>VLOOKUP(D2800,Customers!$A:$C,3,0)</f>
        <v>Enterprise</v>
      </c>
      <c r="X2800" t="str">
        <f>VLOOKUP(C2800,Sales_Representatives!$A:$B,2,0)</f>
        <v>Thomas Lopez</v>
      </c>
    </row>
    <row r="2801" spans="1:24" x14ac:dyDescent="0.3">
      <c r="A2801" t="s">
        <v>3841</v>
      </c>
      <c r="B2801" t="s">
        <v>3838</v>
      </c>
      <c r="C2801" t="s">
        <v>13</v>
      </c>
      <c r="D2801" t="s">
        <v>1942</v>
      </c>
      <c r="E2801" t="s">
        <v>53</v>
      </c>
      <c r="F2801">
        <v>4</v>
      </c>
      <c r="G2801">
        <v>2069.2199999999998</v>
      </c>
      <c r="H2801">
        <v>7.0000000000000007E-2</v>
      </c>
      <c r="I2801" s="4">
        <v>7697.5</v>
      </c>
      <c r="J2801" t="s">
        <v>16</v>
      </c>
      <c r="K2801" t="s">
        <v>35</v>
      </c>
      <c r="L2801" s="4">
        <f>VLOOKUP(tblTransactions[[#This Row],[Product_ID]],tblProducts[],5,FALSE)</f>
        <v>1451.18</v>
      </c>
      <c r="M2801" s="4">
        <f>tblTransactions[[#This Row],[Total_Amount]]-(tblTransactions[[#This Row],[Cost_Prices]]*tblTransactions[[#This Row],[Quantity]]*(1-tblTransactions[[#This Row],[Discount]]))</f>
        <v>2299.1104000000005</v>
      </c>
      <c r="N2801" s="3">
        <f>tblTransactions[[#This Row],[Profit]]/tblTransactions[[#This Row],[Total_Amount]]</f>
        <v>0.29868274114972398</v>
      </c>
      <c r="O2801" t="str">
        <f>TEXT(tblTransactions[[#This Row],[Date]], "MMM-YYYY")</f>
        <v>Aug-2024</v>
      </c>
      <c r="P2801" t="str">
        <f>"Q"&amp;ROUNDUP(MONTH(tblTransactions[[#This Row],[Date]])/3,0)&amp;"-"&amp;YEAR(tblTransactions[[#This Row],[Date]])</f>
        <v>Q3-2024</v>
      </c>
      <c r="Q2801">
        <f>YEAR(tblTransactions[[#This Row],[Date]])</f>
        <v>2024</v>
      </c>
      <c r="R2801" t="str">
        <f>TEXT(tblTransactions[[#This Row],[Date]],"DDDD")</f>
        <v>Sunday</v>
      </c>
      <c r="S2801">
        <f>MONTH(tblTransactions[[#This Row],[Date]])</f>
        <v>8</v>
      </c>
      <c r="T2801" t="str">
        <f>VLOOKUP(E2801, Products!$A:$B,2,0)</f>
        <v>Printers Tec-3</v>
      </c>
      <c r="U2801" t="str">
        <f>VLOOKUP(E2801,Products!$A:$C,3,0)</f>
        <v>Technology</v>
      </c>
      <c r="V2801" t="str">
        <f>VLOOKUP(E2801,Products!$A:$D,4,0)</f>
        <v>Printers</v>
      </c>
      <c r="W2801" t="str">
        <f>VLOOKUP(D2801,Customers!$A:$C,3,0)</f>
        <v>B2B</v>
      </c>
      <c r="X2801" t="str">
        <f>VLOOKUP(C2801,Sales_Representatives!$A:$B,2,0)</f>
        <v>Jennifer Rodriguez</v>
      </c>
    </row>
    <row r="2802" spans="1:24" x14ac:dyDescent="0.3">
      <c r="A2802" t="s">
        <v>3842</v>
      </c>
      <c r="B2802" t="s">
        <v>3838</v>
      </c>
      <c r="C2802" t="s">
        <v>13</v>
      </c>
      <c r="D2802" t="s">
        <v>2407</v>
      </c>
      <c r="E2802" t="s">
        <v>168</v>
      </c>
      <c r="F2802">
        <v>1</v>
      </c>
      <c r="G2802">
        <v>101.59</v>
      </c>
      <c r="H2802">
        <v>0.02</v>
      </c>
      <c r="I2802" s="4">
        <v>99.56</v>
      </c>
      <c r="J2802" t="s">
        <v>16</v>
      </c>
      <c r="K2802" t="s">
        <v>39</v>
      </c>
      <c r="L2802" s="4">
        <f>VLOOKUP(tblTransactions[[#This Row],[Product_ID]],tblProducts[],5,FALSE)</f>
        <v>50.58</v>
      </c>
      <c r="M2802" s="4">
        <f>tblTransactions[[#This Row],[Total_Amount]]-(tblTransactions[[#This Row],[Cost_Prices]]*tblTransactions[[#This Row],[Quantity]]*(1-tblTransactions[[#This Row],[Discount]]))</f>
        <v>49.991600000000005</v>
      </c>
      <c r="N2802" s="3">
        <f>tblTransactions[[#This Row],[Profit]]/tblTransactions[[#This Row],[Total_Amount]]</f>
        <v>0.50212535154680604</v>
      </c>
      <c r="O2802" t="str">
        <f>TEXT(tblTransactions[[#This Row],[Date]], "MMM-YYYY")</f>
        <v>Aug-2024</v>
      </c>
      <c r="P2802" t="str">
        <f>"Q"&amp;ROUNDUP(MONTH(tblTransactions[[#This Row],[Date]])/3,0)&amp;"-"&amp;YEAR(tblTransactions[[#This Row],[Date]])</f>
        <v>Q3-2024</v>
      </c>
      <c r="Q2802">
        <f>YEAR(tblTransactions[[#This Row],[Date]])</f>
        <v>2024</v>
      </c>
      <c r="R2802" t="str">
        <f>TEXT(tblTransactions[[#This Row],[Date]],"DDDD")</f>
        <v>Sunday</v>
      </c>
      <c r="S2802">
        <f>MONTH(tblTransactions[[#This Row],[Date]])</f>
        <v>8</v>
      </c>
      <c r="T2802" t="str">
        <f>VLOOKUP(E2802, Products!$A:$B,2,0)</f>
        <v>Cases Acc-4</v>
      </c>
      <c r="U2802" t="str">
        <f>VLOOKUP(E2802,Products!$A:$C,3,0)</f>
        <v>Accessories</v>
      </c>
      <c r="V2802" t="str">
        <f>VLOOKUP(E2802,Products!$A:$D,4,0)</f>
        <v>Cases</v>
      </c>
      <c r="W2802" t="str">
        <f>VLOOKUP(D2802,Customers!$A:$C,3,0)</f>
        <v>B2C</v>
      </c>
      <c r="X2802" t="str">
        <f>VLOOKUP(C2802,Sales_Representatives!$A:$B,2,0)</f>
        <v>Jennifer Rodriguez</v>
      </c>
    </row>
    <row r="2803" spans="1:24" x14ac:dyDescent="0.3">
      <c r="A2803" t="s">
        <v>3843</v>
      </c>
      <c r="B2803" t="s">
        <v>3838</v>
      </c>
      <c r="C2803" t="s">
        <v>107</v>
      </c>
      <c r="D2803" t="s">
        <v>57</v>
      </c>
      <c r="E2803" t="s">
        <v>105</v>
      </c>
      <c r="F2803">
        <v>4</v>
      </c>
      <c r="G2803">
        <v>1342.04</v>
      </c>
      <c r="H2803">
        <v>0.08</v>
      </c>
      <c r="I2803" s="4">
        <v>4938.71</v>
      </c>
      <c r="J2803" t="s">
        <v>109</v>
      </c>
      <c r="K2803" t="s">
        <v>22</v>
      </c>
      <c r="L2803" s="4">
        <f>VLOOKUP(tblTransactions[[#This Row],[Product_ID]],tblProducts[],5,FALSE)</f>
        <v>792.89</v>
      </c>
      <c r="M2803" s="4">
        <f>tblTransactions[[#This Row],[Total_Amount]]-(tblTransactions[[#This Row],[Cost_Prices]]*tblTransactions[[#This Row],[Quantity]]*(1-tblTransactions[[#This Row],[Discount]]))</f>
        <v>2020.8748000000001</v>
      </c>
      <c r="N2803" s="3">
        <f>tblTransactions[[#This Row],[Profit]]/tblTransactions[[#This Row],[Total_Amount]]</f>
        <v>0.40919082108485821</v>
      </c>
      <c r="O2803" t="str">
        <f>TEXT(tblTransactions[[#This Row],[Date]], "MMM-YYYY")</f>
        <v>Aug-2024</v>
      </c>
      <c r="P2803" t="str">
        <f>"Q"&amp;ROUNDUP(MONTH(tblTransactions[[#This Row],[Date]])/3,0)&amp;"-"&amp;YEAR(tblTransactions[[#This Row],[Date]])</f>
        <v>Q3-2024</v>
      </c>
      <c r="Q2803">
        <f>YEAR(tblTransactions[[#This Row],[Date]])</f>
        <v>2024</v>
      </c>
      <c r="R2803" t="str">
        <f>TEXT(tblTransactions[[#This Row],[Date]],"DDDD")</f>
        <v>Sunday</v>
      </c>
      <c r="S2803">
        <f>MONTH(tblTransactions[[#This Row],[Date]])</f>
        <v>8</v>
      </c>
      <c r="T2803" t="str">
        <f>VLOOKUP(E2803, Products!$A:$B,2,0)</f>
        <v>Cameras Ele-1</v>
      </c>
      <c r="U2803" t="str">
        <f>VLOOKUP(E2803,Products!$A:$C,3,0)</f>
        <v>Electronics</v>
      </c>
      <c r="V2803" t="str">
        <f>VLOOKUP(E2803,Products!$A:$D,4,0)</f>
        <v>Cameras</v>
      </c>
      <c r="W2803" t="str">
        <f>VLOOKUP(D2803,Customers!$A:$C,3,0)</f>
        <v>Small Business</v>
      </c>
      <c r="X2803" t="str">
        <f>VLOOKUP(C2803,Sales_Representatives!$A:$B,2,0)</f>
        <v>Jennifer Brown</v>
      </c>
    </row>
    <row r="2804" spans="1:24" x14ac:dyDescent="0.3">
      <c r="A2804" t="s">
        <v>3844</v>
      </c>
      <c r="B2804" t="s">
        <v>3845</v>
      </c>
      <c r="C2804" t="s">
        <v>63</v>
      </c>
      <c r="D2804" t="s">
        <v>1576</v>
      </c>
      <c r="E2804" t="s">
        <v>79</v>
      </c>
      <c r="F2804">
        <v>4</v>
      </c>
      <c r="G2804">
        <v>1452.36</v>
      </c>
      <c r="H2804">
        <v>0.04</v>
      </c>
      <c r="I2804" s="4">
        <v>5577.06</v>
      </c>
      <c r="J2804" t="s">
        <v>21</v>
      </c>
      <c r="K2804" t="s">
        <v>35</v>
      </c>
      <c r="L2804" s="4">
        <f>VLOOKUP(tblTransactions[[#This Row],[Product_ID]],tblProducts[],5,FALSE)</f>
        <v>778.71</v>
      </c>
      <c r="M2804" s="4">
        <f>tblTransactions[[#This Row],[Total_Amount]]-(tblTransactions[[#This Row],[Cost_Prices]]*tblTransactions[[#This Row],[Quantity]]*(1-tblTransactions[[#This Row],[Discount]]))</f>
        <v>2586.8136000000004</v>
      </c>
      <c r="N2804" s="3">
        <f>tblTransactions[[#This Row],[Profit]]/tblTransactions[[#This Row],[Total_Amount]]</f>
        <v>0.46383105076868464</v>
      </c>
      <c r="O2804" t="str">
        <f>TEXT(tblTransactions[[#This Row],[Date]], "MMM-YYYY")</f>
        <v>Aug-2024</v>
      </c>
      <c r="P2804" t="str">
        <f>"Q"&amp;ROUNDUP(MONTH(tblTransactions[[#This Row],[Date]])/3,0)&amp;"-"&amp;YEAR(tblTransactions[[#This Row],[Date]])</f>
        <v>Q3-2024</v>
      </c>
      <c r="Q2804">
        <f>YEAR(tblTransactions[[#This Row],[Date]])</f>
        <v>2024</v>
      </c>
      <c r="R2804" t="str">
        <f>TEXT(tblTransactions[[#This Row],[Date]],"DDDD")</f>
        <v>Monday</v>
      </c>
      <c r="S2804">
        <f>MONTH(tblTransactions[[#This Row],[Date]])</f>
        <v>8</v>
      </c>
      <c r="T2804" t="str">
        <f>VLOOKUP(E2804, Products!$A:$B,2,0)</f>
        <v>Tables Fur-2</v>
      </c>
      <c r="U2804" t="str">
        <f>VLOOKUP(E2804,Products!$A:$C,3,0)</f>
        <v>Furniture</v>
      </c>
      <c r="V2804" t="str">
        <f>VLOOKUP(E2804,Products!$A:$D,4,0)</f>
        <v>Tables</v>
      </c>
      <c r="W2804" t="str">
        <f>VLOOKUP(D2804,Customers!$A:$C,3,0)</f>
        <v>B2C</v>
      </c>
      <c r="X2804" t="str">
        <f>VLOOKUP(C2804,Sales_Representatives!$A:$B,2,0)</f>
        <v>Richard Wilson</v>
      </c>
    </row>
    <row r="2805" spans="1:24" x14ac:dyDescent="0.3">
      <c r="A2805" t="s">
        <v>3846</v>
      </c>
      <c r="B2805" t="s">
        <v>3845</v>
      </c>
      <c r="C2805" t="s">
        <v>107</v>
      </c>
      <c r="D2805" t="s">
        <v>3847</v>
      </c>
      <c r="E2805" t="s">
        <v>255</v>
      </c>
      <c r="F2805">
        <v>1</v>
      </c>
      <c r="G2805">
        <v>1444.13</v>
      </c>
      <c r="H2805">
        <v>0.06</v>
      </c>
      <c r="I2805" s="4">
        <v>1357.48</v>
      </c>
      <c r="J2805" t="s">
        <v>109</v>
      </c>
      <c r="K2805" t="s">
        <v>17</v>
      </c>
      <c r="L2805" s="4">
        <f>VLOOKUP(tblTransactions[[#This Row],[Product_ID]],tblProducts[],5,FALSE)</f>
        <v>874.43</v>
      </c>
      <c r="M2805" s="4">
        <f>tblTransactions[[#This Row],[Total_Amount]]-(tblTransactions[[#This Row],[Cost_Prices]]*tblTransactions[[#This Row],[Quantity]]*(1-tblTransactions[[#This Row],[Discount]]))</f>
        <v>535.51580000000013</v>
      </c>
      <c r="N2805" s="3">
        <f>tblTransactions[[#This Row],[Profit]]/tblTransactions[[#This Row],[Total_Amount]]</f>
        <v>0.39449258920941754</v>
      </c>
      <c r="O2805" t="str">
        <f>TEXT(tblTransactions[[#This Row],[Date]], "MMM-YYYY")</f>
        <v>Aug-2024</v>
      </c>
      <c r="P2805" t="str">
        <f>"Q"&amp;ROUNDUP(MONTH(tblTransactions[[#This Row],[Date]])/3,0)&amp;"-"&amp;YEAR(tblTransactions[[#This Row],[Date]])</f>
        <v>Q3-2024</v>
      </c>
      <c r="Q2805">
        <f>YEAR(tblTransactions[[#This Row],[Date]])</f>
        <v>2024</v>
      </c>
      <c r="R2805" t="str">
        <f>TEXT(tblTransactions[[#This Row],[Date]],"DDDD")</f>
        <v>Monday</v>
      </c>
      <c r="S2805">
        <f>MONTH(tblTransactions[[#This Row],[Date]])</f>
        <v>8</v>
      </c>
      <c r="T2805" t="str">
        <f>VLOOKUP(E2805, Products!$A:$B,2,0)</f>
        <v>Printers Tec-1</v>
      </c>
      <c r="U2805" t="str">
        <f>VLOOKUP(E2805,Products!$A:$C,3,0)</f>
        <v>Technology</v>
      </c>
      <c r="V2805" t="str">
        <f>VLOOKUP(E2805,Products!$A:$D,4,0)</f>
        <v>Printers</v>
      </c>
      <c r="W2805" t="str">
        <f>VLOOKUP(D2805,Customers!$A:$C,3,0)</f>
        <v>B2C</v>
      </c>
      <c r="X2805" t="str">
        <f>VLOOKUP(C2805,Sales_Representatives!$A:$B,2,0)</f>
        <v>Jennifer Brown</v>
      </c>
    </row>
    <row r="2806" spans="1:24" x14ac:dyDescent="0.3">
      <c r="A2806" t="s">
        <v>3848</v>
      </c>
      <c r="B2806" t="s">
        <v>3849</v>
      </c>
      <c r="C2806" t="s">
        <v>63</v>
      </c>
      <c r="D2806" t="s">
        <v>2188</v>
      </c>
      <c r="E2806" t="s">
        <v>61</v>
      </c>
      <c r="F2806">
        <v>4</v>
      </c>
      <c r="G2806">
        <v>92.07</v>
      </c>
      <c r="H2806">
        <v>0.06</v>
      </c>
      <c r="I2806" s="4">
        <v>346.18</v>
      </c>
      <c r="J2806" t="s">
        <v>21</v>
      </c>
      <c r="K2806" t="s">
        <v>48</v>
      </c>
      <c r="L2806" s="4">
        <f>VLOOKUP(tblTransactions[[#This Row],[Product_ID]],tblProducts[],5,FALSE)</f>
        <v>56.98</v>
      </c>
      <c r="M2806" s="4">
        <f>tblTransactions[[#This Row],[Total_Amount]]-(tblTransactions[[#This Row],[Cost_Prices]]*tblTransactions[[#This Row],[Quantity]]*(1-tblTransactions[[#This Row],[Discount]]))</f>
        <v>131.93520000000004</v>
      </c>
      <c r="N2806" s="3">
        <f>tblTransactions[[#This Row],[Profit]]/tblTransactions[[#This Row],[Total_Amount]]</f>
        <v>0.38111733780114404</v>
      </c>
      <c r="O2806" t="str">
        <f>TEXT(tblTransactions[[#This Row],[Date]], "MMM-YYYY")</f>
        <v>Aug-2024</v>
      </c>
      <c r="P2806" t="str">
        <f>"Q"&amp;ROUNDUP(MONTH(tblTransactions[[#This Row],[Date]])/3,0)&amp;"-"&amp;YEAR(tblTransactions[[#This Row],[Date]])</f>
        <v>Q3-2024</v>
      </c>
      <c r="Q2806">
        <f>YEAR(tblTransactions[[#This Row],[Date]])</f>
        <v>2024</v>
      </c>
      <c r="R2806" t="str">
        <f>TEXT(tblTransactions[[#This Row],[Date]],"DDDD")</f>
        <v>Tuesday</v>
      </c>
      <c r="S2806">
        <f>MONTH(tblTransactions[[#This Row],[Date]])</f>
        <v>8</v>
      </c>
      <c r="T2806" t="str">
        <f>VLOOKUP(E2806, Products!$A:$B,2,0)</f>
        <v>Pens Off-4</v>
      </c>
      <c r="U2806" t="str">
        <f>VLOOKUP(E2806,Products!$A:$C,3,0)</f>
        <v>Office Supplies</v>
      </c>
      <c r="V2806" t="str">
        <f>VLOOKUP(E2806,Products!$A:$D,4,0)</f>
        <v>Pens</v>
      </c>
      <c r="W2806" t="str">
        <f>VLOOKUP(D2806,Customers!$A:$C,3,0)</f>
        <v>B2C</v>
      </c>
      <c r="X2806" t="str">
        <f>VLOOKUP(C2806,Sales_Representatives!$A:$B,2,0)</f>
        <v>Richard Wilson</v>
      </c>
    </row>
    <row r="2807" spans="1:24" x14ac:dyDescent="0.3">
      <c r="A2807" t="s">
        <v>3850</v>
      </c>
      <c r="B2807" t="s">
        <v>3849</v>
      </c>
      <c r="C2807" t="s">
        <v>70</v>
      </c>
      <c r="D2807" t="s">
        <v>1687</v>
      </c>
      <c r="E2807" t="s">
        <v>96</v>
      </c>
      <c r="F2807">
        <v>7</v>
      </c>
      <c r="G2807">
        <v>751.9</v>
      </c>
      <c r="H2807">
        <v>0.13</v>
      </c>
      <c r="I2807" s="4">
        <v>4579.07</v>
      </c>
      <c r="J2807" t="s">
        <v>16</v>
      </c>
      <c r="K2807" t="s">
        <v>17</v>
      </c>
      <c r="L2807" s="4">
        <f>VLOOKUP(tblTransactions[[#This Row],[Product_ID]],tblProducts[],5,FALSE)</f>
        <v>570.29</v>
      </c>
      <c r="M2807" s="4">
        <f>tblTransactions[[#This Row],[Total_Amount]]-(tblTransactions[[#This Row],[Cost_Prices]]*tblTransactions[[#This Row],[Quantity]]*(1-tblTransactions[[#This Row],[Discount]]))</f>
        <v>1106.0039000000002</v>
      </c>
      <c r="N2807" s="3">
        <f>tblTransactions[[#This Row],[Profit]]/tblTransactions[[#This Row],[Total_Amount]]</f>
        <v>0.24153461292358497</v>
      </c>
      <c r="O2807" t="str">
        <f>TEXT(tblTransactions[[#This Row],[Date]], "MMM-YYYY")</f>
        <v>Aug-2024</v>
      </c>
      <c r="P2807" t="str">
        <f>"Q"&amp;ROUNDUP(MONTH(tblTransactions[[#This Row],[Date]])/3,0)&amp;"-"&amp;YEAR(tblTransactions[[#This Row],[Date]])</f>
        <v>Q3-2024</v>
      </c>
      <c r="Q2807">
        <f>YEAR(tblTransactions[[#This Row],[Date]])</f>
        <v>2024</v>
      </c>
      <c r="R2807" t="str">
        <f>TEXT(tblTransactions[[#This Row],[Date]],"DDDD")</f>
        <v>Tuesday</v>
      </c>
      <c r="S2807">
        <f>MONTH(tblTransactions[[#This Row],[Date]])</f>
        <v>8</v>
      </c>
      <c r="T2807" t="str">
        <f>VLOOKUP(E2807, Products!$A:$B,2,0)</f>
        <v>Routers Tec-1</v>
      </c>
      <c r="U2807" t="str">
        <f>VLOOKUP(E2807,Products!$A:$C,3,0)</f>
        <v>Technology</v>
      </c>
      <c r="V2807" t="str">
        <f>VLOOKUP(E2807,Products!$A:$D,4,0)</f>
        <v>Routers</v>
      </c>
      <c r="W2807" t="str">
        <f>VLOOKUP(D2807,Customers!$A:$C,3,0)</f>
        <v>B2C</v>
      </c>
      <c r="X2807" t="str">
        <f>VLOOKUP(C2807,Sales_Representatives!$A:$B,2,0)</f>
        <v>Linda Smith</v>
      </c>
    </row>
    <row r="2808" spans="1:24" x14ac:dyDescent="0.3">
      <c r="A2808" t="s">
        <v>3851</v>
      </c>
      <c r="B2808" t="s">
        <v>3849</v>
      </c>
      <c r="C2808" t="s">
        <v>82</v>
      </c>
      <c r="D2808" t="s">
        <v>3852</v>
      </c>
      <c r="E2808" t="s">
        <v>29</v>
      </c>
      <c r="F2808">
        <v>6</v>
      </c>
      <c r="G2808">
        <v>1363.46</v>
      </c>
      <c r="H2808">
        <v>0.06</v>
      </c>
      <c r="I2808" s="4">
        <v>7689.91</v>
      </c>
      <c r="J2808" t="s">
        <v>34</v>
      </c>
      <c r="K2808" t="s">
        <v>35</v>
      </c>
      <c r="L2808" s="4">
        <f>VLOOKUP(tblTransactions[[#This Row],[Product_ID]],tblProducts[],5,FALSE)</f>
        <v>995.41</v>
      </c>
      <c r="M2808" s="4">
        <f>tblTransactions[[#This Row],[Total_Amount]]-(tblTransactions[[#This Row],[Cost_Prices]]*tblTransactions[[#This Row],[Quantity]]*(1-tblTransactions[[#This Row],[Discount]]))</f>
        <v>2075.7975999999999</v>
      </c>
      <c r="N2808" s="3">
        <f>tblTransactions[[#This Row],[Profit]]/tblTransactions[[#This Row],[Total_Amount]]</f>
        <v>0.26993782762086943</v>
      </c>
      <c r="O2808" t="str">
        <f>TEXT(tblTransactions[[#This Row],[Date]], "MMM-YYYY")</f>
        <v>Aug-2024</v>
      </c>
      <c r="P2808" t="str">
        <f>"Q"&amp;ROUNDUP(MONTH(tblTransactions[[#This Row],[Date]])/3,0)&amp;"-"&amp;YEAR(tblTransactions[[#This Row],[Date]])</f>
        <v>Q3-2024</v>
      </c>
      <c r="Q2808">
        <f>YEAR(tblTransactions[[#This Row],[Date]])</f>
        <v>2024</v>
      </c>
      <c r="R2808" t="str">
        <f>TEXT(tblTransactions[[#This Row],[Date]],"DDDD")</f>
        <v>Tuesday</v>
      </c>
      <c r="S2808">
        <f>MONTH(tblTransactions[[#This Row],[Date]])</f>
        <v>8</v>
      </c>
      <c r="T2808" t="str">
        <f>VLOOKUP(E2808, Products!$A:$B,2,0)</f>
        <v>Phones Ele-3</v>
      </c>
      <c r="U2808" t="str">
        <f>VLOOKUP(E2808,Products!$A:$C,3,0)</f>
        <v>Electronics</v>
      </c>
      <c r="V2808" t="str">
        <f>VLOOKUP(E2808,Products!$A:$D,4,0)</f>
        <v>Phones</v>
      </c>
      <c r="W2808" t="str">
        <f>VLOOKUP(D2808,Customers!$A:$C,3,0)</f>
        <v>B2C</v>
      </c>
      <c r="X2808" t="str">
        <f>VLOOKUP(C2808,Sales_Representatives!$A:$B,2,0)</f>
        <v>John Brown</v>
      </c>
    </row>
    <row r="2809" spans="1:24" x14ac:dyDescent="0.3">
      <c r="A2809" t="s">
        <v>3853</v>
      </c>
      <c r="B2809" t="s">
        <v>3849</v>
      </c>
      <c r="C2809" t="s">
        <v>27</v>
      </c>
      <c r="D2809" t="s">
        <v>1947</v>
      </c>
      <c r="E2809" t="s">
        <v>221</v>
      </c>
      <c r="F2809">
        <v>36</v>
      </c>
      <c r="G2809">
        <v>210.02</v>
      </c>
      <c r="H2809">
        <v>0.18</v>
      </c>
      <c r="I2809" s="4">
        <v>6199.79</v>
      </c>
      <c r="J2809" t="s">
        <v>16</v>
      </c>
      <c r="K2809" t="s">
        <v>48</v>
      </c>
      <c r="L2809" s="4">
        <f>VLOOKUP(tblTransactions[[#This Row],[Product_ID]],tblProducts[],5,FALSE)</f>
        <v>131.66</v>
      </c>
      <c r="M2809" s="4">
        <f>tblTransactions[[#This Row],[Total_Amount]]-(tblTransactions[[#This Row],[Cost_Prices]]*tblTransactions[[#This Row],[Quantity]]*(1-tblTransactions[[#This Row],[Discount]]))</f>
        <v>2313.1867999999995</v>
      </c>
      <c r="N2809" s="3">
        <f>tblTransactions[[#This Row],[Profit]]/tblTransactions[[#This Row],[Total_Amount]]</f>
        <v>0.37310728266602572</v>
      </c>
      <c r="O2809" t="str">
        <f>TEXT(tblTransactions[[#This Row],[Date]], "MMM-YYYY")</f>
        <v>Aug-2024</v>
      </c>
      <c r="P2809" t="str">
        <f>"Q"&amp;ROUNDUP(MONTH(tblTransactions[[#This Row],[Date]])/3,0)&amp;"-"&amp;YEAR(tblTransactions[[#This Row],[Date]])</f>
        <v>Q3-2024</v>
      </c>
      <c r="Q2809">
        <f>YEAR(tblTransactions[[#This Row],[Date]])</f>
        <v>2024</v>
      </c>
      <c r="R2809" t="str">
        <f>TEXT(tblTransactions[[#This Row],[Date]],"DDDD")</f>
        <v>Tuesday</v>
      </c>
      <c r="S2809">
        <f>MONTH(tblTransactions[[#This Row],[Date]])</f>
        <v>8</v>
      </c>
      <c r="T2809" t="str">
        <f>VLOOKUP(E2809, Products!$A:$B,2,0)</f>
        <v>Storage Fur-2</v>
      </c>
      <c r="U2809" t="str">
        <f>VLOOKUP(E2809,Products!$A:$C,3,0)</f>
        <v>Furniture</v>
      </c>
      <c r="V2809" t="str">
        <f>VLOOKUP(E2809,Products!$A:$D,4,0)</f>
        <v>Storage</v>
      </c>
      <c r="W2809" t="str">
        <f>VLOOKUP(D2809,Customers!$A:$C,3,0)</f>
        <v>Enterprise</v>
      </c>
      <c r="X2809" t="str">
        <f>VLOOKUP(C2809,Sales_Representatives!$A:$B,2,0)</f>
        <v>Thomas Lopez</v>
      </c>
    </row>
    <row r="2810" spans="1:24" x14ac:dyDescent="0.3">
      <c r="A2810" t="s">
        <v>3854</v>
      </c>
      <c r="B2810" t="s">
        <v>3849</v>
      </c>
      <c r="C2810" t="s">
        <v>75</v>
      </c>
      <c r="D2810" t="s">
        <v>1741</v>
      </c>
      <c r="E2810" t="s">
        <v>178</v>
      </c>
      <c r="F2810">
        <v>6</v>
      </c>
      <c r="G2810">
        <v>1623.35</v>
      </c>
      <c r="H2810">
        <v>0.15</v>
      </c>
      <c r="I2810" s="4">
        <v>8279.08</v>
      </c>
      <c r="J2810" t="s">
        <v>44</v>
      </c>
      <c r="K2810" t="s">
        <v>48</v>
      </c>
      <c r="L2810" s="4">
        <f>VLOOKUP(tblTransactions[[#This Row],[Product_ID]],tblProducts[],5,FALSE)</f>
        <v>981.45</v>
      </c>
      <c r="M2810" s="4">
        <f>tblTransactions[[#This Row],[Total_Amount]]-(tblTransactions[[#This Row],[Cost_Prices]]*tblTransactions[[#This Row],[Quantity]]*(1-tblTransactions[[#This Row],[Discount]]))</f>
        <v>3273.6849999999995</v>
      </c>
      <c r="N2810" s="3">
        <f>tblTransactions[[#This Row],[Profit]]/tblTransactions[[#This Row],[Total_Amount]]</f>
        <v>0.39541651970991942</v>
      </c>
      <c r="O2810" t="str">
        <f>TEXT(tblTransactions[[#This Row],[Date]], "MMM-YYYY")</f>
        <v>Aug-2024</v>
      </c>
      <c r="P2810" t="str">
        <f>"Q"&amp;ROUNDUP(MONTH(tblTransactions[[#This Row],[Date]])/3,0)&amp;"-"&amp;YEAR(tblTransactions[[#This Row],[Date]])</f>
        <v>Q3-2024</v>
      </c>
      <c r="Q2810">
        <f>YEAR(tblTransactions[[#This Row],[Date]])</f>
        <v>2024</v>
      </c>
      <c r="R2810" t="str">
        <f>TEXT(tblTransactions[[#This Row],[Date]],"DDDD")</f>
        <v>Tuesday</v>
      </c>
      <c r="S2810">
        <f>MONTH(tblTransactions[[#This Row],[Date]])</f>
        <v>8</v>
      </c>
      <c r="T2810" t="str">
        <f>VLOOKUP(E2810, Products!$A:$B,2,0)</f>
        <v>Tablets Ele-1</v>
      </c>
      <c r="U2810" t="str">
        <f>VLOOKUP(E2810,Products!$A:$C,3,0)</f>
        <v>Electronics</v>
      </c>
      <c r="V2810" t="str">
        <f>VLOOKUP(E2810,Products!$A:$D,4,0)</f>
        <v>Tablets</v>
      </c>
      <c r="W2810" t="str">
        <f>VLOOKUP(D2810,Customers!$A:$C,3,0)</f>
        <v>B2B</v>
      </c>
      <c r="X2810" t="str">
        <f>VLOOKUP(C2810,Sales_Representatives!$A:$B,2,0)</f>
        <v>Jessica Anderson</v>
      </c>
    </row>
    <row r="2811" spans="1:24" x14ac:dyDescent="0.3">
      <c r="A2811" t="s">
        <v>3855</v>
      </c>
      <c r="B2811" t="s">
        <v>3849</v>
      </c>
      <c r="C2811" t="s">
        <v>27</v>
      </c>
      <c r="D2811" t="s">
        <v>1543</v>
      </c>
      <c r="E2811" t="s">
        <v>25</v>
      </c>
      <c r="F2811">
        <v>7</v>
      </c>
      <c r="G2811">
        <v>1467.49</v>
      </c>
      <c r="H2811">
        <v>0.13</v>
      </c>
      <c r="I2811" s="4">
        <v>8937.01</v>
      </c>
      <c r="J2811" t="s">
        <v>16</v>
      </c>
      <c r="K2811" t="s">
        <v>39</v>
      </c>
      <c r="L2811" s="4">
        <f>VLOOKUP(tblTransactions[[#This Row],[Product_ID]],tblProducts[],5,FALSE)</f>
        <v>757.65</v>
      </c>
      <c r="M2811" s="4">
        <f>tblTransactions[[#This Row],[Total_Amount]]-(tblTransactions[[#This Row],[Cost_Prices]]*tblTransactions[[#This Row],[Quantity]]*(1-tblTransactions[[#This Row],[Discount]]))</f>
        <v>4322.9215000000004</v>
      </c>
      <c r="N2811" s="3">
        <f>tblTransactions[[#This Row],[Profit]]/tblTransactions[[#This Row],[Total_Amount]]</f>
        <v>0.48371004396324946</v>
      </c>
      <c r="O2811" t="str">
        <f>TEXT(tblTransactions[[#This Row],[Date]], "MMM-YYYY")</f>
        <v>Aug-2024</v>
      </c>
      <c r="P2811" t="str">
        <f>"Q"&amp;ROUNDUP(MONTH(tblTransactions[[#This Row],[Date]])/3,0)&amp;"-"&amp;YEAR(tblTransactions[[#This Row],[Date]])</f>
        <v>Q3-2024</v>
      </c>
      <c r="Q2811">
        <f>YEAR(tblTransactions[[#This Row],[Date]])</f>
        <v>2024</v>
      </c>
      <c r="R2811" t="str">
        <f>TEXT(tblTransactions[[#This Row],[Date]],"DDDD")</f>
        <v>Tuesday</v>
      </c>
      <c r="S2811">
        <f>MONTH(tblTransactions[[#This Row],[Date]])</f>
        <v>8</v>
      </c>
      <c r="T2811" t="str">
        <f>VLOOKUP(E2811, Products!$A:$B,2,0)</f>
        <v>Tables Fur-3</v>
      </c>
      <c r="U2811" t="str">
        <f>VLOOKUP(E2811,Products!$A:$C,3,0)</f>
        <v>Furniture</v>
      </c>
      <c r="V2811" t="str">
        <f>VLOOKUP(E2811,Products!$A:$D,4,0)</f>
        <v>Tables</v>
      </c>
      <c r="W2811" t="str">
        <f>VLOOKUP(D2811,Customers!$A:$C,3,0)</f>
        <v>B2C</v>
      </c>
      <c r="X2811" t="str">
        <f>VLOOKUP(C2811,Sales_Representatives!$A:$B,2,0)</f>
        <v>Thomas Lopez</v>
      </c>
    </row>
    <row r="2812" spans="1:24" x14ac:dyDescent="0.3">
      <c r="A2812" t="s">
        <v>3856</v>
      </c>
      <c r="B2812" t="s">
        <v>3849</v>
      </c>
      <c r="C2812" t="s">
        <v>19</v>
      </c>
      <c r="D2812" t="s">
        <v>1883</v>
      </c>
      <c r="E2812" t="s">
        <v>217</v>
      </c>
      <c r="F2812">
        <v>1</v>
      </c>
      <c r="G2812">
        <v>145.51</v>
      </c>
      <c r="H2812">
        <v>0.05</v>
      </c>
      <c r="I2812" s="4">
        <v>138.22999999999999</v>
      </c>
      <c r="J2812" t="s">
        <v>21</v>
      </c>
      <c r="K2812" t="s">
        <v>22</v>
      </c>
      <c r="L2812" s="4">
        <f>VLOOKUP(tblTransactions[[#This Row],[Product_ID]],tblProducts[],5,FALSE)</f>
        <v>64.510000000000005</v>
      </c>
      <c r="M2812" s="4">
        <f>tblTransactions[[#This Row],[Total_Amount]]-(tblTransactions[[#This Row],[Cost_Prices]]*tblTransactions[[#This Row],[Quantity]]*(1-tblTransactions[[#This Row],[Discount]]))</f>
        <v>76.945499999999981</v>
      </c>
      <c r="N2812" s="3">
        <f>tblTransactions[[#This Row],[Profit]]/tblTransactions[[#This Row],[Total_Amount]]</f>
        <v>0.55664833972364891</v>
      </c>
      <c r="O2812" t="str">
        <f>TEXT(tblTransactions[[#This Row],[Date]], "MMM-YYYY")</f>
        <v>Aug-2024</v>
      </c>
      <c r="P2812" t="str">
        <f>"Q"&amp;ROUNDUP(MONTH(tblTransactions[[#This Row],[Date]])/3,0)&amp;"-"&amp;YEAR(tblTransactions[[#This Row],[Date]])</f>
        <v>Q3-2024</v>
      </c>
      <c r="Q2812">
        <f>YEAR(tblTransactions[[#This Row],[Date]])</f>
        <v>2024</v>
      </c>
      <c r="R2812" t="str">
        <f>TEXT(tblTransactions[[#This Row],[Date]],"DDDD")</f>
        <v>Tuesday</v>
      </c>
      <c r="S2812">
        <f>MONTH(tblTransactions[[#This Row],[Date]])</f>
        <v>8</v>
      </c>
      <c r="T2812" t="str">
        <f>VLOOKUP(E2812, Products!$A:$B,2,0)</f>
        <v>Cables Acc-2</v>
      </c>
      <c r="U2812" t="str">
        <f>VLOOKUP(E2812,Products!$A:$C,3,0)</f>
        <v>Accessories</v>
      </c>
      <c r="V2812" t="str">
        <f>VLOOKUP(E2812,Products!$A:$D,4,0)</f>
        <v>Cables</v>
      </c>
      <c r="W2812" t="str">
        <f>VLOOKUP(D2812,Customers!$A:$C,3,0)</f>
        <v>B2C</v>
      </c>
      <c r="X2812" t="str">
        <f>VLOOKUP(C2812,Sales_Representatives!$A:$B,2,0)</f>
        <v>Robert Jones</v>
      </c>
    </row>
    <row r="2813" spans="1:24" x14ac:dyDescent="0.3">
      <c r="A2813" t="s">
        <v>3857</v>
      </c>
      <c r="B2813" t="s">
        <v>3858</v>
      </c>
      <c r="C2813" t="s">
        <v>107</v>
      </c>
      <c r="D2813" t="s">
        <v>1586</v>
      </c>
      <c r="E2813" t="s">
        <v>113</v>
      </c>
      <c r="F2813">
        <v>10</v>
      </c>
      <c r="G2813">
        <v>930.41</v>
      </c>
      <c r="H2813">
        <v>7.0000000000000007E-2</v>
      </c>
      <c r="I2813" s="4">
        <v>8652.81</v>
      </c>
      <c r="J2813" t="s">
        <v>109</v>
      </c>
      <c r="K2813" t="s">
        <v>22</v>
      </c>
      <c r="L2813" s="4">
        <f>VLOOKUP(tblTransactions[[#This Row],[Product_ID]],tblProducts[],5,FALSE)</f>
        <v>595.51</v>
      </c>
      <c r="M2813" s="4">
        <f>tblTransactions[[#This Row],[Total_Amount]]-(tblTransactions[[#This Row],[Cost_Prices]]*tblTransactions[[#This Row],[Quantity]]*(1-tblTransactions[[#This Row],[Discount]]))</f>
        <v>3114.5669999999991</v>
      </c>
      <c r="N2813" s="3">
        <f>tblTransactions[[#This Row],[Profit]]/tblTransactions[[#This Row],[Total_Amount]]</f>
        <v>0.35994861784784354</v>
      </c>
      <c r="O2813" t="str">
        <f>TEXT(tblTransactions[[#This Row],[Date]], "MMM-YYYY")</f>
        <v>Aug-2024</v>
      </c>
      <c r="P2813" t="str">
        <f>"Q"&amp;ROUNDUP(MONTH(tblTransactions[[#This Row],[Date]])/3,0)&amp;"-"&amp;YEAR(tblTransactions[[#This Row],[Date]])</f>
        <v>Q3-2024</v>
      </c>
      <c r="Q2813">
        <f>YEAR(tblTransactions[[#This Row],[Date]])</f>
        <v>2024</v>
      </c>
      <c r="R2813" t="str">
        <f>TEXT(tblTransactions[[#This Row],[Date]],"DDDD")</f>
        <v>Wednesday</v>
      </c>
      <c r="S2813">
        <f>MONTH(tblTransactions[[#This Row],[Date]])</f>
        <v>8</v>
      </c>
      <c r="T2813" t="str">
        <f>VLOOKUP(E2813, Products!$A:$B,2,0)</f>
        <v>Phones Ele-1</v>
      </c>
      <c r="U2813" t="str">
        <f>VLOOKUP(E2813,Products!$A:$C,3,0)</f>
        <v>Electronics</v>
      </c>
      <c r="V2813" t="str">
        <f>VLOOKUP(E2813,Products!$A:$D,4,0)</f>
        <v>Phones</v>
      </c>
      <c r="W2813" t="str">
        <f>VLOOKUP(D2813,Customers!$A:$C,3,0)</f>
        <v>B2B</v>
      </c>
      <c r="X2813" t="str">
        <f>VLOOKUP(C2813,Sales_Representatives!$A:$B,2,0)</f>
        <v>Jennifer Brown</v>
      </c>
    </row>
    <row r="2814" spans="1:24" x14ac:dyDescent="0.3">
      <c r="A2814" t="s">
        <v>3859</v>
      </c>
      <c r="B2814" t="s">
        <v>3858</v>
      </c>
      <c r="C2814" t="s">
        <v>131</v>
      </c>
      <c r="D2814" t="s">
        <v>1997</v>
      </c>
      <c r="E2814" t="s">
        <v>191</v>
      </c>
      <c r="F2814">
        <v>17</v>
      </c>
      <c r="G2814">
        <v>1012.75</v>
      </c>
      <c r="H2814">
        <v>0.14000000000000001</v>
      </c>
      <c r="I2814" s="4">
        <v>14806.4</v>
      </c>
      <c r="J2814" t="s">
        <v>44</v>
      </c>
      <c r="K2814" t="s">
        <v>22</v>
      </c>
      <c r="L2814" s="4">
        <f>VLOOKUP(tblTransactions[[#This Row],[Product_ID]],tblProducts[],5,FALSE)</f>
        <v>518.53</v>
      </c>
      <c r="M2814" s="4">
        <f>tblTransactions[[#This Row],[Total_Amount]]-(tblTransactions[[#This Row],[Cost_Prices]]*tblTransactions[[#This Row],[Quantity]]*(1-tblTransactions[[#This Row],[Discount]]))</f>
        <v>7225.4913999999999</v>
      </c>
      <c r="N2814" s="3">
        <f>tblTransactions[[#This Row],[Profit]]/tblTransactions[[#This Row],[Total_Amount]]</f>
        <v>0.48799785228009512</v>
      </c>
      <c r="O2814" t="str">
        <f>TEXT(tblTransactions[[#This Row],[Date]], "MMM-YYYY")</f>
        <v>Aug-2024</v>
      </c>
      <c r="P2814" t="str">
        <f>"Q"&amp;ROUNDUP(MONTH(tblTransactions[[#This Row],[Date]])/3,0)&amp;"-"&amp;YEAR(tblTransactions[[#This Row],[Date]])</f>
        <v>Q3-2024</v>
      </c>
      <c r="Q2814">
        <f>YEAR(tblTransactions[[#This Row],[Date]])</f>
        <v>2024</v>
      </c>
      <c r="R2814" t="str">
        <f>TEXT(tblTransactions[[#This Row],[Date]],"DDDD")</f>
        <v>Wednesday</v>
      </c>
      <c r="S2814">
        <f>MONTH(tblTransactions[[#This Row],[Date]])</f>
        <v>8</v>
      </c>
      <c r="T2814" t="str">
        <f>VLOOKUP(E2814, Products!$A:$B,2,0)</f>
        <v>Tables Fur-4</v>
      </c>
      <c r="U2814" t="str">
        <f>VLOOKUP(E2814,Products!$A:$C,3,0)</f>
        <v>Furniture</v>
      </c>
      <c r="V2814" t="str">
        <f>VLOOKUP(E2814,Products!$A:$D,4,0)</f>
        <v>Tables</v>
      </c>
      <c r="W2814" t="str">
        <f>VLOOKUP(D2814,Customers!$A:$C,3,0)</f>
        <v>B2B</v>
      </c>
      <c r="X2814" t="str">
        <f>VLOOKUP(C2814,Sales_Representatives!$A:$B,2,0)</f>
        <v>Michael Davis</v>
      </c>
    </row>
    <row r="2815" spans="1:24" x14ac:dyDescent="0.3">
      <c r="A2815" t="s">
        <v>3860</v>
      </c>
      <c r="B2815" t="s">
        <v>3858</v>
      </c>
      <c r="C2815" t="s">
        <v>107</v>
      </c>
      <c r="D2815" t="s">
        <v>3861</v>
      </c>
      <c r="E2815" t="s">
        <v>38</v>
      </c>
      <c r="F2815">
        <v>14</v>
      </c>
      <c r="G2815">
        <v>581.47</v>
      </c>
      <c r="H2815">
        <v>0.14000000000000001</v>
      </c>
      <c r="I2815" s="4">
        <v>7000.9</v>
      </c>
      <c r="J2815" t="s">
        <v>109</v>
      </c>
      <c r="K2815" t="s">
        <v>35</v>
      </c>
      <c r="L2815" s="4">
        <f>VLOOKUP(tblTransactions[[#This Row],[Product_ID]],tblProducts[],5,FALSE)</f>
        <v>372.07</v>
      </c>
      <c r="M2815" s="4">
        <f>tblTransactions[[#This Row],[Total_Amount]]-(tblTransactions[[#This Row],[Cost_Prices]]*tblTransactions[[#This Row],[Quantity]]*(1-tblTransactions[[#This Row],[Discount]]))</f>
        <v>2521.1772000000001</v>
      </c>
      <c r="N2815" s="3">
        <f>tblTransactions[[#This Row],[Profit]]/tblTransactions[[#This Row],[Total_Amount]]</f>
        <v>0.3601218700452799</v>
      </c>
      <c r="O2815" t="str">
        <f>TEXT(tblTransactions[[#This Row],[Date]], "MMM-YYYY")</f>
        <v>Aug-2024</v>
      </c>
      <c r="P2815" t="str">
        <f>"Q"&amp;ROUNDUP(MONTH(tblTransactions[[#This Row],[Date]])/3,0)&amp;"-"&amp;YEAR(tblTransactions[[#This Row],[Date]])</f>
        <v>Q3-2024</v>
      </c>
      <c r="Q2815">
        <f>YEAR(tblTransactions[[#This Row],[Date]])</f>
        <v>2024</v>
      </c>
      <c r="R2815" t="str">
        <f>TEXT(tblTransactions[[#This Row],[Date]],"DDDD")</f>
        <v>Wednesday</v>
      </c>
      <c r="S2815">
        <f>MONTH(tblTransactions[[#This Row],[Date]])</f>
        <v>8</v>
      </c>
      <c r="T2815" t="str">
        <f>VLOOKUP(E2815, Products!$A:$B,2,0)</f>
        <v>Storage Fur-3</v>
      </c>
      <c r="U2815" t="str">
        <f>VLOOKUP(E2815,Products!$A:$C,3,0)</f>
        <v>Furniture</v>
      </c>
      <c r="V2815" t="str">
        <f>VLOOKUP(E2815,Products!$A:$D,4,0)</f>
        <v>Storage</v>
      </c>
      <c r="W2815" t="str">
        <f>VLOOKUP(D2815,Customers!$A:$C,3,0)</f>
        <v>Enterprise</v>
      </c>
      <c r="X2815" t="str">
        <f>VLOOKUP(C2815,Sales_Representatives!$A:$B,2,0)</f>
        <v>Jennifer Brown</v>
      </c>
    </row>
    <row r="2816" spans="1:24" x14ac:dyDescent="0.3">
      <c r="A2816" t="s">
        <v>3862</v>
      </c>
      <c r="B2816" t="s">
        <v>3863</v>
      </c>
      <c r="C2816" t="s">
        <v>82</v>
      </c>
      <c r="D2816" t="s">
        <v>1832</v>
      </c>
      <c r="E2816" t="s">
        <v>191</v>
      </c>
      <c r="F2816">
        <v>3</v>
      </c>
      <c r="G2816">
        <v>1012.75</v>
      </c>
      <c r="H2816">
        <v>0.03</v>
      </c>
      <c r="I2816" s="4">
        <v>2947.1</v>
      </c>
      <c r="J2816" t="s">
        <v>34</v>
      </c>
      <c r="K2816" t="s">
        <v>35</v>
      </c>
      <c r="L2816" s="4">
        <f>VLOOKUP(tblTransactions[[#This Row],[Product_ID]],tblProducts[],5,FALSE)</f>
        <v>518.53</v>
      </c>
      <c r="M2816" s="4">
        <f>tblTransactions[[#This Row],[Total_Amount]]-(tblTransactions[[#This Row],[Cost_Prices]]*tblTransactions[[#This Row],[Quantity]]*(1-tblTransactions[[#This Row],[Discount]]))</f>
        <v>1438.1777</v>
      </c>
      <c r="N2816" s="3">
        <f>tblTransactions[[#This Row],[Profit]]/tblTransactions[[#This Row],[Total_Amount]]</f>
        <v>0.48799759085202404</v>
      </c>
      <c r="O2816" t="str">
        <f>TEXT(tblTransactions[[#This Row],[Date]], "MMM-YYYY")</f>
        <v>Aug-2024</v>
      </c>
      <c r="P2816" t="str">
        <f>"Q"&amp;ROUNDUP(MONTH(tblTransactions[[#This Row],[Date]])/3,0)&amp;"-"&amp;YEAR(tblTransactions[[#This Row],[Date]])</f>
        <v>Q3-2024</v>
      </c>
      <c r="Q2816">
        <f>YEAR(tblTransactions[[#This Row],[Date]])</f>
        <v>2024</v>
      </c>
      <c r="R2816" t="str">
        <f>TEXT(tblTransactions[[#This Row],[Date]],"DDDD")</f>
        <v>Thursday</v>
      </c>
      <c r="S2816">
        <f>MONTH(tblTransactions[[#This Row],[Date]])</f>
        <v>8</v>
      </c>
      <c r="T2816" t="str">
        <f>VLOOKUP(E2816, Products!$A:$B,2,0)</f>
        <v>Tables Fur-4</v>
      </c>
      <c r="U2816" t="str">
        <f>VLOOKUP(E2816,Products!$A:$C,3,0)</f>
        <v>Furniture</v>
      </c>
      <c r="V2816" t="str">
        <f>VLOOKUP(E2816,Products!$A:$D,4,0)</f>
        <v>Tables</v>
      </c>
      <c r="W2816" t="str">
        <f>VLOOKUP(D2816,Customers!$A:$C,3,0)</f>
        <v>Small Business</v>
      </c>
      <c r="X2816" t="str">
        <f>VLOOKUP(C2816,Sales_Representatives!$A:$B,2,0)</f>
        <v>John Brown</v>
      </c>
    </row>
    <row r="2817" spans="1:24" x14ac:dyDescent="0.3">
      <c r="A2817" t="s">
        <v>3864</v>
      </c>
      <c r="B2817" t="s">
        <v>3865</v>
      </c>
      <c r="C2817" t="s">
        <v>127</v>
      </c>
      <c r="D2817" t="s">
        <v>2417</v>
      </c>
      <c r="E2817" t="s">
        <v>200</v>
      </c>
      <c r="F2817">
        <v>17</v>
      </c>
      <c r="G2817">
        <v>544.77</v>
      </c>
      <c r="H2817">
        <v>0.11</v>
      </c>
      <c r="I2817" s="4">
        <v>8242.3700000000008</v>
      </c>
      <c r="J2817" t="s">
        <v>109</v>
      </c>
      <c r="K2817" t="s">
        <v>48</v>
      </c>
      <c r="L2817" s="4">
        <f>VLOOKUP(tblTransactions[[#This Row],[Product_ID]],tblProducts[],5,FALSE)</f>
        <v>318.2</v>
      </c>
      <c r="M2817" s="4">
        <f>tblTransactions[[#This Row],[Total_Amount]]-(tblTransactions[[#This Row],[Cost_Prices]]*tblTransactions[[#This Row],[Quantity]]*(1-tblTransactions[[#This Row],[Discount]]))</f>
        <v>3428.0040000000008</v>
      </c>
      <c r="N2817" s="3">
        <f>tblTransactions[[#This Row],[Profit]]/tblTransactions[[#This Row],[Total_Amount]]</f>
        <v>0.41590028110846766</v>
      </c>
      <c r="O2817" t="str">
        <f>TEXT(tblTransactions[[#This Row],[Date]], "MMM-YYYY")</f>
        <v>Aug-2024</v>
      </c>
      <c r="P2817" t="str">
        <f>"Q"&amp;ROUNDUP(MONTH(tblTransactions[[#This Row],[Date]])/3,0)&amp;"-"&amp;YEAR(tblTransactions[[#This Row],[Date]])</f>
        <v>Q3-2024</v>
      </c>
      <c r="Q2817">
        <f>YEAR(tblTransactions[[#This Row],[Date]])</f>
        <v>2024</v>
      </c>
      <c r="R2817" t="str">
        <f>TEXT(tblTransactions[[#This Row],[Date]],"DDDD")</f>
        <v>Friday</v>
      </c>
      <c r="S2817">
        <f>MONTH(tblTransactions[[#This Row],[Date]])</f>
        <v>8</v>
      </c>
      <c r="T2817" t="str">
        <f>VLOOKUP(E2817, Products!$A:$B,2,0)</f>
        <v>Desks Fur-4</v>
      </c>
      <c r="U2817" t="str">
        <f>VLOOKUP(E2817,Products!$A:$C,3,0)</f>
        <v>Furniture</v>
      </c>
      <c r="V2817" t="str">
        <f>VLOOKUP(E2817,Products!$A:$D,4,0)</f>
        <v>Desks</v>
      </c>
      <c r="W2817" t="str">
        <f>VLOOKUP(D2817,Customers!$A:$C,3,0)</f>
        <v>B2B</v>
      </c>
      <c r="X2817" t="str">
        <f>VLOOKUP(C2817,Sales_Representatives!$A:$B,2,0)</f>
        <v>Emily Hernandez</v>
      </c>
    </row>
    <row r="2818" spans="1:24" x14ac:dyDescent="0.3">
      <c r="A2818" t="s">
        <v>3866</v>
      </c>
      <c r="B2818" t="s">
        <v>3865</v>
      </c>
      <c r="C2818" t="s">
        <v>27</v>
      </c>
      <c r="D2818" t="s">
        <v>1862</v>
      </c>
      <c r="E2818" t="s">
        <v>255</v>
      </c>
      <c r="F2818">
        <v>10</v>
      </c>
      <c r="G2818">
        <v>1444.13</v>
      </c>
      <c r="H2818">
        <v>0.1</v>
      </c>
      <c r="I2818" s="4">
        <v>12997.17</v>
      </c>
      <c r="J2818" t="s">
        <v>16</v>
      </c>
      <c r="K2818" t="s">
        <v>39</v>
      </c>
      <c r="L2818" s="4">
        <f>VLOOKUP(tblTransactions[[#This Row],[Product_ID]],tblProducts[],5,FALSE)</f>
        <v>874.43</v>
      </c>
      <c r="M2818" s="4">
        <f>tblTransactions[[#This Row],[Total_Amount]]-(tblTransactions[[#This Row],[Cost_Prices]]*tblTransactions[[#This Row],[Quantity]]*(1-tblTransactions[[#This Row],[Discount]]))</f>
        <v>5127.3</v>
      </c>
      <c r="N2818" s="3">
        <f>tblTransactions[[#This Row],[Profit]]/tblTransactions[[#This Row],[Total_Amount]]</f>
        <v>0.39449357052342932</v>
      </c>
      <c r="O2818" t="str">
        <f>TEXT(tblTransactions[[#This Row],[Date]], "MMM-YYYY")</f>
        <v>Aug-2024</v>
      </c>
      <c r="P2818" t="str">
        <f>"Q"&amp;ROUNDUP(MONTH(tblTransactions[[#This Row],[Date]])/3,0)&amp;"-"&amp;YEAR(tblTransactions[[#This Row],[Date]])</f>
        <v>Q3-2024</v>
      </c>
      <c r="Q2818">
        <f>YEAR(tblTransactions[[#This Row],[Date]])</f>
        <v>2024</v>
      </c>
      <c r="R2818" t="str">
        <f>TEXT(tblTransactions[[#This Row],[Date]],"DDDD")</f>
        <v>Friday</v>
      </c>
      <c r="S2818">
        <f>MONTH(tblTransactions[[#This Row],[Date]])</f>
        <v>8</v>
      </c>
      <c r="T2818" t="str">
        <f>VLOOKUP(E2818, Products!$A:$B,2,0)</f>
        <v>Printers Tec-1</v>
      </c>
      <c r="U2818" t="str">
        <f>VLOOKUP(E2818,Products!$A:$C,3,0)</f>
        <v>Technology</v>
      </c>
      <c r="V2818" t="str">
        <f>VLOOKUP(E2818,Products!$A:$D,4,0)</f>
        <v>Printers</v>
      </c>
      <c r="W2818" t="str">
        <f>VLOOKUP(D2818,Customers!$A:$C,3,0)</f>
        <v>B2B</v>
      </c>
      <c r="X2818" t="str">
        <f>VLOOKUP(C2818,Sales_Representatives!$A:$B,2,0)</f>
        <v>Thomas Lopez</v>
      </c>
    </row>
    <row r="2819" spans="1:24" x14ac:dyDescent="0.3">
      <c r="A2819" t="s">
        <v>3867</v>
      </c>
      <c r="B2819" t="s">
        <v>3865</v>
      </c>
      <c r="C2819" t="s">
        <v>19</v>
      </c>
      <c r="D2819" t="s">
        <v>1569</v>
      </c>
      <c r="E2819" t="s">
        <v>53</v>
      </c>
      <c r="F2819">
        <v>5</v>
      </c>
      <c r="G2819">
        <v>2069.2199999999998</v>
      </c>
      <c r="H2819">
        <v>0.06</v>
      </c>
      <c r="I2819" s="4">
        <v>9725.33</v>
      </c>
      <c r="J2819" t="s">
        <v>21</v>
      </c>
      <c r="K2819" t="s">
        <v>39</v>
      </c>
      <c r="L2819" s="4">
        <f>VLOOKUP(tblTransactions[[#This Row],[Product_ID]],tblProducts[],5,FALSE)</f>
        <v>1451.18</v>
      </c>
      <c r="M2819" s="4">
        <f>tblTransactions[[#This Row],[Total_Amount]]-(tblTransactions[[#This Row],[Cost_Prices]]*tblTransactions[[#This Row],[Quantity]]*(1-tblTransactions[[#This Row],[Discount]]))</f>
        <v>2904.7839999999997</v>
      </c>
      <c r="N2819" s="3">
        <f>tblTransactions[[#This Row],[Profit]]/tblTransactions[[#This Row],[Total_Amount]]</f>
        <v>0.29868230692428943</v>
      </c>
      <c r="O2819" t="str">
        <f>TEXT(tblTransactions[[#This Row],[Date]], "MMM-YYYY")</f>
        <v>Aug-2024</v>
      </c>
      <c r="P2819" t="str">
        <f>"Q"&amp;ROUNDUP(MONTH(tblTransactions[[#This Row],[Date]])/3,0)&amp;"-"&amp;YEAR(tblTransactions[[#This Row],[Date]])</f>
        <v>Q3-2024</v>
      </c>
      <c r="Q2819">
        <f>YEAR(tblTransactions[[#This Row],[Date]])</f>
        <v>2024</v>
      </c>
      <c r="R2819" t="str">
        <f>TEXT(tblTransactions[[#This Row],[Date]],"DDDD")</f>
        <v>Friday</v>
      </c>
      <c r="S2819">
        <f>MONTH(tblTransactions[[#This Row],[Date]])</f>
        <v>8</v>
      </c>
      <c r="T2819" t="str">
        <f>VLOOKUP(E2819, Products!$A:$B,2,0)</f>
        <v>Printers Tec-3</v>
      </c>
      <c r="U2819" t="str">
        <f>VLOOKUP(E2819,Products!$A:$C,3,0)</f>
        <v>Technology</v>
      </c>
      <c r="V2819" t="str">
        <f>VLOOKUP(E2819,Products!$A:$D,4,0)</f>
        <v>Printers</v>
      </c>
      <c r="W2819" t="str">
        <f>VLOOKUP(D2819,Customers!$A:$C,3,0)</f>
        <v>Small Business</v>
      </c>
      <c r="X2819" t="str">
        <f>VLOOKUP(C2819,Sales_Representatives!$A:$B,2,0)</f>
        <v>Robert Jones</v>
      </c>
    </row>
    <row r="2820" spans="1:24" x14ac:dyDescent="0.3">
      <c r="A2820" t="s">
        <v>3868</v>
      </c>
      <c r="B2820" t="s">
        <v>3865</v>
      </c>
      <c r="C2820" t="s">
        <v>127</v>
      </c>
      <c r="D2820" t="s">
        <v>1559</v>
      </c>
      <c r="E2820" t="s">
        <v>178</v>
      </c>
      <c r="F2820">
        <v>7</v>
      </c>
      <c r="G2820">
        <v>1623.35</v>
      </c>
      <c r="H2820">
        <v>0.11</v>
      </c>
      <c r="I2820" s="4">
        <v>10113.469999999999</v>
      </c>
      <c r="J2820" t="s">
        <v>109</v>
      </c>
      <c r="K2820" t="s">
        <v>39</v>
      </c>
      <c r="L2820" s="4">
        <f>VLOOKUP(tblTransactions[[#This Row],[Product_ID]],tblProducts[],5,FALSE)</f>
        <v>981.45</v>
      </c>
      <c r="M2820" s="4">
        <f>tblTransactions[[#This Row],[Total_Amount]]-(tblTransactions[[#This Row],[Cost_Prices]]*tblTransactions[[#This Row],[Quantity]]*(1-tblTransactions[[#This Row],[Discount]]))</f>
        <v>3999.0364999999983</v>
      </c>
      <c r="N2820" s="3">
        <f>tblTransactions[[#This Row],[Profit]]/tblTransactions[[#This Row],[Total_Amount]]</f>
        <v>0.3954168549469172</v>
      </c>
      <c r="O2820" t="str">
        <f>TEXT(tblTransactions[[#This Row],[Date]], "MMM-YYYY")</f>
        <v>Aug-2024</v>
      </c>
      <c r="P2820" t="str">
        <f>"Q"&amp;ROUNDUP(MONTH(tblTransactions[[#This Row],[Date]])/3,0)&amp;"-"&amp;YEAR(tblTransactions[[#This Row],[Date]])</f>
        <v>Q3-2024</v>
      </c>
      <c r="Q2820">
        <f>YEAR(tblTransactions[[#This Row],[Date]])</f>
        <v>2024</v>
      </c>
      <c r="R2820" t="str">
        <f>TEXT(tblTransactions[[#This Row],[Date]],"DDDD")</f>
        <v>Friday</v>
      </c>
      <c r="S2820">
        <f>MONTH(tblTransactions[[#This Row],[Date]])</f>
        <v>8</v>
      </c>
      <c r="T2820" t="str">
        <f>VLOOKUP(E2820, Products!$A:$B,2,0)</f>
        <v>Tablets Ele-1</v>
      </c>
      <c r="U2820" t="str">
        <f>VLOOKUP(E2820,Products!$A:$C,3,0)</f>
        <v>Electronics</v>
      </c>
      <c r="V2820" t="str">
        <f>VLOOKUP(E2820,Products!$A:$D,4,0)</f>
        <v>Tablets</v>
      </c>
      <c r="W2820" t="str">
        <f>VLOOKUP(D2820,Customers!$A:$C,3,0)</f>
        <v>B2B</v>
      </c>
      <c r="X2820" t="str">
        <f>VLOOKUP(C2820,Sales_Representatives!$A:$B,2,0)</f>
        <v>Emily Hernandez</v>
      </c>
    </row>
    <row r="2821" spans="1:24" x14ac:dyDescent="0.3">
      <c r="A2821" t="s">
        <v>3869</v>
      </c>
      <c r="B2821" t="s">
        <v>3870</v>
      </c>
      <c r="C2821" t="s">
        <v>27</v>
      </c>
      <c r="D2821" t="s">
        <v>1578</v>
      </c>
      <c r="E2821" t="s">
        <v>25</v>
      </c>
      <c r="F2821">
        <v>30</v>
      </c>
      <c r="G2821">
        <v>1467.49</v>
      </c>
      <c r="H2821">
        <v>0.19</v>
      </c>
      <c r="I2821" s="4">
        <v>35660.01</v>
      </c>
      <c r="J2821" t="s">
        <v>16</v>
      </c>
      <c r="K2821" t="s">
        <v>22</v>
      </c>
      <c r="L2821" s="4">
        <f>VLOOKUP(tblTransactions[[#This Row],[Product_ID]],tblProducts[],5,FALSE)</f>
        <v>757.65</v>
      </c>
      <c r="M2821" s="4">
        <f>tblTransactions[[#This Row],[Total_Amount]]-(tblTransactions[[#This Row],[Cost_Prices]]*tblTransactions[[#This Row],[Quantity]]*(1-tblTransactions[[#This Row],[Discount]]))</f>
        <v>17249.115000000002</v>
      </c>
      <c r="N2821" s="3">
        <f>tblTransactions[[#This Row],[Profit]]/tblTransactions[[#This Row],[Total_Amount]]</f>
        <v>0.48371032425397525</v>
      </c>
      <c r="O2821" t="str">
        <f>TEXT(tblTransactions[[#This Row],[Date]], "MMM-YYYY")</f>
        <v>Aug-2024</v>
      </c>
      <c r="P2821" t="str">
        <f>"Q"&amp;ROUNDUP(MONTH(tblTransactions[[#This Row],[Date]])/3,0)&amp;"-"&amp;YEAR(tblTransactions[[#This Row],[Date]])</f>
        <v>Q3-2024</v>
      </c>
      <c r="Q2821">
        <f>YEAR(tblTransactions[[#This Row],[Date]])</f>
        <v>2024</v>
      </c>
      <c r="R2821" t="str">
        <f>TEXT(tblTransactions[[#This Row],[Date]],"DDDD")</f>
        <v>Saturday</v>
      </c>
      <c r="S2821">
        <f>MONTH(tblTransactions[[#This Row],[Date]])</f>
        <v>8</v>
      </c>
      <c r="T2821" t="str">
        <f>VLOOKUP(E2821, Products!$A:$B,2,0)</f>
        <v>Tables Fur-3</v>
      </c>
      <c r="U2821" t="str">
        <f>VLOOKUP(E2821,Products!$A:$C,3,0)</f>
        <v>Furniture</v>
      </c>
      <c r="V2821" t="str">
        <f>VLOOKUP(E2821,Products!$A:$D,4,0)</f>
        <v>Tables</v>
      </c>
      <c r="W2821" t="str">
        <f>VLOOKUP(D2821,Customers!$A:$C,3,0)</f>
        <v>Enterprise</v>
      </c>
      <c r="X2821" t="str">
        <f>VLOOKUP(C2821,Sales_Representatives!$A:$B,2,0)</f>
        <v>Thomas Lopez</v>
      </c>
    </row>
    <row r="2822" spans="1:24" x14ac:dyDescent="0.3">
      <c r="A2822" t="s">
        <v>3871</v>
      </c>
      <c r="B2822" t="s">
        <v>3870</v>
      </c>
      <c r="C2822" t="s">
        <v>82</v>
      </c>
      <c r="D2822" t="s">
        <v>2505</v>
      </c>
      <c r="E2822" t="s">
        <v>87</v>
      </c>
      <c r="F2822">
        <v>7</v>
      </c>
      <c r="G2822">
        <v>1047.8900000000001</v>
      </c>
      <c r="H2822">
        <v>0.06</v>
      </c>
      <c r="I2822" s="4">
        <v>6895.12</v>
      </c>
      <c r="J2822" t="s">
        <v>34</v>
      </c>
      <c r="K2822" t="s">
        <v>48</v>
      </c>
      <c r="L2822" s="4">
        <f>VLOOKUP(tblTransactions[[#This Row],[Product_ID]],tblProducts[],5,FALSE)</f>
        <v>742.63</v>
      </c>
      <c r="M2822" s="4">
        <f>tblTransactions[[#This Row],[Total_Amount]]-(tblTransactions[[#This Row],[Cost_Prices]]*tblTransactions[[#This Row],[Quantity]]*(1-tblTransactions[[#This Row],[Discount]]))</f>
        <v>2008.6145999999999</v>
      </c>
      <c r="N2822" s="3">
        <f>tblTransactions[[#This Row],[Profit]]/tblTransactions[[#This Row],[Total_Amount]]</f>
        <v>0.29130959287148012</v>
      </c>
      <c r="O2822" t="str">
        <f>TEXT(tblTransactions[[#This Row],[Date]], "MMM-YYYY")</f>
        <v>Aug-2024</v>
      </c>
      <c r="P2822" t="str">
        <f>"Q"&amp;ROUNDUP(MONTH(tblTransactions[[#This Row],[Date]])/3,0)&amp;"-"&amp;YEAR(tblTransactions[[#This Row],[Date]])</f>
        <v>Q3-2024</v>
      </c>
      <c r="Q2822">
        <f>YEAR(tblTransactions[[#This Row],[Date]])</f>
        <v>2024</v>
      </c>
      <c r="R2822" t="str">
        <f>TEXT(tblTransactions[[#This Row],[Date]],"DDDD")</f>
        <v>Saturday</v>
      </c>
      <c r="S2822">
        <f>MONTH(tblTransactions[[#This Row],[Date]])</f>
        <v>8</v>
      </c>
      <c r="T2822" t="str">
        <f>VLOOKUP(E2822, Products!$A:$B,2,0)</f>
        <v>Monitors Tec-2</v>
      </c>
      <c r="U2822" t="str">
        <f>VLOOKUP(E2822,Products!$A:$C,3,0)</f>
        <v>Technology</v>
      </c>
      <c r="V2822" t="str">
        <f>VLOOKUP(E2822,Products!$A:$D,4,0)</f>
        <v>Monitors</v>
      </c>
      <c r="W2822" t="str">
        <f>VLOOKUP(D2822,Customers!$A:$C,3,0)</f>
        <v>B2C</v>
      </c>
      <c r="X2822" t="str">
        <f>VLOOKUP(C2822,Sales_Representatives!$A:$B,2,0)</f>
        <v>John Brown</v>
      </c>
    </row>
    <row r="2823" spans="1:24" x14ac:dyDescent="0.3">
      <c r="A2823" t="s">
        <v>3872</v>
      </c>
      <c r="B2823" t="s">
        <v>3870</v>
      </c>
      <c r="C2823" t="s">
        <v>82</v>
      </c>
      <c r="D2823" t="s">
        <v>1699</v>
      </c>
      <c r="E2823" t="s">
        <v>157</v>
      </c>
      <c r="F2823">
        <v>11</v>
      </c>
      <c r="G2823">
        <v>1227.68</v>
      </c>
      <c r="H2823">
        <v>0.15</v>
      </c>
      <c r="I2823" s="4">
        <v>11478.81</v>
      </c>
      <c r="J2823" t="s">
        <v>34</v>
      </c>
      <c r="K2823" t="s">
        <v>35</v>
      </c>
      <c r="L2823" s="4">
        <f>VLOOKUP(tblTransactions[[#This Row],[Product_ID]],tblProducts[],5,FALSE)</f>
        <v>846.42</v>
      </c>
      <c r="M2823" s="4">
        <f>tblTransactions[[#This Row],[Total_Amount]]-(tblTransactions[[#This Row],[Cost_Prices]]*tblTransactions[[#This Row],[Quantity]]*(1-tblTransactions[[#This Row],[Discount]]))</f>
        <v>3564.7830000000004</v>
      </c>
      <c r="N2823" s="3">
        <f>tblTransactions[[#This Row],[Profit]]/tblTransactions[[#This Row],[Total_Amount]]</f>
        <v>0.31055335875408691</v>
      </c>
      <c r="O2823" t="str">
        <f>TEXT(tblTransactions[[#This Row],[Date]], "MMM-YYYY")</f>
        <v>Aug-2024</v>
      </c>
      <c r="P2823" t="str">
        <f>"Q"&amp;ROUNDUP(MONTH(tblTransactions[[#This Row],[Date]])/3,0)&amp;"-"&amp;YEAR(tblTransactions[[#This Row],[Date]])</f>
        <v>Q3-2024</v>
      </c>
      <c r="Q2823">
        <f>YEAR(tblTransactions[[#This Row],[Date]])</f>
        <v>2024</v>
      </c>
      <c r="R2823" t="str">
        <f>TEXT(tblTransactions[[#This Row],[Date]],"DDDD")</f>
        <v>Saturday</v>
      </c>
      <c r="S2823">
        <f>MONTH(tblTransactions[[#This Row],[Date]])</f>
        <v>8</v>
      </c>
      <c r="T2823" t="str">
        <f>VLOOKUP(E2823, Products!$A:$B,2,0)</f>
        <v>Printers Tec-4</v>
      </c>
      <c r="U2823" t="str">
        <f>VLOOKUP(E2823,Products!$A:$C,3,0)</f>
        <v>Technology</v>
      </c>
      <c r="V2823" t="str">
        <f>VLOOKUP(E2823,Products!$A:$D,4,0)</f>
        <v>Printers</v>
      </c>
      <c r="W2823" t="str">
        <f>VLOOKUP(D2823,Customers!$A:$C,3,0)</f>
        <v>B2B</v>
      </c>
      <c r="X2823" t="str">
        <f>VLOOKUP(C2823,Sales_Representatives!$A:$B,2,0)</f>
        <v>John Brown</v>
      </c>
    </row>
    <row r="2824" spans="1:24" x14ac:dyDescent="0.3">
      <c r="A2824" t="s">
        <v>3873</v>
      </c>
      <c r="B2824" t="s">
        <v>3870</v>
      </c>
      <c r="C2824" t="s">
        <v>63</v>
      </c>
      <c r="D2824" t="s">
        <v>2485</v>
      </c>
      <c r="E2824" t="s">
        <v>339</v>
      </c>
      <c r="F2824">
        <v>12</v>
      </c>
      <c r="G2824">
        <v>1100.8800000000001</v>
      </c>
      <c r="H2824">
        <v>0.11</v>
      </c>
      <c r="I2824" s="4">
        <v>11757.4</v>
      </c>
      <c r="J2824" t="s">
        <v>21</v>
      </c>
      <c r="K2824" t="s">
        <v>17</v>
      </c>
      <c r="L2824" s="4">
        <f>VLOOKUP(tblTransactions[[#This Row],[Product_ID]],tblProducts[],5,FALSE)</f>
        <v>761.53</v>
      </c>
      <c r="M2824" s="4">
        <f>tblTransactions[[#This Row],[Total_Amount]]-(tblTransactions[[#This Row],[Cost_Prices]]*tblTransactions[[#This Row],[Quantity]]*(1-tblTransactions[[#This Row],[Discount]]))</f>
        <v>3624.2595999999994</v>
      </c>
      <c r="N2824" s="3">
        <f>tblTransactions[[#This Row],[Profit]]/tblTransactions[[#This Row],[Total_Amount]]</f>
        <v>0.30825349141817066</v>
      </c>
      <c r="O2824" t="str">
        <f>TEXT(tblTransactions[[#This Row],[Date]], "MMM-YYYY")</f>
        <v>Aug-2024</v>
      </c>
      <c r="P2824" t="str">
        <f>"Q"&amp;ROUNDUP(MONTH(tblTransactions[[#This Row],[Date]])/3,0)&amp;"-"&amp;YEAR(tblTransactions[[#This Row],[Date]])</f>
        <v>Q3-2024</v>
      </c>
      <c r="Q2824">
        <f>YEAR(tblTransactions[[#This Row],[Date]])</f>
        <v>2024</v>
      </c>
      <c r="R2824" t="str">
        <f>TEXT(tblTransactions[[#This Row],[Date]],"DDDD")</f>
        <v>Saturday</v>
      </c>
      <c r="S2824">
        <f>MONTH(tblTransactions[[#This Row],[Date]])</f>
        <v>8</v>
      </c>
      <c r="T2824" t="str">
        <f>VLOOKUP(E2824, Products!$A:$B,2,0)</f>
        <v>Phones Ele-2</v>
      </c>
      <c r="U2824" t="str">
        <f>VLOOKUP(E2824,Products!$A:$C,3,0)</f>
        <v>Electronics</v>
      </c>
      <c r="V2824" t="str">
        <f>VLOOKUP(E2824,Products!$A:$D,4,0)</f>
        <v>Phones</v>
      </c>
      <c r="W2824" t="str">
        <f>VLOOKUP(D2824,Customers!$A:$C,3,0)</f>
        <v>B2B</v>
      </c>
      <c r="X2824" t="str">
        <f>VLOOKUP(C2824,Sales_Representatives!$A:$B,2,0)</f>
        <v>Richard Wilson</v>
      </c>
    </row>
    <row r="2825" spans="1:24" x14ac:dyDescent="0.3">
      <c r="A2825" t="s">
        <v>3874</v>
      </c>
      <c r="B2825" t="s">
        <v>3870</v>
      </c>
      <c r="C2825" t="s">
        <v>63</v>
      </c>
      <c r="D2825" t="s">
        <v>1439</v>
      </c>
      <c r="E2825" t="s">
        <v>450</v>
      </c>
      <c r="F2825">
        <v>6</v>
      </c>
      <c r="G2825">
        <v>2083.92</v>
      </c>
      <c r="H2825">
        <v>0.13</v>
      </c>
      <c r="I2825" s="4">
        <v>10878.06</v>
      </c>
      <c r="J2825" t="s">
        <v>21</v>
      </c>
      <c r="K2825" t="s">
        <v>35</v>
      </c>
      <c r="L2825" s="4">
        <f>VLOOKUP(tblTransactions[[#This Row],[Product_ID]],tblProducts[],5,FALSE)</f>
        <v>1425.78</v>
      </c>
      <c r="M2825" s="4">
        <f>tblTransactions[[#This Row],[Total_Amount]]-(tblTransactions[[#This Row],[Cost_Prices]]*tblTransactions[[#This Row],[Quantity]]*(1-tblTransactions[[#This Row],[Discount]]))</f>
        <v>3435.4883999999993</v>
      </c>
      <c r="N2825" s="3">
        <f>tblTransactions[[#This Row],[Profit]]/tblTransactions[[#This Row],[Total_Amount]]</f>
        <v>0.31581811462705661</v>
      </c>
      <c r="O2825" t="str">
        <f>TEXT(tblTransactions[[#This Row],[Date]], "MMM-YYYY")</f>
        <v>Aug-2024</v>
      </c>
      <c r="P2825" t="str">
        <f>"Q"&amp;ROUNDUP(MONTH(tblTransactions[[#This Row],[Date]])/3,0)&amp;"-"&amp;YEAR(tblTransactions[[#This Row],[Date]])</f>
        <v>Q3-2024</v>
      </c>
      <c r="Q2825">
        <f>YEAR(tblTransactions[[#This Row],[Date]])</f>
        <v>2024</v>
      </c>
      <c r="R2825" t="str">
        <f>TEXT(tblTransactions[[#This Row],[Date]],"DDDD")</f>
        <v>Saturday</v>
      </c>
      <c r="S2825">
        <f>MONTH(tblTransactions[[#This Row],[Date]])</f>
        <v>8</v>
      </c>
      <c r="T2825" t="str">
        <f>VLOOKUP(E2825, Products!$A:$B,2,0)</f>
        <v>Monitors Tec-4</v>
      </c>
      <c r="U2825" t="str">
        <f>VLOOKUP(E2825,Products!$A:$C,3,0)</f>
        <v>Technology</v>
      </c>
      <c r="V2825" t="str">
        <f>VLOOKUP(E2825,Products!$A:$D,4,0)</f>
        <v>Monitors</v>
      </c>
      <c r="W2825" t="str">
        <f>VLOOKUP(D2825,Customers!$A:$C,3,0)</f>
        <v>B2C</v>
      </c>
      <c r="X2825" t="str">
        <f>VLOOKUP(C2825,Sales_Representatives!$A:$B,2,0)</f>
        <v>Richard Wilson</v>
      </c>
    </row>
    <row r="2826" spans="1:24" x14ac:dyDescent="0.3">
      <c r="A2826" t="s">
        <v>3875</v>
      </c>
      <c r="B2826" t="s">
        <v>3870</v>
      </c>
      <c r="C2826" t="s">
        <v>141</v>
      </c>
      <c r="D2826" t="s">
        <v>1458</v>
      </c>
      <c r="E2826" t="s">
        <v>221</v>
      </c>
      <c r="F2826">
        <v>20</v>
      </c>
      <c r="G2826">
        <v>210.02</v>
      </c>
      <c r="H2826">
        <v>0.15</v>
      </c>
      <c r="I2826" s="4">
        <v>3570.34</v>
      </c>
      <c r="J2826" t="s">
        <v>109</v>
      </c>
      <c r="K2826" t="s">
        <v>39</v>
      </c>
      <c r="L2826" s="4">
        <f>VLOOKUP(tblTransactions[[#This Row],[Product_ID]],tblProducts[],5,FALSE)</f>
        <v>131.66</v>
      </c>
      <c r="M2826" s="4">
        <f>tblTransactions[[#This Row],[Total_Amount]]-(tblTransactions[[#This Row],[Cost_Prices]]*tblTransactions[[#This Row],[Quantity]]*(1-tblTransactions[[#This Row],[Discount]]))</f>
        <v>1332.1200000000003</v>
      </c>
      <c r="N2826" s="3">
        <f>tblTransactions[[#This Row],[Profit]]/tblTransactions[[#This Row],[Total_Amount]]</f>
        <v>0.37310732311208467</v>
      </c>
      <c r="O2826" t="str">
        <f>TEXT(tblTransactions[[#This Row],[Date]], "MMM-YYYY")</f>
        <v>Aug-2024</v>
      </c>
      <c r="P2826" t="str">
        <f>"Q"&amp;ROUNDUP(MONTH(tblTransactions[[#This Row],[Date]])/3,0)&amp;"-"&amp;YEAR(tblTransactions[[#This Row],[Date]])</f>
        <v>Q3-2024</v>
      </c>
      <c r="Q2826">
        <f>YEAR(tblTransactions[[#This Row],[Date]])</f>
        <v>2024</v>
      </c>
      <c r="R2826" t="str">
        <f>TEXT(tblTransactions[[#This Row],[Date]],"DDDD")</f>
        <v>Saturday</v>
      </c>
      <c r="S2826">
        <f>MONTH(tblTransactions[[#This Row],[Date]])</f>
        <v>8</v>
      </c>
      <c r="T2826" t="str">
        <f>VLOOKUP(E2826, Products!$A:$B,2,0)</f>
        <v>Storage Fur-2</v>
      </c>
      <c r="U2826" t="str">
        <f>VLOOKUP(E2826,Products!$A:$C,3,0)</f>
        <v>Furniture</v>
      </c>
      <c r="V2826" t="str">
        <f>VLOOKUP(E2826,Products!$A:$D,4,0)</f>
        <v>Storage</v>
      </c>
      <c r="W2826" t="str">
        <f>VLOOKUP(D2826,Customers!$A:$C,3,0)</f>
        <v>Enterprise</v>
      </c>
      <c r="X2826" t="str">
        <f>VLOOKUP(C2826,Sales_Representatives!$A:$B,2,0)</f>
        <v>Richard Garcia</v>
      </c>
    </row>
    <row r="2827" spans="1:24" x14ac:dyDescent="0.3">
      <c r="A2827" t="s">
        <v>3876</v>
      </c>
      <c r="B2827" t="s">
        <v>3870</v>
      </c>
      <c r="C2827" t="s">
        <v>107</v>
      </c>
      <c r="D2827" t="s">
        <v>2871</v>
      </c>
      <c r="E2827" t="s">
        <v>316</v>
      </c>
      <c r="F2827">
        <v>3</v>
      </c>
      <c r="G2827">
        <v>91.42</v>
      </c>
      <c r="H2827">
        <v>0.1</v>
      </c>
      <c r="I2827" s="4">
        <v>246.83</v>
      </c>
      <c r="J2827" t="s">
        <v>109</v>
      </c>
      <c r="K2827" t="s">
        <v>39</v>
      </c>
      <c r="L2827" s="4">
        <f>VLOOKUP(tblTransactions[[#This Row],[Product_ID]],tblProducts[],5,FALSE)</f>
        <v>50.09</v>
      </c>
      <c r="M2827" s="4">
        <f>tblTransactions[[#This Row],[Total_Amount]]-(tblTransactions[[#This Row],[Cost_Prices]]*tblTransactions[[#This Row],[Quantity]]*(1-tblTransactions[[#This Row],[Discount]]))</f>
        <v>111.58699999999999</v>
      </c>
      <c r="N2827" s="3">
        <f>tblTransactions[[#This Row],[Profit]]/tblTransactions[[#This Row],[Total_Amount]]</f>
        <v>0.45208037920836197</v>
      </c>
      <c r="O2827" t="str">
        <f>TEXT(tblTransactions[[#This Row],[Date]], "MMM-YYYY")</f>
        <v>Aug-2024</v>
      </c>
      <c r="P2827" t="str">
        <f>"Q"&amp;ROUNDUP(MONTH(tblTransactions[[#This Row],[Date]])/3,0)&amp;"-"&amp;YEAR(tblTransactions[[#This Row],[Date]])</f>
        <v>Q3-2024</v>
      </c>
      <c r="Q2827">
        <f>YEAR(tblTransactions[[#This Row],[Date]])</f>
        <v>2024</v>
      </c>
      <c r="R2827" t="str">
        <f>TEXT(tblTransactions[[#This Row],[Date]],"DDDD")</f>
        <v>Saturday</v>
      </c>
      <c r="S2827">
        <f>MONTH(tblTransactions[[#This Row],[Date]])</f>
        <v>8</v>
      </c>
      <c r="T2827" t="str">
        <f>VLOOKUP(E2827, Products!$A:$B,2,0)</f>
        <v>Binders Off-3</v>
      </c>
      <c r="U2827" t="str">
        <f>VLOOKUP(E2827,Products!$A:$C,3,0)</f>
        <v>Office Supplies</v>
      </c>
      <c r="V2827" t="str">
        <f>VLOOKUP(E2827,Products!$A:$D,4,0)</f>
        <v>Binders</v>
      </c>
      <c r="W2827" t="str">
        <f>VLOOKUP(D2827,Customers!$A:$C,3,0)</f>
        <v>B2C</v>
      </c>
      <c r="X2827" t="str">
        <f>VLOOKUP(C2827,Sales_Representatives!$A:$B,2,0)</f>
        <v>Jennifer Brown</v>
      </c>
    </row>
    <row r="2828" spans="1:24" x14ac:dyDescent="0.3">
      <c r="A2828" t="s">
        <v>3877</v>
      </c>
      <c r="B2828" t="s">
        <v>3870</v>
      </c>
      <c r="C2828" t="s">
        <v>31</v>
      </c>
      <c r="D2828" t="s">
        <v>2213</v>
      </c>
      <c r="E2828" t="s">
        <v>376</v>
      </c>
      <c r="F2828">
        <v>6</v>
      </c>
      <c r="G2828">
        <v>229.65</v>
      </c>
      <c r="H2828">
        <v>0.11</v>
      </c>
      <c r="I2828" s="4">
        <v>1226.33</v>
      </c>
      <c r="J2828" t="s">
        <v>34</v>
      </c>
      <c r="K2828" t="s">
        <v>39</v>
      </c>
      <c r="L2828" s="4">
        <f>VLOOKUP(tblTransactions[[#This Row],[Product_ID]],tblProducts[],5,FALSE)</f>
        <v>96.84</v>
      </c>
      <c r="M2828" s="4">
        <f>tblTransactions[[#This Row],[Total_Amount]]-(tblTransactions[[#This Row],[Cost_Prices]]*tblTransactions[[#This Row],[Quantity]]*(1-tblTransactions[[#This Row],[Discount]]))</f>
        <v>709.20439999999996</v>
      </c>
      <c r="N2828" s="3">
        <f>tblTransactions[[#This Row],[Profit]]/tblTransactions[[#This Row],[Total_Amount]]</f>
        <v>0.57831448305105482</v>
      </c>
      <c r="O2828" t="str">
        <f>TEXT(tblTransactions[[#This Row],[Date]], "MMM-YYYY")</f>
        <v>Aug-2024</v>
      </c>
      <c r="P2828" t="str">
        <f>"Q"&amp;ROUNDUP(MONTH(tblTransactions[[#This Row],[Date]])/3,0)&amp;"-"&amp;YEAR(tblTransactions[[#This Row],[Date]])</f>
        <v>Q3-2024</v>
      </c>
      <c r="Q2828">
        <f>YEAR(tblTransactions[[#This Row],[Date]])</f>
        <v>2024</v>
      </c>
      <c r="R2828" t="str">
        <f>TEXT(tblTransactions[[#This Row],[Date]],"DDDD")</f>
        <v>Saturday</v>
      </c>
      <c r="S2828">
        <f>MONTH(tblTransactions[[#This Row],[Date]])</f>
        <v>8</v>
      </c>
      <c r="T2828" t="str">
        <f>VLOOKUP(E2828, Products!$A:$B,2,0)</f>
        <v>Adapters Acc-2</v>
      </c>
      <c r="U2828" t="str">
        <f>VLOOKUP(E2828,Products!$A:$C,3,0)</f>
        <v>Accessories</v>
      </c>
      <c r="V2828" t="str">
        <f>VLOOKUP(E2828,Products!$A:$D,4,0)</f>
        <v>Adapters</v>
      </c>
      <c r="W2828" t="str">
        <f>VLOOKUP(D2828,Customers!$A:$C,3,0)</f>
        <v>B2C</v>
      </c>
      <c r="X2828" t="str">
        <f>VLOOKUP(C2828,Sales_Representatives!$A:$B,2,0)</f>
        <v>Thomas Martinez</v>
      </c>
    </row>
    <row r="2829" spans="1:24" x14ac:dyDescent="0.3">
      <c r="A2829" t="s">
        <v>3878</v>
      </c>
      <c r="B2829" t="s">
        <v>3870</v>
      </c>
      <c r="C2829" t="s">
        <v>70</v>
      </c>
      <c r="D2829" t="s">
        <v>3404</v>
      </c>
      <c r="E2829" t="s">
        <v>324</v>
      </c>
      <c r="F2829">
        <v>3</v>
      </c>
      <c r="G2829">
        <v>245.76</v>
      </c>
      <c r="H2829">
        <v>0.08</v>
      </c>
      <c r="I2829" s="4">
        <v>678.3</v>
      </c>
      <c r="J2829" t="s">
        <v>16</v>
      </c>
      <c r="K2829" t="s">
        <v>22</v>
      </c>
      <c r="L2829" s="4">
        <f>VLOOKUP(tblTransactions[[#This Row],[Product_ID]],tblProducts[],5,FALSE)</f>
        <v>161.94</v>
      </c>
      <c r="M2829" s="4">
        <f>tblTransactions[[#This Row],[Total_Amount]]-(tblTransactions[[#This Row],[Cost_Prices]]*tblTransactions[[#This Row],[Quantity]]*(1-tblTransactions[[#This Row],[Discount]]))</f>
        <v>231.34559999999993</v>
      </c>
      <c r="N2829" s="3">
        <f>tblTransactions[[#This Row],[Profit]]/tblTransactions[[#This Row],[Total_Amount]]</f>
        <v>0.3410667846085802</v>
      </c>
      <c r="O2829" t="str">
        <f>TEXT(tblTransactions[[#This Row],[Date]], "MMM-YYYY")</f>
        <v>Aug-2024</v>
      </c>
      <c r="P2829" t="str">
        <f>"Q"&amp;ROUNDUP(MONTH(tblTransactions[[#This Row],[Date]])/3,0)&amp;"-"&amp;YEAR(tblTransactions[[#This Row],[Date]])</f>
        <v>Q3-2024</v>
      </c>
      <c r="Q2829">
        <f>YEAR(tblTransactions[[#This Row],[Date]])</f>
        <v>2024</v>
      </c>
      <c r="R2829" t="str">
        <f>TEXT(tblTransactions[[#This Row],[Date]],"DDDD")</f>
        <v>Saturday</v>
      </c>
      <c r="S2829">
        <f>MONTH(tblTransactions[[#This Row],[Date]])</f>
        <v>8</v>
      </c>
      <c r="T2829" t="str">
        <f>VLOOKUP(E2829, Products!$A:$B,2,0)</f>
        <v>Storage Fur-1</v>
      </c>
      <c r="U2829" t="str">
        <f>VLOOKUP(E2829,Products!$A:$C,3,0)</f>
        <v>Furniture</v>
      </c>
      <c r="V2829" t="str">
        <f>VLOOKUP(E2829,Products!$A:$D,4,0)</f>
        <v>Storage</v>
      </c>
      <c r="W2829" t="str">
        <f>VLOOKUP(D2829,Customers!$A:$C,3,0)</f>
        <v>B2C</v>
      </c>
      <c r="X2829" t="str">
        <f>VLOOKUP(C2829,Sales_Representatives!$A:$B,2,0)</f>
        <v>Linda Smith</v>
      </c>
    </row>
    <row r="2830" spans="1:24" x14ac:dyDescent="0.3">
      <c r="A2830" t="s">
        <v>3879</v>
      </c>
      <c r="B2830" t="s">
        <v>3880</v>
      </c>
      <c r="C2830" t="s">
        <v>127</v>
      </c>
      <c r="D2830" t="s">
        <v>2206</v>
      </c>
      <c r="E2830" t="s">
        <v>159</v>
      </c>
      <c r="F2830">
        <v>7</v>
      </c>
      <c r="G2830">
        <v>78.09</v>
      </c>
      <c r="H2830">
        <v>0.15</v>
      </c>
      <c r="I2830" s="4">
        <v>464.64</v>
      </c>
      <c r="J2830" t="s">
        <v>109</v>
      </c>
      <c r="K2830" t="s">
        <v>39</v>
      </c>
      <c r="L2830" s="4">
        <f>VLOOKUP(tblTransactions[[#This Row],[Product_ID]],tblProducts[],5,FALSE)</f>
        <v>47.01</v>
      </c>
      <c r="M2830" s="4">
        <f>tblTransactions[[#This Row],[Total_Amount]]-(tblTransactions[[#This Row],[Cost_Prices]]*tblTransactions[[#This Row],[Quantity]]*(1-tblTransactions[[#This Row],[Discount]]))</f>
        <v>184.93049999999999</v>
      </c>
      <c r="N2830" s="3">
        <f>tblTransactions[[#This Row],[Profit]]/tblTransactions[[#This Row],[Total_Amount]]</f>
        <v>0.39800813533057849</v>
      </c>
      <c r="O2830" t="str">
        <f>TEXT(tblTransactions[[#This Row],[Date]], "MMM-YYYY")</f>
        <v>Aug-2024</v>
      </c>
      <c r="P2830" t="str">
        <f>"Q"&amp;ROUNDUP(MONTH(tblTransactions[[#This Row],[Date]])/3,0)&amp;"-"&amp;YEAR(tblTransactions[[#This Row],[Date]])</f>
        <v>Q3-2024</v>
      </c>
      <c r="Q2830">
        <f>YEAR(tblTransactions[[#This Row],[Date]])</f>
        <v>2024</v>
      </c>
      <c r="R2830" t="str">
        <f>TEXT(tblTransactions[[#This Row],[Date]],"DDDD")</f>
        <v>Sunday</v>
      </c>
      <c r="S2830">
        <f>MONTH(tblTransactions[[#This Row],[Date]])</f>
        <v>8</v>
      </c>
      <c r="T2830" t="str">
        <f>VLOOKUP(E2830, Products!$A:$B,2,0)</f>
        <v>Cables Acc-4</v>
      </c>
      <c r="U2830" t="str">
        <f>VLOOKUP(E2830,Products!$A:$C,3,0)</f>
        <v>Accessories</v>
      </c>
      <c r="V2830" t="str">
        <f>VLOOKUP(E2830,Products!$A:$D,4,0)</f>
        <v>Cables</v>
      </c>
      <c r="W2830" t="str">
        <f>VLOOKUP(D2830,Customers!$A:$C,3,0)</f>
        <v>B2C</v>
      </c>
      <c r="X2830" t="str">
        <f>VLOOKUP(C2830,Sales_Representatives!$A:$B,2,0)</f>
        <v>Emily Hernandez</v>
      </c>
    </row>
    <row r="2831" spans="1:24" x14ac:dyDescent="0.3">
      <c r="A2831" t="s">
        <v>3881</v>
      </c>
      <c r="B2831" t="s">
        <v>3880</v>
      </c>
      <c r="C2831" t="s">
        <v>70</v>
      </c>
      <c r="D2831" t="s">
        <v>1965</v>
      </c>
      <c r="E2831" t="s">
        <v>339</v>
      </c>
      <c r="F2831">
        <v>12</v>
      </c>
      <c r="G2831">
        <v>1100.8800000000001</v>
      </c>
      <c r="H2831">
        <v>0.16</v>
      </c>
      <c r="I2831" s="4">
        <v>11096.87</v>
      </c>
      <c r="J2831" t="s">
        <v>16</v>
      </c>
      <c r="K2831" t="s">
        <v>17</v>
      </c>
      <c r="L2831" s="4">
        <f>VLOOKUP(tblTransactions[[#This Row],[Product_ID]],tblProducts[],5,FALSE)</f>
        <v>761.53</v>
      </c>
      <c r="M2831" s="4">
        <f>tblTransactions[[#This Row],[Total_Amount]]-(tblTransactions[[#This Row],[Cost_Prices]]*tblTransactions[[#This Row],[Quantity]]*(1-tblTransactions[[#This Row],[Discount]]))</f>
        <v>3420.6476000000002</v>
      </c>
      <c r="N2831" s="3">
        <f>tblTransactions[[#This Row],[Profit]]/tblTransactions[[#This Row],[Total_Amount]]</f>
        <v>0.30825337234733757</v>
      </c>
      <c r="O2831" t="str">
        <f>TEXT(tblTransactions[[#This Row],[Date]], "MMM-YYYY")</f>
        <v>Aug-2024</v>
      </c>
      <c r="P2831" t="str">
        <f>"Q"&amp;ROUNDUP(MONTH(tblTransactions[[#This Row],[Date]])/3,0)&amp;"-"&amp;YEAR(tblTransactions[[#This Row],[Date]])</f>
        <v>Q3-2024</v>
      </c>
      <c r="Q2831">
        <f>YEAR(tblTransactions[[#This Row],[Date]])</f>
        <v>2024</v>
      </c>
      <c r="R2831" t="str">
        <f>TEXT(tblTransactions[[#This Row],[Date]],"DDDD")</f>
        <v>Sunday</v>
      </c>
      <c r="S2831">
        <f>MONTH(tblTransactions[[#This Row],[Date]])</f>
        <v>8</v>
      </c>
      <c r="T2831" t="str">
        <f>VLOOKUP(E2831, Products!$A:$B,2,0)</f>
        <v>Phones Ele-2</v>
      </c>
      <c r="U2831" t="str">
        <f>VLOOKUP(E2831,Products!$A:$C,3,0)</f>
        <v>Electronics</v>
      </c>
      <c r="V2831" t="str">
        <f>VLOOKUP(E2831,Products!$A:$D,4,0)</f>
        <v>Phones</v>
      </c>
      <c r="W2831" t="str">
        <f>VLOOKUP(D2831,Customers!$A:$C,3,0)</f>
        <v>B2B</v>
      </c>
      <c r="X2831" t="str">
        <f>VLOOKUP(C2831,Sales_Representatives!$A:$B,2,0)</f>
        <v>Linda Smith</v>
      </c>
    </row>
    <row r="2832" spans="1:24" x14ac:dyDescent="0.3">
      <c r="A2832" t="s">
        <v>3882</v>
      </c>
      <c r="B2832" t="s">
        <v>3880</v>
      </c>
      <c r="C2832" t="s">
        <v>107</v>
      </c>
      <c r="D2832" t="s">
        <v>2417</v>
      </c>
      <c r="E2832" t="s">
        <v>68</v>
      </c>
      <c r="F2832">
        <v>17</v>
      </c>
      <c r="G2832">
        <v>522.63</v>
      </c>
      <c r="H2832">
        <v>0.19</v>
      </c>
      <c r="I2832" s="4">
        <v>7196.62</v>
      </c>
      <c r="J2832" t="s">
        <v>109</v>
      </c>
      <c r="K2832" t="s">
        <v>48</v>
      </c>
      <c r="L2832" s="4">
        <f>VLOOKUP(tblTransactions[[#This Row],[Product_ID]],tblProducts[],5,FALSE)</f>
        <v>355.82</v>
      </c>
      <c r="M2832" s="4">
        <f>tblTransactions[[#This Row],[Total_Amount]]-(tblTransactions[[#This Row],[Cost_Prices]]*tblTransactions[[#This Row],[Quantity]]*(1-tblTransactions[[#This Row],[Discount]]))</f>
        <v>2296.9785999999995</v>
      </c>
      <c r="N2832" s="3">
        <f>tblTransactions[[#This Row],[Profit]]/tblTransactions[[#This Row],[Total_Amount]]</f>
        <v>0.31917464031725995</v>
      </c>
      <c r="O2832" t="str">
        <f>TEXT(tblTransactions[[#This Row],[Date]], "MMM-YYYY")</f>
        <v>Aug-2024</v>
      </c>
      <c r="P2832" t="str">
        <f>"Q"&amp;ROUNDUP(MONTH(tblTransactions[[#This Row],[Date]])/3,0)&amp;"-"&amp;YEAR(tblTransactions[[#This Row],[Date]])</f>
        <v>Q3-2024</v>
      </c>
      <c r="Q2832">
        <f>YEAR(tblTransactions[[#This Row],[Date]])</f>
        <v>2024</v>
      </c>
      <c r="R2832" t="str">
        <f>TEXT(tblTransactions[[#This Row],[Date]],"DDDD")</f>
        <v>Sunday</v>
      </c>
      <c r="S2832">
        <f>MONTH(tblTransactions[[#This Row],[Date]])</f>
        <v>8</v>
      </c>
      <c r="T2832" t="str">
        <f>VLOOKUP(E2832, Products!$A:$B,2,0)</f>
        <v>Monitors Tec-3</v>
      </c>
      <c r="U2832" t="str">
        <f>VLOOKUP(E2832,Products!$A:$C,3,0)</f>
        <v>Technology</v>
      </c>
      <c r="V2832" t="str">
        <f>VLOOKUP(E2832,Products!$A:$D,4,0)</f>
        <v>Monitors</v>
      </c>
      <c r="W2832" t="str">
        <f>VLOOKUP(D2832,Customers!$A:$C,3,0)</f>
        <v>B2B</v>
      </c>
      <c r="X2832" t="str">
        <f>VLOOKUP(C2832,Sales_Representatives!$A:$B,2,0)</f>
        <v>Jennifer Brown</v>
      </c>
    </row>
    <row r="2833" spans="1:24" x14ac:dyDescent="0.3">
      <c r="A2833" t="s">
        <v>3883</v>
      </c>
      <c r="B2833" t="s">
        <v>3884</v>
      </c>
      <c r="C2833" t="s">
        <v>82</v>
      </c>
      <c r="D2833" t="s">
        <v>1582</v>
      </c>
      <c r="E2833" t="s">
        <v>587</v>
      </c>
      <c r="F2833">
        <v>7</v>
      </c>
      <c r="G2833">
        <v>58.54</v>
      </c>
      <c r="H2833">
        <v>0.09</v>
      </c>
      <c r="I2833" s="4">
        <v>372.9</v>
      </c>
      <c r="J2833" t="s">
        <v>34</v>
      </c>
      <c r="K2833" t="s">
        <v>35</v>
      </c>
      <c r="L2833" s="4">
        <f>VLOOKUP(tblTransactions[[#This Row],[Product_ID]],tblProducts[],5,FALSE)</f>
        <v>25.43</v>
      </c>
      <c r="M2833" s="4">
        <f>tblTransactions[[#This Row],[Total_Amount]]-(tblTransactions[[#This Row],[Cost_Prices]]*tblTransactions[[#This Row],[Quantity]]*(1-tblTransactions[[#This Row],[Discount]]))</f>
        <v>210.91089999999997</v>
      </c>
      <c r="N2833" s="3">
        <f>tblTransactions[[#This Row],[Profit]]/tblTransactions[[#This Row],[Total_Amount]]</f>
        <v>0.56559640654330912</v>
      </c>
      <c r="O2833" t="str">
        <f>TEXT(tblTransactions[[#This Row],[Date]], "MMM-YYYY")</f>
        <v>Aug-2024</v>
      </c>
      <c r="P2833" t="str">
        <f>"Q"&amp;ROUNDUP(MONTH(tblTransactions[[#This Row],[Date]])/3,0)&amp;"-"&amp;YEAR(tblTransactions[[#This Row],[Date]])</f>
        <v>Q3-2024</v>
      </c>
      <c r="Q2833">
        <f>YEAR(tblTransactions[[#This Row],[Date]])</f>
        <v>2024</v>
      </c>
      <c r="R2833" t="str">
        <f>TEXT(tblTransactions[[#This Row],[Date]],"DDDD")</f>
        <v>Monday</v>
      </c>
      <c r="S2833">
        <f>MONTH(tblTransactions[[#This Row],[Date]])</f>
        <v>8</v>
      </c>
      <c r="T2833" t="str">
        <f>VLOOKUP(E2833, Products!$A:$B,2,0)</f>
        <v>Paper Off-2</v>
      </c>
      <c r="U2833" t="str">
        <f>VLOOKUP(E2833,Products!$A:$C,3,0)</f>
        <v>Office Supplies</v>
      </c>
      <c r="V2833" t="str">
        <f>VLOOKUP(E2833,Products!$A:$D,4,0)</f>
        <v>Paper</v>
      </c>
      <c r="W2833" t="str">
        <f>VLOOKUP(D2833,Customers!$A:$C,3,0)</f>
        <v>Small Business</v>
      </c>
      <c r="X2833" t="str">
        <f>VLOOKUP(C2833,Sales_Representatives!$A:$B,2,0)</f>
        <v>John Brown</v>
      </c>
    </row>
    <row r="2834" spans="1:24" x14ac:dyDescent="0.3">
      <c r="A2834" t="s">
        <v>3885</v>
      </c>
      <c r="B2834" t="s">
        <v>3884</v>
      </c>
      <c r="C2834" t="s">
        <v>131</v>
      </c>
      <c r="D2834" t="s">
        <v>2868</v>
      </c>
      <c r="E2834" t="s">
        <v>224</v>
      </c>
      <c r="F2834">
        <v>6</v>
      </c>
      <c r="G2834">
        <v>505.37</v>
      </c>
      <c r="H2834">
        <v>0.1</v>
      </c>
      <c r="I2834" s="4">
        <v>2729</v>
      </c>
      <c r="J2834" t="s">
        <v>44</v>
      </c>
      <c r="K2834" t="s">
        <v>39</v>
      </c>
      <c r="L2834" s="4">
        <f>VLOOKUP(tblTransactions[[#This Row],[Product_ID]],tblProducts[],5,FALSE)</f>
        <v>281.14999999999998</v>
      </c>
      <c r="M2834" s="4">
        <f>tblTransactions[[#This Row],[Total_Amount]]-(tblTransactions[[#This Row],[Cost_Prices]]*tblTransactions[[#This Row],[Quantity]]*(1-tblTransactions[[#This Row],[Discount]]))</f>
        <v>1210.7900000000002</v>
      </c>
      <c r="N2834" s="3">
        <f>tblTransactions[[#This Row],[Profit]]/tblTransactions[[#This Row],[Total_Amount]]</f>
        <v>0.44367533895199712</v>
      </c>
      <c r="O2834" t="str">
        <f>TEXT(tblTransactions[[#This Row],[Date]], "MMM-YYYY")</f>
        <v>Aug-2024</v>
      </c>
      <c r="P2834" t="str">
        <f>"Q"&amp;ROUNDUP(MONTH(tblTransactions[[#This Row],[Date]])/3,0)&amp;"-"&amp;YEAR(tblTransactions[[#This Row],[Date]])</f>
        <v>Q3-2024</v>
      </c>
      <c r="Q2834">
        <f>YEAR(tblTransactions[[#This Row],[Date]])</f>
        <v>2024</v>
      </c>
      <c r="R2834" t="str">
        <f>TEXT(tblTransactions[[#This Row],[Date]],"DDDD")</f>
        <v>Monday</v>
      </c>
      <c r="S2834">
        <f>MONTH(tblTransactions[[#This Row],[Date]])</f>
        <v>8</v>
      </c>
      <c r="T2834" t="str">
        <f>VLOOKUP(E2834, Products!$A:$B,2,0)</f>
        <v>Desks Fur-3</v>
      </c>
      <c r="U2834" t="str">
        <f>VLOOKUP(E2834,Products!$A:$C,3,0)</f>
        <v>Furniture</v>
      </c>
      <c r="V2834" t="str">
        <f>VLOOKUP(E2834,Products!$A:$D,4,0)</f>
        <v>Desks</v>
      </c>
      <c r="W2834" t="str">
        <f>VLOOKUP(D2834,Customers!$A:$C,3,0)</f>
        <v>B2B</v>
      </c>
      <c r="X2834" t="str">
        <f>VLOOKUP(C2834,Sales_Representatives!$A:$B,2,0)</f>
        <v>Michael Davis</v>
      </c>
    </row>
    <row r="2835" spans="1:24" x14ac:dyDescent="0.3">
      <c r="A2835" t="s">
        <v>3886</v>
      </c>
      <c r="B2835" t="s">
        <v>3884</v>
      </c>
      <c r="C2835" t="s">
        <v>75</v>
      </c>
      <c r="D2835" t="s">
        <v>2411</v>
      </c>
      <c r="E2835" t="s">
        <v>157</v>
      </c>
      <c r="F2835">
        <v>2</v>
      </c>
      <c r="G2835">
        <v>1227.68</v>
      </c>
      <c r="H2835">
        <v>0</v>
      </c>
      <c r="I2835" s="4">
        <v>2455.36</v>
      </c>
      <c r="J2835" t="s">
        <v>44</v>
      </c>
      <c r="K2835" t="s">
        <v>17</v>
      </c>
      <c r="L2835" s="4">
        <f>VLOOKUP(tblTransactions[[#This Row],[Product_ID]],tblProducts[],5,FALSE)</f>
        <v>846.42</v>
      </c>
      <c r="M2835" s="4">
        <f>tblTransactions[[#This Row],[Total_Amount]]-(tblTransactions[[#This Row],[Cost_Prices]]*tblTransactions[[#This Row],[Quantity]]*(1-tblTransactions[[#This Row],[Discount]]))</f>
        <v>762.52000000000021</v>
      </c>
      <c r="N2835" s="3">
        <f>tblTransactions[[#This Row],[Profit]]/tblTransactions[[#This Row],[Total_Amount]]</f>
        <v>0.31055323862895873</v>
      </c>
      <c r="O2835" t="str">
        <f>TEXT(tblTransactions[[#This Row],[Date]], "MMM-YYYY")</f>
        <v>Aug-2024</v>
      </c>
      <c r="P2835" t="str">
        <f>"Q"&amp;ROUNDUP(MONTH(tblTransactions[[#This Row],[Date]])/3,0)&amp;"-"&amp;YEAR(tblTransactions[[#This Row],[Date]])</f>
        <v>Q3-2024</v>
      </c>
      <c r="Q2835">
        <f>YEAR(tblTransactions[[#This Row],[Date]])</f>
        <v>2024</v>
      </c>
      <c r="R2835" t="str">
        <f>TEXT(tblTransactions[[#This Row],[Date]],"DDDD")</f>
        <v>Monday</v>
      </c>
      <c r="S2835">
        <f>MONTH(tblTransactions[[#This Row],[Date]])</f>
        <v>8</v>
      </c>
      <c r="T2835" t="str">
        <f>VLOOKUP(E2835, Products!$A:$B,2,0)</f>
        <v>Printers Tec-4</v>
      </c>
      <c r="U2835" t="str">
        <f>VLOOKUP(E2835,Products!$A:$C,3,0)</f>
        <v>Technology</v>
      </c>
      <c r="V2835" t="str">
        <f>VLOOKUP(E2835,Products!$A:$D,4,0)</f>
        <v>Printers</v>
      </c>
      <c r="W2835" t="str">
        <f>VLOOKUP(D2835,Customers!$A:$C,3,0)</f>
        <v>B2B</v>
      </c>
      <c r="X2835" t="str">
        <f>VLOOKUP(C2835,Sales_Representatives!$A:$B,2,0)</f>
        <v>Jessica Anderson</v>
      </c>
    </row>
    <row r="2836" spans="1:24" x14ac:dyDescent="0.3">
      <c r="A2836" t="s">
        <v>3887</v>
      </c>
      <c r="B2836" t="s">
        <v>3884</v>
      </c>
      <c r="C2836" t="s">
        <v>63</v>
      </c>
      <c r="D2836" t="s">
        <v>2129</v>
      </c>
      <c r="E2836" t="s">
        <v>198</v>
      </c>
      <c r="F2836">
        <v>6</v>
      </c>
      <c r="G2836">
        <v>1802.96</v>
      </c>
      <c r="H2836">
        <v>7.0000000000000007E-2</v>
      </c>
      <c r="I2836" s="4">
        <v>10060.52</v>
      </c>
      <c r="J2836" t="s">
        <v>21</v>
      </c>
      <c r="K2836" t="s">
        <v>35</v>
      </c>
      <c r="L2836" s="4">
        <f>VLOOKUP(tblTransactions[[#This Row],[Product_ID]],tblProducts[],5,FALSE)</f>
        <v>1282.18</v>
      </c>
      <c r="M2836" s="4">
        <f>tblTransactions[[#This Row],[Total_Amount]]-(tblTransactions[[#This Row],[Cost_Prices]]*tblTransactions[[#This Row],[Quantity]]*(1-tblTransactions[[#This Row],[Discount]]))</f>
        <v>2905.9556000000011</v>
      </c>
      <c r="N2836" s="3">
        <f>tblTransactions[[#This Row],[Profit]]/tblTransactions[[#This Row],[Total_Amount]]</f>
        <v>0.28884745520112293</v>
      </c>
      <c r="O2836" t="str">
        <f>TEXT(tblTransactions[[#This Row],[Date]], "MMM-YYYY")</f>
        <v>Aug-2024</v>
      </c>
      <c r="P2836" t="str">
        <f>"Q"&amp;ROUNDUP(MONTH(tblTransactions[[#This Row],[Date]])/3,0)&amp;"-"&amp;YEAR(tblTransactions[[#This Row],[Date]])</f>
        <v>Q3-2024</v>
      </c>
      <c r="Q2836">
        <f>YEAR(tblTransactions[[#This Row],[Date]])</f>
        <v>2024</v>
      </c>
      <c r="R2836" t="str">
        <f>TEXT(tblTransactions[[#This Row],[Date]],"DDDD")</f>
        <v>Monday</v>
      </c>
      <c r="S2836">
        <f>MONTH(tblTransactions[[#This Row],[Date]])</f>
        <v>8</v>
      </c>
      <c r="T2836" t="str">
        <f>VLOOKUP(E2836, Products!$A:$B,2,0)</f>
        <v>Tablets Ele-3</v>
      </c>
      <c r="U2836" t="str">
        <f>VLOOKUP(E2836,Products!$A:$C,3,0)</f>
        <v>Electronics</v>
      </c>
      <c r="V2836" t="str">
        <f>VLOOKUP(E2836,Products!$A:$D,4,0)</f>
        <v>Tablets</v>
      </c>
      <c r="W2836" t="str">
        <f>VLOOKUP(D2836,Customers!$A:$C,3,0)</f>
        <v>B2C</v>
      </c>
      <c r="X2836" t="str">
        <f>VLOOKUP(C2836,Sales_Representatives!$A:$B,2,0)</f>
        <v>Richard Wilson</v>
      </c>
    </row>
    <row r="2837" spans="1:24" x14ac:dyDescent="0.3">
      <c r="A2837" t="s">
        <v>3888</v>
      </c>
      <c r="B2837" t="s">
        <v>3884</v>
      </c>
      <c r="C2837" t="s">
        <v>27</v>
      </c>
      <c r="D2837" t="s">
        <v>118</v>
      </c>
      <c r="E2837" t="s">
        <v>198</v>
      </c>
      <c r="F2837">
        <v>6</v>
      </c>
      <c r="G2837">
        <v>1802.96</v>
      </c>
      <c r="H2837">
        <v>0.06</v>
      </c>
      <c r="I2837" s="4">
        <v>10168.69</v>
      </c>
      <c r="J2837" t="s">
        <v>16</v>
      </c>
      <c r="K2837" t="s">
        <v>48</v>
      </c>
      <c r="L2837" s="4">
        <f>VLOOKUP(tblTransactions[[#This Row],[Product_ID]],tblProducts[],5,FALSE)</f>
        <v>1282.18</v>
      </c>
      <c r="M2837" s="4">
        <f>tblTransactions[[#This Row],[Total_Amount]]-(tblTransactions[[#This Row],[Cost_Prices]]*tblTransactions[[#This Row],[Quantity]]*(1-tblTransactions[[#This Row],[Discount]]))</f>
        <v>2937.1948000000011</v>
      </c>
      <c r="N2837" s="3">
        <f>tblTransactions[[#This Row],[Profit]]/tblTransactions[[#This Row],[Total_Amount]]</f>
        <v>0.28884692128484601</v>
      </c>
      <c r="O2837" t="str">
        <f>TEXT(tblTransactions[[#This Row],[Date]], "MMM-YYYY")</f>
        <v>Aug-2024</v>
      </c>
      <c r="P2837" t="str">
        <f>"Q"&amp;ROUNDUP(MONTH(tblTransactions[[#This Row],[Date]])/3,0)&amp;"-"&amp;YEAR(tblTransactions[[#This Row],[Date]])</f>
        <v>Q3-2024</v>
      </c>
      <c r="Q2837">
        <f>YEAR(tblTransactions[[#This Row],[Date]])</f>
        <v>2024</v>
      </c>
      <c r="R2837" t="str">
        <f>TEXT(tblTransactions[[#This Row],[Date]],"DDDD")</f>
        <v>Monday</v>
      </c>
      <c r="S2837">
        <f>MONTH(tblTransactions[[#This Row],[Date]])</f>
        <v>8</v>
      </c>
      <c r="T2837" t="str">
        <f>VLOOKUP(E2837, Products!$A:$B,2,0)</f>
        <v>Tablets Ele-3</v>
      </c>
      <c r="U2837" t="str">
        <f>VLOOKUP(E2837,Products!$A:$C,3,0)</f>
        <v>Electronics</v>
      </c>
      <c r="V2837" t="str">
        <f>VLOOKUP(E2837,Products!$A:$D,4,0)</f>
        <v>Tablets</v>
      </c>
      <c r="W2837" t="str">
        <f>VLOOKUP(D2837,Customers!$A:$C,3,0)</f>
        <v>B2C</v>
      </c>
      <c r="X2837" t="str">
        <f>VLOOKUP(C2837,Sales_Representatives!$A:$B,2,0)</f>
        <v>Thomas Lopez</v>
      </c>
    </row>
    <row r="2838" spans="1:24" x14ac:dyDescent="0.3">
      <c r="A2838" t="s">
        <v>3889</v>
      </c>
      <c r="B2838" t="s">
        <v>3884</v>
      </c>
      <c r="C2838" t="s">
        <v>13</v>
      </c>
      <c r="D2838" t="s">
        <v>1578</v>
      </c>
      <c r="E2838" t="s">
        <v>347</v>
      </c>
      <c r="F2838">
        <v>10</v>
      </c>
      <c r="G2838">
        <v>1539.6</v>
      </c>
      <c r="H2838">
        <v>0.13</v>
      </c>
      <c r="I2838" s="4">
        <v>13394.52</v>
      </c>
      <c r="J2838" t="s">
        <v>16</v>
      </c>
      <c r="K2838" t="s">
        <v>17</v>
      </c>
      <c r="L2838" s="4">
        <f>VLOOKUP(tblTransactions[[#This Row],[Product_ID]],tblProducts[],5,FALSE)</f>
        <v>992.43</v>
      </c>
      <c r="M2838" s="4">
        <f>tblTransactions[[#This Row],[Total_Amount]]-(tblTransactions[[#This Row],[Cost_Prices]]*tblTransactions[[#This Row],[Quantity]]*(1-tblTransactions[[#This Row],[Discount]]))</f>
        <v>4760.3790000000008</v>
      </c>
      <c r="N2838" s="3">
        <f>tblTransactions[[#This Row],[Profit]]/tblTransactions[[#This Row],[Total_Amount]]</f>
        <v>0.35539750584567426</v>
      </c>
      <c r="O2838" t="str">
        <f>TEXT(tblTransactions[[#This Row],[Date]], "MMM-YYYY")</f>
        <v>Aug-2024</v>
      </c>
      <c r="P2838" t="str">
        <f>"Q"&amp;ROUNDUP(MONTH(tblTransactions[[#This Row],[Date]])/3,0)&amp;"-"&amp;YEAR(tblTransactions[[#This Row],[Date]])</f>
        <v>Q3-2024</v>
      </c>
      <c r="Q2838">
        <f>YEAR(tblTransactions[[#This Row],[Date]])</f>
        <v>2024</v>
      </c>
      <c r="R2838" t="str">
        <f>TEXT(tblTransactions[[#This Row],[Date]],"DDDD")</f>
        <v>Monday</v>
      </c>
      <c r="S2838">
        <f>MONTH(tblTransactions[[#This Row],[Date]])</f>
        <v>8</v>
      </c>
      <c r="T2838" t="str">
        <f>VLOOKUP(E2838, Products!$A:$B,2,0)</f>
        <v>Routers Tec-2</v>
      </c>
      <c r="U2838" t="str">
        <f>VLOOKUP(E2838,Products!$A:$C,3,0)</f>
        <v>Technology</v>
      </c>
      <c r="V2838" t="str">
        <f>VLOOKUP(E2838,Products!$A:$D,4,0)</f>
        <v>Routers</v>
      </c>
      <c r="W2838" t="str">
        <f>VLOOKUP(D2838,Customers!$A:$C,3,0)</f>
        <v>Enterprise</v>
      </c>
      <c r="X2838" t="str">
        <f>VLOOKUP(C2838,Sales_Representatives!$A:$B,2,0)</f>
        <v>Jennifer Rodriguez</v>
      </c>
    </row>
    <row r="2839" spans="1:24" x14ac:dyDescent="0.3">
      <c r="A2839" t="s">
        <v>3890</v>
      </c>
      <c r="B2839" t="s">
        <v>3884</v>
      </c>
      <c r="C2839" t="s">
        <v>70</v>
      </c>
      <c r="D2839" t="s">
        <v>2300</v>
      </c>
      <c r="E2839" t="s">
        <v>299</v>
      </c>
      <c r="F2839">
        <v>29</v>
      </c>
      <c r="G2839">
        <v>963.44</v>
      </c>
      <c r="H2839">
        <v>0.16</v>
      </c>
      <c r="I2839" s="4">
        <v>23469.4</v>
      </c>
      <c r="J2839" t="s">
        <v>16</v>
      </c>
      <c r="K2839" t="s">
        <v>48</v>
      </c>
      <c r="L2839" s="4">
        <f>VLOOKUP(tblTransactions[[#This Row],[Product_ID]],tblProducts[],5,FALSE)</f>
        <v>578.96</v>
      </c>
      <c r="M2839" s="4">
        <f>tblTransactions[[#This Row],[Total_Amount]]-(tblTransactions[[#This Row],[Cost_Prices]]*tblTransactions[[#This Row],[Quantity]]*(1-tblTransactions[[#This Row],[Discount]]))</f>
        <v>9365.9344000000019</v>
      </c>
      <c r="N2839" s="3">
        <f>tblTransactions[[#This Row],[Profit]]/tblTransactions[[#This Row],[Total_Amount]]</f>
        <v>0.39907004013737041</v>
      </c>
      <c r="O2839" t="str">
        <f>TEXT(tblTransactions[[#This Row],[Date]], "MMM-YYYY")</f>
        <v>Aug-2024</v>
      </c>
      <c r="P2839" t="str">
        <f>"Q"&amp;ROUNDUP(MONTH(tblTransactions[[#This Row],[Date]])/3,0)&amp;"-"&amp;YEAR(tblTransactions[[#This Row],[Date]])</f>
        <v>Q3-2024</v>
      </c>
      <c r="Q2839">
        <f>YEAR(tblTransactions[[#This Row],[Date]])</f>
        <v>2024</v>
      </c>
      <c r="R2839" t="str">
        <f>TEXT(tblTransactions[[#This Row],[Date]],"DDDD")</f>
        <v>Monday</v>
      </c>
      <c r="S2839">
        <f>MONTH(tblTransactions[[#This Row],[Date]])</f>
        <v>8</v>
      </c>
      <c r="T2839" t="str">
        <f>VLOOKUP(E2839, Products!$A:$B,2,0)</f>
        <v>Chairs Fur-4</v>
      </c>
      <c r="U2839" t="str">
        <f>VLOOKUP(E2839,Products!$A:$C,3,0)</f>
        <v>Furniture</v>
      </c>
      <c r="V2839" t="str">
        <f>VLOOKUP(E2839,Products!$A:$D,4,0)</f>
        <v>Chairs</v>
      </c>
      <c r="W2839" t="str">
        <f>VLOOKUP(D2839,Customers!$A:$C,3,0)</f>
        <v>Enterprise</v>
      </c>
      <c r="X2839" t="str">
        <f>VLOOKUP(C2839,Sales_Representatives!$A:$B,2,0)</f>
        <v>Linda Smith</v>
      </c>
    </row>
    <row r="2840" spans="1:24" x14ac:dyDescent="0.3">
      <c r="A2840" t="s">
        <v>3891</v>
      </c>
      <c r="B2840" t="s">
        <v>3892</v>
      </c>
      <c r="C2840" t="s">
        <v>41</v>
      </c>
      <c r="D2840" t="s">
        <v>1824</v>
      </c>
      <c r="E2840" t="s">
        <v>61</v>
      </c>
      <c r="F2840">
        <v>5</v>
      </c>
      <c r="G2840">
        <v>92.07</v>
      </c>
      <c r="H2840">
        <v>0.04</v>
      </c>
      <c r="I2840" s="4">
        <v>441.94</v>
      </c>
      <c r="J2840" t="s">
        <v>44</v>
      </c>
      <c r="K2840" t="s">
        <v>17</v>
      </c>
      <c r="L2840" s="4">
        <f>VLOOKUP(tblTransactions[[#This Row],[Product_ID]],tblProducts[],5,FALSE)</f>
        <v>56.98</v>
      </c>
      <c r="M2840" s="4">
        <f>tblTransactions[[#This Row],[Total_Amount]]-(tblTransactions[[#This Row],[Cost_Prices]]*tblTransactions[[#This Row],[Quantity]]*(1-tblTransactions[[#This Row],[Discount]]))</f>
        <v>168.43600000000004</v>
      </c>
      <c r="N2840" s="3">
        <f>tblTransactions[[#This Row],[Profit]]/tblTransactions[[#This Row],[Total_Amount]]</f>
        <v>0.38112865999909501</v>
      </c>
      <c r="O2840" t="str">
        <f>TEXT(tblTransactions[[#This Row],[Date]], "MMM-YYYY")</f>
        <v>Aug-2024</v>
      </c>
      <c r="P2840" t="str">
        <f>"Q"&amp;ROUNDUP(MONTH(tblTransactions[[#This Row],[Date]])/3,0)&amp;"-"&amp;YEAR(tblTransactions[[#This Row],[Date]])</f>
        <v>Q3-2024</v>
      </c>
      <c r="Q2840">
        <f>YEAR(tblTransactions[[#This Row],[Date]])</f>
        <v>2024</v>
      </c>
      <c r="R2840" t="str">
        <f>TEXT(tblTransactions[[#This Row],[Date]],"DDDD")</f>
        <v>Tuesday</v>
      </c>
      <c r="S2840">
        <f>MONTH(tblTransactions[[#This Row],[Date]])</f>
        <v>8</v>
      </c>
      <c r="T2840" t="str">
        <f>VLOOKUP(E2840, Products!$A:$B,2,0)</f>
        <v>Pens Off-4</v>
      </c>
      <c r="U2840" t="str">
        <f>VLOOKUP(E2840,Products!$A:$C,3,0)</f>
        <v>Office Supplies</v>
      </c>
      <c r="V2840" t="str">
        <f>VLOOKUP(E2840,Products!$A:$D,4,0)</f>
        <v>Pens</v>
      </c>
      <c r="W2840" t="str">
        <f>VLOOKUP(D2840,Customers!$A:$C,3,0)</f>
        <v>B2C</v>
      </c>
      <c r="X2840" t="str">
        <f>VLOOKUP(C2840,Sales_Representatives!$A:$B,2,0)</f>
        <v>Robert Jones</v>
      </c>
    </row>
    <row r="2841" spans="1:24" x14ac:dyDescent="0.3">
      <c r="A2841" t="s">
        <v>3893</v>
      </c>
      <c r="B2841" t="s">
        <v>3892</v>
      </c>
      <c r="C2841" t="s">
        <v>41</v>
      </c>
      <c r="D2841" t="s">
        <v>1465</v>
      </c>
      <c r="E2841" t="s">
        <v>38</v>
      </c>
      <c r="F2841">
        <v>4</v>
      </c>
      <c r="G2841">
        <v>581.47</v>
      </c>
      <c r="H2841">
        <v>0.09</v>
      </c>
      <c r="I2841" s="4">
        <v>2116.5500000000002</v>
      </c>
      <c r="J2841" t="s">
        <v>44</v>
      </c>
      <c r="K2841" t="s">
        <v>17</v>
      </c>
      <c r="L2841" s="4">
        <f>VLOOKUP(tblTransactions[[#This Row],[Product_ID]],tblProducts[],5,FALSE)</f>
        <v>372.07</v>
      </c>
      <c r="M2841" s="4">
        <f>tblTransactions[[#This Row],[Total_Amount]]-(tblTransactions[[#This Row],[Cost_Prices]]*tblTransactions[[#This Row],[Quantity]]*(1-tblTransactions[[#This Row],[Discount]]))</f>
        <v>762.2152000000001</v>
      </c>
      <c r="N2841" s="3">
        <f>tblTransactions[[#This Row],[Profit]]/tblTransactions[[#This Row],[Total_Amount]]</f>
        <v>0.36012151850889418</v>
      </c>
      <c r="O2841" t="str">
        <f>TEXT(tblTransactions[[#This Row],[Date]], "MMM-YYYY")</f>
        <v>Aug-2024</v>
      </c>
      <c r="P2841" t="str">
        <f>"Q"&amp;ROUNDUP(MONTH(tblTransactions[[#This Row],[Date]])/3,0)&amp;"-"&amp;YEAR(tblTransactions[[#This Row],[Date]])</f>
        <v>Q3-2024</v>
      </c>
      <c r="Q2841">
        <f>YEAR(tblTransactions[[#This Row],[Date]])</f>
        <v>2024</v>
      </c>
      <c r="R2841" t="str">
        <f>TEXT(tblTransactions[[#This Row],[Date]],"DDDD")</f>
        <v>Tuesday</v>
      </c>
      <c r="S2841">
        <f>MONTH(tblTransactions[[#This Row],[Date]])</f>
        <v>8</v>
      </c>
      <c r="T2841" t="str">
        <f>VLOOKUP(E2841, Products!$A:$B,2,0)</f>
        <v>Storage Fur-3</v>
      </c>
      <c r="U2841" t="str">
        <f>VLOOKUP(E2841,Products!$A:$C,3,0)</f>
        <v>Furniture</v>
      </c>
      <c r="V2841" t="str">
        <f>VLOOKUP(E2841,Products!$A:$D,4,0)</f>
        <v>Storage</v>
      </c>
      <c r="W2841" t="str">
        <f>VLOOKUP(D2841,Customers!$A:$C,3,0)</f>
        <v>Small Business</v>
      </c>
      <c r="X2841" t="str">
        <f>VLOOKUP(C2841,Sales_Representatives!$A:$B,2,0)</f>
        <v>Robert Jones</v>
      </c>
    </row>
    <row r="2842" spans="1:24" x14ac:dyDescent="0.3">
      <c r="A2842" t="s">
        <v>3894</v>
      </c>
      <c r="B2842" t="s">
        <v>3892</v>
      </c>
      <c r="C2842" t="s">
        <v>56</v>
      </c>
      <c r="D2842" t="s">
        <v>1719</v>
      </c>
      <c r="E2842" t="s">
        <v>339</v>
      </c>
      <c r="F2842">
        <v>19</v>
      </c>
      <c r="G2842">
        <v>1100.8800000000001</v>
      </c>
      <c r="H2842">
        <v>0.15</v>
      </c>
      <c r="I2842" s="4">
        <v>17779.21</v>
      </c>
      <c r="J2842" t="s">
        <v>34</v>
      </c>
      <c r="K2842" t="s">
        <v>35</v>
      </c>
      <c r="L2842" s="4">
        <f>VLOOKUP(tblTransactions[[#This Row],[Product_ID]],tblProducts[],5,FALSE)</f>
        <v>761.53</v>
      </c>
      <c r="M2842" s="4">
        <f>tblTransactions[[#This Row],[Total_Amount]]-(tblTransactions[[#This Row],[Cost_Prices]]*tblTransactions[[#This Row],[Quantity]]*(1-tblTransactions[[#This Row],[Discount]]))</f>
        <v>5480.5005000000001</v>
      </c>
      <c r="N2842" s="3">
        <f>tblTransactions[[#This Row],[Profit]]/tblTransactions[[#This Row],[Total_Amount]]</f>
        <v>0.30825331946695045</v>
      </c>
      <c r="O2842" t="str">
        <f>TEXT(tblTransactions[[#This Row],[Date]], "MMM-YYYY")</f>
        <v>Aug-2024</v>
      </c>
      <c r="P2842" t="str">
        <f>"Q"&amp;ROUNDUP(MONTH(tblTransactions[[#This Row],[Date]])/3,0)&amp;"-"&amp;YEAR(tblTransactions[[#This Row],[Date]])</f>
        <v>Q3-2024</v>
      </c>
      <c r="Q2842">
        <f>YEAR(tblTransactions[[#This Row],[Date]])</f>
        <v>2024</v>
      </c>
      <c r="R2842" t="str">
        <f>TEXT(tblTransactions[[#This Row],[Date]],"DDDD")</f>
        <v>Tuesday</v>
      </c>
      <c r="S2842">
        <f>MONTH(tblTransactions[[#This Row],[Date]])</f>
        <v>8</v>
      </c>
      <c r="T2842" t="str">
        <f>VLOOKUP(E2842, Products!$A:$B,2,0)</f>
        <v>Phones Ele-2</v>
      </c>
      <c r="U2842" t="str">
        <f>VLOOKUP(E2842,Products!$A:$C,3,0)</f>
        <v>Electronics</v>
      </c>
      <c r="V2842" t="str">
        <f>VLOOKUP(E2842,Products!$A:$D,4,0)</f>
        <v>Phones</v>
      </c>
      <c r="W2842" t="str">
        <f>VLOOKUP(D2842,Customers!$A:$C,3,0)</f>
        <v>B2B</v>
      </c>
      <c r="X2842" t="str">
        <f>VLOOKUP(C2842,Sales_Representatives!$A:$B,2,0)</f>
        <v>Thomas Hernandez</v>
      </c>
    </row>
    <row r="2843" spans="1:24" x14ac:dyDescent="0.3">
      <c r="A2843" t="s">
        <v>3895</v>
      </c>
      <c r="B2843" t="s">
        <v>3892</v>
      </c>
      <c r="C2843" t="s">
        <v>56</v>
      </c>
      <c r="D2843" t="s">
        <v>1483</v>
      </c>
      <c r="E2843" t="s">
        <v>137</v>
      </c>
      <c r="F2843">
        <v>3</v>
      </c>
      <c r="G2843">
        <v>241.39</v>
      </c>
      <c r="H2843">
        <v>0.04</v>
      </c>
      <c r="I2843" s="4">
        <v>695.2</v>
      </c>
      <c r="J2843" t="s">
        <v>34</v>
      </c>
      <c r="K2843" t="s">
        <v>48</v>
      </c>
      <c r="L2843" s="4">
        <f>VLOOKUP(tblTransactions[[#This Row],[Product_ID]],tblProducts[],5,FALSE)</f>
        <v>124.07</v>
      </c>
      <c r="M2843" s="4">
        <f>tblTransactions[[#This Row],[Total_Amount]]-(tblTransactions[[#This Row],[Cost_Prices]]*tblTransactions[[#This Row],[Quantity]]*(1-tblTransactions[[#This Row],[Discount]]))</f>
        <v>337.87840000000006</v>
      </c>
      <c r="N2843" s="3">
        <f>tblTransactions[[#This Row],[Profit]]/tblTransactions[[#This Row],[Total_Amount]]</f>
        <v>0.48601611047180671</v>
      </c>
      <c r="O2843" t="str">
        <f>TEXT(tblTransactions[[#This Row],[Date]], "MMM-YYYY")</f>
        <v>Aug-2024</v>
      </c>
      <c r="P2843" t="str">
        <f>"Q"&amp;ROUNDUP(MONTH(tblTransactions[[#This Row],[Date]])/3,0)&amp;"-"&amp;YEAR(tblTransactions[[#This Row],[Date]])</f>
        <v>Q3-2024</v>
      </c>
      <c r="Q2843">
        <f>YEAR(tblTransactions[[#This Row],[Date]])</f>
        <v>2024</v>
      </c>
      <c r="R2843" t="str">
        <f>TEXT(tblTransactions[[#This Row],[Date]],"DDDD")</f>
        <v>Tuesday</v>
      </c>
      <c r="S2843">
        <f>MONTH(tblTransactions[[#This Row],[Date]])</f>
        <v>8</v>
      </c>
      <c r="T2843" t="str">
        <f>VLOOKUP(E2843, Products!$A:$B,2,0)</f>
        <v>Desks Fur-2</v>
      </c>
      <c r="U2843" t="str">
        <f>VLOOKUP(E2843,Products!$A:$C,3,0)</f>
        <v>Furniture</v>
      </c>
      <c r="V2843" t="str">
        <f>VLOOKUP(E2843,Products!$A:$D,4,0)</f>
        <v>Desks</v>
      </c>
      <c r="W2843" t="str">
        <f>VLOOKUP(D2843,Customers!$A:$C,3,0)</f>
        <v>B2C</v>
      </c>
      <c r="X2843" t="str">
        <f>VLOOKUP(C2843,Sales_Representatives!$A:$B,2,0)</f>
        <v>Thomas Hernandez</v>
      </c>
    </row>
    <row r="2844" spans="1:24" x14ac:dyDescent="0.3">
      <c r="A2844" t="s">
        <v>3896</v>
      </c>
      <c r="B2844" t="s">
        <v>3892</v>
      </c>
      <c r="C2844" t="s">
        <v>56</v>
      </c>
      <c r="D2844" t="s">
        <v>1787</v>
      </c>
      <c r="E2844" t="s">
        <v>113</v>
      </c>
      <c r="F2844">
        <v>4</v>
      </c>
      <c r="G2844">
        <v>930.41</v>
      </c>
      <c r="H2844">
        <v>0.03</v>
      </c>
      <c r="I2844" s="4">
        <v>3609.99</v>
      </c>
      <c r="J2844" t="s">
        <v>34</v>
      </c>
      <c r="K2844" t="s">
        <v>39</v>
      </c>
      <c r="L2844" s="4">
        <f>VLOOKUP(tblTransactions[[#This Row],[Product_ID]],tblProducts[],5,FALSE)</f>
        <v>595.51</v>
      </c>
      <c r="M2844" s="4">
        <f>tblTransactions[[#This Row],[Total_Amount]]-(tblTransactions[[#This Row],[Cost_Prices]]*tblTransactions[[#This Row],[Quantity]]*(1-tblTransactions[[#This Row],[Discount]]))</f>
        <v>1299.4112</v>
      </c>
      <c r="N2844" s="3">
        <f>tblTransactions[[#This Row],[Profit]]/tblTransactions[[#This Row],[Total_Amount]]</f>
        <v>0.35994869791883083</v>
      </c>
      <c r="O2844" t="str">
        <f>TEXT(tblTransactions[[#This Row],[Date]], "MMM-YYYY")</f>
        <v>Aug-2024</v>
      </c>
      <c r="P2844" t="str">
        <f>"Q"&amp;ROUNDUP(MONTH(tblTransactions[[#This Row],[Date]])/3,0)&amp;"-"&amp;YEAR(tblTransactions[[#This Row],[Date]])</f>
        <v>Q3-2024</v>
      </c>
      <c r="Q2844">
        <f>YEAR(tblTransactions[[#This Row],[Date]])</f>
        <v>2024</v>
      </c>
      <c r="R2844" t="str">
        <f>TEXT(tblTransactions[[#This Row],[Date]],"DDDD")</f>
        <v>Tuesday</v>
      </c>
      <c r="S2844">
        <f>MONTH(tblTransactions[[#This Row],[Date]])</f>
        <v>8</v>
      </c>
      <c r="T2844" t="str">
        <f>VLOOKUP(E2844, Products!$A:$B,2,0)</f>
        <v>Phones Ele-1</v>
      </c>
      <c r="U2844" t="str">
        <f>VLOOKUP(E2844,Products!$A:$C,3,0)</f>
        <v>Electronics</v>
      </c>
      <c r="V2844" t="str">
        <f>VLOOKUP(E2844,Products!$A:$D,4,0)</f>
        <v>Phones</v>
      </c>
      <c r="W2844" t="str">
        <f>VLOOKUP(D2844,Customers!$A:$C,3,0)</f>
        <v>B2C</v>
      </c>
      <c r="X2844" t="str">
        <f>VLOOKUP(C2844,Sales_Representatives!$A:$B,2,0)</f>
        <v>Thomas Hernandez</v>
      </c>
    </row>
    <row r="2845" spans="1:24" x14ac:dyDescent="0.3">
      <c r="A2845" t="s">
        <v>3897</v>
      </c>
      <c r="B2845" t="s">
        <v>3892</v>
      </c>
      <c r="C2845" t="s">
        <v>13</v>
      </c>
      <c r="D2845" t="s">
        <v>2405</v>
      </c>
      <c r="E2845" t="s">
        <v>168</v>
      </c>
      <c r="F2845">
        <v>6</v>
      </c>
      <c r="G2845">
        <v>101.59</v>
      </c>
      <c r="H2845">
        <v>0.12</v>
      </c>
      <c r="I2845" s="4">
        <v>536.4</v>
      </c>
      <c r="J2845" t="s">
        <v>16</v>
      </c>
      <c r="K2845" t="s">
        <v>22</v>
      </c>
      <c r="L2845" s="4">
        <f>VLOOKUP(tblTransactions[[#This Row],[Product_ID]],tblProducts[],5,FALSE)</f>
        <v>50.58</v>
      </c>
      <c r="M2845" s="4">
        <f>tblTransactions[[#This Row],[Total_Amount]]-(tblTransactions[[#This Row],[Cost_Prices]]*tblTransactions[[#This Row],[Quantity]]*(1-tblTransactions[[#This Row],[Discount]]))</f>
        <v>269.33759999999995</v>
      </c>
      <c r="N2845" s="3">
        <f>tblTransactions[[#This Row],[Profit]]/tblTransactions[[#This Row],[Total_Amount]]</f>
        <v>0.5021208053691274</v>
      </c>
      <c r="O2845" t="str">
        <f>TEXT(tblTransactions[[#This Row],[Date]], "MMM-YYYY")</f>
        <v>Aug-2024</v>
      </c>
      <c r="P2845" t="str">
        <f>"Q"&amp;ROUNDUP(MONTH(tblTransactions[[#This Row],[Date]])/3,0)&amp;"-"&amp;YEAR(tblTransactions[[#This Row],[Date]])</f>
        <v>Q3-2024</v>
      </c>
      <c r="Q2845">
        <f>YEAR(tblTransactions[[#This Row],[Date]])</f>
        <v>2024</v>
      </c>
      <c r="R2845" t="str">
        <f>TEXT(tblTransactions[[#This Row],[Date]],"DDDD")</f>
        <v>Tuesday</v>
      </c>
      <c r="S2845">
        <f>MONTH(tblTransactions[[#This Row],[Date]])</f>
        <v>8</v>
      </c>
      <c r="T2845" t="str">
        <f>VLOOKUP(E2845, Products!$A:$B,2,0)</f>
        <v>Cases Acc-4</v>
      </c>
      <c r="U2845" t="str">
        <f>VLOOKUP(E2845,Products!$A:$C,3,0)</f>
        <v>Accessories</v>
      </c>
      <c r="V2845" t="str">
        <f>VLOOKUP(E2845,Products!$A:$D,4,0)</f>
        <v>Cases</v>
      </c>
      <c r="W2845" t="str">
        <f>VLOOKUP(D2845,Customers!$A:$C,3,0)</f>
        <v>B2C</v>
      </c>
      <c r="X2845" t="str">
        <f>VLOOKUP(C2845,Sales_Representatives!$A:$B,2,0)</f>
        <v>Jennifer Rodriguez</v>
      </c>
    </row>
    <row r="2846" spans="1:24" x14ac:dyDescent="0.3">
      <c r="A2846" t="s">
        <v>3898</v>
      </c>
      <c r="B2846" t="s">
        <v>3892</v>
      </c>
      <c r="C2846" t="s">
        <v>56</v>
      </c>
      <c r="D2846" t="s">
        <v>2527</v>
      </c>
      <c r="E2846" t="s">
        <v>72</v>
      </c>
      <c r="F2846">
        <v>6</v>
      </c>
      <c r="G2846">
        <v>404.76</v>
      </c>
      <c r="H2846">
        <v>7.0000000000000007E-2</v>
      </c>
      <c r="I2846" s="4">
        <v>2258.56</v>
      </c>
      <c r="J2846" t="s">
        <v>34</v>
      </c>
      <c r="K2846" t="s">
        <v>48</v>
      </c>
      <c r="L2846" s="4">
        <f>VLOOKUP(tblTransactions[[#This Row],[Product_ID]],tblProducts[],5,FALSE)</f>
        <v>226.76</v>
      </c>
      <c r="M2846" s="4">
        <f>tblTransactions[[#This Row],[Total_Amount]]-(tblTransactions[[#This Row],[Cost_Prices]]*tblTransactions[[#This Row],[Quantity]]*(1-tblTransactions[[#This Row],[Discount]]))</f>
        <v>993.23919999999998</v>
      </c>
      <c r="N2846" s="3">
        <f>tblTransactions[[#This Row],[Profit]]/tblTransactions[[#This Row],[Total_Amount]]</f>
        <v>0.43976657693397564</v>
      </c>
      <c r="O2846" t="str">
        <f>TEXT(tblTransactions[[#This Row],[Date]], "MMM-YYYY")</f>
        <v>Aug-2024</v>
      </c>
      <c r="P2846" t="str">
        <f>"Q"&amp;ROUNDUP(MONTH(tblTransactions[[#This Row],[Date]])/3,0)&amp;"-"&amp;YEAR(tblTransactions[[#This Row],[Date]])</f>
        <v>Q3-2024</v>
      </c>
      <c r="Q2846">
        <f>YEAR(tblTransactions[[#This Row],[Date]])</f>
        <v>2024</v>
      </c>
      <c r="R2846" t="str">
        <f>TEXT(tblTransactions[[#This Row],[Date]],"DDDD")</f>
        <v>Tuesday</v>
      </c>
      <c r="S2846">
        <f>MONTH(tblTransactions[[#This Row],[Date]])</f>
        <v>8</v>
      </c>
      <c r="T2846" t="str">
        <f>VLOOKUP(E2846, Products!$A:$B,2,0)</f>
        <v>Tablets Ele-2</v>
      </c>
      <c r="U2846" t="str">
        <f>VLOOKUP(E2846,Products!$A:$C,3,0)</f>
        <v>Electronics</v>
      </c>
      <c r="V2846" t="str">
        <f>VLOOKUP(E2846,Products!$A:$D,4,0)</f>
        <v>Tablets</v>
      </c>
      <c r="W2846" t="str">
        <f>VLOOKUP(D2846,Customers!$A:$C,3,0)</f>
        <v>B2C</v>
      </c>
      <c r="X2846" t="str">
        <f>VLOOKUP(C2846,Sales_Representatives!$A:$B,2,0)</f>
        <v>Thomas Hernandez</v>
      </c>
    </row>
    <row r="2847" spans="1:24" x14ac:dyDescent="0.3">
      <c r="A2847" t="s">
        <v>3899</v>
      </c>
      <c r="B2847" t="s">
        <v>3900</v>
      </c>
      <c r="C2847" t="s">
        <v>27</v>
      </c>
      <c r="D2847" t="s">
        <v>2126</v>
      </c>
      <c r="E2847" t="s">
        <v>43</v>
      </c>
      <c r="F2847">
        <v>3</v>
      </c>
      <c r="G2847">
        <v>39.32</v>
      </c>
      <c r="H2847">
        <v>7.0000000000000007E-2</v>
      </c>
      <c r="I2847" s="4">
        <v>109.7</v>
      </c>
      <c r="J2847" t="s">
        <v>16</v>
      </c>
      <c r="K2847" t="s">
        <v>48</v>
      </c>
      <c r="L2847" s="4">
        <f>VLOOKUP(tblTransactions[[#This Row],[Product_ID]],tblProducts[],5,FALSE)</f>
        <v>15.81</v>
      </c>
      <c r="M2847" s="4">
        <f>tblTransactions[[#This Row],[Total_Amount]]-(tblTransactions[[#This Row],[Cost_Prices]]*tblTransactions[[#This Row],[Quantity]]*(1-tblTransactions[[#This Row],[Discount]]))</f>
        <v>65.590100000000007</v>
      </c>
      <c r="N2847" s="3">
        <f>tblTransactions[[#This Row],[Profit]]/tblTransactions[[#This Row],[Total_Amount]]</f>
        <v>0.59790428441203292</v>
      </c>
      <c r="O2847" t="str">
        <f>TEXT(tblTransactions[[#This Row],[Date]], "MMM-YYYY")</f>
        <v>Aug-2024</v>
      </c>
      <c r="P2847" t="str">
        <f>"Q"&amp;ROUNDUP(MONTH(tblTransactions[[#This Row],[Date]])/3,0)&amp;"-"&amp;YEAR(tblTransactions[[#This Row],[Date]])</f>
        <v>Q3-2024</v>
      </c>
      <c r="Q2847">
        <f>YEAR(tblTransactions[[#This Row],[Date]])</f>
        <v>2024</v>
      </c>
      <c r="R2847" t="str">
        <f>TEXT(tblTransactions[[#This Row],[Date]],"DDDD")</f>
        <v>Wednesday</v>
      </c>
      <c r="S2847">
        <f>MONTH(tblTransactions[[#This Row],[Date]])</f>
        <v>8</v>
      </c>
      <c r="T2847" t="str">
        <f>VLOOKUP(E2847, Products!$A:$B,2,0)</f>
        <v>Paper Off-3</v>
      </c>
      <c r="U2847" t="str">
        <f>VLOOKUP(E2847,Products!$A:$C,3,0)</f>
        <v>Office Supplies</v>
      </c>
      <c r="V2847" t="str">
        <f>VLOOKUP(E2847,Products!$A:$D,4,0)</f>
        <v>Paper</v>
      </c>
      <c r="W2847" t="str">
        <f>VLOOKUP(D2847,Customers!$A:$C,3,0)</f>
        <v>B2C</v>
      </c>
      <c r="X2847" t="str">
        <f>VLOOKUP(C2847,Sales_Representatives!$A:$B,2,0)</f>
        <v>Thomas Lopez</v>
      </c>
    </row>
    <row r="2848" spans="1:24" x14ac:dyDescent="0.3">
      <c r="A2848" t="s">
        <v>3901</v>
      </c>
      <c r="B2848" t="s">
        <v>3900</v>
      </c>
      <c r="C2848" t="s">
        <v>63</v>
      </c>
      <c r="D2848" t="s">
        <v>1768</v>
      </c>
      <c r="E2848" t="s">
        <v>221</v>
      </c>
      <c r="F2848">
        <v>1</v>
      </c>
      <c r="G2848">
        <v>210.02</v>
      </c>
      <c r="H2848">
        <v>0.02</v>
      </c>
      <c r="I2848" s="4">
        <v>205.82</v>
      </c>
      <c r="J2848" t="s">
        <v>21</v>
      </c>
      <c r="K2848" t="s">
        <v>22</v>
      </c>
      <c r="L2848" s="4">
        <f>VLOOKUP(tblTransactions[[#This Row],[Product_ID]],tblProducts[],5,FALSE)</f>
        <v>131.66</v>
      </c>
      <c r="M2848" s="4">
        <f>tblTransactions[[#This Row],[Total_Amount]]-(tblTransactions[[#This Row],[Cost_Prices]]*tblTransactions[[#This Row],[Quantity]]*(1-tblTransactions[[#This Row],[Discount]]))</f>
        <v>76.793200000000013</v>
      </c>
      <c r="N2848" s="3">
        <f>tblTransactions[[#This Row],[Profit]]/tblTransactions[[#This Row],[Total_Amount]]</f>
        <v>0.37310854144398026</v>
      </c>
      <c r="O2848" t="str">
        <f>TEXT(tblTransactions[[#This Row],[Date]], "MMM-YYYY")</f>
        <v>Aug-2024</v>
      </c>
      <c r="P2848" t="str">
        <f>"Q"&amp;ROUNDUP(MONTH(tblTransactions[[#This Row],[Date]])/3,0)&amp;"-"&amp;YEAR(tblTransactions[[#This Row],[Date]])</f>
        <v>Q3-2024</v>
      </c>
      <c r="Q2848">
        <f>YEAR(tblTransactions[[#This Row],[Date]])</f>
        <v>2024</v>
      </c>
      <c r="R2848" t="str">
        <f>TEXT(tblTransactions[[#This Row],[Date]],"DDDD")</f>
        <v>Wednesday</v>
      </c>
      <c r="S2848">
        <f>MONTH(tblTransactions[[#This Row],[Date]])</f>
        <v>8</v>
      </c>
      <c r="T2848" t="str">
        <f>VLOOKUP(E2848, Products!$A:$B,2,0)</f>
        <v>Storage Fur-2</v>
      </c>
      <c r="U2848" t="str">
        <f>VLOOKUP(E2848,Products!$A:$C,3,0)</f>
        <v>Furniture</v>
      </c>
      <c r="V2848" t="str">
        <f>VLOOKUP(E2848,Products!$A:$D,4,0)</f>
        <v>Storage</v>
      </c>
      <c r="W2848" t="str">
        <f>VLOOKUP(D2848,Customers!$A:$C,3,0)</f>
        <v>B2C</v>
      </c>
      <c r="X2848" t="str">
        <f>VLOOKUP(C2848,Sales_Representatives!$A:$B,2,0)</f>
        <v>Richard Wilson</v>
      </c>
    </row>
    <row r="2849" spans="1:24" x14ac:dyDescent="0.3">
      <c r="A2849" t="s">
        <v>3902</v>
      </c>
      <c r="B2849" t="s">
        <v>3900</v>
      </c>
      <c r="C2849" t="s">
        <v>27</v>
      </c>
      <c r="D2849" t="s">
        <v>1604</v>
      </c>
      <c r="E2849" t="s">
        <v>178</v>
      </c>
      <c r="F2849">
        <v>5</v>
      </c>
      <c r="G2849">
        <v>1623.35</v>
      </c>
      <c r="H2849">
        <v>0.03</v>
      </c>
      <c r="I2849" s="4">
        <v>7873.25</v>
      </c>
      <c r="J2849" t="s">
        <v>16</v>
      </c>
      <c r="K2849" t="s">
        <v>48</v>
      </c>
      <c r="L2849" s="4">
        <f>VLOOKUP(tblTransactions[[#This Row],[Product_ID]],tblProducts[],5,FALSE)</f>
        <v>981.45</v>
      </c>
      <c r="M2849" s="4">
        <f>tblTransactions[[#This Row],[Total_Amount]]-(tblTransactions[[#This Row],[Cost_Prices]]*tblTransactions[[#This Row],[Quantity]]*(1-tblTransactions[[#This Row],[Discount]]))</f>
        <v>3113.2174999999997</v>
      </c>
      <c r="N2849" s="3">
        <f>tblTransactions[[#This Row],[Profit]]/tblTransactions[[#This Row],[Total_Amount]]</f>
        <v>0.3954170768107198</v>
      </c>
      <c r="O2849" t="str">
        <f>TEXT(tblTransactions[[#This Row],[Date]], "MMM-YYYY")</f>
        <v>Aug-2024</v>
      </c>
      <c r="P2849" t="str">
        <f>"Q"&amp;ROUNDUP(MONTH(tblTransactions[[#This Row],[Date]])/3,0)&amp;"-"&amp;YEAR(tblTransactions[[#This Row],[Date]])</f>
        <v>Q3-2024</v>
      </c>
      <c r="Q2849">
        <f>YEAR(tblTransactions[[#This Row],[Date]])</f>
        <v>2024</v>
      </c>
      <c r="R2849" t="str">
        <f>TEXT(tblTransactions[[#This Row],[Date]],"DDDD")</f>
        <v>Wednesday</v>
      </c>
      <c r="S2849">
        <f>MONTH(tblTransactions[[#This Row],[Date]])</f>
        <v>8</v>
      </c>
      <c r="T2849" t="str">
        <f>VLOOKUP(E2849, Products!$A:$B,2,0)</f>
        <v>Tablets Ele-1</v>
      </c>
      <c r="U2849" t="str">
        <f>VLOOKUP(E2849,Products!$A:$C,3,0)</f>
        <v>Electronics</v>
      </c>
      <c r="V2849" t="str">
        <f>VLOOKUP(E2849,Products!$A:$D,4,0)</f>
        <v>Tablets</v>
      </c>
      <c r="W2849" t="str">
        <f>VLOOKUP(D2849,Customers!$A:$C,3,0)</f>
        <v>B2C</v>
      </c>
      <c r="X2849" t="str">
        <f>VLOOKUP(C2849,Sales_Representatives!$A:$B,2,0)</f>
        <v>Thomas Lopez</v>
      </c>
    </row>
    <row r="2850" spans="1:24" x14ac:dyDescent="0.3">
      <c r="A2850" t="s">
        <v>3903</v>
      </c>
      <c r="B2850" t="s">
        <v>3904</v>
      </c>
      <c r="C2850" t="s">
        <v>59</v>
      </c>
      <c r="D2850" t="s">
        <v>98</v>
      </c>
      <c r="E2850" t="s">
        <v>43</v>
      </c>
      <c r="F2850">
        <v>4</v>
      </c>
      <c r="G2850">
        <v>39.32</v>
      </c>
      <c r="H2850">
        <v>0.1</v>
      </c>
      <c r="I2850" s="4">
        <v>141.55000000000001</v>
      </c>
      <c r="J2850" t="s">
        <v>21</v>
      </c>
      <c r="K2850" t="s">
        <v>35</v>
      </c>
      <c r="L2850" s="4">
        <f>VLOOKUP(tblTransactions[[#This Row],[Product_ID]],tblProducts[],5,FALSE)</f>
        <v>15.81</v>
      </c>
      <c r="M2850" s="4">
        <f>tblTransactions[[#This Row],[Total_Amount]]-(tblTransactions[[#This Row],[Cost_Prices]]*tblTransactions[[#This Row],[Quantity]]*(1-tblTransactions[[#This Row],[Discount]]))</f>
        <v>84.634000000000015</v>
      </c>
      <c r="N2850" s="3">
        <f>tblTransactions[[#This Row],[Profit]]/tblTransactions[[#This Row],[Total_Amount]]</f>
        <v>0.59790886612504424</v>
      </c>
      <c r="O2850" t="str">
        <f>TEXT(tblTransactions[[#This Row],[Date]], "MMM-YYYY")</f>
        <v>Aug-2024</v>
      </c>
      <c r="P2850" t="str">
        <f>"Q"&amp;ROUNDUP(MONTH(tblTransactions[[#This Row],[Date]])/3,0)&amp;"-"&amp;YEAR(tblTransactions[[#This Row],[Date]])</f>
        <v>Q3-2024</v>
      </c>
      <c r="Q2850">
        <f>YEAR(tblTransactions[[#This Row],[Date]])</f>
        <v>2024</v>
      </c>
      <c r="R2850" t="str">
        <f>TEXT(tblTransactions[[#This Row],[Date]],"DDDD")</f>
        <v>Thursday</v>
      </c>
      <c r="S2850">
        <f>MONTH(tblTransactions[[#This Row],[Date]])</f>
        <v>8</v>
      </c>
      <c r="T2850" t="str">
        <f>VLOOKUP(E2850, Products!$A:$B,2,0)</f>
        <v>Paper Off-3</v>
      </c>
      <c r="U2850" t="str">
        <f>VLOOKUP(E2850,Products!$A:$C,3,0)</f>
        <v>Office Supplies</v>
      </c>
      <c r="V2850" t="str">
        <f>VLOOKUP(E2850,Products!$A:$D,4,0)</f>
        <v>Paper</v>
      </c>
      <c r="W2850" t="str">
        <f>VLOOKUP(D2850,Customers!$A:$C,3,0)</f>
        <v>B2C</v>
      </c>
      <c r="X2850" t="str">
        <f>VLOOKUP(C2850,Sales_Representatives!$A:$B,2,0)</f>
        <v>Sarah Brown</v>
      </c>
    </row>
    <row r="2851" spans="1:24" x14ac:dyDescent="0.3">
      <c r="A2851" t="s">
        <v>3905</v>
      </c>
      <c r="B2851" t="s">
        <v>3904</v>
      </c>
      <c r="C2851" t="s">
        <v>56</v>
      </c>
      <c r="D2851" t="s">
        <v>362</v>
      </c>
      <c r="E2851" t="s">
        <v>157</v>
      </c>
      <c r="F2851">
        <v>6</v>
      </c>
      <c r="G2851">
        <v>1227.68</v>
      </c>
      <c r="H2851">
        <v>0.06</v>
      </c>
      <c r="I2851" s="4">
        <v>6924.12</v>
      </c>
      <c r="J2851" t="s">
        <v>34</v>
      </c>
      <c r="K2851" t="s">
        <v>35</v>
      </c>
      <c r="L2851" s="4">
        <f>VLOOKUP(tblTransactions[[#This Row],[Product_ID]],tblProducts[],5,FALSE)</f>
        <v>846.42</v>
      </c>
      <c r="M2851" s="4">
        <f>tblTransactions[[#This Row],[Total_Amount]]-(tblTransactions[[#This Row],[Cost_Prices]]*tblTransactions[[#This Row],[Quantity]]*(1-tblTransactions[[#This Row],[Discount]]))</f>
        <v>2150.311200000001</v>
      </c>
      <c r="N2851" s="3">
        <f>tblTransactions[[#This Row],[Profit]]/tblTransactions[[#This Row],[Total_Amount]]</f>
        <v>0.31055371657336978</v>
      </c>
      <c r="O2851" t="str">
        <f>TEXT(tblTransactions[[#This Row],[Date]], "MMM-YYYY")</f>
        <v>Aug-2024</v>
      </c>
      <c r="P2851" t="str">
        <f>"Q"&amp;ROUNDUP(MONTH(tblTransactions[[#This Row],[Date]])/3,0)&amp;"-"&amp;YEAR(tblTransactions[[#This Row],[Date]])</f>
        <v>Q3-2024</v>
      </c>
      <c r="Q2851">
        <f>YEAR(tblTransactions[[#This Row],[Date]])</f>
        <v>2024</v>
      </c>
      <c r="R2851" t="str">
        <f>TEXT(tblTransactions[[#This Row],[Date]],"DDDD")</f>
        <v>Thursday</v>
      </c>
      <c r="S2851">
        <f>MONTH(tblTransactions[[#This Row],[Date]])</f>
        <v>8</v>
      </c>
      <c r="T2851" t="str">
        <f>VLOOKUP(E2851, Products!$A:$B,2,0)</f>
        <v>Printers Tec-4</v>
      </c>
      <c r="U2851" t="str">
        <f>VLOOKUP(E2851,Products!$A:$C,3,0)</f>
        <v>Technology</v>
      </c>
      <c r="V2851" t="str">
        <f>VLOOKUP(E2851,Products!$A:$D,4,0)</f>
        <v>Printers</v>
      </c>
      <c r="W2851" t="str">
        <f>VLOOKUP(D2851,Customers!$A:$C,3,0)</f>
        <v>Small Business</v>
      </c>
      <c r="X2851" t="str">
        <f>VLOOKUP(C2851,Sales_Representatives!$A:$B,2,0)</f>
        <v>Thomas Hernandez</v>
      </c>
    </row>
    <row r="2852" spans="1:24" x14ac:dyDescent="0.3">
      <c r="A2852" t="s">
        <v>3906</v>
      </c>
      <c r="B2852" t="s">
        <v>3907</v>
      </c>
      <c r="C2852" t="s">
        <v>70</v>
      </c>
      <c r="D2852" t="s">
        <v>1959</v>
      </c>
      <c r="E2852" t="s">
        <v>38</v>
      </c>
      <c r="F2852">
        <v>3</v>
      </c>
      <c r="G2852">
        <v>581.47</v>
      </c>
      <c r="H2852">
        <v>0.04</v>
      </c>
      <c r="I2852" s="4">
        <v>1674.63</v>
      </c>
      <c r="J2852" t="s">
        <v>16</v>
      </c>
      <c r="K2852" t="s">
        <v>35</v>
      </c>
      <c r="L2852" s="4">
        <f>VLOOKUP(tblTransactions[[#This Row],[Product_ID]],tblProducts[],5,FALSE)</f>
        <v>372.07</v>
      </c>
      <c r="M2852" s="4">
        <f>tblTransactions[[#This Row],[Total_Amount]]-(tblTransactions[[#This Row],[Cost_Prices]]*tblTransactions[[#This Row],[Quantity]]*(1-tblTransactions[[#This Row],[Discount]]))</f>
        <v>603.06840000000011</v>
      </c>
      <c r="N2852" s="3">
        <f>tblTransactions[[#This Row],[Profit]]/tblTransactions[[#This Row],[Total_Amount]]</f>
        <v>0.36012038480141884</v>
      </c>
      <c r="O2852" t="str">
        <f>TEXT(tblTransactions[[#This Row],[Date]], "MMM-YYYY")</f>
        <v>Aug-2024</v>
      </c>
      <c r="P2852" t="str">
        <f>"Q"&amp;ROUNDUP(MONTH(tblTransactions[[#This Row],[Date]])/3,0)&amp;"-"&amp;YEAR(tblTransactions[[#This Row],[Date]])</f>
        <v>Q3-2024</v>
      </c>
      <c r="Q2852">
        <f>YEAR(tblTransactions[[#This Row],[Date]])</f>
        <v>2024</v>
      </c>
      <c r="R2852" t="str">
        <f>TEXT(tblTransactions[[#This Row],[Date]],"DDDD")</f>
        <v>Friday</v>
      </c>
      <c r="S2852">
        <f>MONTH(tblTransactions[[#This Row],[Date]])</f>
        <v>8</v>
      </c>
      <c r="T2852" t="str">
        <f>VLOOKUP(E2852, Products!$A:$B,2,0)</f>
        <v>Storage Fur-3</v>
      </c>
      <c r="U2852" t="str">
        <f>VLOOKUP(E2852,Products!$A:$C,3,0)</f>
        <v>Furniture</v>
      </c>
      <c r="V2852" t="str">
        <f>VLOOKUP(E2852,Products!$A:$D,4,0)</f>
        <v>Storage</v>
      </c>
      <c r="W2852" t="str">
        <f>VLOOKUP(D2852,Customers!$A:$C,3,0)</f>
        <v>Small Business</v>
      </c>
      <c r="X2852" t="str">
        <f>VLOOKUP(C2852,Sales_Representatives!$A:$B,2,0)</f>
        <v>Linda Smith</v>
      </c>
    </row>
    <row r="2853" spans="1:24" x14ac:dyDescent="0.3">
      <c r="A2853" t="s">
        <v>3908</v>
      </c>
      <c r="B2853" t="s">
        <v>3907</v>
      </c>
      <c r="C2853" t="s">
        <v>56</v>
      </c>
      <c r="D2853" t="s">
        <v>3001</v>
      </c>
      <c r="E2853" t="s">
        <v>290</v>
      </c>
      <c r="F2853">
        <v>14</v>
      </c>
      <c r="G2853">
        <v>729.32</v>
      </c>
      <c r="H2853">
        <v>0.14000000000000001</v>
      </c>
      <c r="I2853" s="4">
        <v>8781.01</v>
      </c>
      <c r="J2853" t="s">
        <v>34</v>
      </c>
      <c r="K2853" t="s">
        <v>35</v>
      </c>
      <c r="L2853" s="4">
        <f>VLOOKUP(tblTransactions[[#This Row],[Product_ID]],tblProducts[],5,FALSE)</f>
        <v>482.7</v>
      </c>
      <c r="M2853" s="4">
        <f>tblTransactions[[#This Row],[Total_Amount]]-(tblTransactions[[#This Row],[Cost_Prices]]*tblTransactions[[#This Row],[Quantity]]*(1-tblTransactions[[#This Row],[Discount]]))</f>
        <v>2969.3020000000006</v>
      </c>
      <c r="N2853" s="3">
        <f>tblTransactions[[#This Row],[Profit]]/tblTransactions[[#This Row],[Total_Amount]]</f>
        <v>0.33815039500011962</v>
      </c>
      <c r="O2853" t="str">
        <f>TEXT(tblTransactions[[#This Row],[Date]], "MMM-YYYY")</f>
        <v>Aug-2024</v>
      </c>
      <c r="P2853" t="str">
        <f>"Q"&amp;ROUNDUP(MONTH(tblTransactions[[#This Row],[Date]])/3,0)&amp;"-"&amp;YEAR(tblTransactions[[#This Row],[Date]])</f>
        <v>Q3-2024</v>
      </c>
      <c r="Q2853">
        <f>YEAR(tblTransactions[[#This Row],[Date]])</f>
        <v>2024</v>
      </c>
      <c r="R2853" t="str">
        <f>TEXT(tblTransactions[[#This Row],[Date]],"DDDD")</f>
        <v>Friday</v>
      </c>
      <c r="S2853">
        <f>MONTH(tblTransactions[[#This Row],[Date]])</f>
        <v>8</v>
      </c>
      <c r="T2853" t="str">
        <f>VLOOKUP(E2853, Products!$A:$B,2,0)</f>
        <v>Tables Fur-1</v>
      </c>
      <c r="U2853" t="str">
        <f>VLOOKUP(E2853,Products!$A:$C,3,0)</f>
        <v>Furniture</v>
      </c>
      <c r="V2853" t="str">
        <f>VLOOKUP(E2853,Products!$A:$D,4,0)</f>
        <v>Tables</v>
      </c>
      <c r="W2853" t="str">
        <f>VLOOKUP(D2853,Customers!$A:$C,3,0)</f>
        <v>B2B</v>
      </c>
      <c r="X2853" t="str">
        <f>VLOOKUP(C2853,Sales_Representatives!$A:$B,2,0)</f>
        <v>Thomas Hernandez</v>
      </c>
    </row>
    <row r="2854" spans="1:24" x14ac:dyDescent="0.3">
      <c r="A2854" t="s">
        <v>3909</v>
      </c>
      <c r="B2854" t="s">
        <v>3907</v>
      </c>
      <c r="C2854" t="s">
        <v>127</v>
      </c>
      <c r="D2854" t="s">
        <v>1675</v>
      </c>
      <c r="E2854" t="s">
        <v>105</v>
      </c>
      <c r="F2854">
        <v>3</v>
      </c>
      <c r="G2854">
        <v>1342.04</v>
      </c>
      <c r="H2854">
        <v>0.05</v>
      </c>
      <c r="I2854" s="4">
        <v>3824.81</v>
      </c>
      <c r="J2854" t="s">
        <v>109</v>
      </c>
      <c r="K2854" t="s">
        <v>17</v>
      </c>
      <c r="L2854" s="4">
        <f>VLOOKUP(tblTransactions[[#This Row],[Product_ID]],tblProducts[],5,FALSE)</f>
        <v>792.89</v>
      </c>
      <c r="M2854" s="4">
        <f>tblTransactions[[#This Row],[Total_Amount]]-(tblTransactions[[#This Row],[Cost_Prices]]*tblTransactions[[#This Row],[Quantity]]*(1-tblTransactions[[#This Row],[Discount]]))</f>
        <v>1565.0735</v>
      </c>
      <c r="N2854" s="3">
        <f>tblTransactions[[#This Row],[Profit]]/tblTransactions[[#This Row],[Total_Amount]]</f>
        <v>0.40918986825489373</v>
      </c>
      <c r="O2854" t="str">
        <f>TEXT(tblTransactions[[#This Row],[Date]], "MMM-YYYY")</f>
        <v>Aug-2024</v>
      </c>
      <c r="P2854" t="str">
        <f>"Q"&amp;ROUNDUP(MONTH(tblTransactions[[#This Row],[Date]])/3,0)&amp;"-"&amp;YEAR(tblTransactions[[#This Row],[Date]])</f>
        <v>Q3-2024</v>
      </c>
      <c r="Q2854">
        <f>YEAR(tblTransactions[[#This Row],[Date]])</f>
        <v>2024</v>
      </c>
      <c r="R2854" t="str">
        <f>TEXT(tblTransactions[[#This Row],[Date]],"DDDD")</f>
        <v>Friday</v>
      </c>
      <c r="S2854">
        <f>MONTH(tblTransactions[[#This Row],[Date]])</f>
        <v>8</v>
      </c>
      <c r="T2854" t="str">
        <f>VLOOKUP(E2854, Products!$A:$B,2,0)</f>
        <v>Cameras Ele-1</v>
      </c>
      <c r="U2854" t="str">
        <f>VLOOKUP(E2854,Products!$A:$C,3,0)</f>
        <v>Electronics</v>
      </c>
      <c r="V2854" t="str">
        <f>VLOOKUP(E2854,Products!$A:$D,4,0)</f>
        <v>Cameras</v>
      </c>
      <c r="W2854" t="str">
        <f>VLOOKUP(D2854,Customers!$A:$C,3,0)</f>
        <v>B2B</v>
      </c>
      <c r="X2854" t="str">
        <f>VLOOKUP(C2854,Sales_Representatives!$A:$B,2,0)</f>
        <v>Emily Hernandez</v>
      </c>
    </row>
    <row r="2855" spans="1:24" x14ac:dyDescent="0.3">
      <c r="A2855" t="s">
        <v>3910</v>
      </c>
      <c r="B2855" t="s">
        <v>3907</v>
      </c>
      <c r="C2855" t="s">
        <v>63</v>
      </c>
      <c r="D2855" t="s">
        <v>1708</v>
      </c>
      <c r="E2855" t="s">
        <v>99</v>
      </c>
      <c r="F2855">
        <v>35</v>
      </c>
      <c r="G2855">
        <v>325.14</v>
      </c>
      <c r="H2855">
        <v>0.18</v>
      </c>
      <c r="I2855" s="4">
        <v>9331.52</v>
      </c>
      <c r="J2855" t="s">
        <v>21</v>
      </c>
      <c r="K2855" t="s">
        <v>17</v>
      </c>
      <c r="L2855" s="4">
        <f>VLOOKUP(tblTransactions[[#This Row],[Product_ID]],tblProducts[],5,FALSE)</f>
        <v>209.04</v>
      </c>
      <c r="M2855" s="4">
        <f>tblTransactions[[#This Row],[Total_Amount]]-(tblTransactions[[#This Row],[Cost_Prices]]*tblTransactions[[#This Row],[Quantity]]*(1-tblTransactions[[#This Row],[Discount]]))</f>
        <v>3332.0720000000001</v>
      </c>
      <c r="N2855" s="3">
        <f>tblTransactions[[#This Row],[Profit]]/tblTransactions[[#This Row],[Total_Amount]]</f>
        <v>0.35707708926305681</v>
      </c>
      <c r="O2855" t="str">
        <f>TEXT(tblTransactions[[#This Row],[Date]], "MMM-YYYY")</f>
        <v>Aug-2024</v>
      </c>
      <c r="P2855" t="str">
        <f>"Q"&amp;ROUNDUP(MONTH(tblTransactions[[#This Row],[Date]])/3,0)&amp;"-"&amp;YEAR(tblTransactions[[#This Row],[Date]])</f>
        <v>Q3-2024</v>
      </c>
      <c r="Q2855">
        <f>YEAR(tblTransactions[[#This Row],[Date]])</f>
        <v>2024</v>
      </c>
      <c r="R2855" t="str">
        <f>TEXT(tblTransactions[[#This Row],[Date]],"DDDD")</f>
        <v>Friday</v>
      </c>
      <c r="S2855">
        <f>MONTH(tblTransactions[[#This Row],[Date]])</f>
        <v>8</v>
      </c>
      <c r="T2855" t="str">
        <f>VLOOKUP(E2855, Products!$A:$B,2,0)</f>
        <v>Monitors Tec-1</v>
      </c>
      <c r="U2855" t="str">
        <f>VLOOKUP(E2855,Products!$A:$C,3,0)</f>
        <v>Technology</v>
      </c>
      <c r="V2855" t="str">
        <f>VLOOKUP(E2855,Products!$A:$D,4,0)</f>
        <v>Monitors</v>
      </c>
      <c r="W2855" t="str">
        <f>VLOOKUP(D2855,Customers!$A:$C,3,0)</f>
        <v>Enterprise</v>
      </c>
      <c r="X2855" t="str">
        <f>VLOOKUP(C2855,Sales_Representatives!$A:$B,2,0)</f>
        <v>Richard Wilson</v>
      </c>
    </row>
    <row r="2856" spans="1:24" x14ac:dyDescent="0.3">
      <c r="A2856" t="s">
        <v>3911</v>
      </c>
      <c r="B2856" t="s">
        <v>3912</v>
      </c>
      <c r="C2856" t="s">
        <v>41</v>
      </c>
      <c r="D2856" t="s">
        <v>2577</v>
      </c>
      <c r="E2856" t="s">
        <v>178</v>
      </c>
      <c r="F2856">
        <v>5</v>
      </c>
      <c r="G2856">
        <v>1623.35</v>
      </c>
      <c r="H2856">
        <v>0.08</v>
      </c>
      <c r="I2856" s="4">
        <v>7467.41</v>
      </c>
      <c r="J2856" t="s">
        <v>44</v>
      </c>
      <c r="K2856" t="s">
        <v>22</v>
      </c>
      <c r="L2856" s="4">
        <f>VLOOKUP(tblTransactions[[#This Row],[Product_ID]],tblProducts[],5,FALSE)</f>
        <v>981.45</v>
      </c>
      <c r="M2856" s="4">
        <f>tblTransactions[[#This Row],[Total_Amount]]-(tblTransactions[[#This Row],[Cost_Prices]]*tblTransactions[[#This Row],[Quantity]]*(1-tblTransactions[[#This Row],[Discount]]))</f>
        <v>2952.74</v>
      </c>
      <c r="N2856" s="3">
        <f>tblTransactions[[#This Row],[Profit]]/tblTransactions[[#This Row],[Total_Amount]]</f>
        <v>0.39541688483691129</v>
      </c>
      <c r="O2856" t="str">
        <f>TEXT(tblTransactions[[#This Row],[Date]], "MMM-YYYY")</f>
        <v>Aug-2024</v>
      </c>
      <c r="P2856" t="str">
        <f>"Q"&amp;ROUNDUP(MONTH(tblTransactions[[#This Row],[Date]])/3,0)&amp;"-"&amp;YEAR(tblTransactions[[#This Row],[Date]])</f>
        <v>Q3-2024</v>
      </c>
      <c r="Q2856">
        <f>YEAR(tblTransactions[[#This Row],[Date]])</f>
        <v>2024</v>
      </c>
      <c r="R2856" t="str">
        <f>TEXT(tblTransactions[[#This Row],[Date]],"DDDD")</f>
        <v>Saturday</v>
      </c>
      <c r="S2856">
        <f>MONTH(tblTransactions[[#This Row],[Date]])</f>
        <v>8</v>
      </c>
      <c r="T2856" t="str">
        <f>VLOOKUP(E2856, Products!$A:$B,2,0)</f>
        <v>Tablets Ele-1</v>
      </c>
      <c r="U2856" t="str">
        <f>VLOOKUP(E2856,Products!$A:$C,3,0)</f>
        <v>Electronics</v>
      </c>
      <c r="V2856" t="str">
        <f>VLOOKUP(E2856,Products!$A:$D,4,0)</f>
        <v>Tablets</v>
      </c>
      <c r="W2856" t="str">
        <f>VLOOKUP(D2856,Customers!$A:$C,3,0)</f>
        <v>B2C</v>
      </c>
      <c r="X2856" t="str">
        <f>VLOOKUP(C2856,Sales_Representatives!$A:$B,2,0)</f>
        <v>Robert Jones</v>
      </c>
    </row>
    <row r="2857" spans="1:24" x14ac:dyDescent="0.3">
      <c r="A2857" t="s">
        <v>3913</v>
      </c>
      <c r="B2857" t="s">
        <v>3912</v>
      </c>
      <c r="C2857" t="s">
        <v>13</v>
      </c>
      <c r="D2857" t="s">
        <v>164</v>
      </c>
      <c r="E2857" t="s">
        <v>376</v>
      </c>
      <c r="F2857">
        <v>7</v>
      </c>
      <c r="G2857">
        <v>229.65</v>
      </c>
      <c r="H2857">
        <v>0.13</v>
      </c>
      <c r="I2857" s="4">
        <v>1398.57</v>
      </c>
      <c r="J2857" t="s">
        <v>16</v>
      </c>
      <c r="K2857" t="s">
        <v>35</v>
      </c>
      <c r="L2857" s="4">
        <f>VLOOKUP(tblTransactions[[#This Row],[Product_ID]],tblProducts[],5,FALSE)</f>
        <v>96.84</v>
      </c>
      <c r="M2857" s="4">
        <f>tblTransactions[[#This Row],[Total_Amount]]-(tblTransactions[[#This Row],[Cost_Prices]]*tblTransactions[[#This Row],[Quantity]]*(1-tblTransactions[[#This Row],[Discount]]))</f>
        <v>808.81439999999998</v>
      </c>
      <c r="N2857" s="3">
        <f>tblTransactions[[#This Row],[Profit]]/tblTransactions[[#This Row],[Total_Amount]]</f>
        <v>0.57831527917801751</v>
      </c>
      <c r="O2857" t="str">
        <f>TEXT(tblTransactions[[#This Row],[Date]], "MMM-YYYY")</f>
        <v>Aug-2024</v>
      </c>
      <c r="P2857" t="str">
        <f>"Q"&amp;ROUNDUP(MONTH(tblTransactions[[#This Row],[Date]])/3,0)&amp;"-"&amp;YEAR(tblTransactions[[#This Row],[Date]])</f>
        <v>Q3-2024</v>
      </c>
      <c r="Q2857">
        <f>YEAR(tblTransactions[[#This Row],[Date]])</f>
        <v>2024</v>
      </c>
      <c r="R2857" t="str">
        <f>TEXT(tblTransactions[[#This Row],[Date]],"DDDD")</f>
        <v>Saturday</v>
      </c>
      <c r="S2857">
        <f>MONTH(tblTransactions[[#This Row],[Date]])</f>
        <v>8</v>
      </c>
      <c r="T2857" t="str">
        <f>VLOOKUP(E2857, Products!$A:$B,2,0)</f>
        <v>Adapters Acc-2</v>
      </c>
      <c r="U2857" t="str">
        <f>VLOOKUP(E2857,Products!$A:$C,3,0)</f>
        <v>Accessories</v>
      </c>
      <c r="V2857" t="str">
        <f>VLOOKUP(E2857,Products!$A:$D,4,0)</f>
        <v>Adapters</v>
      </c>
      <c r="W2857" t="str">
        <f>VLOOKUP(D2857,Customers!$A:$C,3,0)</f>
        <v>Small Business</v>
      </c>
      <c r="X2857" t="str">
        <f>VLOOKUP(C2857,Sales_Representatives!$A:$B,2,0)</f>
        <v>Jennifer Rodriguez</v>
      </c>
    </row>
    <row r="2858" spans="1:24" x14ac:dyDescent="0.3">
      <c r="A2858" t="s">
        <v>3914</v>
      </c>
      <c r="B2858" t="s">
        <v>3915</v>
      </c>
      <c r="C2858" t="s">
        <v>82</v>
      </c>
      <c r="D2858" t="s">
        <v>1678</v>
      </c>
      <c r="E2858" t="s">
        <v>255</v>
      </c>
      <c r="F2858">
        <v>1</v>
      </c>
      <c r="G2858">
        <v>1444.13</v>
      </c>
      <c r="H2858">
        <v>0.05</v>
      </c>
      <c r="I2858" s="4">
        <v>1371.92</v>
      </c>
      <c r="J2858" t="s">
        <v>34</v>
      </c>
      <c r="K2858" t="s">
        <v>35</v>
      </c>
      <c r="L2858" s="4">
        <f>VLOOKUP(tblTransactions[[#This Row],[Product_ID]],tblProducts[],5,FALSE)</f>
        <v>874.43</v>
      </c>
      <c r="M2858" s="4">
        <f>tblTransactions[[#This Row],[Total_Amount]]-(tblTransactions[[#This Row],[Cost_Prices]]*tblTransactions[[#This Row],[Quantity]]*(1-tblTransactions[[#This Row],[Discount]]))</f>
        <v>541.21150000000011</v>
      </c>
      <c r="N2858" s="3">
        <f>tblTransactions[[#This Row],[Profit]]/tblTransactions[[#This Row],[Total_Amount]]</f>
        <v>0.3944920257740977</v>
      </c>
      <c r="O2858" t="str">
        <f>TEXT(tblTransactions[[#This Row],[Date]], "MMM-YYYY")</f>
        <v>Sep-2024</v>
      </c>
      <c r="P2858" t="str">
        <f>"Q"&amp;ROUNDUP(MONTH(tblTransactions[[#This Row],[Date]])/3,0)&amp;"-"&amp;YEAR(tblTransactions[[#This Row],[Date]])</f>
        <v>Q3-2024</v>
      </c>
      <c r="Q2858">
        <f>YEAR(tblTransactions[[#This Row],[Date]])</f>
        <v>2024</v>
      </c>
      <c r="R2858" t="str">
        <f>TEXT(tblTransactions[[#This Row],[Date]],"DDDD")</f>
        <v>Sunday</v>
      </c>
      <c r="S2858">
        <f>MONTH(tblTransactions[[#This Row],[Date]])</f>
        <v>9</v>
      </c>
      <c r="T2858" t="str">
        <f>VLOOKUP(E2858, Products!$A:$B,2,0)</f>
        <v>Printers Tec-1</v>
      </c>
      <c r="U2858" t="str">
        <f>VLOOKUP(E2858,Products!$A:$C,3,0)</f>
        <v>Technology</v>
      </c>
      <c r="V2858" t="str">
        <f>VLOOKUP(E2858,Products!$A:$D,4,0)</f>
        <v>Printers</v>
      </c>
      <c r="W2858" t="str">
        <f>VLOOKUP(D2858,Customers!$A:$C,3,0)</f>
        <v>B2C</v>
      </c>
      <c r="X2858" t="str">
        <f>VLOOKUP(C2858,Sales_Representatives!$A:$B,2,0)</f>
        <v>John Brown</v>
      </c>
    </row>
    <row r="2859" spans="1:24" x14ac:dyDescent="0.3">
      <c r="A2859" t="s">
        <v>3916</v>
      </c>
      <c r="B2859" t="s">
        <v>3915</v>
      </c>
      <c r="C2859" t="s">
        <v>31</v>
      </c>
      <c r="D2859" t="s">
        <v>71</v>
      </c>
      <c r="E2859" t="s">
        <v>152</v>
      </c>
      <c r="F2859">
        <v>9</v>
      </c>
      <c r="G2859">
        <v>859.93</v>
      </c>
      <c r="H2859">
        <v>0.13</v>
      </c>
      <c r="I2859" s="4">
        <v>6733.25</v>
      </c>
      <c r="J2859" t="s">
        <v>34</v>
      </c>
      <c r="K2859" t="s">
        <v>48</v>
      </c>
      <c r="L2859" s="4">
        <f>VLOOKUP(tblTransactions[[#This Row],[Product_ID]],tblProducts[],5,FALSE)</f>
        <v>579.79</v>
      </c>
      <c r="M2859" s="4">
        <f>tblTransactions[[#This Row],[Total_Amount]]-(tblTransactions[[#This Row],[Cost_Prices]]*tblTransactions[[#This Row],[Quantity]]*(1-tblTransactions[[#This Row],[Discount]]))</f>
        <v>2193.4943000000003</v>
      </c>
      <c r="N2859" s="3">
        <f>tblTransactions[[#This Row],[Profit]]/tblTransactions[[#This Row],[Total_Amount]]</f>
        <v>0.32577051201128732</v>
      </c>
      <c r="O2859" t="str">
        <f>TEXT(tblTransactions[[#This Row],[Date]], "MMM-YYYY")</f>
        <v>Sep-2024</v>
      </c>
      <c r="P2859" t="str">
        <f>"Q"&amp;ROUNDUP(MONTH(tblTransactions[[#This Row],[Date]])/3,0)&amp;"-"&amp;YEAR(tblTransactions[[#This Row],[Date]])</f>
        <v>Q3-2024</v>
      </c>
      <c r="Q2859">
        <f>YEAR(tblTransactions[[#This Row],[Date]])</f>
        <v>2024</v>
      </c>
      <c r="R2859" t="str">
        <f>TEXT(tblTransactions[[#This Row],[Date]],"DDDD")</f>
        <v>Sunday</v>
      </c>
      <c r="S2859">
        <f>MONTH(tblTransactions[[#This Row],[Date]])</f>
        <v>9</v>
      </c>
      <c r="T2859" t="str">
        <f>VLOOKUP(E2859, Products!$A:$B,2,0)</f>
        <v>Phones Ele-4</v>
      </c>
      <c r="U2859" t="str">
        <f>VLOOKUP(E2859,Products!$A:$C,3,0)</f>
        <v>Electronics</v>
      </c>
      <c r="V2859" t="str">
        <f>VLOOKUP(E2859,Products!$A:$D,4,0)</f>
        <v>Phones</v>
      </c>
      <c r="W2859" t="str">
        <f>VLOOKUP(D2859,Customers!$A:$C,3,0)</f>
        <v>B2B</v>
      </c>
      <c r="X2859" t="str">
        <f>VLOOKUP(C2859,Sales_Representatives!$A:$B,2,0)</f>
        <v>Thomas Martinez</v>
      </c>
    </row>
    <row r="2860" spans="1:24" x14ac:dyDescent="0.3">
      <c r="A2860" t="s">
        <v>3917</v>
      </c>
      <c r="B2860" t="s">
        <v>3915</v>
      </c>
      <c r="C2860" t="s">
        <v>107</v>
      </c>
      <c r="D2860" t="s">
        <v>1552</v>
      </c>
      <c r="E2860" t="s">
        <v>113</v>
      </c>
      <c r="F2860">
        <v>21</v>
      </c>
      <c r="G2860">
        <v>930.41</v>
      </c>
      <c r="H2860">
        <v>0.24</v>
      </c>
      <c r="I2860" s="4">
        <v>14849.34</v>
      </c>
      <c r="J2860" t="s">
        <v>109</v>
      </c>
      <c r="K2860" t="s">
        <v>22</v>
      </c>
      <c r="L2860" s="4">
        <f>VLOOKUP(tblTransactions[[#This Row],[Product_ID]],tblProducts[],5,FALSE)</f>
        <v>595.51</v>
      </c>
      <c r="M2860" s="4">
        <f>tblTransactions[[#This Row],[Total_Amount]]-(tblTransactions[[#This Row],[Cost_Prices]]*tblTransactions[[#This Row],[Quantity]]*(1-tblTransactions[[#This Row],[Discount]]))</f>
        <v>5345.0004000000008</v>
      </c>
      <c r="N2860" s="3">
        <f>tblTransactions[[#This Row],[Profit]]/tblTransactions[[#This Row],[Total_Amount]]</f>
        <v>0.35994868458800194</v>
      </c>
      <c r="O2860" t="str">
        <f>TEXT(tblTransactions[[#This Row],[Date]], "MMM-YYYY")</f>
        <v>Sep-2024</v>
      </c>
      <c r="P2860" t="str">
        <f>"Q"&amp;ROUNDUP(MONTH(tblTransactions[[#This Row],[Date]])/3,0)&amp;"-"&amp;YEAR(tblTransactions[[#This Row],[Date]])</f>
        <v>Q3-2024</v>
      </c>
      <c r="Q2860">
        <f>YEAR(tblTransactions[[#This Row],[Date]])</f>
        <v>2024</v>
      </c>
      <c r="R2860" t="str">
        <f>TEXT(tblTransactions[[#This Row],[Date]],"DDDD")</f>
        <v>Sunday</v>
      </c>
      <c r="S2860">
        <f>MONTH(tblTransactions[[#This Row],[Date]])</f>
        <v>9</v>
      </c>
      <c r="T2860" t="str">
        <f>VLOOKUP(E2860, Products!$A:$B,2,0)</f>
        <v>Phones Ele-1</v>
      </c>
      <c r="U2860" t="str">
        <f>VLOOKUP(E2860,Products!$A:$C,3,0)</f>
        <v>Electronics</v>
      </c>
      <c r="V2860" t="str">
        <f>VLOOKUP(E2860,Products!$A:$D,4,0)</f>
        <v>Phones</v>
      </c>
      <c r="W2860" t="str">
        <f>VLOOKUP(D2860,Customers!$A:$C,3,0)</f>
        <v>Enterprise</v>
      </c>
      <c r="X2860" t="str">
        <f>VLOOKUP(C2860,Sales_Representatives!$A:$B,2,0)</f>
        <v>Jennifer Brown</v>
      </c>
    </row>
    <row r="2861" spans="1:24" x14ac:dyDescent="0.3">
      <c r="A2861" t="s">
        <v>3918</v>
      </c>
      <c r="B2861" t="s">
        <v>3915</v>
      </c>
      <c r="C2861" t="s">
        <v>141</v>
      </c>
      <c r="D2861" t="s">
        <v>2756</v>
      </c>
      <c r="E2861" t="s">
        <v>243</v>
      </c>
      <c r="F2861">
        <v>5</v>
      </c>
      <c r="G2861">
        <v>384.18</v>
      </c>
      <c r="H2861">
        <v>0.03</v>
      </c>
      <c r="I2861" s="4">
        <v>1863.27</v>
      </c>
      <c r="J2861" t="s">
        <v>109</v>
      </c>
      <c r="K2861" t="s">
        <v>35</v>
      </c>
      <c r="L2861" s="4">
        <f>VLOOKUP(tblTransactions[[#This Row],[Product_ID]],tblProducts[],5,FALSE)</f>
        <v>266.92</v>
      </c>
      <c r="M2861" s="4">
        <f>tblTransactions[[#This Row],[Total_Amount]]-(tblTransactions[[#This Row],[Cost_Prices]]*tblTransactions[[#This Row],[Quantity]]*(1-tblTransactions[[#This Row],[Discount]]))</f>
        <v>568.70799999999986</v>
      </c>
      <c r="N2861" s="3">
        <f>tblTransactions[[#This Row],[Profit]]/tblTransactions[[#This Row],[Total_Amount]]</f>
        <v>0.3052203921063506</v>
      </c>
      <c r="O2861" t="str">
        <f>TEXT(tblTransactions[[#This Row],[Date]], "MMM-YYYY")</f>
        <v>Sep-2024</v>
      </c>
      <c r="P2861" t="str">
        <f>"Q"&amp;ROUNDUP(MONTH(tblTransactions[[#This Row],[Date]])/3,0)&amp;"-"&amp;YEAR(tblTransactions[[#This Row],[Date]])</f>
        <v>Q3-2024</v>
      </c>
      <c r="Q2861">
        <f>YEAR(tblTransactions[[#This Row],[Date]])</f>
        <v>2024</v>
      </c>
      <c r="R2861" t="str">
        <f>TEXT(tblTransactions[[#This Row],[Date]],"DDDD")</f>
        <v>Sunday</v>
      </c>
      <c r="S2861">
        <f>MONTH(tblTransactions[[#This Row],[Date]])</f>
        <v>9</v>
      </c>
      <c r="T2861" t="str">
        <f>VLOOKUP(E2861, Products!$A:$B,2,0)</f>
        <v>Routers Tec-3</v>
      </c>
      <c r="U2861" t="str">
        <f>VLOOKUP(E2861,Products!$A:$C,3,0)</f>
        <v>Technology</v>
      </c>
      <c r="V2861" t="str">
        <f>VLOOKUP(E2861,Products!$A:$D,4,0)</f>
        <v>Routers</v>
      </c>
      <c r="W2861" t="str">
        <f>VLOOKUP(D2861,Customers!$A:$C,3,0)</f>
        <v>B2C</v>
      </c>
      <c r="X2861" t="str">
        <f>VLOOKUP(C2861,Sales_Representatives!$A:$B,2,0)</f>
        <v>Richard Garcia</v>
      </c>
    </row>
    <row r="2862" spans="1:24" x14ac:dyDescent="0.3">
      <c r="A2862" t="s">
        <v>3919</v>
      </c>
      <c r="B2862" t="s">
        <v>3915</v>
      </c>
      <c r="C2862" t="s">
        <v>41</v>
      </c>
      <c r="D2862" t="s">
        <v>1447</v>
      </c>
      <c r="E2862" t="s">
        <v>450</v>
      </c>
      <c r="F2862">
        <v>13</v>
      </c>
      <c r="G2862">
        <v>2083.92</v>
      </c>
      <c r="H2862">
        <v>0.1</v>
      </c>
      <c r="I2862" s="4">
        <v>24381.86</v>
      </c>
      <c r="J2862" t="s">
        <v>44</v>
      </c>
      <c r="K2862" t="s">
        <v>35</v>
      </c>
      <c r="L2862" s="4">
        <f>VLOOKUP(tblTransactions[[#This Row],[Product_ID]],tblProducts[],5,FALSE)</f>
        <v>1425.78</v>
      </c>
      <c r="M2862" s="4">
        <f>tblTransactions[[#This Row],[Total_Amount]]-(tblTransactions[[#This Row],[Cost_Prices]]*tblTransactions[[#This Row],[Quantity]]*(1-tblTransactions[[#This Row],[Discount]]))</f>
        <v>7700.2340000000004</v>
      </c>
      <c r="N2862" s="3">
        <f>tblTransactions[[#This Row],[Profit]]/tblTransactions[[#This Row],[Total_Amount]]</f>
        <v>0.31581815333202634</v>
      </c>
      <c r="O2862" t="str">
        <f>TEXT(tblTransactions[[#This Row],[Date]], "MMM-YYYY")</f>
        <v>Sep-2024</v>
      </c>
      <c r="P2862" t="str">
        <f>"Q"&amp;ROUNDUP(MONTH(tblTransactions[[#This Row],[Date]])/3,0)&amp;"-"&amp;YEAR(tblTransactions[[#This Row],[Date]])</f>
        <v>Q3-2024</v>
      </c>
      <c r="Q2862">
        <f>YEAR(tblTransactions[[#This Row],[Date]])</f>
        <v>2024</v>
      </c>
      <c r="R2862" t="str">
        <f>TEXT(tblTransactions[[#This Row],[Date]],"DDDD")</f>
        <v>Sunday</v>
      </c>
      <c r="S2862">
        <f>MONTH(tblTransactions[[#This Row],[Date]])</f>
        <v>9</v>
      </c>
      <c r="T2862" t="str">
        <f>VLOOKUP(E2862, Products!$A:$B,2,0)</f>
        <v>Monitors Tec-4</v>
      </c>
      <c r="U2862" t="str">
        <f>VLOOKUP(E2862,Products!$A:$C,3,0)</f>
        <v>Technology</v>
      </c>
      <c r="V2862" t="str">
        <f>VLOOKUP(E2862,Products!$A:$D,4,0)</f>
        <v>Monitors</v>
      </c>
      <c r="W2862" t="str">
        <f>VLOOKUP(D2862,Customers!$A:$C,3,0)</f>
        <v>B2B</v>
      </c>
      <c r="X2862" t="str">
        <f>VLOOKUP(C2862,Sales_Representatives!$A:$B,2,0)</f>
        <v>Robert Jones</v>
      </c>
    </row>
    <row r="2863" spans="1:24" x14ac:dyDescent="0.3">
      <c r="A2863" t="s">
        <v>3920</v>
      </c>
      <c r="B2863" t="s">
        <v>3915</v>
      </c>
      <c r="C2863" t="s">
        <v>127</v>
      </c>
      <c r="D2863" t="s">
        <v>1991</v>
      </c>
      <c r="E2863" t="s">
        <v>206</v>
      </c>
      <c r="F2863">
        <v>1</v>
      </c>
      <c r="G2863">
        <v>292.51</v>
      </c>
      <c r="H2863">
        <v>0.05</v>
      </c>
      <c r="I2863" s="4">
        <v>277.88</v>
      </c>
      <c r="J2863" t="s">
        <v>109</v>
      </c>
      <c r="K2863" t="s">
        <v>22</v>
      </c>
      <c r="L2863" s="4">
        <f>VLOOKUP(tblTransactions[[#This Row],[Product_ID]],tblProducts[],5,FALSE)</f>
        <v>122.08</v>
      </c>
      <c r="M2863" s="4">
        <f>tblTransactions[[#This Row],[Total_Amount]]-(tblTransactions[[#This Row],[Cost_Prices]]*tblTransactions[[#This Row],[Quantity]]*(1-tblTransactions[[#This Row],[Discount]]))</f>
        <v>161.904</v>
      </c>
      <c r="N2863" s="3">
        <f>tblTransactions[[#This Row],[Profit]]/tblTransactions[[#This Row],[Total_Amount]]</f>
        <v>0.58263998848423781</v>
      </c>
      <c r="O2863" t="str">
        <f>TEXT(tblTransactions[[#This Row],[Date]], "MMM-YYYY")</f>
        <v>Sep-2024</v>
      </c>
      <c r="P2863" t="str">
        <f>"Q"&amp;ROUNDUP(MONTH(tblTransactions[[#This Row],[Date]])/3,0)&amp;"-"&amp;YEAR(tblTransactions[[#This Row],[Date]])</f>
        <v>Q3-2024</v>
      </c>
      <c r="Q2863">
        <f>YEAR(tblTransactions[[#This Row],[Date]])</f>
        <v>2024</v>
      </c>
      <c r="R2863" t="str">
        <f>TEXT(tblTransactions[[#This Row],[Date]],"DDDD")</f>
        <v>Sunday</v>
      </c>
      <c r="S2863">
        <f>MONTH(tblTransactions[[#This Row],[Date]])</f>
        <v>9</v>
      </c>
      <c r="T2863" t="str">
        <f>VLOOKUP(E2863, Products!$A:$B,2,0)</f>
        <v>Keyboards Acc-1</v>
      </c>
      <c r="U2863" t="str">
        <f>VLOOKUP(E2863,Products!$A:$C,3,0)</f>
        <v>Accessories</v>
      </c>
      <c r="V2863" t="str">
        <f>VLOOKUP(E2863,Products!$A:$D,4,0)</f>
        <v>Keyboards</v>
      </c>
      <c r="W2863" t="str">
        <f>VLOOKUP(D2863,Customers!$A:$C,3,0)</f>
        <v>Small Business</v>
      </c>
      <c r="X2863" t="str">
        <f>VLOOKUP(C2863,Sales_Representatives!$A:$B,2,0)</f>
        <v>Emily Hernandez</v>
      </c>
    </row>
    <row r="2864" spans="1:24" x14ac:dyDescent="0.3">
      <c r="A2864" t="s">
        <v>3921</v>
      </c>
      <c r="B2864" t="s">
        <v>3915</v>
      </c>
      <c r="C2864" t="s">
        <v>75</v>
      </c>
      <c r="D2864" t="s">
        <v>1819</v>
      </c>
      <c r="E2864" t="s">
        <v>290</v>
      </c>
      <c r="F2864">
        <v>7</v>
      </c>
      <c r="G2864">
        <v>729.32</v>
      </c>
      <c r="H2864">
        <v>0.1</v>
      </c>
      <c r="I2864" s="4">
        <v>4594.72</v>
      </c>
      <c r="J2864" t="s">
        <v>44</v>
      </c>
      <c r="K2864" t="s">
        <v>48</v>
      </c>
      <c r="L2864" s="4">
        <f>VLOOKUP(tblTransactions[[#This Row],[Product_ID]],tblProducts[],5,FALSE)</f>
        <v>482.7</v>
      </c>
      <c r="M2864" s="4">
        <f>tblTransactions[[#This Row],[Total_Amount]]-(tblTransactions[[#This Row],[Cost_Prices]]*tblTransactions[[#This Row],[Quantity]]*(1-tblTransactions[[#This Row],[Discount]]))</f>
        <v>1553.71</v>
      </c>
      <c r="N2864" s="3">
        <f>tblTransactions[[#This Row],[Profit]]/tblTransactions[[#This Row],[Total_Amount]]</f>
        <v>0.33815118222655571</v>
      </c>
      <c r="O2864" t="str">
        <f>TEXT(tblTransactions[[#This Row],[Date]], "MMM-YYYY")</f>
        <v>Sep-2024</v>
      </c>
      <c r="P2864" t="str">
        <f>"Q"&amp;ROUNDUP(MONTH(tblTransactions[[#This Row],[Date]])/3,0)&amp;"-"&amp;YEAR(tblTransactions[[#This Row],[Date]])</f>
        <v>Q3-2024</v>
      </c>
      <c r="Q2864">
        <f>YEAR(tblTransactions[[#This Row],[Date]])</f>
        <v>2024</v>
      </c>
      <c r="R2864" t="str">
        <f>TEXT(tblTransactions[[#This Row],[Date]],"DDDD")</f>
        <v>Sunday</v>
      </c>
      <c r="S2864">
        <f>MONTH(tblTransactions[[#This Row],[Date]])</f>
        <v>9</v>
      </c>
      <c r="T2864" t="str">
        <f>VLOOKUP(E2864, Products!$A:$B,2,0)</f>
        <v>Tables Fur-1</v>
      </c>
      <c r="U2864" t="str">
        <f>VLOOKUP(E2864,Products!$A:$C,3,0)</f>
        <v>Furniture</v>
      </c>
      <c r="V2864" t="str">
        <f>VLOOKUP(E2864,Products!$A:$D,4,0)</f>
        <v>Tables</v>
      </c>
      <c r="W2864" t="str">
        <f>VLOOKUP(D2864,Customers!$A:$C,3,0)</f>
        <v>Small Business</v>
      </c>
      <c r="X2864" t="str">
        <f>VLOOKUP(C2864,Sales_Representatives!$A:$B,2,0)</f>
        <v>Jessica Anderson</v>
      </c>
    </row>
    <row r="2865" spans="1:24" x14ac:dyDescent="0.3">
      <c r="A2865" t="s">
        <v>3922</v>
      </c>
      <c r="B2865" t="s">
        <v>3915</v>
      </c>
      <c r="C2865" t="s">
        <v>56</v>
      </c>
      <c r="D2865" t="s">
        <v>2469</v>
      </c>
      <c r="E2865" t="s">
        <v>29</v>
      </c>
      <c r="F2865">
        <v>6</v>
      </c>
      <c r="G2865">
        <v>1363.46</v>
      </c>
      <c r="H2865">
        <v>0.05</v>
      </c>
      <c r="I2865" s="4">
        <v>7771.72</v>
      </c>
      <c r="J2865" t="s">
        <v>34</v>
      </c>
      <c r="K2865" t="s">
        <v>35</v>
      </c>
      <c r="L2865" s="4">
        <f>VLOOKUP(tblTransactions[[#This Row],[Product_ID]],tblProducts[],5,FALSE)</f>
        <v>995.41</v>
      </c>
      <c r="M2865" s="4">
        <f>tblTransactions[[#This Row],[Total_Amount]]-(tblTransactions[[#This Row],[Cost_Prices]]*tblTransactions[[#This Row],[Quantity]]*(1-tblTransactions[[#This Row],[Discount]]))</f>
        <v>2097.8830000000007</v>
      </c>
      <c r="N2865" s="3">
        <f>tblTransactions[[#This Row],[Profit]]/tblTransactions[[#This Row],[Total_Amount]]</f>
        <v>0.26993805746990379</v>
      </c>
      <c r="O2865" t="str">
        <f>TEXT(tblTransactions[[#This Row],[Date]], "MMM-YYYY")</f>
        <v>Sep-2024</v>
      </c>
      <c r="P2865" t="str">
        <f>"Q"&amp;ROUNDUP(MONTH(tblTransactions[[#This Row],[Date]])/3,0)&amp;"-"&amp;YEAR(tblTransactions[[#This Row],[Date]])</f>
        <v>Q3-2024</v>
      </c>
      <c r="Q2865">
        <f>YEAR(tblTransactions[[#This Row],[Date]])</f>
        <v>2024</v>
      </c>
      <c r="R2865" t="str">
        <f>TEXT(tblTransactions[[#This Row],[Date]],"DDDD")</f>
        <v>Sunday</v>
      </c>
      <c r="S2865">
        <f>MONTH(tblTransactions[[#This Row],[Date]])</f>
        <v>9</v>
      </c>
      <c r="T2865" t="str">
        <f>VLOOKUP(E2865, Products!$A:$B,2,0)</f>
        <v>Phones Ele-3</v>
      </c>
      <c r="U2865" t="str">
        <f>VLOOKUP(E2865,Products!$A:$C,3,0)</f>
        <v>Electronics</v>
      </c>
      <c r="V2865" t="str">
        <f>VLOOKUP(E2865,Products!$A:$D,4,0)</f>
        <v>Phones</v>
      </c>
      <c r="W2865" t="str">
        <f>VLOOKUP(D2865,Customers!$A:$C,3,0)</f>
        <v>B2C</v>
      </c>
      <c r="X2865" t="str">
        <f>VLOOKUP(C2865,Sales_Representatives!$A:$B,2,0)</f>
        <v>Thomas Hernandez</v>
      </c>
    </row>
    <row r="2866" spans="1:24" x14ac:dyDescent="0.3">
      <c r="A2866" t="s">
        <v>3923</v>
      </c>
      <c r="B2866" t="s">
        <v>3924</v>
      </c>
      <c r="C2866" t="s">
        <v>19</v>
      </c>
      <c r="D2866" t="s">
        <v>2469</v>
      </c>
      <c r="E2866" t="s">
        <v>299</v>
      </c>
      <c r="F2866">
        <v>4</v>
      </c>
      <c r="G2866">
        <v>963.44</v>
      </c>
      <c r="H2866">
        <v>0.03</v>
      </c>
      <c r="I2866" s="4">
        <v>3738.15</v>
      </c>
      <c r="J2866" t="s">
        <v>21</v>
      </c>
      <c r="K2866" t="s">
        <v>17</v>
      </c>
      <c r="L2866" s="4">
        <f>VLOOKUP(tblTransactions[[#This Row],[Product_ID]],tblProducts[],5,FALSE)</f>
        <v>578.96</v>
      </c>
      <c r="M2866" s="4">
        <f>tblTransactions[[#This Row],[Total_Amount]]-(tblTransactions[[#This Row],[Cost_Prices]]*tblTransactions[[#This Row],[Quantity]]*(1-tblTransactions[[#This Row],[Discount]]))</f>
        <v>1491.7851999999998</v>
      </c>
      <c r="N2866" s="3">
        <f>tblTransactions[[#This Row],[Profit]]/tblTransactions[[#This Row],[Total_Amount]]</f>
        <v>0.39907044928641167</v>
      </c>
      <c r="O2866" t="str">
        <f>TEXT(tblTransactions[[#This Row],[Date]], "MMM-YYYY")</f>
        <v>Sep-2024</v>
      </c>
      <c r="P2866" t="str">
        <f>"Q"&amp;ROUNDUP(MONTH(tblTransactions[[#This Row],[Date]])/3,0)&amp;"-"&amp;YEAR(tblTransactions[[#This Row],[Date]])</f>
        <v>Q3-2024</v>
      </c>
      <c r="Q2866">
        <f>YEAR(tblTransactions[[#This Row],[Date]])</f>
        <v>2024</v>
      </c>
      <c r="R2866" t="str">
        <f>TEXT(tblTransactions[[#This Row],[Date]],"DDDD")</f>
        <v>Monday</v>
      </c>
      <c r="S2866">
        <f>MONTH(tblTransactions[[#This Row],[Date]])</f>
        <v>9</v>
      </c>
      <c r="T2866" t="str">
        <f>VLOOKUP(E2866, Products!$A:$B,2,0)</f>
        <v>Chairs Fur-4</v>
      </c>
      <c r="U2866" t="str">
        <f>VLOOKUP(E2866,Products!$A:$C,3,0)</f>
        <v>Furniture</v>
      </c>
      <c r="V2866" t="str">
        <f>VLOOKUP(E2866,Products!$A:$D,4,0)</f>
        <v>Chairs</v>
      </c>
      <c r="W2866" t="str">
        <f>VLOOKUP(D2866,Customers!$A:$C,3,0)</f>
        <v>B2C</v>
      </c>
      <c r="X2866" t="str">
        <f>VLOOKUP(C2866,Sales_Representatives!$A:$B,2,0)</f>
        <v>Robert Jones</v>
      </c>
    </row>
    <row r="2867" spans="1:24" x14ac:dyDescent="0.3">
      <c r="A2867" t="s">
        <v>3925</v>
      </c>
      <c r="B2867" t="s">
        <v>3924</v>
      </c>
      <c r="C2867" t="s">
        <v>75</v>
      </c>
      <c r="D2867" t="s">
        <v>1828</v>
      </c>
      <c r="E2867" t="s">
        <v>72</v>
      </c>
      <c r="F2867">
        <v>8</v>
      </c>
      <c r="G2867">
        <v>404.76</v>
      </c>
      <c r="H2867">
        <v>0.1</v>
      </c>
      <c r="I2867" s="4">
        <v>2914.27</v>
      </c>
      <c r="J2867" t="s">
        <v>44</v>
      </c>
      <c r="K2867" t="s">
        <v>39</v>
      </c>
      <c r="L2867" s="4">
        <f>VLOOKUP(tblTransactions[[#This Row],[Product_ID]],tblProducts[],5,FALSE)</f>
        <v>226.76</v>
      </c>
      <c r="M2867" s="4">
        <f>tblTransactions[[#This Row],[Total_Amount]]-(tblTransactions[[#This Row],[Cost_Prices]]*tblTransactions[[#This Row],[Quantity]]*(1-tblTransactions[[#This Row],[Discount]]))</f>
        <v>1281.598</v>
      </c>
      <c r="N2867" s="3">
        <f>tblTransactions[[#This Row],[Profit]]/tblTransactions[[#This Row],[Total_Amount]]</f>
        <v>0.43976639089720582</v>
      </c>
      <c r="O2867" t="str">
        <f>TEXT(tblTransactions[[#This Row],[Date]], "MMM-YYYY")</f>
        <v>Sep-2024</v>
      </c>
      <c r="P2867" t="str">
        <f>"Q"&amp;ROUNDUP(MONTH(tblTransactions[[#This Row],[Date]])/3,0)&amp;"-"&amp;YEAR(tblTransactions[[#This Row],[Date]])</f>
        <v>Q3-2024</v>
      </c>
      <c r="Q2867">
        <f>YEAR(tblTransactions[[#This Row],[Date]])</f>
        <v>2024</v>
      </c>
      <c r="R2867" t="str">
        <f>TEXT(tblTransactions[[#This Row],[Date]],"DDDD")</f>
        <v>Monday</v>
      </c>
      <c r="S2867">
        <f>MONTH(tblTransactions[[#This Row],[Date]])</f>
        <v>9</v>
      </c>
      <c r="T2867" t="str">
        <f>VLOOKUP(E2867, Products!$A:$B,2,0)</f>
        <v>Tablets Ele-2</v>
      </c>
      <c r="U2867" t="str">
        <f>VLOOKUP(E2867,Products!$A:$C,3,0)</f>
        <v>Electronics</v>
      </c>
      <c r="V2867" t="str">
        <f>VLOOKUP(E2867,Products!$A:$D,4,0)</f>
        <v>Tablets</v>
      </c>
      <c r="W2867" t="str">
        <f>VLOOKUP(D2867,Customers!$A:$C,3,0)</f>
        <v>B2B</v>
      </c>
      <c r="X2867" t="str">
        <f>VLOOKUP(C2867,Sales_Representatives!$A:$B,2,0)</f>
        <v>Jessica Anderson</v>
      </c>
    </row>
    <row r="2868" spans="1:24" x14ac:dyDescent="0.3">
      <c r="A2868" t="s">
        <v>3926</v>
      </c>
      <c r="B2868" t="s">
        <v>3924</v>
      </c>
      <c r="C2868" t="s">
        <v>19</v>
      </c>
      <c r="D2868" t="s">
        <v>1854</v>
      </c>
      <c r="E2868" t="s">
        <v>258</v>
      </c>
      <c r="F2868">
        <v>7</v>
      </c>
      <c r="G2868">
        <v>73.33</v>
      </c>
      <c r="H2868">
        <v>0.12</v>
      </c>
      <c r="I2868" s="4">
        <v>451.71</v>
      </c>
      <c r="J2868" t="s">
        <v>21</v>
      </c>
      <c r="K2868" t="s">
        <v>35</v>
      </c>
      <c r="L2868" s="4">
        <f>VLOOKUP(tblTransactions[[#This Row],[Product_ID]],tblProducts[],5,FALSE)</f>
        <v>38.049999999999997</v>
      </c>
      <c r="M2868" s="4">
        <f>tblTransactions[[#This Row],[Total_Amount]]-(tblTransactions[[#This Row],[Cost_Prices]]*tblTransactions[[#This Row],[Quantity]]*(1-tblTransactions[[#This Row],[Discount]]))</f>
        <v>217.322</v>
      </c>
      <c r="N2868" s="3">
        <f>tblTransactions[[#This Row],[Profit]]/tblTransactions[[#This Row],[Total_Amount]]</f>
        <v>0.48110956144428951</v>
      </c>
      <c r="O2868" t="str">
        <f>TEXT(tblTransactions[[#This Row],[Date]], "MMM-YYYY")</f>
        <v>Sep-2024</v>
      </c>
      <c r="P2868" t="str">
        <f>"Q"&amp;ROUNDUP(MONTH(tblTransactions[[#This Row],[Date]])/3,0)&amp;"-"&amp;YEAR(tblTransactions[[#This Row],[Date]])</f>
        <v>Q3-2024</v>
      </c>
      <c r="Q2868">
        <f>YEAR(tblTransactions[[#This Row],[Date]])</f>
        <v>2024</v>
      </c>
      <c r="R2868" t="str">
        <f>TEXT(tblTransactions[[#This Row],[Date]],"DDDD")</f>
        <v>Monday</v>
      </c>
      <c r="S2868">
        <f>MONTH(tblTransactions[[#This Row],[Date]])</f>
        <v>9</v>
      </c>
      <c r="T2868" t="str">
        <f>VLOOKUP(E2868, Products!$A:$B,2,0)</f>
        <v>Keyboards Acc-3</v>
      </c>
      <c r="U2868" t="str">
        <f>VLOOKUP(E2868,Products!$A:$C,3,0)</f>
        <v>Accessories</v>
      </c>
      <c r="V2868" t="str">
        <f>VLOOKUP(E2868,Products!$A:$D,4,0)</f>
        <v>Keyboards</v>
      </c>
      <c r="W2868" t="str">
        <f>VLOOKUP(D2868,Customers!$A:$C,3,0)</f>
        <v>Small Business</v>
      </c>
      <c r="X2868" t="str">
        <f>VLOOKUP(C2868,Sales_Representatives!$A:$B,2,0)</f>
        <v>Robert Jones</v>
      </c>
    </row>
    <row r="2869" spans="1:24" x14ac:dyDescent="0.3">
      <c r="A2869" t="s">
        <v>3927</v>
      </c>
      <c r="B2869" t="s">
        <v>3928</v>
      </c>
      <c r="C2869" t="s">
        <v>56</v>
      </c>
      <c r="D2869" t="s">
        <v>1774</v>
      </c>
      <c r="E2869" t="s">
        <v>152</v>
      </c>
      <c r="F2869">
        <v>11</v>
      </c>
      <c r="G2869">
        <v>859.93</v>
      </c>
      <c r="H2869">
        <v>0.14000000000000001</v>
      </c>
      <c r="I2869" s="4">
        <v>8134.94</v>
      </c>
      <c r="J2869" t="s">
        <v>34</v>
      </c>
      <c r="K2869" t="s">
        <v>39</v>
      </c>
      <c r="L2869" s="4">
        <f>VLOOKUP(tblTransactions[[#This Row],[Product_ID]],tblProducts[],5,FALSE)</f>
        <v>579.79</v>
      </c>
      <c r="M2869" s="4">
        <f>tblTransactions[[#This Row],[Total_Amount]]-(tblTransactions[[#This Row],[Cost_Prices]]*tblTransactions[[#This Row],[Quantity]]*(1-tblTransactions[[#This Row],[Discount]]))</f>
        <v>2650.1265999999996</v>
      </c>
      <c r="N2869" s="3">
        <f>tblTransactions[[#This Row],[Profit]]/tblTransactions[[#This Row],[Total_Amount]]</f>
        <v>0.32577088460394293</v>
      </c>
      <c r="O2869" t="str">
        <f>TEXT(tblTransactions[[#This Row],[Date]], "MMM-YYYY")</f>
        <v>Sep-2024</v>
      </c>
      <c r="P2869" t="str">
        <f>"Q"&amp;ROUNDUP(MONTH(tblTransactions[[#This Row],[Date]])/3,0)&amp;"-"&amp;YEAR(tblTransactions[[#This Row],[Date]])</f>
        <v>Q3-2024</v>
      </c>
      <c r="Q2869">
        <f>YEAR(tblTransactions[[#This Row],[Date]])</f>
        <v>2024</v>
      </c>
      <c r="R2869" t="str">
        <f>TEXT(tblTransactions[[#This Row],[Date]],"DDDD")</f>
        <v>Tuesday</v>
      </c>
      <c r="S2869">
        <f>MONTH(tblTransactions[[#This Row],[Date]])</f>
        <v>9</v>
      </c>
      <c r="T2869" t="str">
        <f>VLOOKUP(E2869, Products!$A:$B,2,0)</f>
        <v>Phones Ele-4</v>
      </c>
      <c r="U2869" t="str">
        <f>VLOOKUP(E2869,Products!$A:$C,3,0)</f>
        <v>Electronics</v>
      </c>
      <c r="V2869" t="str">
        <f>VLOOKUP(E2869,Products!$A:$D,4,0)</f>
        <v>Phones</v>
      </c>
      <c r="W2869" t="str">
        <f>VLOOKUP(D2869,Customers!$A:$C,3,0)</f>
        <v>Enterprise</v>
      </c>
      <c r="X2869" t="str">
        <f>VLOOKUP(C2869,Sales_Representatives!$A:$B,2,0)</f>
        <v>Thomas Hernandez</v>
      </c>
    </row>
    <row r="2870" spans="1:24" x14ac:dyDescent="0.3">
      <c r="A2870" t="s">
        <v>3929</v>
      </c>
      <c r="B2870" t="s">
        <v>3928</v>
      </c>
      <c r="C2870" t="s">
        <v>63</v>
      </c>
      <c r="D2870" t="s">
        <v>1938</v>
      </c>
      <c r="E2870" t="s">
        <v>116</v>
      </c>
      <c r="F2870">
        <v>2</v>
      </c>
      <c r="G2870">
        <v>232.86</v>
      </c>
      <c r="H2870">
        <v>0.06</v>
      </c>
      <c r="I2870" s="4">
        <v>437.78</v>
      </c>
      <c r="J2870" t="s">
        <v>21</v>
      </c>
      <c r="K2870" t="s">
        <v>39</v>
      </c>
      <c r="L2870" s="4">
        <f>VLOOKUP(tblTransactions[[#This Row],[Product_ID]],tblProducts[],5,FALSE)</f>
        <v>116.79</v>
      </c>
      <c r="M2870" s="4">
        <f>tblTransactions[[#This Row],[Total_Amount]]-(tblTransactions[[#This Row],[Cost_Prices]]*tblTransactions[[#This Row],[Quantity]]*(1-tblTransactions[[#This Row],[Discount]]))</f>
        <v>218.21479999999997</v>
      </c>
      <c r="N2870" s="3">
        <f>tblTransactions[[#This Row],[Profit]]/tblTransactions[[#This Row],[Total_Amount]]</f>
        <v>0.4984576728036913</v>
      </c>
      <c r="O2870" t="str">
        <f>TEXT(tblTransactions[[#This Row],[Date]], "MMM-YYYY")</f>
        <v>Sep-2024</v>
      </c>
      <c r="P2870" t="str">
        <f>"Q"&amp;ROUNDUP(MONTH(tblTransactions[[#This Row],[Date]])/3,0)&amp;"-"&amp;YEAR(tblTransactions[[#This Row],[Date]])</f>
        <v>Q3-2024</v>
      </c>
      <c r="Q2870">
        <f>YEAR(tblTransactions[[#This Row],[Date]])</f>
        <v>2024</v>
      </c>
      <c r="R2870" t="str">
        <f>TEXT(tblTransactions[[#This Row],[Date]],"DDDD")</f>
        <v>Tuesday</v>
      </c>
      <c r="S2870">
        <f>MONTH(tblTransactions[[#This Row],[Date]])</f>
        <v>9</v>
      </c>
      <c r="T2870" t="str">
        <f>VLOOKUP(E2870, Products!$A:$B,2,0)</f>
        <v>Folders Off-4</v>
      </c>
      <c r="U2870" t="str">
        <f>VLOOKUP(E2870,Products!$A:$C,3,0)</f>
        <v>Office Supplies</v>
      </c>
      <c r="V2870" t="str">
        <f>VLOOKUP(E2870,Products!$A:$D,4,0)</f>
        <v>Folders</v>
      </c>
      <c r="W2870" t="str">
        <f>VLOOKUP(D2870,Customers!$A:$C,3,0)</f>
        <v>B2C</v>
      </c>
      <c r="X2870" t="str">
        <f>VLOOKUP(C2870,Sales_Representatives!$A:$B,2,0)</f>
        <v>Richard Wilson</v>
      </c>
    </row>
    <row r="2871" spans="1:24" x14ac:dyDescent="0.3">
      <c r="A2871" t="s">
        <v>3930</v>
      </c>
      <c r="B2871" t="s">
        <v>3928</v>
      </c>
      <c r="C2871" t="s">
        <v>82</v>
      </c>
      <c r="D2871" t="s">
        <v>1445</v>
      </c>
      <c r="E2871" t="s">
        <v>339</v>
      </c>
      <c r="F2871">
        <v>6</v>
      </c>
      <c r="G2871">
        <v>1100.8800000000001</v>
      </c>
      <c r="H2871">
        <v>7.0000000000000007E-2</v>
      </c>
      <c r="I2871" s="4">
        <v>6142.91</v>
      </c>
      <c r="J2871" t="s">
        <v>34</v>
      </c>
      <c r="K2871" t="s">
        <v>17</v>
      </c>
      <c r="L2871" s="4">
        <f>VLOOKUP(tblTransactions[[#This Row],[Product_ID]],tblProducts[],5,FALSE)</f>
        <v>761.53</v>
      </c>
      <c r="M2871" s="4">
        <f>tblTransactions[[#This Row],[Total_Amount]]-(tblTransactions[[#This Row],[Cost_Prices]]*tblTransactions[[#This Row],[Quantity]]*(1-tblTransactions[[#This Row],[Discount]]))</f>
        <v>1893.5725999999995</v>
      </c>
      <c r="N2871" s="3">
        <f>tblTransactions[[#This Row],[Profit]]/tblTransactions[[#This Row],[Total_Amount]]</f>
        <v>0.30825335223859696</v>
      </c>
      <c r="O2871" t="str">
        <f>TEXT(tblTransactions[[#This Row],[Date]], "MMM-YYYY")</f>
        <v>Sep-2024</v>
      </c>
      <c r="P2871" t="str">
        <f>"Q"&amp;ROUNDUP(MONTH(tblTransactions[[#This Row],[Date]])/3,0)&amp;"-"&amp;YEAR(tblTransactions[[#This Row],[Date]])</f>
        <v>Q3-2024</v>
      </c>
      <c r="Q2871">
        <f>YEAR(tblTransactions[[#This Row],[Date]])</f>
        <v>2024</v>
      </c>
      <c r="R2871" t="str">
        <f>TEXT(tblTransactions[[#This Row],[Date]],"DDDD")</f>
        <v>Tuesday</v>
      </c>
      <c r="S2871">
        <f>MONTH(tblTransactions[[#This Row],[Date]])</f>
        <v>9</v>
      </c>
      <c r="T2871" t="str">
        <f>VLOOKUP(E2871, Products!$A:$B,2,0)</f>
        <v>Phones Ele-2</v>
      </c>
      <c r="U2871" t="str">
        <f>VLOOKUP(E2871,Products!$A:$C,3,0)</f>
        <v>Electronics</v>
      </c>
      <c r="V2871" t="str">
        <f>VLOOKUP(E2871,Products!$A:$D,4,0)</f>
        <v>Phones</v>
      </c>
      <c r="W2871" t="str">
        <f>VLOOKUP(D2871,Customers!$A:$C,3,0)</f>
        <v>B2C</v>
      </c>
      <c r="X2871" t="str">
        <f>VLOOKUP(C2871,Sales_Representatives!$A:$B,2,0)</f>
        <v>John Brown</v>
      </c>
    </row>
    <row r="2872" spans="1:24" x14ac:dyDescent="0.3">
      <c r="A2872" t="s">
        <v>3931</v>
      </c>
      <c r="B2872" t="s">
        <v>3928</v>
      </c>
      <c r="C2872" t="s">
        <v>82</v>
      </c>
      <c r="D2872" t="s">
        <v>3852</v>
      </c>
      <c r="E2872" t="s">
        <v>152</v>
      </c>
      <c r="F2872">
        <v>2</v>
      </c>
      <c r="G2872">
        <v>859.93</v>
      </c>
      <c r="H2872">
        <v>0.03</v>
      </c>
      <c r="I2872" s="4">
        <v>1668.26</v>
      </c>
      <c r="J2872" t="s">
        <v>34</v>
      </c>
      <c r="K2872" t="s">
        <v>22</v>
      </c>
      <c r="L2872" s="4">
        <f>VLOOKUP(tblTransactions[[#This Row],[Product_ID]],tblProducts[],5,FALSE)</f>
        <v>579.79</v>
      </c>
      <c r="M2872" s="4">
        <f>tblTransactions[[#This Row],[Total_Amount]]-(tblTransactions[[#This Row],[Cost_Prices]]*tblTransactions[[#This Row],[Quantity]]*(1-tblTransactions[[#This Row],[Discount]]))</f>
        <v>543.4674</v>
      </c>
      <c r="N2872" s="3">
        <f>tblTransactions[[#This Row],[Profit]]/tblTransactions[[#This Row],[Total_Amount]]</f>
        <v>0.32576900483138121</v>
      </c>
      <c r="O2872" t="str">
        <f>TEXT(tblTransactions[[#This Row],[Date]], "MMM-YYYY")</f>
        <v>Sep-2024</v>
      </c>
      <c r="P2872" t="str">
        <f>"Q"&amp;ROUNDUP(MONTH(tblTransactions[[#This Row],[Date]])/3,0)&amp;"-"&amp;YEAR(tblTransactions[[#This Row],[Date]])</f>
        <v>Q3-2024</v>
      </c>
      <c r="Q2872">
        <f>YEAR(tblTransactions[[#This Row],[Date]])</f>
        <v>2024</v>
      </c>
      <c r="R2872" t="str">
        <f>TEXT(tblTransactions[[#This Row],[Date]],"DDDD")</f>
        <v>Tuesday</v>
      </c>
      <c r="S2872">
        <f>MONTH(tblTransactions[[#This Row],[Date]])</f>
        <v>9</v>
      </c>
      <c r="T2872" t="str">
        <f>VLOOKUP(E2872, Products!$A:$B,2,0)</f>
        <v>Phones Ele-4</v>
      </c>
      <c r="U2872" t="str">
        <f>VLOOKUP(E2872,Products!$A:$C,3,0)</f>
        <v>Electronics</v>
      </c>
      <c r="V2872" t="str">
        <f>VLOOKUP(E2872,Products!$A:$D,4,0)</f>
        <v>Phones</v>
      </c>
      <c r="W2872" t="str">
        <f>VLOOKUP(D2872,Customers!$A:$C,3,0)</f>
        <v>B2C</v>
      </c>
      <c r="X2872" t="str">
        <f>VLOOKUP(C2872,Sales_Representatives!$A:$B,2,0)</f>
        <v>John Brown</v>
      </c>
    </row>
    <row r="2873" spans="1:24" x14ac:dyDescent="0.3">
      <c r="A2873" t="s">
        <v>3932</v>
      </c>
      <c r="B2873" t="s">
        <v>3928</v>
      </c>
      <c r="C2873" t="s">
        <v>13</v>
      </c>
      <c r="D2873" t="s">
        <v>527</v>
      </c>
      <c r="E2873" t="s">
        <v>20</v>
      </c>
      <c r="F2873">
        <v>4</v>
      </c>
      <c r="G2873">
        <v>1219.49</v>
      </c>
      <c r="H2873">
        <v>0.06</v>
      </c>
      <c r="I2873" s="4">
        <v>4585.28</v>
      </c>
      <c r="J2873" t="s">
        <v>16</v>
      </c>
      <c r="K2873" t="s">
        <v>17</v>
      </c>
      <c r="L2873" s="4">
        <f>VLOOKUP(tblTransactions[[#This Row],[Product_ID]],tblProducts[],5,FALSE)</f>
        <v>686.9</v>
      </c>
      <c r="M2873" s="4">
        <f>tblTransactions[[#This Row],[Total_Amount]]-(tblTransactions[[#This Row],[Cost_Prices]]*tblTransactions[[#This Row],[Quantity]]*(1-tblTransactions[[#This Row],[Discount]]))</f>
        <v>2002.5360000000001</v>
      </c>
      <c r="N2873" s="3">
        <f>tblTransactions[[#This Row],[Profit]]/tblTransactions[[#This Row],[Total_Amount]]</f>
        <v>0.43673145369530325</v>
      </c>
      <c r="O2873" t="str">
        <f>TEXT(tblTransactions[[#This Row],[Date]], "MMM-YYYY")</f>
        <v>Sep-2024</v>
      </c>
      <c r="P2873" t="str">
        <f>"Q"&amp;ROUNDUP(MONTH(tblTransactions[[#This Row],[Date]])/3,0)&amp;"-"&amp;YEAR(tblTransactions[[#This Row],[Date]])</f>
        <v>Q3-2024</v>
      </c>
      <c r="Q2873">
        <f>YEAR(tblTransactions[[#This Row],[Date]])</f>
        <v>2024</v>
      </c>
      <c r="R2873" t="str">
        <f>TEXT(tblTransactions[[#This Row],[Date]],"DDDD")</f>
        <v>Tuesday</v>
      </c>
      <c r="S2873">
        <f>MONTH(tblTransactions[[#This Row],[Date]])</f>
        <v>9</v>
      </c>
      <c r="T2873" t="str">
        <f>VLOOKUP(E2873, Products!$A:$B,2,0)</f>
        <v>Laptops Ele-1</v>
      </c>
      <c r="U2873" t="str">
        <f>VLOOKUP(E2873,Products!$A:$C,3,0)</f>
        <v>Electronics</v>
      </c>
      <c r="V2873" t="str">
        <f>VLOOKUP(E2873,Products!$A:$D,4,0)</f>
        <v>Laptops</v>
      </c>
      <c r="W2873" t="str">
        <f>VLOOKUP(D2873,Customers!$A:$C,3,0)</f>
        <v>B2C</v>
      </c>
      <c r="X2873" t="str">
        <f>VLOOKUP(C2873,Sales_Representatives!$A:$B,2,0)</f>
        <v>Jennifer Rodriguez</v>
      </c>
    </row>
    <row r="2874" spans="1:24" x14ac:dyDescent="0.3">
      <c r="A2874" t="s">
        <v>3933</v>
      </c>
      <c r="B2874" t="s">
        <v>3934</v>
      </c>
      <c r="C2874" t="s">
        <v>82</v>
      </c>
      <c r="D2874" t="s">
        <v>37</v>
      </c>
      <c r="E2874" t="s">
        <v>38</v>
      </c>
      <c r="F2874">
        <v>28</v>
      </c>
      <c r="G2874">
        <v>581.47</v>
      </c>
      <c r="H2874">
        <v>0.21</v>
      </c>
      <c r="I2874" s="4">
        <v>12862.12</v>
      </c>
      <c r="J2874" t="s">
        <v>34</v>
      </c>
      <c r="K2874" t="s">
        <v>39</v>
      </c>
      <c r="L2874" s="4">
        <f>VLOOKUP(tblTransactions[[#This Row],[Product_ID]],tblProducts[],5,FALSE)</f>
        <v>372.07</v>
      </c>
      <c r="M2874" s="4">
        <f>tblTransactions[[#This Row],[Total_Amount]]-(tblTransactions[[#This Row],[Cost_Prices]]*tblTransactions[[#This Row],[Quantity]]*(1-tblTransactions[[#This Row],[Discount]]))</f>
        <v>4631.9316000000017</v>
      </c>
      <c r="N2874" s="3">
        <f>tblTransactions[[#This Row],[Profit]]/tblTransactions[[#This Row],[Total_Amount]]</f>
        <v>0.36012193946254595</v>
      </c>
      <c r="O2874" t="str">
        <f>TEXT(tblTransactions[[#This Row],[Date]], "MMM-YYYY")</f>
        <v>Sep-2024</v>
      </c>
      <c r="P2874" t="str">
        <f>"Q"&amp;ROUNDUP(MONTH(tblTransactions[[#This Row],[Date]])/3,0)&amp;"-"&amp;YEAR(tblTransactions[[#This Row],[Date]])</f>
        <v>Q3-2024</v>
      </c>
      <c r="Q2874">
        <f>YEAR(tblTransactions[[#This Row],[Date]])</f>
        <v>2024</v>
      </c>
      <c r="R2874" t="str">
        <f>TEXT(tblTransactions[[#This Row],[Date]],"DDDD")</f>
        <v>Wednesday</v>
      </c>
      <c r="S2874">
        <f>MONTH(tblTransactions[[#This Row],[Date]])</f>
        <v>9</v>
      </c>
      <c r="T2874" t="str">
        <f>VLOOKUP(E2874, Products!$A:$B,2,0)</f>
        <v>Storage Fur-3</v>
      </c>
      <c r="U2874" t="str">
        <f>VLOOKUP(E2874,Products!$A:$C,3,0)</f>
        <v>Furniture</v>
      </c>
      <c r="V2874" t="str">
        <f>VLOOKUP(E2874,Products!$A:$D,4,0)</f>
        <v>Storage</v>
      </c>
      <c r="W2874" t="str">
        <f>VLOOKUP(D2874,Customers!$A:$C,3,0)</f>
        <v>Enterprise</v>
      </c>
      <c r="X2874" t="str">
        <f>VLOOKUP(C2874,Sales_Representatives!$A:$B,2,0)</f>
        <v>John Brown</v>
      </c>
    </row>
    <row r="2875" spans="1:24" x14ac:dyDescent="0.3">
      <c r="A2875" t="s">
        <v>3935</v>
      </c>
      <c r="B2875" t="s">
        <v>3934</v>
      </c>
      <c r="C2875" t="s">
        <v>63</v>
      </c>
      <c r="D2875" t="s">
        <v>1702</v>
      </c>
      <c r="E2875" t="s">
        <v>450</v>
      </c>
      <c r="F2875">
        <v>3</v>
      </c>
      <c r="G2875">
        <v>2083.92</v>
      </c>
      <c r="H2875">
        <v>0.04</v>
      </c>
      <c r="I2875" s="4">
        <v>6001.69</v>
      </c>
      <c r="J2875" t="s">
        <v>21</v>
      </c>
      <c r="K2875" t="s">
        <v>17</v>
      </c>
      <c r="L2875" s="4">
        <f>VLOOKUP(tblTransactions[[#This Row],[Product_ID]],tblProducts[],5,FALSE)</f>
        <v>1425.78</v>
      </c>
      <c r="M2875" s="4">
        <f>tblTransactions[[#This Row],[Total_Amount]]-(tblTransactions[[#This Row],[Cost_Prices]]*tblTransactions[[#This Row],[Quantity]]*(1-tblTransactions[[#This Row],[Discount]]))</f>
        <v>1895.4435999999996</v>
      </c>
      <c r="N2875" s="3">
        <f>tblTransactions[[#This Row],[Profit]]/tblTransactions[[#This Row],[Total_Amount]]</f>
        <v>0.31581831117568548</v>
      </c>
      <c r="O2875" t="str">
        <f>TEXT(tblTransactions[[#This Row],[Date]], "MMM-YYYY")</f>
        <v>Sep-2024</v>
      </c>
      <c r="P2875" t="str">
        <f>"Q"&amp;ROUNDUP(MONTH(tblTransactions[[#This Row],[Date]])/3,0)&amp;"-"&amp;YEAR(tblTransactions[[#This Row],[Date]])</f>
        <v>Q3-2024</v>
      </c>
      <c r="Q2875">
        <f>YEAR(tblTransactions[[#This Row],[Date]])</f>
        <v>2024</v>
      </c>
      <c r="R2875" t="str">
        <f>TEXT(tblTransactions[[#This Row],[Date]],"DDDD")</f>
        <v>Wednesday</v>
      </c>
      <c r="S2875">
        <f>MONTH(tblTransactions[[#This Row],[Date]])</f>
        <v>9</v>
      </c>
      <c r="T2875" t="str">
        <f>VLOOKUP(E2875, Products!$A:$B,2,0)</f>
        <v>Monitors Tec-4</v>
      </c>
      <c r="U2875" t="str">
        <f>VLOOKUP(E2875,Products!$A:$C,3,0)</f>
        <v>Technology</v>
      </c>
      <c r="V2875" t="str">
        <f>VLOOKUP(E2875,Products!$A:$D,4,0)</f>
        <v>Monitors</v>
      </c>
      <c r="W2875" t="str">
        <f>VLOOKUP(D2875,Customers!$A:$C,3,0)</f>
        <v>B2C</v>
      </c>
      <c r="X2875" t="str">
        <f>VLOOKUP(C2875,Sales_Representatives!$A:$B,2,0)</f>
        <v>Richard Wilson</v>
      </c>
    </row>
    <row r="2876" spans="1:24" x14ac:dyDescent="0.3">
      <c r="A2876" t="s">
        <v>3936</v>
      </c>
      <c r="B2876" t="s">
        <v>3934</v>
      </c>
      <c r="C2876" t="s">
        <v>27</v>
      </c>
      <c r="D2876" t="s">
        <v>190</v>
      </c>
      <c r="E2876" t="s">
        <v>198</v>
      </c>
      <c r="F2876">
        <v>19</v>
      </c>
      <c r="G2876">
        <v>1802.96</v>
      </c>
      <c r="H2876">
        <v>0.12</v>
      </c>
      <c r="I2876" s="4">
        <v>30145.49</v>
      </c>
      <c r="J2876" t="s">
        <v>16</v>
      </c>
      <c r="K2876" t="s">
        <v>17</v>
      </c>
      <c r="L2876" s="4">
        <f>VLOOKUP(tblTransactions[[#This Row],[Product_ID]],tblProducts[],5,FALSE)</f>
        <v>1282.18</v>
      </c>
      <c r="M2876" s="4">
        <f>tblTransactions[[#This Row],[Total_Amount]]-(tblTransactions[[#This Row],[Cost_Prices]]*tblTransactions[[#This Row],[Quantity]]*(1-tblTransactions[[#This Row],[Discount]]))</f>
        <v>8707.4403999999995</v>
      </c>
      <c r="N2876" s="3">
        <f>tblTransactions[[#This Row],[Profit]]/tblTransactions[[#This Row],[Total_Amount]]</f>
        <v>0.28884720069237552</v>
      </c>
      <c r="O2876" t="str">
        <f>TEXT(tblTransactions[[#This Row],[Date]], "MMM-YYYY")</f>
        <v>Sep-2024</v>
      </c>
      <c r="P2876" t="str">
        <f>"Q"&amp;ROUNDUP(MONTH(tblTransactions[[#This Row],[Date]])/3,0)&amp;"-"&amp;YEAR(tblTransactions[[#This Row],[Date]])</f>
        <v>Q3-2024</v>
      </c>
      <c r="Q2876">
        <f>YEAR(tblTransactions[[#This Row],[Date]])</f>
        <v>2024</v>
      </c>
      <c r="R2876" t="str">
        <f>TEXT(tblTransactions[[#This Row],[Date]],"DDDD")</f>
        <v>Wednesday</v>
      </c>
      <c r="S2876">
        <f>MONTH(tblTransactions[[#This Row],[Date]])</f>
        <v>9</v>
      </c>
      <c r="T2876" t="str">
        <f>VLOOKUP(E2876, Products!$A:$B,2,0)</f>
        <v>Tablets Ele-3</v>
      </c>
      <c r="U2876" t="str">
        <f>VLOOKUP(E2876,Products!$A:$C,3,0)</f>
        <v>Electronics</v>
      </c>
      <c r="V2876" t="str">
        <f>VLOOKUP(E2876,Products!$A:$D,4,0)</f>
        <v>Tablets</v>
      </c>
      <c r="W2876" t="str">
        <f>VLOOKUP(D2876,Customers!$A:$C,3,0)</f>
        <v>B2B</v>
      </c>
      <c r="X2876" t="str">
        <f>VLOOKUP(C2876,Sales_Representatives!$A:$B,2,0)</f>
        <v>Thomas Lopez</v>
      </c>
    </row>
    <row r="2877" spans="1:24" x14ac:dyDescent="0.3">
      <c r="A2877" t="s">
        <v>3937</v>
      </c>
      <c r="B2877" t="s">
        <v>3934</v>
      </c>
      <c r="C2877" t="s">
        <v>63</v>
      </c>
      <c r="D2877" t="s">
        <v>1805</v>
      </c>
      <c r="E2877" t="s">
        <v>53</v>
      </c>
      <c r="F2877">
        <v>39</v>
      </c>
      <c r="G2877">
        <v>2069.2199999999998</v>
      </c>
      <c r="H2877">
        <v>0.21</v>
      </c>
      <c r="I2877" s="4">
        <v>63752.67</v>
      </c>
      <c r="J2877" t="s">
        <v>21</v>
      </c>
      <c r="K2877" t="s">
        <v>22</v>
      </c>
      <c r="L2877" s="4">
        <f>VLOOKUP(tblTransactions[[#This Row],[Product_ID]],tblProducts[],5,FALSE)</f>
        <v>1451.18</v>
      </c>
      <c r="M2877" s="4">
        <f>tblTransactions[[#This Row],[Total_Amount]]-(tblTransactions[[#This Row],[Cost_Prices]]*tblTransactions[[#This Row],[Quantity]]*(1-tblTransactions[[#This Row],[Discount]]))</f>
        <v>19041.814199999993</v>
      </c>
      <c r="N2877" s="3">
        <f>tblTransactions[[#This Row],[Profit]]/tblTransactions[[#This Row],[Total_Amount]]</f>
        <v>0.29868261517517608</v>
      </c>
      <c r="O2877" t="str">
        <f>TEXT(tblTransactions[[#This Row],[Date]], "MMM-YYYY")</f>
        <v>Sep-2024</v>
      </c>
      <c r="P2877" t="str">
        <f>"Q"&amp;ROUNDUP(MONTH(tblTransactions[[#This Row],[Date]])/3,0)&amp;"-"&amp;YEAR(tblTransactions[[#This Row],[Date]])</f>
        <v>Q3-2024</v>
      </c>
      <c r="Q2877">
        <f>YEAR(tblTransactions[[#This Row],[Date]])</f>
        <v>2024</v>
      </c>
      <c r="R2877" t="str">
        <f>TEXT(tblTransactions[[#This Row],[Date]],"DDDD")</f>
        <v>Wednesday</v>
      </c>
      <c r="S2877">
        <f>MONTH(tblTransactions[[#This Row],[Date]])</f>
        <v>9</v>
      </c>
      <c r="T2877" t="str">
        <f>VLOOKUP(E2877, Products!$A:$B,2,0)</f>
        <v>Printers Tec-3</v>
      </c>
      <c r="U2877" t="str">
        <f>VLOOKUP(E2877,Products!$A:$C,3,0)</f>
        <v>Technology</v>
      </c>
      <c r="V2877" t="str">
        <f>VLOOKUP(E2877,Products!$A:$D,4,0)</f>
        <v>Printers</v>
      </c>
      <c r="W2877" t="str">
        <f>VLOOKUP(D2877,Customers!$A:$C,3,0)</f>
        <v>Enterprise</v>
      </c>
      <c r="X2877" t="str">
        <f>VLOOKUP(C2877,Sales_Representatives!$A:$B,2,0)</f>
        <v>Richard Wilson</v>
      </c>
    </row>
    <row r="2878" spans="1:24" x14ac:dyDescent="0.3">
      <c r="A2878" t="s">
        <v>3938</v>
      </c>
      <c r="B2878" t="s">
        <v>3934</v>
      </c>
      <c r="C2878" t="s">
        <v>70</v>
      </c>
      <c r="D2878" t="s">
        <v>2678</v>
      </c>
      <c r="E2878" t="s">
        <v>61</v>
      </c>
      <c r="F2878">
        <v>7</v>
      </c>
      <c r="G2878">
        <v>92.07</v>
      </c>
      <c r="H2878">
        <v>0.12</v>
      </c>
      <c r="I2878" s="4">
        <v>567.15</v>
      </c>
      <c r="J2878" t="s">
        <v>16</v>
      </c>
      <c r="K2878" t="s">
        <v>35</v>
      </c>
      <c r="L2878" s="4">
        <f>VLOOKUP(tblTransactions[[#This Row],[Product_ID]],tblProducts[],5,FALSE)</f>
        <v>56.98</v>
      </c>
      <c r="M2878" s="4">
        <f>tblTransactions[[#This Row],[Total_Amount]]-(tblTransactions[[#This Row],[Cost_Prices]]*tblTransactions[[#This Row],[Quantity]]*(1-tblTransactions[[#This Row],[Discount]]))</f>
        <v>216.15320000000003</v>
      </c>
      <c r="N2878" s="3">
        <f>tblTransactions[[#This Row],[Profit]]/tblTransactions[[#This Row],[Total_Amount]]</f>
        <v>0.38112174909635904</v>
      </c>
      <c r="O2878" t="str">
        <f>TEXT(tblTransactions[[#This Row],[Date]], "MMM-YYYY")</f>
        <v>Sep-2024</v>
      </c>
      <c r="P2878" t="str">
        <f>"Q"&amp;ROUNDUP(MONTH(tblTransactions[[#This Row],[Date]])/3,0)&amp;"-"&amp;YEAR(tblTransactions[[#This Row],[Date]])</f>
        <v>Q3-2024</v>
      </c>
      <c r="Q2878">
        <f>YEAR(tblTransactions[[#This Row],[Date]])</f>
        <v>2024</v>
      </c>
      <c r="R2878" t="str">
        <f>TEXT(tblTransactions[[#This Row],[Date]],"DDDD")</f>
        <v>Wednesday</v>
      </c>
      <c r="S2878">
        <f>MONTH(tblTransactions[[#This Row],[Date]])</f>
        <v>9</v>
      </c>
      <c r="T2878" t="str">
        <f>VLOOKUP(E2878, Products!$A:$B,2,0)</f>
        <v>Pens Off-4</v>
      </c>
      <c r="U2878" t="str">
        <f>VLOOKUP(E2878,Products!$A:$C,3,0)</f>
        <v>Office Supplies</v>
      </c>
      <c r="V2878" t="str">
        <f>VLOOKUP(E2878,Products!$A:$D,4,0)</f>
        <v>Pens</v>
      </c>
      <c r="W2878" t="str">
        <f>VLOOKUP(D2878,Customers!$A:$C,3,0)</f>
        <v>B2C</v>
      </c>
      <c r="X2878" t="str">
        <f>VLOOKUP(C2878,Sales_Representatives!$A:$B,2,0)</f>
        <v>Linda Smith</v>
      </c>
    </row>
    <row r="2879" spans="1:24" x14ac:dyDescent="0.3">
      <c r="A2879" t="s">
        <v>3939</v>
      </c>
      <c r="B2879" t="s">
        <v>3934</v>
      </c>
      <c r="C2879" t="s">
        <v>75</v>
      </c>
      <c r="D2879" t="s">
        <v>1561</v>
      </c>
      <c r="E2879" t="s">
        <v>172</v>
      </c>
      <c r="F2879">
        <v>14</v>
      </c>
      <c r="G2879">
        <v>1371.15</v>
      </c>
      <c r="H2879">
        <v>0.11</v>
      </c>
      <c r="I2879" s="4">
        <v>17084.53</v>
      </c>
      <c r="J2879" t="s">
        <v>44</v>
      </c>
      <c r="K2879" t="s">
        <v>22</v>
      </c>
      <c r="L2879" s="4">
        <f>VLOOKUP(tblTransactions[[#This Row],[Product_ID]],tblProducts[],5,FALSE)</f>
        <v>989.81</v>
      </c>
      <c r="M2879" s="4">
        <f>tblTransactions[[#This Row],[Total_Amount]]-(tblTransactions[[#This Row],[Cost_Prices]]*tblTransactions[[#This Row],[Quantity]]*(1-tblTransactions[[#This Row],[Discount]]))</f>
        <v>4751.4973999999984</v>
      </c>
      <c r="N2879" s="3">
        <f>tblTransactions[[#This Row],[Profit]]/tblTransactions[[#This Row],[Total_Amount]]</f>
        <v>0.27811695141745185</v>
      </c>
      <c r="O2879" t="str">
        <f>TEXT(tblTransactions[[#This Row],[Date]], "MMM-YYYY")</f>
        <v>Sep-2024</v>
      </c>
      <c r="P2879" t="str">
        <f>"Q"&amp;ROUNDUP(MONTH(tblTransactions[[#This Row],[Date]])/3,0)&amp;"-"&amp;YEAR(tblTransactions[[#This Row],[Date]])</f>
        <v>Q3-2024</v>
      </c>
      <c r="Q2879">
        <f>YEAR(tblTransactions[[#This Row],[Date]])</f>
        <v>2024</v>
      </c>
      <c r="R2879" t="str">
        <f>TEXT(tblTransactions[[#This Row],[Date]],"DDDD")</f>
        <v>Wednesday</v>
      </c>
      <c r="S2879">
        <f>MONTH(tblTransactions[[#This Row],[Date]])</f>
        <v>9</v>
      </c>
      <c r="T2879" t="str">
        <f>VLOOKUP(E2879, Products!$A:$B,2,0)</f>
        <v>Cameras Ele-4</v>
      </c>
      <c r="U2879" t="str">
        <f>VLOOKUP(E2879,Products!$A:$C,3,0)</f>
        <v>Electronics</v>
      </c>
      <c r="V2879" t="str">
        <f>VLOOKUP(E2879,Products!$A:$D,4,0)</f>
        <v>Cameras</v>
      </c>
      <c r="W2879" t="str">
        <f>VLOOKUP(D2879,Customers!$A:$C,3,0)</f>
        <v>B2B</v>
      </c>
      <c r="X2879" t="str">
        <f>VLOOKUP(C2879,Sales_Representatives!$A:$B,2,0)</f>
        <v>Jessica Anderson</v>
      </c>
    </row>
    <row r="2880" spans="1:24" x14ac:dyDescent="0.3">
      <c r="A2880" t="s">
        <v>3940</v>
      </c>
      <c r="B2880" t="s">
        <v>3934</v>
      </c>
      <c r="C2880" t="s">
        <v>63</v>
      </c>
      <c r="D2880" t="s">
        <v>3533</v>
      </c>
      <c r="E2880" t="s">
        <v>508</v>
      </c>
      <c r="F2880">
        <v>2</v>
      </c>
      <c r="G2880">
        <v>237.69</v>
      </c>
      <c r="H2880">
        <v>0.02</v>
      </c>
      <c r="I2880" s="4">
        <v>465.87</v>
      </c>
      <c r="J2880" t="s">
        <v>21</v>
      </c>
      <c r="K2880" t="s">
        <v>39</v>
      </c>
      <c r="L2880" s="4">
        <f>VLOOKUP(tblTransactions[[#This Row],[Product_ID]],tblProducts[],5,FALSE)</f>
        <v>115.31</v>
      </c>
      <c r="M2880" s="4">
        <f>tblTransactions[[#This Row],[Total_Amount]]-(tblTransactions[[#This Row],[Cost_Prices]]*tblTransactions[[#This Row],[Quantity]]*(1-tblTransactions[[#This Row],[Discount]]))</f>
        <v>239.86240000000001</v>
      </c>
      <c r="N2880" s="3">
        <f>tblTransactions[[#This Row],[Profit]]/tblTransactions[[#This Row],[Total_Amount]]</f>
        <v>0.51486981346727634</v>
      </c>
      <c r="O2880" t="str">
        <f>TEXT(tblTransactions[[#This Row],[Date]], "MMM-YYYY")</f>
        <v>Sep-2024</v>
      </c>
      <c r="P2880" t="str">
        <f>"Q"&amp;ROUNDUP(MONTH(tblTransactions[[#This Row],[Date]])/3,0)&amp;"-"&amp;YEAR(tblTransactions[[#This Row],[Date]])</f>
        <v>Q3-2024</v>
      </c>
      <c r="Q2880">
        <f>YEAR(tblTransactions[[#This Row],[Date]])</f>
        <v>2024</v>
      </c>
      <c r="R2880" t="str">
        <f>TEXT(tblTransactions[[#This Row],[Date]],"DDDD")</f>
        <v>Wednesday</v>
      </c>
      <c r="S2880">
        <f>MONTH(tblTransactions[[#This Row],[Date]])</f>
        <v>9</v>
      </c>
      <c r="T2880" t="str">
        <f>VLOOKUP(E2880, Products!$A:$B,2,0)</f>
        <v>Folders Off-3</v>
      </c>
      <c r="U2880" t="str">
        <f>VLOOKUP(E2880,Products!$A:$C,3,0)</f>
        <v>Office Supplies</v>
      </c>
      <c r="V2880" t="str">
        <f>VLOOKUP(E2880,Products!$A:$D,4,0)</f>
        <v>Folders</v>
      </c>
      <c r="W2880" t="str">
        <f>VLOOKUP(D2880,Customers!$A:$C,3,0)</f>
        <v>B2C</v>
      </c>
      <c r="X2880" t="str">
        <f>VLOOKUP(C2880,Sales_Representatives!$A:$B,2,0)</f>
        <v>Richard Wilson</v>
      </c>
    </row>
    <row r="2881" spans="1:24" x14ac:dyDescent="0.3">
      <c r="A2881" t="s">
        <v>3941</v>
      </c>
      <c r="B2881" t="s">
        <v>3942</v>
      </c>
      <c r="C2881" t="s">
        <v>31</v>
      </c>
      <c r="D2881" t="s">
        <v>1515</v>
      </c>
      <c r="E2881" t="s">
        <v>65</v>
      </c>
      <c r="F2881">
        <v>2</v>
      </c>
      <c r="G2881">
        <v>49.44</v>
      </c>
      <c r="H2881">
        <v>0.05</v>
      </c>
      <c r="I2881" s="4">
        <v>93.94</v>
      </c>
      <c r="J2881" t="s">
        <v>34</v>
      </c>
      <c r="K2881" t="s">
        <v>39</v>
      </c>
      <c r="L2881" s="4">
        <f>VLOOKUP(tblTransactions[[#This Row],[Product_ID]],tblProducts[],5,FALSE)</f>
        <v>22.34</v>
      </c>
      <c r="M2881" s="4">
        <f>tblTransactions[[#This Row],[Total_Amount]]-(tblTransactions[[#This Row],[Cost_Prices]]*tblTransactions[[#This Row],[Quantity]]*(1-tblTransactions[[#This Row],[Discount]]))</f>
        <v>51.494</v>
      </c>
      <c r="N2881" s="3">
        <f>tblTransactions[[#This Row],[Profit]]/tblTransactions[[#This Row],[Total_Amount]]</f>
        <v>0.54815839897807117</v>
      </c>
      <c r="O2881" t="str">
        <f>TEXT(tblTransactions[[#This Row],[Date]], "MMM-YYYY")</f>
        <v>Sep-2024</v>
      </c>
      <c r="P2881" t="str">
        <f>"Q"&amp;ROUNDUP(MONTH(tblTransactions[[#This Row],[Date]])/3,0)&amp;"-"&amp;YEAR(tblTransactions[[#This Row],[Date]])</f>
        <v>Q3-2024</v>
      </c>
      <c r="Q2881">
        <f>YEAR(tblTransactions[[#This Row],[Date]])</f>
        <v>2024</v>
      </c>
      <c r="R2881" t="str">
        <f>TEXT(tblTransactions[[#This Row],[Date]],"DDDD")</f>
        <v>Thursday</v>
      </c>
      <c r="S2881">
        <f>MONTH(tblTransactions[[#This Row],[Date]])</f>
        <v>9</v>
      </c>
      <c r="T2881" t="str">
        <f>VLOOKUP(E2881, Products!$A:$B,2,0)</f>
        <v>Folders Off-2</v>
      </c>
      <c r="U2881" t="str">
        <f>VLOOKUP(E2881,Products!$A:$C,3,0)</f>
        <v>Office Supplies</v>
      </c>
      <c r="V2881" t="str">
        <f>VLOOKUP(E2881,Products!$A:$D,4,0)</f>
        <v>Folders</v>
      </c>
      <c r="W2881" t="str">
        <f>VLOOKUP(D2881,Customers!$A:$C,3,0)</f>
        <v>B2C</v>
      </c>
      <c r="X2881" t="str">
        <f>VLOOKUP(C2881,Sales_Representatives!$A:$B,2,0)</f>
        <v>Thomas Martinez</v>
      </c>
    </row>
    <row r="2882" spans="1:24" x14ac:dyDescent="0.3">
      <c r="A2882" t="s">
        <v>3943</v>
      </c>
      <c r="B2882" t="s">
        <v>3942</v>
      </c>
      <c r="C2882" t="s">
        <v>131</v>
      </c>
      <c r="D2882" t="s">
        <v>1598</v>
      </c>
      <c r="E2882" t="s">
        <v>91</v>
      </c>
      <c r="F2882">
        <v>7</v>
      </c>
      <c r="G2882">
        <v>286.62</v>
      </c>
      <c r="H2882">
        <v>0.05</v>
      </c>
      <c r="I2882" s="4">
        <v>1906.02</v>
      </c>
      <c r="J2882" t="s">
        <v>44</v>
      </c>
      <c r="K2882" t="s">
        <v>22</v>
      </c>
      <c r="L2882" s="4">
        <f>VLOOKUP(tblTransactions[[#This Row],[Product_ID]],tblProducts[],5,FALSE)</f>
        <v>145.54</v>
      </c>
      <c r="M2882" s="4">
        <f>tblTransactions[[#This Row],[Total_Amount]]-(tblTransactions[[#This Row],[Cost_Prices]]*tblTransactions[[#This Row],[Quantity]]*(1-tblTransactions[[#This Row],[Discount]]))</f>
        <v>938.17900000000009</v>
      </c>
      <c r="N2882" s="3">
        <f>tblTransactions[[#This Row],[Profit]]/tblTransactions[[#This Row],[Total_Amount]]</f>
        <v>0.49221886444003743</v>
      </c>
      <c r="O2882" t="str">
        <f>TEXT(tblTransactions[[#This Row],[Date]], "MMM-YYYY")</f>
        <v>Sep-2024</v>
      </c>
      <c r="P2882" t="str">
        <f>"Q"&amp;ROUNDUP(MONTH(tblTransactions[[#This Row],[Date]])/3,0)&amp;"-"&amp;YEAR(tblTransactions[[#This Row],[Date]])</f>
        <v>Q3-2024</v>
      </c>
      <c r="Q2882">
        <f>YEAR(tblTransactions[[#This Row],[Date]])</f>
        <v>2024</v>
      </c>
      <c r="R2882" t="str">
        <f>TEXT(tblTransactions[[#This Row],[Date]],"DDDD")</f>
        <v>Thursday</v>
      </c>
      <c r="S2882">
        <f>MONTH(tblTransactions[[#This Row],[Date]])</f>
        <v>9</v>
      </c>
      <c r="T2882" t="str">
        <f>VLOOKUP(E2882, Products!$A:$B,2,0)</f>
        <v>Chairs Fur-1</v>
      </c>
      <c r="U2882" t="str">
        <f>VLOOKUP(E2882,Products!$A:$C,3,0)</f>
        <v>Furniture</v>
      </c>
      <c r="V2882" t="str">
        <f>VLOOKUP(E2882,Products!$A:$D,4,0)</f>
        <v>Chairs</v>
      </c>
      <c r="W2882" t="str">
        <f>VLOOKUP(D2882,Customers!$A:$C,3,0)</f>
        <v>B2C</v>
      </c>
      <c r="X2882" t="str">
        <f>VLOOKUP(C2882,Sales_Representatives!$A:$B,2,0)</f>
        <v>Michael Davis</v>
      </c>
    </row>
    <row r="2883" spans="1:24" x14ac:dyDescent="0.3">
      <c r="A2883" t="s">
        <v>3944</v>
      </c>
      <c r="B2883" t="s">
        <v>3942</v>
      </c>
      <c r="C2883" t="s">
        <v>31</v>
      </c>
      <c r="D2883" t="s">
        <v>1852</v>
      </c>
      <c r="E2883" t="s">
        <v>96</v>
      </c>
      <c r="F2883">
        <v>3</v>
      </c>
      <c r="G2883">
        <v>751.9</v>
      </c>
      <c r="H2883">
        <v>0.02</v>
      </c>
      <c r="I2883" s="4">
        <v>2210.59</v>
      </c>
      <c r="J2883" t="s">
        <v>34</v>
      </c>
      <c r="K2883" t="s">
        <v>39</v>
      </c>
      <c r="L2883" s="4">
        <f>VLOOKUP(tblTransactions[[#This Row],[Product_ID]],tblProducts[],5,FALSE)</f>
        <v>570.29</v>
      </c>
      <c r="M2883" s="4">
        <f>tblTransactions[[#This Row],[Total_Amount]]-(tblTransactions[[#This Row],[Cost_Prices]]*tblTransactions[[#This Row],[Quantity]]*(1-tblTransactions[[#This Row],[Discount]]))</f>
        <v>533.93740000000025</v>
      </c>
      <c r="N2883" s="3">
        <f>tblTransactions[[#This Row],[Profit]]/tblTransactions[[#This Row],[Total_Amount]]</f>
        <v>0.24153615098231704</v>
      </c>
      <c r="O2883" t="str">
        <f>TEXT(tblTransactions[[#This Row],[Date]], "MMM-YYYY")</f>
        <v>Sep-2024</v>
      </c>
      <c r="P2883" t="str">
        <f>"Q"&amp;ROUNDUP(MONTH(tblTransactions[[#This Row],[Date]])/3,0)&amp;"-"&amp;YEAR(tblTransactions[[#This Row],[Date]])</f>
        <v>Q3-2024</v>
      </c>
      <c r="Q2883">
        <f>YEAR(tblTransactions[[#This Row],[Date]])</f>
        <v>2024</v>
      </c>
      <c r="R2883" t="str">
        <f>TEXT(tblTransactions[[#This Row],[Date]],"DDDD")</f>
        <v>Thursday</v>
      </c>
      <c r="S2883">
        <f>MONTH(tblTransactions[[#This Row],[Date]])</f>
        <v>9</v>
      </c>
      <c r="T2883" t="str">
        <f>VLOOKUP(E2883, Products!$A:$B,2,0)</f>
        <v>Routers Tec-1</v>
      </c>
      <c r="U2883" t="str">
        <f>VLOOKUP(E2883,Products!$A:$C,3,0)</f>
        <v>Technology</v>
      </c>
      <c r="V2883" t="str">
        <f>VLOOKUP(E2883,Products!$A:$D,4,0)</f>
        <v>Routers</v>
      </c>
      <c r="W2883" t="str">
        <f>VLOOKUP(D2883,Customers!$A:$C,3,0)</f>
        <v>B2B</v>
      </c>
      <c r="X2883" t="str">
        <f>VLOOKUP(C2883,Sales_Representatives!$A:$B,2,0)</f>
        <v>Thomas Martinez</v>
      </c>
    </row>
    <row r="2884" spans="1:24" x14ac:dyDescent="0.3">
      <c r="A2884" t="s">
        <v>3945</v>
      </c>
      <c r="B2884" t="s">
        <v>3942</v>
      </c>
      <c r="C2884" t="s">
        <v>82</v>
      </c>
      <c r="D2884" t="s">
        <v>2876</v>
      </c>
      <c r="E2884" t="s">
        <v>152</v>
      </c>
      <c r="F2884">
        <v>4</v>
      </c>
      <c r="G2884">
        <v>859.93</v>
      </c>
      <c r="H2884">
        <v>0.09</v>
      </c>
      <c r="I2884" s="4">
        <v>3130.15</v>
      </c>
      <c r="J2884" t="s">
        <v>34</v>
      </c>
      <c r="K2884" t="s">
        <v>48</v>
      </c>
      <c r="L2884" s="4">
        <f>VLOOKUP(tblTransactions[[#This Row],[Product_ID]],tblProducts[],5,FALSE)</f>
        <v>579.79</v>
      </c>
      <c r="M2884" s="4">
        <f>tblTransactions[[#This Row],[Total_Amount]]-(tblTransactions[[#This Row],[Cost_Prices]]*tblTransactions[[#This Row],[Quantity]]*(1-tblTransactions[[#This Row],[Discount]]))</f>
        <v>1019.7144000000003</v>
      </c>
      <c r="N2884" s="3">
        <f>tblTransactions[[#This Row],[Profit]]/tblTransactions[[#This Row],[Total_Amount]]</f>
        <v>0.32577173617877747</v>
      </c>
      <c r="O2884" t="str">
        <f>TEXT(tblTransactions[[#This Row],[Date]], "MMM-YYYY")</f>
        <v>Sep-2024</v>
      </c>
      <c r="P2884" t="str">
        <f>"Q"&amp;ROUNDUP(MONTH(tblTransactions[[#This Row],[Date]])/3,0)&amp;"-"&amp;YEAR(tblTransactions[[#This Row],[Date]])</f>
        <v>Q3-2024</v>
      </c>
      <c r="Q2884">
        <f>YEAR(tblTransactions[[#This Row],[Date]])</f>
        <v>2024</v>
      </c>
      <c r="R2884" t="str">
        <f>TEXT(tblTransactions[[#This Row],[Date]],"DDDD")</f>
        <v>Thursday</v>
      </c>
      <c r="S2884">
        <f>MONTH(tblTransactions[[#This Row],[Date]])</f>
        <v>9</v>
      </c>
      <c r="T2884" t="str">
        <f>VLOOKUP(E2884, Products!$A:$B,2,0)</f>
        <v>Phones Ele-4</v>
      </c>
      <c r="U2884" t="str">
        <f>VLOOKUP(E2884,Products!$A:$C,3,0)</f>
        <v>Electronics</v>
      </c>
      <c r="V2884" t="str">
        <f>VLOOKUP(E2884,Products!$A:$D,4,0)</f>
        <v>Phones</v>
      </c>
      <c r="W2884" t="str">
        <f>VLOOKUP(D2884,Customers!$A:$C,3,0)</f>
        <v>B2C</v>
      </c>
      <c r="X2884" t="str">
        <f>VLOOKUP(C2884,Sales_Representatives!$A:$B,2,0)</f>
        <v>John Brown</v>
      </c>
    </row>
    <row r="2885" spans="1:24" x14ac:dyDescent="0.3">
      <c r="A2885" t="s">
        <v>3946</v>
      </c>
      <c r="B2885" t="s">
        <v>3947</v>
      </c>
      <c r="C2885" t="s">
        <v>127</v>
      </c>
      <c r="D2885" t="s">
        <v>2052</v>
      </c>
      <c r="E2885" t="s">
        <v>25</v>
      </c>
      <c r="F2885">
        <v>8</v>
      </c>
      <c r="G2885">
        <v>1467.49</v>
      </c>
      <c r="H2885">
        <v>7.0000000000000007E-2</v>
      </c>
      <c r="I2885" s="4">
        <v>10918.13</v>
      </c>
      <c r="J2885" t="s">
        <v>109</v>
      </c>
      <c r="K2885" t="s">
        <v>35</v>
      </c>
      <c r="L2885" s="4">
        <f>VLOOKUP(tblTransactions[[#This Row],[Product_ID]],tblProducts[],5,FALSE)</f>
        <v>757.65</v>
      </c>
      <c r="M2885" s="4">
        <f>tblTransactions[[#This Row],[Total_Amount]]-(tblTransactions[[#This Row],[Cost_Prices]]*tblTransactions[[#This Row],[Quantity]]*(1-tblTransactions[[#This Row],[Discount]]))</f>
        <v>5281.2139999999999</v>
      </c>
      <c r="N2885" s="3">
        <f>tblTransactions[[#This Row],[Profit]]/tblTransactions[[#This Row],[Total_Amount]]</f>
        <v>0.48371048888408547</v>
      </c>
      <c r="O2885" t="str">
        <f>TEXT(tblTransactions[[#This Row],[Date]], "MMM-YYYY")</f>
        <v>Sep-2024</v>
      </c>
      <c r="P2885" t="str">
        <f>"Q"&amp;ROUNDUP(MONTH(tblTransactions[[#This Row],[Date]])/3,0)&amp;"-"&amp;YEAR(tblTransactions[[#This Row],[Date]])</f>
        <v>Q3-2024</v>
      </c>
      <c r="Q2885">
        <f>YEAR(tblTransactions[[#This Row],[Date]])</f>
        <v>2024</v>
      </c>
      <c r="R2885" t="str">
        <f>TEXT(tblTransactions[[#This Row],[Date]],"DDDD")</f>
        <v>Friday</v>
      </c>
      <c r="S2885">
        <f>MONTH(tblTransactions[[#This Row],[Date]])</f>
        <v>9</v>
      </c>
      <c r="T2885" t="str">
        <f>VLOOKUP(E2885, Products!$A:$B,2,0)</f>
        <v>Tables Fur-3</v>
      </c>
      <c r="U2885" t="str">
        <f>VLOOKUP(E2885,Products!$A:$C,3,0)</f>
        <v>Furniture</v>
      </c>
      <c r="V2885" t="str">
        <f>VLOOKUP(E2885,Products!$A:$D,4,0)</f>
        <v>Tables</v>
      </c>
      <c r="W2885" t="str">
        <f>VLOOKUP(D2885,Customers!$A:$C,3,0)</f>
        <v>B2B</v>
      </c>
      <c r="X2885" t="str">
        <f>VLOOKUP(C2885,Sales_Representatives!$A:$B,2,0)</f>
        <v>Emily Hernandez</v>
      </c>
    </row>
    <row r="2886" spans="1:24" x14ac:dyDescent="0.3">
      <c r="A2886" t="s">
        <v>3948</v>
      </c>
      <c r="B2886" t="s">
        <v>3947</v>
      </c>
      <c r="C2886" t="s">
        <v>41</v>
      </c>
      <c r="D2886" t="s">
        <v>1988</v>
      </c>
      <c r="E2886" t="s">
        <v>72</v>
      </c>
      <c r="F2886">
        <v>21</v>
      </c>
      <c r="G2886">
        <v>404.76</v>
      </c>
      <c r="H2886">
        <v>0.21</v>
      </c>
      <c r="I2886" s="4">
        <v>6714.97</v>
      </c>
      <c r="J2886" t="s">
        <v>44</v>
      </c>
      <c r="K2886" t="s">
        <v>17</v>
      </c>
      <c r="L2886" s="4">
        <f>VLOOKUP(tblTransactions[[#This Row],[Product_ID]],tblProducts[],5,FALSE)</f>
        <v>226.76</v>
      </c>
      <c r="M2886" s="4">
        <f>tblTransactions[[#This Row],[Total_Amount]]-(tblTransactions[[#This Row],[Cost_Prices]]*tblTransactions[[#This Row],[Quantity]]*(1-tblTransactions[[#This Row],[Discount]]))</f>
        <v>2953.0216</v>
      </c>
      <c r="N2886" s="3">
        <f>tblTransactions[[#This Row],[Profit]]/tblTransactions[[#This Row],[Total_Amount]]</f>
        <v>0.4397669088618415</v>
      </c>
      <c r="O2886" t="str">
        <f>TEXT(tblTransactions[[#This Row],[Date]], "MMM-YYYY")</f>
        <v>Sep-2024</v>
      </c>
      <c r="P2886" t="str">
        <f>"Q"&amp;ROUNDUP(MONTH(tblTransactions[[#This Row],[Date]])/3,0)&amp;"-"&amp;YEAR(tblTransactions[[#This Row],[Date]])</f>
        <v>Q3-2024</v>
      </c>
      <c r="Q2886">
        <f>YEAR(tblTransactions[[#This Row],[Date]])</f>
        <v>2024</v>
      </c>
      <c r="R2886" t="str">
        <f>TEXT(tblTransactions[[#This Row],[Date]],"DDDD")</f>
        <v>Friday</v>
      </c>
      <c r="S2886">
        <f>MONTH(tblTransactions[[#This Row],[Date]])</f>
        <v>9</v>
      </c>
      <c r="T2886" t="str">
        <f>VLOOKUP(E2886, Products!$A:$B,2,0)</f>
        <v>Tablets Ele-2</v>
      </c>
      <c r="U2886" t="str">
        <f>VLOOKUP(E2886,Products!$A:$C,3,0)</f>
        <v>Electronics</v>
      </c>
      <c r="V2886" t="str">
        <f>VLOOKUP(E2886,Products!$A:$D,4,0)</f>
        <v>Tablets</v>
      </c>
      <c r="W2886" t="str">
        <f>VLOOKUP(D2886,Customers!$A:$C,3,0)</f>
        <v>Enterprise</v>
      </c>
      <c r="X2886" t="str">
        <f>VLOOKUP(C2886,Sales_Representatives!$A:$B,2,0)</f>
        <v>Robert Jones</v>
      </c>
    </row>
    <row r="2887" spans="1:24" x14ac:dyDescent="0.3">
      <c r="A2887" t="s">
        <v>3949</v>
      </c>
      <c r="B2887" t="s">
        <v>3947</v>
      </c>
      <c r="C2887" t="s">
        <v>70</v>
      </c>
      <c r="D2887" t="s">
        <v>1638</v>
      </c>
      <c r="E2887" t="s">
        <v>61</v>
      </c>
      <c r="F2887">
        <v>3</v>
      </c>
      <c r="G2887">
        <v>92.07</v>
      </c>
      <c r="H2887">
        <v>0.03</v>
      </c>
      <c r="I2887" s="4">
        <v>267.92</v>
      </c>
      <c r="J2887" t="s">
        <v>16</v>
      </c>
      <c r="K2887" t="s">
        <v>35</v>
      </c>
      <c r="L2887" s="4">
        <f>VLOOKUP(tblTransactions[[#This Row],[Product_ID]],tblProducts[],5,FALSE)</f>
        <v>56.98</v>
      </c>
      <c r="M2887" s="4">
        <f>tblTransactions[[#This Row],[Total_Amount]]-(tblTransactions[[#This Row],[Cost_Prices]]*tblTransactions[[#This Row],[Quantity]]*(1-tblTransactions[[#This Row],[Discount]]))</f>
        <v>102.10820000000001</v>
      </c>
      <c r="N2887" s="3">
        <f>tblTransactions[[#This Row],[Profit]]/tblTransactions[[#This Row],[Total_Amount]]</f>
        <v>0.38111451179456557</v>
      </c>
      <c r="O2887" t="str">
        <f>TEXT(tblTransactions[[#This Row],[Date]], "MMM-YYYY")</f>
        <v>Sep-2024</v>
      </c>
      <c r="P2887" t="str">
        <f>"Q"&amp;ROUNDUP(MONTH(tblTransactions[[#This Row],[Date]])/3,0)&amp;"-"&amp;YEAR(tblTransactions[[#This Row],[Date]])</f>
        <v>Q3-2024</v>
      </c>
      <c r="Q2887">
        <f>YEAR(tblTransactions[[#This Row],[Date]])</f>
        <v>2024</v>
      </c>
      <c r="R2887" t="str">
        <f>TEXT(tblTransactions[[#This Row],[Date]],"DDDD")</f>
        <v>Friday</v>
      </c>
      <c r="S2887">
        <f>MONTH(tblTransactions[[#This Row],[Date]])</f>
        <v>9</v>
      </c>
      <c r="T2887" t="str">
        <f>VLOOKUP(E2887, Products!$A:$B,2,0)</f>
        <v>Pens Off-4</v>
      </c>
      <c r="U2887" t="str">
        <f>VLOOKUP(E2887,Products!$A:$C,3,0)</f>
        <v>Office Supplies</v>
      </c>
      <c r="V2887" t="str">
        <f>VLOOKUP(E2887,Products!$A:$D,4,0)</f>
        <v>Pens</v>
      </c>
      <c r="W2887" t="str">
        <f>VLOOKUP(D2887,Customers!$A:$C,3,0)</f>
        <v>B2C</v>
      </c>
      <c r="X2887" t="str">
        <f>VLOOKUP(C2887,Sales_Representatives!$A:$B,2,0)</f>
        <v>Linda Smith</v>
      </c>
    </row>
    <row r="2888" spans="1:24" x14ac:dyDescent="0.3">
      <c r="A2888" t="s">
        <v>3950</v>
      </c>
      <c r="B2888" t="s">
        <v>3947</v>
      </c>
      <c r="C2888" t="s">
        <v>27</v>
      </c>
      <c r="D2888" t="s">
        <v>527</v>
      </c>
      <c r="E2888" t="s">
        <v>77</v>
      </c>
      <c r="F2888">
        <v>6</v>
      </c>
      <c r="G2888">
        <v>236.82</v>
      </c>
      <c r="H2888">
        <v>0.11</v>
      </c>
      <c r="I2888" s="4">
        <v>1264.6199999999999</v>
      </c>
      <c r="J2888" t="s">
        <v>16</v>
      </c>
      <c r="K2888" t="s">
        <v>35</v>
      </c>
      <c r="L2888" s="4">
        <f>VLOOKUP(tblTransactions[[#This Row],[Product_ID]],tblProducts[],5,FALSE)</f>
        <v>110.79</v>
      </c>
      <c r="M2888" s="4">
        <f>tblTransactions[[#This Row],[Total_Amount]]-(tblTransactions[[#This Row],[Cost_Prices]]*tblTransactions[[#This Row],[Quantity]]*(1-tblTransactions[[#This Row],[Discount]]))</f>
        <v>673.00139999999988</v>
      </c>
      <c r="N2888" s="3">
        <f>tblTransactions[[#This Row],[Profit]]/tblTransactions[[#This Row],[Total_Amount]]</f>
        <v>0.5321767803767139</v>
      </c>
      <c r="O2888" t="str">
        <f>TEXT(tblTransactions[[#This Row],[Date]], "MMM-YYYY")</f>
        <v>Sep-2024</v>
      </c>
      <c r="P2888" t="str">
        <f>"Q"&amp;ROUNDUP(MONTH(tblTransactions[[#This Row],[Date]])/3,0)&amp;"-"&amp;YEAR(tblTransactions[[#This Row],[Date]])</f>
        <v>Q3-2024</v>
      </c>
      <c r="Q2888">
        <f>YEAR(tblTransactions[[#This Row],[Date]])</f>
        <v>2024</v>
      </c>
      <c r="R2888" t="str">
        <f>TEXT(tblTransactions[[#This Row],[Date]],"DDDD")</f>
        <v>Friday</v>
      </c>
      <c r="S2888">
        <f>MONTH(tblTransactions[[#This Row],[Date]])</f>
        <v>9</v>
      </c>
      <c r="T2888" t="str">
        <f>VLOOKUP(E2888, Products!$A:$B,2,0)</f>
        <v>Binders Off-4</v>
      </c>
      <c r="U2888" t="str">
        <f>VLOOKUP(E2888,Products!$A:$C,3,0)</f>
        <v>Office Supplies</v>
      </c>
      <c r="V2888" t="str">
        <f>VLOOKUP(E2888,Products!$A:$D,4,0)</f>
        <v>Binders</v>
      </c>
      <c r="W2888" t="str">
        <f>VLOOKUP(D2888,Customers!$A:$C,3,0)</f>
        <v>B2C</v>
      </c>
      <c r="X2888" t="str">
        <f>VLOOKUP(C2888,Sales_Representatives!$A:$B,2,0)</f>
        <v>Thomas Lopez</v>
      </c>
    </row>
    <row r="2889" spans="1:24" x14ac:dyDescent="0.3">
      <c r="A2889" t="s">
        <v>3951</v>
      </c>
      <c r="B2889" t="s">
        <v>3952</v>
      </c>
      <c r="C2889" t="s">
        <v>82</v>
      </c>
      <c r="D2889" t="s">
        <v>1963</v>
      </c>
      <c r="E2889" t="s">
        <v>324</v>
      </c>
      <c r="F2889">
        <v>4</v>
      </c>
      <c r="G2889">
        <v>245.76</v>
      </c>
      <c r="H2889">
        <v>0.02</v>
      </c>
      <c r="I2889" s="4">
        <v>963.38</v>
      </c>
      <c r="J2889" t="s">
        <v>34</v>
      </c>
      <c r="K2889" t="s">
        <v>17</v>
      </c>
      <c r="L2889" s="4">
        <f>VLOOKUP(tblTransactions[[#This Row],[Product_ID]],tblProducts[],5,FALSE)</f>
        <v>161.94</v>
      </c>
      <c r="M2889" s="4">
        <f>tblTransactions[[#This Row],[Total_Amount]]-(tblTransactions[[#This Row],[Cost_Prices]]*tblTransactions[[#This Row],[Quantity]]*(1-tblTransactions[[#This Row],[Discount]]))</f>
        <v>328.5752</v>
      </c>
      <c r="N2889" s="3">
        <f>tblTransactions[[#This Row],[Profit]]/tblTransactions[[#This Row],[Total_Amount]]</f>
        <v>0.34106500031140358</v>
      </c>
      <c r="O2889" t="str">
        <f>TEXT(tblTransactions[[#This Row],[Date]], "MMM-YYYY")</f>
        <v>Sep-2024</v>
      </c>
      <c r="P2889" t="str">
        <f>"Q"&amp;ROUNDUP(MONTH(tblTransactions[[#This Row],[Date]])/3,0)&amp;"-"&amp;YEAR(tblTransactions[[#This Row],[Date]])</f>
        <v>Q3-2024</v>
      </c>
      <c r="Q2889">
        <f>YEAR(tblTransactions[[#This Row],[Date]])</f>
        <v>2024</v>
      </c>
      <c r="R2889" t="str">
        <f>TEXT(tblTransactions[[#This Row],[Date]],"DDDD")</f>
        <v>Saturday</v>
      </c>
      <c r="S2889">
        <f>MONTH(tblTransactions[[#This Row],[Date]])</f>
        <v>9</v>
      </c>
      <c r="T2889" t="str">
        <f>VLOOKUP(E2889, Products!$A:$B,2,0)</f>
        <v>Storage Fur-1</v>
      </c>
      <c r="U2889" t="str">
        <f>VLOOKUP(E2889,Products!$A:$C,3,0)</f>
        <v>Furniture</v>
      </c>
      <c r="V2889" t="str">
        <f>VLOOKUP(E2889,Products!$A:$D,4,0)</f>
        <v>Storage</v>
      </c>
      <c r="W2889" t="str">
        <f>VLOOKUP(D2889,Customers!$A:$C,3,0)</f>
        <v>Small Business</v>
      </c>
      <c r="X2889" t="str">
        <f>VLOOKUP(C2889,Sales_Representatives!$A:$B,2,0)</f>
        <v>John Brown</v>
      </c>
    </row>
    <row r="2890" spans="1:24" x14ac:dyDescent="0.3">
      <c r="A2890" t="s">
        <v>3953</v>
      </c>
      <c r="B2890" t="s">
        <v>3952</v>
      </c>
      <c r="C2890" t="s">
        <v>70</v>
      </c>
      <c r="D2890" t="s">
        <v>1675</v>
      </c>
      <c r="E2890" t="s">
        <v>84</v>
      </c>
      <c r="F2890">
        <v>10</v>
      </c>
      <c r="G2890">
        <v>1841.77</v>
      </c>
      <c r="H2890">
        <v>0.09</v>
      </c>
      <c r="I2890" s="4">
        <v>16760.11</v>
      </c>
      <c r="J2890" t="s">
        <v>16</v>
      </c>
      <c r="K2890" t="s">
        <v>35</v>
      </c>
      <c r="L2890" s="4">
        <f>VLOOKUP(tblTransactions[[#This Row],[Product_ID]],tblProducts[],5,FALSE)</f>
        <v>1151.5899999999999</v>
      </c>
      <c r="M2890" s="4">
        <f>tblTransactions[[#This Row],[Total_Amount]]-(tblTransactions[[#This Row],[Cost_Prices]]*tblTransactions[[#This Row],[Quantity]]*(1-tblTransactions[[#This Row],[Discount]]))</f>
        <v>6280.6410000000014</v>
      </c>
      <c r="N2890" s="3">
        <f>tblTransactions[[#This Row],[Profit]]/tblTransactions[[#This Row],[Total_Amount]]</f>
        <v>0.37473745697373118</v>
      </c>
      <c r="O2890" t="str">
        <f>TEXT(tblTransactions[[#This Row],[Date]], "MMM-YYYY")</f>
        <v>Sep-2024</v>
      </c>
      <c r="P2890" t="str">
        <f>"Q"&amp;ROUNDUP(MONTH(tblTransactions[[#This Row],[Date]])/3,0)&amp;"-"&amp;YEAR(tblTransactions[[#This Row],[Date]])</f>
        <v>Q3-2024</v>
      </c>
      <c r="Q2890">
        <f>YEAR(tblTransactions[[#This Row],[Date]])</f>
        <v>2024</v>
      </c>
      <c r="R2890" t="str">
        <f>TEXT(tblTransactions[[#This Row],[Date]],"DDDD")</f>
        <v>Saturday</v>
      </c>
      <c r="S2890">
        <f>MONTH(tblTransactions[[#This Row],[Date]])</f>
        <v>9</v>
      </c>
      <c r="T2890" t="str">
        <f>VLOOKUP(E2890, Products!$A:$B,2,0)</f>
        <v>Laptops Ele-2</v>
      </c>
      <c r="U2890" t="str">
        <f>VLOOKUP(E2890,Products!$A:$C,3,0)</f>
        <v>Electronics</v>
      </c>
      <c r="V2890" t="str">
        <f>VLOOKUP(E2890,Products!$A:$D,4,0)</f>
        <v>Laptops</v>
      </c>
      <c r="W2890" t="str">
        <f>VLOOKUP(D2890,Customers!$A:$C,3,0)</f>
        <v>B2B</v>
      </c>
      <c r="X2890" t="str">
        <f>VLOOKUP(C2890,Sales_Representatives!$A:$B,2,0)</f>
        <v>Linda Smith</v>
      </c>
    </row>
    <row r="2891" spans="1:24" x14ac:dyDescent="0.3">
      <c r="A2891" t="s">
        <v>3954</v>
      </c>
      <c r="B2891" t="s">
        <v>3952</v>
      </c>
      <c r="C2891" t="s">
        <v>19</v>
      </c>
      <c r="D2891" t="s">
        <v>1472</v>
      </c>
      <c r="E2891" t="s">
        <v>15</v>
      </c>
      <c r="F2891">
        <v>17</v>
      </c>
      <c r="G2891">
        <v>477.48</v>
      </c>
      <c r="H2891">
        <v>0.14000000000000001</v>
      </c>
      <c r="I2891" s="4">
        <v>6980.76</v>
      </c>
      <c r="J2891" t="s">
        <v>21</v>
      </c>
      <c r="K2891" t="s">
        <v>22</v>
      </c>
      <c r="L2891" s="4">
        <f>VLOOKUP(tblTransactions[[#This Row],[Product_ID]],tblProducts[],5,FALSE)</f>
        <v>275.51</v>
      </c>
      <c r="M2891" s="4">
        <f>tblTransactions[[#This Row],[Total_Amount]]-(tblTransactions[[#This Row],[Cost_Prices]]*tblTransactions[[#This Row],[Quantity]]*(1-tblTransactions[[#This Row],[Discount]]))</f>
        <v>2952.8038000000001</v>
      </c>
      <c r="N2891" s="3">
        <f>tblTransactions[[#This Row],[Profit]]/tblTransactions[[#This Row],[Total_Amount]]</f>
        <v>0.42299173728934958</v>
      </c>
      <c r="O2891" t="str">
        <f>TEXT(tblTransactions[[#This Row],[Date]], "MMM-YYYY")</f>
        <v>Sep-2024</v>
      </c>
      <c r="P2891" t="str">
        <f>"Q"&amp;ROUNDUP(MONTH(tblTransactions[[#This Row],[Date]])/3,0)&amp;"-"&amp;YEAR(tblTransactions[[#This Row],[Date]])</f>
        <v>Q3-2024</v>
      </c>
      <c r="Q2891">
        <f>YEAR(tblTransactions[[#This Row],[Date]])</f>
        <v>2024</v>
      </c>
      <c r="R2891" t="str">
        <f>TEXT(tblTransactions[[#This Row],[Date]],"DDDD")</f>
        <v>Saturday</v>
      </c>
      <c r="S2891">
        <f>MONTH(tblTransactions[[#This Row],[Date]])</f>
        <v>9</v>
      </c>
      <c r="T2891" t="str">
        <f>VLOOKUP(E2891, Products!$A:$B,2,0)</f>
        <v>Laptops Ele-4</v>
      </c>
      <c r="U2891" t="str">
        <f>VLOOKUP(E2891,Products!$A:$C,3,0)</f>
        <v>Electronics</v>
      </c>
      <c r="V2891" t="str">
        <f>VLOOKUP(E2891,Products!$A:$D,4,0)</f>
        <v>Laptops</v>
      </c>
      <c r="W2891" t="str">
        <f>VLOOKUP(D2891,Customers!$A:$C,3,0)</f>
        <v>B2B</v>
      </c>
      <c r="X2891" t="str">
        <f>VLOOKUP(C2891,Sales_Representatives!$A:$B,2,0)</f>
        <v>Robert Jones</v>
      </c>
    </row>
    <row r="2892" spans="1:24" x14ac:dyDescent="0.3">
      <c r="A2892" t="s">
        <v>3955</v>
      </c>
      <c r="B2892" t="s">
        <v>3952</v>
      </c>
      <c r="C2892" t="s">
        <v>70</v>
      </c>
      <c r="D2892" t="s">
        <v>2201</v>
      </c>
      <c r="E2892" t="s">
        <v>310</v>
      </c>
      <c r="F2892">
        <v>6</v>
      </c>
      <c r="G2892">
        <v>274.13</v>
      </c>
      <c r="H2892">
        <v>0.14000000000000001</v>
      </c>
      <c r="I2892" s="4">
        <v>1414.51</v>
      </c>
      <c r="J2892" t="s">
        <v>16</v>
      </c>
      <c r="K2892" t="s">
        <v>35</v>
      </c>
      <c r="L2892" s="4">
        <f>VLOOKUP(tblTransactions[[#This Row],[Product_ID]],tblProducts[],5,FALSE)</f>
        <v>134.41999999999999</v>
      </c>
      <c r="M2892" s="4">
        <f>tblTransactions[[#This Row],[Total_Amount]]-(tblTransactions[[#This Row],[Cost_Prices]]*tblTransactions[[#This Row],[Quantity]]*(1-tblTransactions[[#This Row],[Discount]]))</f>
        <v>720.90280000000007</v>
      </c>
      <c r="N2892" s="3">
        <f>tblTransactions[[#This Row],[Profit]]/tblTransactions[[#This Row],[Total_Amount]]</f>
        <v>0.5096484294914847</v>
      </c>
      <c r="O2892" t="str">
        <f>TEXT(tblTransactions[[#This Row],[Date]], "MMM-YYYY")</f>
        <v>Sep-2024</v>
      </c>
      <c r="P2892" t="str">
        <f>"Q"&amp;ROUNDUP(MONTH(tblTransactions[[#This Row],[Date]])/3,0)&amp;"-"&amp;YEAR(tblTransactions[[#This Row],[Date]])</f>
        <v>Q3-2024</v>
      </c>
      <c r="Q2892">
        <f>YEAR(tblTransactions[[#This Row],[Date]])</f>
        <v>2024</v>
      </c>
      <c r="R2892" t="str">
        <f>TEXT(tblTransactions[[#This Row],[Date]],"DDDD")</f>
        <v>Saturday</v>
      </c>
      <c r="S2892">
        <f>MONTH(tblTransactions[[#This Row],[Date]])</f>
        <v>9</v>
      </c>
      <c r="T2892" t="str">
        <f>VLOOKUP(E2892, Products!$A:$B,2,0)</f>
        <v>Adapters Acc-4</v>
      </c>
      <c r="U2892" t="str">
        <f>VLOOKUP(E2892,Products!$A:$C,3,0)</f>
        <v>Accessories</v>
      </c>
      <c r="V2892" t="str">
        <f>VLOOKUP(E2892,Products!$A:$D,4,0)</f>
        <v>Adapters</v>
      </c>
      <c r="W2892" t="str">
        <f>VLOOKUP(D2892,Customers!$A:$C,3,0)</f>
        <v>B2C</v>
      </c>
      <c r="X2892" t="str">
        <f>VLOOKUP(C2892,Sales_Representatives!$A:$B,2,0)</f>
        <v>Linda Smith</v>
      </c>
    </row>
    <row r="2893" spans="1:24" x14ac:dyDescent="0.3">
      <c r="A2893" t="s">
        <v>3956</v>
      </c>
      <c r="B2893" t="s">
        <v>3957</v>
      </c>
      <c r="C2893" t="s">
        <v>31</v>
      </c>
      <c r="D2893" t="s">
        <v>112</v>
      </c>
      <c r="E2893" t="s">
        <v>91</v>
      </c>
      <c r="F2893">
        <v>18</v>
      </c>
      <c r="G2893">
        <v>286.62</v>
      </c>
      <c r="H2893">
        <v>0.18</v>
      </c>
      <c r="I2893" s="4">
        <v>4230.51</v>
      </c>
      <c r="J2893" t="s">
        <v>34</v>
      </c>
      <c r="K2893" t="s">
        <v>39</v>
      </c>
      <c r="L2893" s="4">
        <f>VLOOKUP(tblTransactions[[#This Row],[Product_ID]],tblProducts[],5,FALSE)</f>
        <v>145.54</v>
      </c>
      <c r="M2893" s="4">
        <f>tblTransactions[[#This Row],[Total_Amount]]-(tblTransactions[[#This Row],[Cost_Prices]]*tblTransactions[[#This Row],[Quantity]]*(1-tblTransactions[[#This Row],[Discount]]))</f>
        <v>2082.3396000000002</v>
      </c>
      <c r="N2893" s="3">
        <f>tblTransactions[[#This Row],[Profit]]/tblTransactions[[#This Row],[Total_Amount]]</f>
        <v>0.49221951963238481</v>
      </c>
      <c r="O2893" t="str">
        <f>TEXT(tblTransactions[[#This Row],[Date]], "MMM-YYYY")</f>
        <v>Sep-2024</v>
      </c>
      <c r="P2893" t="str">
        <f>"Q"&amp;ROUNDUP(MONTH(tblTransactions[[#This Row],[Date]])/3,0)&amp;"-"&amp;YEAR(tblTransactions[[#This Row],[Date]])</f>
        <v>Q3-2024</v>
      </c>
      <c r="Q2893">
        <f>YEAR(tblTransactions[[#This Row],[Date]])</f>
        <v>2024</v>
      </c>
      <c r="R2893" t="str">
        <f>TEXT(tblTransactions[[#This Row],[Date]],"DDDD")</f>
        <v>Sunday</v>
      </c>
      <c r="S2893">
        <f>MONTH(tblTransactions[[#This Row],[Date]])</f>
        <v>9</v>
      </c>
      <c r="T2893" t="str">
        <f>VLOOKUP(E2893, Products!$A:$B,2,0)</f>
        <v>Chairs Fur-1</v>
      </c>
      <c r="U2893" t="str">
        <f>VLOOKUP(E2893,Products!$A:$C,3,0)</f>
        <v>Furniture</v>
      </c>
      <c r="V2893" t="str">
        <f>VLOOKUP(E2893,Products!$A:$D,4,0)</f>
        <v>Chairs</v>
      </c>
      <c r="W2893" t="str">
        <f>VLOOKUP(D2893,Customers!$A:$C,3,0)</f>
        <v>Enterprise</v>
      </c>
      <c r="X2893" t="str">
        <f>VLOOKUP(C2893,Sales_Representatives!$A:$B,2,0)</f>
        <v>Thomas Martinez</v>
      </c>
    </row>
    <row r="2894" spans="1:24" x14ac:dyDescent="0.3">
      <c r="A2894" t="s">
        <v>3958</v>
      </c>
      <c r="B2894" t="s">
        <v>3957</v>
      </c>
      <c r="C2894" t="s">
        <v>63</v>
      </c>
      <c r="D2894" t="s">
        <v>1719</v>
      </c>
      <c r="E2894" t="s">
        <v>198</v>
      </c>
      <c r="F2894">
        <v>17</v>
      </c>
      <c r="G2894">
        <v>1802.96</v>
      </c>
      <c r="H2894">
        <v>0.11</v>
      </c>
      <c r="I2894" s="4">
        <v>27278.78</v>
      </c>
      <c r="J2894" t="s">
        <v>21</v>
      </c>
      <c r="K2894" t="s">
        <v>22</v>
      </c>
      <c r="L2894" s="4">
        <f>VLOOKUP(tblTransactions[[#This Row],[Product_ID]],tblProducts[],5,FALSE)</f>
        <v>1282.18</v>
      </c>
      <c r="M2894" s="4">
        <f>tblTransactions[[#This Row],[Total_Amount]]-(tblTransactions[[#This Row],[Cost_Prices]]*tblTransactions[[#This Row],[Quantity]]*(1-tblTransactions[[#This Row],[Discount]]))</f>
        <v>7879.3965999999964</v>
      </c>
      <c r="N2894" s="3">
        <f>tblTransactions[[#This Row],[Profit]]/tblTransactions[[#This Row],[Total_Amount]]</f>
        <v>0.28884710386608187</v>
      </c>
      <c r="O2894" t="str">
        <f>TEXT(tblTransactions[[#This Row],[Date]], "MMM-YYYY")</f>
        <v>Sep-2024</v>
      </c>
      <c r="P2894" t="str">
        <f>"Q"&amp;ROUNDUP(MONTH(tblTransactions[[#This Row],[Date]])/3,0)&amp;"-"&amp;YEAR(tblTransactions[[#This Row],[Date]])</f>
        <v>Q3-2024</v>
      </c>
      <c r="Q2894">
        <f>YEAR(tblTransactions[[#This Row],[Date]])</f>
        <v>2024</v>
      </c>
      <c r="R2894" t="str">
        <f>TEXT(tblTransactions[[#This Row],[Date]],"DDDD")</f>
        <v>Sunday</v>
      </c>
      <c r="S2894">
        <f>MONTH(tblTransactions[[#This Row],[Date]])</f>
        <v>9</v>
      </c>
      <c r="T2894" t="str">
        <f>VLOOKUP(E2894, Products!$A:$B,2,0)</f>
        <v>Tablets Ele-3</v>
      </c>
      <c r="U2894" t="str">
        <f>VLOOKUP(E2894,Products!$A:$C,3,0)</f>
        <v>Electronics</v>
      </c>
      <c r="V2894" t="str">
        <f>VLOOKUP(E2894,Products!$A:$D,4,0)</f>
        <v>Tablets</v>
      </c>
      <c r="W2894" t="str">
        <f>VLOOKUP(D2894,Customers!$A:$C,3,0)</f>
        <v>B2B</v>
      </c>
      <c r="X2894" t="str">
        <f>VLOOKUP(C2894,Sales_Representatives!$A:$B,2,0)</f>
        <v>Richard Wilson</v>
      </c>
    </row>
    <row r="2895" spans="1:24" x14ac:dyDescent="0.3">
      <c r="A2895" t="s">
        <v>3959</v>
      </c>
      <c r="B2895" t="s">
        <v>3957</v>
      </c>
      <c r="C2895" t="s">
        <v>141</v>
      </c>
      <c r="D2895" t="s">
        <v>2262</v>
      </c>
      <c r="E2895" t="s">
        <v>79</v>
      </c>
      <c r="F2895">
        <v>8</v>
      </c>
      <c r="G2895">
        <v>1452.36</v>
      </c>
      <c r="H2895">
        <v>0.13</v>
      </c>
      <c r="I2895" s="4">
        <v>10108.43</v>
      </c>
      <c r="J2895" t="s">
        <v>109</v>
      </c>
      <c r="K2895" t="s">
        <v>39</v>
      </c>
      <c r="L2895" s="4">
        <f>VLOOKUP(tblTransactions[[#This Row],[Product_ID]],tblProducts[],5,FALSE)</f>
        <v>778.71</v>
      </c>
      <c r="M2895" s="4">
        <f>tblTransactions[[#This Row],[Total_Amount]]-(tblTransactions[[#This Row],[Cost_Prices]]*tblTransactions[[#This Row],[Quantity]]*(1-tblTransactions[[#This Row],[Discount]]))</f>
        <v>4688.6084000000001</v>
      </c>
      <c r="N2895" s="3">
        <f>tblTransactions[[#This Row],[Profit]]/tblTransactions[[#This Row],[Total_Amount]]</f>
        <v>0.46383151488411156</v>
      </c>
      <c r="O2895" t="str">
        <f>TEXT(tblTransactions[[#This Row],[Date]], "MMM-YYYY")</f>
        <v>Sep-2024</v>
      </c>
      <c r="P2895" t="str">
        <f>"Q"&amp;ROUNDUP(MONTH(tblTransactions[[#This Row],[Date]])/3,0)&amp;"-"&amp;YEAR(tblTransactions[[#This Row],[Date]])</f>
        <v>Q3-2024</v>
      </c>
      <c r="Q2895">
        <f>YEAR(tblTransactions[[#This Row],[Date]])</f>
        <v>2024</v>
      </c>
      <c r="R2895" t="str">
        <f>TEXT(tblTransactions[[#This Row],[Date]],"DDDD")</f>
        <v>Sunday</v>
      </c>
      <c r="S2895">
        <f>MONTH(tblTransactions[[#This Row],[Date]])</f>
        <v>9</v>
      </c>
      <c r="T2895" t="str">
        <f>VLOOKUP(E2895, Products!$A:$B,2,0)</f>
        <v>Tables Fur-2</v>
      </c>
      <c r="U2895" t="str">
        <f>VLOOKUP(E2895,Products!$A:$C,3,0)</f>
        <v>Furniture</v>
      </c>
      <c r="V2895" t="str">
        <f>VLOOKUP(E2895,Products!$A:$D,4,0)</f>
        <v>Tables</v>
      </c>
      <c r="W2895" t="str">
        <f>VLOOKUP(D2895,Customers!$A:$C,3,0)</f>
        <v>B2B</v>
      </c>
      <c r="X2895" t="str">
        <f>VLOOKUP(C2895,Sales_Representatives!$A:$B,2,0)</f>
        <v>Richard Garcia</v>
      </c>
    </row>
    <row r="2896" spans="1:24" x14ac:dyDescent="0.3">
      <c r="A2896" t="s">
        <v>3960</v>
      </c>
      <c r="B2896" t="s">
        <v>3961</v>
      </c>
      <c r="C2896" t="s">
        <v>127</v>
      </c>
      <c r="D2896" t="s">
        <v>1722</v>
      </c>
      <c r="E2896" t="s">
        <v>217</v>
      </c>
      <c r="F2896">
        <v>3</v>
      </c>
      <c r="G2896">
        <v>145.51</v>
      </c>
      <c r="H2896">
        <v>7.0000000000000007E-2</v>
      </c>
      <c r="I2896" s="4">
        <v>405.97</v>
      </c>
      <c r="J2896" t="s">
        <v>109</v>
      </c>
      <c r="K2896" t="s">
        <v>35</v>
      </c>
      <c r="L2896" s="4">
        <f>VLOOKUP(tblTransactions[[#This Row],[Product_ID]],tblProducts[],5,FALSE)</f>
        <v>64.510000000000005</v>
      </c>
      <c r="M2896" s="4">
        <f>tblTransactions[[#This Row],[Total_Amount]]-(tblTransactions[[#This Row],[Cost_Prices]]*tblTransactions[[#This Row],[Quantity]]*(1-tblTransactions[[#This Row],[Discount]]))</f>
        <v>225.9871</v>
      </c>
      <c r="N2896" s="3">
        <f>tblTransactions[[#This Row],[Profit]]/tblTransactions[[#This Row],[Total_Amount]]</f>
        <v>0.55665960538956072</v>
      </c>
      <c r="O2896" t="str">
        <f>TEXT(tblTransactions[[#This Row],[Date]], "MMM-YYYY")</f>
        <v>Sep-2024</v>
      </c>
      <c r="P2896" t="str">
        <f>"Q"&amp;ROUNDUP(MONTH(tblTransactions[[#This Row],[Date]])/3,0)&amp;"-"&amp;YEAR(tblTransactions[[#This Row],[Date]])</f>
        <v>Q3-2024</v>
      </c>
      <c r="Q2896">
        <f>YEAR(tblTransactions[[#This Row],[Date]])</f>
        <v>2024</v>
      </c>
      <c r="R2896" t="str">
        <f>TEXT(tblTransactions[[#This Row],[Date]],"DDDD")</f>
        <v>Monday</v>
      </c>
      <c r="S2896">
        <f>MONTH(tblTransactions[[#This Row],[Date]])</f>
        <v>9</v>
      </c>
      <c r="T2896" t="str">
        <f>VLOOKUP(E2896, Products!$A:$B,2,0)</f>
        <v>Cables Acc-2</v>
      </c>
      <c r="U2896" t="str">
        <f>VLOOKUP(E2896,Products!$A:$C,3,0)</f>
        <v>Accessories</v>
      </c>
      <c r="V2896" t="str">
        <f>VLOOKUP(E2896,Products!$A:$D,4,0)</f>
        <v>Cables</v>
      </c>
      <c r="W2896" t="str">
        <f>VLOOKUP(D2896,Customers!$A:$C,3,0)</f>
        <v>B2C</v>
      </c>
      <c r="X2896" t="str">
        <f>VLOOKUP(C2896,Sales_Representatives!$A:$B,2,0)</f>
        <v>Emily Hernandez</v>
      </c>
    </row>
    <row r="2897" spans="1:24" x14ac:dyDescent="0.3">
      <c r="A2897" t="s">
        <v>3962</v>
      </c>
      <c r="B2897" t="s">
        <v>3961</v>
      </c>
      <c r="C2897" t="s">
        <v>107</v>
      </c>
      <c r="D2897" t="s">
        <v>2000</v>
      </c>
      <c r="E2897" t="s">
        <v>200</v>
      </c>
      <c r="F2897">
        <v>19</v>
      </c>
      <c r="G2897">
        <v>544.77</v>
      </c>
      <c r="H2897">
        <v>0.19</v>
      </c>
      <c r="I2897" s="4">
        <v>8384.01</v>
      </c>
      <c r="J2897" t="s">
        <v>109</v>
      </c>
      <c r="K2897" t="s">
        <v>39</v>
      </c>
      <c r="L2897" s="4">
        <f>VLOOKUP(tblTransactions[[#This Row],[Product_ID]],tblProducts[],5,FALSE)</f>
        <v>318.2</v>
      </c>
      <c r="M2897" s="4">
        <f>tblTransactions[[#This Row],[Total_Amount]]-(tblTransactions[[#This Row],[Cost_Prices]]*tblTransactions[[#This Row],[Quantity]]*(1-tblTransactions[[#This Row],[Discount]]))</f>
        <v>3486.9119999999994</v>
      </c>
      <c r="N2897" s="3">
        <f>tblTransactions[[#This Row],[Profit]]/tblTransactions[[#This Row],[Total_Amount]]</f>
        <v>0.41590026729452845</v>
      </c>
      <c r="O2897" t="str">
        <f>TEXT(tblTransactions[[#This Row],[Date]], "MMM-YYYY")</f>
        <v>Sep-2024</v>
      </c>
      <c r="P2897" t="str">
        <f>"Q"&amp;ROUNDUP(MONTH(tblTransactions[[#This Row],[Date]])/3,0)&amp;"-"&amp;YEAR(tblTransactions[[#This Row],[Date]])</f>
        <v>Q3-2024</v>
      </c>
      <c r="Q2897">
        <f>YEAR(tblTransactions[[#This Row],[Date]])</f>
        <v>2024</v>
      </c>
      <c r="R2897" t="str">
        <f>TEXT(tblTransactions[[#This Row],[Date]],"DDDD")</f>
        <v>Monday</v>
      </c>
      <c r="S2897">
        <f>MONTH(tblTransactions[[#This Row],[Date]])</f>
        <v>9</v>
      </c>
      <c r="T2897" t="str">
        <f>VLOOKUP(E2897, Products!$A:$B,2,0)</f>
        <v>Desks Fur-4</v>
      </c>
      <c r="U2897" t="str">
        <f>VLOOKUP(E2897,Products!$A:$C,3,0)</f>
        <v>Furniture</v>
      </c>
      <c r="V2897" t="str">
        <f>VLOOKUP(E2897,Products!$A:$D,4,0)</f>
        <v>Desks</v>
      </c>
      <c r="W2897" t="str">
        <f>VLOOKUP(D2897,Customers!$A:$C,3,0)</f>
        <v>B2B</v>
      </c>
      <c r="X2897" t="str">
        <f>VLOOKUP(C2897,Sales_Representatives!$A:$B,2,0)</f>
        <v>Jennifer Brown</v>
      </c>
    </row>
    <row r="2898" spans="1:24" x14ac:dyDescent="0.3">
      <c r="A2898" t="s">
        <v>3963</v>
      </c>
      <c r="B2898" t="s">
        <v>3961</v>
      </c>
      <c r="C2898" t="s">
        <v>31</v>
      </c>
      <c r="D2898" t="s">
        <v>1749</v>
      </c>
      <c r="E2898" t="s">
        <v>255</v>
      </c>
      <c r="F2898">
        <v>15</v>
      </c>
      <c r="G2898">
        <v>1444.13</v>
      </c>
      <c r="H2898">
        <v>0.16</v>
      </c>
      <c r="I2898" s="4">
        <v>18196.04</v>
      </c>
      <c r="J2898" t="s">
        <v>34</v>
      </c>
      <c r="K2898" t="s">
        <v>39</v>
      </c>
      <c r="L2898" s="4">
        <f>VLOOKUP(tblTransactions[[#This Row],[Product_ID]],tblProducts[],5,FALSE)</f>
        <v>874.43</v>
      </c>
      <c r="M2898" s="4">
        <f>tblTransactions[[#This Row],[Total_Amount]]-(tblTransactions[[#This Row],[Cost_Prices]]*tblTransactions[[#This Row],[Quantity]]*(1-tblTransactions[[#This Row],[Discount]]))</f>
        <v>7178.2220000000016</v>
      </c>
      <c r="N2898" s="3">
        <f>tblTransactions[[#This Row],[Profit]]/tblTransactions[[#This Row],[Total_Amount]]</f>
        <v>0.39449363707707835</v>
      </c>
      <c r="O2898" t="str">
        <f>TEXT(tblTransactions[[#This Row],[Date]], "MMM-YYYY")</f>
        <v>Sep-2024</v>
      </c>
      <c r="P2898" t="str">
        <f>"Q"&amp;ROUNDUP(MONTH(tblTransactions[[#This Row],[Date]])/3,0)&amp;"-"&amp;YEAR(tblTransactions[[#This Row],[Date]])</f>
        <v>Q3-2024</v>
      </c>
      <c r="Q2898">
        <f>YEAR(tblTransactions[[#This Row],[Date]])</f>
        <v>2024</v>
      </c>
      <c r="R2898" t="str">
        <f>TEXT(tblTransactions[[#This Row],[Date]],"DDDD")</f>
        <v>Monday</v>
      </c>
      <c r="S2898">
        <f>MONTH(tblTransactions[[#This Row],[Date]])</f>
        <v>9</v>
      </c>
      <c r="T2898" t="str">
        <f>VLOOKUP(E2898, Products!$A:$B,2,0)</f>
        <v>Printers Tec-1</v>
      </c>
      <c r="U2898" t="str">
        <f>VLOOKUP(E2898,Products!$A:$C,3,0)</f>
        <v>Technology</v>
      </c>
      <c r="V2898" t="str">
        <f>VLOOKUP(E2898,Products!$A:$D,4,0)</f>
        <v>Printers</v>
      </c>
      <c r="W2898" t="str">
        <f>VLOOKUP(D2898,Customers!$A:$C,3,0)</f>
        <v>B2B</v>
      </c>
      <c r="X2898" t="str">
        <f>VLOOKUP(C2898,Sales_Representatives!$A:$B,2,0)</f>
        <v>Thomas Martinez</v>
      </c>
    </row>
    <row r="2899" spans="1:24" x14ac:dyDescent="0.3">
      <c r="A2899" t="s">
        <v>3964</v>
      </c>
      <c r="B2899" t="s">
        <v>3961</v>
      </c>
      <c r="C2899" t="s">
        <v>70</v>
      </c>
      <c r="D2899" t="s">
        <v>1969</v>
      </c>
      <c r="E2899" t="s">
        <v>25</v>
      </c>
      <c r="F2899">
        <v>10</v>
      </c>
      <c r="G2899">
        <v>1467.49</v>
      </c>
      <c r="H2899">
        <v>0.08</v>
      </c>
      <c r="I2899" s="4">
        <v>13500.91</v>
      </c>
      <c r="J2899" t="s">
        <v>16</v>
      </c>
      <c r="K2899" t="s">
        <v>35</v>
      </c>
      <c r="L2899" s="4">
        <f>VLOOKUP(tblTransactions[[#This Row],[Product_ID]],tblProducts[],5,FALSE)</f>
        <v>757.65</v>
      </c>
      <c r="M2899" s="4">
        <f>tblTransactions[[#This Row],[Total_Amount]]-(tblTransactions[[#This Row],[Cost_Prices]]*tblTransactions[[#This Row],[Quantity]]*(1-tblTransactions[[#This Row],[Discount]]))</f>
        <v>6530.53</v>
      </c>
      <c r="N2899" s="3">
        <f>tblTransactions[[#This Row],[Profit]]/tblTransactions[[#This Row],[Total_Amount]]</f>
        <v>0.48371035730184114</v>
      </c>
      <c r="O2899" t="str">
        <f>TEXT(tblTransactions[[#This Row],[Date]], "MMM-YYYY")</f>
        <v>Sep-2024</v>
      </c>
      <c r="P2899" t="str">
        <f>"Q"&amp;ROUNDUP(MONTH(tblTransactions[[#This Row],[Date]])/3,0)&amp;"-"&amp;YEAR(tblTransactions[[#This Row],[Date]])</f>
        <v>Q3-2024</v>
      </c>
      <c r="Q2899">
        <f>YEAR(tblTransactions[[#This Row],[Date]])</f>
        <v>2024</v>
      </c>
      <c r="R2899" t="str">
        <f>TEXT(tblTransactions[[#This Row],[Date]],"DDDD")</f>
        <v>Monday</v>
      </c>
      <c r="S2899">
        <f>MONTH(tblTransactions[[#This Row],[Date]])</f>
        <v>9</v>
      </c>
      <c r="T2899" t="str">
        <f>VLOOKUP(E2899, Products!$A:$B,2,0)</f>
        <v>Tables Fur-3</v>
      </c>
      <c r="U2899" t="str">
        <f>VLOOKUP(E2899,Products!$A:$C,3,0)</f>
        <v>Furniture</v>
      </c>
      <c r="V2899" t="str">
        <f>VLOOKUP(E2899,Products!$A:$D,4,0)</f>
        <v>Tables</v>
      </c>
      <c r="W2899" t="str">
        <f>VLOOKUP(D2899,Customers!$A:$C,3,0)</f>
        <v>Enterprise</v>
      </c>
      <c r="X2899" t="str">
        <f>VLOOKUP(C2899,Sales_Representatives!$A:$B,2,0)</f>
        <v>Linda Smith</v>
      </c>
    </row>
    <row r="2900" spans="1:24" x14ac:dyDescent="0.3">
      <c r="A2900" t="s">
        <v>3965</v>
      </c>
      <c r="B2900" t="s">
        <v>3961</v>
      </c>
      <c r="C2900" t="s">
        <v>70</v>
      </c>
      <c r="D2900" t="s">
        <v>1852</v>
      </c>
      <c r="E2900" t="s">
        <v>243</v>
      </c>
      <c r="F2900">
        <v>3</v>
      </c>
      <c r="G2900">
        <v>384.18</v>
      </c>
      <c r="H2900">
        <v>0.01</v>
      </c>
      <c r="I2900" s="4">
        <v>1141.01</v>
      </c>
      <c r="J2900" t="s">
        <v>16</v>
      </c>
      <c r="K2900" t="s">
        <v>22</v>
      </c>
      <c r="L2900" s="4">
        <f>VLOOKUP(tblTransactions[[#This Row],[Product_ID]],tblProducts[],5,FALSE)</f>
        <v>266.92</v>
      </c>
      <c r="M2900" s="4">
        <f>tblTransactions[[#This Row],[Total_Amount]]-(tblTransactions[[#This Row],[Cost_Prices]]*tblTransactions[[#This Row],[Quantity]]*(1-tblTransactions[[#This Row],[Discount]]))</f>
        <v>348.25760000000002</v>
      </c>
      <c r="N2900" s="3">
        <f>tblTransactions[[#This Row],[Profit]]/tblTransactions[[#This Row],[Total_Amount]]</f>
        <v>0.30521870973961668</v>
      </c>
      <c r="O2900" t="str">
        <f>TEXT(tblTransactions[[#This Row],[Date]], "MMM-YYYY")</f>
        <v>Sep-2024</v>
      </c>
      <c r="P2900" t="str">
        <f>"Q"&amp;ROUNDUP(MONTH(tblTransactions[[#This Row],[Date]])/3,0)&amp;"-"&amp;YEAR(tblTransactions[[#This Row],[Date]])</f>
        <v>Q3-2024</v>
      </c>
      <c r="Q2900">
        <f>YEAR(tblTransactions[[#This Row],[Date]])</f>
        <v>2024</v>
      </c>
      <c r="R2900" t="str">
        <f>TEXT(tblTransactions[[#This Row],[Date]],"DDDD")</f>
        <v>Monday</v>
      </c>
      <c r="S2900">
        <f>MONTH(tblTransactions[[#This Row],[Date]])</f>
        <v>9</v>
      </c>
      <c r="T2900" t="str">
        <f>VLOOKUP(E2900, Products!$A:$B,2,0)</f>
        <v>Routers Tec-3</v>
      </c>
      <c r="U2900" t="str">
        <f>VLOOKUP(E2900,Products!$A:$C,3,0)</f>
        <v>Technology</v>
      </c>
      <c r="V2900" t="str">
        <f>VLOOKUP(E2900,Products!$A:$D,4,0)</f>
        <v>Routers</v>
      </c>
      <c r="W2900" t="str">
        <f>VLOOKUP(D2900,Customers!$A:$C,3,0)</f>
        <v>B2B</v>
      </c>
      <c r="X2900" t="str">
        <f>VLOOKUP(C2900,Sales_Representatives!$A:$B,2,0)</f>
        <v>Linda Smith</v>
      </c>
    </row>
    <row r="2901" spans="1:24" x14ac:dyDescent="0.3">
      <c r="A2901" t="s">
        <v>3966</v>
      </c>
      <c r="B2901" t="s">
        <v>3967</v>
      </c>
      <c r="C2901" t="s">
        <v>31</v>
      </c>
      <c r="D2901" t="s">
        <v>247</v>
      </c>
      <c r="E2901" t="s">
        <v>224</v>
      </c>
      <c r="F2901">
        <v>2</v>
      </c>
      <c r="G2901">
        <v>505.37</v>
      </c>
      <c r="H2901">
        <v>0.03</v>
      </c>
      <c r="I2901" s="4">
        <v>980.42</v>
      </c>
      <c r="J2901" t="s">
        <v>34</v>
      </c>
      <c r="K2901" t="s">
        <v>39</v>
      </c>
      <c r="L2901" s="4">
        <f>VLOOKUP(tblTransactions[[#This Row],[Product_ID]],tblProducts[],5,FALSE)</f>
        <v>281.14999999999998</v>
      </c>
      <c r="M2901" s="4">
        <f>tblTransactions[[#This Row],[Total_Amount]]-(tblTransactions[[#This Row],[Cost_Prices]]*tblTransactions[[#This Row],[Quantity]]*(1-tblTransactions[[#This Row],[Discount]]))</f>
        <v>434.98900000000003</v>
      </c>
      <c r="N2901" s="3">
        <f>tblTransactions[[#This Row],[Profit]]/tblTransactions[[#This Row],[Total_Amount]]</f>
        <v>0.44367617959649952</v>
      </c>
      <c r="O2901" t="str">
        <f>TEXT(tblTransactions[[#This Row],[Date]], "MMM-YYYY")</f>
        <v>Sep-2024</v>
      </c>
      <c r="P2901" t="str">
        <f>"Q"&amp;ROUNDUP(MONTH(tblTransactions[[#This Row],[Date]])/3,0)&amp;"-"&amp;YEAR(tblTransactions[[#This Row],[Date]])</f>
        <v>Q3-2024</v>
      </c>
      <c r="Q2901">
        <f>YEAR(tblTransactions[[#This Row],[Date]])</f>
        <v>2024</v>
      </c>
      <c r="R2901" t="str">
        <f>TEXT(tblTransactions[[#This Row],[Date]],"DDDD")</f>
        <v>Tuesday</v>
      </c>
      <c r="S2901">
        <f>MONTH(tblTransactions[[#This Row],[Date]])</f>
        <v>9</v>
      </c>
      <c r="T2901" t="str">
        <f>VLOOKUP(E2901, Products!$A:$B,2,0)</f>
        <v>Desks Fur-3</v>
      </c>
      <c r="U2901" t="str">
        <f>VLOOKUP(E2901,Products!$A:$C,3,0)</f>
        <v>Furniture</v>
      </c>
      <c r="V2901" t="str">
        <f>VLOOKUP(E2901,Products!$A:$D,4,0)</f>
        <v>Desks</v>
      </c>
      <c r="W2901" t="str">
        <f>VLOOKUP(D2901,Customers!$A:$C,3,0)</f>
        <v>B2C</v>
      </c>
      <c r="X2901" t="str">
        <f>VLOOKUP(C2901,Sales_Representatives!$A:$B,2,0)</f>
        <v>Thomas Martinez</v>
      </c>
    </row>
    <row r="2902" spans="1:24" x14ac:dyDescent="0.3">
      <c r="A2902" t="s">
        <v>3968</v>
      </c>
      <c r="B2902" t="s">
        <v>3967</v>
      </c>
      <c r="C2902" t="s">
        <v>63</v>
      </c>
      <c r="D2902" t="s">
        <v>2074</v>
      </c>
      <c r="E2902" t="s">
        <v>304</v>
      </c>
      <c r="F2902">
        <v>3</v>
      </c>
      <c r="G2902">
        <v>13.43</v>
      </c>
      <c r="H2902">
        <v>0.02</v>
      </c>
      <c r="I2902" s="4">
        <v>39.479999999999997</v>
      </c>
      <c r="J2902" t="s">
        <v>21</v>
      </c>
      <c r="K2902" t="s">
        <v>35</v>
      </c>
      <c r="L2902" s="4">
        <f>VLOOKUP(tblTransactions[[#This Row],[Product_ID]],tblProducts[],5,FALSE)</f>
        <v>5.8</v>
      </c>
      <c r="M2902" s="4">
        <f>tblTransactions[[#This Row],[Total_Amount]]-(tblTransactions[[#This Row],[Cost_Prices]]*tblTransactions[[#This Row],[Quantity]]*(1-tblTransactions[[#This Row],[Discount]]))</f>
        <v>22.427999999999997</v>
      </c>
      <c r="N2902" s="3">
        <f>tblTransactions[[#This Row],[Profit]]/tblTransactions[[#This Row],[Total_Amount]]</f>
        <v>0.56808510638297871</v>
      </c>
      <c r="O2902" t="str">
        <f>TEXT(tblTransactions[[#This Row],[Date]], "MMM-YYYY")</f>
        <v>Sep-2024</v>
      </c>
      <c r="P2902" t="str">
        <f>"Q"&amp;ROUNDUP(MONTH(tblTransactions[[#This Row],[Date]])/3,0)&amp;"-"&amp;YEAR(tblTransactions[[#This Row],[Date]])</f>
        <v>Q3-2024</v>
      </c>
      <c r="Q2902">
        <f>YEAR(tblTransactions[[#This Row],[Date]])</f>
        <v>2024</v>
      </c>
      <c r="R2902" t="str">
        <f>TEXT(tblTransactions[[#This Row],[Date]],"DDDD")</f>
        <v>Tuesday</v>
      </c>
      <c r="S2902">
        <f>MONTH(tblTransactions[[#This Row],[Date]])</f>
        <v>9</v>
      </c>
      <c r="T2902" t="str">
        <f>VLOOKUP(E2902, Products!$A:$B,2,0)</f>
        <v>Pens Off-1</v>
      </c>
      <c r="U2902" t="str">
        <f>VLOOKUP(E2902,Products!$A:$C,3,0)</f>
        <v>Office Supplies</v>
      </c>
      <c r="V2902" t="str">
        <f>VLOOKUP(E2902,Products!$A:$D,4,0)</f>
        <v>Pens</v>
      </c>
      <c r="W2902" t="str">
        <f>VLOOKUP(D2902,Customers!$A:$C,3,0)</f>
        <v>B2C</v>
      </c>
      <c r="X2902" t="str">
        <f>VLOOKUP(C2902,Sales_Representatives!$A:$B,2,0)</f>
        <v>Richard Wilson</v>
      </c>
    </row>
    <row r="2903" spans="1:24" x14ac:dyDescent="0.3">
      <c r="A2903" t="s">
        <v>3969</v>
      </c>
      <c r="B2903" t="s">
        <v>3967</v>
      </c>
      <c r="C2903" t="s">
        <v>75</v>
      </c>
      <c r="D2903" t="s">
        <v>1478</v>
      </c>
      <c r="E2903" t="s">
        <v>105</v>
      </c>
      <c r="F2903">
        <v>3</v>
      </c>
      <c r="G2903">
        <v>1342.04</v>
      </c>
      <c r="H2903">
        <v>0.06</v>
      </c>
      <c r="I2903" s="4">
        <v>3784.55</v>
      </c>
      <c r="J2903" t="s">
        <v>44</v>
      </c>
      <c r="K2903" t="s">
        <v>48</v>
      </c>
      <c r="L2903" s="4">
        <f>VLOOKUP(tblTransactions[[#This Row],[Product_ID]],tblProducts[],5,FALSE)</f>
        <v>792.89</v>
      </c>
      <c r="M2903" s="4">
        <f>tblTransactions[[#This Row],[Total_Amount]]-(tblTransactions[[#This Row],[Cost_Prices]]*tblTransactions[[#This Row],[Quantity]]*(1-tblTransactions[[#This Row],[Discount]]))</f>
        <v>1548.6002000000003</v>
      </c>
      <c r="N2903" s="3">
        <f>tblTransactions[[#This Row],[Profit]]/tblTransactions[[#This Row],[Total_Amount]]</f>
        <v>0.4091900490150745</v>
      </c>
      <c r="O2903" t="str">
        <f>TEXT(tblTransactions[[#This Row],[Date]], "MMM-YYYY")</f>
        <v>Sep-2024</v>
      </c>
      <c r="P2903" t="str">
        <f>"Q"&amp;ROUNDUP(MONTH(tblTransactions[[#This Row],[Date]])/3,0)&amp;"-"&amp;YEAR(tblTransactions[[#This Row],[Date]])</f>
        <v>Q3-2024</v>
      </c>
      <c r="Q2903">
        <f>YEAR(tblTransactions[[#This Row],[Date]])</f>
        <v>2024</v>
      </c>
      <c r="R2903" t="str">
        <f>TEXT(tblTransactions[[#This Row],[Date]],"DDDD")</f>
        <v>Tuesday</v>
      </c>
      <c r="S2903">
        <f>MONTH(tblTransactions[[#This Row],[Date]])</f>
        <v>9</v>
      </c>
      <c r="T2903" t="str">
        <f>VLOOKUP(E2903, Products!$A:$B,2,0)</f>
        <v>Cameras Ele-1</v>
      </c>
      <c r="U2903" t="str">
        <f>VLOOKUP(E2903,Products!$A:$C,3,0)</f>
        <v>Electronics</v>
      </c>
      <c r="V2903" t="str">
        <f>VLOOKUP(E2903,Products!$A:$D,4,0)</f>
        <v>Cameras</v>
      </c>
      <c r="W2903" t="str">
        <f>VLOOKUP(D2903,Customers!$A:$C,3,0)</f>
        <v>Small Business</v>
      </c>
      <c r="X2903" t="str">
        <f>VLOOKUP(C2903,Sales_Representatives!$A:$B,2,0)</f>
        <v>Jessica Anderson</v>
      </c>
    </row>
    <row r="2904" spans="1:24" x14ac:dyDescent="0.3">
      <c r="A2904" t="s">
        <v>3970</v>
      </c>
      <c r="B2904" t="s">
        <v>3967</v>
      </c>
      <c r="C2904" t="s">
        <v>70</v>
      </c>
      <c r="D2904" t="s">
        <v>1608</v>
      </c>
      <c r="E2904" t="s">
        <v>508</v>
      </c>
      <c r="F2904">
        <v>4</v>
      </c>
      <c r="G2904">
        <v>237.69</v>
      </c>
      <c r="H2904">
        <v>0.01</v>
      </c>
      <c r="I2904" s="4">
        <v>941.25</v>
      </c>
      <c r="J2904" t="s">
        <v>16</v>
      </c>
      <c r="K2904" t="s">
        <v>17</v>
      </c>
      <c r="L2904" s="4">
        <f>VLOOKUP(tblTransactions[[#This Row],[Product_ID]],tblProducts[],5,FALSE)</f>
        <v>115.31</v>
      </c>
      <c r="M2904" s="4">
        <f>tblTransactions[[#This Row],[Total_Amount]]-(tblTransactions[[#This Row],[Cost_Prices]]*tblTransactions[[#This Row],[Quantity]]*(1-tblTransactions[[#This Row],[Discount]]))</f>
        <v>484.62239999999997</v>
      </c>
      <c r="N2904" s="3">
        <f>tblTransactions[[#This Row],[Profit]]/tblTransactions[[#This Row],[Total_Amount]]</f>
        <v>0.51487107569721113</v>
      </c>
      <c r="O2904" t="str">
        <f>TEXT(tblTransactions[[#This Row],[Date]], "MMM-YYYY")</f>
        <v>Sep-2024</v>
      </c>
      <c r="P2904" t="str">
        <f>"Q"&amp;ROUNDUP(MONTH(tblTransactions[[#This Row],[Date]])/3,0)&amp;"-"&amp;YEAR(tblTransactions[[#This Row],[Date]])</f>
        <v>Q3-2024</v>
      </c>
      <c r="Q2904">
        <f>YEAR(tblTransactions[[#This Row],[Date]])</f>
        <v>2024</v>
      </c>
      <c r="R2904" t="str">
        <f>TEXT(tblTransactions[[#This Row],[Date]],"DDDD")</f>
        <v>Tuesday</v>
      </c>
      <c r="S2904">
        <f>MONTH(tblTransactions[[#This Row],[Date]])</f>
        <v>9</v>
      </c>
      <c r="T2904" t="str">
        <f>VLOOKUP(E2904, Products!$A:$B,2,0)</f>
        <v>Folders Off-3</v>
      </c>
      <c r="U2904" t="str">
        <f>VLOOKUP(E2904,Products!$A:$C,3,0)</f>
        <v>Office Supplies</v>
      </c>
      <c r="V2904" t="str">
        <f>VLOOKUP(E2904,Products!$A:$D,4,0)</f>
        <v>Folders</v>
      </c>
      <c r="W2904" t="str">
        <f>VLOOKUP(D2904,Customers!$A:$C,3,0)</f>
        <v>B2C</v>
      </c>
      <c r="X2904" t="str">
        <f>VLOOKUP(C2904,Sales_Representatives!$A:$B,2,0)</f>
        <v>Linda Smith</v>
      </c>
    </row>
    <row r="2905" spans="1:24" x14ac:dyDescent="0.3">
      <c r="A2905" t="s">
        <v>3971</v>
      </c>
      <c r="B2905" t="s">
        <v>3967</v>
      </c>
      <c r="C2905" t="s">
        <v>127</v>
      </c>
      <c r="D2905" t="s">
        <v>1666</v>
      </c>
      <c r="E2905" t="s">
        <v>129</v>
      </c>
      <c r="F2905">
        <v>6</v>
      </c>
      <c r="G2905">
        <v>1283.71</v>
      </c>
      <c r="H2905">
        <v>0.13</v>
      </c>
      <c r="I2905" s="4">
        <v>6700.97</v>
      </c>
      <c r="J2905" t="s">
        <v>109</v>
      </c>
      <c r="K2905" t="s">
        <v>17</v>
      </c>
      <c r="L2905" s="4">
        <f>VLOOKUP(tblTransactions[[#This Row],[Product_ID]],tblProducts[],5,FALSE)</f>
        <v>970.14</v>
      </c>
      <c r="M2905" s="4">
        <f>tblTransactions[[#This Row],[Total_Amount]]-(tblTransactions[[#This Row],[Cost_Prices]]*tblTransactions[[#This Row],[Quantity]]*(1-tblTransactions[[#This Row],[Discount]]))</f>
        <v>1636.8392000000003</v>
      </c>
      <c r="N2905" s="3">
        <f>tblTransactions[[#This Row],[Profit]]/tblTransactions[[#This Row],[Total_Amount]]</f>
        <v>0.24426899389192913</v>
      </c>
      <c r="O2905" t="str">
        <f>TEXT(tblTransactions[[#This Row],[Date]], "MMM-YYYY")</f>
        <v>Sep-2024</v>
      </c>
      <c r="P2905" t="str">
        <f>"Q"&amp;ROUNDUP(MONTH(tblTransactions[[#This Row],[Date]])/3,0)&amp;"-"&amp;YEAR(tblTransactions[[#This Row],[Date]])</f>
        <v>Q3-2024</v>
      </c>
      <c r="Q2905">
        <f>YEAR(tblTransactions[[#This Row],[Date]])</f>
        <v>2024</v>
      </c>
      <c r="R2905" t="str">
        <f>TEXT(tblTransactions[[#This Row],[Date]],"DDDD")</f>
        <v>Tuesday</v>
      </c>
      <c r="S2905">
        <f>MONTH(tblTransactions[[#This Row],[Date]])</f>
        <v>9</v>
      </c>
      <c r="T2905" t="str">
        <f>VLOOKUP(E2905, Products!$A:$B,2,0)</f>
        <v>Cameras Ele-3</v>
      </c>
      <c r="U2905" t="str">
        <f>VLOOKUP(E2905,Products!$A:$C,3,0)</f>
        <v>Electronics</v>
      </c>
      <c r="V2905" t="str">
        <f>VLOOKUP(E2905,Products!$A:$D,4,0)</f>
        <v>Cameras</v>
      </c>
      <c r="W2905" t="str">
        <f>VLOOKUP(D2905,Customers!$A:$C,3,0)</f>
        <v>Enterprise</v>
      </c>
      <c r="X2905" t="str">
        <f>VLOOKUP(C2905,Sales_Representatives!$A:$B,2,0)</f>
        <v>Emily Hernandez</v>
      </c>
    </row>
    <row r="2906" spans="1:24" x14ac:dyDescent="0.3">
      <c r="A2906" t="s">
        <v>3972</v>
      </c>
      <c r="B2906" t="s">
        <v>3967</v>
      </c>
      <c r="C2906" t="s">
        <v>141</v>
      </c>
      <c r="D2906" t="s">
        <v>1518</v>
      </c>
      <c r="E2906" t="s">
        <v>15</v>
      </c>
      <c r="F2906">
        <v>1</v>
      </c>
      <c r="G2906">
        <v>477.48</v>
      </c>
      <c r="H2906">
        <v>0.02</v>
      </c>
      <c r="I2906" s="4">
        <v>467.93</v>
      </c>
      <c r="J2906" t="s">
        <v>109</v>
      </c>
      <c r="K2906" t="s">
        <v>35</v>
      </c>
      <c r="L2906" s="4">
        <f>VLOOKUP(tblTransactions[[#This Row],[Product_ID]],tblProducts[],5,FALSE)</f>
        <v>275.51</v>
      </c>
      <c r="M2906" s="4">
        <f>tblTransactions[[#This Row],[Total_Amount]]-(tblTransactions[[#This Row],[Cost_Prices]]*tblTransactions[[#This Row],[Quantity]]*(1-tblTransactions[[#This Row],[Discount]]))</f>
        <v>197.93020000000001</v>
      </c>
      <c r="N2906" s="3">
        <f>tblTransactions[[#This Row],[Profit]]/tblTransactions[[#This Row],[Total_Amount]]</f>
        <v>0.42299104566922407</v>
      </c>
      <c r="O2906" t="str">
        <f>TEXT(tblTransactions[[#This Row],[Date]], "MMM-YYYY")</f>
        <v>Sep-2024</v>
      </c>
      <c r="P2906" t="str">
        <f>"Q"&amp;ROUNDUP(MONTH(tblTransactions[[#This Row],[Date]])/3,0)&amp;"-"&amp;YEAR(tblTransactions[[#This Row],[Date]])</f>
        <v>Q3-2024</v>
      </c>
      <c r="Q2906">
        <f>YEAR(tblTransactions[[#This Row],[Date]])</f>
        <v>2024</v>
      </c>
      <c r="R2906" t="str">
        <f>TEXT(tblTransactions[[#This Row],[Date]],"DDDD")</f>
        <v>Tuesday</v>
      </c>
      <c r="S2906">
        <f>MONTH(tblTransactions[[#This Row],[Date]])</f>
        <v>9</v>
      </c>
      <c r="T2906" t="str">
        <f>VLOOKUP(E2906, Products!$A:$B,2,0)</f>
        <v>Laptops Ele-4</v>
      </c>
      <c r="U2906" t="str">
        <f>VLOOKUP(E2906,Products!$A:$C,3,0)</f>
        <v>Electronics</v>
      </c>
      <c r="V2906" t="str">
        <f>VLOOKUP(E2906,Products!$A:$D,4,0)</f>
        <v>Laptops</v>
      </c>
      <c r="W2906" t="str">
        <f>VLOOKUP(D2906,Customers!$A:$C,3,0)</f>
        <v>B2C</v>
      </c>
      <c r="X2906" t="str">
        <f>VLOOKUP(C2906,Sales_Representatives!$A:$B,2,0)</f>
        <v>Richard Garcia</v>
      </c>
    </row>
    <row r="2907" spans="1:24" x14ac:dyDescent="0.3">
      <c r="A2907" t="s">
        <v>3973</v>
      </c>
      <c r="B2907" t="s">
        <v>3974</v>
      </c>
      <c r="C2907" t="s">
        <v>131</v>
      </c>
      <c r="D2907" t="s">
        <v>3975</v>
      </c>
      <c r="E2907" t="s">
        <v>435</v>
      </c>
      <c r="F2907">
        <v>3</v>
      </c>
      <c r="G2907">
        <v>198.72</v>
      </c>
      <c r="H2907">
        <v>0.03</v>
      </c>
      <c r="I2907" s="4">
        <v>578.28</v>
      </c>
      <c r="J2907" t="s">
        <v>44</v>
      </c>
      <c r="K2907" t="s">
        <v>35</v>
      </c>
      <c r="L2907" s="4">
        <f>VLOOKUP(tblTransactions[[#This Row],[Product_ID]],tblProducts[],5,FALSE)</f>
        <v>116.98</v>
      </c>
      <c r="M2907" s="4">
        <f>tblTransactions[[#This Row],[Total_Amount]]-(tblTransactions[[#This Row],[Cost_Prices]]*tblTransactions[[#This Row],[Quantity]]*(1-tblTransactions[[#This Row],[Discount]]))</f>
        <v>237.8682</v>
      </c>
      <c r="N2907" s="3">
        <f>tblTransactions[[#This Row],[Profit]]/tblTransactions[[#This Row],[Total_Amount]]</f>
        <v>0.41133741440132809</v>
      </c>
      <c r="O2907" t="str">
        <f>TEXT(tblTransactions[[#This Row],[Date]], "MMM-YYYY")</f>
        <v>Sep-2024</v>
      </c>
      <c r="P2907" t="str">
        <f>"Q"&amp;ROUNDUP(MONTH(tblTransactions[[#This Row],[Date]])/3,0)&amp;"-"&amp;YEAR(tblTransactions[[#This Row],[Date]])</f>
        <v>Q3-2024</v>
      </c>
      <c r="Q2907">
        <f>YEAR(tblTransactions[[#This Row],[Date]])</f>
        <v>2024</v>
      </c>
      <c r="R2907" t="str">
        <f>TEXT(tblTransactions[[#This Row],[Date]],"DDDD")</f>
        <v>Wednesday</v>
      </c>
      <c r="S2907">
        <f>MONTH(tblTransactions[[#This Row],[Date]])</f>
        <v>9</v>
      </c>
      <c r="T2907" t="str">
        <f>VLOOKUP(E2907, Products!$A:$B,2,0)</f>
        <v>Paper Off-4</v>
      </c>
      <c r="U2907" t="str">
        <f>VLOOKUP(E2907,Products!$A:$C,3,0)</f>
        <v>Office Supplies</v>
      </c>
      <c r="V2907" t="str">
        <f>VLOOKUP(E2907,Products!$A:$D,4,0)</f>
        <v>Paper</v>
      </c>
      <c r="W2907" t="str">
        <f>VLOOKUP(D2907,Customers!$A:$C,3,0)</f>
        <v>Small Business</v>
      </c>
      <c r="X2907" t="str">
        <f>VLOOKUP(C2907,Sales_Representatives!$A:$B,2,0)</f>
        <v>Michael Davis</v>
      </c>
    </row>
    <row r="2908" spans="1:24" x14ac:dyDescent="0.3">
      <c r="A2908" t="s">
        <v>3976</v>
      </c>
      <c r="B2908" t="s">
        <v>3974</v>
      </c>
      <c r="C2908" t="s">
        <v>27</v>
      </c>
      <c r="D2908" t="s">
        <v>2627</v>
      </c>
      <c r="E2908" t="s">
        <v>113</v>
      </c>
      <c r="F2908">
        <v>4</v>
      </c>
      <c r="G2908">
        <v>930.41</v>
      </c>
      <c r="H2908">
        <v>0.08</v>
      </c>
      <c r="I2908" s="4">
        <v>3423.91</v>
      </c>
      <c r="J2908" t="s">
        <v>16</v>
      </c>
      <c r="K2908" t="s">
        <v>48</v>
      </c>
      <c r="L2908" s="4">
        <f>VLOOKUP(tblTransactions[[#This Row],[Product_ID]],tblProducts[],5,FALSE)</f>
        <v>595.51</v>
      </c>
      <c r="M2908" s="4">
        <f>tblTransactions[[#This Row],[Total_Amount]]-(tblTransactions[[#This Row],[Cost_Prices]]*tblTransactions[[#This Row],[Quantity]]*(1-tblTransactions[[#This Row],[Discount]]))</f>
        <v>1232.4331999999999</v>
      </c>
      <c r="N2908" s="3">
        <f>tblTransactions[[#This Row],[Profit]]/tblTransactions[[#This Row],[Total_Amount]]</f>
        <v>0.35994906408170774</v>
      </c>
      <c r="O2908" t="str">
        <f>TEXT(tblTransactions[[#This Row],[Date]], "MMM-YYYY")</f>
        <v>Sep-2024</v>
      </c>
      <c r="P2908" t="str">
        <f>"Q"&amp;ROUNDUP(MONTH(tblTransactions[[#This Row],[Date]])/3,0)&amp;"-"&amp;YEAR(tblTransactions[[#This Row],[Date]])</f>
        <v>Q3-2024</v>
      </c>
      <c r="Q2908">
        <f>YEAR(tblTransactions[[#This Row],[Date]])</f>
        <v>2024</v>
      </c>
      <c r="R2908" t="str">
        <f>TEXT(tblTransactions[[#This Row],[Date]],"DDDD")</f>
        <v>Wednesday</v>
      </c>
      <c r="S2908">
        <f>MONTH(tblTransactions[[#This Row],[Date]])</f>
        <v>9</v>
      </c>
      <c r="T2908" t="str">
        <f>VLOOKUP(E2908, Products!$A:$B,2,0)</f>
        <v>Phones Ele-1</v>
      </c>
      <c r="U2908" t="str">
        <f>VLOOKUP(E2908,Products!$A:$C,3,0)</f>
        <v>Electronics</v>
      </c>
      <c r="V2908" t="str">
        <f>VLOOKUP(E2908,Products!$A:$D,4,0)</f>
        <v>Phones</v>
      </c>
      <c r="W2908" t="str">
        <f>VLOOKUP(D2908,Customers!$A:$C,3,0)</f>
        <v>B2C</v>
      </c>
      <c r="X2908" t="str">
        <f>VLOOKUP(C2908,Sales_Representatives!$A:$B,2,0)</f>
        <v>Thomas Lopez</v>
      </c>
    </row>
    <row r="2909" spans="1:24" x14ac:dyDescent="0.3">
      <c r="A2909" t="s">
        <v>3977</v>
      </c>
      <c r="B2909" t="s">
        <v>3974</v>
      </c>
      <c r="C2909" t="s">
        <v>56</v>
      </c>
      <c r="D2909" t="s">
        <v>1754</v>
      </c>
      <c r="E2909" t="s">
        <v>121</v>
      </c>
      <c r="F2909">
        <v>5</v>
      </c>
      <c r="G2909">
        <v>183.9</v>
      </c>
      <c r="H2909">
        <v>0.02</v>
      </c>
      <c r="I2909" s="4">
        <v>901.11</v>
      </c>
      <c r="J2909" t="s">
        <v>34</v>
      </c>
      <c r="K2909" t="s">
        <v>35</v>
      </c>
      <c r="L2909" s="4">
        <f>VLOOKUP(tblTransactions[[#This Row],[Product_ID]],tblProducts[],5,FALSE)</f>
        <v>116.83</v>
      </c>
      <c r="M2909" s="4">
        <f>tblTransactions[[#This Row],[Total_Amount]]-(tblTransactions[[#This Row],[Cost_Prices]]*tblTransactions[[#This Row],[Quantity]]*(1-tblTransactions[[#This Row],[Discount]]))</f>
        <v>328.64300000000003</v>
      </c>
      <c r="N2909" s="3">
        <f>tblTransactions[[#This Row],[Profit]]/tblTransactions[[#This Row],[Total_Amount]]</f>
        <v>0.36470908102229477</v>
      </c>
      <c r="O2909" t="str">
        <f>TEXT(tblTransactions[[#This Row],[Date]], "MMM-YYYY")</f>
        <v>Sep-2024</v>
      </c>
      <c r="P2909" t="str">
        <f>"Q"&amp;ROUNDUP(MONTH(tblTransactions[[#This Row],[Date]])/3,0)&amp;"-"&amp;YEAR(tblTransactions[[#This Row],[Date]])</f>
        <v>Q3-2024</v>
      </c>
      <c r="Q2909">
        <f>YEAR(tblTransactions[[#This Row],[Date]])</f>
        <v>2024</v>
      </c>
      <c r="R2909" t="str">
        <f>TEXT(tblTransactions[[#This Row],[Date]],"DDDD")</f>
        <v>Wednesday</v>
      </c>
      <c r="S2909">
        <f>MONTH(tblTransactions[[#This Row],[Date]])</f>
        <v>9</v>
      </c>
      <c r="T2909" t="str">
        <f>VLOOKUP(E2909, Products!$A:$B,2,0)</f>
        <v>Pens Off-3</v>
      </c>
      <c r="U2909" t="str">
        <f>VLOOKUP(E2909,Products!$A:$C,3,0)</f>
        <v>Office Supplies</v>
      </c>
      <c r="V2909" t="str">
        <f>VLOOKUP(E2909,Products!$A:$D,4,0)</f>
        <v>Pens</v>
      </c>
      <c r="W2909" t="str">
        <f>VLOOKUP(D2909,Customers!$A:$C,3,0)</f>
        <v>Small Business</v>
      </c>
      <c r="X2909" t="str">
        <f>VLOOKUP(C2909,Sales_Representatives!$A:$B,2,0)</f>
        <v>Thomas Hernandez</v>
      </c>
    </row>
    <row r="2910" spans="1:24" x14ac:dyDescent="0.3">
      <c r="A2910" t="s">
        <v>3978</v>
      </c>
      <c r="B2910" t="s">
        <v>3974</v>
      </c>
      <c r="C2910" t="s">
        <v>82</v>
      </c>
      <c r="D2910" t="s">
        <v>2512</v>
      </c>
      <c r="E2910" t="s">
        <v>314</v>
      </c>
      <c r="F2910">
        <v>6</v>
      </c>
      <c r="G2910">
        <v>204.97</v>
      </c>
      <c r="H2910">
        <v>0.11</v>
      </c>
      <c r="I2910" s="4">
        <v>1094.54</v>
      </c>
      <c r="J2910" t="s">
        <v>34</v>
      </c>
      <c r="K2910" t="s">
        <v>17</v>
      </c>
      <c r="L2910" s="4">
        <f>VLOOKUP(tblTransactions[[#This Row],[Product_ID]],tblProducts[],5,FALSE)</f>
        <v>121.53</v>
      </c>
      <c r="M2910" s="4">
        <f>tblTransactions[[#This Row],[Total_Amount]]-(tblTransactions[[#This Row],[Cost_Prices]]*tblTransactions[[#This Row],[Quantity]]*(1-tblTransactions[[#This Row],[Discount]]))</f>
        <v>445.56979999999987</v>
      </c>
      <c r="N2910" s="3">
        <f>tblTransactions[[#This Row],[Profit]]/tblTransactions[[#This Row],[Total_Amount]]</f>
        <v>0.40708407184753403</v>
      </c>
      <c r="O2910" t="str">
        <f>TEXT(tblTransactions[[#This Row],[Date]], "MMM-YYYY")</f>
        <v>Sep-2024</v>
      </c>
      <c r="P2910" t="str">
        <f>"Q"&amp;ROUNDUP(MONTH(tblTransactions[[#This Row],[Date]])/3,0)&amp;"-"&amp;YEAR(tblTransactions[[#This Row],[Date]])</f>
        <v>Q3-2024</v>
      </c>
      <c r="Q2910">
        <f>YEAR(tblTransactions[[#This Row],[Date]])</f>
        <v>2024</v>
      </c>
      <c r="R2910" t="str">
        <f>TEXT(tblTransactions[[#This Row],[Date]],"DDDD")</f>
        <v>Wednesday</v>
      </c>
      <c r="S2910">
        <f>MONTH(tblTransactions[[#This Row],[Date]])</f>
        <v>9</v>
      </c>
      <c r="T2910" t="str">
        <f>VLOOKUP(E2910, Products!$A:$B,2,0)</f>
        <v>Adapters Acc-3</v>
      </c>
      <c r="U2910" t="str">
        <f>VLOOKUP(E2910,Products!$A:$C,3,0)</f>
        <v>Accessories</v>
      </c>
      <c r="V2910" t="str">
        <f>VLOOKUP(E2910,Products!$A:$D,4,0)</f>
        <v>Adapters</v>
      </c>
      <c r="W2910" t="str">
        <f>VLOOKUP(D2910,Customers!$A:$C,3,0)</f>
        <v>Small Business</v>
      </c>
      <c r="X2910" t="str">
        <f>VLOOKUP(C2910,Sales_Representatives!$A:$B,2,0)</f>
        <v>John Brown</v>
      </c>
    </row>
    <row r="2911" spans="1:24" x14ac:dyDescent="0.3">
      <c r="A2911" t="s">
        <v>3979</v>
      </c>
      <c r="B2911" t="s">
        <v>3974</v>
      </c>
      <c r="C2911" t="s">
        <v>41</v>
      </c>
      <c r="D2911" t="s">
        <v>2036</v>
      </c>
      <c r="E2911" t="s">
        <v>704</v>
      </c>
      <c r="F2911">
        <v>2</v>
      </c>
      <c r="G2911">
        <v>291.81</v>
      </c>
      <c r="H2911">
        <v>0.03</v>
      </c>
      <c r="I2911" s="4">
        <v>566.11</v>
      </c>
      <c r="J2911" t="s">
        <v>44</v>
      </c>
      <c r="K2911" t="s">
        <v>22</v>
      </c>
      <c r="L2911" s="4">
        <f>VLOOKUP(tblTransactions[[#This Row],[Product_ID]],tblProducts[],5,FALSE)</f>
        <v>123.61</v>
      </c>
      <c r="M2911" s="4">
        <f>tblTransactions[[#This Row],[Total_Amount]]-(tblTransactions[[#This Row],[Cost_Prices]]*tblTransactions[[#This Row],[Quantity]]*(1-tblTransactions[[#This Row],[Discount]]))</f>
        <v>326.3066</v>
      </c>
      <c r="N2911" s="3">
        <f>tblTransactions[[#This Row],[Profit]]/tblTransactions[[#This Row],[Total_Amount]]</f>
        <v>0.57640140608715618</v>
      </c>
      <c r="O2911" t="str">
        <f>TEXT(tblTransactions[[#This Row],[Date]], "MMM-YYYY")</f>
        <v>Sep-2024</v>
      </c>
      <c r="P2911" t="str">
        <f>"Q"&amp;ROUNDUP(MONTH(tblTransactions[[#This Row],[Date]])/3,0)&amp;"-"&amp;YEAR(tblTransactions[[#This Row],[Date]])</f>
        <v>Q3-2024</v>
      </c>
      <c r="Q2911">
        <f>YEAR(tblTransactions[[#This Row],[Date]])</f>
        <v>2024</v>
      </c>
      <c r="R2911" t="str">
        <f>TEXT(tblTransactions[[#This Row],[Date]],"DDDD")</f>
        <v>Wednesday</v>
      </c>
      <c r="S2911">
        <f>MONTH(tblTransactions[[#This Row],[Date]])</f>
        <v>9</v>
      </c>
      <c r="T2911" t="str">
        <f>VLOOKUP(E2911, Products!$A:$B,2,0)</f>
        <v>Keyboards Acc-4</v>
      </c>
      <c r="U2911" t="str">
        <f>VLOOKUP(E2911,Products!$A:$C,3,0)</f>
        <v>Accessories</v>
      </c>
      <c r="V2911" t="str">
        <f>VLOOKUP(E2911,Products!$A:$D,4,0)</f>
        <v>Keyboards</v>
      </c>
      <c r="W2911" t="str">
        <f>VLOOKUP(D2911,Customers!$A:$C,3,0)</f>
        <v>B2C</v>
      </c>
      <c r="X2911" t="str">
        <f>VLOOKUP(C2911,Sales_Representatives!$A:$B,2,0)</f>
        <v>Robert Jones</v>
      </c>
    </row>
    <row r="2912" spans="1:24" x14ac:dyDescent="0.3">
      <c r="A2912" t="s">
        <v>3980</v>
      </c>
      <c r="B2912" t="s">
        <v>3974</v>
      </c>
      <c r="C2912" t="s">
        <v>63</v>
      </c>
      <c r="D2912" t="s">
        <v>1728</v>
      </c>
      <c r="E2912" t="s">
        <v>324</v>
      </c>
      <c r="F2912">
        <v>7</v>
      </c>
      <c r="G2912">
        <v>245.76</v>
      </c>
      <c r="H2912">
        <v>0.12</v>
      </c>
      <c r="I2912" s="4">
        <v>1513.88</v>
      </c>
      <c r="J2912" t="s">
        <v>21</v>
      </c>
      <c r="K2912" t="s">
        <v>48</v>
      </c>
      <c r="L2912" s="4">
        <f>VLOOKUP(tblTransactions[[#This Row],[Product_ID]],tblProducts[],5,FALSE)</f>
        <v>161.94</v>
      </c>
      <c r="M2912" s="4">
        <f>tblTransactions[[#This Row],[Total_Amount]]-(tblTransactions[[#This Row],[Cost_Prices]]*tblTransactions[[#This Row],[Quantity]]*(1-tblTransactions[[#This Row],[Discount]]))</f>
        <v>516.32960000000014</v>
      </c>
      <c r="N2912" s="3">
        <f>tblTransactions[[#This Row],[Profit]]/tblTransactions[[#This Row],[Total_Amount]]</f>
        <v>0.34106375670462658</v>
      </c>
      <c r="O2912" t="str">
        <f>TEXT(tblTransactions[[#This Row],[Date]], "MMM-YYYY")</f>
        <v>Sep-2024</v>
      </c>
      <c r="P2912" t="str">
        <f>"Q"&amp;ROUNDUP(MONTH(tblTransactions[[#This Row],[Date]])/3,0)&amp;"-"&amp;YEAR(tblTransactions[[#This Row],[Date]])</f>
        <v>Q3-2024</v>
      </c>
      <c r="Q2912">
        <f>YEAR(tblTransactions[[#This Row],[Date]])</f>
        <v>2024</v>
      </c>
      <c r="R2912" t="str">
        <f>TEXT(tblTransactions[[#This Row],[Date]],"DDDD")</f>
        <v>Wednesday</v>
      </c>
      <c r="S2912">
        <f>MONTH(tblTransactions[[#This Row],[Date]])</f>
        <v>9</v>
      </c>
      <c r="T2912" t="str">
        <f>VLOOKUP(E2912, Products!$A:$B,2,0)</f>
        <v>Storage Fur-1</v>
      </c>
      <c r="U2912" t="str">
        <f>VLOOKUP(E2912,Products!$A:$C,3,0)</f>
        <v>Furniture</v>
      </c>
      <c r="V2912" t="str">
        <f>VLOOKUP(E2912,Products!$A:$D,4,0)</f>
        <v>Storage</v>
      </c>
      <c r="W2912" t="str">
        <f>VLOOKUP(D2912,Customers!$A:$C,3,0)</f>
        <v>B2B</v>
      </c>
      <c r="X2912" t="str">
        <f>VLOOKUP(C2912,Sales_Representatives!$A:$B,2,0)</f>
        <v>Richard Wilson</v>
      </c>
    </row>
    <row r="2913" spans="1:24" x14ac:dyDescent="0.3">
      <c r="A2913" t="s">
        <v>3981</v>
      </c>
      <c r="B2913" t="s">
        <v>3974</v>
      </c>
      <c r="C2913" t="s">
        <v>107</v>
      </c>
      <c r="D2913" t="s">
        <v>76</v>
      </c>
      <c r="E2913" t="s">
        <v>248</v>
      </c>
      <c r="F2913">
        <v>7</v>
      </c>
      <c r="G2913">
        <v>82.29</v>
      </c>
      <c r="H2913">
        <v>0.1</v>
      </c>
      <c r="I2913" s="4">
        <v>518.42999999999995</v>
      </c>
      <c r="J2913" t="s">
        <v>109</v>
      </c>
      <c r="K2913" t="s">
        <v>39</v>
      </c>
      <c r="L2913" s="4">
        <f>VLOOKUP(tblTransactions[[#This Row],[Product_ID]],tblProducts[],5,FALSE)</f>
        <v>51.11</v>
      </c>
      <c r="M2913" s="4">
        <f>tblTransactions[[#This Row],[Total_Amount]]-(tblTransactions[[#This Row],[Cost_Prices]]*tblTransactions[[#This Row],[Quantity]]*(1-tblTransactions[[#This Row],[Discount]]))</f>
        <v>196.43699999999995</v>
      </c>
      <c r="N2913" s="3">
        <f>tblTransactions[[#This Row],[Profit]]/tblTransactions[[#This Row],[Total_Amount]]</f>
        <v>0.37890747063248648</v>
      </c>
      <c r="O2913" t="str">
        <f>TEXT(tblTransactions[[#This Row],[Date]], "MMM-YYYY")</f>
        <v>Sep-2024</v>
      </c>
      <c r="P2913" t="str">
        <f>"Q"&amp;ROUNDUP(MONTH(tblTransactions[[#This Row],[Date]])/3,0)&amp;"-"&amp;YEAR(tblTransactions[[#This Row],[Date]])</f>
        <v>Q3-2024</v>
      </c>
      <c r="Q2913">
        <f>YEAR(tblTransactions[[#This Row],[Date]])</f>
        <v>2024</v>
      </c>
      <c r="R2913" t="str">
        <f>TEXT(tblTransactions[[#This Row],[Date]],"DDDD")</f>
        <v>Wednesday</v>
      </c>
      <c r="S2913">
        <f>MONTH(tblTransactions[[#This Row],[Date]])</f>
        <v>9</v>
      </c>
      <c r="T2913" t="str">
        <f>VLOOKUP(E2913, Products!$A:$B,2,0)</f>
        <v>Keyboards Acc-2</v>
      </c>
      <c r="U2913" t="str">
        <f>VLOOKUP(E2913,Products!$A:$C,3,0)</f>
        <v>Accessories</v>
      </c>
      <c r="V2913" t="str">
        <f>VLOOKUP(E2913,Products!$A:$D,4,0)</f>
        <v>Keyboards</v>
      </c>
      <c r="W2913" t="str">
        <f>VLOOKUP(D2913,Customers!$A:$C,3,0)</f>
        <v>Small Business</v>
      </c>
      <c r="X2913" t="str">
        <f>VLOOKUP(C2913,Sales_Representatives!$A:$B,2,0)</f>
        <v>Jennifer Brown</v>
      </c>
    </row>
    <row r="2914" spans="1:24" x14ac:dyDescent="0.3">
      <c r="A2914" t="s">
        <v>3982</v>
      </c>
      <c r="B2914" t="s">
        <v>3983</v>
      </c>
      <c r="C2914" t="s">
        <v>13</v>
      </c>
      <c r="D2914" t="s">
        <v>1854</v>
      </c>
      <c r="E2914" t="s">
        <v>481</v>
      </c>
      <c r="F2914">
        <v>4</v>
      </c>
      <c r="G2914">
        <v>263.58999999999997</v>
      </c>
      <c r="H2914">
        <v>0.02</v>
      </c>
      <c r="I2914" s="4">
        <v>1033.27</v>
      </c>
      <c r="J2914" t="s">
        <v>16</v>
      </c>
      <c r="K2914" t="s">
        <v>22</v>
      </c>
      <c r="L2914" s="4">
        <f>VLOOKUP(tblTransactions[[#This Row],[Product_ID]],tblProducts[],5,FALSE)</f>
        <v>133.65</v>
      </c>
      <c r="M2914" s="4">
        <f>tblTransactions[[#This Row],[Total_Amount]]-(tblTransactions[[#This Row],[Cost_Prices]]*tblTransactions[[#This Row],[Quantity]]*(1-tblTransactions[[#This Row],[Discount]]))</f>
        <v>509.36199999999997</v>
      </c>
      <c r="N2914" s="3">
        <f>tblTransactions[[#This Row],[Profit]]/tblTransactions[[#This Row],[Total_Amount]]</f>
        <v>0.49296118149176882</v>
      </c>
      <c r="O2914" t="str">
        <f>TEXT(tblTransactions[[#This Row],[Date]], "MMM-YYYY")</f>
        <v>Sep-2024</v>
      </c>
      <c r="P2914" t="str">
        <f>"Q"&amp;ROUNDUP(MONTH(tblTransactions[[#This Row],[Date]])/3,0)&amp;"-"&amp;YEAR(tblTransactions[[#This Row],[Date]])</f>
        <v>Q3-2024</v>
      </c>
      <c r="Q2914">
        <f>YEAR(tblTransactions[[#This Row],[Date]])</f>
        <v>2024</v>
      </c>
      <c r="R2914" t="str">
        <f>TEXT(tblTransactions[[#This Row],[Date]],"DDDD")</f>
        <v>Thursday</v>
      </c>
      <c r="S2914">
        <f>MONTH(tblTransactions[[#This Row],[Date]])</f>
        <v>9</v>
      </c>
      <c r="T2914" t="str">
        <f>VLOOKUP(E2914, Products!$A:$B,2,0)</f>
        <v>Folders Off-1</v>
      </c>
      <c r="U2914" t="str">
        <f>VLOOKUP(E2914,Products!$A:$C,3,0)</f>
        <v>Office Supplies</v>
      </c>
      <c r="V2914" t="str">
        <f>VLOOKUP(E2914,Products!$A:$D,4,0)</f>
        <v>Folders</v>
      </c>
      <c r="W2914" t="str">
        <f>VLOOKUP(D2914,Customers!$A:$C,3,0)</f>
        <v>Small Business</v>
      </c>
      <c r="X2914" t="str">
        <f>VLOOKUP(C2914,Sales_Representatives!$A:$B,2,0)</f>
        <v>Jennifer Rodriguez</v>
      </c>
    </row>
    <row r="2915" spans="1:24" x14ac:dyDescent="0.3">
      <c r="A2915" t="s">
        <v>3984</v>
      </c>
      <c r="B2915" t="s">
        <v>3983</v>
      </c>
      <c r="C2915" t="s">
        <v>56</v>
      </c>
      <c r="D2915" t="s">
        <v>1912</v>
      </c>
      <c r="E2915" t="s">
        <v>125</v>
      </c>
      <c r="F2915">
        <v>44</v>
      </c>
      <c r="G2915">
        <v>1201.4000000000001</v>
      </c>
      <c r="H2915">
        <v>0.23</v>
      </c>
      <c r="I2915" s="4">
        <v>40703.43</v>
      </c>
      <c r="J2915" t="s">
        <v>34</v>
      </c>
      <c r="K2915" t="s">
        <v>39</v>
      </c>
      <c r="L2915" s="4">
        <f>VLOOKUP(tblTransactions[[#This Row],[Product_ID]],tblProducts[],5,FALSE)</f>
        <v>672.72</v>
      </c>
      <c r="M2915" s="4">
        <f>tblTransactions[[#This Row],[Total_Amount]]-(tblTransactions[[#This Row],[Cost_Prices]]*tblTransactions[[#This Row],[Quantity]]*(1-tblTransactions[[#This Row],[Discount]]))</f>
        <v>17911.6764</v>
      </c>
      <c r="N2915" s="3">
        <f>tblTransactions[[#This Row],[Profit]]/tblTransactions[[#This Row],[Total_Amount]]</f>
        <v>0.44005324367012805</v>
      </c>
      <c r="O2915" t="str">
        <f>TEXT(tblTransactions[[#This Row],[Date]], "MMM-YYYY")</f>
        <v>Sep-2024</v>
      </c>
      <c r="P2915" t="str">
        <f>"Q"&amp;ROUNDUP(MONTH(tblTransactions[[#This Row],[Date]])/3,0)&amp;"-"&amp;YEAR(tblTransactions[[#This Row],[Date]])</f>
        <v>Q3-2024</v>
      </c>
      <c r="Q2915">
        <f>YEAR(tblTransactions[[#This Row],[Date]])</f>
        <v>2024</v>
      </c>
      <c r="R2915" t="str">
        <f>TEXT(tblTransactions[[#This Row],[Date]],"DDDD")</f>
        <v>Thursday</v>
      </c>
      <c r="S2915">
        <f>MONTH(tblTransactions[[#This Row],[Date]])</f>
        <v>9</v>
      </c>
      <c r="T2915" t="str">
        <f>VLOOKUP(E2915, Products!$A:$B,2,0)</f>
        <v>Printers Tec-2</v>
      </c>
      <c r="U2915" t="str">
        <f>VLOOKUP(E2915,Products!$A:$C,3,0)</f>
        <v>Technology</v>
      </c>
      <c r="V2915" t="str">
        <f>VLOOKUP(E2915,Products!$A:$D,4,0)</f>
        <v>Printers</v>
      </c>
      <c r="W2915" t="str">
        <f>VLOOKUP(D2915,Customers!$A:$C,3,0)</f>
        <v>Enterprise</v>
      </c>
      <c r="X2915" t="str">
        <f>VLOOKUP(C2915,Sales_Representatives!$A:$B,2,0)</f>
        <v>Thomas Hernandez</v>
      </c>
    </row>
    <row r="2916" spans="1:24" x14ac:dyDescent="0.3">
      <c r="A2916" t="s">
        <v>3985</v>
      </c>
      <c r="B2916" t="s">
        <v>3983</v>
      </c>
      <c r="C2916" t="s">
        <v>107</v>
      </c>
      <c r="D2916" t="s">
        <v>1600</v>
      </c>
      <c r="E2916" t="s">
        <v>121</v>
      </c>
      <c r="F2916">
        <v>2</v>
      </c>
      <c r="G2916">
        <v>183.9</v>
      </c>
      <c r="H2916">
        <v>0</v>
      </c>
      <c r="I2916" s="4">
        <v>367.8</v>
      </c>
      <c r="J2916" t="s">
        <v>109</v>
      </c>
      <c r="K2916" t="s">
        <v>17</v>
      </c>
      <c r="L2916" s="4">
        <f>VLOOKUP(tblTransactions[[#This Row],[Product_ID]],tblProducts[],5,FALSE)</f>
        <v>116.83</v>
      </c>
      <c r="M2916" s="4">
        <f>tblTransactions[[#This Row],[Total_Amount]]-(tblTransactions[[#This Row],[Cost_Prices]]*tblTransactions[[#This Row],[Quantity]]*(1-tblTransactions[[#This Row],[Discount]]))</f>
        <v>134.14000000000001</v>
      </c>
      <c r="N2916" s="3">
        <f>tblTransactions[[#This Row],[Profit]]/tblTransactions[[#This Row],[Total_Amount]]</f>
        <v>0.36470908102229477</v>
      </c>
      <c r="O2916" t="str">
        <f>TEXT(tblTransactions[[#This Row],[Date]], "MMM-YYYY")</f>
        <v>Sep-2024</v>
      </c>
      <c r="P2916" t="str">
        <f>"Q"&amp;ROUNDUP(MONTH(tblTransactions[[#This Row],[Date]])/3,0)&amp;"-"&amp;YEAR(tblTransactions[[#This Row],[Date]])</f>
        <v>Q3-2024</v>
      </c>
      <c r="Q2916">
        <f>YEAR(tblTransactions[[#This Row],[Date]])</f>
        <v>2024</v>
      </c>
      <c r="R2916" t="str">
        <f>TEXT(tblTransactions[[#This Row],[Date]],"DDDD")</f>
        <v>Thursday</v>
      </c>
      <c r="S2916">
        <f>MONTH(tblTransactions[[#This Row],[Date]])</f>
        <v>9</v>
      </c>
      <c r="T2916" t="str">
        <f>VLOOKUP(E2916, Products!$A:$B,2,0)</f>
        <v>Pens Off-3</v>
      </c>
      <c r="U2916" t="str">
        <f>VLOOKUP(E2916,Products!$A:$C,3,0)</f>
        <v>Office Supplies</v>
      </c>
      <c r="V2916" t="str">
        <f>VLOOKUP(E2916,Products!$A:$D,4,0)</f>
        <v>Pens</v>
      </c>
      <c r="W2916" t="str">
        <f>VLOOKUP(D2916,Customers!$A:$C,3,0)</f>
        <v>B2C</v>
      </c>
      <c r="X2916" t="str">
        <f>VLOOKUP(C2916,Sales_Representatives!$A:$B,2,0)</f>
        <v>Jennifer Brown</v>
      </c>
    </row>
    <row r="2917" spans="1:24" x14ac:dyDescent="0.3">
      <c r="A2917" t="s">
        <v>3986</v>
      </c>
      <c r="B2917" t="s">
        <v>3983</v>
      </c>
      <c r="C2917" t="s">
        <v>13</v>
      </c>
      <c r="D2917" t="s">
        <v>2287</v>
      </c>
      <c r="E2917" t="s">
        <v>105</v>
      </c>
      <c r="F2917">
        <v>17</v>
      </c>
      <c r="G2917">
        <v>1342.04</v>
      </c>
      <c r="H2917">
        <v>0.15</v>
      </c>
      <c r="I2917" s="4">
        <v>19392.48</v>
      </c>
      <c r="J2917" t="s">
        <v>16</v>
      </c>
      <c r="K2917" t="s">
        <v>35</v>
      </c>
      <c r="L2917" s="4">
        <f>VLOOKUP(tblTransactions[[#This Row],[Product_ID]],tblProducts[],5,FALSE)</f>
        <v>792.89</v>
      </c>
      <c r="M2917" s="4">
        <f>tblTransactions[[#This Row],[Total_Amount]]-(tblTransactions[[#This Row],[Cost_Prices]]*tblTransactions[[#This Row],[Quantity]]*(1-tblTransactions[[#This Row],[Discount]]))</f>
        <v>7935.2195000000011</v>
      </c>
      <c r="N2917" s="3">
        <f>tblTransactions[[#This Row],[Profit]]/tblTransactions[[#This Row],[Total_Amount]]</f>
        <v>0.40919054705741614</v>
      </c>
      <c r="O2917" t="str">
        <f>TEXT(tblTransactions[[#This Row],[Date]], "MMM-YYYY")</f>
        <v>Sep-2024</v>
      </c>
      <c r="P2917" t="str">
        <f>"Q"&amp;ROUNDUP(MONTH(tblTransactions[[#This Row],[Date]])/3,0)&amp;"-"&amp;YEAR(tblTransactions[[#This Row],[Date]])</f>
        <v>Q3-2024</v>
      </c>
      <c r="Q2917">
        <f>YEAR(tblTransactions[[#This Row],[Date]])</f>
        <v>2024</v>
      </c>
      <c r="R2917" t="str">
        <f>TEXT(tblTransactions[[#This Row],[Date]],"DDDD")</f>
        <v>Thursday</v>
      </c>
      <c r="S2917">
        <f>MONTH(tblTransactions[[#This Row],[Date]])</f>
        <v>9</v>
      </c>
      <c r="T2917" t="str">
        <f>VLOOKUP(E2917, Products!$A:$B,2,0)</f>
        <v>Cameras Ele-1</v>
      </c>
      <c r="U2917" t="str">
        <f>VLOOKUP(E2917,Products!$A:$C,3,0)</f>
        <v>Electronics</v>
      </c>
      <c r="V2917" t="str">
        <f>VLOOKUP(E2917,Products!$A:$D,4,0)</f>
        <v>Cameras</v>
      </c>
      <c r="W2917" t="str">
        <f>VLOOKUP(D2917,Customers!$A:$C,3,0)</f>
        <v>B2B</v>
      </c>
      <c r="X2917" t="str">
        <f>VLOOKUP(C2917,Sales_Representatives!$A:$B,2,0)</f>
        <v>Jennifer Rodriguez</v>
      </c>
    </row>
    <row r="2918" spans="1:24" x14ac:dyDescent="0.3">
      <c r="A2918" t="s">
        <v>3987</v>
      </c>
      <c r="B2918" t="s">
        <v>3988</v>
      </c>
      <c r="C2918" t="s">
        <v>63</v>
      </c>
      <c r="D2918" t="s">
        <v>3975</v>
      </c>
      <c r="E2918" t="s">
        <v>125</v>
      </c>
      <c r="F2918">
        <v>5</v>
      </c>
      <c r="G2918">
        <v>1201.4000000000001</v>
      </c>
      <c r="H2918">
        <v>0.08</v>
      </c>
      <c r="I2918" s="4">
        <v>5526.44</v>
      </c>
      <c r="J2918" t="s">
        <v>21</v>
      </c>
      <c r="K2918" t="s">
        <v>39</v>
      </c>
      <c r="L2918" s="4">
        <f>VLOOKUP(tblTransactions[[#This Row],[Product_ID]],tblProducts[],5,FALSE)</f>
        <v>672.72</v>
      </c>
      <c r="M2918" s="4">
        <f>tblTransactions[[#This Row],[Total_Amount]]-(tblTransactions[[#This Row],[Cost_Prices]]*tblTransactions[[#This Row],[Quantity]]*(1-tblTransactions[[#This Row],[Discount]]))</f>
        <v>2431.927999999999</v>
      </c>
      <c r="N2918" s="3">
        <f>tblTransactions[[#This Row],[Profit]]/tblTransactions[[#This Row],[Total_Amount]]</f>
        <v>0.44005327118361898</v>
      </c>
      <c r="O2918" t="str">
        <f>TEXT(tblTransactions[[#This Row],[Date]], "MMM-YYYY")</f>
        <v>Sep-2024</v>
      </c>
      <c r="P2918" t="str">
        <f>"Q"&amp;ROUNDUP(MONTH(tblTransactions[[#This Row],[Date]])/3,0)&amp;"-"&amp;YEAR(tblTransactions[[#This Row],[Date]])</f>
        <v>Q3-2024</v>
      </c>
      <c r="Q2918">
        <f>YEAR(tblTransactions[[#This Row],[Date]])</f>
        <v>2024</v>
      </c>
      <c r="R2918" t="str">
        <f>TEXT(tblTransactions[[#This Row],[Date]],"DDDD")</f>
        <v>Friday</v>
      </c>
      <c r="S2918">
        <f>MONTH(tblTransactions[[#This Row],[Date]])</f>
        <v>9</v>
      </c>
      <c r="T2918" t="str">
        <f>VLOOKUP(E2918, Products!$A:$B,2,0)</f>
        <v>Printers Tec-2</v>
      </c>
      <c r="U2918" t="str">
        <f>VLOOKUP(E2918,Products!$A:$C,3,0)</f>
        <v>Technology</v>
      </c>
      <c r="V2918" t="str">
        <f>VLOOKUP(E2918,Products!$A:$D,4,0)</f>
        <v>Printers</v>
      </c>
      <c r="W2918" t="str">
        <f>VLOOKUP(D2918,Customers!$A:$C,3,0)</f>
        <v>Small Business</v>
      </c>
      <c r="X2918" t="str">
        <f>VLOOKUP(C2918,Sales_Representatives!$A:$B,2,0)</f>
        <v>Richard Wilson</v>
      </c>
    </row>
    <row r="2919" spans="1:24" x14ac:dyDescent="0.3">
      <c r="A2919" t="s">
        <v>3989</v>
      </c>
      <c r="B2919" t="s">
        <v>3988</v>
      </c>
      <c r="C2919" t="s">
        <v>56</v>
      </c>
      <c r="D2919" t="s">
        <v>2094</v>
      </c>
      <c r="E2919" t="s">
        <v>15</v>
      </c>
      <c r="F2919">
        <v>1</v>
      </c>
      <c r="G2919">
        <v>477.48</v>
      </c>
      <c r="H2919">
        <v>0.05</v>
      </c>
      <c r="I2919" s="4">
        <v>453.61</v>
      </c>
      <c r="J2919" t="s">
        <v>34</v>
      </c>
      <c r="K2919" t="s">
        <v>22</v>
      </c>
      <c r="L2919" s="4">
        <f>VLOOKUP(tblTransactions[[#This Row],[Product_ID]],tblProducts[],5,FALSE)</f>
        <v>275.51</v>
      </c>
      <c r="M2919" s="4">
        <f>tblTransactions[[#This Row],[Total_Amount]]-(tblTransactions[[#This Row],[Cost_Prices]]*tblTransactions[[#This Row],[Quantity]]*(1-tblTransactions[[#This Row],[Discount]]))</f>
        <v>191.87550000000005</v>
      </c>
      <c r="N2919" s="3">
        <f>tblTransactions[[#This Row],[Profit]]/tblTransactions[[#This Row],[Total_Amount]]</f>
        <v>0.42299662705848645</v>
      </c>
      <c r="O2919" t="str">
        <f>TEXT(tblTransactions[[#This Row],[Date]], "MMM-YYYY")</f>
        <v>Sep-2024</v>
      </c>
      <c r="P2919" t="str">
        <f>"Q"&amp;ROUNDUP(MONTH(tblTransactions[[#This Row],[Date]])/3,0)&amp;"-"&amp;YEAR(tblTransactions[[#This Row],[Date]])</f>
        <v>Q3-2024</v>
      </c>
      <c r="Q2919">
        <f>YEAR(tblTransactions[[#This Row],[Date]])</f>
        <v>2024</v>
      </c>
      <c r="R2919" t="str">
        <f>TEXT(tblTransactions[[#This Row],[Date]],"DDDD")</f>
        <v>Friday</v>
      </c>
      <c r="S2919">
        <f>MONTH(tblTransactions[[#This Row],[Date]])</f>
        <v>9</v>
      </c>
      <c r="T2919" t="str">
        <f>VLOOKUP(E2919, Products!$A:$B,2,0)</f>
        <v>Laptops Ele-4</v>
      </c>
      <c r="U2919" t="str">
        <f>VLOOKUP(E2919,Products!$A:$C,3,0)</f>
        <v>Electronics</v>
      </c>
      <c r="V2919" t="str">
        <f>VLOOKUP(E2919,Products!$A:$D,4,0)</f>
        <v>Laptops</v>
      </c>
      <c r="W2919" t="str">
        <f>VLOOKUP(D2919,Customers!$A:$C,3,0)</f>
        <v>Small Business</v>
      </c>
      <c r="X2919" t="str">
        <f>VLOOKUP(C2919,Sales_Representatives!$A:$B,2,0)</f>
        <v>Thomas Hernandez</v>
      </c>
    </row>
    <row r="2920" spans="1:24" x14ac:dyDescent="0.3">
      <c r="A2920" t="s">
        <v>3990</v>
      </c>
      <c r="B2920" t="s">
        <v>3988</v>
      </c>
      <c r="C2920" t="s">
        <v>82</v>
      </c>
      <c r="D2920" t="s">
        <v>28</v>
      </c>
      <c r="E2920" t="s">
        <v>15</v>
      </c>
      <c r="F2920">
        <v>3</v>
      </c>
      <c r="G2920">
        <v>477.48</v>
      </c>
      <c r="H2920">
        <v>0.05</v>
      </c>
      <c r="I2920" s="4">
        <v>1360.82</v>
      </c>
      <c r="J2920" t="s">
        <v>34</v>
      </c>
      <c r="K2920" t="s">
        <v>22</v>
      </c>
      <c r="L2920" s="4">
        <f>VLOOKUP(tblTransactions[[#This Row],[Product_ID]],tblProducts[],5,FALSE)</f>
        <v>275.51</v>
      </c>
      <c r="M2920" s="4">
        <f>tblTransactions[[#This Row],[Total_Amount]]-(tblTransactions[[#This Row],[Cost_Prices]]*tblTransactions[[#This Row],[Quantity]]*(1-tblTransactions[[#This Row],[Discount]]))</f>
        <v>575.61649999999997</v>
      </c>
      <c r="N2920" s="3">
        <f>tblTransactions[[#This Row],[Profit]]/tblTransactions[[#This Row],[Total_Amount]]</f>
        <v>0.4229923869431666</v>
      </c>
      <c r="O2920" t="str">
        <f>TEXT(tblTransactions[[#This Row],[Date]], "MMM-YYYY")</f>
        <v>Sep-2024</v>
      </c>
      <c r="P2920" t="str">
        <f>"Q"&amp;ROUNDUP(MONTH(tblTransactions[[#This Row],[Date]])/3,0)&amp;"-"&amp;YEAR(tblTransactions[[#This Row],[Date]])</f>
        <v>Q3-2024</v>
      </c>
      <c r="Q2920">
        <f>YEAR(tblTransactions[[#This Row],[Date]])</f>
        <v>2024</v>
      </c>
      <c r="R2920" t="str">
        <f>TEXT(tblTransactions[[#This Row],[Date]],"DDDD")</f>
        <v>Friday</v>
      </c>
      <c r="S2920">
        <f>MONTH(tblTransactions[[#This Row],[Date]])</f>
        <v>9</v>
      </c>
      <c r="T2920" t="str">
        <f>VLOOKUP(E2920, Products!$A:$B,2,0)</f>
        <v>Laptops Ele-4</v>
      </c>
      <c r="U2920" t="str">
        <f>VLOOKUP(E2920,Products!$A:$C,3,0)</f>
        <v>Electronics</v>
      </c>
      <c r="V2920" t="str">
        <f>VLOOKUP(E2920,Products!$A:$D,4,0)</f>
        <v>Laptops</v>
      </c>
      <c r="W2920" t="str">
        <f>VLOOKUP(D2920,Customers!$A:$C,3,0)</f>
        <v>B2B</v>
      </c>
      <c r="X2920" t="str">
        <f>VLOOKUP(C2920,Sales_Representatives!$A:$B,2,0)</f>
        <v>John Brown</v>
      </c>
    </row>
    <row r="2921" spans="1:24" x14ac:dyDescent="0.3">
      <c r="A2921" t="s">
        <v>3991</v>
      </c>
      <c r="B2921" t="s">
        <v>3988</v>
      </c>
      <c r="C2921" t="s">
        <v>131</v>
      </c>
      <c r="D2921" t="s">
        <v>132</v>
      </c>
      <c r="E2921" t="s">
        <v>20</v>
      </c>
      <c r="F2921">
        <v>9</v>
      </c>
      <c r="G2921">
        <v>1219.49</v>
      </c>
      <c r="H2921">
        <v>0.1</v>
      </c>
      <c r="I2921" s="4">
        <v>9877.8700000000008</v>
      </c>
      <c r="J2921" t="s">
        <v>44</v>
      </c>
      <c r="K2921" t="s">
        <v>48</v>
      </c>
      <c r="L2921" s="4">
        <f>VLOOKUP(tblTransactions[[#This Row],[Product_ID]],tblProducts[],5,FALSE)</f>
        <v>686.9</v>
      </c>
      <c r="M2921" s="4">
        <f>tblTransactions[[#This Row],[Total_Amount]]-(tblTransactions[[#This Row],[Cost_Prices]]*tblTransactions[[#This Row],[Quantity]]*(1-tblTransactions[[#This Row],[Discount]]))</f>
        <v>4313.9800000000014</v>
      </c>
      <c r="N2921" s="3">
        <f>tblTransactions[[#This Row],[Profit]]/tblTransactions[[#This Row],[Total_Amount]]</f>
        <v>0.43673180554107321</v>
      </c>
      <c r="O2921" t="str">
        <f>TEXT(tblTransactions[[#This Row],[Date]], "MMM-YYYY")</f>
        <v>Sep-2024</v>
      </c>
      <c r="P2921" t="str">
        <f>"Q"&amp;ROUNDUP(MONTH(tblTransactions[[#This Row],[Date]])/3,0)&amp;"-"&amp;YEAR(tblTransactions[[#This Row],[Date]])</f>
        <v>Q3-2024</v>
      </c>
      <c r="Q2921">
        <f>YEAR(tblTransactions[[#This Row],[Date]])</f>
        <v>2024</v>
      </c>
      <c r="R2921" t="str">
        <f>TEXT(tblTransactions[[#This Row],[Date]],"DDDD")</f>
        <v>Friday</v>
      </c>
      <c r="S2921">
        <f>MONTH(tblTransactions[[#This Row],[Date]])</f>
        <v>9</v>
      </c>
      <c r="T2921" t="str">
        <f>VLOOKUP(E2921, Products!$A:$B,2,0)</f>
        <v>Laptops Ele-1</v>
      </c>
      <c r="U2921" t="str">
        <f>VLOOKUP(E2921,Products!$A:$C,3,0)</f>
        <v>Electronics</v>
      </c>
      <c r="V2921" t="str">
        <f>VLOOKUP(E2921,Products!$A:$D,4,0)</f>
        <v>Laptops</v>
      </c>
      <c r="W2921" t="str">
        <f>VLOOKUP(D2921,Customers!$A:$C,3,0)</f>
        <v>B2B</v>
      </c>
      <c r="X2921" t="str">
        <f>VLOOKUP(C2921,Sales_Representatives!$A:$B,2,0)</f>
        <v>Michael Davis</v>
      </c>
    </row>
    <row r="2922" spans="1:24" x14ac:dyDescent="0.3">
      <c r="A2922" t="s">
        <v>3992</v>
      </c>
      <c r="B2922" t="s">
        <v>3993</v>
      </c>
      <c r="C2922" t="s">
        <v>131</v>
      </c>
      <c r="D2922" t="s">
        <v>3165</v>
      </c>
      <c r="E2922" t="s">
        <v>376</v>
      </c>
      <c r="F2922">
        <v>5</v>
      </c>
      <c r="G2922">
        <v>229.65</v>
      </c>
      <c r="H2922">
        <v>0.08</v>
      </c>
      <c r="I2922" s="4">
        <v>1056.3900000000001</v>
      </c>
      <c r="J2922" t="s">
        <v>44</v>
      </c>
      <c r="K2922" t="s">
        <v>39</v>
      </c>
      <c r="L2922" s="4">
        <f>VLOOKUP(tblTransactions[[#This Row],[Product_ID]],tblProducts[],5,FALSE)</f>
        <v>96.84</v>
      </c>
      <c r="M2922" s="4">
        <f>tblTransactions[[#This Row],[Total_Amount]]-(tblTransactions[[#This Row],[Cost_Prices]]*tblTransactions[[#This Row],[Quantity]]*(1-tblTransactions[[#This Row],[Discount]]))</f>
        <v>610.92600000000004</v>
      </c>
      <c r="N2922" s="3">
        <f>tblTransactions[[#This Row],[Profit]]/tblTransactions[[#This Row],[Total_Amount]]</f>
        <v>0.57831482691051594</v>
      </c>
      <c r="O2922" t="str">
        <f>TEXT(tblTransactions[[#This Row],[Date]], "MMM-YYYY")</f>
        <v>Sep-2024</v>
      </c>
      <c r="P2922" t="str">
        <f>"Q"&amp;ROUNDUP(MONTH(tblTransactions[[#This Row],[Date]])/3,0)&amp;"-"&amp;YEAR(tblTransactions[[#This Row],[Date]])</f>
        <v>Q3-2024</v>
      </c>
      <c r="Q2922">
        <f>YEAR(tblTransactions[[#This Row],[Date]])</f>
        <v>2024</v>
      </c>
      <c r="R2922" t="str">
        <f>TEXT(tblTransactions[[#This Row],[Date]],"DDDD")</f>
        <v>Saturday</v>
      </c>
      <c r="S2922">
        <f>MONTH(tblTransactions[[#This Row],[Date]])</f>
        <v>9</v>
      </c>
      <c r="T2922" t="str">
        <f>VLOOKUP(E2922, Products!$A:$B,2,0)</f>
        <v>Adapters Acc-2</v>
      </c>
      <c r="U2922" t="str">
        <f>VLOOKUP(E2922,Products!$A:$C,3,0)</f>
        <v>Accessories</v>
      </c>
      <c r="V2922" t="str">
        <f>VLOOKUP(E2922,Products!$A:$D,4,0)</f>
        <v>Adapters</v>
      </c>
      <c r="W2922" t="str">
        <f>VLOOKUP(D2922,Customers!$A:$C,3,0)</f>
        <v>B2C</v>
      </c>
      <c r="X2922" t="str">
        <f>VLOOKUP(C2922,Sales_Representatives!$A:$B,2,0)</f>
        <v>Michael Davis</v>
      </c>
    </row>
    <row r="2923" spans="1:24" x14ac:dyDescent="0.3">
      <c r="A2923" t="s">
        <v>3994</v>
      </c>
      <c r="B2923" t="s">
        <v>3993</v>
      </c>
      <c r="C2923" t="s">
        <v>127</v>
      </c>
      <c r="D2923" t="s">
        <v>2427</v>
      </c>
      <c r="E2923" t="s">
        <v>176</v>
      </c>
      <c r="F2923">
        <v>3</v>
      </c>
      <c r="G2923">
        <v>1462.68</v>
      </c>
      <c r="H2923">
        <v>0.04</v>
      </c>
      <c r="I2923" s="4">
        <v>4212.5200000000004</v>
      </c>
      <c r="J2923" t="s">
        <v>109</v>
      </c>
      <c r="K2923" t="s">
        <v>35</v>
      </c>
      <c r="L2923" s="4">
        <f>VLOOKUP(tblTransactions[[#This Row],[Product_ID]],tblProducts[],5,FALSE)</f>
        <v>775.94</v>
      </c>
      <c r="M2923" s="4">
        <f>tblTransactions[[#This Row],[Total_Amount]]-(tblTransactions[[#This Row],[Cost_Prices]]*tblTransactions[[#This Row],[Quantity]]*(1-tblTransactions[[#This Row],[Discount]]))</f>
        <v>1977.8128000000002</v>
      </c>
      <c r="N2923" s="3">
        <f>tblTransactions[[#This Row],[Profit]]/tblTransactions[[#This Row],[Total_Amount]]</f>
        <v>0.46950822785411106</v>
      </c>
      <c r="O2923" t="str">
        <f>TEXT(tblTransactions[[#This Row],[Date]], "MMM-YYYY")</f>
        <v>Sep-2024</v>
      </c>
      <c r="P2923" t="str">
        <f>"Q"&amp;ROUNDUP(MONTH(tblTransactions[[#This Row],[Date]])/3,0)&amp;"-"&amp;YEAR(tblTransactions[[#This Row],[Date]])</f>
        <v>Q3-2024</v>
      </c>
      <c r="Q2923">
        <f>YEAR(tblTransactions[[#This Row],[Date]])</f>
        <v>2024</v>
      </c>
      <c r="R2923" t="str">
        <f>TEXT(tblTransactions[[#This Row],[Date]],"DDDD")</f>
        <v>Saturday</v>
      </c>
      <c r="S2923">
        <f>MONTH(tblTransactions[[#This Row],[Date]])</f>
        <v>9</v>
      </c>
      <c r="T2923" t="str">
        <f>VLOOKUP(E2923, Products!$A:$B,2,0)</f>
        <v>Chairs Fur-2</v>
      </c>
      <c r="U2923" t="str">
        <f>VLOOKUP(E2923,Products!$A:$C,3,0)</f>
        <v>Furniture</v>
      </c>
      <c r="V2923" t="str">
        <f>VLOOKUP(E2923,Products!$A:$D,4,0)</f>
        <v>Chairs</v>
      </c>
      <c r="W2923" t="str">
        <f>VLOOKUP(D2923,Customers!$A:$C,3,0)</f>
        <v>Small Business</v>
      </c>
      <c r="X2923" t="str">
        <f>VLOOKUP(C2923,Sales_Representatives!$A:$B,2,0)</f>
        <v>Emily Hernandez</v>
      </c>
    </row>
    <row r="2924" spans="1:24" x14ac:dyDescent="0.3">
      <c r="A2924" t="s">
        <v>3995</v>
      </c>
      <c r="B2924" t="s">
        <v>3993</v>
      </c>
      <c r="C2924" t="s">
        <v>127</v>
      </c>
      <c r="D2924" t="s">
        <v>1852</v>
      </c>
      <c r="E2924" t="s">
        <v>324</v>
      </c>
      <c r="F2924">
        <v>10</v>
      </c>
      <c r="G2924">
        <v>245.76</v>
      </c>
      <c r="H2924">
        <v>7.0000000000000007E-2</v>
      </c>
      <c r="I2924" s="4">
        <v>2285.5700000000002</v>
      </c>
      <c r="J2924" t="s">
        <v>109</v>
      </c>
      <c r="K2924" t="s">
        <v>17</v>
      </c>
      <c r="L2924" s="4">
        <f>VLOOKUP(tblTransactions[[#This Row],[Product_ID]],tblProducts[],5,FALSE)</f>
        <v>161.94</v>
      </c>
      <c r="M2924" s="4">
        <f>tblTransactions[[#This Row],[Total_Amount]]-(tblTransactions[[#This Row],[Cost_Prices]]*tblTransactions[[#This Row],[Quantity]]*(1-tblTransactions[[#This Row],[Discount]]))</f>
        <v>779.52800000000025</v>
      </c>
      <c r="N2924" s="3">
        <f>tblTransactions[[#This Row],[Profit]]/tblTransactions[[#This Row],[Total_Amount]]</f>
        <v>0.3410650297300018</v>
      </c>
      <c r="O2924" t="str">
        <f>TEXT(tblTransactions[[#This Row],[Date]], "MMM-YYYY")</f>
        <v>Sep-2024</v>
      </c>
      <c r="P2924" t="str">
        <f>"Q"&amp;ROUNDUP(MONTH(tblTransactions[[#This Row],[Date]])/3,0)&amp;"-"&amp;YEAR(tblTransactions[[#This Row],[Date]])</f>
        <v>Q3-2024</v>
      </c>
      <c r="Q2924">
        <f>YEAR(tblTransactions[[#This Row],[Date]])</f>
        <v>2024</v>
      </c>
      <c r="R2924" t="str">
        <f>TEXT(tblTransactions[[#This Row],[Date]],"DDDD")</f>
        <v>Saturday</v>
      </c>
      <c r="S2924">
        <f>MONTH(tblTransactions[[#This Row],[Date]])</f>
        <v>9</v>
      </c>
      <c r="T2924" t="str">
        <f>VLOOKUP(E2924, Products!$A:$B,2,0)</f>
        <v>Storage Fur-1</v>
      </c>
      <c r="U2924" t="str">
        <f>VLOOKUP(E2924,Products!$A:$C,3,0)</f>
        <v>Furniture</v>
      </c>
      <c r="V2924" t="str">
        <f>VLOOKUP(E2924,Products!$A:$D,4,0)</f>
        <v>Storage</v>
      </c>
      <c r="W2924" t="str">
        <f>VLOOKUP(D2924,Customers!$A:$C,3,0)</f>
        <v>B2B</v>
      </c>
      <c r="X2924" t="str">
        <f>VLOOKUP(C2924,Sales_Representatives!$A:$B,2,0)</f>
        <v>Emily Hernandez</v>
      </c>
    </row>
    <row r="2925" spans="1:24" x14ac:dyDescent="0.3">
      <c r="A2925" t="s">
        <v>3996</v>
      </c>
      <c r="B2925" t="s">
        <v>3993</v>
      </c>
      <c r="C2925" t="s">
        <v>141</v>
      </c>
      <c r="D2925" t="s">
        <v>1683</v>
      </c>
      <c r="E2925" t="s">
        <v>243</v>
      </c>
      <c r="F2925">
        <v>4</v>
      </c>
      <c r="G2925">
        <v>384.18</v>
      </c>
      <c r="H2925">
        <v>7.0000000000000007E-2</v>
      </c>
      <c r="I2925" s="4">
        <v>1429.15</v>
      </c>
      <c r="J2925" t="s">
        <v>109</v>
      </c>
      <c r="K2925" t="s">
        <v>48</v>
      </c>
      <c r="L2925" s="4">
        <f>VLOOKUP(tblTransactions[[#This Row],[Product_ID]],tblProducts[],5,FALSE)</f>
        <v>266.92</v>
      </c>
      <c r="M2925" s="4">
        <f>tblTransactions[[#This Row],[Total_Amount]]-(tblTransactions[[#This Row],[Cost_Prices]]*tblTransactions[[#This Row],[Quantity]]*(1-tblTransactions[[#This Row],[Discount]]))</f>
        <v>436.20760000000007</v>
      </c>
      <c r="N2925" s="3">
        <f>tblTransactions[[#This Row],[Profit]]/tblTransactions[[#This Row],[Total_Amount]]</f>
        <v>0.30522170520939024</v>
      </c>
      <c r="O2925" t="str">
        <f>TEXT(tblTransactions[[#This Row],[Date]], "MMM-YYYY")</f>
        <v>Sep-2024</v>
      </c>
      <c r="P2925" t="str">
        <f>"Q"&amp;ROUNDUP(MONTH(tblTransactions[[#This Row],[Date]])/3,0)&amp;"-"&amp;YEAR(tblTransactions[[#This Row],[Date]])</f>
        <v>Q3-2024</v>
      </c>
      <c r="Q2925">
        <f>YEAR(tblTransactions[[#This Row],[Date]])</f>
        <v>2024</v>
      </c>
      <c r="R2925" t="str">
        <f>TEXT(tblTransactions[[#This Row],[Date]],"DDDD")</f>
        <v>Saturday</v>
      </c>
      <c r="S2925">
        <f>MONTH(tblTransactions[[#This Row],[Date]])</f>
        <v>9</v>
      </c>
      <c r="T2925" t="str">
        <f>VLOOKUP(E2925, Products!$A:$B,2,0)</f>
        <v>Routers Tec-3</v>
      </c>
      <c r="U2925" t="str">
        <f>VLOOKUP(E2925,Products!$A:$C,3,0)</f>
        <v>Technology</v>
      </c>
      <c r="V2925" t="str">
        <f>VLOOKUP(E2925,Products!$A:$D,4,0)</f>
        <v>Routers</v>
      </c>
      <c r="W2925" t="str">
        <f>VLOOKUP(D2925,Customers!$A:$C,3,0)</f>
        <v>B2C</v>
      </c>
      <c r="X2925" t="str">
        <f>VLOOKUP(C2925,Sales_Representatives!$A:$B,2,0)</f>
        <v>Richard Garcia</v>
      </c>
    </row>
    <row r="2926" spans="1:24" x14ac:dyDescent="0.3">
      <c r="A2926" t="s">
        <v>3997</v>
      </c>
      <c r="B2926" t="s">
        <v>3993</v>
      </c>
      <c r="C2926" t="s">
        <v>56</v>
      </c>
      <c r="D2926" t="s">
        <v>1602</v>
      </c>
      <c r="E2926" t="s">
        <v>704</v>
      </c>
      <c r="F2926">
        <v>2</v>
      </c>
      <c r="G2926">
        <v>291.81</v>
      </c>
      <c r="H2926">
        <v>0.09</v>
      </c>
      <c r="I2926" s="4">
        <v>531.09</v>
      </c>
      <c r="J2926" t="s">
        <v>34</v>
      </c>
      <c r="K2926" t="s">
        <v>35</v>
      </c>
      <c r="L2926" s="4">
        <f>VLOOKUP(tblTransactions[[#This Row],[Product_ID]],tblProducts[],5,FALSE)</f>
        <v>123.61</v>
      </c>
      <c r="M2926" s="4">
        <f>tblTransactions[[#This Row],[Total_Amount]]-(tblTransactions[[#This Row],[Cost_Prices]]*tblTransactions[[#This Row],[Quantity]]*(1-tblTransactions[[#This Row],[Discount]]))</f>
        <v>306.11980000000005</v>
      </c>
      <c r="N2926" s="3">
        <f>tblTransactions[[#This Row],[Profit]]/tblTransactions[[#This Row],[Total_Amount]]</f>
        <v>0.57639910373006464</v>
      </c>
      <c r="O2926" t="str">
        <f>TEXT(tblTransactions[[#This Row],[Date]], "MMM-YYYY")</f>
        <v>Sep-2024</v>
      </c>
      <c r="P2926" t="str">
        <f>"Q"&amp;ROUNDUP(MONTH(tblTransactions[[#This Row],[Date]])/3,0)&amp;"-"&amp;YEAR(tblTransactions[[#This Row],[Date]])</f>
        <v>Q3-2024</v>
      </c>
      <c r="Q2926">
        <f>YEAR(tblTransactions[[#This Row],[Date]])</f>
        <v>2024</v>
      </c>
      <c r="R2926" t="str">
        <f>TEXT(tblTransactions[[#This Row],[Date]],"DDDD")</f>
        <v>Saturday</v>
      </c>
      <c r="S2926">
        <f>MONTH(tblTransactions[[#This Row],[Date]])</f>
        <v>9</v>
      </c>
      <c r="T2926" t="str">
        <f>VLOOKUP(E2926, Products!$A:$B,2,0)</f>
        <v>Keyboards Acc-4</v>
      </c>
      <c r="U2926" t="str">
        <f>VLOOKUP(E2926,Products!$A:$C,3,0)</f>
        <v>Accessories</v>
      </c>
      <c r="V2926" t="str">
        <f>VLOOKUP(E2926,Products!$A:$D,4,0)</f>
        <v>Keyboards</v>
      </c>
      <c r="W2926" t="str">
        <f>VLOOKUP(D2926,Customers!$A:$C,3,0)</f>
        <v>B2C</v>
      </c>
      <c r="X2926" t="str">
        <f>VLOOKUP(C2926,Sales_Representatives!$A:$B,2,0)</f>
        <v>Thomas Hernandez</v>
      </c>
    </row>
    <row r="2927" spans="1:24" x14ac:dyDescent="0.3">
      <c r="A2927" t="s">
        <v>3998</v>
      </c>
      <c r="B2927" t="s">
        <v>3993</v>
      </c>
      <c r="C2927" t="s">
        <v>41</v>
      </c>
      <c r="D2927" t="s">
        <v>28</v>
      </c>
      <c r="E2927" t="s">
        <v>191</v>
      </c>
      <c r="F2927">
        <v>14</v>
      </c>
      <c r="G2927">
        <v>1012.75</v>
      </c>
      <c r="H2927">
        <v>0.17</v>
      </c>
      <c r="I2927" s="4">
        <v>11768.16</v>
      </c>
      <c r="J2927" t="s">
        <v>44</v>
      </c>
      <c r="K2927" t="s">
        <v>17</v>
      </c>
      <c r="L2927" s="4">
        <f>VLOOKUP(tblTransactions[[#This Row],[Product_ID]],tblProducts[],5,FALSE)</f>
        <v>518.53</v>
      </c>
      <c r="M2927" s="4">
        <f>tblTransactions[[#This Row],[Total_Amount]]-(tblTransactions[[#This Row],[Cost_Prices]]*tblTransactions[[#This Row],[Quantity]]*(1-tblTransactions[[#This Row],[Discount]]))</f>
        <v>5742.8414000000002</v>
      </c>
      <c r="N2927" s="3">
        <f>tblTransactions[[#This Row],[Profit]]/tblTransactions[[#This Row],[Total_Amount]]</f>
        <v>0.48799824271593861</v>
      </c>
      <c r="O2927" t="str">
        <f>TEXT(tblTransactions[[#This Row],[Date]], "MMM-YYYY")</f>
        <v>Sep-2024</v>
      </c>
      <c r="P2927" t="str">
        <f>"Q"&amp;ROUNDUP(MONTH(tblTransactions[[#This Row],[Date]])/3,0)&amp;"-"&amp;YEAR(tblTransactions[[#This Row],[Date]])</f>
        <v>Q3-2024</v>
      </c>
      <c r="Q2927">
        <f>YEAR(tblTransactions[[#This Row],[Date]])</f>
        <v>2024</v>
      </c>
      <c r="R2927" t="str">
        <f>TEXT(tblTransactions[[#This Row],[Date]],"DDDD")</f>
        <v>Saturday</v>
      </c>
      <c r="S2927">
        <f>MONTH(tblTransactions[[#This Row],[Date]])</f>
        <v>9</v>
      </c>
      <c r="T2927" t="str">
        <f>VLOOKUP(E2927, Products!$A:$B,2,0)</f>
        <v>Tables Fur-4</v>
      </c>
      <c r="U2927" t="str">
        <f>VLOOKUP(E2927,Products!$A:$C,3,0)</f>
        <v>Furniture</v>
      </c>
      <c r="V2927" t="str">
        <f>VLOOKUP(E2927,Products!$A:$D,4,0)</f>
        <v>Tables</v>
      </c>
      <c r="W2927" t="str">
        <f>VLOOKUP(D2927,Customers!$A:$C,3,0)</f>
        <v>B2B</v>
      </c>
      <c r="X2927" t="str">
        <f>VLOOKUP(C2927,Sales_Representatives!$A:$B,2,0)</f>
        <v>Robert Jones</v>
      </c>
    </row>
    <row r="2928" spans="1:24" x14ac:dyDescent="0.3">
      <c r="A2928" t="s">
        <v>3999</v>
      </c>
      <c r="B2928" t="s">
        <v>4000</v>
      </c>
      <c r="C2928" t="s">
        <v>27</v>
      </c>
      <c r="D2928" t="s">
        <v>154</v>
      </c>
      <c r="E2928" t="s">
        <v>99</v>
      </c>
      <c r="F2928">
        <v>18</v>
      </c>
      <c r="G2928">
        <v>325.14</v>
      </c>
      <c r="H2928">
        <v>0.14000000000000001</v>
      </c>
      <c r="I2928" s="4">
        <v>5033.17</v>
      </c>
      <c r="J2928" t="s">
        <v>16</v>
      </c>
      <c r="K2928" t="s">
        <v>17</v>
      </c>
      <c r="L2928" s="4">
        <f>VLOOKUP(tblTransactions[[#This Row],[Product_ID]],tblProducts[],5,FALSE)</f>
        <v>209.04</v>
      </c>
      <c r="M2928" s="4">
        <f>tblTransactions[[#This Row],[Total_Amount]]-(tblTransactions[[#This Row],[Cost_Prices]]*tblTransactions[[#This Row],[Quantity]]*(1-tblTransactions[[#This Row],[Discount]]))</f>
        <v>1797.2308000000003</v>
      </c>
      <c r="N2928" s="3">
        <f>tblTransactions[[#This Row],[Profit]]/tblTransactions[[#This Row],[Total_Amount]]</f>
        <v>0.35707730913122349</v>
      </c>
      <c r="O2928" t="str">
        <f>TEXT(tblTransactions[[#This Row],[Date]], "MMM-YYYY")</f>
        <v>Sep-2024</v>
      </c>
      <c r="P2928" t="str">
        <f>"Q"&amp;ROUNDUP(MONTH(tblTransactions[[#This Row],[Date]])/3,0)&amp;"-"&amp;YEAR(tblTransactions[[#This Row],[Date]])</f>
        <v>Q3-2024</v>
      </c>
      <c r="Q2928">
        <f>YEAR(tblTransactions[[#This Row],[Date]])</f>
        <v>2024</v>
      </c>
      <c r="R2928" t="str">
        <f>TEXT(tblTransactions[[#This Row],[Date]],"DDDD")</f>
        <v>Sunday</v>
      </c>
      <c r="S2928">
        <f>MONTH(tblTransactions[[#This Row],[Date]])</f>
        <v>9</v>
      </c>
      <c r="T2928" t="str">
        <f>VLOOKUP(E2928, Products!$A:$B,2,0)</f>
        <v>Monitors Tec-1</v>
      </c>
      <c r="U2928" t="str">
        <f>VLOOKUP(E2928,Products!$A:$C,3,0)</f>
        <v>Technology</v>
      </c>
      <c r="V2928" t="str">
        <f>VLOOKUP(E2928,Products!$A:$D,4,0)</f>
        <v>Monitors</v>
      </c>
      <c r="W2928" t="str">
        <f>VLOOKUP(D2928,Customers!$A:$C,3,0)</f>
        <v>B2B</v>
      </c>
      <c r="X2928" t="str">
        <f>VLOOKUP(C2928,Sales_Representatives!$A:$B,2,0)</f>
        <v>Thomas Lopez</v>
      </c>
    </row>
    <row r="2929" spans="1:24" x14ac:dyDescent="0.3">
      <c r="A2929" t="s">
        <v>4001</v>
      </c>
      <c r="B2929" t="s">
        <v>4000</v>
      </c>
      <c r="C2929" t="s">
        <v>141</v>
      </c>
      <c r="D2929" t="s">
        <v>197</v>
      </c>
      <c r="E2929" t="s">
        <v>89</v>
      </c>
      <c r="F2929">
        <v>47</v>
      </c>
      <c r="G2929">
        <v>555.08000000000004</v>
      </c>
      <c r="H2929">
        <v>0.17</v>
      </c>
      <c r="I2929" s="4">
        <v>21653.67</v>
      </c>
      <c r="J2929" t="s">
        <v>109</v>
      </c>
      <c r="K2929" t="s">
        <v>39</v>
      </c>
      <c r="L2929" s="4">
        <f>VLOOKUP(tblTransactions[[#This Row],[Product_ID]],tblProducts[],5,FALSE)</f>
        <v>402.82</v>
      </c>
      <c r="M2929" s="4">
        <f>tblTransactions[[#This Row],[Total_Amount]]-(tblTransactions[[#This Row],[Cost_Prices]]*tblTransactions[[#This Row],[Quantity]]*(1-tblTransactions[[#This Row],[Discount]]))</f>
        <v>5939.661799999998</v>
      </c>
      <c r="N2929" s="3">
        <f>tblTransactions[[#This Row],[Profit]]/tblTransactions[[#This Row],[Total_Amount]]</f>
        <v>0.27430277638848283</v>
      </c>
      <c r="O2929" t="str">
        <f>TEXT(tblTransactions[[#This Row],[Date]], "MMM-YYYY")</f>
        <v>Sep-2024</v>
      </c>
      <c r="P2929" t="str">
        <f>"Q"&amp;ROUNDUP(MONTH(tblTransactions[[#This Row],[Date]])/3,0)&amp;"-"&amp;YEAR(tblTransactions[[#This Row],[Date]])</f>
        <v>Q3-2024</v>
      </c>
      <c r="Q2929">
        <f>YEAR(tblTransactions[[#This Row],[Date]])</f>
        <v>2024</v>
      </c>
      <c r="R2929" t="str">
        <f>TEXT(tblTransactions[[#This Row],[Date]],"DDDD")</f>
        <v>Sunday</v>
      </c>
      <c r="S2929">
        <f>MONTH(tblTransactions[[#This Row],[Date]])</f>
        <v>9</v>
      </c>
      <c r="T2929" t="str">
        <f>VLOOKUP(E2929, Products!$A:$B,2,0)</f>
        <v>Laptops Ele-3</v>
      </c>
      <c r="U2929" t="str">
        <f>VLOOKUP(E2929,Products!$A:$C,3,0)</f>
        <v>Electronics</v>
      </c>
      <c r="V2929" t="str">
        <f>VLOOKUP(E2929,Products!$A:$D,4,0)</f>
        <v>Laptops</v>
      </c>
      <c r="W2929" t="str">
        <f>VLOOKUP(D2929,Customers!$A:$C,3,0)</f>
        <v>Enterprise</v>
      </c>
      <c r="X2929" t="str">
        <f>VLOOKUP(C2929,Sales_Representatives!$A:$B,2,0)</f>
        <v>Richard Garcia</v>
      </c>
    </row>
    <row r="2930" spans="1:24" x14ac:dyDescent="0.3">
      <c r="A2930" t="s">
        <v>4002</v>
      </c>
      <c r="B2930" t="s">
        <v>4000</v>
      </c>
      <c r="C2930" t="s">
        <v>82</v>
      </c>
      <c r="D2930" t="s">
        <v>1463</v>
      </c>
      <c r="E2930" t="s">
        <v>435</v>
      </c>
      <c r="F2930">
        <v>2</v>
      </c>
      <c r="G2930">
        <v>198.72</v>
      </c>
      <c r="H2930">
        <v>0.02</v>
      </c>
      <c r="I2930" s="4">
        <v>389.49</v>
      </c>
      <c r="J2930" t="s">
        <v>34</v>
      </c>
      <c r="K2930" t="s">
        <v>22</v>
      </c>
      <c r="L2930" s="4">
        <f>VLOOKUP(tblTransactions[[#This Row],[Product_ID]],tblProducts[],5,FALSE)</f>
        <v>116.98</v>
      </c>
      <c r="M2930" s="4">
        <f>tblTransactions[[#This Row],[Total_Amount]]-(tblTransactions[[#This Row],[Cost_Prices]]*tblTransactions[[#This Row],[Quantity]]*(1-tblTransactions[[#This Row],[Discount]]))</f>
        <v>160.20920000000001</v>
      </c>
      <c r="N2930" s="3">
        <f>tblTransactions[[#This Row],[Profit]]/tblTransactions[[#This Row],[Total_Amount]]</f>
        <v>0.41133071452412129</v>
      </c>
      <c r="O2930" t="str">
        <f>TEXT(tblTransactions[[#This Row],[Date]], "MMM-YYYY")</f>
        <v>Sep-2024</v>
      </c>
      <c r="P2930" t="str">
        <f>"Q"&amp;ROUNDUP(MONTH(tblTransactions[[#This Row],[Date]])/3,0)&amp;"-"&amp;YEAR(tblTransactions[[#This Row],[Date]])</f>
        <v>Q3-2024</v>
      </c>
      <c r="Q2930">
        <f>YEAR(tblTransactions[[#This Row],[Date]])</f>
        <v>2024</v>
      </c>
      <c r="R2930" t="str">
        <f>TEXT(tblTransactions[[#This Row],[Date]],"DDDD")</f>
        <v>Sunday</v>
      </c>
      <c r="S2930">
        <f>MONTH(tblTransactions[[#This Row],[Date]])</f>
        <v>9</v>
      </c>
      <c r="T2930" t="str">
        <f>VLOOKUP(E2930, Products!$A:$B,2,0)</f>
        <v>Paper Off-4</v>
      </c>
      <c r="U2930" t="str">
        <f>VLOOKUP(E2930,Products!$A:$C,3,0)</f>
        <v>Office Supplies</v>
      </c>
      <c r="V2930" t="str">
        <f>VLOOKUP(E2930,Products!$A:$D,4,0)</f>
        <v>Paper</v>
      </c>
      <c r="W2930" t="str">
        <f>VLOOKUP(D2930,Customers!$A:$C,3,0)</f>
        <v>Small Business</v>
      </c>
      <c r="X2930" t="str">
        <f>VLOOKUP(C2930,Sales_Representatives!$A:$B,2,0)</f>
        <v>John Brown</v>
      </c>
    </row>
    <row r="2931" spans="1:24" x14ac:dyDescent="0.3">
      <c r="A2931" t="s">
        <v>4003</v>
      </c>
      <c r="B2931" t="s">
        <v>4004</v>
      </c>
      <c r="C2931" t="s">
        <v>131</v>
      </c>
      <c r="D2931" t="s">
        <v>2201</v>
      </c>
      <c r="E2931" t="s">
        <v>129</v>
      </c>
      <c r="F2931">
        <v>6</v>
      </c>
      <c r="G2931">
        <v>1283.71</v>
      </c>
      <c r="H2931">
        <v>0.11</v>
      </c>
      <c r="I2931" s="4">
        <v>6855.01</v>
      </c>
      <c r="J2931" t="s">
        <v>44</v>
      </c>
      <c r="K2931" t="s">
        <v>48</v>
      </c>
      <c r="L2931" s="4">
        <f>VLOOKUP(tblTransactions[[#This Row],[Product_ID]],tblProducts[],5,FALSE)</f>
        <v>970.14</v>
      </c>
      <c r="M2931" s="4">
        <f>tblTransactions[[#This Row],[Total_Amount]]-(tblTransactions[[#This Row],[Cost_Prices]]*tblTransactions[[#This Row],[Quantity]]*(1-tblTransactions[[#This Row],[Discount]]))</f>
        <v>1674.4624000000003</v>
      </c>
      <c r="N2931" s="3">
        <f>tblTransactions[[#This Row],[Profit]]/tblTransactions[[#This Row],[Total_Amount]]</f>
        <v>0.24426841098700078</v>
      </c>
      <c r="O2931" t="str">
        <f>TEXT(tblTransactions[[#This Row],[Date]], "MMM-YYYY")</f>
        <v>Sep-2024</v>
      </c>
      <c r="P2931" t="str">
        <f>"Q"&amp;ROUNDUP(MONTH(tblTransactions[[#This Row],[Date]])/3,0)&amp;"-"&amp;YEAR(tblTransactions[[#This Row],[Date]])</f>
        <v>Q3-2024</v>
      </c>
      <c r="Q2931">
        <f>YEAR(tblTransactions[[#This Row],[Date]])</f>
        <v>2024</v>
      </c>
      <c r="R2931" t="str">
        <f>TEXT(tblTransactions[[#This Row],[Date]],"DDDD")</f>
        <v>Monday</v>
      </c>
      <c r="S2931">
        <f>MONTH(tblTransactions[[#This Row],[Date]])</f>
        <v>9</v>
      </c>
      <c r="T2931" t="str">
        <f>VLOOKUP(E2931, Products!$A:$B,2,0)</f>
        <v>Cameras Ele-3</v>
      </c>
      <c r="U2931" t="str">
        <f>VLOOKUP(E2931,Products!$A:$C,3,0)</f>
        <v>Electronics</v>
      </c>
      <c r="V2931" t="str">
        <f>VLOOKUP(E2931,Products!$A:$D,4,0)</f>
        <v>Cameras</v>
      </c>
      <c r="W2931" t="str">
        <f>VLOOKUP(D2931,Customers!$A:$C,3,0)</f>
        <v>B2C</v>
      </c>
      <c r="X2931" t="str">
        <f>VLOOKUP(C2931,Sales_Representatives!$A:$B,2,0)</f>
        <v>Michael Davis</v>
      </c>
    </row>
    <row r="2932" spans="1:24" x14ac:dyDescent="0.3">
      <c r="A2932" t="s">
        <v>4005</v>
      </c>
      <c r="B2932" t="s">
        <v>4004</v>
      </c>
      <c r="C2932" t="s">
        <v>131</v>
      </c>
      <c r="D2932" t="s">
        <v>1571</v>
      </c>
      <c r="E2932" t="s">
        <v>168</v>
      </c>
      <c r="F2932">
        <v>2</v>
      </c>
      <c r="G2932">
        <v>101.59</v>
      </c>
      <c r="H2932">
        <v>0.03</v>
      </c>
      <c r="I2932" s="4">
        <v>197.08</v>
      </c>
      <c r="J2932" t="s">
        <v>44</v>
      </c>
      <c r="K2932" t="s">
        <v>48</v>
      </c>
      <c r="L2932" s="4">
        <f>VLOOKUP(tblTransactions[[#This Row],[Product_ID]],tblProducts[],5,FALSE)</f>
        <v>50.58</v>
      </c>
      <c r="M2932" s="4">
        <f>tblTransactions[[#This Row],[Total_Amount]]-(tblTransactions[[#This Row],[Cost_Prices]]*tblTransactions[[#This Row],[Quantity]]*(1-tblTransactions[[#This Row],[Discount]]))</f>
        <v>98.95480000000002</v>
      </c>
      <c r="N2932" s="3">
        <f>tblTransactions[[#This Row],[Profit]]/tblTransactions[[#This Row],[Total_Amount]]</f>
        <v>0.50210472904404313</v>
      </c>
      <c r="O2932" t="str">
        <f>TEXT(tblTransactions[[#This Row],[Date]], "MMM-YYYY")</f>
        <v>Sep-2024</v>
      </c>
      <c r="P2932" t="str">
        <f>"Q"&amp;ROUNDUP(MONTH(tblTransactions[[#This Row],[Date]])/3,0)&amp;"-"&amp;YEAR(tblTransactions[[#This Row],[Date]])</f>
        <v>Q3-2024</v>
      </c>
      <c r="Q2932">
        <f>YEAR(tblTransactions[[#This Row],[Date]])</f>
        <v>2024</v>
      </c>
      <c r="R2932" t="str">
        <f>TEXT(tblTransactions[[#This Row],[Date]],"DDDD")</f>
        <v>Monday</v>
      </c>
      <c r="S2932">
        <f>MONTH(tblTransactions[[#This Row],[Date]])</f>
        <v>9</v>
      </c>
      <c r="T2932" t="str">
        <f>VLOOKUP(E2932, Products!$A:$B,2,0)</f>
        <v>Cases Acc-4</v>
      </c>
      <c r="U2932" t="str">
        <f>VLOOKUP(E2932,Products!$A:$C,3,0)</f>
        <v>Accessories</v>
      </c>
      <c r="V2932" t="str">
        <f>VLOOKUP(E2932,Products!$A:$D,4,0)</f>
        <v>Cases</v>
      </c>
      <c r="W2932" t="str">
        <f>VLOOKUP(D2932,Customers!$A:$C,3,0)</f>
        <v>B2C</v>
      </c>
      <c r="X2932" t="str">
        <f>VLOOKUP(C2932,Sales_Representatives!$A:$B,2,0)</f>
        <v>Michael Davis</v>
      </c>
    </row>
    <row r="2933" spans="1:24" x14ac:dyDescent="0.3">
      <c r="A2933" t="s">
        <v>4006</v>
      </c>
      <c r="B2933" t="s">
        <v>4004</v>
      </c>
      <c r="C2933" t="s">
        <v>82</v>
      </c>
      <c r="D2933" t="s">
        <v>1496</v>
      </c>
      <c r="E2933" t="s">
        <v>125</v>
      </c>
      <c r="F2933">
        <v>30</v>
      </c>
      <c r="G2933">
        <v>1201.4000000000001</v>
      </c>
      <c r="H2933">
        <v>0.22</v>
      </c>
      <c r="I2933" s="4">
        <v>28112.76</v>
      </c>
      <c r="J2933" t="s">
        <v>34</v>
      </c>
      <c r="K2933" t="s">
        <v>48</v>
      </c>
      <c r="L2933" s="4">
        <f>VLOOKUP(tblTransactions[[#This Row],[Product_ID]],tblProducts[],5,FALSE)</f>
        <v>672.72</v>
      </c>
      <c r="M2933" s="4">
        <f>tblTransactions[[#This Row],[Total_Amount]]-(tblTransactions[[#This Row],[Cost_Prices]]*tblTransactions[[#This Row],[Quantity]]*(1-tblTransactions[[#This Row],[Discount]]))</f>
        <v>12371.111999999996</v>
      </c>
      <c r="N2933" s="3">
        <f>tblTransactions[[#This Row],[Profit]]/tblTransactions[[#This Row],[Total_Amount]]</f>
        <v>0.44005327118361898</v>
      </c>
      <c r="O2933" t="str">
        <f>TEXT(tblTransactions[[#This Row],[Date]], "MMM-YYYY")</f>
        <v>Sep-2024</v>
      </c>
      <c r="P2933" t="str">
        <f>"Q"&amp;ROUNDUP(MONTH(tblTransactions[[#This Row],[Date]])/3,0)&amp;"-"&amp;YEAR(tblTransactions[[#This Row],[Date]])</f>
        <v>Q3-2024</v>
      </c>
      <c r="Q2933">
        <f>YEAR(tblTransactions[[#This Row],[Date]])</f>
        <v>2024</v>
      </c>
      <c r="R2933" t="str">
        <f>TEXT(tblTransactions[[#This Row],[Date]],"DDDD")</f>
        <v>Monday</v>
      </c>
      <c r="S2933">
        <f>MONTH(tblTransactions[[#This Row],[Date]])</f>
        <v>9</v>
      </c>
      <c r="T2933" t="str">
        <f>VLOOKUP(E2933, Products!$A:$B,2,0)</f>
        <v>Printers Tec-2</v>
      </c>
      <c r="U2933" t="str">
        <f>VLOOKUP(E2933,Products!$A:$C,3,0)</f>
        <v>Technology</v>
      </c>
      <c r="V2933" t="str">
        <f>VLOOKUP(E2933,Products!$A:$D,4,0)</f>
        <v>Printers</v>
      </c>
      <c r="W2933" t="str">
        <f>VLOOKUP(D2933,Customers!$A:$C,3,0)</f>
        <v>Enterprise</v>
      </c>
      <c r="X2933" t="str">
        <f>VLOOKUP(C2933,Sales_Representatives!$A:$B,2,0)</f>
        <v>John Brown</v>
      </c>
    </row>
    <row r="2934" spans="1:24" x14ac:dyDescent="0.3">
      <c r="A2934" t="s">
        <v>4007</v>
      </c>
      <c r="B2934" t="s">
        <v>4004</v>
      </c>
      <c r="C2934" t="s">
        <v>13</v>
      </c>
      <c r="D2934" t="s">
        <v>1547</v>
      </c>
      <c r="E2934" t="s">
        <v>221</v>
      </c>
      <c r="F2934">
        <v>1</v>
      </c>
      <c r="G2934">
        <v>210.02</v>
      </c>
      <c r="H2934">
        <v>0.02</v>
      </c>
      <c r="I2934" s="4">
        <v>205.82</v>
      </c>
      <c r="J2934" t="s">
        <v>16</v>
      </c>
      <c r="K2934" t="s">
        <v>35</v>
      </c>
      <c r="L2934" s="4">
        <f>VLOOKUP(tblTransactions[[#This Row],[Product_ID]],tblProducts[],5,FALSE)</f>
        <v>131.66</v>
      </c>
      <c r="M2934" s="4">
        <f>tblTransactions[[#This Row],[Total_Amount]]-(tblTransactions[[#This Row],[Cost_Prices]]*tblTransactions[[#This Row],[Quantity]]*(1-tblTransactions[[#This Row],[Discount]]))</f>
        <v>76.793200000000013</v>
      </c>
      <c r="N2934" s="3">
        <f>tblTransactions[[#This Row],[Profit]]/tblTransactions[[#This Row],[Total_Amount]]</f>
        <v>0.37310854144398026</v>
      </c>
      <c r="O2934" t="str">
        <f>TEXT(tblTransactions[[#This Row],[Date]], "MMM-YYYY")</f>
        <v>Sep-2024</v>
      </c>
      <c r="P2934" t="str">
        <f>"Q"&amp;ROUNDUP(MONTH(tblTransactions[[#This Row],[Date]])/3,0)&amp;"-"&amp;YEAR(tblTransactions[[#This Row],[Date]])</f>
        <v>Q3-2024</v>
      </c>
      <c r="Q2934">
        <f>YEAR(tblTransactions[[#This Row],[Date]])</f>
        <v>2024</v>
      </c>
      <c r="R2934" t="str">
        <f>TEXT(tblTransactions[[#This Row],[Date]],"DDDD")</f>
        <v>Monday</v>
      </c>
      <c r="S2934">
        <f>MONTH(tblTransactions[[#This Row],[Date]])</f>
        <v>9</v>
      </c>
      <c r="T2934" t="str">
        <f>VLOOKUP(E2934, Products!$A:$B,2,0)</f>
        <v>Storage Fur-2</v>
      </c>
      <c r="U2934" t="str">
        <f>VLOOKUP(E2934,Products!$A:$C,3,0)</f>
        <v>Furniture</v>
      </c>
      <c r="V2934" t="str">
        <f>VLOOKUP(E2934,Products!$A:$D,4,0)</f>
        <v>Storage</v>
      </c>
      <c r="W2934" t="str">
        <f>VLOOKUP(D2934,Customers!$A:$C,3,0)</f>
        <v>B2C</v>
      </c>
      <c r="X2934" t="str">
        <f>VLOOKUP(C2934,Sales_Representatives!$A:$B,2,0)</f>
        <v>Jennifer Rodriguez</v>
      </c>
    </row>
    <row r="2935" spans="1:24" x14ac:dyDescent="0.3">
      <c r="A2935" t="s">
        <v>4008</v>
      </c>
      <c r="B2935" t="s">
        <v>4009</v>
      </c>
      <c r="C2935" t="s">
        <v>41</v>
      </c>
      <c r="D2935" t="s">
        <v>28</v>
      </c>
      <c r="E2935" t="s">
        <v>38</v>
      </c>
      <c r="F2935">
        <v>4</v>
      </c>
      <c r="G2935">
        <v>581.47</v>
      </c>
      <c r="H2935">
        <v>0.04</v>
      </c>
      <c r="I2935" s="4">
        <v>2232.84</v>
      </c>
      <c r="J2935" t="s">
        <v>44</v>
      </c>
      <c r="K2935" t="s">
        <v>22</v>
      </c>
      <c r="L2935" s="4">
        <f>VLOOKUP(tblTransactions[[#This Row],[Product_ID]],tblProducts[],5,FALSE)</f>
        <v>372.07</v>
      </c>
      <c r="M2935" s="4">
        <f>tblTransactions[[#This Row],[Total_Amount]]-(tblTransactions[[#This Row],[Cost_Prices]]*tblTransactions[[#This Row],[Quantity]]*(1-tblTransactions[[#This Row],[Discount]]))</f>
        <v>804.0912000000003</v>
      </c>
      <c r="N2935" s="3">
        <f>tblTransactions[[#This Row],[Profit]]/tblTransactions[[#This Row],[Total_Amount]]</f>
        <v>0.36012038480141895</v>
      </c>
      <c r="O2935" t="str">
        <f>TEXT(tblTransactions[[#This Row],[Date]], "MMM-YYYY")</f>
        <v>Sep-2024</v>
      </c>
      <c r="P2935" t="str">
        <f>"Q"&amp;ROUNDUP(MONTH(tblTransactions[[#This Row],[Date]])/3,0)&amp;"-"&amp;YEAR(tblTransactions[[#This Row],[Date]])</f>
        <v>Q3-2024</v>
      </c>
      <c r="Q2935">
        <f>YEAR(tblTransactions[[#This Row],[Date]])</f>
        <v>2024</v>
      </c>
      <c r="R2935" t="str">
        <f>TEXT(tblTransactions[[#This Row],[Date]],"DDDD")</f>
        <v>Tuesday</v>
      </c>
      <c r="S2935">
        <f>MONTH(tblTransactions[[#This Row],[Date]])</f>
        <v>9</v>
      </c>
      <c r="T2935" t="str">
        <f>VLOOKUP(E2935, Products!$A:$B,2,0)</f>
        <v>Storage Fur-3</v>
      </c>
      <c r="U2935" t="str">
        <f>VLOOKUP(E2935,Products!$A:$C,3,0)</f>
        <v>Furniture</v>
      </c>
      <c r="V2935" t="str">
        <f>VLOOKUP(E2935,Products!$A:$D,4,0)</f>
        <v>Storage</v>
      </c>
      <c r="W2935" t="str">
        <f>VLOOKUP(D2935,Customers!$A:$C,3,0)</f>
        <v>B2B</v>
      </c>
      <c r="X2935" t="str">
        <f>VLOOKUP(C2935,Sales_Representatives!$A:$B,2,0)</f>
        <v>Robert Jones</v>
      </c>
    </row>
    <row r="2936" spans="1:24" x14ac:dyDescent="0.3">
      <c r="A2936" t="s">
        <v>4010</v>
      </c>
      <c r="B2936" t="s">
        <v>4009</v>
      </c>
      <c r="C2936" t="s">
        <v>127</v>
      </c>
      <c r="D2936" t="s">
        <v>1879</v>
      </c>
      <c r="E2936" t="s">
        <v>217</v>
      </c>
      <c r="F2936">
        <v>4</v>
      </c>
      <c r="G2936">
        <v>145.51</v>
      </c>
      <c r="H2936">
        <v>0.04</v>
      </c>
      <c r="I2936" s="4">
        <v>558.76</v>
      </c>
      <c r="J2936" t="s">
        <v>109</v>
      </c>
      <c r="K2936" t="s">
        <v>35</v>
      </c>
      <c r="L2936" s="4">
        <f>VLOOKUP(tblTransactions[[#This Row],[Product_ID]],tblProducts[],5,FALSE)</f>
        <v>64.510000000000005</v>
      </c>
      <c r="M2936" s="4">
        <f>tblTransactions[[#This Row],[Total_Amount]]-(tblTransactions[[#This Row],[Cost_Prices]]*tblTransactions[[#This Row],[Quantity]]*(1-tblTransactions[[#This Row],[Discount]]))</f>
        <v>311.04160000000002</v>
      </c>
      <c r="N2936" s="3">
        <f>tblTransactions[[#This Row],[Profit]]/tblTransactions[[#This Row],[Total_Amount]]</f>
        <v>0.55666404180685813</v>
      </c>
      <c r="O2936" t="str">
        <f>TEXT(tblTransactions[[#This Row],[Date]], "MMM-YYYY")</f>
        <v>Sep-2024</v>
      </c>
      <c r="P2936" t="str">
        <f>"Q"&amp;ROUNDUP(MONTH(tblTransactions[[#This Row],[Date]])/3,0)&amp;"-"&amp;YEAR(tblTransactions[[#This Row],[Date]])</f>
        <v>Q3-2024</v>
      </c>
      <c r="Q2936">
        <f>YEAR(tblTransactions[[#This Row],[Date]])</f>
        <v>2024</v>
      </c>
      <c r="R2936" t="str">
        <f>TEXT(tblTransactions[[#This Row],[Date]],"DDDD")</f>
        <v>Tuesday</v>
      </c>
      <c r="S2936">
        <f>MONTH(tblTransactions[[#This Row],[Date]])</f>
        <v>9</v>
      </c>
      <c r="T2936" t="str">
        <f>VLOOKUP(E2936, Products!$A:$B,2,0)</f>
        <v>Cables Acc-2</v>
      </c>
      <c r="U2936" t="str">
        <f>VLOOKUP(E2936,Products!$A:$C,3,0)</f>
        <v>Accessories</v>
      </c>
      <c r="V2936" t="str">
        <f>VLOOKUP(E2936,Products!$A:$D,4,0)</f>
        <v>Cables</v>
      </c>
      <c r="W2936" t="str">
        <f>VLOOKUP(D2936,Customers!$A:$C,3,0)</f>
        <v>B2C</v>
      </c>
      <c r="X2936" t="str">
        <f>VLOOKUP(C2936,Sales_Representatives!$A:$B,2,0)</f>
        <v>Emily Hernandez</v>
      </c>
    </row>
    <row r="2937" spans="1:24" x14ac:dyDescent="0.3">
      <c r="A2937" t="s">
        <v>4011</v>
      </c>
      <c r="B2937" t="s">
        <v>4009</v>
      </c>
      <c r="C2937" t="s">
        <v>19</v>
      </c>
      <c r="D2937" t="s">
        <v>1712</v>
      </c>
      <c r="E2937" t="s">
        <v>20</v>
      </c>
      <c r="F2937">
        <v>16</v>
      </c>
      <c r="G2937">
        <v>1219.49</v>
      </c>
      <c r="H2937">
        <v>0.19</v>
      </c>
      <c r="I2937" s="4">
        <v>15804.59</v>
      </c>
      <c r="J2937" t="s">
        <v>21</v>
      </c>
      <c r="K2937" t="s">
        <v>48</v>
      </c>
      <c r="L2937" s="4">
        <f>VLOOKUP(tblTransactions[[#This Row],[Product_ID]],tblProducts[],5,FALSE)</f>
        <v>686.9</v>
      </c>
      <c r="M2937" s="4">
        <f>tblTransactions[[#This Row],[Total_Amount]]-(tblTransactions[[#This Row],[Cost_Prices]]*tblTransactions[[#This Row],[Quantity]]*(1-tblTransactions[[#This Row],[Discount]]))</f>
        <v>6902.366</v>
      </c>
      <c r="N2937" s="3">
        <f>tblTransactions[[#This Row],[Profit]]/tblTransactions[[#This Row],[Total_Amount]]</f>
        <v>0.43673173426200868</v>
      </c>
      <c r="O2937" t="str">
        <f>TEXT(tblTransactions[[#This Row],[Date]], "MMM-YYYY")</f>
        <v>Sep-2024</v>
      </c>
      <c r="P2937" t="str">
        <f>"Q"&amp;ROUNDUP(MONTH(tblTransactions[[#This Row],[Date]])/3,0)&amp;"-"&amp;YEAR(tblTransactions[[#This Row],[Date]])</f>
        <v>Q3-2024</v>
      </c>
      <c r="Q2937">
        <f>YEAR(tblTransactions[[#This Row],[Date]])</f>
        <v>2024</v>
      </c>
      <c r="R2937" t="str">
        <f>TEXT(tblTransactions[[#This Row],[Date]],"DDDD")</f>
        <v>Tuesday</v>
      </c>
      <c r="S2937">
        <f>MONTH(tblTransactions[[#This Row],[Date]])</f>
        <v>9</v>
      </c>
      <c r="T2937" t="str">
        <f>VLOOKUP(E2937, Products!$A:$B,2,0)</f>
        <v>Laptops Ele-1</v>
      </c>
      <c r="U2937" t="str">
        <f>VLOOKUP(E2937,Products!$A:$C,3,0)</f>
        <v>Electronics</v>
      </c>
      <c r="V2937" t="str">
        <f>VLOOKUP(E2937,Products!$A:$D,4,0)</f>
        <v>Laptops</v>
      </c>
      <c r="W2937" t="str">
        <f>VLOOKUP(D2937,Customers!$A:$C,3,0)</f>
        <v>B2B</v>
      </c>
      <c r="X2937" t="str">
        <f>VLOOKUP(C2937,Sales_Representatives!$A:$B,2,0)</f>
        <v>Robert Jones</v>
      </c>
    </row>
    <row r="2938" spans="1:24" x14ac:dyDescent="0.3">
      <c r="A2938" t="s">
        <v>4012</v>
      </c>
      <c r="B2938" t="s">
        <v>4013</v>
      </c>
      <c r="C2938" t="s">
        <v>75</v>
      </c>
      <c r="D2938" t="s">
        <v>212</v>
      </c>
      <c r="E2938" t="s">
        <v>43</v>
      </c>
      <c r="F2938">
        <v>4</v>
      </c>
      <c r="G2938">
        <v>39.32</v>
      </c>
      <c r="H2938">
        <v>0.01</v>
      </c>
      <c r="I2938" s="4">
        <v>155.71</v>
      </c>
      <c r="J2938" t="s">
        <v>44</v>
      </c>
      <c r="K2938" t="s">
        <v>22</v>
      </c>
      <c r="L2938" s="4">
        <f>VLOOKUP(tblTransactions[[#This Row],[Product_ID]],tblProducts[],5,FALSE)</f>
        <v>15.81</v>
      </c>
      <c r="M2938" s="4">
        <f>tblTransactions[[#This Row],[Total_Amount]]-(tblTransactions[[#This Row],[Cost_Prices]]*tblTransactions[[#This Row],[Quantity]]*(1-tblTransactions[[#This Row],[Discount]]))</f>
        <v>93.102400000000017</v>
      </c>
      <c r="N2938" s="3">
        <f>tblTransactions[[#This Row],[Profit]]/tblTransactions[[#This Row],[Total_Amount]]</f>
        <v>0.59792177766360555</v>
      </c>
      <c r="O2938" t="str">
        <f>TEXT(tblTransactions[[#This Row],[Date]], "MMM-YYYY")</f>
        <v>Sep-2024</v>
      </c>
      <c r="P2938" t="str">
        <f>"Q"&amp;ROUNDUP(MONTH(tblTransactions[[#This Row],[Date]])/3,0)&amp;"-"&amp;YEAR(tblTransactions[[#This Row],[Date]])</f>
        <v>Q3-2024</v>
      </c>
      <c r="Q2938">
        <f>YEAR(tblTransactions[[#This Row],[Date]])</f>
        <v>2024</v>
      </c>
      <c r="R2938" t="str">
        <f>TEXT(tblTransactions[[#This Row],[Date]],"DDDD")</f>
        <v>Wednesday</v>
      </c>
      <c r="S2938">
        <f>MONTH(tblTransactions[[#This Row],[Date]])</f>
        <v>9</v>
      </c>
      <c r="T2938" t="str">
        <f>VLOOKUP(E2938, Products!$A:$B,2,0)</f>
        <v>Paper Off-3</v>
      </c>
      <c r="U2938" t="str">
        <f>VLOOKUP(E2938,Products!$A:$C,3,0)</f>
        <v>Office Supplies</v>
      </c>
      <c r="V2938" t="str">
        <f>VLOOKUP(E2938,Products!$A:$D,4,0)</f>
        <v>Paper</v>
      </c>
      <c r="W2938" t="str">
        <f>VLOOKUP(D2938,Customers!$A:$C,3,0)</f>
        <v>B2C</v>
      </c>
      <c r="X2938" t="str">
        <f>VLOOKUP(C2938,Sales_Representatives!$A:$B,2,0)</f>
        <v>Jessica Anderson</v>
      </c>
    </row>
    <row r="2939" spans="1:24" x14ac:dyDescent="0.3">
      <c r="A2939" t="s">
        <v>4014</v>
      </c>
      <c r="B2939" t="s">
        <v>4013</v>
      </c>
      <c r="C2939" t="s">
        <v>27</v>
      </c>
      <c r="D2939" t="s">
        <v>1776</v>
      </c>
      <c r="E2939" t="s">
        <v>324</v>
      </c>
      <c r="F2939">
        <v>2</v>
      </c>
      <c r="G2939">
        <v>245.76</v>
      </c>
      <c r="H2939">
        <v>0.09</v>
      </c>
      <c r="I2939" s="4">
        <v>447.28</v>
      </c>
      <c r="J2939" t="s">
        <v>16</v>
      </c>
      <c r="K2939" t="s">
        <v>22</v>
      </c>
      <c r="L2939" s="4">
        <f>VLOOKUP(tblTransactions[[#This Row],[Product_ID]],tblProducts[],5,FALSE)</f>
        <v>161.94</v>
      </c>
      <c r="M2939" s="4">
        <f>tblTransactions[[#This Row],[Total_Amount]]-(tblTransactions[[#This Row],[Cost_Prices]]*tblTransactions[[#This Row],[Quantity]]*(1-tblTransactions[[#This Row],[Discount]]))</f>
        <v>152.54919999999998</v>
      </c>
      <c r="N2939" s="3">
        <f>tblTransactions[[#This Row],[Profit]]/tblTransactions[[#This Row],[Total_Amount]]</f>
        <v>0.34105973886603469</v>
      </c>
      <c r="O2939" t="str">
        <f>TEXT(tblTransactions[[#This Row],[Date]], "MMM-YYYY")</f>
        <v>Sep-2024</v>
      </c>
      <c r="P2939" t="str">
        <f>"Q"&amp;ROUNDUP(MONTH(tblTransactions[[#This Row],[Date]])/3,0)&amp;"-"&amp;YEAR(tblTransactions[[#This Row],[Date]])</f>
        <v>Q3-2024</v>
      </c>
      <c r="Q2939">
        <f>YEAR(tblTransactions[[#This Row],[Date]])</f>
        <v>2024</v>
      </c>
      <c r="R2939" t="str">
        <f>TEXT(tblTransactions[[#This Row],[Date]],"DDDD")</f>
        <v>Wednesday</v>
      </c>
      <c r="S2939">
        <f>MONTH(tblTransactions[[#This Row],[Date]])</f>
        <v>9</v>
      </c>
      <c r="T2939" t="str">
        <f>VLOOKUP(E2939, Products!$A:$B,2,0)</f>
        <v>Storage Fur-1</v>
      </c>
      <c r="U2939" t="str">
        <f>VLOOKUP(E2939,Products!$A:$C,3,0)</f>
        <v>Furniture</v>
      </c>
      <c r="V2939" t="str">
        <f>VLOOKUP(E2939,Products!$A:$D,4,0)</f>
        <v>Storage</v>
      </c>
      <c r="W2939" t="str">
        <f>VLOOKUP(D2939,Customers!$A:$C,3,0)</f>
        <v>B2C</v>
      </c>
      <c r="X2939" t="str">
        <f>VLOOKUP(C2939,Sales_Representatives!$A:$B,2,0)</f>
        <v>Thomas Lopez</v>
      </c>
    </row>
    <row r="2940" spans="1:24" x14ac:dyDescent="0.3">
      <c r="A2940" t="s">
        <v>4015</v>
      </c>
      <c r="B2940" t="s">
        <v>4016</v>
      </c>
      <c r="C2940" t="s">
        <v>31</v>
      </c>
      <c r="D2940" t="s">
        <v>32</v>
      </c>
      <c r="E2940" t="s">
        <v>125</v>
      </c>
      <c r="F2940">
        <v>1</v>
      </c>
      <c r="G2940">
        <v>1201.4000000000001</v>
      </c>
      <c r="H2940">
        <v>0</v>
      </c>
      <c r="I2940" s="4">
        <v>1201.4000000000001</v>
      </c>
      <c r="J2940" t="s">
        <v>34</v>
      </c>
      <c r="K2940" t="s">
        <v>22</v>
      </c>
      <c r="L2940" s="4">
        <f>VLOOKUP(tblTransactions[[#This Row],[Product_ID]],tblProducts[],5,FALSE)</f>
        <v>672.72</v>
      </c>
      <c r="M2940" s="4">
        <f>tblTransactions[[#This Row],[Total_Amount]]-(tblTransactions[[#This Row],[Cost_Prices]]*tblTransactions[[#This Row],[Quantity]]*(1-tblTransactions[[#This Row],[Discount]]))</f>
        <v>528.68000000000006</v>
      </c>
      <c r="N2940" s="3">
        <f>tblTransactions[[#This Row],[Profit]]/tblTransactions[[#This Row],[Total_Amount]]</f>
        <v>0.44005327118361914</v>
      </c>
      <c r="O2940" t="str">
        <f>TEXT(tblTransactions[[#This Row],[Date]], "MMM-YYYY")</f>
        <v>Sep-2024</v>
      </c>
      <c r="P2940" t="str">
        <f>"Q"&amp;ROUNDUP(MONTH(tblTransactions[[#This Row],[Date]])/3,0)&amp;"-"&amp;YEAR(tblTransactions[[#This Row],[Date]])</f>
        <v>Q3-2024</v>
      </c>
      <c r="Q2940">
        <f>YEAR(tblTransactions[[#This Row],[Date]])</f>
        <v>2024</v>
      </c>
      <c r="R2940" t="str">
        <f>TEXT(tblTransactions[[#This Row],[Date]],"DDDD")</f>
        <v>Thursday</v>
      </c>
      <c r="S2940">
        <f>MONTH(tblTransactions[[#This Row],[Date]])</f>
        <v>9</v>
      </c>
      <c r="T2940" t="str">
        <f>VLOOKUP(E2940, Products!$A:$B,2,0)</f>
        <v>Printers Tec-2</v>
      </c>
      <c r="U2940" t="str">
        <f>VLOOKUP(E2940,Products!$A:$C,3,0)</f>
        <v>Technology</v>
      </c>
      <c r="V2940" t="str">
        <f>VLOOKUP(E2940,Products!$A:$D,4,0)</f>
        <v>Printers</v>
      </c>
      <c r="W2940" t="str">
        <f>VLOOKUP(D2940,Customers!$A:$C,3,0)</f>
        <v>B2C</v>
      </c>
      <c r="X2940" t="str">
        <f>VLOOKUP(C2940,Sales_Representatives!$A:$B,2,0)</f>
        <v>Thomas Martinez</v>
      </c>
    </row>
    <row r="2941" spans="1:24" x14ac:dyDescent="0.3">
      <c r="A2941" t="s">
        <v>4017</v>
      </c>
      <c r="B2941" t="s">
        <v>4016</v>
      </c>
      <c r="C2941" t="s">
        <v>70</v>
      </c>
      <c r="D2941" t="s">
        <v>3975</v>
      </c>
      <c r="E2941" t="s">
        <v>72</v>
      </c>
      <c r="F2941">
        <v>6</v>
      </c>
      <c r="G2941">
        <v>404.76</v>
      </c>
      <c r="H2941">
        <v>0.11</v>
      </c>
      <c r="I2941" s="4">
        <v>2161.42</v>
      </c>
      <c r="J2941" t="s">
        <v>16</v>
      </c>
      <c r="K2941" t="s">
        <v>35</v>
      </c>
      <c r="L2941" s="4">
        <f>VLOOKUP(tblTransactions[[#This Row],[Product_ID]],tblProducts[],5,FALSE)</f>
        <v>226.76</v>
      </c>
      <c r="M2941" s="4">
        <f>tblTransactions[[#This Row],[Total_Amount]]-(tblTransactions[[#This Row],[Cost_Prices]]*tblTransactions[[#This Row],[Quantity]]*(1-tblTransactions[[#This Row],[Discount]]))</f>
        <v>950.52160000000003</v>
      </c>
      <c r="N2941" s="3">
        <f>tblTransactions[[#This Row],[Profit]]/tblTransactions[[#This Row],[Total_Amount]]</f>
        <v>0.43976719008799769</v>
      </c>
      <c r="O2941" t="str">
        <f>TEXT(tblTransactions[[#This Row],[Date]], "MMM-YYYY")</f>
        <v>Sep-2024</v>
      </c>
      <c r="P2941" t="str">
        <f>"Q"&amp;ROUNDUP(MONTH(tblTransactions[[#This Row],[Date]])/3,0)&amp;"-"&amp;YEAR(tblTransactions[[#This Row],[Date]])</f>
        <v>Q3-2024</v>
      </c>
      <c r="Q2941">
        <f>YEAR(tblTransactions[[#This Row],[Date]])</f>
        <v>2024</v>
      </c>
      <c r="R2941" t="str">
        <f>TEXT(tblTransactions[[#This Row],[Date]],"DDDD")</f>
        <v>Thursday</v>
      </c>
      <c r="S2941">
        <f>MONTH(tblTransactions[[#This Row],[Date]])</f>
        <v>9</v>
      </c>
      <c r="T2941" t="str">
        <f>VLOOKUP(E2941, Products!$A:$B,2,0)</f>
        <v>Tablets Ele-2</v>
      </c>
      <c r="U2941" t="str">
        <f>VLOOKUP(E2941,Products!$A:$C,3,0)</f>
        <v>Electronics</v>
      </c>
      <c r="V2941" t="str">
        <f>VLOOKUP(E2941,Products!$A:$D,4,0)</f>
        <v>Tablets</v>
      </c>
      <c r="W2941" t="str">
        <f>VLOOKUP(D2941,Customers!$A:$C,3,0)</f>
        <v>Small Business</v>
      </c>
      <c r="X2941" t="str">
        <f>VLOOKUP(C2941,Sales_Representatives!$A:$B,2,0)</f>
        <v>Linda Smith</v>
      </c>
    </row>
    <row r="2942" spans="1:24" x14ac:dyDescent="0.3">
      <c r="A2942" t="s">
        <v>4018</v>
      </c>
      <c r="B2942" t="s">
        <v>4016</v>
      </c>
      <c r="C2942" t="s">
        <v>127</v>
      </c>
      <c r="D2942" t="s">
        <v>1555</v>
      </c>
      <c r="E2942" t="s">
        <v>121</v>
      </c>
      <c r="F2942">
        <v>4</v>
      </c>
      <c r="G2942">
        <v>183.9</v>
      </c>
      <c r="H2942">
        <v>0.03</v>
      </c>
      <c r="I2942" s="4">
        <v>713.53</v>
      </c>
      <c r="J2942" t="s">
        <v>109</v>
      </c>
      <c r="K2942" t="s">
        <v>35</v>
      </c>
      <c r="L2942" s="4">
        <f>VLOOKUP(tblTransactions[[#This Row],[Product_ID]],tblProducts[],5,FALSE)</f>
        <v>116.83</v>
      </c>
      <c r="M2942" s="4">
        <f>tblTransactions[[#This Row],[Total_Amount]]-(tblTransactions[[#This Row],[Cost_Prices]]*tblTransactions[[#This Row],[Quantity]]*(1-tblTransactions[[#This Row],[Discount]]))</f>
        <v>260.2296</v>
      </c>
      <c r="N2942" s="3">
        <f>tblTransactions[[#This Row],[Profit]]/tblTransactions[[#This Row],[Total_Amount]]</f>
        <v>0.36470730032374254</v>
      </c>
      <c r="O2942" t="str">
        <f>TEXT(tblTransactions[[#This Row],[Date]], "MMM-YYYY")</f>
        <v>Sep-2024</v>
      </c>
      <c r="P2942" t="str">
        <f>"Q"&amp;ROUNDUP(MONTH(tblTransactions[[#This Row],[Date]])/3,0)&amp;"-"&amp;YEAR(tblTransactions[[#This Row],[Date]])</f>
        <v>Q3-2024</v>
      </c>
      <c r="Q2942">
        <f>YEAR(tblTransactions[[#This Row],[Date]])</f>
        <v>2024</v>
      </c>
      <c r="R2942" t="str">
        <f>TEXT(tblTransactions[[#This Row],[Date]],"DDDD")</f>
        <v>Thursday</v>
      </c>
      <c r="S2942">
        <f>MONTH(tblTransactions[[#This Row],[Date]])</f>
        <v>9</v>
      </c>
      <c r="T2942" t="str">
        <f>VLOOKUP(E2942, Products!$A:$B,2,0)</f>
        <v>Pens Off-3</v>
      </c>
      <c r="U2942" t="str">
        <f>VLOOKUP(E2942,Products!$A:$C,3,0)</f>
        <v>Office Supplies</v>
      </c>
      <c r="V2942" t="str">
        <f>VLOOKUP(E2942,Products!$A:$D,4,0)</f>
        <v>Pens</v>
      </c>
      <c r="W2942" t="str">
        <f>VLOOKUP(D2942,Customers!$A:$C,3,0)</f>
        <v>B2C</v>
      </c>
      <c r="X2942" t="str">
        <f>VLOOKUP(C2942,Sales_Representatives!$A:$B,2,0)</f>
        <v>Emily Hernandez</v>
      </c>
    </row>
    <row r="2943" spans="1:24" x14ac:dyDescent="0.3">
      <c r="A2943" t="s">
        <v>4019</v>
      </c>
      <c r="B2943" t="s">
        <v>4016</v>
      </c>
      <c r="C2943" t="s">
        <v>13</v>
      </c>
      <c r="D2943" t="s">
        <v>1526</v>
      </c>
      <c r="E2943" t="s">
        <v>77</v>
      </c>
      <c r="F2943">
        <v>1</v>
      </c>
      <c r="G2943">
        <v>236.82</v>
      </c>
      <c r="H2943">
        <v>0.08</v>
      </c>
      <c r="I2943" s="4">
        <v>217.87</v>
      </c>
      <c r="J2943" t="s">
        <v>16</v>
      </c>
      <c r="K2943" t="s">
        <v>48</v>
      </c>
      <c r="L2943" s="4">
        <f>VLOOKUP(tblTransactions[[#This Row],[Product_ID]],tblProducts[],5,FALSE)</f>
        <v>110.79</v>
      </c>
      <c r="M2943" s="4">
        <f>tblTransactions[[#This Row],[Total_Amount]]-(tblTransactions[[#This Row],[Cost_Prices]]*tblTransactions[[#This Row],[Quantity]]*(1-tblTransactions[[#This Row],[Discount]]))</f>
        <v>115.94319999999999</v>
      </c>
      <c r="N2943" s="3">
        <f>tblTransactions[[#This Row],[Profit]]/tblTransactions[[#This Row],[Total_Amount]]</f>
        <v>0.53216688851149763</v>
      </c>
      <c r="O2943" t="str">
        <f>TEXT(tblTransactions[[#This Row],[Date]], "MMM-YYYY")</f>
        <v>Sep-2024</v>
      </c>
      <c r="P2943" t="str">
        <f>"Q"&amp;ROUNDUP(MONTH(tblTransactions[[#This Row],[Date]])/3,0)&amp;"-"&amp;YEAR(tblTransactions[[#This Row],[Date]])</f>
        <v>Q3-2024</v>
      </c>
      <c r="Q2943">
        <f>YEAR(tblTransactions[[#This Row],[Date]])</f>
        <v>2024</v>
      </c>
      <c r="R2943" t="str">
        <f>TEXT(tblTransactions[[#This Row],[Date]],"DDDD")</f>
        <v>Thursday</v>
      </c>
      <c r="S2943">
        <f>MONTH(tblTransactions[[#This Row],[Date]])</f>
        <v>9</v>
      </c>
      <c r="T2943" t="str">
        <f>VLOOKUP(E2943, Products!$A:$B,2,0)</f>
        <v>Binders Off-4</v>
      </c>
      <c r="U2943" t="str">
        <f>VLOOKUP(E2943,Products!$A:$C,3,0)</f>
        <v>Office Supplies</v>
      </c>
      <c r="V2943" t="str">
        <f>VLOOKUP(E2943,Products!$A:$D,4,0)</f>
        <v>Binders</v>
      </c>
      <c r="W2943" t="str">
        <f>VLOOKUP(D2943,Customers!$A:$C,3,0)</f>
        <v>B2C</v>
      </c>
      <c r="X2943" t="str">
        <f>VLOOKUP(C2943,Sales_Representatives!$A:$B,2,0)</f>
        <v>Jennifer Rodriguez</v>
      </c>
    </row>
    <row r="2944" spans="1:24" x14ac:dyDescent="0.3">
      <c r="A2944" t="s">
        <v>4020</v>
      </c>
      <c r="B2944" t="s">
        <v>4016</v>
      </c>
      <c r="C2944" t="s">
        <v>141</v>
      </c>
      <c r="D2944" t="s">
        <v>2102</v>
      </c>
      <c r="E2944" t="s">
        <v>68</v>
      </c>
      <c r="F2944">
        <v>2</v>
      </c>
      <c r="G2944">
        <v>522.63</v>
      </c>
      <c r="H2944">
        <v>0.04</v>
      </c>
      <c r="I2944" s="4">
        <v>1003.45</v>
      </c>
      <c r="J2944" t="s">
        <v>109</v>
      </c>
      <c r="K2944" t="s">
        <v>48</v>
      </c>
      <c r="L2944" s="4">
        <f>VLOOKUP(tblTransactions[[#This Row],[Product_ID]],tblProducts[],5,FALSE)</f>
        <v>355.82</v>
      </c>
      <c r="M2944" s="4">
        <f>tblTransactions[[#This Row],[Total_Amount]]-(tblTransactions[[#This Row],[Cost_Prices]]*tblTransactions[[#This Row],[Quantity]]*(1-tblTransactions[[#This Row],[Discount]]))</f>
        <v>320.27560000000005</v>
      </c>
      <c r="N2944" s="3">
        <f>tblTransactions[[#This Row],[Profit]]/tblTransactions[[#This Row],[Total_Amount]]</f>
        <v>0.31917444815386919</v>
      </c>
      <c r="O2944" t="str">
        <f>TEXT(tblTransactions[[#This Row],[Date]], "MMM-YYYY")</f>
        <v>Sep-2024</v>
      </c>
      <c r="P2944" t="str">
        <f>"Q"&amp;ROUNDUP(MONTH(tblTransactions[[#This Row],[Date]])/3,0)&amp;"-"&amp;YEAR(tblTransactions[[#This Row],[Date]])</f>
        <v>Q3-2024</v>
      </c>
      <c r="Q2944">
        <f>YEAR(tblTransactions[[#This Row],[Date]])</f>
        <v>2024</v>
      </c>
      <c r="R2944" t="str">
        <f>TEXT(tblTransactions[[#This Row],[Date]],"DDDD")</f>
        <v>Thursday</v>
      </c>
      <c r="S2944">
        <f>MONTH(tblTransactions[[#This Row],[Date]])</f>
        <v>9</v>
      </c>
      <c r="T2944" t="str">
        <f>VLOOKUP(E2944, Products!$A:$B,2,0)</f>
        <v>Monitors Tec-3</v>
      </c>
      <c r="U2944" t="str">
        <f>VLOOKUP(E2944,Products!$A:$C,3,0)</f>
        <v>Technology</v>
      </c>
      <c r="V2944" t="str">
        <f>VLOOKUP(E2944,Products!$A:$D,4,0)</f>
        <v>Monitors</v>
      </c>
      <c r="W2944" t="str">
        <f>VLOOKUP(D2944,Customers!$A:$C,3,0)</f>
        <v>B2C</v>
      </c>
      <c r="X2944" t="str">
        <f>VLOOKUP(C2944,Sales_Representatives!$A:$B,2,0)</f>
        <v>Richard Garcia</v>
      </c>
    </row>
    <row r="2945" spans="1:24" x14ac:dyDescent="0.3">
      <c r="A2945" t="s">
        <v>4021</v>
      </c>
      <c r="B2945" t="s">
        <v>4016</v>
      </c>
      <c r="C2945" t="s">
        <v>141</v>
      </c>
      <c r="D2945" t="s">
        <v>52</v>
      </c>
      <c r="E2945" t="s">
        <v>314</v>
      </c>
      <c r="F2945">
        <v>1</v>
      </c>
      <c r="G2945">
        <v>204.97</v>
      </c>
      <c r="H2945">
        <v>0.05</v>
      </c>
      <c r="I2945" s="4">
        <v>194.72</v>
      </c>
      <c r="J2945" t="s">
        <v>109</v>
      </c>
      <c r="K2945" t="s">
        <v>35</v>
      </c>
      <c r="L2945" s="4">
        <f>VLOOKUP(tblTransactions[[#This Row],[Product_ID]],tblProducts[],5,FALSE)</f>
        <v>121.53</v>
      </c>
      <c r="M2945" s="4">
        <f>tblTransactions[[#This Row],[Total_Amount]]-(tblTransactions[[#This Row],[Cost_Prices]]*tblTransactions[[#This Row],[Quantity]]*(1-tblTransactions[[#This Row],[Discount]]))</f>
        <v>79.266500000000008</v>
      </c>
      <c r="N2945" s="3">
        <f>tblTransactions[[#This Row],[Profit]]/tblTransactions[[#This Row],[Total_Amount]]</f>
        <v>0.40707939605587512</v>
      </c>
      <c r="O2945" t="str">
        <f>TEXT(tblTransactions[[#This Row],[Date]], "MMM-YYYY")</f>
        <v>Sep-2024</v>
      </c>
      <c r="P2945" t="str">
        <f>"Q"&amp;ROUNDUP(MONTH(tblTransactions[[#This Row],[Date]])/3,0)&amp;"-"&amp;YEAR(tblTransactions[[#This Row],[Date]])</f>
        <v>Q3-2024</v>
      </c>
      <c r="Q2945">
        <f>YEAR(tblTransactions[[#This Row],[Date]])</f>
        <v>2024</v>
      </c>
      <c r="R2945" t="str">
        <f>TEXT(tblTransactions[[#This Row],[Date]],"DDDD")</f>
        <v>Thursday</v>
      </c>
      <c r="S2945">
        <f>MONTH(tblTransactions[[#This Row],[Date]])</f>
        <v>9</v>
      </c>
      <c r="T2945" t="str">
        <f>VLOOKUP(E2945, Products!$A:$B,2,0)</f>
        <v>Adapters Acc-3</v>
      </c>
      <c r="U2945" t="str">
        <f>VLOOKUP(E2945,Products!$A:$C,3,0)</f>
        <v>Accessories</v>
      </c>
      <c r="V2945" t="str">
        <f>VLOOKUP(E2945,Products!$A:$D,4,0)</f>
        <v>Adapters</v>
      </c>
      <c r="W2945" t="str">
        <f>VLOOKUP(D2945,Customers!$A:$C,3,0)</f>
        <v>B2C</v>
      </c>
      <c r="X2945" t="str">
        <f>VLOOKUP(C2945,Sales_Representatives!$A:$B,2,0)</f>
        <v>Richard Garcia</v>
      </c>
    </row>
    <row r="2946" spans="1:24" x14ac:dyDescent="0.3">
      <c r="A2946" t="s">
        <v>4022</v>
      </c>
      <c r="B2946" t="s">
        <v>4016</v>
      </c>
      <c r="C2946" t="s">
        <v>141</v>
      </c>
      <c r="D2946" t="s">
        <v>2224</v>
      </c>
      <c r="E2946" t="s">
        <v>99</v>
      </c>
      <c r="F2946">
        <v>12</v>
      </c>
      <c r="G2946">
        <v>325.14</v>
      </c>
      <c r="H2946">
        <v>0.2</v>
      </c>
      <c r="I2946" s="4">
        <v>3121.34</v>
      </c>
      <c r="J2946" t="s">
        <v>109</v>
      </c>
      <c r="K2946" t="s">
        <v>39</v>
      </c>
      <c r="L2946" s="4">
        <f>VLOOKUP(tblTransactions[[#This Row],[Product_ID]],tblProducts[],5,FALSE)</f>
        <v>209.04</v>
      </c>
      <c r="M2946" s="4">
        <f>tblTransactions[[#This Row],[Total_Amount]]-(tblTransactions[[#This Row],[Cost_Prices]]*tblTransactions[[#This Row],[Quantity]]*(1-tblTransactions[[#This Row],[Discount]]))</f>
        <v>1114.556</v>
      </c>
      <c r="N2946" s="3">
        <f>tblTransactions[[#This Row],[Profit]]/tblTransactions[[#This Row],[Total_Amount]]</f>
        <v>0.35707612756059898</v>
      </c>
      <c r="O2946" t="str">
        <f>TEXT(tblTransactions[[#This Row],[Date]], "MMM-YYYY")</f>
        <v>Sep-2024</v>
      </c>
      <c r="P2946" t="str">
        <f>"Q"&amp;ROUNDUP(MONTH(tblTransactions[[#This Row],[Date]])/3,0)&amp;"-"&amp;YEAR(tblTransactions[[#This Row],[Date]])</f>
        <v>Q3-2024</v>
      </c>
      <c r="Q2946">
        <f>YEAR(tblTransactions[[#This Row],[Date]])</f>
        <v>2024</v>
      </c>
      <c r="R2946" t="str">
        <f>TEXT(tblTransactions[[#This Row],[Date]],"DDDD")</f>
        <v>Thursday</v>
      </c>
      <c r="S2946">
        <f>MONTH(tblTransactions[[#This Row],[Date]])</f>
        <v>9</v>
      </c>
      <c r="T2946" t="str">
        <f>VLOOKUP(E2946, Products!$A:$B,2,0)</f>
        <v>Monitors Tec-1</v>
      </c>
      <c r="U2946" t="str">
        <f>VLOOKUP(E2946,Products!$A:$C,3,0)</f>
        <v>Technology</v>
      </c>
      <c r="V2946" t="str">
        <f>VLOOKUP(E2946,Products!$A:$D,4,0)</f>
        <v>Monitors</v>
      </c>
      <c r="W2946" t="str">
        <f>VLOOKUP(D2946,Customers!$A:$C,3,0)</f>
        <v>B2B</v>
      </c>
      <c r="X2946" t="str">
        <f>VLOOKUP(C2946,Sales_Representatives!$A:$B,2,0)</f>
        <v>Richard Garcia</v>
      </c>
    </row>
    <row r="2947" spans="1:24" x14ac:dyDescent="0.3">
      <c r="A2947" t="s">
        <v>4023</v>
      </c>
      <c r="B2947" t="s">
        <v>4024</v>
      </c>
      <c r="C2947" t="s">
        <v>63</v>
      </c>
      <c r="D2947" t="s">
        <v>1838</v>
      </c>
      <c r="E2947" t="s">
        <v>105</v>
      </c>
      <c r="F2947">
        <v>39</v>
      </c>
      <c r="G2947">
        <v>1342.04</v>
      </c>
      <c r="H2947">
        <v>0.18</v>
      </c>
      <c r="I2947" s="4">
        <v>42918.44</v>
      </c>
      <c r="J2947" t="s">
        <v>21</v>
      </c>
      <c r="K2947" t="s">
        <v>48</v>
      </c>
      <c r="L2947" s="4">
        <f>VLOOKUP(tblTransactions[[#This Row],[Product_ID]],tblProducts[],5,FALSE)</f>
        <v>792.89</v>
      </c>
      <c r="M2947" s="4">
        <f>tblTransactions[[#This Row],[Total_Amount]]-(tblTransactions[[#This Row],[Cost_Prices]]*tblTransactions[[#This Row],[Quantity]]*(1-tblTransactions[[#This Row],[Discount]]))</f>
        <v>17561.817800000001</v>
      </c>
      <c r="N2947" s="3">
        <f>tblTransactions[[#This Row],[Profit]]/tblTransactions[[#This Row],[Total_Amount]]</f>
        <v>0.40919049713829297</v>
      </c>
      <c r="O2947" t="str">
        <f>TEXT(tblTransactions[[#This Row],[Date]], "MMM-YYYY")</f>
        <v>Sep-2024</v>
      </c>
      <c r="P2947" t="str">
        <f>"Q"&amp;ROUNDUP(MONTH(tblTransactions[[#This Row],[Date]])/3,0)&amp;"-"&amp;YEAR(tblTransactions[[#This Row],[Date]])</f>
        <v>Q3-2024</v>
      </c>
      <c r="Q2947">
        <f>YEAR(tblTransactions[[#This Row],[Date]])</f>
        <v>2024</v>
      </c>
      <c r="R2947" t="str">
        <f>TEXT(tblTransactions[[#This Row],[Date]],"DDDD")</f>
        <v>Friday</v>
      </c>
      <c r="S2947">
        <f>MONTH(tblTransactions[[#This Row],[Date]])</f>
        <v>9</v>
      </c>
      <c r="T2947" t="str">
        <f>VLOOKUP(E2947, Products!$A:$B,2,0)</f>
        <v>Cameras Ele-1</v>
      </c>
      <c r="U2947" t="str">
        <f>VLOOKUP(E2947,Products!$A:$C,3,0)</f>
        <v>Electronics</v>
      </c>
      <c r="V2947" t="str">
        <f>VLOOKUP(E2947,Products!$A:$D,4,0)</f>
        <v>Cameras</v>
      </c>
      <c r="W2947" t="str">
        <f>VLOOKUP(D2947,Customers!$A:$C,3,0)</f>
        <v>Enterprise</v>
      </c>
      <c r="X2947" t="str">
        <f>VLOOKUP(C2947,Sales_Representatives!$A:$B,2,0)</f>
        <v>Richard Wilson</v>
      </c>
    </row>
    <row r="2948" spans="1:24" x14ac:dyDescent="0.3">
      <c r="A2948" t="s">
        <v>4025</v>
      </c>
      <c r="B2948" t="s">
        <v>4024</v>
      </c>
      <c r="C2948" t="s">
        <v>63</v>
      </c>
      <c r="D2948" t="s">
        <v>1708</v>
      </c>
      <c r="E2948" t="s">
        <v>255</v>
      </c>
      <c r="F2948">
        <v>20</v>
      </c>
      <c r="G2948">
        <v>1444.13</v>
      </c>
      <c r="H2948">
        <v>0.19</v>
      </c>
      <c r="I2948" s="4">
        <v>23394.91</v>
      </c>
      <c r="J2948" t="s">
        <v>21</v>
      </c>
      <c r="K2948" t="s">
        <v>35</v>
      </c>
      <c r="L2948" s="4">
        <f>VLOOKUP(tblTransactions[[#This Row],[Product_ID]],tblProducts[],5,FALSE)</f>
        <v>874.43</v>
      </c>
      <c r="M2948" s="4">
        <f>tblTransactions[[#This Row],[Total_Amount]]-(tblTransactions[[#This Row],[Cost_Prices]]*tblTransactions[[#This Row],[Quantity]]*(1-tblTransactions[[#This Row],[Discount]]))</f>
        <v>9229.1440000000002</v>
      </c>
      <c r="N2948" s="3">
        <f>tblTransactions[[#This Row],[Profit]]/tblTransactions[[#This Row],[Total_Amount]]</f>
        <v>0.39449367405132141</v>
      </c>
      <c r="O2948" t="str">
        <f>TEXT(tblTransactions[[#This Row],[Date]], "MMM-YYYY")</f>
        <v>Sep-2024</v>
      </c>
      <c r="P2948" t="str">
        <f>"Q"&amp;ROUNDUP(MONTH(tblTransactions[[#This Row],[Date]])/3,0)&amp;"-"&amp;YEAR(tblTransactions[[#This Row],[Date]])</f>
        <v>Q3-2024</v>
      </c>
      <c r="Q2948">
        <f>YEAR(tblTransactions[[#This Row],[Date]])</f>
        <v>2024</v>
      </c>
      <c r="R2948" t="str">
        <f>TEXT(tblTransactions[[#This Row],[Date]],"DDDD")</f>
        <v>Friday</v>
      </c>
      <c r="S2948">
        <f>MONTH(tblTransactions[[#This Row],[Date]])</f>
        <v>9</v>
      </c>
      <c r="T2948" t="str">
        <f>VLOOKUP(E2948, Products!$A:$B,2,0)</f>
        <v>Printers Tec-1</v>
      </c>
      <c r="U2948" t="str">
        <f>VLOOKUP(E2948,Products!$A:$C,3,0)</f>
        <v>Technology</v>
      </c>
      <c r="V2948" t="str">
        <f>VLOOKUP(E2948,Products!$A:$D,4,0)</f>
        <v>Printers</v>
      </c>
      <c r="W2948" t="str">
        <f>VLOOKUP(D2948,Customers!$A:$C,3,0)</f>
        <v>Enterprise</v>
      </c>
      <c r="X2948" t="str">
        <f>VLOOKUP(C2948,Sales_Representatives!$A:$B,2,0)</f>
        <v>Richard Wilson</v>
      </c>
    </row>
    <row r="2949" spans="1:24" x14ac:dyDescent="0.3">
      <c r="A2949" t="s">
        <v>4026</v>
      </c>
      <c r="B2949" t="s">
        <v>4024</v>
      </c>
      <c r="C2949" t="s">
        <v>127</v>
      </c>
      <c r="D2949" t="s">
        <v>1752</v>
      </c>
      <c r="E2949" t="s">
        <v>38</v>
      </c>
      <c r="F2949">
        <v>13</v>
      </c>
      <c r="G2949">
        <v>581.47</v>
      </c>
      <c r="H2949">
        <v>0.16</v>
      </c>
      <c r="I2949" s="4">
        <v>6349.65</v>
      </c>
      <c r="J2949" t="s">
        <v>109</v>
      </c>
      <c r="K2949" t="s">
        <v>39</v>
      </c>
      <c r="L2949" s="4">
        <f>VLOOKUP(tblTransactions[[#This Row],[Product_ID]],tblProducts[],5,FALSE)</f>
        <v>372.07</v>
      </c>
      <c r="M2949" s="4">
        <f>tblTransactions[[#This Row],[Total_Amount]]-(tblTransactions[[#This Row],[Cost_Prices]]*tblTransactions[[#This Row],[Quantity]]*(1-tblTransactions[[#This Row],[Discount]]))</f>
        <v>2286.6455999999998</v>
      </c>
      <c r="N2949" s="3">
        <f>tblTransactions[[#This Row],[Profit]]/tblTransactions[[#This Row],[Total_Amount]]</f>
        <v>0.36012151850889418</v>
      </c>
      <c r="O2949" t="str">
        <f>TEXT(tblTransactions[[#This Row],[Date]], "MMM-YYYY")</f>
        <v>Sep-2024</v>
      </c>
      <c r="P2949" t="str">
        <f>"Q"&amp;ROUNDUP(MONTH(tblTransactions[[#This Row],[Date]])/3,0)&amp;"-"&amp;YEAR(tblTransactions[[#This Row],[Date]])</f>
        <v>Q3-2024</v>
      </c>
      <c r="Q2949">
        <f>YEAR(tblTransactions[[#This Row],[Date]])</f>
        <v>2024</v>
      </c>
      <c r="R2949" t="str">
        <f>TEXT(tblTransactions[[#This Row],[Date]],"DDDD")</f>
        <v>Friday</v>
      </c>
      <c r="S2949">
        <f>MONTH(tblTransactions[[#This Row],[Date]])</f>
        <v>9</v>
      </c>
      <c r="T2949" t="str">
        <f>VLOOKUP(E2949, Products!$A:$B,2,0)</f>
        <v>Storage Fur-3</v>
      </c>
      <c r="U2949" t="str">
        <f>VLOOKUP(E2949,Products!$A:$C,3,0)</f>
        <v>Furniture</v>
      </c>
      <c r="V2949" t="str">
        <f>VLOOKUP(E2949,Products!$A:$D,4,0)</f>
        <v>Storage</v>
      </c>
      <c r="W2949" t="str">
        <f>VLOOKUP(D2949,Customers!$A:$C,3,0)</f>
        <v>B2B</v>
      </c>
      <c r="X2949" t="str">
        <f>VLOOKUP(C2949,Sales_Representatives!$A:$B,2,0)</f>
        <v>Emily Hernandez</v>
      </c>
    </row>
    <row r="2950" spans="1:24" x14ac:dyDescent="0.3">
      <c r="A2950" t="s">
        <v>4027</v>
      </c>
      <c r="B2950" t="s">
        <v>4024</v>
      </c>
      <c r="C2950" t="s">
        <v>75</v>
      </c>
      <c r="D2950" t="s">
        <v>1768</v>
      </c>
      <c r="E2950" t="s">
        <v>178</v>
      </c>
      <c r="F2950">
        <v>2</v>
      </c>
      <c r="G2950">
        <v>1623.35</v>
      </c>
      <c r="H2950">
        <v>0</v>
      </c>
      <c r="I2950" s="4">
        <v>3246.7</v>
      </c>
      <c r="J2950" t="s">
        <v>44</v>
      </c>
      <c r="K2950" t="s">
        <v>39</v>
      </c>
      <c r="L2950" s="4">
        <f>VLOOKUP(tblTransactions[[#This Row],[Product_ID]],tblProducts[],5,FALSE)</f>
        <v>981.45</v>
      </c>
      <c r="M2950" s="4">
        <f>tblTransactions[[#This Row],[Total_Amount]]-(tblTransactions[[#This Row],[Cost_Prices]]*tblTransactions[[#This Row],[Quantity]]*(1-tblTransactions[[#This Row],[Discount]]))</f>
        <v>1283.7999999999997</v>
      </c>
      <c r="N2950" s="3">
        <f>tblTransactions[[#This Row],[Profit]]/tblTransactions[[#This Row],[Total_Amount]]</f>
        <v>0.39541688483691129</v>
      </c>
      <c r="O2950" t="str">
        <f>TEXT(tblTransactions[[#This Row],[Date]], "MMM-YYYY")</f>
        <v>Sep-2024</v>
      </c>
      <c r="P2950" t="str">
        <f>"Q"&amp;ROUNDUP(MONTH(tblTransactions[[#This Row],[Date]])/3,0)&amp;"-"&amp;YEAR(tblTransactions[[#This Row],[Date]])</f>
        <v>Q3-2024</v>
      </c>
      <c r="Q2950">
        <f>YEAR(tblTransactions[[#This Row],[Date]])</f>
        <v>2024</v>
      </c>
      <c r="R2950" t="str">
        <f>TEXT(tblTransactions[[#This Row],[Date]],"DDDD")</f>
        <v>Friday</v>
      </c>
      <c r="S2950">
        <f>MONTH(tblTransactions[[#This Row],[Date]])</f>
        <v>9</v>
      </c>
      <c r="T2950" t="str">
        <f>VLOOKUP(E2950, Products!$A:$B,2,0)</f>
        <v>Tablets Ele-1</v>
      </c>
      <c r="U2950" t="str">
        <f>VLOOKUP(E2950,Products!$A:$C,3,0)</f>
        <v>Electronics</v>
      </c>
      <c r="V2950" t="str">
        <f>VLOOKUP(E2950,Products!$A:$D,4,0)</f>
        <v>Tablets</v>
      </c>
      <c r="W2950" t="str">
        <f>VLOOKUP(D2950,Customers!$A:$C,3,0)</f>
        <v>B2C</v>
      </c>
      <c r="X2950" t="str">
        <f>VLOOKUP(C2950,Sales_Representatives!$A:$B,2,0)</f>
        <v>Jessica Anderson</v>
      </c>
    </row>
    <row r="2951" spans="1:24" x14ac:dyDescent="0.3">
      <c r="A2951" t="s">
        <v>4028</v>
      </c>
      <c r="B2951" t="s">
        <v>4024</v>
      </c>
      <c r="C2951" t="s">
        <v>63</v>
      </c>
      <c r="D2951" t="s">
        <v>3014</v>
      </c>
      <c r="E2951" t="s">
        <v>152</v>
      </c>
      <c r="F2951">
        <v>13</v>
      </c>
      <c r="G2951">
        <v>859.93</v>
      </c>
      <c r="H2951">
        <v>0.16</v>
      </c>
      <c r="I2951" s="4">
        <v>9390.44</v>
      </c>
      <c r="J2951" t="s">
        <v>21</v>
      </c>
      <c r="K2951" t="s">
        <v>35</v>
      </c>
      <c r="L2951" s="4">
        <f>VLOOKUP(tblTransactions[[#This Row],[Product_ID]],tblProducts[],5,FALSE)</f>
        <v>579.79</v>
      </c>
      <c r="M2951" s="4">
        <f>tblTransactions[[#This Row],[Total_Amount]]-(tblTransactions[[#This Row],[Cost_Prices]]*tblTransactions[[#This Row],[Quantity]]*(1-tblTransactions[[#This Row],[Discount]]))</f>
        <v>3059.1332000000011</v>
      </c>
      <c r="N2951" s="3">
        <f>tblTransactions[[#This Row],[Profit]]/tblTransactions[[#This Row],[Total_Amount]]</f>
        <v>0.32577101818445153</v>
      </c>
      <c r="O2951" t="str">
        <f>TEXT(tblTransactions[[#This Row],[Date]], "MMM-YYYY")</f>
        <v>Sep-2024</v>
      </c>
      <c r="P2951" t="str">
        <f>"Q"&amp;ROUNDUP(MONTH(tblTransactions[[#This Row],[Date]])/3,0)&amp;"-"&amp;YEAR(tblTransactions[[#This Row],[Date]])</f>
        <v>Q3-2024</v>
      </c>
      <c r="Q2951">
        <f>YEAR(tblTransactions[[#This Row],[Date]])</f>
        <v>2024</v>
      </c>
      <c r="R2951" t="str">
        <f>TEXT(tblTransactions[[#This Row],[Date]],"DDDD")</f>
        <v>Friday</v>
      </c>
      <c r="S2951">
        <f>MONTH(tblTransactions[[#This Row],[Date]])</f>
        <v>9</v>
      </c>
      <c r="T2951" t="str">
        <f>VLOOKUP(E2951, Products!$A:$B,2,0)</f>
        <v>Phones Ele-4</v>
      </c>
      <c r="U2951" t="str">
        <f>VLOOKUP(E2951,Products!$A:$C,3,0)</f>
        <v>Electronics</v>
      </c>
      <c r="V2951" t="str">
        <f>VLOOKUP(E2951,Products!$A:$D,4,0)</f>
        <v>Phones</v>
      </c>
      <c r="W2951" t="str">
        <f>VLOOKUP(D2951,Customers!$A:$C,3,0)</f>
        <v>B2B</v>
      </c>
      <c r="X2951" t="str">
        <f>VLOOKUP(C2951,Sales_Representatives!$A:$B,2,0)</f>
        <v>Richard Wilson</v>
      </c>
    </row>
    <row r="2952" spans="1:24" x14ac:dyDescent="0.3">
      <c r="A2952" t="s">
        <v>4029</v>
      </c>
      <c r="B2952" t="s">
        <v>4024</v>
      </c>
      <c r="C2952" t="s">
        <v>31</v>
      </c>
      <c r="D2952" t="s">
        <v>1722</v>
      </c>
      <c r="E2952" t="s">
        <v>508</v>
      </c>
      <c r="F2952">
        <v>3</v>
      </c>
      <c r="G2952">
        <v>237.69</v>
      </c>
      <c r="H2952">
        <v>0.02</v>
      </c>
      <c r="I2952" s="4">
        <v>698.81</v>
      </c>
      <c r="J2952" t="s">
        <v>34</v>
      </c>
      <c r="K2952" t="s">
        <v>48</v>
      </c>
      <c r="L2952" s="4">
        <f>VLOOKUP(tblTransactions[[#This Row],[Product_ID]],tblProducts[],5,FALSE)</f>
        <v>115.31</v>
      </c>
      <c r="M2952" s="4">
        <f>tblTransactions[[#This Row],[Total_Amount]]-(tblTransactions[[#This Row],[Cost_Prices]]*tblTransactions[[#This Row],[Quantity]]*(1-tblTransactions[[#This Row],[Discount]]))</f>
        <v>359.79859999999996</v>
      </c>
      <c r="N2952" s="3">
        <f>tblTransactions[[#This Row],[Profit]]/tblTransactions[[#This Row],[Total_Amount]]</f>
        <v>0.51487328458379245</v>
      </c>
      <c r="O2952" t="str">
        <f>TEXT(tblTransactions[[#This Row],[Date]], "MMM-YYYY")</f>
        <v>Sep-2024</v>
      </c>
      <c r="P2952" t="str">
        <f>"Q"&amp;ROUNDUP(MONTH(tblTransactions[[#This Row],[Date]])/3,0)&amp;"-"&amp;YEAR(tblTransactions[[#This Row],[Date]])</f>
        <v>Q3-2024</v>
      </c>
      <c r="Q2952">
        <f>YEAR(tblTransactions[[#This Row],[Date]])</f>
        <v>2024</v>
      </c>
      <c r="R2952" t="str">
        <f>TEXT(tblTransactions[[#This Row],[Date]],"DDDD")</f>
        <v>Friday</v>
      </c>
      <c r="S2952">
        <f>MONTH(tblTransactions[[#This Row],[Date]])</f>
        <v>9</v>
      </c>
      <c r="T2952" t="str">
        <f>VLOOKUP(E2952, Products!$A:$B,2,0)</f>
        <v>Folders Off-3</v>
      </c>
      <c r="U2952" t="str">
        <f>VLOOKUP(E2952,Products!$A:$C,3,0)</f>
        <v>Office Supplies</v>
      </c>
      <c r="V2952" t="str">
        <f>VLOOKUP(E2952,Products!$A:$D,4,0)</f>
        <v>Folders</v>
      </c>
      <c r="W2952" t="str">
        <f>VLOOKUP(D2952,Customers!$A:$C,3,0)</f>
        <v>B2C</v>
      </c>
      <c r="X2952" t="str">
        <f>VLOOKUP(C2952,Sales_Representatives!$A:$B,2,0)</f>
        <v>Thomas Martinez</v>
      </c>
    </row>
    <row r="2953" spans="1:24" x14ac:dyDescent="0.3">
      <c r="A2953" t="s">
        <v>4030</v>
      </c>
      <c r="B2953" t="s">
        <v>4024</v>
      </c>
      <c r="C2953" t="s">
        <v>31</v>
      </c>
      <c r="D2953" t="s">
        <v>1449</v>
      </c>
      <c r="E2953" t="s">
        <v>105</v>
      </c>
      <c r="F2953">
        <v>13</v>
      </c>
      <c r="G2953">
        <v>1342.04</v>
      </c>
      <c r="H2953">
        <v>0.16</v>
      </c>
      <c r="I2953" s="4">
        <v>14655.08</v>
      </c>
      <c r="J2953" t="s">
        <v>34</v>
      </c>
      <c r="K2953" t="s">
        <v>17</v>
      </c>
      <c r="L2953" s="4">
        <f>VLOOKUP(tblTransactions[[#This Row],[Product_ID]],tblProducts[],5,FALSE)</f>
        <v>792.89</v>
      </c>
      <c r="M2953" s="4">
        <f>tblTransactions[[#This Row],[Total_Amount]]-(tblTransactions[[#This Row],[Cost_Prices]]*tblTransactions[[#This Row],[Quantity]]*(1-tblTransactions[[#This Row],[Discount]]))</f>
        <v>5996.7212</v>
      </c>
      <c r="N2953" s="3">
        <f>tblTransactions[[#This Row],[Profit]]/tblTransactions[[#This Row],[Total_Amount]]</f>
        <v>0.40919061513140836</v>
      </c>
      <c r="O2953" t="str">
        <f>TEXT(tblTransactions[[#This Row],[Date]], "MMM-YYYY")</f>
        <v>Sep-2024</v>
      </c>
      <c r="P2953" t="str">
        <f>"Q"&amp;ROUNDUP(MONTH(tblTransactions[[#This Row],[Date]])/3,0)&amp;"-"&amp;YEAR(tblTransactions[[#This Row],[Date]])</f>
        <v>Q3-2024</v>
      </c>
      <c r="Q2953">
        <f>YEAR(tblTransactions[[#This Row],[Date]])</f>
        <v>2024</v>
      </c>
      <c r="R2953" t="str">
        <f>TEXT(tblTransactions[[#This Row],[Date]],"DDDD")</f>
        <v>Friday</v>
      </c>
      <c r="S2953">
        <f>MONTH(tblTransactions[[#This Row],[Date]])</f>
        <v>9</v>
      </c>
      <c r="T2953" t="str">
        <f>VLOOKUP(E2953, Products!$A:$B,2,0)</f>
        <v>Cameras Ele-1</v>
      </c>
      <c r="U2953" t="str">
        <f>VLOOKUP(E2953,Products!$A:$C,3,0)</f>
        <v>Electronics</v>
      </c>
      <c r="V2953" t="str">
        <f>VLOOKUP(E2953,Products!$A:$D,4,0)</f>
        <v>Cameras</v>
      </c>
      <c r="W2953" t="str">
        <f>VLOOKUP(D2953,Customers!$A:$C,3,0)</f>
        <v>B2B</v>
      </c>
      <c r="X2953" t="str">
        <f>VLOOKUP(C2953,Sales_Representatives!$A:$B,2,0)</f>
        <v>Thomas Martinez</v>
      </c>
    </row>
    <row r="2954" spans="1:24" x14ac:dyDescent="0.3">
      <c r="A2954" t="s">
        <v>4031</v>
      </c>
      <c r="B2954" t="s">
        <v>4024</v>
      </c>
      <c r="C2954" t="s">
        <v>127</v>
      </c>
      <c r="D2954" t="s">
        <v>1670</v>
      </c>
      <c r="E2954" t="s">
        <v>508</v>
      </c>
      <c r="F2954">
        <v>4</v>
      </c>
      <c r="G2954">
        <v>237.69</v>
      </c>
      <c r="H2954">
        <v>0.06</v>
      </c>
      <c r="I2954" s="4">
        <v>893.71</v>
      </c>
      <c r="J2954" t="s">
        <v>109</v>
      </c>
      <c r="K2954" t="s">
        <v>35</v>
      </c>
      <c r="L2954" s="4">
        <f>VLOOKUP(tblTransactions[[#This Row],[Product_ID]],tblProducts[],5,FALSE)</f>
        <v>115.31</v>
      </c>
      <c r="M2954" s="4">
        <f>tblTransactions[[#This Row],[Total_Amount]]-(tblTransactions[[#This Row],[Cost_Prices]]*tblTransactions[[#This Row],[Quantity]]*(1-tblTransactions[[#This Row],[Discount]]))</f>
        <v>460.14440000000008</v>
      </c>
      <c r="N2954" s="3">
        <f>tblTransactions[[#This Row],[Profit]]/tblTransactions[[#This Row],[Total_Amount]]</f>
        <v>0.51486992424835798</v>
      </c>
      <c r="O2954" t="str">
        <f>TEXT(tblTransactions[[#This Row],[Date]], "MMM-YYYY")</f>
        <v>Sep-2024</v>
      </c>
      <c r="P2954" t="str">
        <f>"Q"&amp;ROUNDUP(MONTH(tblTransactions[[#This Row],[Date]])/3,0)&amp;"-"&amp;YEAR(tblTransactions[[#This Row],[Date]])</f>
        <v>Q3-2024</v>
      </c>
      <c r="Q2954">
        <f>YEAR(tblTransactions[[#This Row],[Date]])</f>
        <v>2024</v>
      </c>
      <c r="R2954" t="str">
        <f>TEXT(tblTransactions[[#This Row],[Date]],"DDDD")</f>
        <v>Friday</v>
      </c>
      <c r="S2954">
        <f>MONTH(tblTransactions[[#This Row],[Date]])</f>
        <v>9</v>
      </c>
      <c r="T2954" t="str">
        <f>VLOOKUP(E2954, Products!$A:$B,2,0)</f>
        <v>Folders Off-3</v>
      </c>
      <c r="U2954" t="str">
        <f>VLOOKUP(E2954,Products!$A:$C,3,0)</f>
        <v>Office Supplies</v>
      </c>
      <c r="V2954" t="str">
        <f>VLOOKUP(E2954,Products!$A:$D,4,0)</f>
        <v>Folders</v>
      </c>
      <c r="W2954" t="str">
        <f>VLOOKUP(D2954,Customers!$A:$C,3,0)</f>
        <v>Small Business</v>
      </c>
      <c r="X2954" t="str">
        <f>VLOOKUP(C2954,Sales_Representatives!$A:$B,2,0)</f>
        <v>Emily Hernandez</v>
      </c>
    </row>
    <row r="2955" spans="1:24" x14ac:dyDescent="0.3">
      <c r="A2955" t="s">
        <v>4032</v>
      </c>
      <c r="B2955" t="s">
        <v>4033</v>
      </c>
      <c r="C2955" t="s">
        <v>70</v>
      </c>
      <c r="D2955" t="s">
        <v>1730</v>
      </c>
      <c r="E2955" t="s">
        <v>191</v>
      </c>
      <c r="F2955">
        <v>10</v>
      </c>
      <c r="G2955">
        <v>1012.75</v>
      </c>
      <c r="H2955">
        <v>0.13</v>
      </c>
      <c r="I2955" s="4">
        <v>8810.92</v>
      </c>
      <c r="J2955" t="s">
        <v>16</v>
      </c>
      <c r="K2955" t="s">
        <v>22</v>
      </c>
      <c r="L2955" s="4">
        <f>VLOOKUP(tblTransactions[[#This Row],[Product_ID]],tblProducts[],5,FALSE)</f>
        <v>518.53</v>
      </c>
      <c r="M2955" s="4">
        <f>tblTransactions[[#This Row],[Total_Amount]]-(tblTransactions[[#This Row],[Cost_Prices]]*tblTransactions[[#This Row],[Quantity]]*(1-tblTransactions[[#This Row],[Discount]]))</f>
        <v>4299.7090000000007</v>
      </c>
      <c r="N2955" s="3">
        <f>tblTransactions[[#This Row],[Profit]]/tblTransactions[[#This Row],[Total_Amount]]</f>
        <v>0.48799773462930102</v>
      </c>
      <c r="O2955" t="str">
        <f>TEXT(tblTransactions[[#This Row],[Date]], "MMM-YYYY")</f>
        <v>Sep-2024</v>
      </c>
      <c r="P2955" t="str">
        <f>"Q"&amp;ROUNDUP(MONTH(tblTransactions[[#This Row],[Date]])/3,0)&amp;"-"&amp;YEAR(tblTransactions[[#This Row],[Date]])</f>
        <v>Q3-2024</v>
      </c>
      <c r="Q2955">
        <f>YEAR(tblTransactions[[#This Row],[Date]])</f>
        <v>2024</v>
      </c>
      <c r="R2955" t="str">
        <f>TEXT(tblTransactions[[#This Row],[Date]],"DDDD")</f>
        <v>Saturday</v>
      </c>
      <c r="S2955">
        <f>MONTH(tblTransactions[[#This Row],[Date]])</f>
        <v>9</v>
      </c>
      <c r="T2955" t="str">
        <f>VLOOKUP(E2955, Products!$A:$B,2,0)</f>
        <v>Tables Fur-4</v>
      </c>
      <c r="U2955" t="str">
        <f>VLOOKUP(E2955,Products!$A:$C,3,0)</f>
        <v>Furniture</v>
      </c>
      <c r="V2955" t="str">
        <f>VLOOKUP(E2955,Products!$A:$D,4,0)</f>
        <v>Tables</v>
      </c>
      <c r="W2955" t="str">
        <f>VLOOKUP(D2955,Customers!$A:$C,3,0)</f>
        <v>B2B</v>
      </c>
      <c r="X2955" t="str">
        <f>VLOOKUP(C2955,Sales_Representatives!$A:$B,2,0)</f>
        <v>Linda Smith</v>
      </c>
    </row>
    <row r="2956" spans="1:24" x14ac:dyDescent="0.3">
      <c r="A2956" t="s">
        <v>4034</v>
      </c>
      <c r="B2956" t="s">
        <v>4033</v>
      </c>
      <c r="C2956" t="s">
        <v>31</v>
      </c>
      <c r="D2956" t="s">
        <v>1465</v>
      </c>
      <c r="E2956" t="s">
        <v>125</v>
      </c>
      <c r="F2956">
        <v>1</v>
      </c>
      <c r="G2956">
        <v>1201.4000000000001</v>
      </c>
      <c r="H2956">
        <v>0.04</v>
      </c>
      <c r="I2956" s="4">
        <v>1153.3399999999999</v>
      </c>
      <c r="J2956" t="s">
        <v>34</v>
      </c>
      <c r="K2956" t="s">
        <v>35</v>
      </c>
      <c r="L2956" s="4">
        <f>VLOOKUP(tblTransactions[[#This Row],[Product_ID]],tblProducts[],5,FALSE)</f>
        <v>672.72</v>
      </c>
      <c r="M2956" s="4">
        <f>tblTransactions[[#This Row],[Total_Amount]]-(tblTransactions[[#This Row],[Cost_Prices]]*tblTransactions[[#This Row],[Quantity]]*(1-tblTransactions[[#This Row],[Discount]]))</f>
        <v>507.52879999999993</v>
      </c>
      <c r="N2956" s="3">
        <f>tblTransactions[[#This Row],[Profit]]/tblTransactions[[#This Row],[Total_Amount]]</f>
        <v>0.44005132918306827</v>
      </c>
      <c r="O2956" t="str">
        <f>TEXT(tblTransactions[[#This Row],[Date]], "MMM-YYYY")</f>
        <v>Sep-2024</v>
      </c>
      <c r="P2956" t="str">
        <f>"Q"&amp;ROUNDUP(MONTH(tblTransactions[[#This Row],[Date]])/3,0)&amp;"-"&amp;YEAR(tblTransactions[[#This Row],[Date]])</f>
        <v>Q3-2024</v>
      </c>
      <c r="Q2956">
        <f>YEAR(tblTransactions[[#This Row],[Date]])</f>
        <v>2024</v>
      </c>
      <c r="R2956" t="str">
        <f>TEXT(tblTransactions[[#This Row],[Date]],"DDDD")</f>
        <v>Saturday</v>
      </c>
      <c r="S2956">
        <f>MONTH(tblTransactions[[#This Row],[Date]])</f>
        <v>9</v>
      </c>
      <c r="T2956" t="str">
        <f>VLOOKUP(E2956, Products!$A:$B,2,0)</f>
        <v>Printers Tec-2</v>
      </c>
      <c r="U2956" t="str">
        <f>VLOOKUP(E2956,Products!$A:$C,3,0)</f>
        <v>Technology</v>
      </c>
      <c r="V2956" t="str">
        <f>VLOOKUP(E2956,Products!$A:$D,4,0)</f>
        <v>Printers</v>
      </c>
      <c r="W2956" t="str">
        <f>VLOOKUP(D2956,Customers!$A:$C,3,0)</f>
        <v>Small Business</v>
      </c>
      <c r="X2956" t="str">
        <f>VLOOKUP(C2956,Sales_Representatives!$A:$B,2,0)</f>
        <v>Thomas Martinez</v>
      </c>
    </row>
    <row r="2957" spans="1:24" x14ac:dyDescent="0.3">
      <c r="A2957" t="s">
        <v>4035</v>
      </c>
      <c r="B2957" t="s">
        <v>4033</v>
      </c>
      <c r="C2957" t="s">
        <v>27</v>
      </c>
      <c r="D2957" t="s">
        <v>1447</v>
      </c>
      <c r="E2957" t="s">
        <v>204</v>
      </c>
      <c r="F2957">
        <v>4</v>
      </c>
      <c r="G2957">
        <v>715.62</v>
      </c>
      <c r="H2957">
        <v>7.0000000000000007E-2</v>
      </c>
      <c r="I2957" s="4">
        <v>2662.11</v>
      </c>
      <c r="J2957" t="s">
        <v>16</v>
      </c>
      <c r="K2957" t="s">
        <v>17</v>
      </c>
      <c r="L2957" s="4">
        <f>VLOOKUP(tblTransactions[[#This Row],[Product_ID]],tblProducts[],5,FALSE)</f>
        <v>459.58</v>
      </c>
      <c r="M2957" s="4">
        <f>tblTransactions[[#This Row],[Total_Amount]]-(tblTransactions[[#This Row],[Cost_Prices]]*tblTransactions[[#This Row],[Quantity]]*(1-tblTransactions[[#This Row],[Discount]]))</f>
        <v>952.47240000000033</v>
      </c>
      <c r="N2957" s="3">
        <f>tblTransactions[[#This Row],[Profit]]/tblTransactions[[#This Row],[Total_Amount]]</f>
        <v>0.35778852113549037</v>
      </c>
      <c r="O2957" t="str">
        <f>TEXT(tblTransactions[[#This Row],[Date]], "MMM-YYYY")</f>
        <v>Sep-2024</v>
      </c>
      <c r="P2957" t="str">
        <f>"Q"&amp;ROUNDUP(MONTH(tblTransactions[[#This Row],[Date]])/3,0)&amp;"-"&amp;YEAR(tblTransactions[[#This Row],[Date]])</f>
        <v>Q3-2024</v>
      </c>
      <c r="Q2957">
        <f>YEAR(tblTransactions[[#This Row],[Date]])</f>
        <v>2024</v>
      </c>
      <c r="R2957" t="str">
        <f>TEXT(tblTransactions[[#This Row],[Date]],"DDDD")</f>
        <v>Saturday</v>
      </c>
      <c r="S2957">
        <f>MONTH(tblTransactions[[#This Row],[Date]])</f>
        <v>9</v>
      </c>
      <c r="T2957" t="str">
        <f>VLOOKUP(E2957, Products!$A:$B,2,0)</f>
        <v>Cameras Ele-2</v>
      </c>
      <c r="U2957" t="str">
        <f>VLOOKUP(E2957,Products!$A:$C,3,0)</f>
        <v>Electronics</v>
      </c>
      <c r="V2957" t="str">
        <f>VLOOKUP(E2957,Products!$A:$D,4,0)</f>
        <v>Cameras</v>
      </c>
      <c r="W2957" t="str">
        <f>VLOOKUP(D2957,Customers!$A:$C,3,0)</f>
        <v>B2B</v>
      </c>
      <c r="X2957" t="str">
        <f>VLOOKUP(C2957,Sales_Representatives!$A:$B,2,0)</f>
        <v>Thomas Lopez</v>
      </c>
    </row>
    <row r="2958" spans="1:24" x14ac:dyDescent="0.3">
      <c r="A2958" t="s">
        <v>4036</v>
      </c>
      <c r="B2958" t="s">
        <v>4033</v>
      </c>
      <c r="C2958" t="s">
        <v>27</v>
      </c>
      <c r="D2958" t="s">
        <v>1563</v>
      </c>
      <c r="E2958" t="s">
        <v>204</v>
      </c>
      <c r="F2958">
        <v>4</v>
      </c>
      <c r="G2958">
        <v>715.62</v>
      </c>
      <c r="H2958">
        <v>0.03</v>
      </c>
      <c r="I2958" s="4">
        <v>2776.61</v>
      </c>
      <c r="J2958" t="s">
        <v>16</v>
      </c>
      <c r="K2958" t="s">
        <v>39</v>
      </c>
      <c r="L2958" s="4">
        <f>VLOOKUP(tblTransactions[[#This Row],[Product_ID]],tblProducts[],5,FALSE)</f>
        <v>459.58</v>
      </c>
      <c r="M2958" s="4">
        <f>tblTransactions[[#This Row],[Total_Amount]]-(tblTransactions[[#This Row],[Cost_Prices]]*tblTransactions[[#This Row],[Quantity]]*(1-tblTransactions[[#This Row],[Discount]]))</f>
        <v>993.43960000000015</v>
      </c>
      <c r="N2958" s="3">
        <f>tblTransactions[[#This Row],[Profit]]/tblTransactions[[#This Row],[Total_Amount]]</f>
        <v>0.35778867035701811</v>
      </c>
      <c r="O2958" t="str">
        <f>TEXT(tblTransactions[[#This Row],[Date]], "MMM-YYYY")</f>
        <v>Sep-2024</v>
      </c>
      <c r="P2958" t="str">
        <f>"Q"&amp;ROUNDUP(MONTH(tblTransactions[[#This Row],[Date]])/3,0)&amp;"-"&amp;YEAR(tblTransactions[[#This Row],[Date]])</f>
        <v>Q3-2024</v>
      </c>
      <c r="Q2958">
        <f>YEAR(tblTransactions[[#This Row],[Date]])</f>
        <v>2024</v>
      </c>
      <c r="R2958" t="str">
        <f>TEXT(tblTransactions[[#This Row],[Date]],"DDDD")</f>
        <v>Saturday</v>
      </c>
      <c r="S2958">
        <f>MONTH(tblTransactions[[#This Row],[Date]])</f>
        <v>9</v>
      </c>
      <c r="T2958" t="str">
        <f>VLOOKUP(E2958, Products!$A:$B,2,0)</f>
        <v>Cameras Ele-2</v>
      </c>
      <c r="U2958" t="str">
        <f>VLOOKUP(E2958,Products!$A:$C,3,0)</f>
        <v>Electronics</v>
      </c>
      <c r="V2958" t="str">
        <f>VLOOKUP(E2958,Products!$A:$D,4,0)</f>
        <v>Cameras</v>
      </c>
      <c r="W2958" t="str">
        <f>VLOOKUP(D2958,Customers!$A:$C,3,0)</f>
        <v>B2C</v>
      </c>
      <c r="X2958" t="str">
        <f>VLOOKUP(C2958,Sales_Representatives!$A:$B,2,0)</f>
        <v>Thomas Lopez</v>
      </c>
    </row>
    <row r="2959" spans="1:24" x14ac:dyDescent="0.3">
      <c r="A2959" t="s">
        <v>4037</v>
      </c>
      <c r="B2959" t="s">
        <v>4033</v>
      </c>
      <c r="C2959" t="s">
        <v>41</v>
      </c>
      <c r="D2959" t="s">
        <v>2147</v>
      </c>
      <c r="E2959" t="s">
        <v>137</v>
      </c>
      <c r="F2959">
        <v>11</v>
      </c>
      <c r="G2959">
        <v>241.39</v>
      </c>
      <c r="H2959">
        <v>0.12</v>
      </c>
      <c r="I2959" s="4">
        <v>2336.66</v>
      </c>
      <c r="J2959" t="s">
        <v>44</v>
      </c>
      <c r="K2959" t="s">
        <v>17</v>
      </c>
      <c r="L2959" s="4">
        <f>VLOOKUP(tblTransactions[[#This Row],[Product_ID]],tblProducts[],5,FALSE)</f>
        <v>124.07</v>
      </c>
      <c r="M2959" s="4">
        <f>tblTransactions[[#This Row],[Total_Amount]]-(tblTransactions[[#This Row],[Cost_Prices]]*tblTransactions[[#This Row],[Quantity]]*(1-tblTransactions[[#This Row],[Discount]]))</f>
        <v>1135.6623999999999</v>
      </c>
      <c r="N2959" s="3">
        <f>tblTransactions[[#This Row],[Profit]]/tblTransactions[[#This Row],[Total_Amount]]</f>
        <v>0.4860195321527308</v>
      </c>
      <c r="O2959" t="str">
        <f>TEXT(tblTransactions[[#This Row],[Date]], "MMM-YYYY")</f>
        <v>Sep-2024</v>
      </c>
      <c r="P2959" t="str">
        <f>"Q"&amp;ROUNDUP(MONTH(tblTransactions[[#This Row],[Date]])/3,0)&amp;"-"&amp;YEAR(tblTransactions[[#This Row],[Date]])</f>
        <v>Q3-2024</v>
      </c>
      <c r="Q2959">
        <f>YEAR(tblTransactions[[#This Row],[Date]])</f>
        <v>2024</v>
      </c>
      <c r="R2959" t="str">
        <f>TEXT(tblTransactions[[#This Row],[Date]],"DDDD")</f>
        <v>Saturday</v>
      </c>
      <c r="S2959">
        <f>MONTH(tblTransactions[[#This Row],[Date]])</f>
        <v>9</v>
      </c>
      <c r="T2959" t="str">
        <f>VLOOKUP(E2959, Products!$A:$B,2,0)</f>
        <v>Desks Fur-2</v>
      </c>
      <c r="U2959" t="str">
        <f>VLOOKUP(E2959,Products!$A:$C,3,0)</f>
        <v>Furniture</v>
      </c>
      <c r="V2959" t="str">
        <f>VLOOKUP(E2959,Products!$A:$D,4,0)</f>
        <v>Desks</v>
      </c>
      <c r="W2959" t="str">
        <f>VLOOKUP(D2959,Customers!$A:$C,3,0)</f>
        <v>B2B</v>
      </c>
      <c r="X2959" t="str">
        <f>VLOOKUP(C2959,Sales_Representatives!$A:$B,2,0)</f>
        <v>Robert Jones</v>
      </c>
    </row>
    <row r="2960" spans="1:24" x14ac:dyDescent="0.3">
      <c r="A2960" t="s">
        <v>4038</v>
      </c>
      <c r="B2960" t="s">
        <v>4033</v>
      </c>
      <c r="C2960" t="s">
        <v>141</v>
      </c>
      <c r="D2960" t="s">
        <v>1902</v>
      </c>
      <c r="E2960" t="s">
        <v>99</v>
      </c>
      <c r="F2960">
        <v>3</v>
      </c>
      <c r="G2960">
        <v>325.14</v>
      </c>
      <c r="H2960">
        <v>0.04</v>
      </c>
      <c r="I2960" s="4">
        <v>936.4</v>
      </c>
      <c r="J2960" t="s">
        <v>109</v>
      </c>
      <c r="K2960" t="s">
        <v>22</v>
      </c>
      <c r="L2960" s="4">
        <f>VLOOKUP(tblTransactions[[#This Row],[Product_ID]],tblProducts[],5,FALSE)</f>
        <v>209.04</v>
      </c>
      <c r="M2960" s="4">
        <f>tblTransactions[[#This Row],[Total_Amount]]-(tblTransactions[[#This Row],[Cost_Prices]]*tblTransactions[[#This Row],[Quantity]]*(1-tblTransactions[[#This Row],[Discount]]))</f>
        <v>334.36479999999995</v>
      </c>
      <c r="N2960" s="3">
        <f>tblTransactions[[#This Row],[Profit]]/tblTransactions[[#This Row],[Total_Amount]]</f>
        <v>0.35707475437847069</v>
      </c>
      <c r="O2960" t="str">
        <f>TEXT(tblTransactions[[#This Row],[Date]], "MMM-YYYY")</f>
        <v>Sep-2024</v>
      </c>
      <c r="P2960" t="str">
        <f>"Q"&amp;ROUNDUP(MONTH(tblTransactions[[#This Row],[Date]])/3,0)&amp;"-"&amp;YEAR(tblTransactions[[#This Row],[Date]])</f>
        <v>Q3-2024</v>
      </c>
      <c r="Q2960">
        <f>YEAR(tblTransactions[[#This Row],[Date]])</f>
        <v>2024</v>
      </c>
      <c r="R2960" t="str">
        <f>TEXT(tblTransactions[[#This Row],[Date]],"DDDD")</f>
        <v>Saturday</v>
      </c>
      <c r="S2960">
        <f>MONTH(tblTransactions[[#This Row],[Date]])</f>
        <v>9</v>
      </c>
      <c r="T2960" t="str">
        <f>VLOOKUP(E2960, Products!$A:$B,2,0)</f>
        <v>Monitors Tec-1</v>
      </c>
      <c r="U2960" t="str">
        <f>VLOOKUP(E2960,Products!$A:$C,3,0)</f>
        <v>Technology</v>
      </c>
      <c r="V2960" t="str">
        <f>VLOOKUP(E2960,Products!$A:$D,4,0)</f>
        <v>Monitors</v>
      </c>
      <c r="W2960" t="str">
        <f>VLOOKUP(D2960,Customers!$A:$C,3,0)</f>
        <v>B2B</v>
      </c>
      <c r="X2960" t="str">
        <f>VLOOKUP(C2960,Sales_Representatives!$A:$B,2,0)</f>
        <v>Richard Garcia</v>
      </c>
    </row>
    <row r="2961" spans="1:24" x14ac:dyDescent="0.3">
      <c r="A2961" t="s">
        <v>4039</v>
      </c>
      <c r="B2961" t="s">
        <v>4040</v>
      </c>
      <c r="C2961" t="s">
        <v>41</v>
      </c>
      <c r="D2961" t="s">
        <v>1813</v>
      </c>
      <c r="E2961" t="s">
        <v>255</v>
      </c>
      <c r="F2961">
        <v>23</v>
      </c>
      <c r="G2961">
        <v>1444.13</v>
      </c>
      <c r="H2961">
        <v>0.23</v>
      </c>
      <c r="I2961" s="4">
        <v>25575.54</v>
      </c>
      <c r="J2961" t="s">
        <v>44</v>
      </c>
      <c r="K2961" t="s">
        <v>22</v>
      </c>
      <c r="L2961" s="4">
        <f>VLOOKUP(tblTransactions[[#This Row],[Product_ID]],tblProducts[],5,FALSE)</f>
        <v>874.43</v>
      </c>
      <c r="M2961" s="4">
        <f>tblTransactions[[#This Row],[Total_Amount]]-(tblTransactions[[#This Row],[Cost_Prices]]*tblTransactions[[#This Row],[Quantity]]*(1-tblTransactions[[#This Row],[Discount]]))</f>
        <v>10089.384700000001</v>
      </c>
      <c r="N2961" s="3">
        <f>tblTransactions[[#This Row],[Profit]]/tblTransactions[[#This Row],[Total_Amount]]</f>
        <v>0.39449351607043293</v>
      </c>
      <c r="O2961" t="str">
        <f>TEXT(tblTransactions[[#This Row],[Date]], "MMM-YYYY")</f>
        <v>Sep-2024</v>
      </c>
      <c r="P2961" t="str">
        <f>"Q"&amp;ROUNDUP(MONTH(tblTransactions[[#This Row],[Date]])/3,0)&amp;"-"&amp;YEAR(tblTransactions[[#This Row],[Date]])</f>
        <v>Q3-2024</v>
      </c>
      <c r="Q2961">
        <f>YEAR(tblTransactions[[#This Row],[Date]])</f>
        <v>2024</v>
      </c>
      <c r="R2961" t="str">
        <f>TEXT(tblTransactions[[#This Row],[Date]],"DDDD")</f>
        <v>Sunday</v>
      </c>
      <c r="S2961">
        <f>MONTH(tblTransactions[[#This Row],[Date]])</f>
        <v>9</v>
      </c>
      <c r="T2961" t="str">
        <f>VLOOKUP(E2961, Products!$A:$B,2,0)</f>
        <v>Printers Tec-1</v>
      </c>
      <c r="U2961" t="str">
        <f>VLOOKUP(E2961,Products!$A:$C,3,0)</f>
        <v>Technology</v>
      </c>
      <c r="V2961" t="str">
        <f>VLOOKUP(E2961,Products!$A:$D,4,0)</f>
        <v>Printers</v>
      </c>
      <c r="W2961" t="str">
        <f>VLOOKUP(D2961,Customers!$A:$C,3,0)</f>
        <v>Enterprise</v>
      </c>
      <c r="X2961" t="str">
        <f>VLOOKUP(C2961,Sales_Representatives!$A:$B,2,0)</f>
        <v>Robert Jones</v>
      </c>
    </row>
    <row r="2962" spans="1:24" x14ac:dyDescent="0.3">
      <c r="A2962" t="s">
        <v>4041</v>
      </c>
      <c r="B2962" t="s">
        <v>4040</v>
      </c>
      <c r="C2962" t="s">
        <v>70</v>
      </c>
      <c r="D2962" t="s">
        <v>1573</v>
      </c>
      <c r="E2962" t="s">
        <v>224</v>
      </c>
      <c r="F2962">
        <v>4</v>
      </c>
      <c r="G2962">
        <v>505.37</v>
      </c>
      <c r="H2962">
        <v>0.08</v>
      </c>
      <c r="I2962" s="4">
        <v>1859.76</v>
      </c>
      <c r="J2962" t="s">
        <v>16</v>
      </c>
      <c r="K2962" t="s">
        <v>35</v>
      </c>
      <c r="L2962" s="4">
        <f>VLOOKUP(tblTransactions[[#This Row],[Product_ID]],tblProducts[],5,FALSE)</f>
        <v>281.14999999999998</v>
      </c>
      <c r="M2962" s="4">
        <f>tblTransactions[[#This Row],[Total_Amount]]-(tblTransactions[[#This Row],[Cost_Prices]]*tblTransactions[[#This Row],[Quantity]]*(1-tblTransactions[[#This Row],[Discount]]))</f>
        <v>825.12799999999993</v>
      </c>
      <c r="N2962" s="3">
        <f>tblTransactions[[#This Row],[Profit]]/tblTransactions[[#This Row],[Total_Amount]]</f>
        <v>0.44367445261754201</v>
      </c>
      <c r="O2962" t="str">
        <f>TEXT(tblTransactions[[#This Row],[Date]], "MMM-YYYY")</f>
        <v>Sep-2024</v>
      </c>
      <c r="P2962" t="str">
        <f>"Q"&amp;ROUNDUP(MONTH(tblTransactions[[#This Row],[Date]])/3,0)&amp;"-"&amp;YEAR(tblTransactions[[#This Row],[Date]])</f>
        <v>Q3-2024</v>
      </c>
      <c r="Q2962">
        <f>YEAR(tblTransactions[[#This Row],[Date]])</f>
        <v>2024</v>
      </c>
      <c r="R2962" t="str">
        <f>TEXT(tblTransactions[[#This Row],[Date]],"DDDD")</f>
        <v>Sunday</v>
      </c>
      <c r="S2962">
        <f>MONTH(tblTransactions[[#This Row],[Date]])</f>
        <v>9</v>
      </c>
      <c r="T2962" t="str">
        <f>VLOOKUP(E2962, Products!$A:$B,2,0)</f>
        <v>Desks Fur-3</v>
      </c>
      <c r="U2962" t="str">
        <f>VLOOKUP(E2962,Products!$A:$C,3,0)</f>
        <v>Furniture</v>
      </c>
      <c r="V2962" t="str">
        <f>VLOOKUP(E2962,Products!$A:$D,4,0)</f>
        <v>Desks</v>
      </c>
      <c r="W2962" t="str">
        <f>VLOOKUP(D2962,Customers!$A:$C,3,0)</f>
        <v>Small Business</v>
      </c>
      <c r="X2962" t="str">
        <f>VLOOKUP(C2962,Sales_Representatives!$A:$B,2,0)</f>
        <v>Linda Smith</v>
      </c>
    </row>
    <row r="2963" spans="1:24" x14ac:dyDescent="0.3">
      <c r="A2963" t="s">
        <v>4042</v>
      </c>
      <c r="B2963" t="s">
        <v>4040</v>
      </c>
      <c r="C2963" t="s">
        <v>127</v>
      </c>
      <c r="D2963" t="s">
        <v>1986</v>
      </c>
      <c r="E2963" t="s">
        <v>96</v>
      </c>
      <c r="F2963">
        <v>1</v>
      </c>
      <c r="G2963">
        <v>751.9</v>
      </c>
      <c r="H2963">
        <v>0.08</v>
      </c>
      <c r="I2963" s="4">
        <v>691.75</v>
      </c>
      <c r="J2963" t="s">
        <v>109</v>
      </c>
      <c r="K2963" t="s">
        <v>35</v>
      </c>
      <c r="L2963" s="4">
        <f>VLOOKUP(tblTransactions[[#This Row],[Product_ID]],tblProducts[],5,FALSE)</f>
        <v>570.29</v>
      </c>
      <c r="M2963" s="4">
        <f>tblTransactions[[#This Row],[Total_Amount]]-(tblTransactions[[#This Row],[Cost_Prices]]*tblTransactions[[#This Row],[Quantity]]*(1-tblTransactions[[#This Row],[Discount]]))</f>
        <v>167.08320000000003</v>
      </c>
      <c r="N2963" s="3">
        <f>tblTransactions[[#This Row],[Profit]]/tblTransactions[[#This Row],[Total_Amount]]</f>
        <v>0.24153697144922304</v>
      </c>
      <c r="O2963" t="str">
        <f>TEXT(tblTransactions[[#This Row],[Date]], "MMM-YYYY")</f>
        <v>Sep-2024</v>
      </c>
      <c r="P2963" t="str">
        <f>"Q"&amp;ROUNDUP(MONTH(tblTransactions[[#This Row],[Date]])/3,0)&amp;"-"&amp;YEAR(tblTransactions[[#This Row],[Date]])</f>
        <v>Q3-2024</v>
      </c>
      <c r="Q2963">
        <f>YEAR(tblTransactions[[#This Row],[Date]])</f>
        <v>2024</v>
      </c>
      <c r="R2963" t="str">
        <f>TEXT(tblTransactions[[#This Row],[Date]],"DDDD")</f>
        <v>Sunday</v>
      </c>
      <c r="S2963">
        <f>MONTH(tblTransactions[[#This Row],[Date]])</f>
        <v>9</v>
      </c>
      <c r="T2963" t="str">
        <f>VLOOKUP(E2963, Products!$A:$B,2,0)</f>
        <v>Routers Tec-1</v>
      </c>
      <c r="U2963" t="str">
        <f>VLOOKUP(E2963,Products!$A:$C,3,0)</f>
        <v>Technology</v>
      </c>
      <c r="V2963" t="str">
        <f>VLOOKUP(E2963,Products!$A:$D,4,0)</f>
        <v>Routers</v>
      </c>
      <c r="W2963" t="str">
        <f>VLOOKUP(D2963,Customers!$A:$C,3,0)</f>
        <v>B2C</v>
      </c>
      <c r="X2963" t="str">
        <f>VLOOKUP(C2963,Sales_Representatives!$A:$B,2,0)</f>
        <v>Emily Hernandez</v>
      </c>
    </row>
    <row r="2964" spans="1:24" x14ac:dyDescent="0.3">
      <c r="A2964" t="s">
        <v>4043</v>
      </c>
      <c r="B2964" t="s">
        <v>4040</v>
      </c>
      <c r="C2964" t="s">
        <v>31</v>
      </c>
      <c r="D2964" t="s">
        <v>3975</v>
      </c>
      <c r="E2964" t="s">
        <v>108</v>
      </c>
      <c r="F2964">
        <v>7</v>
      </c>
      <c r="G2964">
        <v>155.75</v>
      </c>
      <c r="H2964">
        <v>0.06</v>
      </c>
      <c r="I2964" s="4">
        <v>1024.8399999999999</v>
      </c>
      <c r="J2964" t="s">
        <v>34</v>
      </c>
      <c r="K2964" t="s">
        <v>48</v>
      </c>
      <c r="L2964" s="4">
        <f>VLOOKUP(tblTransactions[[#This Row],[Product_ID]],tblProducts[],5,FALSE)</f>
        <v>80.8</v>
      </c>
      <c r="M2964" s="4">
        <f>tblTransactions[[#This Row],[Total_Amount]]-(tblTransactions[[#This Row],[Cost_Prices]]*tblTransactions[[#This Row],[Quantity]]*(1-tblTransactions[[#This Row],[Discount]]))</f>
        <v>493.17599999999993</v>
      </c>
      <c r="N2964" s="3">
        <f>tblTransactions[[#This Row],[Profit]]/tblTransactions[[#This Row],[Total_Amount]]</f>
        <v>0.48122243472151749</v>
      </c>
      <c r="O2964" t="str">
        <f>TEXT(tblTransactions[[#This Row],[Date]], "MMM-YYYY")</f>
        <v>Sep-2024</v>
      </c>
      <c r="P2964" t="str">
        <f>"Q"&amp;ROUNDUP(MONTH(tblTransactions[[#This Row],[Date]])/3,0)&amp;"-"&amp;YEAR(tblTransactions[[#This Row],[Date]])</f>
        <v>Q3-2024</v>
      </c>
      <c r="Q2964">
        <f>YEAR(tblTransactions[[#This Row],[Date]])</f>
        <v>2024</v>
      </c>
      <c r="R2964" t="str">
        <f>TEXT(tblTransactions[[#This Row],[Date]],"DDDD")</f>
        <v>Sunday</v>
      </c>
      <c r="S2964">
        <f>MONTH(tblTransactions[[#This Row],[Date]])</f>
        <v>9</v>
      </c>
      <c r="T2964" t="str">
        <f>VLOOKUP(E2964, Products!$A:$B,2,0)</f>
        <v>Cases Acc-1</v>
      </c>
      <c r="U2964" t="str">
        <f>VLOOKUP(E2964,Products!$A:$C,3,0)</f>
        <v>Accessories</v>
      </c>
      <c r="V2964" t="str">
        <f>VLOOKUP(E2964,Products!$A:$D,4,0)</f>
        <v>Cases</v>
      </c>
      <c r="W2964" t="str">
        <f>VLOOKUP(D2964,Customers!$A:$C,3,0)</f>
        <v>Small Business</v>
      </c>
      <c r="X2964" t="str">
        <f>VLOOKUP(C2964,Sales_Representatives!$A:$B,2,0)</f>
        <v>Thomas Martinez</v>
      </c>
    </row>
    <row r="2965" spans="1:24" x14ac:dyDescent="0.3">
      <c r="A2965" t="s">
        <v>4044</v>
      </c>
      <c r="B2965" t="s">
        <v>4040</v>
      </c>
      <c r="C2965" t="s">
        <v>56</v>
      </c>
      <c r="D2965" t="s">
        <v>1819</v>
      </c>
      <c r="E2965" t="s">
        <v>198</v>
      </c>
      <c r="F2965">
        <v>5</v>
      </c>
      <c r="G2965">
        <v>1802.96</v>
      </c>
      <c r="H2965">
        <v>0.03</v>
      </c>
      <c r="I2965" s="4">
        <v>8744.36</v>
      </c>
      <c r="J2965" t="s">
        <v>34</v>
      </c>
      <c r="K2965" t="s">
        <v>22</v>
      </c>
      <c r="L2965" s="4">
        <f>VLOOKUP(tblTransactions[[#This Row],[Product_ID]],tblProducts[],5,FALSE)</f>
        <v>1282.18</v>
      </c>
      <c r="M2965" s="4">
        <f>tblTransactions[[#This Row],[Total_Amount]]-(tblTransactions[[#This Row],[Cost_Prices]]*tblTransactions[[#This Row],[Quantity]]*(1-tblTransactions[[#This Row],[Discount]]))</f>
        <v>2525.7870000000003</v>
      </c>
      <c r="N2965" s="3">
        <f>tblTransactions[[#This Row],[Profit]]/tblTransactions[[#This Row],[Total_Amount]]</f>
        <v>0.28884755430929193</v>
      </c>
      <c r="O2965" t="str">
        <f>TEXT(tblTransactions[[#This Row],[Date]], "MMM-YYYY")</f>
        <v>Sep-2024</v>
      </c>
      <c r="P2965" t="str">
        <f>"Q"&amp;ROUNDUP(MONTH(tblTransactions[[#This Row],[Date]])/3,0)&amp;"-"&amp;YEAR(tblTransactions[[#This Row],[Date]])</f>
        <v>Q3-2024</v>
      </c>
      <c r="Q2965">
        <f>YEAR(tblTransactions[[#This Row],[Date]])</f>
        <v>2024</v>
      </c>
      <c r="R2965" t="str">
        <f>TEXT(tblTransactions[[#This Row],[Date]],"DDDD")</f>
        <v>Sunday</v>
      </c>
      <c r="S2965">
        <f>MONTH(tblTransactions[[#This Row],[Date]])</f>
        <v>9</v>
      </c>
      <c r="T2965" t="str">
        <f>VLOOKUP(E2965, Products!$A:$B,2,0)</f>
        <v>Tablets Ele-3</v>
      </c>
      <c r="U2965" t="str">
        <f>VLOOKUP(E2965,Products!$A:$C,3,0)</f>
        <v>Electronics</v>
      </c>
      <c r="V2965" t="str">
        <f>VLOOKUP(E2965,Products!$A:$D,4,0)</f>
        <v>Tablets</v>
      </c>
      <c r="W2965" t="str">
        <f>VLOOKUP(D2965,Customers!$A:$C,3,0)</f>
        <v>Small Business</v>
      </c>
      <c r="X2965" t="str">
        <f>VLOOKUP(C2965,Sales_Representatives!$A:$B,2,0)</f>
        <v>Thomas Hernandez</v>
      </c>
    </row>
    <row r="2966" spans="1:24" x14ac:dyDescent="0.3">
      <c r="A2966" t="s">
        <v>4045</v>
      </c>
      <c r="B2966" t="s">
        <v>4046</v>
      </c>
      <c r="C2966" t="s">
        <v>63</v>
      </c>
      <c r="D2966" t="s">
        <v>237</v>
      </c>
      <c r="E2966" t="s">
        <v>178</v>
      </c>
      <c r="F2966">
        <v>15</v>
      </c>
      <c r="G2966">
        <v>1623.35</v>
      </c>
      <c r="H2966">
        <v>0.14000000000000001</v>
      </c>
      <c r="I2966" s="4">
        <v>20941.22</v>
      </c>
      <c r="J2966" t="s">
        <v>21</v>
      </c>
      <c r="K2966" t="s">
        <v>39</v>
      </c>
      <c r="L2966" s="4">
        <f>VLOOKUP(tblTransactions[[#This Row],[Product_ID]],tblProducts[],5,FALSE)</f>
        <v>981.45</v>
      </c>
      <c r="M2966" s="4">
        <f>tblTransactions[[#This Row],[Total_Amount]]-(tblTransactions[[#This Row],[Cost_Prices]]*tblTransactions[[#This Row],[Quantity]]*(1-tblTransactions[[#This Row],[Discount]]))</f>
        <v>8280.5150000000012</v>
      </c>
      <c r="N2966" s="3">
        <f>tblTransactions[[#This Row],[Profit]]/tblTransactions[[#This Row],[Total_Amount]]</f>
        <v>0.39541702918932137</v>
      </c>
      <c r="O2966" t="str">
        <f>TEXT(tblTransactions[[#This Row],[Date]], "MMM-YYYY")</f>
        <v>Sep-2024</v>
      </c>
      <c r="P2966" t="str">
        <f>"Q"&amp;ROUNDUP(MONTH(tblTransactions[[#This Row],[Date]])/3,0)&amp;"-"&amp;YEAR(tblTransactions[[#This Row],[Date]])</f>
        <v>Q3-2024</v>
      </c>
      <c r="Q2966">
        <f>YEAR(tblTransactions[[#This Row],[Date]])</f>
        <v>2024</v>
      </c>
      <c r="R2966" t="str">
        <f>TEXT(tblTransactions[[#This Row],[Date]],"DDDD")</f>
        <v>Monday</v>
      </c>
      <c r="S2966">
        <f>MONTH(tblTransactions[[#This Row],[Date]])</f>
        <v>9</v>
      </c>
      <c r="T2966" t="str">
        <f>VLOOKUP(E2966, Products!$A:$B,2,0)</f>
        <v>Tablets Ele-1</v>
      </c>
      <c r="U2966" t="str">
        <f>VLOOKUP(E2966,Products!$A:$C,3,0)</f>
        <v>Electronics</v>
      </c>
      <c r="V2966" t="str">
        <f>VLOOKUP(E2966,Products!$A:$D,4,0)</f>
        <v>Tablets</v>
      </c>
      <c r="W2966" t="str">
        <f>VLOOKUP(D2966,Customers!$A:$C,3,0)</f>
        <v>B2B</v>
      </c>
      <c r="X2966" t="str">
        <f>VLOOKUP(C2966,Sales_Representatives!$A:$B,2,0)</f>
        <v>Richard Wilson</v>
      </c>
    </row>
    <row r="2967" spans="1:24" x14ac:dyDescent="0.3">
      <c r="A2967" t="s">
        <v>4047</v>
      </c>
      <c r="B2967" t="s">
        <v>4046</v>
      </c>
      <c r="C2967" t="s">
        <v>63</v>
      </c>
      <c r="D2967" t="s">
        <v>156</v>
      </c>
      <c r="E2967" t="s">
        <v>113</v>
      </c>
      <c r="F2967">
        <v>11</v>
      </c>
      <c r="G2967">
        <v>930.41</v>
      </c>
      <c r="H2967">
        <v>0.1</v>
      </c>
      <c r="I2967" s="4">
        <v>9211.06</v>
      </c>
      <c r="J2967" t="s">
        <v>21</v>
      </c>
      <c r="K2967" t="s">
        <v>35</v>
      </c>
      <c r="L2967" s="4">
        <f>VLOOKUP(tblTransactions[[#This Row],[Product_ID]],tblProducts[],5,FALSE)</f>
        <v>595.51</v>
      </c>
      <c r="M2967" s="4">
        <f>tblTransactions[[#This Row],[Total_Amount]]-(tblTransactions[[#This Row],[Cost_Prices]]*tblTransactions[[#This Row],[Quantity]]*(1-tblTransactions[[#This Row],[Discount]]))</f>
        <v>3315.5109999999995</v>
      </c>
      <c r="N2967" s="3">
        <f>tblTransactions[[#This Row],[Profit]]/tblTransactions[[#This Row],[Total_Amount]]</f>
        <v>0.35994890924605849</v>
      </c>
      <c r="O2967" t="str">
        <f>TEXT(tblTransactions[[#This Row],[Date]], "MMM-YYYY")</f>
        <v>Sep-2024</v>
      </c>
      <c r="P2967" t="str">
        <f>"Q"&amp;ROUNDUP(MONTH(tblTransactions[[#This Row],[Date]])/3,0)&amp;"-"&amp;YEAR(tblTransactions[[#This Row],[Date]])</f>
        <v>Q3-2024</v>
      </c>
      <c r="Q2967">
        <f>YEAR(tblTransactions[[#This Row],[Date]])</f>
        <v>2024</v>
      </c>
      <c r="R2967" t="str">
        <f>TEXT(tblTransactions[[#This Row],[Date]],"DDDD")</f>
        <v>Monday</v>
      </c>
      <c r="S2967">
        <f>MONTH(tblTransactions[[#This Row],[Date]])</f>
        <v>9</v>
      </c>
      <c r="T2967" t="str">
        <f>VLOOKUP(E2967, Products!$A:$B,2,0)</f>
        <v>Phones Ele-1</v>
      </c>
      <c r="U2967" t="str">
        <f>VLOOKUP(E2967,Products!$A:$C,3,0)</f>
        <v>Electronics</v>
      </c>
      <c r="V2967" t="str">
        <f>VLOOKUP(E2967,Products!$A:$D,4,0)</f>
        <v>Phones</v>
      </c>
      <c r="W2967" t="str">
        <f>VLOOKUP(D2967,Customers!$A:$C,3,0)</f>
        <v>B2B</v>
      </c>
      <c r="X2967" t="str">
        <f>VLOOKUP(C2967,Sales_Representatives!$A:$B,2,0)</f>
        <v>Richard Wilson</v>
      </c>
    </row>
    <row r="2968" spans="1:24" x14ac:dyDescent="0.3">
      <c r="A2968" t="s">
        <v>4048</v>
      </c>
      <c r="B2968" t="s">
        <v>4046</v>
      </c>
      <c r="C2968" t="s">
        <v>27</v>
      </c>
      <c r="D2968" t="s">
        <v>166</v>
      </c>
      <c r="E2968" t="s">
        <v>33</v>
      </c>
      <c r="F2968">
        <v>4</v>
      </c>
      <c r="G2968">
        <v>322.7</v>
      </c>
      <c r="H2968">
        <v>0.04</v>
      </c>
      <c r="I2968" s="4">
        <v>1239.17</v>
      </c>
      <c r="J2968" t="s">
        <v>16</v>
      </c>
      <c r="K2968" t="s">
        <v>22</v>
      </c>
      <c r="L2968" s="4">
        <f>VLOOKUP(tblTransactions[[#This Row],[Product_ID]],tblProducts[],5,FALSE)</f>
        <v>139.81</v>
      </c>
      <c r="M2968" s="4">
        <f>tblTransactions[[#This Row],[Total_Amount]]-(tblTransactions[[#This Row],[Cost_Prices]]*tblTransactions[[#This Row],[Quantity]]*(1-tblTransactions[[#This Row],[Discount]]))</f>
        <v>702.29960000000005</v>
      </c>
      <c r="N2968" s="3">
        <f>tblTransactions[[#This Row],[Profit]]/tblTransactions[[#This Row],[Total_Amount]]</f>
        <v>0.56675000201747949</v>
      </c>
      <c r="O2968" t="str">
        <f>TEXT(tblTransactions[[#This Row],[Date]], "MMM-YYYY")</f>
        <v>Sep-2024</v>
      </c>
      <c r="P2968" t="str">
        <f>"Q"&amp;ROUNDUP(MONTH(tblTransactions[[#This Row],[Date]])/3,0)&amp;"-"&amp;YEAR(tblTransactions[[#This Row],[Date]])</f>
        <v>Q3-2024</v>
      </c>
      <c r="Q2968">
        <f>YEAR(tblTransactions[[#This Row],[Date]])</f>
        <v>2024</v>
      </c>
      <c r="R2968" t="str">
        <f>TEXT(tblTransactions[[#This Row],[Date]],"DDDD")</f>
        <v>Monday</v>
      </c>
      <c r="S2968">
        <f>MONTH(tblTransactions[[#This Row],[Date]])</f>
        <v>9</v>
      </c>
      <c r="T2968" t="str">
        <f>VLOOKUP(E2968, Products!$A:$B,2,0)</f>
        <v>Adapters Acc-1</v>
      </c>
      <c r="U2968" t="str">
        <f>VLOOKUP(E2968,Products!$A:$C,3,0)</f>
        <v>Accessories</v>
      </c>
      <c r="V2968" t="str">
        <f>VLOOKUP(E2968,Products!$A:$D,4,0)</f>
        <v>Adapters</v>
      </c>
      <c r="W2968" t="str">
        <f>VLOOKUP(D2968,Customers!$A:$C,3,0)</f>
        <v>B2C</v>
      </c>
      <c r="X2968" t="str">
        <f>VLOOKUP(C2968,Sales_Representatives!$A:$B,2,0)</f>
        <v>Thomas Lopez</v>
      </c>
    </row>
    <row r="2969" spans="1:24" x14ac:dyDescent="0.3">
      <c r="A2969" t="s">
        <v>4049</v>
      </c>
      <c r="B2969" t="s">
        <v>4046</v>
      </c>
      <c r="C2969" t="s">
        <v>107</v>
      </c>
      <c r="D2969" t="s">
        <v>50</v>
      </c>
      <c r="E2969" t="s">
        <v>290</v>
      </c>
      <c r="F2969">
        <v>7</v>
      </c>
      <c r="G2969">
        <v>729.32</v>
      </c>
      <c r="H2969">
        <v>0.1</v>
      </c>
      <c r="I2969" s="4">
        <v>4594.72</v>
      </c>
      <c r="J2969" t="s">
        <v>109</v>
      </c>
      <c r="K2969" t="s">
        <v>48</v>
      </c>
      <c r="L2969" s="4">
        <f>VLOOKUP(tblTransactions[[#This Row],[Product_ID]],tblProducts[],5,FALSE)</f>
        <v>482.7</v>
      </c>
      <c r="M2969" s="4">
        <f>tblTransactions[[#This Row],[Total_Amount]]-(tblTransactions[[#This Row],[Cost_Prices]]*tblTransactions[[#This Row],[Quantity]]*(1-tblTransactions[[#This Row],[Discount]]))</f>
        <v>1553.71</v>
      </c>
      <c r="N2969" s="3">
        <f>tblTransactions[[#This Row],[Profit]]/tblTransactions[[#This Row],[Total_Amount]]</f>
        <v>0.33815118222655571</v>
      </c>
      <c r="O2969" t="str">
        <f>TEXT(tblTransactions[[#This Row],[Date]], "MMM-YYYY")</f>
        <v>Sep-2024</v>
      </c>
      <c r="P2969" t="str">
        <f>"Q"&amp;ROUNDUP(MONTH(tblTransactions[[#This Row],[Date]])/3,0)&amp;"-"&amp;YEAR(tblTransactions[[#This Row],[Date]])</f>
        <v>Q3-2024</v>
      </c>
      <c r="Q2969">
        <f>YEAR(tblTransactions[[#This Row],[Date]])</f>
        <v>2024</v>
      </c>
      <c r="R2969" t="str">
        <f>TEXT(tblTransactions[[#This Row],[Date]],"DDDD")</f>
        <v>Monday</v>
      </c>
      <c r="S2969">
        <f>MONTH(tblTransactions[[#This Row],[Date]])</f>
        <v>9</v>
      </c>
      <c r="T2969" t="str">
        <f>VLOOKUP(E2969, Products!$A:$B,2,0)</f>
        <v>Tables Fur-1</v>
      </c>
      <c r="U2969" t="str">
        <f>VLOOKUP(E2969,Products!$A:$C,3,0)</f>
        <v>Furniture</v>
      </c>
      <c r="V2969" t="str">
        <f>VLOOKUP(E2969,Products!$A:$D,4,0)</f>
        <v>Tables</v>
      </c>
      <c r="W2969" t="str">
        <f>VLOOKUP(D2969,Customers!$A:$C,3,0)</f>
        <v>Small Business</v>
      </c>
      <c r="X2969" t="str">
        <f>VLOOKUP(C2969,Sales_Representatives!$A:$B,2,0)</f>
        <v>Jennifer Brown</v>
      </c>
    </row>
    <row r="2970" spans="1:24" x14ac:dyDescent="0.3">
      <c r="A2970" t="s">
        <v>4050</v>
      </c>
      <c r="B2970" t="s">
        <v>4046</v>
      </c>
      <c r="C2970" t="s">
        <v>75</v>
      </c>
      <c r="D2970" t="s">
        <v>2029</v>
      </c>
      <c r="E2970" t="s">
        <v>84</v>
      </c>
      <c r="F2970">
        <v>19</v>
      </c>
      <c r="G2970">
        <v>1841.77</v>
      </c>
      <c r="H2970">
        <v>0.16</v>
      </c>
      <c r="I2970" s="4">
        <v>29394.65</v>
      </c>
      <c r="J2970" t="s">
        <v>44</v>
      </c>
      <c r="K2970" t="s">
        <v>39</v>
      </c>
      <c r="L2970" s="4">
        <f>VLOOKUP(tblTransactions[[#This Row],[Product_ID]],tblProducts[],5,FALSE)</f>
        <v>1151.5899999999999</v>
      </c>
      <c r="M2970" s="4">
        <f>tblTransactions[[#This Row],[Total_Amount]]-(tblTransactions[[#This Row],[Cost_Prices]]*tblTransactions[[#This Row],[Quantity]]*(1-tblTransactions[[#This Row],[Discount]]))</f>
        <v>11015.273600000004</v>
      </c>
      <c r="N2970" s="3">
        <f>tblTransactions[[#This Row],[Profit]]/tblTransactions[[#This Row],[Total_Amount]]</f>
        <v>0.37473736207098923</v>
      </c>
      <c r="O2970" t="str">
        <f>TEXT(tblTransactions[[#This Row],[Date]], "MMM-YYYY")</f>
        <v>Sep-2024</v>
      </c>
      <c r="P2970" t="str">
        <f>"Q"&amp;ROUNDUP(MONTH(tblTransactions[[#This Row],[Date]])/3,0)&amp;"-"&amp;YEAR(tblTransactions[[#This Row],[Date]])</f>
        <v>Q3-2024</v>
      </c>
      <c r="Q2970">
        <f>YEAR(tblTransactions[[#This Row],[Date]])</f>
        <v>2024</v>
      </c>
      <c r="R2970" t="str">
        <f>TEXT(tblTransactions[[#This Row],[Date]],"DDDD")</f>
        <v>Monday</v>
      </c>
      <c r="S2970">
        <f>MONTH(tblTransactions[[#This Row],[Date]])</f>
        <v>9</v>
      </c>
      <c r="T2970" t="str">
        <f>VLOOKUP(E2970, Products!$A:$B,2,0)</f>
        <v>Laptops Ele-2</v>
      </c>
      <c r="U2970" t="str">
        <f>VLOOKUP(E2970,Products!$A:$C,3,0)</f>
        <v>Electronics</v>
      </c>
      <c r="V2970" t="str">
        <f>VLOOKUP(E2970,Products!$A:$D,4,0)</f>
        <v>Laptops</v>
      </c>
      <c r="W2970" t="str">
        <f>VLOOKUP(D2970,Customers!$A:$C,3,0)</f>
        <v>B2B</v>
      </c>
      <c r="X2970" t="str">
        <f>VLOOKUP(C2970,Sales_Representatives!$A:$B,2,0)</f>
        <v>Jessica Anderson</v>
      </c>
    </row>
    <row r="2971" spans="1:24" x14ac:dyDescent="0.3">
      <c r="A2971" t="s">
        <v>4051</v>
      </c>
      <c r="B2971" t="s">
        <v>4046</v>
      </c>
      <c r="C2971" t="s">
        <v>107</v>
      </c>
      <c r="D2971" t="s">
        <v>1908</v>
      </c>
      <c r="E2971" t="s">
        <v>347</v>
      </c>
      <c r="F2971">
        <v>3</v>
      </c>
      <c r="G2971">
        <v>1539.6</v>
      </c>
      <c r="H2971">
        <v>0.08</v>
      </c>
      <c r="I2971" s="4">
        <v>4249.3</v>
      </c>
      <c r="J2971" t="s">
        <v>109</v>
      </c>
      <c r="K2971" t="s">
        <v>22</v>
      </c>
      <c r="L2971" s="4">
        <f>VLOOKUP(tblTransactions[[#This Row],[Product_ID]],tblProducts[],5,FALSE)</f>
        <v>992.43</v>
      </c>
      <c r="M2971" s="4">
        <f>tblTransactions[[#This Row],[Total_Amount]]-(tblTransactions[[#This Row],[Cost_Prices]]*tblTransactions[[#This Row],[Quantity]]*(1-tblTransactions[[#This Row],[Discount]]))</f>
        <v>1510.1932000000002</v>
      </c>
      <c r="N2971" s="3">
        <f>tblTransactions[[#This Row],[Profit]]/tblTransactions[[#This Row],[Total_Amount]]</f>
        <v>0.35539811263031562</v>
      </c>
      <c r="O2971" t="str">
        <f>TEXT(tblTransactions[[#This Row],[Date]], "MMM-YYYY")</f>
        <v>Sep-2024</v>
      </c>
      <c r="P2971" t="str">
        <f>"Q"&amp;ROUNDUP(MONTH(tblTransactions[[#This Row],[Date]])/3,0)&amp;"-"&amp;YEAR(tblTransactions[[#This Row],[Date]])</f>
        <v>Q3-2024</v>
      </c>
      <c r="Q2971">
        <f>YEAR(tblTransactions[[#This Row],[Date]])</f>
        <v>2024</v>
      </c>
      <c r="R2971" t="str">
        <f>TEXT(tblTransactions[[#This Row],[Date]],"DDDD")</f>
        <v>Monday</v>
      </c>
      <c r="S2971">
        <f>MONTH(tblTransactions[[#This Row],[Date]])</f>
        <v>9</v>
      </c>
      <c r="T2971" t="str">
        <f>VLOOKUP(E2971, Products!$A:$B,2,0)</f>
        <v>Routers Tec-2</v>
      </c>
      <c r="U2971" t="str">
        <f>VLOOKUP(E2971,Products!$A:$C,3,0)</f>
        <v>Technology</v>
      </c>
      <c r="V2971" t="str">
        <f>VLOOKUP(E2971,Products!$A:$D,4,0)</f>
        <v>Routers</v>
      </c>
      <c r="W2971" t="str">
        <f>VLOOKUP(D2971,Customers!$A:$C,3,0)</f>
        <v>B2C</v>
      </c>
      <c r="X2971" t="str">
        <f>VLOOKUP(C2971,Sales_Representatives!$A:$B,2,0)</f>
        <v>Jennifer Brown</v>
      </c>
    </row>
    <row r="2972" spans="1:24" x14ac:dyDescent="0.3">
      <c r="A2972" t="s">
        <v>4052</v>
      </c>
      <c r="B2972" t="s">
        <v>4053</v>
      </c>
      <c r="C2972" t="s">
        <v>56</v>
      </c>
      <c r="D2972" t="s">
        <v>1557</v>
      </c>
      <c r="E2972" t="s">
        <v>204</v>
      </c>
      <c r="F2972">
        <v>7</v>
      </c>
      <c r="G2972">
        <v>715.62</v>
      </c>
      <c r="H2972">
        <v>0.11</v>
      </c>
      <c r="I2972" s="4">
        <v>4458.3100000000004</v>
      </c>
      <c r="J2972" t="s">
        <v>34</v>
      </c>
      <c r="K2972" t="s">
        <v>22</v>
      </c>
      <c r="L2972" s="4">
        <f>VLOOKUP(tblTransactions[[#This Row],[Product_ID]],tblProducts[],5,FALSE)</f>
        <v>459.58</v>
      </c>
      <c r="M2972" s="4">
        <f>tblTransactions[[#This Row],[Total_Amount]]-(tblTransactions[[#This Row],[Cost_Prices]]*tblTransactions[[#This Row],[Quantity]]*(1-tblTransactions[[#This Row],[Discount]]))</f>
        <v>1595.1266000000005</v>
      </c>
      <c r="N2972" s="3">
        <f>tblTransactions[[#This Row],[Profit]]/tblTransactions[[#This Row],[Total_Amount]]</f>
        <v>0.35778727813902583</v>
      </c>
      <c r="O2972" t="str">
        <f>TEXT(tblTransactions[[#This Row],[Date]], "MMM-YYYY")</f>
        <v>Sep-2024</v>
      </c>
      <c r="P2972" t="str">
        <f>"Q"&amp;ROUNDUP(MONTH(tblTransactions[[#This Row],[Date]])/3,0)&amp;"-"&amp;YEAR(tblTransactions[[#This Row],[Date]])</f>
        <v>Q3-2024</v>
      </c>
      <c r="Q2972">
        <f>YEAR(tblTransactions[[#This Row],[Date]])</f>
        <v>2024</v>
      </c>
      <c r="R2972" t="str">
        <f>TEXT(tblTransactions[[#This Row],[Date]],"DDDD")</f>
        <v>Tuesday</v>
      </c>
      <c r="S2972">
        <f>MONTH(tblTransactions[[#This Row],[Date]])</f>
        <v>9</v>
      </c>
      <c r="T2972" t="str">
        <f>VLOOKUP(E2972, Products!$A:$B,2,0)</f>
        <v>Cameras Ele-2</v>
      </c>
      <c r="U2972" t="str">
        <f>VLOOKUP(E2972,Products!$A:$C,3,0)</f>
        <v>Electronics</v>
      </c>
      <c r="V2972" t="str">
        <f>VLOOKUP(E2972,Products!$A:$D,4,0)</f>
        <v>Cameras</v>
      </c>
      <c r="W2972" t="str">
        <f>VLOOKUP(D2972,Customers!$A:$C,3,0)</f>
        <v>B2C</v>
      </c>
      <c r="X2972" t="str">
        <f>VLOOKUP(C2972,Sales_Representatives!$A:$B,2,0)</f>
        <v>Thomas Hernandez</v>
      </c>
    </row>
    <row r="2973" spans="1:24" x14ac:dyDescent="0.3">
      <c r="A2973" t="s">
        <v>4054</v>
      </c>
      <c r="B2973" t="s">
        <v>4053</v>
      </c>
      <c r="C2973" t="s">
        <v>41</v>
      </c>
      <c r="D2973" t="s">
        <v>1774</v>
      </c>
      <c r="E2973" t="s">
        <v>102</v>
      </c>
      <c r="F2973">
        <v>30</v>
      </c>
      <c r="G2973">
        <v>1097.75</v>
      </c>
      <c r="H2973">
        <v>0.21</v>
      </c>
      <c r="I2973" s="4">
        <v>26016.68</v>
      </c>
      <c r="J2973" t="s">
        <v>44</v>
      </c>
      <c r="K2973" t="s">
        <v>17</v>
      </c>
      <c r="L2973" s="4">
        <f>VLOOKUP(tblTransactions[[#This Row],[Product_ID]],tblProducts[],5,FALSE)</f>
        <v>680.12</v>
      </c>
      <c r="M2973" s="4">
        <f>tblTransactions[[#This Row],[Total_Amount]]-(tblTransactions[[#This Row],[Cost_Prices]]*tblTransactions[[#This Row],[Quantity]]*(1-tblTransactions[[#This Row],[Discount]]))</f>
        <v>9897.8360000000011</v>
      </c>
      <c r="N2973" s="3">
        <f>tblTransactions[[#This Row],[Profit]]/tblTransactions[[#This Row],[Total_Amount]]</f>
        <v>0.38044193186832453</v>
      </c>
      <c r="O2973" t="str">
        <f>TEXT(tblTransactions[[#This Row],[Date]], "MMM-YYYY")</f>
        <v>Sep-2024</v>
      </c>
      <c r="P2973" t="str">
        <f>"Q"&amp;ROUNDUP(MONTH(tblTransactions[[#This Row],[Date]])/3,0)&amp;"-"&amp;YEAR(tblTransactions[[#This Row],[Date]])</f>
        <v>Q3-2024</v>
      </c>
      <c r="Q2973">
        <f>YEAR(tblTransactions[[#This Row],[Date]])</f>
        <v>2024</v>
      </c>
      <c r="R2973" t="str">
        <f>TEXT(tblTransactions[[#This Row],[Date]],"DDDD")</f>
        <v>Tuesday</v>
      </c>
      <c r="S2973">
        <f>MONTH(tblTransactions[[#This Row],[Date]])</f>
        <v>9</v>
      </c>
      <c r="T2973" t="str">
        <f>VLOOKUP(E2973, Products!$A:$B,2,0)</f>
        <v>Storage Fur-4</v>
      </c>
      <c r="U2973" t="str">
        <f>VLOOKUP(E2973,Products!$A:$C,3,0)</f>
        <v>Furniture</v>
      </c>
      <c r="V2973" t="str">
        <f>VLOOKUP(E2973,Products!$A:$D,4,0)</f>
        <v>Storage</v>
      </c>
      <c r="W2973" t="str">
        <f>VLOOKUP(D2973,Customers!$A:$C,3,0)</f>
        <v>Enterprise</v>
      </c>
      <c r="X2973" t="str">
        <f>VLOOKUP(C2973,Sales_Representatives!$A:$B,2,0)</f>
        <v>Robert Jones</v>
      </c>
    </row>
    <row r="2974" spans="1:24" x14ac:dyDescent="0.3">
      <c r="A2974" t="s">
        <v>4055</v>
      </c>
      <c r="B2974" t="s">
        <v>4053</v>
      </c>
      <c r="C2974" t="s">
        <v>75</v>
      </c>
      <c r="D2974" t="s">
        <v>1945</v>
      </c>
      <c r="E2974" t="s">
        <v>84</v>
      </c>
      <c r="F2974">
        <v>16</v>
      </c>
      <c r="G2974">
        <v>1841.77</v>
      </c>
      <c r="H2974">
        <v>0.14000000000000001</v>
      </c>
      <c r="I2974" s="4">
        <v>25342.76</v>
      </c>
      <c r="J2974" t="s">
        <v>44</v>
      </c>
      <c r="K2974" t="s">
        <v>39</v>
      </c>
      <c r="L2974" s="4">
        <f>VLOOKUP(tblTransactions[[#This Row],[Product_ID]],tblProducts[],5,FALSE)</f>
        <v>1151.5899999999999</v>
      </c>
      <c r="M2974" s="4">
        <f>tblTransactions[[#This Row],[Total_Amount]]-(tblTransactions[[#This Row],[Cost_Prices]]*tblTransactions[[#This Row],[Quantity]]*(1-tblTransactions[[#This Row],[Discount]]))</f>
        <v>9496.8816000000006</v>
      </c>
      <c r="N2974" s="3">
        <f>tblTransactions[[#This Row],[Profit]]/tblTransactions[[#This Row],[Total_Amount]]</f>
        <v>0.37473746348069431</v>
      </c>
      <c r="O2974" t="str">
        <f>TEXT(tblTransactions[[#This Row],[Date]], "MMM-YYYY")</f>
        <v>Sep-2024</v>
      </c>
      <c r="P2974" t="str">
        <f>"Q"&amp;ROUNDUP(MONTH(tblTransactions[[#This Row],[Date]])/3,0)&amp;"-"&amp;YEAR(tblTransactions[[#This Row],[Date]])</f>
        <v>Q3-2024</v>
      </c>
      <c r="Q2974">
        <f>YEAR(tblTransactions[[#This Row],[Date]])</f>
        <v>2024</v>
      </c>
      <c r="R2974" t="str">
        <f>TEXT(tblTransactions[[#This Row],[Date]],"DDDD")</f>
        <v>Tuesday</v>
      </c>
      <c r="S2974">
        <f>MONTH(tblTransactions[[#This Row],[Date]])</f>
        <v>9</v>
      </c>
      <c r="T2974" t="str">
        <f>VLOOKUP(E2974, Products!$A:$B,2,0)</f>
        <v>Laptops Ele-2</v>
      </c>
      <c r="U2974" t="str">
        <f>VLOOKUP(E2974,Products!$A:$C,3,0)</f>
        <v>Electronics</v>
      </c>
      <c r="V2974" t="str">
        <f>VLOOKUP(E2974,Products!$A:$D,4,0)</f>
        <v>Laptops</v>
      </c>
      <c r="W2974" t="str">
        <f>VLOOKUP(D2974,Customers!$A:$C,3,0)</f>
        <v>B2B</v>
      </c>
      <c r="X2974" t="str">
        <f>VLOOKUP(C2974,Sales_Representatives!$A:$B,2,0)</f>
        <v>Jessica Anderson</v>
      </c>
    </row>
    <row r="2975" spans="1:24" x14ac:dyDescent="0.3">
      <c r="A2975" t="s">
        <v>4056</v>
      </c>
      <c r="B2975" t="s">
        <v>4053</v>
      </c>
      <c r="C2975" t="s">
        <v>31</v>
      </c>
      <c r="D2975" t="s">
        <v>1959</v>
      </c>
      <c r="E2975" t="s">
        <v>258</v>
      </c>
      <c r="F2975">
        <v>5</v>
      </c>
      <c r="G2975">
        <v>73.33</v>
      </c>
      <c r="H2975">
        <v>0.03</v>
      </c>
      <c r="I2975" s="4">
        <v>355.65</v>
      </c>
      <c r="J2975" t="s">
        <v>34</v>
      </c>
      <c r="K2975" t="s">
        <v>22</v>
      </c>
      <c r="L2975" s="4">
        <f>VLOOKUP(tblTransactions[[#This Row],[Product_ID]],tblProducts[],5,FALSE)</f>
        <v>38.049999999999997</v>
      </c>
      <c r="M2975" s="4">
        <f>tblTransactions[[#This Row],[Total_Amount]]-(tblTransactions[[#This Row],[Cost_Prices]]*tblTransactions[[#This Row],[Quantity]]*(1-tblTransactions[[#This Row],[Discount]]))</f>
        <v>171.10749999999999</v>
      </c>
      <c r="N2975" s="3">
        <f>tblTransactions[[#This Row],[Profit]]/tblTransactions[[#This Row],[Total_Amount]]</f>
        <v>0.48111204836215382</v>
      </c>
      <c r="O2975" t="str">
        <f>TEXT(tblTransactions[[#This Row],[Date]], "MMM-YYYY")</f>
        <v>Sep-2024</v>
      </c>
      <c r="P2975" t="str">
        <f>"Q"&amp;ROUNDUP(MONTH(tblTransactions[[#This Row],[Date]])/3,0)&amp;"-"&amp;YEAR(tblTransactions[[#This Row],[Date]])</f>
        <v>Q3-2024</v>
      </c>
      <c r="Q2975">
        <f>YEAR(tblTransactions[[#This Row],[Date]])</f>
        <v>2024</v>
      </c>
      <c r="R2975" t="str">
        <f>TEXT(tblTransactions[[#This Row],[Date]],"DDDD")</f>
        <v>Tuesday</v>
      </c>
      <c r="S2975">
        <f>MONTH(tblTransactions[[#This Row],[Date]])</f>
        <v>9</v>
      </c>
      <c r="T2975" t="str">
        <f>VLOOKUP(E2975, Products!$A:$B,2,0)</f>
        <v>Keyboards Acc-3</v>
      </c>
      <c r="U2975" t="str">
        <f>VLOOKUP(E2975,Products!$A:$C,3,0)</f>
        <v>Accessories</v>
      </c>
      <c r="V2975" t="str">
        <f>VLOOKUP(E2975,Products!$A:$D,4,0)</f>
        <v>Keyboards</v>
      </c>
      <c r="W2975" t="str">
        <f>VLOOKUP(D2975,Customers!$A:$C,3,0)</f>
        <v>Small Business</v>
      </c>
      <c r="X2975" t="str">
        <f>VLOOKUP(C2975,Sales_Representatives!$A:$B,2,0)</f>
        <v>Thomas Martinez</v>
      </c>
    </row>
    <row r="2976" spans="1:24" x14ac:dyDescent="0.3">
      <c r="A2976" t="s">
        <v>4057</v>
      </c>
      <c r="B2976" t="s">
        <v>4053</v>
      </c>
      <c r="C2976" t="s">
        <v>63</v>
      </c>
      <c r="D2976" t="s">
        <v>1741</v>
      </c>
      <c r="E2976" t="s">
        <v>15</v>
      </c>
      <c r="F2976">
        <v>14</v>
      </c>
      <c r="G2976">
        <v>477.48</v>
      </c>
      <c r="H2976">
        <v>0.17</v>
      </c>
      <c r="I2976" s="4">
        <v>5548.32</v>
      </c>
      <c r="J2976" t="s">
        <v>21</v>
      </c>
      <c r="K2976" t="s">
        <v>48</v>
      </c>
      <c r="L2976" s="4">
        <f>VLOOKUP(tblTransactions[[#This Row],[Product_ID]],tblProducts[],5,FALSE)</f>
        <v>275.51</v>
      </c>
      <c r="M2976" s="4">
        <f>tblTransactions[[#This Row],[Total_Amount]]-(tblTransactions[[#This Row],[Cost_Prices]]*tblTransactions[[#This Row],[Quantity]]*(1-tblTransactions[[#This Row],[Discount]]))</f>
        <v>2346.8937999999998</v>
      </c>
      <c r="N2976" s="3">
        <f>tblTransactions[[#This Row],[Profit]]/tblTransactions[[#This Row],[Total_Amount]]</f>
        <v>0.42299178850534935</v>
      </c>
      <c r="O2976" t="str">
        <f>TEXT(tblTransactions[[#This Row],[Date]], "MMM-YYYY")</f>
        <v>Sep-2024</v>
      </c>
      <c r="P2976" t="str">
        <f>"Q"&amp;ROUNDUP(MONTH(tblTransactions[[#This Row],[Date]])/3,0)&amp;"-"&amp;YEAR(tblTransactions[[#This Row],[Date]])</f>
        <v>Q3-2024</v>
      </c>
      <c r="Q2976">
        <f>YEAR(tblTransactions[[#This Row],[Date]])</f>
        <v>2024</v>
      </c>
      <c r="R2976" t="str">
        <f>TEXT(tblTransactions[[#This Row],[Date]],"DDDD")</f>
        <v>Tuesday</v>
      </c>
      <c r="S2976">
        <f>MONTH(tblTransactions[[#This Row],[Date]])</f>
        <v>9</v>
      </c>
      <c r="T2976" t="str">
        <f>VLOOKUP(E2976, Products!$A:$B,2,0)</f>
        <v>Laptops Ele-4</v>
      </c>
      <c r="U2976" t="str">
        <f>VLOOKUP(E2976,Products!$A:$C,3,0)</f>
        <v>Electronics</v>
      </c>
      <c r="V2976" t="str">
        <f>VLOOKUP(E2976,Products!$A:$D,4,0)</f>
        <v>Laptops</v>
      </c>
      <c r="W2976" t="str">
        <f>VLOOKUP(D2976,Customers!$A:$C,3,0)</f>
        <v>B2B</v>
      </c>
      <c r="X2976" t="str">
        <f>VLOOKUP(C2976,Sales_Representatives!$A:$B,2,0)</f>
        <v>Richard Wilson</v>
      </c>
    </row>
    <row r="2977" spans="1:24" x14ac:dyDescent="0.3">
      <c r="A2977" t="s">
        <v>4058</v>
      </c>
      <c r="B2977" t="s">
        <v>4053</v>
      </c>
      <c r="C2977" t="s">
        <v>59</v>
      </c>
      <c r="D2977" t="s">
        <v>112</v>
      </c>
      <c r="E2977" t="s">
        <v>79</v>
      </c>
      <c r="F2977">
        <v>21</v>
      </c>
      <c r="G2977">
        <v>1452.36</v>
      </c>
      <c r="H2977">
        <v>0.25</v>
      </c>
      <c r="I2977" s="4">
        <v>22874.67</v>
      </c>
      <c r="J2977" t="s">
        <v>21</v>
      </c>
      <c r="K2977" t="s">
        <v>48</v>
      </c>
      <c r="L2977" s="4">
        <f>VLOOKUP(tblTransactions[[#This Row],[Product_ID]],tblProducts[],5,FALSE)</f>
        <v>778.71</v>
      </c>
      <c r="M2977" s="4">
        <f>tblTransactions[[#This Row],[Total_Amount]]-(tblTransactions[[#This Row],[Cost_Prices]]*tblTransactions[[#This Row],[Quantity]]*(1-tblTransactions[[#This Row],[Discount]]))</f>
        <v>10609.987499999999</v>
      </c>
      <c r="N2977" s="3">
        <f>tblTransactions[[#This Row],[Profit]]/tblTransactions[[#This Row],[Total_Amount]]</f>
        <v>0.46383128150045444</v>
      </c>
      <c r="O2977" t="str">
        <f>TEXT(tblTransactions[[#This Row],[Date]], "MMM-YYYY")</f>
        <v>Sep-2024</v>
      </c>
      <c r="P2977" t="str">
        <f>"Q"&amp;ROUNDUP(MONTH(tblTransactions[[#This Row],[Date]])/3,0)&amp;"-"&amp;YEAR(tblTransactions[[#This Row],[Date]])</f>
        <v>Q3-2024</v>
      </c>
      <c r="Q2977">
        <f>YEAR(tblTransactions[[#This Row],[Date]])</f>
        <v>2024</v>
      </c>
      <c r="R2977" t="str">
        <f>TEXT(tblTransactions[[#This Row],[Date]],"DDDD")</f>
        <v>Tuesday</v>
      </c>
      <c r="S2977">
        <f>MONTH(tblTransactions[[#This Row],[Date]])</f>
        <v>9</v>
      </c>
      <c r="T2977" t="str">
        <f>VLOOKUP(E2977, Products!$A:$B,2,0)</f>
        <v>Tables Fur-2</v>
      </c>
      <c r="U2977" t="str">
        <f>VLOOKUP(E2977,Products!$A:$C,3,0)</f>
        <v>Furniture</v>
      </c>
      <c r="V2977" t="str">
        <f>VLOOKUP(E2977,Products!$A:$D,4,0)</f>
        <v>Tables</v>
      </c>
      <c r="W2977" t="str">
        <f>VLOOKUP(D2977,Customers!$A:$C,3,0)</f>
        <v>Enterprise</v>
      </c>
      <c r="X2977" t="str">
        <f>VLOOKUP(C2977,Sales_Representatives!$A:$B,2,0)</f>
        <v>Sarah Brown</v>
      </c>
    </row>
    <row r="2978" spans="1:24" x14ac:dyDescent="0.3">
      <c r="A2978" t="s">
        <v>4059</v>
      </c>
      <c r="B2978" t="s">
        <v>4060</v>
      </c>
      <c r="C2978" t="s">
        <v>82</v>
      </c>
      <c r="D2978" t="s">
        <v>1705</v>
      </c>
      <c r="E2978" t="s">
        <v>376</v>
      </c>
      <c r="F2978">
        <v>2</v>
      </c>
      <c r="G2978">
        <v>229.65</v>
      </c>
      <c r="H2978">
        <v>0.08</v>
      </c>
      <c r="I2978" s="4">
        <v>422.56</v>
      </c>
      <c r="J2978" t="s">
        <v>34</v>
      </c>
      <c r="K2978" t="s">
        <v>39</v>
      </c>
      <c r="L2978" s="4">
        <f>VLOOKUP(tblTransactions[[#This Row],[Product_ID]],tblProducts[],5,FALSE)</f>
        <v>96.84</v>
      </c>
      <c r="M2978" s="4">
        <f>tblTransactions[[#This Row],[Total_Amount]]-(tblTransactions[[#This Row],[Cost_Prices]]*tblTransactions[[#This Row],[Quantity]]*(1-tblTransactions[[#This Row],[Discount]]))</f>
        <v>244.37439999999998</v>
      </c>
      <c r="N2978" s="3">
        <f>tblTransactions[[#This Row],[Profit]]/tblTransactions[[#This Row],[Total_Amount]]</f>
        <v>0.57831881862930701</v>
      </c>
      <c r="O2978" t="str">
        <f>TEXT(tblTransactions[[#This Row],[Date]], "MMM-YYYY")</f>
        <v>Sep-2024</v>
      </c>
      <c r="P2978" t="str">
        <f>"Q"&amp;ROUNDUP(MONTH(tblTransactions[[#This Row],[Date]])/3,0)&amp;"-"&amp;YEAR(tblTransactions[[#This Row],[Date]])</f>
        <v>Q3-2024</v>
      </c>
      <c r="Q2978">
        <f>YEAR(tblTransactions[[#This Row],[Date]])</f>
        <v>2024</v>
      </c>
      <c r="R2978" t="str">
        <f>TEXT(tblTransactions[[#This Row],[Date]],"DDDD")</f>
        <v>Wednesday</v>
      </c>
      <c r="S2978">
        <f>MONTH(tblTransactions[[#This Row],[Date]])</f>
        <v>9</v>
      </c>
      <c r="T2978" t="str">
        <f>VLOOKUP(E2978, Products!$A:$B,2,0)</f>
        <v>Adapters Acc-2</v>
      </c>
      <c r="U2978" t="str">
        <f>VLOOKUP(E2978,Products!$A:$C,3,0)</f>
        <v>Accessories</v>
      </c>
      <c r="V2978" t="str">
        <f>VLOOKUP(E2978,Products!$A:$D,4,0)</f>
        <v>Adapters</v>
      </c>
      <c r="W2978" t="str">
        <f>VLOOKUP(D2978,Customers!$A:$C,3,0)</f>
        <v>B2C</v>
      </c>
      <c r="X2978" t="str">
        <f>VLOOKUP(C2978,Sales_Representatives!$A:$B,2,0)</f>
        <v>John Brown</v>
      </c>
    </row>
    <row r="2979" spans="1:24" x14ac:dyDescent="0.3">
      <c r="A2979" t="s">
        <v>4061</v>
      </c>
      <c r="B2979" t="s">
        <v>4060</v>
      </c>
      <c r="C2979" t="s">
        <v>63</v>
      </c>
      <c r="D2979" t="s">
        <v>1441</v>
      </c>
      <c r="E2979" t="s">
        <v>178</v>
      </c>
      <c r="F2979">
        <v>2</v>
      </c>
      <c r="G2979">
        <v>1623.35</v>
      </c>
      <c r="H2979">
        <v>0.08</v>
      </c>
      <c r="I2979" s="4">
        <v>2986.96</v>
      </c>
      <c r="J2979" t="s">
        <v>21</v>
      </c>
      <c r="K2979" t="s">
        <v>35</v>
      </c>
      <c r="L2979" s="4">
        <f>VLOOKUP(tblTransactions[[#This Row],[Product_ID]],tblProducts[],5,FALSE)</f>
        <v>981.45</v>
      </c>
      <c r="M2979" s="4">
        <f>tblTransactions[[#This Row],[Total_Amount]]-(tblTransactions[[#This Row],[Cost_Prices]]*tblTransactions[[#This Row],[Quantity]]*(1-tblTransactions[[#This Row],[Discount]]))</f>
        <v>1181.0919999999999</v>
      </c>
      <c r="N2979" s="3">
        <f>tblTransactions[[#This Row],[Profit]]/tblTransactions[[#This Row],[Total_Amount]]</f>
        <v>0.39541607520689925</v>
      </c>
      <c r="O2979" t="str">
        <f>TEXT(tblTransactions[[#This Row],[Date]], "MMM-YYYY")</f>
        <v>Sep-2024</v>
      </c>
      <c r="P2979" t="str">
        <f>"Q"&amp;ROUNDUP(MONTH(tblTransactions[[#This Row],[Date]])/3,0)&amp;"-"&amp;YEAR(tblTransactions[[#This Row],[Date]])</f>
        <v>Q3-2024</v>
      </c>
      <c r="Q2979">
        <f>YEAR(tblTransactions[[#This Row],[Date]])</f>
        <v>2024</v>
      </c>
      <c r="R2979" t="str">
        <f>TEXT(tblTransactions[[#This Row],[Date]],"DDDD")</f>
        <v>Wednesday</v>
      </c>
      <c r="S2979">
        <f>MONTH(tblTransactions[[#This Row],[Date]])</f>
        <v>9</v>
      </c>
      <c r="T2979" t="str">
        <f>VLOOKUP(E2979, Products!$A:$B,2,0)</f>
        <v>Tablets Ele-1</v>
      </c>
      <c r="U2979" t="str">
        <f>VLOOKUP(E2979,Products!$A:$C,3,0)</f>
        <v>Electronics</v>
      </c>
      <c r="V2979" t="str">
        <f>VLOOKUP(E2979,Products!$A:$D,4,0)</f>
        <v>Tablets</v>
      </c>
      <c r="W2979" t="str">
        <f>VLOOKUP(D2979,Customers!$A:$C,3,0)</f>
        <v>Small Business</v>
      </c>
      <c r="X2979" t="str">
        <f>VLOOKUP(C2979,Sales_Representatives!$A:$B,2,0)</f>
        <v>Richard Wilson</v>
      </c>
    </row>
    <row r="2980" spans="1:24" x14ac:dyDescent="0.3">
      <c r="A2980" t="s">
        <v>4062</v>
      </c>
      <c r="B2980" t="s">
        <v>4063</v>
      </c>
      <c r="C2980" t="s">
        <v>75</v>
      </c>
      <c r="D2980" t="s">
        <v>3597</v>
      </c>
      <c r="E2980" t="s">
        <v>145</v>
      </c>
      <c r="F2980">
        <v>6</v>
      </c>
      <c r="G2980">
        <v>93.43</v>
      </c>
      <c r="H2980">
        <v>0.08</v>
      </c>
      <c r="I2980" s="4">
        <v>515.73</v>
      </c>
      <c r="J2980" t="s">
        <v>44</v>
      </c>
      <c r="K2980" t="s">
        <v>17</v>
      </c>
      <c r="L2980" s="4">
        <f>VLOOKUP(tblTransactions[[#This Row],[Product_ID]],tblProducts[],5,FALSE)</f>
        <v>45.74</v>
      </c>
      <c r="M2980" s="4">
        <f>tblTransactions[[#This Row],[Total_Amount]]-(tblTransactions[[#This Row],[Cost_Prices]]*tblTransactions[[#This Row],[Quantity]]*(1-tblTransactions[[#This Row],[Discount]]))</f>
        <v>263.24520000000001</v>
      </c>
      <c r="N2980" s="3">
        <f>tblTransactions[[#This Row],[Profit]]/tblTransactions[[#This Row],[Total_Amount]]</f>
        <v>0.51043220289686464</v>
      </c>
      <c r="O2980" t="str">
        <f>TEXT(tblTransactions[[#This Row],[Date]], "MMM-YYYY")</f>
        <v>Sep-2024</v>
      </c>
      <c r="P2980" t="str">
        <f>"Q"&amp;ROUNDUP(MONTH(tblTransactions[[#This Row],[Date]])/3,0)&amp;"-"&amp;YEAR(tblTransactions[[#This Row],[Date]])</f>
        <v>Q3-2024</v>
      </c>
      <c r="Q2980">
        <f>YEAR(tblTransactions[[#This Row],[Date]])</f>
        <v>2024</v>
      </c>
      <c r="R2980" t="str">
        <f>TEXT(tblTransactions[[#This Row],[Date]],"DDDD")</f>
        <v>Thursday</v>
      </c>
      <c r="S2980">
        <f>MONTH(tblTransactions[[#This Row],[Date]])</f>
        <v>9</v>
      </c>
      <c r="T2980" t="str">
        <f>VLOOKUP(E2980, Products!$A:$B,2,0)</f>
        <v>Paper Off-1</v>
      </c>
      <c r="U2980" t="str">
        <f>VLOOKUP(E2980,Products!$A:$C,3,0)</f>
        <v>Office Supplies</v>
      </c>
      <c r="V2980" t="str">
        <f>VLOOKUP(E2980,Products!$A:$D,4,0)</f>
        <v>Paper</v>
      </c>
      <c r="W2980" t="str">
        <f>VLOOKUP(D2980,Customers!$A:$C,3,0)</f>
        <v>B2C</v>
      </c>
      <c r="X2980" t="str">
        <f>VLOOKUP(C2980,Sales_Representatives!$A:$B,2,0)</f>
        <v>Jessica Anderson</v>
      </c>
    </row>
    <row r="2981" spans="1:24" x14ac:dyDescent="0.3">
      <c r="A2981" t="s">
        <v>4064</v>
      </c>
      <c r="B2981" t="s">
        <v>4063</v>
      </c>
      <c r="C2981" t="s">
        <v>127</v>
      </c>
      <c r="D2981" t="s">
        <v>2056</v>
      </c>
      <c r="E2981" t="s">
        <v>314</v>
      </c>
      <c r="F2981">
        <v>7</v>
      </c>
      <c r="G2981">
        <v>204.97</v>
      </c>
      <c r="H2981">
        <v>0.14000000000000001</v>
      </c>
      <c r="I2981" s="4">
        <v>1233.92</v>
      </c>
      <c r="J2981" t="s">
        <v>109</v>
      </c>
      <c r="K2981" t="s">
        <v>39</v>
      </c>
      <c r="L2981" s="4">
        <f>VLOOKUP(tblTransactions[[#This Row],[Product_ID]],tblProducts[],5,FALSE)</f>
        <v>121.53</v>
      </c>
      <c r="M2981" s="4">
        <f>tblTransactions[[#This Row],[Total_Amount]]-(tblTransactions[[#This Row],[Cost_Prices]]*tblTransactions[[#This Row],[Quantity]]*(1-tblTransactions[[#This Row],[Discount]]))</f>
        <v>502.3094000000001</v>
      </c>
      <c r="N2981" s="3">
        <f>tblTransactions[[#This Row],[Profit]]/tblTransactions[[#This Row],[Total_Amount]]</f>
        <v>0.40708425181535274</v>
      </c>
      <c r="O2981" t="str">
        <f>TEXT(tblTransactions[[#This Row],[Date]], "MMM-YYYY")</f>
        <v>Sep-2024</v>
      </c>
      <c r="P2981" t="str">
        <f>"Q"&amp;ROUNDUP(MONTH(tblTransactions[[#This Row],[Date]])/3,0)&amp;"-"&amp;YEAR(tblTransactions[[#This Row],[Date]])</f>
        <v>Q3-2024</v>
      </c>
      <c r="Q2981">
        <f>YEAR(tblTransactions[[#This Row],[Date]])</f>
        <v>2024</v>
      </c>
      <c r="R2981" t="str">
        <f>TEXT(tblTransactions[[#This Row],[Date]],"DDDD")</f>
        <v>Thursday</v>
      </c>
      <c r="S2981">
        <f>MONTH(tblTransactions[[#This Row],[Date]])</f>
        <v>9</v>
      </c>
      <c r="T2981" t="str">
        <f>VLOOKUP(E2981, Products!$A:$B,2,0)</f>
        <v>Adapters Acc-3</v>
      </c>
      <c r="U2981" t="str">
        <f>VLOOKUP(E2981,Products!$A:$C,3,0)</f>
        <v>Accessories</v>
      </c>
      <c r="V2981" t="str">
        <f>VLOOKUP(E2981,Products!$A:$D,4,0)</f>
        <v>Adapters</v>
      </c>
      <c r="W2981" t="str">
        <f>VLOOKUP(D2981,Customers!$A:$C,3,0)</f>
        <v>Small Business</v>
      </c>
      <c r="X2981" t="str">
        <f>VLOOKUP(C2981,Sales_Representatives!$A:$B,2,0)</f>
        <v>Emily Hernandez</v>
      </c>
    </row>
    <row r="2982" spans="1:24" x14ac:dyDescent="0.3">
      <c r="A2982" t="s">
        <v>4065</v>
      </c>
      <c r="B2982" t="s">
        <v>4063</v>
      </c>
      <c r="C2982" t="s">
        <v>59</v>
      </c>
      <c r="D2982" t="s">
        <v>203</v>
      </c>
      <c r="E2982" t="s">
        <v>113</v>
      </c>
      <c r="F2982">
        <v>29</v>
      </c>
      <c r="G2982">
        <v>930.41</v>
      </c>
      <c r="H2982">
        <v>0.24</v>
      </c>
      <c r="I2982" s="4">
        <v>20506.240000000002</v>
      </c>
      <c r="J2982" t="s">
        <v>21</v>
      </c>
      <c r="K2982" t="s">
        <v>48</v>
      </c>
      <c r="L2982" s="4">
        <f>VLOOKUP(tblTransactions[[#This Row],[Product_ID]],tblProducts[],5,FALSE)</f>
        <v>595.51</v>
      </c>
      <c r="M2982" s="4">
        <f>tblTransactions[[#This Row],[Total_Amount]]-(tblTransactions[[#This Row],[Cost_Prices]]*tblTransactions[[#This Row],[Quantity]]*(1-tblTransactions[[#This Row],[Discount]]))</f>
        <v>7381.1995999999999</v>
      </c>
      <c r="N2982" s="3">
        <f>tblTransactions[[#This Row],[Profit]]/tblTransactions[[#This Row],[Total_Amount]]</f>
        <v>0.35994895212384131</v>
      </c>
      <c r="O2982" t="str">
        <f>TEXT(tblTransactions[[#This Row],[Date]], "MMM-YYYY")</f>
        <v>Sep-2024</v>
      </c>
      <c r="P2982" t="str">
        <f>"Q"&amp;ROUNDUP(MONTH(tblTransactions[[#This Row],[Date]])/3,0)&amp;"-"&amp;YEAR(tblTransactions[[#This Row],[Date]])</f>
        <v>Q3-2024</v>
      </c>
      <c r="Q2982">
        <f>YEAR(tblTransactions[[#This Row],[Date]])</f>
        <v>2024</v>
      </c>
      <c r="R2982" t="str">
        <f>TEXT(tblTransactions[[#This Row],[Date]],"DDDD")</f>
        <v>Thursday</v>
      </c>
      <c r="S2982">
        <f>MONTH(tblTransactions[[#This Row],[Date]])</f>
        <v>9</v>
      </c>
      <c r="T2982" t="str">
        <f>VLOOKUP(E2982, Products!$A:$B,2,0)</f>
        <v>Phones Ele-1</v>
      </c>
      <c r="U2982" t="str">
        <f>VLOOKUP(E2982,Products!$A:$C,3,0)</f>
        <v>Electronics</v>
      </c>
      <c r="V2982" t="str">
        <f>VLOOKUP(E2982,Products!$A:$D,4,0)</f>
        <v>Phones</v>
      </c>
      <c r="W2982" t="str">
        <f>VLOOKUP(D2982,Customers!$A:$C,3,0)</f>
        <v>Enterprise</v>
      </c>
      <c r="X2982" t="str">
        <f>VLOOKUP(C2982,Sales_Representatives!$A:$B,2,0)</f>
        <v>Sarah Brown</v>
      </c>
    </row>
    <row r="2983" spans="1:24" x14ac:dyDescent="0.3">
      <c r="A2983" t="s">
        <v>4066</v>
      </c>
      <c r="B2983" t="s">
        <v>4063</v>
      </c>
      <c r="C2983" t="s">
        <v>31</v>
      </c>
      <c r="D2983" t="s">
        <v>1910</v>
      </c>
      <c r="E2983" t="s">
        <v>152</v>
      </c>
      <c r="F2983">
        <v>1</v>
      </c>
      <c r="G2983">
        <v>859.93</v>
      </c>
      <c r="H2983">
        <v>0.06</v>
      </c>
      <c r="I2983" s="4">
        <v>808.33</v>
      </c>
      <c r="J2983" t="s">
        <v>34</v>
      </c>
      <c r="K2983" t="s">
        <v>22</v>
      </c>
      <c r="L2983" s="4">
        <f>VLOOKUP(tblTransactions[[#This Row],[Product_ID]],tblProducts[],5,FALSE)</f>
        <v>579.79</v>
      </c>
      <c r="M2983" s="4">
        <f>tblTransactions[[#This Row],[Total_Amount]]-(tblTransactions[[#This Row],[Cost_Prices]]*tblTransactions[[#This Row],[Quantity]]*(1-tblTransactions[[#This Row],[Discount]]))</f>
        <v>263.32740000000013</v>
      </c>
      <c r="N2983" s="3">
        <f>tblTransactions[[#This Row],[Profit]]/tblTransactions[[#This Row],[Total_Amount]]</f>
        <v>0.32576719903999618</v>
      </c>
      <c r="O2983" t="str">
        <f>TEXT(tblTransactions[[#This Row],[Date]], "MMM-YYYY")</f>
        <v>Sep-2024</v>
      </c>
      <c r="P2983" t="str">
        <f>"Q"&amp;ROUNDUP(MONTH(tblTransactions[[#This Row],[Date]])/3,0)&amp;"-"&amp;YEAR(tblTransactions[[#This Row],[Date]])</f>
        <v>Q3-2024</v>
      </c>
      <c r="Q2983">
        <f>YEAR(tblTransactions[[#This Row],[Date]])</f>
        <v>2024</v>
      </c>
      <c r="R2983" t="str">
        <f>TEXT(tblTransactions[[#This Row],[Date]],"DDDD")</f>
        <v>Thursday</v>
      </c>
      <c r="S2983">
        <f>MONTH(tblTransactions[[#This Row],[Date]])</f>
        <v>9</v>
      </c>
      <c r="T2983" t="str">
        <f>VLOOKUP(E2983, Products!$A:$B,2,0)</f>
        <v>Phones Ele-4</v>
      </c>
      <c r="U2983" t="str">
        <f>VLOOKUP(E2983,Products!$A:$C,3,0)</f>
        <v>Electronics</v>
      </c>
      <c r="V2983" t="str">
        <f>VLOOKUP(E2983,Products!$A:$D,4,0)</f>
        <v>Phones</v>
      </c>
      <c r="W2983" t="str">
        <f>VLOOKUP(D2983,Customers!$A:$C,3,0)</f>
        <v>B2C</v>
      </c>
      <c r="X2983" t="str">
        <f>VLOOKUP(C2983,Sales_Representatives!$A:$B,2,0)</f>
        <v>Thomas Martinez</v>
      </c>
    </row>
    <row r="2984" spans="1:24" x14ac:dyDescent="0.3">
      <c r="A2984" t="s">
        <v>4067</v>
      </c>
      <c r="B2984" t="s">
        <v>4068</v>
      </c>
      <c r="C2984" t="s">
        <v>41</v>
      </c>
      <c r="D2984" t="s">
        <v>1463</v>
      </c>
      <c r="E2984" t="s">
        <v>137</v>
      </c>
      <c r="F2984">
        <v>4</v>
      </c>
      <c r="G2984">
        <v>241.39</v>
      </c>
      <c r="H2984">
        <v>0.02</v>
      </c>
      <c r="I2984" s="4">
        <v>946.25</v>
      </c>
      <c r="J2984" t="s">
        <v>44</v>
      </c>
      <c r="K2984" t="s">
        <v>48</v>
      </c>
      <c r="L2984" s="4">
        <f>VLOOKUP(tblTransactions[[#This Row],[Product_ID]],tblProducts[],5,FALSE)</f>
        <v>124.07</v>
      </c>
      <c r="M2984" s="4">
        <f>tblTransactions[[#This Row],[Total_Amount]]-(tblTransactions[[#This Row],[Cost_Prices]]*tblTransactions[[#This Row],[Quantity]]*(1-tblTransactions[[#This Row],[Discount]]))</f>
        <v>459.89560000000006</v>
      </c>
      <c r="N2984" s="3">
        <f>tblTransactions[[#This Row],[Profit]]/tblTransactions[[#This Row],[Total_Amount]]</f>
        <v>0.48601912813738446</v>
      </c>
      <c r="O2984" t="str">
        <f>TEXT(tblTransactions[[#This Row],[Date]], "MMM-YYYY")</f>
        <v>Sep-2024</v>
      </c>
      <c r="P2984" t="str">
        <f>"Q"&amp;ROUNDUP(MONTH(tblTransactions[[#This Row],[Date]])/3,0)&amp;"-"&amp;YEAR(tblTransactions[[#This Row],[Date]])</f>
        <v>Q3-2024</v>
      </c>
      <c r="Q2984">
        <f>YEAR(tblTransactions[[#This Row],[Date]])</f>
        <v>2024</v>
      </c>
      <c r="R2984" t="str">
        <f>TEXT(tblTransactions[[#This Row],[Date]],"DDDD")</f>
        <v>Friday</v>
      </c>
      <c r="S2984">
        <f>MONTH(tblTransactions[[#This Row],[Date]])</f>
        <v>9</v>
      </c>
      <c r="T2984" t="str">
        <f>VLOOKUP(E2984, Products!$A:$B,2,0)</f>
        <v>Desks Fur-2</v>
      </c>
      <c r="U2984" t="str">
        <f>VLOOKUP(E2984,Products!$A:$C,3,0)</f>
        <v>Furniture</v>
      </c>
      <c r="V2984" t="str">
        <f>VLOOKUP(E2984,Products!$A:$D,4,0)</f>
        <v>Desks</v>
      </c>
      <c r="W2984" t="str">
        <f>VLOOKUP(D2984,Customers!$A:$C,3,0)</f>
        <v>Small Business</v>
      </c>
      <c r="X2984" t="str">
        <f>VLOOKUP(C2984,Sales_Representatives!$A:$B,2,0)</f>
        <v>Robert Jones</v>
      </c>
    </row>
    <row r="2985" spans="1:24" x14ac:dyDescent="0.3">
      <c r="A2985" t="s">
        <v>4069</v>
      </c>
      <c r="B2985" t="s">
        <v>4068</v>
      </c>
      <c r="C2985" t="s">
        <v>107</v>
      </c>
      <c r="D2985" t="s">
        <v>24</v>
      </c>
      <c r="E2985" t="s">
        <v>243</v>
      </c>
      <c r="F2985">
        <v>14</v>
      </c>
      <c r="G2985">
        <v>384.18</v>
      </c>
      <c r="H2985">
        <v>0.19</v>
      </c>
      <c r="I2985" s="4">
        <v>4356.6000000000004</v>
      </c>
      <c r="J2985" t="s">
        <v>109</v>
      </c>
      <c r="K2985" t="s">
        <v>48</v>
      </c>
      <c r="L2985" s="4">
        <f>VLOOKUP(tblTransactions[[#This Row],[Product_ID]],tblProducts[],5,FALSE)</f>
        <v>266.92</v>
      </c>
      <c r="M2985" s="4">
        <f>tblTransactions[[#This Row],[Total_Amount]]-(tblTransactions[[#This Row],[Cost_Prices]]*tblTransactions[[#This Row],[Quantity]]*(1-tblTransactions[[#This Row],[Discount]]))</f>
        <v>1329.7272000000003</v>
      </c>
      <c r="N2985" s="3">
        <f>tblTransactions[[#This Row],[Profit]]/tblTransactions[[#This Row],[Total_Amount]]</f>
        <v>0.30522131937749625</v>
      </c>
      <c r="O2985" t="str">
        <f>TEXT(tblTransactions[[#This Row],[Date]], "MMM-YYYY")</f>
        <v>Sep-2024</v>
      </c>
      <c r="P2985" t="str">
        <f>"Q"&amp;ROUNDUP(MONTH(tblTransactions[[#This Row],[Date]])/3,0)&amp;"-"&amp;YEAR(tblTransactions[[#This Row],[Date]])</f>
        <v>Q3-2024</v>
      </c>
      <c r="Q2985">
        <f>YEAR(tblTransactions[[#This Row],[Date]])</f>
        <v>2024</v>
      </c>
      <c r="R2985" t="str">
        <f>TEXT(tblTransactions[[#This Row],[Date]],"DDDD")</f>
        <v>Friday</v>
      </c>
      <c r="S2985">
        <f>MONTH(tblTransactions[[#This Row],[Date]])</f>
        <v>9</v>
      </c>
      <c r="T2985" t="str">
        <f>VLOOKUP(E2985, Products!$A:$B,2,0)</f>
        <v>Routers Tec-3</v>
      </c>
      <c r="U2985" t="str">
        <f>VLOOKUP(E2985,Products!$A:$C,3,0)</f>
        <v>Technology</v>
      </c>
      <c r="V2985" t="str">
        <f>VLOOKUP(E2985,Products!$A:$D,4,0)</f>
        <v>Routers</v>
      </c>
      <c r="W2985" t="str">
        <f>VLOOKUP(D2985,Customers!$A:$C,3,0)</f>
        <v>B2B</v>
      </c>
      <c r="X2985" t="str">
        <f>VLOOKUP(C2985,Sales_Representatives!$A:$B,2,0)</f>
        <v>Jennifer Brown</v>
      </c>
    </row>
    <row r="2986" spans="1:24" x14ac:dyDescent="0.3">
      <c r="A2986" t="s">
        <v>4070</v>
      </c>
      <c r="B2986" t="s">
        <v>4071</v>
      </c>
      <c r="C2986" t="s">
        <v>107</v>
      </c>
      <c r="D2986" t="s">
        <v>2686</v>
      </c>
      <c r="E2986" t="s">
        <v>347</v>
      </c>
      <c r="F2986">
        <v>7</v>
      </c>
      <c r="G2986">
        <v>1539.6</v>
      </c>
      <c r="H2986">
        <v>0.08</v>
      </c>
      <c r="I2986" s="4">
        <v>9915.02</v>
      </c>
      <c r="J2986" t="s">
        <v>109</v>
      </c>
      <c r="K2986" t="s">
        <v>48</v>
      </c>
      <c r="L2986" s="4">
        <f>VLOOKUP(tblTransactions[[#This Row],[Product_ID]],tblProducts[],5,FALSE)</f>
        <v>992.43</v>
      </c>
      <c r="M2986" s="4">
        <f>tblTransactions[[#This Row],[Total_Amount]]-(tblTransactions[[#This Row],[Cost_Prices]]*tblTransactions[[#This Row],[Quantity]]*(1-tblTransactions[[#This Row],[Discount]]))</f>
        <v>3523.7708000000011</v>
      </c>
      <c r="N2986" s="3">
        <f>tblTransactions[[#This Row],[Profit]]/tblTransactions[[#This Row],[Total_Amount]]</f>
        <v>0.35539724579476401</v>
      </c>
      <c r="O2986" t="str">
        <f>TEXT(tblTransactions[[#This Row],[Date]], "MMM-YYYY")</f>
        <v>Sep-2024</v>
      </c>
      <c r="P2986" t="str">
        <f>"Q"&amp;ROUNDUP(MONTH(tblTransactions[[#This Row],[Date]])/3,0)&amp;"-"&amp;YEAR(tblTransactions[[#This Row],[Date]])</f>
        <v>Q3-2024</v>
      </c>
      <c r="Q2986">
        <f>YEAR(tblTransactions[[#This Row],[Date]])</f>
        <v>2024</v>
      </c>
      <c r="R2986" t="str">
        <f>TEXT(tblTransactions[[#This Row],[Date]],"DDDD")</f>
        <v>Saturday</v>
      </c>
      <c r="S2986">
        <f>MONTH(tblTransactions[[#This Row],[Date]])</f>
        <v>9</v>
      </c>
      <c r="T2986" t="str">
        <f>VLOOKUP(E2986, Products!$A:$B,2,0)</f>
        <v>Routers Tec-2</v>
      </c>
      <c r="U2986" t="str">
        <f>VLOOKUP(E2986,Products!$A:$C,3,0)</f>
        <v>Technology</v>
      </c>
      <c r="V2986" t="str">
        <f>VLOOKUP(E2986,Products!$A:$D,4,0)</f>
        <v>Routers</v>
      </c>
      <c r="W2986" t="str">
        <f>VLOOKUP(D2986,Customers!$A:$C,3,0)</f>
        <v>Small Business</v>
      </c>
      <c r="X2986" t="str">
        <f>VLOOKUP(C2986,Sales_Representatives!$A:$B,2,0)</f>
        <v>Jennifer Brown</v>
      </c>
    </row>
    <row r="2987" spans="1:24" x14ac:dyDescent="0.3">
      <c r="A2987" t="s">
        <v>4072</v>
      </c>
      <c r="B2987" t="s">
        <v>4071</v>
      </c>
      <c r="C2987" t="s">
        <v>27</v>
      </c>
      <c r="D2987" t="s">
        <v>2003</v>
      </c>
      <c r="E2987" t="s">
        <v>102</v>
      </c>
      <c r="F2987">
        <v>6</v>
      </c>
      <c r="G2987">
        <v>1097.75</v>
      </c>
      <c r="H2987">
        <v>0.08</v>
      </c>
      <c r="I2987" s="4">
        <v>6059.58</v>
      </c>
      <c r="J2987" t="s">
        <v>16</v>
      </c>
      <c r="K2987" t="s">
        <v>22</v>
      </c>
      <c r="L2987" s="4">
        <f>VLOOKUP(tblTransactions[[#This Row],[Product_ID]],tblProducts[],5,FALSE)</f>
        <v>680.12</v>
      </c>
      <c r="M2987" s="4">
        <f>tblTransactions[[#This Row],[Total_Amount]]-(tblTransactions[[#This Row],[Cost_Prices]]*tblTransactions[[#This Row],[Quantity]]*(1-tblTransactions[[#This Row],[Discount]]))</f>
        <v>2305.3175999999994</v>
      </c>
      <c r="N2987" s="3">
        <f>tblTransactions[[#This Row],[Profit]]/tblTransactions[[#This Row],[Total_Amount]]</f>
        <v>0.38044181279890676</v>
      </c>
      <c r="O2987" t="str">
        <f>TEXT(tblTransactions[[#This Row],[Date]], "MMM-YYYY")</f>
        <v>Sep-2024</v>
      </c>
      <c r="P2987" t="str">
        <f>"Q"&amp;ROUNDUP(MONTH(tblTransactions[[#This Row],[Date]])/3,0)&amp;"-"&amp;YEAR(tblTransactions[[#This Row],[Date]])</f>
        <v>Q3-2024</v>
      </c>
      <c r="Q2987">
        <f>YEAR(tblTransactions[[#This Row],[Date]])</f>
        <v>2024</v>
      </c>
      <c r="R2987" t="str">
        <f>TEXT(tblTransactions[[#This Row],[Date]],"DDDD")</f>
        <v>Saturday</v>
      </c>
      <c r="S2987">
        <f>MONTH(tblTransactions[[#This Row],[Date]])</f>
        <v>9</v>
      </c>
      <c r="T2987" t="str">
        <f>VLOOKUP(E2987, Products!$A:$B,2,0)</f>
        <v>Storage Fur-4</v>
      </c>
      <c r="U2987" t="str">
        <f>VLOOKUP(E2987,Products!$A:$C,3,0)</f>
        <v>Furniture</v>
      </c>
      <c r="V2987" t="str">
        <f>VLOOKUP(E2987,Products!$A:$D,4,0)</f>
        <v>Storage</v>
      </c>
      <c r="W2987" t="str">
        <f>VLOOKUP(D2987,Customers!$A:$C,3,0)</f>
        <v>Small Business</v>
      </c>
      <c r="X2987" t="str">
        <f>VLOOKUP(C2987,Sales_Representatives!$A:$B,2,0)</f>
        <v>Thomas Lopez</v>
      </c>
    </row>
    <row r="2988" spans="1:24" x14ac:dyDescent="0.3">
      <c r="A2988" t="s">
        <v>4073</v>
      </c>
      <c r="B2988" t="s">
        <v>4071</v>
      </c>
      <c r="C2988" t="s">
        <v>127</v>
      </c>
      <c r="D2988" t="s">
        <v>1613</v>
      </c>
      <c r="E2988" t="s">
        <v>87</v>
      </c>
      <c r="F2988">
        <v>15</v>
      </c>
      <c r="G2988">
        <v>1047.8900000000001</v>
      </c>
      <c r="H2988">
        <v>0.19</v>
      </c>
      <c r="I2988" s="4">
        <v>12731.86</v>
      </c>
      <c r="J2988" t="s">
        <v>109</v>
      </c>
      <c r="K2988" t="s">
        <v>22</v>
      </c>
      <c r="L2988" s="4">
        <f>VLOOKUP(tblTransactions[[#This Row],[Product_ID]],tblProducts[],5,FALSE)</f>
        <v>742.63</v>
      </c>
      <c r="M2988" s="4">
        <f>tblTransactions[[#This Row],[Total_Amount]]-(tblTransactions[[#This Row],[Cost_Prices]]*tblTransactions[[#This Row],[Quantity]]*(1-tblTransactions[[#This Row],[Discount]]))</f>
        <v>3708.9054999999989</v>
      </c>
      <c r="N2988" s="3">
        <f>tblTransactions[[#This Row],[Profit]]/tblTransactions[[#This Row],[Total_Amount]]</f>
        <v>0.29130900748201743</v>
      </c>
      <c r="O2988" t="str">
        <f>TEXT(tblTransactions[[#This Row],[Date]], "MMM-YYYY")</f>
        <v>Sep-2024</v>
      </c>
      <c r="P2988" t="str">
        <f>"Q"&amp;ROUNDUP(MONTH(tblTransactions[[#This Row],[Date]])/3,0)&amp;"-"&amp;YEAR(tblTransactions[[#This Row],[Date]])</f>
        <v>Q3-2024</v>
      </c>
      <c r="Q2988">
        <f>YEAR(tblTransactions[[#This Row],[Date]])</f>
        <v>2024</v>
      </c>
      <c r="R2988" t="str">
        <f>TEXT(tblTransactions[[#This Row],[Date]],"DDDD")</f>
        <v>Saturday</v>
      </c>
      <c r="S2988">
        <f>MONTH(tblTransactions[[#This Row],[Date]])</f>
        <v>9</v>
      </c>
      <c r="T2988" t="str">
        <f>VLOOKUP(E2988, Products!$A:$B,2,0)</f>
        <v>Monitors Tec-2</v>
      </c>
      <c r="U2988" t="str">
        <f>VLOOKUP(E2988,Products!$A:$C,3,0)</f>
        <v>Technology</v>
      </c>
      <c r="V2988" t="str">
        <f>VLOOKUP(E2988,Products!$A:$D,4,0)</f>
        <v>Monitors</v>
      </c>
      <c r="W2988" t="str">
        <f>VLOOKUP(D2988,Customers!$A:$C,3,0)</f>
        <v>Enterprise</v>
      </c>
      <c r="X2988" t="str">
        <f>VLOOKUP(C2988,Sales_Representatives!$A:$B,2,0)</f>
        <v>Emily Hernandez</v>
      </c>
    </row>
    <row r="2989" spans="1:24" x14ac:dyDescent="0.3">
      <c r="A2989" t="s">
        <v>4074</v>
      </c>
      <c r="B2989" t="s">
        <v>4071</v>
      </c>
      <c r="C2989" t="s">
        <v>59</v>
      </c>
      <c r="D2989" t="s">
        <v>1938</v>
      </c>
      <c r="E2989" t="s">
        <v>248</v>
      </c>
      <c r="F2989">
        <v>3</v>
      </c>
      <c r="G2989">
        <v>82.29</v>
      </c>
      <c r="H2989">
        <v>0.05</v>
      </c>
      <c r="I2989" s="4">
        <v>234.53</v>
      </c>
      <c r="J2989" t="s">
        <v>21</v>
      </c>
      <c r="K2989" t="s">
        <v>35</v>
      </c>
      <c r="L2989" s="4">
        <f>VLOOKUP(tblTransactions[[#This Row],[Product_ID]],tblProducts[],5,FALSE)</f>
        <v>51.11</v>
      </c>
      <c r="M2989" s="4">
        <f>tblTransactions[[#This Row],[Total_Amount]]-(tblTransactions[[#This Row],[Cost_Prices]]*tblTransactions[[#This Row],[Quantity]]*(1-tblTransactions[[#This Row],[Discount]]))</f>
        <v>88.86650000000003</v>
      </c>
      <c r="N2989" s="3">
        <f>tblTransactions[[#This Row],[Profit]]/tblTransactions[[#This Row],[Total_Amount]]</f>
        <v>0.37891314543981591</v>
      </c>
      <c r="O2989" t="str">
        <f>TEXT(tblTransactions[[#This Row],[Date]], "MMM-YYYY")</f>
        <v>Sep-2024</v>
      </c>
      <c r="P2989" t="str">
        <f>"Q"&amp;ROUNDUP(MONTH(tblTransactions[[#This Row],[Date]])/3,0)&amp;"-"&amp;YEAR(tblTransactions[[#This Row],[Date]])</f>
        <v>Q3-2024</v>
      </c>
      <c r="Q2989">
        <f>YEAR(tblTransactions[[#This Row],[Date]])</f>
        <v>2024</v>
      </c>
      <c r="R2989" t="str">
        <f>TEXT(tblTransactions[[#This Row],[Date]],"DDDD")</f>
        <v>Saturday</v>
      </c>
      <c r="S2989">
        <f>MONTH(tblTransactions[[#This Row],[Date]])</f>
        <v>9</v>
      </c>
      <c r="T2989" t="str">
        <f>VLOOKUP(E2989, Products!$A:$B,2,0)</f>
        <v>Keyboards Acc-2</v>
      </c>
      <c r="U2989" t="str">
        <f>VLOOKUP(E2989,Products!$A:$C,3,0)</f>
        <v>Accessories</v>
      </c>
      <c r="V2989" t="str">
        <f>VLOOKUP(E2989,Products!$A:$D,4,0)</f>
        <v>Keyboards</v>
      </c>
      <c r="W2989" t="str">
        <f>VLOOKUP(D2989,Customers!$A:$C,3,0)</f>
        <v>B2C</v>
      </c>
      <c r="X2989" t="str">
        <f>VLOOKUP(C2989,Sales_Representatives!$A:$B,2,0)</f>
        <v>Sarah Brown</v>
      </c>
    </row>
    <row r="2990" spans="1:24" x14ac:dyDescent="0.3">
      <c r="A2990" t="s">
        <v>4075</v>
      </c>
      <c r="B2990" t="s">
        <v>4071</v>
      </c>
      <c r="C2990" t="s">
        <v>131</v>
      </c>
      <c r="D2990" t="s">
        <v>2126</v>
      </c>
      <c r="E2990" t="s">
        <v>376</v>
      </c>
      <c r="F2990">
        <v>5</v>
      </c>
      <c r="G2990">
        <v>229.65</v>
      </c>
      <c r="H2990">
        <v>0</v>
      </c>
      <c r="I2990" s="4">
        <v>1148.25</v>
      </c>
      <c r="J2990" t="s">
        <v>44</v>
      </c>
      <c r="K2990" t="s">
        <v>35</v>
      </c>
      <c r="L2990" s="4">
        <f>VLOOKUP(tblTransactions[[#This Row],[Product_ID]],tblProducts[],5,FALSE)</f>
        <v>96.84</v>
      </c>
      <c r="M2990" s="4">
        <f>tblTransactions[[#This Row],[Total_Amount]]-(tblTransactions[[#This Row],[Cost_Prices]]*tblTransactions[[#This Row],[Quantity]]*(1-tblTransactions[[#This Row],[Discount]]))</f>
        <v>664.05</v>
      </c>
      <c r="N2990" s="3">
        <f>tblTransactions[[#This Row],[Profit]]/tblTransactions[[#This Row],[Total_Amount]]</f>
        <v>0.57831482691051594</v>
      </c>
      <c r="O2990" t="str">
        <f>TEXT(tblTransactions[[#This Row],[Date]], "MMM-YYYY")</f>
        <v>Sep-2024</v>
      </c>
      <c r="P2990" t="str">
        <f>"Q"&amp;ROUNDUP(MONTH(tblTransactions[[#This Row],[Date]])/3,0)&amp;"-"&amp;YEAR(tblTransactions[[#This Row],[Date]])</f>
        <v>Q3-2024</v>
      </c>
      <c r="Q2990">
        <f>YEAR(tblTransactions[[#This Row],[Date]])</f>
        <v>2024</v>
      </c>
      <c r="R2990" t="str">
        <f>TEXT(tblTransactions[[#This Row],[Date]],"DDDD")</f>
        <v>Saturday</v>
      </c>
      <c r="S2990">
        <f>MONTH(tblTransactions[[#This Row],[Date]])</f>
        <v>9</v>
      </c>
      <c r="T2990" t="str">
        <f>VLOOKUP(E2990, Products!$A:$B,2,0)</f>
        <v>Adapters Acc-2</v>
      </c>
      <c r="U2990" t="str">
        <f>VLOOKUP(E2990,Products!$A:$C,3,0)</f>
        <v>Accessories</v>
      </c>
      <c r="V2990" t="str">
        <f>VLOOKUP(E2990,Products!$A:$D,4,0)</f>
        <v>Adapters</v>
      </c>
      <c r="W2990" t="str">
        <f>VLOOKUP(D2990,Customers!$A:$C,3,0)</f>
        <v>B2C</v>
      </c>
      <c r="X2990" t="str">
        <f>VLOOKUP(C2990,Sales_Representatives!$A:$B,2,0)</f>
        <v>Michael Davis</v>
      </c>
    </row>
    <row r="2991" spans="1:24" x14ac:dyDescent="0.3">
      <c r="A2991" t="s">
        <v>4076</v>
      </c>
      <c r="B2991" t="s">
        <v>4071</v>
      </c>
      <c r="C2991" t="s">
        <v>75</v>
      </c>
      <c r="D2991" t="s">
        <v>1496</v>
      </c>
      <c r="E2991" t="s">
        <v>299</v>
      </c>
      <c r="F2991">
        <v>36</v>
      </c>
      <c r="G2991">
        <v>963.44</v>
      </c>
      <c r="H2991">
        <v>0.21</v>
      </c>
      <c r="I2991" s="4">
        <v>27400.23</v>
      </c>
      <c r="J2991" t="s">
        <v>44</v>
      </c>
      <c r="K2991" t="s">
        <v>39</v>
      </c>
      <c r="L2991" s="4">
        <f>VLOOKUP(tblTransactions[[#This Row],[Product_ID]],tblProducts[],5,FALSE)</f>
        <v>578.96</v>
      </c>
      <c r="M2991" s="4">
        <f>tblTransactions[[#This Row],[Total_Amount]]-(tblTransactions[[#This Row],[Cost_Prices]]*tblTransactions[[#This Row],[Quantity]]*(1-tblTransactions[[#This Row],[Discount]]))</f>
        <v>10934.607599999999</v>
      </c>
      <c r="N2991" s="3">
        <f>tblTransactions[[#This Row],[Profit]]/tblTransactions[[#This Row],[Total_Amount]]</f>
        <v>0.39906992021599819</v>
      </c>
      <c r="O2991" t="str">
        <f>TEXT(tblTransactions[[#This Row],[Date]], "MMM-YYYY")</f>
        <v>Sep-2024</v>
      </c>
      <c r="P2991" t="str">
        <f>"Q"&amp;ROUNDUP(MONTH(tblTransactions[[#This Row],[Date]])/3,0)&amp;"-"&amp;YEAR(tblTransactions[[#This Row],[Date]])</f>
        <v>Q3-2024</v>
      </c>
      <c r="Q2991">
        <f>YEAR(tblTransactions[[#This Row],[Date]])</f>
        <v>2024</v>
      </c>
      <c r="R2991" t="str">
        <f>TEXT(tblTransactions[[#This Row],[Date]],"DDDD")</f>
        <v>Saturday</v>
      </c>
      <c r="S2991">
        <f>MONTH(tblTransactions[[#This Row],[Date]])</f>
        <v>9</v>
      </c>
      <c r="T2991" t="str">
        <f>VLOOKUP(E2991, Products!$A:$B,2,0)</f>
        <v>Chairs Fur-4</v>
      </c>
      <c r="U2991" t="str">
        <f>VLOOKUP(E2991,Products!$A:$C,3,0)</f>
        <v>Furniture</v>
      </c>
      <c r="V2991" t="str">
        <f>VLOOKUP(E2991,Products!$A:$D,4,0)</f>
        <v>Chairs</v>
      </c>
      <c r="W2991" t="str">
        <f>VLOOKUP(D2991,Customers!$A:$C,3,0)</f>
        <v>Enterprise</v>
      </c>
      <c r="X2991" t="str">
        <f>VLOOKUP(C2991,Sales_Representatives!$A:$B,2,0)</f>
        <v>Jessica Anderson</v>
      </c>
    </row>
    <row r="2992" spans="1:24" x14ac:dyDescent="0.3">
      <c r="A2992" t="s">
        <v>4077</v>
      </c>
      <c r="B2992" t="s">
        <v>4078</v>
      </c>
      <c r="C2992" t="s">
        <v>31</v>
      </c>
      <c r="D2992" t="s">
        <v>1472</v>
      </c>
      <c r="E2992" t="s">
        <v>339</v>
      </c>
      <c r="F2992">
        <v>9</v>
      </c>
      <c r="G2992">
        <v>1100.8800000000001</v>
      </c>
      <c r="H2992">
        <v>0.13</v>
      </c>
      <c r="I2992" s="4">
        <v>8619.89</v>
      </c>
      <c r="J2992" t="s">
        <v>34</v>
      </c>
      <c r="K2992" t="s">
        <v>22</v>
      </c>
      <c r="L2992" s="4">
        <f>VLOOKUP(tblTransactions[[#This Row],[Product_ID]],tblProducts[],5,FALSE)</f>
        <v>761.53</v>
      </c>
      <c r="M2992" s="4">
        <f>tblTransactions[[#This Row],[Total_Amount]]-(tblTransactions[[#This Row],[Cost_Prices]]*tblTransactions[[#This Row],[Quantity]]*(1-tblTransactions[[#This Row],[Discount]]))</f>
        <v>2657.1100999999999</v>
      </c>
      <c r="N2992" s="3">
        <f>tblTransactions[[#This Row],[Profit]]/tblTransactions[[#This Row],[Total_Amount]]</f>
        <v>0.30825336518215429</v>
      </c>
      <c r="O2992" t="str">
        <f>TEXT(tblTransactions[[#This Row],[Date]], "MMM-YYYY")</f>
        <v>Sep-2024</v>
      </c>
      <c r="P2992" t="str">
        <f>"Q"&amp;ROUNDUP(MONTH(tblTransactions[[#This Row],[Date]])/3,0)&amp;"-"&amp;YEAR(tblTransactions[[#This Row],[Date]])</f>
        <v>Q3-2024</v>
      </c>
      <c r="Q2992">
        <f>YEAR(tblTransactions[[#This Row],[Date]])</f>
        <v>2024</v>
      </c>
      <c r="R2992" t="str">
        <f>TEXT(tblTransactions[[#This Row],[Date]],"DDDD")</f>
        <v>Sunday</v>
      </c>
      <c r="S2992">
        <f>MONTH(tblTransactions[[#This Row],[Date]])</f>
        <v>9</v>
      </c>
      <c r="T2992" t="str">
        <f>VLOOKUP(E2992, Products!$A:$B,2,0)</f>
        <v>Phones Ele-2</v>
      </c>
      <c r="U2992" t="str">
        <f>VLOOKUP(E2992,Products!$A:$C,3,0)</f>
        <v>Electronics</v>
      </c>
      <c r="V2992" t="str">
        <f>VLOOKUP(E2992,Products!$A:$D,4,0)</f>
        <v>Phones</v>
      </c>
      <c r="W2992" t="str">
        <f>VLOOKUP(D2992,Customers!$A:$C,3,0)</f>
        <v>B2B</v>
      </c>
      <c r="X2992" t="str">
        <f>VLOOKUP(C2992,Sales_Representatives!$A:$B,2,0)</f>
        <v>Thomas Martinez</v>
      </c>
    </row>
    <row r="2993" spans="1:24" x14ac:dyDescent="0.3">
      <c r="A2993" t="s">
        <v>4079</v>
      </c>
      <c r="B2993" t="s">
        <v>4078</v>
      </c>
      <c r="C2993" t="s">
        <v>31</v>
      </c>
      <c r="D2993" t="s">
        <v>2150</v>
      </c>
      <c r="E2993" t="s">
        <v>129</v>
      </c>
      <c r="F2993">
        <v>42</v>
      </c>
      <c r="G2993">
        <v>1283.71</v>
      </c>
      <c r="H2993">
        <v>0.16</v>
      </c>
      <c r="I2993" s="4">
        <v>45289.29</v>
      </c>
      <c r="J2993" t="s">
        <v>34</v>
      </c>
      <c r="K2993" t="s">
        <v>35</v>
      </c>
      <c r="L2993" s="4">
        <f>VLOOKUP(tblTransactions[[#This Row],[Product_ID]],tblProducts[],5,FALSE)</f>
        <v>970.14</v>
      </c>
      <c r="M2993" s="4">
        <f>tblTransactions[[#This Row],[Total_Amount]]-(tblTransactions[[#This Row],[Cost_Prices]]*tblTransactions[[#This Row],[Quantity]]*(1-tblTransactions[[#This Row],[Discount]]))</f>
        <v>11062.750800000002</v>
      </c>
      <c r="N2993" s="3">
        <f>tblTransactions[[#This Row],[Profit]]/tblTransactions[[#This Row],[Total_Amount]]</f>
        <v>0.24426858535428578</v>
      </c>
      <c r="O2993" t="str">
        <f>TEXT(tblTransactions[[#This Row],[Date]], "MMM-YYYY")</f>
        <v>Sep-2024</v>
      </c>
      <c r="P2993" t="str">
        <f>"Q"&amp;ROUNDUP(MONTH(tblTransactions[[#This Row],[Date]])/3,0)&amp;"-"&amp;YEAR(tblTransactions[[#This Row],[Date]])</f>
        <v>Q3-2024</v>
      </c>
      <c r="Q2993">
        <f>YEAR(tblTransactions[[#This Row],[Date]])</f>
        <v>2024</v>
      </c>
      <c r="R2993" t="str">
        <f>TEXT(tblTransactions[[#This Row],[Date]],"DDDD")</f>
        <v>Sunday</v>
      </c>
      <c r="S2993">
        <f>MONTH(tblTransactions[[#This Row],[Date]])</f>
        <v>9</v>
      </c>
      <c r="T2993" t="str">
        <f>VLOOKUP(E2993, Products!$A:$B,2,0)</f>
        <v>Cameras Ele-3</v>
      </c>
      <c r="U2993" t="str">
        <f>VLOOKUP(E2993,Products!$A:$C,3,0)</f>
        <v>Electronics</v>
      </c>
      <c r="V2993" t="str">
        <f>VLOOKUP(E2993,Products!$A:$D,4,0)</f>
        <v>Cameras</v>
      </c>
      <c r="W2993" t="str">
        <f>VLOOKUP(D2993,Customers!$A:$C,3,0)</f>
        <v>Enterprise</v>
      </c>
      <c r="X2993" t="str">
        <f>VLOOKUP(C2993,Sales_Representatives!$A:$B,2,0)</f>
        <v>Thomas Martinez</v>
      </c>
    </row>
    <row r="2994" spans="1:24" x14ac:dyDescent="0.3">
      <c r="A2994" t="s">
        <v>4080</v>
      </c>
      <c r="B2994" t="s">
        <v>4078</v>
      </c>
      <c r="C2994" t="s">
        <v>41</v>
      </c>
      <c r="D2994" t="s">
        <v>67</v>
      </c>
      <c r="E2994" t="s">
        <v>15</v>
      </c>
      <c r="F2994">
        <v>7</v>
      </c>
      <c r="G2994">
        <v>477.48</v>
      </c>
      <c r="H2994">
        <v>0.13</v>
      </c>
      <c r="I2994" s="4">
        <v>2907.85</v>
      </c>
      <c r="J2994" t="s">
        <v>44</v>
      </c>
      <c r="K2994" t="s">
        <v>17</v>
      </c>
      <c r="L2994" s="4">
        <f>VLOOKUP(tblTransactions[[#This Row],[Product_ID]],tblProducts[],5,FALSE)</f>
        <v>275.51</v>
      </c>
      <c r="M2994" s="4">
        <f>tblTransactions[[#This Row],[Total_Amount]]-(tblTransactions[[#This Row],[Cost_Prices]]*tblTransactions[[#This Row],[Quantity]]*(1-tblTransactions[[#This Row],[Discount]]))</f>
        <v>1229.9940999999999</v>
      </c>
      <c r="N2994" s="3">
        <f>tblTransactions[[#This Row],[Profit]]/tblTransactions[[#This Row],[Total_Amount]]</f>
        <v>0.42299090393245864</v>
      </c>
      <c r="O2994" t="str">
        <f>TEXT(tblTransactions[[#This Row],[Date]], "MMM-YYYY")</f>
        <v>Sep-2024</v>
      </c>
      <c r="P2994" t="str">
        <f>"Q"&amp;ROUNDUP(MONTH(tblTransactions[[#This Row],[Date]])/3,0)&amp;"-"&amp;YEAR(tblTransactions[[#This Row],[Date]])</f>
        <v>Q3-2024</v>
      </c>
      <c r="Q2994">
        <f>YEAR(tblTransactions[[#This Row],[Date]])</f>
        <v>2024</v>
      </c>
      <c r="R2994" t="str">
        <f>TEXT(tblTransactions[[#This Row],[Date]],"DDDD")</f>
        <v>Sunday</v>
      </c>
      <c r="S2994">
        <f>MONTH(tblTransactions[[#This Row],[Date]])</f>
        <v>9</v>
      </c>
      <c r="T2994" t="str">
        <f>VLOOKUP(E2994, Products!$A:$B,2,0)</f>
        <v>Laptops Ele-4</v>
      </c>
      <c r="U2994" t="str">
        <f>VLOOKUP(E2994,Products!$A:$C,3,0)</f>
        <v>Electronics</v>
      </c>
      <c r="V2994" t="str">
        <f>VLOOKUP(E2994,Products!$A:$D,4,0)</f>
        <v>Laptops</v>
      </c>
      <c r="W2994" t="str">
        <f>VLOOKUP(D2994,Customers!$A:$C,3,0)</f>
        <v>B2C</v>
      </c>
      <c r="X2994" t="str">
        <f>VLOOKUP(C2994,Sales_Representatives!$A:$B,2,0)</f>
        <v>Robert Jones</v>
      </c>
    </row>
    <row r="2995" spans="1:24" x14ac:dyDescent="0.3">
      <c r="A2995" t="s">
        <v>4081</v>
      </c>
      <c r="B2995" t="s">
        <v>4078</v>
      </c>
      <c r="C2995" t="s">
        <v>63</v>
      </c>
      <c r="D2995" t="s">
        <v>2029</v>
      </c>
      <c r="E2995" t="s">
        <v>290</v>
      </c>
      <c r="F2995">
        <v>11</v>
      </c>
      <c r="G2995">
        <v>729.32</v>
      </c>
      <c r="H2995">
        <v>0.15</v>
      </c>
      <c r="I2995" s="4">
        <v>6819.14</v>
      </c>
      <c r="J2995" t="s">
        <v>21</v>
      </c>
      <c r="K2995" t="s">
        <v>22</v>
      </c>
      <c r="L2995" s="4">
        <f>VLOOKUP(tblTransactions[[#This Row],[Product_ID]],tblProducts[],5,FALSE)</f>
        <v>482.7</v>
      </c>
      <c r="M2995" s="4">
        <f>tblTransactions[[#This Row],[Total_Amount]]-(tblTransactions[[#This Row],[Cost_Prices]]*tblTransactions[[#This Row],[Quantity]]*(1-tblTransactions[[#This Row],[Discount]]))</f>
        <v>2305.8950000000004</v>
      </c>
      <c r="N2995" s="3">
        <f>tblTransactions[[#This Row],[Profit]]/tblTransactions[[#This Row],[Total_Amount]]</f>
        <v>0.33815041192877698</v>
      </c>
      <c r="O2995" t="str">
        <f>TEXT(tblTransactions[[#This Row],[Date]], "MMM-YYYY")</f>
        <v>Sep-2024</v>
      </c>
      <c r="P2995" t="str">
        <f>"Q"&amp;ROUNDUP(MONTH(tblTransactions[[#This Row],[Date]])/3,0)&amp;"-"&amp;YEAR(tblTransactions[[#This Row],[Date]])</f>
        <v>Q3-2024</v>
      </c>
      <c r="Q2995">
        <f>YEAR(tblTransactions[[#This Row],[Date]])</f>
        <v>2024</v>
      </c>
      <c r="R2995" t="str">
        <f>TEXT(tblTransactions[[#This Row],[Date]],"DDDD")</f>
        <v>Sunday</v>
      </c>
      <c r="S2995">
        <f>MONTH(tblTransactions[[#This Row],[Date]])</f>
        <v>9</v>
      </c>
      <c r="T2995" t="str">
        <f>VLOOKUP(E2995, Products!$A:$B,2,0)</f>
        <v>Tables Fur-1</v>
      </c>
      <c r="U2995" t="str">
        <f>VLOOKUP(E2995,Products!$A:$C,3,0)</f>
        <v>Furniture</v>
      </c>
      <c r="V2995" t="str">
        <f>VLOOKUP(E2995,Products!$A:$D,4,0)</f>
        <v>Tables</v>
      </c>
      <c r="W2995" t="str">
        <f>VLOOKUP(D2995,Customers!$A:$C,3,0)</f>
        <v>B2B</v>
      </c>
      <c r="X2995" t="str">
        <f>VLOOKUP(C2995,Sales_Representatives!$A:$B,2,0)</f>
        <v>Richard Wilson</v>
      </c>
    </row>
    <row r="2996" spans="1:24" x14ac:dyDescent="0.3">
      <c r="A2996" t="s">
        <v>4082</v>
      </c>
      <c r="B2996" t="s">
        <v>4078</v>
      </c>
      <c r="C2996" t="s">
        <v>82</v>
      </c>
      <c r="D2996" t="s">
        <v>1582</v>
      </c>
      <c r="E2996" t="s">
        <v>587</v>
      </c>
      <c r="F2996">
        <v>2</v>
      </c>
      <c r="G2996">
        <v>58.54</v>
      </c>
      <c r="H2996">
        <v>0.06</v>
      </c>
      <c r="I2996" s="4">
        <v>110.06</v>
      </c>
      <c r="J2996" t="s">
        <v>34</v>
      </c>
      <c r="K2996" t="s">
        <v>17</v>
      </c>
      <c r="L2996" s="4">
        <f>VLOOKUP(tblTransactions[[#This Row],[Product_ID]],tblProducts[],5,FALSE)</f>
        <v>25.43</v>
      </c>
      <c r="M2996" s="4">
        <f>tblTransactions[[#This Row],[Total_Amount]]-(tblTransactions[[#This Row],[Cost_Prices]]*tblTransactions[[#This Row],[Quantity]]*(1-tblTransactions[[#This Row],[Discount]]))</f>
        <v>62.251600000000003</v>
      </c>
      <c r="N2996" s="3">
        <f>tblTransactions[[#This Row],[Profit]]/tblTransactions[[#This Row],[Total_Amount]]</f>
        <v>0.56561511902598582</v>
      </c>
      <c r="O2996" t="str">
        <f>TEXT(tblTransactions[[#This Row],[Date]], "MMM-YYYY")</f>
        <v>Sep-2024</v>
      </c>
      <c r="P2996" t="str">
        <f>"Q"&amp;ROUNDUP(MONTH(tblTransactions[[#This Row],[Date]])/3,0)&amp;"-"&amp;YEAR(tblTransactions[[#This Row],[Date]])</f>
        <v>Q3-2024</v>
      </c>
      <c r="Q2996">
        <f>YEAR(tblTransactions[[#This Row],[Date]])</f>
        <v>2024</v>
      </c>
      <c r="R2996" t="str">
        <f>TEXT(tblTransactions[[#This Row],[Date]],"DDDD")</f>
        <v>Sunday</v>
      </c>
      <c r="S2996">
        <f>MONTH(tblTransactions[[#This Row],[Date]])</f>
        <v>9</v>
      </c>
      <c r="T2996" t="str">
        <f>VLOOKUP(E2996, Products!$A:$B,2,0)</f>
        <v>Paper Off-2</v>
      </c>
      <c r="U2996" t="str">
        <f>VLOOKUP(E2996,Products!$A:$C,3,0)</f>
        <v>Office Supplies</v>
      </c>
      <c r="V2996" t="str">
        <f>VLOOKUP(E2996,Products!$A:$D,4,0)</f>
        <v>Paper</v>
      </c>
      <c r="W2996" t="str">
        <f>VLOOKUP(D2996,Customers!$A:$C,3,0)</f>
        <v>Small Business</v>
      </c>
      <c r="X2996" t="str">
        <f>VLOOKUP(C2996,Sales_Representatives!$A:$B,2,0)</f>
        <v>John Brown</v>
      </c>
    </row>
    <row r="2997" spans="1:24" x14ac:dyDescent="0.3">
      <c r="A2997" t="s">
        <v>4083</v>
      </c>
      <c r="B2997" t="s">
        <v>4078</v>
      </c>
      <c r="C2997" t="s">
        <v>31</v>
      </c>
      <c r="D2997" t="s">
        <v>1465</v>
      </c>
      <c r="E2997" t="s">
        <v>481</v>
      </c>
      <c r="F2997">
        <v>1</v>
      </c>
      <c r="G2997">
        <v>263.58999999999997</v>
      </c>
      <c r="H2997">
        <v>0.04</v>
      </c>
      <c r="I2997" s="4">
        <v>253.05</v>
      </c>
      <c r="J2997" t="s">
        <v>34</v>
      </c>
      <c r="K2997" t="s">
        <v>48</v>
      </c>
      <c r="L2997" s="4">
        <f>VLOOKUP(tblTransactions[[#This Row],[Product_ID]],tblProducts[],5,FALSE)</f>
        <v>133.65</v>
      </c>
      <c r="M2997" s="4">
        <f>tblTransactions[[#This Row],[Total_Amount]]-(tblTransactions[[#This Row],[Cost_Prices]]*tblTransactions[[#This Row],[Quantity]]*(1-tblTransactions[[#This Row],[Discount]]))</f>
        <v>124.74600000000001</v>
      </c>
      <c r="N2997" s="3">
        <f>tblTransactions[[#This Row],[Profit]]/tblTransactions[[#This Row],[Total_Amount]]</f>
        <v>0.49296976882039123</v>
      </c>
      <c r="O2997" t="str">
        <f>TEXT(tblTransactions[[#This Row],[Date]], "MMM-YYYY")</f>
        <v>Sep-2024</v>
      </c>
      <c r="P2997" t="str">
        <f>"Q"&amp;ROUNDUP(MONTH(tblTransactions[[#This Row],[Date]])/3,0)&amp;"-"&amp;YEAR(tblTransactions[[#This Row],[Date]])</f>
        <v>Q3-2024</v>
      </c>
      <c r="Q2997">
        <f>YEAR(tblTransactions[[#This Row],[Date]])</f>
        <v>2024</v>
      </c>
      <c r="R2997" t="str">
        <f>TEXT(tblTransactions[[#This Row],[Date]],"DDDD")</f>
        <v>Sunday</v>
      </c>
      <c r="S2997">
        <f>MONTH(tblTransactions[[#This Row],[Date]])</f>
        <v>9</v>
      </c>
      <c r="T2997" t="str">
        <f>VLOOKUP(E2997, Products!$A:$B,2,0)</f>
        <v>Folders Off-1</v>
      </c>
      <c r="U2997" t="str">
        <f>VLOOKUP(E2997,Products!$A:$C,3,0)</f>
        <v>Office Supplies</v>
      </c>
      <c r="V2997" t="str">
        <f>VLOOKUP(E2997,Products!$A:$D,4,0)</f>
        <v>Folders</v>
      </c>
      <c r="W2997" t="str">
        <f>VLOOKUP(D2997,Customers!$A:$C,3,0)</f>
        <v>Small Business</v>
      </c>
      <c r="X2997" t="str">
        <f>VLOOKUP(C2997,Sales_Representatives!$A:$B,2,0)</f>
        <v>Thomas Martinez</v>
      </c>
    </row>
    <row r="2998" spans="1:24" x14ac:dyDescent="0.3">
      <c r="A2998" t="s">
        <v>4084</v>
      </c>
      <c r="B2998" t="s">
        <v>4085</v>
      </c>
      <c r="C2998" t="s">
        <v>19</v>
      </c>
      <c r="D2998" t="s">
        <v>2341</v>
      </c>
      <c r="E2998" t="s">
        <v>159</v>
      </c>
      <c r="F2998">
        <v>7</v>
      </c>
      <c r="G2998">
        <v>78.09</v>
      </c>
      <c r="H2998">
        <v>0.12</v>
      </c>
      <c r="I2998" s="4">
        <v>481.03</v>
      </c>
      <c r="J2998" t="s">
        <v>21</v>
      </c>
      <c r="K2998" t="s">
        <v>35</v>
      </c>
      <c r="L2998" s="4">
        <f>VLOOKUP(tblTransactions[[#This Row],[Product_ID]],tblProducts[],5,FALSE)</f>
        <v>47.01</v>
      </c>
      <c r="M2998" s="4">
        <f>tblTransactions[[#This Row],[Total_Amount]]-(tblTransactions[[#This Row],[Cost_Prices]]*tblTransactions[[#This Row],[Quantity]]*(1-tblTransactions[[#This Row],[Discount]]))</f>
        <v>191.44839999999999</v>
      </c>
      <c r="N2998" s="3">
        <f>tblTransactions[[#This Row],[Profit]]/tblTransactions[[#This Row],[Total_Amount]]</f>
        <v>0.39799679853647385</v>
      </c>
      <c r="O2998" t="str">
        <f>TEXT(tblTransactions[[#This Row],[Date]], "MMM-YYYY")</f>
        <v>Sep-2024</v>
      </c>
      <c r="P2998" t="str">
        <f>"Q"&amp;ROUNDUP(MONTH(tblTransactions[[#This Row],[Date]])/3,0)&amp;"-"&amp;YEAR(tblTransactions[[#This Row],[Date]])</f>
        <v>Q3-2024</v>
      </c>
      <c r="Q2998">
        <f>YEAR(tblTransactions[[#This Row],[Date]])</f>
        <v>2024</v>
      </c>
      <c r="R2998" t="str">
        <f>TEXT(tblTransactions[[#This Row],[Date]],"DDDD")</f>
        <v>Monday</v>
      </c>
      <c r="S2998">
        <f>MONTH(tblTransactions[[#This Row],[Date]])</f>
        <v>9</v>
      </c>
      <c r="T2998" t="str">
        <f>VLOOKUP(E2998, Products!$A:$B,2,0)</f>
        <v>Cables Acc-4</v>
      </c>
      <c r="U2998" t="str">
        <f>VLOOKUP(E2998,Products!$A:$C,3,0)</f>
        <v>Accessories</v>
      </c>
      <c r="V2998" t="str">
        <f>VLOOKUP(E2998,Products!$A:$D,4,0)</f>
        <v>Cables</v>
      </c>
      <c r="W2998" t="str">
        <f>VLOOKUP(D2998,Customers!$A:$C,3,0)</f>
        <v>B2C</v>
      </c>
      <c r="X2998" t="str">
        <f>VLOOKUP(C2998,Sales_Representatives!$A:$B,2,0)</f>
        <v>Robert Jones</v>
      </c>
    </row>
    <row r="2999" spans="1:24" x14ac:dyDescent="0.3">
      <c r="A2999" t="s">
        <v>4086</v>
      </c>
      <c r="B2999" t="s">
        <v>4085</v>
      </c>
      <c r="C2999" t="s">
        <v>75</v>
      </c>
      <c r="D2999" t="s">
        <v>1794</v>
      </c>
      <c r="E2999" t="s">
        <v>96</v>
      </c>
      <c r="F2999">
        <v>18</v>
      </c>
      <c r="G2999">
        <v>751.9</v>
      </c>
      <c r="H2999">
        <v>0.15</v>
      </c>
      <c r="I2999" s="4">
        <v>11504.07</v>
      </c>
      <c r="J2999" t="s">
        <v>44</v>
      </c>
      <c r="K2999" t="s">
        <v>35</v>
      </c>
      <c r="L2999" s="4">
        <f>VLOOKUP(tblTransactions[[#This Row],[Product_ID]],tblProducts[],5,FALSE)</f>
        <v>570.29</v>
      </c>
      <c r="M2999" s="4">
        <f>tblTransactions[[#This Row],[Total_Amount]]-(tblTransactions[[#This Row],[Cost_Prices]]*tblTransactions[[#This Row],[Quantity]]*(1-tblTransactions[[#This Row],[Discount]]))</f>
        <v>2778.6329999999998</v>
      </c>
      <c r="N2999" s="3">
        <f>tblTransactions[[#This Row],[Profit]]/tblTransactions[[#This Row],[Total_Amount]]</f>
        <v>0.24153477856097885</v>
      </c>
      <c r="O2999" t="str">
        <f>TEXT(tblTransactions[[#This Row],[Date]], "MMM-YYYY")</f>
        <v>Sep-2024</v>
      </c>
      <c r="P2999" t="str">
        <f>"Q"&amp;ROUNDUP(MONTH(tblTransactions[[#This Row],[Date]])/3,0)&amp;"-"&amp;YEAR(tblTransactions[[#This Row],[Date]])</f>
        <v>Q3-2024</v>
      </c>
      <c r="Q2999">
        <f>YEAR(tblTransactions[[#This Row],[Date]])</f>
        <v>2024</v>
      </c>
      <c r="R2999" t="str">
        <f>TEXT(tblTransactions[[#This Row],[Date]],"DDDD")</f>
        <v>Monday</v>
      </c>
      <c r="S2999">
        <f>MONTH(tblTransactions[[#This Row],[Date]])</f>
        <v>9</v>
      </c>
      <c r="T2999" t="str">
        <f>VLOOKUP(E2999, Products!$A:$B,2,0)</f>
        <v>Routers Tec-1</v>
      </c>
      <c r="U2999" t="str">
        <f>VLOOKUP(E2999,Products!$A:$C,3,0)</f>
        <v>Technology</v>
      </c>
      <c r="V2999" t="str">
        <f>VLOOKUP(E2999,Products!$A:$D,4,0)</f>
        <v>Routers</v>
      </c>
      <c r="W2999" t="str">
        <f>VLOOKUP(D2999,Customers!$A:$C,3,0)</f>
        <v>B2B</v>
      </c>
      <c r="X2999" t="str">
        <f>VLOOKUP(C2999,Sales_Representatives!$A:$B,2,0)</f>
        <v>Jessica Anderson</v>
      </c>
    </row>
    <row r="3000" spans="1:24" x14ac:dyDescent="0.3">
      <c r="A3000" t="s">
        <v>4087</v>
      </c>
      <c r="B3000" t="s">
        <v>4085</v>
      </c>
      <c r="C3000" t="s">
        <v>27</v>
      </c>
      <c r="D3000" t="s">
        <v>2557</v>
      </c>
      <c r="E3000" t="s">
        <v>105</v>
      </c>
      <c r="F3000">
        <v>13</v>
      </c>
      <c r="G3000">
        <v>1342.04</v>
      </c>
      <c r="H3000">
        <v>0.13</v>
      </c>
      <c r="I3000" s="4">
        <v>15178.47</v>
      </c>
      <c r="J3000" t="s">
        <v>16</v>
      </c>
      <c r="K3000" t="s">
        <v>22</v>
      </c>
      <c r="L3000" s="4">
        <f>VLOOKUP(tblTransactions[[#This Row],[Product_ID]],tblProducts[],5,FALSE)</f>
        <v>792.89</v>
      </c>
      <c r="M3000" s="4">
        <f>tblTransactions[[#This Row],[Total_Amount]]-(tblTransactions[[#This Row],[Cost_Prices]]*tblTransactions[[#This Row],[Quantity]]*(1-tblTransactions[[#This Row],[Discount]]))</f>
        <v>6210.8840999999993</v>
      </c>
      <c r="N3000" s="3">
        <f>tblTransactions[[#This Row],[Profit]]/tblTransactions[[#This Row],[Total_Amount]]</f>
        <v>0.40919039270756535</v>
      </c>
      <c r="O3000" t="str">
        <f>TEXT(tblTransactions[[#This Row],[Date]], "MMM-YYYY")</f>
        <v>Sep-2024</v>
      </c>
      <c r="P3000" t="str">
        <f>"Q"&amp;ROUNDUP(MONTH(tblTransactions[[#This Row],[Date]])/3,0)&amp;"-"&amp;YEAR(tblTransactions[[#This Row],[Date]])</f>
        <v>Q3-2024</v>
      </c>
      <c r="Q3000">
        <f>YEAR(tblTransactions[[#This Row],[Date]])</f>
        <v>2024</v>
      </c>
      <c r="R3000" t="str">
        <f>TEXT(tblTransactions[[#This Row],[Date]],"DDDD")</f>
        <v>Monday</v>
      </c>
      <c r="S3000">
        <f>MONTH(tblTransactions[[#This Row],[Date]])</f>
        <v>9</v>
      </c>
      <c r="T3000" t="str">
        <f>VLOOKUP(E3000, Products!$A:$B,2,0)</f>
        <v>Cameras Ele-1</v>
      </c>
      <c r="U3000" t="str">
        <f>VLOOKUP(E3000,Products!$A:$C,3,0)</f>
        <v>Electronics</v>
      </c>
      <c r="V3000" t="str">
        <f>VLOOKUP(E3000,Products!$A:$D,4,0)</f>
        <v>Cameras</v>
      </c>
      <c r="W3000" t="str">
        <f>VLOOKUP(D3000,Customers!$A:$C,3,0)</f>
        <v>B2B</v>
      </c>
      <c r="X3000" t="str">
        <f>VLOOKUP(C3000,Sales_Representatives!$A:$B,2,0)</f>
        <v>Thomas Lopez</v>
      </c>
    </row>
    <row r="3001" spans="1:24" x14ac:dyDescent="0.3">
      <c r="A3001" t="s">
        <v>4088</v>
      </c>
      <c r="B3001" t="s">
        <v>4089</v>
      </c>
      <c r="C3001" t="s">
        <v>82</v>
      </c>
      <c r="D3001" t="s">
        <v>1616</v>
      </c>
      <c r="E3001" t="s">
        <v>255</v>
      </c>
      <c r="F3001">
        <v>31</v>
      </c>
      <c r="G3001">
        <v>1444.13</v>
      </c>
      <c r="H3001">
        <v>0.2</v>
      </c>
      <c r="I3001" s="4">
        <v>35814.42</v>
      </c>
      <c r="J3001" t="s">
        <v>34</v>
      </c>
      <c r="K3001" t="s">
        <v>35</v>
      </c>
      <c r="L3001" s="4">
        <f>VLOOKUP(tblTransactions[[#This Row],[Product_ID]],tblProducts[],5,FALSE)</f>
        <v>874.43</v>
      </c>
      <c r="M3001" s="4">
        <f>tblTransactions[[#This Row],[Total_Amount]]-(tblTransactions[[#This Row],[Cost_Prices]]*tblTransactions[[#This Row],[Quantity]]*(1-tblTransactions[[#This Row],[Discount]]))</f>
        <v>14128.555999999997</v>
      </c>
      <c r="N3001" s="3">
        <f>tblTransactions[[#This Row],[Profit]]/tblTransactions[[#This Row],[Total_Amount]]</f>
        <v>0.39449350289631935</v>
      </c>
      <c r="O3001" t="str">
        <f>TEXT(tblTransactions[[#This Row],[Date]], "MMM-YYYY")</f>
        <v>Oct-2024</v>
      </c>
      <c r="P3001" t="str">
        <f>"Q"&amp;ROUNDUP(MONTH(tblTransactions[[#This Row],[Date]])/3,0)&amp;"-"&amp;YEAR(tblTransactions[[#This Row],[Date]])</f>
        <v>Q4-2024</v>
      </c>
      <c r="Q3001">
        <f>YEAR(tblTransactions[[#This Row],[Date]])</f>
        <v>2024</v>
      </c>
      <c r="R3001" t="str">
        <f>TEXT(tblTransactions[[#This Row],[Date]],"DDDD")</f>
        <v>Tuesday</v>
      </c>
      <c r="S3001">
        <f>MONTH(tblTransactions[[#This Row],[Date]])</f>
        <v>10</v>
      </c>
      <c r="T3001" t="str">
        <f>VLOOKUP(E3001, Products!$A:$B,2,0)</f>
        <v>Printers Tec-1</v>
      </c>
      <c r="U3001" t="str">
        <f>VLOOKUP(E3001,Products!$A:$C,3,0)</f>
        <v>Technology</v>
      </c>
      <c r="V3001" t="str">
        <f>VLOOKUP(E3001,Products!$A:$D,4,0)</f>
        <v>Printers</v>
      </c>
      <c r="W3001" t="str">
        <f>VLOOKUP(D3001,Customers!$A:$C,3,0)</f>
        <v>Enterprise</v>
      </c>
      <c r="X3001" t="str">
        <f>VLOOKUP(C3001,Sales_Representatives!$A:$B,2,0)</f>
        <v>John Brown</v>
      </c>
    </row>
    <row r="3002" spans="1:24" x14ac:dyDescent="0.3">
      <c r="A3002" t="s">
        <v>4090</v>
      </c>
      <c r="B3002" t="s">
        <v>4089</v>
      </c>
      <c r="C3002" t="s">
        <v>13</v>
      </c>
      <c r="D3002" t="s">
        <v>1997</v>
      </c>
      <c r="E3002" t="s">
        <v>283</v>
      </c>
      <c r="F3002">
        <v>8</v>
      </c>
      <c r="G3002">
        <v>456.88</v>
      </c>
      <c r="H3002">
        <v>0.1</v>
      </c>
      <c r="I3002" s="4">
        <v>3289.54</v>
      </c>
      <c r="J3002" t="s">
        <v>16</v>
      </c>
      <c r="K3002" t="s">
        <v>48</v>
      </c>
      <c r="L3002" s="4">
        <f>VLOOKUP(tblTransactions[[#This Row],[Product_ID]],tblProducts[],5,FALSE)</f>
        <v>313.23</v>
      </c>
      <c r="M3002" s="4">
        <f>tblTransactions[[#This Row],[Total_Amount]]-(tblTransactions[[#This Row],[Cost_Prices]]*tblTransactions[[#This Row],[Quantity]]*(1-tblTransactions[[#This Row],[Discount]]))</f>
        <v>1034.2839999999997</v>
      </c>
      <c r="N3002" s="3">
        <f>tblTransactions[[#This Row],[Profit]]/tblTransactions[[#This Row],[Total_Amount]]</f>
        <v>0.31441599737349285</v>
      </c>
      <c r="O3002" t="str">
        <f>TEXT(tblTransactions[[#This Row],[Date]], "MMM-YYYY")</f>
        <v>Oct-2024</v>
      </c>
      <c r="P3002" t="str">
        <f>"Q"&amp;ROUNDUP(MONTH(tblTransactions[[#This Row],[Date]])/3,0)&amp;"-"&amp;YEAR(tblTransactions[[#This Row],[Date]])</f>
        <v>Q4-2024</v>
      </c>
      <c r="Q3002">
        <f>YEAR(tblTransactions[[#This Row],[Date]])</f>
        <v>2024</v>
      </c>
      <c r="R3002" t="str">
        <f>TEXT(tblTransactions[[#This Row],[Date]],"DDDD")</f>
        <v>Tuesday</v>
      </c>
      <c r="S3002">
        <f>MONTH(tblTransactions[[#This Row],[Date]])</f>
        <v>10</v>
      </c>
      <c r="T3002" t="str">
        <f>VLOOKUP(E3002, Products!$A:$B,2,0)</f>
        <v>Chairs Fur-3</v>
      </c>
      <c r="U3002" t="str">
        <f>VLOOKUP(E3002,Products!$A:$C,3,0)</f>
        <v>Furniture</v>
      </c>
      <c r="V3002" t="str">
        <f>VLOOKUP(E3002,Products!$A:$D,4,0)</f>
        <v>Chairs</v>
      </c>
      <c r="W3002" t="str">
        <f>VLOOKUP(D3002,Customers!$A:$C,3,0)</f>
        <v>B2B</v>
      </c>
      <c r="X3002" t="str">
        <f>VLOOKUP(C3002,Sales_Representatives!$A:$B,2,0)</f>
        <v>Jennifer Rodriguez</v>
      </c>
    </row>
    <row r="3003" spans="1:24" x14ac:dyDescent="0.3">
      <c r="A3003" t="s">
        <v>4091</v>
      </c>
      <c r="B3003" t="s">
        <v>4089</v>
      </c>
      <c r="C3003" t="s">
        <v>31</v>
      </c>
      <c r="D3003" t="s">
        <v>1439</v>
      </c>
      <c r="E3003" t="s">
        <v>15</v>
      </c>
      <c r="F3003">
        <v>7</v>
      </c>
      <c r="G3003">
        <v>477.48</v>
      </c>
      <c r="H3003">
        <v>7.0000000000000007E-2</v>
      </c>
      <c r="I3003" s="4">
        <v>3108.39</v>
      </c>
      <c r="J3003" t="s">
        <v>34</v>
      </c>
      <c r="K3003" t="s">
        <v>35</v>
      </c>
      <c r="L3003" s="4">
        <f>VLOOKUP(tblTransactions[[#This Row],[Product_ID]],tblProducts[],5,FALSE)</f>
        <v>275.51</v>
      </c>
      <c r="M3003" s="4">
        <f>tblTransactions[[#This Row],[Total_Amount]]-(tblTransactions[[#This Row],[Cost_Prices]]*tblTransactions[[#This Row],[Quantity]]*(1-tblTransactions[[#This Row],[Discount]]))</f>
        <v>1314.8199</v>
      </c>
      <c r="N3003" s="3">
        <f>tblTransactions[[#This Row],[Profit]]/tblTransactions[[#This Row],[Total_Amount]]</f>
        <v>0.42299064789167384</v>
      </c>
      <c r="O3003" t="str">
        <f>TEXT(tblTransactions[[#This Row],[Date]], "MMM-YYYY")</f>
        <v>Oct-2024</v>
      </c>
      <c r="P3003" t="str">
        <f>"Q"&amp;ROUNDUP(MONTH(tblTransactions[[#This Row],[Date]])/3,0)&amp;"-"&amp;YEAR(tblTransactions[[#This Row],[Date]])</f>
        <v>Q4-2024</v>
      </c>
      <c r="Q3003">
        <f>YEAR(tblTransactions[[#This Row],[Date]])</f>
        <v>2024</v>
      </c>
      <c r="R3003" t="str">
        <f>TEXT(tblTransactions[[#This Row],[Date]],"DDDD")</f>
        <v>Tuesday</v>
      </c>
      <c r="S3003">
        <f>MONTH(tblTransactions[[#This Row],[Date]])</f>
        <v>10</v>
      </c>
      <c r="T3003" t="str">
        <f>VLOOKUP(E3003, Products!$A:$B,2,0)</f>
        <v>Laptops Ele-4</v>
      </c>
      <c r="U3003" t="str">
        <f>VLOOKUP(E3003,Products!$A:$C,3,0)</f>
        <v>Electronics</v>
      </c>
      <c r="V3003" t="str">
        <f>VLOOKUP(E3003,Products!$A:$D,4,0)</f>
        <v>Laptops</v>
      </c>
      <c r="W3003" t="str">
        <f>VLOOKUP(D3003,Customers!$A:$C,3,0)</f>
        <v>B2C</v>
      </c>
      <c r="X3003" t="str">
        <f>VLOOKUP(C3003,Sales_Representatives!$A:$B,2,0)</f>
        <v>Thomas Martinez</v>
      </c>
    </row>
    <row r="3004" spans="1:24" x14ac:dyDescent="0.3">
      <c r="A3004" t="s">
        <v>4092</v>
      </c>
      <c r="B3004" t="s">
        <v>4093</v>
      </c>
      <c r="C3004" t="s">
        <v>59</v>
      </c>
      <c r="D3004" t="s">
        <v>1910</v>
      </c>
      <c r="E3004" t="s">
        <v>376</v>
      </c>
      <c r="F3004">
        <v>5</v>
      </c>
      <c r="G3004">
        <v>229.65</v>
      </c>
      <c r="H3004">
        <v>0.05</v>
      </c>
      <c r="I3004" s="4">
        <v>1090.8399999999999</v>
      </c>
      <c r="J3004" t="s">
        <v>21</v>
      </c>
      <c r="K3004" t="s">
        <v>39</v>
      </c>
      <c r="L3004" s="4">
        <f>VLOOKUP(tblTransactions[[#This Row],[Product_ID]],tblProducts[],5,FALSE)</f>
        <v>96.84</v>
      </c>
      <c r="M3004" s="4">
        <f>tblTransactions[[#This Row],[Total_Amount]]-(tblTransactions[[#This Row],[Cost_Prices]]*tblTransactions[[#This Row],[Quantity]]*(1-tblTransactions[[#This Row],[Discount]]))</f>
        <v>630.84999999999991</v>
      </c>
      <c r="N3004" s="3">
        <f>tblTransactions[[#This Row],[Profit]]/tblTransactions[[#This Row],[Total_Amount]]</f>
        <v>0.57831579333357774</v>
      </c>
      <c r="O3004" t="str">
        <f>TEXT(tblTransactions[[#This Row],[Date]], "MMM-YYYY")</f>
        <v>Oct-2024</v>
      </c>
      <c r="P3004" t="str">
        <f>"Q"&amp;ROUNDUP(MONTH(tblTransactions[[#This Row],[Date]])/3,0)&amp;"-"&amp;YEAR(tblTransactions[[#This Row],[Date]])</f>
        <v>Q4-2024</v>
      </c>
      <c r="Q3004">
        <f>YEAR(tblTransactions[[#This Row],[Date]])</f>
        <v>2024</v>
      </c>
      <c r="R3004" t="str">
        <f>TEXT(tblTransactions[[#This Row],[Date]],"DDDD")</f>
        <v>Wednesday</v>
      </c>
      <c r="S3004">
        <f>MONTH(tblTransactions[[#This Row],[Date]])</f>
        <v>10</v>
      </c>
      <c r="T3004" t="str">
        <f>VLOOKUP(E3004, Products!$A:$B,2,0)</f>
        <v>Adapters Acc-2</v>
      </c>
      <c r="U3004" t="str">
        <f>VLOOKUP(E3004,Products!$A:$C,3,0)</f>
        <v>Accessories</v>
      </c>
      <c r="V3004" t="str">
        <f>VLOOKUP(E3004,Products!$A:$D,4,0)</f>
        <v>Adapters</v>
      </c>
      <c r="W3004" t="str">
        <f>VLOOKUP(D3004,Customers!$A:$C,3,0)</f>
        <v>B2C</v>
      </c>
      <c r="X3004" t="str">
        <f>VLOOKUP(C3004,Sales_Representatives!$A:$B,2,0)</f>
        <v>Sarah Brown</v>
      </c>
    </row>
    <row r="3005" spans="1:24" x14ac:dyDescent="0.3">
      <c r="A3005" t="s">
        <v>4094</v>
      </c>
      <c r="B3005" t="s">
        <v>4093</v>
      </c>
      <c r="C3005" t="s">
        <v>59</v>
      </c>
      <c r="D3005" t="s">
        <v>1730</v>
      </c>
      <c r="E3005" t="s">
        <v>20</v>
      </c>
      <c r="F3005">
        <v>14</v>
      </c>
      <c r="G3005">
        <v>1219.49</v>
      </c>
      <c r="H3005">
        <v>0.13</v>
      </c>
      <c r="I3005" s="4">
        <v>14853.39</v>
      </c>
      <c r="J3005" t="s">
        <v>21</v>
      </c>
      <c r="K3005" t="s">
        <v>48</v>
      </c>
      <c r="L3005" s="4">
        <f>VLOOKUP(tblTransactions[[#This Row],[Product_ID]],tblProducts[],5,FALSE)</f>
        <v>686.9</v>
      </c>
      <c r="M3005" s="4">
        <f>tblTransactions[[#This Row],[Total_Amount]]-(tblTransactions[[#This Row],[Cost_Prices]]*tblTransactions[[#This Row],[Quantity]]*(1-tblTransactions[[#This Row],[Discount]]))</f>
        <v>6486.9479999999985</v>
      </c>
      <c r="N3005" s="3">
        <f>tblTransactions[[#This Row],[Profit]]/tblTransactions[[#This Row],[Total_Amount]]</f>
        <v>0.43673181677718009</v>
      </c>
      <c r="O3005" t="str">
        <f>TEXT(tblTransactions[[#This Row],[Date]], "MMM-YYYY")</f>
        <v>Oct-2024</v>
      </c>
      <c r="P3005" t="str">
        <f>"Q"&amp;ROUNDUP(MONTH(tblTransactions[[#This Row],[Date]])/3,0)&amp;"-"&amp;YEAR(tblTransactions[[#This Row],[Date]])</f>
        <v>Q4-2024</v>
      </c>
      <c r="Q3005">
        <f>YEAR(tblTransactions[[#This Row],[Date]])</f>
        <v>2024</v>
      </c>
      <c r="R3005" t="str">
        <f>TEXT(tblTransactions[[#This Row],[Date]],"DDDD")</f>
        <v>Wednesday</v>
      </c>
      <c r="S3005">
        <f>MONTH(tblTransactions[[#This Row],[Date]])</f>
        <v>10</v>
      </c>
      <c r="T3005" t="str">
        <f>VLOOKUP(E3005, Products!$A:$B,2,0)</f>
        <v>Laptops Ele-1</v>
      </c>
      <c r="U3005" t="str">
        <f>VLOOKUP(E3005,Products!$A:$C,3,0)</f>
        <v>Electronics</v>
      </c>
      <c r="V3005" t="str">
        <f>VLOOKUP(E3005,Products!$A:$D,4,0)</f>
        <v>Laptops</v>
      </c>
      <c r="W3005" t="str">
        <f>VLOOKUP(D3005,Customers!$A:$C,3,0)</f>
        <v>B2B</v>
      </c>
      <c r="X3005" t="str">
        <f>VLOOKUP(C3005,Sales_Representatives!$A:$B,2,0)</f>
        <v>Sarah Brown</v>
      </c>
    </row>
    <row r="3006" spans="1:24" x14ac:dyDescent="0.3">
      <c r="A3006" t="s">
        <v>4095</v>
      </c>
      <c r="B3006" t="s">
        <v>4093</v>
      </c>
      <c r="C3006" t="s">
        <v>141</v>
      </c>
      <c r="D3006" t="s">
        <v>3014</v>
      </c>
      <c r="E3006" t="s">
        <v>91</v>
      </c>
      <c r="F3006">
        <v>4</v>
      </c>
      <c r="G3006">
        <v>286.62</v>
      </c>
      <c r="H3006">
        <v>0.03</v>
      </c>
      <c r="I3006" s="4">
        <v>1112.0899999999999</v>
      </c>
      <c r="J3006" t="s">
        <v>109</v>
      </c>
      <c r="K3006" t="s">
        <v>39</v>
      </c>
      <c r="L3006" s="4">
        <f>VLOOKUP(tblTransactions[[#This Row],[Product_ID]],tblProducts[],5,FALSE)</f>
        <v>145.54</v>
      </c>
      <c r="M3006" s="4">
        <f>tblTransactions[[#This Row],[Total_Amount]]-(tblTransactions[[#This Row],[Cost_Prices]]*tblTransactions[[#This Row],[Quantity]]*(1-tblTransactions[[#This Row],[Discount]]))</f>
        <v>547.39479999999992</v>
      </c>
      <c r="N3006" s="3">
        <f>tblTransactions[[#This Row],[Profit]]/tblTransactions[[#This Row],[Total_Amount]]</f>
        <v>0.49222167270634565</v>
      </c>
      <c r="O3006" t="str">
        <f>TEXT(tblTransactions[[#This Row],[Date]], "MMM-YYYY")</f>
        <v>Oct-2024</v>
      </c>
      <c r="P3006" t="str">
        <f>"Q"&amp;ROUNDUP(MONTH(tblTransactions[[#This Row],[Date]])/3,0)&amp;"-"&amp;YEAR(tblTransactions[[#This Row],[Date]])</f>
        <v>Q4-2024</v>
      </c>
      <c r="Q3006">
        <f>YEAR(tblTransactions[[#This Row],[Date]])</f>
        <v>2024</v>
      </c>
      <c r="R3006" t="str">
        <f>TEXT(tblTransactions[[#This Row],[Date]],"DDDD")</f>
        <v>Wednesday</v>
      </c>
      <c r="S3006">
        <f>MONTH(tblTransactions[[#This Row],[Date]])</f>
        <v>10</v>
      </c>
      <c r="T3006" t="str">
        <f>VLOOKUP(E3006, Products!$A:$B,2,0)</f>
        <v>Chairs Fur-1</v>
      </c>
      <c r="U3006" t="str">
        <f>VLOOKUP(E3006,Products!$A:$C,3,0)</f>
        <v>Furniture</v>
      </c>
      <c r="V3006" t="str">
        <f>VLOOKUP(E3006,Products!$A:$D,4,0)</f>
        <v>Chairs</v>
      </c>
      <c r="W3006" t="str">
        <f>VLOOKUP(D3006,Customers!$A:$C,3,0)</f>
        <v>B2B</v>
      </c>
      <c r="X3006" t="str">
        <f>VLOOKUP(C3006,Sales_Representatives!$A:$B,2,0)</f>
        <v>Richard Garcia</v>
      </c>
    </row>
    <row r="3007" spans="1:24" x14ac:dyDescent="0.3">
      <c r="A3007" t="s">
        <v>4096</v>
      </c>
      <c r="B3007" t="s">
        <v>4097</v>
      </c>
      <c r="C3007" t="s">
        <v>82</v>
      </c>
      <c r="D3007" t="s">
        <v>1654</v>
      </c>
      <c r="E3007" t="s">
        <v>435</v>
      </c>
      <c r="F3007">
        <v>6</v>
      </c>
      <c r="G3007">
        <v>198.72</v>
      </c>
      <c r="H3007">
        <v>0.13</v>
      </c>
      <c r="I3007" s="4">
        <v>1037.32</v>
      </c>
      <c r="J3007" t="s">
        <v>34</v>
      </c>
      <c r="K3007" t="s">
        <v>17</v>
      </c>
      <c r="L3007" s="4">
        <f>VLOOKUP(tblTransactions[[#This Row],[Product_ID]],tblProducts[],5,FALSE)</f>
        <v>116.98</v>
      </c>
      <c r="M3007" s="4">
        <f>tblTransactions[[#This Row],[Total_Amount]]-(tblTransactions[[#This Row],[Cost_Prices]]*tblTransactions[[#This Row],[Quantity]]*(1-tblTransactions[[#This Row],[Discount]]))</f>
        <v>426.68439999999998</v>
      </c>
      <c r="N3007" s="3">
        <f>tblTransactions[[#This Row],[Profit]]/tblTransactions[[#This Row],[Total_Amount]]</f>
        <v>0.41133343616241858</v>
      </c>
      <c r="O3007" t="str">
        <f>TEXT(tblTransactions[[#This Row],[Date]], "MMM-YYYY")</f>
        <v>Oct-2024</v>
      </c>
      <c r="P3007" t="str">
        <f>"Q"&amp;ROUNDUP(MONTH(tblTransactions[[#This Row],[Date]])/3,0)&amp;"-"&amp;YEAR(tblTransactions[[#This Row],[Date]])</f>
        <v>Q4-2024</v>
      </c>
      <c r="Q3007">
        <f>YEAR(tblTransactions[[#This Row],[Date]])</f>
        <v>2024</v>
      </c>
      <c r="R3007" t="str">
        <f>TEXT(tblTransactions[[#This Row],[Date]],"DDDD")</f>
        <v>Thursday</v>
      </c>
      <c r="S3007">
        <f>MONTH(tblTransactions[[#This Row],[Date]])</f>
        <v>10</v>
      </c>
      <c r="T3007" t="str">
        <f>VLOOKUP(E3007, Products!$A:$B,2,0)</f>
        <v>Paper Off-4</v>
      </c>
      <c r="U3007" t="str">
        <f>VLOOKUP(E3007,Products!$A:$C,3,0)</f>
        <v>Office Supplies</v>
      </c>
      <c r="V3007" t="str">
        <f>VLOOKUP(E3007,Products!$A:$D,4,0)</f>
        <v>Paper</v>
      </c>
      <c r="W3007" t="str">
        <f>VLOOKUP(D3007,Customers!$A:$C,3,0)</f>
        <v>B2C</v>
      </c>
      <c r="X3007" t="str">
        <f>VLOOKUP(C3007,Sales_Representatives!$A:$B,2,0)</f>
        <v>John Brown</v>
      </c>
    </row>
    <row r="3008" spans="1:24" x14ac:dyDescent="0.3">
      <c r="A3008" t="s">
        <v>4098</v>
      </c>
      <c r="B3008" t="s">
        <v>4097</v>
      </c>
      <c r="C3008" t="s">
        <v>70</v>
      </c>
      <c r="D3008" t="s">
        <v>2680</v>
      </c>
      <c r="E3008" t="s">
        <v>91</v>
      </c>
      <c r="F3008">
        <v>13</v>
      </c>
      <c r="G3008">
        <v>286.62</v>
      </c>
      <c r="H3008">
        <v>0.19</v>
      </c>
      <c r="I3008" s="4">
        <v>3018.11</v>
      </c>
      <c r="J3008" t="s">
        <v>16</v>
      </c>
      <c r="K3008" t="s">
        <v>35</v>
      </c>
      <c r="L3008" s="4">
        <f>VLOOKUP(tblTransactions[[#This Row],[Product_ID]],tblProducts[],5,FALSE)</f>
        <v>145.54</v>
      </c>
      <c r="M3008" s="4">
        <f>tblTransactions[[#This Row],[Total_Amount]]-(tblTransactions[[#This Row],[Cost_Prices]]*tblTransactions[[#This Row],[Quantity]]*(1-tblTransactions[[#This Row],[Discount]]))</f>
        <v>1485.5738000000001</v>
      </c>
      <c r="N3008" s="3">
        <f>tblTransactions[[#This Row],[Profit]]/tblTransactions[[#This Row],[Total_Amount]]</f>
        <v>0.49221989920844506</v>
      </c>
      <c r="O3008" t="str">
        <f>TEXT(tblTransactions[[#This Row],[Date]], "MMM-YYYY")</f>
        <v>Oct-2024</v>
      </c>
      <c r="P3008" t="str">
        <f>"Q"&amp;ROUNDUP(MONTH(tblTransactions[[#This Row],[Date]])/3,0)&amp;"-"&amp;YEAR(tblTransactions[[#This Row],[Date]])</f>
        <v>Q4-2024</v>
      </c>
      <c r="Q3008">
        <f>YEAR(tblTransactions[[#This Row],[Date]])</f>
        <v>2024</v>
      </c>
      <c r="R3008" t="str">
        <f>TEXT(tblTransactions[[#This Row],[Date]],"DDDD")</f>
        <v>Thursday</v>
      </c>
      <c r="S3008">
        <f>MONTH(tblTransactions[[#This Row],[Date]])</f>
        <v>10</v>
      </c>
      <c r="T3008" t="str">
        <f>VLOOKUP(E3008, Products!$A:$B,2,0)</f>
        <v>Chairs Fur-1</v>
      </c>
      <c r="U3008" t="str">
        <f>VLOOKUP(E3008,Products!$A:$C,3,0)</f>
        <v>Furniture</v>
      </c>
      <c r="V3008" t="str">
        <f>VLOOKUP(E3008,Products!$A:$D,4,0)</f>
        <v>Chairs</v>
      </c>
      <c r="W3008" t="str">
        <f>VLOOKUP(D3008,Customers!$A:$C,3,0)</f>
        <v>B2B</v>
      </c>
      <c r="X3008" t="str">
        <f>VLOOKUP(C3008,Sales_Representatives!$A:$B,2,0)</f>
        <v>Linda Smith</v>
      </c>
    </row>
    <row r="3009" spans="1:24" x14ac:dyDescent="0.3">
      <c r="A3009" t="s">
        <v>4099</v>
      </c>
      <c r="B3009" t="s">
        <v>4097</v>
      </c>
      <c r="C3009" t="s">
        <v>19</v>
      </c>
      <c r="D3009" t="s">
        <v>3014</v>
      </c>
      <c r="E3009" t="s">
        <v>129</v>
      </c>
      <c r="F3009">
        <v>4</v>
      </c>
      <c r="G3009">
        <v>1283.71</v>
      </c>
      <c r="H3009">
        <v>0.01</v>
      </c>
      <c r="I3009" s="4">
        <v>5083.49</v>
      </c>
      <c r="J3009" t="s">
        <v>21</v>
      </c>
      <c r="K3009" t="s">
        <v>22</v>
      </c>
      <c r="L3009" s="4">
        <f>VLOOKUP(tblTransactions[[#This Row],[Product_ID]],tblProducts[],5,FALSE)</f>
        <v>970.14</v>
      </c>
      <c r="M3009" s="4">
        <f>tblTransactions[[#This Row],[Total_Amount]]-(tblTransactions[[#This Row],[Cost_Prices]]*tblTransactions[[#This Row],[Quantity]]*(1-tblTransactions[[#This Row],[Discount]]))</f>
        <v>1241.7356</v>
      </c>
      <c r="N3009" s="3">
        <f>tblTransactions[[#This Row],[Profit]]/tblTransactions[[#This Row],[Total_Amount]]</f>
        <v>0.24426832746794033</v>
      </c>
      <c r="O3009" t="str">
        <f>TEXT(tblTransactions[[#This Row],[Date]], "MMM-YYYY")</f>
        <v>Oct-2024</v>
      </c>
      <c r="P3009" t="str">
        <f>"Q"&amp;ROUNDUP(MONTH(tblTransactions[[#This Row],[Date]])/3,0)&amp;"-"&amp;YEAR(tblTransactions[[#This Row],[Date]])</f>
        <v>Q4-2024</v>
      </c>
      <c r="Q3009">
        <f>YEAR(tblTransactions[[#This Row],[Date]])</f>
        <v>2024</v>
      </c>
      <c r="R3009" t="str">
        <f>TEXT(tblTransactions[[#This Row],[Date]],"DDDD")</f>
        <v>Thursday</v>
      </c>
      <c r="S3009">
        <f>MONTH(tblTransactions[[#This Row],[Date]])</f>
        <v>10</v>
      </c>
      <c r="T3009" t="str">
        <f>VLOOKUP(E3009, Products!$A:$B,2,0)</f>
        <v>Cameras Ele-3</v>
      </c>
      <c r="U3009" t="str">
        <f>VLOOKUP(E3009,Products!$A:$C,3,0)</f>
        <v>Electronics</v>
      </c>
      <c r="V3009" t="str">
        <f>VLOOKUP(E3009,Products!$A:$D,4,0)</f>
        <v>Cameras</v>
      </c>
      <c r="W3009" t="str">
        <f>VLOOKUP(D3009,Customers!$A:$C,3,0)</f>
        <v>B2B</v>
      </c>
      <c r="X3009" t="str">
        <f>VLOOKUP(C3009,Sales_Representatives!$A:$B,2,0)</f>
        <v>Robert Jones</v>
      </c>
    </row>
    <row r="3010" spans="1:24" x14ac:dyDescent="0.3">
      <c r="A3010" t="s">
        <v>4100</v>
      </c>
      <c r="B3010" t="s">
        <v>4101</v>
      </c>
      <c r="C3010" t="s">
        <v>19</v>
      </c>
      <c r="D3010" t="s">
        <v>1984</v>
      </c>
      <c r="E3010" t="s">
        <v>704</v>
      </c>
      <c r="F3010">
        <v>5</v>
      </c>
      <c r="G3010">
        <v>291.81</v>
      </c>
      <c r="H3010">
        <v>7.0000000000000007E-2</v>
      </c>
      <c r="I3010" s="4">
        <v>1356.92</v>
      </c>
      <c r="J3010" t="s">
        <v>21</v>
      </c>
      <c r="K3010" t="s">
        <v>22</v>
      </c>
      <c r="L3010" s="4">
        <f>VLOOKUP(tblTransactions[[#This Row],[Product_ID]],tblProducts[],5,FALSE)</f>
        <v>123.61</v>
      </c>
      <c r="M3010" s="4">
        <f>tblTransactions[[#This Row],[Total_Amount]]-(tblTransactions[[#This Row],[Cost_Prices]]*tblTransactions[[#This Row],[Quantity]]*(1-tblTransactions[[#This Row],[Discount]]))</f>
        <v>782.13350000000014</v>
      </c>
      <c r="N3010" s="3">
        <f>tblTransactions[[#This Row],[Profit]]/tblTransactions[[#This Row],[Total_Amount]]</f>
        <v>0.57640354626654489</v>
      </c>
      <c r="O3010" t="str">
        <f>TEXT(tblTransactions[[#This Row],[Date]], "MMM-YYYY")</f>
        <v>Oct-2024</v>
      </c>
      <c r="P3010" t="str">
        <f>"Q"&amp;ROUNDUP(MONTH(tblTransactions[[#This Row],[Date]])/3,0)&amp;"-"&amp;YEAR(tblTransactions[[#This Row],[Date]])</f>
        <v>Q4-2024</v>
      </c>
      <c r="Q3010">
        <f>YEAR(tblTransactions[[#This Row],[Date]])</f>
        <v>2024</v>
      </c>
      <c r="R3010" t="str">
        <f>TEXT(tblTransactions[[#This Row],[Date]],"DDDD")</f>
        <v>Friday</v>
      </c>
      <c r="S3010">
        <f>MONTH(tblTransactions[[#This Row],[Date]])</f>
        <v>10</v>
      </c>
      <c r="T3010" t="str">
        <f>VLOOKUP(E3010, Products!$A:$B,2,0)</f>
        <v>Keyboards Acc-4</v>
      </c>
      <c r="U3010" t="str">
        <f>VLOOKUP(E3010,Products!$A:$C,3,0)</f>
        <v>Accessories</v>
      </c>
      <c r="V3010" t="str">
        <f>VLOOKUP(E3010,Products!$A:$D,4,0)</f>
        <v>Keyboards</v>
      </c>
      <c r="W3010" t="str">
        <f>VLOOKUP(D3010,Customers!$A:$C,3,0)</f>
        <v>B2C</v>
      </c>
      <c r="X3010" t="str">
        <f>VLOOKUP(C3010,Sales_Representatives!$A:$B,2,0)</f>
        <v>Robert Jones</v>
      </c>
    </row>
    <row r="3011" spans="1:24" x14ac:dyDescent="0.3">
      <c r="A3011" t="s">
        <v>4102</v>
      </c>
      <c r="B3011" t="s">
        <v>4101</v>
      </c>
      <c r="C3011" t="s">
        <v>13</v>
      </c>
      <c r="D3011" t="s">
        <v>1569</v>
      </c>
      <c r="E3011" t="s">
        <v>299</v>
      </c>
      <c r="F3011">
        <v>5</v>
      </c>
      <c r="G3011">
        <v>963.44</v>
      </c>
      <c r="H3011">
        <v>0.01</v>
      </c>
      <c r="I3011" s="4">
        <v>4769.03</v>
      </c>
      <c r="J3011" t="s">
        <v>16</v>
      </c>
      <c r="K3011" t="s">
        <v>22</v>
      </c>
      <c r="L3011" s="4">
        <f>VLOOKUP(tblTransactions[[#This Row],[Product_ID]],tblProducts[],5,FALSE)</f>
        <v>578.96</v>
      </c>
      <c r="M3011" s="4">
        <f>tblTransactions[[#This Row],[Total_Amount]]-(tblTransactions[[#This Row],[Cost_Prices]]*tblTransactions[[#This Row],[Quantity]]*(1-tblTransactions[[#This Row],[Discount]]))</f>
        <v>1903.1779999999994</v>
      </c>
      <c r="N3011" s="3">
        <f>tblTransactions[[#This Row],[Profit]]/tblTransactions[[#This Row],[Total_Amount]]</f>
        <v>0.39907025118315453</v>
      </c>
      <c r="O3011" t="str">
        <f>TEXT(tblTransactions[[#This Row],[Date]], "MMM-YYYY")</f>
        <v>Oct-2024</v>
      </c>
      <c r="P3011" t="str">
        <f>"Q"&amp;ROUNDUP(MONTH(tblTransactions[[#This Row],[Date]])/3,0)&amp;"-"&amp;YEAR(tblTransactions[[#This Row],[Date]])</f>
        <v>Q4-2024</v>
      </c>
      <c r="Q3011">
        <f>YEAR(tblTransactions[[#This Row],[Date]])</f>
        <v>2024</v>
      </c>
      <c r="R3011" t="str">
        <f>TEXT(tblTransactions[[#This Row],[Date]],"DDDD")</f>
        <v>Friday</v>
      </c>
      <c r="S3011">
        <f>MONTH(tblTransactions[[#This Row],[Date]])</f>
        <v>10</v>
      </c>
      <c r="T3011" t="str">
        <f>VLOOKUP(E3011, Products!$A:$B,2,0)</f>
        <v>Chairs Fur-4</v>
      </c>
      <c r="U3011" t="str">
        <f>VLOOKUP(E3011,Products!$A:$C,3,0)</f>
        <v>Furniture</v>
      </c>
      <c r="V3011" t="str">
        <f>VLOOKUP(E3011,Products!$A:$D,4,0)</f>
        <v>Chairs</v>
      </c>
      <c r="W3011" t="str">
        <f>VLOOKUP(D3011,Customers!$A:$C,3,0)</f>
        <v>Small Business</v>
      </c>
      <c r="X3011" t="str">
        <f>VLOOKUP(C3011,Sales_Representatives!$A:$B,2,0)</f>
        <v>Jennifer Rodriguez</v>
      </c>
    </row>
    <row r="3012" spans="1:24" x14ac:dyDescent="0.3">
      <c r="A3012" t="s">
        <v>4103</v>
      </c>
      <c r="B3012" t="s">
        <v>4101</v>
      </c>
      <c r="C3012" t="s">
        <v>141</v>
      </c>
      <c r="D3012" t="s">
        <v>1819</v>
      </c>
      <c r="E3012" t="s">
        <v>704</v>
      </c>
      <c r="F3012">
        <v>5</v>
      </c>
      <c r="G3012">
        <v>291.81</v>
      </c>
      <c r="H3012">
        <v>0.05</v>
      </c>
      <c r="I3012" s="4">
        <v>1386.1</v>
      </c>
      <c r="J3012" t="s">
        <v>109</v>
      </c>
      <c r="K3012" t="s">
        <v>22</v>
      </c>
      <c r="L3012" s="4">
        <f>VLOOKUP(tblTransactions[[#This Row],[Product_ID]],tblProducts[],5,FALSE)</f>
        <v>123.61</v>
      </c>
      <c r="M3012" s="4">
        <f>tblTransactions[[#This Row],[Total_Amount]]-(tblTransactions[[#This Row],[Cost_Prices]]*tblTransactions[[#This Row],[Quantity]]*(1-tblTransactions[[#This Row],[Discount]]))</f>
        <v>798.95249999999999</v>
      </c>
      <c r="N3012" s="3">
        <f>tblTransactions[[#This Row],[Profit]]/tblTransactions[[#This Row],[Total_Amount]]</f>
        <v>0.57640321766106339</v>
      </c>
      <c r="O3012" t="str">
        <f>TEXT(tblTransactions[[#This Row],[Date]], "MMM-YYYY")</f>
        <v>Oct-2024</v>
      </c>
      <c r="P3012" t="str">
        <f>"Q"&amp;ROUNDUP(MONTH(tblTransactions[[#This Row],[Date]])/3,0)&amp;"-"&amp;YEAR(tblTransactions[[#This Row],[Date]])</f>
        <v>Q4-2024</v>
      </c>
      <c r="Q3012">
        <f>YEAR(tblTransactions[[#This Row],[Date]])</f>
        <v>2024</v>
      </c>
      <c r="R3012" t="str">
        <f>TEXT(tblTransactions[[#This Row],[Date]],"DDDD")</f>
        <v>Friday</v>
      </c>
      <c r="S3012">
        <f>MONTH(tblTransactions[[#This Row],[Date]])</f>
        <v>10</v>
      </c>
      <c r="T3012" t="str">
        <f>VLOOKUP(E3012, Products!$A:$B,2,0)</f>
        <v>Keyboards Acc-4</v>
      </c>
      <c r="U3012" t="str">
        <f>VLOOKUP(E3012,Products!$A:$C,3,0)</f>
        <v>Accessories</v>
      </c>
      <c r="V3012" t="str">
        <f>VLOOKUP(E3012,Products!$A:$D,4,0)</f>
        <v>Keyboards</v>
      </c>
      <c r="W3012" t="str">
        <f>VLOOKUP(D3012,Customers!$A:$C,3,0)</f>
        <v>Small Business</v>
      </c>
      <c r="X3012" t="str">
        <f>VLOOKUP(C3012,Sales_Representatives!$A:$B,2,0)</f>
        <v>Richard Garcia</v>
      </c>
    </row>
    <row r="3013" spans="1:24" x14ac:dyDescent="0.3">
      <c r="A3013" t="s">
        <v>4104</v>
      </c>
      <c r="B3013" t="s">
        <v>4105</v>
      </c>
      <c r="C3013" t="s">
        <v>19</v>
      </c>
      <c r="D3013" t="s">
        <v>527</v>
      </c>
      <c r="E3013" t="s">
        <v>206</v>
      </c>
      <c r="F3013">
        <v>3</v>
      </c>
      <c r="G3013">
        <v>292.51</v>
      </c>
      <c r="H3013">
        <v>0.09</v>
      </c>
      <c r="I3013" s="4">
        <v>798.55</v>
      </c>
      <c r="J3013" t="s">
        <v>21</v>
      </c>
      <c r="K3013" t="s">
        <v>39</v>
      </c>
      <c r="L3013" s="4">
        <f>VLOOKUP(tblTransactions[[#This Row],[Product_ID]],tblProducts[],5,FALSE)</f>
        <v>122.08</v>
      </c>
      <c r="M3013" s="4">
        <f>tblTransactions[[#This Row],[Total_Amount]]-(tblTransactions[[#This Row],[Cost_Prices]]*tblTransactions[[#This Row],[Quantity]]*(1-tblTransactions[[#This Row],[Discount]]))</f>
        <v>465.27159999999992</v>
      </c>
      <c r="N3013" s="3">
        <f>tblTransactions[[#This Row],[Profit]]/tblTransactions[[#This Row],[Total_Amount]]</f>
        <v>0.58264554505040378</v>
      </c>
      <c r="O3013" t="str">
        <f>TEXT(tblTransactions[[#This Row],[Date]], "MMM-YYYY")</f>
        <v>Oct-2024</v>
      </c>
      <c r="P3013" t="str">
        <f>"Q"&amp;ROUNDUP(MONTH(tblTransactions[[#This Row],[Date]])/3,0)&amp;"-"&amp;YEAR(tblTransactions[[#This Row],[Date]])</f>
        <v>Q4-2024</v>
      </c>
      <c r="Q3013">
        <f>YEAR(tblTransactions[[#This Row],[Date]])</f>
        <v>2024</v>
      </c>
      <c r="R3013" t="str">
        <f>TEXT(tblTransactions[[#This Row],[Date]],"DDDD")</f>
        <v>Saturday</v>
      </c>
      <c r="S3013">
        <f>MONTH(tblTransactions[[#This Row],[Date]])</f>
        <v>10</v>
      </c>
      <c r="T3013" t="str">
        <f>VLOOKUP(E3013, Products!$A:$B,2,0)</f>
        <v>Keyboards Acc-1</v>
      </c>
      <c r="U3013" t="str">
        <f>VLOOKUP(E3013,Products!$A:$C,3,0)</f>
        <v>Accessories</v>
      </c>
      <c r="V3013" t="str">
        <f>VLOOKUP(E3013,Products!$A:$D,4,0)</f>
        <v>Keyboards</v>
      </c>
      <c r="W3013" t="str">
        <f>VLOOKUP(D3013,Customers!$A:$C,3,0)</f>
        <v>B2C</v>
      </c>
      <c r="X3013" t="str">
        <f>VLOOKUP(C3013,Sales_Representatives!$A:$B,2,0)</f>
        <v>Robert Jones</v>
      </c>
    </row>
    <row r="3014" spans="1:24" x14ac:dyDescent="0.3">
      <c r="A3014" t="s">
        <v>4106</v>
      </c>
      <c r="B3014" t="s">
        <v>4105</v>
      </c>
      <c r="C3014" t="s">
        <v>107</v>
      </c>
      <c r="D3014" t="s">
        <v>2065</v>
      </c>
      <c r="E3014" t="s">
        <v>243</v>
      </c>
      <c r="F3014">
        <v>16</v>
      </c>
      <c r="G3014">
        <v>384.18</v>
      </c>
      <c r="H3014">
        <v>0.11</v>
      </c>
      <c r="I3014" s="4">
        <v>5470.72</v>
      </c>
      <c r="J3014" t="s">
        <v>109</v>
      </c>
      <c r="K3014" t="s">
        <v>39</v>
      </c>
      <c r="L3014" s="4">
        <f>VLOOKUP(tblTransactions[[#This Row],[Product_ID]],tblProducts[],5,FALSE)</f>
        <v>266.92</v>
      </c>
      <c r="M3014" s="4">
        <f>tblTransactions[[#This Row],[Total_Amount]]-(tblTransactions[[#This Row],[Cost_Prices]]*tblTransactions[[#This Row],[Quantity]]*(1-tblTransactions[[#This Row],[Discount]]))</f>
        <v>1669.7791999999999</v>
      </c>
      <c r="N3014" s="3">
        <f>tblTransactions[[#This Row],[Profit]]/tblTransactions[[#This Row],[Total_Amount]]</f>
        <v>0.30522110435189514</v>
      </c>
      <c r="O3014" t="str">
        <f>TEXT(tblTransactions[[#This Row],[Date]], "MMM-YYYY")</f>
        <v>Oct-2024</v>
      </c>
      <c r="P3014" t="str">
        <f>"Q"&amp;ROUNDUP(MONTH(tblTransactions[[#This Row],[Date]])/3,0)&amp;"-"&amp;YEAR(tblTransactions[[#This Row],[Date]])</f>
        <v>Q4-2024</v>
      </c>
      <c r="Q3014">
        <f>YEAR(tblTransactions[[#This Row],[Date]])</f>
        <v>2024</v>
      </c>
      <c r="R3014" t="str">
        <f>TEXT(tblTransactions[[#This Row],[Date]],"DDDD")</f>
        <v>Saturday</v>
      </c>
      <c r="S3014">
        <f>MONTH(tblTransactions[[#This Row],[Date]])</f>
        <v>10</v>
      </c>
      <c r="T3014" t="str">
        <f>VLOOKUP(E3014, Products!$A:$B,2,0)</f>
        <v>Routers Tec-3</v>
      </c>
      <c r="U3014" t="str">
        <f>VLOOKUP(E3014,Products!$A:$C,3,0)</f>
        <v>Technology</v>
      </c>
      <c r="V3014" t="str">
        <f>VLOOKUP(E3014,Products!$A:$D,4,0)</f>
        <v>Routers</v>
      </c>
      <c r="W3014" t="str">
        <f>VLOOKUP(D3014,Customers!$A:$C,3,0)</f>
        <v>B2B</v>
      </c>
      <c r="X3014" t="str">
        <f>VLOOKUP(C3014,Sales_Representatives!$A:$B,2,0)</f>
        <v>Jennifer Brown</v>
      </c>
    </row>
    <row r="3015" spans="1:24" x14ac:dyDescent="0.3">
      <c r="A3015" t="s">
        <v>4107</v>
      </c>
      <c r="B3015" t="s">
        <v>4105</v>
      </c>
      <c r="C3015" t="s">
        <v>19</v>
      </c>
      <c r="D3015" t="s">
        <v>67</v>
      </c>
      <c r="E3015" t="s">
        <v>310</v>
      </c>
      <c r="F3015">
        <v>3</v>
      </c>
      <c r="G3015">
        <v>274.13</v>
      </c>
      <c r="H3015">
        <v>0.1</v>
      </c>
      <c r="I3015" s="4">
        <v>740.15</v>
      </c>
      <c r="J3015" t="s">
        <v>21</v>
      </c>
      <c r="K3015" t="s">
        <v>39</v>
      </c>
      <c r="L3015" s="4">
        <f>VLOOKUP(tblTransactions[[#This Row],[Product_ID]],tblProducts[],5,FALSE)</f>
        <v>134.41999999999999</v>
      </c>
      <c r="M3015" s="4">
        <f>tblTransactions[[#This Row],[Total_Amount]]-(tblTransactions[[#This Row],[Cost_Prices]]*tblTransactions[[#This Row],[Quantity]]*(1-tblTransactions[[#This Row],[Discount]]))</f>
        <v>377.21599999999995</v>
      </c>
      <c r="N3015" s="3">
        <f>tblTransactions[[#This Row],[Profit]]/tblTransactions[[#This Row],[Total_Amount]]</f>
        <v>0.50964804431534139</v>
      </c>
      <c r="O3015" t="str">
        <f>TEXT(tblTransactions[[#This Row],[Date]], "MMM-YYYY")</f>
        <v>Oct-2024</v>
      </c>
      <c r="P3015" t="str">
        <f>"Q"&amp;ROUNDUP(MONTH(tblTransactions[[#This Row],[Date]])/3,0)&amp;"-"&amp;YEAR(tblTransactions[[#This Row],[Date]])</f>
        <v>Q4-2024</v>
      </c>
      <c r="Q3015">
        <f>YEAR(tblTransactions[[#This Row],[Date]])</f>
        <v>2024</v>
      </c>
      <c r="R3015" t="str">
        <f>TEXT(tblTransactions[[#This Row],[Date]],"DDDD")</f>
        <v>Saturday</v>
      </c>
      <c r="S3015">
        <f>MONTH(tblTransactions[[#This Row],[Date]])</f>
        <v>10</v>
      </c>
      <c r="T3015" t="str">
        <f>VLOOKUP(E3015, Products!$A:$B,2,0)</f>
        <v>Adapters Acc-4</v>
      </c>
      <c r="U3015" t="str">
        <f>VLOOKUP(E3015,Products!$A:$C,3,0)</f>
        <v>Accessories</v>
      </c>
      <c r="V3015" t="str">
        <f>VLOOKUP(E3015,Products!$A:$D,4,0)</f>
        <v>Adapters</v>
      </c>
      <c r="W3015" t="str">
        <f>VLOOKUP(D3015,Customers!$A:$C,3,0)</f>
        <v>B2C</v>
      </c>
      <c r="X3015" t="str">
        <f>VLOOKUP(C3015,Sales_Representatives!$A:$B,2,0)</f>
        <v>Robert Jones</v>
      </c>
    </row>
    <row r="3016" spans="1:24" x14ac:dyDescent="0.3">
      <c r="A3016" t="s">
        <v>4108</v>
      </c>
      <c r="B3016" t="s">
        <v>4105</v>
      </c>
      <c r="C3016" t="s">
        <v>82</v>
      </c>
      <c r="D3016" t="s">
        <v>2417</v>
      </c>
      <c r="E3016" t="s">
        <v>264</v>
      </c>
      <c r="F3016">
        <v>3</v>
      </c>
      <c r="G3016">
        <v>607.29999999999995</v>
      </c>
      <c r="H3016">
        <v>0.04</v>
      </c>
      <c r="I3016" s="4">
        <v>1749.02</v>
      </c>
      <c r="J3016" t="s">
        <v>34</v>
      </c>
      <c r="K3016" t="s">
        <v>22</v>
      </c>
      <c r="L3016" s="4">
        <f>VLOOKUP(tblTransactions[[#This Row],[Product_ID]],tblProducts[],5,FALSE)</f>
        <v>436.37</v>
      </c>
      <c r="M3016" s="4">
        <f>tblTransactions[[#This Row],[Total_Amount]]-(tblTransactions[[#This Row],[Cost_Prices]]*tblTransactions[[#This Row],[Quantity]]*(1-tblTransactions[[#This Row],[Discount]]))</f>
        <v>492.27440000000001</v>
      </c>
      <c r="N3016" s="3">
        <f>tblTransactions[[#This Row],[Profit]]/tblTransactions[[#This Row],[Total_Amount]]</f>
        <v>0.28145727321585806</v>
      </c>
      <c r="O3016" t="str">
        <f>TEXT(tblTransactions[[#This Row],[Date]], "MMM-YYYY")</f>
        <v>Oct-2024</v>
      </c>
      <c r="P3016" t="str">
        <f>"Q"&amp;ROUNDUP(MONTH(tblTransactions[[#This Row],[Date]])/3,0)&amp;"-"&amp;YEAR(tblTransactions[[#This Row],[Date]])</f>
        <v>Q4-2024</v>
      </c>
      <c r="Q3016">
        <f>YEAR(tblTransactions[[#This Row],[Date]])</f>
        <v>2024</v>
      </c>
      <c r="R3016" t="str">
        <f>TEXT(tblTransactions[[#This Row],[Date]],"DDDD")</f>
        <v>Saturday</v>
      </c>
      <c r="S3016">
        <f>MONTH(tblTransactions[[#This Row],[Date]])</f>
        <v>10</v>
      </c>
      <c r="T3016" t="str">
        <f>VLOOKUP(E3016, Products!$A:$B,2,0)</f>
        <v>Tablets Ele-4</v>
      </c>
      <c r="U3016" t="str">
        <f>VLOOKUP(E3016,Products!$A:$C,3,0)</f>
        <v>Electronics</v>
      </c>
      <c r="V3016" t="str">
        <f>VLOOKUP(E3016,Products!$A:$D,4,0)</f>
        <v>Tablets</v>
      </c>
      <c r="W3016" t="str">
        <f>VLOOKUP(D3016,Customers!$A:$C,3,0)</f>
        <v>B2B</v>
      </c>
      <c r="X3016" t="str">
        <f>VLOOKUP(C3016,Sales_Representatives!$A:$B,2,0)</f>
        <v>John Brown</v>
      </c>
    </row>
    <row r="3017" spans="1:24" x14ac:dyDescent="0.3">
      <c r="A3017" t="s">
        <v>4109</v>
      </c>
      <c r="B3017" t="s">
        <v>4105</v>
      </c>
      <c r="C3017" t="s">
        <v>141</v>
      </c>
      <c r="D3017" t="s">
        <v>3533</v>
      </c>
      <c r="E3017" t="s">
        <v>370</v>
      </c>
      <c r="F3017">
        <v>1</v>
      </c>
      <c r="G3017">
        <v>238.95</v>
      </c>
      <c r="H3017">
        <v>0.1</v>
      </c>
      <c r="I3017" s="4">
        <v>215.05</v>
      </c>
      <c r="J3017" t="s">
        <v>109</v>
      </c>
      <c r="K3017" t="s">
        <v>39</v>
      </c>
      <c r="L3017" s="4">
        <f>VLOOKUP(tblTransactions[[#This Row],[Product_ID]],tblProducts[],5,FALSE)</f>
        <v>136.6</v>
      </c>
      <c r="M3017" s="4">
        <f>tblTransactions[[#This Row],[Total_Amount]]-(tblTransactions[[#This Row],[Cost_Prices]]*tblTransactions[[#This Row],[Quantity]]*(1-tblTransactions[[#This Row],[Discount]]))</f>
        <v>92.110000000000014</v>
      </c>
      <c r="N3017" s="3">
        <f>tblTransactions[[#This Row],[Profit]]/tblTransactions[[#This Row],[Total_Amount]]</f>
        <v>0.42831899558242276</v>
      </c>
      <c r="O3017" t="str">
        <f>TEXT(tblTransactions[[#This Row],[Date]], "MMM-YYYY")</f>
        <v>Oct-2024</v>
      </c>
      <c r="P3017" t="str">
        <f>"Q"&amp;ROUNDUP(MONTH(tblTransactions[[#This Row],[Date]])/3,0)&amp;"-"&amp;YEAR(tblTransactions[[#This Row],[Date]])</f>
        <v>Q4-2024</v>
      </c>
      <c r="Q3017">
        <f>YEAR(tblTransactions[[#This Row],[Date]])</f>
        <v>2024</v>
      </c>
      <c r="R3017" t="str">
        <f>TEXT(tblTransactions[[#This Row],[Date]],"DDDD")</f>
        <v>Saturday</v>
      </c>
      <c r="S3017">
        <f>MONTH(tblTransactions[[#This Row],[Date]])</f>
        <v>10</v>
      </c>
      <c r="T3017" t="str">
        <f>VLOOKUP(E3017, Products!$A:$B,2,0)</f>
        <v>Cables Acc-1</v>
      </c>
      <c r="U3017" t="str">
        <f>VLOOKUP(E3017,Products!$A:$C,3,0)</f>
        <v>Accessories</v>
      </c>
      <c r="V3017" t="str">
        <f>VLOOKUP(E3017,Products!$A:$D,4,0)</f>
        <v>Cables</v>
      </c>
      <c r="W3017" t="str">
        <f>VLOOKUP(D3017,Customers!$A:$C,3,0)</f>
        <v>B2C</v>
      </c>
      <c r="X3017" t="str">
        <f>VLOOKUP(C3017,Sales_Representatives!$A:$B,2,0)</f>
        <v>Richard Garcia</v>
      </c>
    </row>
    <row r="3018" spans="1:24" x14ac:dyDescent="0.3">
      <c r="A3018" t="s">
        <v>4110</v>
      </c>
      <c r="B3018" t="s">
        <v>4111</v>
      </c>
      <c r="C3018" t="s">
        <v>56</v>
      </c>
      <c r="D3018" t="s">
        <v>1515</v>
      </c>
      <c r="E3018" t="s">
        <v>178</v>
      </c>
      <c r="F3018">
        <v>2</v>
      </c>
      <c r="G3018">
        <v>1623.35</v>
      </c>
      <c r="H3018">
        <v>0.01</v>
      </c>
      <c r="I3018" s="4">
        <v>3214.23</v>
      </c>
      <c r="J3018" t="s">
        <v>34</v>
      </c>
      <c r="K3018" t="s">
        <v>39</v>
      </c>
      <c r="L3018" s="4">
        <f>VLOOKUP(tblTransactions[[#This Row],[Product_ID]],tblProducts[],5,FALSE)</f>
        <v>981.45</v>
      </c>
      <c r="M3018" s="4">
        <f>tblTransactions[[#This Row],[Total_Amount]]-(tblTransactions[[#This Row],[Cost_Prices]]*tblTransactions[[#This Row],[Quantity]]*(1-tblTransactions[[#This Row],[Discount]]))</f>
        <v>1270.9589999999998</v>
      </c>
      <c r="N3018" s="3">
        <f>tblTransactions[[#This Row],[Profit]]/tblTransactions[[#This Row],[Total_Amount]]</f>
        <v>0.39541632054955611</v>
      </c>
      <c r="O3018" t="str">
        <f>TEXT(tblTransactions[[#This Row],[Date]], "MMM-YYYY")</f>
        <v>Oct-2024</v>
      </c>
      <c r="P3018" t="str">
        <f>"Q"&amp;ROUNDUP(MONTH(tblTransactions[[#This Row],[Date]])/3,0)&amp;"-"&amp;YEAR(tblTransactions[[#This Row],[Date]])</f>
        <v>Q4-2024</v>
      </c>
      <c r="Q3018">
        <f>YEAR(tblTransactions[[#This Row],[Date]])</f>
        <v>2024</v>
      </c>
      <c r="R3018" t="str">
        <f>TEXT(tblTransactions[[#This Row],[Date]],"DDDD")</f>
        <v>Sunday</v>
      </c>
      <c r="S3018">
        <f>MONTH(tblTransactions[[#This Row],[Date]])</f>
        <v>10</v>
      </c>
      <c r="T3018" t="str">
        <f>VLOOKUP(E3018, Products!$A:$B,2,0)</f>
        <v>Tablets Ele-1</v>
      </c>
      <c r="U3018" t="str">
        <f>VLOOKUP(E3018,Products!$A:$C,3,0)</f>
        <v>Electronics</v>
      </c>
      <c r="V3018" t="str">
        <f>VLOOKUP(E3018,Products!$A:$D,4,0)</f>
        <v>Tablets</v>
      </c>
      <c r="W3018" t="str">
        <f>VLOOKUP(D3018,Customers!$A:$C,3,0)</f>
        <v>B2C</v>
      </c>
      <c r="X3018" t="str">
        <f>VLOOKUP(C3018,Sales_Representatives!$A:$B,2,0)</f>
        <v>Thomas Hernandez</v>
      </c>
    </row>
    <row r="3019" spans="1:24" x14ac:dyDescent="0.3">
      <c r="A3019" t="s">
        <v>4112</v>
      </c>
      <c r="B3019" t="s">
        <v>4111</v>
      </c>
      <c r="C3019" t="s">
        <v>141</v>
      </c>
      <c r="D3019" t="s">
        <v>1765</v>
      </c>
      <c r="E3019" t="s">
        <v>89</v>
      </c>
      <c r="F3019">
        <v>5</v>
      </c>
      <c r="G3019">
        <v>555.08000000000004</v>
      </c>
      <c r="H3019">
        <v>0.02</v>
      </c>
      <c r="I3019" s="4">
        <v>2719.89</v>
      </c>
      <c r="J3019" t="s">
        <v>109</v>
      </c>
      <c r="K3019" t="s">
        <v>22</v>
      </c>
      <c r="L3019" s="4">
        <f>VLOOKUP(tblTransactions[[#This Row],[Product_ID]],tblProducts[],5,FALSE)</f>
        <v>402.82</v>
      </c>
      <c r="M3019" s="4">
        <f>tblTransactions[[#This Row],[Total_Amount]]-(tblTransactions[[#This Row],[Cost_Prices]]*tblTransactions[[#This Row],[Quantity]]*(1-tblTransactions[[#This Row],[Discount]]))</f>
        <v>746.07199999999989</v>
      </c>
      <c r="N3019" s="3">
        <f>tblTransactions[[#This Row],[Profit]]/tblTransactions[[#This Row],[Total_Amount]]</f>
        <v>0.27430226957707848</v>
      </c>
      <c r="O3019" t="str">
        <f>TEXT(tblTransactions[[#This Row],[Date]], "MMM-YYYY")</f>
        <v>Oct-2024</v>
      </c>
      <c r="P3019" t="str">
        <f>"Q"&amp;ROUNDUP(MONTH(tblTransactions[[#This Row],[Date]])/3,0)&amp;"-"&amp;YEAR(tblTransactions[[#This Row],[Date]])</f>
        <v>Q4-2024</v>
      </c>
      <c r="Q3019">
        <f>YEAR(tblTransactions[[#This Row],[Date]])</f>
        <v>2024</v>
      </c>
      <c r="R3019" t="str">
        <f>TEXT(tblTransactions[[#This Row],[Date]],"DDDD")</f>
        <v>Sunday</v>
      </c>
      <c r="S3019">
        <f>MONTH(tblTransactions[[#This Row],[Date]])</f>
        <v>10</v>
      </c>
      <c r="T3019" t="str">
        <f>VLOOKUP(E3019, Products!$A:$B,2,0)</f>
        <v>Laptops Ele-3</v>
      </c>
      <c r="U3019" t="str">
        <f>VLOOKUP(E3019,Products!$A:$C,3,0)</f>
        <v>Electronics</v>
      </c>
      <c r="V3019" t="str">
        <f>VLOOKUP(E3019,Products!$A:$D,4,0)</f>
        <v>Laptops</v>
      </c>
      <c r="W3019" t="str">
        <f>VLOOKUP(D3019,Customers!$A:$C,3,0)</f>
        <v>B2C</v>
      </c>
      <c r="X3019" t="str">
        <f>VLOOKUP(C3019,Sales_Representatives!$A:$B,2,0)</f>
        <v>Richard Garcia</v>
      </c>
    </row>
    <row r="3020" spans="1:24" x14ac:dyDescent="0.3">
      <c r="A3020" t="s">
        <v>4113</v>
      </c>
      <c r="B3020" t="s">
        <v>4111</v>
      </c>
      <c r="C3020" t="s">
        <v>141</v>
      </c>
      <c r="D3020" t="s">
        <v>1571</v>
      </c>
      <c r="E3020" t="s">
        <v>77</v>
      </c>
      <c r="F3020">
        <v>4</v>
      </c>
      <c r="G3020">
        <v>236.82</v>
      </c>
      <c r="H3020">
        <v>0.05</v>
      </c>
      <c r="I3020" s="4">
        <v>899.92</v>
      </c>
      <c r="J3020" t="s">
        <v>109</v>
      </c>
      <c r="K3020" t="s">
        <v>22</v>
      </c>
      <c r="L3020" s="4">
        <f>VLOOKUP(tblTransactions[[#This Row],[Product_ID]],tblProducts[],5,FALSE)</f>
        <v>110.79</v>
      </c>
      <c r="M3020" s="4">
        <f>tblTransactions[[#This Row],[Total_Amount]]-(tblTransactions[[#This Row],[Cost_Prices]]*tblTransactions[[#This Row],[Quantity]]*(1-tblTransactions[[#This Row],[Discount]]))</f>
        <v>478.91799999999995</v>
      </c>
      <c r="N3020" s="3">
        <f>tblTransactions[[#This Row],[Profit]]/tblTransactions[[#This Row],[Total_Amount]]</f>
        <v>0.53217841585918746</v>
      </c>
      <c r="O3020" t="str">
        <f>TEXT(tblTransactions[[#This Row],[Date]], "MMM-YYYY")</f>
        <v>Oct-2024</v>
      </c>
      <c r="P3020" t="str">
        <f>"Q"&amp;ROUNDUP(MONTH(tblTransactions[[#This Row],[Date]])/3,0)&amp;"-"&amp;YEAR(tblTransactions[[#This Row],[Date]])</f>
        <v>Q4-2024</v>
      </c>
      <c r="Q3020">
        <f>YEAR(tblTransactions[[#This Row],[Date]])</f>
        <v>2024</v>
      </c>
      <c r="R3020" t="str">
        <f>TEXT(tblTransactions[[#This Row],[Date]],"DDDD")</f>
        <v>Sunday</v>
      </c>
      <c r="S3020">
        <f>MONTH(tblTransactions[[#This Row],[Date]])</f>
        <v>10</v>
      </c>
      <c r="T3020" t="str">
        <f>VLOOKUP(E3020, Products!$A:$B,2,0)</f>
        <v>Binders Off-4</v>
      </c>
      <c r="U3020" t="str">
        <f>VLOOKUP(E3020,Products!$A:$C,3,0)</f>
        <v>Office Supplies</v>
      </c>
      <c r="V3020" t="str">
        <f>VLOOKUP(E3020,Products!$A:$D,4,0)</f>
        <v>Binders</v>
      </c>
      <c r="W3020" t="str">
        <f>VLOOKUP(D3020,Customers!$A:$C,3,0)</f>
        <v>B2C</v>
      </c>
      <c r="X3020" t="str">
        <f>VLOOKUP(C3020,Sales_Representatives!$A:$B,2,0)</f>
        <v>Richard Garcia</v>
      </c>
    </row>
    <row r="3021" spans="1:24" x14ac:dyDescent="0.3">
      <c r="A3021" t="s">
        <v>4114</v>
      </c>
      <c r="B3021" t="s">
        <v>4111</v>
      </c>
      <c r="C3021" t="s">
        <v>131</v>
      </c>
      <c r="D3021" t="s">
        <v>3975</v>
      </c>
      <c r="E3021" t="s">
        <v>345</v>
      </c>
      <c r="F3021">
        <v>3</v>
      </c>
      <c r="G3021">
        <v>13.97</v>
      </c>
      <c r="H3021">
        <v>0.08</v>
      </c>
      <c r="I3021" s="4">
        <v>38.56</v>
      </c>
      <c r="J3021" t="s">
        <v>44</v>
      </c>
      <c r="K3021" t="s">
        <v>17</v>
      </c>
      <c r="L3021" s="4">
        <f>VLOOKUP(tblTransactions[[#This Row],[Product_ID]],tblProducts[],5,FALSE)</f>
        <v>8.69</v>
      </c>
      <c r="M3021" s="4">
        <f>tblTransactions[[#This Row],[Total_Amount]]-(tblTransactions[[#This Row],[Cost_Prices]]*tblTransactions[[#This Row],[Quantity]]*(1-tblTransactions[[#This Row],[Discount]]))</f>
        <v>14.575600000000001</v>
      </c>
      <c r="N3021" s="3">
        <f>tblTransactions[[#This Row],[Profit]]/tblTransactions[[#This Row],[Total_Amount]]</f>
        <v>0.37799792531120335</v>
      </c>
      <c r="O3021" t="str">
        <f>TEXT(tblTransactions[[#This Row],[Date]], "MMM-YYYY")</f>
        <v>Oct-2024</v>
      </c>
      <c r="P3021" t="str">
        <f>"Q"&amp;ROUNDUP(MONTH(tblTransactions[[#This Row],[Date]])/3,0)&amp;"-"&amp;YEAR(tblTransactions[[#This Row],[Date]])</f>
        <v>Q4-2024</v>
      </c>
      <c r="Q3021">
        <f>YEAR(tblTransactions[[#This Row],[Date]])</f>
        <v>2024</v>
      </c>
      <c r="R3021" t="str">
        <f>TEXT(tblTransactions[[#This Row],[Date]],"DDDD")</f>
        <v>Sunday</v>
      </c>
      <c r="S3021">
        <f>MONTH(tblTransactions[[#This Row],[Date]])</f>
        <v>10</v>
      </c>
      <c r="T3021" t="str">
        <f>VLOOKUP(E3021, Products!$A:$B,2,0)</f>
        <v>Cases Acc-2</v>
      </c>
      <c r="U3021" t="str">
        <f>VLOOKUP(E3021,Products!$A:$C,3,0)</f>
        <v>Accessories</v>
      </c>
      <c r="V3021" t="str">
        <f>VLOOKUP(E3021,Products!$A:$D,4,0)</f>
        <v>Cases</v>
      </c>
      <c r="W3021" t="str">
        <f>VLOOKUP(D3021,Customers!$A:$C,3,0)</f>
        <v>Small Business</v>
      </c>
      <c r="X3021" t="str">
        <f>VLOOKUP(C3021,Sales_Representatives!$A:$B,2,0)</f>
        <v>Michael Davis</v>
      </c>
    </row>
    <row r="3022" spans="1:24" x14ac:dyDescent="0.3">
      <c r="A3022" t="s">
        <v>4115</v>
      </c>
      <c r="B3022" t="s">
        <v>4111</v>
      </c>
      <c r="C3022" t="s">
        <v>141</v>
      </c>
      <c r="D3022" t="s">
        <v>2217</v>
      </c>
      <c r="E3022" t="s">
        <v>224</v>
      </c>
      <c r="F3022">
        <v>28</v>
      </c>
      <c r="G3022">
        <v>505.37</v>
      </c>
      <c r="H3022">
        <v>0.18</v>
      </c>
      <c r="I3022" s="4">
        <v>11603.3</v>
      </c>
      <c r="J3022" t="s">
        <v>109</v>
      </c>
      <c r="K3022" t="s">
        <v>22</v>
      </c>
      <c r="L3022" s="4">
        <f>VLOOKUP(tblTransactions[[#This Row],[Product_ID]],tblProducts[],5,FALSE)</f>
        <v>281.14999999999998</v>
      </c>
      <c r="M3022" s="4">
        <f>tblTransactions[[#This Row],[Total_Amount]]-(tblTransactions[[#This Row],[Cost_Prices]]*tblTransactions[[#This Row],[Quantity]]*(1-tblTransactions[[#This Row],[Discount]]))</f>
        <v>5148.0959999999995</v>
      </c>
      <c r="N3022" s="3">
        <f>tblTransactions[[#This Row],[Profit]]/tblTransactions[[#This Row],[Total_Amount]]</f>
        <v>0.44367516137650492</v>
      </c>
      <c r="O3022" t="str">
        <f>TEXT(tblTransactions[[#This Row],[Date]], "MMM-YYYY")</f>
        <v>Oct-2024</v>
      </c>
      <c r="P3022" t="str">
        <f>"Q"&amp;ROUNDUP(MONTH(tblTransactions[[#This Row],[Date]])/3,0)&amp;"-"&amp;YEAR(tblTransactions[[#This Row],[Date]])</f>
        <v>Q4-2024</v>
      </c>
      <c r="Q3022">
        <f>YEAR(tblTransactions[[#This Row],[Date]])</f>
        <v>2024</v>
      </c>
      <c r="R3022" t="str">
        <f>TEXT(tblTransactions[[#This Row],[Date]],"DDDD")</f>
        <v>Sunday</v>
      </c>
      <c r="S3022">
        <f>MONTH(tblTransactions[[#This Row],[Date]])</f>
        <v>10</v>
      </c>
      <c r="T3022" t="str">
        <f>VLOOKUP(E3022, Products!$A:$B,2,0)</f>
        <v>Desks Fur-3</v>
      </c>
      <c r="U3022" t="str">
        <f>VLOOKUP(E3022,Products!$A:$C,3,0)</f>
        <v>Furniture</v>
      </c>
      <c r="V3022" t="str">
        <f>VLOOKUP(E3022,Products!$A:$D,4,0)</f>
        <v>Desks</v>
      </c>
      <c r="W3022" t="str">
        <f>VLOOKUP(D3022,Customers!$A:$C,3,0)</f>
        <v>Enterprise</v>
      </c>
      <c r="X3022" t="str">
        <f>VLOOKUP(C3022,Sales_Representatives!$A:$B,2,0)</f>
        <v>Richard Garcia</v>
      </c>
    </row>
    <row r="3023" spans="1:24" x14ac:dyDescent="0.3">
      <c r="A3023" t="s">
        <v>4116</v>
      </c>
      <c r="B3023" t="s">
        <v>4117</v>
      </c>
      <c r="C3023" t="s">
        <v>107</v>
      </c>
      <c r="D3023" t="s">
        <v>1465</v>
      </c>
      <c r="E3023" t="s">
        <v>61</v>
      </c>
      <c r="F3023">
        <v>4</v>
      </c>
      <c r="G3023">
        <v>92.07</v>
      </c>
      <c r="H3023">
        <v>0.03</v>
      </c>
      <c r="I3023" s="4">
        <v>357.23</v>
      </c>
      <c r="J3023" t="s">
        <v>109</v>
      </c>
      <c r="K3023" t="s">
        <v>22</v>
      </c>
      <c r="L3023" s="4">
        <f>VLOOKUP(tblTransactions[[#This Row],[Product_ID]],tblProducts[],5,FALSE)</f>
        <v>56.98</v>
      </c>
      <c r="M3023" s="4">
        <f>tblTransactions[[#This Row],[Total_Amount]]-(tblTransactions[[#This Row],[Cost_Prices]]*tblTransactions[[#This Row],[Quantity]]*(1-tblTransactions[[#This Row],[Discount]]))</f>
        <v>136.14760000000004</v>
      </c>
      <c r="N3023" s="3">
        <f>tblTransactions[[#This Row],[Profit]]/tblTransactions[[#This Row],[Total_Amount]]</f>
        <v>0.38112028665005748</v>
      </c>
      <c r="O3023" t="str">
        <f>TEXT(tblTransactions[[#This Row],[Date]], "MMM-YYYY")</f>
        <v>Oct-2024</v>
      </c>
      <c r="P3023" t="str">
        <f>"Q"&amp;ROUNDUP(MONTH(tblTransactions[[#This Row],[Date]])/3,0)&amp;"-"&amp;YEAR(tblTransactions[[#This Row],[Date]])</f>
        <v>Q4-2024</v>
      </c>
      <c r="Q3023">
        <f>YEAR(tblTransactions[[#This Row],[Date]])</f>
        <v>2024</v>
      </c>
      <c r="R3023" t="str">
        <f>TEXT(tblTransactions[[#This Row],[Date]],"DDDD")</f>
        <v>Monday</v>
      </c>
      <c r="S3023">
        <f>MONTH(tblTransactions[[#This Row],[Date]])</f>
        <v>10</v>
      </c>
      <c r="T3023" t="str">
        <f>VLOOKUP(E3023, Products!$A:$B,2,0)</f>
        <v>Pens Off-4</v>
      </c>
      <c r="U3023" t="str">
        <f>VLOOKUP(E3023,Products!$A:$C,3,0)</f>
        <v>Office Supplies</v>
      </c>
      <c r="V3023" t="str">
        <f>VLOOKUP(E3023,Products!$A:$D,4,0)</f>
        <v>Pens</v>
      </c>
      <c r="W3023" t="str">
        <f>VLOOKUP(D3023,Customers!$A:$C,3,0)</f>
        <v>Small Business</v>
      </c>
      <c r="X3023" t="str">
        <f>VLOOKUP(C3023,Sales_Representatives!$A:$B,2,0)</f>
        <v>Jennifer Brown</v>
      </c>
    </row>
    <row r="3024" spans="1:24" x14ac:dyDescent="0.3">
      <c r="A3024" t="s">
        <v>4118</v>
      </c>
      <c r="B3024" t="s">
        <v>4117</v>
      </c>
      <c r="C3024" t="s">
        <v>56</v>
      </c>
      <c r="D3024" t="s">
        <v>396</v>
      </c>
      <c r="E3024" t="s">
        <v>20</v>
      </c>
      <c r="F3024">
        <v>4</v>
      </c>
      <c r="G3024">
        <v>1219.49</v>
      </c>
      <c r="H3024">
        <v>0.1</v>
      </c>
      <c r="I3024" s="4">
        <v>4390.16</v>
      </c>
      <c r="J3024" t="s">
        <v>34</v>
      </c>
      <c r="K3024" t="s">
        <v>48</v>
      </c>
      <c r="L3024" s="4">
        <f>VLOOKUP(tblTransactions[[#This Row],[Product_ID]],tblProducts[],5,FALSE)</f>
        <v>686.9</v>
      </c>
      <c r="M3024" s="4">
        <f>tblTransactions[[#This Row],[Total_Amount]]-(tblTransactions[[#This Row],[Cost_Prices]]*tblTransactions[[#This Row],[Quantity]]*(1-tblTransactions[[#This Row],[Discount]]))</f>
        <v>1917.3199999999997</v>
      </c>
      <c r="N3024" s="3">
        <f>tblTransactions[[#This Row],[Profit]]/tblTransactions[[#This Row],[Total_Amount]]</f>
        <v>0.43673123530805252</v>
      </c>
      <c r="O3024" t="str">
        <f>TEXT(tblTransactions[[#This Row],[Date]], "MMM-YYYY")</f>
        <v>Oct-2024</v>
      </c>
      <c r="P3024" t="str">
        <f>"Q"&amp;ROUNDUP(MONTH(tblTransactions[[#This Row],[Date]])/3,0)&amp;"-"&amp;YEAR(tblTransactions[[#This Row],[Date]])</f>
        <v>Q4-2024</v>
      </c>
      <c r="Q3024">
        <f>YEAR(tblTransactions[[#This Row],[Date]])</f>
        <v>2024</v>
      </c>
      <c r="R3024" t="str">
        <f>TEXT(tblTransactions[[#This Row],[Date]],"DDDD")</f>
        <v>Monday</v>
      </c>
      <c r="S3024">
        <f>MONTH(tblTransactions[[#This Row],[Date]])</f>
        <v>10</v>
      </c>
      <c r="T3024" t="str">
        <f>VLOOKUP(E3024, Products!$A:$B,2,0)</f>
        <v>Laptops Ele-1</v>
      </c>
      <c r="U3024" t="str">
        <f>VLOOKUP(E3024,Products!$A:$C,3,0)</f>
        <v>Electronics</v>
      </c>
      <c r="V3024" t="str">
        <f>VLOOKUP(E3024,Products!$A:$D,4,0)</f>
        <v>Laptops</v>
      </c>
      <c r="W3024" t="str">
        <f>VLOOKUP(D3024,Customers!$A:$C,3,0)</f>
        <v>Small Business</v>
      </c>
      <c r="X3024" t="str">
        <f>VLOOKUP(C3024,Sales_Representatives!$A:$B,2,0)</f>
        <v>Thomas Hernandez</v>
      </c>
    </row>
    <row r="3025" spans="1:24" x14ac:dyDescent="0.3">
      <c r="A3025" t="s">
        <v>4119</v>
      </c>
      <c r="B3025" t="s">
        <v>4117</v>
      </c>
      <c r="C3025" t="s">
        <v>27</v>
      </c>
      <c r="D3025" t="s">
        <v>190</v>
      </c>
      <c r="E3025" t="s">
        <v>221</v>
      </c>
      <c r="F3025">
        <v>10</v>
      </c>
      <c r="G3025">
        <v>210.02</v>
      </c>
      <c r="H3025">
        <v>0.05</v>
      </c>
      <c r="I3025" s="4">
        <v>1995.19</v>
      </c>
      <c r="J3025" t="s">
        <v>16</v>
      </c>
      <c r="K3025" t="s">
        <v>17</v>
      </c>
      <c r="L3025" s="4">
        <f>VLOOKUP(tblTransactions[[#This Row],[Product_ID]],tblProducts[],5,FALSE)</f>
        <v>131.66</v>
      </c>
      <c r="M3025" s="4">
        <f>tblTransactions[[#This Row],[Total_Amount]]-(tblTransactions[[#This Row],[Cost_Prices]]*tblTransactions[[#This Row],[Quantity]]*(1-tblTransactions[[#This Row],[Discount]]))</f>
        <v>744.4200000000003</v>
      </c>
      <c r="N3025" s="3">
        <f>tblTransactions[[#This Row],[Profit]]/tblTransactions[[#This Row],[Total_Amount]]</f>
        <v>0.37310732311208472</v>
      </c>
      <c r="O3025" t="str">
        <f>TEXT(tblTransactions[[#This Row],[Date]], "MMM-YYYY")</f>
        <v>Oct-2024</v>
      </c>
      <c r="P3025" t="str">
        <f>"Q"&amp;ROUNDUP(MONTH(tblTransactions[[#This Row],[Date]])/3,0)&amp;"-"&amp;YEAR(tblTransactions[[#This Row],[Date]])</f>
        <v>Q4-2024</v>
      </c>
      <c r="Q3025">
        <f>YEAR(tblTransactions[[#This Row],[Date]])</f>
        <v>2024</v>
      </c>
      <c r="R3025" t="str">
        <f>TEXT(tblTransactions[[#This Row],[Date]],"DDDD")</f>
        <v>Monday</v>
      </c>
      <c r="S3025">
        <f>MONTH(tblTransactions[[#This Row],[Date]])</f>
        <v>10</v>
      </c>
      <c r="T3025" t="str">
        <f>VLOOKUP(E3025, Products!$A:$B,2,0)</f>
        <v>Storage Fur-2</v>
      </c>
      <c r="U3025" t="str">
        <f>VLOOKUP(E3025,Products!$A:$C,3,0)</f>
        <v>Furniture</v>
      </c>
      <c r="V3025" t="str">
        <f>VLOOKUP(E3025,Products!$A:$D,4,0)</f>
        <v>Storage</v>
      </c>
      <c r="W3025" t="str">
        <f>VLOOKUP(D3025,Customers!$A:$C,3,0)</f>
        <v>B2B</v>
      </c>
      <c r="X3025" t="str">
        <f>VLOOKUP(C3025,Sales_Representatives!$A:$B,2,0)</f>
        <v>Thomas Lopez</v>
      </c>
    </row>
    <row r="3026" spans="1:24" x14ac:dyDescent="0.3">
      <c r="A3026" t="s">
        <v>4120</v>
      </c>
      <c r="B3026" t="s">
        <v>4117</v>
      </c>
      <c r="C3026" t="s">
        <v>31</v>
      </c>
      <c r="D3026" t="s">
        <v>1596</v>
      </c>
      <c r="E3026" t="s">
        <v>53</v>
      </c>
      <c r="F3026">
        <v>14</v>
      </c>
      <c r="G3026">
        <v>2069.2199999999998</v>
      </c>
      <c r="H3026">
        <v>0.18</v>
      </c>
      <c r="I3026" s="4">
        <v>23754.65</v>
      </c>
      <c r="J3026" t="s">
        <v>34</v>
      </c>
      <c r="K3026" t="s">
        <v>35</v>
      </c>
      <c r="L3026" s="4">
        <f>VLOOKUP(tblTransactions[[#This Row],[Product_ID]],tblProducts[],5,FALSE)</f>
        <v>1451.18</v>
      </c>
      <c r="M3026" s="4">
        <f>tblTransactions[[#This Row],[Total_Amount]]-(tblTransactions[[#This Row],[Cost_Prices]]*tblTransactions[[#This Row],[Quantity]]*(1-tblTransactions[[#This Row],[Discount]]))</f>
        <v>7095.1035999999986</v>
      </c>
      <c r="N3026" s="3">
        <f>tblTransactions[[#This Row],[Profit]]/tblTransactions[[#This Row],[Total_Amount]]</f>
        <v>0.29868272527694567</v>
      </c>
      <c r="O3026" t="str">
        <f>TEXT(tblTransactions[[#This Row],[Date]], "MMM-YYYY")</f>
        <v>Oct-2024</v>
      </c>
      <c r="P3026" t="str">
        <f>"Q"&amp;ROUNDUP(MONTH(tblTransactions[[#This Row],[Date]])/3,0)&amp;"-"&amp;YEAR(tblTransactions[[#This Row],[Date]])</f>
        <v>Q4-2024</v>
      </c>
      <c r="Q3026">
        <f>YEAR(tblTransactions[[#This Row],[Date]])</f>
        <v>2024</v>
      </c>
      <c r="R3026" t="str">
        <f>TEXT(tblTransactions[[#This Row],[Date]],"DDDD")</f>
        <v>Monday</v>
      </c>
      <c r="S3026">
        <f>MONTH(tblTransactions[[#This Row],[Date]])</f>
        <v>10</v>
      </c>
      <c r="T3026" t="str">
        <f>VLOOKUP(E3026, Products!$A:$B,2,0)</f>
        <v>Printers Tec-3</v>
      </c>
      <c r="U3026" t="str">
        <f>VLOOKUP(E3026,Products!$A:$C,3,0)</f>
        <v>Technology</v>
      </c>
      <c r="V3026" t="str">
        <f>VLOOKUP(E3026,Products!$A:$D,4,0)</f>
        <v>Printers</v>
      </c>
      <c r="W3026" t="str">
        <f>VLOOKUP(D3026,Customers!$A:$C,3,0)</f>
        <v>Enterprise</v>
      </c>
      <c r="X3026" t="str">
        <f>VLOOKUP(C3026,Sales_Representatives!$A:$B,2,0)</f>
        <v>Thomas Martinez</v>
      </c>
    </row>
    <row r="3027" spans="1:24" x14ac:dyDescent="0.3">
      <c r="A3027" t="s">
        <v>4121</v>
      </c>
      <c r="B3027" t="s">
        <v>4117</v>
      </c>
      <c r="C3027" t="s">
        <v>59</v>
      </c>
      <c r="D3027" t="s">
        <v>1520</v>
      </c>
      <c r="E3027" t="s">
        <v>38</v>
      </c>
      <c r="F3027">
        <v>7</v>
      </c>
      <c r="G3027">
        <v>581.47</v>
      </c>
      <c r="H3027">
        <v>0.14000000000000001</v>
      </c>
      <c r="I3027" s="4">
        <v>3500.45</v>
      </c>
      <c r="J3027" t="s">
        <v>21</v>
      </c>
      <c r="K3027" t="s">
        <v>39</v>
      </c>
      <c r="L3027" s="4">
        <f>VLOOKUP(tblTransactions[[#This Row],[Product_ID]],tblProducts[],5,FALSE)</f>
        <v>372.07</v>
      </c>
      <c r="M3027" s="4">
        <f>tblTransactions[[#This Row],[Total_Amount]]-(tblTransactions[[#This Row],[Cost_Prices]]*tblTransactions[[#This Row],[Quantity]]*(1-tblTransactions[[#This Row],[Discount]]))</f>
        <v>1260.5886</v>
      </c>
      <c r="N3027" s="3">
        <f>tblTransactions[[#This Row],[Profit]]/tblTransactions[[#This Row],[Total_Amount]]</f>
        <v>0.3601218700452799</v>
      </c>
      <c r="O3027" t="str">
        <f>TEXT(tblTransactions[[#This Row],[Date]], "MMM-YYYY")</f>
        <v>Oct-2024</v>
      </c>
      <c r="P3027" t="str">
        <f>"Q"&amp;ROUNDUP(MONTH(tblTransactions[[#This Row],[Date]])/3,0)&amp;"-"&amp;YEAR(tblTransactions[[#This Row],[Date]])</f>
        <v>Q4-2024</v>
      </c>
      <c r="Q3027">
        <f>YEAR(tblTransactions[[#This Row],[Date]])</f>
        <v>2024</v>
      </c>
      <c r="R3027" t="str">
        <f>TEXT(tblTransactions[[#This Row],[Date]],"DDDD")</f>
        <v>Monday</v>
      </c>
      <c r="S3027">
        <f>MONTH(tblTransactions[[#This Row],[Date]])</f>
        <v>10</v>
      </c>
      <c r="T3027" t="str">
        <f>VLOOKUP(E3027, Products!$A:$B,2,0)</f>
        <v>Storage Fur-3</v>
      </c>
      <c r="U3027" t="str">
        <f>VLOOKUP(E3027,Products!$A:$C,3,0)</f>
        <v>Furniture</v>
      </c>
      <c r="V3027" t="str">
        <f>VLOOKUP(E3027,Products!$A:$D,4,0)</f>
        <v>Storage</v>
      </c>
      <c r="W3027" t="str">
        <f>VLOOKUP(D3027,Customers!$A:$C,3,0)</f>
        <v>B2C</v>
      </c>
      <c r="X3027" t="str">
        <f>VLOOKUP(C3027,Sales_Representatives!$A:$B,2,0)</f>
        <v>Sarah Brown</v>
      </c>
    </row>
    <row r="3028" spans="1:24" x14ac:dyDescent="0.3">
      <c r="A3028" t="s">
        <v>4122</v>
      </c>
      <c r="B3028" t="s">
        <v>4123</v>
      </c>
      <c r="C3028" t="s">
        <v>56</v>
      </c>
      <c r="D3028" t="s">
        <v>1906</v>
      </c>
      <c r="E3028" t="s">
        <v>105</v>
      </c>
      <c r="F3028">
        <v>13</v>
      </c>
      <c r="G3028">
        <v>1342.04</v>
      </c>
      <c r="H3028">
        <v>0.14000000000000001</v>
      </c>
      <c r="I3028" s="4">
        <v>15004.01</v>
      </c>
      <c r="J3028" t="s">
        <v>34</v>
      </c>
      <c r="K3028" t="s">
        <v>22</v>
      </c>
      <c r="L3028" s="4">
        <f>VLOOKUP(tblTransactions[[#This Row],[Product_ID]],tblProducts[],5,FALSE)</f>
        <v>792.89</v>
      </c>
      <c r="M3028" s="4">
        <f>tblTransactions[[#This Row],[Total_Amount]]-(tblTransactions[[#This Row],[Cost_Prices]]*tblTransactions[[#This Row],[Quantity]]*(1-tblTransactions[[#This Row],[Discount]]))</f>
        <v>6139.4998000000014</v>
      </c>
      <c r="N3028" s="3">
        <f>tblTransactions[[#This Row],[Profit]]/tblTransactions[[#This Row],[Total_Amount]]</f>
        <v>0.40919059638056771</v>
      </c>
      <c r="O3028" t="str">
        <f>TEXT(tblTransactions[[#This Row],[Date]], "MMM-YYYY")</f>
        <v>Oct-2024</v>
      </c>
      <c r="P3028" t="str">
        <f>"Q"&amp;ROUNDUP(MONTH(tblTransactions[[#This Row],[Date]])/3,0)&amp;"-"&amp;YEAR(tblTransactions[[#This Row],[Date]])</f>
        <v>Q4-2024</v>
      </c>
      <c r="Q3028">
        <f>YEAR(tblTransactions[[#This Row],[Date]])</f>
        <v>2024</v>
      </c>
      <c r="R3028" t="str">
        <f>TEXT(tblTransactions[[#This Row],[Date]],"DDDD")</f>
        <v>Tuesday</v>
      </c>
      <c r="S3028">
        <f>MONTH(tblTransactions[[#This Row],[Date]])</f>
        <v>10</v>
      </c>
      <c r="T3028" t="str">
        <f>VLOOKUP(E3028, Products!$A:$B,2,0)</f>
        <v>Cameras Ele-1</v>
      </c>
      <c r="U3028" t="str">
        <f>VLOOKUP(E3028,Products!$A:$C,3,0)</f>
        <v>Electronics</v>
      </c>
      <c r="V3028" t="str">
        <f>VLOOKUP(E3028,Products!$A:$D,4,0)</f>
        <v>Cameras</v>
      </c>
      <c r="W3028" t="str">
        <f>VLOOKUP(D3028,Customers!$A:$C,3,0)</f>
        <v>B2B</v>
      </c>
      <c r="X3028" t="str">
        <f>VLOOKUP(C3028,Sales_Representatives!$A:$B,2,0)</f>
        <v>Thomas Hernandez</v>
      </c>
    </row>
    <row r="3029" spans="1:24" x14ac:dyDescent="0.3">
      <c r="A3029" t="s">
        <v>4124</v>
      </c>
      <c r="B3029" t="s">
        <v>4123</v>
      </c>
      <c r="C3029" t="s">
        <v>56</v>
      </c>
      <c r="D3029" t="s">
        <v>1832</v>
      </c>
      <c r="E3029" t="s">
        <v>243</v>
      </c>
      <c r="F3029">
        <v>1</v>
      </c>
      <c r="G3029">
        <v>384.18</v>
      </c>
      <c r="H3029">
        <v>0.06</v>
      </c>
      <c r="I3029" s="4">
        <v>361.13</v>
      </c>
      <c r="J3029" t="s">
        <v>34</v>
      </c>
      <c r="K3029" t="s">
        <v>22</v>
      </c>
      <c r="L3029" s="4">
        <f>VLOOKUP(tblTransactions[[#This Row],[Product_ID]],tblProducts[],5,FALSE)</f>
        <v>266.92</v>
      </c>
      <c r="M3029" s="4">
        <f>tblTransactions[[#This Row],[Total_Amount]]-(tblTransactions[[#This Row],[Cost_Prices]]*tblTransactions[[#This Row],[Quantity]]*(1-tblTransactions[[#This Row],[Discount]]))</f>
        <v>110.2252</v>
      </c>
      <c r="N3029" s="3">
        <f>tblTransactions[[#This Row],[Profit]]/tblTransactions[[#This Row],[Total_Amount]]</f>
        <v>0.3052230498712375</v>
      </c>
      <c r="O3029" t="str">
        <f>TEXT(tblTransactions[[#This Row],[Date]], "MMM-YYYY")</f>
        <v>Oct-2024</v>
      </c>
      <c r="P3029" t="str">
        <f>"Q"&amp;ROUNDUP(MONTH(tblTransactions[[#This Row],[Date]])/3,0)&amp;"-"&amp;YEAR(tblTransactions[[#This Row],[Date]])</f>
        <v>Q4-2024</v>
      </c>
      <c r="Q3029">
        <f>YEAR(tblTransactions[[#This Row],[Date]])</f>
        <v>2024</v>
      </c>
      <c r="R3029" t="str">
        <f>TEXT(tblTransactions[[#This Row],[Date]],"DDDD")</f>
        <v>Tuesday</v>
      </c>
      <c r="S3029">
        <f>MONTH(tblTransactions[[#This Row],[Date]])</f>
        <v>10</v>
      </c>
      <c r="T3029" t="str">
        <f>VLOOKUP(E3029, Products!$A:$B,2,0)</f>
        <v>Routers Tec-3</v>
      </c>
      <c r="U3029" t="str">
        <f>VLOOKUP(E3029,Products!$A:$C,3,0)</f>
        <v>Technology</v>
      </c>
      <c r="V3029" t="str">
        <f>VLOOKUP(E3029,Products!$A:$D,4,0)</f>
        <v>Routers</v>
      </c>
      <c r="W3029" t="str">
        <f>VLOOKUP(D3029,Customers!$A:$C,3,0)</f>
        <v>Small Business</v>
      </c>
      <c r="X3029" t="str">
        <f>VLOOKUP(C3029,Sales_Representatives!$A:$B,2,0)</f>
        <v>Thomas Hernandez</v>
      </c>
    </row>
    <row r="3030" spans="1:24" x14ac:dyDescent="0.3">
      <c r="A3030" t="s">
        <v>4125</v>
      </c>
      <c r="B3030" t="s">
        <v>4123</v>
      </c>
      <c r="C3030" t="s">
        <v>59</v>
      </c>
      <c r="D3030" t="s">
        <v>2088</v>
      </c>
      <c r="E3030" t="s">
        <v>15</v>
      </c>
      <c r="F3030">
        <v>18</v>
      </c>
      <c r="G3030">
        <v>477.48</v>
      </c>
      <c r="H3030">
        <v>0.15</v>
      </c>
      <c r="I3030" s="4">
        <v>7305.44</v>
      </c>
      <c r="J3030" t="s">
        <v>21</v>
      </c>
      <c r="K3030" t="s">
        <v>48</v>
      </c>
      <c r="L3030" s="4">
        <f>VLOOKUP(tblTransactions[[#This Row],[Product_ID]],tblProducts[],5,FALSE)</f>
        <v>275.51</v>
      </c>
      <c r="M3030" s="4">
        <f>tblTransactions[[#This Row],[Total_Amount]]-(tblTransactions[[#This Row],[Cost_Prices]]*tblTransactions[[#This Row],[Quantity]]*(1-tblTransactions[[#This Row],[Discount]]))</f>
        <v>3090.1369999999997</v>
      </c>
      <c r="N3030" s="3">
        <f>tblTransactions[[#This Row],[Profit]]/tblTransactions[[#This Row],[Total_Amount]]</f>
        <v>0.42299122297904024</v>
      </c>
      <c r="O3030" t="str">
        <f>TEXT(tblTransactions[[#This Row],[Date]], "MMM-YYYY")</f>
        <v>Oct-2024</v>
      </c>
      <c r="P3030" t="str">
        <f>"Q"&amp;ROUNDUP(MONTH(tblTransactions[[#This Row],[Date]])/3,0)&amp;"-"&amp;YEAR(tblTransactions[[#This Row],[Date]])</f>
        <v>Q4-2024</v>
      </c>
      <c r="Q3030">
        <f>YEAR(tblTransactions[[#This Row],[Date]])</f>
        <v>2024</v>
      </c>
      <c r="R3030" t="str">
        <f>TEXT(tblTransactions[[#This Row],[Date]],"DDDD")</f>
        <v>Tuesday</v>
      </c>
      <c r="S3030">
        <f>MONTH(tblTransactions[[#This Row],[Date]])</f>
        <v>10</v>
      </c>
      <c r="T3030" t="str">
        <f>VLOOKUP(E3030, Products!$A:$B,2,0)</f>
        <v>Laptops Ele-4</v>
      </c>
      <c r="U3030" t="str">
        <f>VLOOKUP(E3030,Products!$A:$C,3,0)</f>
        <v>Electronics</v>
      </c>
      <c r="V3030" t="str">
        <f>VLOOKUP(E3030,Products!$A:$D,4,0)</f>
        <v>Laptops</v>
      </c>
      <c r="W3030" t="str">
        <f>VLOOKUP(D3030,Customers!$A:$C,3,0)</f>
        <v>Enterprise</v>
      </c>
      <c r="X3030" t="str">
        <f>VLOOKUP(C3030,Sales_Representatives!$A:$B,2,0)</f>
        <v>Sarah Brown</v>
      </c>
    </row>
    <row r="3031" spans="1:24" x14ac:dyDescent="0.3">
      <c r="A3031" t="s">
        <v>4126</v>
      </c>
      <c r="B3031" t="s">
        <v>4127</v>
      </c>
      <c r="C3031" t="s">
        <v>59</v>
      </c>
      <c r="D3031" t="s">
        <v>1616</v>
      </c>
      <c r="E3031" t="s">
        <v>68</v>
      </c>
      <c r="F3031">
        <v>19</v>
      </c>
      <c r="G3031">
        <v>522.63</v>
      </c>
      <c r="H3031">
        <v>0.13</v>
      </c>
      <c r="I3031" s="4">
        <v>8639.07</v>
      </c>
      <c r="J3031" t="s">
        <v>21</v>
      </c>
      <c r="K3031" t="s">
        <v>48</v>
      </c>
      <c r="L3031" s="4">
        <f>VLOOKUP(tblTransactions[[#This Row],[Product_ID]],tblProducts[],5,FALSE)</f>
        <v>355.82</v>
      </c>
      <c r="M3031" s="4">
        <f>tblTransactions[[#This Row],[Total_Amount]]-(tblTransactions[[#This Row],[Cost_Prices]]*tblTransactions[[#This Row],[Quantity]]*(1-tblTransactions[[#This Row],[Discount]]))</f>
        <v>2757.3653999999997</v>
      </c>
      <c r="N3031" s="3">
        <f>tblTransactions[[#This Row],[Profit]]/tblTransactions[[#This Row],[Total_Amount]]</f>
        <v>0.3191738694095545</v>
      </c>
      <c r="O3031" t="str">
        <f>TEXT(tblTransactions[[#This Row],[Date]], "MMM-YYYY")</f>
        <v>Oct-2024</v>
      </c>
      <c r="P3031" t="str">
        <f>"Q"&amp;ROUNDUP(MONTH(tblTransactions[[#This Row],[Date]])/3,0)&amp;"-"&amp;YEAR(tblTransactions[[#This Row],[Date]])</f>
        <v>Q4-2024</v>
      </c>
      <c r="Q3031">
        <f>YEAR(tblTransactions[[#This Row],[Date]])</f>
        <v>2024</v>
      </c>
      <c r="R3031" t="str">
        <f>TEXT(tblTransactions[[#This Row],[Date]],"DDDD")</f>
        <v>Wednesday</v>
      </c>
      <c r="S3031">
        <f>MONTH(tblTransactions[[#This Row],[Date]])</f>
        <v>10</v>
      </c>
      <c r="T3031" t="str">
        <f>VLOOKUP(E3031, Products!$A:$B,2,0)</f>
        <v>Monitors Tec-3</v>
      </c>
      <c r="U3031" t="str">
        <f>VLOOKUP(E3031,Products!$A:$C,3,0)</f>
        <v>Technology</v>
      </c>
      <c r="V3031" t="str">
        <f>VLOOKUP(E3031,Products!$A:$D,4,0)</f>
        <v>Monitors</v>
      </c>
      <c r="W3031" t="str">
        <f>VLOOKUP(D3031,Customers!$A:$C,3,0)</f>
        <v>Enterprise</v>
      </c>
      <c r="X3031" t="str">
        <f>VLOOKUP(C3031,Sales_Representatives!$A:$B,2,0)</f>
        <v>Sarah Brown</v>
      </c>
    </row>
    <row r="3032" spans="1:24" x14ac:dyDescent="0.3">
      <c r="A3032" t="s">
        <v>4128</v>
      </c>
      <c r="B3032" t="s">
        <v>4127</v>
      </c>
      <c r="C3032" t="s">
        <v>27</v>
      </c>
      <c r="D3032" t="s">
        <v>2102</v>
      </c>
      <c r="E3032" t="s">
        <v>148</v>
      </c>
      <c r="F3032">
        <v>6</v>
      </c>
      <c r="G3032">
        <v>20.420000000000002</v>
      </c>
      <c r="H3032">
        <v>0.09</v>
      </c>
      <c r="I3032" s="4">
        <v>111.49</v>
      </c>
      <c r="J3032" t="s">
        <v>16</v>
      </c>
      <c r="K3032" t="s">
        <v>48</v>
      </c>
      <c r="L3032" s="4">
        <f>VLOOKUP(tblTransactions[[#This Row],[Product_ID]],tblProducts[],5,FALSE)</f>
        <v>9.56</v>
      </c>
      <c r="M3032" s="4">
        <f>tblTransactions[[#This Row],[Total_Amount]]-(tblTransactions[[#This Row],[Cost_Prices]]*tblTransactions[[#This Row],[Quantity]]*(1-tblTransactions[[#This Row],[Discount]]))</f>
        <v>59.292399999999994</v>
      </c>
      <c r="N3032" s="3">
        <f>tblTransactions[[#This Row],[Profit]]/tblTransactions[[#This Row],[Total_Amount]]</f>
        <v>0.53181810027805176</v>
      </c>
      <c r="O3032" t="str">
        <f>TEXT(tblTransactions[[#This Row],[Date]], "MMM-YYYY")</f>
        <v>Oct-2024</v>
      </c>
      <c r="P3032" t="str">
        <f>"Q"&amp;ROUNDUP(MONTH(tblTransactions[[#This Row],[Date]])/3,0)&amp;"-"&amp;YEAR(tblTransactions[[#This Row],[Date]])</f>
        <v>Q4-2024</v>
      </c>
      <c r="Q3032">
        <f>YEAR(tblTransactions[[#This Row],[Date]])</f>
        <v>2024</v>
      </c>
      <c r="R3032" t="str">
        <f>TEXT(tblTransactions[[#This Row],[Date]],"DDDD")</f>
        <v>Wednesday</v>
      </c>
      <c r="S3032">
        <f>MONTH(tblTransactions[[#This Row],[Date]])</f>
        <v>10</v>
      </c>
      <c r="T3032" t="str">
        <f>VLOOKUP(E3032, Products!$A:$B,2,0)</f>
        <v>Cases Acc-3</v>
      </c>
      <c r="U3032" t="str">
        <f>VLOOKUP(E3032,Products!$A:$C,3,0)</f>
        <v>Accessories</v>
      </c>
      <c r="V3032" t="str">
        <f>VLOOKUP(E3032,Products!$A:$D,4,0)</f>
        <v>Cases</v>
      </c>
      <c r="W3032" t="str">
        <f>VLOOKUP(D3032,Customers!$A:$C,3,0)</f>
        <v>B2C</v>
      </c>
      <c r="X3032" t="str">
        <f>VLOOKUP(C3032,Sales_Representatives!$A:$B,2,0)</f>
        <v>Thomas Lopez</v>
      </c>
    </row>
    <row r="3033" spans="1:24" x14ac:dyDescent="0.3">
      <c r="A3033" t="s">
        <v>4129</v>
      </c>
      <c r="B3033" t="s">
        <v>4127</v>
      </c>
      <c r="C3033" t="s">
        <v>82</v>
      </c>
      <c r="D3033" t="s">
        <v>1902</v>
      </c>
      <c r="E3033" t="s">
        <v>204</v>
      </c>
      <c r="F3033">
        <v>11</v>
      </c>
      <c r="G3033">
        <v>715.62</v>
      </c>
      <c r="H3033">
        <v>0.15</v>
      </c>
      <c r="I3033" s="4">
        <v>6691.05</v>
      </c>
      <c r="J3033" t="s">
        <v>34</v>
      </c>
      <c r="K3033" t="s">
        <v>22</v>
      </c>
      <c r="L3033" s="4">
        <f>VLOOKUP(tblTransactions[[#This Row],[Product_ID]],tblProducts[],5,FALSE)</f>
        <v>459.58</v>
      </c>
      <c r="M3033" s="4">
        <f>tblTransactions[[#This Row],[Total_Amount]]-(tblTransactions[[#This Row],[Cost_Prices]]*tblTransactions[[#This Row],[Quantity]]*(1-tblTransactions[[#This Row],[Discount]]))</f>
        <v>2393.9769999999999</v>
      </c>
      <c r="N3033" s="3">
        <f>tblTransactions[[#This Row],[Profit]]/tblTransactions[[#This Row],[Total_Amount]]</f>
        <v>0.35778794060722902</v>
      </c>
      <c r="O3033" t="str">
        <f>TEXT(tblTransactions[[#This Row],[Date]], "MMM-YYYY")</f>
        <v>Oct-2024</v>
      </c>
      <c r="P3033" t="str">
        <f>"Q"&amp;ROUNDUP(MONTH(tblTransactions[[#This Row],[Date]])/3,0)&amp;"-"&amp;YEAR(tblTransactions[[#This Row],[Date]])</f>
        <v>Q4-2024</v>
      </c>
      <c r="Q3033">
        <f>YEAR(tblTransactions[[#This Row],[Date]])</f>
        <v>2024</v>
      </c>
      <c r="R3033" t="str">
        <f>TEXT(tblTransactions[[#This Row],[Date]],"DDDD")</f>
        <v>Wednesday</v>
      </c>
      <c r="S3033">
        <f>MONTH(tblTransactions[[#This Row],[Date]])</f>
        <v>10</v>
      </c>
      <c r="T3033" t="str">
        <f>VLOOKUP(E3033, Products!$A:$B,2,0)</f>
        <v>Cameras Ele-2</v>
      </c>
      <c r="U3033" t="str">
        <f>VLOOKUP(E3033,Products!$A:$C,3,0)</f>
        <v>Electronics</v>
      </c>
      <c r="V3033" t="str">
        <f>VLOOKUP(E3033,Products!$A:$D,4,0)</f>
        <v>Cameras</v>
      </c>
      <c r="W3033" t="str">
        <f>VLOOKUP(D3033,Customers!$A:$C,3,0)</f>
        <v>B2B</v>
      </c>
      <c r="X3033" t="str">
        <f>VLOOKUP(C3033,Sales_Representatives!$A:$B,2,0)</f>
        <v>John Brown</v>
      </c>
    </row>
    <row r="3034" spans="1:24" x14ac:dyDescent="0.3">
      <c r="A3034" t="s">
        <v>4130</v>
      </c>
      <c r="B3034" t="s">
        <v>4127</v>
      </c>
      <c r="C3034" t="s">
        <v>13</v>
      </c>
      <c r="D3034" t="s">
        <v>95</v>
      </c>
      <c r="E3034" t="s">
        <v>79</v>
      </c>
      <c r="F3034">
        <v>45</v>
      </c>
      <c r="G3034">
        <v>1452.36</v>
      </c>
      <c r="H3034">
        <v>0.16</v>
      </c>
      <c r="I3034" s="4">
        <v>54899.21</v>
      </c>
      <c r="J3034" t="s">
        <v>16</v>
      </c>
      <c r="K3034" t="s">
        <v>39</v>
      </c>
      <c r="L3034" s="4">
        <f>VLOOKUP(tblTransactions[[#This Row],[Product_ID]],tblProducts[],5,FALSE)</f>
        <v>778.71</v>
      </c>
      <c r="M3034" s="4">
        <f>tblTransactions[[#This Row],[Total_Amount]]-(tblTransactions[[#This Row],[Cost_Prices]]*tblTransactions[[#This Row],[Quantity]]*(1-tblTransactions[[#This Row],[Discount]]))</f>
        <v>25463.971999999998</v>
      </c>
      <c r="N3034" s="3">
        <f>tblTransactions[[#This Row],[Profit]]/tblTransactions[[#This Row],[Total_Amount]]</f>
        <v>0.46383130103329351</v>
      </c>
      <c r="O3034" t="str">
        <f>TEXT(tblTransactions[[#This Row],[Date]], "MMM-YYYY")</f>
        <v>Oct-2024</v>
      </c>
      <c r="P3034" t="str">
        <f>"Q"&amp;ROUNDUP(MONTH(tblTransactions[[#This Row],[Date]])/3,0)&amp;"-"&amp;YEAR(tblTransactions[[#This Row],[Date]])</f>
        <v>Q4-2024</v>
      </c>
      <c r="Q3034">
        <f>YEAR(tblTransactions[[#This Row],[Date]])</f>
        <v>2024</v>
      </c>
      <c r="R3034" t="str">
        <f>TEXT(tblTransactions[[#This Row],[Date]],"DDDD")</f>
        <v>Wednesday</v>
      </c>
      <c r="S3034">
        <f>MONTH(tblTransactions[[#This Row],[Date]])</f>
        <v>10</v>
      </c>
      <c r="T3034" t="str">
        <f>VLOOKUP(E3034, Products!$A:$B,2,0)</f>
        <v>Tables Fur-2</v>
      </c>
      <c r="U3034" t="str">
        <f>VLOOKUP(E3034,Products!$A:$C,3,0)</f>
        <v>Furniture</v>
      </c>
      <c r="V3034" t="str">
        <f>VLOOKUP(E3034,Products!$A:$D,4,0)</f>
        <v>Tables</v>
      </c>
      <c r="W3034" t="str">
        <f>VLOOKUP(D3034,Customers!$A:$C,3,0)</f>
        <v>Enterprise</v>
      </c>
      <c r="X3034" t="str">
        <f>VLOOKUP(C3034,Sales_Representatives!$A:$B,2,0)</f>
        <v>Jennifer Rodriguez</v>
      </c>
    </row>
    <row r="3035" spans="1:24" x14ac:dyDescent="0.3">
      <c r="A3035" t="s">
        <v>4131</v>
      </c>
      <c r="B3035" t="s">
        <v>4127</v>
      </c>
      <c r="C3035" t="s">
        <v>82</v>
      </c>
      <c r="D3035" t="s">
        <v>1945</v>
      </c>
      <c r="E3035" t="s">
        <v>152</v>
      </c>
      <c r="F3035">
        <v>15</v>
      </c>
      <c r="G3035">
        <v>859.93</v>
      </c>
      <c r="H3035">
        <v>0.12</v>
      </c>
      <c r="I3035" s="4">
        <v>11351.08</v>
      </c>
      <c r="J3035" t="s">
        <v>34</v>
      </c>
      <c r="K3035" t="s">
        <v>39</v>
      </c>
      <c r="L3035" s="4">
        <f>VLOOKUP(tblTransactions[[#This Row],[Product_ID]],tblProducts[],5,FALSE)</f>
        <v>579.79</v>
      </c>
      <c r="M3035" s="4">
        <f>tblTransactions[[#This Row],[Total_Amount]]-(tblTransactions[[#This Row],[Cost_Prices]]*tblTransactions[[#This Row],[Quantity]]*(1-tblTransactions[[#This Row],[Discount]]))</f>
        <v>3697.8520000000008</v>
      </c>
      <c r="N3035" s="3">
        <f>tblTransactions[[#This Row],[Profit]]/tblTransactions[[#This Row],[Total_Amount]]</f>
        <v>0.32577093985770522</v>
      </c>
      <c r="O3035" t="str">
        <f>TEXT(tblTransactions[[#This Row],[Date]], "MMM-YYYY")</f>
        <v>Oct-2024</v>
      </c>
      <c r="P3035" t="str">
        <f>"Q"&amp;ROUNDUP(MONTH(tblTransactions[[#This Row],[Date]])/3,0)&amp;"-"&amp;YEAR(tblTransactions[[#This Row],[Date]])</f>
        <v>Q4-2024</v>
      </c>
      <c r="Q3035">
        <f>YEAR(tblTransactions[[#This Row],[Date]])</f>
        <v>2024</v>
      </c>
      <c r="R3035" t="str">
        <f>TEXT(tblTransactions[[#This Row],[Date]],"DDDD")</f>
        <v>Wednesday</v>
      </c>
      <c r="S3035">
        <f>MONTH(tblTransactions[[#This Row],[Date]])</f>
        <v>10</v>
      </c>
      <c r="T3035" t="str">
        <f>VLOOKUP(E3035, Products!$A:$B,2,0)</f>
        <v>Phones Ele-4</v>
      </c>
      <c r="U3035" t="str">
        <f>VLOOKUP(E3035,Products!$A:$C,3,0)</f>
        <v>Electronics</v>
      </c>
      <c r="V3035" t="str">
        <f>VLOOKUP(E3035,Products!$A:$D,4,0)</f>
        <v>Phones</v>
      </c>
      <c r="W3035" t="str">
        <f>VLOOKUP(D3035,Customers!$A:$C,3,0)</f>
        <v>B2B</v>
      </c>
      <c r="X3035" t="str">
        <f>VLOOKUP(C3035,Sales_Representatives!$A:$B,2,0)</f>
        <v>John Brown</v>
      </c>
    </row>
    <row r="3036" spans="1:24" x14ac:dyDescent="0.3">
      <c r="A3036" t="s">
        <v>4132</v>
      </c>
      <c r="B3036" t="s">
        <v>4127</v>
      </c>
      <c r="C3036" t="s">
        <v>131</v>
      </c>
      <c r="D3036" t="s">
        <v>1621</v>
      </c>
      <c r="E3036" t="s">
        <v>33</v>
      </c>
      <c r="F3036">
        <v>7</v>
      </c>
      <c r="G3036">
        <v>322.7</v>
      </c>
      <c r="H3036">
        <v>0.06</v>
      </c>
      <c r="I3036" s="4">
        <v>2123.37</v>
      </c>
      <c r="J3036" t="s">
        <v>44</v>
      </c>
      <c r="K3036" t="s">
        <v>48</v>
      </c>
      <c r="L3036" s="4">
        <f>VLOOKUP(tblTransactions[[#This Row],[Product_ID]],tblProducts[],5,FALSE)</f>
        <v>139.81</v>
      </c>
      <c r="M3036" s="4">
        <f>tblTransactions[[#This Row],[Total_Amount]]-(tblTransactions[[#This Row],[Cost_Prices]]*tblTransactions[[#This Row],[Quantity]]*(1-tblTransactions[[#This Row],[Discount]]))</f>
        <v>1203.4202</v>
      </c>
      <c r="N3036" s="3">
        <f>tblTransactions[[#This Row],[Profit]]/tblTransactions[[#This Row],[Total_Amount]]</f>
        <v>0.56675011891474403</v>
      </c>
      <c r="O3036" t="str">
        <f>TEXT(tblTransactions[[#This Row],[Date]], "MMM-YYYY")</f>
        <v>Oct-2024</v>
      </c>
      <c r="P3036" t="str">
        <f>"Q"&amp;ROUNDUP(MONTH(tblTransactions[[#This Row],[Date]])/3,0)&amp;"-"&amp;YEAR(tblTransactions[[#This Row],[Date]])</f>
        <v>Q4-2024</v>
      </c>
      <c r="Q3036">
        <f>YEAR(tblTransactions[[#This Row],[Date]])</f>
        <v>2024</v>
      </c>
      <c r="R3036" t="str">
        <f>TEXT(tblTransactions[[#This Row],[Date]],"DDDD")</f>
        <v>Wednesday</v>
      </c>
      <c r="S3036">
        <f>MONTH(tblTransactions[[#This Row],[Date]])</f>
        <v>10</v>
      </c>
      <c r="T3036" t="str">
        <f>VLOOKUP(E3036, Products!$A:$B,2,0)</f>
        <v>Adapters Acc-1</v>
      </c>
      <c r="U3036" t="str">
        <f>VLOOKUP(E3036,Products!$A:$C,3,0)</f>
        <v>Accessories</v>
      </c>
      <c r="V3036" t="str">
        <f>VLOOKUP(E3036,Products!$A:$D,4,0)</f>
        <v>Adapters</v>
      </c>
      <c r="W3036" t="str">
        <f>VLOOKUP(D3036,Customers!$A:$C,3,0)</f>
        <v>B2C</v>
      </c>
      <c r="X3036" t="str">
        <f>VLOOKUP(C3036,Sales_Representatives!$A:$B,2,0)</f>
        <v>Michael Davis</v>
      </c>
    </row>
    <row r="3037" spans="1:24" x14ac:dyDescent="0.3">
      <c r="A3037" t="s">
        <v>4133</v>
      </c>
      <c r="B3037" t="s">
        <v>4127</v>
      </c>
      <c r="C3037" t="s">
        <v>13</v>
      </c>
      <c r="D3037" t="s">
        <v>1965</v>
      </c>
      <c r="E3037" t="s">
        <v>290</v>
      </c>
      <c r="F3037">
        <v>19</v>
      </c>
      <c r="G3037">
        <v>729.32</v>
      </c>
      <c r="H3037">
        <v>0.2</v>
      </c>
      <c r="I3037" s="4">
        <v>11085.66</v>
      </c>
      <c r="J3037" t="s">
        <v>16</v>
      </c>
      <c r="K3037" t="s">
        <v>39</v>
      </c>
      <c r="L3037" s="4">
        <f>VLOOKUP(tblTransactions[[#This Row],[Product_ID]],tblProducts[],5,FALSE)</f>
        <v>482.7</v>
      </c>
      <c r="M3037" s="4">
        <f>tblTransactions[[#This Row],[Total_Amount]]-(tblTransactions[[#This Row],[Cost_Prices]]*tblTransactions[[#This Row],[Quantity]]*(1-tblTransactions[[#This Row],[Discount]]))</f>
        <v>3748.62</v>
      </c>
      <c r="N3037" s="3">
        <f>tblTransactions[[#This Row],[Profit]]/tblTransactions[[#This Row],[Total_Amount]]</f>
        <v>0.33815036723117975</v>
      </c>
      <c r="O3037" t="str">
        <f>TEXT(tblTransactions[[#This Row],[Date]], "MMM-YYYY")</f>
        <v>Oct-2024</v>
      </c>
      <c r="P3037" t="str">
        <f>"Q"&amp;ROUNDUP(MONTH(tblTransactions[[#This Row],[Date]])/3,0)&amp;"-"&amp;YEAR(tblTransactions[[#This Row],[Date]])</f>
        <v>Q4-2024</v>
      </c>
      <c r="Q3037">
        <f>YEAR(tblTransactions[[#This Row],[Date]])</f>
        <v>2024</v>
      </c>
      <c r="R3037" t="str">
        <f>TEXT(tblTransactions[[#This Row],[Date]],"DDDD")</f>
        <v>Wednesday</v>
      </c>
      <c r="S3037">
        <f>MONTH(tblTransactions[[#This Row],[Date]])</f>
        <v>10</v>
      </c>
      <c r="T3037" t="str">
        <f>VLOOKUP(E3037, Products!$A:$B,2,0)</f>
        <v>Tables Fur-1</v>
      </c>
      <c r="U3037" t="str">
        <f>VLOOKUP(E3037,Products!$A:$C,3,0)</f>
        <v>Furniture</v>
      </c>
      <c r="V3037" t="str">
        <f>VLOOKUP(E3037,Products!$A:$D,4,0)</f>
        <v>Tables</v>
      </c>
      <c r="W3037" t="str">
        <f>VLOOKUP(D3037,Customers!$A:$C,3,0)</f>
        <v>B2B</v>
      </c>
      <c r="X3037" t="str">
        <f>VLOOKUP(C3037,Sales_Representatives!$A:$B,2,0)</f>
        <v>Jennifer Rodriguez</v>
      </c>
    </row>
    <row r="3038" spans="1:24" x14ac:dyDescent="0.3">
      <c r="A3038" t="s">
        <v>4134</v>
      </c>
      <c r="B3038" t="s">
        <v>4127</v>
      </c>
      <c r="C3038" t="s">
        <v>70</v>
      </c>
      <c r="D3038" t="s">
        <v>3847</v>
      </c>
      <c r="E3038" t="s">
        <v>137</v>
      </c>
      <c r="F3038">
        <v>4</v>
      </c>
      <c r="G3038">
        <v>241.39</v>
      </c>
      <c r="H3038">
        <v>0.08</v>
      </c>
      <c r="I3038" s="4">
        <v>888.32</v>
      </c>
      <c r="J3038" t="s">
        <v>16</v>
      </c>
      <c r="K3038" t="s">
        <v>35</v>
      </c>
      <c r="L3038" s="4">
        <f>VLOOKUP(tblTransactions[[#This Row],[Product_ID]],tblProducts[],5,FALSE)</f>
        <v>124.07</v>
      </c>
      <c r="M3038" s="4">
        <f>tblTransactions[[#This Row],[Total_Amount]]-(tblTransactions[[#This Row],[Cost_Prices]]*tblTransactions[[#This Row],[Quantity]]*(1-tblTransactions[[#This Row],[Discount]]))</f>
        <v>431.74240000000003</v>
      </c>
      <c r="N3038" s="3">
        <f>tblTransactions[[#This Row],[Profit]]/tblTransactions[[#This Row],[Total_Amount]]</f>
        <v>0.48602125360230547</v>
      </c>
      <c r="O3038" t="str">
        <f>TEXT(tblTransactions[[#This Row],[Date]], "MMM-YYYY")</f>
        <v>Oct-2024</v>
      </c>
      <c r="P3038" t="str">
        <f>"Q"&amp;ROUNDUP(MONTH(tblTransactions[[#This Row],[Date]])/3,0)&amp;"-"&amp;YEAR(tblTransactions[[#This Row],[Date]])</f>
        <v>Q4-2024</v>
      </c>
      <c r="Q3038">
        <f>YEAR(tblTransactions[[#This Row],[Date]])</f>
        <v>2024</v>
      </c>
      <c r="R3038" t="str">
        <f>TEXT(tblTransactions[[#This Row],[Date]],"DDDD")</f>
        <v>Wednesday</v>
      </c>
      <c r="S3038">
        <f>MONTH(tblTransactions[[#This Row],[Date]])</f>
        <v>10</v>
      </c>
      <c r="T3038" t="str">
        <f>VLOOKUP(E3038, Products!$A:$B,2,0)</f>
        <v>Desks Fur-2</v>
      </c>
      <c r="U3038" t="str">
        <f>VLOOKUP(E3038,Products!$A:$C,3,0)</f>
        <v>Furniture</v>
      </c>
      <c r="V3038" t="str">
        <f>VLOOKUP(E3038,Products!$A:$D,4,0)</f>
        <v>Desks</v>
      </c>
      <c r="W3038" t="str">
        <f>VLOOKUP(D3038,Customers!$A:$C,3,0)</f>
        <v>B2C</v>
      </c>
      <c r="X3038" t="str">
        <f>VLOOKUP(C3038,Sales_Representatives!$A:$B,2,0)</f>
        <v>Linda Smith</v>
      </c>
    </row>
    <row r="3039" spans="1:24" x14ac:dyDescent="0.3">
      <c r="A3039" t="s">
        <v>4135</v>
      </c>
      <c r="B3039" t="s">
        <v>4136</v>
      </c>
      <c r="C3039" t="s">
        <v>27</v>
      </c>
      <c r="D3039" t="s">
        <v>2451</v>
      </c>
      <c r="E3039" t="s">
        <v>255</v>
      </c>
      <c r="F3039">
        <v>19</v>
      </c>
      <c r="G3039">
        <v>1444.13</v>
      </c>
      <c r="H3039">
        <v>0.1</v>
      </c>
      <c r="I3039" s="4">
        <v>24694.62</v>
      </c>
      <c r="J3039" t="s">
        <v>16</v>
      </c>
      <c r="K3039" t="s">
        <v>22</v>
      </c>
      <c r="L3039" s="4">
        <f>VLOOKUP(tblTransactions[[#This Row],[Product_ID]],tblProducts[],5,FALSE)</f>
        <v>874.43</v>
      </c>
      <c r="M3039" s="4">
        <f>tblTransactions[[#This Row],[Total_Amount]]-(tblTransactions[[#This Row],[Cost_Prices]]*tblTransactions[[#This Row],[Quantity]]*(1-tblTransactions[[#This Row],[Discount]]))</f>
        <v>9741.8670000000002</v>
      </c>
      <c r="N3039" s="3">
        <f>tblTransactions[[#This Row],[Profit]]/tblTransactions[[#This Row],[Total_Amount]]</f>
        <v>0.39449349696411612</v>
      </c>
      <c r="O3039" t="str">
        <f>TEXT(tblTransactions[[#This Row],[Date]], "MMM-YYYY")</f>
        <v>Oct-2024</v>
      </c>
      <c r="P3039" t="str">
        <f>"Q"&amp;ROUNDUP(MONTH(tblTransactions[[#This Row],[Date]])/3,0)&amp;"-"&amp;YEAR(tblTransactions[[#This Row],[Date]])</f>
        <v>Q4-2024</v>
      </c>
      <c r="Q3039">
        <f>YEAR(tblTransactions[[#This Row],[Date]])</f>
        <v>2024</v>
      </c>
      <c r="R3039" t="str">
        <f>TEXT(tblTransactions[[#This Row],[Date]],"DDDD")</f>
        <v>Thursday</v>
      </c>
      <c r="S3039">
        <f>MONTH(tblTransactions[[#This Row],[Date]])</f>
        <v>10</v>
      </c>
      <c r="T3039" t="str">
        <f>VLOOKUP(E3039, Products!$A:$B,2,0)</f>
        <v>Printers Tec-1</v>
      </c>
      <c r="U3039" t="str">
        <f>VLOOKUP(E3039,Products!$A:$C,3,0)</f>
        <v>Technology</v>
      </c>
      <c r="V3039" t="str">
        <f>VLOOKUP(E3039,Products!$A:$D,4,0)</f>
        <v>Printers</v>
      </c>
      <c r="W3039" t="str">
        <f>VLOOKUP(D3039,Customers!$A:$C,3,0)</f>
        <v>B2B</v>
      </c>
      <c r="X3039" t="str">
        <f>VLOOKUP(C3039,Sales_Representatives!$A:$B,2,0)</f>
        <v>Thomas Lopez</v>
      </c>
    </row>
    <row r="3040" spans="1:24" x14ac:dyDescent="0.3">
      <c r="A3040" t="s">
        <v>4137</v>
      </c>
      <c r="B3040" t="s">
        <v>4136</v>
      </c>
      <c r="C3040" t="s">
        <v>19</v>
      </c>
      <c r="D3040" t="s">
        <v>2600</v>
      </c>
      <c r="E3040" t="s">
        <v>290</v>
      </c>
      <c r="F3040">
        <v>7</v>
      </c>
      <c r="G3040">
        <v>729.32</v>
      </c>
      <c r="H3040">
        <v>7.0000000000000007E-2</v>
      </c>
      <c r="I3040" s="4">
        <v>4747.87</v>
      </c>
      <c r="J3040" t="s">
        <v>21</v>
      </c>
      <c r="K3040" t="s">
        <v>17</v>
      </c>
      <c r="L3040" s="4">
        <f>VLOOKUP(tblTransactions[[#This Row],[Product_ID]],tblProducts[],5,FALSE)</f>
        <v>482.7</v>
      </c>
      <c r="M3040" s="4">
        <f>tblTransactions[[#This Row],[Total_Amount]]-(tblTransactions[[#This Row],[Cost_Prices]]*tblTransactions[[#This Row],[Quantity]]*(1-tblTransactions[[#This Row],[Discount]]))</f>
        <v>1605.4929999999999</v>
      </c>
      <c r="N3040" s="3">
        <f>tblTransactions[[#This Row],[Profit]]/tblTransactions[[#This Row],[Total_Amount]]</f>
        <v>0.33815015996646919</v>
      </c>
      <c r="O3040" t="str">
        <f>TEXT(tblTransactions[[#This Row],[Date]], "MMM-YYYY")</f>
        <v>Oct-2024</v>
      </c>
      <c r="P3040" t="str">
        <f>"Q"&amp;ROUNDUP(MONTH(tblTransactions[[#This Row],[Date]])/3,0)&amp;"-"&amp;YEAR(tblTransactions[[#This Row],[Date]])</f>
        <v>Q4-2024</v>
      </c>
      <c r="Q3040">
        <f>YEAR(tblTransactions[[#This Row],[Date]])</f>
        <v>2024</v>
      </c>
      <c r="R3040" t="str">
        <f>TEXT(tblTransactions[[#This Row],[Date]],"DDDD")</f>
        <v>Thursday</v>
      </c>
      <c r="S3040">
        <f>MONTH(tblTransactions[[#This Row],[Date]])</f>
        <v>10</v>
      </c>
      <c r="T3040" t="str">
        <f>VLOOKUP(E3040, Products!$A:$B,2,0)</f>
        <v>Tables Fur-1</v>
      </c>
      <c r="U3040" t="str">
        <f>VLOOKUP(E3040,Products!$A:$C,3,0)</f>
        <v>Furniture</v>
      </c>
      <c r="V3040" t="str">
        <f>VLOOKUP(E3040,Products!$A:$D,4,0)</f>
        <v>Tables</v>
      </c>
      <c r="W3040" t="str">
        <f>VLOOKUP(D3040,Customers!$A:$C,3,0)</f>
        <v>Enterprise</v>
      </c>
      <c r="X3040" t="str">
        <f>VLOOKUP(C3040,Sales_Representatives!$A:$B,2,0)</f>
        <v>Robert Jones</v>
      </c>
    </row>
    <row r="3041" spans="1:24" x14ac:dyDescent="0.3">
      <c r="A3041" t="s">
        <v>4138</v>
      </c>
      <c r="B3041" t="s">
        <v>4136</v>
      </c>
      <c r="C3041" t="s">
        <v>141</v>
      </c>
      <c r="D3041" t="s">
        <v>1582</v>
      </c>
      <c r="E3041" t="s">
        <v>178</v>
      </c>
      <c r="F3041">
        <v>3</v>
      </c>
      <c r="G3041">
        <v>1623.35</v>
      </c>
      <c r="H3041">
        <v>0.04</v>
      </c>
      <c r="I3041" s="4">
        <v>4675.25</v>
      </c>
      <c r="J3041" t="s">
        <v>109</v>
      </c>
      <c r="K3041" t="s">
        <v>48</v>
      </c>
      <c r="L3041" s="4">
        <f>VLOOKUP(tblTransactions[[#This Row],[Product_ID]],tblProducts[],5,FALSE)</f>
        <v>981.45</v>
      </c>
      <c r="M3041" s="4">
        <f>tblTransactions[[#This Row],[Total_Amount]]-(tblTransactions[[#This Row],[Cost_Prices]]*tblTransactions[[#This Row],[Quantity]]*(1-tblTransactions[[#This Row],[Discount]]))</f>
        <v>1848.674</v>
      </c>
      <c r="N3041" s="3">
        <f>tblTransactions[[#This Row],[Profit]]/tblTransactions[[#This Row],[Total_Amount]]</f>
        <v>0.39541714346826373</v>
      </c>
      <c r="O3041" t="str">
        <f>TEXT(tblTransactions[[#This Row],[Date]], "MMM-YYYY")</f>
        <v>Oct-2024</v>
      </c>
      <c r="P3041" t="str">
        <f>"Q"&amp;ROUNDUP(MONTH(tblTransactions[[#This Row],[Date]])/3,0)&amp;"-"&amp;YEAR(tblTransactions[[#This Row],[Date]])</f>
        <v>Q4-2024</v>
      </c>
      <c r="Q3041">
        <f>YEAR(tblTransactions[[#This Row],[Date]])</f>
        <v>2024</v>
      </c>
      <c r="R3041" t="str">
        <f>TEXT(tblTransactions[[#This Row],[Date]],"DDDD")</f>
        <v>Thursday</v>
      </c>
      <c r="S3041">
        <f>MONTH(tblTransactions[[#This Row],[Date]])</f>
        <v>10</v>
      </c>
      <c r="T3041" t="str">
        <f>VLOOKUP(E3041, Products!$A:$B,2,0)</f>
        <v>Tablets Ele-1</v>
      </c>
      <c r="U3041" t="str">
        <f>VLOOKUP(E3041,Products!$A:$C,3,0)</f>
        <v>Electronics</v>
      </c>
      <c r="V3041" t="str">
        <f>VLOOKUP(E3041,Products!$A:$D,4,0)</f>
        <v>Tablets</v>
      </c>
      <c r="W3041" t="str">
        <f>VLOOKUP(D3041,Customers!$A:$C,3,0)</f>
        <v>Small Business</v>
      </c>
      <c r="X3041" t="str">
        <f>VLOOKUP(C3041,Sales_Representatives!$A:$B,2,0)</f>
        <v>Richard Garcia</v>
      </c>
    </row>
    <row r="3042" spans="1:24" x14ac:dyDescent="0.3">
      <c r="A3042" t="s">
        <v>4139</v>
      </c>
      <c r="B3042" t="s">
        <v>4140</v>
      </c>
      <c r="C3042" t="s">
        <v>141</v>
      </c>
      <c r="D3042" t="s">
        <v>2096</v>
      </c>
      <c r="E3042" t="s">
        <v>168</v>
      </c>
      <c r="F3042">
        <v>2</v>
      </c>
      <c r="G3042">
        <v>101.59</v>
      </c>
      <c r="H3042">
        <v>0.01</v>
      </c>
      <c r="I3042" s="4">
        <v>201.15</v>
      </c>
      <c r="J3042" t="s">
        <v>109</v>
      </c>
      <c r="K3042" t="s">
        <v>48</v>
      </c>
      <c r="L3042" s="4">
        <f>VLOOKUP(tblTransactions[[#This Row],[Product_ID]],tblProducts[],5,FALSE)</f>
        <v>50.58</v>
      </c>
      <c r="M3042" s="4">
        <f>tblTransactions[[#This Row],[Total_Amount]]-(tblTransactions[[#This Row],[Cost_Prices]]*tblTransactions[[#This Row],[Quantity]]*(1-tblTransactions[[#This Row],[Discount]]))</f>
        <v>101.00160000000001</v>
      </c>
      <c r="N3042" s="3">
        <f>tblTransactions[[#This Row],[Profit]]/tblTransactions[[#This Row],[Total_Amount]]</f>
        <v>0.50212080536912751</v>
      </c>
      <c r="O3042" t="str">
        <f>TEXT(tblTransactions[[#This Row],[Date]], "MMM-YYYY")</f>
        <v>Oct-2024</v>
      </c>
      <c r="P3042" t="str">
        <f>"Q"&amp;ROUNDUP(MONTH(tblTransactions[[#This Row],[Date]])/3,0)&amp;"-"&amp;YEAR(tblTransactions[[#This Row],[Date]])</f>
        <v>Q4-2024</v>
      </c>
      <c r="Q3042">
        <f>YEAR(tblTransactions[[#This Row],[Date]])</f>
        <v>2024</v>
      </c>
      <c r="R3042" t="str">
        <f>TEXT(tblTransactions[[#This Row],[Date]],"DDDD")</f>
        <v>Friday</v>
      </c>
      <c r="S3042">
        <f>MONTH(tblTransactions[[#This Row],[Date]])</f>
        <v>10</v>
      </c>
      <c r="T3042" t="str">
        <f>VLOOKUP(E3042, Products!$A:$B,2,0)</f>
        <v>Cases Acc-4</v>
      </c>
      <c r="U3042" t="str">
        <f>VLOOKUP(E3042,Products!$A:$C,3,0)</f>
        <v>Accessories</v>
      </c>
      <c r="V3042" t="str">
        <f>VLOOKUP(E3042,Products!$A:$D,4,0)</f>
        <v>Cases</v>
      </c>
      <c r="W3042" t="str">
        <f>VLOOKUP(D3042,Customers!$A:$C,3,0)</f>
        <v>B2C</v>
      </c>
      <c r="X3042" t="str">
        <f>VLOOKUP(C3042,Sales_Representatives!$A:$B,2,0)</f>
        <v>Richard Garcia</v>
      </c>
    </row>
    <row r="3043" spans="1:24" x14ac:dyDescent="0.3">
      <c r="A3043" t="s">
        <v>4141</v>
      </c>
      <c r="B3043" t="s">
        <v>4140</v>
      </c>
      <c r="C3043" t="s">
        <v>63</v>
      </c>
      <c r="D3043" t="s">
        <v>1496</v>
      </c>
      <c r="E3043" t="s">
        <v>105</v>
      </c>
      <c r="F3043">
        <v>46</v>
      </c>
      <c r="G3043">
        <v>1342.04</v>
      </c>
      <c r="H3043">
        <v>0.16</v>
      </c>
      <c r="I3043" s="4">
        <v>51856.43</v>
      </c>
      <c r="J3043" t="s">
        <v>21</v>
      </c>
      <c r="K3043" t="s">
        <v>48</v>
      </c>
      <c r="L3043" s="4">
        <f>VLOOKUP(tblTransactions[[#This Row],[Product_ID]],tblProducts[],5,FALSE)</f>
        <v>792.89</v>
      </c>
      <c r="M3043" s="4">
        <f>tblTransactions[[#This Row],[Total_Amount]]-(tblTransactions[[#This Row],[Cost_Prices]]*tblTransactions[[#This Row],[Quantity]]*(1-tblTransactions[[#This Row],[Discount]]))</f>
        <v>21219.160400000001</v>
      </c>
      <c r="N3043" s="3">
        <f>tblTransactions[[#This Row],[Profit]]/tblTransactions[[#This Row],[Total_Amount]]</f>
        <v>0.40919053625558105</v>
      </c>
      <c r="O3043" t="str">
        <f>TEXT(tblTransactions[[#This Row],[Date]], "MMM-YYYY")</f>
        <v>Oct-2024</v>
      </c>
      <c r="P3043" t="str">
        <f>"Q"&amp;ROUNDUP(MONTH(tblTransactions[[#This Row],[Date]])/3,0)&amp;"-"&amp;YEAR(tblTransactions[[#This Row],[Date]])</f>
        <v>Q4-2024</v>
      </c>
      <c r="Q3043">
        <f>YEAR(tblTransactions[[#This Row],[Date]])</f>
        <v>2024</v>
      </c>
      <c r="R3043" t="str">
        <f>TEXT(tblTransactions[[#This Row],[Date]],"DDDD")</f>
        <v>Friday</v>
      </c>
      <c r="S3043">
        <f>MONTH(tblTransactions[[#This Row],[Date]])</f>
        <v>10</v>
      </c>
      <c r="T3043" t="str">
        <f>VLOOKUP(E3043, Products!$A:$B,2,0)</f>
        <v>Cameras Ele-1</v>
      </c>
      <c r="U3043" t="str">
        <f>VLOOKUP(E3043,Products!$A:$C,3,0)</f>
        <v>Electronics</v>
      </c>
      <c r="V3043" t="str">
        <f>VLOOKUP(E3043,Products!$A:$D,4,0)</f>
        <v>Cameras</v>
      </c>
      <c r="W3043" t="str">
        <f>VLOOKUP(D3043,Customers!$A:$C,3,0)</f>
        <v>Enterprise</v>
      </c>
      <c r="X3043" t="str">
        <f>VLOOKUP(C3043,Sales_Representatives!$A:$B,2,0)</f>
        <v>Richard Wilson</v>
      </c>
    </row>
    <row r="3044" spans="1:24" x14ac:dyDescent="0.3">
      <c r="A3044" t="s">
        <v>4142</v>
      </c>
      <c r="B3044" t="s">
        <v>4140</v>
      </c>
      <c r="C3044" t="s">
        <v>131</v>
      </c>
      <c r="D3044" t="s">
        <v>203</v>
      </c>
      <c r="E3044" t="s">
        <v>53</v>
      </c>
      <c r="F3044">
        <v>39</v>
      </c>
      <c r="G3044">
        <v>2069.2199999999998</v>
      </c>
      <c r="H3044">
        <v>0.23</v>
      </c>
      <c r="I3044" s="4">
        <v>62138.68</v>
      </c>
      <c r="J3044" t="s">
        <v>44</v>
      </c>
      <c r="K3044" t="s">
        <v>39</v>
      </c>
      <c r="L3044" s="4">
        <f>VLOOKUP(tblTransactions[[#This Row],[Product_ID]],tblProducts[],5,FALSE)</f>
        <v>1451.18</v>
      </c>
      <c r="M3044" s="4">
        <f>tblTransactions[[#This Row],[Total_Amount]]-(tblTransactions[[#This Row],[Cost_Prices]]*tblTransactions[[#This Row],[Quantity]]*(1-tblTransactions[[#This Row],[Discount]]))</f>
        <v>18559.744599999998</v>
      </c>
      <c r="N3044" s="3">
        <f>tblTransactions[[#This Row],[Profit]]/tblTransactions[[#This Row],[Total_Amount]]</f>
        <v>0.29868263374761095</v>
      </c>
      <c r="O3044" t="str">
        <f>TEXT(tblTransactions[[#This Row],[Date]], "MMM-YYYY")</f>
        <v>Oct-2024</v>
      </c>
      <c r="P3044" t="str">
        <f>"Q"&amp;ROUNDUP(MONTH(tblTransactions[[#This Row],[Date]])/3,0)&amp;"-"&amp;YEAR(tblTransactions[[#This Row],[Date]])</f>
        <v>Q4-2024</v>
      </c>
      <c r="Q3044">
        <f>YEAR(tblTransactions[[#This Row],[Date]])</f>
        <v>2024</v>
      </c>
      <c r="R3044" t="str">
        <f>TEXT(tblTransactions[[#This Row],[Date]],"DDDD")</f>
        <v>Friday</v>
      </c>
      <c r="S3044">
        <f>MONTH(tblTransactions[[#This Row],[Date]])</f>
        <v>10</v>
      </c>
      <c r="T3044" t="str">
        <f>VLOOKUP(E3044, Products!$A:$B,2,0)</f>
        <v>Printers Tec-3</v>
      </c>
      <c r="U3044" t="str">
        <f>VLOOKUP(E3044,Products!$A:$C,3,0)</f>
        <v>Technology</v>
      </c>
      <c r="V3044" t="str">
        <f>VLOOKUP(E3044,Products!$A:$D,4,0)</f>
        <v>Printers</v>
      </c>
      <c r="W3044" t="str">
        <f>VLOOKUP(D3044,Customers!$A:$C,3,0)</f>
        <v>Enterprise</v>
      </c>
      <c r="X3044" t="str">
        <f>VLOOKUP(C3044,Sales_Representatives!$A:$B,2,0)</f>
        <v>Michael Davis</v>
      </c>
    </row>
    <row r="3045" spans="1:24" x14ac:dyDescent="0.3">
      <c r="A3045" t="s">
        <v>4143</v>
      </c>
      <c r="B3045" t="s">
        <v>4140</v>
      </c>
      <c r="C3045" t="s">
        <v>82</v>
      </c>
      <c r="D3045" t="s">
        <v>134</v>
      </c>
      <c r="E3045" t="s">
        <v>255</v>
      </c>
      <c r="F3045">
        <v>10</v>
      </c>
      <c r="G3045">
        <v>1444.13</v>
      </c>
      <c r="H3045">
        <v>7.0000000000000007E-2</v>
      </c>
      <c r="I3045" s="4">
        <v>13430.41</v>
      </c>
      <c r="J3045" t="s">
        <v>34</v>
      </c>
      <c r="K3045" t="s">
        <v>35</v>
      </c>
      <c r="L3045" s="4">
        <f>VLOOKUP(tblTransactions[[#This Row],[Product_ID]],tblProducts[],5,FALSE)</f>
        <v>874.43</v>
      </c>
      <c r="M3045" s="4">
        <f>tblTransactions[[#This Row],[Total_Amount]]-(tblTransactions[[#This Row],[Cost_Prices]]*tblTransactions[[#This Row],[Quantity]]*(1-tblTransactions[[#This Row],[Discount]]))</f>
        <v>5298.2110000000011</v>
      </c>
      <c r="N3045" s="3">
        <f>tblTransactions[[#This Row],[Profit]]/tblTransactions[[#This Row],[Total_Amount]]</f>
        <v>0.39449361560816099</v>
      </c>
      <c r="O3045" t="str">
        <f>TEXT(tblTransactions[[#This Row],[Date]], "MMM-YYYY")</f>
        <v>Oct-2024</v>
      </c>
      <c r="P3045" t="str">
        <f>"Q"&amp;ROUNDUP(MONTH(tblTransactions[[#This Row],[Date]])/3,0)&amp;"-"&amp;YEAR(tblTransactions[[#This Row],[Date]])</f>
        <v>Q4-2024</v>
      </c>
      <c r="Q3045">
        <f>YEAR(tblTransactions[[#This Row],[Date]])</f>
        <v>2024</v>
      </c>
      <c r="R3045" t="str">
        <f>TEXT(tblTransactions[[#This Row],[Date]],"DDDD")</f>
        <v>Friday</v>
      </c>
      <c r="S3045">
        <f>MONTH(tblTransactions[[#This Row],[Date]])</f>
        <v>10</v>
      </c>
      <c r="T3045" t="str">
        <f>VLOOKUP(E3045, Products!$A:$B,2,0)</f>
        <v>Printers Tec-1</v>
      </c>
      <c r="U3045" t="str">
        <f>VLOOKUP(E3045,Products!$A:$C,3,0)</f>
        <v>Technology</v>
      </c>
      <c r="V3045" t="str">
        <f>VLOOKUP(E3045,Products!$A:$D,4,0)</f>
        <v>Printers</v>
      </c>
      <c r="W3045" t="str">
        <f>VLOOKUP(D3045,Customers!$A:$C,3,0)</f>
        <v>B2B</v>
      </c>
      <c r="X3045" t="str">
        <f>VLOOKUP(C3045,Sales_Representatives!$A:$B,2,0)</f>
        <v>John Brown</v>
      </c>
    </row>
    <row r="3046" spans="1:24" x14ac:dyDescent="0.3">
      <c r="A3046" t="s">
        <v>4144</v>
      </c>
      <c r="B3046" t="s">
        <v>4140</v>
      </c>
      <c r="C3046" t="s">
        <v>127</v>
      </c>
      <c r="D3046" t="s">
        <v>2119</v>
      </c>
      <c r="E3046" t="s">
        <v>339</v>
      </c>
      <c r="F3046">
        <v>12</v>
      </c>
      <c r="G3046">
        <v>1100.8800000000001</v>
      </c>
      <c r="H3046">
        <v>0.16</v>
      </c>
      <c r="I3046" s="4">
        <v>11096.87</v>
      </c>
      <c r="J3046" t="s">
        <v>109</v>
      </c>
      <c r="K3046" t="s">
        <v>48</v>
      </c>
      <c r="L3046" s="4">
        <f>VLOOKUP(tblTransactions[[#This Row],[Product_ID]],tblProducts[],5,FALSE)</f>
        <v>761.53</v>
      </c>
      <c r="M3046" s="4">
        <f>tblTransactions[[#This Row],[Total_Amount]]-(tblTransactions[[#This Row],[Cost_Prices]]*tblTransactions[[#This Row],[Quantity]]*(1-tblTransactions[[#This Row],[Discount]]))</f>
        <v>3420.6476000000002</v>
      </c>
      <c r="N3046" s="3">
        <f>tblTransactions[[#This Row],[Profit]]/tblTransactions[[#This Row],[Total_Amount]]</f>
        <v>0.30825337234733757</v>
      </c>
      <c r="O3046" t="str">
        <f>TEXT(tblTransactions[[#This Row],[Date]], "MMM-YYYY")</f>
        <v>Oct-2024</v>
      </c>
      <c r="P3046" t="str">
        <f>"Q"&amp;ROUNDUP(MONTH(tblTransactions[[#This Row],[Date]])/3,0)&amp;"-"&amp;YEAR(tblTransactions[[#This Row],[Date]])</f>
        <v>Q4-2024</v>
      </c>
      <c r="Q3046">
        <f>YEAR(tblTransactions[[#This Row],[Date]])</f>
        <v>2024</v>
      </c>
      <c r="R3046" t="str">
        <f>TEXT(tblTransactions[[#This Row],[Date]],"DDDD")</f>
        <v>Friday</v>
      </c>
      <c r="S3046">
        <f>MONTH(tblTransactions[[#This Row],[Date]])</f>
        <v>10</v>
      </c>
      <c r="T3046" t="str">
        <f>VLOOKUP(E3046, Products!$A:$B,2,0)</f>
        <v>Phones Ele-2</v>
      </c>
      <c r="U3046" t="str">
        <f>VLOOKUP(E3046,Products!$A:$C,3,0)</f>
        <v>Electronics</v>
      </c>
      <c r="V3046" t="str">
        <f>VLOOKUP(E3046,Products!$A:$D,4,0)</f>
        <v>Phones</v>
      </c>
      <c r="W3046" t="str">
        <f>VLOOKUP(D3046,Customers!$A:$C,3,0)</f>
        <v>B2B</v>
      </c>
      <c r="X3046" t="str">
        <f>VLOOKUP(C3046,Sales_Representatives!$A:$B,2,0)</f>
        <v>Emily Hernandez</v>
      </c>
    </row>
    <row r="3047" spans="1:24" x14ac:dyDescent="0.3">
      <c r="A3047" t="s">
        <v>4145</v>
      </c>
      <c r="B3047" t="s">
        <v>4140</v>
      </c>
      <c r="C3047" t="s">
        <v>131</v>
      </c>
      <c r="D3047" t="s">
        <v>164</v>
      </c>
      <c r="E3047" t="s">
        <v>248</v>
      </c>
      <c r="F3047">
        <v>6</v>
      </c>
      <c r="G3047">
        <v>82.29</v>
      </c>
      <c r="H3047">
        <v>0.15</v>
      </c>
      <c r="I3047" s="4">
        <v>419.68</v>
      </c>
      <c r="J3047" t="s">
        <v>44</v>
      </c>
      <c r="K3047" t="s">
        <v>39</v>
      </c>
      <c r="L3047" s="4">
        <f>VLOOKUP(tblTransactions[[#This Row],[Product_ID]],tblProducts[],5,FALSE)</f>
        <v>51.11</v>
      </c>
      <c r="M3047" s="4">
        <f>tblTransactions[[#This Row],[Total_Amount]]-(tblTransactions[[#This Row],[Cost_Prices]]*tblTransactions[[#This Row],[Quantity]]*(1-tblTransactions[[#This Row],[Discount]]))</f>
        <v>159.01900000000006</v>
      </c>
      <c r="N3047" s="3">
        <f>tblTransactions[[#This Row],[Profit]]/tblTransactions[[#This Row],[Total_Amount]]</f>
        <v>0.37890535646206647</v>
      </c>
      <c r="O3047" t="str">
        <f>TEXT(tblTransactions[[#This Row],[Date]], "MMM-YYYY")</f>
        <v>Oct-2024</v>
      </c>
      <c r="P3047" t="str">
        <f>"Q"&amp;ROUNDUP(MONTH(tblTransactions[[#This Row],[Date]])/3,0)&amp;"-"&amp;YEAR(tblTransactions[[#This Row],[Date]])</f>
        <v>Q4-2024</v>
      </c>
      <c r="Q3047">
        <f>YEAR(tblTransactions[[#This Row],[Date]])</f>
        <v>2024</v>
      </c>
      <c r="R3047" t="str">
        <f>TEXT(tblTransactions[[#This Row],[Date]],"DDDD")</f>
        <v>Friday</v>
      </c>
      <c r="S3047">
        <f>MONTH(tblTransactions[[#This Row],[Date]])</f>
        <v>10</v>
      </c>
      <c r="T3047" t="str">
        <f>VLOOKUP(E3047, Products!$A:$B,2,0)</f>
        <v>Keyboards Acc-2</v>
      </c>
      <c r="U3047" t="str">
        <f>VLOOKUP(E3047,Products!$A:$C,3,0)</f>
        <v>Accessories</v>
      </c>
      <c r="V3047" t="str">
        <f>VLOOKUP(E3047,Products!$A:$D,4,0)</f>
        <v>Keyboards</v>
      </c>
      <c r="W3047" t="str">
        <f>VLOOKUP(D3047,Customers!$A:$C,3,0)</f>
        <v>Small Business</v>
      </c>
      <c r="X3047" t="str">
        <f>VLOOKUP(C3047,Sales_Representatives!$A:$B,2,0)</f>
        <v>Michael Davis</v>
      </c>
    </row>
    <row r="3048" spans="1:24" x14ac:dyDescent="0.3">
      <c r="A3048" t="s">
        <v>4146</v>
      </c>
      <c r="B3048" t="s">
        <v>4147</v>
      </c>
      <c r="C3048" t="s">
        <v>82</v>
      </c>
      <c r="D3048" t="s">
        <v>2129</v>
      </c>
      <c r="E3048" t="s">
        <v>184</v>
      </c>
      <c r="F3048">
        <v>1</v>
      </c>
      <c r="G3048">
        <v>276.35000000000002</v>
      </c>
      <c r="H3048">
        <v>0.05</v>
      </c>
      <c r="I3048" s="4">
        <v>262.52999999999997</v>
      </c>
      <c r="J3048" t="s">
        <v>34</v>
      </c>
      <c r="K3048" t="s">
        <v>39</v>
      </c>
      <c r="L3048" s="4">
        <f>VLOOKUP(tblTransactions[[#This Row],[Product_ID]],tblProducts[],5,FALSE)</f>
        <v>130.15</v>
      </c>
      <c r="M3048" s="4">
        <f>tblTransactions[[#This Row],[Total_Amount]]-(tblTransactions[[#This Row],[Cost_Prices]]*tblTransactions[[#This Row],[Quantity]]*(1-tblTransactions[[#This Row],[Discount]]))</f>
        <v>138.88749999999999</v>
      </c>
      <c r="N3048" s="3">
        <f>tblTransactions[[#This Row],[Profit]]/tblTransactions[[#This Row],[Total_Amount]]</f>
        <v>0.52903477697786916</v>
      </c>
      <c r="O3048" t="str">
        <f>TEXT(tblTransactions[[#This Row],[Date]], "MMM-YYYY")</f>
        <v>Oct-2024</v>
      </c>
      <c r="P3048" t="str">
        <f>"Q"&amp;ROUNDUP(MONTH(tblTransactions[[#This Row],[Date]])/3,0)&amp;"-"&amp;YEAR(tblTransactions[[#This Row],[Date]])</f>
        <v>Q4-2024</v>
      </c>
      <c r="Q3048">
        <f>YEAR(tblTransactions[[#This Row],[Date]])</f>
        <v>2024</v>
      </c>
      <c r="R3048" t="str">
        <f>TEXT(tblTransactions[[#This Row],[Date]],"DDDD")</f>
        <v>Saturday</v>
      </c>
      <c r="S3048">
        <f>MONTH(tblTransactions[[#This Row],[Date]])</f>
        <v>10</v>
      </c>
      <c r="T3048" t="str">
        <f>VLOOKUP(E3048, Products!$A:$B,2,0)</f>
        <v>Binders Off-1</v>
      </c>
      <c r="U3048" t="str">
        <f>VLOOKUP(E3048,Products!$A:$C,3,0)</f>
        <v>Office Supplies</v>
      </c>
      <c r="V3048" t="str">
        <f>VLOOKUP(E3048,Products!$A:$D,4,0)</f>
        <v>Binders</v>
      </c>
      <c r="W3048" t="str">
        <f>VLOOKUP(D3048,Customers!$A:$C,3,0)</f>
        <v>B2C</v>
      </c>
      <c r="X3048" t="str">
        <f>VLOOKUP(C3048,Sales_Representatives!$A:$B,2,0)</f>
        <v>John Brown</v>
      </c>
    </row>
    <row r="3049" spans="1:24" x14ac:dyDescent="0.3">
      <c r="A3049" t="s">
        <v>4148</v>
      </c>
      <c r="B3049" t="s">
        <v>4147</v>
      </c>
      <c r="C3049" t="s">
        <v>141</v>
      </c>
      <c r="D3049" t="s">
        <v>1822</v>
      </c>
      <c r="E3049" t="s">
        <v>435</v>
      </c>
      <c r="F3049">
        <v>1</v>
      </c>
      <c r="G3049">
        <v>198.72</v>
      </c>
      <c r="H3049">
        <v>0.09</v>
      </c>
      <c r="I3049" s="4">
        <v>180.84</v>
      </c>
      <c r="J3049" t="s">
        <v>109</v>
      </c>
      <c r="K3049" t="s">
        <v>35</v>
      </c>
      <c r="L3049" s="4">
        <f>VLOOKUP(tblTransactions[[#This Row],[Product_ID]],tblProducts[],5,FALSE)</f>
        <v>116.98</v>
      </c>
      <c r="M3049" s="4">
        <f>tblTransactions[[#This Row],[Total_Amount]]-(tblTransactions[[#This Row],[Cost_Prices]]*tblTransactions[[#This Row],[Quantity]]*(1-tblTransactions[[#This Row],[Discount]]))</f>
        <v>74.388199999999998</v>
      </c>
      <c r="N3049" s="3">
        <f>tblTransactions[[#This Row],[Profit]]/tblTransactions[[#This Row],[Total_Amount]]</f>
        <v>0.41134815306348149</v>
      </c>
      <c r="O3049" t="str">
        <f>TEXT(tblTransactions[[#This Row],[Date]], "MMM-YYYY")</f>
        <v>Oct-2024</v>
      </c>
      <c r="P3049" t="str">
        <f>"Q"&amp;ROUNDUP(MONTH(tblTransactions[[#This Row],[Date]])/3,0)&amp;"-"&amp;YEAR(tblTransactions[[#This Row],[Date]])</f>
        <v>Q4-2024</v>
      </c>
      <c r="Q3049">
        <f>YEAR(tblTransactions[[#This Row],[Date]])</f>
        <v>2024</v>
      </c>
      <c r="R3049" t="str">
        <f>TEXT(tblTransactions[[#This Row],[Date]],"DDDD")</f>
        <v>Saturday</v>
      </c>
      <c r="S3049">
        <f>MONTH(tblTransactions[[#This Row],[Date]])</f>
        <v>10</v>
      </c>
      <c r="T3049" t="str">
        <f>VLOOKUP(E3049, Products!$A:$B,2,0)</f>
        <v>Paper Off-4</v>
      </c>
      <c r="U3049" t="str">
        <f>VLOOKUP(E3049,Products!$A:$C,3,0)</f>
        <v>Office Supplies</v>
      </c>
      <c r="V3049" t="str">
        <f>VLOOKUP(E3049,Products!$A:$D,4,0)</f>
        <v>Paper</v>
      </c>
      <c r="W3049" t="str">
        <f>VLOOKUP(D3049,Customers!$A:$C,3,0)</f>
        <v>B2C</v>
      </c>
      <c r="X3049" t="str">
        <f>VLOOKUP(C3049,Sales_Representatives!$A:$B,2,0)</f>
        <v>Richard Garcia</v>
      </c>
    </row>
    <row r="3050" spans="1:24" x14ac:dyDescent="0.3">
      <c r="A3050" t="s">
        <v>4149</v>
      </c>
      <c r="B3050" t="s">
        <v>4147</v>
      </c>
      <c r="C3050" t="s">
        <v>31</v>
      </c>
      <c r="D3050" t="s">
        <v>1610</v>
      </c>
      <c r="E3050" t="s">
        <v>479</v>
      </c>
      <c r="F3050">
        <v>4</v>
      </c>
      <c r="G3050">
        <v>239.6</v>
      </c>
      <c r="H3050">
        <v>0.03</v>
      </c>
      <c r="I3050" s="4">
        <v>929.65</v>
      </c>
      <c r="J3050" t="s">
        <v>34</v>
      </c>
      <c r="K3050" t="s">
        <v>39</v>
      </c>
      <c r="L3050" s="4">
        <f>VLOOKUP(tblTransactions[[#This Row],[Product_ID]],tblProducts[],5,FALSE)</f>
        <v>107.49</v>
      </c>
      <c r="M3050" s="4">
        <f>tblTransactions[[#This Row],[Total_Amount]]-(tblTransactions[[#This Row],[Cost_Prices]]*tblTransactions[[#This Row],[Quantity]]*(1-tblTransactions[[#This Row],[Discount]]))</f>
        <v>512.58879999999999</v>
      </c>
      <c r="N3050" s="3">
        <f>tblTransactions[[#This Row],[Profit]]/tblTransactions[[#This Row],[Total_Amount]]</f>
        <v>0.55137826063572315</v>
      </c>
      <c r="O3050" t="str">
        <f>TEXT(tblTransactions[[#This Row],[Date]], "MMM-YYYY")</f>
        <v>Oct-2024</v>
      </c>
      <c r="P3050" t="str">
        <f>"Q"&amp;ROUNDUP(MONTH(tblTransactions[[#This Row],[Date]])/3,0)&amp;"-"&amp;YEAR(tblTransactions[[#This Row],[Date]])</f>
        <v>Q4-2024</v>
      </c>
      <c r="Q3050">
        <f>YEAR(tblTransactions[[#This Row],[Date]])</f>
        <v>2024</v>
      </c>
      <c r="R3050" t="str">
        <f>TEXT(tblTransactions[[#This Row],[Date]],"DDDD")</f>
        <v>Saturday</v>
      </c>
      <c r="S3050">
        <f>MONTH(tblTransactions[[#This Row],[Date]])</f>
        <v>10</v>
      </c>
      <c r="T3050" t="str">
        <f>VLOOKUP(E3050, Products!$A:$B,2,0)</f>
        <v>Pens Off-2</v>
      </c>
      <c r="U3050" t="str">
        <f>VLOOKUP(E3050,Products!$A:$C,3,0)</f>
        <v>Office Supplies</v>
      </c>
      <c r="V3050" t="str">
        <f>VLOOKUP(E3050,Products!$A:$D,4,0)</f>
        <v>Pens</v>
      </c>
      <c r="W3050" t="str">
        <f>VLOOKUP(D3050,Customers!$A:$C,3,0)</f>
        <v>B2C</v>
      </c>
      <c r="X3050" t="str">
        <f>VLOOKUP(C3050,Sales_Representatives!$A:$B,2,0)</f>
        <v>Thomas Martinez</v>
      </c>
    </row>
    <row r="3051" spans="1:24" x14ac:dyDescent="0.3">
      <c r="A3051" t="s">
        <v>4150</v>
      </c>
      <c r="B3051" t="s">
        <v>4147</v>
      </c>
      <c r="C3051" t="s">
        <v>75</v>
      </c>
      <c r="D3051" t="s">
        <v>2020</v>
      </c>
      <c r="E3051" t="s">
        <v>145</v>
      </c>
      <c r="F3051">
        <v>1</v>
      </c>
      <c r="G3051">
        <v>93.43</v>
      </c>
      <c r="H3051">
        <v>0.04</v>
      </c>
      <c r="I3051" s="4">
        <v>89.69</v>
      </c>
      <c r="J3051" t="s">
        <v>44</v>
      </c>
      <c r="K3051" t="s">
        <v>35</v>
      </c>
      <c r="L3051" s="4">
        <f>VLOOKUP(tblTransactions[[#This Row],[Product_ID]],tblProducts[],5,FALSE)</f>
        <v>45.74</v>
      </c>
      <c r="M3051" s="4">
        <f>tblTransactions[[#This Row],[Total_Amount]]-(tblTransactions[[#This Row],[Cost_Prices]]*tblTransactions[[#This Row],[Quantity]]*(1-tblTransactions[[#This Row],[Discount]]))</f>
        <v>45.779599999999995</v>
      </c>
      <c r="N3051" s="3">
        <f>tblTransactions[[#This Row],[Profit]]/tblTransactions[[#This Row],[Total_Amount]]</f>
        <v>0.51042033671535281</v>
      </c>
      <c r="O3051" t="str">
        <f>TEXT(tblTransactions[[#This Row],[Date]], "MMM-YYYY")</f>
        <v>Oct-2024</v>
      </c>
      <c r="P3051" t="str">
        <f>"Q"&amp;ROUNDUP(MONTH(tblTransactions[[#This Row],[Date]])/3,0)&amp;"-"&amp;YEAR(tblTransactions[[#This Row],[Date]])</f>
        <v>Q4-2024</v>
      </c>
      <c r="Q3051">
        <f>YEAR(tblTransactions[[#This Row],[Date]])</f>
        <v>2024</v>
      </c>
      <c r="R3051" t="str">
        <f>TEXT(tblTransactions[[#This Row],[Date]],"DDDD")</f>
        <v>Saturday</v>
      </c>
      <c r="S3051">
        <f>MONTH(tblTransactions[[#This Row],[Date]])</f>
        <v>10</v>
      </c>
      <c r="T3051" t="str">
        <f>VLOOKUP(E3051, Products!$A:$B,2,0)</f>
        <v>Paper Off-1</v>
      </c>
      <c r="U3051" t="str">
        <f>VLOOKUP(E3051,Products!$A:$C,3,0)</f>
        <v>Office Supplies</v>
      </c>
      <c r="V3051" t="str">
        <f>VLOOKUP(E3051,Products!$A:$D,4,0)</f>
        <v>Paper</v>
      </c>
      <c r="W3051" t="str">
        <f>VLOOKUP(D3051,Customers!$A:$C,3,0)</f>
        <v>B2C</v>
      </c>
      <c r="X3051" t="str">
        <f>VLOOKUP(C3051,Sales_Representatives!$A:$B,2,0)</f>
        <v>Jessica Anderson</v>
      </c>
    </row>
    <row r="3052" spans="1:24" x14ac:dyDescent="0.3">
      <c r="A3052" t="s">
        <v>4151</v>
      </c>
      <c r="B3052" t="s">
        <v>4147</v>
      </c>
      <c r="C3052" t="s">
        <v>131</v>
      </c>
      <c r="D3052" t="s">
        <v>2329</v>
      </c>
      <c r="E3052" t="s">
        <v>121</v>
      </c>
      <c r="F3052">
        <v>3</v>
      </c>
      <c r="G3052">
        <v>183.9</v>
      </c>
      <c r="H3052">
        <v>0.04</v>
      </c>
      <c r="I3052" s="4">
        <v>529.63</v>
      </c>
      <c r="J3052" t="s">
        <v>44</v>
      </c>
      <c r="K3052" t="s">
        <v>35</v>
      </c>
      <c r="L3052" s="4">
        <f>VLOOKUP(tblTransactions[[#This Row],[Product_ID]],tblProducts[],5,FALSE)</f>
        <v>116.83</v>
      </c>
      <c r="M3052" s="4">
        <f>tblTransactions[[#This Row],[Total_Amount]]-(tblTransactions[[#This Row],[Cost_Prices]]*tblTransactions[[#This Row],[Quantity]]*(1-tblTransactions[[#This Row],[Discount]]))</f>
        <v>193.15960000000001</v>
      </c>
      <c r="N3052" s="3">
        <f>tblTransactions[[#This Row],[Profit]]/tblTransactions[[#This Row],[Total_Amount]]</f>
        <v>0.36470668202329931</v>
      </c>
      <c r="O3052" t="str">
        <f>TEXT(tblTransactions[[#This Row],[Date]], "MMM-YYYY")</f>
        <v>Oct-2024</v>
      </c>
      <c r="P3052" t="str">
        <f>"Q"&amp;ROUNDUP(MONTH(tblTransactions[[#This Row],[Date]])/3,0)&amp;"-"&amp;YEAR(tblTransactions[[#This Row],[Date]])</f>
        <v>Q4-2024</v>
      </c>
      <c r="Q3052">
        <f>YEAR(tblTransactions[[#This Row],[Date]])</f>
        <v>2024</v>
      </c>
      <c r="R3052" t="str">
        <f>TEXT(tblTransactions[[#This Row],[Date]],"DDDD")</f>
        <v>Saturday</v>
      </c>
      <c r="S3052">
        <f>MONTH(tblTransactions[[#This Row],[Date]])</f>
        <v>10</v>
      </c>
      <c r="T3052" t="str">
        <f>VLOOKUP(E3052, Products!$A:$B,2,0)</f>
        <v>Pens Off-3</v>
      </c>
      <c r="U3052" t="str">
        <f>VLOOKUP(E3052,Products!$A:$C,3,0)</f>
        <v>Office Supplies</v>
      </c>
      <c r="V3052" t="str">
        <f>VLOOKUP(E3052,Products!$A:$D,4,0)</f>
        <v>Pens</v>
      </c>
      <c r="W3052" t="str">
        <f>VLOOKUP(D3052,Customers!$A:$C,3,0)</f>
        <v>B2C</v>
      </c>
      <c r="X3052" t="str">
        <f>VLOOKUP(C3052,Sales_Representatives!$A:$B,2,0)</f>
        <v>Michael Davis</v>
      </c>
    </row>
    <row r="3053" spans="1:24" x14ac:dyDescent="0.3">
      <c r="A3053" t="s">
        <v>4152</v>
      </c>
      <c r="B3053" t="s">
        <v>4153</v>
      </c>
      <c r="C3053" t="s">
        <v>41</v>
      </c>
      <c r="D3053" t="s">
        <v>4154</v>
      </c>
      <c r="E3053" t="s">
        <v>290</v>
      </c>
      <c r="F3053">
        <v>15</v>
      </c>
      <c r="G3053">
        <v>729.32</v>
      </c>
      <c r="H3053">
        <v>0.11</v>
      </c>
      <c r="I3053" s="4">
        <v>9736.42</v>
      </c>
      <c r="J3053" t="s">
        <v>44</v>
      </c>
      <c r="K3053" t="s">
        <v>22</v>
      </c>
      <c r="L3053" s="4">
        <f>VLOOKUP(tblTransactions[[#This Row],[Product_ID]],tblProducts[],5,FALSE)</f>
        <v>482.7</v>
      </c>
      <c r="M3053" s="4">
        <f>tblTransactions[[#This Row],[Total_Amount]]-(tblTransactions[[#This Row],[Cost_Prices]]*tblTransactions[[#This Row],[Quantity]]*(1-tblTransactions[[#This Row],[Discount]]))</f>
        <v>3292.375</v>
      </c>
      <c r="N3053" s="3">
        <f>tblTransactions[[#This Row],[Profit]]/tblTransactions[[#This Row],[Total_Amount]]</f>
        <v>0.33815047009064936</v>
      </c>
      <c r="O3053" t="str">
        <f>TEXT(tblTransactions[[#This Row],[Date]], "MMM-YYYY")</f>
        <v>Oct-2024</v>
      </c>
      <c r="P3053" t="str">
        <f>"Q"&amp;ROUNDUP(MONTH(tblTransactions[[#This Row],[Date]])/3,0)&amp;"-"&amp;YEAR(tblTransactions[[#This Row],[Date]])</f>
        <v>Q4-2024</v>
      </c>
      <c r="Q3053">
        <f>YEAR(tblTransactions[[#This Row],[Date]])</f>
        <v>2024</v>
      </c>
      <c r="R3053" t="str">
        <f>TEXT(tblTransactions[[#This Row],[Date]],"DDDD")</f>
        <v>Sunday</v>
      </c>
      <c r="S3053">
        <f>MONTH(tblTransactions[[#This Row],[Date]])</f>
        <v>10</v>
      </c>
      <c r="T3053" t="str">
        <f>VLOOKUP(E3053, Products!$A:$B,2,0)</f>
        <v>Tables Fur-1</v>
      </c>
      <c r="U3053" t="str">
        <f>VLOOKUP(E3053,Products!$A:$C,3,0)</f>
        <v>Furniture</v>
      </c>
      <c r="V3053" t="str">
        <f>VLOOKUP(E3053,Products!$A:$D,4,0)</f>
        <v>Tables</v>
      </c>
      <c r="W3053" t="str">
        <f>VLOOKUP(D3053,Customers!$A:$C,3,0)</f>
        <v>B2B</v>
      </c>
      <c r="X3053" t="str">
        <f>VLOOKUP(C3053,Sales_Representatives!$A:$B,2,0)</f>
        <v>Robert Jones</v>
      </c>
    </row>
    <row r="3054" spans="1:24" x14ac:dyDescent="0.3">
      <c r="A3054" t="s">
        <v>4155</v>
      </c>
      <c r="B3054" t="s">
        <v>4153</v>
      </c>
      <c r="C3054" t="s">
        <v>82</v>
      </c>
      <c r="D3054" t="s">
        <v>2188</v>
      </c>
      <c r="E3054" t="s">
        <v>314</v>
      </c>
      <c r="F3054">
        <v>6</v>
      </c>
      <c r="G3054">
        <v>204.97</v>
      </c>
      <c r="H3054">
        <v>0.08</v>
      </c>
      <c r="I3054" s="4">
        <v>1131.43</v>
      </c>
      <c r="J3054" t="s">
        <v>34</v>
      </c>
      <c r="K3054" t="s">
        <v>17</v>
      </c>
      <c r="L3054" s="4">
        <f>VLOOKUP(tblTransactions[[#This Row],[Product_ID]],tblProducts[],5,FALSE)</f>
        <v>121.53</v>
      </c>
      <c r="M3054" s="4">
        <f>tblTransactions[[#This Row],[Total_Amount]]-(tblTransactions[[#This Row],[Cost_Prices]]*tblTransactions[[#This Row],[Quantity]]*(1-tblTransactions[[#This Row],[Discount]]))</f>
        <v>460.58439999999996</v>
      </c>
      <c r="N3054" s="3">
        <f>tblTransactions[[#This Row],[Profit]]/tblTransactions[[#This Row],[Total_Amount]]</f>
        <v>0.40708165772517957</v>
      </c>
      <c r="O3054" t="str">
        <f>TEXT(tblTransactions[[#This Row],[Date]], "MMM-YYYY")</f>
        <v>Oct-2024</v>
      </c>
      <c r="P3054" t="str">
        <f>"Q"&amp;ROUNDUP(MONTH(tblTransactions[[#This Row],[Date]])/3,0)&amp;"-"&amp;YEAR(tblTransactions[[#This Row],[Date]])</f>
        <v>Q4-2024</v>
      </c>
      <c r="Q3054">
        <f>YEAR(tblTransactions[[#This Row],[Date]])</f>
        <v>2024</v>
      </c>
      <c r="R3054" t="str">
        <f>TEXT(tblTransactions[[#This Row],[Date]],"DDDD")</f>
        <v>Sunday</v>
      </c>
      <c r="S3054">
        <f>MONTH(tblTransactions[[#This Row],[Date]])</f>
        <v>10</v>
      </c>
      <c r="T3054" t="str">
        <f>VLOOKUP(E3054, Products!$A:$B,2,0)</f>
        <v>Adapters Acc-3</v>
      </c>
      <c r="U3054" t="str">
        <f>VLOOKUP(E3054,Products!$A:$C,3,0)</f>
        <v>Accessories</v>
      </c>
      <c r="V3054" t="str">
        <f>VLOOKUP(E3054,Products!$A:$D,4,0)</f>
        <v>Adapters</v>
      </c>
      <c r="W3054" t="str">
        <f>VLOOKUP(D3054,Customers!$A:$C,3,0)</f>
        <v>B2C</v>
      </c>
      <c r="X3054" t="str">
        <f>VLOOKUP(C3054,Sales_Representatives!$A:$B,2,0)</f>
        <v>John Brown</v>
      </c>
    </row>
    <row r="3055" spans="1:24" x14ac:dyDescent="0.3">
      <c r="A3055" t="s">
        <v>4156</v>
      </c>
      <c r="B3055" t="s">
        <v>4157</v>
      </c>
      <c r="C3055" t="s">
        <v>31</v>
      </c>
      <c r="D3055" t="s">
        <v>2088</v>
      </c>
      <c r="E3055" t="s">
        <v>25</v>
      </c>
      <c r="F3055">
        <v>29</v>
      </c>
      <c r="G3055">
        <v>1467.49</v>
      </c>
      <c r="H3055">
        <v>0.18</v>
      </c>
      <c r="I3055" s="4">
        <v>34896.910000000003</v>
      </c>
      <c r="J3055" t="s">
        <v>34</v>
      </c>
      <c r="K3055" t="s">
        <v>22</v>
      </c>
      <c r="L3055" s="4">
        <f>VLOOKUP(tblTransactions[[#This Row],[Product_ID]],tblProducts[],5,FALSE)</f>
        <v>757.65</v>
      </c>
      <c r="M3055" s="4">
        <f>tblTransactions[[#This Row],[Total_Amount]]-(tblTransactions[[#This Row],[Cost_Prices]]*tblTransactions[[#This Row],[Quantity]]*(1-tblTransactions[[#This Row],[Discount]]))</f>
        <v>16879.993000000002</v>
      </c>
      <c r="N3055" s="3">
        <f>tblTransactions[[#This Row],[Profit]]/tblTransactions[[#This Row],[Total_Amount]]</f>
        <v>0.4837102482712653</v>
      </c>
      <c r="O3055" t="str">
        <f>TEXT(tblTransactions[[#This Row],[Date]], "MMM-YYYY")</f>
        <v>Oct-2024</v>
      </c>
      <c r="P3055" t="str">
        <f>"Q"&amp;ROUNDUP(MONTH(tblTransactions[[#This Row],[Date]])/3,0)&amp;"-"&amp;YEAR(tblTransactions[[#This Row],[Date]])</f>
        <v>Q4-2024</v>
      </c>
      <c r="Q3055">
        <f>YEAR(tblTransactions[[#This Row],[Date]])</f>
        <v>2024</v>
      </c>
      <c r="R3055" t="str">
        <f>TEXT(tblTransactions[[#This Row],[Date]],"DDDD")</f>
        <v>Monday</v>
      </c>
      <c r="S3055">
        <f>MONTH(tblTransactions[[#This Row],[Date]])</f>
        <v>10</v>
      </c>
      <c r="T3055" t="str">
        <f>VLOOKUP(E3055, Products!$A:$B,2,0)</f>
        <v>Tables Fur-3</v>
      </c>
      <c r="U3055" t="str">
        <f>VLOOKUP(E3055,Products!$A:$C,3,0)</f>
        <v>Furniture</v>
      </c>
      <c r="V3055" t="str">
        <f>VLOOKUP(E3055,Products!$A:$D,4,0)</f>
        <v>Tables</v>
      </c>
      <c r="W3055" t="str">
        <f>VLOOKUP(D3055,Customers!$A:$C,3,0)</f>
        <v>Enterprise</v>
      </c>
      <c r="X3055" t="str">
        <f>VLOOKUP(C3055,Sales_Representatives!$A:$B,2,0)</f>
        <v>Thomas Martinez</v>
      </c>
    </row>
    <row r="3056" spans="1:24" x14ac:dyDescent="0.3">
      <c r="A3056" t="s">
        <v>4158</v>
      </c>
      <c r="B3056" t="s">
        <v>4157</v>
      </c>
      <c r="C3056" t="s">
        <v>131</v>
      </c>
      <c r="D3056" t="s">
        <v>2036</v>
      </c>
      <c r="E3056" t="s">
        <v>152</v>
      </c>
      <c r="F3056">
        <v>2</v>
      </c>
      <c r="G3056">
        <v>859.93</v>
      </c>
      <c r="H3056">
        <v>0.02</v>
      </c>
      <c r="I3056" s="4">
        <v>1685.46</v>
      </c>
      <c r="J3056" t="s">
        <v>44</v>
      </c>
      <c r="K3056" t="s">
        <v>35</v>
      </c>
      <c r="L3056" s="4">
        <f>VLOOKUP(tblTransactions[[#This Row],[Product_ID]],tblProducts[],5,FALSE)</f>
        <v>579.79</v>
      </c>
      <c r="M3056" s="4">
        <f>tblTransactions[[#This Row],[Total_Amount]]-(tblTransactions[[#This Row],[Cost_Prices]]*tblTransactions[[#This Row],[Quantity]]*(1-tblTransactions[[#This Row],[Discount]]))</f>
        <v>549.07160000000022</v>
      </c>
      <c r="N3056" s="3">
        <f>tblTransactions[[#This Row],[Profit]]/tblTransactions[[#This Row],[Total_Amount]]</f>
        <v>0.32576958219121199</v>
      </c>
      <c r="O3056" t="str">
        <f>TEXT(tblTransactions[[#This Row],[Date]], "MMM-YYYY")</f>
        <v>Oct-2024</v>
      </c>
      <c r="P3056" t="str">
        <f>"Q"&amp;ROUNDUP(MONTH(tblTransactions[[#This Row],[Date]])/3,0)&amp;"-"&amp;YEAR(tblTransactions[[#This Row],[Date]])</f>
        <v>Q4-2024</v>
      </c>
      <c r="Q3056">
        <f>YEAR(tblTransactions[[#This Row],[Date]])</f>
        <v>2024</v>
      </c>
      <c r="R3056" t="str">
        <f>TEXT(tblTransactions[[#This Row],[Date]],"DDDD")</f>
        <v>Monday</v>
      </c>
      <c r="S3056">
        <f>MONTH(tblTransactions[[#This Row],[Date]])</f>
        <v>10</v>
      </c>
      <c r="T3056" t="str">
        <f>VLOOKUP(E3056, Products!$A:$B,2,0)</f>
        <v>Phones Ele-4</v>
      </c>
      <c r="U3056" t="str">
        <f>VLOOKUP(E3056,Products!$A:$C,3,0)</f>
        <v>Electronics</v>
      </c>
      <c r="V3056" t="str">
        <f>VLOOKUP(E3056,Products!$A:$D,4,0)</f>
        <v>Phones</v>
      </c>
      <c r="W3056" t="str">
        <f>VLOOKUP(D3056,Customers!$A:$C,3,0)</f>
        <v>B2C</v>
      </c>
      <c r="X3056" t="str">
        <f>VLOOKUP(C3056,Sales_Representatives!$A:$B,2,0)</f>
        <v>Michael Davis</v>
      </c>
    </row>
    <row r="3057" spans="1:24" x14ac:dyDescent="0.3">
      <c r="A3057" t="s">
        <v>4159</v>
      </c>
      <c r="B3057" t="s">
        <v>4157</v>
      </c>
      <c r="C3057" t="s">
        <v>82</v>
      </c>
      <c r="D3057" t="s">
        <v>237</v>
      </c>
      <c r="E3057" t="s">
        <v>290</v>
      </c>
      <c r="F3057">
        <v>15</v>
      </c>
      <c r="G3057">
        <v>729.32</v>
      </c>
      <c r="H3057">
        <v>0.1</v>
      </c>
      <c r="I3057" s="4">
        <v>9845.82</v>
      </c>
      <c r="J3057" t="s">
        <v>34</v>
      </c>
      <c r="K3057" t="s">
        <v>39</v>
      </c>
      <c r="L3057" s="4">
        <f>VLOOKUP(tblTransactions[[#This Row],[Product_ID]],tblProducts[],5,FALSE)</f>
        <v>482.7</v>
      </c>
      <c r="M3057" s="4">
        <f>tblTransactions[[#This Row],[Total_Amount]]-(tblTransactions[[#This Row],[Cost_Prices]]*tblTransactions[[#This Row],[Quantity]]*(1-tblTransactions[[#This Row],[Discount]]))</f>
        <v>3329.37</v>
      </c>
      <c r="N3057" s="3">
        <f>tblTransactions[[#This Row],[Profit]]/tblTransactions[[#This Row],[Total_Amount]]</f>
        <v>0.33815060604398617</v>
      </c>
      <c r="O3057" t="str">
        <f>TEXT(tblTransactions[[#This Row],[Date]], "MMM-YYYY")</f>
        <v>Oct-2024</v>
      </c>
      <c r="P3057" t="str">
        <f>"Q"&amp;ROUNDUP(MONTH(tblTransactions[[#This Row],[Date]])/3,0)&amp;"-"&amp;YEAR(tblTransactions[[#This Row],[Date]])</f>
        <v>Q4-2024</v>
      </c>
      <c r="Q3057">
        <f>YEAR(tblTransactions[[#This Row],[Date]])</f>
        <v>2024</v>
      </c>
      <c r="R3057" t="str">
        <f>TEXT(tblTransactions[[#This Row],[Date]],"DDDD")</f>
        <v>Monday</v>
      </c>
      <c r="S3057">
        <f>MONTH(tblTransactions[[#This Row],[Date]])</f>
        <v>10</v>
      </c>
      <c r="T3057" t="str">
        <f>VLOOKUP(E3057, Products!$A:$B,2,0)</f>
        <v>Tables Fur-1</v>
      </c>
      <c r="U3057" t="str">
        <f>VLOOKUP(E3057,Products!$A:$C,3,0)</f>
        <v>Furniture</v>
      </c>
      <c r="V3057" t="str">
        <f>VLOOKUP(E3057,Products!$A:$D,4,0)</f>
        <v>Tables</v>
      </c>
      <c r="W3057" t="str">
        <f>VLOOKUP(D3057,Customers!$A:$C,3,0)</f>
        <v>B2B</v>
      </c>
      <c r="X3057" t="str">
        <f>VLOOKUP(C3057,Sales_Representatives!$A:$B,2,0)</f>
        <v>John Brown</v>
      </c>
    </row>
    <row r="3058" spans="1:24" x14ac:dyDescent="0.3">
      <c r="A3058" t="s">
        <v>4160</v>
      </c>
      <c r="B3058" t="s">
        <v>4157</v>
      </c>
      <c r="C3058" t="s">
        <v>56</v>
      </c>
      <c r="D3058" t="s">
        <v>2243</v>
      </c>
      <c r="E3058" t="s">
        <v>121</v>
      </c>
      <c r="F3058">
        <v>7</v>
      </c>
      <c r="G3058">
        <v>183.9</v>
      </c>
      <c r="H3058">
        <v>0.11</v>
      </c>
      <c r="I3058" s="4">
        <v>1145.7</v>
      </c>
      <c r="J3058" t="s">
        <v>34</v>
      </c>
      <c r="K3058" t="s">
        <v>17</v>
      </c>
      <c r="L3058" s="4">
        <f>VLOOKUP(tblTransactions[[#This Row],[Product_ID]],tblProducts[],5,FALSE)</f>
        <v>116.83</v>
      </c>
      <c r="M3058" s="4">
        <f>tblTransactions[[#This Row],[Total_Amount]]-(tblTransactions[[#This Row],[Cost_Prices]]*tblTransactions[[#This Row],[Quantity]]*(1-tblTransactions[[#This Row],[Discount]]))</f>
        <v>417.84910000000013</v>
      </c>
      <c r="N3058" s="3">
        <f>tblTransactions[[#This Row],[Profit]]/tblTransactions[[#This Row],[Total_Amount]]</f>
        <v>0.36471074452299912</v>
      </c>
      <c r="O3058" t="str">
        <f>TEXT(tblTransactions[[#This Row],[Date]], "MMM-YYYY")</f>
        <v>Oct-2024</v>
      </c>
      <c r="P3058" t="str">
        <f>"Q"&amp;ROUNDUP(MONTH(tblTransactions[[#This Row],[Date]])/3,0)&amp;"-"&amp;YEAR(tblTransactions[[#This Row],[Date]])</f>
        <v>Q4-2024</v>
      </c>
      <c r="Q3058">
        <f>YEAR(tblTransactions[[#This Row],[Date]])</f>
        <v>2024</v>
      </c>
      <c r="R3058" t="str">
        <f>TEXT(tblTransactions[[#This Row],[Date]],"DDDD")</f>
        <v>Monday</v>
      </c>
      <c r="S3058">
        <f>MONTH(tblTransactions[[#This Row],[Date]])</f>
        <v>10</v>
      </c>
      <c r="T3058" t="str">
        <f>VLOOKUP(E3058, Products!$A:$B,2,0)</f>
        <v>Pens Off-3</v>
      </c>
      <c r="U3058" t="str">
        <f>VLOOKUP(E3058,Products!$A:$C,3,0)</f>
        <v>Office Supplies</v>
      </c>
      <c r="V3058" t="str">
        <f>VLOOKUP(E3058,Products!$A:$D,4,0)</f>
        <v>Pens</v>
      </c>
      <c r="W3058" t="str">
        <f>VLOOKUP(D3058,Customers!$A:$C,3,0)</f>
        <v>B2C</v>
      </c>
      <c r="X3058" t="str">
        <f>VLOOKUP(C3058,Sales_Representatives!$A:$B,2,0)</f>
        <v>Thomas Hernandez</v>
      </c>
    </row>
    <row r="3059" spans="1:24" x14ac:dyDescent="0.3">
      <c r="A3059" t="s">
        <v>4161</v>
      </c>
      <c r="B3059" t="s">
        <v>4162</v>
      </c>
      <c r="C3059" t="s">
        <v>27</v>
      </c>
      <c r="D3059" t="s">
        <v>2232</v>
      </c>
      <c r="E3059" t="s">
        <v>345</v>
      </c>
      <c r="F3059">
        <v>3</v>
      </c>
      <c r="G3059">
        <v>13.97</v>
      </c>
      <c r="H3059">
        <v>0.01</v>
      </c>
      <c r="I3059" s="4">
        <v>41.49</v>
      </c>
      <c r="J3059" t="s">
        <v>16</v>
      </c>
      <c r="K3059" t="s">
        <v>39</v>
      </c>
      <c r="L3059" s="4">
        <f>VLOOKUP(tblTransactions[[#This Row],[Product_ID]],tblProducts[],5,FALSE)</f>
        <v>8.69</v>
      </c>
      <c r="M3059" s="4">
        <f>tblTransactions[[#This Row],[Total_Amount]]-(tblTransactions[[#This Row],[Cost_Prices]]*tblTransactions[[#This Row],[Quantity]]*(1-tblTransactions[[#This Row],[Discount]]))</f>
        <v>15.680700000000002</v>
      </c>
      <c r="N3059" s="3">
        <f>tblTransactions[[#This Row],[Profit]]/tblTransactions[[#This Row],[Total_Amount]]</f>
        <v>0.37793926247288506</v>
      </c>
      <c r="O3059" t="str">
        <f>TEXT(tblTransactions[[#This Row],[Date]], "MMM-YYYY")</f>
        <v>Oct-2024</v>
      </c>
      <c r="P3059" t="str">
        <f>"Q"&amp;ROUNDUP(MONTH(tblTransactions[[#This Row],[Date]])/3,0)&amp;"-"&amp;YEAR(tblTransactions[[#This Row],[Date]])</f>
        <v>Q4-2024</v>
      </c>
      <c r="Q3059">
        <f>YEAR(tblTransactions[[#This Row],[Date]])</f>
        <v>2024</v>
      </c>
      <c r="R3059" t="str">
        <f>TEXT(tblTransactions[[#This Row],[Date]],"DDDD")</f>
        <v>Tuesday</v>
      </c>
      <c r="S3059">
        <f>MONTH(tblTransactions[[#This Row],[Date]])</f>
        <v>10</v>
      </c>
      <c r="T3059" t="str">
        <f>VLOOKUP(E3059, Products!$A:$B,2,0)</f>
        <v>Cases Acc-2</v>
      </c>
      <c r="U3059" t="str">
        <f>VLOOKUP(E3059,Products!$A:$C,3,0)</f>
        <v>Accessories</v>
      </c>
      <c r="V3059" t="str">
        <f>VLOOKUP(E3059,Products!$A:$D,4,0)</f>
        <v>Cases</v>
      </c>
      <c r="W3059" t="str">
        <f>VLOOKUP(D3059,Customers!$A:$C,3,0)</f>
        <v>B2C</v>
      </c>
      <c r="X3059" t="str">
        <f>VLOOKUP(C3059,Sales_Representatives!$A:$B,2,0)</f>
        <v>Thomas Lopez</v>
      </c>
    </row>
    <row r="3060" spans="1:24" x14ac:dyDescent="0.3">
      <c r="A3060" t="s">
        <v>4163</v>
      </c>
      <c r="B3060" t="s">
        <v>4162</v>
      </c>
      <c r="C3060" t="s">
        <v>27</v>
      </c>
      <c r="D3060" t="s">
        <v>1963</v>
      </c>
      <c r="E3060" t="s">
        <v>299</v>
      </c>
      <c r="F3060">
        <v>4</v>
      </c>
      <c r="G3060">
        <v>963.44</v>
      </c>
      <c r="H3060">
        <v>7.0000000000000007E-2</v>
      </c>
      <c r="I3060" s="4">
        <v>3584</v>
      </c>
      <c r="J3060" t="s">
        <v>16</v>
      </c>
      <c r="K3060" t="s">
        <v>48</v>
      </c>
      <c r="L3060" s="4">
        <f>VLOOKUP(tblTransactions[[#This Row],[Product_ID]],tblProducts[],5,FALSE)</f>
        <v>578.96</v>
      </c>
      <c r="M3060" s="4">
        <f>tblTransactions[[#This Row],[Total_Amount]]-(tblTransactions[[#This Row],[Cost_Prices]]*tblTransactions[[#This Row],[Quantity]]*(1-tblTransactions[[#This Row],[Discount]]))</f>
        <v>1430.2687999999998</v>
      </c>
      <c r="N3060" s="3">
        <f>tblTransactions[[#This Row],[Profit]]/tblTransactions[[#This Row],[Total_Amount]]</f>
        <v>0.39907053571428569</v>
      </c>
      <c r="O3060" t="str">
        <f>TEXT(tblTransactions[[#This Row],[Date]], "MMM-YYYY")</f>
        <v>Oct-2024</v>
      </c>
      <c r="P3060" t="str">
        <f>"Q"&amp;ROUNDUP(MONTH(tblTransactions[[#This Row],[Date]])/3,0)&amp;"-"&amp;YEAR(tblTransactions[[#This Row],[Date]])</f>
        <v>Q4-2024</v>
      </c>
      <c r="Q3060">
        <f>YEAR(tblTransactions[[#This Row],[Date]])</f>
        <v>2024</v>
      </c>
      <c r="R3060" t="str">
        <f>TEXT(tblTransactions[[#This Row],[Date]],"DDDD")</f>
        <v>Tuesday</v>
      </c>
      <c r="S3060">
        <f>MONTH(tblTransactions[[#This Row],[Date]])</f>
        <v>10</v>
      </c>
      <c r="T3060" t="str">
        <f>VLOOKUP(E3060, Products!$A:$B,2,0)</f>
        <v>Chairs Fur-4</v>
      </c>
      <c r="U3060" t="str">
        <f>VLOOKUP(E3060,Products!$A:$C,3,0)</f>
        <v>Furniture</v>
      </c>
      <c r="V3060" t="str">
        <f>VLOOKUP(E3060,Products!$A:$D,4,0)</f>
        <v>Chairs</v>
      </c>
      <c r="W3060" t="str">
        <f>VLOOKUP(D3060,Customers!$A:$C,3,0)</f>
        <v>Small Business</v>
      </c>
      <c r="X3060" t="str">
        <f>VLOOKUP(C3060,Sales_Representatives!$A:$B,2,0)</f>
        <v>Thomas Lopez</v>
      </c>
    </row>
    <row r="3061" spans="1:24" x14ac:dyDescent="0.3">
      <c r="A3061" t="s">
        <v>4164</v>
      </c>
      <c r="B3061" t="s">
        <v>4162</v>
      </c>
      <c r="C3061" t="s">
        <v>59</v>
      </c>
      <c r="D3061" t="s">
        <v>132</v>
      </c>
      <c r="E3061" t="s">
        <v>53</v>
      </c>
      <c r="F3061">
        <v>12</v>
      </c>
      <c r="G3061">
        <v>2069.2199999999998</v>
      </c>
      <c r="H3061">
        <v>0.17</v>
      </c>
      <c r="I3061" s="4">
        <v>20609.43</v>
      </c>
      <c r="J3061" t="s">
        <v>21</v>
      </c>
      <c r="K3061" t="s">
        <v>39</v>
      </c>
      <c r="L3061" s="4">
        <f>VLOOKUP(tblTransactions[[#This Row],[Product_ID]],tblProducts[],5,FALSE)</f>
        <v>1451.18</v>
      </c>
      <c r="M3061" s="4">
        <f>tblTransactions[[#This Row],[Total_Amount]]-(tblTransactions[[#This Row],[Cost_Prices]]*tblTransactions[[#This Row],[Quantity]]*(1-tblTransactions[[#This Row],[Discount]]))</f>
        <v>6155.6772000000019</v>
      </c>
      <c r="N3061" s="3">
        <f>tblTransactions[[#This Row],[Profit]]/tblTransactions[[#This Row],[Total_Amount]]</f>
        <v>0.29868255453935416</v>
      </c>
      <c r="O3061" t="str">
        <f>TEXT(tblTransactions[[#This Row],[Date]], "MMM-YYYY")</f>
        <v>Oct-2024</v>
      </c>
      <c r="P3061" t="str">
        <f>"Q"&amp;ROUNDUP(MONTH(tblTransactions[[#This Row],[Date]])/3,0)&amp;"-"&amp;YEAR(tblTransactions[[#This Row],[Date]])</f>
        <v>Q4-2024</v>
      </c>
      <c r="Q3061">
        <f>YEAR(tblTransactions[[#This Row],[Date]])</f>
        <v>2024</v>
      </c>
      <c r="R3061" t="str">
        <f>TEXT(tblTransactions[[#This Row],[Date]],"DDDD")</f>
        <v>Tuesday</v>
      </c>
      <c r="S3061">
        <f>MONTH(tblTransactions[[#This Row],[Date]])</f>
        <v>10</v>
      </c>
      <c r="T3061" t="str">
        <f>VLOOKUP(E3061, Products!$A:$B,2,0)</f>
        <v>Printers Tec-3</v>
      </c>
      <c r="U3061" t="str">
        <f>VLOOKUP(E3061,Products!$A:$C,3,0)</f>
        <v>Technology</v>
      </c>
      <c r="V3061" t="str">
        <f>VLOOKUP(E3061,Products!$A:$D,4,0)</f>
        <v>Printers</v>
      </c>
      <c r="W3061" t="str">
        <f>VLOOKUP(D3061,Customers!$A:$C,3,0)</f>
        <v>B2B</v>
      </c>
      <c r="X3061" t="str">
        <f>VLOOKUP(C3061,Sales_Representatives!$A:$B,2,0)</f>
        <v>Sarah Brown</v>
      </c>
    </row>
    <row r="3062" spans="1:24" x14ac:dyDescent="0.3">
      <c r="A3062" t="s">
        <v>4165</v>
      </c>
      <c r="B3062" t="s">
        <v>4162</v>
      </c>
      <c r="C3062" t="s">
        <v>31</v>
      </c>
      <c r="D3062" t="s">
        <v>1613</v>
      </c>
      <c r="E3062" t="s">
        <v>89</v>
      </c>
      <c r="F3062">
        <v>29</v>
      </c>
      <c r="G3062">
        <v>555.08000000000004</v>
      </c>
      <c r="H3062">
        <v>0.15</v>
      </c>
      <c r="I3062" s="4">
        <v>13682.72</v>
      </c>
      <c r="J3062" t="s">
        <v>34</v>
      </c>
      <c r="K3062" t="s">
        <v>22</v>
      </c>
      <c r="L3062" s="4">
        <f>VLOOKUP(tblTransactions[[#This Row],[Product_ID]],tblProducts[],5,FALSE)</f>
        <v>402.82</v>
      </c>
      <c r="M3062" s="4">
        <f>tblTransactions[[#This Row],[Total_Amount]]-(tblTransactions[[#This Row],[Cost_Prices]]*tblTransactions[[#This Row],[Quantity]]*(1-tblTransactions[[#This Row],[Discount]]))</f>
        <v>3753.2069999999985</v>
      </c>
      <c r="N3062" s="3">
        <f>tblTransactions[[#This Row],[Profit]]/tblTransactions[[#This Row],[Total_Amount]]</f>
        <v>0.27430269712454824</v>
      </c>
      <c r="O3062" t="str">
        <f>TEXT(tblTransactions[[#This Row],[Date]], "MMM-YYYY")</f>
        <v>Oct-2024</v>
      </c>
      <c r="P3062" t="str">
        <f>"Q"&amp;ROUNDUP(MONTH(tblTransactions[[#This Row],[Date]])/3,0)&amp;"-"&amp;YEAR(tblTransactions[[#This Row],[Date]])</f>
        <v>Q4-2024</v>
      </c>
      <c r="Q3062">
        <f>YEAR(tblTransactions[[#This Row],[Date]])</f>
        <v>2024</v>
      </c>
      <c r="R3062" t="str">
        <f>TEXT(tblTransactions[[#This Row],[Date]],"DDDD")</f>
        <v>Tuesday</v>
      </c>
      <c r="S3062">
        <f>MONTH(tblTransactions[[#This Row],[Date]])</f>
        <v>10</v>
      </c>
      <c r="T3062" t="str">
        <f>VLOOKUP(E3062, Products!$A:$B,2,0)</f>
        <v>Laptops Ele-3</v>
      </c>
      <c r="U3062" t="str">
        <f>VLOOKUP(E3062,Products!$A:$C,3,0)</f>
        <v>Electronics</v>
      </c>
      <c r="V3062" t="str">
        <f>VLOOKUP(E3062,Products!$A:$D,4,0)</f>
        <v>Laptops</v>
      </c>
      <c r="W3062" t="str">
        <f>VLOOKUP(D3062,Customers!$A:$C,3,0)</f>
        <v>Enterprise</v>
      </c>
      <c r="X3062" t="str">
        <f>VLOOKUP(C3062,Sales_Representatives!$A:$B,2,0)</f>
        <v>Thomas Martinez</v>
      </c>
    </row>
    <row r="3063" spans="1:24" x14ac:dyDescent="0.3">
      <c r="A3063" t="s">
        <v>4166</v>
      </c>
      <c r="B3063" t="s">
        <v>4167</v>
      </c>
      <c r="C3063" t="s">
        <v>75</v>
      </c>
      <c r="D3063" t="s">
        <v>2620</v>
      </c>
      <c r="E3063" t="s">
        <v>176</v>
      </c>
      <c r="F3063">
        <v>38</v>
      </c>
      <c r="G3063">
        <v>1462.68</v>
      </c>
      <c r="H3063">
        <v>0.15</v>
      </c>
      <c r="I3063" s="4">
        <v>47244.56</v>
      </c>
      <c r="J3063" t="s">
        <v>44</v>
      </c>
      <c r="K3063" t="s">
        <v>22</v>
      </c>
      <c r="L3063" s="4">
        <f>VLOOKUP(tblTransactions[[#This Row],[Product_ID]],tblProducts[],5,FALSE)</f>
        <v>775.94</v>
      </c>
      <c r="M3063" s="4">
        <f>tblTransactions[[#This Row],[Total_Amount]]-(tblTransactions[[#This Row],[Cost_Prices]]*tblTransactions[[#This Row],[Quantity]]*(1-tblTransactions[[#This Row],[Discount]]))</f>
        <v>22181.697999999997</v>
      </c>
      <c r="N3063" s="3">
        <f>tblTransactions[[#This Row],[Profit]]/tblTransactions[[#This Row],[Total_Amount]]</f>
        <v>0.46950798144802275</v>
      </c>
      <c r="O3063" t="str">
        <f>TEXT(tblTransactions[[#This Row],[Date]], "MMM-YYYY")</f>
        <v>Oct-2024</v>
      </c>
      <c r="P3063" t="str">
        <f>"Q"&amp;ROUNDUP(MONTH(tblTransactions[[#This Row],[Date]])/3,0)&amp;"-"&amp;YEAR(tblTransactions[[#This Row],[Date]])</f>
        <v>Q4-2024</v>
      </c>
      <c r="Q3063">
        <f>YEAR(tblTransactions[[#This Row],[Date]])</f>
        <v>2024</v>
      </c>
      <c r="R3063" t="str">
        <f>TEXT(tblTransactions[[#This Row],[Date]],"DDDD")</f>
        <v>Wednesday</v>
      </c>
      <c r="S3063">
        <f>MONTH(tblTransactions[[#This Row],[Date]])</f>
        <v>10</v>
      </c>
      <c r="T3063" t="str">
        <f>VLOOKUP(E3063, Products!$A:$B,2,0)</f>
        <v>Chairs Fur-2</v>
      </c>
      <c r="U3063" t="str">
        <f>VLOOKUP(E3063,Products!$A:$C,3,0)</f>
        <v>Furniture</v>
      </c>
      <c r="V3063" t="str">
        <f>VLOOKUP(E3063,Products!$A:$D,4,0)</f>
        <v>Chairs</v>
      </c>
      <c r="W3063" t="str">
        <f>VLOOKUP(D3063,Customers!$A:$C,3,0)</f>
        <v>Enterprise</v>
      </c>
      <c r="X3063" t="str">
        <f>VLOOKUP(C3063,Sales_Representatives!$A:$B,2,0)</f>
        <v>Jessica Anderson</v>
      </c>
    </row>
    <row r="3064" spans="1:24" x14ac:dyDescent="0.3">
      <c r="A3064" t="s">
        <v>4168</v>
      </c>
      <c r="B3064" t="s">
        <v>4167</v>
      </c>
      <c r="C3064" t="s">
        <v>127</v>
      </c>
      <c r="D3064" t="s">
        <v>1883</v>
      </c>
      <c r="E3064" t="s">
        <v>255</v>
      </c>
      <c r="F3064">
        <v>2</v>
      </c>
      <c r="G3064">
        <v>1444.13</v>
      </c>
      <c r="H3064">
        <v>0.06</v>
      </c>
      <c r="I3064" s="4">
        <v>2714.96</v>
      </c>
      <c r="J3064" t="s">
        <v>109</v>
      </c>
      <c r="K3064" t="s">
        <v>39</v>
      </c>
      <c r="L3064" s="4">
        <f>VLOOKUP(tblTransactions[[#This Row],[Product_ID]],tblProducts[],5,FALSE)</f>
        <v>874.43</v>
      </c>
      <c r="M3064" s="4">
        <f>tblTransactions[[#This Row],[Total_Amount]]-(tblTransactions[[#This Row],[Cost_Prices]]*tblTransactions[[#This Row],[Quantity]]*(1-tblTransactions[[#This Row],[Discount]]))</f>
        <v>1071.0316000000003</v>
      </c>
      <c r="N3064" s="3">
        <f>tblTransactions[[#This Row],[Profit]]/tblTransactions[[#This Row],[Total_Amount]]</f>
        <v>0.39449258920941754</v>
      </c>
      <c r="O3064" t="str">
        <f>TEXT(tblTransactions[[#This Row],[Date]], "MMM-YYYY")</f>
        <v>Oct-2024</v>
      </c>
      <c r="P3064" t="str">
        <f>"Q"&amp;ROUNDUP(MONTH(tblTransactions[[#This Row],[Date]])/3,0)&amp;"-"&amp;YEAR(tblTransactions[[#This Row],[Date]])</f>
        <v>Q4-2024</v>
      </c>
      <c r="Q3064">
        <f>YEAR(tblTransactions[[#This Row],[Date]])</f>
        <v>2024</v>
      </c>
      <c r="R3064" t="str">
        <f>TEXT(tblTransactions[[#This Row],[Date]],"DDDD")</f>
        <v>Wednesday</v>
      </c>
      <c r="S3064">
        <f>MONTH(tblTransactions[[#This Row],[Date]])</f>
        <v>10</v>
      </c>
      <c r="T3064" t="str">
        <f>VLOOKUP(E3064, Products!$A:$B,2,0)</f>
        <v>Printers Tec-1</v>
      </c>
      <c r="U3064" t="str">
        <f>VLOOKUP(E3064,Products!$A:$C,3,0)</f>
        <v>Technology</v>
      </c>
      <c r="V3064" t="str">
        <f>VLOOKUP(E3064,Products!$A:$D,4,0)</f>
        <v>Printers</v>
      </c>
      <c r="W3064" t="str">
        <f>VLOOKUP(D3064,Customers!$A:$C,3,0)</f>
        <v>B2C</v>
      </c>
      <c r="X3064" t="str">
        <f>VLOOKUP(C3064,Sales_Representatives!$A:$B,2,0)</f>
        <v>Emily Hernandez</v>
      </c>
    </row>
    <row r="3065" spans="1:24" x14ac:dyDescent="0.3">
      <c r="A3065" t="s">
        <v>4169</v>
      </c>
      <c r="B3065" t="s">
        <v>4167</v>
      </c>
      <c r="C3065" t="s">
        <v>70</v>
      </c>
      <c r="D3065" t="s">
        <v>2121</v>
      </c>
      <c r="E3065" t="s">
        <v>15</v>
      </c>
      <c r="F3065">
        <v>6</v>
      </c>
      <c r="G3065">
        <v>477.48</v>
      </c>
      <c r="H3065">
        <v>0.11</v>
      </c>
      <c r="I3065" s="4">
        <v>2549.7399999999998</v>
      </c>
      <c r="J3065" t="s">
        <v>16</v>
      </c>
      <c r="K3065" t="s">
        <v>35</v>
      </c>
      <c r="L3065" s="4">
        <f>VLOOKUP(tblTransactions[[#This Row],[Product_ID]],tblProducts[],5,FALSE)</f>
        <v>275.51</v>
      </c>
      <c r="M3065" s="4">
        <f>tblTransactions[[#This Row],[Total_Amount]]-(tblTransactions[[#This Row],[Cost_Prices]]*tblTransactions[[#This Row],[Quantity]]*(1-tblTransactions[[#This Row],[Discount]]))</f>
        <v>1078.5165999999997</v>
      </c>
      <c r="N3065" s="3">
        <f>tblTransactions[[#This Row],[Profit]]/tblTransactions[[#This Row],[Total_Amount]]</f>
        <v>0.4229908147497391</v>
      </c>
      <c r="O3065" t="str">
        <f>TEXT(tblTransactions[[#This Row],[Date]], "MMM-YYYY")</f>
        <v>Oct-2024</v>
      </c>
      <c r="P3065" t="str">
        <f>"Q"&amp;ROUNDUP(MONTH(tblTransactions[[#This Row],[Date]])/3,0)&amp;"-"&amp;YEAR(tblTransactions[[#This Row],[Date]])</f>
        <v>Q4-2024</v>
      </c>
      <c r="Q3065">
        <f>YEAR(tblTransactions[[#This Row],[Date]])</f>
        <v>2024</v>
      </c>
      <c r="R3065" t="str">
        <f>TEXT(tblTransactions[[#This Row],[Date]],"DDDD")</f>
        <v>Wednesday</v>
      </c>
      <c r="S3065">
        <f>MONTH(tblTransactions[[#This Row],[Date]])</f>
        <v>10</v>
      </c>
      <c r="T3065" t="str">
        <f>VLOOKUP(E3065, Products!$A:$B,2,0)</f>
        <v>Laptops Ele-4</v>
      </c>
      <c r="U3065" t="str">
        <f>VLOOKUP(E3065,Products!$A:$C,3,0)</f>
        <v>Electronics</v>
      </c>
      <c r="V3065" t="str">
        <f>VLOOKUP(E3065,Products!$A:$D,4,0)</f>
        <v>Laptops</v>
      </c>
      <c r="W3065" t="str">
        <f>VLOOKUP(D3065,Customers!$A:$C,3,0)</f>
        <v>B2C</v>
      </c>
      <c r="X3065" t="str">
        <f>VLOOKUP(C3065,Sales_Representatives!$A:$B,2,0)</f>
        <v>Linda Smith</v>
      </c>
    </row>
    <row r="3066" spans="1:24" x14ac:dyDescent="0.3">
      <c r="A3066" t="s">
        <v>4170</v>
      </c>
      <c r="B3066" t="s">
        <v>4167</v>
      </c>
      <c r="C3066" t="s">
        <v>27</v>
      </c>
      <c r="D3066" t="s">
        <v>3597</v>
      </c>
      <c r="E3066" t="s">
        <v>217</v>
      </c>
      <c r="F3066">
        <v>4</v>
      </c>
      <c r="G3066">
        <v>145.51</v>
      </c>
      <c r="H3066">
        <v>0.03</v>
      </c>
      <c r="I3066" s="4">
        <v>564.58000000000004</v>
      </c>
      <c r="J3066" t="s">
        <v>16</v>
      </c>
      <c r="K3066" t="s">
        <v>35</v>
      </c>
      <c r="L3066" s="4">
        <f>VLOOKUP(tblTransactions[[#This Row],[Product_ID]],tblProducts[],5,FALSE)</f>
        <v>64.510000000000005</v>
      </c>
      <c r="M3066" s="4">
        <f>tblTransactions[[#This Row],[Total_Amount]]-(tblTransactions[[#This Row],[Cost_Prices]]*tblTransactions[[#This Row],[Quantity]]*(1-tblTransactions[[#This Row],[Discount]]))</f>
        <v>314.28120000000001</v>
      </c>
      <c r="N3066" s="3">
        <f>tblTransactions[[#This Row],[Profit]]/tblTransactions[[#This Row],[Total_Amount]]</f>
        <v>0.55666371461971731</v>
      </c>
      <c r="O3066" t="str">
        <f>TEXT(tblTransactions[[#This Row],[Date]], "MMM-YYYY")</f>
        <v>Oct-2024</v>
      </c>
      <c r="P3066" t="str">
        <f>"Q"&amp;ROUNDUP(MONTH(tblTransactions[[#This Row],[Date]])/3,0)&amp;"-"&amp;YEAR(tblTransactions[[#This Row],[Date]])</f>
        <v>Q4-2024</v>
      </c>
      <c r="Q3066">
        <f>YEAR(tblTransactions[[#This Row],[Date]])</f>
        <v>2024</v>
      </c>
      <c r="R3066" t="str">
        <f>TEXT(tblTransactions[[#This Row],[Date]],"DDDD")</f>
        <v>Wednesday</v>
      </c>
      <c r="S3066">
        <f>MONTH(tblTransactions[[#This Row],[Date]])</f>
        <v>10</v>
      </c>
      <c r="T3066" t="str">
        <f>VLOOKUP(E3066, Products!$A:$B,2,0)</f>
        <v>Cables Acc-2</v>
      </c>
      <c r="U3066" t="str">
        <f>VLOOKUP(E3066,Products!$A:$C,3,0)</f>
        <v>Accessories</v>
      </c>
      <c r="V3066" t="str">
        <f>VLOOKUP(E3066,Products!$A:$D,4,0)</f>
        <v>Cables</v>
      </c>
      <c r="W3066" t="str">
        <f>VLOOKUP(D3066,Customers!$A:$C,3,0)</f>
        <v>B2C</v>
      </c>
      <c r="X3066" t="str">
        <f>VLOOKUP(C3066,Sales_Representatives!$A:$B,2,0)</f>
        <v>Thomas Lopez</v>
      </c>
    </row>
    <row r="3067" spans="1:24" x14ac:dyDescent="0.3">
      <c r="A3067" t="s">
        <v>4171</v>
      </c>
      <c r="B3067" t="s">
        <v>4167</v>
      </c>
      <c r="C3067" t="s">
        <v>127</v>
      </c>
      <c r="D3067" t="s">
        <v>2032</v>
      </c>
      <c r="E3067" t="s">
        <v>108</v>
      </c>
      <c r="F3067">
        <v>2</v>
      </c>
      <c r="G3067">
        <v>155.75</v>
      </c>
      <c r="H3067">
        <v>0.08</v>
      </c>
      <c r="I3067" s="4">
        <v>286.58</v>
      </c>
      <c r="J3067" t="s">
        <v>109</v>
      </c>
      <c r="K3067" t="s">
        <v>17</v>
      </c>
      <c r="L3067" s="4">
        <f>VLOOKUP(tblTransactions[[#This Row],[Product_ID]],tblProducts[],5,FALSE)</f>
        <v>80.8</v>
      </c>
      <c r="M3067" s="4">
        <f>tblTransactions[[#This Row],[Total_Amount]]-(tblTransactions[[#This Row],[Cost_Prices]]*tblTransactions[[#This Row],[Quantity]]*(1-tblTransactions[[#This Row],[Discount]]))</f>
        <v>137.90799999999999</v>
      </c>
      <c r="N3067" s="3">
        <f>tblTransactions[[#This Row],[Profit]]/tblTransactions[[#This Row],[Total_Amount]]</f>
        <v>0.48121990369181378</v>
      </c>
      <c r="O3067" t="str">
        <f>TEXT(tblTransactions[[#This Row],[Date]], "MMM-YYYY")</f>
        <v>Oct-2024</v>
      </c>
      <c r="P3067" t="str">
        <f>"Q"&amp;ROUNDUP(MONTH(tblTransactions[[#This Row],[Date]])/3,0)&amp;"-"&amp;YEAR(tblTransactions[[#This Row],[Date]])</f>
        <v>Q4-2024</v>
      </c>
      <c r="Q3067">
        <f>YEAR(tblTransactions[[#This Row],[Date]])</f>
        <v>2024</v>
      </c>
      <c r="R3067" t="str">
        <f>TEXT(tblTransactions[[#This Row],[Date]],"DDDD")</f>
        <v>Wednesday</v>
      </c>
      <c r="S3067">
        <f>MONTH(tblTransactions[[#This Row],[Date]])</f>
        <v>10</v>
      </c>
      <c r="T3067" t="str">
        <f>VLOOKUP(E3067, Products!$A:$B,2,0)</f>
        <v>Cases Acc-1</v>
      </c>
      <c r="U3067" t="str">
        <f>VLOOKUP(E3067,Products!$A:$C,3,0)</f>
        <v>Accessories</v>
      </c>
      <c r="V3067" t="str">
        <f>VLOOKUP(E3067,Products!$A:$D,4,0)</f>
        <v>Cases</v>
      </c>
      <c r="W3067" t="str">
        <f>VLOOKUP(D3067,Customers!$A:$C,3,0)</f>
        <v>B2C</v>
      </c>
      <c r="X3067" t="str">
        <f>VLOOKUP(C3067,Sales_Representatives!$A:$B,2,0)</f>
        <v>Emily Hernandez</v>
      </c>
    </row>
    <row r="3068" spans="1:24" x14ac:dyDescent="0.3">
      <c r="A3068" t="s">
        <v>4172</v>
      </c>
      <c r="B3068" t="s">
        <v>4167</v>
      </c>
      <c r="C3068" t="s">
        <v>31</v>
      </c>
      <c r="D3068" t="s">
        <v>2129</v>
      </c>
      <c r="E3068" t="s">
        <v>25</v>
      </c>
      <c r="F3068">
        <v>5</v>
      </c>
      <c r="G3068">
        <v>1467.49</v>
      </c>
      <c r="H3068">
        <v>0.03</v>
      </c>
      <c r="I3068" s="4">
        <v>7117.33</v>
      </c>
      <c r="J3068" t="s">
        <v>34</v>
      </c>
      <c r="K3068" t="s">
        <v>35</v>
      </c>
      <c r="L3068" s="4">
        <f>VLOOKUP(tblTransactions[[#This Row],[Product_ID]],tblProducts[],5,FALSE)</f>
        <v>757.65</v>
      </c>
      <c r="M3068" s="4">
        <f>tblTransactions[[#This Row],[Total_Amount]]-(tblTransactions[[#This Row],[Cost_Prices]]*tblTransactions[[#This Row],[Quantity]]*(1-tblTransactions[[#This Row],[Discount]]))</f>
        <v>3442.7275</v>
      </c>
      <c r="N3068" s="3">
        <f>tblTransactions[[#This Row],[Profit]]/tblTransactions[[#This Row],[Total_Amount]]</f>
        <v>0.48371053470894282</v>
      </c>
      <c r="O3068" t="str">
        <f>TEXT(tblTransactions[[#This Row],[Date]], "MMM-YYYY")</f>
        <v>Oct-2024</v>
      </c>
      <c r="P3068" t="str">
        <f>"Q"&amp;ROUNDUP(MONTH(tblTransactions[[#This Row],[Date]])/3,0)&amp;"-"&amp;YEAR(tblTransactions[[#This Row],[Date]])</f>
        <v>Q4-2024</v>
      </c>
      <c r="Q3068">
        <f>YEAR(tblTransactions[[#This Row],[Date]])</f>
        <v>2024</v>
      </c>
      <c r="R3068" t="str">
        <f>TEXT(tblTransactions[[#This Row],[Date]],"DDDD")</f>
        <v>Wednesday</v>
      </c>
      <c r="S3068">
        <f>MONTH(tblTransactions[[#This Row],[Date]])</f>
        <v>10</v>
      </c>
      <c r="T3068" t="str">
        <f>VLOOKUP(E3068, Products!$A:$B,2,0)</f>
        <v>Tables Fur-3</v>
      </c>
      <c r="U3068" t="str">
        <f>VLOOKUP(E3068,Products!$A:$C,3,0)</f>
        <v>Furniture</v>
      </c>
      <c r="V3068" t="str">
        <f>VLOOKUP(E3068,Products!$A:$D,4,0)</f>
        <v>Tables</v>
      </c>
      <c r="W3068" t="str">
        <f>VLOOKUP(D3068,Customers!$A:$C,3,0)</f>
        <v>B2C</v>
      </c>
      <c r="X3068" t="str">
        <f>VLOOKUP(C3068,Sales_Representatives!$A:$B,2,0)</f>
        <v>Thomas Martinez</v>
      </c>
    </row>
    <row r="3069" spans="1:24" x14ac:dyDescent="0.3">
      <c r="A3069" t="s">
        <v>4173</v>
      </c>
      <c r="B3069" t="s">
        <v>4174</v>
      </c>
      <c r="C3069" t="s">
        <v>70</v>
      </c>
      <c r="D3069" t="s">
        <v>2088</v>
      </c>
      <c r="E3069" t="s">
        <v>191</v>
      </c>
      <c r="F3069">
        <v>19</v>
      </c>
      <c r="G3069">
        <v>1012.75</v>
      </c>
      <c r="H3069">
        <v>0.18</v>
      </c>
      <c r="I3069" s="4">
        <v>15778.64</v>
      </c>
      <c r="J3069" t="s">
        <v>16</v>
      </c>
      <c r="K3069" t="s">
        <v>39</v>
      </c>
      <c r="L3069" s="4">
        <f>VLOOKUP(tblTransactions[[#This Row],[Product_ID]],tblProducts[],5,FALSE)</f>
        <v>518.53</v>
      </c>
      <c r="M3069" s="4">
        <f>tblTransactions[[#This Row],[Total_Amount]]-(tblTransactions[[#This Row],[Cost_Prices]]*tblTransactions[[#This Row],[Quantity]]*(1-tblTransactions[[#This Row],[Discount]]))</f>
        <v>7699.9425999999994</v>
      </c>
      <c r="N3069" s="3">
        <f>tblTransactions[[#This Row],[Profit]]/tblTransactions[[#This Row],[Total_Amount]]</f>
        <v>0.48799786293368752</v>
      </c>
      <c r="O3069" t="str">
        <f>TEXT(tblTransactions[[#This Row],[Date]], "MMM-YYYY")</f>
        <v>Oct-2024</v>
      </c>
      <c r="P3069" t="str">
        <f>"Q"&amp;ROUNDUP(MONTH(tblTransactions[[#This Row],[Date]])/3,0)&amp;"-"&amp;YEAR(tblTransactions[[#This Row],[Date]])</f>
        <v>Q4-2024</v>
      </c>
      <c r="Q3069">
        <f>YEAR(tblTransactions[[#This Row],[Date]])</f>
        <v>2024</v>
      </c>
      <c r="R3069" t="str">
        <f>TEXT(tblTransactions[[#This Row],[Date]],"DDDD")</f>
        <v>Thursday</v>
      </c>
      <c r="S3069">
        <f>MONTH(tblTransactions[[#This Row],[Date]])</f>
        <v>10</v>
      </c>
      <c r="T3069" t="str">
        <f>VLOOKUP(E3069, Products!$A:$B,2,0)</f>
        <v>Tables Fur-4</v>
      </c>
      <c r="U3069" t="str">
        <f>VLOOKUP(E3069,Products!$A:$C,3,0)</f>
        <v>Furniture</v>
      </c>
      <c r="V3069" t="str">
        <f>VLOOKUP(E3069,Products!$A:$D,4,0)</f>
        <v>Tables</v>
      </c>
      <c r="W3069" t="str">
        <f>VLOOKUP(D3069,Customers!$A:$C,3,0)</f>
        <v>Enterprise</v>
      </c>
      <c r="X3069" t="str">
        <f>VLOOKUP(C3069,Sales_Representatives!$A:$B,2,0)</f>
        <v>Linda Smith</v>
      </c>
    </row>
    <row r="3070" spans="1:24" x14ac:dyDescent="0.3">
      <c r="A3070" t="s">
        <v>4175</v>
      </c>
      <c r="B3070" t="s">
        <v>4174</v>
      </c>
      <c r="C3070" t="s">
        <v>19</v>
      </c>
      <c r="D3070" t="s">
        <v>2217</v>
      </c>
      <c r="E3070" t="s">
        <v>172</v>
      </c>
      <c r="F3070">
        <v>43</v>
      </c>
      <c r="G3070">
        <v>1371.15</v>
      </c>
      <c r="H3070">
        <v>0.22</v>
      </c>
      <c r="I3070" s="4">
        <v>45988.37</v>
      </c>
      <c r="J3070" t="s">
        <v>21</v>
      </c>
      <c r="K3070" t="s">
        <v>48</v>
      </c>
      <c r="L3070" s="4">
        <f>VLOOKUP(tblTransactions[[#This Row],[Product_ID]],tblProducts[],5,FALSE)</f>
        <v>989.81</v>
      </c>
      <c r="M3070" s="4">
        <f>tblTransactions[[#This Row],[Total_Amount]]-(tblTransactions[[#This Row],[Cost_Prices]]*tblTransactions[[#This Row],[Quantity]]*(1-tblTransactions[[#This Row],[Discount]]))</f>
        <v>12790.142600000006</v>
      </c>
      <c r="N3070" s="3">
        <f>tblTransactions[[#This Row],[Profit]]/tblTransactions[[#This Row],[Total_Amount]]</f>
        <v>0.27811689346676138</v>
      </c>
      <c r="O3070" t="str">
        <f>TEXT(tblTransactions[[#This Row],[Date]], "MMM-YYYY")</f>
        <v>Oct-2024</v>
      </c>
      <c r="P3070" t="str">
        <f>"Q"&amp;ROUNDUP(MONTH(tblTransactions[[#This Row],[Date]])/3,0)&amp;"-"&amp;YEAR(tblTransactions[[#This Row],[Date]])</f>
        <v>Q4-2024</v>
      </c>
      <c r="Q3070">
        <f>YEAR(tblTransactions[[#This Row],[Date]])</f>
        <v>2024</v>
      </c>
      <c r="R3070" t="str">
        <f>TEXT(tblTransactions[[#This Row],[Date]],"DDDD")</f>
        <v>Thursday</v>
      </c>
      <c r="S3070">
        <f>MONTH(tblTransactions[[#This Row],[Date]])</f>
        <v>10</v>
      </c>
      <c r="T3070" t="str">
        <f>VLOOKUP(E3070, Products!$A:$B,2,0)</f>
        <v>Cameras Ele-4</v>
      </c>
      <c r="U3070" t="str">
        <f>VLOOKUP(E3070,Products!$A:$C,3,0)</f>
        <v>Electronics</v>
      </c>
      <c r="V3070" t="str">
        <f>VLOOKUP(E3070,Products!$A:$D,4,0)</f>
        <v>Cameras</v>
      </c>
      <c r="W3070" t="str">
        <f>VLOOKUP(D3070,Customers!$A:$C,3,0)</f>
        <v>Enterprise</v>
      </c>
      <c r="X3070" t="str">
        <f>VLOOKUP(C3070,Sales_Representatives!$A:$B,2,0)</f>
        <v>Robert Jones</v>
      </c>
    </row>
    <row r="3071" spans="1:24" x14ac:dyDescent="0.3">
      <c r="A3071" t="s">
        <v>4176</v>
      </c>
      <c r="B3071" t="s">
        <v>4174</v>
      </c>
      <c r="C3071" t="s">
        <v>70</v>
      </c>
      <c r="D3071" t="s">
        <v>1739</v>
      </c>
      <c r="E3071" t="s">
        <v>25</v>
      </c>
      <c r="F3071">
        <v>1</v>
      </c>
      <c r="G3071">
        <v>1467.49</v>
      </c>
      <c r="H3071">
        <v>0.08</v>
      </c>
      <c r="I3071" s="4">
        <v>1350.09</v>
      </c>
      <c r="J3071" t="s">
        <v>16</v>
      </c>
      <c r="K3071" t="s">
        <v>48</v>
      </c>
      <c r="L3071" s="4">
        <f>VLOOKUP(tblTransactions[[#This Row],[Product_ID]],tblProducts[],5,FALSE)</f>
        <v>757.65</v>
      </c>
      <c r="M3071" s="4">
        <f>tblTransactions[[#This Row],[Total_Amount]]-(tblTransactions[[#This Row],[Cost_Prices]]*tblTransactions[[#This Row],[Quantity]]*(1-tblTransactions[[#This Row],[Discount]]))</f>
        <v>653.05199999999991</v>
      </c>
      <c r="N3071" s="3">
        <f>tblTransactions[[#This Row],[Profit]]/tblTransactions[[#This Row],[Total_Amount]]</f>
        <v>0.48370997489056283</v>
      </c>
      <c r="O3071" t="str">
        <f>TEXT(tblTransactions[[#This Row],[Date]], "MMM-YYYY")</f>
        <v>Oct-2024</v>
      </c>
      <c r="P3071" t="str">
        <f>"Q"&amp;ROUNDUP(MONTH(tblTransactions[[#This Row],[Date]])/3,0)&amp;"-"&amp;YEAR(tblTransactions[[#This Row],[Date]])</f>
        <v>Q4-2024</v>
      </c>
      <c r="Q3071">
        <f>YEAR(tblTransactions[[#This Row],[Date]])</f>
        <v>2024</v>
      </c>
      <c r="R3071" t="str">
        <f>TEXT(tblTransactions[[#This Row],[Date]],"DDDD")</f>
        <v>Thursday</v>
      </c>
      <c r="S3071">
        <f>MONTH(tblTransactions[[#This Row],[Date]])</f>
        <v>10</v>
      </c>
      <c r="T3071" t="str">
        <f>VLOOKUP(E3071, Products!$A:$B,2,0)</f>
        <v>Tables Fur-3</v>
      </c>
      <c r="U3071" t="str">
        <f>VLOOKUP(E3071,Products!$A:$C,3,0)</f>
        <v>Furniture</v>
      </c>
      <c r="V3071" t="str">
        <f>VLOOKUP(E3071,Products!$A:$D,4,0)</f>
        <v>Tables</v>
      </c>
      <c r="W3071" t="str">
        <f>VLOOKUP(D3071,Customers!$A:$C,3,0)</f>
        <v>B2C</v>
      </c>
      <c r="X3071" t="str">
        <f>VLOOKUP(C3071,Sales_Representatives!$A:$B,2,0)</f>
        <v>Linda Smith</v>
      </c>
    </row>
    <row r="3072" spans="1:24" x14ac:dyDescent="0.3">
      <c r="A3072" t="s">
        <v>4177</v>
      </c>
      <c r="B3072" t="s">
        <v>4178</v>
      </c>
      <c r="C3072" t="s">
        <v>27</v>
      </c>
      <c r="D3072" t="s">
        <v>2235</v>
      </c>
      <c r="E3072" t="s">
        <v>79</v>
      </c>
      <c r="F3072">
        <v>4</v>
      </c>
      <c r="G3072">
        <v>1452.36</v>
      </c>
      <c r="H3072">
        <v>0.08</v>
      </c>
      <c r="I3072" s="4">
        <v>5344.68</v>
      </c>
      <c r="J3072" t="s">
        <v>16</v>
      </c>
      <c r="K3072" t="s">
        <v>35</v>
      </c>
      <c r="L3072" s="4">
        <f>VLOOKUP(tblTransactions[[#This Row],[Product_ID]],tblProducts[],5,FALSE)</f>
        <v>778.71</v>
      </c>
      <c r="M3072" s="4">
        <f>tblTransactions[[#This Row],[Total_Amount]]-(tblTransactions[[#This Row],[Cost_Prices]]*tblTransactions[[#This Row],[Quantity]]*(1-tblTransactions[[#This Row],[Discount]]))</f>
        <v>2479.0272</v>
      </c>
      <c r="N3072" s="3">
        <f>tblTransactions[[#This Row],[Profit]]/tblTransactions[[#This Row],[Total_Amount]]</f>
        <v>0.46383079997305732</v>
      </c>
      <c r="O3072" t="str">
        <f>TEXT(tblTransactions[[#This Row],[Date]], "MMM-YYYY")</f>
        <v>Oct-2024</v>
      </c>
      <c r="P3072" t="str">
        <f>"Q"&amp;ROUNDUP(MONTH(tblTransactions[[#This Row],[Date]])/3,0)&amp;"-"&amp;YEAR(tblTransactions[[#This Row],[Date]])</f>
        <v>Q4-2024</v>
      </c>
      <c r="Q3072">
        <f>YEAR(tblTransactions[[#This Row],[Date]])</f>
        <v>2024</v>
      </c>
      <c r="R3072" t="str">
        <f>TEXT(tblTransactions[[#This Row],[Date]],"DDDD")</f>
        <v>Friday</v>
      </c>
      <c r="S3072">
        <f>MONTH(tblTransactions[[#This Row],[Date]])</f>
        <v>10</v>
      </c>
      <c r="T3072" t="str">
        <f>VLOOKUP(E3072, Products!$A:$B,2,0)</f>
        <v>Tables Fur-2</v>
      </c>
      <c r="U3072" t="str">
        <f>VLOOKUP(E3072,Products!$A:$C,3,0)</f>
        <v>Furniture</v>
      </c>
      <c r="V3072" t="str">
        <f>VLOOKUP(E3072,Products!$A:$D,4,0)</f>
        <v>Tables</v>
      </c>
      <c r="W3072" t="str">
        <f>VLOOKUP(D3072,Customers!$A:$C,3,0)</f>
        <v>B2C</v>
      </c>
      <c r="X3072" t="str">
        <f>VLOOKUP(C3072,Sales_Representatives!$A:$B,2,0)</f>
        <v>Thomas Lopez</v>
      </c>
    </row>
    <row r="3073" spans="1:24" x14ac:dyDescent="0.3">
      <c r="A3073" t="s">
        <v>4179</v>
      </c>
      <c r="B3073" t="s">
        <v>4178</v>
      </c>
      <c r="C3073" t="s">
        <v>59</v>
      </c>
      <c r="D3073" t="s">
        <v>1678</v>
      </c>
      <c r="E3073" t="s">
        <v>258</v>
      </c>
      <c r="F3073">
        <v>3</v>
      </c>
      <c r="G3073">
        <v>73.33</v>
      </c>
      <c r="H3073">
        <v>0.05</v>
      </c>
      <c r="I3073" s="4">
        <v>208.99</v>
      </c>
      <c r="J3073" t="s">
        <v>21</v>
      </c>
      <c r="K3073" t="s">
        <v>17</v>
      </c>
      <c r="L3073" s="4">
        <f>VLOOKUP(tblTransactions[[#This Row],[Product_ID]],tblProducts[],5,FALSE)</f>
        <v>38.049999999999997</v>
      </c>
      <c r="M3073" s="4">
        <f>tblTransactions[[#This Row],[Total_Amount]]-(tblTransactions[[#This Row],[Cost_Prices]]*tblTransactions[[#This Row],[Quantity]]*(1-tblTransactions[[#This Row],[Discount]]))</f>
        <v>100.54750000000003</v>
      </c>
      <c r="N3073" s="3">
        <f>tblTransactions[[#This Row],[Profit]]/tblTransactions[[#This Row],[Total_Amount]]</f>
        <v>0.48111153643715021</v>
      </c>
      <c r="O3073" t="str">
        <f>TEXT(tblTransactions[[#This Row],[Date]], "MMM-YYYY")</f>
        <v>Oct-2024</v>
      </c>
      <c r="P3073" t="str">
        <f>"Q"&amp;ROUNDUP(MONTH(tblTransactions[[#This Row],[Date]])/3,0)&amp;"-"&amp;YEAR(tblTransactions[[#This Row],[Date]])</f>
        <v>Q4-2024</v>
      </c>
      <c r="Q3073">
        <f>YEAR(tblTransactions[[#This Row],[Date]])</f>
        <v>2024</v>
      </c>
      <c r="R3073" t="str">
        <f>TEXT(tblTransactions[[#This Row],[Date]],"DDDD")</f>
        <v>Friday</v>
      </c>
      <c r="S3073">
        <f>MONTH(tblTransactions[[#This Row],[Date]])</f>
        <v>10</v>
      </c>
      <c r="T3073" t="str">
        <f>VLOOKUP(E3073, Products!$A:$B,2,0)</f>
        <v>Keyboards Acc-3</v>
      </c>
      <c r="U3073" t="str">
        <f>VLOOKUP(E3073,Products!$A:$C,3,0)</f>
        <v>Accessories</v>
      </c>
      <c r="V3073" t="str">
        <f>VLOOKUP(E3073,Products!$A:$D,4,0)</f>
        <v>Keyboards</v>
      </c>
      <c r="W3073" t="str">
        <f>VLOOKUP(D3073,Customers!$A:$C,3,0)</f>
        <v>B2C</v>
      </c>
      <c r="X3073" t="str">
        <f>VLOOKUP(C3073,Sales_Representatives!$A:$B,2,0)</f>
        <v>Sarah Brown</v>
      </c>
    </row>
    <row r="3074" spans="1:24" x14ac:dyDescent="0.3">
      <c r="A3074" t="s">
        <v>4180</v>
      </c>
      <c r="B3074" t="s">
        <v>4178</v>
      </c>
      <c r="C3074" t="s">
        <v>75</v>
      </c>
      <c r="D3074" t="s">
        <v>154</v>
      </c>
      <c r="E3074" t="s">
        <v>243</v>
      </c>
      <c r="F3074">
        <v>7</v>
      </c>
      <c r="G3074">
        <v>384.18</v>
      </c>
      <c r="H3074">
        <v>0.14000000000000001</v>
      </c>
      <c r="I3074" s="4">
        <v>2312.7600000000002</v>
      </c>
      <c r="J3074" t="s">
        <v>44</v>
      </c>
      <c r="K3074" t="s">
        <v>48</v>
      </c>
      <c r="L3074" s="4">
        <f>VLOOKUP(tblTransactions[[#This Row],[Product_ID]],tblProducts[],5,FALSE)</f>
        <v>266.92</v>
      </c>
      <c r="M3074" s="4">
        <f>tblTransactions[[#This Row],[Total_Amount]]-(tblTransactions[[#This Row],[Cost_Prices]]*tblTransactions[[#This Row],[Quantity]]*(1-tblTransactions[[#This Row],[Discount]]))</f>
        <v>705.90160000000014</v>
      </c>
      <c r="N3074" s="3">
        <f>tblTransactions[[#This Row],[Profit]]/tblTransactions[[#This Row],[Total_Amount]]</f>
        <v>0.30522042927065501</v>
      </c>
      <c r="O3074" t="str">
        <f>TEXT(tblTransactions[[#This Row],[Date]], "MMM-YYYY")</f>
        <v>Oct-2024</v>
      </c>
      <c r="P3074" t="str">
        <f>"Q"&amp;ROUNDUP(MONTH(tblTransactions[[#This Row],[Date]])/3,0)&amp;"-"&amp;YEAR(tblTransactions[[#This Row],[Date]])</f>
        <v>Q4-2024</v>
      </c>
      <c r="Q3074">
        <f>YEAR(tblTransactions[[#This Row],[Date]])</f>
        <v>2024</v>
      </c>
      <c r="R3074" t="str">
        <f>TEXT(tblTransactions[[#This Row],[Date]],"DDDD")</f>
        <v>Friday</v>
      </c>
      <c r="S3074">
        <f>MONTH(tblTransactions[[#This Row],[Date]])</f>
        <v>10</v>
      </c>
      <c r="T3074" t="str">
        <f>VLOOKUP(E3074, Products!$A:$B,2,0)</f>
        <v>Routers Tec-3</v>
      </c>
      <c r="U3074" t="str">
        <f>VLOOKUP(E3074,Products!$A:$C,3,0)</f>
        <v>Technology</v>
      </c>
      <c r="V3074" t="str">
        <f>VLOOKUP(E3074,Products!$A:$D,4,0)</f>
        <v>Routers</v>
      </c>
      <c r="W3074" t="str">
        <f>VLOOKUP(D3074,Customers!$A:$C,3,0)</f>
        <v>B2B</v>
      </c>
      <c r="X3074" t="str">
        <f>VLOOKUP(C3074,Sales_Representatives!$A:$B,2,0)</f>
        <v>Jessica Anderson</v>
      </c>
    </row>
    <row r="3075" spans="1:24" x14ac:dyDescent="0.3">
      <c r="A3075" t="s">
        <v>4181</v>
      </c>
      <c r="B3075" t="s">
        <v>4178</v>
      </c>
      <c r="C3075" t="s">
        <v>19</v>
      </c>
      <c r="D3075" t="s">
        <v>2405</v>
      </c>
      <c r="E3075" t="s">
        <v>61</v>
      </c>
      <c r="F3075">
        <v>6</v>
      </c>
      <c r="G3075">
        <v>92.07</v>
      </c>
      <c r="H3075">
        <v>0.14000000000000001</v>
      </c>
      <c r="I3075" s="4">
        <v>475.08</v>
      </c>
      <c r="J3075" t="s">
        <v>21</v>
      </c>
      <c r="K3075" t="s">
        <v>17</v>
      </c>
      <c r="L3075" s="4">
        <f>VLOOKUP(tblTransactions[[#This Row],[Product_ID]],tblProducts[],5,FALSE)</f>
        <v>56.98</v>
      </c>
      <c r="M3075" s="4">
        <f>tblTransactions[[#This Row],[Total_Amount]]-(tblTransactions[[#This Row],[Cost_Prices]]*tblTransactions[[#This Row],[Quantity]]*(1-tblTransactions[[#This Row],[Discount]]))</f>
        <v>181.06319999999999</v>
      </c>
      <c r="N3075" s="3">
        <f>tblTransactions[[#This Row],[Profit]]/tblTransactions[[#This Row],[Total_Amount]]</f>
        <v>0.38112149532710282</v>
      </c>
      <c r="O3075" t="str">
        <f>TEXT(tblTransactions[[#This Row],[Date]], "MMM-YYYY")</f>
        <v>Oct-2024</v>
      </c>
      <c r="P3075" t="str">
        <f>"Q"&amp;ROUNDUP(MONTH(tblTransactions[[#This Row],[Date]])/3,0)&amp;"-"&amp;YEAR(tblTransactions[[#This Row],[Date]])</f>
        <v>Q4-2024</v>
      </c>
      <c r="Q3075">
        <f>YEAR(tblTransactions[[#This Row],[Date]])</f>
        <v>2024</v>
      </c>
      <c r="R3075" t="str">
        <f>TEXT(tblTransactions[[#This Row],[Date]],"DDDD")</f>
        <v>Friday</v>
      </c>
      <c r="S3075">
        <f>MONTH(tblTransactions[[#This Row],[Date]])</f>
        <v>10</v>
      </c>
      <c r="T3075" t="str">
        <f>VLOOKUP(E3075, Products!$A:$B,2,0)</f>
        <v>Pens Off-4</v>
      </c>
      <c r="U3075" t="str">
        <f>VLOOKUP(E3075,Products!$A:$C,3,0)</f>
        <v>Office Supplies</v>
      </c>
      <c r="V3075" t="str">
        <f>VLOOKUP(E3075,Products!$A:$D,4,0)</f>
        <v>Pens</v>
      </c>
      <c r="W3075" t="str">
        <f>VLOOKUP(D3075,Customers!$A:$C,3,0)</f>
        <v>B2C</v>
      </c>
      <c r="X3075" t="str">
        <f>VLOOKUP(C3075,Sales_Representatives!$A:$B,2,0)</f>
        <v>Robert Jones</v>
      </c>
    </row>
    <row r="3076" spans="1:24" x14ac:dyDescent="0.3">
      <c r="A3076" t="s">
        <v>4182</v>
      </c>
      <c r="B3076" t="s">
        <v>4178</v>
      </c>
      <c r="C3076" t="s">
        <v>19</v>
      </c>
      <c r="D3076" t="s">
        <v>288</v>
      </c>
      <c r="E3076" t="s">
        <v>508</v>
      </c>
      <c r="F3076">
        <v>1</v>
      </c>
      <c r="G3076">
        <v>237.69</v>
      </c>
      <c r="H3076">
        <v>0.09</v>
      </c>
      <c r="I3076" s="4">
        <v>216.3</v>
      </c>
      <c r="J3076" t="s">
        <v>21</v>
      </c>
      <c r="K3076" t="s">
        <v>35</v>
      </c>
      <c r="L3076" s="4">
        <f>VLOOKUP(tblTransactions[[#This Row],[Product_ID]],tblProducts[],5,FALSE)</f>
        <v>115.31</v>
      </c>
      <c r="M3076" s="4">
        <f>tblTransactions[[#This Row],[Total_Amount]]-(tblTransactions[[#This Row],[Cost_Prices]]*tblTransactions[[#This Row],[Quantity]]*(1-tblTransactions[[#This Row],[Discount]]))</f>
        <v>111.36790000000001</v>
      </c>
      <c r="N3076" s="3">
        <f>tblTransactions[[#This Row],[Profit]]/tblTransactions[[#This Row],[Total_Amount]]</f>
        <v>0.51487702265372171</v>
      </c>
      <c r="O3076" t="str">
        <f>TEXT(tblTransactions[[#This Row],[Date]], "MMM-YYYY")</f>
        <v>Oct-2024</v>
      </c>
      <c r="P3076" t="str">
        <f>"Q"&amp;ROUNDUP(MONTH(tblTransactions[[#This Row],[Date]])/3,0)&amp;"-"&amp;YEAR(tblTransactions[[#This Row],[Date]])</f>
        <v>Q4-2024</v>
      </c>
      <c r="Q3076">
        <f>YEAR(tblTransactions[[#This Row],[Date]])</f>
        <v>2024</v>
      </c>
      <c r="R3076" t="str">
        <f>TEXT(tblTransactions[[#This Row],[Date]],"DDDD")</f>
        <v>Friday</v>
      </c>
      <c r="S3076">
        <f>MONTH(tblTransactions[[#This Row],[Date]])</f>
        <v>10</v>
      </c>
      <c r="T3076" t="str">
        <f>VLOOKUP(E3076, Products!$A:$B,2,0)</f>
        <v>Folders Off-3</v>
      </c>
      <c r="U3076" t="str">
        <f>VLOOKUP(E3076,Products!$A:$C,3,0)</f>
        <v>Office Supplies</v>
      </c>
      <c r="V3076" t="str">
        <f>VLOOKUP(E3076,Products!$A:$D,4,0)</f>
        <v>Folders</v>
      </c>
      <c r="W3076" t="str">
        <f>VLOOKUP(D3076,Customers!$A:$C,3,0)</f>
        <v>B2C</v>
      </c>
      <c r="X3076" t="str">
        <f>VLOOKUP(C3076,Sales_Representatives!$A:$B,2,0)</f>
        <v>Robert Jones</v>
      </c>
    </row>
    <row r="3077" spans="1:24" x14ac:dyDescent="0.3">
      <c r="A3077" t="s">
        <v>4183</v>
      </c>
      <c r="B3077" t="s">
        <v>4184</v>
      </c>
      <c r="C3077" t="s">
        <v>13</v>
      </c>
      <c r="D3077" t="s">
        <v>1961</v>
      </c>
      <c r="E3077" t="s">
        <v>84</v>
      </c>
      <c r="F3077">
        <v>14</v>
      </c>
      <c r="G3077">
        <v>1841.77</v>
      </c>
      <c r="H3077">
        <v>0.12</v>
      </c>
      <c r="I3077" s="4">
        <v>22690.61</v>
      </c>
      <c r="J3077" t="s">
        <v>16</v>
      </c>
      <c r="K3077" t="s">
        <v>17</v>
      </c>
      <c r="L3077" s="4">
        <f>VLOOKUP(tblTransactions[[#This Row],[Product_ID]],tblProducts[],5,FALSE)</f>
        <v>1151.5899999999999</v>
      </c>
      <c r="M3077" s="4">
        <f>tblTransactions[[#This Row],[Total_Amount]]-(tblTransactions[[#This Row],[Cost_Prices]]*tblTransactions[[#This Row],[Quantity]]*(1-tblTransactions[[#This Row],[Discount]]))</f>
        <v>8503.021200000001</v>
      </c>
      <c r="N3077" s="3">
        <f>tblTransactions[[#This Row],[Profit]]/tblTransactions[[#This Row],[Total_Amount]]</f>
        <v>0.37473744425557537</v>
      </c>
      <c r="O3077" t="str">
        <f>TEXT(tblTransactions[[#This Row],[Date]], "MMM-YYYY")</f>
        <v>Oct-2024</v>
      </c>
      <c r="P3077" t="str">
        <f>"Q"&amp;ROUNDUP(MONTH(tblTransactions[[#This Row],[Date]])/3,0)&amp;"-"&amp;YEAR(tblTransactions[[#This Row],[Date]])</f>
        <v>Q4-2024</v>
      </c>
      <c r="Q3077">
        <f>YEAR(tblTransactions[[#This Row],[Date]])</f>
        <v>2024</v>
      </c>
      <c r="R3077" t="str">
        <f>TEXT(tblTransactions[[#This Row],[Date]],"DDDD")</f>
        <v>Saturday</v>
      </c>
      <c r="S3077">
        <f>MONTH(tblTransactions[[#This Row],[Date]])</f>
        <v>10</v>
      </c>
      <c r="T3077" t="str">
        <f>VLOOKUP(E3077, Products!$A:$B,2,0)</f>
        <v>Laptops Ele-2</v>
      </c>
      <c r="U3077" t="str">
        <f>VLOOKUP(E3077,Products!$A:$C,3,0)</f>
        <v>Electronics</v>
      </c>
      <c r="V3077" t="str">
        <f>VLOOKUP(E3077,Products!$A:$D,4,0)</f>
        <v>Laptops</v>
      </c>
      <c r="W3077" t="str">
        <f>VLOOKUP(D3077,Customers!$A:$C,3,0)</f>
        <v>B2B</v>
      </c>
      <c r="X3077" t="str">
        <f>VLOOKUP(C3077,Sales_Representatives!$A:$B,2,0)</f>
        <v>Jennifer Rodriguez</v>
      </c>
    </row>
    <row r="3078" spans="1:24" x14ac:dyDescent="0.3">
      <c r="A3078" t="s">
        <v>4185</v>
      </c>
      <c r="B3078" t="s">
        <v>4184</v>
      </c>
      <c r="C3078" t="s">
        <v>13</v>
      </c>
      <c r="D3078" t="s">
        <v>1520</v>
      </c>
      <c r="E3078" t="s">
        <v>324</v>
      </c>
      <c r="F3078">
        <v>4</v>
      </c>
      <c r="G3078">
        <v>245.76</v>
      </c>
      <c r="H3078">
        <v>7.0000000000000007E-2</v>
      </c>
      <c r="I3078" s="4">
        <v>914.23</v>
      </c>
      <c r="J3078" t="s">
        <v>16</v>
      </c>
      <c r="K3078" t="s">
        <v>48</v>
      </c>
      <c r="L3078" s="4">
        <f>VLOOKUP(tblTransactions[[#This Row],[Product_ID]],tblProducts[],5,FALSE)</f>
        <v>161.94</v>
      </c>
      <c r="M3078" s="4">
        <f>tblTransactions[[#This Row],[Total_Amount]]-(tblTransactions[[#This Row],[Cost_Prices]]*tblTransactions[[#This Row],[Quantity]]*(1-tblTransactions[[#This Row],[Discount]]))</f>
        <v>311.81320000000005</v>
      </c>
      <c r="N3078" s="3">
        <f>tblTransactions[[#This Row],[Profit]]/tblTransactions[[#This Row],[Total_Amount]]</f>
        <v>0.34106647123809114</v>
      </c>
      <c r="O3078" t="str">
        <f>TEXT(tblTransactions[[#This Row],[Date]], "MMM-YYYY")</f>
        <v>Oct-2024</v>
      </c>
      <c r="P3078" t="str">
        <f>"Q"&amp;ROUNDUP(MONTH(tblTransactions[[#This Row],[Date]])/3,0)&amp;"-"&amp;YEAR(tblTransactions[[#This Row],[Date]])</f>
        <v>Q4-2024</v>
      </c>
      <c r="Q3078">
        <f>YEAR(tblTransactions[[#This Row],[Date]])</f>
        <v>2024</v>
      </c>
      <c r="R3078" t="str">
        <f>TEXT(tblTransactions[[#This Row],[Date]],"DDDD")</f>
        <v>Saturday</v>
      </c>
      <c r="S3078">
        <f>MONTH(tblTransactions[[#This Row],[Date]])</f>
        <v>10</v>
      </c>
      <c r="T3078" t="str">
        <f>VLOOKUP(E3078, Products!$A:$B,2,0)</f>
        <v>Storage Fur-1</v>
      </c>
      <c r="U3078" t="str">
        <f>VLOOKUP(E3078,Products!$A:$C,3,0)</f>
        <v>Furniture</v>
      </c>
      <c r="V3078" t="str">
        <f>VLOOKUP(E3078,Products!$A:$D,4,0)</f>
        <v>Storage</v>
      </c>
      <c r="W3078" t="str">
        <f>VLOOKUP(D3078,Customers!$A:$C,3,0)</f>
        <v>B2C</v>
      </c>
      <c r="X3078" t="str">
        <f>VLOOKUP(C3078,Sales_Representatives!$A:$B,2,0)</f>
        <v>Jennifer Rodriguez</v>
      </c>
    </row>
    <row r="3079" spans="1:24" x14ac:dyDescent="0.3">
      <c r="A3079" t="s">
        <v>4186</v>
      </c>
      <c r="B3079" t="s">
        <v>4184</v>
      </c>
      <c r="C3079" t="s">
        <v>131</v>
      </c>
      <c r="D3079" t="s">
        <v>76</v>
      </c>
      <c r="E3079" t="s">
        <v>96</v>
      </c>
      <c r="F3079">
        <v>7</v>
      </c>
      <c r="G3079">
        <v>751.9</v>
      </c>
      <c r="H3079">
        <v>0.12</v>
      </c>
      <c r="I3079" s="4">
        <v>4631.7</v>
      </c>
      <c r="J3079" t="s">
        <v>44</v>
      </c>
      <c r="K3079" t="s">
        <v>17</v>
      </c>
      <c r="L3079" s="4">
        <f>VLOOKUP(tblTransactions[[#This Row],[Product_ID]],tblProducts[],5,FALSE)</f>
        <v>570.29</v>
      </c>
      <c r="M3079" s="4">
        <f>tblTransactions[[#This Row],[Total_Amount]]-(tblTransactions[[#This Row],[Cost_Prices]]*tblTransactions[[#This Row],[Quantity]]*(1-tblTransactions[[#This Row],[Discount]]))</f>
        <v>1118.7136</v>
      </c>
      <c r="N3079" s="3">
        <f>tblTransactions[[#This Row],[Profit]]/tblTransactions[[#This Row],[Total_Amount]]</f>
        <v>0.24153412353995296</v>
      </c>
      <c r="O3079" t="str">
        <f>TEXT(tblTransactions[[#This Row],[Date]], "MMM-YYYY")</f>
        <v>Oct-2024</v>
      </c>
      <c r="P3079" t="str">
        <f>"Q"&amp;ROUNDUP(MONTH(tblTransactions[[#This Row],[Date]])/3,0)&amp;"-"&amp;YEAR(tblTransactions[[#This Row],[Date]])</f>
        <v>Q4-2024</v>
      </c>
      <c r="Q3079">
        <f>YEAR(tblTransactions[[#This Row],[Date]])</f>
        <v>2024</v>
      </c>
      <c r="R3079" t="str">
        <f>TEXT(tblTransactions[[#This Row],[Date]],"DDDD")</f>
        <v>Saturday</v>
      </c>
      <c r="S3079">
        <f>MONTH(tblTransactions[[#This Row],[Date]])</f>
        <v>10</v>
      </c>
      <c r="T3079" t="str">
        <f>VLOOKUP(E3079, Products!$A:$B,2,0)</f>
        <v>Routers Tec-1</v>
      </c>
      <c r="U3079" t="str">
        <f>VLOOKUP(E3079,Products!$A:$C,3,0)</f>
        <v>Technology</v>
      </c>
      <c r="V3079" t="str">
        <f>VLOOKUP(E3079,Products!$A:$D,4,0)</f>
        <v>Routers</v>
      </c>
      <c r="W3079" t="str">
        <f>VLOOKUP(D3079,Customers!$A:$C,3,0)</f>
        <v>Small Business</v>
      </c>
      <c r="X3079" t="str">
        <f>VLOOKUP(C3079,Sales_Representatives!$A:$B,2,0)</f>
        <v>Michael Davis</v>
      </c>
    </row>
    <row r="3080" spans="1:24" x14ac:dyDescent="0.3">
      <c r="A3080" t="s">
        <v>4187</v>
      </c>
      <c r="B3080" t="s">
        <v>4184</v>
      </c>
      <c r="C3080" t="s">
        <v>59</v>
      </c>
      <c r="D3080" t="s">
        <v>2627</v>
      </c>
      <c r="E3080" t="s">
        <v>116</v>
      </c>
      <c r="F3080">
        <v>1</v>
      </c>
      <c r="G3080">
        <v>232.86</v>
      </c>
      <c r="H3080">
        <v>0.02</v>
      </c>
      <c r="I3080" s="4">
        <v>228.2</v>
      </c>
      <c r="J3080" t="s">
        <v>21</v>
      </c>
      <c r="K3080" t="s">
        <v>22</v>
      </c>
      <c r="L3080" s="4">
        <f>VLOOKUP(tblTransactions[[#This Row],[Product_ID]],tblProducts[],5,FALSE)</f>
        <v>116.79</v>
      </c>
      <c r="M3080" s="4">
        <f>tblTransactions[[#This Row],[Total_Amount]]-(tblTransactions[[#This Row],[Cost_Prices]]*tblTransactions[[#This Row],[Quantity]]*(1-tblTransactions[[#This Row],[Discount]]))</f>
        <v>113.74579999999999</v>
      </c>
      <c r="N3080" s="3">
        <f>tblTransactions[[#This Row],[Profit]]/tblTransactions[[#This Row],[Total_Amount]]</f>
        <v>0.49844785276073617</v>
      </c>
      <c r="O3080" t="str">
        <f>TEXT(tblTransactions[[#This Row],[Date]], "MMM-YYYY")</f>
        <v>Oct-2024</v>
      </c>
      <c r="P3080" t="str">
        <f>"Q"&amp;ROUNDUP(MONTH(tblTransactions[[#This Row],[Date]])/3,0)&amp;"-"&amp;YEAR(tblTransactions[[#This Row],[Date]])</f>
        <v>Q4-2024</v>
      </c>
      <c r="Q3080">
        <f>YEAR(tblTransactions[[#This Row],[Date]])</f>
        <v>2024</v>
      </c>
      <c r="R3080" t="str">
        <f>TEXT(tblTransactions[[#This Row],[Date]],"DDDD")</f>
        <v>Saturday</v>
      </c>
      <c r="S3080">
        <f>MONTH(tblTransactions[[#This Row],[Date]])</f>
        <v>10</v>
      </c>
      <c r="T3080" t="str">
        <f>VLOOKUP(E3080, Products!$A:$B,2,0)</f>
        <v>Folders Off-4</v>
      </c>
      <c r="U3080" t="str">
        <f>VLOOKUP(E3080,Products!$A:$C,3,0)</f>
        <v>Office Supplies</v>
      </c>
      <c r="V3080" t="str">
        <f>VLOOKUP(E3080,Products!$A:$D,4,0)</f>
        <v>Folders</v>
      </c>
      <c r="W3080" t="str">
        <f>VLOOKUP(D3080,Customers!$A:$C,3,0)</f>
        <v>B2C</v>
      </c>
      <c r="X3080" t="str">
        <f>VLOOKUP(C3080,Sales_Representatives!$A:$B,2,0)</f>
        <v>Sarah Brown</v>
      </c>
    </row>
    <row r="3081" spans="1:24" x14ac:dyDescent="0.3">
      <c r="A3081" t="s">
        <v>4188</v>
      </c>
      <c r="B3081" t="s">
        <v>4184</v>
      </c>
      <c r="C3081" t="s">
        <v>131</v>
      </c>
      <c r="D3081" t="s">
        <v>2036</v>
      </c>
      <c r="E3081" t="s">
        <v>435</v>
      </c>
      <c r="F3081">
        <v>3</v>
      </c>
      <c r="G3081">
        <v>198.72</v>
      </c>
      <c r="H3081">
        <v>0.09</v>
      </c>
      <c r="I3081" s="4">
        <v>542.51</v>
      </c>
      <c r="J3081" t="s">
        <v>44</v>
      </c>
      <c r="K3081" t="s">
        <v>48</v>
      </c>
      <c r="L3081" s="4">
        <f>VLOOKUP(tblTransactions[[#This Row],[Product_ID]],tblProducts[],5,FALSE)</f>
        <v>116.98</v>
      </c>
      <c r="M3081" s="4">
        <f>tblTransactions[[#This Row],[Total_Amount]]-(tblTransactions[[#This Row],[Cost_Prices]]*tblTransactions[[#This Row],[Quantity]]*(1-tblTransactions[[#This Row],[Discount]]))</f>
        <v>223.15459999999996</v>
      </c>
      <c r="N3081" s="3">
        <f>tblTransactions[[#This Row],[Profit]]/tblTransactions[[#This Row],[Total_Amount]]</f>
        <v>0.411337302538202</v>
      </c>
      <c r="O3081" t="str">
        <f>TEXT(tblTransactions[[#This Row],[Date]], "MMM-YYYY")</f>
        <v>Oct-2024</v>
      </c>
      <c r="P3081" t="str">
        <f>"Q"&amp;ROUNDUP(MONTH(tblTransactions[[#This Row],[Date]])/3,0)&amp;"-"&amp;YEAR(tblTransactions[[#This Row],[Date]])</f>
        <v>Q4-2024</v>
      </c>
      <c r="Q3081">
        <f>YEAR(tblTransactions[[#This Row],[Date]])</f>
        <v>2024</v>
      </c>
      <c r="R3081" t="str">
        <f>TEXT(tblTransactions[[#This Row],[Date]],"DDDD")</f>
        <v>Saturday</v>
      </c>
      <c r="S3081">
        <f>MONTH(tblTransactions[[#This Row],[Date]])</f>
        <v>10</v>
      </c>
      <c r="T3081" t="str">
        <f>VLOOKUP(E3081, Products!$A:$B,2,0)</f>
        <v>Paper Off-4</v>
      </c>
      <c r="U3081" t="str">
        <f>VLOOKUP(E3081,Products!$A:$C,3,0)</f>
        <v>Office Supplies</v>
      </c>
      <c r="V3081" t="str">
        <f>VLOOKUP(E3081,Products!$A:$D,4,0)</f>
        <v>Paper</v>
      </c>
      <c r="W3081" t="str">
        <f>VLOOKUP(D3081,Customers!$A:$C,3,0)</f>
        <v>B2C</v>
      </c>
      <c r="X3081" t="str">
        <f>VLOOKUP(C3081,Sales_Representatives!$A:$B,2,0)</f>
        <v>Michael Davis</v>
      </c>
    </row>
    <row r="3082" spans="1:24" x14ac:dyDescent="0.3">
      <c r="A3082" t="s">
        <v>4189</v>
      </c>
      <c r="B3082" t="s">
        <v>4184</v>
      </c>
      <c r="C3082" t="s">
        <v>82</v>
      </c>
      <c r="D3082" t="s">
        <v>362</v>
      </c>
      <c r="E3082" t="s">
        <v>704</v>
      </c>
      <c r="F3082">
        <v>3</v>
      </c>
      <c r="G3082">
        <v>291.81</v>
      </c>
      <c r="H3082">
        <v>0.04</v>
      </c>
      <c r="I3082" s="4">
        <v>840.41</v>
      </c>
      <c r="J3082" t="s">
        <v>34</v>
      </c>
      <c r="K3082" t="s">
        <v>48</v>
      </c>
      <c r="L3082" s="4">
        <f>VLOOKUP(tblTransactions[[#This Row],[Product_ID]],tblProducts[],5,FALSE)</f>
        <v>123.61</v>
      </c>
      <c r="M3082" s="4">
        <f>tblTransactions[[#This Row],[Total_Amount]]-(tblTransactions[[#This Row],[Cost_Prices]]*tblTransactions[[#This Row],[Quantity]]*(1-tblTransactions[[#This Row],[Discount]]))</f>
        <v>484.41320000000002</v>
      </c>
      <c r="N3082" s="3">
        <f>tblTransactions[[#This Row],[Profit]]/tblTransactions[[#This Row],[Total_Amount]]</f>
        <v>0.57640104234837763</v>
      </c>
      <c r="O3082" t="str">
        <f>TEXT(tblTransactions[[#This Row],[Date]], "MMM-YYYY")</f>
        <v>Oct-2024</v>
      </c>
      <c r="P3082" t="str">
        <f>"Q"&amp;ROUNDUP(MONTH(tblTransactions[[#This Row],[Date]])/3,0)&amp;"-"&amp;YEAR(tblTransactions[[#This Row],[Date]])</f>
        <v>Q4-2024</v>
      </c>
      <c r="Q3082">
        <f>YEAR(tblTransactions[[#This Row],[Date]])</f>
        <v>2024</v>
      </c>
      <c r="R3082" t="str">
        <f>TEXT(tblTransactions[[#This Row],[Date]],"DDDD")</f>
        <v>Saturday</v>
      </c>
      <c r="S3082">
        <f>MONTH(tblTransactions[[#This Row],[Date]])</f>
        <v>10</v>
      </c>
      <c r="T3082" t="str">
        <f>VLOOKUP(E3082, Products!$A:$B,2,0)</f>
        <v>Keyboards Acc-4</v>
      </c>
      <c r="U3082" t="str">
        <f>VLOOKUP(E3082,Products!$A:$C,3,0)</f>
        <v>Accessories</v>
      </c>
      <c r="V3082" t="str">
        <f>VLOOKUP(E3082,Products!$A:$D,4,0)</f>
        <v>Keyboards</v>
      </c>
      <c r="W3082" t="str">
        <f>VLOOKUP(D3082,Customers!$A:$C,3,0)</f>
        <v>Small Business</v>
      </c>
      <c r="X3082" t="str">
        <f>VLOOKUP(C3082,Sales_Representatives!$A:$B,2,0)</f>
        <v>John Brown</v>
      </c>
    </row>
    <row r="3083" spans="1:24" x14ac:dyDescent="0.3">
      <c r="A3083" t="s">
        <v>4190</v>
      </c>
      <c r="B3083" t="s">
        <v>4191</v>
      </c>
      <c r="C3083" t="s">
        <v>141</v>
      </c>
      <c r="D3083" t="s">
        <v>2778</v>
      </c>
      <c r="E3083" t="s">
        <v>152</v>
      </c>
      <c r="F3083">
        <v>5</v>
      </c>
      <c r="G3083">
        <v>859.93</v>
      </c>
      <c r="H3083">
        <v>0.03</v>
      </c>
      <c r="I3083" s="4">
        <v>4170.66</v>
      </c>
      <c r="J3083" t="s">
        <v>109</v>
      </c>
      <c r="K3083" t="s">
        <v>22</v>
      </c>
      <c r="L3083" s="4">
        <f>VLOOKUP(tblTransactions[[#This Row],[Product_ID]],tblProducts[],5,FALSE)</f>
        <v>579.79</v>
      </c>
      <c r="M3083" s="4">
        <f>tblTransactions[[#This Row],[Total_Amount]]-(tblTransactions[[#This Row],[Cost_Prices]]*tblTransactions[[#This Row],[Quantity]]*(1-tblTransactions[[#This Row],[Discount]]))</f>
        <v>1358.6785</v>
      </c>
      <c r="N3083" s="3">
        <f>tblTransactions[[#This Row],[Profit]]/tblTransactions[[#This Row],[Total_Amount]]</f>
        <v>0.32577062143641533</v>
      </c>
      <c r="O3083" t="str">
        <f>TEXT(tblTransactions[[#This Row],[Date]], "MMM-YYYY")</f>
        <v>Oct-2024</v>
      </c>
      <c r="P3083" t="str">
        <f>"Q"&amp;ROUNDUP(MONTH(tblTransactions[[#This Row],[Date]])/3,0)&amp;"-"&amp;YEAR(tblTransactions[[#This Row],[Date]])</f>
        <v>Q4-2024</v>
      </c>
      <c r="Q3083">
        <f>YEAR(tblTransactions[[#This Row],[Date]])</f>
        <v>2024</v>
      </c>
      <c r="R3083" t="str">
        <f>TEXT(tblTransactions[[#This Row],[Date]],"DDDD")</f>
        <v>Sunday</v>
      </c>
      <c r="S3083">
        <f>MONTH(tblTransactions[[#This Row],[Date]])</f>
        <v>10</v>
      </c>
      <c r="T3083" t="str">
        <f>VLOOKUP(E3083, Products!$A:$B,2,0)</f>
        <v>Phones Ele-4</v>
      </c>
      <c r="U3083" t="str">
        <f>VLOOKUP(E3083,Products!$A:$C,3,0)</f>
        <v>Electronics</v>
      </c>
      <c r="V3083" t="str">
        <f>VLOOKUP(E3083,Products!$A:$D,4,0)</f>
        <v>Phones</v>
      </c>
      <c r="W3083" t="str">
        <f>VLOOKUP(D3083,Customers!$A:$C,3,0)</f>
        <v>B2B</v>
      </c>
      <c r="X3083" t="str">
        <f>VLOOKUP(C3083,Sales_Representatives!$A:$B,2,0)</f>
        <v>Richard Garcia</v>
      </c>
    </row>
    <row r="3084" spans="1:24" x14ac:dyDescent="0.3">
      <c r="A3084" t="s">
        <v>4192</v>
      </c>
      <c r="B3084" t="s">
        <v>4191</v>
      </c>
      <c r="C3084" t="s">
        <v>63</v>
      </c>
      <c r="D3084" t="s">
        <v>1465</v>
      </c>
      <c r="E3084" t="s">
        <v>105</v>
      </c>
      <c r="F3084">
        <v>1</v>
      </c>
      <c r="G3084">
        <v>1342.04</v>
      </c>
      <c r="H3084">
        <v>0.1</v>
      </c>
      <c r="I3084" s="4">
        <v>1207.8399999999999</v>
      </c>
      <c r="J3084" t="s">
        <v>21</v>
      </c>
      <c r="K3084" t="s">
        <v>22</v>
      </c>
      <c r="L3084" s="4">
        <f>VLOOKUP(tblTransactions[[#This Row],[Product_ID]],tblProducts[],5,FALSE)</f>
        <v>792.89</v>
      </c>
      <c r="M3084" s="4">
        <f>tblTransactions[[#This Row],[Total_Amount]]-(tblTransactions[[#This Row],[Cost_Prices]]*tblTransactions[[#This Row],[Quantity]]*(1-tblTransactions[[#This Row],[Discount]]))</f>
        <v>494.23899999999992</v>
      </c>
      <c r="N3084" s="3">
        <f>tblTransactions[[#This Row],[Profit]]/tblTransactions[[#This Row],[Total_Amount]]</f>
        <v>0.40919244270764338</v>
      </c>
      <c r="O3084" t="str">
        <f>TEXT(tblTransactions[[#This Row],[Date]], "MMM-YYYY")</f>
        <v>Oct-2024</v>
      </c>
      <c r="P3084" t="str">
        <f>"Q"&amp;ROUNDUP(MONTH(tblTransactions[[#This Row],[Date]])/3,0)&amp;"-"&amp;YEAR(tblTransactions[[#This Row],[Date]])</f>
        <v>Q4-2024</v>
      </c>
      <c r="Q3084">
        <f>YEAR(tblTransactions[[#This Row],[Date]])</f>
        <v>2024</v>
      </c>
      <c r="R3084" t="str">
        <f>TEXT(tblTransactions[[#This Row],[Date]],"DDDD")</f>
        <v>Sunday</v>
      </c>
      <c r="S3084">
        <f>MONTH(tblTransactions[[#This Row],[Date]])</f>
        <v>10</v>
      </c>
      <c r="T3084" t="str">
        <f>VLOOKUP(E3084, Products!$A:$B,2,0)</f>
        <v>Cameras Ele-1</v>
      </c>
      <c r="U3084" t="str">
        <f>VLOOKUP(E3084,Products!$A:$C,3,0)</f>
        <v>Electronics</v>
      </c>
      <c r="V3084" t="str">
        <f>VLOOKUP(E3084,Products!$A:$D,4,0)</f>
        <v>Cameras</v>
      </c>
      <c r="W3084" t="str">
        <f>VLOOKUP(D3084,Customers!$A:$C,3,0)</f>
        <v>Small Business</v>
      </c>
      <c r="X3084" t="str">
        <f>VLOOKUP(C3084,Sales_Representatives!$A:$B,2,0)</f>
        <v>Richard Wilson</v>
      </c>
    </row>
    <row r="3085" spans="1:24" x14ac:dyDescent="0.3">
      <c r="A3085" t="s">
        <v>4193</v>
      </c>
      <c r="B3085" t="s">
        <v>4191</v>
      </c>
      <c r="C3085" t="s">
        <v>27</v>
      </c>
      <c r="D3085" t="s">
        <v>1852</v>
      </c>
      <c r="E3085" t="s">
        <v>79</v>
      </c>
      <c r="F3085">
        <v>7</v>
      </c>
      <c r="G3085">
        <v>1452.36</v>
      </c>
      <c r="H3085">
        <v>0.11</v>
      </c>
      <c r="I3085" s="4">
        <v>9048.2000000000007</v>
      </c>
      <c r="J3085" t="s">
        <v>16</v>
      </c>
      <c r="K3085" t="s">
        <v>35</v>
      </c>
      <c r="L3085" s="4">
        <f>VLOOKUP(tblTransactions[[#This Row],[Product_ID]],tblProducts[],5,FALSE)</f>
        <v>778.71</v>
      </c>
      <c r="M3085" s="4">
        <f>tblTransactions[[#This Row],[Total_Amount]]-(tblTransactions[[#This Row],[Cost_Prices]]*tblTransactions[[#This Row],[Quantity]]*(1-tblTransactions[[#This Row],[Discount]]))</f>
        <v>4196.8367000000007</v>
      </c>
      <c r="N3085" s="3">
        <f>tblTransactions[[#This Row],[Profit]]/tblTransactions[[#This Row],[Total_Amount]]</f>
        <v>0.4638311155809996</v>
      </c>
      <c r="O3085" t="str">
        <f>TEXT(tblTransactions[[#This Row],[Date]], "MMM-YYYY")</f>
        <v>Oct-2024</v>
      </c>
      <c r="P3085" t="str">
        <f>"Q"&amp;ROUNDUP(MONTH(tblTransactions[[#This Row],[Date]])/3,0)&amp;"-"&amp;YEAR(tblTransactions[[#This Row],[Date]])</f>
        <v>Q4-2024</v>
      </c>
      <c r="Q3085">
        <f>YEAR(tblTransactions[[#This Row],[Date]])</f>
        <v>2024</v>
      </c>
      <c r="R3085" t="str">
        <f>TEXT(tblTransactions[[#This Row],[Date]],"DDDD")</f>
        <v>Sunday</v>
      </c>
      <c r="S3085">
        <f>MONTH(tblTransactions[[#This Row],[Date]])</f>
        <v>10</v>
      </c>
      <c r="T3085" t="str">
        <f>VLOOKUP(E3085, Products!$A:$B,2,0)</f>
        <v>Tables Fur-2</v>
      </c>
      <c r="U3085" t="str">
        <f>VLOOKUP(E3085,Products!$A:$C,3,0)</f>
        <v>Furniture</v>
      </c>
      <c r="V3085" t="str">
        <f>VLOOKUP(E3085,Products!$A:$D,4,0)</f>
        <v>Tables</v>
      </c>
      <c r="W3085" t="str">
        <f>VLOOKUP(D3085,Customers!$A:$C,3,0)</f>
        <v>B2B</v>
      </c>
      <c r="X3085" t="str">
        <f>VLOOKUP(C3085,Sales_Representatives!$A:$B,2,0)</f>
        <v>Thomas Lopez</v>
      </c>
    </row>
    <row r="3086" spans="1:24" x14ac:dyDescent="0.3">
      <c r="A3086" t="s">
        <v>4194</v>
      </c>
      <c r="B3086" t="s">
        <v>4191</v>
      </c>
      <c r="C3086" t="s">
        <v>141</v>
      </c>
      <c r="D3086" t="s">
        <v>1776</v>
      </c>
      <c r="E3086" t="s">
        <v>243</v>
      </c>
      <c r="F3086">
        <v>1</v>
      </c>
      <c r="G3086">
        <v>384.18</v>
      </c>
      <c r="H3086">
        <v>0.05</v>
      </c>
      <c r="I3086" s="4">
        <v>364.97</v>
      </c>
      <c r="J3086" t="s">
        <v>109</v>
      </c>
      <c r="K3086" t="s">
        <v>39</v>
      </c>
      <c r="L3086" s="4">
        <f>VLOOKUP(tblTransactions[[#This Row],[Product_ID]],tblProducts[],5,FALSE)</f>
        <v>266.92</v>
      </c>
      <c r="M3086" s="4">
        <f>tblTransactions[[#This Row],[Total_Amount]]-(tblTransactions[[#This Row],[Cost_Prices]]*tblTransactions[[#This Row],[Quantity]]*(1-tblTransactions[[#This Row],[Discount]]))</f>
        <v>111.39600000000002</v>
      </c>
      <c r="N3086" s="3">
        <f>tblTransactions[[#This Row],[Profit]]/tblTransactions[[#This Row],[Total_Amount]]</f>
        <v>0.30521960709099377</v>
      </c>
      <c r="O3086" t="str">
        <f>TEXT(tblTransactions[[#This Row],[Date]], "MMM-YYYY")</f>
        <v>Oct-2024</v>
      </c>
      <c r="P3086" t="str">
        <f>"Q"&amp;ROUNDUP(MONTH(tblTransactions[[#This Row],[Date]])/3,0)&amp;"-"&amp;YEAR(tblTransactions[[#This Row],[Date]])</f>
        <v>Q4-2024</v>
      </c>
      <c r="Q3086">
        <f>YEAR(tblTransactions[[#This Row],[Date]])</f>
        <v>2024</v>
      </c>
      <c r="R3086" t="str">
        <f>TEXT(tblTransactions[[#This Row],[Date]],"DDDD")</f>
        <v>Sunday</v>
      </c>
      <c r="S3086">
        <f>MONTH(tblTransactions[[#This Row],[Date]])</f>
        <v>10</v>
      </c>
      <c r="T3086" t="str">
        <f>VLOOKUP(E3086, Products!$A:$B,2,0)</f>
        <v>Routers Tec-3</v>
      </c>
      <c r="U3086" t="str">
        <f>VLOOKUP(E3086,Products!$A:$C,3,0)</f>
        <v>Technology</v>
      </c>
      <c r="V3086" t="str">
        <f>VLOOKUP(E3086,Products!$A:$D,4,0)</f>
        <v>Routers</v>
      </c>
      <c r="W3086" t="str">
        <f>VLOOKUP(D3086,Customers!$A:$C,3,0)</f>
        <v>B2C</v>
      </c>
      <c r="X3086" t="str">
        <f>VLOOKUP(C3086,Sales_Representatives!$A:$B,2,0)</f>
        <v>Richard Garcia</v>
      </c>
    </row>
    <row r="3087" spans="1:24" x14ac:dyDescent="0.3">
      <c r="A3087" t="s">
        <v>4195</v>
      </c>
      <c r="B3087" t="s">
        <v>4191</v>
      </c>
      <c r="C3087" t="s">
        <v>75</v>
      </c>
      <c r="D3087" t="s">
        <v>1573</v>
      </c>
      <c r="E3087" t="s">
        <v>255</v>
      </c>
      <c r="F3087">
        <v>6</v>
      </c>
      <c r="G3087">
        <v>1444.13</v>
      </c>
      <c r="H3087">
        <v>0.08</v>
      </c>
      <c r="I3087" s="4">
        <v>7971.6</v>
      </c>
      <c r="J3087" t="s">
        <v>44</v>
      </c>
      <c r="K3087" t="s">
        <v>22</v>
      </c>
      <c r="L3087" s="4">
        <f>VLOOKUP(tblTransactions[[#This Row],[Product_ID]],tblProducts[],5,FALSE)</f>
        <v>874.43</v>
      </c>
      <c r="M3087" s="4">
        <f>tblTransactions[[#This Row],[Total_Amount]]-(tblTransactions[[#This Row],[Cost_Prices]]*tblTransactions[[#This Row],[Quantity]]*(1-tblTransactions[[#This Row],[Discount]]))</f>
        <v>3144.7464</v>
      </c>
      <c r="N3087" s="3">
        <f>tblTransactions[[#This Row],[Profit]]/tblTransactions[[#This Row],[Total_Amount]]</f>
        <v>0.39449375282251992</v>
      </c>
      <c r="O3087" t="str">
        <f>TEXT(tblTransactions[[#This Row],[Date]], "MMM-YYYY")</f>
        <v>Oct-2024</v>
      </c>
      <c r="P3087" t="str">
        <f>"Q"&amp;ROUNDUP(MONTH(tblTransactions[[#This Row],[Date]])/3,0)&amp;"-"&amp;YEAR(tblTransactions[[#This Row],[Date]])</f>
        <v>Q4-2024</v>
      </c>
      <c r="Q3087">
        <f>YEAR(tblTransactions[[#This Row],[Date]])</f>
        <v>2024</v>
      </c>
      <c r="R3087" t="str">
        <f>TEXT(tblTransactions[[#This Row],[Date]],"DDDD")</f>
        <v>Sunday</v>
      </c>
      <c r="S3087">
        <f>MONTH(tblTransactions[[#This Row],[Date]])</f>
        <v>10</v>
      </c>
      <c r="T3087" t="str">
        <f>VLOOKUP(E3087, Products!$A:$B,2,0)</f>
        <v>Printers Tec-1</v>
      </c>
      <c r="U3087" t="str">
        <f>VLOOKUP(E3087,Products!$A:$C,3,0)</f>
        <v>Technology</v>
      </c>
      <c r="V3087" t="str">
        <f>VLOOKUP(E3087,Products!$A:$D,4,0)</f>
        <v>Printers</v>
      </c>
      <c r="W3087" t="str">
        <f>VLOOKUP(D3087,Customers!$A:$C,3,0)</f>
        <v>Small Business</v>
      </c>
      <c r="X3087" t="str">
        <f>VLOOKUP(C3087,Sales_Representatives!$A:$B,2,0)</f>
        <v>Jessica Anderson</v>
      </c>
    </row>
    <row r="3088" spans="1:24" x14ac:dyDescent="0.3">
      <c r="A3088" t="s">
        <v>4196</v>
      </c>
      <c r="B3088" t="s">
        <v>4191</v>
      </c>
      <c r="C3088" t="s">
        <v>27</v>
      </c>
      <c r="D3088" t="s">
        <v>1891</v>
      </c>
      <c r="E3088" t="s">
        <v>84</v>
      </c>
      <c r="F3088">
        <v>15</v>
      </c>
      <c r="G3088">
        <v>1841.77</v>
      </c>
      <c r="H3088">
        <v>0.1</v>
      </c>
      <c r="I3088" s="4">
        <v>24863.9</v>
      </c>
      <c r="J3088" t="s">
        <v>16</v>
      </c>
      <c r="K3088" t="s">
        <v>17</v>
      </c>
      <c r="L3088" s="4">
        <f>VLOOKUP(tblTransactions[[#This Row],[Product_ID]],tblProducts[],5,FALSE)</f>
        <v>1151.5899999999999</v>
      </c>
      <c r="M3088" s="4">
        <f>tblTransactions[[#This Row],[Total_Amount]]-(tblTransactions[[#This Row],[Cost_Prices]]*tblTransactions[[#This Row],[Quantity]]*(1-tblTransactions[[#This Row],[Discount]]))</f>
        <v>9317.4350000000031</v>
      </c>
      <c r="N3088" s="3">
        <f>tblTransactions[[#This Row],[Profit]]/tblTransactions[[#This Row],[Total_Amount]]</f>
        <v>0.37473747079098624</v>
      </c>
      <c r="O3088" t="str">
        <f>TEXT(tblTransactions[[#This Row],[Date]], "MMM-YYYY")</f>
        <v>Oct-2024</v>
      </c>
      <c r="P3088" t="str">
        <f>"Q"&amp;ROUNDUP(MONTH(tblTransactions[[#This Row],[Date]])/3,0)&amp;"-"&amp;YEAR(tblTransactions[[#This Row],[Date]])</f>
        <v>Q4-2024</v>
      </c>
      <c r="Q3088">
        <f>YEAR(tblTransactions[[#This Row],[Date]])</f>
        <v>2024</v>
      </c>
      <c r="R3088" t="str">
        <f>TEXT(tblTransactions[[#This Row],[Date]],"DDDD")</f>
        <v>Sunday</v>
      </c>
      <c r="S3088">
        <f>MONTH(tblTransactions[[#This Row],[Date]])</f>
        <v>10</v>
      </c>
      <c r="T3088" t="str">
        <f>VLOOKUP(E3088, Products!$A:$B,2,0)</f>
        <v>Laptops Ele-2</v>
      </c>
      <c r="U3088" t="str">
        <f>VLOOKUP(E3088,Products!$A:$C,3,0)</f>
        <v>Electronics</v>
      </c>
      <c r="V3088" t="str">
        <f>VLOOKUP(E3088,Products!$A:$D,4,0)</f>
        <v>Laptops</v>
      </c>
      <c r="W3088" t="str">
        <f>VLOOKUP(D3088,Customers!$A:$C,3,0)</f>
        <v>B2B</v>
      </c>
      <c r="X3088" t="str">
        <f>VLOOKUP(C3088,Sales_Representatives!$A:$B,2,0)</f>
        <v>Thomas Lopez</v>
      </c>
    </row>
    <row r="3089" spans="1:24" x14ac:dyDescent="0.3">
      <c r="A3089" t="s">
        <v>4197</v>
      </c>
      <c r="B3089" t="s">
        <v>4191</v>
      </c>
      <c r="C3089" t="s">
        <v>13</v>
      </c>
      <c r="D3089" t="s">
        <v>2671</v>
      </c>
      <c r="E3089" t="s">
        <v>339</v>
      </c>
      <c r="F3089">
        <v>3</v>
      </c>
      <c r="G3089">
        <v>1100.8800000000001</v>
      </c>
      <c r="H3089">
        <v>0.02</v>
      </c>
      <c r="I3089" s="4">
        <v>3236.59</v>
      </c>
      <c r="J3089" t="s">
        <v>16</v>
      </c>
      <c r="K3089" t="s">
        <v>17</v>
      </c>
      <c r="L3089" s="4">
        <f>VLOOKUP(tblTransactions[[#This Row],[Product_ID]],tblProducts[],5,FALSE)</f>
        <v>761.53</v>
      </c>
      <c r="M3089" s="4">
        <f>tblTransactions[[#This Row],[Total_Amount]]-(tblTransactions[[#This Row],[Cost_Prices]]*tblTransactions[[#This Row],[Quantity]]*(1-tblTransactions[[#This Row],[Discount]]))</f>
        <v>997.69180000000006</v>
      </c>
      <c r="N3089" s="3">
        <f>tblTransactions[[#This Row],[Profit]]/tblTransactions[[#This Row],[Total_Amount]]</f>
        <v>0.30825399571771528</v>
      </c>
      <c r="O3089" t="str">
        <f>TEXT(tblTransactions[[#This Row],[Date]], "MMM-YYYY")</f>
        <v>Oct-2024</v>
      </c>
      <c r="P3089" t="str">
        <f>"Q"&amp;ROUNDUP(MONTH(tblTransactions[[#This Row],[Date]])/3,0)&amp;"-"&amp;YEAR(tblTransactions[[#This Row],[Date]])</f>
        <v>Q4-2024</v>
      </c>
      <c r="Q3089">
        <f>YEAR(tblTransactions[[#This Row],[Date]])</f>
        <v>2024</v>
      </c>
      <c r="R3089" t="str">
        <f>TEXT(tblTransactions[[#This Row],[Date]],"DDDD")</f>
        <v>Sunday</v>
      </c>
      <c r="S3089">
        <f>MONTH(tblTransactions[[#This Row],[Date]])</f>
        <v>10</v>
      </c>
      <c r="T3089" t="str">
        <f>VLOOKUP(E3089, Products!$A:$B,2,0)</f>
        <v>Phones Ele-2</v>
      </c>
      <c r="U3089" t="str">
        <f>VLOOKUP(E3089,Products!$A:$C,3,0)</f>
        <v>Electronics</v>
      </c>
      <c r="V3089" t="str">
        <f>VLOOKUP(E3089,Products!$A:$D,4,0)</f>
        <v>Phones</v>
      </c>
      <c r="W3089" t="str">
        <f>VLOOKUP(D3089,Customers!$A:$C,3,0)</f>
        <v>Small Business</v>
      </c>
      <c r="X3089" t="str">
        <f>VLOOKUP(C3089,Sales_Representatives!$A:$B,2,0)</f>
        <v>Jennifer Rodriguez</v>
      </c>
    </row>
    <row r="3090" spans="1:24" x14ac:dyDescent="0.3">
      <c r="A3090" t="s">
        <v>4198</v>
      </c>
      <c r="B3090" t="s">
        <v>4191</v>
      </c>
      <c r="C3090" t="s">
        <v>63</v>
      </c>
      <c r="D3090" t="s">
        <v>1513</v>
      </c>
      <c r="E3090" t="s">
        <v>159</v>
      </c>
      <c r="F3090">
        <v>2</v>
      </c>
      <c r="G3090">
        <v>78.09</v>
      </c>
      <c r="H3090">
        <v>0</v>
      </c>
      <c r="I3090" s="4">
        <v>156.18</v>
      </c>
      <c r="J3090" t="s">
        <v>21</v>
      </c>
      <c r="K3090" t="s">
        <v>39</v>
      </c>
      <c r="L3090" s="4">
        <f>VLOOKUP(tblTransactions[[#This Row],[Product_ID]],tblProducts[],5,FALSE)</f>
        <v>47.01</v>
      </c>
      <c r="M3090" s="4">
        <f>tblTransactions[[#This Row],[Total_Amount]]-(tblTransactions[[#This Row],[Cost_Prices]]*tblTransactions[[#This Row],[Quantity]]*(1-tblTransactions[[#This Row],[Discount]]))</f>
        <v>62.160000000000011</v>
      </c>
      <c r="N3090" s="3">
        <f>tblTransactions[[#This Row],[Profit]]/tblTransactions[[#This Row],[Total_Amount]]</f>
        <v>0.39800230503265466</v>
      </c>
      <c r="O3090" t="str">
        <f>TEXT(tblTransactions[[#This Row],[Date]], "MMM-YYYY")</f>
        <v>Oct-2024</v>
      </c>
      <c r="P3090" t="str">
        <f>"Q"&amp;ROUNDUP(MONTH(tblTransactions[[#This Row],[Date]])/3,0)&amp;"-"&amp;YEAR(tblTransactions[[#This Row],[Date]])</f>
        <v>Q4-2024</v>
      </c>
      <c r="Q3090">
        <f>YEAR(tblTransactions[[#This Row],[Date]])</f>
        <v>2024</v>
      </c>
      <c r="R3090" t="str">
        <f>TEXT(tblTransactions[[#This Row],[Date]],"DDDD")</f>
        <v>Sunday</v>
      </c>
      <c r="S3090">
        <f>MONTH(tblTransactions[[#This Row],[Date]])</f>
        <v>10</v>
      </c>
      <c r="T3090" t="str">
        <f>VLOOKUP(E3090, Products!$A:$B,2,0)</f>
        <v>Cables Acc-4</v>
      </c>
      <c r="U3090" t="str">
        <f>VLOOKUP(E3090,Products!$A:$C,3,0)</f>
        <v>Accessories</v>
      </c>
      <c r="V3090" t="str">
        <f>VLOOKUP(E3090,Products!$A:$D,4,0)</f>
        <v>Cables</v>
      </c>
      <c r="W3090" t="str">
        <f>VLOOKUP(D3090,Customers!$A:$C,3,0)</f>
        <v>B2C</v>
      </c>
      <c r="X3090" t="str">
        <f>VLOOKUP(C3090,Sales_Representatives!$A:$B,2,0)</f>
        <v>Richard Wilson</v>
      </c>
    </row>
    <row r="3091" spans="1:24" x14ac:dyDescent="0.3">
      <c r="A3091" t="s">
        <v>4199</v>
      </c>
      <c r="B3091" t="s">
        <v>4200</v>
      </c>
      <c r="C3091" t="s">
        <v>131</v>
      </c>
      <c r="D3091" t="s">
        <v>1938</v>
      </c>
      <c r="E3091" t="s">
        <v>77</v>
      </c>
      <c r="F3091">
        <v>5</v>
      </c>
      <c r="G3091">
        <v>236.82</v>
      </c>
      <c r="H3091">
        <v>7.0000000000000007E-2</v>
      </c>
      <c r="I3091" s="4">
        <v>1101.21</v>
      </c>
      <c r="J3091" t="s">
        <v>44</v>
      </c>
      <c r="K3091" t="s">
        <v>35</v>
      </c>
      <c r="L3091" s="4">
        <f>VLOOKUP(tblTransactions[[#This Row],[Product_ID]],tblProducts[],5,FALSE)</f>
        <v>110.79</v>
      </c>
      <c r="M3091" s="4">
        <f>tblTransactions[[#This Row],[Total_Amount]]-(tblTransactions[[#This Row],[Cost_Prices]]*tblTransactions[[#This Row],[Quantity]]*(1-tblTransactions[[#This Row],[Discount]]))</f>
        <v>586.03650000000005</v>
      </c>
      <c r="N3091" s="3">
        <f>tblTransactions[[#This Row],[Profit]]/tblTransactions[[#This Row],[Total_Amount]]</f>
        <v>0.5321750619772796</v>
      </c>
      <c r="O3091" t="str">
        <f>TEXT(tblTransactions[[#This Row],[Date]], "MMM-YYYY")</f>
        <v>Oct-2024</v>
      </c>
      <c r="P3091" t="str">
        <f>"Q"&amp;ROUNDUP(MONTH(tblTransactions[[#This Row],[Date]])/3,0)&amp;"-"&amp;YEAR(tblTransactions[[#This Row],[Date]])</f>
        <v>Q4-2024</v>
      </c>
      <c r="Q3091">
        <f>YEAR(tblTransactions[[#This Row],[Date]])</f>
        <v>2024</v>
      </c>
      <c r="R3091" t="str">
        <f>TEXT(tblTransactions[[#This Row],[Date]],"DDDD")</f>
        <v>Monday</v>
      </c>
      <c r="S3091">
        <f>MONTH(tblTransactions[[#This Row],[Date]])</f>
        <v>10</v>
      </c>
      <c r="T3091" t="str">
        <f>VLOOKUP(E3091, Products!$A:$B,2,0)</f>
        <v>Binders Off-4</v>
      </c>
      <c r="U3091" t="str">
        <f>VLOOKUP(E3091,Products!$A:$C,3,0)</f>
        <v>Office Supplies</v>
      </c>
      <c r="V3091" t="str">
        <f>VLOOKUP(E3091,Products!$A:$D,4,0)</f>
        <v>Binders</v>
      </c>
      <c r="W3091" t="str">
        <f>VLOOKUP(D3091,Customers!$A:$C,3,0)</f>
        <v>B2C</v>
      </c>
      <c r="X3091" t="str">
        <f>VLOOKUP(C3091,Sales_Representatives!$A:$B,2,0)</f>
        <v>Michael Davis</v>
      </c>
    </row>
    <row r="3092" spans="1:24" x14ac:dyDescent="0.3">
      <c r="A3092" t="s">
        <v>4201</v>
      </c>
      <c r="B3092" t="s">
        <v>4200</v>
      </c>
      <c r="C3092" t="s">
        <v>41</v>
      </c>
      <c r="D3092" t="s">
        <v>52</v>
      </c>
      <c r="E3092" t="s">
        <v>316</v>
      </c>
      <c r="F3092">
        <v>5</v>
      </c>
      <c r="G3092">
        <v>91.42</v>
      </c>
      <c r="H3092">
        <v>0.02</v>
      </c>
      <c r="I3092" s="4">
        <v>447.96</v>
      </c>
      <c r="J3092" t="s">
        <v>44</v>
      </c>
      <c r="K3092" t="s">
        <v>17</v>
      </c>
      <c r="L3092" s="4">
        <f>VLOOKUP(tblTransactions[[#This Row],[Product_ID]],tblProducts[],5,FALSE)</f>
        <v>50.09</v>
      </c>
      <c r="M3092" s="4">
        <f>tblTransactions[[#This Row],[Total_Amount]]-(tblTransactions[[#This Row],[Cost_Prices]]*tblTransactions[[#This Row],[Quantity]]*(1-tblTransactions[[#This Row],[Discount]]))</f>
        <v>202.51899999999998</v>
      </c>
      <c r="N3092" s="3">
        <f>tblTransactions[[#This Row],[Profit]]/tblTransactions[[#This Row],[Total_Amount]]</f>
        <v>0.45209170461648357</v>
      </c>
      <c r="O3092" t="str">
        <f>TEXT(tblTransactions[[#This Row],[Date]], "MMM-YYYY")</f>
        <v>Oct-2024</v>
      </c>
      <c r="P3092" t="str">
        <f>"Q"&amp;ROUNDUP(MONTH(tblTransactions[[#This Row],[Date]])/3,0)&amp;"-"&amp;YEAR(tblTransactions[[#This Row],[Date]])</f>
        <v>Q4-2024</v>
      </c>
      <c r="Q3092">
        <f>YEAR(tblTransactions[[#This Row],[Date]])</f>
        <v>2024</v>
      </c>
      <c r="R3092" t="str">
        <f>TEXT(tblTransactions[[#This Row],[Date]],"DDDD")</f>
        <v>Monday</v>
      </c>
      <c r="S3092">
        <f>MONTH(tblTransactions[[#This Row],[Date]])</f>
        <v>10</v>
      </c>
      <c r="T3092" t="str">
        <f>VLOOKUP(E3092, Products!$A:$B,2,0)</f>
        <v>Binders Off-3</v>
      </c>
      <c r="U3092" t="str">
        <f>VLOOKUP(E3092,Products!$A:$C,3,0)</f>
        <v>Office Supplies</v>
      </c>
      <c r="V3092" t="str">
        <f>VLOOKUP(E3092,Products!$A:$D,4,0)</f>
        <v>Binders</v>
      </c>
      <c r="W3092" t="str">
        <f>VLOOKUP(D3092,Customers!$A:$C,3,0)</f>
        <v>B2C</v>
      </c>
      <c r="X3092" t="str">
        <f>VLOOKUP(C3092,Sales_Representatives!$A:$B,2,0)</f>
        <v>Robert Jones</v>
      </c>
    </row>
    <row r="3093" spans="1:24" x14ac:dyDescent="0.3">
      <c r="A3093" t="s">
        <v>4202</v>
      </c>
      <c r="B3093" t="s">
        <v>4200</v>
      </c>
      <c r="C3093" t="s">
        <v>107</v>
      </c>
      <c r="D3093" t="s">
        <v>1699</v>
      </c>
      <c r="E3093" t="s">
        <v>204</v>
      </c>
      <c r="F3093">
        <v>14</v>
      </c>
      <c r="G3093">
        <v>715.62</v>
      </c>
      <c r="H3093">
        <v>0.14000000000000001</v>
      </c>
      <c r="I3093" s="4">
        <v>8616.06</v>
      </c>
      <c r="J3093" t="s">
        <v>109</v>
      </c>
      <c r="K3093" t="s">
        <v>39</v>
      </c>
      <c r="L3093" s="4">
        <f>VLOOKUP(tblTransactions[[#This Row],[Product_ID]],tblProducts[],5,FALSE)</f>
        <v>459.58</v>
      </c>
      <c r="M3093" s="4">
        <f>tblTransactions[[#This Row],[Total_Amount]]-(tblTransactions[[#This Row],[Cost_Prices]]*tblTransactions[[#This Row],[Quantity]]*(1-tblTransactions[[#This Row],[Discount]]))</f>
        <v>3082.7167999999992</v>
      </c>
      <c r="N3093" s="3">
        <f>tblTransactions[[#This Row],[Profit]]/tblTransactions[[#This Row],[Total_Amount]]</f>
        <v>0.35778729488884703</v>
      </c>
      <c r="O3093" t="str">
        <f>TEXT(tblTransactions[[#This Row],[Date]], "MMM-YYYY")</f>
        <v>Oct-2024</v>
      </c>
      <c r="P3093" t="str">
        <f>"Q"&amp;ROUNDUP(MONTH(tblTransactions[[#This Row],[Date]])/3,0)&amp;"-"&amp;YEAR(tblTransactions[[#This Row],[Date]])</f>
        <v>Q4-2024</v>
      </c>
      <c r="Q3093">
        <f>YEAR(tblTransactions[[#This Row],[Date]])</f>
        <v>2024</v>
      </c>
      <c r="R3093" t="str">
        <f>TEXT(tblTransactions[[#This Row],[Date]],"DDDD")</f>
        <v>Monday</v>
      </c>
      <c r="S3093">
        <f>MONTH(tblTransactions[[#This Row],[Date]])</f>
        <v>10</v>
      </c>
      <c r="T3093" t="str">
        <f>VLOOKUP(E3093, Products!$A:$B,2,0)</f>
        <v>Cameras Ele-2</v>
      </c>
      <c r="U3093" t="str">
        <f>VLOOKUP(E3093,Products!$A:$C,3,0)</f>
        <v>Electronics</v>
      </c>
      <c r="V3093" t="str">
        <f>VLOOKUP(E3093,Products!$A:$D,4,0)</f>
        <v>Cameras</v>
      </c>
      <c r="W3093" t="str">
        <f>VLOOKUP(D3093,Customers!$A:$C,3,0)</f>
        <v>B2B</v>
      </c>
      <c r="X3093" t="str">
        <f>VLOOKUP(C3093,Sales_Representatives!$A:$B,2,0)</f>
        <v>Jennifer Brown</v>
      </c>
    </row>
    <row r="3094" spans="1:24" x14ac:dyDescent="0.3">
      <c r="A3094" t="s">
        <v>4203</v>
      </c>
      <c r="B3094" t="s">
        <v>4200</v>
      </c>
      <c r="C3094" t="s">
        <v>31</v>
      </c>
      <c r="D3094" t="s">
        <v>1997</v>
      </c>
      <c r="E3094" t="s">
        <v>221</v>
      </c>
      <c r="F3094">
        <v>6</v>
      </c>
      <c r="G3094">
        <v>210.02</v>
      </c>
      <c r="H3094">
        <v>0.05</v>
      </c>
      <c r="I3094" s="4">
        <v>1197.1099999999999</v>
      </c>
      <c r="J3094" t="s">
        <v>34</v>
      </c>
      <c r="K3094" t="s">
        <v>48</v>
      </c>
      <c r="L3094" s="4">
        <f>VLOOKUP(tblTransactions[[#This Row],[Product_ID]],tblProducts[],5,FALSE)</f>
        <v>131.66</v>
      </c>
      <c r="M3094" s="4">
        <f>tblTransactions[[#This Row],[Total_Amount]]-(tblTransactions[[#This Row],[Cost_Prices]]*tblTransactions[[#This Row],[Quantity]]*(1-tblTransactions[[#This Row],[Discount]]))</f>
        <v>446.64799999999991</v>
      </c>
      <c r="N3094" s="3">
        <f>tblTransactions[[#This Row],[Profit]]/tblTransactions[[#This Row],[Total_Amount]]</f>
        <v>0.37310522842512378</v>
      </c>
      <c r="O3094" t="str">
        <f>TEXT(tblTransactions[[#This Row],[Date]], "MMM-YYYY")</f>
        <v>Oct-2024</v>
      </c>
      <c r="P3094" t="str">
        <f>"Q"&amp;ROUNDUP(MONTH(tblTransactions[[#This Row],[Date]])/3,0)&amp;"-"&amp;YEAR(tblTransactions[[#This Row],[Date]])</f>
        <v>Q4-2024</v>
      </c>
      <c r="Q3094">
        <f>YEAR(tblTransactions[[#This Row],[Date]])</f>
        <v>2024</v>
      </c>
      <c r="R3094" t="str">
        <f>TEXT(tblTransactions[[#This Row],[Date]],"DDDD")</f>
        <v>Monday</v>
      </c>
      <c r="S3094">
        <f>MONTH(tblTransactions[[#This Row],[Date]])</f>
        <v>10</v>
      </c>
      <c r="T3094" t="str">
        <f>VLOOKUP(E3094, Products!$A:$B,2,0)</f>
        <v>Storage Fur-2</v>
      </c>
      <c r="U3094" t="str">
        <f>VLOOKUP(E3094,Products!$A:$C,3,0)</f>
        <v>Furniture</v>
      </c>
      <c r="V3094" t="str">
        <f>VLOOKUP(E3094,Products!$A:$D,4,0)</f>
        <v>Storage</v>
      </c>
      <c r="W3094" t="str">
        <f>VLOOKUP(D3094,Customers!$A:$C,3,0)</f>
        <v>B2B</v>
      </c>
      <c r="X3094" t="str">
        <f>VLOOKUP(C3094,Sales_Representatives!$A:$B,2,0)</f>
        <v>Thomas Martinez</v>
      </c>
    </row>
    <row r="3095" spans="1:24" x14ac:dyDescent="0.3">
      <c r="A3095" t="s">
        <v>4204</v>
      </c>
      <c r="B3095" t="s">
        <v>4200</v>
      </c>
      <c r="C3095" t="s">
        <v>27</v>
      </c>
      <c r="D3095" t="s">
        <v>2466</v>
      </c>
      <c r="E3095" t="s">
        <v>129</v>
      </c>
      <c r="F3095">
        <v>3</v>
      </c>
      <c r="G3095">
        <v>1283.71</v>
      </c>
      <c r="H3095">
        <v>0</v>
      </c>
      <c r="I3095" s="4">
        <v>3851.13</v>
      </c>
      <c r="J3095" t="s">
        <v>16</v>
      </c>
      <c r="K3095" t="s">
        <v>35</v>
      </c>
      <c r="L3095" s="4">
        <f>VLOOKUP(tblTransactions[[#This Row],[Product_ID]],tblProducts[],5,FALSE)</f>
        <v>970.14</v>
      </c>
      <c r="M3095" s="4">
        <f>tblTransactions[[#This Row],[Total_Amount]]-(tblTransactions[[#This Row],[Cost_Prices]]*tblTransactions[[#This Row],[Quantity]]*(1-tblTransactions[[#This Row],[Discount]]))</f>
        <v>940.71</v>
      </c>
      <c r="N3095" s="3">
        <f>tblTransactions[[#This Row],[Profit]]/tblTransactions[[#This Row],[Total_Amount]]</f>
        <v>0.24426856533017582</v>
      </c>
      <c r="O3095" t="str">
        <f>TEXT(tblTransactions[[#This Row],[Date]], "MMM-YYYY")</f>
        <v>Oct-2024</v>
      </c>
      <c r="P3095" t="str">
        <f>"Q"&amp;ROUNDUP(MONTH(tblTransactions[[#This Row],[Date]])/3,0)&amp;"-"&amp;YEAR(tblTransactions[[#This Row],[Date]])</f>
        <v>Q4-2024</v>
      </c>
      <c r="Q3095">
        <f>YEAR(tblTransactions[[#This Row],[Date]])</f>
        <v>2024</v>
      </c>
      <c r="R3095" t="str">
        <f>TEXT(tblTransactions[[#This Row],[Date]],"DDDD")</f>
        <v>Monday</v>
      </c>
      <c r="S3095">
        <f>MONTH(tblTransactions[[#This Row],[Date]])</f>
        <v>10</v>
      </c>
      <c r="T3095" t="str">
        <f>VLOOKUP(E3095, Products!$A:$B,2,0)</f>
        <v>Cameras Ele-3</v>
      </c>
      <c r="U3095" t="str">
        <f>VLOOKUP(E3095,Products!$A:$C,3,0)</f>
        <v>Electronics</v>
      </c>
      <c r="V3095" t="str">
        <f>VLOOKUP(E3095,Products!$A:$D,4,0)</f>
        <v>Cameras</v>
      </c>
      <c r="W3095" t="str">
        <f>VLOOKUP(D3095,Customers!$A:$C,3,0)</f>
        <v>B2C</v>
      </c>
      <c r="X3095" t="str">
        <f>VLOOKUP(C3095,Sales_Representatives!$A:$B,2,0)</f>
        <v>Thomas Lopez</v>
      </c>
    </row>
    <row r="3096" spans="1:24" x14ac:dyDescent="0.3">
      <c r="A3096" t="s">
        <v>4205</v>
      </c>
      <c r="B3096" t="s">
        <v>4200</v>
      </c>
      <c r="C3096" t="s">
        <v>127</v>
      </c>
      <c r="D3096" t="s">
        <v>2119</v>
      </c>
      <c r="E3096" t="s">
        <v>25</v>
      </c>
      <c r="F3096">
        <v>13</v>
      </c>
      <c r="G3096">
        <v>1467.49</v>
      </c>
      <c r="H3096">
        <v>0.18</v>
      </c>
      <c r="I3096" s="4">
        <v>15643.44</v>
      </c>
      <c r="J3096" t="s">
        <v>109</v>
      </c>
      <c r="K3096" t="s">
        <v>48</v>
      </c>
      <c r="L3096" s="4">
        <f>VLOOKUP(tblTransactions[[#This Row],[Product_ID]],tblProducts[],5,FALSE)</f>
        <v>757.65</v>
      </c>
      <c r="M3096" s="4">
        <f>tblTransactions[[#This Row],[Total_Amount]]-(tblTransactions[[#This Row],[Cost_Prices]]*tblTransactions[[#This Row],[Quantity]]*(1-tblTransactions[[#This Row],[Discount]]))</f>
        <v>7566.8910000000005</v>
      </c>
      <c r="N3096" s="3">
        <f>tblTransactions[[#This Row],[Profit]]/tblTransactions[[#This Row],[Total_Amount]]</f>
        <v>0.48371016860741628</v>
      </c>
      <c r="O3096" t="str">
        <f>TEXT(tblTransactions[[#This Row],[Date]], "MMM-YYYY")</f>
        <v>Oct-2024</v>
      </c>
      <c r="P3096" t="str">
        <f>"Q"&amp;ROUNDUP(MONTH(tblTransactions[[#This Row],[Date]])/3,0)&amp;"-"&amp;YEAR(tblTransactions[[#This Row],[Date]])</f>
        <v>Q4-2024</v>
      </c>
      <c r="Q3096">
        <f>YEAR(tblTransactions[[#This Row],[Date]])</f>
        <v>2024</v>
      </c>
      <c r="R3096" t="str">
        <f>TEXT(tblTransactions[[#This Row],[Date]],"DDDD")</f>
        <v>Monday</v>
      </c>
      <c r="S3096">
        <f>MONTH(tblTransactions[[#This Row],[Date]])</f>
        <v>10</v>
      </c>
      <c r="T3096" t="str">
        <f>VLOOKUP(E3096, Products!$A:$B,2,0)</f>
        <v>Tables Fur-3</v>
      </c>
      <c r="U3096" t="str">
        <f>VLOOKUP(E3096,Products!$A:$C,3,0)</f>
        <v>Furniture</v>
      </c>
      <c r="V3096" t="str">
        <f>VLOOKUP(E3096,Products!$A:$D,4,0)</f>
        <v>Tables</v>
      </c>
      <c r="W3096" t="str">
        <f>VLOOKUP(D3096,Customers!$A:$C,3,0)</f>
        <v>B2B</v>
      </c>
      <c r="X3096" t="str">
        <f>VLOOKUP(C3096,Sales_Representatives!$A:$B,2,0)</f>
        <v>Emily Hernandez</v>
      </c>
    </row>
    <row r="3097" spans="1:24" x14ac:dyDescent="0.3">
      <c r="A3097" t="s">
        <v>4206</v>
      </c>
      <c r="B3097" t="s">
        <v>4200</v>
      </c>
      <c r="C3097" t="s">
        <v>19</v>
      </c>
      <c r="D3097" t="s">
        <v>3604</v>
      </c>
      <c r="E3097" t="s">
        <v>176</v>
      </c>
      <c r="F3097">
        <v>47</v>
      </c>
      <c r="G3097">
        <v>1462.68</v>
      </c>
      <c r="H3097">
        <v>0.2</v>
      </c>
      <c r="I3097" s="4">
        <v>54996.77</v>
      </c>
      <c r="J3097" t="s">
        <v>21</v>
      </c>
      <c r="K3097" t="s">
        <v>48</v>
      </c>
      <c r="L3097" s="4">
        <f>VLOOKUP(tblTransactions[[#This Row],[Product_ID]],tblProducts[],5,FALSE)</f>
        <v>775.94</v>
      </c>
      <c r="M3097" s="4">
        <f>tblTransactions[[#This Row],[Total_Amount]]-(tblTransactions[[#This Row],[Cost_Prices]]*tblTransactions[[#This Row],[Quantity]]*(1-tblTransactions[[#This Row],[Discount]]))</f>
        <v>25821.425999999996</v>
      </c>
      <c r="N3097" s="3">
        <f>tblTransactions[[#This Row],[Profit]]/tblTransactions[[#This Row],[Total_Amount]]</f>
        <v>0.46950804565431747</v>
      </c>
      <c r="O3097" t="str">
        <f>TEXT(tblTransactions[[#This Row],[Date]], "MMM-YYYY")</f>
        <v>Oct-2024</v>
      </c>
      <c r="P3097" t="str">
        <f>"Q"&amp;ROUNDUP(MONTH(tblTransactions[[#This Row],[Date]])/3,0)&amp;"-"&amp;YEAR(tblTransactions[[#This Row],[Date]])</f>
        <v>Q4-2024</v>
      </c>
      <c r="Q3097">
        <f>YEAR(tblTransactions[[#This Row],[Date]])</f>
        <v>2024</v>
      </c>
      <c r="R3097" t="str">
        <f>TEXT(tblTransactions[[#This Row],[Date]],"DDDD")</f>
        <v>Monday</v>
      </c>
      <c r="S3097">
        <f>MONTH(tblTransactions[[#This Row],[Date]])</f>
        <v>10</v>
      </c>
      <c r="T3097" t="str">
        <f>VLOOKUP(E3097, Products!$A:$B,2,0)</f>
        <v>Chairs Fur-2</v>
      </c>
      <c r="U3097" t="str">
        <f>VLOOKUP(E3097,Products!$A:$C,3,0)</f>
        <v>Furniture</v>
      </c>
      <c r="V3097" t="str">
        <f>VLOOKUP(E3097,Products!$A:$D,4,0)</f>
        <v>Chairs</v>
      </c>
      <c r="W3097" t="str">
        <f>VLOOKUP(D3097,Customers!$A:$C,3,0)</f>
        <v>Enterprise</v>
      </c>
      <c r="X3097" t="str">
        <f>VLOOKUP(C3097,Sales_Representatives!$A:$B,2,0)</f>
        <v>Robert Jones</v>
      </c>
    </row>
    <row r="3098" spans="1:24" x14ac:dyDescent="0.3">
      <c r="A3098" t="s">
        <v>4207</v>
      </c>
      <c r="B3098" t="s">
        <v>4208</v>
      </c>
      <c r="C3098" t="s">
        <v>27</v>
      </c>
      <c r="D3098" t="s">
        <v>1530</v>
      </c>
      <c r="E3098" t="s">
        <v>152</v>
      </c>
      <c r="F3098">
        <v>17</v>
      </c>
      <c r="G3098">
        <v>859.93</v>
      </c>
      <c r="H3098">
        <v>0.11</v>
      </c>
      <c r="I3098" s="4">
        <v>13010.74</v>
      </c>
      <c r="J3098" t="s">
        <v>16</v>
      </c>
      <c r="K3098" t="s">
        <v>39</v>
      </c>
      <c r="L3098" s="4">
        <f>VLOOKUP(tblTransactions[[#This Row],[Product_ID]],tblProducts[],5,FALSE)</f>
        <v>579.79</v>
      </c>
      <c r="M3098" s="4">
        <f>tblTransactions[[#This Row],[Total_Amount]]-(tblTransactions[[#This Row],[Cost_Prices]]*tblTransactions[[#This Row],[Quantity]]*(1-tblTransactions[[#This Row],[Discount]]))</f>
        <v>4238.5172999999995</v>
      </c>
      <c r="N3098" s="3">
        <f>tblTransactions[[#This Row],[Profit]]/tblTransactions[[#This Row],[Total_Amount]]</f>
        <v>0.32577065562758151</v>
      </c>
      <c r="O3098" t="str">
        <f>TEXT(tblTransactions[[#This Row],[Date]], "MMM-YYYY")</f>
        <v>Oct-2024</v>
      </c>
      <c r="P3098" t="str">
        <f>"Q"&amp;ROUNDUP(MONTH(tblTransactions[[#This Row],[Date]])/3,0)&amp;"-"&amp;YEAR(tblTransactions[[#This Row],[Date]])</f>
        <v>Q4-2024</v>
      </c>
      <c r="Q3098">
        <f>YEAR(tblTransactions[[#This Row],[Date]])</f>
        <v>2024</v>
      </c>
      <c r="R3098" t="str">
        <f>TEXT(tblTransactions[[#This Row],[Date]],"DDDD")</f>
        <v>Tuesday</v>
      </c>
      <c r="S3098">
        <f>MONTH(tblTransactions[[#This Row],[Date]])</f>
        <v>10</v>
      </c>
      <c r="T3098" t="str">
        <f>VLOOKUP(E3098, Products!$A:$B,2,0)</f>
        <v>Phones Ele-4</v>
      </c>
      <c r="U3098" t="str">
        <f>VLOOKUP(E3098,Products!$A:$C,3,0)</f>
        <v>Electronics</v>
      </c>
      <c r="V3098" t="str">
        <f>VLOOKUP(E3098,Products!$A:$D,4,0)</f>
        <v>Phones</v>
      </c>
      <c r="W3098" t="str">
        <f>VLOOKUP(D3098,Customers!$A:$C,3,0)</f>
        <v>Enterprise</v>
      </c>
      <c r="X3098" t="str">
        <f>VLOOKUP(C3098,Sales_Representatives!$A:$B,2,0)</f>
        <v>Thomas Lopez</v>
      </c>
    </row>
    <row r="3099" spans="1:24" x14ac:dyDescent="0.3">
      <c r="A3099" t="s">
        <v>4209</v>
      </c>
      <c r="B3099" t="s">
        <v>4208</v>
      </c>
      <c r="C3099" t="s">
        <v>59</v>
      </c>
      <c r="D3099" t="s">
        <v>1678</v>
      </c>
      <c r="E3099" t="s">
        <v>116</v>
      </c>
      <c r="F3099">
        <v>6</v>
      </c>
      <c r="G3099">
        <v>232.86</v>
      </c>
      <c r="H3099">
        <v>0.09</v>
      </c>
      <c r="I3099" s="4">
        <v>1271.42</v>
      </c>
      <c r="J3099" t="s">
        <v>21</v>
      </c>
      <c r="K3099" t="s">
        <v>17</v>
      </c>
      <c r="L3099" s="4">
        <f>VLOOKUP(tblTransactions[[#This Row],[Product_ID]],tblProducts[],5,FALSE)</f>
        <v>116.79</v>
      </c>
      <c r="M3099" s="4">
        <f>tblTransactions[[#This Row],[Total_Amount]]-(tblTransactions[[#This Row],[Cost_Prices]]*tblTransactions[[#This Row],[Quantity]]*(1-tblTransactions[[#This Row],[Discount]]))</f>
        <v>633.74660000000006</v>
      </c>
      <c r="N3099" s="3">
        <f>tblTransactions[[#This Row],[Profit]]/tblTransactions[[#This Row],[Total_Amount]]</f>
        <v>0.4984557423982634</v>
      </c>
      <c r="O3099" t="str">
        <f>TEXT(tblTransactions[[#This Row],[Date]], "MMM-YYYY")</f>
        <v>Oct-2024</v>
      </c>
      <c r="P3099" t="str">
        <f>"Q"&amp;ROUNDUP(MONTH(tblTransactions[[#This Row],[Date]])/3,0)&amp;"-"&amp;YEAR(tblTransactions[[#This Row],[Date]])</f>
        <v>Q4-2024</v>
      </c>
      <c r="Q3099">
        <f>YEAR(tblTransactions[[#This Row],[Date]])</f>
        <v>2024</v>
      </c>
      <c r="R3099" t="str">
        <f>TEXT(tblTransactions[[#This Row],[Date]],"DDDD")</f>
        <v>Tuesday</v>
      </c>
      <c r="S3099">
        <f>MONTH(tblTransactions[[#This Row],[Date]])</f>
        <v>10</v>
      </c>
      <c r="T3099" t="str">
        <f>VLOOKUP(E3099, Products!$A:$B,2,0)</f>
        <v>Folders Off-4</v>
      </c>
      <c r="U3099" t="str">
        <f>VLOOKUP(E3099,Products!$A:$C,3,0)</f>
        <v>Office Supplies</v>
      </c>
      <c r="V3099" t="str">
        <f>VLOOKUP(E3099,Products!$A:$D,4,0)</f>
        <v>Folders</v>
      </c>
      <c r="W3099" t="str">
        <f>VLOOKUP(D3099,Customers!$A:$C,3,0)</f>
        <v>B2C</v>
      </c>
      <c r="X3099" t="str">
        <f>VLOOKUP(C3099,Sales_Representatives!$A:$B,2,0)</f>
        <v>Sarah Brown</v>
      </c>
    </row>
    <row r="3100" spans="1:24" x14ac:dyDescent="0.3">
      <c r="A3100" t="s">
        <v>4210</v>
      </c>
      <c r="B3100" t="s">
        <v>4208</v>
      </c>
      <c r="C3100" t="s">
        <v>75</v>
      </c>
      <c r="D3100" t="s">
        <v>2527</v>
      </c>
      <c r="E3100" t="s">
        <v>113</v>
      </c>
      <c r="F3100">
        <v>2</v>
      </c>
      <c r="G3100">
        <v>930.41</v>
      </c>
      <c r="H3100">
        <v>0.08</v>
      </c>
      <c r="I3100" s="4">
        <v>1711.95</v>
      </c>
      <c r="J3100" t="s">
        <v>44</v>
      </c>
      <c r="K3100" t="s">
        <v>35</v>
      </c>
      <c r="L3100" s="4">
        <f>VLOOKUP(tblTransactions[[#This Row],[Product_ID]],tblProducts[],5,FALSE)</f>
        <v>595.51</v>
      </c>
      <c r="M3100" s="4">
        <f>tblTransactions[[#This Row],[Total_Amount]]-(tblTransactions[[#This Row],[Cost_Prices]]*tblTransactions[[#This Row],[Quantity]]*(1-tblTransactions[[#This Row],[Discount]]))</f>
        <v>616.21160000000009</v>
      </c>
      <c r="N3100" s="3">
        <f>tblTransactions[[#This Row],[Profit]]/tblTransactions[[#This Row],[Total_Amount]]</f>
        <v>0.35994719471947201</v>
      </c>
      <c r="O3100" t="str">
        <f>TEXT(tblTransactions[[#This Row],[Date]], "MMM-YYYY")</f>
        <v>Oct-2024</v>
      </c>
      <c r="P3100" t="str">
        <f>"Q"&amp;ROUNDUP(MONTH(tblTransactions[[#This Row],[Date]])/3,0)&amp;"-"&amp;YEAR(tblTransactions[[#This Row],[Date]])</f>
        <v>Q4-2024</v>
      </c>
      <c r="Q3100">
        <f>YEAR(tblTransactions[[#This Row],[Date]])</f>
        <v>2024</v>
      </c>
      <c r="R3100" t="str">
        <f>TEXT(tblTransactions[[#This Row],[Date]],"DDDD")</f>
        <v>Tuesday</v>
      </c>
      <c r="S3100">
        <f>MONTH(tblTransactions[[#This Row],[Date]])</f>
        <v>10</v>
      </c>
      <c r="T3100" t="str">
        <f>VLOOKUP(E3100, Products!$A:$B,2,0)</f>
        <v>Phones Ele-1</v>
      </c>
      <c r="U3100" t="str">
        <f>VLOOKUP(E3100,Products!$A:$C,3,0)</f>
        <v>Electronics</v>
      </c>
      <c r="V3100" t="str">
        <f>VLOOKUP(E3100,Products!$A:$D,4,0)</f>
        <v>Phones</v>
      </c>
      <c r="W3100" t="str">
        <f>VLOOKUP(D3100,Customers!$A:$C,3,0)</f>
        <v>B2C</v>
      </c>
      <c r="X3100" t="str">
        <f>VLOOKUP(C3100,Sales_Representatives!$A:$B,2,0)</f>
        <v>Jessica Anderson</v>
      </c>
    </row>
    <row r="3101" spans="1:24" x14ac:dyDescent="0.3">
      <c r="A3101" t="s">
        <v>4211</v>
      </c>
      <c r="B3101" t="s">
        <v>4208</v>
      </c>
      <c r="C3101" t="s">
        <v>127</v>
      </c>
      <c r="D3101" t="s">
        <v>1737</v>
      </c>
      <c r="E3101" t="s">
        <v>221</v>
      </c>
      <c r="F3101">
        <v>17</v>
      </c>
      <c r="G3101">
        <v>210.02</v>
      </c>
      <c r="H3101">
        <v>0.2</v>
      </c>
      <c r="I3101" s="4">
        <v>2856.27</v>
      </c>
      <c r="J3101" t="s">
        <v>109</v>
      </c>
      <c r="K3101" t="s">
        <v>39</v>
      </c>
      <c r="L3101" s="4">
        <f>VLOOKUP(tblTransactions[[#This Row],[Product_ID]],tblProducts[],5,FALSE)</f>
        <v>131.66</v>
      </c>
      <c r="M3101" s="4">
        <f>tblTransactions[[#This Row],[Total_Amount]]-(tblTransactions[[#This Row],[Cost_Prices]]*tblTransactions[[#This Row],[Quantity]]*(1-tblTransactions[[#This Row],[Discount]]))</f>
        <v>1065.694</v>
      </c>
      <c r="N3101" s="3">
        <f>tblTransactions[[#This Row],[Profit]]/tblTransactions[[#This Row],[Total_Amount]]</f>
        <v>0.37310688415310878</v>
      </c>
      <c r="O3101" t="str">
        <f>TEXT(tblTransactions[[#This Row],[Date]], "MMM-YYYY")</f>
        <v>Oct-2024</v>
      </c>
      <c r="P3101" t="str">
        <f>"Q"&amp;ROUNDUP(MONTH(tblTransactions[[#This Row],[Date]])/3,0)&amp;"-"&amp;YEAR(tblTransactions[[#This Row],[Date]])</f>
        <v>Q4-2024</v>
      </c>
      <c r="Q3101">
        <f>YEAR(tblTransactions[[#This Row],[Date]])</f>
        <v>2024</v>
      </c>
      <c r="R3101" t="str">
        <f>TEXT(tblTransactions[[#This Row],[Date]],"DDDD")</f>
        <v>Tuesday</v>
      </c>
      <c r="S3101">
        <f>MONTH(tblTransactions[[#This Row],[Date]])</f>
        <v>10</v>
      </c>
      <c r="T3101" t="str">
        <f>VLOOKUP(E3101, Products!$A:$B,2,0)</f>
        <v>Storage Fur-2</v>
      </c>
      <c r="U3101" t="str">
        <f>VLOOKUP(E3101,Products!$A:$C,3,0)</f>
        <v>Furniture</v>
      </c>
      <c r="V3101" t="str">
        <f>VLOOKUP(E3101,Products!$A:$D,4,0)</f>
        <v>Storage</v>
      </c>
      <c r="W3101" t="str">
        <f>VLOOKUP(D3101,Customers!$A:$C,3,0)</f>
        <v>B2B</v>
      </c>
      <c r="X3101" t="str">
        <f>VLOOKUP(C3101,Sales_Representatives!$A:$B,2,0)</f>
        <v>Emily Hernandez</v>
      </c>
    </row>
    <row r="3102" spans="1:24" x14ac:dyDescent="0.3">
      <c r="A3102" t="s">
        <v>4212</v>
      </c>
      <c r="B3102" t="s">
        <v>4208</v>
      </c>
      <c r="C3102" t="s">
        <v>82</v>
      </c>
      <c r="D3102" t="s">
        <v>95</v>
      </c>
      <c r="E3102" t="s">
        <v>152</v>
      </c>
      <c r="F3102">
        <v>21</v>
      </c>
      <c r="G3102">
        <v>859.93</v>
      </c>
      <c r="H3102">
        <v>0.17</v>
      </c>
      <c r="I3102" s="4">
        <v>14988.58</v>
      </c>
      <c r="J3102" t="s">
        <v>34</v>
      </c>
      <c r="K3102" t="s">
        <v>35</v>
      </c>
      <c r="L3102" s="4">
        <f>VLOOKUP(tblTransactions[[#This Row],[Product_ID]],tblProducts[],5,FALSE)</f>
        <v>579.79</v>
      </c>
      <c r="M3102" s="4">
        <f>tblTransactions[[#This Row],[Total_Amount]]-(tblTransactions[[#This Row],[Cost_Prices]]*tblTransactions[[#This Row],[Quantity]]*(1-tblTransactions[[#This Row],[Discount]]))</f>
        <v>4882.8402999999998</v>
      </c>
      <c r="N3102" s="3">
        <f>tblTransactions[[#This Row],[Profit]]/tblTransactions[[#This Row],[Total_Amount]]</f>
        <v>0.32577070676475023</v>
      </c>
      <c r="O3102" t="str">
        <f>TEXT(tblTransactions[[#This Row],[Date]], "MMM-YYYY")</f>
        <v>Oct-2024</v>
      </c>
      <c r="P3102" t="str">
        <f>"Q"&amp;ROUNDUP(MONTH(tblTransactions[[#This Row],[Date]])/3,0)&amp;"-"&amp;YEAR(tblTransactions[[#This Row],[Date]])</f>
        <v>Q4-2024</v>
      </c>
      <c r="Q3102">
        <f>YEAR(tblTransactions[[#This Row],[Date]])</f>
        <v>2024</v>
      </c>
      <c r="R3102" t="str">
        <f>TEXT(tblTransactions[[#This Row],[Date]],"DDDD")</f>
        <v>Tuesday</v>
      </c>
      <c r="S3102">
        <f>MONTH(tblTransactions[[#This Row],[Date]])</f>
        <v>10</v>
      </c>
      <c r="T3102" t="str">
        <f>VLOOKUP(E3102, Products!$A:$B,2,0)</f>
        <v>Phones Ele-4</v>
      </c>
      <c r="U3102" t="str">
        <f>VLOOKUP(E3102,Products!$A:$C,3,0)</f>
        <v>Electronics</v>
      </c>
      <c r="V3102" t="str">
        <f>VLOOKUP(E3102,Products!$A:$D,4,0)</f>
        <v>Phones</v>
      </c>
      <c r="W3102" t="str">
        <f>VLOOKUP(D3102,Customers!$A:$C,3,0)</f>
        <v>Enterprise</v>
      </c>
      <c r="X3102" t="str">
        <f>VLOOKUP(C3102,Sales_Representatives!$A:$B,2,0)</f>
        <v>John Brown</v>
      </c>
    </row>
    <row r="3103" spans="1:24" x14ac:dyDescent="0.3">
      <c r="A3103" t="s">
        <v>4213</v>
      </c>
      <c r="B3103" t="s">
        <v>4208</v>
      </c>
      <c r="C3103" t="s">
        <v>75</v>
      </c>
      <c r="D3103" t="s">
        <v>1787</v>
      </c>
      <c r="E3103" t="s">
        <v>102</v>
      </c>
      <c r="F3103">
        <v>3</v>
      </c>
      <c r="G3103">
        <v>1097.75</v>
      </c>
      <c r="H3103">
        <v>0.01</v>
      </c>
      <c r="I3103" s="4">
        <v>3260.32</v>
      </c>
      <c r="J3103" t="s">
        <v>44</v>
      </c>
      <c r="K3103" t="s">
        <v>22</v>
      </c>
      <c r="L3103" s="4">
        <f>VLOOKUP(tblTransactions[[#This Row],[Product_ID]],tblProducts[],5,FALSE)</f>
        <v>680.12</v>
      </c>
      <c r="M3103" s="4">
        <f>tblTransactions[[#This Row],[Total_Amount]]-(tblTransactions[[#This Row],[Cost_Prices]]*tblTransactions[[#This Row],[Quantity]]*(1-tblTransactions[[#This Row],[Discount]]))</f>
        <v>1240.3636000000001</v>
      </c>
      <c r="N3103" s="3">
        <f>tblTransactions[[#This Row],[Profit]]/tblTransactions[[#This Row],[Total_Amount]]</f>
        <v>0.38044228787358297</v>
      </c>
      <c r="O3103" t="str">
        <f>TEXT(tblTransactions[[#This Row],[Date]], "MMM-YYYY")</f>
        <v>Oct-2024</v>
      </c>
      <c r="P3103" t="str">
        <f>"Q"&amp;ROUNDUP(MONTH(tblTransactions[[#This Row],[Date]])/3,0)&amp;"-"&amp;YEAR(tblTransactions[[#This Row],[Date]])</f>
        <v>Q4-2024</v>
      </c>
      <c r="Q3103">
        <f>YEAR(tblTransactions[[#This Row],[Date]])</f>
        <v>2024</v>
      </c>
      <c r="R3103" t="str">
        <f>TEXT(tblTransactions[[#This Row],[Date]],"DDDD")</f>
        <v>Tuesday</v>
      </c>
      <c r="S3103">
        <f>MONTH(tblTransactions[[#This Row],[Date]])</f>
        <v>10</v>
      </c>
      <c r="T3103" t="str">
        <f>VLOOKUP(E3103, Products!$A:$B,2,0)</f>
        <v>Storage Fur-4</v>
      </c>
      <c r="U3103" t="str">
        <f>VLOOKUP(E3103,Products!$A:$C,3,0)</f>
        <v>Furniture</v>
      </c>
      <c r="V3103" t="str">
        <f>VLOOKUP(E3103,Products!$A:$D,4,0)</f>
        <v>Storage</v>
      </c>
      <c r="W3103" t="str">
        <f>VLOOKUP(D3103,Customers!$A:$C,3,0)</f>
        <v>B2C</v>
      </c>
      <c r="X3103" t="str">
        <f>VLOOKUP(C3103,Sales_Representatives!$A:$B,2,0)</f>
        <v>Jessica Anderson</v>
      </c>
    </row>
    <row r="3104" spans="1:24" x14ac:dyDescent="0.3">
      <c r="A3104" t="s">
        <v>4214</v>
      </c>
      <c r="B3104" t="s">
        <v>4208</v>
      </c>
      <c r="C3104" t="s">
        <v>107</v>
      </c>
      <c r="D3104" t="s">
        <v>2868</v>
      </c>
      <c r="E3104" t="s">
        <v>198</v>
      </c>
      <c r="F3104">
        <v>18</v>
      </c>
      <c r="G3104">
        <v>1802.96</v>
      </c>
      <c r="H3104">
        <v>0.19</v>
      </c>
      <c r="I3104" s="4">
        <v>26287.16</v>
      </c>
      <c r="J3104" t="s">
        <v>109</v>
      </c>
      <c r="K3104" t="s">
        <v>35</v>
      </c>
      <c r="L3104" s="4">
        <f>VLOOKUP(tblTransactions[[#This Row],[Product_ID]],tblProducts[],5,FALSE)</f>
        <v>1282.18</v>
      </c>
      <c r="M3104" s="4">
        <f>tblTransactions[[#This Row],[Total_Amount]]-(tblTransactions[[#This Row],[Cost_Prices]]*tblTransactions[[#This Row],[Quantity]]*(1-tblTransactions[[#This Row],[Discount]]))</f>
        <v>7592.9755999999979</v>
      </c>
      <c r="N3104" s="3">
        <f>tblTransactions[[#This Row],[Profit]]/tblTransactions[[#This Row],[Total_Amount]]</f>
        <v>0.28884731557155652</v>
      </c>
      <c r="O3104" t="str">
        <f>TEXT(tblTransactions[[#This Row],[Date]], "MMM-YYYY")</f>
        <v>Oct-2024</v>
      </c>
      <c r="P3104" t="str">
        <f>"Q"&amp;ROUNDUP(MONTH(tblTransactions[[#This Row],[Date]])/3,0)&amp;"-"&amp;YEAR(tblTransactions[[#This Row],[Date]])</f>
        <v>Q4-2024</v>
      </c>
      <c r="Q3104">
        <f>YEAR(tblTransactions[[#This Row],[Date]])</f>
        <v>2024</v>
      </c>
      <c r="R3104" t="str">
        <f>TEXT(tblTransactions[[#This Row],[Date]],"DDDD")</f>
        <v>Tuesday</v>
      </c>
      <c r="S3104">
        <f>MONTH(tblTransactions[[#This Row],[Date]])</f>
        <v>10</v>
      </c>
      <c r="T3104" t="str">
        <f>VLOOKUP(E3104, Products!$A:$B,2,0)</f>
        <v>Tablets Ele-3</v>
      </c>
      <c r="U3104" t="str">
        <f>VLOOKUP(E3104,Products!$A:$C,3,0)</f>
        <v>Electronics</v>
      </c>
      <c r="V3104" t="str">
        <f>VLOOKUP(E3104,Products!$A:$D,4,0)</f>
        <v>Tablets</v>
      </c>
      <c r="W3104" t="str">
        <f>VLOOKUP(D3104,Customers!$A:$C,3,0)</f>
        <v>B2B</v>
      </c>
      <c r="X3104" t="str">
        <f>VLOOKUP(C3104,Sales_Representatives!$A:$B,2,0)</f>
        <v>Jennifer Brown</v>
      </c>
    </row>
    <row r="3105" spans="1:24" x14ac:dyDescent="0.3">
      <c r="A3105" t="s">
        <v>4215</v>
      </c>
      <c r="B3105" t="s">
        <v>4208</v>
      </c>
      <c r="C3105" t="s">
        <v>63</v>
      </c>
      <c r="D3105" t="s">
        <v>1598</v>
      </c>
      <c r="E3105" t="s">
        <v>316</v>
      </c>
      <c r="F3105">
        <v>5</v>
      </c>
      <c r="G3105">
        <v>91.42</v>
      </c>
      <c r="H3105">
        <v>0.09</v>
      </c>
      <c r="I3105" s="4">
        <v>415.96</v>
      </c>
      <c r="J3105" t="s">
        <v>21</v>
      </c>
      <c r="K3105" t="s">
        <v>22</v>
      </c>
      <c r="L3105" s="4">
        <f>VLOOKUP(tblTransactions[[#This Row],[Product_ID]],tblProducts[],5,FALSE)</f>
        <v>50.09</v>
      </c>
      <c r="M3105" s="4">
        <f>tblTransactions[[#This Row],[Total_Amount]]-(tblTransactions[[#This Row],[Cost_Prices]]*tblTransactions[[#This Row],[Quantity]]*(1-tblTransactions[[#This Row],[Discount]]))</f>
        <v>188.05049999999994</v>
      </c>
      <c r="N3105" s="3">
        <f>tblTransactions[[#This Row],[Profit]]/tblTransactions[[#This Row],[Total_Amount]]</f>
        <v>0.45208794114818723</v>
      </c>
      <c r="O3105" t="str">
        <f>TEXT(tblTransactions[[#This Row],[Date]], "MMM-YYYY")</f>
        <v>Oct-2024</v>
      </c>
      <c r="P3105" t="str">
        <f>"Q"&amp;ROUNDUP(MONTH(tblTransactions[[#This Row],[Date]])/3,0)&amp;"-"&amp;YEAR(tblTransactions[[#This Row],[Date]])</f>
        <v>Q4-2024</v>
      </c>
      <c r="Q3105">
        <f>YEAR(tblTransactions[[#This Row],[Date]])</f>
        <v>2024</v>
      </c>
      <c r="R3105" t="str">
        <f>TEXT(tblTransactions[[#This Row],[Date]],"DDDD")</f>
        <v>Tuesday</v>
      </c>
      <c r="S3105">
        <f>MONTH(tblTransactions[[#This Row],[Date]])</f>
        <v>10</v>
      </c>
      <c r="T3105" t="str">
        <f>VLOOKUP(E3105, Products!$A:$B,2,0)</f>
        <v>Binders Off-3</v>
      </c>
      <c r="U3105" t="str">
        <f>VLOOKUP(E3105,Products!$A:$C,3,0)</f>
        <v>Office Supplies</v>
      </c>
      <c r="V3105" t="str">
        <f>VLOOKUP(E3105,Products!$A:$D,4,0)</f>
        <v>Binders</v>
      </c>
      <c r="W3105" t="str">
        <f>VLOOKUP(D3105,Customers!$A:$C,3,0)</f>
        <v>B2C</v>
      </c>
      <c r="X3105" t="str">
        <f>VLOOKUP(C3105,Sales_Representatives!$A:$B,2,0)</f>
        <v>Richard Wilson</v>
      </c>
    </row>
    <row r="3106" spans="1:24" x14ac:dyDescent="0.3">
      <c r="A3106" t="s">
        <v>4216</v>
      </c>
      <c r="B3106" t="s">
        <v>4208</v>
      </c>
      <c r="C3106" t="s">
        <v>41</v>
      </c>
      <c r="D3106" t="s">
        <v>1938</v>
      </c>
      <c r="E3106" t="s">
        <v>89</v>
      </c>
      <c r="F3106">
        <v>1</v>
      </c>
      <c r="G3106">
        <v>555.08000000000004</v>
      </c>
      <c r="H3106">
        <v>0.01</v>
      </c>
      <c r="I3106" s="4">
        <v>549.53</v>
      </c>
      <c r="J3106" t="s">
        <v>44</v>
      </c>
      <c r="K3106" t="s">
        <v>35</v>
      </c>
      <c r="L3106" s="4">
        <f>VLOOKUP(tblTransactions[[#This Row],[Product_ID]],tblProducts[],5,FALSE)</f>
        <v>402.82</v>
      </c>
      <c r="M3106" s="4">
        <f>tblTransactions[[#This Row],[Total_Amount]]-(tblTransactions[[#This Row],[Cost_Prices]]*tblTransactions[[#This Row],[Quantity]]*(1-tblTransactions[[#This Row],[Discount]]))</f>
        <v>150.73820000000001</v>
      </c>
      <c r="N3106" s="3">
        <f>tblTransactions[[#This Row],[Profit]]/tblTransactions[[#This Row],[Total_Amount]]</f>
        <v>0.27430385966189291</v>
      </c>
      <c r="O3106" t="str">
        <f>TEXT(tblTransactions[[#This Row],[Date]], "MMM-YYYY")</f>
        <v>Oct-2024</v>
      </c>
      <c r="P3106" t="str">
        <f>"Q"&amp;ROUNDUP(MONTH(tblTransactions[[#This Row],[Date]])/3,0)&amp;"-"&amp;YEAR(tblTransactions[[#This Row],[Date]])</f>
        <v>Q4-2024</v>
      </c>
      <c r="Q3106">
        <f>YEAR(tblTransactions[[#This Row],[Date]])</f>
        <v>2024</v>
      </c>
      <c r="R3106" t="str">
        <f>TEXT(tblTransactions[[#This Row],[Date]],"DDDD")</f>
        <v>Tuesday</v>
      </c>
      <c r="S3106">
        <f>MONTH(tblTransactions[[#This Row],[Date]])</f>
        <v>10</v>
      </c>
      <c r="T3106" t="str">
        <f>VLOOKUP(E3106, Products!$A:$B,2,0)</f>
        <v>Laptops Ele-3</v>
      </c>
      <c r="U3106" t="str">
        <f>VLOOKUP(E3106,Products!$A:$C,3,0)</f>
        <v>Electronics</v>
      </c>
      <c r="V3106" t="str">
        <f>VLOOKUP(E3106,Products!$A:$D,4,0)</f>
        <v>Laptops</v>
      </c>
      <c r="W3106" t="str">
        <f>VLOOKUP(D3106,Customers!$A:$C,3,0)</f>
        <v>B2C</v>
      </c>
      <c r="X3106" t="str">
        <f>VLOOKUP(C3106,Sales_Representatives!$A:$B,2,0)</f>
        <v>Robert Jones</v>
      </c>
    </row>
    <row r="3107" spans="1:24" x14ac:dyDescent="0.3">
      <c r="A3107" t="s">
        <v>4217</v>
      </c>
      <c r="B3107" t="s">
        <v>4218</v>
      </c>
      <c r="C3107" t="s">
        <v>41</v>
      </c>
      <c r="D3107" t="s">
        <v>1623</v>
      </c>
      <c r="E3107" t="s">
        <v>204</v>
      </c>
      <c r="F3107">
        <v>7</v>
      </c>
      <c r="G3107">
        <v>715.62</v>
      </c>
      <c r="H3107">
        <v>0.09</v>
      </c>
      <c r="I3107" s="4">
        <v>4558.5</v>
      </c>
      <c r="J3107" t="s">
        <v>44</v>
      </c>
      <c r="K3107" t="s">
        <v>39</v>
      </c>
      <c r="L3107" s="4">
        <f>VLOOKUP(tblTransactions[[#This Row],[Product_ID]],tblProducts[],5,FALSE)</f>
        <v>459.58</v>
      </c>
      <c r="M3107" s="4">
        <f>tblTransactions[[#This Row],[Total_Amount]]-(tblTransactions[[#This Row],[Cost_Prices]]*tblTransactions[[#This Row],[Quantity]]*(1-tblTransactions[[#This Row],[Discount]]))</f>
        <v>1630.9753999999998</v>
      </c>
      <c r="N3107" s="3">
        <f>tblTransactions[[#This Row],[Profit]]/tblTransactions[[#This Row],[Total_Amount]]</f>
        <v>0.35778773719425244</v>
      </c>
      <c r="O3107" t="str">
        <f>TEXT(tblTransactions[[#This Row],[Date]], "MMM-YYYY")</f>
        <v>Oct-2024</v>
      </c>
      <c r="P3107" t="str">
        <f>"Q"&amp;ROUNDUP(MONTH(tblTransactions[[#This Row],[Date]])/3,0)&amp;"-"&amp;YEAR(tblTransactions[[#This Row],[Date]])</f>
        <v>Q4-2024</v>
      </c>
      <c r="Q3107">
        <f>YEAR(tblTransactions[[#This Row],[Date]])</f>
        <v>2024</v>
      </c>
      <c r="R3107" t="str">
        <f>TEXT(tblTransactions[[#This Row],[Date]],"DDDD")</f>
        <v>Wednesday</v>
      </c>
      <c r="S3107">
        <f>MONTH(tblTransactions[[#This Row],[Date]])</f>
        <v>10</v>
      </c>
      <c r="T3107" t="str">
        <f>VLOOKUP(E3107, Products!$A:$B,2,0)</f>
        <v>Cameras Ele-2</v>
      </c>
      <c r="U3107" t="str">
        <f>VLOOKUP(E3107,Products!$A:$C,3,0)</f>
        <v>Electronics</v>
      </c>
      <c r="V3107" t="str">
        <f>VLOOKUP(E3107,Products!$A:$D,4,0)</f>
        <v>Cameras</v>
      </c>
      <c r="W3107" t="str">
        <f>VLOOKUP(D3107,Customers!$A:$C,3,0)</f>
        <v>B2C</v>
      </c>
      <c r="X3107" t="str">
        <f>VLOOKUP(C3107,Sales_Representatives!$A:$B,2,0)</f>
        <v>Robert Jones</v>
      </c>
    </row>
    <row r="3108" spans="1:24" x14ac:dyDescent="0.3">
      <c r="A3108" t="s">
        <v>4219</v>
      </c>
      <c r="B3108" t="s">
        <v>4218</v>
      </c>
      <c r="C3108" t="s">
        <v>56</v>
      </c>
      <c r="D3108" t="s">
        <v>1543</v>
      </c>
      <c r="E3108" t="s">
        <v>29</v>
      </c>
      <c r="F3108">
        <v>4</v>
      </c>
      <c r="G3108">
        <v>1363.46</v>
      </c>
      <c r="H3108">
        <v>0.09</v>
      </c>
      <c r="I3108" s="4">
        <v>4962.99</v>
      </c>
      <c r="J3108" t="s">
        <v>34</v>
      </c>
      <c r="K3108" t="s">
        <v>22</v>
      </c>
      <c r="L3108" s="4">
        <f>VLOOKUP(tblTransactions[[#This Row],[Product_ID]],tblProducts[],5,FALSE)</f>
        <v>995.41</v>
      </c>
      <c r="M3108" s="4">
        <f>tblTransactions[[#This Row],[Total_Amount]]-(tblTransactions[[#This Row],[Cost_Prices]]*tblTransactions[[#This Row],[Quantity]]*(1-tblTransactions[[#This Row],[Discount]]))</f>
        <v>1339.6976</v>
      </c>
      <c r="N3108" s="3">
        <f>tblTransactions[[#This Row],[Profit]]/tblTransactions[[#This Row],[Total_Amount]]</f>
        <v>0.2699375981011447</v>
      </c>
      <c r="O3108" t="str">
        <f>TEXT(tblTransactions[[#This Row],[Date]], "MMM-YYYY")</f>
        <v>Oct-2024</v>
      </c>
      <c r="P3108" t="str">
        <f>"Q"&amp;ROUNDUP(MONTH(tblTransactions[[#This Row],[Date]])/3,0)&amp;"-"&amp;YEAR(tblTransactions[[#This Row],[Date]])</f>
        <v>Q4-2024</v>
      </c>
      <c r="Q3108">
        <f>YEAR(tblTransactions[[#This Row],[Date]])</f>
        <v>2024</v>
      </c>
      <c r="R3108" t="str">
        <f>TEXT(tblTransactions[[#This Row],[Date]],"DDDD")</f>
        <v>Wednesday</v>
      </c>
      <c r="S3108">
        <f>MONTH(tblTransactions[[#This Row],[Date]])</f>
        <v>10</v>
      </c>
      <c r="T3108" t="str">
        <f>VLOOKUP(E3108, Products!$A:$B,2,0)</f>
        <v>Phones Ele-3</v>
      </c>
      <c r="U3108" t="str">
        <f>VLOOKUP(E3108,Products!$A:$C,3,0)</f>
        <v>Electronics</v>
      </c>
      <c r="V3108" t="str">
        <f>VLOOKUP(E3108,Products!$A:$D,4,0)</f>
        <v>Phones</v>
      </c>
      <c r="W3108" t="str">
        <f>VLOOKUP(D3108,Customers!$A:$C,3,0)</f>
        <v>B2C</v>
      </c>
      <c r="X3108" t="str">
        <f>VLOOKUP(C3108,Sales_Representatives!$A:$B,2,0)</f>
        <v>Thomas Hernandez</v>
      </c>
    </row>
    <row r="3109" spans="1:24" x14ac:dyDescent="0.3">
      <c r="A3109" t="s">
        <v>4220</v>
      </c>
      <c r="B3109" t="s">
        <v>4218</v>
      </c>
      <c r="C3109" t="s">
        <v>75</v>
      </c>
      <c r="D3109" t="s">
        <v>2763</v>
      </c>
      <c r="E3109" t="s">
        <v>102</v>
      </c>
      <c r="F3109">
        <v>6</v>
      </c>
      <c r="G3109">
        <v>1097.75</v>
      </c>
      <c r="H3109">
        <v>0.09</v>
      </c>
      <c r="I3109" s="4">
        <v>5993.72</v>
      </c>
      <c r="J3109" t="s">
        <v>44</v>
      </c>
      <c r="K3109" t="s">
        <v>35</v>
      </c>
      <c r="L3109" s="4">
        <f>VLOOKUP(tblTransactions[[#This Row],[Product_ID]],tblProducts[],5,FALSE)</f>
        <v>680.12</v>
      </c>
      <c r="M3109" s="4">
        <f>tblTransactions[[#This Row],[Total_Amount]]-(tblTransactions[[#This Row],[Cost_Prices]]*tblTransactions[[#This Row],[Quantity]]*(1-tblTransactions[[#This Row],[Discount]]))</f>
        <v>2280.2647999999999</v>
      </c>
      <c r="N3109" s="3">
        <f>tblTransactions[[#This Row],[Profit]]/tblTransactions[[#This Row],[Total_Amount]]</f>
        <v>0.38044232963835478</v>
      </c>
      <c r="O3109" t="str">
        <f>TEXT(tblTransactions[[#This Row],[Date]], "MMM-YYYY")</f>
        <v>Oct-2024</v>
      </c>
      <c r="P3109" t="str">
        <f>"Q"&amp;ROUNDUP(MONTH(tblTransactions[[#This Row],[Date]])/3,0)&amp;"-"&amp;YEAR(tblTransactions[[#This Row],[Date]])</f>
        <v>Q4-2024</v>
      </c>
      <c r="Q3109">
        <f>YEAR(tblTransactions[[#This Row],[Date]])</f>
        <v>2024</v>
      </c>
      <c r="R3109" t="str">
        <f>TEXT(tblTransactions[[#This Row],[Date]],"DDDD")</f>
        <v>Wednesday</v>
      </c>
      <c r="S3109">
        <f>MONTH(tblTransactions[[#This Row],[Date]])</f>
        <v>10</v>
      </c>
      <c r="T3109" t="str">
        <f>VLOOKUP(E3109, Products!$A:$B,2,0)</f>
        <v>Storage Fur-4</v>
      </c>
      <c r="U3109" t="str">
        <f>VLOOKUP(E3109,Products!$A:$C,3,0)</f>
        <v>Furniture</v>
      </c>
      <c r="V3109" t="str">
        <f>VLOOKUP(E3109,Products!$A:$D,4,0)</f>
        <v>Storage</v>
      </c>
      <c r="W3109" t="str">
        <f>VLOOKUP(D3109,Customers!$A:$C,3,0)</f>
        <v>B2C</v>
      </c>
      <c r="X3109" t="str">
        <f>VLOOKUP(C3109,Sales_Representatives!$A:$B,2,0)</f>
        <v>Jessica Anderson</v>
      </c>
    </row>
    <row r="3110" spans="1:24" x14ac:dyDescent="0.3">
      <c r="A3110" t="s">
        <v>4221</v>
      </c>
      <c r="B3110" t="s">
        <v>4218</v>
      </c>
      <c r="C3110" t="s">
        <v>127</v>
      </c>
      <c r="D3110" t="s">
        <v>1828</v>
      </c>
      <c r="E3110" t="s">
        <v>299</v>
      </c>
      <c r="F3110">
        <v>13</v>
      </c>
      <c r="G3110">
        <v>963.44</v>
      </c>
      <c r="H3110">
        <v>0.16</v>
      </c>
      <c r="I3110" s="4">
        <v>10520.76</v>
      </c>
      <c r="J3110" t="s">
        <v>109</v>
      </c>
      <c r="K3110" t="s">
        <v>39</v>
      </c>
      <c r="L3110" s="4">
        <f>VLOOKUP(tblTransactions[[#This Row],[Product_ID]],tblProducts[],5,FALSE)</f>
        <v>578.96</v>
      </c>
      <c r="M3110" s="4">
        <f>tblTransactions[[#This Row],[Total_Amount]]-(tblTransactions[[#This Row],[Cost_Prices]]*tblTransactions[[#This Row],[Quantity]]*(1-tblTransactions[[#This Row],[Discount]]))</f>
        <v>4198.5168000000003</v>
      </c>
      <c r="N3110" s="3">
        <f>tblTransactions[[#This Row],[Profit]]/tblTransactions[[#This Row],[Total_Amount]]</f>
        <v>0.39906972500085547</v>
      </c>
      <c r="O3110" t="str">
        <f>TEXT(tblTransactions[[#This Row],[Date]], "MMM-YYYY")</f>
        <v>Oct-2024</v>
      </c>
      <c r="P3110" t="str">
        <f>"Q"&amp;ROUNDUP(MONTH(tblTransactions[[#This Row],[Date]])/3,0)&amp;"-"&amp;YEAR(tblTransactions[[#This Row],[Date]])</f>
        <v>Q4-2024</v>
      </c>
      <c r="Q3110">
        <f>YEAR(tblTransactions[[#This Row],[Date]])</f>
        <v>2024</v>
      </c>
      <c r="R3110" t="str">
        <f>TEXT(tblTransactions[[#This Row],[Date]],"DDDD")</f>
        <v>Wednesday</v>
      </c>
      <c r="S3110">
        <f>MONTH(tblTransactions[[#This Row],[Date]])</f>
        <v>10</v>
      </c>
      <c r="T3110" t="str">
        <f>VLOOKUP(E3110, Products!$A:$B,2,0)</f>
        <v>Chairs Fur-4</v>
      </c>
      <c r="U3110" t="str">
        <f>VLOOKUP(E3110,Products!$A:$C,3,0)</f>
        <v>Furniture</v>
      </c>
      <c r="V3110" t="str">
        <f>VLOOKUP(E3110,Products!$A:$D,4,0)</f>
        <v>Chairs</v>
      </c>
      <c r="W3110" t="str">
        <f>VLOOKUP(D3110,Customers!$A:$C,3,0)</f>
        <v>B2B</v>
      </c>
      <c r="X3110" t="str">
        <f>VLOOKUP(C3110,Sales_Representatives!$A:$B,2,0)</f>
        <v>Emily Hernandez</v>
      </c>
    </row>
    <row r="3111" spans="1:24" x14ac:dyDescent="0.3">
      <c r="A3111" t="s">
        <v>4222</v>
      </c>
      <c r="B3111" t="s">
        <v>4218</v>
      </c>
      <c r="C3111" t="s">
        <v>19</v>
      </c>
      <c r="D3111" t="s">
        <v>1666</v>
      </c>
      <c r="E3111" t="s">
        <v>113</v>
      </c>
      <c r="F3111">
        <v>16</v>
      </c>
      <c r="G3111">
        <v>930.41</v>
      </c>
      <c r="H3111">
        <v>0.12</v>
      </c>
      <c r="I3111" s="4">
        <v>13100.17</v>
      </c>
      <c r="J3111" t="s">
        <v>21</v>
      </c>
      <c r="K3111" t="s">
        <v>48</v>
      </c>
      <c r="L3111" s="4">
        <f>VLOOKUP(tblTransactions[[#This Row],[Product_ID]],tblProducts[],5,FALSE)</f>
        <v>595.51</v>
      </c>
      <c r="M3111" s="4">
        <f>tblTransactions[[#This Row],[Total_Amount]]-(tblTransactions[[#This Row],[Cost_Prices]]*tblTransactions[[#This Row],[Quantity]]*(1-tblTransactions[[#This Row],[Discount]]))</f>
        <v>4715.3891999999996</v>
      </c>
      <c r="N3111" s="3">
        <f>tblTransactions[[#This Row],[Profit]]/tblTransactions[[#This Row],[Total_Amount]]</f>
        <v>0.35994870295576314</v>
      </c>
      <c r="O3111" t="str">
        <f>TEXT(tblTransactions[[#This Row],[Date]], "MMM-YYYY")</f>
        <v>Oct-2024</v>
      </c>
      <c r="P3111" t="str">
        <f>"Q"&amp;ROUNDUP(MONTH(tblTransactions[[#This Row],[Date]])/3,0)&amp;"-"&amp;YEAR(tblTransactions[[#This Row],[Date]])</f>
        <v>Q4-2024</v>
      </c>
      <c r="Q3111">
        <f>YEAR(tblTransactions[[#This Row],[Date]])</f>
        <v>2024</v>
      </c>
      <c r="R3111" t="str">
        <f>TEXT(tblTransactions[[#This Row],[Date]],"DDDD")</f>
        <v>Wednesday</v>
      </c>
      <c r="S3111">
        <f>MONTH(tblTransactions[[#This Row],[Date]])</f>
        <v>10</v>
      </c>
      <c r="T3111" t="str">
        <f>VLOOKUP(E3111, Products!$A:$B,2,0)</f>
        <v>Phones Ele-1</v>
      </c>
      <c r="U3111" t="str">
        <f>VLOOKUP(E3111,Products!$A:$C,3,0)</f>
        <v>Electronics</v>
      </c>
      <c r="V3111" t="str">
        <f>VLOOKUP(E3111,Products!$A:$D,4,0)</f>
        <v>Phones</v>
      </c>
      <c r="W3111" t="str">
        <f>VLOOKUP(D3111,Customers!$A:$C,3,0)</f>
        <v>Enterprise</v>
      </c>
      <c r="X3111" t="str">
        <f>VLOOKUP(C3111,Sales_Representatives!$A:$B,2,0)</f>
        <v>Robert Jones</v>
      </c>
    </row>
    <row r="3112" spans="1:24" x14ac:dyDescent="0.3">
      <c r="A3112" t="s">
        <v>4223</v>
      </c>
      <c r="B3112" t="s">
        <v>4218</v>
      </c>
      <c r="C3112" t="s">
        <v>56</v>
      </c>
      <c r="D3112" t="s">
        <v>2188</v>
      </c>
      <c r="E3112" t="s">
        <v>376</v>
      </c>
      <c r="F3112">
        <v>3</v>
      </c>
      <c r="G3112">
        <v>229.65</v>
      </c>
      <c r="H3112">
        <v>0.09</v>
      </c>
      <c r="I3112" s="4">
        <v>626.94000000000005</v>
      </c>
      <c r="J3112" t="s">
        <v>34</v>
      </c>
      <c r="K3112" t="s">
        <v>39</v>
      </c>
      <c r="L3112" s="4">
        <f>VLOOKUP(tblTransactions[[#This Row],[Product_ID]],tblProducts[],5,FALSE)</f>
        <v>96.84</v>
      </c>
      <c r="M3112" s="4">
        <f>tblTransactions[[#This Row],[Total_Amount]]-(tblTransactions[[#This Row],[Cost_Prices]]*tblTransactions[[#This Row],[Quantity]]*(1-tblTransactions[[#This Row],[Discount]]))</f>
        <v>362.56680000000006</v>
      </c>
      <c r="N3112" s="3">
        <f>tblTransactions[[#This Row],[Profit]]/tblTransactions[[#This Row],[Total_Amount]]</f>
        <v>0.57831180017226536</v>
      </c>
      <c r="O3112" t="str">
        <f>TEXT(tblTransactions[[#This Row],[Date]], "MMM-YYYY")</f>
        <v>Oct-2024</v>
      </c>
      <c r="P3112" t="str">
        <f>"Q"&amp;ROUNDUP(MONTH(tblTransactions[[#This Row],[Date]])/3,0)&amp;"-"&amp;YEAR(tblTransactions[[#This Row],[Date]])</f>
        <v>Q4-2024</v>
      </c>
      <c r="Q3112">
        <f>YEAR(tblTransactions[[#This Row],[Date]])</f>
        <v>2024</v>
      </c>
      <c r="R3112" t="str">
        <f>TEXT(tblTransactions[[#This Row],[Date]],"DDDD")</f>
        <v>Wednesday</v>
      </c>
      <c r="S3112">
        <f>MONTH(tblTransactions[[#This Row],[Date]])</f>
        <v>10</v>
      </c>
      <c r="T3112" t="str">
        <f>VLOOKUP(E3112, Products!$A:$B,2,0)</f>
        <v>Adapters Acc-2</v>
      </c>
      <c r="U3112" t="str">
        <f>VLOOKUP(E3112,Products!$A:$C,3,0)</f>
        <v>Accessories</v>
      </c>
      <c r="V3112" t="str">
        <f>VLOOKUP(E3112,Products!$A:$D,4,0)</f>
        <v>Adapters</v>
      </c>
      <c r="W3112" t="str">
        <f>VLOOKUP(D3112,Customers!$A:$C,3,0)</f>
        <v>B2C</v>
      </c>
      <c r="X3112" t="str">
        <f>VLOOKUP(C3112,Sales_Representatives!$A:$B,2,0)</f>
        <v>Thomas Hernandez</v>
      </c>
    </row>
    <row r="3113" spans="1:24" x14ac:dyDescent="0.3">
      <c r="A3113" t="s">
        <v>4224</v>
      </c>
      <c r="B3113" t="s">
        <v>4218</v>
      </c>
      <c r="C3113" t="s">
        <v>63</v>
      </c>
      <c r="D3113" t="s">
        <v>1453</v>
      </c>
      <c r="E3113" t="s">
        <v>125</v>
      </c>
      <c r="F3113">
        <v>19</v>
      </c>
      <c r="G3113">
        <v>1201.4000000000001</v>
      </c>
      <c r="H3113">
        <v>0.12</v>
      </c>
      <c r="I3113" s="4">
        <v>20087.41</v>
      </c>
      <c r="J3113" t="s">
        <v>21</v>
      </c>
      <c r="K3113" t="s">
        <v>39</v>
      </c>
      <c r="L3113" s="4">
        <f>VLOOKUP(tblTransactions[[#This Row],[Product_ID]],tblProducts[],5,FALSE)</f>
        <v>672.72</v>
      </c>
      <c r="M3113" s="4">
        <f>tblTransactions[[#This Row],[Total_Amount]]-(tblTransactions[[#This Row],[Cost_Prices]]*tblTransactions[[#This Row],[Quantity]]*(1-tblTransactions[[#This Row],[Discount]]))</f>
        <v>8839.5316000000003</v>
      </c>
      <c r="N3113" s="3">
        <f>tblTransactions[[#This Row],[Profit]]/tblTransactions[[#This Row],[Total_Amount]]</f>
        <v>0.44005332693463223</v>
      </c>
      <c r="O3113" t="str">
        <f>TEXT(tblTransactions[[#This Row],[Date]], "MMM-YYYY")</f>
        <v>Oct-2024</v>
      </c>
      <c r="P3113" t="str">
        <f>"Q"&amp;ROUNDUP(MONTH(tblTransactions[[#This Row],[Date]])/3,0)&amp;"-"&amp;YEAR(tblTransactions[[#This Row],[Date]])</f>
        <v>Q4-2024</v>
      </c>
      <c r="Q3113">
        <f>YEAR(tblTransactions[[#This Row],[Date]])</f>
        <v>2024</v>
      </c>
      <c r="R3113" t="str">
        <f>TEXT(tblTransactions[[#This Row],[Date]],"DDDD")</f>
        <v>Wednesday</v>
      </c>
      <c r="S3113">
        <f>MONTH(tblTransactions[[#This Row],[Date]])</f>
        <v>10</v>
      </c>
      <c r="T3113" t="str">
        <f>VLOOKUP(E3113, Products!$A:$B,2,0)</f>
        <v>Printers Tec-2</v>
      </c>
      <c r="U3113" t="str">
        <f>VLOOKUP(E3113,Products!$A:$C,3,0)</f>
        <v>Technology</v>
      </c>
      <c r="V3113" t="str">
        <f>VLOOKUP(E3113,Products!$A:$D,4,0)</f>
        <v>Printers</v>
      </c>
      <c r="W3113" t="str">
        <f>VLOOKUP(D3113,Customers!$A:$C,3,0)</f>
        <v>B2B</v>
      </c>
      <c r="X3113" t="str">
        <f>VLOOKUP(C3113,Sales_Representatives!$A:$B,2,0)</f>
        <v>Richard Wilson</v>
      </c>
    </row>
    <row r="3114" spans="1:24" x14ac:dyDescent="0.3">
      <c r="A3114" t="s">
        <v>4225</v>
      </c>
      <c r="B3114" t="s">
        <v>4218</v>
      </c>
      <c r="C3114" t="s">
        <v>75</v>
      </c>
      <c r="D3114" t="s">
        <v>2320</v>
      </c>
      <c r="E3114" t="s">
        <v>198</v>
      </c>
      <c r="F3114">
        <v>43</v>
      </c>
      <c r="G3114">
        <v>1802.96</v>
      </c>
      <c r="H3114">
        <v>0.17</v>
      </c>
      <c r="I3114" s="4">
        <v>64347.64</v>
      </c>
      <c r="J3114" t="s">
        <v>44</v>
      </c>
      <c r="K3114" t="s">
        <v>35</v>
      </c>
      <c r="L3114" s="4">
        <f>VLOOKUP(tblTransactions[[#This Row],[Product_ID]],tblProducts[],5,FALSE)</f>
        <v>1282.18</v>
      </c>
      <c r="M3114" s="4">
        <f>tblTransactions[[#This Row],[Total_Amount]]-(tblTransactions[[#This Row],[Cost_Prices]]*tblTransactions[[#This Row],[Quantity]]*(1-tblTransactions[[#This Row],[Discount]]))</f>
        <v>18586.635799999996</v>
      </c>
      <c r="N3114" s="3">
        <f>tblTransactions[[#This Row],[Profit]]/tblTransactions[[#This Row],[Total_Amount]]</f>
        <v>0.28884720247704493</v>
      </c>
      <c r="O3114" t="str">
        <f>TEXT(tblTransactions[[#This Row],[Date]], "MMM-YYYY")</f>
        <v>Oct-2024</v>
      </c>
      <c r="P3114" t="str">
        <f>"Q"&amp;ROUNDUP(MONTH(tblTransactions[[#This Row],[Date]])/3,0)&amp;"-"&amp;YEAR(tblTransactions[[#This Row],[Date]])</f>
        <v>Q4-2024</v>
      </c>
      <c r="Q3114">
        <f>YEAR(tblTransactions[[#This Row],[Date]])</f>
        <v>2024</v>
      </c>
      <c r="R3114" t="str">
        <f>TEXT(tblTransactions[[#This Row],[Date]],"DDDD")</f>
        <v>Wednesday</v>
      </c>
      <c r="S3114">
        <f>MONTH(tblTransactions[[#This Row],[Date]])</f>
        <v>10</v>
      </c>
      <c r="T3114" t="str">
        <f>VLOOKUP(E3114, Products!$A:$B,2,0)</f>
        <v>Tablets Ele-3</v>
      </c>
      <c r="U3114" t="str">
        <f>VLOOKUP(E3114,Products!$A:$C,3,0)</f>
        <v>Electronics</v>
      </c>
      <c r="V3114" t="str">
        <f>VLOOKUP(E3114,Products!$A:$D,4,0)</f>
        <v>Tablets</v>
      </c>
      <c r="W3114" t="str">
        <f>VLOOKUP(D3114,Customers!$A:$C,3,0)</f>
        <v>Enterprise</v>
      </c>
      <c r="X3114" t="str">
        <f>VLOOKUP(C3114,Sales_Representatives!$A:$B,2,0)</f>
        <v>Jessica Anderson</v>
      </c>
    </row>
    <row r="3115" spans="1:24" x14ac:dyDescent="0.3">
      <c r="A3115" t="s">
        <v>4226</v>
      </c>
      <c r="B3115" t="s">
        <v>4227</v>
      </c>
      <c r="C3115" t="s">
        <v>63</v>
      </c>
      <c r="D3115" t="s">
        <v>1530</v>
      </c>
      <c r="E3115" t="s">
        <v>191</v>
      </c>
      <c r="F3115">
        <v>46</v>
      </c>
      <c r="G3115">
        <v>1012.75</v>
      </c>
      <c r="H3115">
        <v>0.22</v>
      </c>
      <c r="I3115" s="4">
        <v>36337.47</v>
      </c>
      <c r="J3115" t="s">
        <v>21</v>
      </c>
      <c r="K3115" t="s">
        <v>22</v>
      </c>
      <c r="L3115" s="4">
        <f>VLOOKUP(tblTransactions[[#This Row],[Product_ID]],tblProducts[],5,FALSE)</f>
        <v>518.53</v>
      </c>
      <c r="M3115" s="4">
        <f>tblTransactions[[#This Row],[Total_Amount]]-(tblTransactions[[#This Row],[Cost_Prices]]*tblTransactions[[#This Row],[Quantity]]*(1-tblTransactions[[#This Row],[Discount]]))</f>
        <v>17732.613600000004</v>
      </c>
      <c r="N3115" s="3">
        <f>tblTransactions[[#This Row],[Profit]]/tblTransactions[[#This Row],[Total_Amount]]</f>
        <v>0.48799802517896823</v>
      </c>
      <c r="O3115" t="str">
        <f>TEXT(tblTransactions[[#This Row],[Date]], "MMM-YYYY")</f>
        <v>Oct-2024</v>
      </c>
      <c r="P3115" t="str">
        <f>"Q"&amp;ROUNDUP(MONTH(tblTransactions[[#This Row],[Date]])/3,0)&amp;"-"&amp;YEAR(tblTransactions[[#This Row],[Date]])</f>
        <v>Q4-2024</v>
      </c>
      <c r="Q3115">
        <f>YEAR(tblTransactions[[#This Row],[Date]])</f>
        <v>2024</v>
      </c>
      <c r="R3115" t="str">
        <f>TEXT(tblTransactions[[#This Row],[Date]],"DDDD")</f>
        <v>Thursday</v>
      </c>
      <c r="S3115">
        <f>MONTH(tblTransactions[[#This Row],[Date]])</f>
        <v>10</v>
      </c>
      <c r="T3115" t="str">
        <f>VLOOKUP(E3115, Products!$A:$B,2,0)</f>
        <v>Tables Fur-4</v>
      </c>
      <c r="U3115" t="str">
        <f>VLOOKUP(E3115,Products!$A:$C,3,0)</f>
        <v>Furniture</v>
      </c>
      <c r="V3115" t="str">
        <f>VLOOKUP(E3115,Products!$A:$D,4,0)</f>
        <v>Tables</v>
      </c>
      <c r="W3115" t="str">
        <f>VLOOKUP(D3115,Customers!$A:$C,3,0)</f>
        <v>Enterprise</v>
      </c>
      <c r="X3115" t="str">
        <f>VLOOKUP(C3115,Sales_Representatives!$A:$B,2,0)</f>
        <v>Richard Wilson</v>
      </c>
    </row>
    <row r="3116" spans="1:24" x14ac:dyDescent="0.3">
      <c r="A3116" t="s">
        <v>4228</v>
      </c>
      <c r="B3116" t="s">
        <v>4227</v>
      </c>
      <c r="C3116" t="s">
        <v>107</v>
      </c>
      <c r="D3116" t="s">
        <v>52</v>
      </c>
      <c r="E3116" t="s">
        <v>508</v>
      </c>
      <c r="F3116">
        <v>1</v>
      </c>
      <c r="G3116">
        <v>237.69</v>
      </c>
      <c r="H3116">
        <v>0.03</v>
      </c>
      <c r="I3116" s="4">
        <v>230.56</v>
      </c>
      <c r="J3116" t="s">
        <v>109</v>
      </c>
      <c r="K3116" t="s">
        <v>35</v>
      </c>
      <c r="L3116" s="4">
        <f>VLOOKUP(tblTransactions[[#This Row],[Product_ID]],tblProducts[],5,FALSE)</f>
        <v>115.31</v>
      </c>
      <c r="M3116" s="4">
        <f>tblTransactions[[#This Row],[Total_Amount]]-(tblTransactions[[#This Row],[Cost_Prices]]*tblTransactions[[#This Row],[Quantity]]*(1-tblTransactions[[#This Row],[Discount]]))</f>
        <v>118.7093</v>
      </c>
      <c r="N3116" s="3">
        <f>tblTransactions[[#This Row],[Profit]]/tblTransactions[[#This Row],[Total_Amount]]</f>
        <v>0.5148737855655795</v>
      </c>
      <c r="O3116" t="str">
        <f>TEXT(tblTransactions[[#This Row],[Date]], "MMM-YYYY")</f>
        <v>Oct-2024</v>
      </c>
      <c r="P3116" t="str">
        <f>"Q"&amp;ROUNDUP(MONTH(tblTransactions[[#This Row],[Date]])/3,0)&amp;"-"&amp;YEAR(tblTransactions[[#This Row],[Date]])</f>
        <v>Q4-2024</v>
      </c>
      <c r="Q3116">
        <f>YEAR(tblTransactions[[#This Row],[Date]])</f>
        <v>2024</v>
      </c>
      <c r="R3116" t="str">
        <f>TEXT(tblTransactions[[#This Row],[Date]],"DDDD")</f>
        <v>Thursday</v>
      </c>
      <c r="S3116">
        <f>MONTH(tblTransactions[[#This Row],[Date]])</f>
        <v>10</v>
      </c>
      <c r="T3116" t="str">
        <f>VLOOKUP(E3116, Products!$A:$B,2,0)</f>
        <v>Folders Off-3</v>
      </c>
      <c r="U3116" t="str">
        <f>VLOOKUP(E3116,Products!$A:$C,3,0)</f>
        <v>Office Supplies</v>
      </c>
      <c r="V3116" t="str">
        <f>VLOOKUP(E3116,Products!$A:$D,4,0)</f>
        <v>Folders</v>
      </c>
      <c r="W3116" t="str">
        <f>VLOOKUP(D3116,Customers!$A:$C,3,0)</f>
        <v>B2C</v>
      </c>
      <c r="X3116" t="str">
        <f>VLOOKUP(C3116,Sales_Representatives!$A:$B,2,0)</f>
        <v>Jennifer Brown</v>
      </c>
    </row>
    <row r="3117" spans="1:24" x14ac:dyDescent="0.3">
      <c r="A3117" t="s">
        <v>4229</v>
      </c>
      <c r="B3117" t="s">
        <v>4227</v>
      </c>
      <c r="C3117" t="s">
        <v>127</v>
      </c>
      <c r="D3117" t="s">
        <v>1567</v>
      </c>
      <c r="E3117" t="s">
        <v>116</v>
      </c>
      <c r="F3117">
        <v>1</v>
      </c>
      <c r="G3117">
        <v>232.86</v>
      </c>
      <c r="H3117">
        <v>0.09</v>
      </c>
      <c r="I3117" s="4">
        <v>211.9</v>
      </c>
      <c r="J3117" t="s">
        <v>109</v>
      </c>
      <c r="K3117" t="s">
        <v>48</v>
      </c>
      <c r="L3117" s="4">
        <f>VLOOKUP(tblTransactions[[#This Row],[Product_ID]],tblProducts[],5,FALSE)</f>
        <v>116.79</v>
      </c>
      <c r="M3117" s="4">
        <f>tblTransactions[[#This Row],[Total_Amount]]-(tblTransactions[[#This Row],[Cost_Prices]]*tblTransactions[[#This Row],[Quantity]]*(1-tblTransactions[[#This Row],[Discount]]))</f>
        <v>105.6211</v>
      </c>
      <c r="N3117" s="3">
        <f>tblTransactions[[#This Row],[Profit]]/tblTransactions[[#This Row],[Total_Amount]]</f>
        <v>0.49844785276073617</v>
      </c>
      <c r="O3117" t="str">
        <f>TEXT(tblTransactions[[#This Row],[Date]], "MMM-YYYY")</f>
        <v>Oct-2024</v>
      </c>
      <c r="P3117" t="str">
        <f>"Q"&amp;ROUNDUP(MONTH(tblTransactions[[#This Row],[Date]])/3,0)&amp;"-"&amp;YEAR(tblTransactions[[#This Row],[Date]])</f>
        <v>Q4-2024</v>
      </c>
      <c r="Q3117">
        <f>YEAR(tblTransactions[[#This Row],[Date]])</f>
        <v>2024</v>
      </c>
      <c r="R3117" t="str">
        <f>TEXT(tblTransactions[[#This Row],[Date]],"DDDD")</f>
        <v>Thursday</v>
      </c>
      <c r="S3117">
        <f>MONTH(tblTransactions[[#This Row],[Date]])</f>
        <v>10</v>
      </c>
      <c r="T3117" t="str">
        <f>VLOOKUP(E3117, Products!$A:$B,2,0)</f>
        <v>Folders Off-4</v>
      </c>
      <c r="U3117" t="str">
        <f>VLOOKUP(E3117,Products!$A:$C,3,0)</f>
        <v>Office Supplies</v>
      </c>
      <c r="V3117" t="str">
        <f>VLOOKUP(E3117,Products!$A:$D,4,0)</f>
        <v>Folders</v>
      </c>
      <c r="W3117" t="str">
        <f>VLOOKUP(D3117,Customers!$A:$C,3,0)</f>
        <v>B2C</v>
      </c>
      <c r="X3117" t="str">
        <f>VLOOKUP(C3117,Sales_Representatives!$A:$B,2,0)</f>
        <v>Emily Hernandez</v>
      </c>
    </row>
    <row r="3118" spans="1:24" x14ac:dyDescent="0.3">
      <c r="A3118" t="s">
        <v>4230</v>
      </c>
      <c r="B3118" t="s">
        <v>4231</v>
      </c>
      <c r="C3118" t="s">
        <v>131</v>
      </c>
      <c r="D3118" t="s">
        <v>2562</v>
      </c>
      <c r="E3118" t="s">
        <v>129</v>
      </c>
      <c r="F3118">
        <v>2</v>
      </c>
      <c r="G3118">
        <v>1283.71</v>
      </c>
      <c r="H3118">
        <v>7.0000000000000007E-2</v>
      </c>
      <c r="I3118" s="4">
        <v>2387.6999999999998</v>
      </c>
      <c r="J3118" t="s">
        <v>44</v>
      </c>
      <c r="K3118" t="s">
        <v>17</v>
      </c>
      <c r="L3118" s="4">
        <f>VLOOKUP(tblTransactions[[#This Row],[Product_ID]],tblProducts[],5,FALSE)</f>
        <v>970.14</v>
      </c>
      <c r="M3118" s="4">
        <f>tblTransactions[[#This Row],[Total_Amount]]-(tblTransactions[[#This Row],[Cost_Prices]]*tblTransactions[[#This Row],[Quantity]]*(1-tblTransactions[[#This Row],[Discount]]))</f>
        <v>583.23959999999988</v>
      </c>
      <c r="N3118" s="3">
        <f>tblTransactions[[#This Row],[Profit]]/tblTransactions[[#This Row],[Total_Amount]]</f>
        <v>0.24426837542404822</v>
      </c>
      <c r="O3118" t="str">
        <f>TEXT(tblTransactions[[#This Row],[Date]], "MMM-YYYY")</f>
        <v>Oct-2024</v>
      </c>
      <c r="P3118" t="str">
        <f>"Q"&amp;ROUNDUP(MONTH(tblTransactions[[#This Row],[Date]])/3,0)&amp;"-"&amp;YEAR(tblTransactions[[#This Row],[Date]])</f>
        <v>Q4-2024</v>
      </c>
      <c r="Q3118">
        <f>YEAR(tblTransactions[[#This Row],[Date]])</f>
        <v>2024</v>
      </c>
      <c r="R3118" t="str">
        <f>TEXT(tblTransactions[[#This Row],[Date]],"DDDD")</f>
        <v>Friday</v>
      </c>
      <c r="S3118">
        <f>MONTH(tblTransactions[[#This Row],[Date]])</f>
        <v>10</v>
      </c>
      <c r="T3118" t="str">
        <f>VLOOKUP(E3118, Products!$A:$B,2,0)</f>
        <v>Cameras Ele-3</v>
      </c>
      <c r="U3118" t="str">
        <f>VLOOKUP(E3118,Products!$A:$C,3,0)</f>
        <v>Electronics</v>
      </c>
      <c r="V3118" t="str">
        <f>VLOOKUP(E3118,Products!$A:$D,4,0)</f>
        <v>Cameras</v>
      </c>
      <c r="W3118" t="str">
        <f>VLOOKUP(D3118,Customers!$A:$C,3,0)</f>
        <v>B2C</v>
      </c>
      <c r="X3118" t="str">
        <f>VLOOKUP(C3118,Sales_Representatives!$A:$B,2,0)</f>
        <v>Michael Davis</v>
      </c>
    </row>
    <row r="3119" spans="1:24" x14ac:dyDescent="0.3">
      <c r="A3119" t="s">
        <v>4232</v>
      </c>
      <c r="B3119" t="s">
        <v>4231</v>
      </c>
      <c r="C3119" t="s">
        <v>141</v>
      </c>
      <c r="D3119" t="s">
        <v>1959</v>
      </c>
      <c r="E3119" t="s">
        <v>72</v>
      </c>
      <c r="F3119">
        <v>2</v>
      </c>
      <c r="G3119">
        <v>404.76</v>
      </c>
      <c r="H3119">
        <v>0</v>
      </c>
      <c r="I3119" s="4">
        <v>809.52</v>
      </c>
      <c r="J3119" t="s">
        <v>109</v>
      </c>
      <c r="K3119" t="s">
        <v>48</v>
      </c>
      <c r="L3119" s="4">
        <f>VLOOKUP(tblTransactions[[#This Row],[Product_ID]],tblProducts[],5,FALSE)</f>
        <v>226.76</v>
      </c>
      <c r="M3119" s="4">
        <f>tblTransactions[[#This Row],[Total_Amount]]-(tblTransactions[[#This Row],[Cost_Prices]]*tblTransactions[[#This Row],[Quantity]]*(1-tblTransactions[[#This Row],[Discount]]))</f>
        <v>356</v>
      </c>
      <c r="N3119" s="3">
        <f>tblTransactions[[#This Row],[Profit]]/tblTransactions[[#This Row],[Total_Amount]]</f>
        <v>0.43976677537306058</v>
      </c>
      <c r="O3119" t="str">
        <f>TEXT(tblTransactions[[#This Row],[Date]], "MMM-YYYY")</f>
        <v>Oct-2024</v>
      </c>
      <c r="P3119" t="str">
        <f>"Q"&amp;ROUNDUP(MONTH(tblTransactions[[#This Row],[Date]])/3,0)&amp;"-"&amp;YEAR(tblTransactions[[#This Row],[Date]])</f>
        <v>Q4-2024</v>
      </c>
      <c r="Q3119">
        <f>YEAR(tblTransactions[[#This Row],[Date]])</f>
        <v>2024</v>
      </c>
      <c r="R3119" t="str">
        <f>TEXT(tblTransactions[[#This Row],[Date]],"DDDD")</f>
        <v>Friday</v>
      </c>
      <c r="S3119">
        <f>MONTH(tblTransactions[[#This Row],[Date]])</f>
        <v>10</v>
      </c>
      <c r="T3119" t="str">
        <f>VLOOKUP(E3119, Products!$A:$B,2,0)</f>
        <v>Tablets Ele-2</v>
      </c>
      <c r="U3119" t="str">
        <f>VLOOKUP(E3119,Products!$A:$C,3,0)</f>
        <v>Electronics</v>
      </c>
      <c r="V3119" t="str">
        <f>VLOOKUP(E3119,Products!$A:$D,4,0)</f>
        <v>Tablets</v>
      </c>
      <c r="W3119" t="str">
        <f>VLOOKUP(D3119,Customers!$A:$C,3,0)</f>
        <v>Small Business</v>
      </c>
      <c r="X3119" t="str">
        <f>VLOOKUP(C3119,Sales_Representatives!$A:$B,2,0)</f>
        <v>Richard Garcia</v>
      </c>
    </row>
    <row r="3120" spans="1:24" x14ac:dyDescent="0.3">
      <c r="A3120" t="s">
        <v>4233</v>
      </c>
      <c r="B3120" t="s">
        <v>4231</v>
      </c>
      <c r="C3120" t="s">
        <v>31</v>
      </c>
      <c r="D3120" t="s">
        <v>1832</v>
      </c>
      <c r="E3120" t="s">
        <v>129</v>
      </c>
      <c r="F3120">
        <v>2</v>
      </c>
      <c r="G3120">
        <v>1283.71</v>
      </c>
      <c r="H3120">
        <v>0.09</v>
      </c>
      <c r="I3120" s="4">
        <v>2336.35</v>
      </c>
      <c r="J3120" t="s">
        <v>34</v>
      </c>
      <c r="K3120" t="s">
        <v>17</v>
      </c>
      <c r="L3120" s="4">
        <f>VLOOKUP(tblTransactions[[#This Row],[Product_ID]],tblProducts[],5,FALSE)</f>
        <v>970.14</v>
      </c>
      <c r="M3120" s="4">
        <f>tblTransactions[[#This Row],[Total_Amount]]-(tblTransactions[[#This Row],[Cost_Prices]]*tblTransactions[[#This Row],[Quantity]]*(1-tblTransactions[[#This Row],[Discount]]))</f>
        <v>570.69519999999989</v>
      </c>
      <c r="N3120" s="3">
        <f>tblTransactions[[#This Row],[Profit]]/tblTransactions[[#This Row],[Total_Amount]]</f>
        <v>0.24426785370342624</v>
      </c>
      <c r="O3120" t="str">
        <f>TEXT(tblTransactions[[#This Row],[Date]], "MMM-YYYY")</f>
        <v>Oct-2024</v>
      </c>
      <c r="P3120" t="str">
        <f>"Q"&amp;ROUNDUP(MONTH(tblTransactions[[#This Row],[Date]])/3,0)&amp;"-"&amp;YEAR(tblTransactions[[#This Row],[Date]])</f>
        <v>Q4-2024</v>
      </c>
      <c r="Q3120">
        <f>YEAR(tblTransactions[[#This Row],[Date]])</f>
        <v>2024</v>
      </c>
      <c r="R3120" t="str">
        <f>TEXT(tblTransactions[[#This Row],[Date]],"DDDD")</f>
        <v>Friday</v>
      </c>
      <c r="S3120">
        <f>MONTH(tblTransactions[[#This Row],[Date]])</f>
        <v>10</v>
      </c>
      <c r="T3120" t="str">
        <f>VLOOKUP(E3120, Products!$A:$B,2,0)</f>
        <v>Cameras Ele-3</v>
      </c>
      <c r="U3120" t="str">
        <f>VLOOKUP(E3120,Products!$A:$C,3,0)</f>
        <v>Electronics</v>
      </c>
      <c r="V3120" t="str">
        <f>VLOOKUP(E3120,Products!$A:$D,4,0)</f>
        <v>Cameras</v>
      </c>
      <c r="W3120" t="str">
        <f>VLOOKUP(D3120,Customers!$A:$C,3,0)</f>
        <v>Small Business</v>
      </c>
      <c r="X3120" t="str">
        <f>VLOOKUP(C3120,Sales_Representatives!$A:$B,2,0)</f>
        <v>Thomas Martinez</v>
      </c>
    </row>
    <row r="3121" spans="1:24" x14ac:dyDescent="0.3">
      <c r="A3121" t="s">
        <v>4234</v>
      </c>
      <c r="B3121" t="s">
        <v>4231</v>
      </c>
      <c r="C3121" t="s">
        <v>63</v>
      </c>
      <c r="D3121" t="s">
        <v>1997</v>
      </c>
      <c r="E3121" t="s">
        <v>129</v>
      </c>
      <c r="F3121">
        <v>10</v>
      </c>
      <c r="G3121">
        <v>1283.71</v>
      </c>
      <c r="H3121">
        <v>0.08</v>
      </c>
      <c r="I3121" s="4">
        <v>11810.13</v>
      </c>
      <c r="J3121" t="s">
        <v>21</v>
      </c>
      <c r="K3121" t="s">
        <v>48</v>
      </c>
      <c r="L3121" s="4">
        <f>VLOOKUP(tblTransactions[[#This Row],[Product_ID]],tblProducts[],5,FALSE)</f>
        <v>970.14</v>
      </c>
      <c r="M3121" s="4">
        <f>tblTransactions[[#This Row],[Total_Amount]]-(tblTransactions[[#This Row],[Cost_Prices]]*tblTransactions[[#This Row],[Quantity]]*(1-tblTransactions[[#This Row],[Discount]]))</f>
        <v>2884.8419999999987</v>
      </c>
      <c r="N3121" s="3">
        <f>tblTransactions[[#This Row],[Profit]]/tblTransactions[[#This Row],[Total_Amount]]</f>
        <v>0.24426843734996981</v>
      </c>
      <c r="O3121" t="str">
        <f>TEXT(tblTransactions[[#This Row],[Date]], "MMM-YYYY")</f>
        <v>Oct-2024</v>
      </c>
      <c r="P3121" t="str">
        <f>"Q"&amp;ROUNDUP(MONTH(tblTransactions[[#This Row],[Date]])/3,0)&amp;"-"&amp;YEAR(tblTransactions[[#This Row],[Date]])</f>
        <v>Q4-2024</v>
      </c>
      <c r="Q3121">
        <f>YEAR(tblTransactions[[#This Row],[Date]])</f>
        <v>2024</v>
      </c>
      <c r="R3121" t="str">
        <f>TEXT(tblTransactions[[#This Row],[Date]],"DDDD")</f>
        <v>Friday</v>
      </c>
      <c r="S3121">
        <f>MONTH(tblTransactions[[#This Row],[Date]])</f>
        <v>10</v>
      </c>
      <c r="T3121" t="str">
        <f>VLOOKUP(E3121, Products!$A:$B,2,0)</f>
        <v>Cameras Ele-3</v>
      </c>
      <c r="U3121" t="str">
        <f>VLOOKUP(E3121,Products!$A:$C,3,0)</f>
        <v>Electronics</v>
      </c>
      <c r="V3121" t="str">
        <f>VLOOKUP(E3121,Products!$A:$D,4,0)</f>
        <v>Cameras</v>
      </c>
      <c r="W3121" t="str">
        <f>VLOOKUP(D3121,Customers!$A:$C,3,0)</f>
        <v>B2B</v>
      </c>
      <c r="X3121" t="str">
        <f>VLOOKUP(C3121,Sales_Representatives!$A:$B,2,0)</f>
        <v>Richard Wilson</v>
      </c>
    </row>
    <row r="3122" spans="1:24" x14ac:dyDescent="0.3">
      <c r="A3122" t="s">
        <v>4235</v>
      </c>
      <c r="B3122" t="s">
        <v>4231</v>
      </c>
      <c r="C3122" t="s">
        <v>19</v>
      </c>
      <c r="D3122" t="s">
        <v>2430</v>
      </c>
      <c r="E3122" t="s">
        <v>450</v>
      </c>
      <c r="F3122">
        <v>6</v>
      </c>
      <c r="G3122">
        <v>2083.92</v>
      </c>
      <c r="H3122">
        <v>0.12</v>
      </c>
      <c r="I3122" s="4">
        <v>11003.1</v>
      </c>
      <c r="J3122" t="s">
        <v>21</v>
      </c>
      <c r="K3122" t="s">
        <v>48</v>
      </c>
      <c r="L3122" s="4">
        <f>VLOOKUP(tblTransactions[[#This Row],[Product_ID]],tblProducts[],5,FALSE)</f>
        <v>1425.78</v>
      </c>
      <c r="M3122" s="4">
        <f>tblTransactions[[#This Row],[Total_Amount]]-(tblTransactions[[#This Row],[Cost_Prices]]*tblTransactions[[#This Row],[Quantity]]*(1-tblTransactions[[#This Row],[Discount]]))</f>
        <v>3474.9816000000001</v>
      </c>
      <c r="N3122" s="3">
        <f>tblTransactions[[#This Row],[Profit]]/tblTransactions[[#This Row],[Total_Amount]]</f>
        <v>0.31581841481037159</v>
      </c>
      <c r="O3122" t="str">
        <f>TEXT(tblTransactions[[#This Row],[Date]], "MMM-YYYY")</f>
        <v>Oct-2024</v>
      </c>
      <c r="P3122" t="str">
        <f>"Q"&amp;ROUNDUP(MONTH(tblTransactions[[#This Row],[Date]])/3,0)&amp;"-"&amp;YEAR(tblTransactions[[#This Row],[Date]])</f>
        <v>Q4-2024</v>
      </c>
      <c r="Q3122">
        <f>YEAR(tblTransactions[[#This Row],[Date]])</f>
        <v>2024</v>
      </c>
      <c r="R3122" t="str">
        <f>TEXT(tblTransactions[[#This Row],[Date]],"DDDD")</f>
        <v>Friday</v>
      </c>
      <c r="S3122">
        <f>MONTH(tblTransactions[[#This Row],[Date]])</f>
        <v>10</v>
      </c>
      <c r="T3122" t="str">
        <f>VLOOKUP(E3122, Products!$A:$B,2,0)</f>
        <v>Monitors Tec-4</v>
      </c>
      <c r="U3122" t="str">
        <f>VLOOKUP(E3122,Products!$A:$C,3,0)</f>
        <v>Technology</v>
      </c>
      <c r="V3122" t="str">
        <f>VLOOKUP(E3122,Products!$A:$D,4,0)</f>
        <v>Monitors</v>
      </c>
      <c r="W3122" t="str">
        <f>VLOOKUP(D3122,Customers!$A:$C,3,0)</f>
        <v>B2B</v>
      </c>
      <c r="X3122" t="str">
        <f>VLOOKUP(C3122,Sales_Representatives!$A:$B,2,0)</f>
        <v>Robert Jones</v>
      </c>
    </row>
    <row r="3123" spans="1:24" x14ac:dyDescent="0.3">
      <c r="A3123" t="s">
        <v>4236</v>
      </c>
      <c r="B3123" t="s">
        <v>4231</v>
      </c>
      <c r="C3123" t="s">
        <v>13</v>
      </c>
      <c r="D3123" t="s">
        <v>2208</v>
      </c>
      <c r="E3123" t="s">
        <v>324</v>
      </c>
      <c r="F3123">
        <v>4</v>
      </c>
      <c r="G3123">
        <v>245.76</v>
      </c>
      <c r="H3123">
        <v>7.0000000000000007E-2</v>
      </c>
      <c r="I3123" s="4">
        <v>914.23</v>
      </c>
      <c r="J3123" t="s">
        <v>16</v>
      </c>
      <c r="K3123" t="s">
        <v>39</v>
      </c>
      <c r="L3123" s="4">
        <f>VLOOKUP(tblTransactions[[#This Row],[Product_ID]],tblProducts[],5,FALSE)</f>
        <v>161.94</v>
      </c>
      <c r="M3123" s="4">
        <f>tblTransactions[[#This Row],[Total_Amount]]-(tblTransactions[[#This Row],[Cost_Prices]]*tblTransactions[[#This Row],[Quantity]]*(1-tblTransactions[[#This Row],[Discount]]))</f>
        <v>311.81320000000005</v>
      </c>
      <c r="N3123" s="3">
        <f>tblTransactions[[#This Row],[Profit]]/tblTransactions[[#This Row],[Total_Amount]]</f>
        <v>0.34106647123809114</v>
      </c>
      <c r="O3123" t="str">
        <f>TEXT(tblTransactions[[#This Row],[Date]], "MMM-YYYY")</f>
        <v>Oct-2024</v>
      </c>
      <c r="P3123" t="str">
        <f>"Q"&amp;ROUNDUP(MONTH(tblTransactions[[#This Row],[Date]])/3,0)&amp;"-"&amp;YEAR(tblTransactions[[#This Row],[Date]])</f>
        <v>Q4-2024</v>
      </c>
      <c r="Q3123">
        <f>YEAR(tblTransactions[[#This Row],[Date]])</f>
        <v>2024</v>
      </c>
      <c r="R3123" t="str">
        <f>TEXT(tblTransactions[[#This Row],[Date]],"DDDD")</f>
        <v>Friday</v>
      </c>
      <c r="S3123">
        <f>MONTH(tblTransactions[[#This Row],[Date]])</f>
        <v>10</v>
      </c>
      <c r="T3123" t="str">
        <f>VLOOKUP(E3123, Products!$A:$B,2,0)</f>
        <v>Storage Fur-1</v>
      </c>
      <c r="U3123" t="str">
        <f>VLOOKUP(E3123,Products!$A:$C,3,0)</f>
        <v>Furniture</v>
      </c>
      <c r="V3123" t="str">
        <f>VLOOKUP(E3123,Products!$A:$D,4,0)</f>
        <v>Storage</v>
      </c>
      <c r="W3123" t="str">
        <f>VLOOKUP(D3123,Customers!$A:$C,3,0)</f>
        <v>B2B</v>
      </c>
      <c r="X3123" t="str">
        <f>VLOOKUP(C3123,Sales_Representatives!$A:$B,2,0)</f>
        <v>Jennifer Rodriguez</v>
      </c>
    </row>
    <row r="3124" spans="1:24" x14ac:dyDescent="0.3">
      <c r="A3124" t="s">
        <v>4237</v>
      </c>
      <c r="B3124" t="s">
        <v>4231</v>
      </c>
      <c r="C3124" t="s">
        <v>19</v>
      </c>
      <c r="D3124" t="s">
        <v>1571</v>
      </c>
      <c r="E3124" t="s">
        <v>204</v>
      </c>
      <c r="F3124">
        <v>7</v>
      </c>
      <c r="G3124">
        <v>715.62</v>
      </c>
      <c r="H3124">
        <v>0.14000000000000001</v>
      </c>
      <c r="I3124" s="4">
        <v>4308.03</v>
      </c>
      <c r="J3124" t="s">
        <v>21</v>
      </c>
      <c r="K3124" t="s">
        <v>17</v>
      </c>
      <c r="L3124" s="4">
        <f>VLOOKUP(tblTransactions[[#This Row],[Product_ID]],tblProducts[],5,FALSE)</f>
        <v>459.58</v>
      </c>
      <c r="M3124" s="4">
        <f>tblTransactions[[#This Row],[Total_Amount]]-(tblTransactions[[#This Row],[Cost_Prices]]*tblTransactions[[#This Row],[Quantity]]*(1-tblTransactions[[#This Row],[Discount]]))</f>
        <v>1541.3583999999996</v>
      </c>
      <c r="N3124" s="3">
        <f>tblTransactions[[#This Row],[Profit]]/tblTransactions[[#This Row],[Total_Amount]]</f>
        <v>0.35778729488884703</v>
      </c>
      <c r="O3124" t="str">
        <f>TEXT(tblTransactions[[#This Row],[Date]], "MMM-YYYY")</f>
        <v>Oct-2024</v>
      </c>
      <c r="P3124" t="str">
        <f>"Q"&amp;ROUNDUP(MONTH(tblTransactions[[#This Row],[Date]])/3,0)&amp;"-"&amp;YEAR(tblTransactions[[#This Row],[Date]])</f>
        <v>Q4-2024</v>
      </c>
      <c r="Q3124">
        <f>YEAR(tblTransactions[[#This Row],[Date]])</f>
        <v>2024</v>
      </c>
      <c r="R3124" t="str">
        <f>TEXT(tblTransactions[[#This Row],[Date]],"DDDD")</f>
        <v>Friday</v>
      </c>
      <c r="S3124">
        <f>MONTH(tblTransactions[[#This Row],[Date]])</f>
        <v>10</v>
      </c>
      <c r="T3124" t="str">
        <f>VLOOKUP(E3124, Products!$A:$B,2,0)</f>
        <v>Cameras Ele-2</v>
      </c>
      <c r="U3124" t="str">
        <f>VLOOKUP(E3124,Products!$A:$C,3,0)</f>
        <v>Electronics</v>
      </c>
      <c r="V3124" t="str">
        <f>VLOOKUP(E3124,Products!$A:$D,4,0)</f>
        <v>Cameras</v>
      </c>
      <c r="W3124" t="str">
        <f>VLOOKUP(D3124,Customers!$A:$C,3,0)</f>
        <v>B2C</v>
      </c>
      <c r="X3124" t="str">
        <f>VLOOKUP(C3124,Sales_Representatives!$A:$B,2,0)</f>
        <v>Robert Jones</v>
      </c>
    </row>
    <row r="3125" spans="1:24" x14ac:dyDescent="0.3">
      <c r="A3125" t="s">
        <v>4238</v>
      </c>
      <c r="B3125" t="s">
        <v>4231</v>
      </c>
      <c r="C3125" t="s">
        <v>63</v>
      </c>
      <c r="D3125" t="s">
        <v>1478</v>
      </c>
      <c r="E3125" t="s">
        <v>125</v>
      </c>
      <c r="F3125">
        <v>6</v>
      </c>
      <c r="G3125">
        <v>1201.4000000000001</v>
      </c>
      <c r="H3125">
        <v>0.12</v>
      </c>
      <c r="I3125" s="4">
        <v>6343.39</v>
      </c>
      <c r="J3125" t="s">
        <v>21</v>
      </c>
      <c r="K3125" t="s">
        <v>22</v>
      </c>
      <c r="L3125" s="4">
        <f>VLOOKUP(tblTransactions[[#This Row],[Product_ID]],tblProducts[],5,FALSE)</f>
        <v>672.72</v>
      </c>
      <c r="M3125" s="4">
        <f>tblTransactions[[#This Row],[Total_Amount]]-(tblTransactions[[#This Row],[Cost_Prices]]*tblTransactions[[#This Row],[Quantity]]*(1-tblTransactions[[#This Row],[Discount]]))</f>
        <v>2791.4284000000002</v>
      </c>
      <c r="N3125" s="3">
        <f>tblTransactions[[#This Row],[Profit]]/tblTransactions[[#This Row],[Total_Amount]]</f>
        <v>0.44005309463867115</v>
      </c>
      <c r="O3125" t="str">
        <f>TEXT(tblTransactions[[#This Row],[Date]], "MMM-YYYY")</f>
        <v>Oct-2024</v>
      </c>
      <c r="P3125" t="str">
        <f>"Q"&amp;ROUNDUP(MONTH(tblTransactions[[#This Row],[Date]])/3,0)&amp;"-"&amp;YEAR(tblTransactions[[#This Row],[Date]])</f>
        <v>Q4-2024</v>
      </c>
      <c r="Q3125">
        <f>YEAR(tblTransactions[[#This Row],[Date]])</f>
        <v>2024</v>
      </c>
      <c r="R3125" t="str">
        <f>TEXT(tblTransactions[[#This Row],[Date]],"DDDD")</f>
        <v>Friday</v>
      </c>
      <c r="S3125">
        <f>MONTH(tblTransactions[[#This Row],[Date]])</f>
        <v>10</v>
      </c>
      <c r="T3125" t="str">
        <f>VLOOKUP(E3125, Products!$A:$B,2,0)</f>
        <v>Printers Tec-2</v>
      </c>
      <c r="U3125" t="str">
        <f>VLOOKUP(E3125,Products!$A:$C,3,0)</f>
        <v>Technology</v>
      </c>
      <c r="V3125" t="str">
        <f>VLOOKUP(E3125,Products!$A:$D,4,0)</f>
        <v>Printers</v>
      </c>
      <c r="W3125" t="str">
        <f>VLOOKUP(D3125,Customers!$A:$C,3,0)</f>
        <v>Small Business</v>
      </c>
      <c r="X3125" t="str">
        <f>VLOOKUP(C3125,Sales_Representatives!$A:$B,2,0)</f>
        <v>Richard Wilson</v>
      </c>
    </row>
    <row r="3126" spans="1:24" x14ac:dyDescent="0.3">
      <c r="A3126" t="s">
        <v>4239</v>
      </c>
      <c r="B3126" t="s">
        <v>4231</v>
      </c>
      <c r="C3126" t="s">
        <v>19</v>
      </c>
      <c r="D3126" t="s">
        <v>2173</v>
      </c>
      <c r="E3126" t="s">
        <v>68</v>
      </c>
      <c r="F3126">
        <v>2</v>
      </c>
      <c r="G3126">
        <v>522.63</v>
      </c>
      <c r="H3126">
        <v>0.08</v>
      </c>
      <c r="I3126" s="4">
        <v>961.64</v>
      </c>
      <c r="J3126" t="s">
        <v>21</v>
      </c>
      <c r="K3126" t="s">
        <v>22</v>
      </c>
      <c r="L3126" s="4">
        <f>VLOOKUP(tblTransactions[[#This Row],[Product_ID]],tblProducts[],5,FALSE)</f>
        <v>355.82</v>
      </c>
      <c r="M3126" s="4">
        <f>tblTransactions[[#This Row],[Total_Amount]]-(tblTransactions[[#This Row],[Cost_Prices]]*tblTransactions[[#This Row],[Quantity]]*(1-tblTransactions[[#This Row],[Discount]]))</f>
        <v>306.93119999999999</v>
      </c>
      <c r="N3126" s="3">
        <f>tblTransactions[[#This Row],[Profit]]/tblTransactions[[#This Row],[Total_Amount]]</f>
        <v>0.31917474314712369</v>
      </c>
      <c r="O3126" t="str">
        <f>TEXT(tblTransactions[[#This Row],[Date]], "MMM-YYYY")</f>
        <v>Oct-2024</v>
      </c>
      <c r="P3126" t="str">
        <f>"Q"&amp;ROUNDUP(MONTH(tblTransactions[[#This Row],[Date]])/3,0)&amp;"-"&amp;YEAR(tblTransactions[[#This Row],[Date]])</f>
        <v>Q4-2024</v>
      </c>
      <c r="Q3126">
        <f>YEAR(tblTransactions[[#This Row],[Date]])</f>
        <v>2024</v>
      </c>
      <c r="R3126" t="str">
        <f>TEXT(tblTransactions[[#This Row],[Date]],"DDDD")</f>
        <v>Friday</v>
      </c>
      <c r="S3126">
        <f>MONTH(tblTransactions[[#This Row],[Date]])</f>
        <v>10</v>
      </c>
      <c r="T3126" t="str">
        <f>VLOOKUP(E3126, Products!$A:$B,2,0)</f>
        <v>Monitors Tec-3</v>
      </c>
      <c r="U3126" t="str">
        <f>VLOOKUP(E3126,Products!$A:$C,3,0)</f>
        <v>Technology</v>
      </c>
      <c r="V3126" t="str">
        <f>VLOOKUP(E3126,Products!$A:$D,4,0)</f>
        <v>Monitors</v>
      </c>
      <c r="W3126" t="str">
        <f>VLOOKUP(D3126,Customers!$A:$C,3,0)</f>
        <v>B2C</v>
      </c>
      <c r="X3126" t="str">
        <f>VLOOKUP(C3126,Sales_Representatives!$A:$B,2,0)</f>
        <v>Robert Jones</v>
      </c>
    </row>
    <row r="3127" spans="1:24" x14ac:dyDescent="0.3">
      <c r="A3127" t="s">
        <v>4240</v>
      </c>
      <c r="B3127" t="s">
        <v>4241</v>
      </c>
      <c r="C3127" t="s">
        <v>13</v>
      </c>
      <c r="D3127" t="s">
        <v>1586</v>
      </c>
      <c r="E3127" t="s">
        <v>84</v>
      </c>
      <c r="F3127">
        <v>2</v>
      </c>
      <c r="G3127">
        <v>1841.77</v>
      </c>
      <c r="H3127">
        <v>0.1</v>
      </c>
      <c r="I3127" s="4">
        <v>3315.19</v>
      </c>
      <c r="J3127" t="s">
        <v>16</v>
      </c>
      <c r="K3127" t="s">
        <v>22</v>
      </c>
      <c r="L3127" s="4">
        <f>VLOOKUP(tblTransactions[[#This Row],[Product_ID]],tblProducts[],5,FALSE)</f>
        <v>1151.5899999999999</v>
      </c>
      <c r="M3127" s="4">
        <f>tblTransactions[[#This Row],[Total_Amount]]-(tblTransactions[[#This Row],[Cost_Prices]]*tblTransactions[[#This Row],[Quantity]]*(1-tblTransactions[[#This Row],[Discount]]))</f>
        <v>1242.328</v>
      </c>
      <c r="N3127" s="3">
        <f>tblTransactions[[#This Row],[Profit]]/tblTransactions[[#This Row],[Total_Amount]]</f>
        <v>0.37473809947544484</v>
      </c>
      <c r="O3127" t="str">
        <f>TEXT(tblTransactions[[#This Row],[Date]], "MMM-YYYY")</f>
        <v>Oct-2024</v>
      </c>
      <c r="P3127" t="str">
        <f>"Q"&amp;ROUNDUP(MONTH(tblTransactions[[#This Row],[Date]])/3,0)&amp;"-"&amp;YEAR(tblTransactions[[#This Row],[Date]])</f>
        <v>Q4-2024</v>
      </c>
      <c r="Q3127">
        <f>YEAR(tblTransactions[[#This Row],[Date]])</f>
        <v>2024</v>
      </c>
      <c r="R3127" t="str">
        <f>TEXT(tblTransactions[[#This Row],[Date]],"DDDD")</f>
        <v>Saturday</v>
      </c>
      <c r="S3127">
        <f>MONTH(tblTransactions[[#This Row],[Date]])</f>
        <v>10</v>
      </c>
      <c r="T3127" t="str">
        <f>VLOOKUP(E3127, Products!$A:$B,2,0)</f>
        <v>Laptops Ele-2</v>
      </c>
      <c r="U3127" t="str">
        <f>VLOOKUP(E3127,Products!$A:$C,3,0)</f>
        <v>Electronics</v>
      </c>
      <c r="V3127" t="str">
        <f>VLOOKUP(E3127,Products!$A:$D,4,0)</f>
        <v>Laptops</v>
      </c>
      <c r="W3127" t="str">
        <f>VLOOKUP(D3127,Customers!$A:$C,3,0)</f>
        <v>B2B</v>
      </c>
      <c r="X3127" t="str">
        <f>VLOOKUP(C3127,Sales_Representatives!$A:$B,2,0)</f>
        <v>Jennifer Rodriguez</v>
      </c>
    </row>
    <row r="3128" spans="1:24" x14ac:dyDescent="0.3">
      <c r="A3128" t="s">
        <v>4242</v>
      </c>
      <c r="B3128" t="s">
        <v>4241</v>
      </c>
      <c r="C3128" t="s">
        <v>19</v>
      </c>
      <c r="D3128" t="s">
        <v>1840</v>
      </c>
      <c r="E3128" t="s">
        <v>310</v>
      </c>
      <c r="F3128">
        <v>5</v>
      </c>
      <c r="G3128">
        <v>274.13</v>
      </c>
      <c r="H3128">
        <v>7.0000000000000007E-2</v>
      </c>
      <c r="I3128" s="4">
        <v>1274.7</v>
      </c>
      <c r="J3128" t="s">
        <v>21</v>
      </c>
      <c r="K3128" t="s">
        <v>17</v>
      </c>
      <c r="L3128" s="4">
        <f>VLOOKUP(tblTransactions[[#This Row],[Product_ID]],tblProducts[],5,FALSE)</f>
        <v>134.41999999999999</v>
      </c>
      <c r="M3128" s="4">
        <f>tblTransactions[[#This Row],[Total_Amount]]-(tblTransactions[[#This Row],[Cost_Prices]]*tblTransactions[[#This Row],[Quantity]]*(1-tblTransactions[[#This Row],[Discount]]))</f>
        <v>649.64700000000016</v>
      </c>
      <c r="N3128" s="3">
        <f>tblTransactions[[#This Row],[Profit]]/tblTransactions[[#This Row],[Total_Amount]]</f>
        <v>0.5096469757590022</v>
      </c>
      <c r="O3128" t="str">
        <f>TEXT(tblTransactions[[#This Row],[Date]], "MMM-YYYY")</f>
        <v>Oct-2024</v>
      </c>
      <c r="P3128" t="str">
        <f>"Q"&amp;ROUNDUP(MONTH(tblTransactions[[#This Row],[Date]])/3,0)&amp;"-"&amp;YEAR(tblTransactions[[#This Row],[Date]])</f>
        <v>Q4-2024</v>
      </c>
      <c r="Q3128">
        <f>YEAR(tblTransactions[[#This Row],[Date]])</f>
        <v>2024</v>
      </c>
      <c r="R3128" t="str">
        <f>TEXT(tblTransactions[[#This Row],[Date]],"DDDD")</f>
        <v>Saturday</v>
      </c>
      <c r="S3128">
        <f>MONTH(tblTransactions[[#This Row],[Date]])</f>
        <v>10</v>
      </c>
      <c r="T3128" t="str">
        <f>VLOOKUP(E3128, Products!$A:$B,2,0)</f>
        <v>Adapters Acc-4</v>
      </c>
      <c r="U3128" t="str">
        <f>VLOOKUP(E3128,Products!$A:$C,3,0)</f>
        <v>Accessories</v>
      </c>
      <c r="V3128" t="str">
        <f>VLOOKUP(E3128,Products!$A:$D,4,0)</f>
        <v>Adapters</v>
      </c>
      <c r="W3128" t="str">
        <f>VLOOKUP(D3128,Customers!$A:$C,3,0)</f>
        <v>Small Business</v>
      </c>
      <c r="X3128" t="str">
        <f>VLOOKUP(C3128,Sales_Representatives!$A:$B,2,0)</f>
        <v>Robert Jones</v>
      </c>
    </row>
    <row r="3129" spans="1:24" x14ac:dyDescent="0.3">
      <c r="A3129" t="s">
        <v>4243</v>
      </c>
      <c r="B3129" t="s">
        <v>4241</v>
      </c>
      <c r="C3129" t="s">
        <v>56</v>
      </c>
      <c r="D3129" t="s">
        <v>2868</v>
      </c>
      <c r="E3129" t="s">
        <v>102</v>
      </c>
      <c r="F3129">
        <v>5</v>
      </c>
      <c r="G3129">
        <v>1097.75</v>
      </c>
      <c r="H3129">
        <v>7.0000000000000007E-2</v>
      </c>
      <c r="I3129" s="4">
        <v>5104.54</v>
      </c>
      <c r="J3129" t="s">
        <v>34</v>
      </c>
      <c r="K3129" t="s">
        <v>35</v>
      </c>
      <c r="L3129" s="4">
        <f>VLOOKUP(tblTransactions[[#This Row],[Product_ID]],tblProducts[],5,FALSE)</f>
        <v>680.12</v>
      </c>
      <c r="M3129" s="4">
        <f>tblTransactions[[#This Row],[Total_Amount]]-(tblTransactions[[#This Row],[Cost_Prices]]*tblTransactions[[#This Row],[Quantity]]*(1-tblTransactions[[#This Row],[Discount]]))</f>
        <v>1941.9820000000004</v>
      </c>
      <c r="N3129" s="3">
        <f>tblTransactions[[#This Row],[Profit]]/tblTransactions[[#This Row],[Total_Amount]]</f>
        <v>0.38044211623378416</v>
      </c>
      <c r="O3129" t="str">
        <f>TEXT(tblTransactions[[#This Row],[Date]], "MMM-YYYY")</f>
        <v>Oct-2024</v>
      </c>
      <c r="P3129" t="str">
        <f>"Q"&amp;ROUNDUP(MONTH(tblTransactions[[#This Row],[Date]])/3,0)&amp;"-"&amp;YEAR(tblTransactions[[#This Row],[Date]])</f>
        <v>Q4-2024</v>
      </c>
      <c r="Q3129">
        <f>YEAR(tblTransactions[[#This Row],[Date]])</f>
        <v>2024</v>
      </c>
      <c r="R3129" t="str">
        <f>TEXT(tblTransactions[[#This Row],[Date]],"DDDD")</f>
        <v>Saturday</v>
      </c>
      <c r="S3129">
        <f>MONTH(tblTransactions[[#This Row],[Date]])</f>
        <v>10</v>
      </c>
      <c r="T3129" t="str">
        <f>VLOOKUP(E3129, Products!$A:$B,2,0)</f>
        <v>Storage Fur-4</v>
      </c>
      <c r="U3129" t="str">
        <f>VLOOKUP(E3129,Products!$A:$C,3,0)</f>
        <v>Furniture</v>
      </c>
      <c r="V3129" t="str">
        <f>VLOOKUP(E3129,Products!$A:$D,4,0)</f>
        <v>Storage</v>
      </c>
      <c r="W3129" t="str">
        <f>VLOOKUP(D3129,Customers!$A:$C,3,0)</f>
        <v>B2B</v>
      </c>
      <c r="X3129" t="str">
        <f>VLOOKUP(C3129,Sales_Representatives!$A:$B,2,0)</f>
        <v>Thomas Hernandez</v>
      </c>
    </row>
    <row r="3130" spans="1:24" x14ac:dyDescent="0.3">
      <c r="A3130" t="s">
        <v>4244</v>
      </c>
      <c r="B3130" t="s">
        <v>4241</v>
      </c>
      <c r="C3130" t="s">
        <v>63</v>
      </c>
      <c r="D3130" t="s">
        <v>1623</v>
      </c>
      <c r="E3130" t="s">
        <v>87</v>
      </c>
      <c r="F3130">
        <v>5</v>
      </c>
      <c r="G3130">
        <v>1047.8900000000001</v>
      </c>
      <c r="H3130">
        <v>0.05</v>
      </c>
      <c r="I3130" s="4">
        <v>4977.4799999999996</v>
      </c>
      <c r="J3130" t="s">
        <v>21</v>
      </c>
      <c r="K3130" t="s">
        <v>17</v>
      </c>
      <c r="L3130" s="4">
        <f>VLOOKUP(tblTransactions[[#This Row],[Product_ID]],tblProducts[],5,FALSE)</f>
        <v>742.63</v>
      </c>
      <c r="M3130" s="4">
        <f>tblTransactions[[#This Row],[Total_Amount]]-(tblTransactions[[#This Row],[Cost_Prices]]*tblTransactions[[#This Row],[Quantity]]*(1-tblTransactions[[#This Row],[Discount]]))</f>
        <v>1449.9874999999997</v>
      </c>
      <c r="N3130" s="3">
        <f>tblTransactions[[#This Row],[Profit]]/tblTransactions[[#This Row],[Total_Amount]]</f>
        <v>0.29130955825035959</v>
      </c>
      <c r="O3130" t="str">
        <f>TEXT(tblTransactions[[#This Row],[Date]], "MMM-YYYY")</f>
        <v>Oct-2024</v>
      </c>
      <c r="P3130" t="str">
        <f>"Q"&amp;ROUNDUP(MONTH(tblTransactions[[#This Row],[Date]])/3,0)&amp;"-"&amp;YEAR(tblTransactions[[#This Row],[Date]])</f>
        <v>Q4-2024</v>
      </c>
      <c r="Q3130">
        <f>YEAR(tblTransactions[[#This Row],[Date]])</f>
        <v>2024</v>
      </c>
      <c r="R3130" t="str">
        <f>TEXT(tblTransactions[[#This Row],[Date]],"DDDD")</f>
        <v>Saturday</v>
      </c>
      <c r="S3130">
        <f>MONTH(tblTransactions[[#This Row],[Date]])</f>
        <v>10</v>
      </c>
      <c r="T3130" t="str">
        <f>VLOOKUP(E3130, Products!$A:$B,2,0)</f>
        <v>Monitors Tec-2</v>
      </c>
      <c r="U3130" t="str">
        <f>VLOOKUP(E3130,Products!$A:$C,3,0)</f>
        <v>Technology</v>
      </c>
      <c r="V3130" t="str">
        <f>VLOOKUP(E3130,Products!$A:$D,4,0)</f>
        <v>Monitors</v>
      </c>
      <c r="W3130" t="str">
        <f>VLOOKUP(D3130,Customers!$A:$C,3,0)</f>
        <v>B2C</v>
      </c>
      <c r="X3130" t="str">
        <f>VLOOKUP(C3130,Sales_Representatives!$A:$B,2,0)</f>
        <v>Richard Wilson</v>
      </c>
    </row>
    <row r="3131" spans="1:24" x14ac:dyDescent="0.3">
      <c r="A3131" t="s">
        <v>4245</v>
      </c>
      <c r="B3131" t="s">
        <v>4241</v>
      </c>
      <c r="C3131" t="s">
        <v>75</v>
      </c>
      <c r="D3131" t="s">
        <v>2029</v>
      </c>
      <c r="E3131" t="s">
        <v>87</v>
      </c>
      <c r="F3131">
        <v>10</v>
      </c>
      <c r="G3131">
        <v>1047.8900000000001</v>
      </c>
      <c r="H3131">
        <v>0.12</v>
      </c>
      <c r="I3131" s="4">
        <v>9221.43</v>
      </c>
      <c r="J3131" t="s">
        <v>44</v>
      </c>
      <c r="K3131" t="s">
        <v>39</v>
      </c>
      <c r="L3131" s="4">
        <f>VLOOKUP(tblTransactions[[#This Row],[Product_ID]],tblProducts[],5,FALSE)</f>
        <v>742.63</v>
      </c>
      <c r="M3131" s="4">
        <f>tblTransactions[[#This Row],[Total_Amount]]-(tblTransactions[[#This Row],[Cost_Prices]]*tblTransactions[[#This Row],[Quantity]]*(1-tblTransactions[[#This Row],[Discount]]))</f>
        <v>2686.2860000000001</v>
      </c>
      <c r="N3131" s="3">
        <f>tblTransactions[[#This Row],[Profit]]/tblTransactions[[#This Row],[Total_Amount]]</f>
        <v>0.29130904859658424</v>
      </c>
      <c r="O3131" t="str">
        <f>TEXT(tblTransactions[[#This Row],[Date]], "MMM-YYYY")</f>
        <v>Oct-2024</v>
      </c>
      <c r="P3131" t="str">
        <f>"Q"&amp;ROUNDUP(MONTH(tblTransactions[[#This Row],[Date]])/3,0)&amp;"-"&amp;YEAR(tblTransactions[[#This Row],[Date]])</f>
        <v>Q4-2024</v>
      </c>
      <c r="Q3131">
        <f>YEAR(tblTransactions[[#This Row],[Date]])</f>
        <v>2024</v>
      </c>
      <c r="R3131" t="str">
        <f>TEXT(tblTransactions[[#This Row],[Date]],"DDDD")</f>
        <v>Saturday</v>
      </c>
      <c r="S3131">
        <f>MONTH(tblTransactions[[#This Row],[Date]])</f>
        <v>10</v>
      </c>
      <c r="T3131" t="str">
        <f>VLOOKUP(E3131, Products!$A:$B,2,0)</f>
        <v>Monitors Tec-2</v>
      </c>
      <c r="U3131" t="str">
        <f>VLOOKUP(E3131,Products!$A:$C,3,0)</f>
        <v>Technology</v>
      </c>
      <c r="V3131" t="str">
        <f>VLOOKUP(E3131,Products!$A:$D,4,0)</f>
        <v>Monitors</v>
      </c>
      <c r="W3131" t="str">
        <f>VLOOKUP(D3131,Customers!$A:$C,3,0)</f>
        <v>B2B</v>
      </c>
      <c r="X3131" t="str">
        <f>VLOOKUP(C3131,Sales_Representatives!$A:$B,2,0)</f>
        <v>Jessica Anderson</v>
      </c>
    </row>
    <row r="3132" spans="1:24" x14ac:dyDescent="0.3">
      <c r="A3132" t="s">
        <v>4246</v>
      </c>
      <c r="B3132" t="s">
        <v>4247</v>
      </c>
      <c r="C3132" t="s">
        <v>131</v>
      </c>
      <c r="D3132" t="s">
        <v>1458</v>
      </c>
      <c r="E3132" t="s">
        <v>299</v>
      </c>
      <c r="F3132">
        <v>46</v>
      </c>
      <c r="G3132">
        <v>963.44</v>
      </c>
      <c r="H3132">
        <v>0.18</v>
      </c>
      <c r="I3132" s="4">
        <v>36340.959999999999</v>
      </c>
      <c r="J3132" t="s">
        <v>44</v>
      </c>
      <c r="K3132" t="s">
        <v>48</v>
      </c>
      <c r="L3132" s="4">
        <f>VLOOKUP(tblTransactions[[#This Row],[Product_ID]],tblProducts[],5,FALSE)</f>
        <v>578.96</v>
      </c>
      <c r="M3132" s="4">
        <f>tblTransactions[[#This Row],[Total_Amount]]-(tblTransactions[[#This Row],[Cost_Prices]]*tblTransactions[[#This Row],[Quantity]]*(1-tblTransactions[[#This Row],[Discount]]))</f>
        <v>14502.588799999994</v>
      </c>
      <c r="N3132" s="3">
        <f>tblTransactions[[#This Row],[Profit]]/tblTransactions[[#This Row],[Total_Amount]]</f>
        <v>0.39907005208447971</v>
      </c>
      <c r="O3132" t="str">
        <f>TEXT(tblTransactions[[#This Row],[Date]], "MMM-YYYY")</f>
        <v>Oct-2024</v>
      </c>
      <c r="P3132" t="str">
        <f>"Q"&amp;ROUNDUP(MONTH(tblTransactions[[#This Row],[Date]])/3,0)&amp;"-"&amp;YEAR(tblTransactions[[#This Row],[Date]])</f>
        <v>Q4-2024</v>
      </c>
      <c r="Q3132">
        <f>YEAR(tblTransactions[[#This Row],[Date]])</f>
        <v>2024</v>
      </c>
      <c r="R3132" t="str">
        <f>TEXT(tblTransactions[[#This Row],[Date]],"DDDD")</f>
        <v>Sunday</v>
      </c>
      <c r="S3132">
        <f>MONTH(tblTransactions[[#This Row],[Date]])</f>
        <v>10</v>
      </c>
      <c r="T3132" t="str">
        <f>VLOOKUP(E3132, Products!$A:$B,2,0)</f>
        <v>Chairs Fur-4</v>
      </c>
      <c r="U3132" t="str">
        <f>VLOOKUP(E3132,Products!$A:$C,3,0)</f>
        <v>Furniture</v>
      </c>
      <c r="V3132" t="str">
        <f>VLOOKUP(E3132,Products!$A:$D,4,0)</f>
        <v>Chairs</v>
      </c>
      <c r="W3132" t="str">
        <f>VLOOKUP(D3132,Customers!$A:$C,3,0)</f>
        <v>Enterprise</v>
      </c>
      <c r="X3132" t="str">
        <f>VLOOKUP(C3132,Sales_Representatives!$A:$B,2,0)</f>
        <v>Michael Davis</v>
      </c>
    </row>
    <row r="3133" spans="1:24" x14ac:dyDescent="0.3">
      <c r="A3133" t="s">
        <v>4248</v>
      </c>
      <c r="B3133" t="s">
        <v>4247</v>
      </c>
      <c r="C3133" t="s">
        <v>131</v>
      </c>
      <c r="D3133" t="s">
        <v>2232</v>
      </c>
      <c r="E3133" t="s">
        <v>33</v>
      </c>
      <c r="F3133">
        <v>5</v>
      </c>
      <c r="G3133">
        <v>322.7</v>
      </c>
      <c r="H3133">
        <v>0.05</v>
      </c>
      <c r="I3133" s="4">
        <v>1532.82</v>
      </c>
      <c r="J3133" t="s">
        <v>44</v>
      </c>
      <c r="K3133" t="s">
        <v>48</v>
      </c>
      <c r="L3133" s="4">
        <f>VLOOKUP(tblTransactions[[#This Row],[Product_ID]],tblProducts[],5,FALSE)</f>
        <v>139.81</v>
      </c>
      <c r="M3133" s="4">
        <f>tblTransactions[[#This Row],[Total_Amount]]-(tblTransactions[[#This Row],[Cost_Prices]]*tblTransactions[[#This Row],[Quantity]]*(1-tblTransactions[[#This Row],[Discount]]))</f>
        <v>868.72249999999997</v>
      </c>
      <c r="N3133" s="3">
        <f>tblTransactions[[#This Row],[Profit]]/tblTransactions[[#This Row],[Total_Amount]]</f>
        <v>0.56674788951083621</v>
      </c>
      <c r="O3133" t="str">
        <f>TEXT(tblTransactions[[#This Row],[Date]], "MMM-YYYY")</f>
        <v>Oct-2024</v>
      </c>
      <c r="P3133" t="str">
        <f>"Q"&amp;ROUNDUP(MONTH(tblTransactions[[#This Row],[Date]])/3,0)&amp;"-"&amp;YEAR(tblTransactions[[#This Row],[Date]])</f>
        <v>Q4-2024</v>
      </c>
      <c r="Q3133">
        <f>YEAR(tblTransactions[[#This Row],[Date]])</f>
        <v>2024</v>
      </c>
      <c r="R3133" t="str">
        <f>TEXT(tblTransactions[[#This Row],[Date]],"DDDD")</f>
        <v>Sunday</v>
      </c>
      <c r="S3133">
        <f>MONTH(tblTransactions[[#This Row],[Date]])</f>
        <v>10</v>
      </c>
      <c r="T3133" t="str">
        <f>VLOOKUP(E3133, Products!$A:$B,2,0)</f>
        <v>Adapters Acc-1</v>
      </c>
      <c r="U3133" t="str">
        <f>VLOOKUP(E3133,Products!$A:$C,3,0)</f>
        <v>Accessories</v>
      </c>
      <c r="V3133" t="str">
        <f>VLOOKUP(E3133,Products!$A:$D,4,0)</f>
        <v>Adapters</v>
      </c>
      <c r="W3133" t="str">
        <f>VLOOKUP(D3133,Customers!$A:$C,3,0)</f>
        <v>B2C</v>
      </c>
      <c r="X3133" t="str">
        <f>VLOOKUP(C3133,Sales_Representatives!$A:$B,2,0)</f>
        <v>Michael Davis</v>
      </c>
    </row>
    <row r="3134" spans="1:24" x14ac:dyDescent="0.3">
      <c r="A3134" t="s">
        <v>4249</v>
      </c>
      <c r="B3134" t="s">
        <v>4247</v>
      </c>
      <c r="C3134" t="s">
        <v>13</v>
      </c>
      <c r="D3134" t="s">
        <v>2407</v>
      </c>
      <c r="E3134" t="s">
        <v>157</v>
      </c>
      <c r="F3134">
        <v>4</v>
      </c>
      <c r="G3134">
        <v>1227.68</v>
      </c>
      <c r="H3134">
        <v>0.05</v>
      </c>
      <c r="I3134" s="4">
        <v>4665.18</v>
      </c>
      <c r="J3134" t="s">
        <v>16</v>
      </c>
      <c r="K3134" t="s">
        <v>22</v>
      </c>
      <c r="L3134" s="4">
        <f>VLOOKUP(tblTransactions[[#This Row],[Product_ID]],tblProducts[],5,FALSE)</f>
        <v>846.42</v>
      </c>
      <c r="M3134" s="4">
        <f>tblTransactions[[#This Row],[Total_Amount]]-(tblTransactions[[#This Row],[Cost_Prices]]*tblTransactions[[#This Row],[Quantity]]*(1-tblTransactions[[#This Row],[Discount]]))</f>
        <v>1448.7840000000006</v>
      </c>
      <c r="N3134" s="3">
        <f>tblTransactions[[#This Row],[Profit]]/tblTransactions[[#This Row],[Total_Amount]]</f>
        <v>0.31055264748627071</v>
      </c>
      <c r="O3134" t="str">
        <f>TEXT(tblTransactions[[#This Row],[Date]], "MMM-YYYY")</f>
        <v>Oct-2024</v>
      </c>
      <c r="P3134" t="str">
        <f>"Q"&amp;ROUNDUP(MONTH(tblTransactions[[#This Row],[Date]])/3,0)&amp;"-"&amp;YEAR(tblTransactions[[#This Row],[Date]])</f>
        <v>Q4-2024</v>
      </c>
      <c r="Q3134">
        <f>YEAR(tblTransactions[[#This Row],[Date]])</f>
        <v>2024</v>
      </c>
      <c r="R3134" t="str">
        <f>TEXT(tblTransactions[[#This Row],[Date]],"DDDD")</f>
        <v>Sunday</v>
      </c>
      <c r="S3134">
        <f>MONTH(tblTransactions[[#This Row],[Date]])</f>
        <v>10</v>
      </c>
      <c r="T3134" t="str">
        <f>VLOOKUP(E3134, Products!$A:$B,2,0)</f>
        <v>Printers Tec-4</v>
      </c>
      <c r="U3134" t="str">
        <f>VLOOKUP(E3134,Products!$A:$C,3,0)</f>
        <v>Technology</v>
      </c>
      <c r="V3134" t="str">
        <f>VLOOKUP(E3134,Products!$A:$D,4,0)</f>
        <v>Printers</v>
      </c>
      <c r="W3134" t="str">
        <f>VLOOKUP(D3134,Customers!$A:$C,3,0)</f>
        <v>B2C</v>
      </c>
      <c r="X3134" t="str">
        <f>VLOOKUP(C3134,Sales_Representatives!$A:$B,2,0)</f>
        <v>Jennifer Rodriguez</v>
      </c>
    </row>
    <row r="3135" spans="1:24" x14ac:dyDescent="0.3">
      <c r="A3135" t="s">
        <v>4250</v>
      </c>
      <c r="B3135" t="s">
        <v>4247</v>
      </c>
      <c r="C3135" t="s">
        <v>127</v>
      </c>
      <c r="D3135" t="s">
        <v>1741</v>
      </c>
      <c r="E3135" t="s">
        <v>394</v>
      </c>
      <c r="F3135">
        <v>10</v>
      </c>
      <c r="G3135">
        <v>314.69</v>
      </c>
      <c r="H3135">
        <v>0.12</v>
      </c>
      <c r="I3135" s="4">
        <v>2769.27</v>
      </c>
      <c r="J3135" t="s">
        <v>109</v>
      </c>
      <c r="K3135" t="s">
        <v>22</v>
      </c>
      <c r="L3135" s="4">
        <f>VLOOKUP(tblTransactions[[#This Row],[Product_ID]],tblProducts[],5,FALSE)</f>
        <v>185.43</v>
      </c>
      <c r="M3135" s="4">
        <f>tblTransactions[[#This Row],[Total_Amount]]-(tblTransactions[[#This Row],[Cost_Prices]]*tblTransactions[[#This Row],[Quantity]]*(1-tblTransactions[[#This Row],[Discount]]))</f>
        <v>1137.4859999999999</v>
      </c>
      <c r="N3135" s="3">
        <f>tblTransactions[[#This Row],[Profit]]/tblTransactions[[#This Row],[Total_Amount]]</f>
        <v>0.41075301433229694</v>
      </c>
      <c r="O3135" t="str">
        <f>TEXT(tblTransactions[[#This Row],[Date]], "MMM-YYYY")</f>
        <v>Oct-2024</v>
      </c>
      <c r="P3135" t="str">
        <f>"Q"&amp;ROUNDUP(MONTH(tblTransactions[[#This Row],[Date]])/3,0)&amp;"-"&amp;YEAR(tblTransactions[[#This Row],[Date]])</f>
        <v>Q4-2024</v>
      </c>
      <c r="Q3135">
        <f>YEAR(tblTransactions[[#This Row],[Date]])</f>
        <v>2024</v>
      </c>
      <c r="R3135" t="str">
        <f>TEXT(tblTransactions[[#This Row],[Date]],"DDDD")</f>
        <v>Sunday</v>
      </c>
      <c r="S3135">
        <f>MONTH(tblTransactions[[#This Row],[Date]])</f>
        <v>10</v>
      </c>
      <c r="T3135" t="str">
        <f>VLOOKUP(E3135, Products!$A:$B,2,0)</f>
        <v>Desks Fur-1</v>
      </c>
      <c r="U3135" t="str">
        <f>VLOOKUP(E3135,Products!$A:$C,3,0)</f>
        <v>Furniture</v>
      </c>
      <c r="V3135" t="str">
        <f>VLOOKUP(E3135,Products!$A:$D,4,0)</f>
        <v>Desks</v>
      </c>
      <c r="W3135" t="str">
        <f>VLOOKUP(D3135,Customers!$A:$C,3,0)</f>
        <v>B2B</v>
      </c>
      <c r="X3135" t="str">
        <f>VLOOKUP(C3135,Sales_Representatives!$A:$B,2,0)</f>
        <v>Emily Hernandez</v>
      </c>
    </row>
    <row r="3136" spans="1:24" x14ac:dyDescent="0.3">
      <c r="A3136" t="s">
        <v>4251</v>
      </c>
      <c r="B3136" t="s">
        <v>4247</v>
      </c>
      <c r="C3136" t="s">
        <v>141</v>
      </c>
      <c r="D3136" t="s">
        <v>2232</v>
      </c>
      <c r="E3136" t="s">
        <v>217</v>
      </c>
      <c r="F3136">
        <v>4</v>
      </c>
      <c r="G3136">
        <v>145.51</v>
      </c>
      <c r="H3136">
        <v>0.1</v>
      </c>
      <c r="I3136" s="4">
        <v>523.84</v>
      </c>
      <c r="J3136" t="s">
        <v>109</v>
      </c>
      <c r="K3136" t="s">
        <v>22</v>
      </c>
      <c r="L3136" s="4">
        <f>VLOOKUP(tblTransactions[[#This Row],[Product_ID]],tblProducts[],5,FALSE)</f>
        <v>64.510000000000005</v>
      </c>
      <c r="M3136" s="4">
        <f>tblTransactions[[#This Row],[Total_Amount]]-(tblTransactions[[#This Row],[Cost_Prices]]*tblTransactions[[#This Row],[Quantity]]*(1-tblTransactions[[#This Row],[Discount]]))</f>
        <v>291.60400000000004</v>
      </c>
      <c r="N3136" s="3">
        <f>tblTransactions[[#This Row],[Profit]]/tblTransactions[[#This Row],[Total_Amount]]</f>
        <v>0.55666615760537574</v>
      </c>
      <c r="O3136" t="str">
        <f>TEXT(tblTransactions[[#This Row],[Date]], "MMM-YYYY")</f>
        <v>Oct-2024</v>
      </c>
      <c r="P3136" t="str">
        <f>"Q"&amp;ROUNDUP(MONTH(tblTransactions[[#This Row],[Date]])/3,0)&amp;"-"&amp;YEAR(tblTransactions[[#This Row],[Date]])</f>
        <v>Q4-2024</v>
      </c>
      <c r="Q3136">
        <f>YEAR(tblTransactions[[#This Row],[Date]])</f>
        <v>2024</v>
      </c>
      <c r="R3136" t="str">
        <f>TEXT(tblTransactions[[#This Row],[Date]],"DDDD")</f>
        <v>Sunday</v>
      </c>
      <c r="S3136">
        <f>MONTH(tblTransactions[[#This Row],[Date]])</f>
        <v>10</v>
      </c>
      <c r="T3136" t="str">
        <f>VLOOKUP(E3136, Products!$A:$B,2,0)</f>
        <v>Cables Acc-2</v>
      </c>
      <c r="U3136" t="str">
        <f>VLOOKUP(E3136,Products!$A:$C,3,0)</f>
        <v>Accessories</v>
      </c>
      <c r="V3136" t="str">
        <f>VLOOKUP(E3136,Products!$A:$D,4,0)</f>
        <v>Cables</v>
      </c>
      <c r="W3136" t="str">
        <f>VLOOKUP(D3136,Customers!$A:$C,3,0)</f>
        <v>B2C</v>
      </c>
      <c r="X3136" t="str">
        <f>VLOOKUP(C3136,Sales_Representatives!$A:$B,2,0)</f>
        <v>Richard Garcia</v>
      </c>
    </row>
    <row r="3137" spans="1:24" x14ac:dyDescent="0.3">
      <c r="A3137" t="s">
        <v>4252</v>
      </c>
      <c r="B3137" t="s">
        <v>4247</v>
      </c>
      <c r="C3137" t="s">
        <v>31</v>
      </c>
      <c r="D3137" t="s">
        <v>1439</v>
      </c>
      <c r="E3137" t="s">
        <v>176</v>
      </c>
      <c r="F3137">
        <v>2</v>
      </c>
      <c r="G3137">
        <v>1462.68</v>
      </c>
      <c r="H3137">
        <v>0.04</v>
      </c>
      <c r="I3137" s="4">
        <v>2808.35</v>
      </c>
      <c r="J3137" t="s">
        <v>34</v>
      </c>
      <c r="K3137" t="s">
        <v>35</v>
      </c>
      <c r="L3137" s="4">
        <f>VLOOKUP(tblTransactions[[#This Row],[Product_ID]],tblProducts[],5,FALSE)</f>
        <v>775.94</v>
      </c>
      <c r="M3137" s="4">
        <f>tblTransactions[[#This Row],[Total_Amount]]-(tblTransactions[[#This Row],[Cost_Prices]]*tblTransactions[[#This Row],[Quantity]]*(1-tblTransactions[[#This Row],[Discount]]))</f>
        <v>1318.5451999999998</v>
      </c>
      <c r="N3137" s="3">
        <f>tblTransactions[[#This Row],[Profit]]/tblTransactions[[#This Row],[Total_Amount]]</f>
        <v>0.46950885751419869</v>
      </c>
      <c r="O3137" t="str">
        <f>TEXT(tblTransactions[[#This Row],[Date]], "MMM-YYYY")</f>
        <v>Oct-2024</v>
      </c>
      <c r="P3137" t="str">
        <f>"Q"&amp;ROUNDUP(MONTH(tblTransactions[[#This Row],[Date]])/3,0)&amp;"-"&amp;YEAR(tblTransactions[[#This Row],[Date]])</f>
        <v>Q4-2024</v>
      </c>
      <c r="Q3137">
        <f>YEAR(tblTransactions[[#This Row],[Date]])</f>
        <v>2024</v>
      </c>
      <c r="R3137" t="str">
        <f>TEXT(tblTransactions[[#This Row],[Date]],"DDDD")</f>
        <v>Sunday</v>
      </c>
      <c r="S3137">
        <f>MONTH(tblTransactions[[#This Row],[Date]])</f>
        <v>10</v>
      </c>
      <c r="T3137" t="str">
        <f>VLOOKUP(E3137, Products!$A:$B,2,0)</f>
        <v>Chairs Fur-2</v>
      </c>
      <c r="U3137" t="str">
        <f>VLOOKUP(E3137,Products!$A:$C,3,0)</f>
        <v>Furniture</v>
      </c>
      <c r="V3137" t="str">
        <f>VLOOKUP(E3137,Products!$A:$D,4,0)</f>
        <v>Chairs</v>
      </c>
      <c r="W3137" t="str">
        <f>VLOOKUP(D3137,Customers!$A:$C,3,0)</f>
        <v>B2C</v>
      </c>
      <c r="X3137" t="str">
        <f>VLOOKUP(C3137,Sales_Representatives!$A:$B,2,0)</f>
        <v>Thomas Martinez</v>
      </c>
    </row>
    <row r="3138" spans="1:24" x14ac:dyDescent="0.3">
      <c r="A3138" t="s">
        <v>4253</v>
      </c>
      <c r="B3138" t="s">
        <v>4247</v>
      </c>
      <c r="C3138" t="s">
        <v>70</v>
      </c>
      <c r="D3138" t="s">
        <v>1591</v>
      </c>
      <c r="E3138" t="s">
        <v>191</v>
      </c>
      <c r="F3138">
        <v>35</v>
      </c>
      <c r="G3138">
        <v>1012.75</v>
      </c>
      <c r="H3138">
        <v>0.22</v>
      </c>
      <c r="I3138" s="4">
        <v>27648.080000000002</v>
      </c>
      <c r="J3138" t="s">
        <v>16</v>
      </c>
      <c r="K3138" t="s">
        <v>48</v>
      </c>
      <c r="L3138" s="4">
        <f>VLOOKUP(tblTransactions[[#This Row],[Product_ID]],tblProducts[],5,FALSE)</f>
        <v>518.53</v>
      </c>
      <c r="M3138" s="4">
        <f>tblTransactions[[#This Row],[Total_Amount]]-(tblTransactions[[#This Row],[Cost_Prices]]*tblTransactions[[#This Row],[Quantity]]*(1-tblTransactions[[#This Row],[Discount]]))</f>
        <v>13492.211000000001</v>
      </c>
      <c r="N3138" s="3">
        <f>tblTransactions[[#This Row],[Profit]]/tblTransactions[[#This Row],[Total_Amount]]</f>
        <v>0.48799811777164998</v>
      </c>
      <c r="O3138" t="str">
        <f>TEXT(tblTransactions[[#This Row],[Date]], "MMM-YYYY")</f>
        <v>Oct-2024</v>
      </c>
      <c r="P3138" t="str">
        <f>"Q"&amp;ROUNDUP(MONTH(tblTransactions[[#This Row],[Date]])/3,0)&amp;"-"&amp;YEAR(tblTransactions[[#This Row],[Date]])</f>
        <v>Q4-2024</v>
      </c>
      <c r="Q3138">
        <f>YEAR(tblTransactions[[#This Row],[Date]])</f>
        <v>2024</v>
      </c>
      <c r="R3138" t="str">
        <f>TEXT(tblTransactions[[#This Row],[Date]],"DDDD")</f>
        <v>Sunday</v>
      </c>
      <c r="S3138">
        <f>MONTH(tblTransactions[[#This Row],[Date]])</f>
        <v>10</v>
      </c>
      <c r="T3138" t="str">
        <f>VLOOKUP(E3138, Products!$A:$B,2,0)</f>
        <v>Tables Fur-4</v>
      </c>
      <c r="U3138" t="str">
        <f>VLOOKUP(E3138,Products!$A:$C,3,0)</f>
        <v>Furniture</v>
      </c>
      <c r="V3138" t="str">
        <f>VLOOKUP(E3138,Products!$A:$D,4,0)</f>
        <v>Tables</v>
      </c>
      <c r="W3138" t="str">
        <f>VLOOKUP(D3138,Customers!$A:$C,3,0)</f>
        <v>Enterprise</v>
      </c>
      <c r="X3138" t="str">
        <f>VLOOKUP(C3138,Sales_Representatives!$A:$B,2,0)</f>
        <v>Linda Smith</v>
      </c>
    </row>
    <row r="3139" spans="1:24" x14ac:dyDescent="0.3">
      <c r="A3139" t="s">
        <v>4254</v>
      </c>
      <c r="B3139" t="s">
        <v>4247</v>
      </c>
      <c r="C3139" t="s">
        <v>127</v>
      </c>
      <c r="D3139" t="s">
        <v>1460</v>
      </c>
      <c r="E3139" t="s">
        <v>191</v>
      </c>
      <c r="F3139">
        <v>1</v>
      </c>
      <c r="G3139">
        <v>1012.75</v>
      </c>
      <c r="H3139">
        <v>0.04</v>
      </c>
      <c r="I3139" s="4">
        <v>972.24</v>
      </c>
      <c r="J3139" t="s">
        <v>109</v>
      </c>
      <c r="K3139" t="s">
        <v>39</v>
      </c>
      <c r="L3139" s="4">
        <f>VLOOKUP(tblTransactions[[#This Row],[Product_ID]],tblProducts[],5,FALSE)</f>
        <v>518.53</v>
      </c>
      <c r="M3139" s="4">
        <f>tblTransactions[[#This Row],[Total_Amount]]-(tblTransactions[[#This Row],[Cost_Prices]]*tblTransactions[[#This Row],[Quantity]]*(1-tblTransactions[[#This Row],[Discount]]))</f>
        <v>474.45120000000003</v>
      </c>
      <c r="N3139" s="3">
        <f>tblTransactions[[#This Row],[Profit]]/tblTransactions[[#This Row],[Total_Amount]]</f>
        <v>0.48799802517896818</v>
      </c>
      <c r="O3139" t="str">
        <f>TEXT(tblTransactions[[#This Row],[Date]], "MMM-YYYY")</f>
        <v>Oct-2024</v>
      </c>
      <c r="P3139" t="str">
        <f>"Q"&amp;ROUNDUP(MONTH(tblTransactions[[#This Row],[Date]])/3,0)&amp;"-"&amp;YEAR(tblTransactions[[#This Row],[Date]])</f>
        <v>Q4-2024</v>
      </c>
      <c r="Q3139">
        <f>YEAR(tblTransactions[[#This Row],[Date]])</f>
        <v>2024</v>
      </c>
      <c r="R3139" t="str">
        <f>TEXT(tblTransactions[[#This Row],[Date]],"DDDD")</f>
        <v>Sunday</v>
      </c>
      <c r="S3139">
        <f>MONTH(tblTransactions[[#This Row],[Date]])</f>
        <v>10</v>
      </c>
      <c r="T3139" t="str">
        <f>VLOOKUP(E3139, Products!$A:$B,2,0)</f>
        <v>Tables Fur-4</v>
      </c>
      <c r="U3139" t="str">
        <f>VLOOKUP(E3139,Products!$A:$C,3,0)</f>
        <v>Furniture</v>
      </c>
      <c r="V3139" t="str">
        <f>VLOOKUP(E3139,Products!$A:$D,4,0)</f>
        <v>Tables</v>
      </c>
      <c r="W3139" t="str">
        <f>VLOOKUP(D3139,Customers!$A:$C,3,0)</f>
        <v>Small Business</v>
      </c>
      <c r="X3139" t="str">
        <f>VLOOKUP(C3139,Sales_Representatives!$A:$B,2,0)</f>
        <v>Emily Hernandez</v>
      </c>
    </row>
    <row r="3140" spans="1:24" x14ac:dyDescent="0.3">
      <c r="A3140" t="s">
        <v>4255</v>
      </c>
      <c r="B3140" t="s">
        <v>4247</v>
      </c>
      <c r="C3140" t="s">
        <v>107</v>
      </c>
      <c r="D3140" t="s">
        <v>1586</v>
      </c>
      <c r="E3140" t="s">
        <v>290</v>
      </c>
      <c r="F3140">
        <v>13</v>
      </c>
      <c r="G3140">
        <v>729.32</v>
      </c>
      <c r="H3140">
        <v>0.16</v>
      </c>
      <c r="I3140" s="4">
        <v>7964.17</v>
      </c>
      <c r="J3140" t="s">
        <v>109</v>
      </c>
      <c r="K3140" t="s">
        <v>17</v>
      </c>
      <c r="L3140" s="4">
        <f>VLOOKUP(tblTransactions[[#This Row],[Product_ID]],tblProducts[],5,FALSE)</f>
        <v>482.7</v>
      </c>
      <c r="M3140" s="4">
        <f>tblTransactions[[#This Row],[Total_Amount]]-(tblTransactions[[#This Row],[Cost_Prices]]*tblTransactions[[#This Row],[Quantity]]*(1-tblTransactions[[#This Row],[Discount]]))</f>
        <v>2693.0860000000011</v>
      </c>
      <c r="N3140" s="3">
        <f>tblTransactions[[#This Row],[Profit]]/tblTransactions[[#This Row],[Total_Amount]]</f>
        <v>0.33815024038914304</v>
      </c>
      <c r="O3140" t="str">
        <f>TEXT(tblTransactions[[#This Row],[Date]], "MMM-YYYY")</f>
        <v>Oct-2024</v>
      </c>
      <c r="P3140" t="str">
        <f>"Q"&amp;ROUNDUP(MONTH(tblTransactions[[#This Row],[Date]])/3,0)&amp;"-"&amp;YEAR(tblTransactions[[#This Row],[Date]])</f>
        <v>Q4-2024</v>
      </c>
      <c r="Q3140">
        <f>YEAR(tblTransactions[[#This Row],[Date]])</f>
        <v>2024</v>
      </c>
      <c r="R3140" t="str">
        <f>TEXT(tblTransactions[[#This Row],[Date]],"DDDD")</f>
        <v>Sunday</v>
      </c>
      <c r="S3140">
        <f>MONTH(tblTransactions[[#This Row],[Date]])</f>
        <v>10</v>
      </c>
      <c r="T3140" t="str">
        <f>VLOOKUP(E3140, Products!$A:$B,2,0)</f>
        <v>Tables Fur-1</v>
      </c>
      <c r="U3140" t="str">
        <f>VLOOKUP(E3140,Products!$A:$C,3,0)</f>
        <v>Furniture</v>
      </c>
      <c r="V3140" t="str">
        <f>VLOOKUP(E3140,Products!$A:$D,4,0)</f>
        <v>Tables</v>
      </c>
      <c r="W3140" t="str">
        <f>VLOOKUP(D3140,Customers!$A:$C,3,0)</f>
        <v>B2B</v>
      </c>
      <c r="X3140" t="str">
        <f>VLOOKUP(C3140,Sales_Representatives!$A:$B,2,0)</f>
        <v>Jennifer Brown</v>
      </c>
    </row>
    <row r="3141" spans="1:24" x14ac:dyDescent="0.3">
      <c r="A3141" t="s">
        <v>4256</v>
      </c>
      <c r="B3141" t="s">
        <v>4257</v>
      </c>
      <c r="C3141" t="s">
        <v>31</v>
      </c>
      <c r="D3141" t="s">
        <v>2469</v>
      </c>
      <c r="E3141" t="s">
        <v>258</v>
      </c>
      <c r="F3141">
        <v>6</v>
      </c>
      <c r="G3141">
        <v>73.33</v>
      </c>
      <c r="H3141">
        <v>0.1</v>
      </c>
      <c r="I3141" s="4">
        <v>395.98</v>
      </c>
      <c r="J3141" t="s">
        <v>34</v>
      </c>
      <c r="K3141" t="s">
        <v>22</v>
      </c>
      <c r="L3141" s="4">
        <f>VLOOKUP(tblTransactions[[#This Row],[Product_ID]],tblProducts[],5,FALSE)</f>
        <v>38.049999999999997</v>
      </c>
      <c r="M3141" s="4">
        <f>tblTransactions[[#This Row],[Total_Amount]]-(tblTransactions[[#This Row],[Cost_Prices]]*tblTransactions[[#This Row],[Quantity]]*(1-tblTransactions[[#This Row],[Discount]]))</f>
        <v>190.51000000000002</v>
      </c>
      <c r="N3141" s="3">
        <f>tblTransactions[[#This Row],[Profit]]/tblTransactions[[#This Row],[Total_Amount]]</f>
        <v>0.48111015707864035</v>
      </c>
      <c r="O3141" t="str">
        <f>TEXT(tblTransactions[[#This Row],[Date]], "MMM-YYYY")</f>
        <v>Oct-2024</v>
      </c>
      <c r="P3141" t="str">
        <f>"Q"&amp;ROUNDUP(MONTH(tblTransactions[[#This Row],[Date]])/3,0)&amp;"-"&amp;YEAR(tblTransactions[[#This Row],[Date]])</f>
        <v>Q4-2024</v>
      </c>
      <c r="Q3141">
        <f>YEAR(tblTransactions[[#This Row],[Date]])</f>
        <v>2024</v>
      </c>
      <c r="R3141" t="str">
        <f>TEXT(tblTransactions[[#This Row],[Date]],"DDDD")</f>
        <v>Monday</v>
      </c>
      <c r="S3141">
        <f>MONTH(tblTransactions[[#This Row],[Date]])</f>
        <v>10</v>
      </c>
      <c r="T3141" t="str">
        <f>VLOOKUP(E3141, Products!$A:$B,2,0)</f>
        <v>Keyboards Acc-3</v>
      </c>
      <c r="U3141" t="str">
        <f>VLOOKUP(E3141,Products!$A:$C,3,0)</f>
        <v>Accessories</v>
      </c>
      <c r="V3141" t="str">
        <f>VLOOKUP(E3141,Products!$A:$D,4,0)</f>
        <v>Keyboards</v>
      </c>
      <c r="W3141" t="str">
        <f>VLOOKUP(D3141,Customers!$A:$C,3,0)</f>
        <v>B2C</v>
      </c>
      <c r="X3141" t="str">
        <f>VLOOKUP(C3141,Sales_Representatives!$A:$B,2,0)</f>
        <v>Thomas Martinez</v>
      </c>
    </row>
    <row r="3142" spans="1:24" x14ac:dyDescent="0.3">
      <c r="A3142" t="s">
        <v>4258</v>
      </c>
      <c r="B3142" t="s">
        <v>4257</v>
      </c>
      <c r="C3142" t="s">
        <v>82</v>
      </c>
      <c r="D3142" t="s">
        <v>2070</v>
      </c>
      <c r="E3142" t="s">
        <v>87</v>
      </c>
      <c r="F3142">
        <v>6</v>
      </c>
      <c r="G3142">
        <v>1047.8900000000001</v>
      </c>
      <c r="H3142">
        <v>0.09</v>
      </c>
      <c r="I3142" s="4">
        <v>5721.48</v>
      </c>
      <c r="J3142" t="s">
        <v>34</v>
      </c>
      <c r="K3142" t="s">
        <v>35</v>
      </c>
      <c r="L3142" s="4">
        <f>VLOOKUP(tblTransactions[[#This Row],[Product_ID]],tblProducts[],5,FALSE)</f>
        <v>742.63</v>
      </c>
      <c r="M3142" s="4">
        <f>tblTransactions[[#This Row],[Total_Amount]]-(tblTransactions[[#This Row],[Cost_Prices]]*tblTransactions[[#This Row],[Quantity]]*(1-tblTransactions[[#This Row],[Discount]]))</f>
        <v>1666.7201999999997</v>
      </c>
      <c r="N3142" s="3">
        <f>tblTransactions[[#This Row],[Profit]]/tblTransactions[[#This Row],[Total_Amount]]</f>
        <v>0.29130927662073447</v>
      </c>
      <c r="O3142" t="str">
        <f>TEXT(tblTransactions[[#This Row],[Date]], "MMM-YYYY")</f>
        <v>Oct-2024</v>
      </c>
      <c r="P3142" t="str">
        <f>"Q"&amp;ROUNDUP(MONTH(tblTransactions[[#This Row],[Date]])/3,0)&amp;"-"&amp;YEAR(tblTransactions[[#This Row],[Date]])</f>
        <v>Q4-2024</v>
      </c>
      <c r="Q3142">
        <f>YEAR(tblTransactions[[#This Row],[Date]])</f>
        <v>2024</v>
      </c>
      <c r="R3142" t="str">
        <f>TEXT(tblTransactions[[#This Row],[Date]],"DDDD")</f>
        <v>Monday</v>
      </c>
      <c r="S3142">
        <f>MONTH(tblTransactions[[#This Row],[Date]])</f>
        <v>10</v>
      </c>
      <c r="T3142" t="str">
        <f>VLOOKUP(E3142, Products!$A:$B,2,0)</f>
        <v>Monitors Tec-2</v>
      </c>
      <c r="U3142" t="str">
        <f>VLOOKUP(E3142,Products!$A:$C,3,0)</f>
        <v>Technology</v>
      </c>
      <c r="V3142" t="str">
        <f>VLOOKUP(E3142,Products!$A:$D,4,0)</f>
        <v>Monitors</v>
      </c>
      <c r="W3142" t="str">
        <f>VLOOKUP(D3142,Customers!$A:$C,3,0)</f>
        <v>Small Business</v>
      </c>
      <c r="X3142" t="str">
        <f>VLOOKUP(C3142,Sales_Representatives!$A:$B,2,0)</f>
        <v>John Brown</v>
      </c>
    </row>
    <row r="3143" spans="1:24" x14ac:dyDescent="0.3">
      <c r="A3143" t="s">
        <v>4259</v>
      </c>
      <c r="B3143" t="s">
        <v>4257</v>
      </c>
      <c r="C3143" t="s">
        <v>82</v>
      </c>
      <c r="D3143" t="s">
        <v>2430</v>
      </c>
      <c r="E3143" t="s">
        <v>38</v>
      </c>
      <c r="F3143">
        <v>14</v>
      </c>
      <c r="G3143">
        <v>581.47</v>
      </c>
      <c r="H3143">
        <v>0.12</v>
      </c>
      <c r="I3143" s="4">
        <v>7163.71</v>
      </c>
      <c r="J3143" t="s">
        <v>34</v>
      </c>
      <c r="K3143" t="s">
        <v>17</v>
      </c>
      <c r="L3143" s="4">
        <f>VLOOKUP(tblTransactions[[#This Row],[Product_ID]],tblProducts[],5,FALSE)</f>
        <v>372.07</v>
      </c>
      <c r="M3143" s="4">
        <f>tblTransactions[[#This Row],[Total_Amount]]-(tblTransactions[[#This Row],[Cost_Prices]]*tblTransactions[[#This Row],[Quantity]]*(1-tblTransactions[[#This Row],[Discount]]))</f>
        <v>2579.8076000000001</v>
      </c>
      <c r="N3143" s="3">
        <f>tblTransactions[[#This Row],[Profit]]/tblTransactions[[#This Row],[Total_Amount]]</f>
        <v>0.36012172463709446</v>
      </c>
      <c r="O3143" t="str">
        <f>TEXT(tblTransactions[[#This Row],[Date]], "MMM-YYYY")</f>
        <v>Oct-2024</v>
      </c>
      <c r="P3143" t="str">
        <f>"Q"&amp;ROUNDUP(MONTH(tblTransactions[[#This Row],[Date]])/3,0)&amp;"-"&amp;YEAR(tblTransactions[[#This Row],[Date]])</f>
        <v>Q4-2024</v>
      </c>
      <c r="Q3143">
        <f>YEAR(tblTransactions[[#This Row],[Date]])</f>
        <v>2024</v>
      </c>
      <c r="R3143" t="str">
        <f>TEXT(tblTransactions[[#This Row],[Date]],"DDDD")</f>
        <v>Monday</v>
      </c>
      <c r="S3143">
        <f>MONTH(tblTransactions[[#This Row],[Date]])</f>
        <v>10</v>
      </c>
      <c r="T3143" t="str">
        <f>VLOOKUP(E3143, Products!$A:$B,2,0)</f>
        <v>Storage Fur-3</v>
      </c>
      <c r="U3143" t="str">
        <f>VLOOKUP(E3143,Products!$A:$C,3,0)</f>
        <v>Furniture</v>
      </c>
      <c r="V3143" t="str">
        <f>VLOOKUP(E3143,Products!$A:$D,4,0)</f>
        <v>Storage</v>
      </c>
      <c r="W3143" t="str">
        <f>VLOOKUP(D3143,Customers!$A:$C,3,0)</f>
        <v>B2B</v>
      </c>
      <c r="X3143" t="str">
        <f>VLOOKUP(C3143,Sales_Representatives!$A:$B,2,0)</f>
        <v>John Brown</v>
      </c>
    </row>
    <row r="3144" spans="1:24" x14ac:dyDescent="0.3">
      <c r="A3144" t="s">
        <v>4260</v>
      </c>
      <c r="B3144" t="s">
        <v>4257</v>
      </c>
      <c r="C3144" t="s">
        <v>13</v>
      </c>
      <c r="D3144" t="s">
        <v>1699</v>
      </c>
      <c r="E3144" t="s">
        <v>29</v>
      </c>
      <c r="F3144">
        <v>9</v>
      </c>
      <c r="G3144">
        <v>1363.46</v>
      </c>
      <c r="H3144">
        <v>0.08</v>
      </c>
      <c r="I3144" s="4">
        <v>11289.45</v>
      </c>
      <c r="J3144" t="s">
        <v>16</v>
      </c>
      <c r="K3144" t="s">
        <v>22</v>
      </c>
      <c r="L3144" s="4">
        <f>VLOOKUP(tblTransactions[[#This Row],[Product_ID]],tblProducts[],5,FALSE)</f>
        <v>995.41</v>
      </c>
      <c r="M3144" s="4">
        <f>tblTransactions[[#This Row],[Total_Amount]]-(tblTransactions[[#This Row],[Cost_Prices]]*tblTransactions[[#This Row],[Quantity]]*(1-tblTransactions[[#This Row],[Discount]]))</f>
        <v>3047.4552000000003</v>
      </c>
      <c r="N3144" s="3">
        <f>tblTransactions[[#This Row],[Profit]]/tblTransactions[[#This Row],[Total_Amount]]</f>
        <v>0.26993832294753067</v>
      </c>
      <c r="O3144" t="str">
        <f>TEXT(tblTransactions[[#This Row],[Date]], "MMM-YYYY")</f>
        <v>Oct-2024</v>
      </c>
      <c r="P3144" t="str">
        <f>"Q"&amp;ROUNDUP(MONTH(tblTransactions[[#This Row],[Date]])/3,0)&amp;"-"&amp;YEAR(tblTransactions[[#This Row],[Date]])</f>
        <v>Q4-2024</v>
      </c>
      <c r="Q3144">
        <f>YEAR(tblTransactions[[#This Row],[Date]])</f>
        <v>2024</v>
      </c>
      <c r="R3144" t="str">
        <f>TEXT(tblTransactions[[#This Row],[Date]],"DDDD")</f>
        <v>Monday</v>
      </c>
      <c r="S3144">
        <f>MONTH(tblTransactions[[#This Row],[Date]])</f>
        <v>10</v>
      </c>
      <c r="T3144" t="str">
        <f>VLOOKUP(E3144, Products!$A:$B,2,0)</f>
        <v>Phones Ele-3</v>
      </c>
      <c r="U3144" t="str">
        <f>VLOOKUP(E3144,Products!$A:$C,3,0)</f>
        <v>Electronics</v>
      </c>
      <c r="V3144" t="str">
        <f>VLOOKUP(E3144,Products!$A:$D,4,0)</f>
        <v>Phones</v>
      </c>
      <c r="W3144" t="str">
        <f>VLOOKUP(D3144,Customers!$A:$C,3,0)</f>
        <v>B2B</v>
      </c>
      <c r="X3144" t="str">
        <f>VLOOKUP(C3144,Sales_Representatives!$A:$B,2,0)</f>
        <v>Jennifer Rodriguez</v>
      </c>
    </row>
    <row r="3145" spans="1:24" x14ac:dyDescent="0.3">
      <c r="A3145" t="s">
        <v>4261</v>
      </c>
      <c r="B3145" t="s">
        <v>4262</v>
      </c>
      <c r="C3145" t="s">
        <v>56</v>
      </c>
      <c r="D3145" t="s">
        <v>1511</v>
      </c>
      <c r="E3145" t="s">
        <v>299</v>
      </c>
      <c r="F3145">
        <v>4</v>
      </c>
      <c r="G3145">
        <v>963.44</v>
      </c>
      <c r="H3145">
        <v>0.04</v>
      </c>
      <c r="I3145" s="4">
        <v>3699.61</v>
      </c>
      <c r="J3145" t="s">
        <v>34</v>
      </c>
      <c r="K3145" t="s">
        <v>39</v>
      </c>
      <c r="L3145" s="4">
        <f>VLOOKUP(tblTransactions[[#This Row],[Product_ID]],tblProducts[],5,FALSE)</f>
        <v>578.96</v>
      </c>
      <c r="M3145" s="4">
        <f>tblTransactions[[#This Row],[Total_Amount]]-(tblTransactions[[#This Row],[Cost_Prices]]*tblTransactions[[#This Row],[Quantity]]*(1-tblTransactions[[#This Row],[Discount]]))</f>
        <v>1476.4036000000001</v>
      </c>
      <c r="N3145" s="3">
        <f>tblTransactions[[#This Row],[Profit]]/tblTransactions[[#This Row],[Total_Amount]]</f>
        <v>0.39907006414189605</v>
      </c>
      <c r="O3145" t="str">
        <f>TEXT(tblTransactions[[#This Row],[Date]], "MMM-YYYY")</f>
        <v>Oct-2024</v>
      </c>
      <c r="P3145" t="str">
        <f>"Q"&amp;ROUNDUP(MONTH(tblTransactions[[#This Row],[Date]])/3,0)&amp;"-"&amp;YEAR(tblTransactions[[#This Row],[Date]])</f>
        <v>Q4-2024</v>
      </c>
      <c r="Q3145">
        <f>YEAR(tblTransactions[[#This Row],[Date]])</f>
        <v>2024</v>
      </c>
      <c r="R3145" t="str">
        <f>TEXT(tblTransactions[[#This Row],[Date]],"DDDD")</f>
        <v>Tuesday</v>
      </c>
      <c r="S3145">
        <f>MONTH(tblTransactions[[#This Row],[Date]])</f>
        <v>10</v>
      </c>
      <c r="T3145" t="str">
        <f>VLOOKUP(E3145, Products!$A:$B,2,0)</f>
        <v>Chairs Fur-4</v>
      </c>
      <c r="U3145" t="str">
        <f>VLOOKUP(E3145,Products!$A:$C,3,0)</f>
        <v>Furniture</v>
      </c>
      <c r="V3145" t="str">
        <f>VLOOKUP(E3145,Products!$A:$D,4,0)</f>
        <v>Chairs</v>
      </c>
      <c r="W3145" t="str">
        <f>VLOOKUP(D3145,Customers!$A:$C,3,0)</f>
        <v>B2C</v>
      </c>
      <c r="X3145" t="str">
        <f>VLOOKUP(C3145,Sales_Representatives!$A:$B,2,0)</f>
        <v>Thomas Hernandez</v>
      </c>
    </row>
    <row r="3146" spans="1:24" x14ac:dyDescent="0.3">
      <c r="A3146" t="s">
        <v>4263</v>
      </c>
      <c r="B3146" t="s">
        <v>4262</v>
      </c>
      <c r="C3146" t="s">
        <v>41</v>
      </c>
      <c r="D3146" t="s">
        <v>1852</v>
      </c>
      <c r="E3146" t="s">
        <v>72</v>
      </c>
      <c r="F3146">
        <v>18</v>
      </c>
      <c r="G3146">
        <v>404.76</v>
      </c>
      <c r="H3146">
        <v>0.1</v>
      </c>
      <c r="I3146" s="4">
        <v>6557.11</v>
      </c>
      <c r="J3146" t="s">
        <v>44</v>
      </c>
      <c r="K3146" t="s">
        <v>22</v>
      </c>
      <c r="L3146" s="4">
        <f>VLOOKUP(tblTransactions[[#This Row],[Product_ID]],tblProducts[],5,FALSE)</f>
        <v>226.76</v>
      </c>
      <c r="M3146" s="4">
        <f>tblTransactions[[#This Row],[Total_Amount]]-(tblTransactions[[#This Row],[Cost_Prices]]*tblTransactions[[#This Row],[Quantity]]*(1-tblTransactions[[#This Row],[Discount]]))</f>
        <v>2883.598</v>
      </c>
      <c r="N3146" s="3">
        <f>tblTransactions[[#This Row],[Profit]]/tblTransactions[[#This Row],[Total_Amount]]</f>
        <v>0.43976660449496807</v>
      </c>
      <c r="O3146" t="str">
        <f>TEXT(tblTransactions[[#This Row],[Date]], "MMM-YYYY")</f>
        <v>Oct-2024</v>
      </c>
      <c r="P3146" t="str">
        <f>"Q"&amp;ROUNDUP(MONTH(tblTransactions[[#This Row],[Date]])/3,0)&amp;"-"&amp;YEAR(tblTransactions[[#This Row],[Date]])</f>
        <v>Q4-2024</v>
      </c>
      <c r="Q3146">
        <f>YEAR(tblTransactions[[#This Row],[Date]])</f>
        <v>2024</v>
      </c>
      <c r="R3146" t="str">
        <f>TEXT(tblTransactions[[#This Row],[Date]],"DDDD")</f>
        <v>Tuesday</v>
      </c>
      <c r="S3146">
        <f>MONTH(tblTransactions[[#This Row],[Date]])</f>
        <v>10</v>
      </c>
      <c r="T3146" t="str">
        <f>VLOOKUP(E3146, Products!$A:$B,2,0)</f>
        <v>Tablets Ele-2</v>
      </c>
      <c r="U3146" t="str">
        <f>VLOOKUP(E3146,Products!$A:$C,3,0)</f>
        <v>Electronics</v>
      </c>
      <c r="V3146" t="str">
        <f>VLOOKUP(E3146,Products!$A:$D,4,0)</f>
        <v>Tablets</v>
      </c>
      <c r="W3146" t="str">
        <f>VLOOKUP(D3146,Customers!$A:$C,3,0)</f>
        <v>B2B</v>
      </c>
      <c r="X3146" t="str">
        <f>VLOOKUP(C3146,Sales_Representatives!$A:$B,2,0)</f>
        <v>Robert Jones</v>
      </c>
    </row>
    <row r="3147" spans="1:24" x14ac:dyDescent="0.3">
      <c r="A3147" t="s">
        <v>4264</v>
      </c>
      <c r="B3147" t="s">
        <v>4262</v>
      </c>
      <c r="C3147" t="s">
        <v>141</v>
      </c>
      <c r="D3147" t="s">
        <v>2159</v>
      </c>
      <c r="E3147" t="s">
        <v>79</v>
      </c>
      <c r="F3147">
        <v>17</v>
      </c>
      <c r="G3147">
        <v>1452.36</v>
      </c>
      <c r="H3147">
        <v>0.19</v>
      </c>
      <c r="I3147" s="4">
        <v>19999</v>
      </c>
      <c r="J3147" t="s">
        <v>109</v>
      </c>
      <c r="K3147" t="s">
        <v>17</v>
      </c>
      <c r="L3147" s="4">
        <f>VLOOKUP(tblTransactions[[#This Row],[Product_ID]],tblProducts[],5,FALSE)</f>
        <v>778.71</v>
      </c>
      <c r="M3147" s="4">
        <f>tblTransactions[[#This Row],[Total_Amount]]-(tblTransactions[[#This Row],[Cost_Prices]]*tblTransactions[[#This Row],[Quantity]]*(1-tblTransactions[[#This Row],[Discount]]))</f>
        <v>9276.1633000000002</v>
      </c>
      <c r="N3147" s="3">
        <f>tblTransactions[[#This Row],[Profit]]/tblTransactions[[#This Row],[Total_Amount]]</f>
        <v>0.46383135656782842</v>
      </c>
      <c r="O3147" t="str">
        <f>TEXT(tblTransactions[[#This Row],[Date]], "MMM-YYYY")</f>
        <v>Oct-2024</v>
      </c>
      <c r="P3147" t="str">
        <f>"Q"&amp;ROUNDUP(MONTH(tblTransactions[[#This Row],[Date]])/3,0)&amp;"-"&amp;YEAR(tblTransactions[[#This Row],[Date]])</f>
        <v>Q4-2024</v>
      </c>
      <c r="Q3147">
        <f>YEAR(tblTransactions[[#This Row],[Date]])</f>
        <v>2024</v>
      </c>
      <c r="R3147" t="str">
        <f>TEXT(tblTransactions[[#This Row],[Date]],"DDDD")</f>
        <v>Tuesday</v>
      </c>
      <c r="S3147">
        <f>MONTH(tblTransactions[[#This Row],[Date]])</f>
        <v>10</v>
      </c>
      <c r="T3147" t="str">
        <f>VLOOKUP(E3147, Products!$A:$B,2,0)</f>
        <v>Tables Fur-2</v>
      </c>
      <c r="U3147" t="str">
        <f>VLOOKUP(E3147,Products!$A:$C,3,0)</f>
        <v>Furniture</v>
      </c>
      <c r="V3147" t="str">
        <f>VLOOKUP(E3147,Products!$A:$D,4,0)</f>
        <v>Tables</v>
      </c>
      <c r="W3147" t="str">
        <f>VLOOKUP(D3147,Customers!$A:$C,3,0)</f>
        <v>B2B</v>
      </c>
      <c r="X3147" t="str">
        <f>VLOOKUP(C3147,Sales_Representatives!$A:$B,2,0)</f>
        <v>Richard Garcia</v>
      </c>
    </row>
    <row r="3148" spans="1:24" x14ac:dyDescent="0.3">
      <c r="A3148" t="s">
        <v>4265</v>
      </c>
      <c r="B3148" t="s">
        <v>4266</v>
      </c>
      <c r="C3148" t="s">
        <v>131</v>
      </c>
      <c r="D3148" t="s">
        <v>1640</v>
      </c>
      <c r="E3148" t="s">
        <v>25</v>
      </c>
      <c r="F3148">
        <v>1</v>
      </c>
      <c r="G3148">
        <v>1467.49</v>
      </c>
      <c r="H3148">
        <v>7.0000000000000007E-2</v>
      </c>
      <c r="I3148" s="4">
        <v>1364.77</v>
      </c>
      <c r="J3148" t="s">
        <v>44</v>
      </c>
      <c r="K3148" t="s">
        <v>35</v>
      </c>
      <c r="L3148" s="4">
        <f>VLOOKUP(tblTransactions[[#This Row],[Product_ID]],tblProducts[],5,FALSE)</f>
        <v>757.65</v>
      </c>
      <c r="M3148" s="4">
        <f>tblTransactions[[#This Row],[Total_Amount]]-(tblTransactions[[#This Row],[Cost_Prices]]*tblTransactions[[#This Row],[Quantity]]*(1-tblTransactions[[#This Row],[Discount]]))</f>
        <v>660.15550000000007</v>
      </c>
      <c r="N3148" s="3">
        <f>tblTransactions[[#This Row],[Profit]]/tblTransactions[[#This Row],[Total_Amount]]</f>
        <v>0.48371190750089765</v>
      </c>
      <c r="O3148" t="str">
        <f>TEXT(tblTransactions[[#This Row],[Date]], "MMM-YYYY")</f>
        <v>Oct-2024</v>
      </c>
      <c r="P3148" t="str">
        <f>"Q"&amp;ROUNDUP(MONTH(tblTransactions[[#This Row],[Date]])/3,0)&amp;"-"&amp;YEAR(tblTransactions[[#This Row],[Date]])</f>
        <v>Q4-2024</v>
      </c>
      <c r="Q3148">
        <f>YEAR(tblTransactions[[#This Row],[Date]])</f>
        <v>2024</v>
      </c>
      <c r="R3148" t="str">
        <f>TEXT(tblTransactions[[#This Row],[Date]],"DDDD")</f>
        <v>Wednesday</v>
      </c>
      <c r="S3148">
        <f>MONTH(tblTransactions[[#This Row],[Date]])</f>
        <v>10</v>
      </c>
      <c r="T3148" t="str">
        <f>VLOOKUP(E3148, Products!$A:$B,2,0)</f>
        <v>Tables Fur-3</v>
      </c>
      <c r="U3148" t="str">
        <f>VLOOKUP(E3148,Products!$A:$C,3,0)</f>
        <v>Furniture</v>
      </c>
      <c r="V3148" t="str">
        <f>VLOOKUP(E3148,Products!$A:$D,4,0)</f>
        <v>Tables</v>
      </c>
      <c r="W3148" t="str">
        <f>VLOOKUP(D3148,Customers!$A:$C,3,0)</f>
        <v>B2C</v>
      </c>
      <c r="X3148" t="str">
        <f>VLOOKUP(C3148,Sales_Representatives!$A:$B,2,0)</f>
        <v>Michael Davis</v>
      </c>
    </row>
    <row r="3149" spans="1:24" x14ac:dyDescent="0.3">
      <c r="A3149" t="s">
        <v>4267</v>
      </c>
      <c r="B3149" t="s">
        <v>4266</v>
      </c>
      <c r="C3149" t="s">
        <v>141</v>
      </c>
      <c r="D3149" t="s">
        <v>2620</v>
      </c>
      <c r="E3149" t="s">
        <v>394</v>
      </c>
      <c r="F3149">
        <v>41</v>
      </c>
      <c r="G3149">
        <v>314.69</v>
      </c>
      <c r="H3149">
        <v>0.15</v>
      </c>
      <c r="I3149" s="4">
        <v>10966.95</v>
      </c>
      <c r="J3149" t="s">
        <v>109</v>
      </c>
      <c r="K3149" t="s">
        <v>39</v>
      </c>
      <c r="L3149" s="4">
        <f>VLOOKUP(tblTransactions[[#This Row],[Product_ID]],tblProducts[],5,FALSE)</f>
        <v>185.43</v>
      </c>
      <c r="M3149" s="4">
        <f>tblTransactions[[#This Row],[Total_Amount]]-(tblTransactions[[#This Row],[Cost_Prices]]*tblTransactions[[#This Row],[Quantity]]*(1-tblTransactions[[#This Row],[Discount]]))</f>
        <v>4504.714500000001</v>
      </c>
      <c r="N3149" s="3">
        <f>tblTransactions[[#This Row],[Profit]]/tblTransactions[[#This Row],[Total_Amount]]</f>
        <v>0.41075362794578263</v>
      </c>
      <c r="O3149" t="str">
        <f>TEXT(tblTransactions[[#This Row],[Date]], "MMM-YYYY")</f>
        <v>Oct-2024</v>
      </c>
      <c r="P3149" t="str">
        <f>"Q"&amp;ROUNDUP(MONTH(tblTransactions[[#This Row],[Date]])/3,0)&amp;"-"&amp;YEAR(tblTransactions[[#This Row],[Date]])</f>
        <v>Q4-2024</v>
      </c>
      <c r="Q3149">
        <f>YEAR(tblTransactions[[#This Row],[Date]])</f>
        <v>2024</v>
      </c>
      <c r="R3149" t="str">
        <f>TEXT(tblTransactions[[#This Row],[Date]],"DDDD")</f>
        <v>Wednesday</v>
      </c>
      <c r="S3149">
        <f>MONTH(tblTransactions[[#This Row],[Date]])</f>
        <v>10</v>
      </c>
      <c r="T3149" t="str">
        <f>VLOOKUP(E3149, Products!$A:$B,2,0)</f>
        <v>Desks Fur-1</v>
      </c>
      <c r="U3149" t="str">
        <f>VLOOKUP(E3149,Products!$A:$C,3,0)</f>
        <v>Furniture</v>
      </c>
      <c r="V3149" t="str">
        <f>VLOOKUP(E3149,Products!$A:$D,4,0)</f>
        <v>Desks</v>
      </c>
      <c r="W3149" t="str">
        <f>VLOOKUP(D3149,Customers!$A:$C,3,0)</f>
        <v>Enterprise</v>
      </c>
      <c r="X3149" t="str">
        <f>VLOOKUP(C3149,Sales_Representatives!$A:$B,2,0)</f>
        <v>Richard Garcia</v>
      </c>
    </row>
    <row r="3150" spans="1:24" x14ac:dyDescent="0.3">
      <c r="A3150" t="s">
        <v>4268</v>
      </c>
      <c r="B3150" t="s">
        <v>4266</v>
      </c>
      <c r="C3150" t="s">
        <v>27</v>
      </c>
      <c r="D3150" t="s">
        <v>2417</v>
      </c>
      <c r="E3150" t="s">
        <v>129</v>
      </c>
      <c r="F3150">
        <v>3</v>
      </c>
      <c r="G3150">
        <v>1283.71</v>
      </c>
      <c r="H3150">
        <v>0.09</v>
      </c>
      <c r="I3150" s="4">
        <v>3504.53</v>
      </c>
      <c r="J3150" t="s">
        <v>16</v>
      </c>
      <c r="K3150" t="s">
        <v>39</v>
      </c>
      <c r="L3150" s="4">
        <f>VLOOKUP(tblTransactions[[#This Row],[Product_ID]],tblProducts[],5,FALSE)</f>
        <v>970.14</v>
      </c>
      <c r="M3150" s="4">
        <f>tblTransactions[[#This Row],[Total_Amount]]-(tblTransactions[[#This Row],[Cost_Prices]]*tblTransactions[[#This Row],[Quantity]]*(1-tblTransactions[[#This Row],[Discount]]))</f>
        <v>856.04779999999982</v>
      </c>
      <c r="N3150" s="3">
        <f>tblTransactions[[#This Row],[Profit]]/tblTransactions[[#This Row],[Total_Amount]]</f>
        <v>0.24426893192525098</v>
      </c>
      <c r="O3150" t="str">
        <f>TEXT(tblTransactions[[#This Row],[Date]], "MMM-YYYY")</f>
        <v>Oct-2024</v>
      </c>
      <c r="P3150" t="str">
        <f>"Q"&amp;ROUNDUP(MONTH(tblTransactions[[#This Row],[Date]])/3,0)&amp;"-"&amp;YEAR(tblTransactions[[#This Row],[Date]])</f>
        <v>Q4-2024</v>
      </c>
      <c r="Q3150">
        <f>YEAR(tblTransactions[[#This Row],[Date]])</f>
        <v>2024</v>
      </c>
      <c r="R3150" t="str">
        <f>TEXT(tblTransactions[[#This Row],[Date]],"DDDD")</f>
        <v>Wednesday</v>
      </c>
      <c r="S3150">
        <f>MONTH(tblTransactions[[#This Row],[Date]])</f>
        <v>10</v>
      </c>
      <c r="T3150" t="str">
        <f>VLOOKUP(E3150, Products!$A:$B,2,0)</f>
        <v>Cameras Ele-3</v>
      </c>
      <c r="U3150" t="str">
        <f>VLOOKUP(E3150,Products!$A:$C,3,0)</f>
        <v>Electronics</v>
      </c>
      <c r="V3150" t="str">
        <f>VLOOKUP(E3150,Products!$A:$D,4,0)</f>
        <v>Cameras</v>
      </c>
      <c r="W3150" t="str">
        <f>VLOOKUP(D3150,Customers!$A:$C,3,0)</f>
        <v>B2B</v>
      </c>
      <c r="X3150" t="str">
        <f>VLOOKUP(C3150,Sales_Representatives!$A:$B,2,0)</f>
        <v>Thomas Lopez</v>
      </c>
    </row>
    <row r="3151" spans="1:24" x14ac:dyDescent="0.3">
      <c r="A3151" t="s">
        <v>4269</v>
      </c>
      <c r="B3151" t="s">
        <v>4266</v>
      </c>
      <c r="C3151" t="s">
        <v>131</v>
      </c>
      <c r="D3151" t="s">
        <v>1507</v>
      </c>
      <c r="E3151" t="s">
        <v>176</v>
      </c>
      <c r="F3151">
        <v>25</v>
      </c>
      <c r="G3151">
        <v>1462.68</v>
      </c>
      <c r="H3151">
        <v>0.16</v>
      </c>
      <c r="I3151" s="4">
        <v>30716.28</v>
      </c>
      <c r="J3151" t="s">
        <v>44</v>
      </c>
      <c r="K3151" t="s">
        <v>22</v>
      </c>
      <c r="L3151" s="4">
        <f>VLOOKUP(tblTransactions[[#This Row],[Product_ID]],tblProducts[],5,FALSE)</f>
        <v>775.94</v>
      </c>
      <c r="M3151" s="4">
        <f>tblTransactions[[#This Row],[Total_Amount]]-(tblTransactions[[#This Row],[Cost_Prices]]*tblTransactions[[#This Row],[Quantity]]*(1-tblTransactions[[#This Row],[Discount]]))</f>
        <v>14421.539999999999</v>
      </c>
      <c r="N3151" s="3">
        <f>tblTransactions[[#This Row],[Profit]]/tblTransactions[[#This Row],[Total_Amount]]</f>
        <v>0.46950802636256733</v>
      </c>
      <c r="O3151" t="str">
        <f>TEXT(tblTransactions[[#This Row],[Date]], "MMM-YYYY")</f>
        <v>Oct-2024</v>
      </c>
      <c r="P3151" t="str">
        <f>"Q"&amp;ROUNDUP(MONTH(tblTransactions[[#This Row],[Date]])/3,0)&amp;"-"&amp;YEAR(tblTransactions[[#This Row],[Date]])</f>
        <v>Q4-2024</v>
      </c>
      <c r="Q3151">
        <f>YEAR(tblTransactions[[#This Row],[Date]])</f>
        <v>2024</v>
      </c>
      <c r="R3151" t="str">
        <f>TEXT(tblTransactions[[#This Row],[Date]],"DDDD")</f>
        <v>Wednesday</v>
      </c>
      <c r="S3151">
        <f>MONTH(tblTransactions[[#This Row],[Date]])</f>
        <v>10</v>
      </c>
      <c r="T3151" t="str">
        <f>VLOOKUP(E3151, Products!$A:$B,2,0)</f>
        <v>Chairs Fur-2</v>
      </c>
      <c r="U3151" t="str">
        <f>VLOOKUP(E3151,Products!$A:$C,3,0)</f>
        <v>Furniture</v>
      </c>
      <c r="V3151" t="str">
        <f>VLOOKUP(E3151,Products!$A:$D,4,0)</f>
        <v>Chairs</v>
      </c>
      <c r="W3151" t="str">
        <f>VLOOKUP(D3151,Customers!$A:$C,3,0)</f>
        <v>Enterprise</v>
      </c>
      <c r="X3151" t="str">
        <f>VLOOKUP(C3151,Sales_Representatives!$A:$B,2,0)</f>
        <v>Michael Davis</v>
      </c>
    </row>
    <row r="3152" spans="1:24" x14ac:dyDescent="0.3">
      <c r="A3152" t="s">
        <v>4270</v>
      </c>
      <c r="B3152" t="s">
        <v>4266</v>
      </c>
      <c r="C3152" t="s">
        <v>82</v>
      </c>
      <c r="D3152" t="s">
        <v>203</v>
      </c>
      <c r="E3152" t="s">
        <v>450</v>
      </c>
      <c r="F3152">
        <v>8</v>
      </c>
      <c r="G3152">
        <v>2083.92</v>
      </c>
      <c r="H3152">
        <v>0.06</v>
      </c>
      <c r="I3152" s="4">
        <v>15671.08</v>
      </c>
      <c r="J3152" t="s">
        <v>34</v>
      </c>
      <c r="K3152" t="s">
        <v>48</v>
      </c>
      <c r="L3152" s="4">
        <f>VLOOKUP(tblTransactions[[#This Row],[Product_ID]],tblProducts[],5,FALSE)</f>
        <v>1425.78</v>
      </c>
      <c r="M3152" s="4">
        <f>tblTransactions[[#This Row],[Total_Amount]]-(tblTransactions[[#This Row],[Cost_Prices]]*tblTransactions[[#This Row],[Quantity]]*(1-tblTransactions[[#This Row],[Discount]]))</f>
        <v>4949.2144000000008</v>
      </c>
      <c r="N3152" s="3">
        <f>tblTransactions[[#This Row],[Profit]]/tblTransactions[[#This Row],[Total_Amount]]</f>
        <v>0.31581833543061494</v>
      </c>
      <c r="O3152" t="str">
        <f>TEXT(tblTransactions[[#This Row],[Date]], "MMM-YYYY")</f>
        <v>Oct-2024</v>
      </c>
      <c r="P3152" t="str">
        <f>"Q"&amp;ROUNDUP(MONTH(tblTransactions[[#This Row],[Date]])/3,0)&amp;"-"&amp;YEAR(tblTransactions[[#This Row],[Date]])</f>
        <v>Q4-2024</v>
      </c>
      <c r="Q3152">
        <f>YEAR(tblTransactions[[#This Row],[Date]])</f>
        <v>2024</v>
      </c>
      <c r="R3152" t="str">
        <f>TEXT(tblTransactions[[#This Row],[Date]],"DDDD")</f>
        <v>Wednesday</v>
      </c>
      <c r="S3152">
        <f>MONTH(tblTransactions[[#This Row],[Date]])</f>
        <v>10</v>
      </c>
      <c r="T3152" t="str">
        <f>VLOOKUP(E3152, Products!$A:$B,2,0)</f>
        <v>Monitors Tec-4</v>
      </c>
      <c r="U3152" t="str">
        <f>VLOOKUP(E3152,Products!$A:$C,3,0)</f>
        <v>Technology</v>
      </c>
      <c r="V3152" t="str">
        <f>VLOOKUP(E3152,Products!$A:$D,4,0)</f>
        <v>Monitors</v>
      </c>
      <c r="W3152" t="str">
        <f>VLOOKUP(D3152,Customers!$A:$C,3,0)</f>
        <v>Enterprise</v>
      </c>
      <c r="X3152" t="str">
        <f>VLOOKUP(C3152,Sales_Representatives!$A:$B,2,0)</f>
        <v>John Brown</v>
      </c>
    </row>
    <row r="3153" spans="1:24" x14ac:dyDescent="0.3">
      <c r="A3153" t="s">
        <v>4271</v>
      </c>
      <c r="B3153" t="s">
        <v>4266</v>
      </c>
      <c r="C3153" t="s">
        <v>141</v>
      </c>
      <c r="D3153" t="s">
        <v>2003</v>
      </c>
      <c r="E3153" t="s">
        <v>198</v>
      </c>
      <c r="F3153">
        <v>3</v>
      </c>
      <c r="G3153">
        <v>1802.96</v>
      </c>
      <c r="H3153">
        <v>0.09</v>
      </c>
      <c r="I3153" s="4">
        <v>4922.08</v>
      </c>
      <c r="J3153" t="s">
        <v>109</v>
      </c>
      <c r="K3153" t="s">
        <v>17</v>
      </c>
      <c r="L3153" s="4">
        <f>VLOOKUP(tblTransactions[[#This Row],[Product_ID]],tblProducts[],5,FALSE)</f>
        <v>1282.18</v>
      </c>
      <c r="M3153" s="4">
        <f>tblTransactions[[#This Row],[Total_Amount]]-(tblTransactions[[#This Row],[Cost_Prices]]*tblTransactions[[#This Row],[Quantity]]*(1-tblTransactions[[#This Row],[Discount]]))</f>
        <v>1421.7285999999999</v>
      </c>
      <c r="N3153" s="3">
        <f>tblTransactions[[#This Row],[Profit]]/tblTransactions[[#This Row],[Total_Amount]]</f>
        <v>0.28884711341546659</v>
      </c>
      <c r="O3153" t="str">
        <f>TEXT(tblTransactions[[#This Row],[Date]], "MMM-YYYY")</f>
        <v>Oct-2024</v>
      </c>
      <c r="P3153" t="str">
        <f>"Q"&amp;ROUNDUP(MONTH(tblTransactions[[#This Row],[Date]])/3,0)&amp;"-"&amp;YEAR(tblTransactions[[#This Row],[Date]])</f>
        <v>Q4-2024</v>
      </c>
      <c r="Q3153">
        <f>YEAR(tblTransactions[[#This Row],[Date]])</f>
        <v>2024</v>
      </c>
      <c r="R3153" t="str">
        <f>TEXT(tblTransactions[[#This Row],[Date]],"DDDD")</f>
        <v>Wednesday</v>
      </c>
      <c r="S3153">
        <f>MONTH(tblTransactions[[#This Row],[Date]])</f>
        <v>10</v>
      </c>
      <c r="T3153" t="str">
        <f>VLOOKUP(E3153, Products!$A:$B,2,0)</f>
        <v>Tablets Ele-3</v>
      </c>
      <c r="U3153" t="str">
        <f>VLOOKUP(E3153,Products!$A:$C,3,0)</f>
        <v>Electronics</v>
      </c>
      <c r="V3153" t="str">
        <f>VLOOKUP(E3153,Products!$A:$D,4,0)</f>
        <v>Tablets</v>
      </c>
      <c r="W3153" t="str">
        <f>VLOOKUP(D3153,Customers!$A:$C,3,0)</f>
        <v>Small Business</v>
      </c>
      <c r="X3153" t="str">
        <f>VLOOKUP(C3153,Sales_Representatives!$A:$B,2,0)</f>
        <v>Richard Garcia</v>
      </c>
    </row>
    <row r="3154" spans="1:24" x14ac:dyDescent="0.3">
      <c r="A3154" t="s">
        <v>4272</v>
      </c>
      <c r="B3154" t="s">
        <v>4273</v>
      </c>
      <c r="C3154" t="s">
        <v>127</v>
      </c>
      <c r="D3154" t="s">
        <v>2036</v>
      </c>
      <c r="E3154" t="s">
        <v>152</v>
      </c>
      <c r="F3154">
        <v>7</v>
      </c>
      <c r="G3154">
        <v>859.93</v>
      </c>
      <c r="H3154">
        <v>0.12</v>
      </c>
      <c r="I3154" s="4">
        <v>5297.17</v>
      </c>
      <c r="J3154" t="s">
        <v>109</v>
      </c>
      <c r="K3154" t="s">
        <v>17</v>
      </c>
      <c r="L3154" s="4">
        <f>VLOOKUP(tblTransactions[[#This Row],[Product_ID]],tblProducts[],5,FALSE)</f>
        <v>579.79</v>
      </c>
      <c r="M3154" s="4">
        <f>tblTransactions[[#This Row],[Total_Amount]]-(tblTransactions[[#This Row],[Cost_Prices]]*tblTransactions[[#This Row],[Quantity]]*(1-tblTransactions[[#This Row],[Discount]]))</f>
        <v>1725.6636000000003</v>
      </c>
      <c r="N3154" s="3">
        <f>tblTransactions[[#This Row],[Profit]]/tblTransactions[[#This Row],[Total_Amount]]</f>
        <v>0.32577085500370956</v>
      </c>
      <c r="O3154" t="str">
        <f>TEXT(tblTransactions[[#This Row],[Date]], "MMM-YYYY")</f>
        <v>Oct-2024</v>
      </c>
      <c r="P3154" t="str">
        <f>"Q"&amp;ROUNDUP(MONTH(tblTransactions[[#This Row],[Date]])/3,0)&amp;"-"&amp;YEAR(tblTransactions[[#This Row],[Date]])</f>
        <v>Q4-2024</v>
      </c>
      <c r="Q3154">
        <f>YEAR(tblTransactions[[#This Row],[Date]])</f>
        <v>2024</v>
      </c>
      <c r="R3154" t="str">
        <f>TEXT(tblTransactions[[#This Row],[Date]],"DDDD")</f>
        <v>Thursday</v>
      </c>
      <c r="S3154">
        <f>MONTH(tblTransactions[[#This Row],[Date]])</f>
        <v>10</v>
      </c>
      <c r="T3154" t="str">
        <f>VLOOKUP(E3154, Products!$A:$B,2,0)</f>
        <v>Phones Ele-4</v>
      </c>
      <c r="U3154" t="str">
        <f>VLOOKUP(E3154,Products!$A:$C,3,0)</f>
        <v>Electronics</v>
      </c>
      <c r="V3154" t="str">
        <f>VLOOKUP(E3154,Products!$A:$D,4,0)</f>
        <v>Phones</v>
      </c>
      <c r="W3154" t="str">
        <f>VLOOKUP(D3154,Customers!$A:$C,3,0)</f>
        <v>B2C</v>
      </c>
      <c r="X3154" t="str">
        <f>VLOOKUP(C3154,Sales_Representatives!$A:$B,2,0)</f>
        <v>Emily Hernandez</v>
      </c>
    </row>
    <row r="3155" spans="1:24" x14ac:dyDescent="0.3">
      <c r="A3155" t="s">
        <v>4274</v>
      </c>
      <c r="B3155" t="s">
        <v>4273</v>
      </c>
      <c r="C3155" t="s">
        <v>59</v>
      </c>
      <c r="D3155" t="s">
        <v>1965</v>
      </c>
      <c r="E3155" t="s">
        <v>102</v>
      </c>
      <c r="F3155">
        <v>18</v>
      </c>
      <c r="G3155">
        <v>1097.75</v>
      </c>
      <c r="H3155">
        <v>0.11</v>
      </c>
      <c r="I3155" s="4">
        <v>17585.96</v>
      </c>
      <c r="J3155" t="s">
        <v>21</v>
      </c>
      <c r="K3155" t="s">
        <v>17</v>
      </c>
      <c r="L3155" s="4">
        <f>VLOOKUP(tblTransactions[[#This Row],[Product_ID]],tblProducts[],5,FALSE)</f>
        <v>680.12</v>
      </c>
      <c r="M3155" s="4">
        <f>tblTransactions[[#This Row],[Total_Amount]]-(tblTransactions[[#This Row],[Cost_Prices]]*tblTransactions[[#This Row],[Quantity]]*(1-tblTransactions[[#This Row],[Discount]]))</f>
        <v>6690.4375999999993</v>
      </c>
      <c r="N3155" s="3">
        <f>tblTransactions[[#This Row],[Profit]]/tblTransactions[[#This Row],[Total_Amount]]</f>
        <v>0.3804419889502762</v>
      </c>
      <c r="O3155" t="str">
        <f>TEXT(tblTransactions[[#This Row],[Date]], "MMM-YYYY")</f>
        <v>Oct-2024</v>
      </c>
      <c r="P3155" t="str">
        <f>"Q"&amp;ROUNDUP(MONTH(tblTransactions[[#This Row],[Date]])/3,0)&amp;"-"&amp;YEAR(tblTransactions[[#This Row],[Date]])</f>
        <v>Q4-2024</v>
      </c>
      <c r="Q3155">
        <f>YEAR(tblTransactions[[#This Row],[Date]])</f>
        <v>2024</v>
      </c>
      <c r="R3155" t="str">
        <f>TEXT(tblTransactions[[#This Row],[Date]],"DDDD")</f>
        <v>Thursday</v>
      </c>
      <c r="S3155">
        <f>MONTH(tblTransactions[[#This Row],[Date]])</f>
        <v>10</v>
      </c>
      <c r="T3155" t="str">
        <f>VLOOKUP(E3155, Products!$A:$B,2,0)</f>
        <v>Storage Fur-4</v>
      </c>
      <c r="U3155" t="str">
        <f>VLOOKUP(E3155,Products!$A:$C,3,0)</f>
        <v>Furniture</v>
      </c>
      <c r="V3155" t="str">
        <f>VLOOKUP(E3155,Products!$A:$D,4,0)</f>
        <v>Storage</v>
      </c>
      <c r="W3155" t="str">
        <f>VLOOKUP(D3155,Customers!$A:$C,3,0)</f>
        <v>B2B</v>
      </c>
      <c r="X3155" t="str">
        <f>VLOOKUP(C3155,Sales_Representatives!$A:$B,2,0)</f>
        <v>Sarah Brown</v>
      </c>
    </row>
    <row r="3156" spans="1:24" x14ac:dyDescent="0.3">
      <c r="A3156" t="s">
        <v>4275</v>
      </c>
      <c r="B3156" t="s">
        <v>4273</v>
      </c>
      <c r="C3156" t="s">
        <v>107</v>
      </c>
      <c r="D3156" t="s">
        <v>1485</v>
      </c>
      <c r="E3156" t="s">
        <v>264</v>
      </c>
      <c r="F3156">
        <v>4</v>
      </c>
      <c r="G3156">
        <v>607.29999999999995</v>
      </c>
      <c r="H3156">
        <v>0</v>
      </c>
      <c r="I3156" s="4">
        <v>2429.1999999999998</v>
      </c>
      <c r="J3156" t="s">
        <v>109</v>
      </c>
      <c r="K3156" t="s">
        <v>22</v>
      </c>
      <c r="L3156" s="4">
        <f>VLOOKUP(tblTransactions[[#This Row],[Product_ID]],tblProducts[],5,FALSE)</f>
        <v>436.37</v>
      </c>
      <c r="M3156" s="4">
        <f>tblTransactions[[#This Row],[Total_Amount]]-(tblTransactions[[#This Row],[Cost_Prices]]*tblTransactions[[#This Row],[Quantity]]*(1-tblTransactions[[#This Row],[Discount]]))</f>
        <v>683.7199999999998</v>
      </c>
      <c r="N3156" s="3">
        <f>tblTransactions[[#This Row],[Profit]]/tblTransactions[[#This Row],[Total_Amount]]</f>
        <v>0.2814589165157253</v>
      </c>
      <c r="O3156" t="str">
        <f>TEXT(tblTransactions[[#This Row],[Date]], "MMM-YYYY")</f>
        <v>Oct-2024</v>
      </c>
      <c r="P3156" t="str">
        <f>"Q"&amp;ROUNDUP(MONTH(tblTransactions[[#This Row],[Date]])/3,0)&amp;"-"&amp;YEAR(tblTransactions[[#This Row],[Date]])</f>
        <v>Q4-2024</v>
      </c>
      <c r="Q3156">
        <f>YEAR(tblTransactions[[#This Row],[Date]])</f>
        <v>2024</v>
      </c>
      <c r="R3156" t="str">
        <f>TEXT(tblTransactions[[#This Row],[Date]],"DDDD")</f>
        <v>Thursday</v>
      </c>
      <c r="S3156">
        <f>MONTH(tblTransactions[[#This Row],[Date]])</f>
        <v>10</v>
      </c>
      <c r="T3156" t="str">
        <f>VLOOKUP(E3156, Products!$A:$B,2,0)</f>
        <v>Tablets Ele-4</v>
      </c>
      <c r="U3156" t="str">
        <f>VLOOKUP(E3156,Products!$A:$C,3,0)</f>
        <v>Electronics</v>
      </c>
      <c r="V3156" t="str">
        <f>VLOOKUP(E3156,Products!$A:$D,4,0)</f>
        <v>Tablets</v>
      </c>
      <c r="W3156" t="str">
        <f>VLOOKUP(D3156,Customers!$A:$C,3,0)</f>
        <v>B2B</v>
      </c>
      <c r="X3156" t="str">
        <f>VLOOKUP(C3156,Sales_Representatives!$A:$B,2,0)</f>
        <v>Jennifer Brown</v>
      </c>
    </row>
    <row r="3157" spans="1:24" x14ac:dyDescent="0.3">
      <c r="A3157" t="s">
        <v>4276</v>
      </c>
      <c r="B3157" t="s">
        <v>4273</v>
      </c>
      <c r="C3157" t="s">
        <v>82</v>
      </c>
      <c r="D3157" t="s">
        <v>2594</v>
      </c>
      <c r="E3157" t="s">
        <v>324</v>
      </c>
      <c r="F3157">
        <v>8</v>
      </c>
      <c r="G3157">
        <v>245.76</v>
      </c>
      <c r="H3157">
        <v>0.06</v>
      </c>
      <c r="I3157" s="4">
        <v>1848.12</v>
      </c>
      <c r="J3157" t="s">
        <v>34</v>
      </c>
      <c r="K3157" t="s">
        <v>39</v>
      </c>
      <c r="L3157" s="4">
        <f>VLOOKUP(tblTransactions[[#This Row],[Product_ID]],tblProducts[],5,FALSE)</f>
        <v>161.94</v>
      </c>
      <c r="M3157" s="4">
        <f>tblTransactions[[#This Row],[Total_Amount]]-(tblTransactions[[#This Row],[Cost_Prices]]*tblTransactions[[#This Row],[Quantity]]*(1-tblTransactions[[#This Row],[Discount]]))</f>
        <v>630.33120000000008</v>
      </c>
      <c r="N3157" s="3">
        <f>tblTransactions[[#This Row],[Profit]]/tblTransactions[[#This Row],[Total_Amount]]</f>
        <v>0.34106616453477051</v>
      </c>
      <c r="O3157" t="str">
        <f>TEXT(tblTransactions[[#This Row],[Date]], "MMM-YYYY")</f>
        <v>Oct-2024</v>
      </c>
      <c r="P3157" t="str">
        <f>"Q"&amp;ROUNDUP(MONTH(tblTransactions[[#This Row],[Date]])/3,0)&amp;"-"&amp;YEAR(tblTransactions[[#This Row],[Date]])</f>
        <v>Q4-2024</v>
      </c>
      <c r="Q3157">
        <f>YEAR(tblTransactions[[#This Row],[Date]])</f>
        <v>2024</v>
      </c>
      <c r="R3157" t="str">
        <f>TEXT(tblTransactions[[#This Row],[Date]],"DDDD")</f>
        <v>Thursday</v>
      </c>
      <c r="S3157">
        <f>MONTH(tblTransactions[[#This Row],[Date]])</f>
        <v>10</v>
      </c>
      <c r="T3157" t="str">
        <f>VLOOKUP(E3157, Products!$A:$B,2,0)</f>
        <v>Storage Fur-1</v>
      </c>
      <c r="U3157" t="str">
        <f>VLOOKUP(E3157,Products!$A:$C,3,0)</f>
        <v>Furniture</v>
      </c>
      <c r="V3157" t="str">
        <f>VLOOKUP(E3157,Products!$A:$D,4,0)</f>
        <v>Storage</v>
      </c>
      <c r="W3157" t="str">
        <f>VLOOKUP(D3157,Customers!$A:$C,3,0)</f>
        <v>B2B</v>
      </c>
      <c r="X3157" t="str">
        <f>VLOOKUP(C3157,Sales_Representatives!$A:$B,2,0)</f>
        <v>John Brown</v>
      </c>
    </row>
    <row r="3158" spans="1:24" x14ac:dyDescent="0.3">
      <c r="A3158" t="s">
        <v>4277</v>
      </c>
      <c r="B3158" t="s">
        <v>4273</v>
      </c>
      <c r="C3158" t="s">
        <v>27</v>
      </c>
      <c r="D3158" t="s">
        <v>2854</v>
      </c>
      <c r="E3158" t="s">
        <v>145</v>
      </c>
      <c r="F3158">
        <v>1</v>
      </c>
      <c r="G3158">
        <v>93.43</v>
      </c>
      <c r="H3158">
        <v>0</v>
      </c>
      <c r="I3158" s="4">
        <v>93.43</v>
      </c>
      <c r="J3158" t="s">
        <v>16</v>
      </c>
      <c r="K3158" t="s">
        <v>35</v>
      </c>
      <c r="L3158" s="4">
        <f>VLOOKUP(tblTransactions[[#This Row],[Product_ID]],tblProducts[],5,FALSE)</f>
        <v>45.74</v>
      </c>
      <c r="M3158" s="4">
        <f>tblTransactions[[#This Row],[Total_Amount]]-(tblTransactions[[#This Row],[Cost_Prices]]*tblTransactions[[#This Row],[Quantity]]*(1-tblTransactions[[#This Row],[Discount]]))</f>
        <v>47.690000000000005</v>
      </c>
      <c r="N3158" s="3">
        <f>tblTransactions[[#This Row],[Profit]]/tblTransactions[[#This Row],[Total_Amount]]</f>
        <v>0.51043562025045486</v>
      </c>
      <c r="O3158" t="str">
        <f>TEXT(tblTransactions[[#This Row],[Date]], "MMM-YYYY")</f>
        <v>Oct-2024</v>
      </c>
      <c r="P3158" t="str">
        <f>"Q"&amp;ROUNDUP(MONTH(tblTransactions[[#This Row],[Date]])/3,0)&amp;"-"&amp;YEAR(tblTransactions[[#This Row],[Date]])</f>
        <v>Q4-2024</v>
      </c>
      <c r="Q3158">
        <f>YEAR(tblTransactions[[#This Row],[Date]])</f>
        <v>2024</v>
      </c>
      <c r="R3158" t="str">
        <f>TEXT(tblTransactions[[#This Row],[Date]],"DDDD")</f>
        <v>Thursday</v>
      </c>
      <c r="S3158">
        <f>MONTH(tblTransactions[[#This Row],[Date]])</f>
        <v>10</v>
      </c>
      <c r="T3158" t="str">
        <f>VLOOKUP(E3158, Products!$A:$B,2,0)</f>
        <v>Paper Off-1</v>
      </c>
      <c r="U3158" t="str">
        <f>VLOOKUP(E3158,Products!$A:$C,3,0)</f>
        <v>Office Supplies</v>
      </c>
      <c r="V3158" t="str">
        <f>VLOOKUP(E3158,Products!$A:$D,4,0)</f>
        <v>Paper</v>
      </c>
      <c r="W3158" t="str">
        <f>VLOOKUP(D3158,Customers!$A:$C,3,0)</f>
        <v>B2C</v>
      </c>
      <c r="X3158" t="str">
        <f>VLOOKUP(C3158,Sales_Representatives!$A:$B,2,0)</f>
        <v>Thomas Lopez</v>
      </c>
    </row>
    <row r="3159" spans="1:24" x14ac:dyDescent="0.3">
      <c r="A3159" t="s">
        <v>4278</v>
      </c>
      <c r="B3159" t="s">
        <v>4273</v>
      </c>
      <c r="C3159" t="s">
        <v>41</v>
      </c>
      <c r="D3159" t="s">
        <v>1822</v>
      </c>
      <c r="E3159" t="s">
        <v>20</v>
      </c>
      <c r="F3159">
        <v>4</v>
      </c>
      <c r="G3159">
        <v>1219.49</v>
      </c>
      <c r="H3159">
        <v>7.0000000000000007E-2</v>
      </c>
      <c r="I3159" s="4">
        <v>4536.5</v>
      </c>
      <c r="J3159" t="s">
        <v>44</v>
      </c>
      <c r="K3159" t="s">
        <v>35</v>
      </c>
      <c r="L3159" s="4">
        <f>VLOOKUP(tblTransactions[[#This Row],[Product_ID]],tblProducts[],5,FALSE)</f>
        <v>686.9</v>
      </c>
      <c r="M3159" s="4">
        <f>tblTransactions[[#This Row],[Total_Amount]]-(tblTransactions[[#This Row],[Cost_Prices]]*tblTransactions[[#This Row],[Quantity]]*(1-tblTransactions[[#This Row],[Discount]]))</f>
        <v>1981.2320000000004</v>
      </c>
      <c r="N3159" s="3">
        <f>tblTransactions[[#This Row],[Profit]]/tblTransactions[[#This Row],[Total_Amount]]</f>
        <v>0.4367314008596937</v>
      </c>
      <c r="O3159" t="str">
        <f>TEXT(tblTransactions[[#This Row],[Date]], "MMM-YYYY")</f>
        <v>Oct-2024</v>
      </c>
      <c r="P3159" t="str">
        <f>"Q"&amp;ROUNDUP(MONTH(tblTransactions[[#This Row],[Date]])/3,0)&amp;"-"&amp;YEAR(tblTransactions[[#This Row],[Date]])</f>
        <v>Q4-2024</v>
      </c>
      <c r="Q3159">
        <f>YEAR(tblTransactions[[#This Row],[Date]])</f>
        <v>2024</v>
      </c>
      <c r="R3159" t="str">
        <f>TEXT(tblTransactions[[#This Row],[Date]],"DDDD")</f>
        <v>Thursday</v>
      </c>
      <c r="S3159">
        <f>MONTH(tblTransactions[[#This Row],[Date]])</f>
        <v>10</v>
      </c>
      <c r="T3159" t="str">
        <f>VLOOKUP(E3159, Products!$A:$B,2,0)</f>
        <v>Laptops Ele-1</v>
      </c>
      <c r="U3159" t="str">
        <f>VLOOKUP(E3159,Products!$A:$C,3,0)</f>
        <v>Electronics</v>
      </c>
      <c r="V3159" t="str">
        <f>VLOOKUP(E3159,Products!$A:$D,4,0)</f>
        <v>Laptops</v>
      </c>
      <c r="W3159" t="str">
        <f>VLOOKUP(D3159,Customers!$A:$C,3,0)</f>
        <v>B2C</v>
      </c>
      <c r="X3159" t="str">
        <f>VLOOKUP(C3159,Sales_Representatives!$A:$B,2,0)</f>
        <v>Robert Jones</v>
      </c>
    </row>
    <row r="3160" spans="1:24" x14ac:dyDescent="0.3">
      <c r="A3160" t="s">
        <v>4279</v>
      </c>
      <c r="B3160" t="s">
        <v>4273</v>
      </c>
      <c r="C3160" t="s">
        <v>59</v>
      </c>
      <c r="D3160" t="s">
        <v>2612</v>
      </c>
      <c r="E3160" t="s">
        <v>290</v>
      </c>
      <c r="F3160">
        <v>8</v>
      </c>
      <c r="G3160">
        <v>729.32</v>
      </c>
      <c r="H3160">
        <v>0.06</v>
      </c>
      <c r="I3160" s="4">
        <v>5484.49</v>
      </c>
      <c r="J3160" t="s">
        <v>21</v>
      </c>
      <c r="K3160" t="s">
        <v>48</v>
      </c>
      <c r="L3160" s="4">
        <f>VLOOKUP(tblTransactions[[#This Row],[Product_ID]],tblProducts[],5,FALSE)</f>
        <v>482.7</v>
      </c>
      <c r="M3160" s="4">
        <f>tblTransactions[[#This Row],[Total_Amount]]-(tblTransactions[[#This Row],[Cost_Prices]]*tblTransactions[[#This Row],[Quantity]]*(1-tblTransactions[[#This Row],[Discount]]))</f>
        <v>1854.5860000000002</v>
      </c>
      <c r="N3160" s="3">
        <f>tblTransactions[[#This Row],[Profit]]/tblTransactions[[#This Row],[Total_Amount]]</f>
        <v>0.33815104047960709</v>
      </c>
      <c r="O3160" t="str">
        <f>TEXT(tblTransactions[[#This Row],[Date]], "MMM-YYYY")</f>
        <v>Oct-2024</v>
      </c>
      <c r="P3160" t="str">
        <f>"Q"&amp;ROUNDUP(MONTH(tblTransactions[[#This Row],[Date]])/3,0)&amp;"-"&amp;YEAR(tblTransactions[[#This Row],[Date]])</f>
        <v>Q4-2024</v>
      </c>
      <c r="Q3160">
        <f>YEAR(tblTransactions[[#This Row],[Date]])</f>
        <v>2024</v>
      </c>
      <c r="R3160" t="str">
        <f>TEXT(tblTransactions[[#This Row],[Date]],"DDDD")</f>
        <v>Thursday</v>
      </c>
      <c r="S3160">
        <f>MONTH(tblTransactions[[#This Row],[Date]])</f>
        <v>10</v>
      </c>
      <c r="T3160" t="str">
        <f>VLOOKUP(E3160, Products!$A:$B,2,0)</f>
        <v>Tables Fur-1</v>
      </c>
      <c r="U3160" t="str">
        <f>VLOOKUP(E3160,Products!$A:$C,3,0)</f>
        <v>Furniture</v>
      </c>
      <c r="V3160" t="str">
        <f>VLOOKUP(E3160,Products!$A:$D,4,0)</f>
        <v>Tables</v>
      </c>
      <c r="W3160" t="str">
        <f>VLOOKUP(D3160,Customers!$A:$C,3,0)</f>
        <v>B2B</v>
      </c>
      <c r="X3160" t="str">
        <f>VLOOKUP(C3160,Sales_Representatives!$A:$B,2,0)</f>
        <v>Sarah Brown</v>
      </c>
    </row>
    <row r="3161" spans="1:24" x14ac:dyDescent="0.3">
      <c r="A3161" t="s">
        <v>4280</v>
      </c>
      <c r="B3161" t="s">
        <v>4273</v>
      </c>
      <c r="C3161" t="s">
        <v>13</v>
      </c>
      <c r="D3161" t="s">
        <v>1439</v>
      </c>
      <c r="E3161" t="s">
        <v>65</v>
      </c>
      <c r="F3161">
        <v>3</v>
      </c>
      <c r="G3161">
        <v>49.44</v>
      </c>
      <c r="H3161">
        <v>0.1</v>
      </c>
      <c r="I3161" s="4">
        <v>133.49</v>
      </c>
      <c r="J3161" t="s">
        <v>16</v>
      </c>
      <c r="K3161" t="s">
        <v>17</v>
      </c>
      <c r="L3161" s="4">
        <f>VLOOKUP(tblTransactions[[#This Row],[Product_ID]],tblProducts[],5,FALSE)</f>
        <v>22.34</v>
      </c>
      <c r="M3161" s="4">
        <f>tblTransactions[[#This Row],[Total_Amount]]-(tblTransactions[[#This Row],[Cost_Prices]]*tblTransactions[[#This Row],[Quantity]]*(1-tblTransactions[[#This Row],[Discount]]))</f>
        <v>73.172000000000011</v>
      </c>
      <c r="N3161" s="3">
        <f>tblTransactions[[#This Row],[Profit]]/tblTransactions[[#This Row],[Total_Amount]]</f>
        <v>0.54814592853397259</v>
      </c>
      <c r="O3161" t="str">
        <f>TEXT(tblTransactions[[#This Row],[Date]], "MMM-YYYY")</f>
        <v>Oct-2024</v>
      </c>
      <c r="P3161" t="str">
        <f>"Q"&amp;ROUNDUP(MONTH(tblTransactions[[#This Row],[Date]])/3,0)&amp;"-"&amp;YEAR(tblTransactions[[#This Row],[Date]])</f>
        <v>Q4-2024</v>
      </c>
      <c r="Q3161">
        <f>YEAR(tblTransactions[[#This Row],[Date]])</f>
        <v>2024</v>
      </c>
      <c r="R3161" t="str">
        <f>TEXT(tblTransactions[[#This Row],[Date]],"DDDD")</f>
        <v>Thursday</v>
      </c>
      <c r="S3161">
        <f>MONTH(tblTransactions[[#This Row],[Date]])</f>
        <v>10</v>
      </c>
      <c r="T3161" t="str">
        <f>VLOOKUP(E3161, Products!$A:$B,2,0)</f>
        <v>Folders Off-2</v>
      </c>
      <c r="U3161" t="str">
        <f>VLOOKUP(E3161,Products!$A:$C,3,0)</f>
        <v>Office Supplies</v>
      </c>
      <c r="V3161" t="str">
        <f>VLOOKUP(E3161,Products!$A:$D,4,0)</f>
        <v>Folders</v>
      </c>
      <c r="W3161" t="str">
        <f>VLOOKUP(D3161,Customers!$A:$C,3,0)</f>
        <v>B2C</v>
      </c>
      <c r="X3161" t="str">
        <f>VLOOKUP(C3161,Sales_Representatives!$A:$B,2,0)</f>
        <v>Jennifer Rodriguez</v>
      </c>
    </row>
    <row r="3162" spans="1:24" x14ac:dyDescent="0.3">
      <c r="A3162" t="s">
        <v>4281</v>
      </c>
      <c r="B3162" t="s">
        <v>4273</v>
      </c>
      <c r="C3162" t="s">
        <v>59</v>
      </c>
      <c r="D3162" t="s">
        <v>132</v>
      </c>
      <c r="E3162" t="s">
        <v>129</v>
      </c>
      <c r="F3162">
        <v>19</v>
      </c>
      <c r="G3162">
        <v>1283.71</v>
      </c>
      <c r="H3162">
        <v>0.11</v>
      </c>
      <c r="I3162" s="4">
        <v>21707.54</v>
      </c>
      <c r="J3162" t="s">
        <v>21</v>
      </c>
      <c r="K3162" t="s">
        <v>39</v>
      </c>
      <c r="L3162" s="4">
        <f>VLOOKUP(tblTransactions[[#This Row],[Product_ID]],tblProducts[],5,FALSE)</f>
        <v>970.14</v>
      </c>
      <c r="M3162" s="4">
        <f>tblTransactions[[#This Row],[Total_Amount]]-(tblTransactions[[#This Row],[Cost_Prices]]*tblTransactions[[#This Row],[Quantity]]*(1-tblTransactions[[#This Row],[Discount]]))</f>
        <v>5302.472600000001</v>
      </c>
      <c r="N3162" s="3">
        <f>tblTransactions[[#This Row],[Profit]]/tblTransactions[[#This Row],[Total_Amount]]</f>
        <v>0.24426870110569879</v>
      </c>
      <c r="O3162" t="str">
        <f>TEXT(tblTransactions[[#This Row],[Date]], "MMM-YYYY")</f>
        <v>Oct-2024</v>
      </c>
      <c r="P3162" t="str">
        <f>"Q"&amp;ROUNDUP(MONTH(tblTransactions[[#This Row],[Date]])/3,0)&amp;"-"&amp;YEAR(tblTransactions[[#This Row],[Date]])</f>
        <v>Q4-2024</v>
      </c>
      <c r="Q3162">
        <f>YEAR(tblTransactions[[#This Row],[Date]])</f>
        <v>2024</v>
      </c>
      <c r="R3162" t="str">
        <f>TEXT(tblTransactions[[#This Row],[Date]],"DDDD")</f>
        <v>Thursday</v>
      </c>
      <c r="S3162">
        <f>MONTH(tblTransactions[[#This Row],[Date]])</f>
        <v>10</v>
      </c>
      <c r="T3162" t="str">
        <f>VLOOKUP(E3162, Products!$A:$B,2,0)</f>
        <v>Cameras Ele-3</v>
      </c>
      <c r="U3162" t="str">
        <f>VLOOKUP(E3162,Products!$A:$C,3,0)</f>
        <v>Electronics</v>
      </c>
      <c r="V3162" t="str">
        <f>VLOOKUP(E3162,Products!$A:$D,4,0)</f>
        <v>Cameras</v>
      </c>
      <c r="W3162" t="str">
        <f>VLOOKUP(D3162,Customers!$A:$C,3,0)</f>
        <v>B2B</v>
      </c>
      <c r="X3162" t="str">
        <f>VLOOKUP(C3162,Sales_Representatives!$A:$B,2,0)</f>
        <v>Sarah Brown</v>
      </c>
    </row>
    <row r="3163" spans="1:24" x14ac:dyDescent="0.3">
      <c r="A3163" t="s">
        <v>4282</v>
      </c>
      <c r="B3163" t="s">
        <v>4273</v>
      </c>
      <c r="C3163" t="s">
        <v>141</v>
      </c>
      <c r="D3163" t="s">
        <v>1971</v>
      </c>
      <c r="E3163" t="s">
        <v>152</v>
      </c>
      <c r="F3163">
        <v>13</v>
      </c>
      <c r="G3163">
        <v>859.93</v>
      </c>
      <c r="H3163">
        <v>0.19</v>
      </c>
      <c r="I3163" s="4">
        <v>9055.06</v>
      </c>
      <c r="J3163" t="s">
        <v>109</v>
      </c>
      <c r="K3163" t="s">
        <v>22</v>
      </c>
      <c r="L3163" s="4">
        <f>VLOOKUP(tblTransactions[[#This Row],[Product_ID]],tblProducts[],5,FALSE)</f>
        <v>579.79</v>
      </c>
      <c r="M3163" s="4">
        <f>tblTransactions[[#This Row],[Total_Amount]]-(tblTransactions[[#This Row],[Cost_Prices]]*tblTransactions[[#This Row],[Quantity]]*(1-tblTransactions[[#This Row],[Discount]]))</f>
        <v>2949.8712999999998</v>
      </c>
      <c r="N3163" s="3">
        <f>tblTransactions[[#This Row],[Profit]]/tblTransactions[[#This Row],[Total_Amount]]</f>
        <v>0.32577048633581668</v>
      </c>
      <c r="O3163" t="str">
        <f>TEXT(tblTransactions[[#This Row],[Date]], "MMM-YYYY")</f>
        <v>Oct-2024</v>
      </c>
      <c r="P3163" t="str">
        <f>"Q"&amp;ROUNDUP(MONTH(tblTransactions[[#This Row],[Date]])/3,0)&amp;"-"&amp;YEAR(tblTransactions[[#This Row],[Date]])</f>
        <v>Q4-2024</v>
      </c>
      <c r="Q3163">
        <f>YEAR(tblTransactions[[#This Row],[Date]])</f>
        <v>2024</v>
      </c>
      <c r="R3163" t="str">
        <f>TEXT(tblTransactions[[#This Row],[Date]],"DDDD")</f>
        <v>Thursday</v>
      </c>
      <c r="S3163">
        <f>MONTH(tblTransactions[[#This Row],[Date]])</f>
        <v>10</v>
      </c>
      <c r="T3163" t="str">
        <f>VLOOKUP(E3163, Products!$A:$B,2,0)</f>
        <v>Phones Ele-4</v>
      </c>
      <c r="U3163" t="str">
        <f>VLOOKUP(E3163,Products!$A:$C,3,0)</f>
        <v>Electronics</v>
      </c>
      <c r="V3163" t="str">
        <f>VLOOKUP(E3163,Products!$A:$D,4,0)</f>
        <v>Phones</v>
      </c>
      <c r="W3163" t="str">
        <f>VLOOKUP(D3163,Customers!$A:$C,3,0)</f>
        <v>B2B</v>
      </c>
      <c r="X3163" t="str">
        <f>VLOOKUP(C3163,Sales_Representatives!$A:$B,2,0)</f>
        <v>Richard Garcia</v>
      </c>
    </row>
    <row r="3164" spans="1:24" x14ac:dyDescent="0.3">
      <c r="A3164" t="s">
        <v>4283</v>
      </c>
      <c r="B3164" t="s">
        <v>4273</v>
      </c>
      <c r="C3164" t="s">
        <v>82</v>
      </c>
      <c r="D3164" t="s">
        <v>1675</v>
      </c>
      <c r="E3164" t="s">
        <v>299</v>
      </c>
      <c r="F3164">
        <v>17</v>
      </c>
      <c r="G3164">
        <v>963.44</v>
      </c>
      <c r="H3164">
        <v>0.13</v>
      </c>
      <c r="I3164" s="4">
        <v>14249.28</v>
      </c>
      <c r="J3164" t="s">
        <v>34</v>
      </c>
      <c r="K3164" t="s">
        <v>17</v>
      </c>
      <c r="L3164" s="4">
        <f>VLOOKUP(tblTransactions[[#This Row],[Product_ID]],tblProducts[],5,FALSE)</f>
        <v>578.96</v>
      </c>
      <c r="M3164" s="4">
        <f>tblTransactions[[#This Row],[Total_Amount]]-(tblTransactions[[#This Row],[Cost_Prices]]*tblTransactions[[#This Row],[Quantity]]*(1-tblTransactions[[#This Row],[Discount]]))</f>
        <v>5686.4616000000005</v>
      </c>
      <c r="N3164" s="3">
        <f>tblTransactions[[#This Row],[Profit]]/tblTransactions[[#This Row],[Total_Amount]]</f>
        <v>0.39907010038401941</v>
      </c>
      <c r="O3164" t="str">
        <f>TEXT(tblTransactions[[#This Row],[Date]], "MMM-YYYY")</f>
        <v>Oct-2024</v>
      </c>
      <c r="P3164" t="str">
        <f>"Q"&amp;ROUNDUP(MONTH(tblTransactions[[#This Row],[Date]])/3,0)&amp;"-"&amp;YEAR(tblTransactions[[#This Row],[Date]])</f>
        <v>Q4-2024</v>
      </c>
      <c r="Q3164">
        <f>YEAR(tblTransactions[[#This Row],[Date]])</f>
        <v>2024</v>
      </c>
      <c r="R3164" t="str">
        <f>TEXT(tblTransactions[[#This Row],[Date]],"DDDD")</f>
        <v>Thursday</v>
      </c>
      <c r="S3164">
        <f>MONTH(tblTransactions[[#This Row],[Date]])</f>
        <v>10</v>
      </c>
      <c r="T3164" t="str">
        <f>VLOOKUP(E3164, Products!$A:$B,2,0)</f>
        <v>Chairs Fur-4</v>
      </c>
      <c r="U3164" t="str">
        <f>VLOOKUP(E3164,Products!$A:$C,3,0)</f>
        <v>Furniture</v>
      </c>
      <c r="V3164" t="str">
        <f>VLOOKUP(E3164,Products!$A:$D,4,0)</f>
        <v>Chairs</v>
      </c>
      <c r="W3164" t="str">
        <f>VLOOKUP(D3164,Customers!$A:$C,3,0)</f>
        <v>B2B</v>
      </c>
      <c r="X3164" t="str">
        <f>VLOOKUP(C3164,Sales_Representatives!$A:$B,2,0)</f>
        <v>John Brown</v>
      </c>
    </row>
    <row r="3165" spans="1:24" x14ac:dyDescent="0.3">
      <c r="A3165" t="s">
        <v>4284</v>
      </c>
      <c r="B3165" t="s">
        <v>4285</v>
      </c>
      <c r="C3165" t="s">
        <v>75</v>
      </c>
      <c r="D3165" t="s">
        <v>64</v>
      </c>
      <c r="E3165" t="s">
        <v>84</v>
      </c>
      <c r="F3165">
        <v>4</v>
      </c>
      <c r="G3165">
        <v>1841.77</v>
      </c>
      <c r="H3165">
        <v>0.02</v>
      </c>
      <c r="I3165" s="4">
        <v>7219.74</v>
      </c>
      <c r="J3165" t="s">
        <v>44</v>
      </c>
      <c r="K3165" t="s">
        <v>17</v>
      </c>
      <c r="L3165" s="4">
        <f>VLOOKUP(tblTransactions[[#This Row],[Product_ID]],tblProducts[],5,FALSE)</f>
        <v>1151.5899999999999</v>
      </c>
      <c r="M3165" s="4">
        <f>tblTransactions[[#This Row],[Total_Amount]]-(tblTransactions[[#This Row],[Cost_Prices]]*tblTransactions[[#This Row],[Quantity]]*(1-tblTransactions[[#This Row],[Discount]]))</f>
        <v>2705.5072</v>
      </c>
      <c r="N3165" s="3">
        <f>tblTransactions[[#This Row],[Profit]]/tblTransactions[[#This Row],[Total_Amount]]</f>
        <v>0.37473748362129383</v>
      </c>
      <c r="O3165" t="str">
        <f>TEXT(tblTransactions[[#This Row],[Date]], "MMM-YYYY")</f>
        <v>Nov-2024</v>
      </c>
      <c r="P3165" t="str">
        <f>"Q"&amp;ROUNDUP(MONTH(tblTransactions[[#This Row],[Date]])/3,0)&amp;"-"&amp;YEAR(tblTransactions[[#This Row],[Date]])</f>
        <v>Q4-2024</v>
      </c>
      <c r="Q3165">
        <f>YEAR(tblTransactions[[#This Row],[Date]])</f>
        <v>2024</v>
      </c>
      <c r="R3165" t="str">
        <f>TEXT(tblTransactions[[#This Row],[Date]],"DDDD")</f>
        <v>Saturday</v>
      </c>
      <c r="S3165">
        <f>MONTH(tblTransactions[[#This Row],[Date]])</f>
        <v>11</v>
      </c>
      <c r="T3165" t="str">
        <f>VLOOKUP(E3165, Products!$A:$B,2,0)</f>
        <v>Laptops Ele-2</v>
      </c>
      <c r="U3165" t="str">
        <f>VLOOKUP(E3165,Products!$A:$C,3,0)</f>
        <v>Electronics</v>
      </c>
      <c r="V3165" t="str">
        <f>VLOOKUP(E3165,Products!$A:$D,4,0)</f>
        <v>Laptops</v>
      </c>
      <c r="W3165" t="str">
        <f>VLOOKUP(D3165,Customers!$A:$C,3,0)</f>
        <v>Small Business</v>
      </c>
      <c r="X3165" t="str">
        <f>VLOOKUP(C3165,Sales_Representatives!$A:$B,2,0)</f>
        <v>Jessica Anderson</v>
      </c>
    </row>
    <row r="3166" spans="1:24" x14ac:dyDescent="0.3">
      <c r="A3166" t="s">
        <v>4286</v>
      </c>
      <c r="B3166" t="s">
        <v>4285</v>
      </c>
      <c r="C3166" t="s">
        <v>19</v>
      </c>
      <c r="D3166" t="s">
        <v>154</v>
      </c>
      <c r="E3166" t="s">
        <v>324</v>
      </c>
      <c r="F3166">
        <v>11</v>
      </c>
      <c r="G3166">
        <v>245.76</v>
      </c>
      <c r="H3166">
        <v>0.17</v>
      </c>
      <c r="I3166" s="4">
        <v>2243.79</v>
      </c>
      <c r="J3166" t="s">
        <v>21</v>
      </c>
      <c r="K3166" t="s">
        <v>48</v>
      </c>
      <c r="L3166" s="4">
        <f>VLOOKUP(tblTransactions[[#This Row],[Product_ID]],tblProducts[],5,FALSE)</f>
        <v>161.94</v>
      </c>
      <c r="M3166" s="4">
        <f>tblTransactions[[#This Row],[Total_Amount]]-(tblTransactions[[#This Row],[Cost_Prices]]*tblTransactions[[#This Row],[Quantity]]*(1-tblTransactions[[#This Row],[Discount]]))</f>
        <v>765.27780000000007</v>
      </c>
      <c r="N3166" s="3">
        <f>tblTransactions[[#This Row],[Profit]]/tblTransactions[[#This Row],[Total_Amount]]</f>
        <v>0.34106480552992929</v>
      </c>
      <c r="O3166" t="str">
        <f>TEXT(tblTransactions[[#This Row],[Date]], "MMM-YYYY")</f>
        <v>Nov-2024</v>
      </c>
      <c r="P3166" t="str">
        <f>"Q"&amp;ROUNDUP(MONTH(tblTransactions[[#This Row],[Date]])/3,0)&amp;"-"&amp;YEAR(tblTransactions[[#This Row],[Date]])</f>
        <v>Q4-2024</v>
      </c>
      <c r="Q3166">
        <f>YEAR(tblTransactions[[#This Row],[Date]])</f>
        <v>2024</v>
      </c>
      <c r="R3166" t="str">
        <f>TEXT(tblTransactions[[#This Row],[Date]],"DDDD")</f>
        <v>Saturday</v>
      </c>
      <c r="S3166">
        <f>MONTH(tblTransactions[[#This Row],[Date]])</f>
        <v>11</v>
      </c>
      <c r="T3166" t="str">
        <f>VLOOKUP(E3166, Products!$A:$B,2,0)</f>
        <v>Storage Fur-1</v>
      </c>
      <c r="U3166" t="str">
        <f>VLOOKUP(E3166,Products!$A:$C,3,0)</f>
        <v>Furniture</v>
      </c>
      <c r="V3166" t="str">
        <f>VLOOKUP(E3166,Products!$A:$D,4,0)</f>
        <v>Storage</v>
      </c>
      <c r="W3166" t="str">
        <f>VLOOKUP(D3166,Customers!$A:$C,3,0)</f>
        <v>B2B</v>
      </c>
      <c r="X3166" t="str">
        <f>VLOOKUP(C3166,Sales_Representatives!$A:$B,2,0)</f>
        <v>Robert Jones</v>
      </c>
    </row>
    <row r="3167" spans="1:24" x14ac:dyDescent="0.3">
      <c r="A3167" t="s">
        <v>4287</v>
      </c>
      <c r="B3167" t="s">
        <v>4285</v>
      </c>
      <c r="C3167" t="s">
        <v>19</v>
      </c>
      <c r="D3167" t="s">
        <v>2485</v>
      </c>
      <c r="E3167" t="s">
        <v>102</v>
      </c>
      <c r="F3167">
        <v>14</v>
      </c>
      <c r="G3167">
        <v>1097.75</v>
      </c>
      <c r="H3167">
        <v>0.16</v>
      </c>
      <c r="I3167" s="4">
        <v>12909.54</v>
      </c>
      <c r="J3167" t="s">
        <v>21</v>
      </c>
      <c r="K3167" t="s">
        <v>22</v>
      </c>
      <c r="L3167" s="4">
        <f>VLOOKUP(tblTransactions[[#This Row],[Product_ID]],tblProducts[],5,FALSE)</f>
        <v>680.12</v>
      </c>
      <c r="M3167" s="4">
        <f>tblTransactions[[#This Row],[Total_Amount]]-(tblTransactions[[#This Row],[Cost_Prices]]*tblTransactions[[#This Row],[Quantity]]*(1-tblTransactions[[#This Row],[Discount]]))</f>
        <v>4911.3288000000011</v>
      </c>
      <c r="N3167" s="3">
        <f>tblTransactions[[#This Row],[Profit]]/tblTransactions[[#This Row],[Total_Amount]]</f>
        <v>0.38044181279890693</v>
      </c>
      <c r="O3167" t="str">
        <f>TEXT(tblTransactions[[#This Row],[Date]], "MMM-YYYY")</f>
        <v>Nov-2024</v>
      </c>
      <c r="P3167" t="str">
        <f>"Q"&amp;ROUNDUP(MONTH(tblTransactions[[#This Row],[Date]])/3,0)&amp;"-"&amp;YEAR(tblTransactions[[#This Row],[Date]])</f>
        <v>Q4-2024</v>
      </c>
      <c r="Q3167">
        <f>YEAR(tblTransactions[[#This Row],[Date]])</f>
        <v>2024</v>
      </c>
      <c r="R3167" t="str">
        <f>TEXT(tblTransactions[[#This Row],[Date]],"DDDD")</f>
        <v>Saturday</v>
      </c>
      <c r="S3167">
        <f>MONTH(tblTransactions[[#This Row],[Date]])</f>
        <v>11</v>
      </c>
      <c r="T3167" t="str">
        <f>VLOOKUP(E3167, Products!$A:$B,2,0)</f>
        <v>Storage Fur-4</v>
      </c>
      <c r="U3167" t="str">
        <f>VLOOKUP(E3167,Products!$A:$C,3,0)</f>
        <v>Furniture</v>
      </c>
      <c r="V3167" t="str">
        <f>VLOOKUP(E3167,Products!$A:$D,4,0)</f>
        <v>Storage</v>
      </c>
      <c r="W3167" t="str">
        <f>VLOOKUP(D3167,Customers!$A:$C,3,0)</f>
        <v>B2B</v>
      </c>
      <c r="X3167" t="str">
        <f>VLOOKUP(C3167,Sales_Representatives!$A:$B,2,0)</f>
        <v>Robert Jones</v>
      </c>
    </row>
    <row r="3168" spans="1:24" x14ac:dyDescent="0.3">
      <c r="A3168" t="s">
        <v>4288</v>
      </c>
      <c r="B3168" t="s">
        <v>4285</v>
      </c>
      <c r="C3168" t="s">
        <v>70</v>
      </c>
      <c r="D3168" t="s">
        <v>1649</v>
      </c>
      <c r="E3168" t="s">
        <v>25</v>
      </c>
      <c r="F3168">
        <v>20</v>
      </c>
      <c r="G3168">
        <v>1467.49</v>
      </c>
      <c r="H3168">
        <v>0.13</v>
      </c>
      <c r="I3168" s="4">
        <v>25534.33</v>
      </c>
      <c r="J3168" t="s">
        <v>16</v>
      </c>
      <c r="K3168" t="s">
        <v>48</v>
      </c>
      <c r="L3168" s="4">
        <f>VLOOKUP(tblTransactions[[#This Row],[Product_ID]],tblProducts[],5,FALSE)</f>
        <v>757.65</v>
      </c>
      <c r="M3168" s="4">
        <f>tblTransactions[[#This Row],[Total_Amount]]-(tblTransactions[[#This Row],[Cost_Prices]]*tblTransactions[[#This Row],[Quantity]]*(1-tblTransactions[[#This Row],[Discount]]))</f>
        <v>12351.220000000001</v>
      </c>
      <c r="N3168" s="3">
        <f>tblTransactions[[#This Row],[Profit]]/tblTransactions[[#This Row],[Total_Amount]]</f>
        <v>0.48371036169736981</v>
      </c>
      <c r="O3168" t="str">
        <f>TEXT(tblTransactions[[#This Row],[Date]], "MMM-YYYY")</f>
        <v>Nov-2024</v>
      </c>
      <c r="P3168" t="str">
        <f>"Q"&amp;ROUNDUP(MONTH(tblTransactions[[#This Row],[Date]])/3,0)&amp;"-"&amp;YEAR(tblTransactions[[#This Row],[Date]])</f>
        <v>Q4-2024</v>
      </c>
      <c r="Q3168">
        <f>YEAR(tblTransactions[[#This Row],[Date]])</f>
        <v>2024</v>
      </c>
      <c r="R3168" t="str">
        <f>TEXT(tblTransactions[[#This Row],[Date]],"DDDD")</f>
        <v>Saturday</v>
      </c>
      <c r="S3168">
        <f>MONTH(tblTransactions[[#This Row],[Date]])</f>
        <v>11</v>
      </c>
      <c r="T3168" t="str">
        <f>VLOOKUP(E3168, Products!$A:$B,2,0)</f>
        <v>Tables Fur-3</v>
      </c>
      <c r="U3168" t="str">
        <f>VLOOKUP(E3168,Products!$A:$C,3,0)</f>
        <v>Furniture</v>
      </c>
      <c r="V3168" t="str">
        <f>VLOOKUP(E3168,Products!$A:$D,4,0)</f>
        <v>Tables</v>
      </c>
      <c r="W3168" t="str">
        <f>VLOOKUP(D3168,Customers!$A:$C,3,0)</f>
        <v>Enterprise</v>
      </c>
      <c r="X3168" t="str">
        <f>VLOOKUP(C3168,Sales_Representatives!$A:$B,2,0)</f>
        <v>Linda Smith</v>
      </c>
    </row>
    <row r="3169" spans="1:24" x14ac:dyDescent="0.3">
      <c r="A3169" t="s">
        <v>4289</v>
      </c>
      <c r="B3169" t="s">
        <v>4285</v>
      </c>
      <c r="C3169" t="s">
        <v>131</v>
      </c>
      <c r="D3169" t="s">
        <v>2096</v>
      </c>
      <c r="E3169" t="s">
        <v>339</v>
      </c>
      <c r="F3169">
        <v>1</v>
      </c>
      <c r="G3169">
        <v>1100.8800000000001</v>
      </c>
      <c r="H3169">
        <v>0.03</v>
      </c>
      <c r="I3169" s="4">
        <v>1067.8499999999999</v>
      </c>
      <c r="J3169" t="s">
        <v>44</v>
      </c>
      <c r="K3169" t="s">
        <v>17</v>
      </c>
      <c r="L3169" s="4">
        <f>VLOOKUP(tblTransactions[[#This Row],[Product_ID]],tblProducts[],5,FALSE)</f>
        <v>761.53</v>
      </c>
      <c r="M3169" s="4">
        <f>tblTransactions[[#This Row],[Total_Amount]]-(tblTransactions[[#This Row],[Cost_Prices]]*tblTransactions[[#This Row],[Quantity]]*(1-tblTransactions[[#This Row],[Discount]]))</f>
        <v>329.16589999999997</v>
      </c>
      <c r="N3169" s="3">
        <f>tblTransactions[[#This Row],[Profit]]/tblTransactions[[#This Row],[Total_Amount]]</f>
        <v>0.30825106522451656</v>
      </c>
      <c r="O3169" t="str">
        <f>TEXT(tblTransactions[[#This Row],[Date]], "MMM-YYYY")</f>
        <v>Nov-2024</v>
      </c>
      <c r="P3169" t="str">
        <f>"Q"&amp;ROUNDUP(MONTH(tblTransactions[[#This Row],[Date]])/3,0)&amp;"-"&amp;YEAR(tblTransactions[[#This Row],[Date]])</f>
        <v>Q4-2024</v>
      </c>
      <c r="Q3169">
        <f>YEAR(tblTransactions[[#This Row],[Date]])</f>
        <v>2024</v>
      </c>
      <c r="R3169" t="str">
        <f>TEXT(tblTransactions[[#This Row],[Date]],"DDDD")</f>
        <v>Saturday</v>
      </c>
      <c r="S3169">
        <f>MONTH(tblTransactions[[#This Row],[Date]])</f>
        <v>11</v>
      </c>
      <c r="T3169" t="str">
        <f>VLOOKUP(E3169, Products!$A:$B,2,0)</f>
        <v>Phones Ele-2</v>
      </c>
      <c r="U3169" t="str">
        <f>VLOOKUP(E3169,Products!$A:$C,3,0)</f>
        <v>Electronics</v>
      </c>
      <c r="V3169" t="str">
        <f>VLOOKUP(E3169,Products!$A:$D,4,0)</f>
        <v>Phones</v>
      </c>
      <c r="W3169" t="str">
        <f>VLOOKUP(D3169,Customers!$A:$C,3,0)</f>
        <v>B2C</v>
      </c>
      <c r="X3169" t="str">
        <f>VLOOKUP(C3169,Sales_Representatives!$A:$B,2,0)</f>
        <v>Michael Davis</v>
      </c>
    </row>
    <row r="3170" spans="1:24" x14ac:dyDescent="0.3">
      <c r="A3170" t="s">
        <v>4290</v>
      </c>
      <c r="B3170" t="s">
        <v>4285</v>
      </c>
      <c r="C3170" t="s">
        <v>63</v>
      </c>
      <c r="D3170" t="s">
        <v>2359</v>
      </c>
      <c r="E3170" t="s">
        <v>25</v>
      </c>
      <c r="F3170">
        <v>1</v>
      </c>
      <c r="G3170">
        <v>1467.49</v>
      </c>
      <c r="H3170">
        <v>0.05</v>
      </c>
      <c r="I3170" s="4">
        <v>1394.12</v>
      </c>
      <c r="J3170" t="s">
        <v>21</v>
      </c>
      <c r="K3170" t="s">
        <v>35</v>
      </c>
      <c r="L3170" s="4">
        <f>VLOOKUP(tblTransactions[[#This Row],[Product_ID]],tblProducts[],5,FALSE)</f>
        <v>757.65</v>
      </c>
      <c r="M3170" s="4">
        <f>tblTransactions[[#This Row],[Total_Amount]]-(tblTransactions[[#This Row],[Cost_Prices]]*tblTransactions[[#This Row],[Quantity]]*(1-tblTransactions[[#This Row],[Discount]]))</f>
        <v>674.35249999999996</v>
      </c>
      <c r="N3170" s="3">
        <f>tblTransactions[[#This Row],[Profit]]/tblTransactions[[#This Row],[Total_Amount]]</f>
        <v>0.48371194732160788</v>
      </c>
      <c r="O3170" t="str">
        <f>TEXT(tblTransactions[[#This Row],[Date]], "MMM-YYYY")</f>
        <v>Nov-2024</v>
      </c>
      <c r="P3170" t="str">
        <f>"Q"&amp;ROUNDUP(MONTH(tblTransactions[[#This Row],[Date]])/3,0)&amp;"-"&amp;YEAR(tblTransactions[[#This Row],[Date]])</f>
        <v>Q4-2024</v>
      </c>
      <c r="Q3170">
        <f>YEAR(tblTransactions[[#This Row],[Date]])</f>
        <v>2024</v>
      </c>
      <c r="R3170" t="str">
        <f>TEXT(tblTransactions[[#This Row],[Date]],"DDDD")</f>
        <v>Saturday</v>
      </c>
      <c r="S3170">
        <f>MONTH(tblTransactions[[#This Row],[Date]])</f>
        <v>11</v>
      </c>
      <c r="T3170" t="str">
        <f>VLOOKUP(E3170, Products!$A:$B,2,0)</f>
        <v>Tables Fur-3</v>
      </c>
      <c r="U3170" t="str">
        <f>VLOOKUP(E3170,Products!$A:$C,3,0)</f>
        <v>Furniture</v>
      </c>
      <c r="V3170" t="str">
        <f>VLOOKUP(E3170,Products!$A:$D,4,0)</f>
        <v>Tables</v>
      </c>
      <c r="W3170" t="str">
        <f>VLOOKUP(D3170,Customers!$A:$C,3,0)</f>
        <v>B2C</v>
      </c>
      <c r="X3170" t="str">
        <f>VLOOKUP(C3170,Sales_Representatives!$A:$B,2,0)</f>
        <v>Richard Wilson</v>
      </c>
    </row>
    <row r="3171" spans="1:24" x14ac:dyDescent="0.3">
      <c r="A3171" t="s">
        <v>4291</v>
      </c>
      <c r="B3171" t="s">
        <v>4285</v>
      </c>
      <c r="C3171" t="s">
        <v>56</v>
      </c>
      <c r="D3171" t="s">
        <v>57</v>
      </c>
      <c r="E3171" t="s">
        <v>145</v>
      </c>
      <c r="F3171">
        <v>6</v>
      </c>
      <c r="G3171">
        <v>93.43</v>
      </c>
      <c r="H3171">
        <v>0.11</v>
      </c>
      <c r="I3171" s="4">
        <v>498.92</v>
      </c>
      <c r="J3171" t="s">
        <v>34</v>
      </c>
      <c r="K3171" t="s">
        <v>48</v>
      </c>
      <c r="L3171" s="4">
        <f>VLOOKUP(tblTransactions[[#This Row],[Product_ID]],tblProducts[],5,FALSE)</f>
        <v>45.74</v>
      </c>
      <c r="M3171" s="4">
        <f>tblTransactions[[#This Row],[Total_Amount]]-(tblTransactions[[#This Row],[Cost_Prices]]*tblTransactions[[#This Row],[Quantity]]*(1-tblTransactions[[#This Row],[Discount]]))</f>
        <v>254.66840000000002</v>
      </c>
      <c r="N3171" s="3">
        <f>tblTransactions[[#This Row],[Profit]]/tblTransactions[[#This Row],[Total_Amount]]</f>
        <v>0.5104393489938267</v>
      </c>
      <c r="O3171" t="str">
        <f>TEXT(tblTransactions[[#This Row],[Date]], "MMM-YYYY")</f>
        <v>Nov-2024</v>
      </c>
      <c r="P3171" t="str">
        <f>"Q"&amp;ROUNDUP(MONTH(tblTransactions[[#This Row],[Date]])/3,0)&amp;"-"&amp;YEAR(tblTransactions[[#This Row],[Date]])</f>
        <v>Q4-2024</v>
      </c>
      <c r="Q3171">
        <f>YEAR(tblTransactions[[#This Row],[Date]])</f>
        <v>2024</v>
      </c>
      <c r="R3171" t="str">
        <f>TEXT(tblTransactions[[#This Row],[Date]],"DDDD")</f>
        <v>Saturday</v>
      </c>
      <c r="S3171">
        <f>MONTH(tblTransactions[[#This Row],[Date]])</f>
        <v>11</v>
      </c>
      <c r="T3171" t="str">
        <f>VLOOKUP(E3171, Products!$A:$B,2,0)</f>
        <v>Paper Off-1</v>
      </c>
      <c r="U3171" t="str">
        <f>VLOOKUP(E3171,Products!$A:$C,3,0)</f>
        <v>Office Supplies</v>
      </c>
      <c r="V3171" t="str">
        <f>VLOOKUP(E3171,Products!$A:$D,4,0)</f>
        <v>Paper</v>
      </c>
      <c r="W3171" t="str">
        <f>VLOOKUP(D3171,Customers!$A:$C,3,0)</f>
        <v>Small Business</v>
      </c>
      <c r="X3171" t="str">
        <f>VLOOKUP(C3171,Sales_Representatives!$A:$B,2,0)</f>
        <v>Thomas Hernandez</v>
      </c>
    </row>
    <row r="3172" spans="1:24" x14ac:dyDescent="0.3">
      <c r="A3172" t="s">
        <v>4292</v>
      </c>
      <c r="B3172" t="s">
        <v>4285</v>
      </c>
      <c r="C3172" t="s">
        <v>127</v>
      </c>
      <c r="D3172" t="s">
        <v>1675</v>
      </c>
      <c r="E3172" t="s">
        <v>157</v>
      </c>
      <c r="F3172">
        <v>4</v>
      </c>
      <c r="G3172">
        <v>1227.68</v>
      </c>
      <c r="H3172">
        <v>0.01</v>
      </c>
      <c r="I3172" s="4">
        <v>4861.6099999999997</v>
      </c>
      <c r="J3172" t="s">
        <v>109</v>
      </c>
      <c r="K3172" t="s">
        <v>35</v>
      </c>
      <c r="L3172" s="4">
        <f>VLOOKUP(tblTransactions[[#This Row],[Product_ID]],tblProducts[],5,FALSE)</f>
        <v>846.42</v>
      </c>
      <c r="M3172" s="4">
        <f>tblTransactions[[#This Row],[Total_Amount]]-(tblTransactions[[#This Row],[Cost_Prices]]*tblTransactions[[#This Row],[Quantity]]*(1-tblTransactions[[#This Row],[Discount]]))</f>
        <v>1509.7867999999999</v>
      </c>
      <c r="N3172" s="3">
        <f>tblTransactions[[#This Row],[Profit]]/tblTransactions[[#This Row],[Total_Amount]]</f>
        <v>0.31055284154837592</v>
      </c>
      <c r="O3172" t="str">
        <f>TEXT(tblTransactions[[#This Row],[Date]], "MMM-YYYY")</f>
        <v>Nov-2024</v>
      </c>
      <c r="P3172" t="str">
        <f>"Q"&amp;ROUNDUP(MONTH(tblTransactions[[#This Row],[Date]])/3,0)&amp;"-"&amp;YEAR(tblTransactions[[#This Row],[Date]])</f>
        <v>Q4-2024</v>
      </c>
      <c r="Q3172">
        <f>YEAR(tblTransactions[[#This Row],[Date]])</f>
        <v>2024</v>
      </c>
      <c r="R3172" t="str">
        <f>TEXT(tblTransactions[[#This Row],[Date]],"DDDD")</f>
        <v>Saturday</v>
      </c>
      <c r="S3172">
        <f>MONTH(tblTransactions[[#This Row],[Date]])</f>
        <v>11</v>
      </c>
      <c r="T3172" t="str">
        <f>VLOOKUP(E3172, Products!$A:$B,2,0)</f>
        <v>Printers Tec-4</v>
      </c>
      <c r="U3172" t="str">
        <f>VLOOKUP(E3172,Products!$A:$C,3,0)</f>
        <v>Technology</v>
      </c>
      <c r="V3172" t="str">
        <f>VLOOKUP(E3172,Products!$A:$D,4,0)</f>
        <v>Printers</v>
      </c>
      <c r="W3172" t="str">
        <f>VLOOKUP(D3172,Customers!$A:$C,3,0)</f>
        <v>B2B</v>
      </c>
      <c r="X3172" t="str">
        <f>VLOOKUP(C3172,Sales_Representatives!$A:$B,2,0)</f>
        <v>Emily Hernandez</v>
      </c>
    </row>
    <row r="3173" spans="1:24" x14ac:dyDescent="0.3">
      <c r="A3173" t="s">
        <v>4293</v>
      </c>
      <c r="B3173" t="s">
        <v>4285</v>
      </c>
      <c r="C3173" t="s">
        <v>82</v>
      </c>
      <c r="D3173" t="s">
        <v>2041</v>
      </c>
      <c r="E3173" t="s">
        <v>435</v>
      </c>
      <c r="F3173">
        <v>4</v>
      </c>
      <c r="G3173">
        <v>198.72</v>
      </c>
      <c r="H3173">
        <v>0.02</v>
      </c>
      <c r="I3173" s="4">
        <v>778.98</v>
      </c>
      <c r="J3173" t="s">
        <v>34</v>
      </c>
      <c r="K3173" t="s">
        <v>39</v>
      </c>
      <c r="L3173" s="4">
        <f>VLOOKUP(tblTransactions[[#This Row],[Product_ID]],tblProducts[],5,FALSE)</f>
        <v>116.98</v>
      </c>
      <c r="M3173" s="4">
        <f>tblTransactions[[#This Row],[Total_Amount]]-(tblTransactions[[#This Row],[Cost_Prices]]*tblTransactions[[#This Row],[Quantity]]*(1-tblTransactions[[#This Row],[Discount]]))</f>
        <v>320.41840000000002</v>
      </c>
      <c r="N3173" s="3">
        <f>tblTransactions[[#This Row],[Profit]]/tblTransactions[[#This Row],[Total_Amount]]</f>
        <v>0.41133071452412129</v>
      </c>
      <c r="O3173" t="str">
        <f>TEXT(tblTransactions[[#This Row],[Date]], "MMM-YYYY")</f>
        <v>Nov-2024</v>
      </c>
      <c r="P3173" t="str">
        <f>"Q"&amp;ROUNDUP(MONTH(tblTransactions[[#This Row],[Date]])/3,0)&amp;"-"&amp;YEAR(tblTransactions[[#This Row],[Date]])</f>
        <v>Q4-2024</v>
      </c>
      <c r="Q3173">
        <f>YEAR(tblTransactions[[#This Row],[Date]])</f>
        <v>2024</v>
      </c>
      <c r="R3173" t="str">
        <f>TEXT(tblTransactions[[#This Row],[Date]],"DDDD")</f>
        <v>Saturday</v>
      </c>
      <c r="S3173">
        <f>MONTH(tblTransactions[[#This Row],[Date]])</f>
        <v>11</v>
      </c>
      <c r="T3173" t="str">
        <f>VLOOKUP(E3173, Products!$A:$B,2,0)</f>
        <v>Paper Off-4</v>
      </c>
      <c r="U3173" t="str">
        <f>VLOOKUP(E3173,Products!$A:$C,3,0)</f>
        <v>Office Supplies</v>
      </c>
      <c r="V3173" t="str">
        <f>VLOOKUP(E3173,Products!$A:$D,4,0)</f>
        <v>Paper</v>
      </c>
      <c r="W3173" t="str">
        <f>VLOOKUP(D3173,Customers!$A:$C,3,0)</f>
        <v>B2C</v>
      </c>
      <c r="X3173" t="str">
        <f>VLOOKUP(C3173,Sales_Representatives!$A:$B,2,0)</f>
        <v>John Brown</v>
      </c>
    </row>
    <row r="3174" spans="1:24" x14ac:dyDescent="0.3">
      <c r="A3174" t="s">
        <v>4294</v>
      </c>
      <c r="B3174" t="s">
        <v>4295</v>
      </c>
      <c r="C3174" t="s">
        <v>131</v>
      </c>
      <c r="D3174" t="s">
        <v>2126</v>
      </c>
      <c r="E3174" t="s">
        <v>206</v>
      </c>
      <c r="F3174">
        <v>6</v>
      </c>
      <c r="G3174">
        <v>292.51</v>
      </c>
      <c r="H3174">
        <v>0.09</v>
      </c>
      <c r="I3174" s="4">
        <v>1597.1</v>
      </c>
      <c r="J3174" t="s">
        <v>44</v>
      </c>
      <c r="K3174" t="s">
        <v>39</v>
      </c>
      <c r="L3174" s="4">
        <f>VLOOKUP(tblTransactions[[#This Row],[Product_ID]],tblProducts[],5,FALSE)</f>
        <v>122.08</v>
      </c>
      <c r="M3174" s="4">
        <f>tblTransactions[[#This Row],[Total_Amount]]-(tblTransactions[[#This Row],[Cost_Prices]]*tblTransactions[[#This Row],[Quantity]]*(1-tblTransactions[[#This Row],[Discount]]))</f>
        <v>930.54319999999984</v>
      </c>
      <c r="N3174" s="3">
        <f>tblTransactions[[#This Row],[Profit]]/tblTransactions[[#This Row],[Total_Amount]]</f>
        <v>0.58264554505040378</v>
      </c>
      <c r="O3174" t="str">
        <f>TEXT(tblTransactions[[#This Row],[Date]], "MMM-YYYY")</f>
        <v>Nov-2024</v>
      </c>
      <c r="P3174" t="str">
        <f>"Q"&amp;ROUNDUP(MONTH(tblTransactions[[#This Row],[Date]])/3,0)&amp;"-"&amp;YEAR(tblTransactions[[#This Row],[Date]])</f>
        <v>Q4-2024</v>
      </c>
      <c r="Q3174">
        <f>YEAR(tblTransactions[[#This Row],[Date]])</f>
        <v>2024</v>
      </c>
      <c r="R3174" t="str">
        <f>TEXT(tblTransactions[[#This Row],[Date]],"DDDD")</f>
        <v>Sunday</v>
      </c>
      <c r="S3174">
        <f>MONTH(tblTransactions[[#This Row],[Date]])</f>
        <v>11</v>
      </c>
      <c r="T3174" t="str">
        <f>VLOOKUP(E3174, Products!$A:$B,2,0)</f>
        <v>Keyboards Acc-1</v>
      </c>
      <c r="U3174" t="str">
        <f>VLOOKUP(E3174,Products!$A:$C,3,0)</f>
        <v>Accessories</v>
      </c>
      <c r="V3174" t="str">
        <f>VLOOKUP(E3174,Products!$A:$D,4,0)</f>
        <v>Keyboards</v>
      </c>
      <c r="W3174" t="str">
        <f>VLOOKUP(D3174,Customers!$A:$C,3,0)</f>
        <v>B2C</v>
      </c>
      <c r="X3174" t="str">
        <f>VLOOKUP(C3174,Sales_Representatives!$A:$B,2,0)</f>
        <v>Michael Davis</v>
      </c>
    </row>
    <row r="3175" spans="1:24" x14ac:dyDescent="0.3">
      <c r="A3175" t="s">
        <v>4296</v>
      </c>
      <c r="B3175" t="s">
        <v>4295</v>
      </c>
      <c r="C3175" t="s">
        <v>19</v>
      </c>
      <c r="D3175" t="s">
        <v>1591</v>
      </c>
      <c r="E3175" t="s">
        <v>105</v>
      </c>
      <c r="F3175">
        <v>21</v>
      </c>
      <c r="G3175">
        <v>1342.04</v>
      </c>
      <c r="H3175">
        <v>0.16</v>
      </c>
      <c r="I3175" s="4">
        <v>23673.59</v>
      </c>
      <c r="J3175" t="s">
        <v>21</v>
      </c>
      <c r="K3175" t="s">
        <v>48</v>
      </c>
      <c r="L3175" s="4">
        <f>VLOOKUP(tblTransactions[[#This Row],[Product_ID]],tblProducts[],5,FALSE)</f>
        <v>792.89</v>
      </c>
      <c r="M3175" s="4">
        <f>tblTransactions[[#This Row],[Total_Amount]]-(tblTransactions[[#This Row],[Cost_Prices]]*tblTransactions[[#This Row],[Quantity]]*(1-tblTransactions[[#This Row],[Discount]]))</f>
        <v>9687.010400000001</v>
      </c>
      <c r="N3175" s="3">
        <f>tblTransactions[[#This Row],[Profit]]/tblTransactions[[#This Row],[Total_Amount]]</f>
        <v>0.40919059593411905</v>
      </c>
      <c r="O3175" t="str">
        <f>TEXT(tblTransactions[[#This Row],[Date]], "MMM-YYYY")</f>
        <v>Nov-2024</v>
      </c>
      <c r="P3175" t="str">
        <f>"Q"&amp;ROUNDUP(MONTH(tblTransactions[[#This Row],[Date]])/3,0)&amp;"-"&amp;YEAR(tblTransactions[[#This Row],[Date]])</f>
        <v>Q4-2024</v>
      </c>
      <c r="Q3175">
        <f>YEAR(tblTransactions[[#This Row],[Date]])</f>
        <v>2024</v>
      </c>
      <c r="R3175" t="str">
        <f>TEXT(tblTransactions[[#This Row],[Date]],"DDDD")</f>
        <v>Sunday</v>
      </c>
      <c r="S3175">
        <f>MONTH(tblTransactions[[#This Row],[Date]])</f>
        <v>11</v>
      </c>
      <c r="T3175" t="str">
        <f>VLOOKUP(E3175, Products!$A:$B,2,0)</f>
        <v>Cameras Ele-1</v>
      </c>
      <c r="U3175" t="str">
        <f>VLOOKUP(E3175,Products!$A:$C,3,0)</f>
        <v>Electronics</v>
      </c>
      <c r="V3175" t="str">
        <f>VLOOKUP(E3175,Products!$A:$D,4,0)</f>
        <v>Cameras</v>
      </c>
      <c r="W3175" t="str">
        <f>VLOOKUP(D3175,Customers!$A:$C,3,0)</f>
        <v>Enterprise</v>
      </c>
      <c r="X3175" t="str">
        <f>VLOOKUP(C3175,Sales_Representatives!$A:$B,2,0)</f>
        <v>Robert Jones</v>
      </c>
    </row>
    <row r="3176" spans="1:24" x14ac:dyDescent="0.3">
      <c r="A3176" t="s">
        <v>4297</v>
      </c>
      <c r="B3176" t="s">
        <v>4295</v>
      </c>
      <c r="C3176" t="s">
        <v>31</v>
      </c>
      <c r="D3176" t="s">
        <v>1991</v>
      </c>
      <c r="E3176" t="s">
        <v>152</v>
      </c>
      <c r="F3176">
        <v>2</v>
      </c>
      <c r="G3176">
        <v>859.93</v>
      </c>
      <c r="H3176">
        <v>0.03</v>
      </c>
      <c r="I3176" s="4">
        <v>1668.26</v>
      </c>
      <c r="J3176" t="s">
        <v>34</v>
      </c>
      <c r="K3176" t="s">
        <v>48</v>
      </c>
      <c r="L3176" s="4">
        <f>VLOOKUP(tblTransactions[[#This Row],[Product_ID]],tblProducts[],5,FALSE)</f>
        <v>579.79</v>
      </c>
      <c r="M3176" s="4">
        <f>tblTransactions[[#This Row],[Total_Amount]]-(tblTransactions[[#This Row],[Cost_Prices]]*tblTransactions[[#This Row],[Quantity]]*(1-tblTransactions[[#This Row],[Discount]]))</f>
        <v>543.4674</v>
      </c>
      <c r="N3176" s="3">
        <f>tblTransactions[[#This Row],[Profit]]/tblTransactions[[#This Row],[Total_Amount]]</f>
        <v>0.32576900483138121</v>
      </c>
      <c r="O3176" t="str">
        <f>TEXT(tblTransactions[[#This Row],[Date]], "MMM-YYYY")</f>
        <v>Nov-2024</v>
      </c>
      <c r="P3176" t="str">
        <f>"Q"&amp;ROUNDUP(MONTH(tblTransactions[[#This Row],[Date]])/3,0)&amp;"-"&amp;YEAR(tblTransactions[[#This Row],[Date]])</f>
        <v>Q4-2024</v>
      </c>
      <c r="Q3176">
        <f>YEAR(tblTransactions[[#This Row],[Date]])</f>
        <v>2024</v>
      </c>
      <c r="R3176" t="str">
        <f>TEXT(tblTransactions[[#This Row],[Date]],"DDDD")</f>
        <v>Sunday</v>
      </c>
      <c r="S3176">
        <f>MONTH(tblTransactions[[#This Row],[Date]])</f>
        <v>11</v>
      </c>
      <c r="T3176" t="str">
        <f>VLOOKUP(E3176, Products!$A:$B,2,0)</f>
        <v>Phones Ele-4</v>
      </c>
      <c r="U3176" t="str">
        <f>VLOOKUP(E3176,Products!$A:$C,3,0)</f>
        <v>Electronics</v>
      </c>
      <c r="V3176" t="str">
        <f>VLOOKUP(E3176,Products!$A:$D,4,0)</f>
        <v>Phones</v>
      </c>
      <c r="W3176" t="str">
        <f>VLOOKUP(D3176,Customers!$A:$C,3,0)</f>
        <v>Small Business</v>
      </c>
      <c r="X3176" t="str">
        <f>VLOOKUP(C3176,Sales_Representatives!$A:$B,2,0)</f>
        <v>Thomas Martinez</v>
      </c>
    </row>
    <row r="3177" spans="1:24" x14ac:dyDescent="0.3">
      <c r="A3177" t="s">
        <v>4298</v>
      </c>
      <c r="B3177" t="s">
        <v>4295</v>
      </c>
      <c r="C3177" t="s">
        <v>27</v>
      </c>
      <c r="D3177" t="s">
        <v>154</v>
      </c>
      <c r="E3177" t="s">
        <v>243</v>
      </c>
      <c r="F3177">
        <v>8</v>
      </c>
      <c r="G3177">
        <v>384.18</v>
      </c>
      <c r="H3177">
        <v>0.1</v>
      </c>
      <c r="I3177" s="4">
        <v>2766.1</v>
      </c>
      <c r="J3177" t="s">
        <v>16</v>
      </c>
      <c r="K3177" t="s">
        <v>17</v>
      </c>
      <c r="L3177" s="4">
        <f>VLOOKUP(tblTransactions[[#This Row],[Product_ID]],tblProducts[],5,FALSE)</f>
        <v>266.92</v>
      </c>
      <c r="M3177" s="4">
        <f>tblTransactions[[#This Row],[Total_Amount]]-(tblTransactions[[#This Row],[Cost_Prices]]*tblTransactions[[#This Row],[Quantity]]*(1-tblTransactions[[#This Row],[Discount]]))</f>
        <v>844.27599999999984</v>
      </c>
      <c r="N3177" s="3">
        <f>tblTransactions[[#This Row],[Profit]]/tblTransactions[[#This Row],[Total_Amount]]</f>
        <v>0.30522251545497264</v>
      </c>
      <c r="O3177" t="str">
        <f>TEXT(tblTransactions[[#This Row],[Date]], "MMM-YYYY")</f>
        <v>Nov-2024</v>
      </c>
      <c r="P3177" t="str">
        <f>"Q"&amp;ROUNDUP(MONTH(tblTransactions[[#This Row],[Date]])/3,0)&amp;"-"&amp;YEAR(tblTransactions[[#This Row],[Date]])</f>
        <v>Q4-2024</v>
      </c>
      <c r="Q3177">
        <f>YEAR(tblTransactions[[#This Row],[Date]])</f>
        <v>2024</v>
      </c>
      <c r="R3177" t="str">
        <f>TEXT(tblTransactions[[#This Row],[Date]],"DDDD")</f>
        <v>Sunday</v>
      </c>
      <c r="S3177">
        <f>MONTH(tblTransactions[[#This Row],[Date]])</f>
        <v>11</v>
      </c>
      <c r="T3177" t="str">
        <f>VLOOKUP(E3177, Products!$A:$B,2,0)</f>
        <v>Routers Tec-3</v>
      </c>
      <c r="U3177" t="str">
        <f>VLOOKUP(E3177,Products!$A:$C,3,0)</f>
        <v>Technology</v>
      </c>
      <c r="V3177" t="str">
        <f>VLOOKUP(E3177,Products!$A:$D,4,0)</f>
        <v>Routers</v>
      </c>
      <c r="W3177" t="str">
        <f>VLOOKUP(D3177,Customers!$A:$C,3,0)</f>
        <v>B2B</v>
      </c>
      <c r="X3177" t="str">
        <f>VLOOKUP(C3177,Sales_Representatives!$A:$B,2,0)</f>
        <v>Thomas Lopez</v>
      </c>
    </row>
    <row r="3178" spans="1:24" x14ac:dyDescent="0.3">
      <c r="A3178" t="s">
        <v>4299</v>
      </c>
      <c r="B3178" t="s">
        <v>4295</v>
      </c>
      <c r="C3178" t="s">
        <v>70</v>
      </c>
      <c r="D3178" t="s">
        <v>1877</v>
      </c>
      <c r="E3178" t="s">
        <v>310</v>
      </c>
      <c r="F3178">
        <v>1</v>
      </c>
      <c r="G3178">
        <v>274.13</v>
      </c>
      <c r="H3178">
        <v>0.06</v>
      </c>
      <c r="I3178" s="4">
        <v>257.68</v>
      </c>
      <c r="J3178" t="s">
        <v>16</v>
      </c>
      <c r="K3178" t="s">
        <v>22</v>
      </c>
      <c r="L3178" s="4">
        <f>VLOOKUP(tblTransactions[[#This Row],[Product_ID]],tblProducts[],5,FALSE)</f>
        <v>134.41999999999999</v>
      </c>
      <c r="M3178" s="4">
        <f>tblTransactions[[#This Row],[Total_Amount]]-(tblTransactions[[#This Row],[Cost_Prices]]*tblTransactions[[#This Row],[Quantity]]*(1-tblTransactions[[#This Row],[Discount]]))</f>
        <v>131.32520000000002</v>
      </c>
      <c r="N3178" s="3">
        <f>tblTransactions[[#This Row],[Profit]]/tblTransactions[[#This Row],[Total_Amount]]</f>
        <v>0.50964452033529972</v>
      </c>
      <c r="O3178" t="str">
        <f>TEXT(tblTransactions[[#This Row],[Date]], "MMM-YYYY")</f>
        <v>Nov-2024</v>
      </c>
      <c r="P3178" t="str">
        <f>"Q"&amp;ROUNDUP(MONTH(tblTransactions[[#This Row],[Date]])/3,0)&amp;"-"&amp;YEAR(tblTransactions[[#This Row],[Date]])</f>
        <v>Q4-2024</v>
      </c>
      <c r="Q3178">
        <f>YEAR(tblTransactions[[#This Row],[Date]])</f>
        <v>2024</v>
      </c>
      <c r="R3178" t="str">
        <f>TEXT(tblTransactions[[#This Row],[Date]],"DDDD")</f>
        <v>Sunday</v>
      </c>
      <c r="S3178">
        <f>MONTH(tblTransactions[[#This Row],[Date]])</f>
        <v>11</v>
      </c>
      <c r="T3178" t="str">
        <f>VLOOKUP(E3178, Products!$A:$B,2,0)</f>
        <v>Adapters Acc-4</v>
      </c>
      <c r="U3178" t="str">
        <f>VLOOKUP(E3178,Products!$A:$C,3,0)</f>
        <v>Accessories</v>
      </c>
      <c r="V3178" t="str">
        <f>VLOOKUP(E3178,Products!$A:$D,4,0)</f>
        <v>Adapters</v>
      </c>
      <c r="W3178" t="str">
        <f>VLOOKUP(D3178,Customers!$A:$C,3,0)</f>
        <v>Small Business</v>
      </c>
      <c r="X3178" t="str">
        <f>VLOOKUP(C3178,Sales_Representatives!$A:$B,2,0)</f>
        <v>Linda Smith</v>
      </c>
    </row>
    <row r="3179" spans="1:24" x14ac:dyDescent="0.3">
      <c r="A3179" t="s">
        <v>4300</v>
      </c>
      <c r="B3179" t="s">
        <v>4295</v>
      </c>
      <c r="C3179" t="s">
        <v>56</v>
      </c>
      <c r="D3179" t="s">
        <v>1866</v>
      </c>
      <c r="E3179" t="s">
        <v>137</v>
      </c>
      <c r="F3179">
        <v>6</v>
      </c>
      <c r="G3179">
        <v>241.39</v>
      </c>
      <c r="H3179">
        <v>0.06</v>
      </c>
      <c r="I3179" s="4">
        <v>1361.44</v>
      </c>
      <c r="J3179" t="s">
        <v>34</v>
      </c>
      <c r="K3179" t="s">
        <v>17</v>
      </c>
      <c r="L3179" s="4">
        <f>VLOOKUP(tblTransactions[[#This Row],[Product_ID]],tblProducts[],5,FALSE)</f>
        <v>124.07</v>
      </c>
      <c r="M3179" s="4">
        <f>tblTransactions[[#This Row],[Total_Amount]]-(tblTransactions[[#This Row],[Cost_Prices]]*tblTransactions[[#This Row],[Quantity]]*(1-tblTransactions[[#This Row],[Discount]]))</f>
        <v>661.68520000000012</v>
      </c>
      <c r="N3179" s="3">
        <f>tblTransactions[[#This Row],[Profit]]/tblTransactions[[#This Row],[Total_Amount]]</f>
        <v>0.48601862733576223</v>
      </c>
      <c r="O3179" t="str">
        <f>TEXT(tblTransactions[[#This Row],[Date]], "MMM-YYYY")</f>
        <v>Nov-2024</v>
      </c>
      <c r="P3179" t="str">
        <f>"Q"&amp;ROUNDUP(MONTH(tblTransactions[[#This Row],[Date]])/3,0)&amp;"-"&amp;YEAR(tblTransactions[[#This Row],[Date]])</f>
        <v>Q4-2024</v>
      </c>
      <c r="Q3179">
        <f>YEAR(tblTransactions[[#This Row],[Date]])</f>
        <v>2024</v>
      </c>
      <c r="R3179" t="str">
        <f>TEXT(tblTransactions[[#This Row],[Date]],"DDDD")</f>
        <v>Sunday</v>
      </c>
      <c r="S3179">
        <f>MONTH(tblTransactions[[#This Row],[Date]])</f>
        <v>11</v>
      </c>
      <c r="T3179" t="str">
        <f>VLOOKUP(E3179, Products!$A:$B,2,0)</f>
        <v>Desks Fur-2</v>
      </c>
      <c r="U3179" t="str">
        <f>VLOOKUP(E3179,Products!$A:$C,3,0)</f>
        <v>Furniture</v>
      </c>
      <c r="V3179" t="str">
        <f>VLOOKUP(E3179,Products!$A:$D,4,0)</f>
        <v>Desks</v>
      </c>
      <c r="W3179" t="str">
        <f>VLOOKUP(D3179,Customers!$A:$C,3,0)</f>
        <v>B2B</v>
      </c>
      <c r="X3179" t="str">
        <f>VLOOKUP(C3179,Sales_Representatives!$A:$B,2,0)</f>
        <v>Thomas Hernandez</v>
      </c>
    </row>
    <row r="3180" spans="1:24" x14ac:dyDescent="0.3">
      <c r="A3180" t="s">
        <v>4301</v>
      </c>
      <c r="B3180" t="s">
        <v>4302</v>
      </c>
      <c r="C3180" t="s">
        <v>82</v>
      </c>
      <c r="D3180" t="s">
        <v>2032</v>
      </c>
      <c r="E3180" t="s">
        <v>68</v>
      </c>
      <c r="F3180">
        <v>1</v>
      </c>
      <c r="G3180">
        <v>522.63</v>
      </c>
      <c r="H3180">
        <v>0.03</v>
      </c>
      <c r="I3180" s="4">
        <v>506.95</v>
      </c>
      <c r="J3180" t="s">
        <v>34</v>
      </c>
      <c r="K3180" t="s">
        <v>17</v>
      </c>
      <c r="L3180" s="4">
        <f>VLOOKUP(tblTransactions[[#This Row],[Product_ID]],tblProducts[],5,FALSE)</f>
        <v>355.82</v>
      </c>
      <c r="M3180" s="4">
        <f>tblTransactions[[#This Row],[Total_Amount]]-(tblTransactions[[#This Row],[Cost_Prices]]*tblTransactions[[#This Row],[Quantity]]*(1-tblTransactions[[#This Row],[Discount]]))</f>
        <v>161.80459999999999</v>
      </c>
      <c r="N3180" s="3">
        <f>tblTransactions[[#This Row],[Profit]]/tblTransactions[[#This Row],[Total_Amount]]</f>
        <v>0.31917269947726601</v>
      </c>
      <c r="O3180" t="str">
        <f>TEXT(tblTransactions[[#This Row],[Date]], "MMM-YYYY")</f>
        <v>Nov-2024</v>
      </c>
      <c r="P3180" t="str">
        <f>"Q"&amp;ROUNDUP(MONTH(tblTransactions[[#This Row],[Date]])/3,0)&amp;"-"&amp;YEAR(tblTransactions[[#This Row],[Date]])</f>
        <v>Q4-2024</v>
      </c>
      <c r="Q3180">
        <f>YEAR(tblTransactions[[#This Row],[Date]])</f>
        <v>2024</v>
      </c>
      <c r="R3180" t="str">
        <f>TEXT(tblTransactions[[#This Row],[Date]],"DDDD")</f>
        <v>Monday</v>
      </c>
      <c r="S3180">
        <f>MONTH(tblTransactions[[#This Row],[Date]])</f>
        <v>11</v>
      </c>
      <c r="T3180" t="str">
        <f>VLOOKUP(E3180, Products!$A:$B,2,0)</f>
        <v>Monitors Tec-3</v>
      </c>
      <c r="U3180" t="str">
        <f>VLOOKUP(E3180,Products!$A:$C,3,0)</f>
        <v>Technology</v>
      </c>
      <c r="V3180" t="str">
        <f>VLOOKUP(E3180,Products!$A:$D,4,0)</f>
        <v>Monitors</v>
      </c>
      <c r="W3180" t="str">
        <f>VLOOKUP(D3180,Customers!$A:$C,3,0)</f>
        <v>B2C</v>
      </c>
      <c r="X3180" t="str">
        <f>VLOOKUP(C3180,Sales_Representatives!$A:$B,2,0)</f>
        <v>John Brown</v>
      </c>
    </row>
    <row r="3181" spans="1:24" x14ac:dyDescent="0.3">
      <c r="A3181" t="s">
        <v>4303</v>
      </c>
      <c r="B3181" t="s">
        <v>4302</v>
      </c>
      <c r="C3181" t="s">
        <v>75</v>
      </c>
      <c r="D3181" t="s">
        <v>101</v>
      </c>
      <c r="E3181" t="s">
        <v>376</v>
      </c>
      <c r="F3181">
        <v>1</v>
      </c>
      <c r="G3181">
        <v>229.65</v>
      </c>
      <c r="H3181">
        <v>0.01</v>
      </c>
      <c r="I3181" s="4">
        <v>227.35</v>
      </c>
      <c r="J3181" t="s">
        <v>44</v>
      </c>
      <c r="K3181" t="s">
        <v>17</v>
      </c>
      <c r="L3181" s="4">
        <f>VLOOKUP(tblTransactions[[#This Row],[Product_ID]],tblProducts[],5,FALSE)</f>
        <v>96.84</v>
      </c>
      <c r="M3181" s="4">
        <f>tblTransactions[[#This Row],[Total_Amount]]-(tblTransactions[[#This Row],[Cost_Prices]]*tblTransactions[[#This Row],[Quantity]]*(1-tblTransactions[[#This Row],[Discount]]))</f>
        <v>131.47839999999999</v>
      </c>
      <c r="N3181" s="3">
        <f>tblTransactions[[#This Row],[Profit]]/tblTransactions[[#This Row],[Total_Amount]]</f>
        <v>0.57830833516604352</v>
      </c>
      <c r="O3181" t="str">
        <f>TEXT(tblTransactions[[#This Row],[Date]], "MMM-YYYY")</f>
        <v>Nov-2024</v>
      </c>
      <c r="P3181" t="str">
        <f>"Q"&amp;ROUNDUP(MONTH(tblTransactions[[#This Row],[Date]])/3,0)&amp;"-"&amp;YEAR(tblTransactions[[#This Row],[Date]])</f>
        <v>Q4-2024</v>
      </c>
      <c r="Q3181">
        <f>YEAR(tblTransactions[[#This Row],[Date]])</f>
        <v>2024</v>
      </c>
      <c r="R3181" t="str">
        <f>TEXT(tblTransactions[[#This Row],[Date]],"DDDD")</f>
        <v>Monday</v>
      </c>
      <c r="S3181">
        <f>MONTH(tblTransactions[[#This Row],[Date]])</f>
        <v>11</v>
      </c>
      <c r="T3181" t="str">
        <f>VLOOKUP(E3181, Products!$A:$B,2,0)</f>
        <v>Adapters Acc-2</v>
      </c>
      <c r="U3181" t="str">
        <f>VLOOKUP(E3181,Products!$A:$C,3,0)</f>
        <v>Accessories</v>
      </c>
      <c r="V3181" t="str">
        <f>VLOOKUP(E3181,Products!$A:$D,4,0)</f>
        <v>Adapters</v>
      </c>
      <c r="W3181" t="str">
        <f>VLOOKUP(D3181,Customers!$A:$C,3,0)</f>
        <v>B2C</v>
      </c>
      <c r="X3181" t="str">
        <f>VLOOKUP(C3181,Sales_Representatives!$A:$B,2,0)</f>
        <v>Jessica Anderson</v>
      </c>
    </row>
    <row r="3182" spans="1:24" x14ac:dyDescent="0.3">
      <c r="A3182" t="s">
        <v>4304</v>
      </c>
      <c r="B3182" t="s">
        <v>4302</v>
      </c>
      <c r="C3182" t="s">
        <v>107</v>
      </c>
      <c r="D3182" t="s">
        <v>1699</v>
      </c>
      <c r="E3182" t="s">
        <v>68</v>
      </c>
      <c r="F3182">
        <v>14</v>
      </c>
      <c r="G3182">
        <v>522.63</v>
      </c>
      <c r="H3182">
        <v>0.11</v>
      </c>
      <c r="I3182" s="4">
        <v>6511.97</v>
      </c>
      <c r="J3182" t="s">
        <v>109</v>
      </c>
      <c r="K3182" t="s">
        <v>17</v>
      </c>
      <c r="L3182" s="4">
        <f>VLOOKUP(tblTransactions[[#This Row],[Product_ID]],tblProducts[],5,FALSE)</f>
        <v>355.82</v>
      </c>
      <c r="M3182" s="4">
        <f>tblTransactions[[#This Row],[Total_Amount]]-(tblTransactions[[#This Row],[Cost_Prices]]*tblTransactions[[#This Row],[Quantity]]*(1-tblTransactions[[#This Row],[Discount]]))</f>
        <v>2078.4528000000009</v>
      </c>
      <c r="N3182" s="3">
        <f>tblTransactions[[#This Row],[Profit]]/tblTransactions[[#This Row],[Total_Amount]]</f>
        <v>0.31917419766982968</v>
      </c>
      <c r="O3182" t="str">
        <f>TEXT(tblTransactions[[#This Row],[Date]], "MMM-YYYY")</f>
        <v>Nov-2024</v>
      </c>
      <c r="P3182" t="str">
        <f>"Q"&amp;ROUNDUP(MONTH(tblTransactions[[#This Row],[Date]])/3,0)&amp;"-"&amp;YEAR(tblTransactions[[#This Row],[Date]])</f>
        <v>Q4-2024</v>
      </c>
      <c r="Q3182">
        <f>YEAR(tblTransactions[[#This Row],[Date]])</f>
        <v>2024</v>
      </c>
      <c r="R3182" t="str">
        <f>TEXT(tblTransactions[[#This Row],[Date]],"DDDD")</f>
        <v>Monday</v>
      </c>
      <c r="S3182">
        <f>MONTH(tblTransactions[[#This Row],[Date]])</f>
        <v>11</v>
      </c>
      <c r="T3182" t="str">
        <f>VLOOKUP(E3182, Products!$A:$B,2,0)</f>
        <v>Monitors Tec-3</v>
      </c>
      <c r="U3182" t="str">
        <f>VLOOKUP(E3182,Products!$A:$C,3,0)</f>
        <v>Technology</v>
      </c>
      <c r="V3182" t="str">
        <f>VLOOKUP(E3182,Products!$A:$D,4,0)</f>
        <v>Monitors</v>
      </c>
      <c r="W3182" t="str">
        <f>VLOOKUP(D3182,Customers!$A:$C,3,0)</f>
        <v>B2B</v>
      </c>
      <c r="X3182" t="str">
        <f>VLOOKUP(C3182,Sales_Representatives!$A:$B,2,0)</f>
        <v>Jennifer Brown</v>
      </c>
    </row>
    <row r="3183" spans="1:24" x14ac:dyDescent="0.3">
      <c r="A3183" t="s">
        <v>4305</v>
      </c>
      <c r="B3183" t="s">
        <v>4302</v>
      </c>
      <c r="C3183" t="s">
        <v>59</v>
      </c>
      <c r="D3183" t="s">
        <v>1555</v>
      </c>
      <c r="E3183" t="s">
        <v>299</v>
      </c>
      <c r="F3183">
        <v>6</v>
      </c>
      <c r="G3183">
        <v>963.44</v>
      </c>
      <c r="H3183">
        <v>0.14000000000000001</v>
      </c>
      <c r="I3183" s="4">
        <v>4971.3500000000004</v>
      </c>
      <c r="J3183" t="s">
        <v>21</v>
      </c>
      <c r="K3183" t="s">
        <v>39</v>
      </c>
      <c r="L3183" s="4">
        <f>VLOOKUP(tblTransactions[[#This Row],[Product_ID]],tblProducts[],5,FALSE)</f>
        <v>578.96</v>
      </c>
      <c r="M3183" s="4">
        <f>tblTransactions[[#This Row],[Total_Amount]]-(tblTransactions[[#This Row],[Cost_Prices]]*tblTransactions[[#This Row],[Quantity]]*(1-tblTransactions[[#This Row],[Discount]]))</f>
        <v>1983.9164000000001</v>
      </c>
      <c r="N3183" s="3">
        <f>tblTransactions[[#This Row],[Profit]]/tblTransactions[[#This Row],[Total_Amount]]</f>
        <v>0.39906995081818819</v>
      </c>
      <c r="O3183" t="str">
        <f>TEXT(tblTransactions[[#This Row],[Date]], "MMM-YYYY")</f>
        <v>Nov-2024</v>
      </c>
      <c r="P3183" t="str">
        <f>"Q"&amp;ROUNDUP(MONTH(tblTransactions[[#This Row],[Date]])/3,0)&amp;"-"&amp;YEAR(tblTransactions[[#This Row],[Date]])</f>
        <v>Q4-2024</v>
      </c>
      <c r="Q3183">
        <f>YEAR(tblTransactions[[#This Row],[Date]])</f>
        <v>2024</v>
      </c>
      <c r="R3183" t="str">
        <f>TEXT(tblTransactions[[#This Row],[Date]],"DDDD")</f>
        <v>Monday</v>
      </c>
      <c r="S3183">
        <f>MONTH(tblTransactions[[#This Row],[Date]])</f>
        <v>11</v>
      </c>
      <c r="T3183" t="str">
        <f>VLOOKUP(E3183, Products!$A:$B,2,0)</f>
        <v>Chairs Fur-4</v>
      </c>
      <c r="U3183" t="str">
        <f>VLOOKUP(E3183,Products!$A:$C,3,0)</f>
        <v>Furniture</v>
      </c>
      <c r="V3183" t="str">
        <f>VLOOKUP(E3183,Products!$A:$D,4,0)</f>
        <v>Chairs</v>
      </c>
      <c r="W3183" t="str">
        <f>VLOOKUP(D3183,Customers!$A:$C,3,0)</f>
        <v>B2C</v>
      </c>
      <c r="X3183" t="str">
        <f>VLOOKUP(C3183,Sales_Representatives!$A:$B,2,0)</f>
        <v>Sarah Brown</v>
      </c>
    </row>
    <row r="3184" spans="1:24" x14ac:dyDescent="0.3">
      <c r="A3184" t="s">
        <v>4306</v>
      </c>
      <c r="B3184" t="s">
        <v>4307</v>
      </c>
      <c r="C3184" t="s">
        <v>56</v>
      </c>
      <c r="D3184" t="s">
        <v>2070</v>
      </c>
      <c r="E3184" t="s">
        <v>347</v>
      </c>
      <c r="F3184">
        <v>4</v>
      </c>
      <c r="G3184">
        <v>1539.6</v>
      </c>
      <c r="H3184">
        <v>0.09</v>
      </c>
      <c r="I3184" s="4">
        <v>5604.14</v>
      </c>
      <c r="J3184" t="s">
        <v>34</v>
      </c>
      <c r="K3184" t="s">
        <v>35</v>
      </c>
      <c r="L3184" s="4">
        <f>VLOOKUP(tblTransactions[[#This Row],[Product_ID]],tblProducts[],5,FALSE)</f>
        <v>992.43</v>
      </c>
      <c r="M3184" s="4">
        <f>tblTransactions[[#This Row],[Total_Amount]]-(tblTransactions[[#This Row],[Cost_Prices]]*tblTransactions[[#This Row],[Quantity]]*(1-tblTransactions[[#This Row],[Discount]]))</f>
        <v>1991.6948000000002</v>
      </c>
      <c r="N3184" s="3">
        <f>tblTransactions[[#This Row],[Profit]]/tblTransactions[[#This Row],[Total_Amount]]</f>
        <v>0.35539704575545938</v>
      </c>
      <c r="O3184" t="str">
        <f>TEXT(tblTransactions[[#This Row],[Date]], "MMM-YYYY")</f>
        <v>Nov-2024</v>
      </c>
      <c r="P3184" t="str">
        <f>"Q"&amp;ROUNDUP(MONTH(tblTransactions[[#This Row],[Date]])/3,0)&amp;"-"&amp;YEAR(tblTransactions[[#This Row],[Date]])</f>
        <v>Q4-2024</v>
      </c>
      <c r="Q3184">
        <f>YEAR(tblTransactions[[#This Row],[Date]])</f>
        <v>2024</v>
      </c>
      <c r="R3184" t="str">
        <f>TEXT(tblTransactions[[#This Row],[Date]],"DDDD")</f>
        <v>Tuesday</v>
      </c>
      <c r="S3184">
        <f>MONTH(tblTransactions[[#This Row],[Date]])</f>
        <v>11</v>
      </c>
      <c r="T3184" t="str">
        <f>VLOOKUP(E3184, Products!$A:$B,2,0)</f>
        <v>Routers Tec-2</v>
      </c>
      <c r="U3184" t="str">
        <f>VLOOKUP(E3184,Products!$A:$C,3,0)</f>
        <v>Technology</v>
      </c>
      <c r="V3184" t="str">
        <f>VLOOKUP(E3184,Products!$A:$D,4,0)</f>
        <v>Routers</v>
      </c>
      <c r="W3184" t="str">
        <f>VLOOKUP(D3184,Customers!$A:$C,3,0)</f>
        <v>Small Business</v>
      </c>
      <c r="X3184" t="str">
        <f>VLOOKUP(C3184,Sales_Representatives!$A:$B,2,0)</f>
        <v>Thomas Hernandez</v>
      </c>
    </row>
    <row r="3185" spans="1:24" x14ac:dyDescent="0.3">
      <c r="A3185" t="s">
        <v>4308</v>
      </c>
      <c r="B3185" t="s">
        <v>4307</v>
      </c>
      <c r="C3185" t="s">
        <v>41</v>
      </c>
      <c r="D3185" t="s">
        <v>1621</v>
      </c>
      <c r="E3185" t="s">
        <v>38</v>
      </c>
      <c r="F3185">
        <v>3</v>
      </c>
      <c r="G3185">
        <v>581.47</v>
      </c>
      <c r="H3185">
        <v>0.03</v>
      </c>
      <c r="I3185" s="4">
        <v>1692.08</v>
      </c>
      <c r="J3185" t="s">
        <v>44</v>
      </c>
      <c r="K3185" t="s">
        <v>39</v>
      </c>
      <c r="L3185" s="4">
        <f>VLOOKUP(tblTransactions[[#This Row],[Product_ID]],tblProducts[],5,FALSE)</f>
        <v>372.07</v>
      </c>
      <c r="M3185" s="4">
        <f>tblTransactions[[#This Row],[Total_Amount]]-(tblTransactions[[#This Row],[Cost_Prices]]*tblTransactions[[#This Row],[Quantity]]*(1-tblTransactions[[#This Row],[Discount]]))</f>
        <v>609.35629999999992</v>
      </c>
      <c r="N3185" s="3">
        <f>tblTransactions[[#This Row],[Profit]]/tblTransactions[[#This Row],[Total_Amount]]</f>
        <v>0.36012263013569096</v>
      </c>
      <c r="O3185" t="str">
        <f>TEXT(tblTransactions[[#This Row],[Date]], "MMM-YYYY")</f>
        <v>Nov-2024</v>
      </c>
      <c r="P3185" t="str">
        <f>"Q"&amp;ROUNDUP(MONTH(tblTransactions[[#This Row],[Date]])/3,0)&amp;"-"&amp;YEAR(tblTransactions[[#This Row],[Date]])</f>
        <v>Q4-2024</v>
      </c>
      <c r="Q3185">
        <f>YEAR(tblTransactions[[#This Row],[Date]])</f>
        <v>2024</v>
      </c>
      <c r="R3185" t="str">
        <f>TEXT(tblTransactions[[#This Row],[Date]],"DDDD")</f>
        <v>Tuesday</v>
      </c>
      <c r="S3185">
        <f>MONTH(tblTransactions[[#This Row],[Date]])</f>
        <v>11</v>
      </c>
      <c r="T3185" t="str">
        <f>VLOOKUP(E3185, Products!$A:$B,2,0)</f>
        <v>Storage Fur-3</v>
      </c>
      <c r="U3185" t="str">
        <f>VLOOKUP(E3185,Products!$A:$C,3,0)</f>
        <v>Furniture</v>
      </c>
      <c r="V3185" t="str">
        <f>VLOOKUP(E3185,Products!$A:$D,4,0)</f>
        <v>Storage</v>
      </c>
      <c r="W3185" t="str">
        <f>VLOOKUP(D3185,Customers!$A:$C,3,0)</f>
        <v>B2C</v>
      </c>
      <c r="X3185" t="str">
        <f>VLOOKUP(C3185,Sales_Representatives!$A:$B,2,0)</f>
        <v>Robert Jones</v>
      </c>
    </row>
    <row r="3186" spans="1:24" x14ac:dyDescent="0.3">
      <c r="A3186" t="s">
        <v>4309</v>
      </c>
      <c r="B3186" t="s">
        <v>4307</v>
      </c>
      <c r="C3186" t="s">
        <v>127</v>
      </c>
      <c r="D3186" t="s">
        <v>2690</v>
      </c>
      <c r="E3186" t="s">
        <v>224</v>
      </c>
      <c r="F3186">
        <v>46</v>
      </c>
      <c r="G3186">
        <v>505.37</v>
      </c>
      <c r="H3186">
        <v>0.21</v>
      </c>
      <c r="I3186" s="4">
        <v>18365.150000000001</v>
      </c>
      <c r="J3186" t="s">
        <v>109</v>
      </c>
      <c r="K3186" t="s">
        <v>39</v>
      </c>
      <c r="L3186" s="4">
        <f>VLOOKUP(tblTransactions[[#This Row],[Product_ID]],tblProducts[],5,FALSE)</f>
        <v>281.14999999999998</v>
      </c>
      <c r="M3186" s="4">
        <f>tblTransactions[[#This Row],[Total_Amount]]-(tblTransactions[[#This Row],[Cost_Prices]]*tblTransactions[[#This Row],[Quantity]]*(1-tblTransactions[[#This Row],[Discount]]))</f>
        <v>8148.1590000000015</v>
      </c>
      <c r="N3186" s="3">
        <f>tblTransactions[[#This Row],[Profit]]/tblTransactions[[#This Row],[Total_Amount]]</f>
        <v>0.44367505846671551</v>
      </c>
      <c r="O3186" t="str">
        <f>TEXT(tblTransactions[[#This Row],[Date]], "MMM-YYYY")</f>
        <v>Nov-2024</v>
      </c>
      <c r="P3186" t="str">
        <f>"Q"&amp;ROUNDUP(MONTH(tblTransactions[[#This Row],[Date]])/3,0)&amp;"-"&amp;YEAR(tblTransactions[[#This Row],[Date]])</f>
        <v>Q4-2024</v>
      </c>
      <c r="Q3186">
        <f>YEAR(tblTransactions[[#This Row],[Date]])</f>
        <v>2024</v>
      </c>
      <c r="R3186" t="str">
        <f>TEXT(tblTransactions[[#This Row],[Date]],"DDDD")</f>
        <v>Tuesday</v>
      </c>
      <c r="S3186">
        <f>MONTH(tblTransactions[[#This Row],[Date]])</f>
        <v>11</v>
      </c>
      <c r="T3186" t="str">
        <f>VLOOKUP(E3186, Products!$A:$B,2,0)</f>
        <v>Desks Fur-3</v>
      </c>
      <c r="U3186" t="str">
        <f>VLOOKUP(E3186,Products!$A:$C,3,0)</f>
        <v>Furniture</v>
      </c>
      <c r="V3186" t="str">
        <f>VLOOKUP(E3186,Products!$A:$D,4,0)</f>
        <v>Desks</v>
      </c>
      <c r="W3186" t="str">
        <f>VLOOKUP(D3186,Customers!$A:$C,3,0)</f>
        <v>Enterprise</v>
      </c>
      <c r="X3186" t="str">
        <f>VLOOKUP(C3186,Sales_Representatives!$A:$B,2,0)</f>
        <v>Emily Hernandez</v>
      </c>
    </row>
    <row r="3187" spans="1:24" x14ac:dyDescent="0.3">
      <c r="A3187" t="s">
        <v>4310</v>
      </c>
      <c r="B3187" t="s">
        <v>4307</v>
      </c>
      <c r="C3187" t="s">
        <v>59</v>
      </c>
      <c r="D3187" t="s">
        <v>2868</v>
      </c>
      <c r="E3187" t="s">
        <v>20</v>
      </c>
      <c r="F3187">
        <v>13</v>
      </c>
      <c r="G3187">
        <v>1219.49</v>
      </c>
      <c r="H3187">
        <v>0.1</v>
      </c>
      <c r="I3187" s="4">
        <v>14268.03</v>
      </c>
      <c r="J3187" t="s">
        <v>21</v>
      </c>
      <c r="K3187" t="s">
        <v>22</v>
      </c>
      <c r="L3187" s="4">
        <f>VLOOKUP(tblTransactions[[#This Row],[Product_ID]],tblProducts[],5,FALSE)</f>
        <v>686.9</v>
      </c>
      <c r="M3187" s="4">
        <f>tblTransactions[[#This Row],[Total_Amount]]-(tblTransactions[[#This Row],[Cost_Prices]]*tblTransactions[[#This Row],[Quantity]]*(1-tblTransactions[[#This Row],[Discount]]))</f>
        <v>6231.3000000000011</v>
      </c>
      <c r="N3187" s="3">
        <f>tblTransactions[[#This Row],[Profit]]/tblTransactions[[#This Row],[Total_Amount]]</f>
        <v>0.43673163008488214</v>
      </c>
      <c r="O3187" t="str">
        <f>TEXT(tblTransactions[[#This Row],[Date]], "MMM-YYYY")</f>
        <v>Nov-2024</v>
      </c>
      <c r="P3187" t="str">
        <f>"Q"&amp;ROUNDUP(MONTH(tblTransactions[[#This Row],[Date]])/3,0)&amp;"-"&amp;YEAR(tblTransactions[[#This Row],[Date]])</f>
        <v>Q4-2024</v>
      </c>
      <c r="Q3187">
        <f>YEAR(tblTransactions[[#This Row],[Date]])</f>
        <v>2024</v>
      </c>
      <c r="R3187" t="str">
        <f>TEXT(tblTransactions[[#This Row],[Date]],"DDDD")</f>
        <v>Tuesday</v>
      </c>
      <c r="S3187">
        <f>MONTH(tblTransactions[[#This Row],[Date]])</f>
        <v>11</v>
      </c>
      <c r="T3187" t="str">
        <f>VLOOKUP(E3187, Products!$A:$B,2,0)</f>
        <v>Laptops Ele-1</v>
      </c>
      <c r="U3187" t="str">
        <f>VLOOKUP(E3187,Products!$A:$C,3,0)</f>
        <v>Electronics</v>
      </c>
      <c r="V3187" t="str">
        <f>VLOOKUP(E3187,Products!$A:$D,4,0)</f>
        <v>Laptops</v>
      </c>
      <c r="W3187" t="str">
        <f>VLOOKUP(D3187,Customers!$A:$C,3,0)</f>
        <v>B2B</v>
      </c>
      <c r="X3187" t="str">
        <f>VLOOKUP(C3187,Sales_Representatives!$A:$B,2,0)</f>
        <v>Sarah Brown</v>
      </c>
    </row>
    <row r="3188" spans="1:24" x14ac:dyDescent="0.3">
      <c r="A3188" t="s">
        <v>4311</v>
      </c>
      <c r="B3188" t="s">
        <v>4307</v>
      </c>
      <c r="C3188" t="s">
        <v>141</v>
      </c>
      <c r="D3188" t="s">
        <v>2507</v>
      </c>
      <c r="E3188" t="s">
        <v>290</v>
      </c>
      <c r="F3188">
        <v>5</v>
      </c>
      <c r="G3188">
        <v>729.32</v>
      </c>
      <c r="H3188">
        <v>0.03</v>
      </c>
      <c r="I3188" s="4">
        <v>3537.2</v>
      </c>
      <c r="J3188" t="s">
        <v>109</v>
      </c>
      <c r="K3188" t="s">
        <v>39</v>
      </c>
      <c r="L3188" s="4">
        <f>VLOOKUP(tblTransactions[[#This Row],[Product_ID]],tblProducts[],5,FALSE)</f>
        <v>482.7</v>
      </c>
      <c r="M3188" s="4">
        <f>tblTransactions[[#This Row],[Total_Amount]]-(tblTransactions[[#This Row],[Cost_Prices]]*tblTransactions[[#This Row],[Quantity]]*(1-tblTransactions[[#This Row],[Discount]]))</f>
        <v>1196.105</v>
      </c>
      <c r="N3188" s="3">
        <f>tblTransactions[[#This Row],[Profit]]/tblTransactions[[#This Row],[Total_Amount]]</f>
        <v>0.33815023182177995</v>
      </c>
      <c r="O3188" t="str">
        <f>TEXT(tblTransactions[[#This Row],[Date]], "MMM-YYYY")</f>
        <v>Nov-2024</v>
      </c>
      <c r="P3188" t="str">
        <f>"Q"&amp;ROUNDUP(MONTH(tblTransactions[[#This Row],[Date]])/3,0)&amp;"-"&amp;YEAR(tblTransactions[[#This Row],[Date]])</f>
        <v>Q4-2024</v>
      </c>
      <c r="Q3188">
        <f>YEAR(tblTransactions[[#This Row],[Date]])</f>
        <v>2024</v>
      </c>
      <c r="R3188" t="str">
        <f>TEXT(tblTransactions[[#This Row],[Date]],"DDDD")</f>
        <v>Tuesday</v>
      </c>
      <c r="S3188">
        <f>MONTH(tblTransactions[[#This Row],[Date]])</f>
        <v>11</v>
      </c>
      <c r="T3188" t="str">
        <f>VLOOKUP(E3188, Products!$A:$B,2,0)</f>
        <v>Tables Fur-1</v>
      </c>
      <c r="U3188" t="str">
        <f>VLOOKUP(E3188,Products!$A:$C,3,0)</f>
        <v>Furniture</v>
      </c>
      <c r="V3188" t="str">
        <f>VLOOKUP(E3188,Products!$A:$D,4,0)</f>
        <v>Tables</v>
      </c>
      <c r="W3188" t="str">
        <f>VLOOKUP(D3188,Customers!$A:$C,3,0)</f>
        <v>B2B</v>
      </c>
      <c r="X3188" t="str">
        <f>VLOOKUP(C3188,Sales_Representatives!$A:$B,2,0)</f>
        <v>Richard Garcia</v>
      </c>
    </row>
    <row r="3189" spans="1:24" x14ac:dyDescent="0.3">
      <c r="A3189" t="s">
        <v>4312</v>
      </c>
      <c r="B3189" t="s">
        <v>4307</v>
      </c>
      <c r="C3189" t="s">
        <v>107</v>
      </c>
      <c r="D3189" t="s">
        <v>2612</v>
      </c>
      <c r="E3189" t="s">
        <v>105</v>
      </c>
      <c r="F3189">
        <v>2</v>
      </c>
      <c r="G3189">
        <v>1342.04</v>
      </c>
      <c r="H3189">
        <v>0.05</v>
      </c>
      <c r="I3189" s="4">
        <v>2549.88</v>
      </c>
      <c r="J3189" t="s">
        <v>109</v>
      </c>
      <c r="K3189" t="s">
        <v>48</v>
      </c>
      <c r="L3189" s="4">
        <f>VLOOKUP(tblTransactions[[#This Row],[Product_ID]],tblProducts[],5,FALSE)</f>
        <v>792.89</v>
      </c>
      <c r="M3189" s="4">
        <f>tblTransactions[[#This Row],[Total_Amount]]-(tblTransactions[[#This Row],[Cost_Prices]]*tblTransactions[[#This Row],[Quantity]]*(1-tblTransactions[[#This Row],[Discount]]))</f>
        <v>1043.3890000000001</v>
      </c>
      <c r="N3189" s="3">
        <f>tblTransactions[[#This Row],[Profit]]/tblTransactions[[#This Row],[Total_Amount]]</f>
        <v>0.40919141292923594</v>
      </c>
      <c r="O3189" t="str">
        <f>TEXT(tblTransactions[[#This Row],[Date]], "MMM-YYYY")</f>
        <v>Nov-2024</v>
      </c>
      <c r="P3189" t="str">
        <f>"Q"&amp;ROUNDUP(MONTH(tblTransactions[[#This Row],[Date]])/3,0)&amp;"-"&amp;YEAR(tblTransactions[[#This Row],[Date]])</f>
        <v>Q4-2024</v>
      </c>
      <c r="Q3189">
        <f>YEAR(tblTransactions[[#This Row],[Date]])</f>
        <v>2024</v>
      </c>
      <c r="R3189" t="str">
        <f>TEXT(tblTransactions[[#This Row],[Date]],"DDDD")</f>
        <v>Tuesday</v>
      </c>
      <c r="S3189">
        <f>MONTH(tblTransactions[[#This Row],[Date]])</f>
        <v>11</v>
      </c>
      <c r="T3189" t="str">
        <f>VLOOKUP(E3189, Products!$A:$B,2,0)</f>
        <v>Cameras Ele-1</v>
      </c>
      <c r="U3189" t="str">
        <f>VLOOKUP(E3189,Products!$A:$C,3,0)</f>
        <v>Electronics</v>
      </c>
      <c r="V3189" t="str">
        <f>VLOOKUP(E3189,Products!$A:$D,4,0)</f>
        <v>Cameras</v>
      </c>
      <c r="W3189" t="str">
        <f>VLOOKUP(D3189,Customers!$A:$C,3,0)</f>
        <v>B2B</v>
      </c>
      <c r="X3189" t="str">
        <f>VLOOKUP(C3189,Sales_Representatives!$A:$B,2,0)</f>
        <v>Jennifer Brown</v>
      </c>
    </row>
    <row r="3190" spans="1:24" x14ac:dyDescent="0.3">
      <c r="A3190" t="s">
        <v>4313</v>
      </c>
      <c r="B3190" t="s">
        <v>4314</v>
      </c>
      <c r="C3190" t="s">
        <v>56</v>
      </c>
      <c r="D3190" t="s">
        <v>2756</v>
      </c>
      <c r="E3190" t="s">
        <v>96</v>
      </c>
      <c r="F3190">
        <v>3</v>
      </c>
      <c r="G3190">
        <v>751.9</v>
      </c>
      <c r="H3190">
        <v>0.1</v>
      </c>
      <c r="I3190" s="4">
        <v>2030.13</v>
      </c>
      <c r="J3190" t="s">
        <v>34</v>
      </c>
      <c r="K3190" t="s">
        <v>35</v>
      </c>
      <c r="L3190" s="4">
        <f>VLOOKUP(tblTransactions[[#This Row],[Product_ID]],tblProducts[],5,FALSE)</f>
        <v>570.29</v>
      </c>
      <c r="M3190" s="4">
        <f>tblTransactions[[#This Row],[Total_Amount]]-(tblTransactions[[#This Row],[Cost_Prices]]*tblTransactions[[#This Row],[Quantity]]*(1-tblTransactions[[#This Row],[Discount]]))</f>
        <v>490.34700000000021</v>
      </c>
      <c r="N3190" s="3">
        <f>tblTransactions[[#This Row],[Profit]]/tblTransactions[[#This Row],[Total_Amount]]</f>
        <v>0.24153477856097894</v>
      </c>
      <c r="O3190" t="str">
        <f>TEXT(tblTransactions[[#This Row],[Date]], "MMM-YYYY")</f>
        <v>Nov-2024</v>
      </c>
      <c r="P3190" t="str">
        <f>"Q"&amp;ROUNDUP(MONTH(tblTransactions[[#This Row],[Date]])/3,0)&amp;"-"&amp;YEAR(tblTransactions[[#This Row],[Date]])</f>
        <v>Q4-2024</v>
      </c>
      <c r="Q3190">
        <f>YEAR(tblTransactions[[#This Row],[Date]])</f>
        <v>2024</v>
      </c>
      <c r="R3190" t="str">
        <f>TEXT(tblTransactions[[#This Row],[Date]],"DDDD")</f>
        <v>Wednesday</v>
      </c>
      <c r="S3190">
        <f>MONTH(tblTransactions[[#This Row],[Date]])</f>
        <v>11</v>
      </c>
      <c r="T3190" t="str">
        <f>VLOOKUP(E3190, Products!$A:$B,2,0)</f>
        <v>Routers Tec-1</v>
      </c>
      <c r="U3190" t="str">
        <f>VLOOKUP(E3190,Products!$A:$C,3,0)</f>
        <v>Technology</v>
      </c>
      <c r="V3190" t="str">
        <f>VLOOKUP(E3190,Products!$A:$D,4,0)</f>
        <v>Routers</v>
      </c>
      <c r="W3190" t="str">
        <f>VLOOKUP(D3190,Customers!$A:$C,3,0)</f>
        <v>B2C</v>
      </c>
      <c r="X3190" t="str">
        <f>VLOOKUP(C3190,Sales_Representatives!$A:$B,2,0)</f>
        <v>Thomas Hernandez</v>
      </c>
    </row>
    <row r="3191" spans="1:24" x14ac:dyDescent="0.3">
      <c r="A3191" t="s">
        <v>4315</v>
      </c>
      <c r="B3191" t="s">
        <v>4314</v>
      </c>
      <c r="C3191" t="s">
        <v>27</v>
      </c>
      <c r="D3191" t="s">
        <v>2718</v>
      </c>
      <c r="E3191" t="s">
        <v>145</v>
      </c>
      <c r="F3191">
        <v>6</v>
      </c>
      <c r="G3191">
        <v>93.43</v>
      </c>
      <c r="H3191">
        <v>0.13</v>
      </c>
      <c r="I3191" s="4">
        <v>487.7</v>
      </c>
      <c r="J3191" t="s">
        <v>16</v>
      </c>
      <c r="K3191" t="s">
        <v>22</v>
      </c>
      <c r="L3191" s="4">
        <f>VLOOKUP(tblTransactions[[#This Row],[Product_ID]],tblProducts[],5,FALSE)</f>
        <v>45.74</v>
      </c>
      <c r="M3191" s="4">
        <f>tblTransactions[[#This Row],[Total_Amount]]-(tblTransactions[[#This Row],[Cost_Prices]]*tblTransactions[[#This Row],[Quantity]]*(1-tblTransactions[[#This Row],[Discount]]))</f>
        <v>248.93719999999999</v>
      </c>
      <c r="N3191" s="3">
        <f>tblTransactions[[#This Row],[Profit]]/tblTransactions[[#This Row],[Total_Amount]]</f>
        <v>0.51043100266557306</v>
      </c>
      <c r="O3191" t="str">
        <f>TEXT(tblTransactions[[#This Row],[Date]], "MMM-YYYY")</f>
        <v>Nov-2024</v>
      </c>
      <c r="P3191" t="str">
        <f>"Q"&amp;ROUNDUP(MONTH(tblTransactions[[#This Row],[Date]])/3,0)&amp;"-"&amp;YEAR(tblTransactions[[#This Row],[Date]])</f>
        <v>Q4-2024</v>
      </c>
      <c r="Q3191">
        <f>YEAR(tblTransactions[[#This Row],[Date]])</f>
        <v>2024</v>
      </c>
      <c r="R3191" t="str">
        <f>TEXT(tblTransactions[[#This Row],[Date]],"DDDD")</f>
        <v>Wednesday</v>
      </c>
      <c r="S3191">
        <f>MONTH(tblTransactions[[#This Row],[Date]])</f>
        <v>11</v>
      </c>
      <c r="T3191" t="str">
        <f>VLOOKUP(E3191, Products!$A:$B,2,0)</f>
        <v>Paper Off-1</v>
      </c>
      <c r="U3191" t="str">
        <f>VLOOKUP(E3191,Products!$A:$C,3,0)</f>
        <v>Office Supplies</v>
      </c>
      <c r="V3191" t="str">
        <f>VLOOKUP(E3191,Products!$A:$D,4,0)</f>
        <v>Paper</v>
      </c>
      <c r="W3191" t="str">
        <f>VLOOKUP(D3191,Customers!$A:$C,3,0)</f>
        <v>B2C</v>
      </c>
      <c r="X3191" t="str">
        <f>VLOOKUP(C3191,Sales_Representatives!$A:$B,2,0)</f>
        <v>Thomas Lopez</v>
      </c>
    </row>
    <row r="3192" spans="1:24" x14ac:dyDescent="0.3">
      <c r="A3192" t="s">
        <v>4316</v>
      </c>
      <c r="B3192" t="s">
        <v>4314</v>
      </c>
      <c r="C3192" t="s">
        <v>59</v>
      </c>
      <c r="D3192" t="s">
        <v>1532</v>
      </c>
      <c r="E3192" t="s">
        <v>339</v>
      </c>
      <c r="F3192">
        <v>9</v>
      </c>
      <c r="G3192">
        <v>1100.8800000000001</v>
      </c>
      <c r="H3192">
        <v>0.12</v>
      </c>
      <c r="I3192" s="4">
        <v>8718.9699999999993</v>
      </c>
      <c r="J3192" t="s">
        <v>21</v>
      </c>
      <c r="K3192" t="s">
        <v>39</v>
      </c>
      <c r="L3192" s="4">
        <f>VLOOKUP(tblTransactions[[#This Row],[Product_ID]],tblProducts[],5,FALSE)</f>
        <v>761.53</v>
      </c>
      <c r="M3192" s="4">
        <f>tblTransactions[[#This Row],[Total_Amount]]-(tblTransactions[[#This Row],[Cost_Prices]]*tblTransactions[[#This Row],[Quantity]]*(1-tblTransactions[[#This Row],[Discount]]))</f>
        <v>2687.6523999999999</v>
      </c>
      <c r="N3192" s="3">
        <f>tblTransactions[[#This Row],[Profit]]/tblTransactions[[#This Row],[Total_Amount]]</f>
        <v>0.30825342901741837</v>
      </c>
      <c r="O3192" t="str">
        <f>TEXT(tblTransactions[[#This Row],[Date]], "MMM-YYYY")</f>
        <v>Nov-2024</v>
      </c>
      <c r="P3192" t="str">
        <f>"Q"&amp;ROUNDUP(MONTH(tblTransactions[[#This Row],[Date]])/3,0)&amp;"-"&amp;YEAR(tblTransactions[[#This Row],[Date]])</f>
        <v>Q4-2024</v>
      </c>
      <c r="Q3192">
        <f>YEAR(tblTransactions[[#This Row],[Date]])</f>
        <v>2024</v>
      </c>
      <c r="R3192" t="str">
        <f>TEXT(tblTransactions[[#This Row],[Date]],"DDDD")</f>
        <v>Wednesday</v>
      </c>
      <c r="S3192">
        <f>MONTH(tblTransactions[[#This Row],[Date]])</f>
        <v>11</v>
      </c>
      <c r="T3192" t="str">
        <f>VLOOKUP(E3192, Products!$A:$B,2,0)</f>
        <v>Phones Ele-2</v>
      </c>
      <c r="U3192" t="str">
        <f>VLOOKUP(E3192,Products!$A:$C,3,0)</f>
        <v>Electronics</v>
      </c>
      <c r="V3192" t="str">
        <f>VLOOKUP(E3192,Products!$A:$D,4,0)</f>
        <v>Phones</v>
      </c>
      <c r="W3192" t="str">
        <f>VLOOKUP(D3192,Customers!$A:$C,3,0)</f>
        <v>Enterprise</v>
      </c>
      <c r="X3192" t="str">
        <f>VLOOKUP(C3192,Sales_Representatives!$A:$B,2,0)</f>
        <v>Sarah Brown</v>
      </c>
    </row>
    <row r="3193" spans="1:24" x14ac:dyDescent="0.3">
      <c r="A3193" t="s">
        <v>4317</v>
      </c>
      <c r="B3193" t="s">
        <v>4314</v>
      </c>
      <c r="C3193" t="s">
        <v>59</v>
      </c>
      <c r="D3193" t="s">
        <v>3001</v>
      </c>
      <c r="E3193" t="s">
        <v>102</v>
      </c>
      <c r="F3193">
        <v>6</v>
      </c>
      <c r="G3193">
        <v>1097.75</v>
      </c>
      <c r="H3193">
        <v>0.09</v>
      </c>
      <c r="I3193" s="4">
        <v>5993.72</v>
      </c>
      <c r="J3193" t="s">
        <v>21</v>
      </c>
      <c r="K3193" t="s">
        <v>17</v>
      </c>
      <c r="L3193" s="4">
        <f>VLOOKUP(tblTransactions[[#This Row],[Product_ID]],tblProducts[],5,FALSE)</f>
        <v>680.12</v>
      </c>
      <c r="M3193" s="4">
        <f>tblTransactions[[#This Row],[Total_Amount]]-(tblTransactions[[#This Row],[Cost_Prices]]*tblTransactions[[#This Row],[Quantity]]*(1-tblTransactions[[#This Row],[Discount]]))</f>
        <v>2280.2647999999999</v>
      </c>
      <c r="N3193" s="3">
        <f>tblTransactions[[#This Row],[Profit]]/tblTransactions[[#This Row],[Total_Amount]]</f>
        <v>0.38044232963835478</v>
      </c>
      <c r="O3193" t="str">
        <f>TEXT(tblTransactions[[#This Row],[Date]], "MMM-YYYY")</f>
        <v>Nov-2024</v>
      </c>
      <c r="P3193" t="str">
        <f>"Q"&amp;ROUNDUP(MONTH(tblTransactions[[#This Row],[Date]])/3,0)&amp;"-"&amp;YEAR(tblTransactions[[#This Row],[Date]])</f>
        <v>Q4-2024</v>
      </c>
      <c r="Q3193">
        <f>YEAR(tblTransactions[[#This Row],[Date]])</f>
        <v>2024</v>
      </c>
      <c r="R3193" t="str">
        <f>TEXT(tblTransactions[[#This Row],[Date]],"DDDD")</f>
        <v>Wednesday</v>
      </c>
      <c r="S3193">
        <f>MONTH(tblTransactions[[#This Row],[Date]])</f>
        <v>11</v>
      </c>
      <c r="T3193" t="str">
        <f>VLOOKUP(E3193, Products!$A:$B,2,0)</f>
        <v>Storage Fur-4</v>
      </c>
      <c r="U3193" t="str">
        <f>VLOOKUP(E3193,Products!$A:$C,3,0)</f>
        <v>Furniture</v>
      </c>
      <c r="V3193" t="str">
        <f>VLOOKUP(E3193,Products!$A:$D,4,0)</f>
        <v>Storage</v>
      </c>
      <c r="W3193" t="str">
        <f>VLOOKUP(D3193,Customers!$A:$C,3,0)</f>
        <v>B2B</v>
      </c>
      <c r="X3193" t="str">
        <f>VLOOKUP(C3193,Sales_Representatives!$A:$B,2,0)</f>
        <v>Sarah Brown</v>
      </c>
    </row>
    <row r="3194" spans="1:24" x14ac:dyDescent="0.3">
      <c r="A3194" t="s">
        <v>4318</v>
      </c>
      <c r="B3194" t="s">
        <v>4314</v>
      </c>
      <c r="C3194" t="s">
        <v>27</v>
      </c>
      <c r="D3194" t="s">
        <v>128</v>
      </c>
      <c r="E3194" t="s">
        <v>137</v>
      </c>
      <c r="F3194">
        <v>9</v>
      </c>
      <c r="G3194">
        <v>241.39</v>
      </c>
      <c r="H3194">
        <v>0.15</v>
      </c>
      <c r="I3194" s="4">
        <v>1846.63</v>
      </c>
      <c r="J3194" t="s">
        <v>16</v>
      </c>
      <c r="K3194" t="s">
        <v>48</v>
      </c>
      <c r="L3194" s="4">
        <f>VLOOKUP(tblTransactions[[#This Row],[Product_ID]],tblProducts[],5,FALSE)</f>
        <v>124.07</v>
      </c>
      <c r="M3194" s="4">
        <f>tblTransactions[[#This Row],[Total_Amount]]-(tblTransactions[[#This Row],[Cost_Prices]]*tblTransactions[[#This Row],[Quantity]]*(1-tblTransactions[[#This Row],[Discount]]))</f>
        <v>897.49450000000024</v>
      </c>
      <c r="N3194" s="3">
        <f>tblTransactions[[#This Row],[Profit]]/tblTransactions[[#This Row],[Total_Amount]]</f>
        <v>0.48601750215256995</v>
      </c>
      <c r="O3194" t="str">
        <f>TEXT(tblTransactions[[#This Row],[Date]], "MMM-YYYY")</f>
        <v>Nov-2024</v>
      </c>
      <c r="P3194" t="str">
        <f>"Q"&amp;ROUNDUP(MONTH(tblTransactions[[#This Row],[Date]])/3,0)&amp;"-"&amp;YEAR(tblTransactions[[#This Row],[Date]])</f>
        <v>Q4-2024</v>
      </c>
      <c r="Q3194">
        <f>YEAR(tblTransactions[[#This Row],[Date]])</f>
        <v>2024</v>
      </c>
      <c r="R3194" t="str">
        <f>TEXT(tblTransactions[[#This Row],[Date]],"DDDD")</f>
        <v>Wednesday</v>
      </c>
      <c r="S3194">
        <f>MONTH(tblTransactions[[#This Row],[Date]])</f>
        <v>11</v>
      </c>
      <c r="T3194" t="str">
        <f>VLOOKUP(E3194, Products!$A:$B,2,0)</f>
        <v>Desks Fur-2</v>
      </c>
      <c r="U3194" t="str">
        <f>VLOOKUP(E3194,Products!$A:$C,3,0)</f>
        <v>Furniture</v>
      </c>
      <c r="V3194" t="str">
        <f>VLOOKUP(E3194,Products!$A:$D,4,0)</f>
        <v>Desks</v>
      </c>
      <c r="W3194" t="str">
        <f>VLOOKUP(D3194,Customers!$A:$C,3,0)</f>
        <v>B2B</v>
      </c>
      <c r="X3194" t="str">
        <f>VLOOKUP(C3194,Sales_Representatives!$A:$B,2,0)</f>
        <v>Thomas Lopez</v>
      </c>
    </row>
    <row r="3195" spans="1:24" x14ac:dyDescent="0.3">
      <c r="A3195" t="s">
        <v>4319</v>
      </c>
      <c r="B3195" t="s">
        <v>4314</v>
      </c>
      <c r="C3195" t="s">
        <v>131</v>
      </c>
      <c r="D3195" t="s">
        <v>1819</v>
      </c>
      <c r="E3195" t="s">
        <v>125</v>
      </c>
      <c r="F3195">
        <v>6</v>
      </c>
      <c r="G3195">
        <v>1201.4000000000001</v>
      </c>
      <c r="H3195">
        <v>0.1</v>
      </c>
      <c r="I3195" s="4">
        <v>6487.56</v>
      </c>
      <c r="J3195" t="s">
        <v>44</v>
      </c>
      <c r="K3195" t="s">
        <v>35</v>
      </c>
      <c r="L3195" s="4">
        <f>VLOOKUP(tblTransactions[[#This Row],[Product_ID]],tblProducts[],5,FALSE)</f>
        <v>672.72</v>
      </c>
      <c r="M3195" s="4">
        <f>tblTransactions[[#This Row],[Total_Amount]]-(tblTransactions[[#This Row],[Cost_Prices]]*tblTransactions[[#This Row],[Quantity]]*(1-tblTransactions[[#This Row],[Discount]]))</f>
        <v>2854.8720000000003</v>
      </c>
      <c r="N3195" s="3">
        <f>tblTransactions[[#This Row],[Profit]]/tblTransactions[[#This Row],[Total_Amount]]</f>
        <v>0.44005327118361914</v>
      </c>
      <c r="O3195" t="str">
        <f>TEXT(tblTransactions[[#This Row],[Date]], "MMM-YYYY")</f>
        <v>Nov-2024</v>
      </c>
      <c r="P3195" t="str">
        <f>"Q"&amp;ROUNDUP(MONTH(tblTransactions[[#This Row],[Date]])/3,0)&amp;"-"&amp;YEAR(tblTransactions[[#This Row],[Date]])</f>
        <v>Q4-2024</v>
      </c>
      <c r="Q3195">
        <f>YEAR(tblTransactions[[#This Row],[Date]])</f>
        <v>2024</v>
      </c>
      <c r="R3195" t="str">
        <f>TEXT(tblTransactions[[#This Row],[Date]],"DDDD")</f>
        <v>Wednesday</v>
      </c>
      <c r="S3195">
        <f>MONTH(tblTransactions[[#This Row],[Date]])</f>
        <v>11</v>
      </c>
      <c r="T3195" t="str">
        <f>VLOOKUP(E3195, Products!$A:$B,2,0)</f>
        <v>Printers Tec-2</v>
      </c>
      <c r="U3195" t="str">
        <f>VLOOKUP(E3195,Products!$A:$C,3,0)</f>
        <v>Technology</v>
      </c>
      <c r="V3195" t="str">
        <f>VLOOKUP(E3195,Products!$A:$D,4,0)</f>
        <v>Printers</v>
      </c>
      <c r="W3195" t="str">
        <f>VLOOKUP(D3195,Customers!$A:$C,3,0)</f>
        <v>Small Business</v>
      </c>
      <c r="X3195" t="str">
        <f>VLOOKUP(C3195,Sales_Representatives!$A:$B,2,0)</f>
        <v>Michael Davis</v>
      </c>
    </row>
    <row r="3196" spans="1:24" x14ac:dyDescent="0.3">
      <c r="A3196" t="s">
        <v>4320</v>
      </c>
      <c r="B3196" t="s">
        <v>4314</v>
      </c>
      <c r="C3196" t="s">
        <v>82</v>
      </c>
      <c r="D3196" t="s">
        <v>166</v>
      </c>
      <c r="E3196" t="s">
        <v>113</v>
      </c>
      <c r="F3196">
        <v>6</v>
      </c>
      <c r="G3196">
        <v>930.41</v>
      </c>
      <c r="H3196">
        <v>7.0000000000000007E-2</v>
      </c>
      <c r="I3196" s="4">
        <v>5191.6899999999996</v>
      </c>
      <c r="J3196" t="s">
        <v>34</v>
      </c>
      <c r="K3196" t="s">
        <v>39</v>
      </c>
      <c r="L3196" s="4">
        <f>VLOOKUP(tblTransactions[[#This Row],[Product_ID]],tblProducts[],5,FALSE)</f>
        <v>595.51</v>
      </c>
      <c r="M3196" s="4">
        <f>tblTransactions[[#This Row],[Total_Amount]]-(tblTransactions[[#This Row],[Cost_Prices]]*tblTransactions[[#This Row],[Quantity]]*(1-tblTransactions[[#This Row],[Discount]]))</f>
        <v>1868.7442000000001</v>
      </c>
      <c r="N3196" s="3">
        <f>tblTransactions[[#This Row],[Profit]]/tblTransactions[[#This Row],[Total_Amount]]</f>
        <v>0.35994911098312887</v>
      </c>
      <c r="O3196" t="str">
        <f>TEXT(tblTransactions[[#This Row],[Date]], "MMM-YYYY")</f>
        <v>Nov-2024</v>
      </c>
      <c r="P3196" t="str">
        <f>"Q"&amp;ROUNDUP(MONTH(tblTransactions[[#This Row],[Date]])/3,0)&amp;"-"&amp;YEAR(tblTransactions[[#This Row],[Date]])</f>
        <v>Q4-2024</v>
      </c>
      <c r="Q3196">
        <f>YEAR(tblTransactions[[#This Row],[Date]])</f>
        <v>2024</v>
      </c>
      <c r="R3196" t="str">
        <f>TEXT(tblTransactions[[#This Row],[Date]],"DDDD")</f>
        <v>Wednesday</v>
      </c>
      <c r="S3196">
        <f>MONTH(tblTransactions[[#This Row],[Date]])</f>
        <v>11</v>
      </c>
      <c r="T3196" t="str">
        <f>VLOOKUP(E3196, Products!$A:$B,2,0)</f>
        <v>Phones Ele-1</v>
      </c>
      <c r="U3196" t="str">
        <f>VLOOKUP(E3196,Products!$A:$C,3,0)</f>
        <v>Electronics</v>
      </c>
      <c r="V3196" t="str">
        <f>VLOOKUP(E3196,Products!$A:$D,4,0)</f>
        <v>Phones</v>
      </c>
      <c r="W3196" t="str">
        <f>VLOOKUP(D3196,Customers!$A:$C,3,0)</f>
        <v>B2C</v>
      </c>
      <c r="X3196" t="str">
        <f>VLOOKUP(C3196,Sales_Representatives!$A:$B,2,0)</f>
        <v>John Brown</v>
      </c>
    </row>
    <row r="3197" spans="1:24" x14ac:dyDescent="0.3">
      <c r="A3197" t="s">
        <v>4321</v>
      </c>
      <c r="B3197" t="s">
        <v>4314</v>
      </c>
      <c r="C3197" t="s">
        <v>31</v>
      </c>
      <c r="D3197" t="s">
        <v>1774</v>
      </c>
      <c r="E3197" t="s">
        <v>38</v>
      </c>
      <c r="F3197">
        <v>31</v>
      </c>
      <c r="G3197">
        <v>581.47</v>
      </c>
      <c r="H3197">
        <v>0.22</v>
      </c>
      <c r="I3197" s="4">
        <v>14059.94</v>
      </c>
      <c r="J3197" t="s">
        <v>34</v>
      </c>
      <c r="K3197" t="s">
        <v>17</v>
      </c>
      <c r="L3197" s="4">
        <f>VLOOKUP(tblTransactions[[#This Row],[Product_ID]],tblProducts[],5,FALSE)</f>
        <v>372.07</v>
      </c>
      <c r="M3197" s="4">
        <f>tblTransactions[[#This Row],[Total_Amount]]-(tblTransactions[[#This Row],[Cost_Prices]]*tblTransactions[[#This Row],[Quantity]]*(1-tblTransactions[[#This Row],[Discount]]))</f>
        <v>5063.2873999999993</v>
      </c>
      <c r="N3197" s="3">
        <f>tblTransactions[[#This Row],[Profit]]/tblTransactions[[#This Row],[Total_Amount]]</f>
        <v>0.36012155101657611</v>
      </c>
      <c r="O3197" t="str">
        <f>TEXT(tblTransactions[[#This Row],[Date]], "MMM-YYYY")</f>
        <v>Nov-2024</v>
      </c>
      <c r="P3197" t="str">
        <f>"Q"&amp;ROUNDUP(MONTH(tblTransactions[[#This Row],[Date]])/3,0)&amp;"-"&amp;YEAR(tblTransactions[[#This Row],[Date]])</f>
        <v>Q4-2024</v>
      </c>
      <c r="Q3197">
        <f>YEAR(tblTransactions[[#This Row],[Date]])</f>
        <v>2024</v>
      </c>
      <c r="R3197" t="str">
        <f>TEXT(tblTransactions[[#This Row],[Date]],"DDDD")</f>
        <v>Wednesday</v>
      </c>
      <c r="S3197">
        <f>MONTH(tblTransactions[[#This Row],[Date]])</f>
        <v>11</v>
      </c>
      <c r="T3197" t="str">
        <f>VLOOKUP(E3197, Products!$A:$B,2,0)</f>
        <v>Storage Fur-3</v>
      </c>
      <c r="U3197" t="str">
        <f>VLOOKUP(E3197,Products!$A:$C,3,0)</f>
        <v>Furniture</v>
      </c>
      <c r="V3197" t="str">
        <f>VLOOKUP(E3197,Products!$A:$D,4,0)</f>
        <v>Storage</v>
      </c>
      <c r="W3197" t="str">
        <f>VLOOKUP(D3197,Customers!$A:$C,3,0)</f>
        <v>Enterprise</v>
      </c>
      <c r="X3197" t="str">
        <f>VLOOKUP(C3197,Sales_Representatives!$A:$B,2,0)</f>
        <v>Thomas Martinez</v>
      </c>
    </row>
    <row r="3198" spans="1:24" x14ac:dyDescent="0.3">
      <c r="A3198" t="s">
        <v>4322</v>
      </c>
      <c r="B3198" t="s">
        <v>4314</v>
      </c>
      <c r="C3198" t="s">
        <v>127</v>
      </c>
      <c r="D3198" t="s">
        <v>2690</v>
      </c>
      <c r="E3198" t="s">
        <v>152</v>
      </c>
      <c r="F3198">
        <v>25</v>
      </c>
      <c r="G3198">
        <v>859.93</v>
      </c>
      <c r="H3198">
        <v>0.16</v>
      </c>
      <c r="I3198" s="4">
        <v>18058.53</v>
      </c>
      <c r="J3198" t="s">
        <v>109</v>
      </c>
      <c r="K3198" t="s">
        <v>22</v>
      </c>
      <c r="L3198" s="4">
        <f>VLOOKUP(tblTransactions[[#This Row],[Product_ID]],tblProducts[],5,FALSE)</f>
        <v>579.79</v>
      </c>
      <c r="M3198" s="4">
        <f>tblTransactions[[#This Row],[Total_Amount]]-(tblTransactions[[#This Row],[Cost_Prices]]*tblTransactions[[#This Row],[Quantity]]*(1-tblTransactions[[#This Row],[Discount]]))</f>
        <v>5882.9399999999987</v>
      </c>
      <c r="N3198" s="3">
        <f>tblTransactions[[#This Row],[Profit]]/tblTransactions[[#This Row],[Total_Amount]]</f>
        <v>0.32577070226646349</v>
      </c>
      <c r="O3198" t="str">
        <f>TEXT(tblTransactions[[#This Row],[Date]], "MMM-YYYY")</f>
        <v>Nov-2024</v>
      </c>
      <c r="P3198" t="str">
        <f>"Q"&amp;ROUNDUP(MONTH(tblTransactions[[#This Row],[Date]])/3,0)&amp;"-"&amp;YEAR(tblTransactions[[#This Row],[Date]])</f>
        <v>Q4-2024</v>
      </c>
      <c r="Q3198">
        <f>YEAR(tblTransactions[[#This Row],[Date]])</f>
        <v>2024</v>
      </c>
      <c r="R3198" t="str">
        <f>TEXT(tblTransactions[[#This Row],[Date]],"DDDD")</f>
        <v>Wednesday</v>
      </c>
      <c r="S3198">
        <f>MONTH(tblTransactions[[#This Row],[Date]])</f>
        <v>11</v>
      </c>
      <c r="T3198" t="str">
        <f>VLOOKUP(E3198, Products!$A:$B,2,0)</f>
        <v>Phones Ele-4</v>
      </c>
      <c r="U3198" t="str">
        <f>VLOOKUP(E3198,Products!$A:$C,3,0)</f>
        <v>Electronics</v>
      </c>
      <c r="V3198" t="str">
        <f>VLOOKUP(E3198,Products!$A:$D,4,0)</f>
        <v>Phones</v>
      </c>
      <c r="W3198" t="str">
        <f>VLOOKUP(D3198,Customers!$A:$C,3,0)</f>
        <v>Enterprise</v>
      </c>
      <c r="X3198" t="str">
        <f>VLOOKUP(C3198,Sales_Representatives!$A:$B,2,0)</f>
        <v>Emily Hernandez</v>
      </c>
    </row>
    <row r="3199" spans="1:24" x14ac:dyDescent="0.3">
      <c r="A3199" t="s">
        <v>4323</v>
      </c>
      <c r="B3199" t="s">
        <v>4314</v>
      </c>
      <c r="C3199" t="s">
        <v>13</v>
      </c>
      <c r="D3199" t="s">
        <v>1934</v>
      </c>
      <c r="E3199" t="s">
        <v>145</v>
      </c>
      <c r="F3199">
        <v>6</v>
      </c>
      <c r="G3199">
        <v>93.43</v>
      </c>
      <c r="H3199">
        <v>0.1</v>
      </c>
      <c r="I3199" s="4">
        <v>504.52</v>
      </c>
      <c r="J3199" t="s">
        <v>16</v>
      </c>
      <c r="K3199" t="s">
        <v>39</v>
      </c>
      <c r="L3199" s="4">
        <f>VLOOKUP(tblTransactions[[#This Row],[Product_ID]],tblProducts[],5,FALSE)</f>
        <v>45.74</v>
      </c>
      <c r="M3199" s="4">
        <f>tblTransactions[[#This Row],[Total_Amount]]-(tblTransactions[[#This Row],[Cost_Prices]]*tblTransactions[[#This Row],[Quantity]]*(1-tblTransactions[[#This Row],[Discount]]))</f>
        <v>257.524</v>
      </c>
      <c r="N3199" s="3">
        <f>tblTransactions[[#This Row],[Profit]]/tblTransactions[[#This Row],[Total_Amount]]</f>
        <v>0.51043367953698571</v>
      </c>
      <c r="O3199" t="str">
        <f>TEXT(tblTransactions[[#This Row],[Date]], "MMM-YYYY")</f>
        <v>Nov-2024</v>
      </c>
      <c r="P3199" t="str">
        <f>"Q"&amp;ROUNDUP(MONTH(tblTransactions[[#This Row],[Date]])/3,0)&amp;"-"&amp;YEAR(tblTransactions[[#This Row],[Date]])</f>
        <v>Q4-2024</v>
      </c>
      <c r="Q3199">
        <f>YEAR(tblTransactions[[#This Row],[Date]])</f>
        <v>2024</v>
      </c>
      <c r="R3199" t="str">
        <f>TEXT(tblTransactions[[#This Row],[Date]],"DDDD")</f>
        <v>Wednesday</v>
      </c>
      <c r="S3199">
        <f>MONTH(tblTransactions[[#This Row],[Date]])</f>
        <v>11</v>
      </c>
      <c r="T3199" t="str">
        <f>VLOOKUP(E3199, Products!$A:$B,2,0)</f>
        <v>Paper Off-1</v>
      </c>
      <c r="U3199" t="str">
        <f>VLOOKUP(E3199,Products!$A:$C,3,0)</f>
        <v>Office Supplies</v>
      </c>
      <c r="V3199" t="str">
        <f>VLOOKUP(E3199,Products!$A:$D,4,0)</f>
        <v>Paper</v>
      </c>
      <c r="W3199" t="str">
        <f>VLOOKUP(D3199,Customers!$A:$C,3,0)</f>
        <v>B2C</v>
      </c>
      <c r="X3199" t="str">
        <f>VLOOKUP(C3199,Sales_Representatives!$A:$B,2,0)</f>
        <v>Jennifer Rodriguez</v>
      </c>
    </row>
    <row r="3200" spans="1:24" x14ac:dyDescent="0.3">
      <c r="A3200" t="s">
        <v>4324</v>
      </c>
      <c r="B3200" t="s">
        <v>4314</v>
      </c>
      <c r="C3200" t="s">
        <v>56</v>
      </c>
      <c r="D3200" t="s">
        <v>1478</v>
      </c>
      <c r="E3200" t="s">
        <v>345</v>
      </c>
      <c r="F3200">
        <v>1</v>
      </c>
      <c r="G3200">
        <v>13.97</v>
      </c>
      <c r="H3200">
        <v>0.03</v>
      </c>
      <c r="I3200" s="4">
        <v>13.55</v>
      </c>
      <c r="J3200" t="s">
        <v>34</v>
      </c>
      <c r="K3200" t="s">
        <v>22</v>
      </c>
      <c r="L3200" s="4">
        <f>VLOOKUP(tblTransactions[[#This Row],[Product_ID]],tblProducts[],5,FALSE)</f>
        <v>8.69</v>
      </c>
      <c r="M3200" s="4">
        <f>tblTransactions[[#This Row],[Total_Amount]]-(tblTransactions[[#This Row],[Cost_Prices]]*tblTransactions[[#This Row],[Quantity]]*(1-tblTransactions[[#This Row],[Discount]]))</f>
        <v>5.1207000000000011</v>
      </c>
      <c r="N3200" s="3">
        <f>tblTransactions[[#This Row],[Profit]]/tblTransactions[[#This Row],[Total_Amount]]</f>
        <v>0.37791143911439123</v>
      </c>
      <c r="O3200" t="str">
        <f>TEXT(tblTransactions[[#This Row],[Date]], "MMM-YYYY")</f>
        <v>Nov-2024</v>
      </c>
      <c r="P3200" t="str">
        <f>"Q"&amp;ROUNDUP(MONTH(tblTransactions[[#This Row],[Date]])/3,0)&amp;"-"&amp;YEAR(tblTransactions[[#This Row],[Date]])</f>
        <v>Q4-2024</v>
      </c>
      <c r="Q3200">
        <f>YEAR(tblTransactions[[#This Row],[Date]])</f>
        <v>2024</v>
      </c>
      <c r="R3200" t="str">
        <f>TEXT(tblTransactions[[#This Row],[Date]],"DDDD")</f>
        <v>Wednesday</v>
      </c>
      <c r="S3200">
        <f>MONTH(tblTransactions[[#This Row],[Date]])</f>
        <v>11</v>
      </c>
      <c r="T3200" t="str">
        <f>VLOOKUP(E3200, Products!$A:$B,2,0)</f>
        <v>Cases Acc-2</v>
      </c>
      <c r="U3200" t="str">
        <f>VLOOKUP(E3200,Products!$A:$C,3,0)</f>
        <v>Accessories</v>
      </c>
      <c r="V3200" t="str">
        <f>VLOOKUP(E3200,Products!$A:$D,4,0)</f>
        <v>Cases</v>
      </c>
      <c r="W3200" t="str">
        <f>VLOOKUP(D3200,Customers!$A:$C,3,0)</f>
        <v>Small Business</v>
      </c>
      <c r="X3200" t="str">
        <f>VLOOKUP(C3200,Sales_Representatives!$A:$B,2,0)</f>
        <v>Thomas Hernandez</v>
      </c>
    </row>
    <row r="3201" spans="1:24" x14ac:dyDescent="0.3">
      <c r="A3201" t="s">
        <v>4325</v>
      </c>
      <c r="B3201" t="s">
        <v>4326</v>
      </c>
      <c r="C3201" t="s">
        <v>63</v>
      </c>
      <c r="D3201" t="s">
        <v>1691</v>
      </c>
      <c r="E3201" t="s">
        <v>206</v>
      </c>
      <c r="F3201">
        <v>1</v>
      </c>
      <c r="G3201">
        <v>292.51</v>
      </c>
      <c r="H3201">
        <v>0.04</v>
      </c>
      <c r="I3201" s="4">
        <v>280.81</v>
      </c>
      <c r="J3201" t="s">
        <v>21</v>
      </c>
      <c r="K3201" t="s">
        <v>22</v>
      </c>
      <c r="L3201" s="4">
        <f>VLOOKUP(tblTransactions[[#This Row],[Product_ID]],tblProducts[],5,FALSE)</f>
        <v>122.08</v>
      </c>
      <c r="M3201" s="4">
        <f>tblTransactions[[#This Row],[Total_Amount]]-(tblTransactions[[#This Row],[Cost_Prices]]*tblTransactions[[#This Row],[Quantity]]*(1-tblTransactions[[#This Row],[Discount]]))</f>
        <v>163.61320000000001</v>
      </c>
      <c r="N3201" s="3">
        <f>tblTransactions[[#This Row],[Profit]]/tblTransactions[[#This Row],[Total_Amount]]</f>
        <v>0.5826473416188882</v>
      </c>
      <c r="O3201" t="str">
        <f>TEXT(tblTransactions[[#This Row],[Date]], "MMM-YYYY")</f>
        <v>Nov-2024</v>
      </c>
      <c r="P3201" t="str">
        <f>"Q"&amp;ROUNDUP(MONTH(tblTransactions[[#This Row],[Date]])/3,0)&amp;"-"&amp;YEAR(tblTransactions[[#This Row],[Date]])</f>
        <v>Q4-2024</v>
      </c>
      <c r="Q3201">
        <f>YEAR(tblTransactions[[#This Row],[Date]])</f>
        <v>2024</v>
      </c>
      <c r="R3201" t="str">
        <f>TEXT(tblTransactions[[#This Row],[Date]],"DDDD")</f>
        <v>Thursday</v>
      </c>
      <c r="S3201">
        <f>MONTH(tblTransactions[[#This Row],[Date]])</f>
        <v>11</v>
      </c>
      <c r="T3201" t="str">
        <f>VLOOKUP(E3201, Products!$A:$B,2,0)</f>
        <v>Keyboards Acc-1</v>
      </c>
      <c r="U3201" t="str">
        <f>VLOOKUP(E3201,Products!$A:$C,3,0)</f>
        <v>Accessories</v>
      </c>
      <c r="V3201" t="str">
        <f>VLOOKUP(E3201,Products!$A:$D,4,0)</f>
        <v>Keyboards</v>
      </c>
      <c r="W3201" t="str">
        <f>VLOOKUP(D3201,Customers!$A:$C,3,0)</f>
        <v>Small Business</v>
      </c>
      <c r="X3201" t="str">
        <f>VLOOKUP(C3201,Sales_Representatives!$A:$B,2,0)</f>
        <v>Richard Wilson</v>
      </c>
    </row>
    <row r="3202" spans="1:24" x14ac:dyDescent="0.3">
      <c r="A3202" t="s">
        <v>4327</v>
      </c>
      <c r="B3202" t="s">
        <v>4326</v>
      </c>
      <c r="C3202" t="s">
        <v>63</v>
      </c>
      <c r="D3202" t="s">
        <v>2411</v>
      </c>
      <c r="E3202" t="s">
        <v>68</v>
      </c>
      <c r="F3202">
        <v>5</v>
      </c>
      <c r="G3202">
        <v>522.63</v>
      </c>
      <c r="H3202">
        <v>0.04</v>
      </c>
      <c r="I3202" s="4">
        <v>2508.62</v>
      </c>
      <c r="J3202" t="s">
        <v>21</v>
      </c>
      <c r="K3202" t="s">
        <v>17</v>
      </c>
      <c r="L3202" s="4">
        <f>VLOOKUP(tblTransactions[[#This Row],[Product_ID]],tblProducts[],5,FALSE)</f>
        <v>355.82</v>
      </c>
      <c r="M3202" s="4">
        <f>tblTransactions[[#This Row],[Total_Amount]]-(tblTransactions[[#This Row],[Cost_Prices]]*tblTransactions[[#This Row],[Quantity]]*(1-tblTransactions[[#This Row],[Discount]]))</f>
        <v>800.68399999999997</v>
      </c>
      <c r="N3202" s="3">
        <f>tblTransactions[[#This Row],[Profit]]/tblTransactions[[#This Row],[Total_Amount]]</f>
        <v>0.31917309118160581</v>
      </c>
      <c r="O3202" t="str">
        <f>TEXT(tblTransactions[[#This Row],[Date]], "MMM-YYYY")</f>
        <v>Nov-2024</v>
      </c>
      <c r="P3202" t="str">
        <f>"Q"&amp;ROUNDUP(MONTH(tblTransactions[[#This Row],[Date]])/3,0)&amp;"-"&amp;YEAR(tblTransactions[[#This Row],[Date]])</f>
        <v>Q4-2024</v>
      </c>
      <c r="Q3202">
        <f>YEAR(tblTransactions[[#This Row],[Date]])</f>
        <v>2024</v>
      </c>
      <c r="R3202" t="str">
        <f>TEXT(tblTransactions[[#This Row],[Date]],"DDDD")</f>
        <v>Thursday</v>
      </c>
      <c r="S3202">
        <f>MONTH(tblTransactions[[#This Row],[Date]])</f>
        <v>11</v>
      </c>
      <c r="T3202" t="str">
        <f>VLOOKUP(E3202, Products!$A:$B,2,0)</f>
        <v>Monitors Tec-3</v>
      </c>
      <c r="U3202" t="str">
        <f>VLOOKUP(E3202,Products!$A:$C,3,0)</f>
        <v>Technology</v>
      </c>
      <c r="V3202" t="str">
        <f>VLOOKUP(E3202,Products!$A:$D,4,0)</f>
        <v>Monitors</v>
      </c>
      <c r="W3202" t="str">
        <f>VLOOKUP(D3202,Customers!$A:$C,3,0)</f>
        <v>B2B</v>
      </c>
      <c r="X3202" t="str">
        <f>VLOOKUP(C3202,Sales_Representatives!$A:$B,2,0)</f>
        <v>Richard Wilson</v>
      </c>
    </row>
    <row r="3203" spans="1:24" x14ac:dyDescent="0.3">
      <c r="A3203" t="s">
        <v>4328</v>
      </c>
      <c r="B3203" t="s">
        <v>4326</v>
      </c>
      <c r="C3203" t="s">
        <v>56</v>
      </c>
      <c r="D3203" t="s">
        <v>1902</v>
      </c>
      <c r="E3203" t="s">
        <v>204</v>
      </c>
      <c r="F3203">
        <v>16</v>
      </c>
      <c r="G3203">
        <v>715.62</v>
      </c>
      <c r="H3203">
        <v>0.18</v>
      </c>
      <c r="I3203" s="4">
        <v>9388.93</v>
      </c>
      <c r="J3203" t="s">
        <v>34</v>
      </c>
      <c r="K3203" t="s">
        <v>39</v>
      </c>
      <c r="L3203" s="4">
        <f>VLOOKUP(tblTransactions[[#This Row],[Product_ID]],tblProducts[],5,FALSE)</f>
        <v>459.58</v>
      </c>
      <c r="M3203" s="4">
        <f>tblTransactions[[#This Row],[Total_Amount]]-(tblTransactions[[#This Row],[Cost_Prices]]*tblTransactions[[#This Row],[Quantity]]*(1-tblTransactions[[#This Row],[Discount]]))</f>
        <v>3359.2403999999997</v>
      </c>
      <c r="N3203" s="3">
        <f>tblTransactions[[#This Row],[Profit]]/tblTransactions[[#This Row],[Total_Amount]]</f>
        <v>0.35778735170035347</v>
      </c>
      <c r="O3203" t="str">
        <f>TEXT(tblTransactions[[#This Row],[Date]], "MMM-YYYY")</f>
        <v>Nov-2024</v>
      </c>
      <c r="P3203" t="str">
        <f>"Q"&amp;ROUNDUP(MONTH(tblTransactions[[#This Row],[Date]])/3,0)&amp;"-"&amp;YEAR(tblTransactions[[#This Row],[Date]])</f>
        <v>Q4-2024</v>
      </c>
      <c r="Q3203">
        <f>YEAR(tblTransactions[[#This Row],[Date]])</f>
        <v>2024</v>
      </c>
      <c r="R3203" t="str">
        <f>TEXT(tblTransactions[[#This Row],[Date]],"DDDD")</f>
        <v>Thursday</v>
      </c>
      <c r="S3203">
        <f>MONTH(tblTransactions[[#This Row],[Date]])</f>
        <v>11</v>
      </c>
      <c r="T3203" t="str">
        <f>VLOOKUP(E3203, Products!$A:$B,2,0)</f>
        <v>Cameras Ele-2</v>
      </c>
      <c r="U3203" t="str">
        <f>VLOOKUP(E3203,Products!$A:$C,3,0)</f>
        <v>Electronics</v>
      </c>
      <c r="V3203" t="str">
        <f>VLOOKUP(E3203,Products!$A:$D,4,0)</f>
        <v>Cameras</v>
      </c>
      <c r="W3203" t="str">
        <f>VLOOKUP(D3203,Customers!$A:$C,3,0)</f>
        <v>B2B</v>
      </c>
      <c r="X3203" t="str">
        <f>VLOOKUP(C3203,Sales_Representatives!$A:$B,2,0)</f>
        <v>Thomas Hernandez</v>
      </c>
    </row>
    <row r="3204" spans="1:24" x14ac:dyDescent="0.3">
      <c r="A3204" t="s">
        <v>4329</v>
      </c>
      <c r="B3204" t="s">
        <v>4326</v>
      </c>
      <c r="C3204" t="s">
        <v>59</v>
      </c>
      <c r="D3204" t="s">
        <v>197</v>
      </c>
      <c r="E3204" t="s">
        <v>89</v>
      </c>
      <c r="F3204">
        <v>29</v>
      </c>
      <c r="G3204">
        <v>555.08000000000004</v>
      </c>
      <c r="H3204">
        <v>0.23</v>
      </c>
      <c r="I3204" s="4">
        <v>12394.94</v>
      </c>
      <c r="J3204" t="s">
        <v>21</v>
      </c>
      <c r="K3204" t="s">
        <v>17</v>
      </c>
      <c r="L3204" s="4">
        <f>VLOOKUP(tblTransactions[[#This Row],[Product_ID]],tblProducts[],5,FALSE)</f>
        <v>402.82</v>
      </c>
      <c r="M3204" s="4">
        <f>tblTransactions[[#This Row],[Total_Amount]]-(tblTransactions[[#This Row],[Cost_Prices]]*tblTransactions[[#This Row],[Quantity]]*(1-tblTransactions[[#This Row],[Discount]]))</f>
        <v>3399.9694</v>
      </c>
      <c r="N3204" s="3">
        <f>tblTransactions[[#This Row],[Profit]]/tblTransactions[[#This Row],[Total_Amount]]</f>
        <v>0.27430301397183043</v>
      </c>
      <c r="O3204" t="str">
        <f>TEXT(tblTransactions[[#This Row],[Date]], "MMM-YYYY")</f>
        <v>Nov-2024</v>
      </c>
      <c r="P3204" t="str">
        <f>"Q"&amp;ROUNDUP(MONTH(tblTransactions[[#This Row],[Date]])/3,0)&amp;"-"&amp;YEAR(tblTransactions[[#This Row],[Date]])</f>
        <v>Q4-2024</v>
      </c>
      <c r="Q3204">
        <f>YEAR(tblTransactions[[#This Row],[Date]])</f>
        <v>2024</v>
      </c>
      <c r="R3204" t="str">
        <f>TEXT(tblTransactions[[#This Row],[Date]],"DDDD")</f>
        <v>Thursday</v>
      </c>
      <c r="S3204">
        <f>MONTH(tblTransactions[[#This Row],[Date]])</f>
        <v>11</v>
      </c>
      <c r="T3204" t="str">
        <f>VLOOKUP(E3204, Products!$A:$B,2,0)</f>
        <v>Laptops Ele-3</v>
      </c>
      <c r="U3204" t="str">
        <f>VLOOKUP(E3204,Products!$A:$C,3,0)</f>
        <v>Electronics</v>
      </c>
      <c r="V3204" t="str">
        <f>VLOOKUP(E3204,Products!$A:$D,4,0)</f>
        <v>Laptops</v>
      </c>
      <c r="W3204" t="str">
        <f>VLOOKUP(D3204,Customers!$A:$C,3,0)</f>
        <v>Enterprise</v>
      </c>
      <c r="X3204" t="str">
        <f>VLOOKUP(C3204,Sales_Representatives!$A:$B,2,0)</f>
        <v>Sarah Brown</v>
      </c>
    </row>
    <row r="3205" spans="1:24" x14ac:dyDescent="0.3">
      <c r="A3205" t="s">
        <v>4330</v>
      </c>
      <c r="B3205" t="s">
        <v>4331</v>
      </c>
      <c r="C3205" t="s">
        <v>27</v>
      </c>
      <c r="D3205" t="s">
        <v>2065</v>
      </c>
      <c r="E3205" t="s">
        <v>394</v>
      </c>
      <c r="F3205">
        <v>7</v>
      </c>
      <c r="G3205">
        <v>314.69</v>
      </c>
      <c r="H3205">
        <v>0.12</v>
      </c>
      <c r="I3205" s="4">
        <v>1938.49</v>
      </c>
      <c r="J3205" t="s">
        <v>16</v>
      </c>
      <c r="K3205" t="s">
        <v>17</v>
      </c>
      <c r="L3205" s="4">
        <f>VLOOKUP(tblTransactions[[#This Row],[Product_ID]],tblProducts[],5,FALSE)</f>
        <v>185.43</v>
      </c>
      <c r="M3205" s="4">
        <f>tblTransactions[[#This Row],[Total_Amount]]-(tblTransactions[[#This Row],[Cost_Prices]]*tblTransactions[[#This Row],[Quantity]]*(1-tblTransactions[[#This Row],[Discount]]))</f>
        <v>796.24119999999994</v>
      </c>
      <c r="N3205" s="3">
        <f>tblTransactions[[#This Row],[Profit]]/tblTransactions[[#This Row],[Total_Amount]]</f>
        <v>0.41075331830445344</v>
      </c>
      <c r="O3205" t="str">
        <f>TEXT(tblTransactions[[#This Row],[Date]], "MMM-YYYY")</f>
        <v>Nov-2024</v>
      </c>
      <c r="P3205" t="str">
        <f>"Q"&amp;ROUNDUP(MONTH(tblTransactions[[#This Row],[Date]])/3,0)&amp;"-"&amp;YEAR(tblTransactions[[#This Row],[Date]])</f>
        <v>Q4-2024</v>
      </c>
      <c r="Q3205">
        <f>YEAR(tblTransactions[[#This Row],[Date]])</f>
        <v>2024</v>
      </c>
      <c r="R3205" t="str">
        <f>TEXT(tblTransactions[[#This Row],[Date]],"DDDD")</f>
        <v>Friday</v>
      </c>
      <c r="S3205">
        <f>MONTH(tblTransactions[[#This Row],[Date]])</f>
        <v>11</v>
      </c>
      <c r="T3205" t="str">
        <f>VLOOKUP(E3205, Products!$A:$B,2,0)</f>
        <v>Desks Fur-1</v>
      </c>
      <c r="U3205" t="str">
        <f>VLOOKUP(E3205,Products!$A:$C,3,0)</f>
        <v>Furniture</v>
      </c>
      <c r="V3205" t="str">
        <f>VLOOKUP(E3205,Products!$A:$D,4,0)</f>
        <v>Desks</v>
      </c>
      <c r="W3205" t="str">
        <f>VLOOKUP(D3205,Customers!$A:$C,3,0)</f>
        <v>B2B</v>
      </c>
      <c r="X3205" t="str">
        <f>VLOOKUP(C3205,Sales_Representatives!$A:$B,2,0)</f>
        <v>Thomas Lopez</v>
      </c>
    </row>
    <row r="3206" spans="1:24" x14ac:dyDescent="0.3">
      <c r="A3206" t="s">
        <v>4332</v>
      </c>
      <c r="B3206" t="s">
        <v>4331</v>
      </c>
      <c r="C3206" t="s">
        <v>107</v>
      </c>
      <c r="D3206" t="s">
        <v>1538</v>
      </c>
      <c r="E3206" t="s">
        <v>102</v>
      </c>
      <c r="F3206">
        <v>7</v>
      </c>
      <c r="G3206">
        <v>1097.75</v>
      </c>
      <c r="H3206">
        <v>0.14000000000000001</v>
      </c>
      <c r="I3206" s="4">
        <v>6608.46</v>
      </c>
      <c r="J3206" t="s">
        <v>109</v>
      </c>
      <c r="K3206" t="s">
        <v>48</v>
      </c>
      <c r="L3206" s="4">
        <f>VLOOKUP(tblTransactions[[#This Row],[Product_ID]],tblProducts[],5,FALSE)</f>
        <v>680.12</v>
      </c>
      <c r="M3206" s="4">
        <f>tblTransactions[[#This Row],[Total_Amount]]-(tblTransactions[[#This Row],[Cost_Prices]]*tblTransactions[[#This Row],[Quantity]]*(1-tblTransactions[[#This Row],[Discount]]))</f>
        <v>2514.1376</v>
      </c>
      <c r="N3206" s="3">
        <f>tblTransactions[[#This Row],[Profit]]/tblTransactions[[#This Row],[Total_Amount]]</f>
        <v>0.38044228156030302</v>
      </c>
      <c r="O3206" t="str">
        <f>TEXT(tblTransactions[[#This Row],[Date]], "MMM-YYYY")</f>
        <v>Nov-2024</v>
      </c>
      <c r="P3206" t="str">
        <f>"Q"&amp;ROUNDUP(MONTH(tblTransactions[[#This Row],[Date]])/3,0)&amp;"-"&amp;YEAR(tblTransactions[[#This Row],[Date]])</f>
        <v>Q4-2024</v>
      </c>
      <c r="Q3206">
        <f>YEAR(tblTransactions[[#This Row],[Date]])</f>
        <v>2024</v>
      </c>
      <c r="R3206" t="str">
        <f>TEXT(tblTransactions[[#This Row],[Date]],"DDDD")</f>
        <v>Friday</v>
      </c>
      <c r="S3206">
        <f>MONTH(tblTransactions[[#This Row],[Date]])</f>
        <v>11</v>
      </c>
      <c r="T3206" t="str">
        <f>VLOOKUP(E3206, Products!$A:$B,2,0)</f>
        <v>Storage Fur-4</v>
      </c>
      <c r="U3206" t="str">
        <f>VLOOKUP(E3206,Products!$A:$C,3,0)</f>
        <v>Furniture</v>
      </c>
      <c r="V3206" t="str">
        <f>VLOOKUP(E3206,Products!$A:$D,4,0)</f>
        <v>Storage</v>
      </c>
      <c r="W3206" t="str">
        <f>VLOOKUP(D3206,Customers!$A:$C,3,0)</f>
        <v>B2C</v>
      </c>
      <c r="X3206" t="str">
        <f>VLOOKUP(C3206,Sales_Representatives!$A:$B,2,0)</f>
        <v>Jennifer Brown</v>
      </c>
    </row>
    <row r="3207" spans="1:24" x14ac:dyDescent="0.3">
      <c r="A3207" t="s">
        <v>4333</v>
      </c>
      <c r="B3207" t="s">
        <v>4331</v>
      </c>
      <c r="C3207" t="s">
        <v>107</v>
      </c>
      <c r="D3207" t="s">
        <v>1613</v>
      </c>
      <c r="E3207" t="s">
        <v>198</v>
      </c>
      <c r="F3207">
        <v>31</v>
      </c>
      <c r="G3207">
        <v>1802.96</v>
      </c>
      <c r="H3207">
        <v>0.19</v>
      </c>
      <c r="I3207" s="4">
        <v>45272.33</v>
      </c>
      <c r="J3207" t="s">
        <v>109</v>
      </c>
      <c r="K3207" t="s">
        <v>22</v>
      </c>
      <c r="L3207" s="4">
        <f>VLOOKUP(tblTransactions[[#This Row],[Product_ID]],tblProducts[],5,FALSE)</f>
        <v>1282.18</v>
      </c>
      <c r="M3207" s="4">
        <f>tblTransactions[[#This Row],[Total_Amount]]-(tblTransactions[[#This Row],[Cost_Prices]]*tblTransactions[[#This Row],[Quantity]]*(1-tblTransactions[[#This Row],[Discount]]))</f>
        <v>13076.790199999999</v>
      </c>
      <c r="N3207" s="3">
        <f>tblTransactions[[#This Row],[Profit]]/tblTransactions[[#This Row],[Total_Amount]]</f>
        <v>0.28884729811785698</v>
      </c>
      <c r="O3207" t="str">
        <f>TEXT(tblTransactions[[#This Row],[Date]], "MMM-YYYY")</f>
        <v>Nov-2024</v>
      </c>
      <c r="P3207" t="str">
        <f>"Q"&amp;ROUNDUP(MONTH(tblTransactions[[#This Row],[Date]])/3,0)&amp;"-"&amp;YEAR(tblTransactions[[#This Row],[Date]])</f>
        <v>Q4-2024</v>
      </c>
      <c r="Q3207">
        <f>YEAR(tblTransactions[[#This Row],[Date]])</f>
        <v>2024</v>
      </c>
      <c r="R3207" t="str">
        <f>TEXT(tblTransactions[[#This Row],[Date]],"DDDD")</f>
        <v>Friday</v>
      </c>
      <c r="S3207">
        <f>MONTH(tblTransactions[[#This Row],[Date]])</f>
        <v>11</v>
      </c>
      <c r="T3207" t="str">
        <f>VLOOKUP(E3207, Products!$A:$B,2,0)</f>
        <v>Tablets Ele-3</v>
      </c>
      <c r="U3207" t="str">
        <f>VLOOKUP(E3207,Products!$A:$C,3,0)</f>
        <v>Electronics</v>
      </c>
      <c r="V3207" t="str">
        <f>VLOOKUP(E3207,Products!$A:$D,4,0)</f>
        <v>Tablets</v>
      </c>
      <c r="W3207" t="str">
        <f>VLOOKUP(D3207,Customers!$A:$C,3,0)</f>
        <v>Enterprise</v>
      </c>
      <c r="X3207" t="str">
        <f>VLOOKUP(C3207,Sales_Representatives!$A:$B,2,0)</f>
        <v>Jennifer Brown</v>
      </c>
    </row>
    <row r="3208" spans="1:24" x14ac:dyDescent="0.3">
      <c r="A3208" t="s">
        <v>4334</v>
      </c>
      <c r="B3208" t="s">
        <v>4331</v>
      </c>
      <c r="C3208" t="s">
        <v>13</v>
      </c>
      <c r="D3208" t="s">
        <v>14</v>
      </c>
      <c r="E3208" t="s">
        <v>221</v>
      </c>
      <c r="F3208">
        <v>19</v>
      </c>
      <c r="G3208">
        <v>210.02</v>
      </c>
      <c r="H3208">
        <v>0.15</v>
      </c>
      <c r="I3208" s="4">
        <v>3391.82</v>
      </c>
      <c r="J3208" t="s">
        <v>16</v>
      </c>
      <c r="K3208" t="s">
        <v>35</v>
      </c>
      <c r="L3208" s="4">
        <f>VLOOKUP(tblTransactions[[#This Row],[Product_ID]],tblProducts[],5,FALSE)</f>
        <v>131.66</v>
      </c>
      <c r="M3208" s="4">
        <f>tblTransactions[[#This Row],[Total_Amount]]-(tblTransactions[[#This Row],[Cost_Prices]]*tblTransactions[[#This Row],[Quantity]]*(1-tblTransactions[[#This Row],[Discount]]))</f>
        <v>1265.5110000000004</v>
      </c>
      <c r="N3208" s="3">
        <f>tblTransactions[[#This Row],[Profit]]/tblTransactions[[#This Row],[Total_Amount]]</f>
        <v>0.37310676863748676</v>
      </c>
      <c r="O3208" t="str">
        <f>TEXT(tblTransactions[[#This Row],[Date]], "MMM-YYYY")</f>
        <v>Nov-2024</v>
      </c>
      <c r="P3208" t="str">
        <f>"Q"&amp;ROUNDUP(MONTH(tblTransactions[[#This Row],[Date]])/3,0)&amp;"-"&amp;YEAR(tblTransactions[[#This Row],[Date]])</f>
        <v>Q4-2024</v>
      </c>
      <c r="Q3208">
        <f>YEAR(tblTransactions[[#This Row],[Date]])</f>
        <v>2024</v>
      </c>
      <c r="R3208" t="str">
        <f>TEXT(tblTransactions[[#This Row],[Date]],"DDDD")</f>
        <v>Friday</v>
      </c>
      <c r="S3208">
        <f>MONTH(tblTransactions[[#This Row],[Date]])</f>
        <v>11</v>
      </c>
      <c r="T3208" t="str">
        <f>VLOOKUP(E3208, Products!$A:$B,2,0)</f>
        <v>Storage Fur-2</v>
      </c>
      <c r="U3208" t="str">
        <f>VLOOKUP(E3208,Products!$A:$C,3,0)</f>
        <v>Furniture</v>
      </c>
      <c r="V3208" t="str">
        <f>VLOOKUP(E3208,Products!$A:$D,4,0)</f>
        <v>Storage</v>
      </c>
      <c r="W3208" t="str">
        <f>VLOOKUP(D3208,Customers!$A:$C,3,0)</f>
        <v>B2B</v>
      </c>
      <c r="X3208" t="str">
        <f>VLOOKUP(C3208,Sales_Representatives!$A:$B,2,0)</f>
        <v>Jennifer Rodriguez</v>
      </c>
    </row>
    <row r="3209" spans="1:24" x14ac:dyDescent="0.3">
      <c r="A3209" t="s">
        <v>4335</v>
      </c>
      <c r="B3209" t="s">
        <v>4336</v>
      </c>
      <c r="C3209" t="s">
        <v>131</v>
      </c>
      <c r="D3209" t="s">
        <v>1862</v>
      </c>
      <c r="E3209" t="s">
        <v>450</v>
      </c>
      <c r="F3209">
        <v>8</v>
      </c>
      <c r="G3209">
        <v>2083.92</v>
      </c>
      <c r="H3209">
        <v>7.0000000000000007E-2</v>
      </c>
      <c r="I3209" s="4">
        <v>15504.36</v>
      </c>
      <c r="J3209" t="s">
        <v>44</v>
      </c>
      <c r="K3209" t="s">
        <v>17</v>
      </c>
      <c r="L3209" s="4">
        <f>VLOOKUP(tblTransactions[[#This Row],[Product_ID]],tblProducts[],5,FALSE)</f>
        <v>1425.78</v>
      </c>
      <c r="M3209" s="4">
        <f>tblTransactions[[#This Row],[Total_Amount]]-(tblTransactions[[#This Row],[Cost_Prices]]*tblTransactions[[#This Row],[Quantity]]*(1-tblTransactions[[#This Row],[Discount]]))</f>
        <v>4896.5568000000021</v>
      </c>
      <c r="N3209" s="3">
        <f>tblTransactions[[#This Row],[Profit]]/tblTransactions[[#This Row],[Total_Amount]]</f>
        <v>0.31581805376036171</v>
      </c>
      <c r="O3209" t="str">
        <f>TEXT(tblTransactions[[#This Row],[Date]], "MMM-YYYY")</f>
        <v>Nov-2024</v>
      </c>
      <c r="P3209" t="str">
        <f>"Q"&amp;ROUNDUP(MONTH(tblTransactions[[#This Row],[Date]])/3,0)&amp;"-"&amp;YEAR(tblTransactions[[#This Row],[Date]])</f>
        <v>Q4-2024</v>
      </c>
      <c r="Q3209">
        <f>YEAR(tblTransactions[[#This Row],[Date]])</f>
        <v>2024</v>
      </c>
      <c r="R3209" t="str">
        <f>TEXT(tblTransactions[[#This Row],[Date]],"DDDD")</f>
        <v>Saturday</v>
      </c>
      <c r="S3209">
        <f>MONTH(tblTransactions[[#This Row],[Date]])</f>
        <v>11</v>
      </c>
      <c r="T3209" t="str">
        <f>VLOOKUP(E3209, Products!$A:$B,2,0)</f>
        <v>Monitors Tec-4</v>
      </c>
      <c r="U3209" t="str">
        <f>VLOOKUP(E3209,Products!$A:$C,3,0)</f>
        <v>Technology</v>
      </c>
      <c r="V3209" t="str">
        <f>VLOOKUP(E3209,Products!$A:$D,4,0)</f>
        <v>Monitors</v>
      </c>
      <c r="W3209" t="str">
        <f>VLOOKUP(D3209,Customers!$A:$C,3,0)</f>
        <v>B2B</v>
      </c>
      <c r="X3209" t="str">
        <f>VLOOKUP(C3209,Sales_Representatives!$A:$B,2,0)</f>
        <v>Michael Davis</v>
      </c>
    </row>
    <row r="3210" spans="1:24" x14ac:dyDescent="0.3">
      <c r="A3210" t="s">
        <v>4337</v>
      </c>
      <c r="B3210" t="s">
        <v>4336</v>
      </c>
      <c r="C3210" t="s">
        <v>31</v>
      </c>
      <c r="D3210" t="s">
        <v>1912</v>
      </c>
      <c r="E3210" t="s">
        <v>87</v>
      </c>
      <c r="F3210">
        <v>44</v>
      </c>
      <c r="G3210">
        <v>1047.8900000000001</v>
      </c>
      <c r="H3210">
        <v>0.15</v>
      </c>
      <c r="I3210" s="4">
        <v>39191.089999999997</v>
      </c>
      <c r="J3210" t="s">
        <v>34</v>
      </c>
      <c r="K3210" t="s">
        <v>39</v>
      </c>
      <c r="L3210" s="4">
        <f>VLOOKUP(tblTransactions[[#This Row],[Product_ID]],tblProducts[],5,FALSE)</f>
        <v>742.63</v>
      </c>
      <c r="M3210" s="4">
        <f>tblTransactions[[#This Row],[Total_Amount]]-(tblTransactions[[#This Row],[Cost_Prices]]*tblTransactions[[#This Row],[Quantity]]*(1-tblTransactions[[#This Row],[Discount]]))</f>
        <v>11416.727999999996</v>
      </c>
      <c r="N3210" s="3">
        <f>tblTransactions[[#This Row],[Profit]]/tblTransactions[[#This Row],[Total_Amount]]</f>
        <v>0.29130927463359646</v>
      </c>
      <c r="O3210" t="str">
        <f>TEXT(tblTransactions[[#This Row],[Date]], "MMM-YYYY")</f>
        <v>Nov-2024</v>
      </c>
      <c r="P3210" t="str">
        <f>"Q"&amp;ROUNDUP(MONTH(tblTransactions[[#This Row],[Date]])/3,0)&amp;"-"&amp;YEAR(tblTransactions[[#This Row],[Date]])</f>
        <v>Q4-2024</v>
      </c>
      <c r="Q3210">
        <f>YEAR(tblTransactions[[#This Row],[Date]])</f>
        <v>2024</v>
      </c>
      <c r="R3210" t="str">
        <f>TEXT(tblTransactions[[#This Row],[Date]],"DDDD")</f>
        <v>Saturday</v>
      </c>
      <c r="S3210">
        <f>MONTH(tblTransactions[[#This Row],[Date]])</f>
        <v>11</v>
      </c>
      <c r="T3210" t="str">
        <f>VLOOKUP(E3210, Products!$A:$B,2,0)</f>
        <v>Monitors Tec-2</v>
      </c>
      <c r="U3210" t="str">
        <f>VLOOKUP(E3210,Products!$A:$C,3,0)</f>
        <v>Technology</v>
      </c>
      <c r="V3210" t="str">
        <f>VLOOKUP(E3210,Products!$A:$D,4,0)</f>
        <v>Monitors</v>
      </c>
      <c r="W3210" t="str">
        <f>VLOOKUP(D3210,Customers!$A:$C,3,0)</f>
        <v>Enterprise</v>
      </c>
      <c r="X3210" t="str">
        <f>VLOOKUP(C3210,Sales_Representatives!$A:$B,2,0)</f>
        <v>Thomas Martinez</v>
      </c>
    </row>
    <row r="3211" spans="1:24" x14ac:dyDescent="0.3">
      <c r="A3211" t="s">
        <v>4338</v>
      </c>
      <c r="B3211" t="s">
        <v>4336</v>
      </c>
      <c r="C3211" t="s">
        <v>13</v>
      </c>
      <c r="D3211" t="s">
        <v>2192</v>
      </c>
      <c r="E3211" t="s">
        <v>79</v>
      </c>
      <c r="F3211">
        <v>3</v>
      </c>
      <c r="G3211">
        <v>1452.36</v>
      </c>
      <c r="H3211">
        <v>0.03</v>
      </c>
      <c r="I3211" s="4">
        <v>4226.37</v>
      </c>
      <c r="J3211" t="s">
        <v>16</v>
      </c>
      <c r="K3211" t="s">
        <v>17</v>
      </c>
      <c r="L3211" s="4">
        <f>VLOOKUP(tblTransactions[[#This Row],[Product_ID]],tblProducts[],5,FALSE)</f>
        <v>778.71</v>
      </c>
      <c r="M3211" s="4">
        <f>tblTransactions[[#This Row],[Total_Amount]]-(tblTransactions[[#This Row],[Cost_Prices]]*tblTransactions[[#This Row],[Quantity]]*(1-tblTransactions[[#This Row],[Discount]]))</f>
        <v>1960.3238999999999</v>
      </c>
      <c r="N3211" s="3">
        <f>tblTransactions[[#This Row],[Profit]]/tblTransactions[[#This Row],[Total_Amount]]</f>
        <v>0.4638315859709396</v>
      </c>
      <c r="O3211" t="str">
        <f>TEXT(tblTransactions[[#This Row],[Date]], "MMM-YYYY")</f>
        <v>Nov-2024</v>
      </c>
      <c r="P3211" t="str">
        <f>"Q"&amp;ROUNDUP(MONTH(tblTransactions[[#This Row],[Date]])/3,0)&amp;"-"&amp;YEAR(tblTransactions[[#This Row],[Date]])</f>
        <v>Q4-2024</v>
      </c>
      <c r="Q3211">
        <f>YEAR(tblTransactions[[#This Row],[Date]])</f>
        <v>2024</v>
      </c>
      <c r="R3211" t="str">
        <f>TEXT(tblTransactions[[#This Row],[Date]],"DDDD")</f>
        <v>Saturday</v>
      </c>
      <c r="S3211">
        <f>MONTH(tblTransactions[[#This Row],[Date]])</f>
        <v>11</v>
      </c>
      <c r="T3211" t="str">
        <f>VLOOKUP(E3211, Products!$A:$B,2,0)</f>
        <v>Tables Fur-2</v>
      </c>
      <c r="U3211" t="str">
        <f>VLOOKUP(E3211,Products!$A:$C,3,0)</f>
        <v>Furniture</v>
      </c>
      <c r="V3211" t="str">
        <f>VLOOKUP(E3211,Products!$A:$D,4,0)</f>
        <v>Tables</v>
      </c>
      <c r="W3211" t="str">
        <f>VLOOKUP(D3211,Customers!$A:$C,3,0)</f>
        <v>B2C</v>
      </c>
      <c r="X3211" t="str">
        <f>VLOOKUP(C3211,Sales_Representatives!$A:$B,2,0)</f>
        <v>Jennifer Rodriguez</v>
      </c>
    </row>
    <row r="3212" spans="1:24" x14ac:dyDescent="0.3">
      <c r="A3212" t="s">
        <v>4339</v>
      </c>
      <c r="B3212" t="s">
        <v>4336</v>
      </c>
      <c r="C3212" t="s">
        <v>59</v>
      </c>
      <c r="D3212" t="s">
        <v>2204</v>
      </c>
      <c r="E3212" t="s">
        <v>283</v>
      </c>
      <c r="F3212">
        <v>11</v>
      </c>
      <c r="G3212">
        <v>456.88</v>
      </c>
      <c r="H3212">
        <v>0.13</v>
      </c>
      <c r="I3212" s="4">
        <v>4372.34</v>
      </c>
      <c r="J3212" t="s">
        <v>21</v>
      </c>
      <c r="K3212" t="s">
        <v>22</v>
      </c>
      <c r="L3212" s="4">
        <f>VLOOKUP(tblTransactions[[#This Row],[Product_ID]],tblProducts[],5,FALSE)</f>
        <v>313.23</v>
      </c>
      <c r="M3212" s="4">
        <f>tblTransactions[[#This Row],[Total_Amount]]-(tblTransactions[[#This Row],[Cost_Prices]]*tblTransactions[[#This Row],[Quantity]]*(1-tblTransactions[[#This Row],[Discount]]))</f>
        <v>1374.7289000000001</v>
      </c>
      <c r="N3212" s="3">
        <f>tblTransactions[[#This Row],[Profit]]/tblTransactions[[#This Row],[Total_Amount]]</f>
        <v>0.31441491283843437</v>
      </c>
      <c r="O3212" t="str">
        <f>TEXT(tblTransactions[[#This Row],[Date]], "MMM-YYYY")</f>
        <v>Nov-2024</v>
      </c>
      <c r="P3212" t="str">
        <f>"Q"&amp;ROUNDUP(MONTH(tblTransactions[[#This Row],[Date]])/3,0)&amp;"-"&amp;YEAR(tblTransactions[[#This Row],[Date]])</f>
        <v>Q4-2024</v>
      </c>
      <c r="Q3212">
        <f>YEAR(tblTransactions[[#This Row],[Date]])</f>
        <v>2024</v>
      </c>
      <c r="R3212" t="str">
        <f>TEXT(tblTransactions[[#This Row],[Date]],"DDDD")</f>
        <v>Saturday</v>
      </c>
      <c r="S3212">
        <f>MONTH(tblTransactions[[#This Row],[Date]])</f>
        <v>11</v>
      </c>
      <c r="T3212" t="str">
        <f>VLOOKUP(E3212, Products!$A:$B,2,0)</f>
        <v>Chairs Fur-3</v>
      </c>
      <c r="U3212" t="str">
        <f>VLOOKUP(E3212,Products!$A:$C,3,0)</f>
        <v>Furniture</v>
      </c>
      <c r="V3212" t="str">
        <f>VLOOKUP(E3212,Products!$A:$D,4,0)</f>
        <v>Chairs</v>
      </c>
      <c r="W3212" t="str">
        <f>VLOOKUP(D3212,Customers!$A:$C,3,0)</f>
        <v>Enterprise</v>
      </c>
      <c r="X3212" t="str">
        <f>VLOOKUP(C3212,Sales_Representatives!$A:$B,2,0)</f>
        <v>Sarah Brown</v>
      </c>
    </row>
    <row r="3213" spans="1:24" x14ac:dyDescent="0.3">
      <c r="A3213" t="s">
        <v>4340</v>
      </c>
      <c r="B3213" t="s">
        <v>4336</v>
      </c>
      <c r="C3213" t="s">
        <v>131</v>
      </c>
      <c r="D3213" t="s">
        <v>1561</v>
      </c>
      <c r="E3213" t="s">
        <v>84</v>
      </c>
      <c r="F3213">
        <v>10</v>
      </c>
      <c r="G3213">
        <v>1841.77</v>
      </c>
      <c r="H3213">
        <v>7.0000000000000007E-2</v>
      </c>
      <c r="I3213" s="4">
        <v>17128.46</v>
      </c>
      <c r="J3213" t="s">
        <v>44</v>
      </c>
      <c r="K3213" t="s">
        <v>22</v>
      </c>
      <c r="L3213" s="4">
        <f>VLOOKUP(tblTransactions[[#This Row],[Product_ID]],tblProducts[],5,FALSE)</f>
        <v>1151.5899999999999</v>
      </c>
      <c r="M3213" s="4">
        <f>tblTransactions[[#This Row],[Total_Amount]]-(tblTransactions[[#This Row],[Cost_Prices]]*tblTransactions[[#This Row],[Quantity]]*(1-tblTransactions[[#This Row],[Discount]]))</f>
        <v>6418.6730000000007</v>
      </c>
      <c r="N3213" s="3">
        <f>tblTransactions[[#This Row],[Profit]]/tblTransactions[[#This Row],[Total_Amount]]</f>
        <v>0.37473730854963033</v>
      </c>
      <c r="O3213" t="str">
        <f>TEXT(tblTransactions[[#This Row],[Date]], "MMM-YYYY")</f>
        <v>Nov-2024</v>
      </c>
      <c r="P3213" t="str">
        <f>"Q"&amp;ROUNDUP(MONTH(tblTransactions[[#This Row],[Date]])/3,0)&amp;"-"&amp;YEAR(tblTransactions[[#This Row],[Date]])</f>
        <v>Q4-2024</v>
      </c>
      <c r="Q3213">
        <f>YEAR(tblTransactions[[#This Row],[Date]])</f>
        <v>2024</v>
      </c>
      <c r="R3213" t="str">
        <f>TEXT(tblTransactions[[#This Row],[Date]],"DDDD")</f>
        <v>Saturday</v>
      </c>
      <c r="S3213">
        <f>MONTH(tblTransactions[[#This Row],[Date]])</f>
        <v>11</v>
      </c>
      <c r="T3213" t="str">
        <f>VLOOKUP(E3213, Products!$A:$B,2,0)</f>
        <v>Laptops Ele-2</v>
      </c>
      <c r="U3213" t="str">
        <f>VLOOKUP(E3213,Products!$A:$C,3,0)</f>
        <v>Electronics</v>
      </c>
      <c r="V3213" t="str">
        <f>VLOOKUP(E3213,Products!$A:$D,4,0)</f>
        <v>Laptops</v>
      </c>
      <c r="W3213" t="str">
        <f>VLOOKUP(D3213,Customers!$A:$C,3,0)</f>
        <v>B2B</v>
      </c>
      <c r="X3213" t="str">
        <f>VLOOKUP(C3213,Sales_Representatives!$A:$B,2,0)</f>
        <v>Michael Davis</v>
      </c>
    </row>
    <row r="3214" spans="1:24" x14ac:dyDescent="0.3">
      <c r="A3214" t="s">
        <v>4341</v>
      </c>
      <c r="B3214" t="s">
        <v>4342</v>
      </c>
      <c r="C3214" t="s">
        <v>141</v>
      </c>
      <c r="D3214" t="s">
        <v>115</v>
      </c>
      <c r="E3214" t="s">
        <v>25</v>
      </c>
      <c r="F3214">
        <v>3</v>
      </c>
      <c r="G3214">
        <v>1467.49</v>
      </c>
      <c r="H3214">
        <v>0.03</v>
      </c>
      <c r="I3214" s="4">
        <v>4270.3999999999996</v>
      </c>
      <c r="J3214" t="s">
        <v>109</v>
      </c>
      <c r="K3214" t="s">
        <v>35</v>
      </c>
      <c r="L3214" s="4">
        <f>VLOOKUP(tblTransactions[[#This Row],[Product_ID]],tblProducts[],5,FALSE)</f>
        <v>757.65</v>
      </c>
      <c r="M3214" s="4">
        <f>tblTransactions[[#This Row],[Total_Amount]]-(tblTransactions[[#This Row],[Cost_Prices]]*tblTransactions[[#This Row],[Quantity]]*(1-tblTransactions[[#This Row],[Discount]]))</f>
        <v>2065.6385</v>
      </c>
      <c r="N3214" s="3">
        <f>tblTransactions[[#This Row],[Profit]]/tblTransactions[[#This Row],[Total_Amount]]</f>
        <v>0.4837107765080555</v>
      </c>
      <c r="O3214" t="str">
        <f>TEXT(tblTransactions[[#This Row],[Date]], "MMM-YYYY")</f>
        <v>Nov-2024</v>
      </c>
      <c r="P3214" t="str">
        <f>"Q"&amp;ROUNDUP(MONTH(tblTransactions[[#This Row],[Date]])/3,0)&amp;"-"&amp;YEAR(tblTransactions[[#This Row],[Date]])</f>
        <v>Q4-2024</v>
      </c>
      <c r="Q3214">
        <f>YEAR(tblTransactions[[#This Row],[Date]])</f>
        <v>2024</v>
      </c>
      <c r="R3214" t="str">
        <f>TEXT(tblTransactions[[#This Row],[Date]],"DDDD")</f>
        <v>Sunday</v>
      </c>
      <c r="S3214">
        <f>MONTH(tblTransactions[[#This Row],[Date]])</f>
        <v>11</v>
      </c>
      <c r="T3214" t="str">
        <f>VLOOKUP(E3214, Products!$A:$B,2,0)</f>
        <v>Tables Fur-3</v>
      </c>
      <c r="U3214" t="str">
        <f>VLOOKUP(E3214,Products!$A:$C,3,0)</f>
        <v>Furniture</v>
      </c>
      <c r="V3214" t="str">
        <f>VLOOKUP(E3214,Products!$A:$D,4,0)</f>
        <v>Tables</v>
      </c>
      <c r="W3214" t="str">
        <f>VLOOKUP(D3214,Customers!$A:$C,3,0)</f>
        <v>B2C</v>
      </c>
      <c r="X3214" t="str">
        <f>VLOOKUP(C3214,Sales_Representatives!$A:$B,2,0)</f>
        <v>Richard Garcia</v>
      </c>
    </row>
    <row r="3215" spans="1:24" x14ac:dyDescent="0.3">
      <c r="A3215" t="s">
        <v>4343</v>
      </c>
      <c r="B3215" t="s">
        <v>4342</v>
      </c>
      <c r="C3215" t="s">
        <v>56</v>
      </c>
      <c r="D3215" t="s">
        <v>1938</v>
      </c>
      <c r="E3215" t="s">
        <v>255</v>
      </c>
      <c r="F3215">
        <v>6</v>
      </c>
      <c r="G3215">
        <v>1444.13</v>
      </c>
      <c r="H3215">
        <v>0.13</v>
      </c>
      <c r="I3215" s="4">
        <v>7538.36</v>
      </c>
      <c r="J3215" t="s">
        <v>34</v>
      </c>
      <c r="K3215" t="s">
        <v>39</v>
      </c>
      <c r="L3215" s="4">
        <f>VLOOKUP(tblTransactions[[#This Row],[Product_ID]],tblProducts[],5,FALSE)</f>
        <v>874.43</v>
      </c>
      <c r="M3215" s="4">
        <f>tblTransactions[[#This Row],[Total_Amount]]-(tblTransactions[[#This Row],[Cost_Prices]]*tblTransactions[[#This Row],[Quantity]]*(1-tblTransactions[[#This Row],[Discount]]))</f>
        <v>2973.8353999999999</v>
      </c>
      <c r="N3215" s="3">
        <f>tblTransactions[[#This Row],[Profit]]/tblTransactions[[#This Row],[Total_Amount]]</f>
        <v>0.39449368297613807</v>
      </c>
      <c r="O3215" t="str">
        <f>TEXT(tblTransactions[[#This Row],[Date]], "MMM-YYYY")</f>
        <v>Nov-2024</v>
      </c>
      <c r="P3215" t="str">
        <f>"Q"&amp;ROUNDUP(MONTH(tblTransactions[[#This Row],[Date]])/3,0)&amp;"-"&amp;YEAR(tblTransactions[[#This Row],[Date]])</f>
        <v>Q4-2024</v>
      </c>
      <c r="Q3215">
        <f>YEAR(tblTransactions[[#This Row],[Date]])</f>
        <v>2024</v>
      </c>
      <c r="R3215" t="str">
        <f>TEXT(tblTransactions[[#This Row],[Date]],"DDDD")</f>
        <v>Sunday</v>
      </c>
      <c r="S3215">
        <f>MONTH(tblTransactions[[#This Row],[Date]])</f>
        <v>11</v>
      </c>
      <c r="T3215" t="str">
        <f>VLOOKUP(E3215, Products!$A:$B,2,0)</f>
        <v>Printers Tec-1</v>
      </c>
      <c r="U3215" t="str">
        <f>VLOOKUP(E3215,Products!$A:$C,3,0)</f>
        <v>Technology</v>
      </c>
      <c r="V3215" t="str">
        <f>VLOOKUP(E3215,Products!$A:$D,4,0)</f>
        <v>Printers</v>
      </c>
      <c r="W3215" t="str">
        <f>VLOOKUP(D3215,Customers!$A:$C,3,0)</f>
        <v>B2C</v>
      </c>
      <c r="X3215" t="str">
        <f>VLOOKUP(C3215,Sales_Representatives!$A:$B,2,0)</f>
        <v>Thomas Hernandez</v>
      </c>
    </row>
    <row r="3216" spans="1:24" x14ac:dyDescent="0.3">
      <c r="A3216" t="s">
        <v>4344</v>
      </c>
      <c r="B3216" t="s">
        <v>4342</v>
      </c>
      <c r="C3216" t="s">
        <v>107</v>
      </c>
      <c r="D3216" t="s">
        <v>362</v>
      </c>
      <c r="E3216" t="s">
        <v>96</v>
      </c>
      <c r="F3216">
        <v>3</v>
      </c>
      <c r="G3216">
        <v>751.9</v>
      </c>
      <c r="H3216">
        <v>0.06</v>
      </c>
      <c r="I3216" s="4">
        <v>2120.36</v>
      </c>
      <c r="J3216" t="s">
        <v>109</v>
      </c>
      <c r="K3216" t="s">
        <v>48</v>
      </c>
      <c r="L3216" s="4">
        <f>VLOOKUP(tblTransactions[[#This Row],[Product_ID]],tblProducts[],5,FALSE)</f>
        <v>570.29</v>
      </c>
      <c r="M3216" s="4">
        <f>tblTransactions[[#This Row],[Total_Amount]]-(tblTransactions[[#This Row],[Cost_Prices]]*tblTransactions[[#This Row],[Quantity]]*(1-tblTransactions[[#This Row],[Discount]]))</f>
        <v>512.14220000000023</v>
      </c>
      <c r="N3216" s="3">
        <f>tblTransactions[[#This Row],[Profit]]/tblTransactions[[#This Row],[Total_Amount]]</f>
        <v>0.2415354939727217</v>
      </c>
      <c r="O3216" t="str">
        <f>TEXT(tblTransactions[[#This Row],[Date]], "MMM-YYYY")</f>
        <v>Nov-2024</v>
      </c>
      <c r="P3216" t="str">
        <f>"Q"&amp;ROUNDUP(MONTH(tblTransactions[[#This Row],[Date]])/3,0)&amp;"-"&amp;YEAR(tblTransactions[[#This Row],[Date]])</f>
        <v>Q4-2024</v>
      </c>
      <c r="Q3216">
        <f>YEAR(tblTransactions[[#This Row],[Date]])</f>
        <v>2024</v>
      </c>
      <c r="R3216" t="str">
        <f>TEXT(tblTransactions[[#This Row],[Date]],"DDDD")</f>
        <v>Sunday</v>
      </c>
      <c r="S3216">
        <f>MONTH(tblTransactions[[#This Row],[Date]])</f>
        <v>11</v>
      </c>
      <c r="T3216" t="str">
        <f>VLOOKUP(E3216, Products!$A:$B,2,0)</f>
        <v>Routers Tec-1</v>
      </c>
      <c r="U3216" t="str">
        <f>VLOOKUP(E3216,Products!$A:$C,3,0)</f>
        <v>Technology</v>
      </c>
      <c r="V3216" t="str">
        <f>VLOOKUP(E3216,Products!$A:$D,4,0)</f>
        <v>Routers</v>
      </c>
      <c r="W3216" t="str">
        <f>VLOOKUP(D3216,Customers!$A:$C,3,0)</f>
        <v>Small Business</v>
      </c>
      <c r="X3216" t="str">
        <f>VLOOKUP(C3216,Sales_Representatives!$A:$B,2,0)</f>
        <v>Jennifer Brown</v>
      </c>
    </row>
    <row r="3217" spans="1:24" x14ac:dyDescent="0.3">
      <c r="A3217" t="s">
        <v>4345</v>
      </c>
      <c r="B3217" t="s">
        <v>4342</v>
      </c>
      <c r="C3217" t="s">
        <v>131</v>
      </c>
      <c r="D3217" t="s">
        <v>2686</v>
      </c>
      <c r="E3217" t="s">
        <v>137</v>
      </c>
      <c r="F3217">
        <v>2</v>
      </c>
      <c r="G3217">
        <v>241.39</v>
      </c>
      <c r="H3217">
        <v>0.06</v>
      </c>
      <c r="I3217" s="4">
        <v>453.81</v>
      </c>
      <c r="J3217" t="s">
        <v>44</v>
      </c>
      <c r="K3217" t="s">
        <v>48</v>
      </c>
      <c r="L3217" s="4">
        <f>VLOOKUP(tblTransactions[[#This Row],[Product_ID]],tblProducts[],5,FALSE)</f>
        <v>124.07</v>
      </c>
      <c r="M3217" s="4">
        <f>tblTransactions[[#This Row],[Total_Amount]]-(tblTransactions[[#This Row],[Cost_Prices]]*tblTransactions[[#This Row],[Quantity]]*(1-tblTransactions[[#This Row],[Discount]]))</f>
        <v>220.55840000000003</v>
      </c>
      <c r="N3217" s="3">
        <f>tblTransactions[[#This Row],[Profit]]/tblTransactions[[#This Row],[Total_Amount]]</f>
        <v>0.48601485203058559</v>
      </c>
      <c r="O3217" t="str">
        <f>TEXT(tblTransactions[[#This Row],[Date]], "MMM-YYYY")</f>
        <v>Nov-2024</v>
      </c>
      <c r="P3217" t="str">
        <f>"Q"&amp;ROUNDUP(MONTH(tblTransactions[[#This Row],[Date]])/3,0)&amp;"-"&amp;YEAR(tblTransactions[[#This Row],[Date]])</f>
        <v>Q4-2024</v>
      </c>
      <c r="Q3217">
        <f>YEAR(tblTransactions[[#This Row],[Date]])</f>
        <v>2024</v>
      </c>
      <c r="R3217" t="str">
        <f>TEXT(tblTransactions[[#This Row],[Date]],"DDDD")</f>
        <v>Sunday</v>
      </c>
      <c r="S3217">
        <f>MONTH(tblTransactions[[#This Row],[Date]])</f>
        <v>11</v>
      </c>
      <c r="T3217" t="str">
        <f>VLOOKUP(E3217, Products!$A:$B,2,0)</f>
        <v>Desks Fur-2</v>
      </c>
      <c r="U3217" t="str">
        <f>VLOOKUP(E3217,Products!$A:$C,3,0)</f>
        <v>Furniture</v>
      </c>
      <c r="V3217" t="str">
        <f>VLOOKUP(E3217,Products!$A:$D,4,0)</f>
        <v>Desks</v>
      </c>
      <c r="W3217" t="str">
        <f>VLOOKUP(D3217,Customers!$A:$C,3,0)</f>
        <v>Small Business</v>
      </c>
      <c r="X3217" t="str">
        <f>VLOOKUP(C3217,Sales_Representatives!$A:$B,2,0)</f>
        <v>Michael Davis</v>
      </c>
    </row>
    <row r="3218" spans="1:24" x14ac:dyDescent="0.3">
      <c r="A3218" t="s">
        <v>4346</v>
      </c>
      <c r="B3218" t="s">
        <v>4347</v>
      </c>
      <c r="C3218" t="s">
        <v>75</v>
      </c>
      <c r="D3218" t="s">
        <v>2074</v>
      </c>
      <c r="E3218" t="s">
        <v>87</v>
      </c>
      <c r="F3218">
        <v>2</v>
      </c>
      <c r="G3218">
        <v>1047.8900000000001</v>
      </c>
      <c r="H3218">
        <v>0.08</v>
      </c>
      <c r="I3218" s="4">
        <v>1928.12</v>
      </c>
      <c r="J3218" t="s">
        <v>44</v>
      </c>
      <c r="K3218" t="s">
        <v>48</v>
      </c>
      <c r="L3218" s="4">
        <f>VLOOKUP(tblTransactions[[#This Row],[Product_ID]],tblProducts[],5,FALSE)</f>
        <v>742.63</v>
      </c>
      <c r="M3218" s="4">
        <f>tblTransactions[[#This Row],[Total_Amount]]-(tblTransactions[[#This Row],[Cost_Prices]]*tblTransactions[[#This Row],[Quantity]]*(1-tblTransactions[[#This Row],[Discount]]))</f>
        <v>561.68079999999986</v>
      </c>
      <c r="N3218" s="3">
        <f>tblTransactions[[#This Row],[Profit]]/tblTransactions[[#This Row],[Total_Amount]]</f>
        <v>0.29131008443457873</v>
      </c>
      <c r="O3218" t="str">
        <f>TEXT(tblTransactions[[#This Row],[Date]], "MMM-YYYY")</f>
        <v>Nov-2024</v>
      </c>
      <c r="P3218" t="str">
        <f>"Q"&amp;ROUNDUP(MONTH(tblTransactions[[#This Row],[Date]])/3,0)&amp;"-"&amp;YEAR(tblTransactions[[#This Row],[Date]])</f>
        <v>Q4-2024</v>
      </c>
      <c r="Q3218">
        <f>YEAR(tblTransactions[[#This Row],[Date]])</f>
        <v>2024</v>
      </c>
      <c r="R3218" t="str">
        <f>TEXT(tblTransactions[[#This Row],[Date]],"DDDD")</f>
        <v>Monday</v>
      </c>
      <c r="S3218">
        <f>MONTH(tblTransactions[[#This Row],[Date]])</f>
        <v>11</v>
      </c>
      <c r="T3218" t="str">
        <f>VLOOKUP(E3218, Products!$A:$B,2,0)</f>
        <v>Monitors Tec-2</v>
      </c>
      <c r="U3218" t="str">
        <f>VLOOKUP(E3218,Products!$A:$C,3,0)</f>
        <v>Technology</v>
      </c>
      <c r="V3218" t="str">
        <f>VLOOKUP(E3218,Products!$A:$D,4,0)</f>
        <v>Monitors</v>
      </c>
      <c r="W3218" t="str">
        <f>VLOOKUP(D3218,Customers!$A:$C,3,0)</f>
        <v>B2C</v>
      </c>
      <c r="X3218" t="str">
        <f>VLOOKUP(C3218,Sales_Representatives!$A:$B,2,0)</f>
        <v>Jessica Anderson</v>
      </c>
    </row>
    <row r="3219" spans="1:24" x14ac:dyDescent="0.3">
      <c r="A3219" t="s">
        <v>4348</v>
      </c>
      <c r="B3219" t="s">
        <v>4347</v>
      </c>
      <c r="C3219" t="s">
        <v>70</v>
      </c>
      <c r="D3219" t="s">
        <v>3047</v>
      </c>
      <c r="E3219" t="s">
        <v>96</v>
      </c>
      <c r="F3219">
        <v>7</v>
      </c>
      <c r="G3219">
        <v>751.9</v>
      </c>
      <c r="H3219">
        <v>0.08</v>
      </c>
      <c r="I3219" s="4">
        <v>4842.24</v>
      </c>
      <c r="J3219" t="s">
        <v>16</v>
      </c>
      <c r="K3219" t="s">
        <v>17</v>
      </c>
      <c r="L3219" s="4">
        <f>VLOOKUP(tblTransactions[[#This Row],[Product_ID]],tblProducts[],5,FALSE)</f>
        <v>570.29</v>
      </c>
      <c r="M3219" s="4">
        <f>tblTransactions[[#This Row],[Total_Amount]]-(tblTransactions[[#This Row],[Cost_Prices]]*tblTransactions[[#This Row],[Quantity]]*(1-tblTransactions[[#This Row],[Discount]]))</f>
        <v>1169.5724</v>
      </c>
      <c r="N3219" s="3">
        <f>tblTransactions[[#This Row],[Profit]]/tblTransactions[[#This Row],[Total_Amount]]</f>
        <v>0.2415354051017711</v>
      </c>
      <c r="O3219" t="str">
        <f>TEXT(tblTransactions[[#This Row],[Date]], "MMM-YYYY")</f>
        <v>Nov-2024</v>
      </c>
      <c r="P3219" t="str">
        <f>"Q"&amp;ROUNDUP(MONTH(tblTransactions[[#This Row],[Date]])/3,0)&amp;"-"&amp;YEAR(tblTransactions[[#This Row],[Date]])</f>
        <v>Q4-2024</v>
      </c>
      <c r="Q3219">
        <f>YEAR(tblTransactions[[#This Row],[Date]])</f>
        <v>2024</v>
      </c>
      <c r="R3219" t="str">
        <f>TEXT(tblTransactions[[#This Row],[Date]],"DDDD")</f>
        <v>Monday</v>
      </c>
      <c r="S3219">
        <f>MONTH(tblTransactions[[#This Row],[Date]])</f>
        <v>11</v>
      </c>
      <c r="T3219" t="str">
        <f>VLOOKUP(E3219, Products!$A:$B,2,0)</f>
        <v>Routers Tec-1</v>
      </c>
      <c r="U3219" t="str">
        <f>VLOOKUP(E3219,Products!$A:$C,3,0)</f>
        <v>Technology</v>
      </c>
      <c r="V3219" t="str">
        <f>VLOOKUP(E3219,Products!$A:$D,4,0)</f>
        <v>Routers</v>
      </c>
      <c r="W3219" t="str">
        <f>VLOOKUP(D3219,Customers!$A:$C,3,0)</f>
        <v>Small Business</v>
      </c>
      <c r="X3219" t="str">
        <f>VLOOKUP(C3219,Sales_Representatives!$A:$B,2,0)</f>
        <v>Linda Smith</v>
      </c>
    </row>
    <row r="3220" spans="1:24" x14ac:dyDescent="0.3">
      <c r="A3220" t="s">
        <v>4349</v>
      </c>
      <c r="B3220" t="s">
        <v>4347</v>
      </c>
      <c r="C3220" t="s">
        <v>56</v>
      </c>
      <c r="D3220" t="s">
        <v>3597</v>
      </c>
      <c r="E3220" t="s">
        <v>450</v>
      </c>
      <c r="F3220">
        <v>6</v>
      </c>
      <c r="G3220">
        <v>2083.92</v>
      </c>
      <c r="H3220">
        <v>0.06</v>
      </c>
      <c r="I3220" s="4">
        <v>11753.31</v>
      </c>
      <c r="J3220" t="s">
        <v>34</v>
      </c>
      <c r="K3220" t="s">
        <v>39</v>
      </c>
      <c r="L3220" s="4">
        <f>VLOOKUP(tblTransactions[[#This Row],[Product_ID]],tblProducts[],5,FALSE)</f>
        <v>1425.78</v>
      </c>
      <c r="M3220" s="4">
        <f>tblTransactions[[#This Row],[Total_Amount]]-(tblTransactions[[#This Row],[Cost_Prices]]*tblTransactions[[#This Row],[Quantity]]*(1-tblTransactions[[#This Row],[Discount]]))</f>
        <v>3711.9107999999997</v>
      </c>
      <c r="N3220" s="3">
        <f>tblTransactions[[#This Row],[Profit]]/tblTransactions[[#This Row],[Total_Amount]]</f>
        <v>0.31581833543061483</v>
      </c>
      <c r="O3220" t="str">
        <f>TEXT(tblTransactions[[#This Row],[Date]], "MMM-YYYY")</f>
        <v>Nov-2024</v>
      </c>
      <c r="P3220" t="str">
        <f>"Q"&amp;ROUNDUP(MONTH(tblTransactions[[#This Row],[Date]])/3,0)&amp;"-"&amp;YEAR(tblTransactions[[#This Row],[Date]])</f>
        <v>Q4-2024</v>
      </c>
      <c r="Q3220">
        <f>YEAR(tblTransactions[[#This Row],[Date]])</f>
        <v>2024</v>
      </c>
      <c r="R3220" t="str">
        <f>TEXT(tblTransactions[[#This Row],[Date]],"DDDD")</f>
        <v>Monday</v>
      </c>
      <c r="S3220">
        <f>MONTH(tblTransactions[[#This Row],[Date]])</f>
        <v>11</v>
      </c>
      <c r="T3220" t="str">
        <f>VLOOKUP(E3220, Products!$A:$B,2,0)</f>
        <v>Monitors Tec-4</v>
      </c>
      <c r="U3220" t="str">
        <f>VLOOKUP(E3220,Products!$A:$C,3,0)</f>
        <v>Technology</v>
      </c>
      <c r="V3220" t="str">
        <f>VLOOKUP(E3220,Products!$A:$D,4,0)</f>
        <v>Monitors</v>
      </c>
      <c r="W3220" t="str">
        <f>VLOOKUP(D3220,Customers!$A:$C,3,0)</f>
        <v>B2C</v>
      </c>
      <c r="X3220" t="str">
        <f>VLOOKUP(C3220,Sales_Representatives!$A:$B,2,0)</f>
        <v>Thomas Hernandez</v>
      </c>
    </row>
    <row r="3221" spans="1:24" x14ac:dyDescent="0.3">
      <c r="A3221" t="s">
        <v>4350</v>
      </c>
      <c r="B3221" t="s">
        <v>4347</v>
      </c>
      <c r="C3221" t="s">
        <v>127</v>
      </c>
      <c r="D3221" t="s">
        <v>1447</v>
      </c>
      <c r="E3221" t="s">
        <v>38</v>
      </c>
      <c r="F3221">
        <v>2</v>
      </c>
      <c r="G3221">
        <v>581.47</v>
      </c>
      <c r="H3221">
        <v>0.02</v>
      </c>
      <c r="I3221" s="4">
        <v>1139.68</v>
      </c>
      <c r="J3221" t="s">
        <v>109</v>
      </c>
      <c r="K3221" t="s">
        <v>17</v>
      </c>
      <c r="L3221" s="4">
        <f>VLOOKUP(tblTransactions[[#This Row],[Product_ID]],tblProducts[],5,FALSE)</f>
        <v>372.07</v>
      </c>
      <c r="M3221" s="4">
        <f>tblTransactions[[#This Row],[Total_Amount]]-(tblTransactions[[#This Row],[Cost_Prices]]*tblTransactions[[#This Row],[Quantity]]*(1-tblTransactions[[#This Row],[Discount]]))</f>
        <v>410.42280000000005</v>
      </c>
      <c r="N3221" s="3">
        <f>tblTransactions[[#This Row],[Profit]]/tblTransactions[[#This Row],[Total_Amount]]</f>
        <v>0.36012108662080589</v>
      </c>
      <c r="O3221" t="str">
        <f>TEXT(tblTransactions[[#This Row],[Date]], "MMM-YYYY")</f>
        <v>Nov-2024</v>
      </c>
      <c r="P3221" t="str">
        <f>"Q"&amp;ROUNDUP(MONTH(tblTransactions[[#This Row],[Date]])/3,0)&amp;"-"&amp;YEAR(tblTransactions[[#This Row],[Date]])</f>
        <v>Q4-2024</v>
      </c>
      <c r="Q3221">
        <f>YEAR(tblTransactions[[#This Row],[Date]])</f>
        <v>2024</v>
      </c>
      <c r="R3221" t="str">
        <f>TEXT(tblTransactions[[#This Row],[Date]],"DDDD")</f>
        <v>Monday</v>
      </c>
      <c r="S3221">
        <f>MONTH(tblTransactions[[#This Row],[Date]])</f>
        <v>11</v>
      </c>
      <c r="T3221" t="str">
        <f>VLOOKUP(E3221, Products!$A:$B,2,0)</f>
        <v>Storage Fur-3</v>
      </c>
      <c r="U3221" t="str">
        <f>VLOOKUP(E3221,Products!$A:$C,3,0)</f>
        <v>Furniture</v>
      </c>
      <c r="V3221" t="str">
        <f>VLOOKUP(E3221,Products!$A:$D,4,0)</f>
        <v>Storage</v>
      </c>
      <c r="W3221" t="str">
        <f>VLOOKUP(D3221,Customers!$A:$C,3,0)</f>
        <v>B2B</v>
      </c>
      <c r="X3221" t="str">
        <f>VLOOKUP(C3221,Sales_Representatives!$A:$B,2,0)</f>
        <v>Emily Hernandez</v>
      </c>
    </row>
    <row r="3222" spans="1:24" x14ac:dyDescent="0.3">
      <c r="A3222" t="s">
        <v>4351</v>
      </c>
      <c r="B3222" t="s">
        <v>4347</v>
      </c>
      <c r="C3222" t="s">
        <v>59</v>
      </c>
      <c r="D3222" t="s">
        <v>2041</v>
      </c>
      <c r="E3222" t="s">
        <v>206</v>
      </c>
      <c r="F3222">
        <v>4</v>
      </c>
      <c r="G3222">
        <v>292.51</v>
      </c>
      <c r="H3222">
        <v>0.04</v>
      </c>
      <c r="I3222" s="4">
        <v>1123.24</v>
      </c>
      <c r="J3222" t="s">
        <v>21</v>
      </c>
      <c r="K3222" t="s">
        <v>48</v>
      </c>
      <c r="L3222" s="4">
        <f>VLOOKUP(tblTransactions[[#This Row],[Product_ID]],tblProducts[],5,FALSE)</f>
        <v>122.08</v>
      </c>
      <c r="M3222" s="4">
        <f>tblTransactions[[#This Row],[Total_Amount]]-(tblTransactions[[#This Row],[Cost_Prices]]*tblTransactions[[#This Row],[Quantity]]*(1-tblTransactions[[#This Row],[Discount]]))</f>
        <v>654.45280000000002</v>
      </c>
      <c r="N3222" s="3">
        <f>tblTransactions[[#This Row],[Profit]]/tblTransactions[[#This Row],[Total_Amount]]</f>
        <v>0.5826473416188882</v>
      </c>
      <c r="O3222" t="str">
        <f>TEXT(tblTransactions[[#This Row],[Date]], "MMM-YYYY")</f>
        <v>Nov-2024</v>
      </c>
      <c r="P3222" t="str">
        <f>"Q"&amp;ROUNDUP(MONTH(tblTransactions[[#This Row],[Date]])/3,0)&amp;"-"&amp;YEAR(tblTransactions[[#This Row],[Date]])</f>
        <v>Q4-2024</v>
      </c>
      <c r="Q3222">
        <f>YEAR(tblTransactions[[#This Row],[Date]])</f>
        <v>2024</v>
      </c>
      <c r="R3222" t="str">
        <f>TEXT(tblTransactions[[#This Row],[Date]],"DDDD")</f>
        <v>Monday</v>
      </c>
      <c r="S3222">
        <f>MONTH(tblTransactions[[#This Row],[Date]])</f>
        <v>11</v>
      </c>
      <c r="T3222" t="str">
        <f>VLOOKUP(E3222, Products!$A:$B,2,0)</f>
        <v>Keyboards Acc-1</v>
      </c>
      <c r="U3222" t="str">
        <f>VLOOKUP(E3222,Products!$A:$C,3,0)</f>
        <v>Accessories</v>
      </c>
      <c r="V3222" t="str">
        <f>VLOOKUP(E3222,Products!$A:$D,4,0)</f>
        <v>Keyboards</v>
      </c>
      <c r="W3222" t="str">
        <f>VLOOKUP(D3222,Customers!$A:$C,3,0)</f>
        <v>B2C</v>
      </c>
      <c r="X3222" t="str">
        <f>VLOOKUP(C3222,Sales_Representatives!$A:$B,2,0)</f>
        <v>Sarah Brown</v>
      </c>
    </row>
    <row r="3223" spans="1:24" x14ac:dyDescent="0.3">
      <c r="A3223" t="s">
        <v>4352</v>
      </c>
      <c r="B3223" t="s">
        <v>4347</v>
      </c>
      <c r="C3223" t="s">
        <v>41</v>
      </c>
      <c r="D3223" t="s">
        <v>237</v>
      </c>
      <c r="E3223" t="s">
        <v>89</v>
      </c>
      <c r="F3223">
        <v>8</v>
      </c>
      <c r="G3223">
        <v>555.08000000000004</v>
      </c>
      <c r="H3223">
        <v>0.13</v>
      </c>
      <c r="I3223" s="4">
        <v>3863.36</v>
      </c>
      <c r="J3223" t="s">
        <v>44</v>
      </c>
      <c r="K3223" t="s">
        <v>17</v>
      </c>
      <c r="L3223" s="4">
        <f>VLOOKUP(tblTransactions[[#This Row],[Product_ID]],tblProducts[],5,FALSE)</f>
        <v>402.82</v>
      </c>
      <c r="M3223" s="4">
        <f>tblTransactions[[#This Row],[Total_Amount]]-(tblTransactions[[#This Row],[Cost_Prices]]*tblTransactions[[#This Row],[Quantity]]*(1-tblTransactions[[#This Row],[Discount]]))</f>
        <v>1059.7328000000002</v>
      </c>
      <c r="N3223" s="3">
        <f>tblTransactions[[#This Row],[Profit]]/tblTransactions[[#This Row],[Total_Amount]]</f>
        <v>0.27430340429056577</v>
      </c>
      <c r="O3223" t="str">
        <f>TEXT(tblTransactions[[#This Row],[Date]], "MMM-YYYY")</f>
        <v>Nov-2024</v>
      </c>
      <c r="P3223" t="str">
        <f>"Q"&amp;ROUNDUP(MONTH(tblTransactions[[#This Row],[Date]])/3,0)&amp;"-"&amp;YEAR(tblTransactions[[#This Row],[Date]])</f>
        <v>Q4-2024</v>
      </c>
      <c r="Q3223">
        <f>YEAR(tblTransactions[[#This Row],[Date]])</f>
        <v>2024</v>
      </c>
      <c r="R3223" t="str">
        <f>TEXT(tblTransactions[[#This Row],[Date]],"DDDD")</f>
        <v>Monday</v>
      </c>
      <c r="S3223">
        <f>MONTH(tblTransactions[[#This Row],[Date]])</f>
        <v>11</v>
      </c>
      <c r="T3223" t="str">
        <f>VLOOKUP(E3223, Products!$A:$B,2,0)</f>
        <v>Laptops Ele-3</v>
      </c>
      <c r="U3223" t="str">
        <f>VLOOKUP(E3223,Products!$A:$C,3,0)</f>
        <v>Electronics</v>
      </c>
      <c r="V3223" t="str">
        <f>VLOOKUP(E3223,Products!$A:$D,4,0)</f>
        <v>Laptops</v>
      </c>
      <c r="W3223" t="str">
        <f>VLOOKUP(D3223,Customers!$A:$C,3,0)</f>
        <v>B2B</v>
      </c>
      <c r="X3223" t="str">
        <f>VLOOKUP(C3223,Sales_Representatives!$A:$B,2,0)</f>
        <v>Robert Jones</v>
      </c>
    </row>
    <row r="3224" spans="1:24" x14ac:dyDescent="0.3">
      <c r="A3224" t="s">
        <v>4353</v>
      </c>
      <c r="B3224" t="s">
        <v>4347</v>
      </c>
      <c r="C3224" t="s">
        <v>19</v>
      </c>
      <c r="D3224" t="s">
        <v>1451</v>
      </c>
      <c r="E3224" t="s">
        <v>198</v>
      </c>
      <c r="F3224">
        <v>14</v>
      </c>
      <c r="G3224">
        <v>1802.96</v>
      </c>
      <c r="H3224">
        <v>0.13</v>
      </c>
      <c r="I3224" s="4">
        <v>21960.05</v>
      </c>
      <c r="J3224" t="s">
        <v>21</v>
      </c>
      <c r="K3224" t="s">
        <v>48</v>
      </c>
      <c r="L3224" s="4">
        <f>VLOOKUP(tblTransactions[[#This Row],[Product_ID]],tblProducts[],5,FALSE)</f>
        <v>1282.18</v>
      </c>
      <c r="M3224" s="4">
        <f>tblTransactions[[#This Row],[Total_Amount]]-(tblTransactions[[#This Row],[Cost_Prices]]*tblTransactions[[#This Row],[Quantity]]*(1-tblTransactions[[#This Row],[Discount]]))</f>
        <v>6343.0975999999991</v>
      </c>
      <c r="N3224" s="3">
        <f>tblTransactions[[#This Row],[Profit]]/tblTransactions[[#This Row],[Total_Amount]]</f>
        <v>0.28884713832618775</v>
      </c>
      <c r="O3224" t="str">
        <f>TEXT(tblTransactions[[#This Row],[Date]], "MMM-YYYY")</f>
        <v>Nov-2024</v>
      </c>
      <c r="P3224" t="str">
        <f>"Q"&amp;ROUNDUP(MONTH(tblTransactions[[#This Row],[Date]])/3,0)&amp;"-"&amp;YEAR(tblTransactions[[#This Row],[Date]])</f>
        <v>Q4-2024</v>
      </c>
      <c r="Q3224">
        <f>YEAR(tblTransactions[[#This Row],[Date]])</f>
        <v>2024</v>
      </c>
      <c r="R3224" t="str">
        <f>TEXT(tblTransactions[[#This Row],[Date]],"DDDD")</f>
        <v>Monday</v>
      </c>
      <c r="S3224">
        <f>MONTH(tblTransactions[[#This Row],[Date]])</f>
        <v>11</v>
      </c>
      <c r="T3224" t="str">
        <f>VLOOKUP(E3224, Products!$A:$B,2,0)</f>
        <v>Tablets Ele-3</v>
      </c>
      <c r="U3224" t="str">
        <f>VLOOKUP(E3224,Products!$A:$C,3,0)</f>
        <v>Electronics</v>
      </c>
      <c r="V3224" t="str">
        <f>VLOOKUP(E3224,Products!$A:$D,4,0)</f>
        <v>Tablets</v>
      </c>
      <c r="W3224" t="str">
        <f>VLOOKUP(D3224,Customers!$A:$C,3,0)</f>
        <v>B2B</v>
      </c>
      <c r="X3224" t="str">
        <f>VLOOKUP(C3224,Sales_Representatives!$A:$B,2,0)</f>
        <v>Robert Jones</v>
      </c>
    </row>
    <row r="3225" spans="1:24" x14ac:dyDescent="0.3">
      <c r="A3225" t="s">
        <v>4354</v>
      </c>
      <c r="B3225" t="s">
        <v>4347</v>
      </c>
      <c r="C3225" t="s">
        <v>75</v>
      </c>
      <c r="D3225" t="s">
        <v>71</v>
      </c>
      <c r="E3225" t="s">
        <v>283</v>
      </c>
      <c r="F3225">
        <v>6</v>
      </c>
      <c r="G3225">
        <v>456.88</v>
      </c>
      <c r="H3225">
        <v>0.08</v>
      </c>
      <c r="I3225" s="4">
        <v>2521.98</v>
      </c>
      <c r="J3225" t="s">
        <v>44</v>
      </c>
      <c r="K3225" t="s">
        <v>22</v>
      </c>
      <c r="L3225" s="4">
        <f>VLOOKUP(tblTransactions[[#This Row],[Product_ID]],tblProducts[],5,FALSE)</f>
        <v>313.23</v>
      </c>
      <c r="M3225" s="4">
        <f>tblTransactions[[#This Row],[Total_Amount]]-(tblTransactions[[#This Row],[Cost_Prices]]*tblTransactions[[#This Row],[Quantity]]*(1-tblTransactions[[#This Row],[Discount]]))</f>
        <v>792.95039999999995</v>
      </c>
      <c r="N3225" s="3">
        <f>tblTransactions[[#This Row],[Profit]]/tblTransactions[[#This Row],[Total_Amount]]</f>
        <v>0.3144158161444579</v>
      </c>
      <c r="O3225" t="str">
        <f>TEXT(tblTransactions[[#This Row],[Date]], "MMM-YYYY")</f>
        <v>Nov-2024</v>
      </c>
      <c r="P3225" t="str">
        <f>"Q"&amp;ROUNDUP(MONTH(tblTransactions[[#This Row],[Date]])/3,0)&amp;"-"&amp;YEAR(tblTransactions[[#This Row],[Date]])</f>
        <v>Q4-2024</v>
      </c>
      <c r="Q3225">
        <f>YEAR(tblTransactions[[#This Row],[Date]])</f>
        <v>2024</v>
      </c>
      <c r="R3225" t="str">
        <f>TEXT(tblTransactions[[#This Row],[Date]],"DDDD")</f>
        <v>Monday</v>
      </c>
      <c r="S3225">
        <f>MONTH(tblTransactions[[#This Row],[Date]])</f>
        <v>11</v>
      </c>
      <c r="T3225" t="str">
        <f>VLOOKUP(E3225, Products!$A:$B,2,0)</f>
        <v>Chairs Fur-3</v>
      </c>
      <c r="U3225" t="str">
        <f>VLOOKUP(E3225,Products!$A:$C,3,0)</f>
        <v>Furniture</v>
      </c>
      <c r="V3225" t="str">
        <f>VLOOKUP(E3225,Products!$A:$D,4,0)</f>
        <v>Chairs</v>
      </c>
      <c r="W3225" t="str">
        <f>VLOOKUP(D3225,Customers!$A:$C,3,0)</f>
        <v>B2B</v>
      </c>
      <c r="X3225" t="str">
        <f>VLOOKUP(C3225,Sales_Representatives!$A:$B,2,0)</f>
        <v>Jessica Anderson</v>
      </c>
    </row>
    <row r="3226" spans="1:24" x14ac:dyDescent="0.3">
      <c r="A3226" t="s">
        <v>4355</v>
      </c>
      <c r="B3226" t="s">
        <v>4347</v>
      </c>
      <c r="C3226" t="s">
        <v>59</v>
      </c>
      <c r="D3226" t="s">
        <v>1507</v>
      </c>
      <c r="E3226" t="s">
        <v>91</v>
      </c>
      <c r="F3226">
        <v>14</v>
      </c>
      <c r="G3226">
        <v>286.62</v>
      </c>
      <c r="H3226">
        <v>0.19</v>
      </c>
      <c r="I3226" s="4">
        <v>3250.27</v>
      </c>
      <c r="J3226" t="s">
        <v>21</v>
      </c>
      <c r="K3226" t="s">
        <v>39</v>
      </c>
      <c r="L3226" s="4">
        <f>VLOOKUP(tblTransactions[[#This Row],[Product_ID]],tblProducts[],5,FALSE)</f>
        <v>145.54</v>
      </c>
      <c r="M3226" s="4">
        <f>tblTransactions[[#This Row],[Total_Amount]]-(tblTransactions[[#This Row],[Cost_Prices]]*tblTransactions[[#This Row],[Quantity]]*(1-tblTransactions[[#This Row],[Discount]]))</f>
        <v>1599.8463999999999</v>
      </c>
      <c r="N3226" s="3">
        <f>tblTransactions[[#This Row],[Profit]]/tblTransactions[[#This Row],[Total_Amount]]</f>
        <v>0.49221953868447849</v>
      </c>
      <c r="O3226" t="str">
        <f>TEXT(tblTransactions[[#This Row],[Date]], "MMM-YYYY")</f>
        <v>Nov-2024</v>
      </c>
      <c r="P3226" t="str">
        <f>"Q"&amp;ROUNDUP(MONTH(tblTransactions[[#This Row],[Date]])/3,0)&amp;"-"&amp;YEAR(tblTransactions[[#This Row],[Date]])</f>
        <v>Q4-2024</v>
      </c>
      <c r="Q3226">
        <f>YEAR(tblTransactions[[#This Row],[Date]])</f>
        <v>2024</v>
      </c>
      <c r="R3226" t="str">
        <f>TEXT(tblTransactions[[#This Row],[Date]],"DDDD")</f>
        <v>Monday</v>
      </c>
      <c r="S3226">
        <f>MONTH(tblTransactions[[#This Row],[Date]])</f>
        <v>11</v>
      </c>
      <c r="T3226" t="str">
        <f>VLOOKUP(E3226, Products!$A:$B,2,0)</f>
        <v>Chairs Fur-1</v>
      </c>
      <c r="U3226" t="str">
        <f>VLOOKUP(E3226,Products!$A:$C,3,0)</f>
        <v>Furniture</v>
      </c>
      <c r="V3226" t="str">
        <f>VLOOKUP(E3226,Products!$A:$D,4,0)</f>
        <v>Chairs</v>
      </c>
      <c r="W3226" t="str">
        <f>VLOOKUP(D3226,Customers!$A:$C,3,0)</f>
        <v>Enterprise</v>
      </c>
      <c r="X3226" t="str">
        <f>VLOOKUP(C3226,Sales_Representatives!$A:$B,2,0)</f>
        <v>Sarah Brown</v>
      </c>
    </row>
    <row r="3227" spans="1:24" x14ac:dyDescent="0.3">
      <c r="A3227" t="s">
        <v>4356</v>
      </c>
      <c r="B3227" t="s">
        <v>4347</v>
      </c>
      <c r="C3227" t="s">
        <v>19</v>
      </c>
      <c r="D3227" t="s">
        <v>1596</v>
      </c>
      <c r="E3227" t="s">
        <v>102</v>
      </c>
      <c r="F3227">
        <v>32</v>
      </c>
      <c r="G3227">
        <v>1097.75</v>
      </c>
      <c r="H3227">
        <v>0.18</v>
      </c>
      <c r="I3227" s="4">
        <v>28804.959999999999</v>
      </c>
      <c r="J3227" t="s">
        <v>21</v>
      </c>
      <c r="K3227" t="s">
        <v>17</v>
      </c>
      <c r="L3227" s="4">
        <f>VLOOKUP(tblTransactions[[#This Row],[Product_ID]],tblProducts[],5,FALSE)</f>
        <v>680.12</v>
      </c>
      <c r="M3227" s="4">
        <f>tblTransactions[[#This Row],[Total_Amount]]-(tblTransactions[[#This Row],[Cost_Prices]]*tblTransactions[[#This Row],[Quantity]]*(1-tblTransactions[[#This Row],[Discount]]))</f>
        <v>10958.611199999999</v>
      </c>
      <c r="N3227" s="3">
        <f>tblTransactions[[#This Row],[Profit]]/tblTransactions[[#This Row],[Total_Amount]]</f>
        <v>0.38044181279890682</v>
      </c>
      <c r="O3227" t="str">
        <f>TEXT(tblTransactions[[#This Row],[Date]], "MMM-YYYY")</f>
        <v>Nov-2024</v>
      </c>
      <c r="P3227" t="str">
        <f>"Q"&amp;ROUNDUP(MONTH(tblTransactions[[#This Row],[Date]])/3,0)&amp;"-"&amp;YEAR(tblTransactions[[#This Row],[Date]])</f>
        <v>Q4-2024</v>
      </c>
      <c r="Q3227">
        <f>YEAR(tblTransactions[[#This Row],[Date]])</f>
        <v>2024</v>
      </c>
      <c r="R3227" t="str">
        <f>TEXT(tblTransactions[[#This Row],[Date]],"DDDD")</f>
        <v>Monday</v>
      </c>
      <c r="S3227">
        <f>MONTH(tblTransactions[[#This Row],[Date]])</f>
        <v>11</v>
      </c>
      <c r="T3227" t="str">
        <f>VLOOKUP(E3227, Products!$A:$B,2,0)</f>
        <v>Storage Fur-4</v>
      </c>
      <c r="U3227" t="str">
        <f>VLOOKUP(E3227,Products!$A:$C,3,0)</f>
        <v>Furniture</v>
      </c>
      <c r="V3227" t="str">
        <f>VLOOKUP(E3227,Products!$A:$D,4,0)</f>
        <v>Storage</v>
      </c>
      <c r="W3227" t="str">
        <f>VLOOKUP(D3227,Customers!$A:$C,3,0)</f>
        <v>Enterprise</v>
      </c>
      <c r="X3227" t="str">
        <f>VLOOKUP(C3227,Sales_Representatives!$A:$B,2,0)</f>
        <v>Robert Jones</v>
      </c>
    </row>
    <row r="3228" spans="1:24" x14ac:dyDescent="0.3">
      <c r="A3228" t="s">
        <v>4357</v>
      </c>
      <c r="B3228" t="s">
        <v>4347</v>
      </c>
      <c r="C3228" t="s">
        <v>70</v>
      </c>
      <c r="D3228" t="s">
        <v>1451</v>
      </c>
      <c r="E3228" t="s">
        <v>102</v>
      </c>
      <c r="F3228">
        <v>2</v>
      </c>
      <c r="G3228">
        <v>1097.75</v>
      </c>
      <c r="H3228">
        <v>0.05</v>
      </c>
      <c r="I3228" s="4">
        <v>2085.7199999999998</v>
      </c>
      <c r="J3228" t="s">
        <v>16</v>
      </c>
      <c r="K3228" t="s">
        <v>35</v>
      </c>
      <c r="L3228" s="4">
        <f>VLOOKUP(tblTransactions[[#This Row],[Product_ID]],tblProducts[],5,FALSE)</f>
        <v>680.12</v>
      </c>
      <c r="M3228" s="4">
        <f>tblTransactions[[#This Row],[Total_Amount]]-(tblTransactions[[#This Row],[Cost_Prices]]*tblTransactions[[#This Row],[Quantity]]*(1-tblTransactions[[#This Row],[Discount]]))</f>
        <v>793.49199999999996</v>
      </c>
      <c r="N3228" s="3">
        <f>tblTransactions[[#This Row],[Profit]]/tblTransactions[[#This Row],[Total_Amount]]</f>
        <v>0.38044032756074642</v>
      </c>
      <c r="O3228" t="str">
        <f>TEXT(tblTransactions[[#This Row],[Date]], "MMM-YYYY")</f>
        <v>Nov-2024</v>
      </c>
      <c r="P3228" t="str">
        <f>"Q"&amp;ROUNDUP(MONTH(tblTransactions[[#This Row],[Date]])/3,0)&amp;"-"&amp;YEAR(tblTransactions[[#This Row],[Date]])</f>
        <v>Q4-2024</v>
      </c>
      <c r="Q3228">
        <f>YEAR(tblTransactions[[#This Row],[Date]])</f>
        <v>2024</v>
      </c>
      <c r="R3228" t="str">
        <f>TEXT(tblTransactions[[#This Row],[Date]],"DDDD")</f>
        <v>Monday</v>
      </c>
      <c r="S3228">
        <f>MONTH(tblTransactions[[#This Row],[Date]])</f>
        <v>11</v>
      </c>
      <c r="T3228" t="str">
        <f>VLOOKUP(E3228, Products!$A:$B,2,0)</f>
        <v>Storage Fur-4</v>
      </c>
      <c r="U3228" t="str">
        <f>VLOOKUP(E3228,Products!$A:$C,3,0)</f>
        <v>Furniture</v>
      </c>
      <c r="V3228" t="str">
        <f>VLOOKUP(E3228,Products!$A:$D,4,0)</f>
        <v>Storage</v>
      </c>
      <c r="W3228" t="str">
        <f>VLOOKUP(D3228,Customers!$A:$C,3,0)</f>
        <v>B2B</v>
      </c>
      <c r="X3228" t="str">
        <f>VLOOKUP(C3228,Sales_Representatives!$A:$B,2,0)</f>
        <v>Linda Smith</v>
      </c>
    </row>
    <row r="3229" spans="1:24" x14ac:dyDescent="0.3">
      <c r="A3229" t="s">
        <v>4358</v>
      </c>
      <c r="B3229" t="s">
        <v>4347</v>
      </c>
      <c r="C3229" t="s">
        <v>27</v>
      </c>
      <c r="D3229" t="s">
        <v>1467</v>
      </c>
      <c r="E3229" t="s">
        <v>116</v>
      </c>
      <c r="F3229">
        <v>3</v>
      </c>
      <c r="G3229">
        <v>232.86</v>
      </c>
      <c r="H3229">
        <v>0.05</v>
      </c>
      <c r="I3229" s="4">
        <v>663.65</v>
      </c>
      <c r="J3229" t="s">
        <v>16</v>
      </c>
      <c r="K3229" t="s">
        <v>17</v>
      </c>
      <c r="L3229" s="4">
        <f>VLOOKUP(tblTransactions[[#This Row],[Product_ID]],tblProducts[],5,FALSE)</f>
        <v>116.79</v>
      </c>
      <c r="M3229" s="4">
        <f>tblTransactions[[#This Row],[Total_Amount]]-(tblTransactions[[#This Row],[Cost_Prices]]*tblTransactions[[#This Row],[Quantity]]*(1-tblTransactions[[#This Row],[Discount]]))</f>
        <v>330.79849999999999</v>
      </c>
      <c r="N3229" s="3">
        <f>tblTransactions[[#This Row],[Profit]]/tblTransactions[[#This Row],[Total_Amount]]</f>
        <v>0.49845325096059673</v>
      </c>
      <c r="O3229" t="str">
        <f>TEXT(tblTransactions[[#This Row],[Date]], "MMM-YYYY")</f>
        <v>Nov-2024</v>
      </c>
      <c r="P3229" t="str">
        <f>"Q"&amp;ROUNDUP(MONTH(tblTransactions[[#This Row],[Date]])/3,0)&amp;"-"&amp;YEAR(tblTransactions[[#This Row],[Date]])</f>
        <v>Q4-2024</v>
      </c>
      <c r="Q3229">
        <f>YEAR(tblTransactions[[#This Row],[Date]])</f>
        <v>2024</v>
      </c>
      <c r="R3229" t="str">
        <f>TEXT(tblTransactions[[#This Row],[Date]],"DDDD")</f>
        <v>Monday</v>
      </c>
      <c r="S3229">
        <f>MONTH(tblTransactions[[#This Row],[Date]])</f>
        <v>11</v>
      </c>
      <c r="T3229" t="str">
        <f>VLOOKUP(E3229, Products!$A:$B,2,0)</f>
        <v>Folders Off-4</v>
      </c>
      <c r="U3229" t="str">
        <f>VLOOKUP(E3229,Products!$A:$C,3,0)</f>
        <v>Office Supplies</v>
      </c>
      <c r="V3229" t="str">
        <f>VLOOKUP(E3229,Products!$A:$D,4,0)</f>
        <v>Folders</v>
      </c>
      <c r="W3229" t="str">
        <f>VLOOKUP(D3229,Customers!$A:$C,3,0)</f>
        <v>B2C</v>
      </c>
      <c r="X3229" t="str">
        <f>VLOOKUP(C3229,Sales_Representatives!$A:$B,2,0)</f>
        <v>Thomas Lopez</v>
      </c>
    </row>
    <row r="3230" spans="1:24" x14ac:dyDescent="0.3">
      <c r="A3230" t="s">
        <v>4359</v>
      </c>
      <c r="B3230" t="s">
        <v>4347</v>
      </c>
      <c r="C3230" t="s">
        <v>131</v>
      </c>
      <c r="D3230" t="s">
        <v>1906</v>
      </c>
      <c r="E3230" t="s">
        <v>157</v>
      </c>
      <c r="F3230">
        <v>7</v>
      </c>
      <c r="G3230">
        <v>1227.68</v>
      </c>
      <c r="H3230">
        <v>0.15</v>
      </c>
      <c r="I3230" s="4">
        <v>7304.7</v>
      </c>
      <c r="J3230" t="s">
        <v>44</v>
      </c>
      <c r="K3230" t="s">
        <v>17</v>
      </c>
      <c r="L3230" s="4">
        <f>VLOOKUP(tblTransactions[[#This Row],[Product_ID]],tblProducts[],5,FALSE)</f>
        <v>846.42</v>
      </c>
      <c r="M3230" s="4">
        <f>tblTransactions[[#This Row],[Total_Amount]]-(tblTransactions[[#This Row],[Cost_Prices]]*tblTransactions[[#This Row],[Quantity]]*(1-tblTransactions[[#This Row],[Discount]]))</f>
        <v>2268.5010000000002</v>
      </c>
      <c r="N3230" s="3">
        <f>tblTransactions[[#This Row],[Profit]]/tblTransactions[[#This Row],[Total_Amount]]</f>
        <v>0.31055361616493493</v>
      </c>
      <c r="O3230" t="str">
        <f>TEXT(tblTransactions[[#This Row],[Date]], "MMM-YYYY")</f>
        <v>Nov-2024</v>
      </c>
      <c r="P3230" t="str">
        <f>"Q"&amp;ROUNDUP(MONTH(tblTransactions[[#This Row],[Date]])/3,0)&amp;"-"&amp;YEAR(tblTransactions[[#This Row],[Date]])</f>
        <v>Q4-2024</v>
      </c>
      <c r="Q3230">
        <f>YEAR(tblTransactions[[#This Row],[Date]])</f>
        <v>2024</v>
      </c>
      <c r="R3230" t="str">
        <f>TEXT(tblTransactions[[#This Row],[Date]],"DDDD")</f>
        <v>Monday</v>
      </c>
      <c r="S3230">
        <f>MONTH(tblTransactions[[#This Row],[Date]])</f>
        <v>11</v>
      </c>
      <c r="T3230" t="str">
        <f>VLOOKUP(E3230, Products!$A:$B,2,0)</f>
        <v>Printers Tec-4</v>
      </c>
      <c r="U3230" t="str">
        <f>VLOOKUP(E3230,Products!$A:$C,3,0)</f>
        <v>Technology</v>
      </c>
      <c r="V3230" t="str">
        <f>VLOOKUP(E3230,Products!$A:$D,4,0)</f>
        <v>Printers</v>
      </c>
      <c r="W3230" t="str">
        <f>VLOOKUP(D3230,Customers!$A:$C,3,0)</f>
        <v>B2B</v>
      </c>
      <c r="X3230" t="str">
        <f>VLOOKUP(C3230,Sales_Representatives!$A:$B,2,0)</f>
        <v>Michael Davis</v>
      </c>
    </row>
    <row r="3231" spans="1:24" x14ac:dyDescent="0.3">
      <c r="A3231" t="s">
        <v>4360</v>
      </c>
      <c r="B3231" t="s">
        <v>4347</v>
      </c>
      <c r="C3231" t="s">
        <v>27</v>
      </c>
      <c r="D3231" t="s">
        <v>47</v>
      </c>
      <c r="E3231" t="s">
        <v>376</v>
      </c>
      <c r="F3231">
        <v>1</v>
      </c>
      <c r="G3231">
        <v>229.65</v>
      </c>
      <c r="H3231">
        <v>0.1</v>
      </c>
      <c r="I3231" s="4">
        <v>206.68</v>
      </c>
      <c r="J3231" t="s">
        <v>16</v>
      </c>
      <c r="K3231" t="s">
        <v>17</v>
      </c>
      <c r="L3231" s="4">
        <f>VLOOKUP(tblTransactions[[#This Row],[Product_ID]],tblProducts[],5,FALSE)</f>
        <v>96.84</v>
      </c>
      <c r="M3231" s="4">
        <f>tblTransactions[[#This Row],[Total_Amount]]-(tblTransactions[[#This Row],[Cost_Prices]]*tblTransactions[[#This Row],[Quantity]]*(1-tblTransactions[[#This Row],[Discount]]))</f>
        <v>119.524</v>
      </c>
      <c r="N3231" s="3">
        <f>tblTransactions[[#This Row],[Profit]]/tblTransactions[[#This Row],[Total_Amount]]</f>
        <v>0.57830462550803174</v>
      </c>
      <c r="O3231" t="str">
        <f>TEXT(tblTransactions[[#This Row],[Date]], "MMM-YYYY")</f>
        <v>Nov-2024</v>
      </c>
      <c r="P3231" t="str">
        <f>"Q"&amp;ROUNDUP(MONTH(tblTransactions[[#This Row],[Date]])/3,0)&amp;"-"&amp;YEAR(tblTransactions[[#This Row],[Date]])</f>
        <v>Q4-2024</v>
      </c>
      <c r="Q3231">
        <f>YEAR(tblTransactions[[#This Row],[Date]])</f>
        <v>2024</v>
      </c>
      <c r="R3231" t="str">
        <f>TEXT(tblTransactions[[#This Row],[Date]],"DDDD")</f>
        <v>Monday</v>
      </c>
      <c r="S3231">
        <f>MONTH(tblTransactions[[#This Row],[Date]])</f>
        <v>11</v>
      </c>
      <c r="T3231" t="str">
        <f>VLOOKUP(E3231, Products!$A:$B,2,0)</f>
        <v>Adapters Acc-2</v>
      </c>
      <c r="U3231" t="str">
        <f>VLOOKUP(E3231,Products!$A:$C,3,0)</f>
        <v>Accessories</v>
      </c>
      <c r="V3231" t="str">
        <f>VLOOKUP(E3231,Products!$A:$D,4,0)</f>
        <v>Adapters</v>
      </c>
      <c r="W3231" t="str">
        <f>VLOOKUP(D3231,Customers!$A:$C,3,0)</f>
        <v>B2C</v>
      </c>
      <c r="X3231" t="str">
        <f>VLOOKUP(C3231,Sales_Representatives!$A:$B,2,0)</f>
        <v>Thomas Lopez</v>
      </c>
    </row>
    <row r="3232" spans="1:24" x14ac:dyDescent="0.3">
      <c r="A3232" t="s">
        <v>4361</v>
      </c>
      <c r="B3232" t="s">
        <v>4362</v>
      </c>
      <c r="C3232" t="s">
        <v>82</v>
      </c>
      <c r="D3232" t="s">
        <v>1530</v>
      </c>
      <c r="E3232" t="s">
        <v>72</v>
      </c>
      <c r="F3232">
        <v>48</v>
      </c>
      <c r="G3232">
        <v>404.76</v>
      </c>
      <c r="H3232">
        <v>0.21</v>
      </c>
      <c r="I3232" s="4">
        <v>15348.5</v>
      </c>
      <c r="J3232" t="s">
        <v>34</v>
      </c>
      <c r="K3232" t="s">
        <v>48</v>
      </c>
      <c r="L3232" s="4">
        <f>VLOOKUP(tblTransactions[[#This Row],[Product_ID]],tblProducts[],5,FALSE)</f>
        <v>226.76</v>
      </c>
      <c r="M3232" s="4">
        <f>tblTransactions[[#This Row],[Total_Amount]]-(tblTransactions[[#This Row],[Cost_Prices]]*tblTransactions[[#This Row],[Quantity]]*(1-tblTransactions[[#This Row],[Discount]]))</f>
        <v>6749.7608</v>
      </c>
      <c r="N3232" s="3">
        <f>tblTransactions[[#This Row],[Profit]]/tblTransactions[[#This Row],[Total_Amount]]</f>
        <v>0.43976680457373685</v>
      </c>
      <c r="O3232" t="str">
        <f>TEXT(tblTransactions[[#This Row],[Date]], "MMM-YYYY")</f>
        <v>Nov-2024</v>
      </c>
      <c r="P3232" t="str">
        <f>"Q"&amp;ROUNDUP(MONTH(tblTransactions[[#This Row],[Date]])/3,0)&amp;"-"&amp;YEAR(tblTransactions[[#This Row],[Date]])</f>
        <v>Q4-2024</v>
      </c>
      <c r="Q3232">
        <f>YEAR(tblTransactions[[#This Row],[Date]])</f>
        <v>2024</v>
      </c>
      <c r="R3232" t="str">
        <f>TEXT(tblTransactions[[#This Row],[Date]],"DDDD")</f>
        <v>Tuesday</v>
      </c>
      <c r="S3232">
        <f>MONTH(tblTransactions[[#This Row],[Date]])</f>
        <v>11</v>
      </c>
      <c r="T3232" t="str">
        <f>VLOOKUP(E3232, Products!$A:$B,2,0)</f>
        <v>Tablets Ele-2</v>
      </c>
      <c r="U3232" t="str">
        <f>VLOOKUP(E3232,Products!$A:$C,3,0)</f>
        <v>Electronics</v>
      </c>
      <c r="V3232" t="str">
        <f>VLOOKUP(E3232,Products!$A:$D,4,0)</f>
        <v>Tablets</v>
      </c>
      <c r="W3232" t="str">
        <f>VLOOKUP(D3232,Customers!$A:$C,3,0)</f>
        <v>Enterprise</v>
      </c>
      <c r="X3232" t="str">
        <f>VLOOKUP(C3232,Sales_Representatives!$A:$B,2,0)</f>
        <v>John Brown</v>
      </c>
    </row>
    <row r="3233" spans="1:24" x14ac:dyDescent="0.3">
      <c r="A3233" t="s">
        <v>4363</v>
      </c>
      <c r="B3233" t="s">
        <v>4362</v>
      </c>
      <c r="C3233" t="s">
        <v>82</v>
      </c>
      <c r="D3233" t="s">
        <v>1774</v>
      </c>
      <c r="E3233" t="s">
        <v>178</v>
      </c>
      <c r="F3233">
        <v>8</v>
      </c>
      <c r="G3233">
        <v>1623.35</v>
      </c>
      <c r="H3233">
        <v>0.05</v>
      </c>
      <c r="I3233" s="4">
        <v>12337.46</v>
      </c>
      <c r="J3233" t="s">
        <v>34</v>
      </c>
      <c r="K3233" t="s">
        <v>35</v>
      </c>
      <c r="L3233" s="4">
        <f>VLOOKUP(tblTransactions[[#This Row],[Product_ID]],tblProducts[],5,FALSE)</f>
        <v>981.45</v>
      </c>
      <c r="M3233" s="4">
        <f>tblTransactions[[#This Row],[Total_Amount]]-(tblTransactions[[#This Row],[Cost_Prices]]*tblTransactions[[#This Row],[Quantity]]*(1-tblTransactions[[#This Row],[Discount]]))</f>
        <v>4878.4399999999987</v>
      </c>
      <c r="N3233" s="3">
        <f>tblTransactions[[#This Row],[Profit]]/tblTransactions[[#This Row],[Total_Amount]]</f>
        <v>0.39541688483691123</v>
      </c>
      <c r="O3233" t="str">
        <f>TEXT(tblTransactions[[#This Row],[Date]], "MMM-YYYY")</f>
        <v>Nov-2024</v>
      </c>
      <c r="P3233" t="str">
        <f>"Q"&amp;ROUNDUP(MONTH(tblTransactions[[#This Row],[Date]])/3,0)&amp;"-"&amp;YEAR(tblTransactions[[#This Row],[Date]])</f>
        <v>Q4-2024</v>
      </c>
      <c r="Q3233">
        <f>YEAR(tblTransactions[[#This Row],[Date]])</f>
        <v>2024</v>
      </c>
      <c r="R3233" t="str">
        <f>TEXT(tblTransactions[[#This Row],[Date]],"DDDD")</f>
        <v>Tuesday</v>
      </c>
      <c r="S3233">
        <f>MONTH(tblTransactions[[#This Row],[Date]])</f>
        <v>11</v>
      </c>
      <c r="T3233" t="str">
        <f>VLOOKUP(E3233, Products!$A:$B,2,0)</f>
        <v>Tablets Ele-1</v>
      </c>
      <c r="U3233" t="str">
        <f>VLOOKUP(E3233,Products!$A:$C,3,0)</f>
        <v>Electronics</v>
      </c>
      <c r="V3233" t="str">
        <f>VLOOKUP(E3233,Products!$A:$D,4,0)</f>
        <v>Tablets</v>
      </c>
      <c r="W3233" t="str">
        <f>VLOOKUP(D3233,Customers!$A:$C,3,0)</f>
        <v>Enterprise</v>
      </c>
      <c r="X3233" t="str">
        <f>VLOOKUP(C3233,Sales_Representatives!$A:$B,2,0)</f>
        <v>John Brown</v>
      </c>
    </row>
    <row r="3234" spans="1:24" x14ac:dyDescent="0.3">
      <c r="A3234" t="s">
        <v>4364</v>
      </c>
      <c r="B3234" t="s">
        <v>4365</v>
      </c>
      <c r="C3234" t="s">
        <v>107</v>
      </c>
      <c r="D3234" t="s">
        <v>2000</v>
      </c>
      <c r="E3234" t="s">
        <v>137</v>
      </c>
      <c r="F3234">
        <v>4</v>
      </c>
      <c r="G3234">
        <v>241.39</v>
      </c>
      <c r="H3234">
        <v>0.03</v>
      </c>
      <c r="I3234" s="4">
        <v>936.59</v>
      </c>
      <c r="J3234" t="s">
        <v>109</v>
      </c>
      <c r="K3234" t="s">
        <v>22</v>
      </c>
      <c r="L3234" s="4">
        <f>VLOOKUP(tblTransactions[[#This Row],[Product_ID]],tblProducts[],5,FALSE)</f>
        <v>124.07</v>
      </c>
      <c r="M3234" s="4">
        <f>tblTransactions[[#This Row],[Total_Amount]]-(tblTransactions[[#This Row],[Cost_Prices]]*tblTransactions[[#This Row],[Quantity]]*(1-tblTransactions[[#This Row],[Discount]]))</f>
        <v>455.19840000000005</v>
      </c>
      <c r="N3234" s="3">
        <f>tblTransactions[[#This Row],[Profit]]/tblTransactions[[#This Row],[Total_Amount]]</f>
        <v>0.48601672022976972</v>
      </c>
      <c r="O3234" t="str">
        <f>TEXT(tblTransactions[[#This Row],[Date]], "MMM-YYYY")</f>
        <v>Nov-2024</v>
      </c>
      <c r="P3234" t="str">
        <f>"Q"&amp;ROUNDUP(MONTH(tblTransactions[[#This Row],[Date]])/3,0)&amp;"-"&amp;YEAR(tblTransactions[[#This Row],[Date]])</f>
        <v>Q4-2024</v>
      </c>
      <c r="Q3234">
        <f>YEAR(tblTransactions[[#This Row],[Date]])</f>
        <v>2024</v>
      </c>
      <c r="R3234" t="str">
        <f>TEXT(tblTransactions[[#This Row],[Date]],"DDDD")</f>
        <v>Wednesday</v>
      </c>
      <c r="S3234">
        <f>MONTH(tblTransactions[[#This Row],[Date]])</f>
        <v>11</v>
      </c>
      <c r="T3234" t="str">
        <f>VLOOKUP(E3234, Products!$A:$B,2,0)</f>
        <v>Desks Fur-2</v>
      </c>
      <c r="U3234" t="str">
        <f>VLOOKUP(E3234,Products!$A:$C,3,0)</f>
        <v>Furniture</v>
      </c>
      <c r="V3234" t="str">
        <f>VLOOKUP(E3234,Products!$A:$D,4,0)</f>
        <v>Desks</v>
      </c>
      <c r="W3234" t="str">
        <f>VLOOKUP(D3234,Customers!$A:$C,3,0)</f>
        <v>B2B</v>
      </c>
      <c r="X3234" t="str">
        <f>VLOOKUP(C3234,Sales_Representatives!$A:$B,2,0)</f>
        <v>Jennifer Brown</v>
      </c>
    </row>
    <row r="3235" spans="1:24" x14ac:dyDescent="0.3">
      <c r="A3235" t="s">
        <v>4366</v>
      </c>
      <c r="B3235" t="s">
        <v>4365</v>
      </c>
      <c r="C3235" t="s">
        <v>59</v>
      </c>
      <c r="D3235" t="s">
        <v>3597</v>
      </c>
      <c r="E3235" t="s">
        <v>79</v>
      </c>
      <c r="F3235">
        <v>2</v>
      </c>
      <c r="G3235">
        <v>1452.36</v>
      </c>
      <c r="H3235">
        <v>0</v>
      </c>
      <c r="I3235" s="4">
        <v>2904.72</v>
      </c>
      <c r="J3235" t="s">
        <v>21</v>
      </c>
      <c r="K3235" t="s">
        <v>22</v>
      </c>
      <c r="L3235" s="4">
        <f>VLOOKUP(tblTransactions[[#This Row],[Product_ID]],tblProducts[],5,FALSE)</f>
        <v>778.71</v>
      </c>
      <c r="M3235" s="4">
        <f>tblTransactions[[#This Row],[Total_Amount]]-(tblTransactions[[#This Row],[Cost_Prices]]*tblTransactions[[#This Row],[Quantity]]*(1-tblTransactions[[#This Row],[Discount]]))</f>
        <v>1347.2999999999997</v>
      </c>
      <c r="N3235" s="3">
        <f>tblTransactions[[#This Row],[Profit]]/tblTransactions[[#This Row],[Total_Amount]]</f>
        <v>0.46383128150045438</v>
      </c>
      <c r="O3235" t="str">
        <f>TEXT(tblTransactions[[#This Row],[Date]], "MMM-YYYY")</f>
        <v>Nov-2024</v>
      </c>
      <c r="P3235" t="str">
        <f>"Q"&amp;ROUNDUP(MONTH(tblTransactions[[#This Row],[Date]])/3,0)&amp;"-"&amp;YEAR(tblTransactions[[#This Row],[Date]])</f>
        <v>Q4-2024</v>
      </c>
      <c r="Q3235">
        <f>YEAR(tblTransactions[[#This Row],[Date]])</f>
        <v>2024</v>
      </c>
      <c r="R3235" t="str">
        <f>TEXT(tblTransactions[[#This Row],[Date]],"DDDD")</f>
        <v>Wednesday</v>
      </c>
      <c r="S3235">
        <f>MONTH(tblTransactions[[#This Row],[Date]])</f>
        <v>11</v>
      </c>
      <c r="T3235" t="str">
        <f>VLOOKUP(E3235, Products!$A:$B,2,0)</f>
        <v>Tables Fur-2</v>
      </c>
      <c r="U3235" t="str">
        <f>VLOOKUP(E3235,Products!$A:$C,3,0)</f>
        <v>Furniture</v>
      </c>
      <c r="V3235" t="str">
        <f>VLOOKUP(E3235,Products!$A:$D,4,0)</f>
        <v>Tables</v>
      </c>
      <c r="W3235" t="str">
        <f>VLOOKUP(D3235,Customers!$A:$C,3,0)</f>
        <v>B2C</v>
      </c>
      <c r="X3235" t="str">
        <f>VLOOKUP(C3235,Sales_Representatives!$A:$B,2,0)</f>
        <v>Sarah Brown</v>
      </c>
    </row>
    <row r="3236" spans="1:24" x14ac:dyDescent="0.3">
      <c r="A3236" t="s">
        <v>4367</v>
      </c>
      <c r="B3236" t="s">
        <v>4365</v>
      </c>
      <c r="C3236" t="s">
        <v>127</v>
      </c>
      <c r="D3236" t="s">
        <v>24</v>
      </c>
      <c r="E3236" t="s">
        <v>29</v>
      </c>
      <c r="F3236">
        <v>14</v>
      </c>
      <c r="G3236">
        <v>1363.46</v>
      </c>
      <c r="H3236">
        <v>0.12</v>
      </c>
      <c r="I3236" s="4">
        <v>16797.830000000002</v>
      </c>
      <c r="J3236" t="s">
        <v>109</v>
      </c>
      <c r="K3236" t="s">
        <v>48</v>
      </c>
      <c r="L3236" s="4">
        <f>VLOOKUP(tblTransactions[[#This Row],[Product_ID]],tblProducts[],5,FALSE)</f>
        <v>995.41</v>
      </c>
      <c r="M3236" s="4">
        <f>tblTransactions[[#This Row],[Total_Amount]]-(tblTransactions[[#This Row],[Cost_Prices]]*tblTransactions[[#This Row],[Quantity]]*(1-tblTransactions[[#This Row],[Discount]]))</f>
        <v>4534.3788000000022</v>
      </c>
      <c r="N3236" s="3">
        <f>tblTransactions[[#This Row],[Profit]]/tblTransactions[[#This Row],[Total_Amount]]</f>
        <v>0.26993836703907598</v>
      </c>
      <c r="O3236" t="str">
        <f>TEXT(tblTransactions[[#This Row],[Date]], "MMM-YYYY")</f>
        <v>Nov-2024</v>
      </c>
      <c r="P3236" t="str">
        <f>"Q"&amp;ROUNDUP(MONTH(tblTransactions[[#This Row],[Date]])/3,0)&amp;"-"&amp;YEAR(tblTransactions[[#This Row],[Date]])</f>
        <v>Q4-2024</v>
      </c>
      <c r="Q3236">
        <f>YEAR(tblTransactions[[#This Row],[Date]])</f>
        <v>2024</v>
      </c>
      <c r="R3236" t="str">
        <f>TEXT(tblTransactions[[#This Row],[Date]],"DDDD")</f>
        <v>Wednesday</v>
      </c>
      <c r="S3236">
        <f>MONTH(tblTransactions[[#This Row],[Date]])</f>
        <v>11</v>
      </c>
      <c r="T3236" t="str">
        <f>VLOOKUP(E3236, Products!$A:$B,2,0)</f>
        <v>Phones Ele-3</v>
      </c>
      <c r="U3236" t="str">
        <f>VLOOKUP(E3236,Products!$A:$C,3,0)</f>
        <v>Electronics</v>
      </c>
      <c r="V3236" t="str">
        <f>VLOOKUP(E3236,Products!$A:$D,4,0)</f>
        <v>Phones</v>
      </c>
      <c r="W3236" t="str">
        <f>VLOOKUP(D3236,Customers!$A:$C,3,0)</f>
        <v>B2B</v>
      </c>
      <c r="X3236" t="str">
        <f>VLOOKUP(C3236,Sales_Representatives!$A:$B,2,0)</f>
        <v>Emily Hernandez</v>
      </c>
    </row>
    <row r="3237" spans="1:24" x14ac:dyDescent="0.3">
      <c r="A3237" t="s">
        <v>4368</v>
      </c>
      <c r="B3237" t="s">
        <v>4365</v>
      </c>
      <c r="C3237" t="s">
        <v>56</v>
      </c>
      <c r="D3237" t="s">
        <v>1458</v>
      </c>
      <c r="E3237" t="s">
        <v>125</v>
      </c>
      <c r="F3237">
        <v>43</v>
      </c>
      <c r="G3237">
        <v>1201.4000000000001</v>
      </c>
      <c r="H3237">
        <v>0.17</v>
      </c>
      <c r="I3237" s="4">
        <v>42877.97</v>
      </c>
      <c r="J3237" t="s">
        <v>34</v>
      </c>
      <c r="K3237" t="s">
        <v>48</v>
      </c>
      <c r="L3237" s="4">
        <f>VLOOKUP(tblTransactions[[#This Row],[Product_ID]],tblProducts[],5,FALSE)</f>
        <v>672.72</v>
      </c>
      <c r="M3237" s="4">
        <f>tblTransactions[[#This Row],[Total_Amount]]-(tblTransactions[[#This Row],[Cost_Prices]]*tblTransactions[[#This Row],[Quantity]]*(1-tblTransactions[[#This Row],[Discount]]))</f>
        <v>18868.593199999999</v>
      </c>
      <c r="N3237" s="3">
        <f>tblTransactions[[#This Row],[Profit]]/tblTransactions[[#This Row],[Total_Amount]]</f>
        <v>0.44005332341992864</v>
      </c>
      <c r="O3237" t="str">
        <f>TEXT(tblTransactions[[#This Row],[Date]], "MMM-YYYY")</f>
        <v>Nov-2024</v>
      </c>
      <c r="P3237" t="str">
        <f>"Q"&amp;ROUNDUP(MONTH(tblTransactions[[#This Row],[Date]])/3,0)&amp;"-"&amp;YEAR(tblTransactions[[#This Row],[Date]])</f>
        <v>Q4-2024</v>
      </c>
      <c r="Q3237">
        <f>YEAR(tblTransactions[[#This Row],[Date]])</f>
        <v>2024</v>
      </c>
      <c r="R3237" t="str">
        <f>TEXT(tblTransactions[[#This Row],[Date]],"DDDD")</f>
        <v>Wednesday</v>
      </c>
      <c r="S3237">
        <f>MONTH(tblTransactions[[#This Row],[Date]])</f>
        <v>11</v>
      </c>
      <c r="T3237" t="str">
        <f>VLOOKUP(E3237, Products!$A:$B,2,0)</f>
        <v>Printers Tec-2</v>
      </c>
      <c r="U3237" t="str">
        <f>VLOOKUP(E3237,Products!$A:$C,3,0)</f>
        <v>Technology</v>
      </c>
      <c r="V3237" t="str">
        <f>VLOOKUP(E3237,Products!$A:$D,4,0)</f>
        <v>Printers</v>
      </c>
      <c r="W3237" t="str">
        <f>VLOOKUP(D3237,Customers!$A:$C,3,0)</f>
        <v>Enterprise</v>
      </c>
      <c r="X3237" t="str">
        <f>VLOOKUP(C3237,Sales_Representatives!$A:$B,2,0)</f>
        <v>Thomas Hernandez</v>
      </c>
    </row>
    <row r="3238" spans="1:24" x14ac:dyDescent="0.3">
      <c r="A3238" t="s">
        <v>4369</v>
      </c>
      <c r="B3238" t="s">
        <v>4365</v>
      </c>
      <c r="C3238" t="s">
        <v>19</v>
      </c>
      <c r="D3238" t="s">
        <v>1756</v>
      </c>
      <c r="E3238" t="s">
        <v>108</v>
      </c>
      <c r="F3238">
        <v>3</v>
      </c>
      <c r="G3238">
        <v>155.75</v>
      </c>
      <c r="H3238">
        <v>0.02</v>
      </c>
      <c r="I3238" s="4">
        <v>457.9</v>
      </c>
      <c r="J3238" t="s">
        <v>21</v>
      </c>
      <c r="K3238" t="s">
        <v>17</v>
      </c>
      <c r="L3238" s="4">
        <f>VLOOKUP(tblTransactions[[#This Row],[Product_ID]],tblProducts[],5,FALSE)</f>
        <v>80.8</v>
      </c>
      <c r="M3238" s="4">
        <f>tblTransactions[[#This Row],[Total_Amount]]-(tblTransactions[[#This Row],[Cost_Prices]]*tblTransactions[[#This Row],[Quantity]]*(1-tblTransactions[[#This Row],[Discount]]))</f>
        <v>220.34800000000001</v>
      </c>
      <c r="N3238" s="3">
        <f>tblTransactions[[#This Row],[Profit]]/tblTransactions[[#This Row],[Total_Amount]]</f>
        <v>0.4812142389167941</v>
      </c>
      <c r="O3238" t="str">
        <f>TEXT(tblTransactions[[#This Row],[Date]], "MMM-YYYY")</f>
        <v>Nov-2024</v>
      </c>
      <c r="P3238" t="str">
        <f>"Q"&amp;ROUNDUP(MONTH(tblTransactions[[#This Row],[Date]])/3,0)&amp;"-"&amp;YEAR(tblTransactions[[#This Row],[Date]])</f>
        <v>Q4-2024</v>
      </c>
      <c r="Q3238">
        <f>YEAR(tblTransactions[[#This Row],[Date]])</f>
        <v>2024</v>
      </c>
      <c r="R3238" t="str">
        <f>TEXT(tblTransactions[[#This Row],[Date]],"DDDD")</f>
        <v>Wednesday</v>
      </c>
      <c r="S3238">
        <f>MONTH(tblTransactions[[#This Row],[Date]])</f>
        <v>11</v>
      </c>
      <c r="T3238" t="str">
        <f>VLOOKUP(E3238, Products!$A:$B,2,0)</f>
        <v>Cases Acc-1</v>
      </c>
      <c r="U3238" t="str">
        <f>VLOOKUP(E3238,Products!$A:$C,3,0)</f>
        <v>Accessories</v>
      </c>
      <c r="V3238" t="str">
        <f>VLOOKUP(E3238,Products!$A:$D,4,0)</f>
        <v>Cases</v>
      </c>
      <c r="W3238" t="str">
        <f>VLOOKUP(D3238,Customers!$A:$C,3,0)</f>
        <v>B2C</v>
      </c>
      <c r="X3238" t="str">
        <f>VLOOKUP(C3238,Sales_Representatives!$A:$B,2,0)</f>
        <v>Robert Jones</v>
      </c>
    </row>
    <row r="3239" spans="1:24" x14ac:dyDescent="0.3">
      <c r="A3239" t="s">
        <v>4370</v>
      </c>
      <c r="B3239" t="s">
        <v>4365</v>
      </c>
      <c r="C3239" t="s">
        <v>13</v>
      </c>
      <c r="D3239" t="s">
        <v>2213</v>
      </c>
      <c r="E3239" t="s">
        <v>481</v>
      </c>
      <c r="F3239">
        <v>4</v>
      </c>
      <c r="G3239">
        <v>263.58999999999997</v>
      </c>
      <c r="H3239">
        <v>0.06</v>
      </c>
      <c r="I3239" s="4">
        <v>991.1</v>
      </c>
      <c r="J3239" t="s">
        <v>16</v>
      </c>
      <c r="K3239" t="s">
        <v>17</v>
      </c>
      <c r="L3239" s="4">
        <f>VLOOKUP(tblTransactions[[#This Row],[Product_ID]],tblProducts[],5,FALSE)</f>
        <v>133.65</v>
      </c>
      <c r="M3239" s="4">
        <f>tblTransactions[[#This Row],[Total_Amount]]-(tblTransactions[[#This Row],[Cost_Prices]]*tblTransactions[[#This Row],[Quantity]]*(1-tblTransactions[[#This Row],[Discount]]))</f>
        <v>488.57600000000002</v>
      </c>
      <c r="N3239" s="3">
        <f>tblTransactions[[#This Row],[Profit]]/tblTransactions[[#This Row],[Total_Amount]]</f>
        <v>0.49296337402885682</v>
      </c>
      <c r="O3239" t="str">
        <f>TEXT(tblTransactions[[#This Row],[Date]], "MMM-YYYY")</f>
        <v>Nov-2024</v>
      </c>
      <c r="P3239" t="str">
        <f>"Q"&amp;ROUNDUP(MONTH(tblTransactions[[#This Row],[Date]])/3,0)&amp;"-"&amp;YEAR(tblTransactions[[#This Row],[Date]])</f>
        <v>Q4-2024</v>
      </c>
      <c r="Q3239">
        <f>YEAR(tblTransactions[[#This Row],[Date]])</f>
        <v>2024</v>
      </c>
      <c r="R3239" t="str">
        <f>TEXT(tblTransactions[[#This Row],[Date]],"DDDD")</f>
        <v>Wednesday</v>
      </c>
      <c r="S3239">
        <f>MONTH(tblTransactions[[#This Row],[Date]])</f>
        <v>11</v>
      </c>
      <c r="T3239" t="str">
        <f>VLOOKUP(E3239, Products!$A:$B,2,0)</f>
        <v>Folders Off-1</v>
      </c>
      <c r="U3239" t="str">
        <f>VLOOKUP(E3239,Products!$A:$C,3,0)</f>
        <v>Office Supplies</v>
      </c>
      <c r="V3239" t="str">
        <f>VLOOKUP(E3239,Products!$A:$D,4,0)</f>
        <v>Folders</v>
      </c>
      <c r="W3239" t="str">
        <f>VLOOKUP(D3239,Customers!$A:$C,3,0)</f>
        <v>B2C</v>
      </c>
      <c r="X3239" t="str">
        <f>VLOOKUP(C3239,Sales_Representatives!$A:$B,2,0)</f>
        <v>Jennifer Rodriguez</v>
      </c>
    </row>
    <row r="3240" spans="1:24" x14ac:dyDescent="0.3">
      <c r="A3240" t="s">
        <v>4371</v>
      </c>
      <c r="B3240" t="s">
        <v>4372</v>
      </c>
      <c r="C3240" t="s">
        <v>82</v>
      </c>
      <c r="D3240" t="s">
        <v>2686</v>
      </c>
      <c r="E3240" t="s">
        <v>204</v>
      </c>
      <c r="F3240">
        <v>7</v>
      </c>
      <c r="G3240">
        <v>715.62</v>
      </c>
      <c r="H3240">
        <v>0.14000000000000001</v>
      </c>
      <c r="I3240" s="4">
        <v>4308.03</v>
      </c>
      <c r="J3240" t="s">
        <v>34</v>
      </c>
      <c r="K3240" t="s">
        <v>35</v>
      </c>
      <c r="L3240" s="4">
        <f>VLOOKUP(tblTransactions[[#This Row],[Product_ID]],tblProducts[],5,FALSE)</f>
        <v>459.58</v>
      </c>
      <c r="M3240" s="4">
        <f>tblTransactions[[#This Row],[Total_Amount]]-(tblTransactions[[#This Row],[Cost_Prices]]*tblTransactions[[#This Row],[Quantity]]*(1-tblTransactions[[#This Row],[Discount]]))</f>
        <v>1541.3583999999996</v>
      </c>
      <c r="N3240" s="3">
        <f>tblTransactions[[#This Row],[Profit]]/tblTransactions[[#This Row],[Total_Amount]]</f>
        <v>0.35778729488884703</v>
      </c>
      <c r="O3240" t="str">
        <f>TEXT(tblTransactions[[#This Row],[Date]], "MMM-YYYY")</f>
        <v>Nov-2024</v>
      </c>
      <c r="P3240" t="str">
        <f>"Q"&amp;ROUNDUP(MONTH(tblTransactions[[#This Row],[Date]])/3,0)&amp;"-"&amp;YEAR(tblTransactions[[#This Row],[Date]])</f>
        <v>Q4-2024</v>
      </c>
      <c r="Q3240">
        <f>YEAR(tblTransactions[[#This Row],[Date]])</f>
        <v>2024</v>
      </c>
      <c r="R3240" t="str">
        <f>TEXT(tblTransactions[[#This Row],[Date]],"DDDD")</f>
        <v>Thursday</v>
      </c>
      <c r="S3240">
        <f>MONTH(tblTransactions[[#This Row],[Date]])</f>
        <v>11</v>
      </c>
      <c r="T3240" t="str">
        <f>VLOOKUP(E3240, Products!$A:$B,2,0)</f>
        <v>Cameras Ele-2</v>
      </c>
      <c r="U3240" t="str">
        <f>VLOOKUP(E3240,Products!$A:$C,3,0)</f>
        <v>Electronics</v>
      </c>
      <c r="V3240" t="str">
        <f>VLOOKUP(E3240,Products!$A:$D,4,0)</f>
        <v>Cameras</v>
      </c>
      <c r="W3240" t="str">
        <f>VLOOKUP(D3240,Customers!$A:$C,3,0)</f>
        <v>Small Business</v>
      </c>
      <c r="X3240" t="str">
        <f>VLOOKUP(C3240,Sales_Representatives!$A:$B,2,0)</f>
        <v>John Brown</v>
      </c>
    </row>
    <row r="3241" spans="1:24" x14ac:dyDescent="0.3">
      <c r="A3241" t="s">
        <v>4373</v>
      </c>
      <c r="B3241" t="s">
        <v>4374</v>
      </c>
      <c r="C3241" t="s">
        <v>141</v>
      </c>
      <c r="D3241" t="s">
        <v>2159</v>
      </c>
      <c r="E3241" t="s">
        <v>198</v>
      </c>
      <c r="F3241">
        <v>15</v>
      </c>
      <c r="G3241">
        <v>1802.96</v>
      </c>
      <c r="H3241">
        <v>0.1</v>
      </c>
      <c r="I3241" s="4">
        <v>24339.96</v>
      </c>
      <c r="J3241" t="s">
        <v>109</v>
      </c>
      <c r="K3241" t="s">
        <v>48</v>
      </c>
      <c r="L3241" s="4">
        <f>VLOOKUP(tblTransactions[[#This Row],[Product_ID]],tblProducts[],5,FALSE)</f>
        <v>1282.18</v>
      </c>
      <c r="M3241" s="4">
        <f>tblTransactions[[#This Row],[Total_Amount]]-(tblTransactions[[#This Row],[Cost_Prices]]*tblTransactions[[#This Row],[Quantity]]*(1-tblTransactions[[#This Row],[Discount]]))</f>
        <v>7030.5299999999988</v>
      </c>
      <c r="N3241" s="3">
        <f>tblTransactions[[#This Row],[Profit]]/tblTransactions[[#This Row],[Total_Amount]]</f>
        <v>0.28884722900119797</v>
      </c>
      <c r="O3241" t="str">
        <f>TEXT(tblTransactions[[#This Row],[Date]], "MMM-YYYY")</f>
        <v>Nov-2024</v>
      </c>
      <c r="P3241" t="str">
        <f>"Q"&amp;ROUNDUP(MONTH(tblTransactions[[#This Row],[Date]])/3,0)&amp;"-"&amp;YEAR(tblTransactions[[#This Row],[Date]])</f>
        <v>Q4-2024</v>
      </c>
      <c r="Q3241">
        <f>YEAR(tblTransactions[[#This Row],[Date]])</f>
        <v>2024</v>
      </c>
      <c r="R3241" t="str">
        <f>TEXT(tblTransactions[[#This Row],[Date]],"DDDD")</f>
        <v>Friday</v>
      </c>
      <c r="S3241">
        <f>MONTH(tblTransactions[[#This Row],[Date]])</f>
        <v>11</v>
      </c>
      <c r="T3241" t="str">
        <f>VLOOKUP(E3241, Products!$A:$B,2,0)</f>
        <v>Tablets Ele-3</v>
      </c>
      <c r="U3241" t="str">
        <f>VLOOKUP(E3241,Products!$A:$C,3,0)</f>
        <v>Electronics</v>
      </c>
      <c r="V3241" t="str">
        <f>VLOOKUP(E3241,Products!$A:$D,4,0)</f>
        <v>Tablets</v>
      </c>
      <c r="W3241" t="str">
        <f>VLOOKUP(D3241,Customers!$A:$C,3,0)</f>
        <v>B2B</v>
      </c>
      <c r="X3241" t="str">
        <f>VLOOKUP(C3241,Sales_Representatives!$A:$B,2,0)</f>
        <v>Richard Garcia</v>
      </c>
    </row>
    <row r="3242" spans="1:24" x14ac:dyDescent="0.3">
      <c r="A3242" t="s">
        <v>4375</v>
      </c>
      <c r="B3242" t="s">
        <v>4374</v>
      </c>
      <c r="C3242" t="s">
        <v>63</v>
      </c>
      <c r="D3242" t="s">
        <v>2671</v>
      </c>
      <c r="E3242" t="s">
        <v>29</v>
      </c>
      <c r="F3242">
        <v>2</v>
      </c>
      <c r="G3242">
        <v>1363.46</v>
      </c>
      <c r="H3242">
        <v>0.04</v>
      </c>
      <c r="I3242" s="4">
        <v>2617.84</v>
      </c>
      <c r="J3242" t="s">
        <v>21</v>
      </c>
      <c r="K3242" t="s">
        <v>22</v>
      </c>
      <c r="L3242" s="4">
        <f>VLOOKUP(tblTransactions[[#This Row],[Product_ID]],tblProducts[],5,FALSE)</f>
        <v>995.41</v>
      </c>
      <c r="M3242" s="4">
        <f>tblTransactions[[#This Row],[Total_Amount]]-(tblTransactions[[#This Row],[Cost_Prices]]*tblTransactions[[#This Row],[Quantity]]*(1-tblTransactions[[#This Row],[Discount]]))</f>
        <v>706.6528000000003</v>
      </c>
      <c r="N3242" s="3">
        <f>tblTransactions[[#This Row],[Profit]]/tblTransactions[[#This Row],[Total_Amount]]</f>
        <v>0.26993735293218846</v>
      </c>
      <c r="O3242" t="str">
        <f>TEXT(tblTransactions[[#This Row],[Date]], "MMM-YYYY")</f>
        <v>Nov-2024</v>
      </c>
      <c r="P3242" t="str">
        <f>"Q"&amp;ROUNDUP(MONTH(tblTransactions[[#This Row],[Date]])/3,0)&amp;"-"&amp;YEAR(tblTransactions[[#This Row],[Date]])</f>
        <v>Q4-2024</v>
      </c>
      <c r="Q3242">
        <f>YEAR(tblTransactions[[#This Row],[Date]])</f>
        <v>2024</v>
      </c>
      <c r="R3242" t="str">
        <f>TEXT(tblTransactions[[#This Row],[Date]],"DDDD")</f>
        <v>Friday</v>
      </c>
      <c r="S3242">
        <f>MONTH(tblTransactions[[#This Row],[Date]])</f>
        <v>11</v>
      </c>
      <c r="T3242" t="str">
        <f>VLOOKUP(E3242, Products!$A:$B,2,0)</f>
        <v>Phones Ele-3</v>
      </c>
      <c r="U3242" t="str">
        <f>VLOOKUP(E3242,Products!$A:$C,3,0)</f>
        <v>Electronics</v>
      </c>
      <c r="V3242" t="str">
        <f>VLOOKUP(E3242,Products!$A:$D,4,0)</f>
        <v>Phones</v>
      </c>
      <c r="W3242" t="str">
        <f>VLOOKUP(D3242,Customers!$A:$C,3,0)</f>
        <v>Small Business</v>
      </c>
      <c r="X3242" t="str">
        <f>VLOOKUP(C3242,Sales_Representatives!$A:$B,2,0)</f>
        <v>Richard Wilson</v>
      </c>
    </row>
    <row r="3243" spans="1:24" x14ac:dyDescent="0.3">
      <c r="A3243" t="s">
        <v>4376</v>
      </c>
      <c r="B3243" t="s">
        <v>4374</v>
      </c>
      <c r="C3243" t="s">
        <v>75</v>
      </c>
      <c r="D3243" t="s">
        <v>101</v>
      </c>
      <c r="E3243" t="s">
        <v>79</v>
      </c>
      <c r="F3243">
        <v>1</v>
      </c>
      <c r="G3243">
        <v>1452.36</v>
      </c>
      <c r="H3243">
        <v>0.08</v>
      </c>
      <c r="I3243" s="4">
        <v>1336.17</v>
      </c>
      <c r="J3243" t="s">
        <v>44</v>
      </c>
      <c r="K3243" t="s">
        <v>22</v>
      </c>
      <c r="L3243" s="4">
        <f>VLOOKUP(tblTransactions[[#This Row],[Product_ID]],tblProducts[],5,FALSE)</f>
        <v>778.71</v>
      </c>
      <c r="M3243" s="4">
        <f>tblTransactions[[#This Row],[Total_Amount]]-(tblTransactions[[#This Row],[Cost_Prices]]*tblTransactions[[#This Row],[Quantity]]*(1-tblTransactions[[#This Row],[Discount]]))</f>
        <v>619.7568</v>
      </c>
      <c r="N3243" s="3">
        <f>tblTransactions[[#This Row],[Profit]]/tblTransactions[[#This Row],[Total_Amount]]</f>
        <v>0.46383079997305732</v>
      </c>
      <c r="O3243" t="str">
        <f>TEXT(tblTransactions[[#This Row],[Date]], "MMM-YYYY")</f>
        <v>Nov-2024</v>
      </c>
      <c r="P3243" t="str">
        <f>"Q"&amp;ROUNDUP(MONTH(tblTransactions[[#This Row],[Date]])/3,0)&amp;"-"&amp;YEAR(tblTransactions[[#This Row],[Date]])</f>
        <v>Q4-2024</v>
      </c>
      <c r="Q3243">
        <f>YEAR(tblTransactions[[#This Row],[Date]])</f>
        <v>2024</v>
      </c>
      <c r="R3243" t="str">
        <f>TEXT(tblTransactions[[#This Row],[Date]],"DDDD")</f>
        <v>Friday</v>
      </c>
      <c r="S3243">
        <f>MONTH(tblTransactions[[#This Row],[Date]])</f>
        <v>11</v>
      </c>
      <c r="T3243" t="str">
        <f>VLOOKUP(E3243, Products!$A:$B,2,0)</f>
        <v>Tables Fur-2</v>
      </c>
      <c r="U3243" t="str">
        <f>VLOOKUP(E3243,Products!$A:$C,3,0)</f>
        <v>Furniture</v>
      </c>
      <c r="V3243" t="str">
        <f>VLOOKUP(E3243,Products!$A:$D,4,0)</f>
        <v>Tables</v>
      </c>
      <c r="W3243" t="str">
        <f>VLOOKUP(D3243,Customers!$A:$C,3,0)</f>
        <v>B2C</v>
      </c>
      <c r="X3243" t="str">
        <f>VLOOKUP(C3243,Sales_Representatives!$A:$B,2,0)</f>
        <v>Jessica Anderson</v>
      </c>
    </row>
    <row r="3244" spans="1:24" x14ac:dyDescent="0.3">
      <c r="A3244" t="s">
        <v>4377</v>
      </c>
      <c r="B3244" t="s">
        <v>4374</v>
      </c>
      <c r="C3244" t="s">
        <v>141</v>
      </c>
      <c r="D3244" t="s">
        <v>2297</v>
      </c>
      <c r="E3244" t="s">
        <v>283</v>
      </c>
      <c r="F3244">
        <v>5</v>
      </c>
      <c r="G3244">
        <v>456.88</v>
      </c>
      <c r="H3244">
        <v>0.08</v>
      </c>
      <c r="I3244" s="4">
        <v>2101.65</v>
      </c>
      <c r="J3244" t="s">
        <v>109</v>
      </c>
      <c r="K3244" t="s">
        <v>17</v>
      </c>
      <c r="L3244" s="4">
        <f>VLOOKUP(tblTransactions[[#This Row],[Product_ID]],tblProducts[],5,FALSE)</f>
        <v>313.23</v>
      </c>
      <c r="M3244" s="4">
        <f>tblTransactions[[#This Row],[Total_Amount]]-(tblTransactions[[#This Row],[Cost_Prices]]*tblTransactions[[#This Row],[Quantity]]*(1-tblTransactions[[#This Row],[Discount]]))</f>
        <v>660.79199999999992</v>
      </c>
      <c r="N3244" s="3">
        <f>tblTransactions[[#This Row],[Profit]]/tblTransactions[[#This Row],[Total_Amount]]</f>
        <v>0.31441581614445785</v>
      </c>
      <c r="O3244" t="str">
        <f>TEXT(tblTransactions[[#This Row],[Date]], "MMM-YYYY")</f>
        <v>Nov-2024</v>
      </c>
      <c r="P3244" t="str">
        <f>"Q"&amp;ROUNDUP(MONTH(tblTransactions[[#This Row],[Date]])/3,0)&amp;"-"&amp;YEAR(tblTransactions[[#This Row],[Date]])</f>
        <v>Q4-2024</v>
      </c>
      <c r="Q3244">
        <f>YEAR(tblTransactions[[#This Row],[Date]])</f>
        <v>2024</v>
      </c>
      <c r="R3244" t="str">
        <f>TEXT(tblTransactions[[#This Row],[Date]],"DDDD")</f>
        <v>Friday</v>
      </c>
      <c r="S3244">
        <f>MONTH(tblTransactions[[#This Row],[Date]])</f>
        <v>11</v>
      </c>
      <c r="T3244" t="str">
        <f>VLOOKUP(E3244, Products!$A:$B,2,0)</f>
        <v>Chairs Fur-3</v>
      </c>
      <c r="U3244" t="str">
        <f>VLOOKUP(E3244,Products!$A:$C,3,0)</f>
        <v>Furniture</v>
      </c>
      <c r="V3244" t="str">
        <f>VLOOKUP(E3244,Products!$A:$D,4,0)</f>
        <v>Chairs</v>
      </c>
      <c r="W3244" t="str">
        <f>VLOOKUP(D3244,Customers!$A:$C,3,0)</f>
        <v>B2C</v>
      </c>
      <c r="X3244" t="str">
        <f>VLOOKUP(C3244,Sales_Representatives!$A:$B,2,0)</f>
        <v>Richard Garcia</v>
      </c>
    </row>
    <row r="3245" spans="1:24" x14ac:dyDescent="0.3">
      <c r="A3245" t="s">
        <v>4378</v>
      </c>
      <c r="B3245" t="s">
        <v>4374</v>
      </c>
      <c r="C3245" t="s">
        <v>70</v>
      </c>
      <c r="D3245" t="s">
        <v>1511</v>
      </c>
      <c r="E3245" t="s">
        <v>43</v>
      </c>
      <c r="F3245">
        <v>3</v>
      </c>
      <c r="G3245">
        <v>39.32</v>
      </c>
      <c r="H3245">
        <v>0.01</v>
      </c>
      <c r="I3245" s="4">
        <v>116.78</v>
      </c>
      <c r="J3245" t="s">
        <v>16</v>
      </c>
      <c r="K3245" t="s">
        <v>39</v>
      </c>
      <c r="L3245" s="4">
        <f>VLOOKUP(tblTransactions[[#This Row],[Product_ID]],tblProducts[],5,FALSE)</f>
        <v>15.81</v>
      </c>
      <c r="M3245" s="4">
        <f>tblTransactions[[#This Row],[Total_Amount]]-(tblTransactions[[#This Row],[Cost_Prices]]*tblTransactions[[#This Row],[Quantity]]*(1-tblTransactions[[#This Row],[Discount]]))</f>
        <v>69.824299999999994</v>
      </c>
      <c r="N3245" s="3">
        <f>tblTransactions[[#This Row],[Profit]]/tblTransactions[[#This Row],[Total_Amount]]</f>
        <v>0.59791317006336697</v>
      </c>
      <c r="O3245" t="str">
        <f>TEXT(tblTransactions[[#This Row],[Date]], "MMM-YYYY")</f>
        <v>Nov-2024</v>
      </c>
      <c r="P3245" t="str">
        <f>"Q"&amp;ROUNDUP(MONTH(tblTransactions[[#This Row],[Date]])/3,0)&amp;"-"&amp;YEAR(tblTransactions[[#This Row],[Date]])</f>
        <v>Q4-2024</v>
      </c>
      <c r="Q3245">
        <f>YEAR(tblTransactions[[#This Row],[Date]])</f>
        <v>2024</v>
      </c>
      <c r="R3245" t="str">
        <f>TEXT(tblTransactions[[#This Row],[Date]],"DDDD")</f>
        <v>Friday</v>
      </c>
      <c r="S3245">
        <f>MONTH(tblTransactions[[#This Row],[Date]])</f>
        <v>11</v>
      </c>
      <c r="T3245" t="str">
        <f>VLOOKUP(E3245, Products!$A:$B,2,0)</f>
        <v>Paper Off-3</v>
      </c>
      <c r="U3245" t="str">
        <f>VLOOKUP(E3245,Products!$A:$C,3,0)</f>
        <v>Office Supplies</v>
      </c>
      <c r="V3245" t="str">
        <f>VLOOKUP(E3245,Products!$A:$D,4,0)</f>
        <v>Paper</v>
      </c>
      <c r="W3245" t="str">
        <f>VLOOKUP(D3245,Customers!$A:$C,3,0)</f>
        <v>B2C</v>
      </c>
      <c r="X3245" t="str">
        <f>VLOOKUP(C3245,Sales_Representatives!$A:$B,2,0)</f>
        <v>Linda Smith</v>
      </c>
    </row>
    <row r="3246" spans="1:24" x14ac:dyDescent="0.3">
      <c r="A3246" t="s">
        <v>4379</v>
      </c>
      <c r="B3246" t="s">
        <v>4374</v>
      </c>
      <c r="C3246" t="s">
        <v>41</v>
      </c>
      <c r="D3246" t="s">
        <v>1959</v>
      </c>
      <c r="E3246" t="s">
        <v>20</v>
      </c>
      <c r="F3246">
        <v>1</v>
      </c>
      <c r="G3246">
        <v>1219.49</v>
      </c>
      <c r="H3246">
        <v>0.06</v>
      </c>
      <c r="I3246" s="4">
        <v>1146.32</v>
      </c>
      <c r="J3246" t="s">
        <v>44</v>
      </c>
      <c r="K3246" t="s">
        <v>17</v>
      </c>
      <c r="L3246" s="4">
        <f>VLOOKUP(tblTransactions[[#This Row],[Product_ID]],tblProducts[],5,FALSE)</f>
        <v>686.9</v>
      </c>
      <c r="M3246" s="4">
        <f>tblTransactions[[#This Row],[Total_Amount]]-(tblTransactions[[#This Row],[Cost_Prices]]*tblTransactions[[#This Row],[Quantity]]*(1-tblTransactions[[#This Row],[Discount]]))</f>
        <v>500.63400000000001</v>
      </c>
      <c r="N3246" s="3">
        <f>tblTransactions[[#This Row],[Profit]]/tblTransactions[[#This Row],[Total_Amount]]</f>
        <v>0.43673145369530325</v>
      </c>
      <c r="O3246" t="str">
        <f>TEXT(tblTransactions[[#This Row],[Date]], "MMM-YYYY")</f>
        <v>Nov-2024</v>
      </c>
      <c r="P3246" t="str">
        <f>"Q"&amp;ROUNDUP(MONTH(tblTransactions[[#This Row],[Date]])/3,0)&amp;"-"&amp;YEAR(tblTransactions[[#This Row],[Date]])</f>
        <v>Q4-2024</v>
      </c>
      <c r="Q3246">
        <f>YEAR(tblTransactions[[#This Row],[Date]])</f>
        <v>2024</v>
      </c>
      <c r="R3246" t="str">
        <f>TEXT(tblTransactions[[#This Row],[Date]],"DDDD")</f>
        <v>Friday</v>
      </c>
      <c r="S3246">
        <f>MONTH(tblTransactions[[#This Row],[Date]])</f>
        <v>11</v>
      </c>
      <c r="T3246" t="str">
        <f>VLOOKUP(E3246, Products!$A:$B,2,0)</f>
        <v>Laptops Ele-1</v>
      </c>
      <c r="U3246" t="str">
        <f>VLOOKUP(E3246,Products!$A:$C,3,0)</f>
        <v>Electronics</v>
      </c>
      <c r="V3246" t="str">
        <f>VLOOKUP(E3246,Products!$A:$D,4,0)</f>
        <v>Laptops</v>
      </c>
      <c r="W3246" t="str">
        <f>VLOOKUP(D3246,Customers!$A:$C,3,0)</f>
        <v>Small Business</v>
      </c>
      <c r="X3246" t="str">
        <f>VLOOKUP(C3246,Sales_Representatives!$A:$B,2,0)</f>
        <v>Robert Jones</v>
      </c>
    </row>
    <row r="3247" spans="1:24" x14ac:dyDescent="0.3">
      <c r="A3247" t="s">
        <v>4380</v>
      </c>
      <c r="B3247" t="s">
        <v>4374</v>
      </c>
      <c r="C3247" t="s">
        <v>13</v>
      </c>
      <c r="D3247" t="s">
        <v>1451</v>
      </c>
      <c r="E3247" t="s">
        <v>99</v>
      </c>
      <c r="F3247">
        <v>13</v>
      </c>
      <c r="G3247">
        <v>325.14</v>
      </c>
      <c r="H3247">
        <v>0.12</v>
      </c>
      <c r="I3247" s="4">
        <v>3719.6</v>
      </c>
      <c r="J3247" t="s">
        <v>16</v>
      </c>
      <c r="K3247" t="s">
        <v>35</v>
      </c>
      <c r="L3247" s="4">
        <f>VLOOKUP(tblTransactions[[#This Row],[Product_ID]],tblProducts[],5,FALSE)</f>
        <v>209.04</v>
      </c>
      <c r="M3247" s="4">
        <f>tblTransactions[[#This Row],[Total_Amount]]-(tblTransactions[[#This Row],[Cost_Prices]]*tblTransactions[[#This Row],[Quantity]]*(1-tblTransactions[[#This Row],[Discount]]))</f>
        <v>1328.1823999999997</v>
      </c>
      <c r="N3247" s="3">
        <f>tblTransactions[[#This Row],[Profit]]/tblTransactions[[#This Row],[Total_Amount]]</f>
        <v>0.3570766749112807</v>
      </c>
      <c r="O3247" t="str">
        <f>TEXT(tblTransactions[[#This Row],[Date]], "MMM-YYYY")</f>
        <v>Nov-2024</v>
      </c>
      <c r="P3247" t="str">
        <f>"Q"&amp;ROUNDUP(MONTH(tblTransactions[[#This Row],[Date]])/3,0)&amp;"-"&amp;YEAR(tblTransactions[[#This Row],[Date]])</f>
        <v>Q4-2024</v>
      </c>
      <c r="Q3247">
        <f>YEAR(tblTransactions[[#This Row],[Date]])</f>
        <v>2024</v>
      </c>
      <c r="R3247" t="str">
        <f>TEXT(tblTransactions[[#This Row],[Date]],"DDDD")</f>
        <v>Friday</v>
      </c>
      <c r="S3247">
        <f>MONTH(tblTransactions[[#This Row],[Date]])</f>
        <v>11</v>
      </c>
      <c r="T3247" t="str">
        <f>VLOOKUP(E3247, Products!$A:$B,2,0)</f>
        <v>Monitors Tec-1</v>
      </c>
      <c r="U3247" t="str">
        <f>VLOOKUP(E3247,Products!$A:$C,3,0)</f>
        <v>Technology</v>
      </c>
      <c r="V3247" t="str">
        <f>VLOOKUP(E3247,Products!$A:$D,4,0)</f>
        <v>Monitors</v>
      </c>
      <c r="W3247" t="str">
        <f>VLOOKUP(D3247,Customers!$A:$C,3,0)</f>
        <v>B2B</v>
      </c>
      <c r="X3247" t="str">
        <f>VLOOKUP(C3247,Sales_Representatives!$A:$B,2,0)</f>
        <v>Jennifer Rodriguez</v>
      </c>
    </row>
    <row r="3248" spans="1:24" x14ac:dyDescent="0.3">
      <c r="A3248" t="s">
        <v>4381</v>
      </c>
      <c r="B3248" t="s">
        <v>4374</v>
      </c>
      <c r="C3248" t="s">
        <v>59</v>
      </c>
      <c r="D3248" t="s">
        <v>2876</v>
      </c>
      <c r="E3248" t="s">
        <v>116</v>
      </c>
      <c r="F3248">
        <v>2</v>
      </c>
      <c r="G3248">
        <v>232.86</v>
      </c>
      <c r="H3248">
        <v>0.03</v>
      </c>
      <c r="I3248" s="4">
        <v>451.75</v>
      </c>
      <c r="J3248" t="s">
        <v>21</v>
      </c>
      <c r="K3248" t="s">
        <v>22</v>
      </c>
      <c r="L3248" s="4">
        <f>VLOOKUP(tblTransactions[[#This Row],[Product_ID]],tblProducts[],5,FALSE)</f>
        <v>116.79</v>
      </c>
      <c r="M3248" s="4">
        <f>tblTransactions[[#This Row],[Total_Amount]]-(tblTransactions[[#This Row],[Cost_Prices]]*tblTransactions[[#This Row],[Quantity]]*(1-tblTransactions[[#This Row],[Discount]]))</f>
        <v>225.17740000000001</v>
      </c>
      <c r="N3248" s="3">
        <f>tblTransactions[[#This Row],[Profit]]/tblTransactions[[#This Row],[Total_Amount]]</f>
        <v>0.49845578306585503</v>
      </c>
      <c r="O3248" t="str">
        <f>TEXT(tblTransactions[[#This Row],[Date]], "MMM-YYYY")</f>
        <v>Nov-2024</v>
      </c>
      <c r="P3248" t="str">
        <f>"Q"&amp;ROUNDUP(MONTH(tblTransactions[[#This Row],[Date]])/3,0)&amp;"-"&amp;YEAR(tblTransactions[[#This Row],[Date]])</f>
        <v>Q4-2024</v>
      </c>
      <c r="Q3248">
        <f>YEAR(tblTransactions[[#This Row],[Date]])</f>
        <v>2024</v>
      </c>
      <c r="R3248" t="str">
        <f>TEXT(tblTransactions[[#This Row],[Date]],"DDDD")</f>
        <v>Friday</v>
      </c>
      <c r="S3248">
        <f>MONTH(tblTransactions[[#This Row],[Date]])</f>
        <v>11</v>
      </c>
      <c r="T3248" t="str">
        <f>VLOOKUP(E3248, Products!$A:$B,2,0)</f>
        <v>Folders Off-4</v>
      </c>
      <c r="U3248" t="str">
        <f>VLOOKUP(E3248,Products!$A:$C,3,0)</f>
        <v>Office Supplies</v>
      </c>
      <c r="V3248" t="str">
        <f>VLOOKUP(E3248,Products!$A:$D,4,0)</f>
        <v>Folders</v>
      </c>
      <c r="W3248" t="str">
        <f>VLOOKUP(D3248,Customers!$A:$C,3,0)</f>
        <v>B2C</v>
      </c>
      <c r="X3248" t="str">
        <f>VLOOKUP(C3248,Sales_Representatives!$A:$B,2,0)</f>
        <v>Sarah Brown</v>
      </c>
    </row>
    <row r="3249" spans="1:24" x14ac:dyDescent="0.3">
      <c r="A3249" t="s">
        <v>4382</v>
      </c>
      <c r="B3249" t="s">
        <v>4374</v>
      </c>
      <c r="C3249" t="s">
        <v>59</v>
      </c>
      <c r="D3249" t="s">
        <v>1513</v>
      </c>
      <c r="E3249" t="s">
        <v>314</v>
      </c>
      <c r="F3249">
        <v>6</v>
      </c>
      <c r="G3249">
        <v>204.97</v>
      </c>
      <c r="H3249">
        <v>0.12</v>
      </c>
      <c r="I3249" s="4">
        <v>1082.24</v>
      </c>
      <c r="J3249" t="s">
        <v>21</v>
      </c>
      <c r="K3249" t="s">
        <v>22</v>
      </c>
      <c r="L3249" s="4">
        <f>VLOOKUP(tblTransactions[[#This Row],[Product_ID]],tblProducts[],5,FALSE)</f>
        <v>121.53</v>
      </c>
      <c r="M3249" s="4">
        <f>tblTransactions[[#This Row],[Total_Amount]]-(tblTransactions[[#This Row],[Cost_Prices]]*tblTransactions[[#This Row],[Quantity]]*(1-tblTransactions[[#This Row],[Discount]]))</f>
        <v>440.5616</v>
      </c>
      <c r="N3249" s="3">
        <f>tblTransactions[[#This Row],[Profit]]/tblTransactions[[#This Row],[Total_Amount]]</f>
        <v>0.40708308693081019</v>
      </c>
      <c r="O3249" t="str">
        <f>TEXT(tblTransactions[[#This Row],[Date]], "MMM-YYYY")</f>
        <v>Nov-2024</v>
      </c>
      <c r="P3249" t="str">
        <f>"Q"&amp;ROUNDUP(MONTH(tblTransactions[[#This Row],[Date]])/3,0)&amp;"-"&amp;YEAR(tblTransactions[[#This Row],[Date]])</f>
        <v>Q4-2024</v>
      </c>
      <c r="Q3249">
        <f>YEAR(tblTransactions[[#This Row],[Date]])</f>
        <v>2024</v>
      </c>
      <c r="R3249" t="str">
        <f>TEXT(tblTransactions[[#This Row],[Date]],"DDDD")</f>
        <v>Friday</v>
      </c>
      <c r="S3249">
        <f>MONTH(tblTransactions[[#This Row],[Date]])</f>
        <v>11</v>
      </c>
      <c r="T3249" t="str">
        <f>VLOOKUP(E3249, Products!$A:$B,2,0)</f>
        <v>Adapters Acc-3</v>
      </c>
      <c r="U3249" t="str">
        <f>VLOOKUP(E3249,Products!$A:$C,3,0)</f>
        <v>Accessories</v>
      </c>
      <c r="V3249" t="str">
        <f>VLOOKUP(E3249,Products!$A:$D,4,0)</f>
        <v>Adapters</v>
      </c>
      <c r="W3249" t="str">
        <f>VLOOKUP(D3249,Customers!$A:$C,3,0)</f>
        <v>B2C</v>
      </c>
      <c r="X3249" t="str">
        <f>VLOOKUP(C3249,Sales_Representatives!$A:$B,2,0)</f>
        <v>Sarah Brown</v>
      </c>
    </row>
    <row r="3250" spans="1:24" x14ac:dyDescent="0.3">
      <c r="A3250" t="s">
        <v>4383</v>
      </c>
      <c r="B3250" t="s">
        <v>4374</v>
      </c>
      <c r="C3250" t="s">
        <v>141</v>
      </c>
      <c r="D3250" t="s">
        <v>1737</v>
      </c>
      <c r="E3250" t="s">
        <v>38</v>
      </c>
      <c r="F3250">
        <v>9</v>
      </c>
      <c r="G3250">
        <v>581.47</v>
      </c>
      <c r="H3250">
        <v>0.11</v>
      </c>
      <c r="I3250" s="4">
        <v>4657.57</v>
      </c>
      <c r="J3250" t="s">
        <v>109</v>
      </c>
      <c r="K3250" t="s">
        <v>48</v>
      </c>
      <c r="L3250" s="4">
        <f>VLOOKUP(tblTransactions[[#This Row],[Product_ID]],tblProducts[],5,FALSE)</f>
        <v>372.07</v>
      </c>
      <c r="M3250" s="4">
        <f>tblTransactions[[#This Row],[Total_Amount]]-(tblTransactions[[#This Row],[Cost_Prices]]*tblTransactions[[#This Row],[Quantity]]*(1-tblTransactions[[#This Row],[Discount]]))</f>
        <v>1677.2892999999995</v>
      </c>
      <c r="N3250" s="3">
        <f>tblTransactions[[#This Row],[Profit]]/tblTransactions[[#This Row],[Total_Amount]]</f>
        <v>0.36012111465850211</v>
      </c>
      <c r="O3250" t="str">
        <f>TEXT(tblTransactions[[#This Row],[Date]], "MMM-YYYY")</f>
        <v>Nov-2024</v>
      </c>
      <c r="P3250" t="str">
        <f>"Q"&amp;ROUNDUP(MONTH(tblTransactions[[#This Row],[Date]])/3,0)&amp;"-"&amp;YEAR(tblTransactions[[#This Row],[Date]])</f>
        <v>Q4-2024</v>
      </c>
      <c r="Q3250">
        <f>YEAR(tblTransactions[[#This Row],[Date]])</f>
        <v>2024</v>
      </c>
      <c r="R3250" t="str">
        <f>TEXT(tblTransactions[[#This Row],[Date]],"DDDD")</f>
        <v>Friday</v>
      </c>
      <c r="S3250">
        <f>MONTH(tblTransactions[[#This Row],[Date]])</f>
        <v>11</v>
      </c>
      <c r="T3250" t="str">
        <f>VLOOKUP(E3250, Products!$A:$B,2,0)</f>
        <v>Storage Fur-3</v>
      </c>
      <c r="U3250" t="str">
        <f>VLOOKUP(E3250,Products!$A:$C,3,0)</f>
        <v>Furniture</v>
      </c>
      <c r="V3250" t="str">
        <f>VLOOKUP(E3250,Products!$A:$D,4,0)</f>
        <v>Storage</v>
      </c>
      <c r="W3250" t="str">
        <f>VLOOKUP(D3250,Customers!$A:$C,3,0)</f>
        <v>B2B</v>
      </c>
      <c r="X3250" t="str">
        <f>VLOOKUP(C3250,Sales_Representatives!$A:$B,2,0)</f>
        <v>Richard Garcia</v>
      </c>
    </row>
    <row r="3251" spans="1:24" x14ac:dyDescent="0.3">
      <c r="A3251" t="s">
        <v>4384</v>
      </c>
      <c r="B3251" t="s">
        <v>4385</v>
      </c>
      <c r="C3251" t="s">
        <v>63</v>
      </c>
      <c r="D3251" t="s">
        <v>1780</v>
      </c>
      <c r="E3251" t="s">
        <v>255</v>
      </c>
      <c r="F3251">
        <v>7</v>
      </c>
      <c r="G3251">
        <v>1444.13</v>
      </c>
      <c r="H3251">
        <v>0.06</v>
      </c>
      <c r="I3251" s="4">
        <v>9502.3799999999992</v>
      </c>
      <c r="J3251" t="s">
        <v>21</v>
      </c>
      <c r="K3251" t="s">
        <v>48</v>
      </c>
      <c r="L3251" s="4">
        <f>VLOOKUP(tblTransactions[[#This Row],[Product_ID]],tblProducts[],5,FALSE)</f>
        <v>874.43</v>
      </c>
      <c r="M3251" s="4">
        <f>tblTransactions[[#This Row],[Total_Amount]]-(tblTransactions[[#This Row],[Cost_Prices]]*tblTransactions[[#This Row],[Quantity]]*(1-tblTransactions[[#This Row],[Discount]]))</f>
        <v>3748.6306000000004</v>
      </c>
      <c r="N3251" s="3">
        <f>tblTransactions[[#This Row],[Profit]]/tblTransactions[[#This Row],[Total_Amount]]</f>
        <v>0.39449386364258227</v>
      </c>
      <c r="O3251" t="str">
        <f>TEXT(tblTransactions[[#This Row],[Date]], "MMM-YYYY")</f>
        <v>Nov-2024</v>
      </c>
      <c r="P3251" t="str">
        <f>"Q"&amp;ROUNDUP(MONTH(tblTransactions[[#This Row],[Date]])/3,0)&amp;"-"&amp;YEAR(tblTransactions[[#This Row],[Date]])</f>
        <v>Q4-2024</v>
      </c>
      <c r="Q3251">
        <f>YEAR(tblTransactions[[#This Row],[Date]])</f>
        <v>2024</v>
      </c>
      <c r="R3251" t="str">
        <f>TEXT(tblTransactions[[#This Row],[Date]],"DDDD")</f>
        <v>Saturday</v>
      </c>
      <c r="S3251">
        <f>MONTH(tblTransactions[[#This Row],[Date]])</f>
        <v>11</v>
      </c>
      <c r="T3251" t="str">
        <f>VLOOKUP(E3251, Products!$A:$B,2,0)</f>
        <v>Printers Tec-1</v>
      </c>
      <c r="U3251" t="str">
        <f>VLOOKUP(E3251,Products!$A:$C,3,0)</f>
        <v>Technology</v>
      </c>
      <c r="V3251" t="str">
        <f>VLOOKUP(E3251,Products!$A:$D,4,0)</f>
        <v>Printers</v>
      </c>
      <c r="W3251" t="str">
        <f>VLOOKUP(D3251,Customers!$A:$C,3,0)</f>
        <v>B2C</v>
      </c>
      <c r="X3251" t="str">
        <f>VLOOKUP(C3251,Sales_Representatives!$A:$B,2,0)</f>
        <v>Richard Wilson</v>
      </c>
    </row>
    <row r="3252" spans="1:24" x14ac:dyDescent="0.3">
      <c r="A3252" t="s">
        <v>4386</v>
      </c>
      <c r="B3252" t="s">
        <v>4385</v>
      </c>
      <c r="C3252" t="s">
        <v>107</v>
      </c>
      <c r="D3252" t="s">
        <v>3404</v>
      </c>
      <c r="E3252" t="s">
        <v>479</v>
      </c>
      <c r="F3252">
        <v>1</v>
      </c>
      <c r="G3252">
        <v>239.6</v>
      </c>
      <c r="H3252">
        <v>0.05</v>
      </c>
      <c r="I3252" s="4">
        <v>227.62</v>
      </c>
      <c r="J3252" t="s">
        <v>109</v>
      </c>
      <c r="K3252" t="s">
        <v>48</v>
      </c>
      <c r="L3252" s="4">
        <f>VLOOKUP(tblTransactions[[#This Row],[Product_ID]],tblProducts[],5,FALSE)</f>
        <v>107.49</v>
      </c>
      <c r="M3252" s="4">
        <f>tblTransactions[[#This Row],[Total_Amount]]-(tblTransactions[[#This Row],[Cost_Prices]]*tblTransactions[[#This Row],[Quantity]]*(1-tblTransactions[[#This Row],[Discount]]))</f>
        <v>125.50450000000001</v>
      </c>
      <c r="N3252" s="3">
        <f>tblTransactions[[#This Row],[Profit]]/tblTransactions[[#This Row],[Total_Amount]]</f>
        <v>0.55137729549248748</v>
      </c>
      <c r="O3252" t="str">
        <f>TEXT(tblTransactions[[#This Row],[Date]], "MMM-YYYY")</f>
        <v>Nov-2024</v>
      </c>
      <c r="P3252" t="str">
        <f>"Q"&amp;ROUNDUP(MONTH(tblTransactions[[#This Row],[Date]])/3,0)&amp;"-"&amp;YEAR(tblTransactions[[#This Row],[Date]])</f>
        <v>Q4-2024</v>
      </c>
      <c r="Q3252">
        <f>YEAR(tblTransactions[[#This Row],[Date]])</f>
        <v>2024</v>
      </c>
      <c r="R3252" t="str">
        <f>TEXT(tblTransactions[[#This Row],[Date]],"DDDD")</f>
        <v>Saturday</v>
      </c>
      <c r="S3252">
        <f>MONTH(tblTransactions[[#This Row],[Date]])</f>
        <v>11</v>
      </c>
      <c r="T3252" t="str">
        <f>VLOOKUP(E3252, Products!$A:$B,2,0)</f>
        <v>Pens Off-2</v>
      </c>
      <c r="U3252" t="str">
        <f>VLOOKUP(E3252,Products!$A:$C,3,0)</f>
        <v>Office Supplies</v>
      </c>
      <c r="V3252" t="str">
        <f>VLOOKUP(E3252,Products!$A:$D,4,0)</f>
        <v>Pens</v>
      </c>
      <c r="W3252" t="str">
        <f>VLOOKUP(D3252,Customers!$A:$C,3,0)</f>
        <v>B2C</v>
      </c>
      <c r="X3252" t="str">
        <f>VLOOKUP(C3252,Sales_Representatives!$A:$B,2,0)</f>
        <v>Jennifer Brown</v>
      </c>
    </row>
    <row r="3253" spans="1:24" x14ac:dyDescent="0.3">
      <c r="A3253" t="s">
        <v>4387</v>
      </c>
      <c r="B3253" t="s">
        <v>4385</v>
      </c>
      <c r="C3253" t="s">
        <v>41</v>
      </c>
      <c r="D3253" t="s">
        <v>2224</v>
      </c>
      <c r="E3253" t="s">
        <v>15</v>
      </c>
      <c r="F3253">
        <v>17</v>
      </c>
      <c r="G3253">
        <v>477.48</v>
      </c>
      <c r="H3253">
        <v>0.2</v>
      </c>
      <c r="I3253" s="4">
        <v>6493.73</v>
      </c>
      <c r="J3253" t="s">
        <v>44</v>
      </c>
      <c r="K3253" t="s">
        <v>39</v>
      </c>
      <c r="L3253" s="4">
        <f>VLOOKUP(tblTransactions[[#This Row],[Product_ID]],tblProducts[],5,FALSE)</f>
        <v>275.51</v>
      </c>
      <c r="M3253" s="4">
        <f>tblTransactions[[#This Row],[Total_Amount]]-(tblTransactions[[#This Row],[Cost_Prices]]*tblTransactions[[#This Row],[Quantity]]*(1-tblTransactions[[#This Row],[Discount]]))</f>
        <v>2746.7939999999994</v>
      </c>
      <c r="N3253" s="3">
        <f>tblTransactions[[#This Row],[Profit]]/tblTransactions[[#This Row],[Total_Amount]]</f>
        <v>0.4229917166251137</v>
      </c>
      <c r="O3253" t="str">
        <f>TEXT(tblTransactions[[#This Row],[Date]], "MMM-YYYY")</f>
        <v>Nov-2024</v>
      </c>
      <c r="P3253" t="str">
        <f>"Q"&amp;ROUNDUP(MONTH(tblTransactions[[#This Row],[Date]])/3,0)&amp;"-"&amp;YEAR(tblTransactions[[#This Row],[Date]])</f>
        <v>Q4-2024</v>
      </c>
      <c r="Q3253">
        <f>YEAR(tblTransactions[[#This Row],[Date]])</f>
        <v>2024</v>
      </c>
      <c r="R3253" t="str">
        <f>TEXT(tblTransactions[[#This Row],[Date]],"DDDD")</f>
        <v>Saturday</v>
      </c>
      <c r="S3253">
        <f>MONTH(tblTransactions[[#This Row],[Date]])</f>
        <v>11</v>
      </c>
      <c r="T3253" t="str">
        <f>VLOOKUP(E3253, Products!$A:$B,2,0)</f>
        <v>Laptops Ele-4</v>
      </c>
      <c r="U3253" t="str">
        <f>VLOOKUP(E3253,Products!$A:$C,3,0)</f>
        <v>Electronics</v>
      </c>
      <c r="V3253" t="str">
        <f>VLOOKUP(E3253,Products!$A:$D,4,0)</f>
        <v>Laptops</v>
      </c>
      <c r="W3253" t="str">
        <f>VLOOKUP(D3253,Customers!$A:$C,3,0)</f>
        <v>B2B</v>
      </c>
      <c r="X3253" t="str">
        <f>VLOOKUP(C3253,Sales_Representatives!$A:$B,2,0)</f>
        <v>Robert Jones</v>
      </c>
    </row>
    <row r="3254" spans="1:24" x14ac:dyDescent="0.3">
      <c r="A3254" t="s">
        <v>4388</v>
      </c>
      <c r="B3254" t="s">
        <v>4385</v>
      </c>
      <c r="C3254" t="s">
        <v>82</v>
      </c>
      <c r="D3254" t="s">
        <v>2512</v>
      </c>
      <c r="E3254" t="s">
        <v>15</v>
      </c>
      <c r="F3254">
        <v>7</v>
      </c>
      <c r="G3254">
        <v>477.48</v>
      </c>
      <c r="H3254">
        <v>0.12</v>
      </c>
      <c r="I3254" s="4">
        <v>2941.28</v>
      </c>
      <c r="J3254" t="s">
        <v>34</v>
      </c>
      <c r="K3254" t="s">
        <v>35</v>
      </c>
      <c r="L3254" s="4">
        <f>VLOOKUP(tblTransactions[[#This Row],[Product_ID]],tblProducts[],5,FALSE)</f>
        <v>275.51</v>
      </c>
      <c r="M3254" s="4">
        <f>tblTransactions[[#This Row],[Total_Amount]]-(tblTransactions[[#This Row],[Cost_Prices]]*tblTransactions[[#This Row],[Quantity]]*(1-tblTransactions[[#This Row],[Discount]]))</f>
        <v>1244.1384000000003</v>
      </c>
      <c r="N3254" s="3">
        <f>tblTransactions[[#This Row],[Profit]]/tblTransactions[[#This Row],[Total_Amount]]</f>
        <v>0.42299216667573308</v>
      </c>
      <c r="O3254" t="str">
        <f>TEXT(tblTransactions[[#This Row],[Date]], "MMM-YYYY")</f>
        <v>Nov-2024</v>
      </c>
      <c r="P3254" t="str">
        <f>"Q"&amp;ROUNDUP(MONTH(tblTransactions[[#This Row],[Date]])/3,0)&amp;"-"&amp;YEAR(tblTransactions[[#This Row],[Date]])</f>
        <v>Q4-2024</v>
      </c>
      <c r="Q3254">
        <f>YEAR(tblTransactions[[#This Row],[Date]])</f>
        <v>2024</v>
      </c>
      <c r="R3254" t="str">
        <f>TEXT(tblTransactions[[#This Row],[Date]],"DDDD")</f>
        <v>Saturday</v>
      </c>
      <c r="S3254">
        <f>MONTH(tblTransactions[[#This Row],[Date]])</f>
        <v>11</v>
      </c>
      <c r="T3254" t="str">
        <f>VLOOKUP(E3254, Products!$A:$B,2,0)</f>
        <v>Laptops Ele-4</v>
      </c>
      <c r="U3254" t="str">
        <f>VLOOKUP(E3254,Products!$A:$C,3,0)</f>
        <v>Electronics</v>
      </c>
      <c r="V3254" t="str">
        <f>VLOOKUP(E3254,Products!$A:$D,4,0)</f>
        <v>Laptops</v>
      </c>
      <c r="W3254" t="str">
        <f>VLOOKUP(D3254,Customers!$A:$C,3,0)</f>
        <v>Small Business</v>
      </c>
      <c r="X3254" t="str">
        <f>VLOOKUP(C3254,Sales_Representatives!$A:$B,2,0)</f>
        <v>John Brown</v>
      </c>
    </row>
    <row r="3255" spans="1:24" x14ac:dyDescent="0.3">
      <c r="A3255" t="s">
        <v>4389</v>
      </c>
      <c r="B3255" t="s">
        <v>4385</v>
      </c>
      <c r="C3255" t="s">
        <v>27</v>
      </c>
      <c r="D3255" t="s">
        <v>1439</v>
      </c>
      <c r="E3255" t="s">
        <v>255</v>
      </c>
      <c r="F3255">
        <v>3</v>
      </c>
      <c r="G3255">
        <v>1444.13</v>
      </c>
      <c r="H3255">
        <v>0.06</v>
      </c>
      <c r="I3255" s="4">
        <v>4072.45</v>
      </c>
      <c r="J3255" t="s">
        <v>16</v>
      </c>
      <c r="K3255" t="s">
        <v>22</v>
      </c>
      <c r="L3255" s="4">
        <f>VLOOKUP(tblTransactions[[#This Row],[Product_ID]],tblProducts[],5,FALSE)</f>
        <v>874.43</v>
      </c>
      <c r="M3255" s="4">
        <f>tblTransactions[[#This Row],[Total_Amount]]-(tblTransactions[[#This Row],[Cost_Prices]]*tblTransactions[[#This Row],[Quantity]]*(1-tblTransactions[[#This Row],[Discount]]))</f>
        <v>1606.5574000000001</v>
      </c>
      <c r="N3255" s="3">
        <f>tblTransactions[[#This Row],[Profit]]/tblTransactions[[#This Row],[Total_Amount]]</f>
        <v>0.39449407604758813</v>
      </c>
      <c r="O3255" t="str">
        <f>TEXT(tblTransactions[[#This Row],[Date]], "MMM-YYYY")</f>
        <v>Nov-2024</v>
      </c>
      <c r="P3255" t="str">
        <f>"Q"&amp;ROUNDUP(MONTH(tblTransactions[[#This Row],[Date]])/3,0)&amp;"-"&amp;YEAR(tblTransactions[[#This Row],[Date]])</f>
        <v>Q4-2024</v>
      </c>
      <c r="Q3255">
        <f>YEAR(tblTransactions[[#This Row],[Date]])</f>
        <v>2024</v>
      </c>
      <c r="R3255" t="str">
        <f>TEXT(tblTransactions[[#This Row],[Date]],"DDDD")</f>
        <v>Saturday</v>
      </c>
      <c r="S3255">
        <f>MONTH(tblTransactions[[#This Row],[Date]])</f>
        <v>11</v>
      </c>
      <c r="T3255" t="str">
        <f>VLOOKUP(E3255, Products!$A:$B,2,0)</f>
        <v>Printers Tec-1</v>
      </c>
      <c r="U3255" t="str">
        <f>VLOOKUP(E3255,Products!$A:$C,3,0)</f>
        <v>Technology</v>
      </c>
      <c r="V3255" t="str">
        <f>VLOOKUP(E3255,Products!$A:$D,4,0)</f>
        <v>Printers</v>
      </c>
      <c r="W3255" t="str">
        <f>VLOOKUP(D3255,Customers!$A:$C,3,0)</f>
        <v>B2C</v>
      </c>
      <c r="X3255" t="str">
        <f>VLOOKUP(C3255,Sales_Representatives!$A:$B,2,0)</f>
        <v>Thomas Lopez</v>
      </c>
    </row>
    <row r="3256" spans="1:24" x14ac:dyDescent="0.3">
      <c r="A3256" t="s">
        <v>4390</v>
      </c>
      <c r="B3256" t="s">
        <v>4385</v>
      </c>
      <c r="C3256" t="s">
        <v>82</v>
      </c>
      <c r="D3256" t="s">
        <v>237</v>
      </c>
      <c r="E3256" t="s">
        <v>176</v>
      </c>
      <c r="F3256">
        <v>17</v>
      </c>
      <c r="G3256">
        <v>1462.68</v>
      </c>
      <c r="H3256">
        <v>0.2</v>
      </c>
      <c r="I3256" s="4">
        <v>19892.45</v>
      </c>
      <c r="J3256" t="s">
        <v>34</v>
      </c>
      <c r="K3256" t="s">
        <v>39</v>
      </c>
      <c r="L3256" s="4">
        <f>VLOOKUP(tblTransactions[[#This Row],[Product_ID]],tblProducts[],5,FALSE)</f>
        <v>775.94</v>
      </c>
      <c r="M3256" s="4">
        <f>tblTransactions[[#This Row],[Total_Amount]]-(tblTransactions[[#This Row],[Cost_Prices]]*tblTransactions[[#This Row],[Quantity]]*(1-tblTransactions[[#This Row],[Discount]]))</f>
        <v>9339.6659999999993</v>
      </c>
      <c r="N3256" s="3">
        <f>tblTransactions[[#This Row],[Profit]]/tblTransactions[[#This Row],[Total_Amount]]</f>
        <v>0.46950807969857905</v>
      </c>
      <c r="O3256" t="str">
        <f>TEXT(tblTransactions[[#This Row],[Date]], "MMM-YYYY")</f>
        <v>Nov-2024</v>
      </c>
      <c r="P3256" t="str">
        <f>"Q"&amp;ROUNDUP(MONTH(tblTransactions[[#This Row],[Date]])/3,0)&amp;"-"&amp;YEAR(tblTransactions[[#This Row],[Date]])</f>
        <v>Q4-2024</v>
      </c>
      <c r="Q3256">
        <f>YEAR(tblTransactions[[#This Row],[Date]])</f>
        <v>2024</v>
      </c>
      <c r="R3256" t="str">
        <f>TEXT(tblTransactions[[#This Row],[Date]],"DDDD")</f>
        <v>Saturday</v>
      </c>
      <c r="S3256">
        <f>MONTH(tblTransactions[[#This Row],[Date]])</f>
        <v>11</v>
      </c>
      <c r="T3256" t="str">
        <f>VLOOKUP(E3256, Products!$A:$B,2,0)</f>
        <v>Chairs Fur-2</v>
      </c>
      <c r="U3256" t="str">
        <f>VLOOKUP(E3256,Products!$A:$C,3,0)</f>
        <v>Furniture</v>
      </c>
      <c r="V3256" t="str">
        <f>VLOOKUP(E3256,Products!$A:$D,4,0)</f>
        <v>Chairs</v>
      </c>
      <c r="W3256" t="str">
        <f>VLOOKUP(D3256,Customers!$A:$C,3,0)</f>
        <v>B2B</v>
      </c>
      <c r="X3256" t="str">
        <f>VLOOKUP(C3256,Sales_Representatives!$A:$B,2,0)</f>
        <v>John Brown</v>
      </c>
    </row>
    <row r="3257" spans="1:24" x14ac:dyDescent="0.3">
      <c r="A3257" t="s">
        <v>4391</v>
      </c>
      <c r="B3257" t="s">
        <v>4392</v>
      </c>
      <c r="C3257" t="s">
        <v>63</v>
      </c>
      <c r="D3257" t="s">
        <v>2056</v>
      </c>
      <c r="E3257" t="s">
        <v>299</v>
      </c>
      <c r="F3257">
        <v>4</v>
      </c>
      <c r="G3257">
        <v>963.44</v>
      </c>
      <c r="H3257">
        <v>0.08</v>
      </c>
      <c r="I3257" s="4">
        <v>3545.46</v>
      </c>
      <c r="J3257" t="s">
        <v>21</v>
      </c>
      <c r="K3257" t="s">
        <v>17</v>
      </c>
      <c r="L3257" s="4">
        <f>VLOOKUP(tblTransactions[[#This Row],[Product_ID]],tblProducts[],5,FALSE)</f>
        <v>578.96</v>
      </c>
      <c r="M3257" s="4">
        <f>tblTransactions[[#This Row],[Total_Amount]]-(tblTransactions[[#This Row],[Cost_Prices]]*tblTransactions[[#This Row],[Quantity]]*(1-tblTransactions[[#This Row],[Discount]]))</f>
        <v>1414.8871999999997</v>
      </c>
      <c r="N3257" s="3">
        <f>tblTransactions[[#This Row],[Profit]]/tblTransactions[[#This Row],[Total_Amount]]</f>
        <v>0.39907013476389513</v>
      </c>
      <c r="O3257" t="str">
        <f>TEXT(tblTransactions[[#This Row],[Date]], "MMM-YYYY")</f>
        <v>Nov-2024</v>
      </c>
      <c r="P3257" t="str">
        <f>"Q"&amp;ROUNDUP(MONTH(tblTransactions[[#This Row],[Date]])/3,0)&amp;"-"&amp;YEAR(tblTransactions[[#This Row],[Date]])</f>
        <v>Q4-2024</v>
      </c>
      <c r="Q3257">
        <f>YEAR(tblTransactions[[#This Row],[Date]])</f>
        <v>2024</v>
      </c>
      <c r="R3257" t="str">
        <f>TEXT(tblTransactions[[#This Row],[Date]],"DDDD")</f>
        <v>Sunday</v>
      </c>
      <c r="S3257">
        <f>MONTH(tblTransactions[[#This Row],[Date]])</f>
        <v>11</v>
      </c>
      <c r="T3257" t="str">
        <f>VLOOKUP(E3257, Products!$A:$B,2,0)</f>
        <v>Chairs Fur-4</v>
      </c>
      <c r="U3257" t="str">
        <f>VLOOKUP(E3257,Products!$A:$C,3,0)</f>
        <v>Furniture</v>
      </c>
      <c r="V3257" t="str">
        <f>VLOOKUP(E3257,Products!$A:$D,4,0)</f>
        <v>Chairs</v>
      </c>
      <c r="W3257" t="str">
        <f>VLOOKUP(D3257,Customers!$A:$C,3,0)</f>
        <v>Small Business</v>
      </c>
      <c r="X3257" t="str">
        <f>VLOOKUP(C3257,Sales_Representatives!$A:$B,2,0)</f>
        <v>Richard Wilson</v>
      </c>
    </row>
    <row r="3258" spans="1:24" x14ac:dyDescent="0.3">
      <c r="A3258" t="s">
        <v>4393</v>
      </c>
      <c r="B3258" t="s">
        <v>4392</v>
      </c>
      <c r="C3258" t="s">
        <v>107</v>
      </c>
      <c r="D3258" t="s">
        <v>2686</v>
      </c>
      <c r="E3258" t="s">
        <v>243</v>
      </c>
      <c r="F3258">
        <v>2</v>
      </c>
      <c r="G3258">
        <v>384.18</v>
      </c>
      <c r="H3258">
        <v>0.05</v>
      </c>
      <c r="I3258" s="4">
        <v>729.94</v>
      </c>
      <c r="J3258" t="s">
        <v>109</v>
      </c>
      <c r="K3258" t="s">
        <v>22</v>
      </c>
      <c r="L3258" s="4">
        <f>VLOOKUP(tblTransactions[[#This Row],[Product_ID]],tblProducts[],5,FALSE)</f>
        <v>266.92</v>
      </c>
      <c r="M3258" s="4">
        <f>tblTransactions[[#This Row],[Total_Amount]]-(tblTransactions[[#This Row],[Cost_Prices]]*tblTransactions[[#This Row],[Quantity]]*(1-tblTransactions[[#This Row],[Discount]]))</f>
        <v>222.79200000000003</v>
      </c>
      <c r="N3258" s="3">
        <f>tblTransactions[[#This Row],[Profit]]/tblTransactions[[#This Row],[Total_Amount]]</f>
        <v>0.30521960709099377</v>
      </c>
      <c r="O3258" t="str">
        <f>TEXT(tblTransactions[[#This Row],[Date]], "MMM-YYYY")</f>
        <v>Nov-2024</v>
      </c>
      <c r="P3258" t="str">
        <f>"Q"&amp;ROUNDUP(MONTH(tblTransactions[[#This Row],[Date]])/3,0)&amp;"-"&amp;YEAR(tblTransactions[[#This Row],[Date]])</f>
        <v>Q4-2024</v>
      </c>
      <c r="Q3258">
        <f>YEAR(tblTransactions[[#This Row],[Date]])</f>
        <v>2024</v>
      </c>
      <c r="R3258" t="str">
        <f>TEXT(tblTransactions[[#This Row],[Date]],"DDDD")</f>
        <v>Sunday</v>
      </c>
      <c r="S3258">
        <f>MONTH(tblTransactions[[#This Row],[Date]])</f>
        <v>11</v>
      </c>
      <c r="T3258" t="str">
        <f>VLOOKUP(E3258, Products!$A:$B,2,0)</f>
        <v>Routers Tec-3</v>
      </c>
      <c r="U3258" t="str">
        <f>VLOOKUP(E3258,Products!$A:$C,3,0)</f>
        <v>Technology</v>
      </c>
      <c r="V3258" t="str">
        <f>VLOOKUP(E3258,Products!$A:$D,4,0)</f>
        <v>Routers</v>
      </c>
      <c r="W3258" t="str">
        <f>VLOOKUP(D3258,Customers!$A:$C,3,0)</f>
        <v>Small Business</v>
      </c>
      <c r="X3258" t="str">
        <f>VLOOKUP(C3258,Sales_Representatives!$A:$B,2,0)</f>
        <v>Jennifer Brown</v>
      </c>
    </row>
    <row r="3259" spans="1:24" x14ac:dyDescent="0.3">
      <c r="A3259" t="s">
        <v>4394</v>
      </c>
      <c r="B3259" t="s">
        <v>4392</v>
      </c>
      <c r="C3259" t="s">
        <v>127</v>
      </c>
      <c r="D3259" t="s">
        <v>1988</v>
      </c>
      <c r="E3259" t="s">
        <v>79</v>
      </c>
      <c r="F3259">
        <v>31</v>
      </c>
      <c r="G3259">
        <v>1452.36</v>
      </c>
      <c r="H3259">
        <v>0.24</v>
      </c>
      <c r="I3259" s="4">
        <v>34217.599999999999</v>
      </c>
      <c r="J3259" t="s">
        <v>109</v>
      </c>
      <c r="K3259" t="s">
        <v>48</v>
      </c>
      <c r="L3259" s="4">
        <f>VLOOKUP(tblTransactions[[#This Row],[Product_ID]],tblProducts[],5,FALSE)</f>
        <v>778.71</v>
      </c>
      <c r="M3259" s="4">
        <f>tblTransactions[[#This Row],[Total_Amount]]-(tblTransactions[[#This Row],[Cost_Prices]]*tblTransactions[[#This Row],[Quantity]]*(1-tblTransactions[[#This Row],[Discount]]))</f>
        <v>15871.192399999996</v>
      </c>
      <c r="N3259" s="3">
        <f>tblTransactions[[#This Row],[Profit]]/tblTransactions[[#This Row],[Total_Amount]]</f>
        <v>0.46383125642943973</v>
      </c>
      <c r="O3259" t="str">
        <f>TEXT(tblTransactions[[#This Row],[Date]], "MMM-YYYY")</f>
        <v>Nov-2024</v>
      </c>
      <c r="P3259" t="str">
        <f>"Q"&amp;ROUNDUP(MONTH(tblTransactions[[#This Row],[Date]])/3,0)&amp;"-"&amp;YEAR(tblTransactions[[#This Row],[Date]])</f>
        <v>Q4-2024</v>
      </c>
      <c r="Q3259">
        <f>YEAR(tblTransactions[[#This Row],[Date]])</f>
        <v>2024</v>
      </c>
      <c r="R3259" t="str">
        <f>TEXT(tblTransactions[[#This Row],[Date]],"DDDD")</f>
        <v>Sunday</v>
      </c>
      <c r="S3259">
        <f>MONTH(tblTransactions[[#This Row],[Date]])</f>
        <v>11</v>
      </c>
      <c r="T3259" t="str">
        <f>VLOOKUP(E3259, Products!$A:$B,2,0)</f>
        <v>Tables Fur-2</v>
      </c>
      <c r="U3259" t="str">
        <f>VLOOKUP(E3259,Products!$A:$C,3,0)</f>
        <v>Furniture</v>
      </c>
      <c r="V3259" t="str">
        <f>VLOOKUP(E3259,Products!$A:$D,4,0)</f>
        <v>Tables</v>
      </c>
      <c r="W3259" t="str">
        <f>VLOOKUP(D3259,Customers!$A:$C,3,0)</f>
        <v>Enterprise</v>
      </c>
      <c r="X3259" t="str">
        <f>VLOOKUP(C3259,Sales_Representatives!$A:$B,2,0)</f>
        <v>Emily Hernandez</v>
      </c>
    </row>
    <row r="3260" spans="1:24" x14ac:dyDescent="0.3">
      <c r="A3260" t="s">
        <v>4395</v>
      </c>
      <c r="B3260" t="s">
        <v>4392</v>
      </c>
      <c r="C3260" t="s">
        <v>56</v>
      </c>
      <c r="D3260" t="s">
        <v>1945</v>
      </c>
      <c r="E3260" t="s">
        <v>89</v>
      </c>
      <c r="F3260">
        <v>9</v>
      </c>
      <c r="G3260">
        <v>555.08000000000004</v>
      </c>
      <c r="H3260">
        <v>0.11</v>
      </c>
      <c r="I3260" s="4">
        <v>4446.1899999999996</v>
      </c>
      <c r="J3260" t="s">
        <v>34</v>
      </c>
      <c r="K3260" t="s">
        <v>17</v>
      </c>
      <c r="L3260" s="4">
        <f>VLOOKUP(tblTransactions[[#This Row],[Product_ID]],tblProducts[],5,FALSE)</f>
        <v>402.82</v>
      </c>
      <c r="M3260" s="4">
        <f>tblTransactions[[#This Row],[Total_Amount]]-(tblTransactions[[#This Row],[Cost_Prices]]*tblTransactions[[#This Row],[Quantity]]*(1-tblTransactions[[#This Row],[Discount]]))</f>
        <v>1219.6017999999995</v>
      </c>
      <c r="N3260" s="3">
        <f>tblTransactions[[#This Row],[Profit]]/tblTransactions[[#This Row],[Total_Amount]]</f>
        <v>0.27430267262532632</v>
      </c>
      <c r="O3260" t="str">
        <f>TEXT(tblTransactions[[#This Row],[Date]], "MMM-YYYY")</f>
        <v>Nov-2024</v>
      </c>
      <c r="P3260" t="str">
        <f>"Q"&amp;ROUNDUP(MONTH(tblTransactions[[#This Row],[Date]])/3,0)&amp;"-"&amp;YEAR(tblTransactions[[#This Row],[Date]])</f>
        <v>Q4-2024</v>
      </c>
      <c r="Q3260">
        <f>YEAR(tblTransactions[[#This Row],[Date]])</f>
        <v>2024</v>
      </c>
      <c r="R3260" t="str">
        <f>TEXT(tblTransactions[[#This Row],[Date]],"DDDD")</f>
        <v>Sunday</v>
      </c>
      <c r="S3260">
        <f>MONTH(tblTransactions[[#This Row],[Date]])</f>
        <v>11</v>
      </c>
      <c r="T3260" t="str">
        <f>VLOOKUP(E3260, Products!$A:$B,2,0)</f>
        <v>Laptops Ele-3</v>
      </c>
      <c r="U3260" t="str">
        <f>VLOOKUP(E3260,Products!$A:$C,3,0)</f>
        <v>Electronics</v>
      </c>
      <c r="V3260" t="str">
        <f>VLOOKUP(E3260,Products!$A:$D,4,0)</f>
        <v>Laptops</v>
      </c>
      <c r="W3260" t="str">
        <f>VLOOKUP(D3260,Customers!$A:$C,3,0)</f>
        <v>B2B</v>
      </c>
      <c r="X3260" t="str">
        <f>VLOOKUP(C3260,Sales_Representatives!$A:$B,2,0)</f>
        <v>Thomas Hernandez</v>
      </c>
    </row>
    <row r="3261" spans="1:24" x14ac:dyDescent="0.3">
      <c r="A3261" t="s">
        <v>4396</v>
      </c>
      <c r="B3261" t="s">
        <v>4392</v>
      </c>
      <c r="C3261" t="s">
        <v>127</v>
      </c>
      <c r="D3261" t="s">
        <v>1668</v>
      </c>
      <c r="E3261" t="s">
        <v>587</v>
      </c>
      <c r="F3261">
        <v>5</v>
      </c>
      <c r="G3261">
        <v>58.54</v>
      </c>
      <c r="H3261">
        <v>0.04</v>
      </c>
      <c r="I3261" s="4">
        <v>280.99</v>
      </c>
      <c r="J3261" t="s">
        <v>109</v>
      </c>
      <c r="K3261" t="s">
        <v>17</v>
      </c>
      <c r="L3261" s="4">
        <f>VLOOKUP(tblTransactions[[#This Row],[Product_ID]],tblProducts[],5,FALSE)</f>
        <v>25.43</v>
      </c>
      <c r="M3261" s="4">
        <f>tblTransactions[[#This Row],[Total_Amount]]-(tblTransactions[[#This Row],[Cost_Prices]]*tblTransactions[[#This Row],[Quantity]]*(1-tblTransactions[[#This Row],[Discount]]))</f>
        <v>158.92599999999999</v>
      </c>
      <c r="N3261" s="3">
        <f>tblTransactions[[#This Row],[Profit]]/tblTransactions[[#This Row],[Total_Amount]]</f>
        <v>0.56559308160432753</v>
      </c>
      <c r="O3261" t="str">
        <f>TEXT(tblTransactions[[#This Row],[Date]], "MMM-YYYY")</f>
        <v>Nov-2024</v>
      </c>
      <c r="P3261" t="str">
        <f>"Q"&amp;ROUNDUP(MONTH(tblTransactions[[#This Row],[Date]])/3,0)&amp;"-"&amp;YEAR(tblTransactions[[#This Row],[Date]])</f>
        <v>Q4-2024</v>
      </c>
      <c r="Q3261">
        <f>YEAR(tblTransactions[[#This Row],[Date]])</f>
        <v>2024</v>
      </c>
      <c r="R3261" t="str">
        <f>TEXT(tblTransactions[[#This Row],[Date]],"DDDD")</f>
        <v>Sunday</v>
      </c>
      <c r="S3261">
        <f>MONTH(tblTransactions[[#This Row],[Date]])</f>
        <v>11</v>
      </c>
      <c r="T3261" t="str">
        <f>VLOOKUP(E3261, Products!$A:$B,2,0)</f>
        <v>Paper Off-2</v>
      </c>
      <c r="U3261" t="str">
        <f>VLOOKUP(E3261,Products!$A:$C,3,0)</f>
        <v>Office Supplies</v>
      </c>
      <c r="V3261" t="str">
        <f>VLOOKUP(E3261,Products!$A:$D,4,0)</f>
        <v>Paper</v>
      </c>
      <c r="W3261" t="str">
        <f>VLOOKUP(D3261,Customers!$A:$C,3,0)</f>
        <v>B2C</v>
      </c>
      <c r="X3261" t="str">
        <f>VLOOKUP(C3261,Sales_Representatives!$A:$B,2,0)</f>
        <v>Emily Hernandez</v>
      </c>
    </row>
    <row r="3262" spans="1:24" x14ac:dyDescent="0.3">
      <c r="A3262" t="s">
        <v>4397</v>
      </c>
      <c r="B3262" t="s">
        <v>4392</v>
      </c>
      <c r="C3262" t="s">
        <v>131</v>
      </c>
      <c r="D3262" t="s">
        <v>115</v>
      </c>
      <c r="E3262" t="s">
        <v>178</v>
      </c>
      <c r="F3262">
        <v>2</v>
      </c>
      <c r="G3262">
        <v>1623.35</v>
      </c>
      <c r="H3262">
        <v>0.1</v>
      </c>
      <c r="I3262" s="4">
        <v>2922.03</v>
      </c>
      <c r="J3262" t="s">
        <v>44</v>
      </c>
      <c r="K3262" t="s">
        <v>35</v>
      </c>
      <c r="L3262" s="4">
        <f>VLOOKUP(tblTransactions[[#This Row],[Product_ID]],tblProducts[],5,FALSE)</f>
        <v>981.45</v>
      </c>
      <c r="M3262" s="4">
        <f>tblTransactions[[#This Row],[Total_Amount]]-(tblTransactions[[#This Row],[Cost_Prices]]*tblTransactions[[#This Row],[Quantity]]*(1-tblTransactions[[#This Row],[Discount]]))</f>
        <v>1155.42</v>
      </c>
      <c r="N3262" s="3">
        <f>tblTransactions[[#This Row],[Profit]]/tblTransactions[[#This Row],[Total_Amount]]</f>
        <v>0.39541688483691134</v>
      </c>
      <c r="O3262" t="str">
        <f>TEXT(tblTransactions[[#This Row],[Date]], "MMM-YYYY")</f>
        <v>Nov-2024</v>
      </c>
      <c r="P3262" t="str">
        <f>"Q"&amp;ROUNDUP(MONTH(tblTransactions[[#This Row],[Date]])/3,0)&amp;"-"&amp;YEAR(tblTransactions[[#This Row],[Date]])</f>
        <v>Q4-2024</v>
      </c>
      <c r="Q3262">
        <f>YEAR(tblTransactions[[#This Row],[Date]])</f>
        <v>2024</v>
      </c>
      <c r="R3262" t="str">
        <f>TEXT(tblTransactions[[#This Row],[Date]],"DDDD")</f>
        <v>Sunday</v>
      </c>
      <c r="S3262">
        <f>MONTH(tblTransactions[[#This Row],[Date]])</f>
        <v>11</v>
      </c>
      <c r="T3262" t="str">
        <f>VLOOKUP(E3262, Products!$A:$B,2,0)</f>
        <v>Tablets Ele-1</v>
      </c>
      <c r="U3262" t="str">
        <f>VLOOKUP(E3262,Products!$A:$C,3,0)</f>
        <v>Electronics</v>
      </c>
      <c r="V3262" t="str">
        <f>VLOOKUP(E3262,Products!$A:$D,4,0)</f>
        <v>Tablets</v>
      </c>
      <c r="W3262" t="str">
        <f>VLOOKUP(D3262,Customers!$A:$C,3,0)</f>
        <v>B2C</v>
      </c>
      <c r="X3262" t="str">
        <f>VLOOKUP(C3262,Sales_Representatives!$A:$B,2,0)</f>
        <v>Michael Davis</v>
      </c>
    </row>
    <row r="3263" spans="1:24" x14ac:dyDescent="0.3">
      <c r="A3263" t="s">
        <v>4398</v>
      </c>
      <c r="B3263" t="s">
        <v>4392</v>
      </c>
      <c r="C3263" t="s">
        <v>13</v>
      </c>
      <c r="D3263" t="s">
        <v>2096</v>
      </c>
      <c r="E3263" t="s">
        <v>38</v>
      </c>
      <c r="F3263">
        <v>3</v>
      </c>
      <c r="G3263">
        <v>581.47</v>
      </c>
      <c r="H3263">
        <v>0.03</v>
      </c>
      <c r="I3263" s="4">
        <v>1692.08</v>
      </c>
      <c r="J3263" t="s">
        <v>16</v>
      </c>
      <c r="K3263" t="s">
        <v>22</v>
      </c>
      <c r="L3263" s="4">
        <f>VLOOKUP(tblTransactions[[#This Row],[Product_ID]],tblProducts[],5,FALSE)</f>
        <v>372.07</v>
      </c>
      <c r="M3263" s="4">
        <f>tblTransactions[[#This Row],[Total_Amount]]-(tblTransactions[[#This Row],[Cost_Prices]]*tblTransactions[[#This Row],[Quantity]]*(1-tblTransactions[[#This Row],[Discount]]))</f>
        <v>609.35629999999992</v>
      </c>
      <c r="N3263" s="3">
        <f>tblTransactions[[#This Row],[Profit]]/tblTransactions[[#This Row],[Total_Amount]]</f>
        <v>0.36012263013569096</v>
      </c>
      <c r="O3263" t="str">
        <f>TEXT(tblTransactions[[#This Row],[Date]], "MMM-YYYY")</f>
        <v>Nov-2024</v>
      </c>
      <c r="P3263" t="str">
        <f>"Q"&amp;ROUNDUP(MONTH(tblTransactions[[#This Row],[Date]])/3,0)&amp;"-"&amp;YEAR(tblTransactions[[#This Row],[Date]])</f>
        <v>Q4-2024</v>
      </c>
      <c r="Q3263">
        <f>YEAR(tblTransactions[[#This Row],[Date]])</f>
        <v>2024</v>
      </c>
      <c r="R3263" t="str">
        <f>TEXT(tblTransactions[[#This Row],[Date]],"DDDD")</f>
        <v>Sunday</v>
      </c>
      <c r="S3263">
        <f>MONTH(tblTransactions[[#This Row],[Date]])</f>
        <v>11</v>
      </c>
      <c r="T3263" t="str">
        <f>VLOOKUP(E3263, Products!$A:$B,2,0)</f>
        <v>Storage Fur-3</v>
      </c>
      <c r="U3263" t="str">
        <f>VLOOKUP(E3263,Products!$A:$C,3,0)</f>
        <v>Furniture</v>
      </c>
      <c r="V3263" t="str">
        <f>VLOOKUP(E3263,Products!$A:$D,4,0)</f>
        <v>Storage</v>
      </c>
      <c r="W3263" t="str">
        <f>VLOOKUP(D3263,Customers!$A:$C,3,0)</f>
        <v>B2C</v>
      </c>
      <c r="X3263" t="str">
        <f>VLOOKUP(C3263,Sales_Representatives!$A:$B,2,0)</f>
        <v>Jennifer Rodriguez</v>
      </c>
    </row>
    <row r="3264" spans="1:24" x14ac:dyDescent="0.3">
      <c r="A3264" t="s">
        <v>4399</v>
      </c>
      <c r="B3264" t="s">
        <v>4392</v>
      </c>
      <c r="C3264" t="s">
        <v>107</v>
      </c>
      <c r="D3264" t="s">
        <v>1563</v>
      </c>
      <c r="E3264" t="s">
        <v>148</v>
      </c>
      <c r="F3264">
        <v>4</v>
      </c>
      <c r="G3264">
        <v>20.420000000000002</v>
      </c>
      <c r="H3264">
        <v>0.1</v>
      </c>
      <c r="I3264" s="4">
        <v>73.510000000000005</v>
      </c>
      <c r="J3264" t="s">
        <v>109</v>
      </c>
      <c r="K3264" t="s">
        <v>22</v>
      </c>
      <c r="L3264" s="4">
        <f>VLOOKUP(tblTransactions[[#This Row],[Product_ID]],tblProducts[],5,FALSE)</f>
        <v>9.56</v>
      </c>
      <c r="M3264" s="4">
        <f>tblTransactions[[#This Row],[Total_Amount]]-(tblTransactions[[#This Row],[Cost_Prices]]*tblTransactions[[#This Row],[Quantity]]*(1-tblTransactions[[#This Row],[Discount]]))</f>
        <v>39.094000000000001</v>
      </c>
      <c r="N3264" s="3">
        <f>tblTransactions[[#This Row],[Profit]]/tblTransactions[[#This Row],[Total_Amount]]</f>
        <v>0.53181880016324312</v>
      </c>
      <c r="O3264" t="str">
        <f>TEXT(tblTransactions[[#This Row],[Date]], "MMM-YYYY")</f>
        <v>Nov-2024</v>
      </c>
      <c r="P3264" t="str">
        <f>"Q"&amp;ROUNDUP(MONTH(tblTransactions[[#This Row],[Date]])/3,0)&amp;"-"&amp;YEAR(tblTransactions[[#This Row],[Date]])</f>
        <v>Q4-2024</v>
      </c>
      <c r="Q3264">
        <f>YEAR(tblTransactions[[#This Row],[Date]])</f>
        <v>2024</v>
      </c>
      <c r="R3264" t="str">
        <f>TEXT(tblTransactions[[#This Row],[Date]],"DDDD")</f>
        <v>Sunday</v>
      </c>
      <c r="S3264">
        <f>MONTH(tblTransactions[[#This Row],[Date]])</f>
        <v>11</v>
      </c>
      <c r="T3264" t="str">
        <f>VLOOKUP(E3264, Products!$A:$B,2,0)</f>
        <v>Cases Acc-3</v>
      </c>
      <c r="U3264" t="str">
        <f>VLOOKUP(E3264,Products!$A:$C,3,0)</f>
        <v>Accessories</v>
      </c>
      <c r="V3264" t="str">
        <f>VLOOKUP(E3264,Products!$A:$D,4,0)</f>
        <v>Cases</v>
      </c>
      <c r="W3264" t="str">
        <f>VLOOKUP(D3264,Customers!$A:$C,3,0)</f>
        <v>B2C</v>
      </c>
      <c r="X3264" t="str">
        <f>VLOOKUP(C3264,Sales_Representatives!$A:$B,2,0)</f>
        <v>Jennifer Brown</v>
      </c>
    </row>
    <row r="3265" spans="1:24" x14ac:dyDescent="0.3">
      <c r="A3265" t="s">
        <v>4400</v>
      </c>
      <c r="B3265" t="s">
        <v>4392</v>
      </c>
      <c r="C3265" t="s">
        <v>56</v>
      </c>
      <c r="D3265" t="s">
        <v>1555</v>
      </c>
      <c r="E3265" t="s">
        <v>89</v>
      </c>
      <c r="F3265">
        <v>6</v>
      </c>
      <c r="G3265">
        <v>555.08000000000004</v>
      </c>
      <c r="H3265">
        <v>0.06</v>
      </c>
      <c r="I3265" s="4">
        <v>3130.65</v>
      </c>
      <c r="J3265" t="s">
        <v>34</v>
      </c>
      <c r="K3265" t="s">
        <v>22</v>
      </c>
      <c r="L3265" s="4">
        <f>VLOOKUP(tblTransactions[[#This Row],[Product_ID]],tblProducts[],5,FALSE)</f>
        <v>402.82</v>
      </c>
      <c r="M3265" s="4">
        <f>tblTransactions[[#This Row],[Total_Amount]]-(tblTransactions[[#This Row],[Cost_Prices]]*tblTransactions[[#This Row],[Quantity]]*(1-tblTransactions[[#This Row],[Discount]]))</f>
        <v>858.7452000000003</v>
      </c>
      <c r="N3265" s="3">
        <f>tblTransactions[[#This Row],[Profit]]/tblTransactions[[#This Row],[Total_Amount]]</f>
        <v>0.27430252503473729</v>
      </c>
      <c r="O3265" t="str">
        <f>TEXT(tblTransactions[[#This Row],[Date]], "MMM-YYYY")</f>
        <v>Nov-2024</v>
      </c>
      <c r="P3265" t="str">
        <f>"Q"&amp;ROUNDUP(MONTH(tblTransactions[[#This Row],[Date]])/3,0)&amp;"-"&amp;YEAR(tblTransactions[[#This Row],[Date]])</f>
        <v>Q4-2024</v>
      </c>
      <c r="Q3265">
        <f>YEAR(tblTransactions[[#This Row],[Date]])</f>
        <v>2024</v>
      </c>
      <c r="R3265" t="str">
        <f>TEXT(tblTransactions[[#This Row],[Date]],"DDDD")</f>
        <v>Sunday</v>
      </c>
      <c r="S3265">
        <f>MONTH(tblTransactions[[#This Row],[Date]])</f>
        <v>11</v>
      </c>
      <c r="T3265" t="str">
        <f>VLOOKUP(E3265, Products!$A:$B,2,0)</f>
        <v>Laptops Ele-3</v>
      </c>
      <c r="U3265" t="str">
        <f>VLOOKUP(E3265,Products!$A:$C,3,0)</f>
        <v>Electronics</v>
      </c>
      <c r="V3265" t="str">
        <f>VLOOKUP(E3265,Products!$A:$D,4,0)</f>
        <v>Laptops</v>
      </c>
      <c r="W3265" t="str">
        <f>VLOOKUP(D3265,Customers!$A:$C,3,0)</f>
        <v>B2C</v>
      </c>
      <c r="X3265" t="str">
        <f>VLOOKUP(C3265,Sales_Representatives!$A:$B,2,0)</f>
        <v>Thomas Hernandez</v>
      </c>
    </row>
    <row r="3266" spans="1:24" x14ac:dyDescent="0.3">
      <c r="A3266" t="s">
        <v>4401</v>
      </c>
      <c r="B3266" t="s">
        <v>4392</v>
      </c>
      <c r="C3266" t="s">
        <v>131</v>
      </c>
      <c r="D3266" t="s">
        <v>2505</v>
      </c>
      <c r="E3266" t="s">
        <v>316</v>
      </c>
      <c r="F3266">
        <v>2</v>
      </c>
      <c r="G3266">
        <v>91.42</v>
      </c>
      <c r="H3266">
        <v>0.01</v>
      </c>
      <c r="I3266" s="4">
        <v>181.01</v>
      </c>
      <c r="J3266" t="s">
        <v>44</v>
      </c>
      <c r="K3266" t="s">
        <v>22</v>
      </c>
      <c r="L3266" s="4">
        <f>VLOOKUP(tblTransactions[[#This Row],[Product_ID]],tblProducts[],5,FALSE)</f>
        <v>50.09</v>
      </c>
      <c r="M3266" s="4">
        <f>tblTransactions[[#This Row],[Total_Amount]]-(tblTransactions[[#This Row],[Cost_Prices]]*tblTransactions[[#This Row],[Quantity]]*(1-tblTransactions[[#This Row],[Discount]]))</f>
        <v>81.831799999999987</v>
      </c>
      <c r="N3266" s="3">
        <f>tblTransactions[[#This Row],[Profit]]/tblTransactions[[#This Row],[Total_Amount]]</f>
        <v>0.4520844152256781</v>
      </c>
      <c r="O3266" t="str">
        <f>TEXT(tblTransactions[[#This Row],[Date]], "MMM-YYYY")</f>
        <v>Nov-2024</v>
      </c>
      <c r="P3266" t="str">
        <f>"Q"&amp;ROUNDUP(MONTH(tblTransactions[[#This Row],[Date]])/3,0)&amp;"-"&amp;YEAR(tblTransactions[[#This Row],[Date]])</f>
        <v>Q4-2024</v>
      </c>
      <c r="Q3266">
        <f>YEAR(tblTransactions[[#This Row],[Date]])</f>
        <v>2024</v>
      </c>
      <c r="R3266" t="str">
        <f>TEXT(tblTransactions[[#This Row],[Date]],"DDDD")</f>
        <v>Sunday</v>
      </c>
      <c r="S3266">
        <f>MONTH(tblTransactions[[#This Row],[Date]])</f>
        <v>11</v>
      </c>
      <c r="T3266" t="str">
        <f>VLOOKUP(E3266, Products!$A:$B,2,0)</f>
        <v>Binders Off-3</v>
      </c>
      <c r="U3266" t="str">
        <f>VLOOKUP(E3266,Products!$A:$C,3,0)</f>
        <v>Office Supplies</v>
      </c>
      <c r="V3266" t="str">
        <f>VLOOKUP(E3266,Products!$A:$D,4,0)</f>
        <v>Binders</v>
      </c>
      <c r="W3266" t="str">
        <f>VLOOKUP(D3266,Customers!$A:$C,3,0)</f>
        <v>B2C</v>
      </c>
      <c r="X3266" t="str">
        <f>VLOOKUP(C3266,Sales_Representatives!$A:$B,2,0)</f>
        <v>Michael Davis</v>
      </c>
    </row>
    <row r="3267" spans="1:24" x14ac:dyDescent="0.3">
      <c r="A3267" t="s">
        <v>4402</v>
      </c>
      <c r="B3267" t="s">
        <v>4403</v>
      </c>
      <c r="C3267" t="s">
        <v>141</v>
      </c>
      <c r="D3267" t="s">
        <v>124</v>
      </c>
      <c r="E3267" t="s">
        <v>38</v>
      </c>
      <c r="F3267">
        <v>14</v>
      </c>
      <c r="G3267">
        <v>581.47</v>
      </c>
      <c r="H3267">
        <v>0.17</v>
      </c>
      <c r="I3267" s="4">
        <v>6756.68</v>
      </c>
      <c r="J3267" t="s">
        <v>109</v>
      </c>
      <c r="K3267" t="s">
        <v>39</v>
      </c>
      <c r="L3267" s="4">
        <f>VLOOKUP(tblTransactions[[#This Row],[Product_ID]],tblProducts[],5,FALSE)</f>
        <v>372.07</v>
      </c>
      <c r="M3267" s="4">
        <f>tblTransactions[[#This Row],[Total_Amount]]-(tblTransactions[[#This Row],[Cost_Prices]]*tblTransactions[[#This Row],[Quantity]]*(1-tblTransactions[[#This Row],[Discount]]))</f>
        <v>2433.2266000000009</v>
      </c>
      <c r="N3267" s="3">
        <f>tblTransactions[[#This Row],[Profit]]/tblTransactions[[#This Row],[Total_Amount]]</f>
        <v>0.36012162778169171</v>
      </c>
      <c r="O3267" t="str">
        <f>TEXT(tblTransactions[[#This Row],[Date]], "MMM-YYYY")</f>
        <v>Nov-2024</v>
      </c>
      <c r="P3267" t="str">
        <f>"Q"&amp;ROUNDUP(MONTH(tblTransactions[[#This Row],[Date]])/3,0)&amp;"-"&amp;YEAR(tblTransactions[[#This Row],[Date]])</f>
        <v>Q4-2024</v>
      </c>
      <c r="Q3267">
        <f>YEAR(tblTransactions[[#This Row],[Date]])</f>
        <v>2024</v>
      </c>
      <c r="R3267" t="str">
        <f>TEXT(tblTransactions[[#This Row],[Date]],"DDDD")</f>
        <v>Monday</v>
      </c>
      <c r="S3267">
        <f>MONTH(tblTransactions[[#This Row],[Date]])</f>
        <v>11</v>
      </c>
      <c r="T3267" t="str">
        <f>VLOOKUP(E3267, Products!$A:$B,2,0)</f>
        <v>Storage Fur-3</v>
      </c>
      <c r="U3267" t="str">
        <f>VLOOKUP(E3267,Products!$A:$C,3,0)</f>
        <v>Furniture</v>
      </c>
      <c r="V3267" t="str">
        <f>VLOOKUP(E3267,Products!$A:$D,4,0)</f>
        <v>Storage</v>
      </c>
      <c r="W3267" t="str">
        <f>VLOOKUP(D3267,Customers!$A:$C,3,0)</f>
        <v>B2B</v>
      </c>
      <c r="X3267" t="str">
        <f>VLOOKUP(C3267,Sales_Representatives!$A:$B,2,0)</f>
        <v>Richard Garcia</v>
      </c>
    </row>
    <row r="3268" spans="1:24" x14ac:dyDescent="0.3">
      <c r="A3268" t="s">
        <v>4404</v>
      </c>
      <c r="B3268" t="s">
        <v>4403</v>
      </c>
      <c r="C3268" t="s">
        <v>70</v>
      </c>
      <c r="D3268" t="s">
        <v>1947</v>
      </c>
      <c r="E3268" t="s">
        <v>96</v>
      </c>
      <c r="F3268">
        <v>23</v>
      </c>
      <c r="G3268">
        <v>751.9</v>
      </c>
      <c r="H3268">
        <v>0.16</v>
      </c>
      <c r="I3268" s="4">
        <v>14526.71</v>
      </c>
      <c r="J3268" t="s">
        <v>16</v>
      </c>
      <c r="K3268" t="s">
        <v>35</v>
      </c>
      <c r="L3268" s="4">
        <f>VLOOKUP(tblTransactions[[#This Row],[Product_ID]],tblProducts[],5,FALSE)</f>
        <v>570.29</v>
      </c>
      <c r="M3268" s="4">
        <f>tblTransactions[[#This Row],[Total_Amount]]-(tblTransactions[[#This Row],[Cost_Prices]]*tblTransactions[[#This Row],[Quantity]]*(1-tblTransactions[[#This Row],[Discount]]))</f>
        <v>3508.7072000000007</v>
      </c>
      <c r="N3268" s="3">
        <f>tblTransactions[[#This Row],[Profit]]/tblTransactions[[#This Row],[Total_Amount]]</f>
        <v>0.24153488298451617</v>
      </c>
      <c r="O3268" t="str">
        <f>TEXT(tblTransactions[[#This Row],[Date]], "MMM-YYYY")</f>
        <v>Nov-2024</v>
      </c>
      <c r="P3268" t="str">
        <f>"Q"&amp;ROUNDUP(MONTH(tblTransactions[[#This Row],[Date]])/3,0)&amp;"-"&amp;YEAR(tblTransactions[[#This Row],[Date]])</f>
        <v>Q4-2024</v>
      </c>
      <c r="Q3268">
        <f>YEAR(tblTransactions[[#This Row],[Date]])</f>
        <v>2024</v>
      </c>
      <c r="R3268" t="str">
        <f>TEXT(tblTransactions[[#This Row],[Date]],"DDDD")</f>
        <v>Monday</v>
      </c>
      <c r="S3268">
        <f>MONTH(tblTransactions[[#This Row],[Date]])</f>
        <v>11</v>
      </c>
      <c r="T3268" t="str">
        <f>VLOOKUP(E3268, Products!$A:$B,2,0)</f>
        <v>Routers Tec-1</v>
      </c>
      <c r="U3268" t="str">
        <f>VLOOKUP(E3268,Products!$A:$C,3,0)</f>
        <v>Technology</v>
      </c>
      <c r="V3268" t="str">
        <f>VLOOKUP(E3268,Products!$A:$D,4,0)</f>
        <v>Routers</v>
      </c>
      <c r="W3268" t="str">
        <f>VLOOKUP(D3268,Customers!$A:$C,3,0)</f>
        <v>Enterprise</v>
      </c>
      <c r="X3268" t="str">
        <f>VLOOKUP(C3268,Sales_Representatives!$A:$B,2,0)</f>
        <v>Linda Smith</v>
      </c>
    </row>
    <row r="3269" spans="1:24" x14ac:dyDescent="0.3">
      <c r="A3269" t="s">
        <v>4405</v>
      </c>
      <c r="B3269" t="s">
        <v>4403</v>
      </c>
      <c r="C3269" t="s">
        <v>70</v>
      </c>
      <c r="D3269" t="s">
        <v>139</v>
      </c>
      <c r="E3269" t="s">
        <v>148</v>
      </c>
      <c r="F3269">
        <v>3</v>
      </c>
      <c r="G3269">
        <v>20.420000000000002</v>
      </c>
      <c r="H3269">
        <v>0.09</v>
      </c>
      <c r="I3269" s="4">
        <v>55.75</v>
      </c>
      <c r="J3269" t="s">
        <v>16</v>
      </c>
      <c r="K3269" t="s">
        <v>39</v>
      </c>
      <c r="L3269" s="4">
        <f>VLOOKUP(tblTransactions[[#This Row],[Product_ID]],tblProducts[],5,FALSE)</f>
        <v>9.56</v>
      </c>
      <c r="M3269" s="4">
        <f>tblTransactions[[#This Row],[Total_Amount]]-(tblTransactions[[#This Row],[Cost_Prices]]*tblTransactions[[#This Row],[Quantity]]*(1-tblTransactions[[#This Row],[Discount]]))</f>
        <v>29.651199999999999</v>
      </c>
      <c r="N3269" s="3">
        <f>tblTransactions[[#This Row],[Profit]]/tblTransactions[[#This Row],[Total_Amount]]</f>
        <v>0.53186008968609866</v>
      </c>
      <c r="O3269" t="str">
        <f>TEXT(tblTransactions[[#This Row],[Date]], "MMM-YYYY")</f>
        <v>Nov-2024</v>
      </c>
      <c r="P3269" t="str">
        <f>"Q"&amp;ROUNDUP(MONTH(tblTransactions[[#This Row],[Date]])/3,0)&amp;"-"&amp;YEAR(tblTransactions[[#This Row],[Date]])</f>
        <v>Q4-2024</v>
      </c>
      <c r="Q3269">
        <f>YEAR(tblTransactions[[#This Row],[Date]])</f>
        <v>2024</v>
      </c>
      <c r="R3269" t="str">
        <f>TEXT(tblTransactions[[#This Row],[Date]],"DDDD")</f>
        <v>Monday</v>
      </c>
      <c r="S3269">
        <f>MONTH(tblTransactions[[#This Row],[Date]])</f>
        <v>11</v>
      </c>
      <c r="T3269" t="str">
        <f>VLOOKUP(E3269, Products!$A:$B,2,0)</f>
        <v>Cases Acc-3</v>
      </c>
      <c r="U3269" t="str">
        <f>VLOOKUP(E3269,Products!$A:$C,3,0)</f>
        <v>Accessories</v>
      </c>
      <c r="V3269" t="str">
        <f>VLOOKUP(E3269,Products!$A:$D,4,0)</f>
        <v>Cases</v>
      </c>
      <c r="W3269" t="str">
        <f>VLOOKUP(D3269,Customers!$A:$C,3,0)</f>
        <v>B2C</v>
      </c>
      <c r="X3269" t="str">
        <f>VLOOKUP(C3269,Sales_Representatives!$A:$B,2,0)</f>
        <v>Linda Smith</v>
      </c>
    </row>
    <row r="3270" spans="1:24" x14ac:dyDescent="0.3">
      <c r="A3270" t="s">
        <v>4406</v>
      </c>
      <c r="B3270" t="s">
        <v>4403</v>
      </c>
      <c r="C3270" t="s">
        <v>59</v>
      </c>
      <c r="D3270" t="s">
        <v>1843</v>
      </c>
      <c r="E3270" t="s">
        <v>129</v>
      </c>
      <c r="F3270">
        <v>6</v>
      </c>
      <c r="G3270">
        <v>1283.71</v>
      </c>
      <c r="H3270">
        <v>0.08</v>
      </c>
      <c r="I3270" s="4">
        <v>7086.08</v>
      </c>
      <c r="J3270" t="s">
        <v>21</v>
      </c>
      <c r="K3270" t="s">
        <v>35</v>
      </c>
      <c r="L3270" s="4">
        <f>VLOOKUP(tblTransactions[[#This Row],[Product_ID]],tblProducts[],5,FALSE)</f>
        <v>970.14</v>
      </c>
      <c r="M3270" s="4">
        <f>tblTransactions[[#This Row],[Total_Amount]]-(tblTransactions[[#This Row],[Cost_Prices]]*tblTransactions[[#This Row],[Quantity]]*(1-tblTransactions[[#This Row],[Discount]]))</f>
        <v>1730.9071999999996</v>
      </c>
      <c r="N3270" s="3">
        <f>tblTransactions[[#This Row],[Profit]]/tblTransactions[[#This Row],[Total_Amount]]</f>
        <v>0.24426865065028897</v>
      </c>
      <c r="O3270" t="str">
        <f>TEXT(tblTransactions[[#This Row],[Date]], "MMM-YYYY")</f>
        <v>Nov-2024</v>
      </c>
      <c r="P3270" t="str">
        <f>"Q"&amp;ROUNDUP(MONTH(tblTransactions[[#This Row],[Date]])/3,0)&amp;"-"&amp;YEAR(tblTransactions[[#This Row],[Date]])</f>
        <v>Q4-2024</v>
      </c>
      <c r="Q3270">
        <f>YEAR(tblTransactions[[#This Row],[Date]])</f>
        <v>2024</v>
      </c>
      <c r="R3270" t="str">
        <f>TEXT(tblTransactions[[#This Row],[Date]],"DDDD")</f>
        <v>Monday</v>
      </c>
      <c r="S3270">
        <f>MONTH(tblTransactions[[#This Row],[Date]])</f>
        <v>11</v>
      </c>
      <c r="T3270" t="str">
        <f>VLOOKUP(E3270, Products!$A:$B,2,0)</f>
        <v>Cameras Ele-3</v>
      </c>
      <c r="U3270" t="str">
        <f>VLOOKUP(E3270,Products!$A:$C,3,0)</f>
        <v>Electronics</v>
      </c>
      <c r="V3270" t="str">
        <f>VLOOKUP(E3270,Products!$A:$D,4,0)</f>
        <v>Cameras</v>
      </c>
      <c r="W3270" t="str">
        <f>VLOOKUP(D3270,Customers!$A:$C,3,0)</f>
        <v>B2C</v>
      </c>
      <c r="X3270" t="str">
        <f>VLOOKUP(C3270,Sales_Representatives!$A:$B,2,0)</f>
        <v>Sarah Brown</v>
      </c>
    </row>
    <row r="3271" spans="1:24" x14ac:dyDescent="0.3">
      <c r="A3271" t="s">
        <v>4407</v>
      </c>
      <c r="B3271" t="s">
        <v>4403</v>
      </c>
      <c r="C3271" t="s">
        <v>41</v>
      </c>
      <c r="D3271" t="s">
        <v>2359</v>
      </c>
      <c r="E3271" t="s">
        <v>255</v>
      </c>
      <c r="F3271">
        <v>2</v>
      </c>
      <c r="G3271">
        <v>1444.13</v>
      </c>
      <c r="H3271">
        <v>0.08</v>
      </c>
      <c r="I3271" s="4">
        <v>2657.2</v>
      </c>
      <c r="J3271" t="s">
        <v>44</v>
      </c>
      <c r="K3271" t="s">
        <v>35</v>
      </c>
      <c r="L3271" s="4">
        <f>VLOOKUP(tblTransactions[[#This Row],[Product_ID]],tblProducts[],5,FALSE)</f>
        <v>874.43</v>
      </c>
      <c r="M3271" s="4">
        <f>tblTransactions[[#This Row],[Total_Amount]]-(tblTransactions[[#This Row],[Cost_Prices]]*tblTransactions[[#This Row],[Quantity]]*(1-tblTransactions[[#This Row],[Discount]]))</f>
        <v>1048.2487999999998</v>
      </c>
      <c r="N3271" s="3">
        <f>tblTransactions[[#This Row],[Profit]]/tblTransactions[[#This Row],[Total_Amount]]</f>
        <v>0.39449375282251992</v>
      </c>
      <c r="O3271" t="str">
        <f>TEXT(tblTransactions[[#This Row],[Date]], "MMM-YYYY")</f>
        <v>Nov-2024</v>
      </c>
      <c r="P3271" t="str">
        <f>"Q"&amp;ROUNDUP(MONTH(tblTransactions[[#This Row],[Date]])/3,0)&amp;"-"&amp;YEAR(tblTransactions[[#This Row],[Date]])</f>
        <v>Q4-2024</v>
      </c>
      <c r="Q3271">
        <f>YEAR(tblTransactions[[#This Row],[Date]])</f>
        <v>2024</v>
      </c>
      <c r="R3271" t="str">
        <f>TEXT(tblTransactions[[#This Row],[Date]],"DDDD")</f>
        <v>Monday</v>
      </c>
      <c r="S3271">
        <f>MONTH(tblTransactions[[#This Row],[Date]])</f>
        <v>11</v>
      </c>
      <c r="T3271" t="str">
        <f>VLOOKUP(E3271, Products!$A:$B,2,0)</f>
        <v>Printers Tec-1</v>
      </c>
      <c r="U3271" t="str">
        <f>VLOOKUP(E3271,Products!$A:$C,3,0)</f>
        <v>Technology</v>
      </c>
      <c r="V3271" t="str">
        <f>VLOOKUP(E3271,Products!$A:$D,4,0)</f>
        <v>Printers</v>
      </c>
      <c r="W3271" t="str">
        <f>VLOOKUP(D3271,Customers!$A:$C,3,0)</f>
        <v>B2C</v>
      </c>
      <c r="X3271" t="str">
        <f>VLOOKUP(C3271,Sales_Representatives!$A:$B,2,0)</f>
        <v>Robert Jones</v>
      </c>
    </row>
    <row r="3272" spans="1:24" x14ac:dyDescent="0.3">
      <c r="A3272" t="s">
        <v>4408</v>
      </c>
      <c r="B3272" t="s">
        <v>4403</v>
      </c>
      <c r="C3272" t="s">
        <v>19</v>
      </c>
      <c r="D3272" t="s">
        <v>396</v>
      </c>
      <c r="E3272" t="s">
        <v>91</v>
      </c>
      <c r="F3272">
        <v>2</v>
      </c>
      <c r="G3272">
        <v>286.62</v>
      </c>
      <c r="H3272">
        <v>0.08</v>
      </c>
      <c r="I3272" s="4">
        <v>527.38</v>
      </c>
      <c r="J3272" t="s">
        <v>21</v>
      </c>
      <c r="K3272" t="s">
        <v>48</v>
      </c>
      <c r="L3272" s="4">
        <f>VLOOKUP(tblTransactions[[#This Row],[Product_ID]],tblProducts[],5,FALSE)</f>
        <v>145.54</v>
      </c>
      <c r="M3272" s="4">
        <f>tblTransactions[[#This Row],[Total_Amount]]-(tblTransactions[[#This Row],[Cost_Prices]]*tblTransactions[[#This Row],[Quantity]]*(1-tblTransactions[[#This Row],[Discount]]))</f>
        <v>259.58640000000003</v>
      </c>
      <c r="N3272" s="3">
        <f>tblTransactions[[#This Row],[Profit]]/tblTransactions[[#This Row],[Total_Amount]]</f>
        <v>0.49221889339755021</v>
      </c>
      <c r="O3272" t="str">
        <f>TEXT(tblTransactions[[#This Row],[Date]], "MMM-YYYY")</f>
        <v>Nov-2024</v>
      </c>
      <c r="P3272" t="str">
        <f>"Q"&amp;ROUNDUP(MONTH(tblTransactions[[#This Row],[Date]])/3,0)&amp;"-"&amp;YEAR(tblTransactions[[#This Row],[Date]])</f>
        <v>Q4-2024</v>
      </c>
      <c r="Q3272">
        <f>YEAR(tblTransactions[[#This Row],[Date]])</f>
        <v>2024</v>
      </c>
      <c r="R3272" t="str">
        <f>TEXT(tblTransactions[[#This Row],[Date]],"DDDD")</f>
        <v>Monday</v>
      </c>
      <c r="S3272">
        <f>MONTH(tblTransactions[[#This Row],[Date]])</f>
        <v>11</v>
      </c>
      <c r="T3272" t="str">
        <f>VLOOKUP(E3272, Products!$A:$B,2,0)</f>
        <v>Chairs Fur-1</v>
      </c>
      <c r="U3272" t="str">
        <f>VLOOKUP(E3272,Products!$A:$C,3,0)</f>
        <v>Furniture</v>
      </c>
      <c r="V3272" t="str">
        <f>VLOOKUP(E3272,Products!$A:$D,4,0)</f>
        <v>Chairs</v>
      </c>
      <c r="W3272" t="str">
        <f>VLOOKUP(D3272,Customers!$A:$C,3,0)</f>
        <v>Small Business</v>
      </c>
      <c r="X3272" t="str">
        <f>VLOOKUP(C3272,Sales_Representatives!$A:$B,2,0)</f>
        <v>Robert Jones</v>
      </c>
    </row>
    <row r="3273" spans="1:24" x14ac:dyDescent="0.3">
      <c r="A3273" t="s">
        <v>4409</v>
      </c>
      <c r="B3273" t="s">
        <v>4403</v>
      </c>
      <c r="C3273" t="s">
        <v>107</v>
      </c>
      <c r="D3273" t="s">
        <v>1730</v>
      </c>
      <c r="E3273" t="s">
        <v>347</v>
      </c>
      <c r="F3273">
        <v>18</v>
      </c>
      <c r="G3273">
        <v>1539.6</v>
      </c>
      <c r="H3273">
        <v>0.18</v>
      </c>
      <c r="I3273" s="4">
        <v>22724.5</v>
      </c>
      <c r="J3273" t="s">
        <v>109</v>
      </c>
      <c r="K3273" t="s">
        <v>35</v>
      </c>
      <c r="L3273" s="4">
        <f>VLOOKUP(tblTransactions[[#This Row],[Product_ID]],tblProducts[],5,FALSE)</f>
        <v>992.43</v>
      </c>
      <c r="M3273" s="4">
        <f>tblTransactions[[#This Row],[Total_Amount]]-(tblTransactions[[#This Row],[Cost_Prices]]*tblTransactions[[#This Row],[Quantity]]*(1-tblTransactions[[#This Row],[Discount]]))</f>
        <v>8076.2332000000006</v>
      </c>
      <c r="N3273" s="3">
        <f>tblTransactions[[#This Row],[Profit]]/tblTransactions[[#This Row],[Total_Amount]]</f>
        <v>0.35539761930955577</v>
      </c>
      <c r="O3273" t="str">
        <f>TEXT(tblTransactions[[#This Row],[Date]], "MMM-YYYY")</f>
        <v>Nov-2024</v>
      </c>
      <c r="P3273" t="str">
        <f>"Q"&amp;ROUNDUP(MONTH(tblTransactions[[#This Row],[Date]])/3,0)&amp;"-"&amp;YEAR(tblTransactions[[#This Row],[Date]])</f>
        <v>Q4-2024</v>
      </c>
      <c r="Q3273">
        <f>YEAR(tblTransactions[[#This Row],[Date]])</f>
        <v>2024</v>
      </c>
      <c r="R3273" t="str">
        <f>TEXT(tblTransactions[[#This Row],[Date]],"DDDD")</f>
        <v>Monday</v>
      </c>
      <c r="S3273">
        <f>MONTH(tblTransactions[[#This Row],[Date]])</f>
        <v>11</v>
      </c>
      <c r="T3273" t="str">
        <f>VLOOKUP(E3273, Products!$A:$B,2,0)</f>
        <v>Routers Tec-2</v>
      </c>
      <c r="U3273" t="str">
        <f>VLOOKUP(E3273,Products!$A:$C,3,0)</f>
        <v>Technology</v>
      </c>
      <c r="V3273" t="str">
        <f>VLOOKUP(E3273,Products!$A:$D,4,0)</f>
        <v>Routers</v>
      </c>
      <c r="W3273" t="str">
        <f>VLOOKUP(D3273,Customers!$A:$C,3,0)</f>
        <v>B2B</v>
      </c>
      <c r="X3273" t="str">
        <f>VLOOKUP(C3273,Sales_Representatives!$A:$B,2,0)</f>
        <v>Jennifer Brown</v>
      </c>
    </row>
    <row r="3274" spans="1:24" x14ac:dyDescent="0.3">
      <c r="A3274" t="s">
        <v>4410</v>
      </c>
      <c r="B3274" t="s">
        <v>4403</v>
      </c>
      <c r="C3274" t="s">
        <v>131</v>
      </c>
      <c r="D3274" t="s">
        <v>2119</v>
      </c>
      <c r="E3274" t="s">
        <v>347</v>
      </c>
      <c r="F3274">
        <v>12</v>
      </c>
      <c r="G3274">
        <v>1539.6</v>
      </c>
      <c r="H3274">
        <v>0.17</v>
      </c>
      <c r="I3274" s="4">
        <v>15334.42</v>
      </c>
      <c r="J3274" t="s">
        <v>44</v>
      </c>
      <c r="K3274" t="s">
        <v>35</v>
      </c>
      <c r="L3274" s="4">
        <f>VLOOKUP(tblTransactions[[#This Row],[Product_ID]],tblProducts[],5,FALSE)</f>
        <v>992.43</v>
      </c>
      <c r="M3274" s="4">
        <f>tblTransactions[[#This Row],[Total_Amount]]-(tblTransactions[[#This Row],[Cost_Prices]]*tblTransactions[[#This Row],[Quantity]]*(1-tblTransactions[[#This Row],[Discount]]))</f>
        <v>5449.8172000000013</v>
      </c>
      <c r="N3274" s="3">
        <f>tblTransactions[[#This Row],[Profit]]/tblTransactions[[#This Row],[Total_Amount]]</f>
        <v>0.35539767399093031</v>
      </c>
      <c r="O3274" t="str">
        <f>TEXT(tblTransactions[[#This Row],[Date]], "MMM-YYYY")</f>
        <v>Nov-2024</v>
      </c>
      <c r="P3274" t="str">
        <f>"Q"&amp;ROUNDUP(MONTH(tblTransactions[[#This Row],[Date]])/3,0)&amp;"-"&amp;YEAR(tblTransactions[[#This Row],[Date]])</f>
        <v>Q4-2024</v>
      </c>
      <c r="Q3274">
        <f>YEAR(tblTransactions[[#This Row],[Date]])</f>
        <v>2024</v>
      </c>
      <c r="R3274" t="str">
        <f>TEXT(tblTransactions[[#This Row],[Date]],"DDDD")</f>
        <v>Monday</v>
      </c>
      <c r="S3274">
        <f>MONTH(tblTransactions[[#This Row],[Date]])</f>
        <v>11</v>
      </c>
      <c r="T3274" t="str">
        <f>VLOOKUP(E3274, Products!$A:$B,2,0)</f>
        <v>Routers Tec-2</v>
      </c>
      <c r="U3274" t="str">
        <f>VLOOKUP(E3274,Products!$A:$C,3,0)</f>
        <v>Technology</v>
      </c>
      <c r="V3274" t="str">
        <f>VLOOKUP(E3274,Products!$A:$D,4,0)</f>
        <v>Routers</v>
      </c>
      <c r="W3274" t="str">
        <f>VLOOKUP(D3274,Customers!$A:$C,3,0)</f>
        <v>B2B</v>
      </c>
      <c r="X3274" t="str">
        <f>VLOOKUP(C3274,Sales_Representatives!$A:$B,2,0)</f>
        <v>Michael Davis</v>
      </c>
    </row>
    <row r="3275" spans="1:24" x14ac:dyDescent="0.3">
      <c r="A3275" t="s">
        <v>4411</v>
      </c>
      <c r="B3275" t="s">
        <v>4412</v>
      </c>
      <c r="C3275" t="s">
        <v>107</v>
      </c>
      <c r="D3275" t="s">
        <v>2059</v>
      </c>
      <c r="E3275" t="s">
        <v>113</v>
      </c>
      <c r="F3275">
        <v>7</v>
      </c>
      <c r="G3275">
        <v>930.41</v>
      </c>
      <c r="H3275">
        <v>0.12</v>
      </c>
      <c r="I3275" s="4">
        <v>5731.33</v>
      </c>
      <c r="J3275" t="s">
        <v>109</v>
      </c>
      <c r="K3275" t="s">
        <v>35</v>
      </c>
      <c r="L3275" s="4">
        <f>VLOOKUP(tblTransactions[[#This Row],[Product_ID]],tblProducts[],5,FALSE)</f>
        <v>595.51</v>
      </c>
      <c r="M3275" s="4">
        <f>tblTransactions[[#This Row],[Total_Amount]]-(tblTransactions[[#This Row],[Cost_Prices]]*tblTransactions[[#This Row],[Quantity]]*(1-tblTransactions[[#This Row],[Discount]]))</f>
        <v>2062.9884000000002</v>
      </c>
      <c r="N3275" s="3">
        <f>tblTransactions[[#This Row],[Profit]]/tblTransactions[[#This Row],[Total_Amount]]</f>
        <v>0.35994933113256439</v>
      </c>
      <c r="O3275" t="str">
        <f>TEXT(tblTransactions[[#This Row],[Date]], "MMM-YYYY")</f>
        <v>Nov-2024</v>
      </c>
      <c r="P3275" t="str">
        <f>"Q"&amp;ROUNDUP(MONTH(tblTransactions[[#This Row],[Date]])/3,0)&amp;"-"&amp;YEAR(tblTransactions[[#This Row],[Date]])</f>
        <v>Q4-2024</v>
      </c>
      <c r="Q3275">
        <f>YEAR(tblTransactions[[#This Row],[Date]])</f>
        <v>2024</v>
      </c>
      <c r="R3275" t="str">
        <f>TEXT(tblTransactions[[#This Row],[Date]],"DDDD")</f>
        <v>Tuesday</v>
      </c>
      <c r="S3275">
        <f>MONTH(tblTransactions[[#This Row],[Date]])</f>
        <v>11</v>
      </c>
      <c r="T3275" t="str">
        <f>VLOOKUP(E3275, Products!$A:$B,2,0)</f>
        <v>Phones Ele-1</v>
      </c>
      <c r="U3275" t="str">
        <f>VLOOKUP(E3275,Products!$A:$C,3,0)</f>
        <v>Electronics</v>
      </c>
      <c r="V3275" t="str">
        <f>VLOOKUP(E3275,Products!$A:$D,4,0)</f>
        <v>Phones</v>
      </c>
      <c r="W3275" t="str">
        <f>VLOOKUP(D3275,Customers!$A:$C,3,0)</f>
        <v>B2C</v>
      </c>
      <c r="X3275" t="str">
        <f>VLOOKUP(C3275,Sales_Representatives!$A:$B,2,0)</f>
        <v>Jennifer Brown</v>
      </c>
    </row>
    <row r="3276" spans="1:24" x14ac:dyDescent="0.3">
      <c r="A3276" t="s">
        <v>4413</v>
      </c>
      <c r="B3276" t="s">
        <v>4412</v>
      </c>
      <c r="C3276" t="s">
        <v>107</v>
      </c>
      <c r="D3276" t="s">
        <v>128</v>
      </c>
      <c r="E3276" t="s">
        <v>53</v>
      </c>
      <c r="F3276">
        <v>17</v>
      </c>
      <c r="G3276">
        <v>2069.2199999999998</v>
      </c>
      <c r="H3276">
        <v>0.15</v>
      </c>
      <c r="I3276" s="4">
        <v>29900.23</v>
      </c>
      <c r="J3276" t="s">
        <v>109</v>
      </c>
      <c r="K3276" t="s">
        <v>17</v>
      </c>
      <c r="L3276" s="4">
        <f>VLOOKUP(tblTransactions[[#This Row],[Product_ID]],tblProducts[],5,FALSE)</f>
        <v>1451.18</v>
      </c>
      <c r="M3276" s="4">
        <f>tblTransactions[[#This Row],[Total_Amount]]-(tblTransactions[[#This Row],[Cost_Prices]]*tblTransactions[[#This Row],[Quantity]]*(1-tblTransactions[[#This Row],[Discount]]))</f>
        <v>8930.6790000000001</v>
      </c>
      <c r="N3276" s="3">
        <f>tblTransactions[[#This Row],[Profit]]/tblTransactions[[#This Row],[Total_Amount]]</f>
        <v>0.29868261882935349</v>
      </c>
      <c r="O3276" t="str">
        <f>TEXT(tblTransactions[[#This Row],[Date]], "MMM-YYYY")</f>
        <v>Nov-2024</v>
      </c>
      <c r="P3276" t="str">
        <f>"Q"&amp;ROUNDUP(MONTH(tblTransactions[[#This Row],[Date]])/3,0)&amp;"-"&amp;YEAR(tblTransactions[[#This Row],[Date]])</f>
        <v>Q4-2024</v>
      </c>
      <c r="Q3276">
        <f>YEAR(tblTransactions[[#This Row],[Date]])</f>
        <v>2024</v>
      </c>
      <c r="R3276" t="str">
        <f>TEXT(tblTransactions[[#This Row],[Date]],"DDDD")</f>
        <v>Tuesday</v>
      </c>
      <c r="S3276">
        <f>MONTH(tblTransactions[[#This Row],[Date]])</f>
        <v>11</v>
      </c>
      <c r="T3276" t="str">
        <f>VLOOKUP(E3276, Products!$A:$B,2,0)</f>
        <v>Printers Tec-3</v>
      </c>
      <c r="U3276" t="str">
        <f>VLOOKUP(E3276,Products!$A:$C,3,0)</f>
        <v>Technology</v>
      </c>
      <c r="V3276" t="str">
        <f>VLOOKUP(E3276,Products!$A:$D,4,0)</f>
        <v>Printers</v>
      </c>
      <c r="W3276" t="str">
        <f>VLOOKUP(D3276,Customers!$A:$C,3,0)</f>
        <v>B2B</v>
      </c>
      <c r="X3276" t="str">
        <f>VLOOKUP(C3276,Sales_Representatives!$A:$B,2,0)</f>
        <v>Jennifer Brown</v>
      </c>
    </row>
    <row r="3277" spans="1:24" x14ac:dyDescent="0.3">
      <c r="A3277" t="s">
        <v>4414</v>
      </c>
      <c r="B3277" t="s">
        <v>4412</v>
      </c>
      <c r="C3277" t="s">
        <v>141</v>
      </c>
      <c r="D3277" t="s">
        <v>1445</v>
      </c>
      <c r="E3277" t="s">
        <v>159</v>
      </c>
      <c r="F3277">
        <v>3</v>
      </c>
      <c r="G3277">
        <v>78.09</v>
      </c>
      <c r="H3277">
        <v>0</v>
      </c>
      <c r="I3277" s="4">
        <v>234.27</v>
      </c>
      <c r="J3277" t="s">
        <v>109</v>
      </c>
      <c r="K3277" t="s">
        <v>35</v>
      </c>
      <c r="L3277" s="4">
        <f>VLOOKUP(tblTransactions[[#This Row],[Product_ID]],tblProducts[],5,FALSE)</f>
        <v>47.01</v>
      </c>
      <c r="M3277" s="4">
        <f>tblTransactions[[#This Row],[Total_Amount]]-(tblTransactions[[#This Row],[Cost_Prices]]*tblTransactions[[#This Row],[Quantity]]*(1-tblTransactions[[#This Row],[Discount]]))</f>
        <v>93.240000000000009</v>
      </c>
      <c r="N3277" s="3">
        <f>tblTransactions[[#This Row],[Profit]]/tblTransactions[[#This Row],[Total_Amount]]</f>
        <v>0.39800230503265466</v>
      </c>
      <c r="O3277" t="str">
        <f>TEXT(tblTransactions[[#This Row],[Date]], "MMM-YYYY")</f>
        <v>Nov-2024</v>
      </c>
      <c r="P3277" t="str">
        <f>"Q"&amp;ROUNDUP(MONTH(tblTransactions[[#This Row],[Date]])/3,0)&amp;"-"&amp;YEAR(tblTransactions[[#This Row],[Date]])</f>
        <v>Q4-2024</v>
      </c>
      <c r="Q3277">
        <f>YEAR(tblTransactions[[#This Row],[Date]])</f>
        <v>2024</v>
      </c>
      <c r="R3277" t="str">
        <f>TEXT(tblTransactions[[#This Row],[Date]],"DDDD")</f>
        <v>Tuesday</v>
      </c>
      <c r="S3277">
        <f>MONTH(tblTransactions[[#This Row],[Date]])</f>
        <v>11</v>
      </c>
      <c r="T3277" t="str">
        <f>VLOOKUP(E3277, Products!$A:$B,2,0)</f>
        <v>Cables Acc-4</v>
      </c>
      <c r="U3277" t="str">
        <f>VLOOKUP(E3277,Products!$A:$C,3,0)</f>
        <v>Accessories</v>
      </c>
      <c r="V3277" t="str">
        <f>VLOOKUP(E3277,Products!$A:$D,4,0)</f>
        <v>Cables</v>
      </c>
      <c r="W3277" t="str">
        <f>VLOOKUP(D3277,Customers!$A:$C,3,0)</f>
        <v>B2C</v>
      </c>
      <c r="X3277" t="str">
        <f>VLOOKUP(C3277,Sales_Representatives!$A:$B,2,0)</f>
        <v>Richard Garcia</v>
      </c>
    </row>
    <row r="3278" spans="1:24" x14ac:dyDescent="0.3">
      <c r="A3278" t="s">
        <v>4415</v>
      </c>
      <c r="B3278" t="s">
        <v>4412</v>
      </c>
      <c r="C3278" t="s">
        <v>127</v>
      </c>
      <c r="D3278" t="s">
        <v>118</v>
      </c>
      <c r="E3278" t="s">
        <v>99</v>
      </c>
      <c r="F3278">
        <v>3</v>
      </c>
      <c r="G3278">
        <v>325.14</v>
      </c>
      <c r="H3278">
        <v>0.05</v>
      </c>
      <c r="I3278" s="4">
        <v>926.65</v>
      </c>
      <c r="J3278" t="s">
        <v>109</v>
      </c>
      <c r="K3278" t="s">
        <v>35</v>
      </c>
      <c r="L3278" s="4">
        <f>VLOOKUP(tblTransactions[[#This Row],[Product_ID]],tblProducts[],5,FALSE)</f>
        <v>209.04</v>
      </c>
      <c r="M3278" s="4">
        <f>tblTransactions[[#This Row],[Total_Amount]]-(tblTransactions[[#This Row],[Cost_Prices]]*tblTransactions[[#This Row],[Quantity]]*(1-tblTransactions[[#This Row],[Discount]]))</f>
        <v>330.88599999999997</v>
      </c>
      <c r="N3278" s="3">
        <f>tblTransactions[[#This Row],[Profit]]/tblTransactions[[#This Row],[Total_Amount]]</f>
        <v>0.35707764528138991</v>
      </c>
      <c r="O3278" t="str">
        <f>TEXT(tblTransactions[[#This Row],[Date]], "MMM-YYYY")</f>
        <v>Nov-2024</v>
      </c>
      <c r="P3278" t="str">
        <f>"Q"&amp;ROUNDUP(MONTH(tblTransactions[[#This Row],[Date]])/3,0)&amp;"-"&amp;YEAR(tblTransactions[[#This Row],[Date]])</f>
        <v>Q4-2024</v>
      </c>
      <c r="Q3278">
        <f>YEAR(tblTransactions[[#This Row],[Date]])</f>
        <v>2024</v>
      </c>
      <c r="R3278" t="str">
        <f>TEXT(tblTransactions[[#This Row],[Date]],"DDDD")</f>
        <v>Tuesday</v>
      </c>
      <c r="S3278">
        <f>MONTH(tblTransactions[[#This Row],[Date]])</f>
        <v>11</v>
      </c>
      <c r="T3278" t="str">
        <f>VLOOKUP(E3278, Products!$A:$B,2,0)</f>
        <v>Monitors Tec-1</v>
      </c>
      <c r="U3278" t="str">
        <f>VLOOKUP(E3278,Products!$A:$C,3,0)</f>
        <v>Technology</v>
      </c>
      <c r="V3278" t="str">
        <f>VLOOKUP(E3278,Products!$A:$D,4,0)</f>
        <v>Monitors</v>
      </c>
      <c r="W3278" t="str">
        <f>VLOOKUP(D3278,Customers!$A:$C,3,0)</f>
        <v>B2C</v>
      </c>
      <c r="X3278" t="str">
        <f>VLOOKUP(C3278,Sales_Representatives!$A:$B,2,0)</f>
        <v>Emily Hernandez</v>
      </c>
    </row>
    <row r="3279" spans="1:24" x14ac:dyDescent="0.3">
      <c r="A3279" t="s">
        <v>4416</v>
      </c>
      <c r="B3279" t="s">
        <v>4412</v>
      </c>
      <c r="C3279" t="s">
        <v>56</v>
      </c>
      <c r="D3279" t="s">
        <v>1619</v>
      </c>
      <c r="E3279" t="s">
        <v>290</v>
      </c>
      <c r="F3279">
        <v>19</v>
      </c>
      <c r="G3279">
        <v>729.32</v>
      </c>
      <c r="H3279">
        <v>0.11</v>
      </c>
      <c r="I3279" s="4">
        <v>12332.8</v>
      </c>
      <c r="J3279" t="s">
        <v>34</v>
      </c>
      <c r="K3279" t="s">
        <v>22</v>
      </c>
      <c r="L3279" s="4">
        <f>VLOOKUP(tblTransactions[[#This Row],[Product_ID]],tblProducts[],5,FALSE)</f>
        <v>482.7</v>
      </c>
      <c r="M3279" s="4">
        <f>tblTransactions[[#This Row],[Total_Amount]]-(tblTransactions[[#This Row],[Cost_Prices]]*tblTransactions[[#This Row],[Quantity]]*(1-tblTransactions[[#This Row],[Discount]]))</f>
        <v>4170.3429999999998</v>
      </c>
      <c r="N3279" s="3">
        <f>tblTransactions[[#This Row],[Profit]]/tblTransactions[[#This Row],[Total_Amount]]</f>
        <v>0.3381505416450441</v>
      </c>
      <c r="O3279" t="str">
        <f>TEXT(tblTransactions[[#This Row],[Date]], "MMM-YYYY")</f>
        <v>Nov-2024</v>
      </c>
      <c r="P3279" t="str">
        <f>"Q"&amp;ROUNDUP(MONTH(tblTransactions[[#This Row],[Date]])/3,0)&amp;"-"&amp;YEAR(tblTransactions[[#This Row],[Date]])</f>
        <v>Q4-2024</v>
      </c>
      <c r="Q3279">
        <f>YEAR(tblTransactions[[#This Row],[Date]])</f>
        <v>2024</v>
      </c>
      <c r="R3279" t="str">
        <f>TEXT(tblTransactions[[#This Row],[Date]],"DDDD")</f>
        <v>Tuesday</v>
      </c>
      <c r="S3279">
        <f>MONTH(tblTransactions[[#This Row],[Date]])</f>
        <v>11</v>
      </c>
      <c r="T3279" t="str">
        <f>VLOOKUP(E3279, Products!$A:$B,2,0)</f>
        <v>Tables Fur-1</v>
      </c>
      <c r="U3279" t="str">
        <f>VLOOKUP(E3279,Products!$A:$C,3,0)</f>
        <v>Furniture</v>
      </c>
      <c r="V3279" t="str">
        <f>VLOOKUP(E3279,Products!$A:$D,4,0)</f>
        <v>Tables</v>
      </c>
      <c r="W3279" t="str">
        <f>VLOOKUP(D3279,Customers!$A:$C,3,0)</f>
        <v>B2B</v>
      </c>
      <c r="X3279" t="str">
        <f>VLOOKUP(C3279,Sales_Representatives!$A:$B,2,0)</f>
        <v>Thomas Hernandez</v>
      </c>
    </row>
    <row r="3280" spans="1:24" x14ac:dyDescent="0.3">
      <c r="A3280" t="s">
        <v>4417</v>
      </c>
      <c r="B3280" t="s">
        <v>4412</v>
      </c>
      <c r="C3280" t="s">
        <v>13</v>
      </c>
      <c r="D3280" t="s">
        <v>1759</v>
      </c>
      <c r="E3280" t="s">
        <v>38</v>
      </c>
      <c r="F3280">
        <v>4</v>
      </c>
      <c r="G3280">
        <v>581.47</v>
      </c>
      <c r="H3280">
        <v>0.08</v>
      </c>
      <c r="I3280" s="4">
        <v>2139.81</v>
      </c>
      <c r="J3280" t="s">
        <v>16</v>
      </c>
      <c r="K3280" t="s">
        <v>22</v>
      </c>
      <c r="L3280" s="4">
        <f>VLOOKUP(tblTransactions[[#This Row],[Product_ID]],tblProducts[],5,FALSE)</f>
        <v>372.07</v>
      </c>
      <c r="M3280" s="4">
        <f>tblTransactions[[#This Row],[Total_Amount]]-(tblTransactions[[#This Row],[Cost_Prices]]*tblTransactions[[#This Row],[Quantity]]*(1-tblTransactions[[#This Row],[Discount]]))</f>
        <v>770.5924</v>
      </c>
      <c r="N3280" s="3">
        <f>tblTransactions[[#This Row],[Profit]]/tblTransactions[[#This Row],[Total_Amount]]</f>
        <v>0.36012187997999823</v>
      </c>
      <c r="O3280" t="str">
        <f>TEXT(tblTransactions[[#This Row],[Date]], "MMM-YYYY")</f>
        <v>Nov-2024</v>
      </c>
      <c r="P3280" t="str">
        <f>"Q"&amp;ROUNDUP(MONTH(tblTransactions[[#This Row],[Date]])/3,0)&amp;"-"&amp;YEAR(tblTransactions[[#This Row],[Date]])</f>
        <v>Q4-2024</v>
      </c>
      <c r="Q3280">
        <f>YEAR(tblTransactions[[#This Row],[Date]])</f>
        <v>2024</v>
      </c>
      <c r="R3280" t="str">
        <f>TEXT(tblTransactions[[#This Row],[Date]],"DDDD")</f>
        <v>Tuesday</v>
      </c>
      <c r="S3280">
        <f>MONTH(tblTransactions[[#This Row],[Date]])</f>
        <v>11</v>
      </c>
      <c r="T3280" t="str">
        <f>VLOOKUP(E3280, Products!$A:$B,2,0)</f>
        <v>Storage Fur-3</v>
      </c>
      <c r="U3280" t="str">
        <f>VLOOKUP(E3280,Products!$A:$C,3,0)</f>
        <v>Furniture</v>
      </c>
      <c r="V3280" t="str">
        <f>VLOOKUP(E3280,Products!$A:$D,4,0)</f>
        <v>Storage</v>
      </c>
      <c r="W3280" t="str">
        <f>VLOOKUP(D3280,Customers!$A:$C,3,0)</f>
        <v>Small Business</v>
      </c>
      <c r="X3280" t="str">
        <f>VLOOKUP(C3280,Sales_Representatives!$A:$B,2,0)</f>
        <v>Jennifer Rodriguez</v>
      </c>
    </row>
    <row r="3281" spans="1:24" x14ac:dyDescent="0.3">
      <c r="A3281" t="s">
        <v>4418</v>
      </c>
      <c r="B3281" t="s">
        <v>4412</v>
      </c>
      <c r="C3281" t="s">
        <v>56</v>
      </c>
      <c r="D3281" t="s">
        <v>2469</v>
      </c>
      <c r="E3281" t="s">
        <v>178</v>
      </c>
      <c r="F3281">
        <v>6</v>
      </c>
      <c r="G3281">
        <v>1623.35</v>
      </c>
      <c r="H3281">
        <v>0.15</v>
      </c>
      <c r="I3281" s="4">
        <v>8279.08</v>
      </c>
      <c r="J3281" t="s">
        <v>34</v>
      </c>
      <c r="K3281" t="s">
        <v>17</v>
      </c>
      <c r="L3281" s="4">
        <f>VLOOKUP(tblTransactions[[#This Row],[Product_ID]],tblProducts[],5,FALSE)</f>
        <v>981.45</v>
      </c>
      <c r="M3281" s="4">
        <f>tblTransactions[[#This Row],[Total_Amount]]-(tblTransactions[[#This Row],[Cost_Prices]]*tblTransactions[[#This Row],[Quantity]]*(1-tblTransactions[[#This Row],[Discount]]))</f>
        <v>3273.6849999999995</v>
      </c>
      <c r="N3281" s="3">
        <f>tblTransactions[[#This Row],[Profit]]/tblTransactions[[#This Row],[Total_Amount]]</f>
        <v>0.39541651970991942</v>
      </c>
      <c r="O3281" t="str">
        <f>TEXT(tblTransactions[[#This Row],[Date]], "MMM-YYYY")</f>
        <v>Nov-2024</v>
      </c>
      <c r="P3281" t="str">
        <f>"Q"&amp;ROUNDUP(MONTH(tblTransactions[[#This Row],[Date]])/3,0)&amp;"-"&amp;YEAR(tblTransactions[[#This Row],[Date]])</f>
        <v>Q4-2024</v>
      </c>
      <c r="Q3281">
        <f>YEAR(tblTransactions[[#This Row],[Date]])</f>
        <v>2024</v>
      </c>
      <c r="R3281" t="str">
        <f>TEXT(tblTransactions[[#This Row],[Date]],"DDDD")</f>
        <v>Tuesday</v>
      </c>
      <c r="S3281">
        <f>MONTH(tblTransactions[[#This Row],[Date]])</f>
        <v>11</v>
      </c>
      <c r="T3281" t="str">
        <f>VLOOKUP(E3281, Products!$A:$B,2,0)</f>
        <v>Tablets Ele-1</v>
      </c>
      <c r="U3281" t="str">
        <f>VLOOKUP(E3281,Products!$A:$C,3,0)</f>
        <v>Electronics</v>
      </c>
      <c r="V3281" t="str">
        <f>VLOOKUP(E3281,Products!$A:$D,4,0)</f>
        <v>Tablets</v>
      </c>
      <c r="W3281" t="str">
        <f>VLOOKUP(D3281,Customers!$A:$C,3,0)</f>
        <v>B2C</v>
      </c>
      <c r="X3281" t="str">
        <f>VLOOKUP(C3281,Sales_Representatives!$A:$B,2,0)</f>
        <v>Thomas Hernandez</v>
      </c>
    </row>
    <row r="3282" spans="1:24" x14ac:dyDescent="0.3">
      <c r="A3282" t="s">
        <v>4419</v>
      </c>
      <c r="B3282" t="s">
        <v>4412</v>
      </c>
      <c r="C3282" t="s">
        <v>63</v>
      </c>
      <c r="D3282" t="s">
        <v>115</v>
      </c>
      <c r="E3282" t="s">
        <v>137</v>
      </c>
      <c r="F3282">
        <v>5</v>
      </c>
      <c r="G3282">
        <v>241.39</v>
      </c>
      <c r="H3282">
        <v>0.04</v>
      </c>
      <c r="I3282" s="4">
        <v>1158.67</v>
      </c>
      <c r="J3282" t="s">
        <v>21</v>
      </c>
      <c r="K3282" t="s">
        <v>35</v>
      </c>
      <c r="L3282" s="4">
        <f>VLOOKUP(tblTransactions[[#This Row],[Product_ID]],tblProducts[],5,FALSE)</f>
        <v>124.07</v>
      </c>
      <c r="M3282" s="4">
        <f>tblTransactions[[#This Row],[Total_Amount]]-(tblTransactions[[#This Row],[Cost_Prices]]*tblTransactions[[#This Row],[Quantity]]*(1-tblTransactions[[#This Row],[Discount]]))</f>
        <v>563.13400000000013</v>
      </c>
      <c r="N3282" s="3">
        <f>tblTransactions[[#This Row],[Profit]]/tblTransactions[[#This Row],[Total_Amount]]</f>
        <v>0.48601758913236737</v>
      </c>
      <c r="O3282" t="str">
        <f>TEXT(tblTransactions[[#This Row],[Date]], "MMM-YYYY")</f>
        <v>Nov-2024</v>
      </c>
      <c r="P3282" t="str">
        <f>"Q"&amp;ROUNDUP(MONTH(tblTransactions[[#This Row],[Date]])/3,0)&amp;"-"&amp;YEAR(tblTransactions[[#This Row],[Date]])</f>
        <v>Q4-2024</v>
      </c>
      <c r="Q3282">
        <f>YEAR(tblTransactions[[#This Row],[Date]])</f>
        <v>2024</v>
      </c>
      <c r="R3282" t="str">
        <f>TEXT(tblTransactions[[#This Row],[Date]],"DDDD")</f>
        <v>Tuesday</v>
      </c>
      <c r="S3282">
        <f>MONTH(tblTransactions[[#This Row],[Date]])</f>
        <v>11</v>
      </c>
      <c r="T3282" t="str">
        <f>VLOOKUP(E3282, Products!$A:$B,2,0)</f>
        <v>Desks Fur-2</v>
      </c>
      <c r="U3282" t="str">
        <f>VLOOKUP(E3282,Products!$A:$C,3,0)</f>
        <v>Furniture</v>
      </c>
      <c r="V3282" t="str">
        <f>VLOOKUP(E3282,Products!$A:$D,4,0)</f>
        <v>Desks</v>
      </c>
      <c r="W3282" t="str">
        <f>VLOOKUP(D3282,Customers!$A:$C,3,0)</f>
        <v>B2C</v>
      </c>
      <c r="X3282" t="str">
        <f>VLOOKUP(C3282,Sales_Representatives!$A:$B,2,0)</f>
        <v>Richard Wilson</v>
      </c>
    </row>
    <row r="3283" spans="1:24" x14ac:dyDescent="0.3">
      <c r="A3283" t="s">
        <v>4420</v>
      </c>
      <c r="B3283" t="s">
        <v>4412</v>
      </c>
      <c r="C3283" t="s">
        <v>59</v>
      </c>
      <c r="D3283" t="s">
        <v>2417</v>
      </c>
      <c r="E3283" t="s">
        <v>290</v>
      </c>
      <c r="F3283">
        <v>6</v>
      </c>
      <c r="G3283">
        <v>729.32</v>
      </c>
      <c r="H3283">
        <v>0.12</v>
      </c>
      <c r="I3283" s="4">
        <v>3850.81</v>
      </c>
      <c r="J3283" t="s">
        <v>21</v>
      </c>
      <c r="K3283" t="s">
        <v>17</v>
      </c>
      <c r="L3283" s="4">
        <f>VLOOKUP(tblTransactions[[#This Row],[Product_ID]],tblProducts[],5,FALSE)</f>
        <v>482.7</v>
      </c>
      <c r="M3283" s="4">
        <f>tblTransactions[[#This Row],[Total_Amount]]-(tblTransactions[[#This Row],[Cost_Prices]]*tblTransactions[[#This Row],[Quantity]]*(1-tblTransactions[[#This Row],[Discount]]))</f>
        <v>1302.154</v>
      </c>
      <c r="N3283" s="3">
        <f>tblTransactions[[#This Row],[Profit]]/tblTransactions[[#This Row],[Total_Amount]]</f>
        <v>0.33815067479309546</v>
      </c>
      <c r="O3283" t="str">
        <f>TEXT(tblTransactions[[#This Row],[Date]], "MMM-YYYY")</f>
        <v>Nov-2024</v>
      </c>
      <c r="P3283" t="str">
        <f>"Q"&amp;ROUNDUP(MONTH(tblTransactions[[#This Row],[Date]])/3,0)&amp;"-"&amp;YEAR(tblTransactions[[#This Row],[Date]])</f>
        <v>Q4-2024</v>
      </c>
      <c r="Q3283">
        <f>YEAR(tblTransactions[[#This Row],[Date]])</f>
        <v>2024</v>
      </c>
      <c r="R3283" t="str">
        <f>TEXT(tblTransactions[[#This Row],[Date]],"DDDD")</f>
        <v>Tuesday</v>
      </c>
      <c r="S3283">
        <f>MONTH(tblTransactions[[#This Row],[Date]])</f>
        <v>11</v>
      </c>
      <c r="T3283" t="str">
        <f>VLOOKUP(E3283, Products!$A:$B,2,0)</f>
        <v>Tables Fur-1</v>
      </c>
      <c r="U3283" t="str">
        <f>VLOOKUP(E3283,Products!$A:$C,3,0)</f>
        <v>Furniture</v>
      </c>
      <c r="V3283" t="str">
        <f>VLOOKUP(E3283,Products!$A:$D,4,0)</f>
        <v>Tables</v>
      </c>
      <c r="W3283" t="str">
        <f>VLOOKUP(D3283,Customers!$A:$C,3,0)</f>
        <v>B2B</v>
      </c>
      <c r="X3283" t="str">
        <f>VLOOKUP(C3283,Sales_Representatives!$A:$B,2,0)</f>
        <v>Sarah Brown</v>
      </c>
    </row>
    <row r="3284" spans="1:24" x14ac:dyDescent="0.3">
      <c r="A3284" t="s">
        <v>4421</v>
      </c>
      <c r="B3284" t="s">
        <v>4422</v>
      </c>
      <c r="C3284" t="s">
        <v>131</v>
      </c>
      <c r="D3284" t="s">
        <v>2376</v>
      </c>
      <c r="E3284" t="s">
        <v>108</v>
      </c>
      <c r="F3284">
        <v>4</v>
      </c>
      <c r="G3284">
        <v>155.75</v>
      </c>
      <c r="H3284">
        <v>0.01</v>
      </c>
      <c r="I3284" s="4">
        <v>616.77</v>
      </c>
      <c r="J3284" t="s">
        <v>44</v>
      </c>
      <c r="K3284" t="s">
        <v>17</v>
      </c>
      <c r="L3284" s="4">
        <f>VLOOKUP(tblTransactions[[#This Row],[Product_ID]],tblProducts[],5,FALSE)</f>
        <v>80.8</v>
      </c>
      <c r="M3284" s="4">
        <f>tblTransactions[[#This Row],[Total_Amount]]-(tblTransactions[[#This Row],[Cost_Prices]]*tblTransactions[[#This Row],[Quantity]]*(1-tblTransactions[[#This Row],[Discount]]))</f>
        <v>296.80200000000002</v>
      </c>
      <c r="N3284" s="3">
        <f>tblTransactions[[#This Row],[Profit]]/tblTransactions[[#This Row],[Total_Amount]]</f>
        <v>0.48121990369181383</v>
      </c>
      <c r="O3284" t="str">
        <f>TEXT(tblTransactions[[#This Row],[Date]], "MMM-YYYY")</f>
        <v>Nov-2024</v>
      </c>
      <c r="P3284" t="str">
        <f>"Q"&amp;ROUNDUP(MONTH(tblTransactions[[#This Row],[Date]])/3,0)&amp;"-"&amp;YEAR(tblTransactions[[#This Row],[Date]])</f>
        <v>Q4-2024</v>
      </c>
      <c r="Q3284">
        <f>YEAR(tblTransactions[[#This Row],[Date]])</f>
        <v>2024</v>
      </c>
      <c r="R3284" t="str">
        <f>TEXT(tblTransactions[[#This Row],[Date]],"DDDD")</f>
        <v>Wednesday</v>
      </c>
      <c r="S3284">
        <f>MONTH(tblTransactions[[#This Row],[Date]])</f>
        <v>11</v>
      </c>
      <c r="T3284" t="str">
        <f>VLOOKUP(E3284, Products!$A:$B,2,0)</f>
        <v>Cases Acc-1</v>
      </c>
      <c r="U3284" t="str">
        <f>VLOOKUP(E3284,Products!$A:$C,3,0)</f>
        <v>Accessories</v>
      </c>
      <c r="V3284" t="str">
        <f>VLOOKUP(E3284,Products!$A:$D,4,0)</f>
        <v>Cases</v>
      </c>
      <c r="W3284" t="str">
        <f>VLOOKUP(D3284,Customers!$A:$C,3,0)</f>
        <v>B2C</v>
      </c>
      <c r="X3284" t="str">
        <f>VLOOKUP(C3284,Sales_Representatives!$A:$B,2,0)</f>
        <v>Michael Davis</v>
      </c>
    </row>
    <row r="3285" spans="1:24" x14ac:dyDescent="0.3">
      <c r="A3285" t="s">
        <v>4423</v>
      </c>
      <c r="B3285" t="s">
        <v>4422</v>
      </c>
      <c r="C3285" t="s">
        <v>59</v>
      </c>
      <c r="D3285" t="s">
        <v>2671</v>
      </c>
      <c r="E3285" t="s">
        <v>61</v>
      </c>
      <c r="F3285">
        <v>4</v>
      </c>
      <c r="G3285">
        <v>92.07</v>
      </c>
      <c r="H3285">
        <v>0.06</v>
      </c>
      <c r="I3285" s="4">
        <v>346.18</v>
      </c>
      <c r="J3285" t="s">
        <v>21</v>
      </c>
      <c r="K3285" t="s">
        <v>22</v>
      </c>
      <c r="L3285" s="4">
        <f>VLOOKUP(tblTransactions[[#This Row],[Product_ID]],tblProducts[],5,FALSE)</f>
        <v>56.98</v>
      </c>
      <c r="M3285" s="4">
        <f>tblTransactions[[#This Row],[Total_Amount]]-(tblTransactions[[#This Row],[Cost_Prices]]*tblTransactions[[#This Row],[Quantity]]*(1-tblTransactions[[#This Row],[Discount]]))</f>
        <v>131.93520000000004</v>
      </c>
      <c r="N3285" s="3">
        <f>tblTransactions[[#This Row],[Profit]]/tblTransactions[[#This Row],[Total_Amount]]</f>
        <v>0.38111733780114404</v>
      </c>
      <c r="O3285" t="str">
        <f>TEXT(tblTransactions[[#This Row],[Date]], "MMM-YYYY")</f>
        <v>Nov-2024</v>
      </c>
      <c r="P3285" t="str">
        <f>"Q"&amp;ROUNDUP(MONTH(tblTransactions[[#This Row],[Date]])/3,0)&amp;"-"&amp;YEAR(tblTransactions[[#This Row],[Date]])</f>
        <v>Q4-2024</v>
      </c>
      <c r="Q3285">
        <f>YEAR(tblTransactions[[#This Row],[Date]])</f>
        <v>2024</v>
      </c>
      <c r="R3285" t="str">
        <f>TEXT(tblTransactions[[#This Row],[Date]],"DDDD")</f>
        <v>Wednesday</v>
      </c>
      <c r="S3285">
        <f>MONTH(tblTransactions[[#This Row],[Date]])</f>
        <v>11</v>
      </c>
      <c r="T3285" t="str">
        <f>VLOOKUP(E3285, Products!$A:$B,2,0)</f>
        <v>Pens Off-4</v>
      </c>
      <c r="U3285" t="str">
        <f>VLOOKUP(E3285,Products!$A:$C,3,0)</f>
        <v>Office Supplies</v>
      </c>
      <c r="V3285" t="str">
        <f>VLOOKUP(E3285,Products!$A:$D,4,0)</f>
        <v>Pens</v>
      </c>
      <c r="W3285" t="str">
        <f>VLOOKUP(D3285,Customers!$A:$C,3,0)</f>
        <v>Small Business</v>
      </c>
      <c r="X3285" t="str">
        <f>VLOOKUP(C3285,Sales_Representatives!$A:$B,2,0)</f>
        <v>Sarah Brown</v>
      </c>
    </row>
    <row r="3286" spans="1:24" x14ac:dyDescent="0.3">
      <c r="A3286" t="s">
        <v>4424</v>
      </c>
      <c r="B3286" t="s">
        <v>4422</v>
      </c>
      <c r="C3286" t="s">
        <v>19</v>
      </c>
      <c r="D3286" t="s">
        <v>2675</v>
      </c>
      <c r="E3286" t="s">
        <v>290</v>
      </c>
      <c r="F3286">
        <v>11</v>
      </c>
      <c r="G3286">
        <v>729.32</v>
      </c>
      <c r="H3286">
        <v>0.11</v>
      </c>
      <c r="I3286" s="4">
        <v>7140.04</v>
      </c>
      <c r="J3286" t="s">
        <v>21</v>
      </c>
      <c r="K3286" t="s">
        <v>48</v>
      </c>
      <c r="L3286" s="4">
        <f>VLOOKUP(tblTransactions[[#This Row],[Product_ID]],tblProducts[],5,FALSE)</f>
        <v>482.7</v>
      </c>
      <c r="M3286" s="4">
        <f>tblTransactions[[#This Row],[Total_Amount]]-(tblTransactions[[#This Row],[Cost_Prices]]*tblTransactions[[#This Row],[Quantity]]*(1-tblTransactions[[#This Row],[Discount]]))</f>
        <v>2414.4070000000002</v>
      </c>
      <c r="N3286" s="3">
        <f>tblTransactions[[#This Row],[Profit]]/tblTransactions[[#This Row],[Total_Amount]]</f>
        <v>0.33815034649665832</v>
      </c>
      <c r="O3286" t="str">
        <f>TEXT(tblTransactions[[#This Row],[Date]], "MMM-YYYY")</f>
        <v>Nov-2024</v>
      </c>
      <c r="P3286" t="str">
        <f>"Q"&amp;ROUNDUP(MONTH(tblTransactions[[#This Row],[Date]])/3,0)&amp;"-"&amp;YEAR(tblTransactions[[#This Row],[Date]])</f>
        <v>Q4-2024</v>
      </c>
      <c r="Q3286">
        <f>YEAR(tblTransactions[[#This Row],[Date]])</f>
        <v>2024</v>
      </c>
      <c r="R3286" t="str">
        <f>TEXT(tblTransactions[[#This Row],[Date]],"DDDD")</f>
        <v>Wednesday</v>
      </c>
      <c r="S3286">
        <f>MONTH(tblTransactions[[#This Row],[Date]])</f>
        <v>11</v>
      </c>
      <c r="T3286" t="str">
        <f>VLOOKUP(E3286, Products!$A:$B,2,0)</f>
        <v>Tables Fur-1</v>
      </c>
      <c r="U3286" t="str">
        <f>VLOOKUP(E3286,Products!$A:$C,3,0)</f>
        <v>Furniture</v>
      </c>
      <c r="V3286" t="str">
        <f>VLOOKUP(E3286,Products!$A:$D,4,0)</f>
        <v>Tables</v>
      </c>
      <c r="W3286" t="str">
        <f>VLOOKUP(D3286,Customers!$A:$C,3,0)</f>
        <v>B2B</v>
      </c>
      <c r="X3286" t="str">
        <f>VLOOKUP(C3286,Sales_Representatives!$A:$B,2,0)</f>
        <v>Robert Jones</v>
      </c>
    </row>
    <row r="3287" spans="1:24" x14ac:dyDescent="0.3">
      <c r="A3287" t="s">
        <v>4425</v>
      </c>
      <c r="B3287" t="s">
        <v>4422</v>
      </c>
      <c r="C3287" t="s">
        <v>127</v>
      </c>
      <c r="D3287" t="s">
        <v>2020</v>
      </c>
      <c r="E3287" t="s">
        <v>316</v>
      </c>
      <c r="F3287">
        <v>1</v>
      </c>
      <c r="G3287">
        <v>91.42</v>
      </c>
      <c r="H3287">
        <v>0.09</v>
      </c>
      <c r="I3287" s="4">
        <v>83.19</v>
      </c>
      <c r="J3287" t="s">
        <v>109</v>
      </c>
      <c r="K3287" t="s">
        <v>48</v>
      </c>
      <c r="L3287" s="4">
        <f>VLOOKUP(tblTransactions[[#This Row],[Product_ID]],tblProducts[],5,FALSE)</f>
        <v>50.09</v>
      </c>
      <c r="M3287" s="4">
        <f>tblTransactions[[#This Row],[Total_Amount]]-(tblTransactions[[#This Row],[Cost_Prices]]*tblTransactions[[#This Row],[Quantity]]*(1-tblTransactions[[#This Row],[Discount]]))</f>
        <v>37.608099999999993</v>
      </c>
      <c r="N3287" s="3">
        <f>tblTransactions[[#This Row],[Profit]]/tblTransactions[[#This Row],[Total_Amount]]</f>
        <v>0.45207476860199536</v>
      </c>
      <c r="O3287" t="str">
        <f>TEXT(tblTransactions[[#This Row],[Date]], "MMM-YYYY")</f>
        <v>Nov-2024</v>
      </c>
      <c r="P3287" t="str">
        <f>"Q"&amp;ROUNDUP(MONTH(tblTransactions[[#This Row],[Date]])/3,0)&amp;"-"&amp;YEAR(tblTransactions[[#This Row],[Date]])</f>
        <v>Q4-2024</v>
      </c>
      <c r="Q3287">
        <f>YEAR(tblTransactions[[#This Row],[Date]])</f>
        <v>2024</v>
      </c>
      <c r="R3287" t="str">
        <f>TEXT(tblTransactions[[#This Row],[Date]],"DDDD")</f>
        <v>Wednesday</v>
      </c>
      <c r="S3287">
        <f>MONTH(tblTransactions[[#This Row],[Date]])</f>
        <v>11</v>
      </c>
      <c r="T3287" t="str">
        <f>VLOOKUP(E3287, Products!$A:$B,2,0)</f>
        <v>Binders Off-3</v>
      </c>
      <c r="U3287" t="str">
        <f>VLOOKUP(E3287,Products!$A:$C,3,0)</f>
        <v>Office Supplies</v>
      </c>
      <c r="V3287" t="str">
        <f>VLOOKUP(E3287,Products!$A:$D,4,0)</f>
        <v>Binders</v>
      </c>
      <c r="W3287" t="str">
        <f>VLOOKUP(D3287,Customers!$A:$C,3,0)</f>
        <v>B2C</v>
      </c>
      <c r="X3287" t="str">
        <f>VLOOKUP(C3287,Sales_Representatives!$A:$B,2,0)</f>
        <v>Emily Hernandez</v>
      </c>
    </row>
    <row r="3288" spans="1:24" x14ac:dyDescent="0.3">
      <c r="A3288" t="s">
        <v>4426</v>
      </c>
      <c r="B3288" t="s">
        <v>4422</v>
      </c>
      <c r="C3288" t="s">
        <v>27</v>
      </c>
      <c r="D3288" t="s">
        <v>2007</v>
      </c>
      <c r="E3288" t="s">
        <v>255</v>
      </c>
      <c r="F3288">
        <v>38</v>
      </c>
      <c r="G3288">
        <v>1444.13</v>
      </c>
      <c r="H3288">
        <v>0.23</v>
      </c>
      <c r="I3288" s="4">
        <v>42255.24</v>
      </c>
      <c r="J3288" t="s">
        <v>16</v>
      </c>
      <c r="K3288" t="s">
        <v>35</v>
      </c>
      <c r="L3288" s="4">
        <f>VLOOKUP(tblTransactions[[#This Row],[Product_ID]],tblProducts[],5,FALSE)</f>
        <v>874.43</v>
      </c>
      <c r="M3288" s="4">
        <f>tblTransactions[[#This Row],[Total_Amount]]-(tblTransactions[[#This Row],[Cost_Prices]]*tblTransactions[[#This Row],[Quantity]]*(1-tblTransactions[[#This Row],[Discount]]))</f>
        <v>16669.4182</v>
      </c>
      <c r="N3288" s="3">
        <f>tblTransactions[[#This Row],[Profit]]/tblTransactions[[#This Row],[Total_Amount]]</f>
        <v>0.39449351607043293</v>
      </c>
      <c r="O3288" t="str">
        <f>TEXT(tblTransactions[[#This Row],[Date]], "MMM-YYYY")</f>
        <v>Nov-2024</v>
      </c>
      <c r="P3288" t="str">
        <f>"Q"&amp;ROUNDUP(MONTH(tblTransactions[[#This Row],[Date]])/3,0)&amp;"-"&amp;YEAR(tblTransactions[[#This Row],[Date]])</f>
        <v>Q4-2024</v>
      </c>
      <c r="Q3288">
        <f>YEAR(tblTransactions[[#This Row],[Date]])</f>
        <v>2024</v>
      </c>
      <c r="R3288" t="str">
        <f>TEXT(tblTransactions[[#This Row],[Date]],"DDDD")</f>
        <v>Wednesday</v>
      </c>
      <c r="S3288">
        <f>MONTH(tblTransactions[[#This Row],[Date]])</f>
        <v>11</v>
      </c>
      <c r="T3288" t="str">
        <f>VLOOKUP(E3288, Products!$A:$B,2,0)</f>
        <v>Printers Tec-1</v>
      </c>
      <c r="U3288" t="str">
        <f>VLOOKUP(E3288,Products!$A:$C,3,0)</f>
        <v>Technology</v>
      </c>
      <c r="V3288" t="str">
        <f>VLOOKUP(E3288,Products!$A:$D,4,0)</f>
        <v>Printers</v>
      </c>
      <c r="W3288" t="str">
        <f>VLOOKUP(D3288,Customers!$A:$C,3,0)</f>
        <v>Enterprise</v>
      </c>
      <c r="X3288" t="str">
        <f>VLOOKUP(C3288,Sales_Representatives!$A:$B,2,0)</f>
        <v>Thomas Lopez</v>
      </c>
    </row>
    <row r="3289" spans="1:24" x14ac:dyDescent="0.3">
      <c r="A3289" t="s">
        <v>4427</v>
      </c>
      <c r="B3289" t="s">
        <v>4422</v>
      </c>
      <c r="C3289" t="s">
        <v>41</v>
      </c>
      <c r="D3289" t="s">
        <v>1984</v>
      </c>
      <c r="E3289" t="s">
        <v>137</v>
      </c>
      <c r="F3289">
        <v>3</v>
      </c>
      <c r="G3289">
        <v>241.39</v>
      </c>
      <c r="H3289">
        <v>0.06</v>
      </c>
      <c r="I3289" s="4">
        <v>680.72</v>
      </c>
      <c r="J3289" t="s">
        <v>44</v>
      </c>
      <c r="K3289" t="s">
        <v>48</v>
      </c>
      <c r="L3289" s="4">
        <f>VLOOKUP(tblTransactions[[#This Row],[Product_ID]],tblProducts[],5,FALSE)</f>
        <v>124.07</v>
      </c>
      <c r="M3289" s="4">
        <f>tblTransactions[[#This Row],[Total_Amount]]-(tblTransactions[[#This Row],[Cost_Prices]]*tblTransactions[[#This Row],[Quantity]]*(1-tblTransactions[[#This Row],[Discount]]))</f>
        <v>330.84260000000006</v>
      </c>
      <c r="N3289" s="3">
        <f>tblTransactions[[#This Row],[Profit]]/tblTransactions[[#This Row],[Total_Amount]]</f>
        <v>0.48601862733576223</v>
      </c>
      <c r="O3289" t="str">
        <f>TEXT(tblTransactions[[#This Row],[Date]], "MMM-YYYY")</f>
        <v>Nov-2024</v>
      </c>
      <c r="P3289" t="str">
        <f>"Q"&amp;ROUNDUP(MONTH(tblTransactions[[#This Row],[Date]])/3,0)&amp;"-"&amp;YEAR(tblTransactions[[#This Row],[Date]])</f>
        <v>Q4-2024</v>
      </c>
      <c r="Q3289">
        <f>YEAR(tblTransactions[[#This Row],[Date]])</f>
        <v>2024</v>
      </c>
      <c r="R3289" t="str">
        <f>TEXT(tblTransactions[[#This Row],[Date]],"DDDD")</f>
        <v>Wednesday</v>
      </c>
      <c r="S3289">
        <f>MONTH(tblTransactions[[#This Row],[Date]])</f>
        <v>11</v>
      </c>
      <c r="T3289" t="str">
        <f>VLOOKUP(E3289, Products!$A:$B,2,0)</f>
        <v>Desks Fur-2</v>
      </c>
      <c r="U3289" t="str">
        <f>VLOOKUP(E3289,Products!$A:$C,3,0)</f>
        <v>Furniture</v>
      </c>
      <c r="V3289" t="str">
        <f>VLOOKUP(E3289,Products!$A:$D,4,0)</f>
        <v>Desks</v>
      </c>
      <c r="W3289" t="str">
        <f>VLOOKUP(D3289,Customers!$A:$C,3,0)</f>
        <v>B2C</v>
      </c>
      <c r="X3289" t="str">
        <f>VLOOKUP(C3289,Sales_Representatives!$A:$B,2,0)</f>
        <v>Robert Jones</v>
      </c>
    </row>
    <row r="3290" spans="1:24" x14ac:dyDescent="0.3">
      <c r="A3290" t="s">
        <v>4428</v>
      </c>
      <c r="B3290" t="s">
        <v>4429</v>
      </c>
      <c r="C3290" t="s">
        <v>107</v>
      </c>
      <c r="D3290" t="s">
        <v>32</v>
      </c>
      <c r="E3290" t="s">
        <v>310</v>
      </c>
      <c r="F3290">
        <v>1</v>
      </c>
      <c r="G3290">
        <v>274.13</v>
      </c>
      <c r="H3290">
        <v>0.03</v>
      </c>
      <c r="I3290" s="4">
        <v>265.91000000000003</v>
      </c>
      <c r="J3290" t="s">
        <v>109</v>
      </c>
      <c r="K3290" t="s">
        <v>48</v>
      </c>
      <c r="L3290" s="4">
        <f>VLOOKUP(tblTransactions[[#This Row],[Product_ID]],tblProducts[],5,FALSE)</f>
        <v>134.41999999999999</v>
      </c>
      <c r="M3290" s="4">
        <f>tblTransactions[[#This Row],[Total_Amount]]-(tblTransactions[[#This Row],[Cost_Prices]]*tblTransactions[[#This Row],[Quantity]]*(1-tblTransactions[[#This Row],[Discount]]))</f>
        <v>135.52260000000004</v>
      </c>
      <c r="N3290" s="3">
        <f>tblTransactions[[#This Row],[Profit]]/tblTransactions[[#This Row],[Total_Amount]]</f>
        <v>0.50965589861231253</v>
      </c>
      <c r="O3290" t="str">
        <f>TEXT(tblTransactions[[#This Row],[Date]], "MMM-YYYY")</f>
        <v>Nov-2024</v>
      </c>
      <c r="P3290" t="str">
        <f>"Q"&amp;ROUNDUP(MONTH(tblTransactions[[#This Row],[Date]])/3,0)&amp;"-"&amp;YEAR(tblTransactions[[#This Row],[Date]])</f>
        <v>Q4-2024</v>
      </c>
      <c r="Q3290">
        <f>YEAR(tblTransactions[[#This Row],[Date]])</f>
        <v>2024</v>
      </c>
      <c r="R3290" t="str">
        <f>TEXT(tblTransactions[[#This Row],[Date]],"DDDD")</f>
        <v>Thursday</v>
      </c>
      <c r="S3290">
        <f>MONTH(tblTransactions[[#This Row],[Date]])</f>
        <v>11</v>
      </c>
      <c r="T3290" t="str">
        <f>VLOOKUP(E3290, Products!$A:$B,2,0)</f>
        <v>Adapters Acc-4</v>
      </c>
      <c r="U3290" t="str">
        <f>VLOOKUP(E3290,Products!$A:$C,3,0)</f>
        <v>Accessories</v>
      </c>
      <c r="V3290" t="str">
        <f>VLOOKUP(E3290,Products!$A:$D,4,0)</f>
        <v>Adapters</v>
      </c>
      <c r="W3290" t="str">
        <f>VLOOKUP(D3290,Customers!$A:$C,3,0)</f>
        <v>B2C</v>
      </c>
      <c r="X3290" t="str">
        <f>VLOOKUP(C3290,Sales_Representatives!$A:$B,2,0)</f>
        <v>Jennifer Brown</v>
      </c>
    </row>
    <row r="3291" spans="1:24" x14ac:dyDescent="0.3">
      <c r="A3291" t="s">
        <v>4430</v>
      </c>
      <c r="B3291" t="s">
        <v>4429</v>
      </c>
      <c r="C3291" t="s">
        <v>19</v>
      </c>
      <c r="D3291" t="s">
        <v>2876</v>
      </c>
      <c r="E3291" t="s">
        <v>347</v>
      </c>
      <c r="F3291">
        <v>1</v>
      </c>
      <c r="G3291">
        <v>1539.6</v>
      </c>
      <c r="H3291">
        <v>0.03</v>
      </c>
      <c r="I3291" s="4">
        <v>1493.41</v>
      </c>
      <c r="J3291" t="s">
        <v>21</v>
      </c>
      <c r="K3291" t="s">
        <v>22</v>
      </c>
      <c r="L3291" s="4">
        <f>VLOOKUP(tblTransactions[[#This Row],[Product_ID]],tblProducts[],5,FALSE)</f>
        <v>992.43</v>
      </c>
      <c r="M3291" s="4">
        <f>tblTransactions[[#This Row],[Total_Amount]]-(tblTransactions[[#This Row],[Cost_Prices]]*tblTransactions[[#This Row],[Quantity]]*(1-tblTransactions[[#This Row],[Discount]]))</f>
        <v>530.75290000000018</v>
      </c>
      <c r="N3291" s="3">
        <f>tblTransactions[[#This Row],[Profit]]/tblTransactions[[#This Row],[Total_Amount]]</f>
        <v>0.35539664258308179</v>
      </c>
      <c r="O3291" t="str">
        <f>TEXT(tblTransactions[[#This Row],[Date]], "MMM-YYYY")</f>
        <v>Nov-2024</v>
      </c>
      <c r="P3291" t="str">
        <f>"Q"&amp;ROUNDUP(MONTH(tblTransactions[[#This Row],[Date]])/3,0)&amp;"-"&amp;YEAR(tblTransactions[[#This Row],[Date]])</f>
        <v>Q4-2024</v>
      </c>
      <c r="Q3291">
        <f>YEAR(tblTransactions[[#This Row],[Date]])</f>
        <v>2024</v>
      </c>
      <c r="R3291" t="str">
        <f>TEXT(tblTransactions[[#This Row],[Date]],"DDDD")</f>
        <v>Thursday</v>
      </c>
      <c r="S3291">
        <f>MONTH(tblTransactions[[#This Row],[Date]])</f>
        <v>11</v>
      </c>
      <c r="T3291" t="str">
        <f>VLOOKUP(E3291, Products!$A:$B,2,0)</f>
        <v>Routers Tec-2</v>
      </c>
      <c r="U3291" t="str">
        <f>VLOOKUP(E3291,Products!$A:$C,3,0)</f>
        <v>Technology</v>
      </c>
      <c r="V3291" t="str">
        <f>VLOOKUP(E3291,Products!$A:$D,4,0)</f>
        <v>Routers</v>
      </c>
      <c r="W3291" t="str">
        <f>VLOOKUP(D3291,Customers!$A:$C,3,0)</f>
        <v>B2C</v>
      </c>
      <c r="X3291" t="str">
        <f>VLOOKUP(C3291,Sales_Representatives!$A:$B,2,0)</f>
        <v>Robert Jones</v>
      </c>
    </row>
    <row r="3292" spans="1:24" x14ac:dyDescent="0.3">
      <c r="A3292" t="s">
        <v>4431</v>
      </c>
      <c r="B3292" t="s">
        <v>4429</v>
      </c>
      <c r="C3292" t="s">
        <v>75</v>
      </c>
      <c r="D3292" t="s">
        <v>3074</v>
      </c>
      <c r="E3292" t="s">
        <v>125</v>
      </c>
      <c r="F3292">
        <v>38</v>
      </c>
      <c r="G3292">
        <v>1201.4000000000001</v>
      </c>
      <c r="H3292">
        <v>0.23</v>
      </c>
      <c r="I3292" s="4">
        <v>35152.959999999999</v>
      </c>
      <c r="J3292" t="s">
        <v>44</v>
      </c>
      <c r="K3292" t="s">
        <v>22</v>
      </c>
      <c r="L3292" s="4">
        <f>VLOOKUP(tblTransactions[[#This Row],[Product_ID]],tblProducts[],5,FALSE)</f>
        <v>672.72</v>
      </c>
      <c r="M3292" s="4">
        <f>tblTransactions[[#This Row],[Total_Amount]]-(tblTransactions[[#This Row],[Cost_Prices]]*tblTransactions[[#This Row],[Quantity]]*(1-tblTransactions[[#This Row],[Discount]]))</f>
        <v>15469.172799999997</v>
      </c>
      <c r="N3292" s="3">
        <f>tblTransactions[[#This Row],[Profit]]/tblTransactions[[#This Row],[Total_Amount]]</f>
        <v>0.4400532074681619</v>
      </c>
      <c r="O3292" t="str">
        <f>TEXT(tblTransactions[[#This Row],[Date]], "MMM-YYYY")</f>
        <v>Nov-2024</v>
      </c>
      <c r="P3292" t="str">
        <f>"Q"&amp;ROUNDUP(MONTH(tblTransactions[[#This Row],[Date]])/3,0)&amp;"-"&amp;YEAR(tblTransactions[[#This Row],[Date]])</f>
        <v>Q4-2024</v>
      </c>
      <c r="Q3292">
        <f>YEAR(tblTransactions[[#This Row],[Date]])</f>
        <v>2024</v>
      </c>
      <c r="R3292" t="str">
        <f>TEXT(tblTransactions[[#This Row],[Date]],"DDDD")</f>
        <v>Thursday</v>
      </c>
      <c r="S3292">
        <f>MONTH(tblTransactions[[#This Row],[Date]])</f>
        <v>11</v>
      </c>
      <c r="T3292" t="str">
        <f>VLOOKUP(E3292, Products!$A:$B,2,0)</f>
        <v>Printers Tec-2</v>
      </c>
      <c r="U3292" t="str">
        <f>VLOOKUP(E3292,Products!$A:$C,3,0)</f>
        <v>Technology</v>
      </c>
      <c r="V3292" t="str">
        <f>VLOOKUP(E3292,Products!$A:$D,4,0)</f>
        <v>Printers</v>
      </c>
      <c r="W3292" t="str">
        <f>VLOOKUP(D3292,Customers!$A:$C,3,0)</f>
        <v>Enterprise</v>
      </c>
      <c r="X3292" t="str">
        <f>VLOOKUP(C3292,Sales_Representatives!$A:$B,2,0)</f>
        <v>Jessica Anderson</v>
      </c>
    </row>
    <row r="3293" spans="1:24" x14ac:dyDescent="0.3">
      <c r="A3293" t="s">
        <v>4432</v>
      </c>
      <c r="B3293" t="s">
        <v>4429</v>
      </c>
      <c r="C3293" t="s">
        <v>59</v>
      </c>
      <c r="D3293" t="s">
        <v>2557</v>
      </c>
      <c r="E3293" t="s">
        <v>89</v>
      </c>
      <c r="F3293">
        <v>17</v>
      </c>
      <c r="G3293">
        <v>555.08000000000004</v>
      </c>
      <c r="H3293">
        <v>0.14000000000000001</v>
      </c>
      <c r="I3293" s="4">
        <v>8115.27</v>
      </c>
      <c r="J3293" t="s">
        <v>21</v>
      </c>
      <c r="K3293" t="s">
        <v>35</v>
      </c>
      <c r="L3293" s="4">
        <f>VLOOKUP(tblTransactions[[#This Row],[Product_ID]],tblProducts[],5,FALSE)</f>
        <v>402.82</v>
      </c>
      <c r="M3293" s="4">
        <f>tblTransactions[[#This Row],[Total_Amount]]-(tblTransactions[[#This Row],[Cost_Prices]]*tblTransactions[[#This Row],[Quantity]]*(1-tblTransactions[[#This Row],[Discount]]))</f>
        <v>2226.0416000000005</v>
      </c>
      <c r="N3293" s="3">
        <f>tblTransactions[[#This Row],[Profit]]/tblTransactions[[#This Row],[Total_Amount]]</f>
        <v>0.27430283896900537</v>
      </c>
      <c r="O3293" t="str">
        <f>TEXT(tblTransactions[[#This Row],[Date]], "MMM-YYYY")</f>
        <v>Nov-2024</v>
      </c>
      <c r="P3293" t="str">
        <f>"Q"&amp;ROUNDUP(MONTH(tblTransactions[[#This Row],[Date]])/3,0)&amp;"-"&amp;YEAR(tblTransactions[[#This Row],[Date]])</f>
        <v>Q4-2024</v>
      </c>
      <c r="Q3293">
        <f>YEAR(tblTransactions[[#This Row],[Date]])</f>
        <v>2024</v>
      </c>
      <c r="R3293" t="str">
        <f>TEXT(tblTransactions[[#This Row],[Date]],"DDDD")</f>
        <v>Thursday</v>
      </c>
      <c r="S3293">
        <f>MONTH(tblTransactions[[#This Row],[Date]])</f>
        <v>11</v>
      </c>
      <c r="T3293" t="str">
        <f>VLOOKUP(E3293, Products!$A:$B,2,0)</f>
        <v>Laptops Ele-3</v>
      </c>
      <c r="U3293" t="str">
        <f>VLOOKUP(E3293,Products!$A:$C,3,0)</f>
        <v>Electronics</v>
      </c>
      <c r="V3293" t="str">
        <f>VLOOKUP(E3293,Products!$A:$D,4,0)</f>
        <v>Laptops</v>
      </c>
      <c r="W3293" t="str">
        <f>VLOOKUP(D3293,Customers!$A:$C,3,0)</f>
        <v>B2B</v>
      </c>
      <c r="X3293" t="str">
        <f>VLOOKUP(C3293,Sales_Representatives!$A:$B,2,0)</f>
        <v>Sarah Brown</v>
      </c>
    </row>
    <row r="3294" spans="1:24" x14ac:dyDescent="0.3">
      <c r="A3294" t="s">
        <v>4433</v>
      </c>
      <c r="B3294" t="s">
        <v>4429</v>
      </c>
      <c r="C3294" t="s">
        <v>59</v>
      </c>
      <c r="D3294" t="s">
        <v>1984</v>
      </c>
      <c r="E3294" t="s">
        <v>15</v>
      </c>
      <c r="F3294">
        <v>1</v>
      </c>
      <c r="G3294">
        <v>477.48</v>
      </c>
      <c r="H3294">
        <v>0.03</v>
      </c>
      <c r="I3294" s="4">
        <v>463.16</v>
      </c>
      <c r="J3294" t="s">
        <v>21</v>
      </c>
      <c r="K3294" t="s">
        <v>22</v>
      </c>
      <c r="L3294" s="4">
        <f>VLOOKUP(tblTransactions[[#This Row],[Product_ID]],tblProducts[],5,FALSE)</f>
        <v>275.51</v>
      </c>
      <c r="M3294" s="4">
        <f>tblTransactions[[#This Row],[Total_Amount]]-(tblTransactions[[#This Row],[Cost_Prices]]*tblTransactions[[#This Row],[Quantity]]*(1-tblTransactions[[#This Row],[Discount]]))</f>
        <v>195.91530000000006</v>
      </c>
      <c r="N3294" s="3">
        <f>tblTransactions[[#This Row],[Profit]]/tblTransactions[[#This Row],[Total_Amount]]</f>
        <v>0.4229970204680889</v>
      </c>
      <c r="O3294" t="str">
        <f>TEXT(tblTransactions[[#This Row],[Date]], "MMM-YYYY")</f>
        <v>Nov-2024</v>
      </c>
      <c r="P3294" t="str">
        <f>"Q"&amp;ROUNDUP(MONTH(tblTransactions[[#This Row],[Date]])/3,0)&amp;"-"&amp;YEAR(tblTransactions[[#This Row],[Date]])</f>
        <v>Q4-2024</v>
      </c>
      <c r="Q3294">
        <f>YEAR(tblTransactions[[#This Row],[Date]])</f>
        <v>2024</v>
      </c>
      <c r="R3294" t="str">
        <f>TEXT(tblTransactions[[#This Row],[Date]],"DDDD")</f>
        <v>Thursday</v>
      </c>
      <c r="S3294">
        <f>MONTH(tblTransactions[[#This Row],[Date]])</f>
        <v>11</v>
      </c>
      <c r="T3294" t="str">
        <f>VLOOKUP(E3294, Products!$A:$B,2,0)</f>
        <v>Laptops Ele-4</v>
      </c>
      <c r="U3294" t="str">
        <f>VLOOKUP(E3294,Products!$A:$C,3,0)</f>
        <v>Electronics</v>
      </c>
      <c r="V3294" t="str">
        <f>VLOOKUP(E3294,Products!$A:$D,4,0)</f>
        <v>Laptops</v>
      </c>
      <c r="W3294" t="str">
        <f>VLOOKUP(D3294,Customers!$A:$C,3,0)</f>
        <v>B2C</v>
      </c>
      <c r="X3294" t="str">
        <f>VLOOKUP(C3294,Sales_Representatives!$A:$B,2,0)</f>
        <v>Sarah Brown</v>
      </c>
    </row>
    <row r="3295" spans="1:24" x14ac:dyDescent="0.3">
      <c r="A3295" t="s">
        <v>4434</v>
      </c>
      <c r="B3295" t="s">
        <v>4429</v>
      </c>
      <c r="C3295" t="s">
        <v>41</v>
      </c>
      <c r="D3295" t="s">
        <v>1576</v>
      </c>
      <c r="E3295" t="s">
        <v>33</v>
      </c>
      <c r="F3295">
        <v>1</v>
      </c>
      <c r="G3295">
        <v>322.7</v>
      </c>
      <c r="H3295">
        <v>0.01</v>
      </c>
      <c r="I3295" s="4">
        <v>319.47000000000003</v>
      </c>
      <c r="J3295" t="s">
        <v>44</v>
      </c>
      <c r="K3295" t="s">
        <v>39</v>
      </c>
      <c r="L3295" s="4">
        <f>VLOOKUP(tblTransactions[[#This Row],[Product_ID]],tblProducts[],5,FALSE)</f>
        <v>139.81</v>
      </c>
      <c r="M3295" s="4">
        <f>tblTransactions[[#This Row],[Total_Amount]]-(tblTransactions[[#This Row],[Cost_Prices]]*tblTransactions[[#This Row],[Quantity]]*(1-tblTransactions[[#This Row],[Discount]]))</f>
        <v>181.05810000000002</v>
      </c>
      <c r="N3295" s="3">
        <f>tblTransactions[[#This Row],[Profit]]/tblTransactions[[#This Row],[Total_Amount]]</f>
        <v>0.56674523429430002</v>
      </c>
      <c r="O3295" t="str">
        <f>TEXT(tblTransactions[[#This Row],[Date]], "MMM-YYYY")</f>
        <v>Nov-2024</v>
      </c>
      <c r="P3295" t="str">
        <f>"Q"&amp;ROUNDUP(MONTH(tblTransactions[[#This Row],[Date]])/3,0)&amp;"-"&amp;YEAR(tblTransactions[[#This Row],[Date]])</f>
        <v>Q4-2024</v>
      </c>
      <c r="Q3295">
        <f>YEAR(tblTransactions[[#This Row],[Date]])</f>
        <v>2024</v>
      </c>
      <c r="R3295" t="str">
        <f>TEXT(tblTransactions[[#This Row],[Date]],"DDDD")</f>
        <v>Thursday</v>
      </c>
      <c r="S3295">
        <f>MONTH(tblTransactions[[#This Row],[Date]])</f>
        <v>11</v>
      </c>
      <c r="T3295" t="str">
        <f>VLOOKUP(E3295, Products!$A:$B,2,0)</f>
        <v>Adapters Acc-1</v>
      </c>
      <c r="U3295" t="str">
        <f>VLOOKUP(E3295,Products!$A:$C,3,0)</f>
        <v>Accessories</v>
      </c>
      <c r="V3295" t="str">
        <f>VLOOKUP(E3295,Products!$A:$D,4,0)</f>
        <v>Adapters</v>
      </c>
      <c r="W3295" t="str">
        <f>VLOOKUP(D3295,Customers!$A:$C,3,0)</f>
        <v>B2C</v>
      </c>
      <c r="X3295" t="str">
        <f>VLOOKUP(C3295,Sales_Representatives!$A:$B,2,0)</f>
        <v>Robert Jones</v>
      </c>
    </row>
    <row r="3296" spans="1:24" x14ac:dyDescent="0.3">
      <c r="A3296" t="s">
        <v>4435</v>
      </c>
      <c r="B3296" t="s">
        <v>4429</v>
      </c>
      <c r="C3296" t="s">
        <v>41</v>
      </c>
      <c r="D3296" t="s">
        <v>2627</v>
      </c>
      <c r="E3296" t="s">
        <v>508</v>
      </c>
      <c r="F3296">
        <v>1</v>
      </c>
      <c r="G3296">
        <v>237.69</v>
      </c>
      <c r="H3296">
        <v>0.05</v>
      </c>
      <c r="I3296" s="4">
        <v>225.81</v>
      </c>
      <c r="J3296" t="s">
        <v>44</v>
      </c>
      <c r="K3296" t="s">
        <v>48</v>
      </c>
      <c r="L3296" s="4">
        <f>VLOOKUP(tblTransactions[[#This Row],[Product_ID]],tblProducts[],5,FALSE)</f>
        <v>115.31</v>
      </c>
      <c r="M3296" s="4">
        <f>tblTransactions[[#This Row],[Total_Amount]]-(tblTransactions[[#This Row],[Cost_Prices]]*tblTransactions[[#This Row],[Quantity]]*(1-tblTransactions[[#This Row],[Discount]]))</f>
        <v>116.2655</v>
      </c>
      <c r="N3296" s="3">
        <f>tblTransactions[[#This Row],[Profit]]/tblTransactions[[#This Row],[Total_Amount]]</f>
        <v>0.51488198042602185</v>
      </c>
      <c r="O3296" t="str">
        <f>TEXT(tblTransactions[[#This Row],[Date]], "MMM-YYYY")</f>
        <v>Nov-2024</v>
      </c>
      <c r="P3296" t="str">
        <f>"Q"&amp;ROUNDUP(MONTH(tblTransactions[[#This Row],[Date]])/3,0)&amp;"-"&amp;YEAR(tblTransactions[[#This Row],[Date]])</f>
        <v>Q4-2024</v>
      </c>
      <c r="Q3296">
        <f>YEAR(tblTransactions[[#This Row],[Date]])</f>
        <v>2024</v>
      </c>
      <c r="R3296" t="str">
        <f>TEXT(tblTransactions[[#This Row],[Date]],"DDDD")</f>
        <v>Thursday</v>
      </c>
      <c r="S3296">
        <f>MONTH(tblTransactions[[#This Row],[Date]])</f>
        <v>11</v>
      </c>
      <c r="T3296" t="str">
        <f>VLOOKUP(E3296, Products!$A:$B,2,0)</f>
        <v>Folders Off-3</v>
      </c>
      <c r="U3296" t="str">
        <f>VLOOKUP(E3296,Products!$A:$C,3,0)</f>
        <v>Office Supplies</v>
      </c>
      <c r="V3296" t="str">
        <f>VLOOKUP(E3296,Products!$A:$D,4,0)</f>
        <v>Folders</v>
      </c>
      <c r="W3296" t="str">
        <f>VLOOKUP(D3296,Customers!$A:$C,3,0)</f>
        <v>B2C</v>
      </c>
      <c r="X3296" t="str">
        <f>VLOOKUP(C3296,Sales_Representatives!$A:$B,2,0)</f>
        <v>Robert Jones</v>
      </c>
    </row>
    <row r="3297" spans="1:24" x14ac:dyDescent="0.3">
      <c r="A3297" t="s">
        <v>4436</v>
      </c>
      <c r="B3297" t="s">
        <v>4437</v>
      </c>
      <c r="C3297" t="s">
        <v>56</v>
      </c>
      <c r="D3297" t="s">
        <v>2469</v>
      </c>
      <c r="E3297" t="s">
        <v>148</v>
      </c>
      <c r="F3297">
        <v>3</v>
      </c>
      <c r="G3297">
        <v>20.420000000000002</v>
      </c>
      <c r="H3297">
        <v>0.01</v>
      </c>
      <c r="I3297" s="4">
        <v>60.65</v>
      </c>
      <c r="J3297" t="s">
        <v>34</v>
      </c>
      <c r="K3297" t="s">
        <v>39</v>
      </c>
      <c r="L3297" s="4">
        <f>VLOOKUP(tblTransactions[[#This Row],[Product_ID]],tblProducts[],5,FALSE)</f>
        <v>9.56</v>
      </c>
      <c r="M3297" s="4">
        <f>tblTransactions[[#This Row],[Total_Amount]]-(tblTransactions[[#This Row],[Cost_Prices]]*tblTransactions[[#This Row],[Quantity]]*(1-tblTransactions[[#This Row],[Discount]]))</f>
        <v>32.256799999999998</v>
      </c>
      <c r="N3297" s="3">
        <f>tblTransactions[[#This Row],[Profit]]/tblTransactions[[#This Row],[Total_Amount]]</f>
        <v>0.53185160758450123</v>
      </c>
      <c r="O3297" t="str">
        <f>TEXT(tblTransactions[[#This Row],[Date]], "MMM-YYYY")</f>
        <v>Nov-2024</v>
      </c>
      <c r="P3297" t="str">
        <f>"Q"&amp;ROUNDUP(MONTH(tblTransactions[[#This Row],[Date]])/3,0)&amp;"-"&amp;YEAR(tblTransactions[[#This Row],[Date]])</f>
        <v>Q4-2024</v>
      </c>
      <c r="Q3297">
        <f>YEAR(tblTransactions[[#This Row],[Date]])</f>
        <v>2024</v>
      </c>
      <c r="R3297" t="str">
        <f>TEXT(tblTransactions[[#This Row],[Date]],"DDDD")</f>
        <v>Friday</v>
      </c>
      <c r="S3297">
        <f>MONTH(tblTransactions[[#This Row],[Date]])</f>
        <v>11</v>
      </c>
      <c r="T3297" t="str">
        <f>VLOOKUP(E3297, Products!$A:$B,2,0)</f>
        <v>Cases Acc-3</v>
      </c>
      <c r="U3297" t="str">
        <f>VLOOKUP(E3297,Products!$A:$C,3,0)</f>
        <v>Accessories</v>
      </c>
      <c r="V3297" t="str">
        <f>VLOOKUP(E3297,Products!$A:$D,4,0)</f>
        <v>Cases</v>
      </c>
      <c r="W3297" t="str">
        <f>VLOOKUP(D3297,Customers!$A:$C,3,0)</f>
        <v>B2C</v>
      </c>
      <c r="X3297" t="str">
        <f>VLOOKUP(C3297,Sales_Representatives!$A:$B,2,0)</f>
        <v>Thomas Hernandez</v>
      </c>
    </row>
    <row r="3298" spans="1:24" x14ac:dyDescent="0.3">
      <c r="A3298" t="s">
        <v>4438</v>
      </c>
      <c r="B3298" t="s">
        <v>4439</v>
      </c>
      <c r="C3298" t="s">
        <v>131</v>
      </c>
      <c r="D3298" t="s">
        <v>2527</v>
      </c>
      <c r="E3298" t="s">
        <v>217</v>
      </c>
      <c r="F3298">
        <v>3</v>
      </c>
      <c r="G3298">
        <v>145.51</v>
      </c>
      <c r="H3298">
        <v>0.04</v>
      </c>
      <c r="I3298" s="4">
        <v>419.07</v>
      </c>
      <c r="J3298" t="s">
        <v>44</v>
      </c>
      <c r="K3298" t="s">
        <v>35</v>
      </c>
      <c r="L3298" s="4">
        <f>VLOOKUP(tblTransactions[[#This Row],[Product_ID]],tblProducts[],5,FALSE)</f>
        <v>64.510000000000005</v>
      </c>
      <c r="M3298" s="4">
        <f>tblTransactions[[#This Row],[Total_Amount]]-(tblTransactions[[#This Row],[Cost_Prices]]*tblTransactions[[#This Row],[Quantity]]*(1-tblTransactions[[#This Row],[Discount]]))</f>
        <v>233.28119999999998</v>
      </c>
      <c r="N3298" s="3">
        <f>tblTransactions[[#This Row],[Profit]]/tblTransactions[[#This Row],[Total_Amount]]</f>
        <v>0.55666404180685802</v>
      </c>
      <c r="O3298" t="str">
        <f>TEXT(tblTransactions[[#This Row],[Date]], "MMM-YYYY")</f>
        <v>Nov-2024</v>
      </c>
      <c r="P3298" t="str">
        <f>"Q"&amp;ROUNDUP(MONTH(tblTransactions[[#This Row],[Date]])/3,0)&amp;"-"&amp;YEAR(tblTransactions[[#This Row],[Date]])</f>
        <v>Q4-2024</v>
      </c>
      <c r="Q3298">
        <f>YEAR(tblTransactions[[#This Row],[Date]])</f>
        <v>2024</v>
      </c>
      <c r="R3298" t="str">
        <f>TEXT(tblTransactions[[#This Row],[Date]],"DDDD")</f>
        <v>Saturday</v>
      </c>
      <c r="S3298">
        <f>MONTH(tblTransactions[[#This Row],[Date]])</f>
        <v>11</v>
      </c>
      <c r="T3298" t="str">
        <f>VLOOKUP(E3298, Products!$A:$B,2,0)</f>
        <v>Cables Acc-2</v>
      </c>
      <c r="U3298" t="str">
        <f>VLOOKUP(E3298,Products!$A:$C,3,0)</f>
        <v>Accessories</v>
      </c>
      <c r="V3298" t="str">
        <f>VLOOKUP(E3298,Products!$A:$D,4,0)</f>
        <v>Cables</v>
      </c>
      <c r="W3298" t="str">
        <f>VLOOKUP(D3298,Customers!$A:$C,3,0)</f>
        <v>B2C</v>
      </c>
      <c r="X3298" t="str">
        <f>VLOOKUP(C3298,Sales_Representatives!$A:$B,2,0)</f>
        <v>Michael Davis</v>
      </c>
    </row>
    <row r="3299" spans="1:24" x14ac:dyDescent="0.3">
      <c r="A3299" t="s">
        <v>4440</v>
      </c>
      <c r="B3299" t="s">
        <v>4439</v>
      </c>
      <c r="C3299" t="s">
        <v>31</v>
      </c>
      <c r="D3299" t="s">
        <v>1705</v>
      </c>
      <c r="E3299" t="s">
        <v>283</v>
      </c>
      <c r="F3299">
        <v>7</v>
      </c>
      <c r="G3299">
        <v>456.88</v>
      </c>
      <c r="H3299">
        <v>0.1</v>
      </c>
      <c r="I3299" s="4">
        <v>2878.34</v>
      </c>
      <c r="J3299" t="s">
        <v>34</v>
      </c>
      <c r="K3299" t="s">
        <v>17</v>
      </c>
      <c r="L3299" s="4">
        <f>VLOOKUP(tblTransactions[[#This Row],[Product_ID]],tblProducts[],5,FALSE)</f>
        <v>313.23</v>
      </c>
      <c r="M3299" s="4">
        <f>tblTransactions[[#This Row],[Total_Amount]]-(tblTransactions[[#This Row],[Cost_Prices]]*tblTransactions[[#This Row],[Quantity]]*(1-tblTransactions[[#This Row],[Discount]]))</f>
        <v>904.99099999999999</v>
      </c>
      <c r="N3299" s="3">
        <f>tblTransactions[[#This Row],[Profit]]/tblTransactions[[#This Row],[Total_Amount]]</f>
        <v>0.31441421096882227</v>
      </c>
      <c r="O3299" t="str">
        <f>TEXT(tblTransactions[[#This Row],[Date]], "MMM-YYYY")</f>
        <v>Nov-2024</v>
      </c>
      <c r="P3299" t="str">
        <f>"Q"&amp;ROUNDUP(MONTH(tblTransactions[[#This Row],[Date]])/3,0)&amp;"-"&amp;YEAR(tblTransactions[[#This Row],[Date]])</f>
        <v>Q4-2024</v>
      </c>
      <c r="Q3299">
        <f>YEAR(tblTransactions[[#This Row],[Date]])</f>
        <v>2024</v>
      </c>
      <c r="R3299" t="str">
        <f>TEXT(tblTransactions[[#This Row],[Date]],"DDDD")</f>
        <v>Saturday</v>
      </c>
      <c r="S3299">
        <f>MONTH(tblTransactions[[#This Row],[Date]])</f>
        <v>11</v>
      </c>
      <c r="T3299" t="str">
        <f>VLOOKUP(E3299, Products!$A:$B,2,0)</f>
        <v>Chairs Fur-3</v>
      </c>
      <c r="U3299" t="str">
        <f>VLOOKUP(E3299,Products!$A:$C,3,0)</f>
        <v>Furniture</v>
      </c>
      <c r="V3299" t="str">
        <f>VLOOKUP(E3299,Products!$A:$D,4,0)</f>
        <v>Chairs</v>
      </c>
      <c r="W3299" t="str">
        <f>VLOOKUP(D3299,Customers!$A:$C,3,0)</f>
        <v>B2C</v>
      </c>
      <c r="X3299" t="str">
        <f>VLOOKUP(C3299,Sales_Representatives!$A:$B,2,0)</f>
        <v>Thomas Martinez</v>
      </c>
    </row>
    <row r="3300" spans="1:24" x14ac:dyDescent="0.3">
      <c r="A3300" t="s">
        <v>4441</v>
      </c>
      <c r="B3300" t="s">
        <v>4439</v>
      </c>
      <c r="C3300" t="s">
        <v>41</v>
      </c>
      <c r="D3300" t="s">
        <v>2206</v>
      </c>
      <c r="E3300" t="s">
        <v>304</v>
      </c>
      <c r="F3300">
        <v>4</v>
      </c>
      <c r="G3300">
        <v>13.43</v>
      </c>
      <c r="H3300">
        <v>0.05</v>
      </c>
      <c r="I3300" s="4">
        <v>51.03</v>
      </c>
      <c r="J3300" t="s">
        <v>44</v>
      </c>
      <c r="K3300" t="s">
        <v>39</v>
      </c>
      <c r="L3300" s="4">
        <f>VLOOKUP(tblTransactions[[#This Row],[Product_ID]],tblProducts[],5,FALSE)</f>
        <v>5.8</v>
      </c>
      <c r="M3300" s="4">
        <f>tblTransactions[[#This Row],[Total_Amount]]-(tblTransactions[[#This Row],[Cost_Prices]]*tblTransactions[[#This Row],[Quantity]]*(1-tblTransactions[[#This Row],[Discount]]))</f>
        <v>28.990000000000002</v>
      </c>
      <c r="N3300" s="3">
        <f>tblTransactions[[#This Row],[Profit]]/tblTransactions[[#This Row],[Total_Amount]]</f>
        <v>0.56809719772682743</v>
      </c>
      <c r="O3300" t="str">
        <f>TEXT(tblTransactions[[#This Row],[Date]], "MMM-YYYY")</f>
        <v>Nov-2024</v>
      </c>
      <c r="P3300" t="str">
        <f>"Q"&amp;ROUNDUP(MONTH(tblTransactions[[#This Row],[Date]])/3,0)&amp;"-"&amp;YEAR(tblTransactions[[#This Row],[Date]])</f>
        <v>Q4-2024</v>
      </c>
      <c r="Q3300">
        <f>YEAR(tblTransactions[[#This Row],[Date]])</f>
        <v>2024</v>
      </c>
      <c r="R3300" t="str">
        <f>TEXT(tblTransactions[[#This Row],[Date]],"DDDD")</f>
        <v>Saturday</v>
      </c>
      <c r="S3300">
        <f>MONTH(tblTransactions[[#This Row],[Date]])</f>
        <v>11</v>
      </c>
      <c r="T3300" t="str">
        <f>VLOOKUP(E3300, Products!$A:$B,2,0)</f>
        <v>Pens Off-1</v>
      </c>
      <c r="U3300" t="str">
        <f>VLOOKUP(E3300,Products!$A:$C,3,0)</f>
        <v>Office Supplies</v>
      </c>
      <c r="V3300" t="str">
        <f>VLOOKUP(E3300,Products!$A:$D,4,0)</f>
        <v>Pens</v>
      </c>
      <c r="W3300" t="str">
        <f>VLOOKUP(D3300,Customers!$A:$C,3,0)</f>
        <v>B2C</v>
      </c>
      <c r="X3300" t="str">
        <f>VLOOKUP(C3300,Sales_Representatives!$A:$B,2,0)</f>
        <v>Robert Jones</v>
      </c>
    </row>
    <row r="3301" spans="1:24" x14ac:dyDescent="0.3">
      <c r="A3301" t="s">
        <v>4442</v>
      </c>
      <c r="B3301" t="s">
        <v>4439</v>
      </c>
      <c r="C3301" t="s">
        <v>75</v>
      </c>
      <c r="D3301" t="s">
        <v>1670</v>
      </c>
      <c r="E3301" t="s">
        <v>113</v>
      </c>
      <c r="F3301">
        <v>5</v>
      </c>
      <c r="G3301">
        <v>930.41</v>
      </c>
      <c r="H3301">
        <v>0.01</v>
      </c>
      <c r="I3301" s="4">
        <v>4605.53</v>
      </c>
      <c r="J3301" t="s">
        <v>44</v>
      </c>
      <c r="K3301" t="s">
        <v>48</v>
      </c>
      <c r="L3301" s="4">
        <f>VLOOKUP(tblTransactions[[#This Row],[Product_ID]],tblProducts[],5,FALSE)</f>
        <v>595.51</v>
      </c>
      <c r="M3301" s="4">
        <f>tblTransactions[[#This Row],[Total_Amount]]-(tblTransactions[[#This Row],[Cost_Prices]]*tblTransactions[[#This Row],[Quantity]]*(1-tblTransactions[[#This Row],[Discount]]))</f>
        <v>1657.7554999999998</v>
      </c>
      <c r="N3301" s="3">
        <f>tblTransactions[[#This Row],[Profit]]/tblTransactions[[#This Row],[Total_Amount]]</f>
        <v>0.35994890924605849</v>
      </c>
      <c r="O3301" t="str">
        <f>TEXT(tblTransactions[[#This Row],[Date]], "MMM-YYYY")</f>
        <v>Nov-2024</v>
      </c>
      <c r="P3301" t="str">
        <f>"Q"&amp;ROUNDUP(MONTH(tblTransactions[[#This Row],[Date]])/3,0)&amp;"-"&amp;YEAR(tblTransactions[[#This Row],[Date]])</f>
        <v>Q4-2024</v>
      </c>
      <c r="Q3301">
        <f>YEAR(tblTransactions[[#This Row],[Date]])</f>
        <v>2024</v>
      </c>
      <c r="R3301" t="str">
        <f>TEXT(tblTransactions[[#This Row],[Date]],"DDDD")</f>
        <v>Saturday</v>
      </c>
      <c r="S3301">
        <f>MONTH(tblTransactions[[#This Row],[Date]])</f>
        <v>11</v>
      </c>
      <c r="T3301" t="str">
        <f>VLOOKUP(E3301, Products!$A:$B,2,0)</f>
        <v>Phones Ele-1</v>
      </c>
      <c r="U3301" t="str">
        <f>VLOOKUP(E3301,Products!$A:$C,3,0)</f>
        <v>Electronics</v>
      </c>
      <c r="V3301" t="str">
        <f>VLOOKUP(E3301,Products!$A:$D,4,0)</f>
        <v>Phones</v>
      </c>
      <c r="W3301" t="str">
        <f>VLOOKUP(D3301,Customers!$A:$C,3,0)</f>
        <v>Small Business</v>
      </c>
      <c r="X3301" t="str">
        <f>VLOOKUP(C3301,Sales_Representatives!$A:$B,2,0)</f>
        <v>Jessica Anderson</v>
      </c>
    </row>
    <row r="3302" spans="1:24" x14ac:dyDescent="0.3">
      <c r="A3302" t="s">
        <v>4443</v>
      </c>
      <c r="B3302" t="s">
        <v>4439</v>
      </c>
      <c r="C3302" t="s">
        <v>107</v>
      </c>
      <c r="D3302" t="s">
        <v>1487</v>
      </c>
      <c r="E3302" t="s">
        <v>102</v>
      </c>
      <c r="F3302">
        <v>11</v>
      </c>
      <c r="G3302">
        <v>1097.75</v>
      </c>
      <c r="H3302">
        <v>0.18</v>
      </c>
      <c r="I3302" s="4">
        <v>9901.7000000000007</v>
      </c>
      <c r="J3302" t="s">
        <v>109</v>
      </c>
      <c r="K3302" t="s">
        <v>39</v>
      </c>
      <c r="L3302" s="4">
        <f>VLOOKUP(tblTransactions[[#This Row],[Product_ID]],tblProducts[],5,FALSE)</f>
        <v>680.12</v>
      </c>
      <c r="M3302" s="4">
        <f>tblTransactions[[#This Row],[Total_Amount]]-(tblTransactions[[#This Row],[Cost_Prices]]*tblTransactions[[#This Row],[Quantity]]*(1-tblTransactions[[#This Row],[Discount]]))</f>
        <v>3767.0176000000001</v>
      </c>
      <c r="N3302" s="3">
        <f>tblTransactions[[#This Row],[Profit]]/tblTransactions[[#This Row],[Total_Amount]]</f>
        <v>0.38044149994445398</v>
      </c>
      <c r="O3302" t="str">
        <f>TEXT(tblTransactions[[#This Row],[Date]], "MMM-YYYY")</f>
        <v>Nov-2024</v>
      </c>
      <c r="P3302" t="str">
        <f>"Q"&amp;ROUNDUP(MONTH(tblTransactions[[#This Row],[Date]])/3,0)&amp;"-"&amp;YEAR(tblTransactions[[#This Row],[Date]])</f>
        <v>Q4-2024</v>
      </c>
      <c r="Q3302">
        <f>YEAR(tblTransactions[[#This Row],[Date]])</f>
        <v>2024</v>
      </c>
      <c r="R3302" t="str">
        <f>TEXT(tblTransactions[[#This Row],[Date]],"DDDD")</f>
        <v>Saturday</v>
      </c>
      <c r="S3302">
        <f>MONTH(tblTransactions[[#This Row],[Date]])</f>
        <v>11</v>
      </c>
      <c r="T3302" t="str">
        <f>VLOOKUP(E3302, Products!$A:$B,2,0)</f>
        <v>Storage Fur-4</v>
      </c>
      <c r="U3302" t="str">
        <f>VLOOKUP(E3302,Products!$A:$C,3,0)</f>
        <v>Furniture</v>
      </c>
      <c r="V3302" t="str">
        <f>VLOOKUP(E3302,Products!$A:$D,4,0)</f>
        <v>Storage</v>
      </c>
      <c r="W3302" t="str">
        <f>VLOOKUP(D3302,Customers!$A:$C,3,0)</f>
        <v>B2B</v>
      </c>
      <c r="X3302" t="str">
        <f>VLOOKUP(C3302,Sales_Representatives!$A:$B,2,0)</f>
        <v>Jennifer Brown</v>
      </c>
    </row>
    <row r="3303" spans="1:24" x14ac:dyDescent="0.3">
      <c r="A3303" t="s">
        <v>4444</v>
      </c>
      <c r="B3303" t="s">
        <v>4439</v>
      </c>
      <c r="C3303" t="s">
        <v>31</v>
      </c>
      <c r="D3303" t="s">
        <v>1947</v>
      </c>
      <c r="E3303" t="s">
        <v>105</v>
      </c>
      <c r="F3303">
        <v>28</v>
      </c>
      <c r="G3303">
        <v>1342.04</v>
      </c>
      <c r="H3303">
        <v>0.18</v>
      </c>
      <c r="I3303" s="4">
        <v>30813.24</v>
      </c>
      <c r="J3303" t="s">
        <v>34</v>
      </c>
      <c r="K3303" t="s">
        <v>17</v>
      </c>
      <c r="L3303" s="4">
        <f>VLOOKUP(tblTransactions[[#This Row],[Product_ID]],tblProducts[],5,FALSE)</f>
        <v>792.89</v>
      </c>
      <c r="M3303" s="4">
        <f>tblTransactions[[#This Row],[Total_Amount]]-(tblTransactions[[#This Row],[Cost_Prices]]*tblTransactions[[#This Row],[Quantity]]*(1-tblTransactions[[#This Row],[Discount]]))</f>
        <v>12608.4856</v>
      </c>
      <c r="N3303" s="3">
        <f>tblTransactions[[#This Row],[Profit]]/tblTransactions[[#This Row],[Total_Amount]]</f>
        <v>0.40919051680381546</v>
      </c>
      <c r="O3303" t="str">
        <f>TEXT(tblTransactions[[#This Row],[Date]], "MMM-YYYY")</f>
        <v>Nov-2024</v>
      </c>
      <c r="P3303" t="str">
        <f>"Q"&amp;ROUNDUP(MONTH(tblTransactions[[#This Row],[Date]])/3,0)&amp;"-"&amp;YEAR(tblTransactions[[#This Row],[Date]])</f>
        <v>Q4-2024</v>
      </c>
      <c r="Q3303">
        <f>YEAR(tblTransactions[[#This Row],[Date]])</f>
        <v>2024</v>
      </c>
      <c r="R3303" t="str">
        <f>TEXT(tblTransactions[[#This Row],[Date]],"DDDD")</f>
        <v>Saturday</v>
      </c>
      <c r="S3303">
        <f>MONTH(tblTransactions[[#This Row],[Date]])</f>
        <v>11</v>
      </c>
      <c r="T3303" t="str">
        <f>VLOOKUP(E3303, Products!$A:$B,2,0)</f>
        <v>Cameras Ele-1</v>
      </c>
      <c r="U3303" t="str">
        <f>VLOOKUP(E3303,Products!$A:$C,3,0)</f>
        <v>Electronics</v>
      </c>
      <c r="V3303" t="str">
        <f>VLOOKUP(E3303,Products!$A:$D,4,0)</f>
        <v>Cameras</v>
      </c>
      <c r="W3303" t="str">
        <f>VLOOKUP(D3303,Customers!$A:$C,3,0)</f>
        <v>Enterprise</v>
      </c>
      <c r="X3303" t="str">
        <f>VLOOKUP(C3303,Sales_Representatives!$A:$B,2,0)</f>
        <v>Thomas Martinez</v>
      </c>
    </row>
    <row r="3304" spans="1:24" x14ac:dyDescent="0.3">
      <c r="A3304" t="s">
        <v>4445</v>
      </c>
      <c r="B3304" t="s">
        <v>4439</v>
      </c>
      <c r="C3304" t="s">
        <v>41</v>
      </c>
      <c r="D3304" t="s">
        <v>2192</v>
      </c>
      <c r="E3304" t="s">
        <v>79</v>
      </c>
      <c r="F3304">
        <v>1</v>
      </c>
      <c r="G3304">
        <v>1452.36</v>
      </c>
      <c r="H3304">
        <v>7.0000000000000007E-2</v>
      </c>
      <c r="I3304" s="4">
        <v>1350.69</v>
      </c>
      <c r="J3304" t="s">
        <v>44</v>
      </c>
      <c r="K3304" t="s">
        <v>39</v>
      </c>
      <c r="L3304" s="4">
        <f>VLOOKUP(tblTransactions[[#This Row],[Product_ID]],tblProducts[],5,FALSE)</f>
        <v>778.71</v>
      </c>
      <c r="M3304" s="4">
        <f>tblTransactions[[#This Row],[Total_Amount]]-(tblTransactions[[#This Row],[Cost_Prices]]*tblTransactions[[#This Row],[Quantity]]*(1-tblTransactions[[#This Row],[Discount]]))</f>
        <v>626.48970000000008</v>
      </c>
      <c r="N3304" s="3">
        <f>tblTransactions[[#This Row],[Profit]]/tblTransactions[[#This Row],[Total_Amount]]</f>
        <v>0.46382937609666175</v>
      </c>
      <c r="O3304" t="str">
        <f>TEXT(tblTransactions[[#This Row],[Date]], "MMM-YYYY")</f>
        <v>Nov-2024</v>
      </c>
      <c r="P3304" t="str">
        <f>"Q"&amp;ROUNDUP(MONTH(tblTransactions[[#This Row],[Date]])/3,0)&amp;"-"&amp;YEAR(tblTransactions[[#This Row],[Date]])</f>
        <v>Q4-2024</v>
      </c>
      <c r="Q3304">
        <f>YEAR(tblTransactions[[#This Row],[Date]])</f>
        <v>2024</v>
      </c>
      <c r="R3304" t="str">
        <f>TEXT(tblTransactions[[#This Row],[Date]],"DDDD")</f>
        <v>Saturday</v>
      </c>
      <c r="S3304">
        <f>MONTH(tblTransactions[[#This Row],[Date]])</f>
        <v>11</v>
      </c>
      <c r="T3304" t="str">
        <f>VLOOKUP(E3304, Products!$A:$B,2,0)</f>
        <v>Tables Fur-2</v>
      </c>
      <c r="U3304" t="str">
        <f>VLOOKUP(E3304,Products!$A:$C,3,0)</f>
        <v>Furniture</v>
      </c>
      <c r="V3304" t="str">
        <f>VLOOKUP(E3304,Products!$A:$D,4,0)</f>
        <v>Tables</v>
      </c>
      <c r="W3304" t="str">
        <f>VLOOKUP(D3304,Customers!$A:$C,3,0)</f>
        <v>B2C</v>
      </c>
      <c r="X3304" t="str">
        <f>VLOOKUP(C3304,Sales_Representatives!$A:$B,2,0)</f>
        <v>Robert Jones</v>
      </c>
    </row>
    <row r="3305" spans="1:24" x14ac:dyDescent="0.3">
      <c r="A3305" t="s">
        <v>4446</v>
      </c>
      <c r="B3305" t="s">
        <v>4439</v>
      </c>
      <c r="C3305" t="s">
        <v>31</v>
      </c>
      <c r="D3305" t="s">
        <v>1762</v>
      </c>
      <c r="E3305" t="s">
        <v>68</v>
      </c>
      <c r="F3305">
        <v>14</v>
      </c>
      <c r="G3305">
        <v>522.63</v>
      </c>
      <c r="H3305">
        <v>0.11</v>
      </c>
      <c r="I3305" s="4">
        <v>6511.97</v>
      </c>
      <c r="J3305" t="s">
        <v>34</v>
      </c>
      <c r="K3305" t="s">
        <v>48</v>
      </c>
      <c r="L3305" s="4">
        <f>VLOOKUP(tblTransactions[[#This Row],[Product_ID]],tblProducts[],5,FALSE)</f>
        <v>355.82</v>
      </c>
      <c r="M3305" s="4">
        <f>tblTransactions[[#This Row],[Total_Amount]]-(tblTransactions[[#This Row],[Cost_Prices]]*tblTransactions[[#This Row],[Quantity]]*(1-tblTransactions[[#This Row],[Discount]]))</f>
        <v>2078.4528000000009</v>
      </c>
      <c r="N3305" s="3">
        <f>tblTransactions[[#This Row],[Profit]]/tblTransactions[[#This Row],[Total_Amount]]</f>
        <v>0.31917419766982968</v>
      </c>
      <c r="O3305" t="str">
        <f>TEXT(tblTransactions[[#This Row],[Date]], "MMM-YYYY")</f>
        <v>Nov-2024</v>
      </c>
      <c r="P3305" t="str">
        <f>"Q"&amp;ROUNDUP(MONTH(tblTransactions[[#This Row],[Date]])/3,0)&amp;"-"&amp;YEAR(tblTransactions[[#This Row],[Date]])</f>
        <v>Q4-2024</v>
      </c>
      <c r="Q3305">
        <f>YEAR(tblTransactions[[#This Row],[Date]])</f>
        <v>2024</v>
      </c>
      <c r="R3305" t="str">
        <f>TEXT(tblTransactions[[#This Row],[Date]],"DDDD")</f>
        <v>Saturday</v>
      </c>
      <c r="S3305">
        <f>MONTH(tblTransactions[[#This Row],[Date]])</f>
        <v>11</v>
      </c>
      <c r="T3305" t="str">
        <f>VLOOKUP(E3305, Products!$A:$B,2,0)</f>
        <v>Monitors Tec-3</v>
      </c>
      <c r="U3305" t="str">
        <f>VLOOKUP(E3305,Products!$A:$C,3,0)</f>
        <v>Technology</v>
      </c>
      <c r="V3305" t="str">
        <f>VLOOKUP(E3305,Products!$A:$D,4,0)</f>
        <v>Monitors</v>
      </c>
      <c r="W3305" t="str">
        <f>VLOOKUP(D3305,Customers!$A:$C,3,0)</f>
        <v>Enterprise</v>
      </c>
      <c r="X3305" t="str">
        <f>VLOOKUP(C3305,Sales_Representatives!$A:$B,2,0)</f>
        <v>Thomas Martinez</v>
      </c>
    </row>
    <row r="3306" spans="1:24" x14ac:dyDescent="0.3">
      <c r="A3306" t="s">
        <v>4447</v>
      </c>
      <c r="B3306" t="s">
        <v>4439</v>
      </c>
      <c r="C3306" t="s">
        <v>107</v>
      </c>
      <c r="D3306" t="s">
        <v>1596</v>
      </c>
      <c r="E3306" t="s">
        <v>87</v>
      </c>
      <c r="F3306">
        <v>45</v>
      </c>
      <c r="G3306">
        <v>1047.8900000000001</v>
      </c>
      <c r="H3306">
        <v>0.22</v>
      </c>
      <c r="I3306" s="4">
        <v>36780.94</v>
      </c>
      <c r="J3306" t="s">
        <v>109</v>
      </c>
      <c r="K3306" t="s">
        <v>39</v>
      </c>
      <c r="L3306" s="4">
        <f>VLOOKUP(tblTransactions[[#This Row],[Product_ID]],tblProducts[],5,FALSE)</f>
        <v>742.63</v>
      </c>
      <c r="M3306" s="4">
        <f>tblTransactions[[#This Row],[Total_Amount]]-(tblTransactions[[#This Row],[Cost_Prices]]*tblTransactions[[#This Row],[Quantity]]*(1-tblTransactions[[#This Row],[Discount]]))</f>
        <v>10714.627000000004</v>
      </c>
      <c r="N3306" s="3">
        <f>tblTransactions[[#This Row],[Profit]]/tblTransactions[[#This Row],[Total_Amount]]</f>
        <v>0.29130922156965</v>
      </c>
      <c r="O3306" t="str">
        <f>TEXT(tblTransactions[[#This Row],[Date]], "MMM-YYYY")</f>
        <v>Nov-2024</v>
      </c>
      <c r="P3306" t="str">
        <f>"Q"&amp;ROUNDUP(MONTH(tblTransactions[[#This Row],[Date]])/3,0)&amp;"-"&amp;YEAR(tblTransactions[[#This Row],[Date]])</f>
        <v>Q4-2024</v>
      </c>
      <c r="Q3306">
        <f>YEAR(tblTransactions[[#This Row],[Date]])</f>
        <v>2024</v>
      </c>
      <c r="R3306" t="str">
        <f>TEXT(tblTransactions[[#This Row],[Date]],"DDDD")</f>
        <v>Saturday</v>
      </c>
      <c r="S3306">
        <f>MONTH(tblTransactions[[#This Row],[Date]])</f>
        <v>11</v>
      </c>
      <c r="T3306" t="str">
        <f>VLOOKUP(E3306, Products!$A:$B,2,0)</f>
        <v>Monitors Tec-2</v>
      </c>
      <c r="U3306" t="str">
        <f>VLOOKUP(E3306,Products!$A:$C,3,0)</f>
        <v>Technology</v>
      </c>
      <c r="V3306" t="str">
        <f>VLOOKUP(E3306,Products!$A:$D,4,0)</f>
        <v>Monitors</v>
      </c>
      <c r="W3306" t="str">
        <f>VLOOKUP(D3306,Customers!$A:$C,3,0)</f>
        <v>Enterprise</v>
      </c>
      <c r="X3306" t="str">
        <f>VLOOKUP(C3306,Sales_Representatives!$A:$B,2,0)</f>
        <v>Jennifer Brown</v>
      </c>
    </row>
    <row r="3307" spans="1:24" x14ac:dyDescent="0.3">
      <c r="A3307" t="s">
        <v>4448</v>
      </c>
      <c r="B3307" t="s">
        <v>4439</v>
      </c>
      <c r="C3307" t="s">
        <v>41</v>
      </c>
      <c r="D3307" t="s">
        <v>1864</v>
      </c>
      <c r="E3307" t="s">
        <v>79</v>
      </c>
      <c r="F3307">
        <v>3</v>
      </c>
      <c r="G3307">
        <v>1452.36</v>
      </c>
      <c r="H3307">
        <v>0.02</v>
      </c>
      <c r="I3307" s="4">
        <v>4269.9399999999996</v>
      </c>
      <c r="J3307" t="s">
        <v>44</v>
      </c>
      <c r="K3307" t="s">
        <v>17</v>
      </c>
      <c r="L3307" s="4">
        <f>VLOOKUP(tblTransactions[[#This Row],[Product_ID]],tblProducts[],5,FALSE)</f>
        <v>778.71</v>
      </c>
      <c r="M3307" s="4">
        <f>tblTransactions[[#This Row],[Total_Amount]]-(tblTransactions[[#This Row],[Cost_Prices]]*tblTransactions[[#This Row],[Quantity]]*(1-tblTransactions[[#This Row],[Discount]]))</f>
        <v>1980.5325999999995</v>
      </c>
      <c r="N3307" s="3">
        <f>tblTransactions[[#This Row],[Profit]]/tblTransactions[[#This Row],[Total_Amount]]</f>
        <v>0.46383148240958882</v>
      </c>
      <c r="O3307" t="str">
        <f>TEXT(tblTransactions[[#This Row],[Date]], "MMM-YYYY")</f>
        <v>Nov-2024</v>
      </c>
      <c r="P3307" t="str">
        <f>"Q"&amp;ROUNDUP(MONTH(tblTransactions[[#This Row],[Date]])/3,0)&amp;"-"&amp;YEAR(tblTransactions[[#This Row],[Date]])</f>
        <v>Q4-2024</v>
      </c>
      <c r="Q3307">
        <f>YEAR(tblTransactions[[#This Row],[Date]])</f>
        <v>2024</v>
      </c>
      <c r="R3307" t="str">
        <f>TEXT(tblTransactions[[#This Row],[Date]],"DDDD")</f>
        <v>Saturday</v>
      </c>
      <c r="S3307">
        <f>MONTH(tblTransactions[[#This Row],[Date]])</f>
        <v>11</v>
      </c>
      <c r="T3307" t="str">
        <f>VLOOKUP(E3307, Products!$A:$B,2,0)</f>
        <v>Tables Fur-2</v>
      </c>
      <c r="U3307" t="str">
        <f>VLOOKUP(E3307,Products!$A:$C,3,0)</f>
        <v>Furniture</v>
      </c>
      <c r="V3307" t="str">
        <f>VLOOKUP(E3307,Products!$A:$D,4,0)</f>
        <v>Tables</v>
      </c>
      <c r="W3307" t="str">
        <f>VLOOKUP(D3307,Customers!$A:$C,3,0)</f>
        <v>Small Business</v>
      </c>
      <c r="X3307" t="str">
        <f>VLOOKUP(C3307,Sales_Representatives!$A:$B,2,0)</f>
        <v>Robert Jones</v>
      </c>
    </row>
    <row r="3308" spans="1:24" x14ac:dyDescent="0.3">
      <c r="A3308" t="s">
        <v>4449</v>
      </c>
      <c r="B3308" t="s">
        <v>4439</v>
      </c>
      <c r="C3308" t="s">
        <v>31</v>
      </c>
      <c r="D3308" t="s">
        <v>2329</v>
      </c>
      <c r="E3308" t="s">
        <v>304</v>
      </c>
      <c r="F3308">
        <v>4</v>
      </c>
      <c r="G3308">
        <v>13.43</v>
      </c>
      <c r="H3308">
        <v>0.05</v>
      </c>
      <c r="I3308" s="4">
        <v>51.03</v>
      </c>
      <c r="J3308" t="s">
        <v>34</v>
      </c>
      <c r="K3308" t="s">
        <v>35</v>
      </c>
      <c r="L3308" s="4">
        <f>VLOOKUP(tblTransactions[[#This Row],[Product_ID]],tblProducts[],5,FALSE)</f>
        <v>5.8</v>
      </c>
      <c r="M3308" s="4">
        <f>tblTransactions[[#This Row],[Total_Amount]]-(tblTransactions[[#This Row],[Cost_Prices]]*tblTransactions[[#This Row],[Quantity]]*(1-tblTransactions[[#This Row],[Discount]]))</f>
        <v>28.990000000000002</v>
      </c>
      <c r="N3308" s="3">
        <f>tblTransactions[[#This Row],[Profit]]/tblTransactions[[#This Row],[Total_Amount]]</f>
        <v>0.56809719772682743</v>
      </c>
      <c r="O3308" t="str">
        <f>TEXT(tblTransactions[[#This Row],[Date]], "MMM-YYYY")</f>
        <v>Nov-2024</v>
      </c>
      <c r="P3308" t="str">
        <f>"Q"&amp;ROUNDUP(MONTH(tblTransactions[[#This Row],[Date]])/3,0)&amp;"-"&amp;YEAR(tblTransactions[[#This Row],[Date]])</f>
        <v>Q4-2024</v>
      </c>
      <c r="Q3308">
        <f>YEAR(tblTransactions[[#This Row],[Date]])</f>
        <v>2024</v>
      </c>
      <c r="R3308" t="str">
        <f>TEXT(tblTransactions[[#This Row],[Date]],"DDDD")</f>
        <v>Saturday</v>
      </c>
      <c r="S3308">
        <f>MONTH(tblTransactions[[#This Row],[Date]])</f>
        <v>11</v>
      </c>
      <c r="T3308" t="str">
        <f>VLOOKUP(E3308, Products!$A:$B,2,0)</f>
        <v>Pens Off-1</v>
      </c>
      <c r="U3308" t="str">
        <f>VLOOKUP(E3308,Products!$A:$C,3,0)</f>
        <v>Office Supplies</v>
      </c>
      <c r="V3308" t="str">
        <f>VLOOKUP(E3308,Products!$A:$D,4,0)</f>
        <v>Pens</v>
      </c>
      <c r="W3308" t="str">
        <f>VLOOKUP(D3308,Customers!$A:$C,3,0)</f>
        <v>B2C</v>
      </c>
      <c r="X3308" t="str">
        <f>VLOOKUP(C3308,Sales_Representatives!$A:$B,2,0)</f>
        <v>Thomas Martinez</v>
      </c>
    </row>
    <row r="3309" spans="1:24" x14ac:dyDescent="0.3">
      <c r="A3309" t="s">
        <v>4450</v>
      </c>
      <c r="B3309" t="s">
        <v>4439</v>
      </c>
      <c r="C3309" t="s">
        <v>56</v>
      </c>
      <c r="D3309" t="s">
        <v>57</v>
      </c>
      <c r="E3309" t="s">
        <v>125</v>
      </c>
      <c r="F3309">
        <v>5</v>
      </c>
      <c r="G3309">
        <v>1201.4000000000001</v>
      </c>
      <c r="H3309">
        <v>7.0000000000000007E-2</v>
      </c>
      <c r="I3309" s="4">
        <v>5586.51</v>
      </c>
      <c r="J3309" t="s">
        <v>34</v>
      </c>
      <c r="K3309" t="s">
        <v>17</v>
      </c>
      <c r="L3309" s="4">
        <f>VLOOKUP(tblTransactions[[#This Row],[Product_ID]],tblProducts[],5,FALSE)</f>
        <v>672.72</v>
      </c>
      <c r="M3309" s="4">
        <f>tblTransactions[[#This Row],[Total_Amount]]-(tblTransactions[[#This Row],[Cost_Prices]]*tblTransactions[[#This Row],[Quantity]]*(1-tblTransactions[[#This Row],[Discount]]))</f>
        <v>2458.3620000000001</v>
      </c>
      <c r="N3309" s="3">
        <f>tblTransactions[[#This Row],[Profit]]/tblTransactions[[#This Row],[Total_Amount]]</f>
        <v>0.44005327118361909</v>
      </c>
      <c r="O3309" t="str">
        <f>TEXT(tblTransactions[[#This Row],[Date]], "MMM-YYYY")</f>
        <v>Nov-2024</v>
      </c>
      <c r="P3309" t="str">
        <f>"Q"&amp;ROUNDUP(MONTH(tblTransactions[[#This Row],[Date]])/3,0)&amp;"-"&amp;YEAR(tblTransactions[[#This Row],[Date]])</f>
        <v>Q4-2024</v>
      </c>
      <c r="Q3309">
        <f>YEAR(tblTransactions[[#This Row],[Date]])</f>
        <v>2024</v>
      </c>
      <c r="R3309" t="str">
        <f>TEXT(tblTransactions[[#This Row],[Date]],"DDDD")</f>
        <v>Saturday</v>
      </c>
      <c r="S3309">
        <f>MONTH(tblTransactions[[#This Row],[Date]])</f>
        <v>11</v>
      </c>
      <c r="T3309" t="str">
        <f>VLOOKUP(E3309, Products!$A:$B,2,0)</f>
        <v>Printers Tec-2</v>
      </c>
      <c r="U3309" t="str">
        <f>VLOOKUP(E3309,Products!$A:$C,3,0)</f>
        <v>Technology</v>
      </c>
      <c r="V3309" t="str">
        <f>VLOOKUP(E3309,Products!$A:$D,4,0)</f>
        <v>Printers</v>
      </c>
      <c r="W3309" t="str">
        <f>VLOOKUP(D3309,Customers!$A:$C,3,0)</f>
        <v>Small Business</v>
      </c>
      <c r="X3309" t="str">
        <f>VLOOKUP(C3309,Sales_Representatives!$A:$B,2,0)</f>
        <v>Thomas Hernandez</v>
      </c>
    </row>
    <row r="3310" spans="1:24" x14ac:dyDescent="0.3">
      <c r="A3310" t="s">
        <v>4451</v>
      </c>
      <c r="B3310" t="s">
        <v>4439</v>
      </c>
      <c r="C3310" t="s">
        <v>59</v>
      </c>
      <c r="D3310" t="s">
        <v>1538</v>
      </c>
      <c r="E3310" t="s">
        <v>25</v>
      </c>
      <c r="F3310">
        <v>4</v>
      </c>
      <c r="G3310">
        <v>1467.49</v>
      </c>
      <c r="H3310">
        <v>0.05</v>
      </c>
      <c r="I3310" s="4">
        <v>5576.46</v>
      </c>
      <c r="J3310" t="s">
        <v>21</v>
      </c>
      <c r="K3310" t="s">
        <v>35</v>
      </c>
      <c r="L3310" s="4">
        <f>VLOOKUP(tblTransactions[[#This Row],[Product_ID]],tblProducts[],5,FALSE)</f>
        <v>757.65</v>
      </c>
      <c r="M3310" s="4">
        <f>tblTransactions[[#This Row],[Total_Amount]]-(tblTransactions[[#This Row],[Cost_Prices]]*tblTransactions[[#This Row],[Quantity]]*(1-tblTransactions[[#This Row],[Discount]]))</f>
        <v>2697.3900000000003</v>
      </c>
      <c r="N3310" s="3">
        <f>tblTransactions[[#This Row],[Profit]]/tblTransactions[[#This Row],[Total_Amount]]</f>
        <v>0.4837100956520804</v>
      </c>
      <c r="O3310" t="str">
        <f>TEXT(tblTransactions[[#This Row],[Date]], "MMM-YYYY")</f>
        <v>Nov-2024</v>
      </c>
      <c r="P3310" t="str">
        <f>"Q"&amp;ROUNDUP(MONTH(tblTransactions[[#This Row],[Date]])/3,0)&amp;"-"&amp;YEAR(tblTransactions[[#This Row],[Date]])</f>
        <v>Q4-2024</v>
      </c>
      <c r="Q3310">
        <f>YEAR(tblTransactions[[#This Row],[Date]])</f>
        <v>2024</v>
      </c>
      <c r="R3310" t="str">
        <f>TEXT(tblTransactions[[#This Row],[Date]],"DDDD")</f>
        <v>Saturday</v>
      </c>
      <c r="S3310">
        <f>MONTH(tblTransactions[[#This Row],[Date]])</f>
        <v>11</v>
      </c>
      <c r="T3310" t="str">
        <f>VLOOKUP(E3310, Products!$A:$B,2,0)</f>
        <v>Tables Fur-3</v>
      </c>
      <c r="U3310" t="str">
        <f>VLOOKUP(E3310,Products!$A:$C,3,0)</f>
        <v>Furniture</v>
      </c>
      <c r="V3310" t="str">
        <f>VLOOKUP(E3310,Products!$A:$D,4,0)</f>
        <v>Tables</v>
      </c>
      <c r="W3310" t="str">
        <f>VLOOKUP(D3310,Customers!$A:$C,3,0)</f>
        <v>B2C</v>
      </c>
      <c r="X3310" t="str">
        <f>VLOOKUP(C3310,Sales_Representatives!$A:$B,2,0)</f>
        <v>Sarah Brown</v>
      </c>
    </row>
    <row r="3311" spans="1:24" x14ac:dyDescent="0.3">
      <c r="A3311" t="s">
        <v>4452</v>
      </c>
      <c r="B3311" t="s">
        <v>4439</v>
      </c>
      <c r="C3311" t="s">
        <v>19</v>
      </c>
      <c r="D3311" t="s">
        <v>2032</v>
      </c>
      <c r="E3311" t="s">
        <v>43</v>
      </c>
      <c r="F3311">
        <v>4</v>
      </c>
      <c r="G3311">
        <v>39.32</v>
      </c>
      <c r="H3311">
        <v>7.0000000000000007E-2</v>
      </c>
      <c r="I3311" s="4">
        <v>146.27000000000001</v>
      </c>
      <c r="J3311" t="s">
        <v>21</v>
      </c>
      <c r="K3311" t="s">
        <v>17</v>
      </c>
      <c r="L3311" s="4">
        <f>VLOOKUP(tblTransactions[[#This Row],[Product_ID]],tblProducts[],5,FALSE)</f>
        <v>15.81</v>
      </c>
      <c r="M3311" s="4">
        <f>tblTransactions[[#This Row],[Total_Amount]]-(tblTransactions[[#This Row],[Cost_Prices]]*tblTransactions[[#This Row],[Quantity]]*(1-tblTransactions[[#This Row],[Discount]]))</f>
        <v>87.456800000000015</v>
      </c>
      <c r="N3311" s="3">
        <f>tblTransactions[[#This Row],[Profit]]/tblTransactions[[#This Row],[Total_Amount]]</f>
        <v>0.5979134477336433</v>
      </c>
      <c r="O3311" t="str">
        <f>TEXT(tblTransactions[[#This Row],[Date]], "MMM-YYYY")</f>
        <v>Nov-2024</v>
      </c>
      <c r="P3311" t="str">
        <f>"Q"&amp;ROUNDUP(MONTH(tblTransactions[[#This Row],[Date]])/3,0)&amp;"-"&amp;YEAR(tblTransactions[[#This Row],[Date]])</f>
        <v>Q4-2024</v>
      </c>
      <c r="Q3311">
        <f>YEAR(tblTransactions[[#This Row],[Date]])</f>
        <v>2024</v>
      </c>
      <c r="R3311" t="str">
        <f>TEXT(tblTransactions[[#This Row],[Date]],"DDDD")</f>
        <v>Saturday</v>
      </c>
      <c r="S3311">
        <f>MONTH(tblTransactions[[#This Row],[Date]])</f>
        <v>11</v>
      </c>
      <c r="T3311" t="str">
        <f>VLOOKUP(E3311, Products!$A:$B,2,0)</f>
        <v>Paper Off-3</v>
      </c>
      <c r="U3311" t="str">
        <f>VLOOKUP(E3311,Products!$A:$C,3,0)</f>
        <v>Office Supplies</v>
      </c>
      <c r="V3311" t="str">
        <f>VLOOKUP(E3311,Products!$A:$D,4,0)</f>
        <v>Paper</v>
      </c>
      <c r="W3311" t="str">
        <f>VLOOKUP(D3311,Customers!$A:$C,3,0)</f>
        <v>B2C</v>
      </c>
      <c r="X3311" t="str">
        <f>VLOOKUP(C3311,Sales_Representatives!$A:$B,2,0)</f>
        <v>Robert Jones</v>
      </c>
    </row>
    <row r="3312" spans="1:24" x14ac:dyDescent="0.3">
      <c r="A3312" t="s">
        <v>4453</v>
      </c>
      <c r="B3312" t="s">
        <v>4439</v>
      </c>
      <c r="C3312" t="s">
        <v>13</v>
      </c>
      <c r="D3312" t="s">
        <v>1526</v>
      </c>
      <c r="E3312" t="s">
        <v>84</v>
      </c>
      <c r="F3312">
        <v>7</v>
      </c>
      <c r="G3312">
        <v>1841.77</v>
      </c>
      <c r="H3312">
        <v>7.0000000000000007E-2</v>
      </c>
      <c r="I3312" s="4">
        <v>11989.92</v>
      </c>
      <c r="J3312" t="s">
        <v>16</v>
      </c>
      <c r="K3312" t="s">
        <v>48</v>
      </c>
      <c r="L3312" s="4">
        <f>VLOOKUP(tblTransactions[[#This Row],[Product_ID]],tblProducts[],5,FALSE)</f>
        <v>1151.5899999999999</v>
      </c>
      <c r="M3312" s="4">
        <f>tblTransactions[[#This Row],[Total_Amount]]-(tblTransactions[[#This Row],[Cost_Prices]]*tblTransactions[[#This Row],[Quantity]]*(1-tblTransactions[[#This Row],[Discount]]))</f>
        <v>4493.0691000000015</v>
      </c>
      <c r="N3312" s="3">
        <f>tblTransactions[[#This Row],[Profit]]/tblTransactions[[#This Row],[Total_Amount]]</f>
        <v>0.37473720425157142</v>
      </c>
      <c r="O3312" t="str">
        <f>TEXT(tblTransactions[[#This Row],[Date]], "MMM-YYYY")</f>
        <v>Nov-2024</v>
      </c>
      <c r="P3312" t="str">
        <f>"Q"&amp;ROUNDUP(MONTH(tblTransactions[[#This Row],[Date]])/3,0)&amp;"-"&amp;YEAR(tblTransactions[[#This Row],[Date]])</f>
        <v>Q4-2024</v>
      </c>
      <c r="Q3312">
        <f>YEAR(tblTransactions[[#This Row],[Date]])</f>
        <v>2024</v>
      </c>
      <c r="R3312" t="str">
        <f>TEXT(tblTransactions[[#This Row],[Date]],"DDDD")</f>
        <v>Saturday</v>
      </c>
      <c r="S3312">
        <f>MONTH(tblTransactions[[#This Row],[Date]])</f>
        <v>11</v>
      </c>
      <c r="T3312" t="str">
        <f>VLOOKUP(E3312, Products!$A:$B,2,0)</f>
        <v>Laptops Ele-2</v>
      </c>
      <c r="U3312" t="str">
        <f>VLOOKUP(E3312,Products!$A:$C,3,0)</f>
        <v>Electronics</v>
      </c>
      <c r="V3312" t="str">
        <f>VLOOKUP(E3312,Products!$A:$D,4,0)</f>
        <v>Laptops</v>
      </c>
      <c r="W3312" t="str">
        <f>VLOOKUP(D3312,Customers!$A:$C,3,0)</f>
        <v>B2C</v>
      </c>
      <c r="X3312" t="str">
        <f>VLOOKUP(C3312,Sales_Representatives!$A:$B,2,0)</f>
        <v>Jennifer Rodriguez</v>
      </c>
    </row>
    <row r="3313" spans="1:24" x14ac:dyDescent="0.3">
      <c r="A3313" t="s">
        <v>4454</v>
      </c>
      <c r="B3313" t="s">
        <v>4455</v>
      </c>
      <c r="C3313" t="s">
        <v>56</v>
      </c>
      <c r="D3313" t="s">
        <v>1523</v>
      </c>
      <c r="E3313" t="s">
        <v>33</v>
      </c>
      <c r="F3313">
        <v>7</v>
      </c>
      <c r="G3313">
        <v>322.7</v>
      </c>
      <c r="H3313">
        <v>0.1</v>
      </c>
      <c r="I3313" s="4">
        <v>2033.01</v>
      </c>
      <c r="J3313" t="s">
        <v>34</v>
      </c>
      <c r="K3313" t="s">
        <v>39</v>
      </c>
      <c r="L3313" s="4">
        <f>VLOOKUP(tblTransactions[[#This Row],[Product_ID]],tblProducts[],5,FALSE)</f>
        <v>139.81</v>
      </c>
      <c r="M3313" s="4">
        <f>tblTransactions[[#This Row],[Total_Amount]]-(tblTransactions[[#This Row],[Cost_Prices]]*tblTransactions[[#This Row],[Quantity]]*(1-tblTransactions[[#This Row],[Discount]]))</f>
        <v>1152.2069999999999</v>
      </c>
      <c r="N3313" s="3">
        <f>tblTransactions[[#This Row],[Profit]]/tblTransactions[[#This Row],[Total_Amount]]</f>
        <v>0.56674930275797952</v>
      </c>
      <c r="O3313" t="str">
        <f>TEXT(tblTransactions[[#This Row],[Date]], "MMM-YYYY")</f>
        <v>Nov-2024</v>
      </c>
      <c r="P3313" t="str">
        <f>"Q"&amp;ROUNDUP(MONTH(tblTransactions[[#This Row],[Date]])/3,0)&amp;"-"&amp;YEAR(tblTransactions[[#This Row],[Date]])</f>
        <v>Q4-2024</v>
      </c>
      <c r="Q3313">
        <f>YEAR(tblTransactions[[#This Row],[Date]])</f>
        <v>2024</v>
      </c>
      <c r="R3313" t="str">
        <f>TEXT(tblTransactions[[#This Row],[Date]],"DDDD")</f>
        <v>Sunday</v>
      </c>
      <c r="S3313">
        <f>MONTH(tblTransactions[[#This Row],[Date]])</f>
        <v>11</v>
      </c>
      <c r="T3313" t="str">
        <f>VLOOKUP(E3313, Products!$A:$B,2,0)</f>
        <v>Adapters Acc-1</v>
      </c>
      <c r="U3313" t="str">
        <f>VLOOKUP(E3313,Products!$A:$C,3,0)</f>
        <v>Accessories</v>
      </c>
      <c r="V3313" t="str">
        <f>VLOOKUP(E3313,Products!$A:$D,4,0)</f>
        <v>Adapters</v>
      </c>
      <c r="W3313" t="str">
        <f>VLOOKUP(D3313,Customers!$A:$C,3,0)</f>
        <v>Small Business</v>
      </c>
      <c r="X3313" t="str">
        <f>VLOOKUP(C3313,Sales_Representatives!$A:$B,2,0)</f>
        <v>Thomas Hernandez</v>
      </c>
    </row>
    <row r="3314" spans="1:24" x14ac:dyDescent="0.3">
      <c r="A3314" t="s">
        <v>4456</v>
      </c>
      <c r="B3314" t="s">
        <v>4457</v>
      </c>
      <c r="C3314" t="s">
        <v>75</v>
      </c>
      <c r="D3314" t="s">
        <v>1891</v>
      </c>
      <c r="E3314" t="s">
        <v>25</v>
      </c>
      <c r="F3314">
        <v>15</v>
      </c>
      <c r="G3314">
        <v>1467.49</v>
      </c>
      <c r="H3314">
        <v>0.11</v>
      </c>
      <c r="I3314" s="4">
        <v>19590.990000000002</v>
      </c>
      <c r="J3314" t="s">
        <v>44</v>
      </c>
      <c r="K3314" t="s">
        <v>48</v>
      </c>
      <c r="L3314" s="4">
        <f>VLOOKUP(tblTransactions[[#This Row],[Product_ID]],tblProducts[],5,FALSE)</f>
        <v>757.65</v>
      </c>
      <c r="M3314" s="4">
        <f>tblTransactions[[#This Row],[Total_Amount]]-(tblTransactions[[#This Row],[Cost_Prices]]*tblTransactions[[#This Row],[Quantity]]*(1-tblTransactions[[#This Row],[Discount]]))</f>
        <v>9476.3625000000011</v>
      </c>
      <c r="N3314" s="3">
        <f>tblTransactions[[#This Row],[Profit]]/tblTransactions[[#This Row],[Total_Amount]]</f>
        <v>0.48371024128949075</v>
      </c>
      <c r="O3314" t="str">
        <f>TEXT(tblTransactions[[#This Row],[Date]], "MMM-YYYY")</f>
        <v>Nov-2024</v>
      </c>
      <c r="P3314" t="str">
        <f>"Q"&amp;ROUNDUP(MONTH(tblTransactions[[#This Row],[Date]])/3,0)&amp;"-"&amp;YEAR(tblTransactions[[#This Row],[Date]])</f>
        <v>Q4-2024</v>
      </c>
      <c r="Q3314">
        <f>YEAR(tblTransactions[[#This Row],[Date]])</f>
        <v>2024</v>
      </c>
      <c r="R3314" t="str">
        <f>TEXT(tblTransactions[[#This Row],[Date]],"DDDD")</f>
        <v>Monday</v>
      </c>
      <c r="S3314">
        <f>MONTH(tblTransactions[[#This Row],[Date]])</f>
        <v>11</v>
      </c>
      <c r="T3314" t="str">
        <f>VLOOKUP(E3314, Products!$A:$B,2,0)</f>
        <v>Tables Fur-3</v>
      </c>
      <c r="U3314" t="str">
        <f>VLOOKUP(E3314,Products!$A:$C,3,0)</f>
        <v>Furniture</v>
      </c>
      <c r="V3314" t="str">
        <f>VLOOKUP(E3314,Products!$A:$D,4,0)</f>
        <v>Tables</v>
      </c>
      <c r="W3314" t="str">
        <f>VLOOKUP(D3314,Customers!$A:$C,3,0)</f>
        <v>B2B</v>
      </c>
      <c r="X3314" t="str">
        <f>VLOOKUP(C3314,Sales_Representatives!$A:$B,2,0)</f>
        <v>Jessica Anderson</v>
      </c>
    </row>
    <row r="3315" spans="1:24" x14ac:dyDescent="0.3">
      <c r="A3315" t="s">
        <v>4458</v>
      </c>
      <c r="B3315" t="s">
        <v>4457</v>
      </c>
      <c r="C3315" t="s">
        <v>27</v>
      </c>
      <c r="D3315" t="s">
        <v>4154</v>
      </c>
      <c r="E3315" t="s">
        <v>29</v>
      </c>
      <c r="F3315">
        <v>10</v>
      </c>
      <c r="G3315">
        <v>1363.46</v>
      </c>
      <c r="H3315">
        <v>0.15</v>
      </c>
      <c r="I3315" s="4">
        <v>11589.41</v>
      </c>
      <c r="J3315" t="s">
        <v>16</v>
      </c>
      <c r="K3315" t="s">
        <v>17</v>
      </c>
      <c r="L3315" s="4">
        <f>VLOOKUP(tblTransactions[[#This Row],[Product_ID]],tblProducts[],5,FALSE)</f>
        <v>995.41</v>
      </c>
      <c r="M3315" s="4">
        <f>tblTransactions[[#This Row],[Total_Amount]]-(tblTransactions[[#This Row],[Cost_Prices]]*tblTransactions[[#This Row],[Quantity]]*(1-tblTransactions[[#This Row],[Discount]]))</f>
        <v>3128.4249999999993</v>
      </c>
      <c r="N3315" s="3">
        <f>tblTransactions[[#This Row],[Profit]]/tblTransactions[[#This Row],[Total_Amount]]</f>
        <v>0.2699382453463981</v>
      </c>
      <c r="O3315" t="str">
        <f>TEXT(tblTransactions[[#This Row],[Date]], "MMM-YYYY")</f>
        <v>Nov-2024</v>
      </c>
      <c r="P3315" t="str">
        <f>"Q"&amp;ROUNDUP(MONTH(tblTransactions[[#This Row],[Date]])/3,0)&amp;"-"&amp;YEAR(tblTransactions[[#This Row],[Date]])</f>
        <v>Q4-2024</v>
      </c>
      <c r="Q3315">
        <f>YEAR(tblTransactions[[#This Row],[Date]])</f>
        <v>2024</v>
      </c>
      <c r="R3315" t="str">
        <f>TEXT(tblTransactions[[#This Row],[Date]],"DDDD")</f>
        <v>Monday</v>
      </c>
      <c r="S3315">
        <f>MONTH(tblTransactions[[#This Row],[Date]])</f>
        <v>11</v>
      </c>
      <c r="T3315" t="str">
        <f>VLOOKUP(E3315, Products!$A:$B,2,0)</f>
        <v>Phones Ele-3</v>
      </c>
      <c r="U3315" t="str">
        <f>VLOOKUP(E3315,Products!$A:$C,3,0)</f>
        <v>Electronics</v>
      </c>
      <c r="V3315" t="str">
        <f>VLOOKUP(E3315,Products!$A:$D,4,0)</f>
        <v>Phones</v>
      </c>
      <c r="W3315" t="str">
        <f>VLOOKUP(D3315,Customers!$A:$C,3,0)</f>
        <v>B2B</v>
      </c>
      <c r="X3315" t="str">
        <f>VLOOKUP(C3315,Sales_Representatives!$A:$B,2,0)</f>
        <v>Thomas Lopez</v>
      </c>
    </row>
    <row r="3316" spans="1:24" x14ac:dyDescent="0.3">
      <c r="A3316" t="s">
        <v>4459</v>
      </c>
      <c r="B3316" t="s">
        <v>4457</v>
      </c>
      <c r="C3316" t="s">
        <v>13</v>
      </c>
      <c r="D3316" t="s">
        <v>2451</v>
      </c>
      <c r="E3316" t="s">
        <v>290</v>
      </c>
      <c r="F3316">
        <v>8</v>
      </c>
      <c r="G3316">
        <v>729.32</v>
      </c>
      <c r="H3316">
        <v>0.11</v>
      </c>
      <c r="I3316" s="4">
        <v>5192.76</v>
      </c>
      <c r="J3316" t="s">
        <v>16</v>
      </c>
      <c r="K3316" t="s">
        <v>22</v>
      </c>
      <c r="L3316" s="4">
        <f>VLOOKUP(tblTransactions[[#This Row],[Product_ID]],tblProducts[],5,FALSE)</f>
        <v>482.7</v>
      </c>
      <c r="M3316" s="4">
        <f>tblTransactions[[#This Row],[Total_Amount]]-(tblTransactions[[#This Row],[Cost_Prices]]*tblTransactions[[#This Row],[Quantity]]*(1-tblTransactions[[#This Row],[Discount]]))</f>
        <v>1755.9360000000001</v>
      </c>
      <c r="N3316" s="3">
        <f>tblTransactions[[#This Row],[Profit]]/tblTransactions[[#This Row],[Total_Amount]]</f>
        <v>0.33815080997388675</v>
      </c>
      <c r="O3316" t="str">
        <f>TEXT(tblTransactions[[#This Row],[Date]], "MMM-YYYY")</f>
        <v>Nov-2024</v>
      </c>
      <c r="P3316" t="str">
        <f>"Q"&amp;ROUNDUP(MONTH(tblTransactions[[#This Row],[Date]])/3,0)&amp;"-"&amp;YEAR(tblTransactions[[#This Row],[Date]])</f>
        <v>Q4-2024</v>
      </c>
      <c r="Q3316">
        <f>YEAR(tblTransactions[[#This Row],[Date]])</f>
        <v>2024</v>
      </c>
      <c r="R3316" t="str">
        <f>TEXT(tblTransactions[[#This Row],[Date]],"DDDD")</f>
        <v>Monday</v>
      </c>
      <c r="S3316">
        <f>MONTH(tblTransactions[[#This Row],[Date]])</f>
        <v>11</v>
      </c>
      <c r="T3316" t="str">
        <f>VLOOKUP(E3316, Products!$A:$B,2,0)</f>
        <v>Tables Fur-1</v>
      </c>
      <c r="U3316" t="str">
        <f>VLOOKUP(E3316,Products!$A:$C,3,0)</f>
        <v>Furniture</v>
      </c>
      <c r="V3316" t="str">
        <f>VLOOKUP(E3316,Products!$A:$D,4,0)</f>
        <v>Tables</v>
      </c>
      <c r="W3316" t="str">
        <f>VLOOKUP(D3316,Customers!$A:$C,3,0)</f>
        <v>B2B</v>
      </c>
      <c r="X3316" t="str">
        <f>VLOOKUP(C3316,Sales_Representatives!$A:$B,2,0)</f>
        <v>Jennifer Rodriguez</v>
      </c>
    </row>
    <row r="3317" spans="1:24" x14ac:dyDescent="0.3">
      <c r="A3317" t="s">
        <v>4460</v>
      </c>
      <c r="B3317" t="s">
        <v>4457</v>
      </c>
      <c r="C3317" t="s">
        <v>27</v>
      </c>
      <c r="D3317" t="s">
        <v>183</v>
      </c>
      <c r="E3317" t="s">
        <v>113</v>
      </c>
      <c r="F3317">
        <v>4</v>
      </c>
      <c r="G3317">
        <v>930.41</v>
      </c>
      <c r="H3317">
        <v>0.02</v>
      </c>
      <c r="I3317" s="4">
        <v>3647.21</v>
      </c>
      <c r="J3317" t="s">
        <v>16</v>
      </c>
      <c r="K3317" t="s">
        <v>39</v>
      </c>
      <c r="L3317" s="4">
        <f>VLOOKUP(tblTransactions[[#This Row],[Product_ID]],tblProducts[],5,FALSE)</f>
        <v>595.51</v>
      </c>
      <c r="M3317" s="4">
        <f>tblTransactions[[#This Row],[Total_Amount]]-(tblTransactions[[#This Row],[Cost_Prices]]*tblTransactions[[#This Row],[Quantity]]*(1-tblTransactions[[#This Row],[Discount]]))</f>
        <v>1312.8108000000002</v>
      </c>
      <c r="N3317" s="3">
        <f>tblTransactions[[#This Row],[Profit]]/tblTransactions[[#This Row],[Total_Amount]]</f>
        <v>0.35994933113256439</v>
      </c>
      <c r="O3317" t="str">
        <f>TEXT(tblTransactions[[#This Row],[Date]], "MMM-YYYY")</f>
        <v>Nov-2024</v>
      </c>
      <c r="P3317" t="str">
        <f>"Q"&amp;ROUNDUP(MONTH(tblTransactions[[#This Row],[Date]])/3,0)&amp;"-"&amp;YEAR(tblTransactions[[#This Row],[Date]])</f>
        <v>Q4-2024</v>
      </c>
      <c r="Q3317">
        <f>YEAR(tblTransactions[[#This Row],[Date]])</f>
        <v>2024</v>
      </c>
      <c r="R3317" t="str">
        <f>TEXT(tblTransactions[[#This Row],[Date]],"DDDD")</f>
        <v>Monday</v>
      </c>
      <c r="S3317">
        <f>MONTH(tblTransactions[[#This Row],[Date]])</f>
        <v>11</v>
      </c>
      <c r="T3317" t="str">
        <f>VLOOKUP(E3317, Products!$A:$B,2,0)</f>
        <v>Phones Ele-1</v>
      </c>
      <c r="U3317" t="str">
        <f>VLOOKUP(E3317,Products!$A:$C,3,0)</f>
        <v>Electronics</v>
      </c>
      <c r="V3317" t="str">
        <f>VLOOKUP(E3317,Products!$A:$D,4,0)</f>
        <v>Phones</v>
      </c>
      <c r="W3317" t="str">
        <f>VLOOKUP(D3317,Customers!$A:$C,3,0)</f>
        <v>Small Business</v>
      </c>
      <c r="X3317" t="str">
        <f>VLOOKUP(C3317,Sales_Representatives!$A:$B,2,0)</f>
        <v>Thomas Lopez</v>
      </c>
    </row>
    <row r="3318" spans="1:24" x14ac:dyDescent="0.3">
      <c r="A3318" t="s">
        <v>4461</v>
      </c>
      <c r="B3318" t="s">
        <v>4462</v>
      </c>
      <c r="C3318" t="s">
        <v>13</v>
      </c>
      <c r="D3318" t="s">
        <v>3604</v>
      </c>
      <c r="E3318" t="s">
        <v>89</v>
      </c>
      <c r="F3318">
        <v>18</v>
      </c>
      <c r="G3318">
        <v>555.08000000000004</v>
      </c>
      <c r="H3318">
        <v>0.2</v>
      </c>
      <c r="I3318" s="4">
        <v>7993.15</v>
      </c>
      <c r="J3318" t="s">
        <v>16</v>
      </c>
      <c r="K3318" t="s">
        <v>17</v>
      </c>
      <c r="L3318" s="4">
        <f>VLOOKUP(tblTransactions[[#This Row],[Product_ID]],tblProducts[],5,FALSE)</f>
        <v>402.82</v>
      </c>
      <c r="M3318" s="4">
        <f>tblTransactions[[#This Row],[Total_Amount]]-(tblTransactions[[#This Row],[Cost_Prices]]*tblTransactions[[#This Row],[Quantity]]*(1-tblTransactions[[#This Row],[Discount]]))</f>
        <v>2192.5419999999995</v>
      </c>
      <c r="N3318" s="3">
        <f>tblTransactions[[#This Row],[Profit]]/tblTransactions[[#This Row],[Total_Amount]]</f>
        <v>0.27430262161976188</v>
      </c>
      <c r="O3318" t="str">
        <f>TEXT(tblTransactions[[#This Row],[Date]], "MMM-YYYY")</f>
        <v>Nov-2024</v>
      </c>
      <c r="P3318" t="str">
        <f>"Q"&amp;ROUNDUP(MONTH(tblTransactions[[#This Row],[Date]])/3,0)&amp;"-"&amp;YEAR(tblTransactions[[#This Row],[Date]])</f>
        <v>Q4-2024</v>
      </c>
      <c r="Q3318">
        <f>YEAR(tblTransactions[[#This Row],[Date]])</f>
        <v>2024</v>
      </c>
      <c r="R3318" t="str">
        <f>TEXT(tblTransactions[[#This Row],[Date]],"DDDD")</f>
        <v>Tuesday</v>
      </c>
      <c r="S3318">
        <f>MONTH(tblTransactions[[#This Row],[Date]])</f>
        <v>11</v>
      </c>
      <c r="T3318" t="str">
        <f>VLOOKUP(E3318, Products!$A:$B,2,0)</f>
        <v>Laptops Ele-3</v>
      </c>
      <c r="U3318" t="str">
        <f>VLOOKUP(E3318,Products!$A:$C,3,0)</f>
        <v>Electronics</v>
      </c>
      <c r="V3318" t="str">
        <f>VLOOKUP(E3318,Products!$A:$D,4,0)</f>
        <v>Laptops</v>
      </c>
      <c r="W3318" t="str">
        <f>VLOOKUP(D3318,Customers!$A:$C,3,0)</f>
        <v>Enterprise</v>
      </c>
      <c r="X3318" t="str">
        <f>VLOOKUP(C3318,Sales_Representatives!$A:$B,2,0)</f>
        <v>Jennifer Rodriguez</v>
      </c>
    </row>
    <row r="3319" spans="1:24" x14ac:dyDescent="0.3">
      <c r="A3319" t="s">
        <v>4463</v>
      </c>
      <c r="B3319" t="s">
        <v>4462</v>
      </c>
      <c r="C3319" t="s">
        <v>127</v>
      </c>
      <c r="D3319" t="s">
        <v>1515</v>
      </c>
      <c r="E3319" t="s">
        <v>587</v>
      </c>
      <c r="F3319">
        <v>3</v>
      </c>
      <c r="G3319">
        <v>58.54</v>
      </c>
      <c r="H3319">
        <v>0.06</v>
      </c>
      <c r="I3319" s="4">
        <v>165.08</v>
      </c>
      <c r="J3319" t="s">
        <v>109</v>
      </c>
      <c r="K3319" t="s">
        <v>35</v>
      </c>
      <c r="L3319" s="4">
        <f>VLOOKUP(tblTransactions[[#This Row],[Product_ID]],tblProducts[],5,FALSE)</f>
        <v>25.43</v>
      </c>
      <c r="M3319" s="4">
        <f>tblTransactions[[#This Row],[Total_Amount]]-(tblTransactions[[#This Row],[Cost_Prices]]*tblTransactions[[#This Row],[Quantity]]*(1-tblTransactions[[#This Row],[Discount]]))</f>
        <v>93.367400000000018</v>
      </c>
      <c r="N3319" s="3">
        <f>tblTransactions[[#This Row],[Profit]]/tblTransactions[[#This Row],[Total_Amount]]</f>
        <v>0.56558880542767154</v>
      </c>
      <c r="O3319" t="str">
        <f>TEXT(tblTransactions[[#This Row],[Date]], "MMM-YYYY")</f>
        <v>Nov-2024</v>
      </c>
      <c r="P3319" t="str">
        <f>"Q"&amp;ROUNDUP(MONTH(tblTransactions[[#This Row],[Date]])/3,0)&amp;"-"&amp;YEAR(tblTransactions[[#This Row],[Date]])</f>
        <v>Q4-2024</v>
      </c>
      <c r="Q3319">
        <f>YEAR(tblTransactions[[#This Row],[Date]])</f>
        <v>2024</v>
      </c>
      <c r="R3319" t="str">
        <f>TEXT(tblTransactions[[#This Row],[Date]],"DDDD")</f>
        <v>Tuesday</v>
      </c>
      <c r="S3319">
        <f>MONTH(tblTransactions[[#This Row],[Date]])</f>
        <v>11</v>
      </c>
      <c r="T3319" t="str">
        <f>VLOOKUP(E3319, Products!$A:$B,2,0)</f>
        <v>Paper Off-2</v>
      </c>
      <c r="U3319" t="str">
        <f>VLOOKUP(E3319,Products!$A:$C,3,0)</f>
        <v>Office Supplies</v>
      </c>
      <c r="V3319" t="str">
        <f>VLOOKUP(E3319,Products!$A:$D,4,0)</f>
        <v>Paper</v>
      </c>
      <c r="W3319" t="str">
        <f>VLOOKUP(D3319,Customers!$A:$C,3,0)</f>
        <v>B2C</v>
      </c>
      <c r="X3319" t="str">
        <f>VLOOKUP(C3319,Sales_Representatives!$A:$B,2,0)</f>
        <v>Emily Hernandez</v>
      </c>
    </row>
    <row r="3320" spans="1:24" x14ac:dyDescent="0.3">
      <c r="A3320" t="s">
        <v>4464</v>
      </c>
      <c r="B3320" t="s">
        <v>4462</v>
      </c>
      <c r="C3320" t="s">
        <v>70</v>
      </c>
      <c r="D3320" t="s">
        <v>2405</v>
      </c>
      <c r="E3320" t="s">
        <v>450</v>
      </c>
      <c r="F3320">
        <v>2</v>
      </c>
      <c r="G3320">
        <v>2083.92</v>
      </c>
      <c r="H3320">
        <v>0.08</v>
      </c>
      <c r="I3320" s="4">
        <v>3834.41</v>
      </c>
      <c r="J3320" t="s">
        <v>16</v>
      </c>
      <c r="K3320" t="s">
        <v>39</v>
      </c>
      <c r="L3320" s="4">
        <f>VLOOKUP(tblTransactions[[#This Row],[Product_ID]],tblProducts[],5,FALSE)</f>
        <v>1425.78</v>
      </c>
      <c r="M3320" s="4">
        <f>tblTransactions[[#This Row],[Total_Amount]]-(tblTransactions[[#This Row],[Cost_Prices]]*tblTransactions[[#This Row],[Quantity]]*(1-tblTransactions[[#This Row],[Discount]]))</f>
        <v>1210.9748</v>
      </c>
      <c r="N3320" s="3">
        <f>tblTransactions[[#This Row],[Profit]]/tblTransactions[[#This Row],[Total_Amount]]</f>
        <v>0.31581776596660244</v>
      </c>
      <c r="O3320" t="str">
        <f>TEXT(tblTransactions[[#This Row],[Date]], "MMM-YYYY")</f>
        <v>Nov-2024</v>
      </c>
      <c r="P3320" t="str">
        <f>"Q"&amp;ROUNDUP(MONTH(tblTransactions[[#This Row],[Date]])/3,0)&amp;"-"&amp;YEAR(tblTransactions[[#This Row],[Date]])</f>
        <v>Q4-2024</v>
      </c>
      <c r="Q3320">
        <f>YEAR(tblTransactions[[#This Row],[Date]])</f>
        <v>2024</v>
      </c>
      <c r="R3320" t="str">
        <f>TEXT(tblTransactions[[#This Row],[Date]],"DDDD")</f>
        <v>Tuesday</v>
      </c>
      <c r="S3320">
        <f>MONTH(tblTransactions[[#This Row],[Date]])</f>
        <v>11</v>
      </c>
      <c r="T3320" t="str">
        <f>VLOOKUP(E3320, Products!$A:$B,2,0)</f>
        <v>Monitors Tec-4</v>
      </c>
      <c r="U3320" t="str">
        <f>VLOOKUP(E3320,Products!$A:$C,3,0)</f>
        <v>Technology</v>
      </c>
      <c r="V3320" t="str">
        <f>VLOOKUP(E3320,Products!$A:$D,4,0)</f>
        <v>Monitors</v>
      </c>
      <c r="W3320" t="str">
        <f>VLOOKUP(D3320,Customers!$A:$C,3,0)</f>
        <v>B2C</v>
      </c>
      <c r="X3320" t="str">
        <f>VLOOKUP(C3320,Sales_Representatives!$A:$B,2,0)</f>
        <v>Linda Smith</v>
      </c>
    </row>
    <row r="3321" spans="1:24" x14ac:dyDescent="0.3">
      <c r="A3321" t="s">
        <v>4465</v>
      </c>
      <c r="B3321" t="s">
        <v>4462</v>
      </c>
      <c r="C3321" t="s">
        <v>56</v>
      </c>
      <c r="D3321" t="s">
        <v>2527</v>
      </c>
      <c r="E3321" t="s">
        <v>108</v>
      </c>
      <c r="F3321">
        <v>3</v>
      </c>
      <c r="G3321">
        <v>155.75</v>
      </c>
      <c r="H3321">
        <v>0.06</v>
      </c>
      <c r="I3321" s="4">
        <v>439.22</v>
      </c>
      <c r="J3321" t="s">
        <v>34</v>
      </c>
      <c r="K3321" t="s">
        <v>35</v>
      </c>
      <c r="L3321" s="4">
        <f>VLOOKUP(tblTransactions[[#This Row],[Product_ID]],tblProducts[],5,FALSE)</f>
        <v>80.8</v>
      </c>
      <c r="M3321" s="4">
        <f>tblTransactions[[#This Row],[Total_Amount]]-(tblTransactions[[#This Row],[Cost_Prices]]*tblTransactions[[#This Row],[Quantity]]*(1-tblTransactions[[#This Row],[Discount]]))</f>
        <v>211.36400000000006</v>
      </c>
      <c r="N3321" s="3">
        <f>tblTransactions[[#This Row],[Profit]]/tblTransactions[[#This Row],[Total_Amount]]</f>
        <v>0.48122580938937221</v>
      </c>
      <c r="O3321" t="str">
        <f>TEXT(tblTransactions[[#This Row],[Date]], "MMM-YYYY")</f>
        <v>Nov-2024</v>
      </c>
      <c r="P3321" t="str">
        <f>"Q"&amp;ROUNDUP(MONTH(tblTransactions[[#This Row],[Date]])/3,0)&amp;"-"&amp;YEAR(tblTransactions[[#This Row],[Date]])</f>
        <v>Q4-2024</v>
      </c>
      <c r="Q3321">
        <f>YEAR(tblTransactions[[#This Row],[Date]])</f>
        <v>2024</v>
      </c>
      <c r="R3321" t="str">
        <f>TEXT(tblTransactions[[#This Row],[Date]],"DDDD")</f>
        <v>Tuesday</v>
      </c>
      <c r="S3321">
        <f>MONTH(tblTransactions[[#This Row],[Date]])</f>
        <v>11</v>
      </c>
      <c r="T3321" t="str">
        <f>VLOOKUP(E3321, Products!$A:$B,2,0)</f>
        <v>Cases Acc-1</v>
      </c>
      <c r="U3321" t="str">
        <f>VLOOKUP(E3321,Products!$A:$C,3,0)</f>
        <v>Accessories</v>
      </c>
      <c r="V3321" t="str">
        <f>VLOOKUP(E3321,Products!$A:$D,4,0)</f>
        <v>Cases</v>
      </c>
      <c r="W3321" t="str">
        <f>VLOOKUP(D3321,Customers!$A:$C,3,0)</f>
        <v>B2C</v>
      </c>
      <c r="X3321" t="str">
        <f>VLOOKUP(C3321,Sales_Representatives!$A:$B,2,0)</f>
        <v>Thomas Hernandez</v>
      </c>
    </row>
    <row r="3322" spans="1:24" x14ac:dyDescent="0.3">
      <c r="A3322" t="s">
        <v>4466</v>
      </c>
      <c r="B3322" t="s">
        <v>4462</v>
      </c>
      <c r="C3322" t="s">
        <v>75</v>
      </c>
      <c r="D3322" t="s">
        <v>1627</v>
      </c>
      <c r="E3322" t="s">
        <v>72</v>
      </c>
      <c r="F3322">
        <v>32</v>
      </c>
      <c r="G3322">
        <v>404.76</v>
      </c>
      <c r="H3322">
        <v>0.21</v>
      </c>
      <c r="I3322" s="4">
        <v>10232.33</v>
      </c>
      <c r="J3322" t="s">
        <v>44</v>
      </c>
      <c r="K3322" t="s">
        <v>39</v>
      </c>
      <c r="L3322" s="4">
        <f>VLOOKUP(tblTransactions[[#This Row],[Product_ID]],tblProducts[],5,FALSE)</f>
        <v>226.76</v>
      </c>
      <c r="M3322" s="4">
        <f>tblTransactions[[#This Row],[Total_Amount]]-(tblTransactions[[#This Row],[Cost_Prices]]*tblTransactions[[#This Row],[Quantity]]*(1-tblTransactions[[#This Row],[Discount]]))</f>
        <v>4499.8371999999999</v>
      </c>
      <c r="N3322" s="3">
        <f>tblTransactions[[#This Row],[Profit]]/tblTransactions[[#This Row],[Total_Amount]]</f>
        <v>0.43976662206946021</v>
      </c>
      <c r="O3322" t="str">
        <f>TEXT(tblTransactions[[#This Row],[Date]], "MMM-YYYY")</f>
        <v>Nov-2024</v>
      </c>
      <c r="P3322" t="str">
        <f>"Q"&amp;ROUNDUP(MONTH(tblTransactions[[#This Row],[Date]])/3,0)&amp;"-"&amp;YEAR(tblTransactions[[#This Row],[Date]])</f>
        <v>Q4-2024</v>
      </c>
      <c r="Q3322">
        <f>YEAR(tblTransactions[[#This Row],[Date]])</f>
        <v>2024</v>
      </c>
      <c r="R3322" t="str">
        <f>TEXT(tblTransactions[[#This Row],[Date]],"DDDD")</f>
        <v>Tuesday</v>
      </c>
      <c r="S3322">
        <f>MONTH(tblTransactions[[#This Row],[Date]])</f>
        <v>11</v>
      </c>
      <c r="T3322" t="str">
        <f>VLOOKUP(E3322, Products!$A:$B,2,0)</f>
        <v>Tablets Ele-2</v>
      </c>
      <c r="U3322" t="str">
        <f>VLOOKUP(E3322,Products!$A:$C,3,0)</f>
        <v>Electronics</v>
      </c>
      <c r="V3322" t="str">
        <f>VLOOKUP(E3322,Products!$A:$D,4,0)</f>
        <v>Tablets</v>
      </c>
      <c r="W3322" t="str">
        <f>VLOOKUP(D3322,Customers!$A:$C,3,0)</f>
        <v>Enterprise</v>
      </c>
      <c r="X3322" t="str">
        <f>VLOOKUP(C3322,Sales_Representatives!$A:$B,2,0)</f>
        <v>Jessica Anderson</v>
      </c>
    </row>
    <row r="3323" spans="1:24" x14ac:dyDescent="0.3">
      <c r="A3323" t="s">
        <v>4467</v>
      </c>
      <c r="B3323" t="s">
        <v>4462</v>
      </c>
      <c r="C3323" t="s">
        <v>56</v>
      </c>
      <c r="D3323" t="s">
        <v>1945</v>
      </c>
      <c r="E3323" t="s">
        <v>204</v>
      </c>
      <c r="F3323">
        <v>15</v>
      </c>
      <c r="G3323">
        <v>715.62</v>
      </c>
      <c r="H3323">
        <v>0.17</v>
      </c>
      <c r="I3323" s="4">
        <v>8909.4699999999993</v>
      </c>
      <c r="J3323" t="s">
        <v>34</v>
      </c>
      <c r="K3323" t="s">
        <v>35</v>
      </c>
      <c r="L3323" s="4">
        <f>VLOOKUP(tblTransactions[[#This Row],[Product_ID]],tblProducts[],5,FALSE)</f>
        <v>459.58</v>
      </c>
      <c r="M3323" s="4">
        <f>tblTransactions[[#This Row],[Total_Amount]]-(tblTransactions[[#This Row],[Cost_Prices]]*tblTransactions[[#This Row],[Quantity]]*(1-tblTransactions[[#This Row],[Discount]]))</f>
        <v>3187.6989999999996</v>
      </c>
      <c r="N3323" s="3">
        <f>tblTransactions[[#This Row],[Profit]]/tblTransactions[[#This Row],[Total_Amount]]</f>
        <v>0.35778772474681431</v>
      </c>
      <c r="O3323" t="str">
        <f>TEXT(tblTransactions[[#This Row],[Date]], "MMM-YYYY")</f>
        <v>Nov-2024</v>
      </c>
      <c r="P3323" t="str">
        <f>"Q"&amp;ROUNDUP(MONTH(tblTransactions[[#This Row],[Date]])/3,0)&amp;"-"&amp;YEAR(tblTransactions[[#This Row],[Date]])</f>
        <v>Q4-2024</v>
      </c>
      <c r="Q3323">
        <f>YEAR(tblTransactions[[#This Row],[Date]])</f>
        <v>2024</v>
      </c>
      <c r="R3323" t="str">
        <f>TEXT(tblTransactions[[#This Row],[Date]],"DDDD")</f>
        <v>Tuesday</v>
      </c>
      <c r="S3323">
        <f>MONTH(tblTransactions[[#This Row],[Date]])</f>
        <v>11</v>
      </c>
      <c r="T3323" t="str">
        <f>VLOOKUP(E3323, Products!$A:$B,2,0)</f>
        <v>Cameras Ele-2</v>
      </c>
      <c r="U3323" t="str">
        <f>VLOOKUP(E3323,Products!$A:$C,3,0)</f>
        <v>Electronics</v>
      </c>
      <c r="V3323" t="str">
        <f>VLOOKUP(E3323,Products!$A:$D,4,0)</f>
        <v>Cameras</v>
      </c>
      <c r="W3323" t="str">
        <f>VLOOKUP(D3323,Customers!$A:$C,3,0)</f>
        <v>B2B</v>
      </c>
      <c r="X3323" t="str">
        <f>VLOOKUP(C3323,Sales_Representatives!$A:$B,2,0)</f>
        <v>Thomas Hernandez</v>
      </c>
    </row>
    <row r="3324" spans="1:24" x14ac:dyDescent="0.3">
      <c r="A3324" t="s">
        <v>4468</v>
      </c>
      <c r="B3324" t="s">
        <v>4469</v>
      </c>
      <c r="C3324" t="s">
        <v>19</v>
      </c>
      <c r="D3324" t="s">
        <v>1447</v>
      </c>
      <c r="E3324" t="s">
        <v>172</v>
      </c>
      <c r="F3324">
        <v>17</v>
      </c>
      <c r="G3324">
        <v>1371.15</v>
      </c>
      <c r="H3324">
        <v>0.16</v>
      </c>
      <c r="I3324" s="4">
        <v>19580.02</v>
      </c>
      <c r="J3324" t="s">
        <v>21</v>
      </c>
      <c r="K3324" t="s">
        <v>22</v>
      </c>
      <c r="L3324" s="4">
        <f>VLOOKUP(tblTransactions[[#This Row],[Product_ID]],tblProducts[],5,FALSE)</f>
        <v>989.81</v>
      </c>
      <c r="M3324" s="4">
        <f>tblTransactions[[#This Row],[Total_Amount]]-(tblTransactions[[#This Row],[Cost_Prices]]*tblTransactions[[#This Row],[Quantity]]*(1-tblTransactions[[#This Row],[Discount]]))</f>
        <v>5445.5331999999999</v>
      </c>
      <c r="N3324" s="3">
        <f>tblTransactions[[#This Row],[Profit]]/tblTransactions[[#This Row],[Total_Amount]]</f>
        <v>0.27811683542713439</v>
      </c>
      <c r="O3324" t="str">
        <f>TEXT(tblTransactions[[#This Row],[Date]], "MMM-YYYY")</f>
        <v>Nov-2024</v>
      </c>
      <c r="P3324" t="str">
        <f>"Q"&amp;ROUNDUP(MONTH(tblTransactions[[#This Row],[Date]])/3,0)&amp;"-"&amp;YEAR(tblTransactions[[#This Row],[Date]])</f>
        <v>Q4-2024</v>
      </c>
      <c r="Q3324">
        <f>YEAR(tblTransactions[[#This Row],[Date]])</f>
        <v>2024</v>
      </c>
      <c r="R3324" t="str">
        <f>TEXT(tblTransactions[[#This Row],[Date]],"DDDD")</f>
        <v>Wednesday</v>
      </c>
      <c r="S3324">
        <f>MONTH(tblTransactions[[#This Row],[Date]])</f>
        <v>11</v>
      </c>
      <c r="T3324" t="str">
        <f>VLOOKUP(E3324, Products!$A:$B,2,0)</f>
        <v>Cameras Ele-4</v>
      </c>
      <c r="U3324" t="str">
        <f>VLOOKUP(E3324,Products!$A:$C,3,0)</f>
        <v>Electronics</v>
      </c>
      <c r="V3324" t="str">
        <f>VLOOKUP(E3324,Products!$A:$D,4,0)</f>
        <v>Cameras</v>
      </c>
      <c r="W3324" t="str">
        <f>VLOOKUP(D3324,Customers!$A:$C,3,0)</f>
        <v>B2B</v>
      </c>
      <c r="X3324" t="str">
        <f>VLOOKUP(C3324,Sales_Representatives!$A:$B,2,0)</f>
        <v>Robert Jones</v>
      </c>
    </row>
    <row r="3325" spans="1:24" x14ac:dyDescent="0.3">
      <c r="A3325" t="s">
        <v>4470</v>
      </c>
      <c r="B3325" t="s">
        <v>4471</v>
      </c>
      <c r="C3325" t="s">
        <v>75</v>
      </c>
      <c r="D3325" t="s">
        <v>1627</v>
      </c>
      <c r="E3325" t="s">
        <v>221</v>
      </c>
      <c r="F3325">
        <v>23</v>
      </c>
      <c r="G3325">
        <v>210.02</v>
      </c>
      <c r="H3325">
        <v>0.18</v>
      </c>
      <c r="I3325" s="4">
        <v>3960.98</v>
      </c>
      <c r="J3325" t="s">
        <v>44</v>
      </c>
      <c r="K3325" t="s">
        <v>39</v>
      </c>
      <c r="L3325" s="4">
        <f>VLOOKUP(tblTransactions[[#This Row],[Product_ID]],tblProducts[],5,FALSE)</f>
        <v>131.66</v>
      </c>
      <c r="M3325" s="4">
        <f>tblTransactions[[#This Row],[Total_Amount]]-(tblTransactions[[#This Row],[Cost_Prices]]*tblTransactions[[#This Row],[Quantity]]*(1-tblTransactions[[#This Row],[Discount]]))</f>
        <v>1477.8723999999997</v>
      </c>
      <c r="N3325" s="3">
        <f>tblTransactions[[#This Row],[Profit]]/tblTransactions[[#This Row],[Total_Amount]]</f>
        <v>0.37310776625986491</v>
      </c>
      <c r="O3325" t="str">
        <f>TEXT(tblTransactions[[#This Row],[Date]], "MMM-YYYY")</f>
        <v>Nov-2024</v>
      </c>
      <c r="P3325" t="str">
        <f>"Q"&amp;ROUNDUP(MONTH(tblTransactions[[#This Row],[Date]])/3,0)&amp;"-"&amp;YEAR(tblTransactions[[#This Row],[Date]])</f>
        <v>Q4-2024</v>
      </c>
      <c r="Q3325">
        <f>YEAR(tblTransactions[[#This Row],[Date]])</f>
        <v>2024</v>
      </c>
      <c r="R3325" t="str">
        <f>TEXT(tblTransactions[[#This Row],[Date]],"DDDD")</f>
        <v>Thursday</v>
      </c>
      <c r="S3325">
        <f>MONTH(tblTransactions[[#This Row],[Date]])</f>
        <v>11</v>
      </c>
      <c r="T3325" t="str">
        <f>VLOOKUP(E3325, Products!$A:$B,2,0)</f>
        <v>Storage Fur-2</v>
      </c>
      <c r="U3325" t="str">
        <f>VLOOKUP(E3325,Products!$A:$C,3,0)</f>
        <v>Furniture</v>
      </c>
      <c r="V3325" t="str">
        <f>VLOOKUP(E3325,Products!$A:$D,4,0)</f>
        <v>Storage</v>
      </c>
      <c r="W3325" t="str">
        <f>VLOOKUP(D3325,Customers!$A:$C,3,0)</f>
        <v>Enterprise</v>
      </c>
      <c r="X3325" t="str">
        <f>VLOOKUP(C3325,Sales_Representatives!$A:$B,2,0)</f>
        <v>Jessica Anderson</v>
      </c>
    </row>
    <row r="3326" spans="1:24" x14ac:dyDescent="0.3">
      <c r="A3326" t="s">
        <v>4472</v>
      </c>
      <c r="B3326" t="s">
        <v>4471</v>
      </c>
      <c r="C3326" t="s">
        <v>107</v>
      </c>
      <c r="D3326" t="s">
        <v>2278</v>
      </c>
      <c r="E3326" t="s">
        <v>38</v>
      </c>
      <c r="F3326">
        <v>18</v>
      </c>
      <c r="G3326">
        <v>581.47</v>
      </c>
      <c r="H3326">
        <v>0.14000000000000001</v>
      </c>
      <c r="I3326" s="4">
        <v>9001.16</v>
      </c>
      <c r="J3326" t="s">
        <v>109</v>
      </c>
      <c r="K3326" t="s">
        <v>35</v>
      </c>
      <c r="L3326" s="4">
        <f>VLOOKUP(tblTransactions[[#This Row],[Product_ID]],tblProducts[],5,FALSE)</f>
        <v>372.07</v>
      </c>
      <c r="M3326" s="4">
        <f>tblTransactions[[#This Row],[Total_Amount]]-(tblTransactions[[#This Row],[Cost_Prices]]*tblTransactions[[#This Row],[Quantity]]*(1-tblTransactions[[#This Row],[Discount]]))</f>
        <v>3241.5163999999995</v>
      </c>
      <c r="N3326" s="3">
        <f>tblTransactions[[#This Row],[Profit]]/tblTransactions[[#This Row],[Total_Amount]]</f>
        <v>0.36012207315501554</v>
      </c>
      <c r="O3326" t="str">
        <f>TEXT(tblTransactions[[#This Row],[Date]], "MMM-YYYY")</f>
        <v>Nov-2024</v>
      </c>
      <c r="P3326" t="str">
        <f>"Q"&amp;ROUNDUP(MONTH(tblTransactions[[#This Row],[Date]])/3,0)&amp;"-"&amp;YEAR(tblTransactions[[#This Row],[Date]])</f>
        <v>Q4-2024</v>
      </c>
      <c r="Q3326">
        <f>YEAR(tblTransactions[[#This Row],[Date]])</f>
        <v>2024</v>
      </c>
      <c r="R3326" t="str">
        <f>TEXT(tblTransactions[[#This Row],[Date]],"DDDD")</f>
        <v>Thursday</v>
      </c>
      <c r="S3326">
        <f>MONTH(tblTransactions[[#This Row],[Date]])</f>
        <v>11</v>
      </c>
      <c r="T3326" t="str">
        <f>VLOOKUP(E3326, Products!$A:$B,2,0)</f>
        <v>Storage Fur-3</v>
      </c>
      <c r="U3326" t="str">
        <f>VLOOKUP(E3326,Products!$A:$C,3,0)</f>
        <v>Furniture</v>
      </c>
      <c r="V3326" t="str">
        <f>VLOOKUP(E3326,Products!$A:$D,4,0)</f>
        <v>Storage</v>
      </c>
      <c r="W3326" t="str">
        <f>VLOOKUP(D3326,Customers!$A:$C,3,0)</f>
        <v>B2B</v>
      </c>
      <c r="X3326" t="str">
        <f>VLOOKUP(C3326,Sales_Representatives!$A:$B,2,0)</f>
        <v>Jennifer Brown</v>
      </c>
    </row>
    <row r="3327" spans="1:24" x14ac:dyDescent="0.3">
      <c r="A3327" t="s">
        <v>4473</v>
      </c>
      <c r="B3327" t="s">
        <v>4471</v>
      </c>
      <c r="C3327" t="s">
        <v>19</v>
      </c>
      <c r="D3327" t="s">
        <v>2147</v>
      </c>
      <c r="E3327" t="s">
        <v>264</v>
      </c>
      <c r="F3327">
        <v>12</v>
      </c>
      <c r="G3327">
        <v>607.29999999999995</v>
      </c>
      <c r="H3327">
        <v>0.13</v>
      </c>
      <c r="I3327" s="4">
        <v>6340.21</v>
      </c>
      <c r="J3327" t="s">
        <v>21</v>
      </c>
      <c r="K3327" t="s">
        <v>35</v>
      </c>
      <c r="L3327" s="4">
        <f>VLOOKUP(tblTransactions[[#This Row],[Product_ID]],tblProducts[],5,FALSE)</f>
        <v>436.37</v>
      </c>
      <c r="M3327" s="4">
        <f>tblTransactions[[#This Row],[Total_Amount]]-(tblTransactions[[#This Row],[Cost_Prices]]*tblTransactions[[#This Row],[Quantity]]*(1-tblTransactions[[#This Row],[Discount]]))</f>
        <v>1784.5072</v>
      </c>
      <c r="N3327" s="3">
        <f>tblTransactions[[#This Row],[Profit]]/tblTransactions[[#This Row],[Total_Amount]]</f>
        <v>0.28145868985412154</v>
      </c>
      <c r="O3327" t="str">
        <f>TEXT(tblTransactions[[#This Row],[Date]], "MMM-YYYY")</f>
        <v>Nov-2024</v>
      </c>
      <c r="P3327" t="str">
        <f>"Q"&amp;ROUNDUP(MONTH(tblTransactions[[#This Row],[Date]])/3,0)&amp;"-"&amp;YEAR(tblTransactions[[#This Row],[Date]])</f>
        <v>Q4-2024</v>
      </c>
      <c r="Q3327">
        <f>YEAR(tblTransactions[[#This Row],[Date]])</f>
        <v>2024</v>
      </c>
      <c r="R3327" t="str">
        <f>TEXT(tblTransactions[[#This Row],[Date]],"DDDD")</f>
        <v>Thursday</v>
      </c>
      <c r="S3327">
        <f>MONTH(tblTransactions[[#This Row],[Date]])</f>
        <v>11</v>
      </c>
      <c r="T3327" t="str">
        <f>VLOOKUP(E3327, Products!$A:$B,2,0)</f>
        <v>Tablets Ele-4</v>
      </c>
      <c r="U3327" t="str">
        <f>VLOOKUP(E3327,Products!$A:$C,3,0)</f>
        <v>Electronics</v>
      </c>
      <c r="V3327" t="str">
        <f>VLOOKUP(E3327,Products!$A:$D,4,0)</f>
        <v>Tablets</v>
      </c>
      <c r="W3327" t="str">
        <f>VLOOKUP(D3327,Customers!$A:$C,3,0)</f>
        <v>B2B</v>
      </c>
      <c r="X3327" t="str">
        <f>VLOOKUP(C3327,Sales_Representatives!$A:$B,2,0)</f>
        <v>Robert Jones</v>
      </c>
    </row>
    <row r="3328" spans="1:24" x14ac:dyDescent="0.3">
      <c r="A3328" t="s">
        <v>4474</v>
      </c>
      <c r="B3328" t="s">
        <v>4471</v>
      </c>
      <c r="C3328" t="s">
        <v>41</v>
      </c>
      <c r="D3328" t="s">
        <v>1494</v>
      </c>
      <c r="E3328" t="s">
        <v>96</v>
      </c>
      <c r="F3328">
        <v>6</v>
      </c>
      <c r="G3328">
        <v>751.9</v>
      </c>
      <c r="H3328">
        <v>7.0000000000000007E-2</v>
      </c>
      <c r="I3328" s="4">
        <v>4195.6000000000004</v>
      </c>
      <c r="J3328" t="s">
        <v>44</v>
      </c>
      <c r="K3328" t="s">
        <v>22</v>
      </c>
      <c r="L3328" s="4">
        <f>VLOOKUP(tblTransactions[[#This Row],[Product_ID]],tblProducts[],5,FALSE)</f>
        <v>570.29</v>
      </c>
      <c r="M3328" s="4">
        <f>tblTransactions[[#This Row],[Total_Amount]]-(tblTransactions[[#This Row],[Cost_Prices]]*tblTransactions[[#This Row],[Quantity]]*(1-tblTransactions[[#This Row],[Discount]]))</f>
        <v>1013.3818000000006</v>
      </c>
      <c r="N3328" s="3">
        <f>tblTransactions[[#This Row],[Profit]]/tblTransactions[[#This Row],[Total_Amount]]</f>
        <v>0.24153441700829451</v>
      </c>
      <c r="O3328" t="str">
        <f>TEXT(tblTransactions[[#This Row],[Date]], "MMM-YYYY")</f>
        <v>Nov-2024</v>
      </c>
      <c r="P3328" t="str">
        <f>"Q"&amp;ROUNDUP(MONTH(tblTransactions[[#This Row],[Date]])/3,0)&amp;"-"&amp;YEAR(tblTransactions[[#This Row],[Date]])</f>
        <v>Q4-2024</v>
      </c>
      <c r="Q3328">
        <f>YEAR(tblTransactions[[#This Row],[Date]])</f>
        <v>2024</v>
      </c>
      <c r="R3328" t="str">
        <f>TEXT(tblTransactions[[#This Row],[Date]],"DDDD")</f>
        <v>Thursday</v>
      </c>
      <c r="S3328">
        <f>MONTH(tblTransactions[[#This Row],[Date]])</f>
        <v>11</v>
      </c>
      <c r="T3328" t="str">
        <f>VLOOKUP(E3328, Products!$A:$B,2,0)</f>
        <v>Routers Tec-1</v>
      </c>
      <c r="U3328" t="str">
        <f>VLOOKUP(E3328,Products!$A:$C,3,0)</f>
        <v>Technology</v>
      </c>
      <c r="V3328" t="str">
        <f>VLOOKUP(E3328,Products!$A:$D,4,0)</f>
        <v>Routers</v>
      </c>
      <c r="W3328" t="str">
        <f>VLOOKUP(D3328,Customers!$A:$C,3,0)</f>
        <v>Small Business</v>
      </c>
      <c r="X3328" t="str">
        <f>VLOOKUP(C3328,Sales_Representatives!$A:$B,2,0)</f>
        <v>Robert Jones</v>
      </c>
    </row>
    <row r="3329" spans="1:24" x14ac:dyDescent="0.3">
      <c r="A3329" t="s">
        <v>4475</v>
      </c>
      <c r="B3329" t="s">
        <v>4471</v>
      </c>
      <c r="C3329" t="s">
        <v>56</v>
      </c>
      <c r="D3329" t="s">
        <v>2854</v>
      </c>
      <c r="E3329" t="s">
        <v>20</v>
      </c>
      <c r="F3329">
        <v>1</v>
      </c>
      <c r="G3329">
        <v>1219.49</v>
      </c>
      <c r="H3329">
        <v>0.04</v>
      </c>
      <c r="I3329" s="4">
        <v>1170.71</v>
      </c>
      <c r="J3329" t="s">
        <v>34</v>
      </c>
      <c r="K3329" t="s">
        <v>22</v>
      </c>
      <c r="L3329" s="4">
        <f>VLOOKUP(tblTransactions[[#This Row],[Product_ID]],tblProducts[],5,FALSE)</f>
        <v>686.9</v>
      </c>
      <c r="M3329" s="4">
        <f>tblTransactions[[#This Row],[Total_Amount]]-(tblTransactions[[#This Row],[Cost_Prices]]*tblTransactions[[#This Row],[Quantity]]*(1-tblTransactions[[#This Row],[Discount]]))</f>
        <v>511.28600000000006</v>
      </c>
      <c r="N3329" s="3">
        <f>tblTransactions[[#This Row],[Profit]]/tblTransactions[[#This Row],[Total_Amount]]</f>
        <v>0.43673155606426872</v>
      </c>
      <c r="O3329" t="str">
        <f>TEXT(tblTransactions[[#This Row],[Date]], "MMM-YYYY")</f>
        <v>Nov-2024</v>
      </c>
      <c r="P3329" t="str">
        <f>"Q"&amp;ROUNDUP(MONTH(tblTransactions[[#This Row],[Date]])/3,0)&amp;"-"&amp;YEAR(tblTransactions[[#This Row],[Date]])</f>
        <v>Q4-2024</v>
      </c>
      <c r="Q3329">
        <f>YEAR(tblTransactions[[#This Row],[Date]])</f>
        <v>2024</v>
      </c>
      <c r="R3329" t="str">
        <f>TEXT(tblTransactions[[#This Row],[Date]],"DDDD")</f>
        <v>Thursday</v>
      </c>
      <c r="S3329">
        <f>MONTH(tblTransactions[[#This Row],[Date]])</f>
        <v>11</v>
      </c>
      <c r="T3329" t="str">
        <f>VLOOKUP(E3329, Products!$A:$B,2,0)</f>
        <v>Laptops Ele-1</v>
      </c>
      <c r="U3329" t="str">
        <f>VLOOKUP(E3329,Products!$A:$C,3,0)</f>
        <v>Electronics</v>
      </c>
      <c r="V3329" t="str">
        <f>VLOOKUP(E3329,Products!$A:$D,4,0)</f>
        <v>Laptops</v>
      </c>
      <c r="W3329" t="str">
        <f>VLOOKUP(D3329,Customers!$A:$C,3,0)</f>
        <v>B2C</v>
      </c>
      <c r="X3329" t="str">
        <f>VLOOKUP(C3329,Sales_Representatives!$A:$B,2,0)</f>
        <v>Thomas Hernandez</v>
      </c>
    </row>
    <row r="3330" spans="1:24" x14ac:dyDescent="0.3">
      <c r="A3330" t="s">
        <v>4476</v>
      </c>
      <c r="B3330" t="s">
        <v>4471</v>
      </c>
      <c r="C3330" t="s">
        <v>63</v>
      </c>
      <c r="D3330" t="s">
        <v>1838</v>
      </c>
      <c r="E3330" t="s">
        <v>99</v>
      </c>
      <c r="F3330">
        <v>27</v>
      </c>
      <c r="G3330">
        <v>325.14</v>
      </c>
      <c r="H3330">
        <v>0.19</v>
      </c>
      <c r="I3330" s="4">
        <v>7110.81</v>
      </c>
      <c r="J3330" t="s">
        <v>21</v>
      </c>
      <c r="K3330" t="s">
        <v>39</v>
      </c>
      <c r="L3330" s="4">
        <f>VLOOKUP(tblTransactions[[#This Row],[Product_ID]],tblProducts[],5,FALSE)</f>
        <v>209.04</v>
      </c>
      <c r="M3330" s="4">
        <f>tblTransactions[[#This Row],[Total_Amount]]-(tblTransactions[[#This Row],[Cost_Prices]]*tblTransactions[[#This Row],[Quantity]]*(1-tblTransactions[[#This Row],[Discount]]))</f>
        <v>2539.1052</v>
      </c>
      <c r="N3330" s="3">
        <f>tblTransactions[[#This Row],[Profit]]/tblTransactions[[#This Row],[Total_Amount]]</f>
        <v>0.35707678872027238</v>
      </c>
      <c r="O3330" t="str">
        <f>TEXT(tblTransactions[[#This Row],[Date]], "MMM-YYYY")</f>
        <v>Nov-2024</v>
      </c>
      <c r="P3330" t="str">
        <f>"Q"&amp;ROUNDUP(MONTH(tblTransactions[[#This Row],[Date]])/3,0)&amp;"-"&amp;YEAR(tblTransactions[[#This Row],[Date]])</f>
        <v>Q4-2024</v>
      </c>
      <c r="Q3330">
        <f>YEAR(tblTransactions[[#This Row],[Date]])</f>
        <v>2024</v>
      </c>
      <c r="R3330" t="str">
        <f>TEXT(tblTransactions[[#This Row],[Date]],"DDDD")</f>
        <v>Thursday</v>
      </c>
      <c r="S3330">
        <f>MONTH(tblTransactions[[#This Row],[Date]])</f>
        <v>11</v>
      </c>
      <c r="T3330" t="str">
        <f>VLOOKUP(E3330, Products!$A:$B,2,0)</f>
        <v>Monitors Tec-1</v>
      </c>
      <c r="U3330" t="str">
        <f>VLOOKUP(E3330,Products!$A:$C,3,0)</f>
        <v>Technology</v>
      </c>
      <c r="V3330" t="str">
        <f>VLOOKUP(E3330,Products!$A:$D,4,0)</f>
        <v>Monitors</v>
      </c>
      <c r="W3330" t="str">
        <f>VLOOKUP(D3330,Customers!$A:$C,3,0)</f>
        <v>Enterprise</v>
      </c>
      <c r="X3330" t="str">
        <f>VLOOKUP(C3330,Sales_Representatives!$A:$B,2,0)</f>
        <v>Richard Wilson</v>
      </c>
    </row>
    <row r="3331" spans="1:24" x14ac:dyDescent="0.3">
      <c r="A3331" t="s">
        <v>4477</v>
      </c>
      <c r="B3331" t="s">
        <v>4471</v>
      </c>
      <c r="C3331" t="s">
        <v>41</v>
      </c>
      <c r="D3331" t="s">
        <v>1640</v>
      </c>
      <c r="E3331" t="s">
        <v>38</v>
      </c>
      <c r="F3331">
        <v>3</v>
      </c>
      <c r="G3331">
        <v>581.47</v>
      </c>
      <c r="H3331">
        <v>0.09</v>
      </c>
      <c r="I3331" s="4">
        <v>1587.41</v>
      </c>
      <c r="J3331" t="s">
        <v>44</v>
      </c>
      <c r="K3331" t="s">
        <v>22</v>
      </c>
      <c r="L3331" s="4">
        <f>VLOOKUP(tblTransactions[[#This Row],[Product_ID]],tblProducts[],5,FALSE)</f>
        <v>372.07</v>
      </c>
      <c r="M3331" s="4">
        <f>tblTransactions[[#This Row],[Total_Amount]]-(tblTransactions[[#This Row],[Cost_Prices]]*tblTransactions[[#This Row],[Quantity]]*(1-tblTransactions[[#This Row],[Discount]]))</f>
        <v>571.65890000000002</v>
      </c>
      <c r="N3331" s="3">
        <f>tblTransactions[[#This Row],[Profit]]/tblTransactions[[#This Row],[Total_Amount]]</f>
        <v>0.36012051076911444</v>
      </c>
      <c r="O3331" t="str">
        <f>TEXT(tblTransactions[[#This Row],[Date]], "MMM-YYYY")</f>
        <v>Nov-2024</v>
      </c>
      <c r="P3331" t="str">
        <f>"Q"&amp;ROUNDUP(MONTH(tblTransactions[[#This Row],[Date]])/3,0)&amp;"-"&amp;YEAR(tblTransactions[[#This Row],[Date]])</f>
        <v>Q4-2024</v>
      </c>
      <c r="Q3331">
        <f>YEAR(tblTransactions[[#This Row],[Date]])</f>
        <v>2024</v>
      </c>
      <c r="R3331" t="str">
        <f>TEXT(tblTransactions[[#This Row],[Date]],"DDDD")</f>
        <v>Thursday</v>
      </c>
      <c r="S3331">
        <f>MONTH(tblTransactions[[#This Row],[Date]])</f>
        <v>11</v>
      </c>
      <c r="T3331" t="str">
        <f>VLOOKUP(E3331, Products!$A:$B,2,0)</f>
        <v>Storage Fur-3</v>
      </c>
      <c r="U3331" t="str">
        <f>VLOOKUP(E3331,Products!$A:$C,3,0)</f>
        <v>Furniture</v>
      </c>
      <c r="V3331" t="str">
        <f>VLOOKUP(E3331,Products!$A:$D,4,0)</f>
        <v>Storage</v>
      </c>
      <c r="W3331" t="str">
        <f>VLOOKUP(D3331,Customers!$A:$C,3,0)</f>
        <v>B2C</v>
      </c>
      <c r="X3331" t="str">
        <f>VLOOKUP(C3331,Sales_Representatives!$A:$B,2,0)</f>
        <v>Robert Jones</v>
      </c>
    </row>
    <row r="3332" spans="1:24" x14ac:dyDescent="0.3">
      <c r="A3332" t="s">
        <v>4478</v>
      </c>
      <c r="B3332" t="s">
        <v>4479</v>
      </c>
      <c r="C3332" t="s">
        <v>19</v>
      </c>
      <c r="D3332" t="s">
        <v>2507</v>
      </c>
      <c r="E3332" t="s">
        <v>72</v>
      </c>
      <c r="F3332">
        <v>14</v>
      </c>
      <c r="G3332">
        <v>404.76</v>
      </c>
      <c r="H3332">
        <v>0.14000000000000001</v>
      </c>
      <c r="I3332" s="4">
        <v>4873.3100000000004</v>
      </c>
      <c r="J3332" t="s">
        <v>21</v>
      </c>
      <c r="K3332" t="s">
        <v>39</v>
      </c>
      <c r="L3332" s="4">
        <f>VLOOKUP(tblTransactions[[#This Row],[Product_ID]],tblProducts[],5,FALSE)</f>
        <v>226.76</v>
      </c>
      <c r="M3332" s="4">
        <f>tblTransactions[[#This Row],[Total_Amount]]-(tblTransactions[[#This Row],[Cost_Prices]]*tblTransactions[[#This Row],[Quantity]]*(1-tblTransactions[[#This Row],[Discount]]))</f>
        <v>2143.1196000000004</v>
      </c>
      <c r="N3332" s="3">
        <f>tblTransactions[[#This Row],[Profit]]/tblTransactions[[#This Row],[Total_Amount]]</f>
        <v>0.43976672938926525</v>
      </c>
      <c r="O3332" t="str">
        <f>TEXT(tblTransactions[[#This Row],[Date]], "MMM-YYYY")</f>
        <v>Nov-2024</v>
      </c>
      <c r="P3332" t="str">
        <f>"Q"&amp;ROUNDUP(MONTH(tblTransactions[[#This Row],[Date]])/3,0)&amp;"-"&amp;YEAR(tblTransactions[[#This Row],[Date]])</f>
        <v>Q4-2024</v>
      </c>
      <c r="Q3332">
        <f>YEAR(tblTransactions[[#This Row],[Date]])</f>
        <v>2024</v>
      </c>
      <c r="R3332" t="str">
        <f>TEXT(tblTransactions[[#This Row],[Date]],"DDDD")</f>
        <v>Friday</v>
      </c>
      <c r="S3332">
        <f>MONTH(tblTransactions[[#This Row],[Date]])</f>
        <v>11</v>
      </c>
      <c r="T3332" t="str">
        <f>VLOOKUP(E3332, Products!$A:$B,2,0)</f>
        <v>Tablets Ele-2</v>
      </c>
      <c r="U3332" t="str">
        <f>VLOOKUP(E3332,Products!$A:$C,3,0)</f>
        <v>Electronics</v>
      </c>
      <c r="V3332" t="str">
        <f>VLOOKUP(E3332,Products!$A:$D,4,0)</f>
        <v>Tablets</v>
      </c>
      <c r="W3332" t="str">
        <f>VLOOKUP(D3332,Customers!$A:$C,3,0)</f>
        <v>B2B</v>
      </c>
      <c r="X3332" t="str">
        <f>VLOOKUP(C3332,Sales_Representatives!$A:$B,2,0)</f>
        <v>Robert Jones</v>
      </c>
    </row>
    <row r="3333" spans="1:24" x14ac:dyDescent="0.3">
      <c r="A3333" t="s">
        <v>4480</v>
      </c>
      <c r="B3333" t="s">
        <v>4479</v>
      </c>
      <c r="C3333" t="s">
        <v>82</v>
      </c>
      <c r="D3333" t="s">
        <v>3847</v>
      </c>
      <c r="E3333" t="s">
        <v>176</v>
      </c>
      <c r="F3333">
        <v>2</v>
      </c>
      <c r="G3333">
        <v>1462.68</v>
      </c>
      <c r="H3333">
        <v>0.02</v>
      </c>
      <c r="I3333" s="4">
        <v>2866.85</v>
      </c>
      <c r="J3333" t="s">
        <v>34</v>
      </c>
      <c r="K3333" t="s">
        <v>48</v>
      </c>
      <c r="L3333" s="4">
        <f>VLOOKUP(tblTransactions[[#This Row],[Product_ID]],tblProducts[],5,FALSE)</f>
        <v>775.94</v>
      </c>
      <c r="M3333" s="4">
        <f>tblTransactions[[#This Row],[Total_Amount]]-(tblTransactions[[#This Row],[Cost_Prices]]*tblTransactions[[#This Row],[Quantity]]*(1-tblTransactions[[#This Row],[Discount]]))</f>
        <v>1346.0075999999999</v>
      </c>
      <c r="N3333" s="3">
        <f>tblTransactions[[#This Row],[Profit]]/tblTransactions[[#This Row],[Total_Amount]]</f>
        <v>0.46950750824075205</v>
      </c>
      <c r="O3333" t="str">
        <f>TEXT(tblTransactions[[#This Row],[Date]], "MMM-YYYY")</f>
        <v>Nov-2024</v>
      </c>
      <c r="P3333" t="str">
        <f>"Q"&amp;ROUNDUP(MONTH(tblTransactions[[#This Row],[Date]])/3,0)&amp;"-"&amp;YEAR(tblTransactions[[#This Row],[Date]])</f>
        <v>Q4-2024</v>
      </c>
      <c r="Q3333">
        <f>YEAR(tblTransactions[[#This Row],[Date]])</f>
        <v>2024</v>
      </c>
      <c r="R3333" t="str">
        <f>TEXT(tblTransactions[[#This Row],[Date]],"DDDD")</f>
        <v>Friday</v>
      </c>
      <c r="S3333">
        <f>MONTH(tblTransactions[[#This Row],[Date]])</f>
        <v>11</v>
      </c>
      <c r="T3333" t="str">
        <f>VLOOKUP(E3333, Products!$A:$B,2,0)</f>
        <v>Chairs Fur-2</v>
      </c>
      <c r="U3333" t="str">
        <f>VLOOKUP(E3333,Products!$A:$C,3,0)</f>
        <v>Furniture</v>
      </c>
      <c r="V3333" t="str">
        <f>VLOOKUP(E3333,Products!$A:$D,4,0)</f>
        <v>Chairs</v>
      </c>
      <c r="W3333" t="str">
        <f>VLOOKUP(D3333,Customers!$A:$C,3,0)</f>
        <v>B2C</v>
      </c>
      <c r="X3333" t="str">
        <f>VLOOKUP(C3333,Sales_Representatives!$A:$B,2,0)</f>
        <v>John Brown</v>
      </c>
    </row>
    <row r="3334" spans="1:24" x14ac:dyDescent="0.3">
      <c r="A3334" t="s">
        <v>4481</v>
      </c>
      <c r="B3334" t="s">
        <v>4482</v>
      </c>
      <c r="C3334" t="s">
        <v>63</v>
      </c>
      <c r="D3334" t="s">
        <v>1730</v>
      </c>
      <c r="E3334" t="s">
        <v>290</v>
      </c>
      <c r="F3334">
        <v>2</v>
      </c>
      <c r="G3334">
        <v>729.32</v>
      </c>
      <c r="H3334">
        <v>0.05</v>
      </c>
      <c r="I3334" s="4">
        <v>1385.71</v>
      </c>
      <c r="J3334" t="s">
        <v>21</v>
      </c>
      <c r="K3334" t="s">
        <v>17</v>
      </c>
      <c r="L3334" s="4">
        <f>VLOOKUP(tblTransactions[[#This Row],[Product_ID]],tblProducts[],5,FALSE)</f>
        <v>482.7</v>
      </c>
      <c r="M3334" s="4">
        <f>tblTransactions[[#This Row],[Total_Amount]]-(tblTransactions[[#This Row],[Cost_Prices]]*tblTransactions[[#This Row],[Quantity]]*(1-tblTransactions[[#This Row],[Discount]]))</f>
        <v>468.58000000000015</v>
      </c>
      <c r="N3334" s="3">
        <f>tblTransactions[[#This Row],[Profit]]/tblTransactions[[#This Row],[Total_Amount]]</f>
        <v>0.33815156129348861</v>
      </c>
      <c r="O3334" t="str">
        <f>TEXT(tblTransactions[[#This Row],[Date]], "MMM-YYYY")</f>
        <v>Nov-2024</v>
      </c>
      <c r="P3334" t="str">
        <f>"Q"&amp;ROUNDUP(MONTH(tblTransactions[[#This Row],[Date]])/3,0)&amp;"-"&amp;YEAR(tblTransactions[[#This Row],[Date]])</f>
        <v>Q4-2024</v>
      </c>
      <c r="Q3334">
        <f>YEAR(tblTransactions[[#This Row],[Date]])</f>
        <v>2024</v>
      </c>
      <c r="R3334" t="str">
        <f>TEXT(tblTransactions[[#This Row],[Date]],"DDDD")</f>
        <v>Saturday</v>
      </c>
      <c r="S3334">
        <f>MONTH(tblTransactions[[#This Row],[Date]])</f>
        <v>11</v>
      </c>
      <c r="T3334" t="str">
        <f>VLOOKUP(E3334, Products!$A:$B,2,0)</f>
        <v>Tables Fur-1</v>
      </c>
      <c r="U3334" t="str">
        <f>VLOOKUP(E3334,Products!$A:$C,3,0)</f>
        <v>Furniture</v>
      </c>
      <c r="V3334" t="str">
        <f>VLOOKUP(E3334,Products!$A:$D,4,0)</f>
        <v>Tables</v>
      </c>
      <c r="W3334" t="str">
        <f>VLOOKUP(D3334,Customers!$A:$C,3,0)</f>
        <v>B2B</v>
      </c>
      <c r="X3334" t="str">
        <f>VLOOKUP(C3334,Sales_Representatives!$A:$B,2,0)</f>
        <v>Richard Wilson</v>
      </c>
    </row>
    <row r="3335" spans="1:24" x14ac:dyDescent="0.3">
      <c r="A3335" t="s">
        <v>4483</v>
      </c>
      <c r="B3335" t="s">
        <v>4482</v>
      </c>
      <c r="C3335" t="s">
        <v>131</v>
      </c>
      <c r="D3335" t="s">
        <v>2052</v>
      </c>
      <c r="E3335" t="s">
        <v>84</v>
      </c>
      <c r="F3335">
        <v>6</v>
      </c>
      <c r="G3335">
        <v>1841.77</v>
      </c>
      <c r="H3335">
        <v>0.13</v>
      </c>
      <c r="I3335" s="4">
        <v>9614.0400000000009</v>
      </c>
      <c r="J3335" t="s">
        <v>44</v>
      </c>
      <c r="K3335" t="s">
        <v>39</v>
      </c>
      <c r="L3335" s="4">
        <f>VLOOKUP(tblTransactions[[#This Row],[Product_ID]],tblProducts[],5,FALSE)</f>
        <v>1151.5899999999999</v>
      </c>
      <c r="M3335" s="4">
        <f>tblTransactions[[#This Row],[Total_Amount]]-(tblTransactions[[#This Row],[Cost_Prices]]*tblTransactions[[#This Row],[Quantity]]*(1-tblTransactions[[#This Row],[Discount]]))</f>
        <v>3602.740200000002</v>
      </c>
      <c r="N3335" s="3">
        <f>tblTransactions[[#This Row],[Profit]]/tblTransactions[[#This Row],[Total_Amount]]</f>
        <v>0.37473738407578933</v>
      </c>
      <c r="O3335" t="str">
        <f>TEXT(tblTransactions[[#This Row],[Date]], "MMM-YYYY")</f>
        <v>Nov-2024</v>
      </c>
      <c r="P3335" t="str">
        <f>"Q"&amp;ROUNDUP(MONTH(tblTransactions[[#This Row],[Date]])/3,0)&amp;"-"&amp;YEAR(tblTransactions[[#This Row],[Date]])</f>
        <v>Q4-2024</v>
      </c>
      <c r="Q3335">
        <f>YEAR(tblTransactions[[#This Row],[Date]])</f>
        <v>2024</v>
      </c>
      <c r="R3335" t="str">
        <f>TEXT(tblTransactions[[#This Row],[Date]],"DDDD")</f>
        <v>Saturday</v>
      </c>
      <c r="S3335">
        <f>MONTH(tblTransactions[[#This Row],[Date]])</f>
        <v>11</v>
      </c>
      <c r="T3335" t="str">
        <f>VLOOKUP(E3335, Products!$A:$B,2,0)</f>
        <v>Laptops Ele-2</v>
      </c>
      <c r="U3335" t="str">
        <f>VLOOKUP(E3335,Products!$A:$C,3,0)</f>
        <v>Electronics</v>
      </c>
      <c r="V3335" t="str">
        <f>VLOOKUP(E3335,Products!$A:$D,4,0)</f>
        <v>Laptops</v>
      </c>
      <c r="W3335" t="str">
        <f>VLOOKUP(D3335,Customers!$A:$C,3,0)</f>
        <v>B2B</v>
      </c>
      <c r="X3335" t="str">
        <f>VLOOKUP(C3335,Sales_Representatives!$A:$B,2,0)</f>
        <v>Michael Davis</v>
      </c>
    </row>
    <row r="3336" spans="1:24" x14ac:dyDescent="0.3">
      <c r="A3336" t="s">
        <v>4484</v>
      </c>
      <c r="B3336" t="s">
        <v>4482</v>
      </c>
      <c r="C3336" t="s">
        <v>141</v>
      </c>
      <c r="D3336" t="s">
        <v>2582</v>
      </c>
      <c r="E3336" t="s">
        <v>38</v>
      </c>
      <c r="F3336">
        <v>2</v>
      </c>
      <c r="G3336">
        <v>581.47</v>
      </c>
      <c r="H3336">
        <v>0.02</v>
      </c>
      <c r="I3336" s="4">
        <v>1139.68</v>
      </c>
      <c r="J3336" t="s">
        <v>109</v>
      </c>
      <c r="K3336" t="s">
        <v>39</v>
      </c>
      <c r="L3336" s="4">
        <f>VLOOKUP(tblTransactions[[#This Row],[Product_ID]],tblProducts[],5,FALSE)</f>
        <v>372.07</v>
      </c>
      <c r="M3336" s="4">
        <f>tblTransactions[[#This Row],[Total_Amount]]-(tblTransactions[[#This Row],[Cost_Prices]]*tblTransactions[[#This Row],[Quantity]]*(1-tblTransactions[[#This Row],[Discount]]))</f>
        <v>410.42280000000005</v>
      </c>
      <c r="N3336" s="3">
        <f>tblTransactions[[#This Row],[Profit]]/tblTransactions[[#This Row],[Total_Amount]]</f>
        <v>0.36012108662080589</v>
      </c>
      <c r="O3336" t="str">
        <f>TEXT(tblTransactions[[#This Row],[Date]], "MMM-YYYY")</f>
        <v>Nov-2024</v>
      </c>
      <c r="P3336" t="str">
        <f>"Q"&amp;ROUNDUP(MONTH(tblTransactions[[#This Row],[Date]])/3,0)&amp;"-"&amp;YEAR(tblTransactions[[#This Row],[Date]])</f>
        <v>Q4-2024</v>
      </c>
      <c r="Q3336">
        <f>YEAR(tblTransactions[[#This Row],[Date]])</f>
        <v>2024</v>
      </c>
      <c r="R3336" t="str">
        <f>TEXT(tblTransactions[[#This Row],[Date]],"DDDD")</f>
        <v>Saturday</v>
      </c>
      <c r="S3336">
        <f>MONTH(tblTransactions[[#This Row],[Date]])</f>
        <v>11</v>
      </c>
      <c r="T3336" t="str">
        <f>VLOOKUP(E3336, Products!$A:$B,2,0)</f>
        <v>Storage Fur-3</v>
      </c>
      <c r="U3336" t="str">
        <f>VLOOKUP(E3336,Products!$A:$C,3,0)</f>
        <v>Furniture</v>
      </c>
      <c r="V3336" t="str">
        <f>VLOOKUP(E3336,Products!$A:$D,4,0)</f>
        <v>Storage</v>
      </c>
      <c r="W3336" t="str">
        <f>VLOOKUP(D3336,Customers!$A:$C,3,0)</f>
        <v>B2B</v>
      </c>
      <c r="X3336" t="str">
        <f>VLOOKUP(C3336,Sales_Representatives!$A:$B,2,0)</f>
        <v>Richard Garcia</v>
      </c>
    </row>
    <row r="3337" spans="1:24" x14ac:dyDescent="0.3">
      <c r="A3337" t="s">
        <v>4485</v>
      </c>
      <c r="B3337" t="s">
        <v>4482</v>
      </c>
      <c r="C3337" t="s">
        <v>141</v>
      </c>
      <c r="D3337" t="s">
        <v>1445</v>
      </c>
      <c r="E3337" t="s">
        <v>84</v>
      </c>
      <c r="F3337">
        <v>3</v>
      </c>
      <c r="G3337">
        <v>1841.77</v>
      </c>
      <c r="H3337">
        <v>0.08</v>
      </c>
      <c r="I3337" s="4">
        <v>5083.29</v>
      </c>
      <c r="J3337" t="s">
        <v>109</v>
      </c>
      <c r="K3337" t="s">
        <v>48</v>
      </c>
      <c r="L3337" s="4">
        <f>VLOOKUP(tblTransactions[[#This Row],[Product_ID]],tblProducts[],5,FALSE)</f>
        <v>1151.5899999999999</v>
      </c>
      <c r="M3337" s="4">
        <f>tblTransactions[[#This Row],[Total_Amount]]-(tblTransactions[[#This Row],[Cost_Prices]]*tblTransactions[[#This Row],[Quantity]]*(1-tblTransactions[[#This Row],[Discount]]))</f>
        <v>1904.9016000000001</v>
      </c>
      <c r="N3337" s="3">
        <f>tblTransactions[[#This Row],[Profit]]/tblTransactions[[#This Row],[Total_Amount]]</f>
        <v>0.37473793547092538</v>
      </c>
      <c r="O3337" t="str">
        <f>TEXT(tblTransactions[[#This Row],[Date]], "MMM-YYYY")</f>
        <v>Nov-2024</v>
      </c>
      <c r="P3337" t="str">
        <f>"Q"&amp;ROUNDUP(MONTH(tblTransactions[[#This Row],[Date]])/3,0)&amp;"-"&amp;YEAR(tblTransactions[[#This Row],[Date]])</f>
        <v>Q4-2024</v>
      </c>
      <c r="Q3337">
        <f>YEAR(tblTransactions[[#This Row],[Date]])</f>
        <v>2024</v>
      </c>
      <c r="R3337" t="str">
        <f>TEXT(tblTransactions[[#This Row],[Date]],"DDDD")</f>
        <v>Saturday</v>
      </c>
      <c r="S3337">
        <f>MONTH(tblTransactions[[#This Row],[Date]])</f>
        <v>11</v>
      </c>
      <c r="T3337" t="str">
        <f>VLOOKUP(E3337, Products!$A:$B,2,0)</f>
        <v>Laptops Ele-2</v>
      </c>
      <c r="U3337" t="str">
        <f>VLOOKUP(E3337,Products!$A:$C,3,0)</f>
        <v>Electronics</v>
      </c>
      <c r="V3337" t="str">
        <f>VLOOKUP(E3337,Products!$A:$D,4,0)</f>
        <v>Laptops</v>
      </c>
      <c r="W3337" t="str">
        <f>VLOOKUP(D3337,Customers!$A:$C,3,0)</f>
        <v>B2C</v>
      </c>
      <c r="X3337" t="str">
        <f>VLOOKUP(C3337,Sales_Representatives!$A:$B,2,0)</f>
        <v>Richard Garcia</v>
      </c>
    </row>
    <row r="3338" spans="1:24" x14ac:dyDescent="0.3">
      <c r="A3338" t="s">
        <v>4486</v>
      </c>
      <c r="B3338" t="s">
        <v>4482</v>
      </c>
      <c r="C3338" t="s">
        <v>82</v>
      </c>
      <c r="D3338" t="s">
        <v>2620</v>
      </c>
      <c r="E3338" t="s">
        <v>394</v>
      </c>
      <c r="F3338">
        <v>36</v>
      </c>
      <c r="G3338">
        <v>314.69</v>
      </c>
      <c r="H3338">
        <v>0.16</v>
      </c>
      <c r="I3338" s="4">
        <v>9516.23</v>
      </c>
      <c r="J3338" t="s">
        <v>34</v>
      </c>
      <c r="K3338" t="s">
        <v>39</v>
      </c>
      <c r="L3338" s="4">
        <f>VLOOKUP(tblTransactions[[#This Row],[Product_ID]],tblProducts[],5,FALSE)</f>
        <v>185.43</v>
      </c>
      <c r="M3338" s="4">
        <f>tblTransactions[[#This Row],[Total_Amount]]-(tblTransactions[[#This Row],[Cost_Prices]]*tblTransactions[[#This Row],[Quantity]]*(1-tblTransactions[[#This Row],[Discount]]))</f>
        <v>3908.8267999999998</v>
      </c>
      <c r="N3338" s="3">
        <f>tblTransactions[[#This Row],[Profit]]/tblTransactions[[#This Row],[Total_Amount]]</f>
        <v>0.41075371234196734</v>
      </c>
      <c r="O3338" t="str">
        <f>TEXT(tblTransactions[[#This Row],[Date]], "MMM-YYYY")</f>
        <v>Nov-2024</v>
      </c>
      <c r="P3338" t="str">
        <f>"Q"&amp;ROUNDUP(MONTH(tblTransactions[[#This Row],[Date]])/3,0)&amp;"-"&amp;YEAR(tblTransactions[[#This Row],[Date]])</f>
        <v>Q4-2024</v>
      </c>
      <c r="Q3338">
        <f>YEAR(tblTransactions[[#This Row],[Date]])</f>
        <v>2024</v>
      </c>
      <c r="R3338" t="str">
        <f>TEXT(tblTransactions[[#This Row],[Date]],"DDDD")</f>
        <v>Saturday</v>
      </c>
      <c r="S3338">
        <f>MONTH(tblTransactions[[#This Row],[Date]])</f>
        <v>11</v>
      </c>
      <c r="T3338" t="str">
        <f>VLOOKUP(E3338, Products!$A:$B,2,0)</f>
        <v>Desks Fur-1</v>
      </c>
      <c r="U3338" t="str">
        <f>VLOOKUP(E3338,Products!$A:$C,3,0)</f>
        <v>Furniture</v>
      </c>
      <c r="V3338" t="str">
        <f>VLOOKUP(E3338,Products!$A:$D,4,0)</f>
        <v>Desks</v>
      </c>
      <c r="W3338" t="str">
        <f>VLOOKUP(D3338,Customers!$A:$C,3,0)</f>
        <v>Enterprise</v>
      </c>
      <c r="X3338" t="str">
        <f>VLOOKUP(C3338,Sales_Representatives!$A:$B,2,0)</f>
        <v>John Brown</v>
      </c>
    </row>
    <row r="3339" spans="1:24" x14ac:dyDescent="0.3">
      <c r="A3339" t="s">
        <v>4487</v>
      </c>
      <c r="B3339" t="s">
        <v>4482</v>
      </c>
      <c r="C3339" t="s">
        <v>56</v>
      </c>
      <c r="D3339" t="s">
        <v>1475</v>
      </c>
      <c r="E3339" t="s">
        <v>68</v>
      </c>
      <c r="F3339">
        <v>18</v>
      </c>
      <c r="G3339">
        <v>522.63</v>
      </c>
      <c r="H3339">
        <v>0.2</v>
      </c>
      <c r="I3339" s="4">
        <v>7525.87</v>
      </c>
      <c r="J3339" t="s">
        <v>34</v>
      </c>
      <c r="K3339" t="s">
        <v>17</v>
      </c>
      <c r="L3339" s="4">
        <f>VLOOKUP(tblTransactions[[#This Row],[Product_ID]],tblProducts[],5,FALSE)</f>
        <v>355.82</v>
      </c>
      <c r="M3339" s="4">
        <f>tblTransactions[[#This Row],[Total_Amount]]-(tblTransactions[[#This Row],[Cost_Prices]]*tblTransactions[[#This Row],[Quantity]]*(1-tblTransactions[[#This Row],[Discount]]))</f>
        <v>2402.061999999999</v>
      </c>
      <c r="N3339" s="3">
        <f>tblTransactions[[#This Row],[Profit]]/tblTransactions[[#This Row],[Total_Amount]]</f>
        <v>0.31917399583038225</v>
      </c>
      <c r="O3339" t="str">
        <f>TEXT(tblTransactions[[#This Row],[Date]], "MMM-YYYY")</f>
        <v>Nov-2024</v>
      </c>
      <c r="P3339" t="str">
        <f>"Q"&amp;ROUNDUP(MONTH(tblTransactions[[#This Row],[Date]])/3,0)&amp;"-"&amp;YEAR(tblTransactions[[#This Row],[Date]])</f>
        <v>Q4-2024</v>
      </c>
      <c r="Q3339">
        <f>YEAR(tblTransactions[[#This Row],[Date]])</f>
        <v>2024</v>
      </c>
      <c r="R3339" t="str">
        <f>TEXT(tblTransactions[[#This Row],[Date]],"DDDD")</f>
        <v>Saturday</v>
      </c>
      <c r="S3339">
        <f>MONTH(tblTransactions[[#This Row],[Date]])</f>
        <v>11</v>
      </c>
      <c r="T3339" t="str">
        <f>VLOOKUP(E3339, Products!$A:$B,2,0)</f>
        <v>Monitors Tec-3</v>
      </c>
      <c r="U3339" t="str">
        <f>VLOOKUP(E3339,Products!$A:$C,3,0)</f>
        <v>Technology</v>
      </c>
      <c r="V3339" t="str">
        <f>VLOOKUP(E3339,Products!$A:$D,4,0)</f>
        <v>Monitors</v>
      </c>
      <c r="W3339" t="str">
        <f>VLOOKUP(D3339,Customers!$A:$C,3,0)</f>
        <v>Enterprise</v>
      </c>
      <c r="X3339" t="str">
        <f>VLOOKUP(C3339,Sales_Representatives!$A:$B,2,0)</f>
        <v>Thomas Hernandez</v>
      </c>
    </row>
    <row r="3340" spans="1:24" x14ac:dyDescent="0.3">
      <c r="A3340" t="s">
        <v>4488</v>
      </c>
      <c r="B3340" t="s">
        <v>4482</v>
      </c>
      <c r="C3340" t="s">
        <v>19</v>
      </c>
      <c r="D3340" t="s">
        <v>1623</v>
      </c>
      <c r="E3340" t="s">
        <v>68</v>
      </c>
      <c r="F3340">
        <v>4</v>
      </c>
      <c r="G3340">
        <v>522.63</v>
      </c>
      <c r="H3340">
        <v>0.08</v>
      </c>
      <c r="I3340" s="4">
        <v>1923.28</v>
      </c>
      <c r="J3340" t="s">
        <v>21</v>
      </c>
      <c r="K3340" t="s">
        <v>39</v>
      </c>
      <c r="L3340" s="4">
        <f>VLOOKUP(tblTransactions[[#This Row],[Product_ID]],tblProducts[],5,FALSE)</f>
        <v>355.82</v>
      </c>
      <c r="M3340" s="4">
        <f>tblTransactions[[#This Row],[Total_Amount]]-(tblTransactions[[#This Row],[Cost_Prices]]*tblTransactions[[#This Row],[Quantity]]*(1-tblTransactions[[#This Row],[Discount]]))</f>
        <v>613.86239999999998</v>
      </c>
      <c r="N3340" s="3">
        <f>tblTransactions[[#This Row],[Profit]]/tblTransactions[[#This Row],[Total_Amount]]</f>
        <v>0.31917474314712369</v>
      </c>
      <c r="O3340" t="str">
        <f>TEXT(tblTransactions[[#This Row],[Date]], "MMM-YYYY")</f>
        <v>Nov-2024</v>
      </c>
      <c r="P3340" t="str">
        <f>"Q"&amp;ROUNDUP(MONTH(tblTransactions[[#This Row],[Date]])/3,0)&amp;"-"&amp;YEAR(tblTransactions[[#This Row],[Date]])</f>
        <v>Q4-2024</v>
      </c>
      <c r="Q3340">
        <f>YEAR(tblTransactions[[#This Row],[Date]])</f>
        <v>2024</v>
      </c>
      <c r="R3340" t="str">
        <f>TEXT(tblTransactions[[#This Row],[Date]],"DDDD")</f>
        <v>Saturday</v>
      </c>
      <c r="S3340">
        <f>MONTH(tblTransactions[[#This Row],[Date]])</f>
        <v>11</v>
      </c>
      <c r="T3340" t="str">
        <f>VLOOKUP(E3340, Products!$A:$B,2,0)</f>
        <v>Monitors Tec-3</v>
      </c>
      <c r="U3340" t="str">
        <f>VLOOKUP(E3340,Products!$A:$C,3,0)</f>
        <v>Technology</v>
      </c>
      <c r="V3340" t="str">
        <f>VLOOKUP(E3340,Products!$A:$D,4,0)</f>
        <v>Monitors</v>
      </c>
      <c r="W3340" t="str">
        <f>VLOOKUP(D3340,Customers!$A:$C,3,0)</f>
        <v>B2C</v>
      </c>
      <c r="X3340" t="str">
        <f>VLOOKUP(C3340,Sales_Representatives!$A:$B,2,0)</f>
        <v>Robert Jones</v>
      </c>
    </row>
    <row r="3341" spans="1:24" x14ac:dyDescent="0.3">
      <c r="A3341" t="s">
        <v>4489</v>
      </c>
      <c r="B3341" t="s">
        <v>4482</v>
      </c>
      <c r="C3341" t="s">
        <v>131</v>
      </c>
      <c r="D3341" t="s">
        <v>1598</v>
      </c>
      <c r="E3341" t="s">
        <v>370</v>
      </c>
      <c r="F3341">
        <v>6</v>
      </c>
      <c r="G3341">
        <v>238.95</v>
      </c>
      <c r="H3341">
        <v>0.11</v>
      </c>
      <c r="I3341" s="4">
        <v>1275.99</v>
      </c>
      <c r="J3341" t="s">
        <v>44</v>
      </c>
      <c r="K3341" t="s">
        <v>35</v>
      </c>
      <c r="L3341" s="4">
        <f>VLOOKUP(tblTransactions[[#This Row],[Product_ID]],tblProducts[],5,FALSE)</f>
        <v>136.6</v>
      </c>
      <c r="M3341" s="4">
        <f>tblTransactions[[#This Row],[Total_Amount]]-(tblTransactions[[#This Row],[Cost_Prices]]*tblTransactions[[#This Row],[Quantity]]*(1-tblTransactions[[#This Row],[Discount]]))</f>
        <v>546.54600000000005</v>
      </c>
      <c r="N3341" s="3">
        <f>tblTransactions[[#This Row],[Profit]]/tblTransactions[[#This Row],[Total_Amount]]</f>
        <v>0.42833094303246894</v>
      </c>
      <c r="O3341" t="str">
        <f>TEXT(tblTransactions[[#This Row],[Date]], "MMM-YYYY")</f>
        <v>Nov-2024</v>
      </c>
      <c r="P3341" t="str">
        <f>"Q"&amp;ROUNDUP(MONTH(tblTransactions[[#This Row],[Date]])/3,0)&amp;"-"&amp;YEAR(tblTransactions[[#This Row],[Date]])</f>
        <v>Q4-2024</v>
      </c>
      <c r="Q3341">
        <f>YEAR(tblTransactions[[#This Row],[Date]])</f>
        <v>2024</v>
      </c>
      <c r="R3341" t="str">
        <f>TEXT(tblTransactions[[#This Row],[Date]],"DDDD")</f>
        <v>Saturday</v>
      </c>
      <c r="S3341">
        <f>MONTH(tblTransactions[[#This Row],[Date]])</f>
        <v>11</v>
      </c>
      <c r="T3341" t="str">
        <f>VLOOKUP(E3341, Products!$A:$B,2,0)</f>
        <v>Cables Acc-1</v>
      </c>
      <c r="U3341" t="str">
        <f>VLOOKUP(E3341,Products!$A:$C,3,0)</f>
        <v>Accessories</v>
      </c>
      <c r="V3341" t="str">
        <f>VLOOKUP(E3341,Products!$A:$D,4,0)</f>
        <v>Cables</v>
      </c>
      <c r="W3341" t="str">
        <f>VLOOKUP(D3341,Customers!$A:$C,3,0)</f>
        <v>B2C</v>
      </c>
      <c r="X3341" t="str">
        <f>VLOOKUP(C3341,Sales_Representatives!$A:$B,2,0)</f>
        <v>Michael Davis</v>
      </c>
    </row>
    <row r="3342" spans="1:24" x14ac:dyDescent="0.3">
      <c r="A3342" t="s">
        <v>4490</v>
      </c>
      <c r="B3342" t="s">
        <v>4482</v>
      </c>
      <c r="C3342" t="s">
        <v>41</v>
      </c>
      <c r="D3342" t="s">
        <v>2577</v>
      </c>
      <c r="E3342" t="s">
        <v>43</v>
      </c>
      <c r="F3342">
        <v>4</v>
      </c>
      <c r="G3342">
        <v>39.32</v>
      </c>
      <c r="H3342">
        <v>0.04</v>
      </c>
      <c r="I3342" s="4">
        <v>150.99</v>
      </c>
      <c r="J3342" t="s">
        <v>44</v>
      </c>
      <c r="K3342" t="s">
        <v>39</v>
      </c>
      <c r="L3342" s="4">
        <f>VLOOKUP(tblTransactions[[#This Row],[Product_ID]],tblProducts[],5,FALSE)</f>
        <v>15.81</v>
      </c>
      <c r="M3342" s="4">
        <f>tblTransactions[[#This Row],[Total_Amount]]-(tblTransactions[[#This Row],[Cost_Prices]]*tblTransactions[[#This Row],[Quantity]]*(1-tblTransactions[[#This Row],[Discount]]))</f>
        <v>90.279600000000016</v>
      </c>
      <c r="N3342" s="3">
        <f>tblTransactions[[#This Row],[Profit]]/tblTransactions[[#This Row],[Total_Amount]]</f>
        <v>0.59791774289688071</v>
      </c>
      <c r="O3342" t="str">
        <f>TEXT(tblTransactions[[#This Row],[Date]], "MMM-YYYY")</f>
        <v>Nov-2024</v>
      </c>
      <c r="P3342" t="str">
        <f>"Q"&amp;ROUNDUP(MONTH(tblTransactions[[#This Row],[Date]])/3,0)&amp;"-"&amp;YEAR(tblTransactions[[#This Row],[Date]])</f>
        <v>Q4-2024</v>
      </c>
      <c r="Q3342">
        <f>YEAR(tblTransactions[[#This Row],[Date]])</f>
        <v>2024</v>
      </c>
      <c r="R3342" t="str">
        <f>TEXT(tblTransactions[[#This Row],[Date]],"DDDD")</f>
        <v>Saturday</v>
      </c>
      <c r="S3342">
        <f>MONTH(tblTransactions[[#This Row],[Date]])</f>
        <v>11</v>
      </c>
      <c r="T3342" t="str">
        <f>VLOOKUP(E3342, Products!$A:$B,2,0)</f>
        <v>Paper Off-3</v>
      </c>
      <c r="U3342" t="str">
        <f>VLOOKUP(E3342,Products!$A:$C,3,0)</f>
        <v>Office Supplies</v>
      </c>
      <c r="V3342" t="str">
        <f>VLOOKUP(E3342,Products!$A:$D,4,0)</f>
        <v>Paper</v>
      </c>
      <c r="W3342" t="str">
        <f>VLOOKUP(D3342,Customers!$A:$C,3,0)</f>
        <v>B2C</v>
      </c>
      <c r="X3342" t="str">
        <f>VLOOKUP(C3342,Sales_Representatives!$A:$B,2,0)</f>
        <v>Robert Jones</v>
      </c>
    </row>
    <row r="3343" spans="1:24" x14ac:dyDescent="0.3">
      <c r="A3343" t="s">
        <v>4491</v>
      </c>
      <c r="B3343" t="s">
        <v>4482</v>
      </c>
      <c r="C3343" t="s">
        <v>107</v>
      </c>
      <c r="D3343" t="s">
        <v>1472</v>
      </c>
      <c r="E3343" t="s">
        <v>450</v>
      </c>
      <c r="F3343">
        <v>6</v>
      </c>
      <c r="G3343">
        <v>2083.92</v>
      </c>
      <c r="H3343">
        <v>0.14000000000000001</v>
      </c>
      <c r="I3343" s="4">
        <v>10753.03</v>
      </c>
      <c r="J3343" t="s">
        <v>109</v>
      </c>
      <c r="K3343" t="s">
        <v>22</v>
      </c>
      <c r="L3343" s="4">
        <f>VLOOKUP(tblTransactions[[#This Row],[Product_ID]],tblProducts[],5,FALSE)</f>
        <v>1425.78</v>
      </c>
      <c r="M3343" s="4">
        <f>tblTransactions[[#This Row],[Total_Amount]]-(tblTransactions[[#This Row],[Cost_Prices]]*tblTransactions[[#This Row],[Quantity]]*(1-tblTransactions[[#This Row],[Discount]]))</f>
        <v>3396.0052000000005</v>
      </c>
      <c r="N3343" s="3">
        <f>tblTransactions[[#This Row],[Profit]]/tblTransactions[[#This Row],[Total_Amount]]</f>
        <v>0.31581844373167378</v>
      </c>
      <c r="O3343" t="str">
        <f>TEXT(tblTransactions[[#This Row],[Date]], "MMM-YYYY")</f>
        <v>Nov-2024</v>
      </c>
      <c r="P3343" t="str">
        <f>"Q"&amp;ROUNDUP(MONTH(tblTransactions[[#This Row],[Date]])/3,0)&amp;"-"&amp;YEAR(tblTransactions[[#This Row],[Date]])</f>
        <v>Q4-2024</v>
      </c>
      <c r="Q3343">
        <f>YEAR(tblTransactions[[#This Row],[Date]])</f>
        <v>2024</v>
      </c>
      <c r="R3343" t="str">
        <f>TEXT(tblTransactions[[#This Row],[Date]],"DDDD")</f>
        <v>Saturday</v>
      </c>
      <c r="S3343">
        <f>MONTH(tblTransactions[[#This Row],[Date]])</f>
        <v>11</v>
      </c>
      <c r="T3343" t="str">
        <f>VLOOKUP(E3343, Products!$A:$B,2,0)</f>
        <v>Monitors Tec-4</v>
      </c>
      <c r="U3343" t="str">
        <f>VLOOKUP(E3343,Products!$A:$C,3,0)</f>
        <v>Technology</v>
      </c>
      <c r="V3343" t="str">
        <f>VLOOKUP(E3343,Products!$A:$D,4,0)</f>
        <v>Monitors</v>
      </c>
      <c r="W3343" t="str">
        <f>VLOOKUP(D3343,Customers!$A:$C,3,0)</f>
        <v>B2B</v>
      </c>
      <c r="X3343" t="str">
        <f>VLOOKUP(C3343,Sales_Representatives!$A:$B,2,0)</f>
        <v>Jennifer Brown</v>
      </c>
    </row>
    <row r="3344" spans="1:24" x14ac:dyDescent="0.3">
      <c r="A3344" t="s">
        <v>4492</v>
      </c>
      <c r="B3344" t="s">
        <v>4482</v>
      </c>
      <c r="C3344" t="s">
        <v>131</v>
      </c>
      <c r="D3344" t="s">
        <v>3597</v>
      </c>
      <c r="E3344" t="s">
        <v>176</v>
      </c>
      <c r="F3344">
        <v>2</v>
      </c>
      <c r="G3344">
        <v>1462.68</v>
      </c>
      <c r="H3344">
        <v>7.0000000000000007E-2</v>
      </c>
      <c r="I3344" s="4">
        <v>2720.58</v>
      </c>
      <c r="J3344" t="s">
        <v>44</v>
      </c>
      <c r="K3344" t="s">
        <v>22</v>
      </c>
      <c r="L3344" s="4">
        <f>VLOOKUP(tblTransactions[[#This Row],[Product_ID]],tblProducts[],5,FALSE)</f>
        <v>775.94</v>
      </c>
      <c r="M3344" s="4">
        <f>tblTransactions[[#This Row],[Total_Amount]]-(tblTransactions[[#This Row],[Cost_Prices]]*tblTransactions[[#This Row],[Quantity]]*(1-tblTransactions[[#This Row],[Discount]]))</f>
        <v>1277.3316</v>
      </c>
      <c r="N3344" s="3">
        <f>tblTransactions[[#This Row],[Profit]]/tblTransactions[[#This Row],[Total_Amount]]</f>
        <v>0.46950709039984123</v>
      </c>
      <c r="O3344" t="str">
        <f>TEXT(tblTransactions[[#This Row],[Date]], "MMM-YYYY")</f>
        <v>Nov-2024</v>
      </c>
      <c r="P3344" t="str">
        <f>"Q"&amp;ROUNDUP(MONTH(tblTransactions[[#This Row],[Date]])/3,0)&amp;"-"&amp;YEAR(tblTransactions[[#This Row],[Date]])</f>
        <v>Q4-2024</v>
      </c>
      <c r="Q3344">
        <f>YEAR(tblTransactions[[#This Row],[Date]])</f>
        <v>2024</v>
      </c>
      <c r="R3344" t="str">
        <f>TEXT(tblTransactions[[#This Row],[Date]],"DDDD")</f>
        <v>Saturday</v>
      </c>
      <c r="S3344">
        <f>MONTH(tblTransactions[[#This Row],[Date]])</f>
        <v>11</v>
      </c>
      <c r="T3344" t="str">
        <f>VLOOKUP(E3344, Products!$A:$B,2,0)</f>
        <v>Chairs Fur-2</v>
      </c>
      <c r="U3344" t="str">
        <f>VLOOKUP(E3344,Products!$A:$C,3,0)</f>
        <v>Furniture</v>
      </c>
      <c r="V3344" t="str">
        <f>VLOOKUP(E3344,Products!$A:$D,4,0)</f>
        <v>Chairs</v>
      </c>
      <c r="W3344" t="str">
        <f>VLOOKUP(D3344,Customers!$A:$C,3,0)</f>
        <v>B2C</v>
      </c>
      <c r="X3344" t="str">
        <f>VLOOKUP(C3344,Sales_Representatives!$A:$B,2,0)</f>
        <v>Michael Davis</v>
      </c>
    </row>
    <row r="3345" spans="1:24" x14ac:dyDescent="0.3">
      <c r="A3345" t="s">
        <v>4493</v>
      </c>
      <c r="B3345" t="s">
        <v>4482</v>
      </c>
      <c r="C3345" t="s">
        <v>131</v>
      </c>
      <c r="D3345" t="s">
        <v>136</v>
      </c>
      <c r="E3345" t="s">
        <v>79</v>
      </c>
      <c r="F3345">
        <v>10</v>
      </c>
      <c r="G3345">
        <v>1452.36</v>
      </c>
      <c r="H3345">
        <v>7.0000000000000007E-2</v>
      </c>
      <c r="I3345" s="4">
        <v>13506.95</v>
      </c>
      <c r="J3345" t="s">
        <v>44</v>
      </c>
      <c r="K3345" t="s">
        <v>35</v>
      </c>
      <c r="L3345" s="4">
        <f>VLOOKUP(tblTransactions[[#This Row],[Product_ID]],tblProducts[],5,FALSE)</f>
        <v>778.71</v>
      </c>
      <c r="M3345" s="4">
        <f>tblTransactions[[#This Row],[Total_Amount]]-(tblTransactions[[#This Row],[Cost_Prices]]*tblTransactions[[#This Row],[Quantity]]*(1-tblTransactions[[#This Row],[Discount]]))</f>
        <v>6264.947000000001</v>
      </c>
      <c r="N3345" s="3">
        <f>tblTransactions[[#This Row],[Profit]]/tblTransactions[[#This Row],[Total_Amount]]</f>
        <v>0.46383136089198529</v>
      </c>
      <c r="O3345" t="str">
        <f>TEXT(tblTransactions[[#This Row],[Date]], "MMM-YYYY")</f>
        <v>Nov-2024</v>
      </c>
      <c r="P3345" t="str">
        <f>"Q"&amp;ROUNDUP(MONTH(tblTransactions[[#This Row],[Date]])/3,0)&amp;"-"&amp;YEAR(tblTransactions[[#This Row],[Date]])</f>
        <v>Q4-2024</v>
      </c>
      <c r="Q3345">
        <f>YEAR(tblTransactions[[#This Row],[Date]])</f>
        <v>2024</v>
      </c>
      <c r="R3345" t="str">
        <f>TEXT(tblTransactions[[#This Row],[Date]],"DDDD")</f>
        <v>Saturday</v>
      </c>
      <c r="S3345">
        <f>MONTH(tblTransactions[[#This Row],[Date]])</f>
        <v>11</v>
      </c>
      <c r="T3345" t="str">
        <f>VLOOKUP(E3345, Products!$A:$B,2,0)</f>
        <v>Tables Fur-2</v>
      </c>
      <c r="U3345" t="str">
        <f>VLOOKUP(E3345,Products!$A:$C,3,0)</f>
        <v>Furniture</v>
      </c>
      <c r="V3345" t="str">
        <f>VLOOKUP(E3345,Products!$A:$D,4,0)</f>
        <v>Tables</v>
      </c>
      <c r="W3345" t="str">
        <f>VLOOKUP(D3345,Customers!$A:$C,3,0)</f>
        <v>B2B</v>
      </c>
      <c r="X3345" t="str">
        <f>VLOOKUP(C3345,Sales_Representatives!$A:$B,2,0)</f>
        <v>Michael Davis</v>
      </c>
    </row>
    <row r="3346" spans="1:24" x14ac:dyDescent="0.3">
      <c r="A3346" t="s">
        <v>4494</v>
      </c>
      <c r="B3346" t="s">
        <v>4495</v>
      </c>
      <c r="C3346" t="s">
        <v>31</v>
      </c>
      <c r="D3346" t="s">
        <v>67</v>
      </c>
      <c r="E3346" t="s">
        <v>704</v>
      </c>
      <c r="F3346">
        <v>3</v>
      </c>
      <c r="G3346">
        <v>291.81</v>
      </c>
      <c r="H3346">
        <v>0.06</v>
      </c>
      <c r="I3346" s="4">
        <v>822.9</v>
      </c>
      <c r="J3346" t="s">
        <v>34</v>
      </c>
      <c r="K3346" t="s">
        <v>35</v>
      </c>
      <c r="L3346" s="4">
        <f>VLOOKUP(tblTransactions[[#This Row],[Product_ID]],tblProducts[],5,FALSE)</f>
        <v>123.61</v>
      </c>
      <c r="M3346" s="4">
        <f>tblTransactions[[#This Row],[Total_Amount]]-(tblTransactions[[#This Row],[Cost_Prices]]*tblTransactions[[#This Row],[Quantity]]*(1-tblTransactions[[#This Row],[Discount]]))</f>
        <v>474.31979999999999</v>
      </c>
      <c r="N3346" s="3">
        <f>tblTransactions[[#This Row],[Profit]]/tblTransactions[[#This Row],[Total_Amount]]</f>
        <v>0.57640029165147644</v>
      </c>
      <c r="O3346" t="str">
        <f>TEXT(tblTransactions[[#This Row],[Date]], "MMM-YYYY")</f>
        <v>Dec-2024</v>
      </c>
      <c r="P3346" t="str">
        <f>"Q"&amp;ROUNDUP(MONTH(tblTransactions[[#This Row],[Date]])/3,0)&amp;"-"&amp;YEAR(tblTransactions[[#This Row],[Date]])</f>
        <v>Q4-2024</v>
      </c>
      <c r="Q3346">
        <f>YEAR(tblTransactions[[#This Row],[Date]])</f>
        <v>2024</v>
      </c>
      <c r="R3346" t="str">
        <f>TEXT(tblTransactions[[#This Row],[Date]],"DDDD")</f>
        <v>Sunday</v>
      </c>
      <c r="S3346">
        <f>MONTH(tblTransactions[[#This Row],[Date]])</f>
        <v>12</v>
      </c>
      <c r="T3346" t="str">
        <f>VLOOKUP(E3346, Products!$A:$B,2,0)</f>
        <v>Keyboards Acc-4</v>
      </c>
      <c r="U3346" t="str">
        <f>VLOOKUP(E3346,Products!$A:$C,3,0)</f>
        <v>Accessories</v>
      </c>
      <c r="V3346" t="str">
        <f>VLOOKUP(E3346,Products!$A:$D,4,0)</f>
        <v>Keyboards</v>
      </c>
      <c r="W3346" t="str">
        <f>VLOOKUP(D3346,Customers!$A:$C,3,0)</f>
        <v>B2C</v>
      </c>
      <c r="X3346" t="str">
        <f>VLOOKUP(C3346,Sales_Representatives!$A:$B,2,0)</f>
        <v>Thomas Martinez</v>
      </c>
    </row>
    <row r="3347" spans="1:24" x14ac:dyDescent="0.3">
      <c r="A3347" t="s">
        <v>4496</v>
      </c>
      <c r="B3347" t="s">
        <v>4495</v>
      </c>
      <c r="C3347" t="s">
        <v>59</v>
      </c>
      <c r="D3347" t="s">
        <v>1683</v>
      </c>
      <c r="E3347" t="s">
        <v>290</v>
      </c>
      <c r="F3347">
        <v>2</v>
      </c>
      <c r="G3347">
        <v>729.32</v>
      </c>
      <c r="H3347">
        <v>0.08</v>
      </c>
      <c r="I3347" s="4">
        <v>1341.95</v>
      </c>
      <c r="J3347" t="s">
        <v>21</v>
      </c>
      <c r="K3347" t="s">
        <v>35</v>
      </c>
      <c r="L3347" s="4">
        <f>VLOOKUP(tblTransactions[[#This Row],[Product_ID]],tblProducts[],5,FALSE)</f>
        <v>482.7</v>
      </c>
      <c r="M3347" s="4">
        <f>tblTransactions[[#This Row],[Total_Amount]]-(tblTransactions[[#This Row],[Cost_Prices]]*tblTransactions[[#This Row],[Quantity]]*(1-tblTransactions[[#This Row],[Discount]]))</f>
        <v>453.78200000000004</v>
      </c>
      <c r="N3347" s="3">
        <f>tblTransactions[[#This Row],[Profit]]/tblTransactions[[#This Row],[Total_Amount]]</f>
        <v>0.33815119788367676</v>
      </c>
      <c r="O3347" t="str">
        <f>TEXT(tblTransactions[[#This Row],[Date]], "MMM-YYYY")</f>
        <v>Dec-2024</v>
      </c>
      <c r="P3347" t="str">
        <f>"Q"&amp;ROUNDUP(MONTH(tblTransactions[[#This Row],[Date]])/3,0)&amp;"-"&amp;YEAR(tblTransactions[[#This Row],[Date]])</f>
        <v>Q4-2024</v>
      </c>
      <c r="Q3347">
        <f>YEAR(tblTransactions[[#This Row],[Date]])</f>
        <v>2024</v>
      </c>
      <c r="R3347" t="str">
        <f>TEXT(tblTransactions[[#This Row],[Date]],"DDDD")</f>
        <v>Sunday</v>
      </c>
      <c r="S3347">
        <f>MONTH(tblTransactions[[#This Row],[Date]])</f>
        <v>12</v>
      </c>
      <c r="T3347" t="str">
        <f>VLOOKUP(E3347, Products!$A:$B,2,0)</f>
        <v>Tables Fur-1</v>
      </c>
      <c r="U3347" t="str">
        <f>VLOOKUP(E3347,Products!$A:$C,3,0)</f>
        <v>Furniture</v>
      </c>
      <c r="V3347" t="str">
        <f>VLOOKUP(E3347,Products!$A:$D,4,0)</f>
        <v>Tables</v>
      </c>
      <c r="W3347" t="str">
        <f>VLOOKUP(D3347,Customers!$A:$C,3,0)</f>
        <v>B2C</v>
      </c>
      <c r="X3347" t="str">
        <f>VLOOKUP(C3347,Sales_Representatives!$A:$B,2,0)</f>
        <v>Sarah Brown</v>
      </c>
    </row>
    <row r="3348" spans="1:24" x14ac:dyDescent="0.3">
      <c r="A3348" t="s">
        <v>4497</v>
      </c>
      <c r="B3348" t="s">
        <v>4495</v>
      </c>
      <c r="C3348" t="s">
        <v>13</v>
      </c>
      <c r="D3348" t="s">
        <v>1515</v>
      </c>
      <c r="E3348" t="s">
        <v>99</v>
      </c>
      <c r="F3348">
        <v>1</v>
      </c>
      <c r="G3348">
        <v>325.14</v>
      </c>
      <c r="H3348">
        <v>0.04</v>
      </c>
      <c r="I3348" s="4">
        <v>312.13</v>
      </c>
      <c r="J3348" t="s">
        <v>16</v>
      </c>
      <c r="K3348" t="s">
        <v>39</v>
      </c>
      <c r="L3348" s="4">
        <f>VLOOKUP(tblTransactions[[#This Row],[Product_ID]],tblProducts[],5,FALSE)</f>
        <v>209.04</v>
      </c>
      <c r="M3348" s="4">
        <f>tblTransactions[[#This Row],[Total_Amount]]-(tblTransactions[[#This Row],[Cost_Prices]]*tblTransactions[[#This Row],[Quantity]]*(1-tblTransactions[[#This Row],[Discount]]))</f>
        <v>111.45160000000001</v>
      </c>
      <c r="N3348" s="3">
        <f>tblTransactions[[#This Row],[Profit]]/tblTransactions[[#This Row],[Total_Amount]]</f>
        <v>0.35706788837984177</v>
      </c>
      <c r="O3348" t="str">
        <f>TEXT(tblTransactions[[#This Row],[Date]], "MMM-YYYY")</f>
        <v>Dec-2024</v>
      </c>
      <c r="P3348" t="str">
        <f>"Q"&amp;ROUNDUP(MONTH(tblTransactions[[#This Row],[Date]])/3,0)&amp;"-"&amp;YEAR(tblTransactions[[#This Row],[Date]])</f>
        <v>Q4-2024</v>
      </c>
      <c r="Q3348">
        <f>YEAR(tblTransactions[[#This Row],[Date]])</f>
        <v>2024</v>
      </c>
      <c r="R3348" t="str">
        <f>TEXT(tblTransactions[[#This Row],[Date]],"DDDD")</f>
        <v>Sunday</v>
      </c>
      <c r="S3348">
        <f>MONTH(tblTransactions[[#This Row],[Date]])</f>
        <v>12</v>
      </c>
      <c r="T3348" t="str">
        <f>VLOOKUP(E3348, Products!$A:$B,2,0)</f>
        <v>Monitors Tec-1</v>
      </c>
      <c r="U3348" t="str">
        <f>VLOOKUP(E3348,Products!$A:$C,3,0)</f>
        <v>Technology</v>
      </c>
      <c r="V3348" t="str">
        <f>VLOOKUP(E3348,Products!$A:$D,4,0)</f>
        <v>Monitors</v>
      </c>
      <c r="W3348" t="str">
        <f>VLOOKUP(D3348,Customers!$A:$C,3,0)</f>
        <v>B2C</v>
      </c>
      <c r="X3348" t="str">
        <f>VLOOKUP(C3348,Sales_Representatives!$A:$B,2,0)</f>
        <v>Jennifer Rodriguez</v>
      </c>
    </row>
    <row r="3349" spans="1:24" x14ac:dyDescent="0.3">
      <c r="A3349" t="s">
        <v>4498</v>
      </c>
      <c r="B3349" t="s">
        <v>4495</v>
      </c>
      <c r="C3349" t="s">
        <v>41</v>
      </c>
      <c r="D3349" t="s">
        <v>1991</v>
      </c>
      <c r="E3349" t="s">
        <v>87</v>
      </c>
      <c r="F3349">
        <v>4</v>
      </c>
      <c r="G3349">
        <v>1047.8900000000001</v>
      </c>
      <c r="H3349">
        <v>0</v>
      </c>
      <c r="I3349" s="4">
        <v>4191.5600000000004</v>
      </c>
      <c r="J3349" t="s">
        <v>44</v>
      </c>
      <c r="K3349" t="s">
        <v>17</v>
      </c>
      <c r="L3349" s="4">
        <f>VLOOKUP(tblTransactions[[#This Row],[Product_ID]],tblProducts[],5,FALSE)</f>
        <v>742.63</v>
      </c>
      <c r="M3349" s="4">
        <f>tblTransactions[[#This Row],[Total_Amount]]-(tblTransactions[[#This Row],[Cost_Prices]]*tblTransactions[[#This Row],[Quantity]]*(1-tblTransactions[[#This Row],[Discount]]))</f>
        <v>1221.0400000000004</v>
      </c>
      <c r="N3349" s="3">
        <f>tblTransactions[[#This Row],[Profit]]/tblTransactions[[#This Row],[Total_Amount]]</f>
        <v>0.29130920230176838</v>
      </c>
      <c r="O3349" t="str">
        <f>TEXT(tblTransactions[[#This Row],[Date]], "MMM-YYYY")</f>
        <v>Dec-2024</v>
      </c>
      <c r="P3349" t="str">
        <f>"Q"&amp;ROUNDUP(MONTH(tblTransactions[[#This Row],[Date]])/3,0)&amp;"-"&amp;YEAR(tblTransactions[[#This Row],[Date]])</f>
        <v>Q4-2024</v>
      </c>
      <c r="Q3349">
        <f>YEAR(tblTransactions[[#This Row],[Date]])</f>
        <v>2024</v>
      </c>
      <c r="R3349" t="str">
        <f>TEXT(tblTransactions[[#This Row],[Date]],"DDDD")</f>
        <v>Sunday</v>
      </c>
      <c r="S3349">
        <f>MONTH(tblTransactions[[#This Row],[Date]])</f>
        <v>12</v>
      </c>
      <c r="T3349" t="str">
        <f>VLOOKUP(E3349, Products!$A:$B,2,0)</f>
        <v>Monitors Tec-2</v>
      </c>
      <c r="U3349" t="str">
        <f>VLOOKUP(E3349,Products!$A:$C,3,0)</f>
        <v>Technology</v>
      </c>
      <c r="V3349" t="str">
        <f>VLOOKUP(E3349,Products!$A:$D,4,0)</f>
        <v>Monitors</v>
      </c>
      <c r="W3349" t="str">
        <f>VLOOKUP(D3349,Customers!$A:$C,3,0)</f>
        <v>Small Business</v>
      </c>
      <c r="X3349" t="str">
        <f>VLOOKUP(C3349,Sales_Representatives!$A:$B,2,0)</f>
        <v>Robert Jones</v>
      </c>
    </row>
    <row r="3350" spans="1:24" x14ac:dyDescent="0.3">
      <c r="A3350" t="s">
        <v>4499</v>
      </c>
      <c r="B3350" t="s">
        <v>4495</v>
      </c>
      <c r="C3350" t="s">
        <v>82</v>
      </c>
      <c r="D3350" t="s">
        <v>1862</v>
      </c>
      <c r="E3350" t="s">
        <v>89</v>
      </c>
      <c r="F3350">
        <v>6</v>
      </c>
      <c r="G3350">
        <v>555.08000000000004</v>
      </c>
      <c r="H3350">
        <v>0.1</v>
      </c>
      <c r="I3350" s="4">
        <v>2997.43</v>
      </c>
      <c r="J3350" t="s">
        <v>34</v>
      </c>
      <c r="K3350" t="s">
        <v>17</v>
      </c>
      <c r="L3350" s="4">
        <f>VLOOKUP(tblTransactions[[#This Row],[Product_ID]],tblProducts[],5,FALSE)</f>
        <v>402.82</v>
      </c>
      <c r="M3350" s="4">
        <f>tblTransactions[[#This Row],[Total_Amount]]-(tblTransactions[[#This Row],[Cost_Prices]]*tblTransactions[[#This Row],[Quantity]]*(1-tblTransactions[[#This Row],[Discount]]))</f>
        <v>822.20199999999977</v>
      </c>
      <c r="N3350" s="3">
        <f>tblTransactions[[#This Row],[Profit]]/tblTransactions[[#This Row],[Total_Amount]]</f>
        <v>0.27430231898659846</v>
      </c>
      <c r="O3350" t="str">
        <f>TEXT(tblTransactions[[#This Row],[Date]], "MMM-YYYY")</f>
        <v>Dec-2024</v>
      </c>
      <c r="P3350" t="str">
        <f>"Q"&amp;ROUNDUP(MONTH(tblTransactions[[#This Row],[Date]])/3,0)&amp;"-"&amp;YEAR(tblTransactions[[#This Row],[Date]])</f>
        <v>Q4-2024</v>
      </c>
      <c r="Q3350">
        <f>YEAR(tblTransactions[[#This Row],[Date]])</f>
        <v>2024</v>
      </c>
      <c r="R3350" t="str">
        <f>TEXT(tblTransactions[[#This Row],[Date]],"DDDD")</f>
        <v>Sunday</v>
      </c>
      <c r="S3350">
        <f>MONTH(tblTransactions[[#This Row],[Date]])</f>
        <v>12</v>
      </c>
      <c r="T3350" t="str">
        <f>VLOOKUP(E3350, Products!$A:$B,2,0)</f>
        <v>Laptops Ele-3</v>
      </c>
      <c r="U3350" t="str">
        <f>VLOOKUP(E3350,Products!$A:$C,3,0)</f>
        <v>Electronics</v>
      </c>
      <c r="V3350" t="str">
        <f>VLOOKUP(E3350,Products!$A:$D,4,0)</f>
        <v>Laptops</v>
      </c>
      <c r="W3350" t="str">
        <f>VLOOKUP(D3350,Customers!$A:$C,3,0)</f>
        <v>B2B</v>
      </c>
      <c r="X3350" t="str">
        <f>VLOOKUP(C3350,Sales_Representatives!$A:$B,2,0)</f>
        <v>John Brown</v>
      </c>
    </row>
    <row r="3351" spans="1:24" x14ac:dyDescent="0.3">
      <c r="A3351" t="s">
        <v>4500</v>
      </c>
      <c r="B3351" t="s">
        <v>4495</v>
      </c>
      <c r="C3351" t="s">
        <v>19</v>
      </c>
      <c r="D3351" t="s">
        <v>2487</v>
      </c>
      <c r="E3351" t="s">
        <v>99</v>
      </c>
      <c r="F3351">
        <v>2</v>
      </c>
      <c r="G3351">
        <v>325.14</v>
      </c>
      <c r="H3351">
        <v>0.01</v>
      </c>
      <c r="I3351" s="4">
        <v>643.78</v>
      </c>
      <c r="J3351" t="s">
        <v>21</v>
      </c>
      <c r="K3351" t="s">
        <v>48</v>
      </c>
      <c r="L3351" s="4">
        <f>VLOOKUP(tblTransactions[[#This Row],[Product_ID]],tblProducts[],5,FALSE)</f>
        <v>209.04</v>
      </c>
      <c r="M3351" s="4">
        <f>tblTransactions[[#This Row],[Total_Amount]]-(tblTransactions[[#This Row],[Cost_Prices]]*tblTransactions[[#This Row],[Quantity]]*(1-tblTransactions[[#This Row],[Discount]]))</f>
        <v>229.88079999999997</v>
      </c>
      <c r="N3351" s="3">
        <f>tblTransactions[[#This Row],[Profit]]/tblTransactions[[#This Row],[Total_Amount]]</f>
        <v>0.35707974773991114</v>
      </c>
      <c r="O3351" t="str">
        <f>TEXT(tblTransactions[[#This Row],[Date]], "MMM-YYYY")</f>
        <v>Dec-2024</v>
      </c>
      <c r="P3351" t="str">
        <f>"Q"&amp;ROUNDUP(MONTH(tblTransactions[[#This Row],[Date]])/3,0)&amp;"-"&amp;YEAR(tblTransactions[[#This Row],[Date]])</f>
        <v>Q4-2024</v>
      </c>
      <c r="Q3351">
        <f>YEAR(tblTransactions[[#This Row],[Date]])</f>
        <v>2024</v>
      </c>
      <c r="R3351" t="str">
        <f>TEXT(tblTransactions[[#This Row],[Date]],"DDDD")</f>
        <v>Sunday</v>
      </c>
      <c r="S3351">
        <f>MONTH(tblTransactions[[#This Row],[Date]])</f>
        <v>12</v>
      </c>
      <c r="T3351" t="str">
        <f>VLOOKUP(E3351, Products!$A:$B,2,0)</f>
        <v>Monitors Tec-1</v>
      </c>
      <c r="U3351" t="str">
        <f>VLOOKUP(E3351,Products!$A:$C,3,0)</f>
        <v>Technology</v>
      </c>
      <c r="V3351" t="str">
        <f>VLOOKUP(E3351,Products!$A:$D,4,0)</f>
        <v>Monitors</v>
      </c>
      <c r="W3351" t="str">
        <f>VLOOKUP(D3351,Customers!$A:$C,3,0)</f>
        <v>B2C</v>
      </c>
      <c r="X3351" t="str">
        <f>VLOOKUP(C3351,Sales_Representatives!$A:$B,2,0)</f>
        <v>Robert Jones</v>
      </c>
    </row>
    <row r="3352" spans="1:24" x14ac:dyDescent="0.3">
      <c r="A3352" t="s">
        <v>4501</v>
      </c>
      <c r="B3352" t="s">
        <v>4495</v>
      </c>
      <c r="C3352" t="s">
        <v>70</v>
      </c>
      <c r="D3352" t="s">
        <v>118</v>
      </c>
      <c r="E3352" t="s">
        <v>221</v>
      </c>
      <c r="F3352">
        <v>5</v>
      </c>
      <c r="G3352">
        <v>210.02</v>
      </c>
      <c r="H3352">
        <v>0.01</v>
      </c>
      <c r="I3352" s="4">
        <v>1039.5999999999999</v>
      </c>
      <c r="J3352" t="s">
        <v>16</v>
      </c>
      <c r="K3352" t="s">
        <v>35</v>
      </c>
      <c r="L3352" s="4">
        <f>VLOOKUP(tblTransactions[[#This Row],[Product_ID]],tblProducts[],5,FALSE)</f>
        <v>131.66</v>
      </c>
      <c r="M3352" s="4">
        <f>tblTransactions[[#This Row],[Total_Amount]]-(tblTransactions[[#This Row],[Cost_Prices]]*tblTransactions[[#This Row],[Quantity]]*(1-tblTransactions[[#This Row],[Discount]]))</f>
        <v>387.88299999999992</v>
      </c>
      <c r="N3352" s="3">
        <f>tblTransactions[[#This Row],[Profit]]/tblTransactions[[#This Row],[Total_Amount]]</f>
        <v>0.37310792612543281</v>
      </c>
      <c r="O3352" t="str">
        <f>TEXT(tblTransactions[[#This Row],[Date]], "MMM-YYYY")</f>
        <v>Dec-2024</v>
      </c>
      <c r="P3352" t="str">
        <f>"Q"&amp;ROUNDUP(MONTH(tblTransactions[[#This Row],[Date]])/3,0)&amp;"-"&amp;YEAR(tblTransactions[[#This Row],[Date]])</f>
        <v>Q4-2024</v>
      </c>
      <c r="Q3352">
        <f>YEAR(tblTransactions[[#This Row],[Date]])</f>
        <v>2024</v>
      </c>
      <c r="R3352" t="str">
        <f>TEXT(tblTransactions[[#This Row],[Date]],"DDDD")</f>
        <v>Sunday</v>
      </c>
      <c r="S3352">
        <f>MONTH(tblTransactions[[#This Row],[Date]])</f>
        <v>12</v>
      </c>
      <c r="T3352" t="str">
        <f>VLOOKUP(E3352, Products!$A:$B,2,0)</f>
        <v>Storage Fur-2</v>
      </c>
      <c r="U3352" t="str">
        <f>VLOOKUP(E3352,Products!$A:$C,3,0)</f>
        <v>Furniture</v>
      </c>
      <c r="V3352" t="str">
        <f>VLOOKUP(E3352,Products!$A:$D,4,0)</f>
        <v>Storage</v>
      </c>
      <c r="W3352" t="str">
        <f>VLOOKUP(D3352,Customers!$A:$C,3,0)</f>
        <v>B2C</v>
      </c>
      <c r="X3352" t="str">
        <f>VLOOKUP(C3352,Sales_Representatives!$A:$B,2,0)</f>
        <v>Linda Smith</v>
      </c>
    </row>
    <row r="3353" spans="1:24" x14ac:dyDescent="0.3">
      <c r="A3353" t="s">
        <v>4502</v>
      </c>
      <c r="B3353" t="s">
        <v>4495</v>
      </c>
      <c r="C3353" t="s">
        <v>75</v>
      </c>
      <c r="D3353" t="s">
        <v>1854</v>
      </c>
      <c r="E3353" t="s">
        <v>102</v>
      </c>
      <c r="F3353">
        <v>6</v>
      </c>
      <c r="G3353">
        <v>1097.75</v>
      </c>
      <c r="H3353">
        <v>0.12</v>
      </c>
      <c r="I3353" s="4">
        <v>5796.12</v>
      </c>
      <c r="J3353" t="s">
        <v>44</v>
      </c>
      <c r="K3353" t="s">
        <v>48</v>
      </c>
      <c r="L3353" s="4">
        <f>VLOOKUP(tblTransactions[[#This Row],[Product_ID]],tblProducts[],5,FALSE)</f>
        <v>680.12</v>
      </c>
      <c r="M3353" s="4">
        <f>tblTransactions[[#This Row],[Total_Amount]]-(tblTransactions[[#This Row],[Cost_Prices]]*tblTransactions[[#This Row],[Quantity]]*(1-tblTransactions[[#This Row],[Discount]]))</f>
        <v>2205.0863999999997</v>
      </c>
      <c r="N3353" s="3">
        <f>tblTransactions[[#This Row],[Profit]]/tblTransactions[[#This Row],[Total_Amount]]</f>
        <v>0.38044181279890682</v>
      </c>
      <c r="O3353" t="str">
        <f>TEXT(tblTransactions[[#This Row],[Date]], "MMM-YYYY")</f>
        <v>Dec-2024</v>
      </c>
      <c r="P3353" t="str">
        <f>"Q"&amp;ROUNDUP(MONTH(tblTransactions[[#This Row],[Date]])/3,0)&amp;"-"&amp;YEAR(tblTransactions[[#This Row],[Date]])</f>
        <v>Q4-2024</v>
      </c>
      <c r="Q3353">
        <f>YEAR(tblTransactions[[#This Row],[Date]])</f>
        <v>2024</v>
      </c>
      <c r="R3353" t="str">
        <f>TEXT(tblTransactions[[#This Row],[Date]],"DDDD")</f>
        <v>Sunday</v>
      </c>
      <c r="S3353">
        <f>MONTH(tblTransactions[[#This Row],[Date]])</f>
        <v>12</v>
      </c>
      <c r="T3353" t="str">
        <f>VLOOKUP(E3353, Products!$A:$B,2,0)</f>
        <v>Storage Fur-4</v>
      </c>
      <c r="U3353" t="str">
        <f>VLOOKUP(E3353,Products!$A:$C,3,0)</f>
        <v>Furniture</v>
      </c>
      <c r="V3353" t="str">
        <f>VLOOKUP(E3353,Products!$A:$D,4,0)</f>
        <v>Storage</v>
      </c>
      <c r="W3353" t="str">
        <f>VLOOKUP(D3353,Customers!$A:$C,3,0)</f>
        <v>Small Business</v>
      </c>
      <c r="X3353" t="str">
        <f>VLOOKUP(C3353,Sales_Representatives!$A:$B,2,0)</f>
        <v>Jessica Anderson</v>
      </c>
    </row>
    <row r="3354" spans="1:24" x14ac:dyDescent="0.3">
      <c r="A3354" t="s">
        <v>4503</v>
      </c>
      <c r="B3354" t="s">
        <v>4495</v>
      </c>
      <c r="C3354" t="s">
        <v>63</v>
      </c>
      <c r="D3354" t="s">
        <v>1538</v>
      </c>
      <c r="E3354" t="s">
        <v>206</v>
      </c>
      <c r="F3354">
        <v>3</v>
      </c>
      <c r="G3354">
        <v>292.51</v>
      </c>
      <c r="H3354">
        <v>0</v>
      </c>
      <c r="I3354" s="4">
        <v>877.53</v>
      </c>
      <c r="J3354" t="s">
        <v>21</v>
      </c>
      <c r="K3354" t="s">
        <v>39</v>
      </c>
      <c r="L3354" s="4">
        <f>VLOOKUP(tblTransactions[[#This Row],[Product_ID]],tblProducts[],5,FALSE)</f>
        <v>122.08</v>
      </c>
      <c r="M3354" s="4">
        <f>tblTransactions[[#This Row],[Total_Amount]]-(tblTransactions[[#This Row],[Cost_Prices]]*tblTransactions[[#This Row],[Quantity]]*(1-tblTransactions[[#This Row],[Discount]]))</f>
        <v>511.28999999999996</v>
      </c>
      <c r="N3354" s="3">
        <f>tblTransactions[[#This Row],[Profit]]/tblTransactions[[#This Row],[Total_Amount]]</f>
        <v>0.58264674711975661</v>
      </c>
      <c r="O3354" t="str">
        <f>TEXT(tblTransactions[[#This Row],[Date]], "MMM-YYYY")</f>
        <v>Dec-2024</v>
      </c>
      <c r="P3354" t="str">
        <f>"Q"&amp;ROUNDUP(MONTH(tblTransactions[[#This Row],[Date]])/3,0)&amp;"-"&amp;YEAR(tblTransactions[[#This Row],[Date]])</f>
        <v>Q4-2024</v>
      </c>
      <c r="Q3354">
        <f>YEAR(tblTransactions[[#This Row],[Date]])</f>
        <v>2024</v>
      </c>
      <c r="R3354" t="str">
        <f>TEXT(tblTransactions[[#This Row],[Date]],"DDDD")</f>
        <v>Sunday</v>
      </c>
      <c r="S3354">
        <f>MONTH(tblTransactions[[#This Row],[Date]])</f>
        <v>12</v>
      </c>
      <c r="T3354" t="str">
        <f>VLOOKUP(E3354, Products!$A:$B,2,0)</f>
        <v>Keyboards Acc-1</v>
      </c>
      <c r="U3354" t="str">
        <f>VLOOKUP(E3354,Products!$A:$C,3,0)</f>
        <v>Accessories</v>
      </c>
      <c r="V3354" t="str">
        <f>VLOOKUP(E3354,Products!$A:$D,4,0)</f>
        <v>Keyboards</v>
      </c>
      <c r="W3354" t="str">
        <f>VLOOKUP(D3354,Customers!$A:$C,3,0)</f>
        <v>B2C</v>
      </c>
      <c r="X3354" t="str">
        <f>VLOOKUP(C3354,Sales_Representatives!$A:$B,2,0)</f>
        <v>Richard Wilson</v>
      </c>
    </row>
    <row r="3355" spans="1:24" x14ac:dyDescent="0.3">
      <c r="A3355" t="s">
        <v>4504</v>
      </c>
      <c r="B3355" t="s">
        <v>4495</v>
      </c>
      <c r="C3355" t="s">
        <v>127</v>
      </c>
      <c r="D3355" t="s">
        <v>1752</v>
      </c>
      <c r="E3355" t="s">
        <v>68</v>
      </c>
      <c r="F3355">
        <v>16</v>
      </c>
      <c r="G3355">
        <v>522.63</v>
      </c>
      <c r="H3355">
        <v>0.19</v>
      </c>
      <c r="I3355" s="4">
        <v>6773.28</v>
      </c>
      <c r="J3355" t="s">
        <v>109</v>
      </c>
      <c r="K3355" t="s">
        <v>17</v>
      </c>
      <c r="L3355" s="4">
        <f>VLOOKUP(tblTransactions[[#This Row],[Product_ID]],tblProducts[],5,FALSE)</f>
        <v>355.82</v>
      </c>
      <c r="M3355" s="4">
        <f>tblTransactions[[#This Row],[Total_Amount]]-(tblTransactions[[#This Row],[Cost_Prices]]*tblTransactions[[#This Row],[Quantity]]*(1-tblTransactions[[#This Row],[Discount]]))</f>
        <v>2161.8527999999997</v>
      </c>
      <c r="N3355" s="3">
        <f>tblTransactions[[#This Row],[Profit]]/tblTransactions[[#This Row],[Total_Amount]]</f>
        <v>0.3191736942810573</v>
      </c>
      <c r="O3355" t="str">
        <f>TEXT(tblTransactions[[#This Row],[Date]], "MMM-YYYY")</f>
        <v>Dec-2024</v>
      </c>
      <c r="P3355" t="str">
        <f>"Q"&amp;ROUNDUP(MONTH(tblTransactions[[#This Row],[Date]])/3,0)&amp;"-"&amp;YEAR(tblTransactions[[#This Row],[Date]])</f>
        <v>Q4-2024</v>
      </c>
      <c r="Q3355">
        <f>YEAR(tblTransactions[[#This Row],[Date]])</f>
        <v>2024</v>
      </c>
      <c r="R3355" t="str">
        <f>TEXT(tblTransactions[[#This Row],[Date]],"DDDD")</f>
        <v>Sunday</v>
      </c>
      <c r="S3355">
        <f>MONTH(tblTransactions[[#This Row],[Date]])</f>
        <v>12</v>
      </c>
      <c r="T3355" t="str">
        <f>VLOOKUP(E3355, Products!$A:$B,2,0)</f>
        <v>Monitors Tec-3</v>
      </c>
      <c r="U3355" t="str">
        <f>VLOOKUP(E3355,Products!$A:$C,3,0)</f>
        <v>Technology</v>
      </c>
      <c r="V3355" t="str">
        <f>VLOOKUP(E3355,Products!$A:$D,4,0)</f>
        <v>Monitors</v>
      </c>
      <c r="W3355" t="str">
        <f>VLOOKUP(D3355,Customers!$A:$C,3,0)</f>
        <v>B2B</v>
      </c>
      <c r="X3355" t="str">
        <f>VLOOKUP(C3355,Sales_Representatives!$A:$B,2,0)</f>
        <v>Emily Hernandez</v>
      </c>
    </row>
    <row r="3356" spans="1:24" x14ac:dyDescent="0.3">
      <c r="A3356" t="s">
        <v>4505</v>
      </c>
      <c r="B3356" t="s">
        <v>4506</v>
      </c>
      <c r="C3356" t="s">
        <v>107</v>
      </c>
      <c r="D3356" t="s">
        <v>1854</v>
      </c>
      <c r="E3356" t="s">
        <v>99</v>
      </c>
      <c r="F3356">
        <v>3</v>
      </c>
      <c r="G3356">
        <v>325.14</v>
      </c>
      <c r="H3356">
        <v>0.08</v>
      </c>
      <c r="I3356" s="4">
        <v>897.39</v>
      </c>
      <c r="J3356" t="s">
        <v>109</v>
      </c>
      <c r="K3356" t="s">
        <v>39</v>
      </c>
      <c r="L3356" s="4">
        <f>VLOOKUP(tblTransactions[[#This Row],[Product_ID]],tblProducts[],5,FALSE)</f>
        <v>209.04</v>
      </c>
      <c r="M3356" s="4">
        <f>tblTransactions[[#This Row],[Total_Amount]]-(tblTransactions[[#This Row],[Cost_Prices]]*tblTransactions[[#This Row],[Quantity]]*(1-tblTransactions[[#This Row],[Discount]]))</f>
        <v>320.43959999999993</v>
      </c>
      <c r="N3356" s="3">
        <f>tblTransactions[[#This Row],[Profit]]/tblTransactions[[#This Row],[Total_Amount]]</f>
        <v>0.35707953063885262</v>
      </c>
      <c r="O3356" t="str">
        <f>TEXT(tblTransactions[[#This Row],[Date]], "MMM-YYYY")</f>
        <v>Dec-2024</v>
      </c>
      <c r="P3356" t="str">
        <f>"Q"&amp;ROUNDUP(MONTH(tblTransactions[[#This Row],[Date]])/3,0)&amp;"-"&amp;YEAR(tblTransactions[[#This Row],[Date]])</f>
        <v>Q4-2024</v>
      </c>
      <c r="Q3356">
        <f>YEAR(tblTransactions[[#This Row],[Date]])</f>
        <v>2024</v>
      </c>
      <c r="R3356" t="str">
        <f>TEXT(tblTransactions[[#This Row],[Date]],"DDDD")</f>
        <v>Monday</v>
      </c>
      <c r="S3356">
        <f>MONTH(tblTransactions[[#This Row],[Date]])</f>
        <v>12</v>
      </c>
      <c r="T3356" t="str">
        <f>VLOOKUP(E3356, Products!$A:$B,2,0)</f>
        <v>Monitors Tec-1</v>
      </c>
      <c r="U3356" t="str">
        <f>VLOOKUP(E3356,Products!$A:$C,3,0)</f>
        <v>Technology</v>
      </c>
      <c r="V3356" t="str">
        <f>VLOOKUP(E3356,Products!$A:$D,4,0)</f>
        <v>Monitors</v>
      </c>
      <c r="W3356" t="str">
        <f>VLOOKUP(D3356,Customers!$A:$C,3,0)</f>
        <v>Small Business</v>
      </c>
      <c r="X3356" t="str">
        <f>VLOOKUP(C3356,Sales_Representatives!$A:$B,2,0)</f>
        <v>Jennifer Brown</v>
      </c>
    </row>
    <row r="3357" spans="1:24" x14ac:dyDescent="0.3">
      <c r="A3357" t="s">
        <v>4507</v>
      </c>
      <c r="B3357" t="s">
        <v>4506</v>
      </c>
      <c r="C3357" t="s">
        <v>63</v>
      </c>
      <c r="D3357" t="s">
        <v>1561</v>
      </c>
      <c r="E3357" t="s">
        <v>290</v>
      </c>
      <c r="F3357">
        <v>17</v>
      </c>
      <c r="G3357">
        <v>729.32</v>
      </c>
      <c r="H3357">
        <v>0.16</v>
      </c>
      <c r="I3357" s="4">
        <v>10414.69</v>
      </c>
      <c r="J3357" t="s">
        <v>21</v>
      </c>
      <c r="K3357" t="s">
        <v>48</v>
      </c>
      <c r="L3357" s="4">
        <f>VLOOKUP(tblTransactions[[#This Row],[Product_ID]],tblProducts[],5,FALSE)</f>
        <v>482.7</v>
      </c>
      <c r="M3357" s="4">
        <f>tblTransactions[[#This Row],[Total_Amount]]-(tblTransactions[[#This Row],[Cost_Prices]]*tblTransactions[[#This Row],[Quantity]]*(1-tblTransactions[[#This Row],[Discount]]))</f>
        <v>3521.7340000000013</v>
      </c>
      <c r="N3357" s="3">
        <f>tblTransactions[[#This Row],[Profit]]/tblTransactions[[#This Row],[Total_Amount]]</f>
        <v>0.33815063146382668</v>
      </c>
      <c r="O3357" t="str">
        <f>TEXT(tblTransactions[[#This Row],[Date]], "MMM-YYYY")</f>
        <v>Dec-2024</v>
      </c>
      <c r="P3357" t="str">
        <f>"Q"&amp;ROUNDUP(MONTH(tblTransactions[[#This Row],[Date]])/3,0)&amp;"-"&amp;YEAR(tblTransactions[[#This Row],[Date]])</f>
        <v>Q4-2024</v>
      </c>
      <c r="Q3357">
        <f>YEAR(tblTransactions[[#This Row],[Date]])</f>
        <v>2024</v>
      </c>
      <c r="R3357" t="str">
        <f>TEXT(tblTransactions[[#This Row],[Date]],"DDDD")</f>
        <v>Monday</v>
      </c>
      <c r="S3357">
        <f>MONTH(tblTransactions[[#This Row],[Date]])</f>
        <v>12</v>
      </c>
      <c r="T3357" t="str">
        <f>VLOOKUP(E3357, Products!$A:$B,2,0)</f>
        <v>Tables Fur-1</v>
      </c>
      <c r="U3357" t="str">
        <f>VLOOKUP(E3357,Products!$A:$C,3,0)</f>
        <v>Furniture</v>
      </c>
      <c r="V3357" t="str">
        <f>VLOOKUP(E3357,Products!$A:$D,4,0)</f>
        <v>Tables</v>
      </c>
      <c r="W3357" t="str">
        <f>VLOOKUP(D3357,Customers!$A:$C,3,0)</f>
        <v>B2B</v>
      </c>
      <c r="X3357" t="str">
        <f>VLOOKUP(C3357,Sales_Representatives!$A:$B,2,0)</f>
        <v>Richard Wilson</v>
      </c>
    </row>
    <row r="3358" spans="1:24" x14ac:dyDescent="0.3">
      <c r="A3358" t="s">
        <v>4508</v>
      </c>
      <c r="B3358" t="s">
        <v>4506</v>
      </c>
      <c r="C3358" t="s">
        <v>70</v>
      </c>
      <c r="D3358" t="s">
        <v>1586</v>
      </c>
      <c r="E3358" t="s">
        <v>172</v>
      </c>
      <c r="F3358">
        <v>16</v>
      </c>
      <c r="G3358">
        <v>1371.15</v>
      </c>
      <c r="H3358">
        <v>0.13</v>
      </c>
      <c r="I3358" s="4">
        <v>19086.41</v>
      </c>
      <c r="J3358" t="s">
        <v>16</v>
      </c>
      <c r="K3358" t="s">
        <v>48</v>
      </c>
      <c r="L3358" s="4">
        <f>VLOOKUP(tblTransactions[[#This Row],[Product_ID]],tblProducts[],5,FALSE)</f>
        <v>989.81</v>
      </c>
      <c r="M3358" s="4">
        <f>tblTransactions[[#This Row],[Total_Amount]]-(tblTransactions[[#This Row],[Cost_Prices]]*tblTransactions[[#This Row],[Quantity]]*(1-tblTransactions[[#This Row],[Discount]]))</f>
        <v>5308.2548000000006</v>
      </c>
      <c r="N3358" s="3">
        <f>tblTransactions[[#This Row],[Profit]]/tblTransactions[[#This Row],[Total_Amount]]</f>
        <v>0.2781169848075149</v>
      </c>
      <c r="O3358" t="str">
        <f>TEXT(tblTransactions[[#This Row],[Date]], "MMM-YYYY")</f>
        <v>Dec-2024</v>
      </c>
      <c r="P3358" t="str">
        <f>"Q"&amp;ROUNDUP(MONTH(tblTransactions[[#This Row],[Date]])/3,0)&amp;"-"&amp;YEAR(tblTransactions[[#This Row],[Date]])</f>
        <v>Q4-2024</v>
      </c>
      <c r="Q3358">
        <f>YEAR(tblTransactions[[#This Row],[Date]])</f>
        <v>2024</v>
      </c>
      <c r="R3358" t="str">
        <f>TEXT(tblTransactions[[#This Row],[Date]],"DDDD")</f>
        <v>Monday</v>
      </c>
      <c r="S3358">
        <f>MONTH(tblTransactions[[#This Row],[Date]])</f>
        <v>12</v>
      </c>
      <c r="T3358" t="str">
        <f>VLOOKUP(E3358, Products!$A:$B,2,0)</f>
        <v>Cameras Ele-4</v>
      </c>
      <c r="U3358" t="str">
        <f>VLOOKUP(E3358,Products!$A:$C,3,0)</f>
        <v>Electronics</v>
      </c>
      <c r="V3358" t="str">
        <f>VLOOKUP(E3358,Products!$A:$D,4,0)</f>
        <v>Cameras</v>
      </c>
      <c r="W3358" t="str">
        <f>VLOOKUP(D3358,Customers!$A:$C,3,0)</f>
        <v>B2B</v>
      </c>
      <c r="X3358" t="str">
        <f>VLOOKUP(C3358,Sales_Representatives!$A:$B,2,0)</f>
        <v>Linda Smith</v>
      </c>
    </row>
    <row r="3359" spans="1:24" x14ac:dyDescent="0.3">
      <c r="A3359" t="s">
        <v>4509</v>
      </c>
      <c r="B3359" t="s">
        <v>4506</v>
      </c>
      <c r="C3359" t="s">
        <v>19</v>
      </c>
      <c r="D3359" t="s">
        <v>1832</v>
      </c>
      <c r="E3359" t="s">
        <v>587</v>
      </c>
      <c r="F3359">
        <v>5</v>
      </c>
      <c r="G3359">
        <v>58.54</v>
      </c>
      <c r="H3359">
        <v>0.04</v>
      </c>
      <c r="I3359" s="4">
        <v>280.99</v>
      </c>
      <c r="J3359" t="s">
        <v>21</v>
      </c>
      <c r="K3359" t="s">
        <v>48</v>
      </c>
      <c r="L3359" s="4">
        <f>VLOOKUP(tblTransactions[[#This Row],[Product_ID]],tblProducts[],5,FALSE)</f>
        <v>25.43</v>
      </c>
      <c r="M3359" s="4">
        <f>tblTransactions[[#This Row],[Total_Amount]]-(tblTransactions[[#This Row],[Cost_Prices]]*tblTransactions[[#This Row],[Quantity]]*(1-tblTransactions[[#This Row],[Discount]]))</f>
        <v>158.92599999999999</v>
      </c>
      <c r="N3359" s="3">
        <f>tblTransactions[[#This Row],[Profit]]/tblTransactions[[#This Row],[Total_Amount]]</f>
        <v>0.56559308160432753</v>
      </c>
      <c r="O3359" t="str">
        <f>TEXT(tblTransactions[[#This Row],[Date]], "MMM-YYYY")</f>
        <v>Dec-2024</v>
      </c>
      <c r="P3359" t="str">
        <f>"Q"&amp;ROUNDUP(MONTH(tblTransactions[[#This Row],[Date]])/3,0)&amp;"-"&amp;YEAR(tblTransactions[[#This Row],[Date]])</f>
        <v>Q4-2024</v>
      </c>
      <c r="Q3359">
        <f>YEAR(tblTransactions[[#This Row],[Date]])</f>
        <v>2024</v>
      </c>
      <c r="R3359" t="str">
        <f>TEXT(tblTransactions[[#This Row],[Date]],"DDDD")</f>
        <v>Monday</v>
      </c>
      <c r="S3359">
        <f>MONTH(tblTransactions[[#This Row],[Date]])</f>
        <v>12</v>
      </c>
      <c r="T3359" t="str">
        <f>VLOOKUP(E3359, Products!$A:$B,2,0)</f>
        <v>Paper Off-2</v>
      </c>
      <c r="U3359" t="str">
        <f>VLOOKUP(E3359,Products!$A:$C,3,0)</f>
        <v>Office Supplies</v>
      </c>
      <c r="V3359" t="str">
        <f>VLOOKUP(E3359,Products!$A:$D,4,0)</f>
        <v>Paper</v>
      </c>
      <c r="W3359" t="str">
        <f>VLOOKUP(D3359,Customers!$A:$C,3,0)</f>
        <v>Small Business</v>
      </c>
      <c r="X3359" t="str">
        <f>VLOOKUP(C3359,Sales_Representatives!$A:$B,2,0)</f>
        <v>Robert Jones</v>
      </c>
    </row>
    <row r="3360" spans="1:24" x14ac:dyDescent="0.3">
      <c r="A3360" t="s">
        <v>4510</v>
      </c>
      <c r="B3360" t="s">
        <v>4506</v>
      </c>
      <c r="C3360" t="s">
        <v>56</v>
      </c>
      <c r="D3360" t="s">
        <v>1540</v>
      </c>
      <c r="E3360" t="s">
        <v>15</v>
      </c>
      <c r="F3360">
        <v>6</v>
      </c>
      <c r="G3360">
        <v>477.48</v>
      </c>
      <c r="H3360">
        <v>0.1</v>
      </c>
      <c r="I3360" s="4">
        <v>2578.39</v>
      </c>
      <c r="J3360" t="s">
        <v>34</v>
      </c>
      <c r="K3360" t="s">
        <v>35</v>
      </c>
      <c r="L3360" s="4">
        <f>VLOOKUP(tblTransactions[[#This Row],[Product_ID]],tblProducts[],5,FALSE)</f>
        <v>275.51</v>
      </c>
      <c r="M3360" s="4">
        <f>tblTransactions[[#This Row],[Total_Amount]]-(tblTransactions[[#This Row],[Cost_Prices]]*tblTransactions[[#This Row],[Quantity]]*(1-tblTransactions[[#This Row],[Discount]]))</f>
        <v>1090.636</v>
      </c>
      <c r="N3360" s="3">
        <f>tblTransactions[[#This Row],[Profit]]/tblTransactions[[#This Row],[Total_Amount]]</f>
        <v>0.42299109133994472</v>
      </c>
      <c r="O3360" t="str">
        <f>TEXT(tblTransactions[[#This Row],[Date]], "MMM-YYYY")</f>
        <v>Dec-2024</v>
      </c>
      <c r="P3360" t="str">
        <f>"Q"&amp;ROUNDUP(MONTH(tblTransactions[[#This Row],[Date]])/3,0)&amp;"-"&amp;YEAR(tblTransactions[[#This Row],[Date]])</f>
        <v>Q4-2024</v>
      </c>
      <c r="Q3360">
        <f>YEAR(tblTransactions[[#This Row],[Date]])</f>
        <v>2024</v>
      </c>
      <c r="R3360" t="str">
        <f>TEXT(tblTransactions[[#This Row],[Date]],"DDDD")</f>
        <v>Monday</v>
      </c>
      <c r="S3360">
        <f>MONTH(tblTransactions[[#This Row],[Date]])</f>
        <v>12</v>
      </c>
      <c r="T3360" t="str">
        <f>VLOOKUP(E3360, Products!$A:$B,2,0)</f>
        <v>Laptops Ele-4</v>
      </c>
      <c r="U3360" t="str">
        <f>VLOOKUP(E3360,Products!$A:$C,3,0)</f>
        <v>Electronics</v>
      </c>
      <c r="V3360" t="str">
        <f>VLOOKUP(E3360,Products!$A:$D,4,0)</f>
        <v>Laptops</v>
      </c>
      <c r="W3360" t="str">
        <f>VLOOKUP(D3360,Customers!$A:$C,3,0)</f>
        <v>B2C</v>
      </c>
      <c r="X3360" t="str">
        <f>VLOOKUP(C3360,Sales_Representatives!$A:$B,2,0)</f>
        <v>Thomas Hernandez</v>
      </c>
    </row>
    <row r="3361" spans="1:24" x14ac:dyDescent="0.3">
      <c r="A3361" t="s">
        <v>4511</v>
      </c>
      <c r="B3361" t="s">
        <v>4512</v>
      </c>
      <c r="C3361" t="s">
        <v>82</v>
      </c>
      <c r="D3361" t="s">
        <v>396</v>
      </c>
      <c r="E3361" t="s">
        <v>204</v>
      </c>
      <c r="F3361">
        <v>5</v>
      </c>
      <c r="G3361">
        <v>715.62</v>
      </c>
      <c r="H3361">
        <v>0.02</v>
      </c>
      <c r="I3361" s="4">
        <v>3506.54</v>
      </c>
      <c r="J3361" t="s">
        <v>34</v>
      </c>
      <c r="K3361" t="s">
        <v>39</v>
      </c>
      <c r="L3361" s="4">
        <f>VLOOKUP(tblTransactions[[#This Row],[Product_ID]],tblProducts[],5,FALSE)</f>
        <v>459.58</v>
      </c>
      <c r="M3361" s="4">
        <f>tblTransactions[[#This Row],[Total_Amount]]-(tblTransactions[[#This Row],[Cost_Prices]]*tblTransactions[[#This Row],[Quantity]]*(1-tblTransactions[[#This Row],[Discount]]))</f>
        <v>1254.598</v>
      </c>
      <c r="N3361" s="3">
        <f>tblTransactions[[#This Row],[Profit]]/tblTransactions[[#This Row],[Total_Amount]]</f>
        <v>0.3577880189588597</v>
      </c>
      <c r="O3361" t="str">
        <f>TEXT(tblTransactions[[#This Row],[Date]], "MMM-YYYY")</f>
        <v>Dec-2024</v>
      </c>
      <c r="P3361" t="str">
        <f>"Q"&amp;ROUNDUP(MONTH(tblTransactions[[#This Row],[Date]])/3,0)&amp;"-"&amp;YEAR(tblTransactions[[#This Row],[Date]])</f>
        <v>Q4-2024</v>
      </c>
      <c r="Q3361">
        <f>YEAR(tblTransactions[[#This Row],[Date]])</f>
        <v>2024</v>
      </c>
      <c r="R3361" t="str">
        <f>TEXT(tblTransactions[[#This Row],[Date]],"DDDD")</f>
        <v>Tuesday</v>
      </c>
      <c r="S3361">
        <f>MONTH(tblTransactions[[#This Row],[Date]])</f>
        <v>12</v>
      </c>
      <c r="T3361" t="str">
        <f>VLOOKUP(E3361, Products!$A:$B,2,0)</f>
        <v>Cameras Ele-2</v>
      </c>
      <c r="U3361" t="str">
        <f>VLOOKUP(E3361,Products!$A:$C,3,0)</f>
        <v>Electronics</v>
      </c>
      <c r="V3361" t="str">
        <f>VLOOKUP(E3361,Products!$A:$D,4,0)</f>
        <v>Cameras</v>
      </c>
      <c r="W3361" t="str">
        <f>VLOOKUP(D3361,Customers!$A:$C,3,0)</f>
        <v>Small Business</v>
      </c>
      <c r="X3361" t="str">
        <f>VLOOKUP(C3361,Sales_Representatives!$A:$B,2,0)</f>
        <v>John Brown</v>
      </c>
    </row>
    <row r="3362" spans="1:24" x14ac:dyDescent="0.3">
      <c r="A3362" t="s">
        <v>4513</v>
      </c>
      <c r="B3362" t="s">
        <v>4512</v>
      </c>
      <c r="C3362" t="s">
        <v>127</v>
      </c>
      <c r="D3362" t="s">
        <v>1463</v>
      </c>
      <c r="E3362" t="s">
        <v>102</v>
      </c>
      <c r="F3362">
        <v>4</v>
      </c>
      <c r="G3362">
        <v>1097.75</v>
      </c>
      <c r="H3362">
        <v>0</v>
      </c>
      <c r="I3362" s="4">
        <v>4391</v>
      </c>
      <c r="J3362" t="s">
        <v>109</v>
      </c>
      <c r="K3362" t="s">
        <v>39</v>
      </c>
      <c r="L3362" s="4">
        <f>VLOOKUP(tblTransactions[[#This Row],[Product_ID]],tblProducts[],5,FALSE)</f>
        <v>680.12</v>
      </c>
      <c r="M3362" s="4">
        <f>tblTransactions[[#This Row],[Total_Amount]]-(tblTransactions[[#This Row],[Cost_Prices]]*tblTransactions[[#This Row],[Quantity]]*(1-tblTransactions[[#This Row],[Discount]]))</f>
        <v>1670.52</v>
      </c>
      <c r="N3362" s="3">
        <f>tblTransactions[[#This Row],[Profit]]/tblTransactions[[#This Row],[Total_Amount]]</f>
        <v>0.38044181279890688</v>
      </c>
      <c r="O3362" t="str">
        <f>TEXT(tblTransactions[[#This Row],[Date]], "MMM-YYYY")</f>
        <v>Dec-2024</v>
      </c>
      <c r="P3362" t="str">
        <f>"Q"&amp;ROUNDUP(MONTH(tblTransactions[[#This Row],[Date]])/3,0)&amp;"-"&amp;YEAR(tblTransactions[[#This Row],[Date]])</f>
        <v>Q4-2024</v>
      </c>
      <c r="Q3362">
        <f>YEAR(tblTransactions[[#This Row],[Date]])</f>
        <v>2024</v>
      </c>
      <c r="R3362" t="str">
        <f>TEXT(tblTransactions[[#This Row],[Date]],"DDDD")</f>
        <v>Tuesday</v>
      </c>
      <c r="S3362">
        <f>MONTH(tblTransactions[[#This Row],[Date]])</f>
        <v>12</v>
      </c>
      <c r="T3362" t="str">
        <f>VLOOKUP(E3362, Products!$A:$B,2,0)</f>
        <v>Storage Fur-4</v>
      </c>
      <c r="U3362" t="str">
        <f>VLOOKUP(E3362,Products!$A:$C,3,0)</f>
        <v>Furniture</v>
      </c>
      <c r="V3362" t="str">
        <f>VLOOKUP(E3362,Products!$A:$D,4,0)</f>
        <v>Storage</v>
      </c>
      <c r="W3362" t="str">
        <f>VLOOKUP(D3362,Customers!$A:$C,3,0)</f>
        <v>Small Business</v>
      </c>
      <c r="X3362" t="str">
        <f>VLOOKUP(C3362,Sales_Representatives!$A:$B,2,0)</f>
        <v>Emily Hernandez</v>
      </c>
    </row>
    <row r="3363" spans="1:24" x14ac:dyDescent="0.3">
      <c r="A3363" t="s">
        <v>4514</v>
      </c>
      <c r="B3363" t="s">
        <v>4512</v>
      </c>
      <c r="C3363" t="s">
        <v>82</v>
      </c>
      <c r="D3363" t="s">
        <v>1602</v>
      </c>
      <c r="E3363" t="s">
        <v>79</v>
      </c>
      <c r="F3363">
        <v>1</v>
      </c>
      <c r="G3363">
        <v>1452.36</v>
      </c>
      <c r="H3363">
        <v>0.01</v>
      </c>
      <c r="I3363" s="4">
        <v>1437.84</v>
      </c>
      <c r="J3363" t="s">
        <v>34</v>
      </c>
      <c r="K3363" t="s">
        <v>17</v>
      </c>
      <c r="L3363" s="4">
        <f>VLOOKUP(tblTransactions[[#This Row],[Product_ID]],tblProducts[],5,FALSE)</f>
        <v>778.71</v>
      </c>
      <c r="M3363" s="4">
        <f>tblTransactions[[#This Row],[Total_Amount]]-(tblTransactions[[#This Row],[Cost_Prices]]*tblTransactions[[#This Row],[Quantity]]*(1-tblTransactions[[#This Row],[Discount]]))</f>
        <v>666.91709999999989</v>
      </c>
      <c r="N3363" s="3">
        <f>tblTransactions[[#This Row],[Profit]]/tblTransactions[[#This Row],[Total_Amount]]</f>
        <v>0.4638326239359038</v>
      </c>
      <c r="O3363" t="str">
        <f>TEXT(tblTransactions[[#This Row],[Date]], "MMM-YYYY")</f>
        <v>Dec-2024</v>
      </c>
      <c r="P3363" t="str">
        <f>"Q"&amp;ROUNDUP(MONTH(tblTransactions[[#This Row],[Date]])/3,0)&amp;"-"&amp;YEAR(tblTransactions[[#This Row],[Date]])</f>
        <v>Q4-2024</v>
      </c>
      <c r="Q3363">
        <f>YEAR(tblTransactions[[#This Row],[Date]])</f>
        <v>2024</v>
      </c>
      <c r="R3363" t="str">
        <f>TEXT(tblTransactions[[#This Row],[Date]],"DDDD")</f>
        <v>Tuesday</v>
      </c>
      <c r="S3363">
        <f>MONTH(tblTransactions[[#This Row],[Date]])</f>
        <v>12</v>
      </c>
      <c r="T3363" t="str">
        <f>VLOOKUP(E3363, Products!$A:$B,2,0)</f>
        <v>Tables Fur-2</v>
      </c>
      <c r="U3363" t="str">
        <f>VLOOKUP(E3363,Products!$A:$C,3,0)</f>
        <v>Furniture</v>
      </c>
      <c r="V3363" t="str">
        <f>VLOOKUP(E3363,Products!$A:$D,4,0)</f>
        <v>Tables</v>
      </c>
      <c r="W3363" t="str">
        <f>VLOOKUP(D3363,Customers!$A:$C,3,0)</f>
        <v>B2C</v>
      </c>
      <c r="X3363" t="str">
        <f>VLOOKUP(C3363,Sales_Representatives!$A:$B,2,0)</f>
        <v>John Brown</v>
      </c>
    </row>
    <row r="3364" spans="1:24" x14ac:dyDescent="0.3">
      <c r="A3364" t="s">
        <v>4515</v>
      </c>
      <c r="B3364" t="s">
        <v>4512</v>
      </c>
      <c r="C3364" t="s">
        <v>107</v>
      </c>
      <c r="D3364" t="s">
        <v>1819</v>
      </c>
      <c r="E3364" t="s">
        <v>204</v>
      </c>
      <c r="F3364">
        <v>5</v>
      </c>
      <c r="G3364">
        <v>715.62</v>
      </c>
      <c r="H3364">
        <v>0.02</v>
      </c>
      <c r="I3364" s="4">
        <v>3506.54</v>
      </c>
      <c r="J3364" t="s">
        <v>109</v>
      </c>
      <c r="K3364" t="s">
        <v>39</v>
      </c>
      <c r="L3364" s="4">
        <f>VLOOKUP(tblTransactions[[#This Row],[Product_ID]],tblProducts[],5,FALSE)</f>
        <v>459.58</v>
      </c>
      <c r="M3364" s="4">
        <f>tblTransactions[[#This Row],[Total_Amount]]-(tblTransactions[[#This Row],[Cost_Prices]]*tblTransactions[[#This Row],[Quantity]]*(1-tblTransactions[[#This Row],[Discount]]))</f>
        <v>1254.598</v>
      </c>
      <c r="N3364" s="3">
        <f>tblTransactions[[#This Row],[Profit]]/tblTransactions[[#This Row],[Total_Amount]]</f>
        <v>0.3577880189588597</v>
      </c>
      <c r="O3364" t="str">
        <f>TEXT(tblTransactions[[#This Row],[Date]], "MMM-YYYY")</f>
        <v>Dec-2024</v>
      </c>
      <c r="P3364" t="str">
        <f>"Q"&amp;ROUNDUP(MONTH(tblTransactions[[#This Row],[Date]])/3,0)&amp;"-"&amp;YEAR(tblTransactions[[#This Row],[Date]])</f>
        <v>Q4-2024</v>
      </c>
      <c r="Q3364">
        <f>YEAR(tblTransactions[[#This Row],[Date]])</f>
        <v>2024</v>
      </c>
      <c r="R3364" t="str">
        <f>TEXT(tblTransactions[[#This Row],[Date]],"DDDD")</f>
        <v>Tuesday</v>
      </c>
      <c r="S3364">
        <f>MONTH(tblTransactions[[#This Row],[Date]])</f>
        <v>12</v>
      </c>
      <c r="T3364" t="str">
        <f>VLOOKUP(E3364, Products!$A:$B,2,0)</f>
        <v>Cameras Ele-2</v>
      </c>
      <c r="U3364" t="str">
        <f>VLOOKUP(E3364,Products!$A:$C,3,0)</f>
        <v>Electronics</v>
      </c>
      <c r="V3364" t="str">
        <f>VLOOKUP(E3364,Products!$A:$D,4,0)</f>
        <v>Cameras</v>
      </c>
      <c r="W3364" t="str">
        <f>VLOOKUP(D3364,Customers!$A:$C,3,0)</f>
        <v>Small Business</v>
      </c>
      <c r="X3364" t="str">
        <f>VLOOKUP(C3364,Sales_Representatives!$A:$B,2,0)</f>
        <v>Jennifer Brown</v>
      </c>
    </row>
    <row r="3365" spans="1:24" x14ac:dyDescent="0.3">
      <c r="A3365" t="s">
        <v>4516</v>
      </c>
      <c r="B3365" t="s">
        <v>4512</v>
      </c>
      <c r="C3365" t="s">
        <v>59</v>
      </c>
      <c r="D3365" t="s">
        <v>2512</v>
      </c>
      <c r="E3365" t="s">
        <v>704</v>
      </c>
      <c r="F3365">
        <v>4</v>
      </c>
      <c r="G3365">
        <v>291.81</v>
      </c>
      <c r="H3365">
        <v>0.01</v>
      </c>
      <c r="I3365" s="4">
        <v>1155.57</v>
      </c>
      <c r="J3365" t="s">
        <v>21</v>
      </c>
      <c r="K3365" t="s">
        <v>35</v>
      </c>
      <c r="L3365" s="4">
        <f>VLOOKUP(tblTransactions[[#This Row],[Product_ID]],tblProducts[],5,FALSE)</f>
        <v>123.61</v>
      </c>
      <c r="M3365" s="4">
        <f>tblTransactions[[#This Row],[Total_Amount]]-(tblTransactions[[#This Row],[Cost_Prices]]*tblTransactions[[#This Row],[Quantity]]*(1-tblTransactions[[#This Row],[Discount]]))</f>
        <v>666.07439999999997</v>
      </c>
      <c r="N3365" s="3">
        <f>tblTransactions[[#This Row],[Profit]]/tblTransactions[[#This Row],[Total_Amount]]</f>
        <v>0.57640333341987071</v>
      </c>
      <c r="O3365" t="str">
        <f>TEXT(tblTransactions[[#This Row],[Date]], "MMM-YYYY")</f>
        <v>Dec-2024</v>
      </c>
      <c r="P3365" t="str">
        <f>"Q"&amp;ROUNDUP(MONTH(tblTransactions[[#This Row],[Date]])/3,0)&amp;"-"&amp;YEAR(tblTransactions[[#This Row],[Date]])</f>
        <v>Q4-2024</v>
      </c>
      <c r="Q3365">
        <f>YEAR(tblTransactions[[#This Row],[Date]])</f>
        <v>2024</v>
      </c>
      <c r="R3365" t="str">
        <f>TEXT(tblTransactions[[#This Row],[Date]],"DDDD")</f>
        <v>Tuesday</v>
      </c>
      <c r="S3365">
        <f>MONTH(tblTransactions[[#This Row],[Date]])</f>
        <v>12</v>
      </c>
      <c r="T3365" t="str">
        <f>VLOOKUP(E3365, Products!$A:$B,2,0)</f>
        <v>Keyboards Acc-4</v>
      </c>
      <c r="U3365" t="str">
        <f>VLOOKUP(E3365,Products!$A:$C,3,0)</f>
        <v>Accessories</v>
      </c>
      <c r="V3365" t="str">
        <f>VLOOKUP(E3365,Products!$A:$D,4,0)</f>
        <v>Keyboards</v>
      </c>
      <c r="W3365" t="str">
        <f>VLOOKUP(D3365,Customers!$A:$C,3,0)</f>
        <v>Small Business</v>
      </c>
      <c r="X3365" t="str">
        <f>VLOOKUP(C3365,Sales_Representatives!$A:$B,2,0)</f>
        <v>Sarah Brown</v>
      </c>
    </row>
    <row r="3366" spans="1:24" x14ac:dyDescent="0.3">
      <c r="A3366" t="s">
        <v>4517</v>
      </c>
      <c r="B3366" t="s">
        <v>4512</v>
      </c>
      <c r="C3366" t="s">
        <v>82</v>
      </c>
      <c r="D3366" t="s">
        <v>396</v>
      </c>
      <c r="E3366" t="s">
        <v>102</v>
      </c>
      <c r="F3366">
        <v>4</v>
      </c>
      <c r="G3366">
        <v>1097.75</v>
      </c>
      <c r="H3366">
        <v>0.04</v>
      </c>
      <c r="I3366" s="4">
        <v>4215.3599999999997</v>
      </c>
      <c r="J3366" t="s">
        <v>34</v>
      </c>
      <c r="K3366" t="s">
        <v>22</v>
      </c>
      <c r="L3366" s="4">
        <f>VLOOKUP(tblTransactions[[#This Row],[Product_ID]],tblProducts[],5,FALSE)</f>
        <v>680.12</v>
      </c>
      <c r="M3366" s="4">
        <f>tblTransactions[[#This Row],[Total_Amount]]-(tblTransactions[[#This Row],[Cost_Prices]]*tblTransactions[[#This Row],[Quantity]]*(1-tblTransactions[[#This Row],[Discount]]))</f>
        <v>1603.6991999999996</v>
      </c>
      <c r="N3366" s="3">
        <f>tblTransactions[[#This Row],[Profit]]/tblTransactions[[#This Row],[Total_Amount]]</f>
        <v>0.38044181279890676</v>
      </c>
      <c r="O3366" t="str">
        <f>TEXT(tblTransactions[[#This Row],[Date]], "MMM-YYYY")</f>
        <v>Dec-2024</v>
      </c>
      <c r="P3366" t="str">
        <f>"Q"&amp;ROUNDUP(MONTH(tblTransactions[[#This Row],[Date]])/3,0)&amp;"-"&amp;YEAR(tblTransactions[[#This Row],[Date]])</f>
        <v>Q4-2024</v>
      </c>
      <c r="Q3366">
        <f>YEAR(tblTransactions[[#This Row],[Date]])</f>
        <v>2024</v>
      </c>
      <c r="R3366" t="str">
        <f>TEXT(tblTransactions[[#This Row],[Date]],"DDDD")</f>
        <v>Tuesday</v>
      </c>
      <c r="S3366">
        <f>MONTH(tblTransactions[[#This Row],[Date]])</f>
        <v>12</v>
      </c>
      <c r="T3366" t="str">
        <f>VLOOKUP(E3366, Products!$A:$B,2,0)</f>
        <v>Storage Fur-4</v>
      </c>
      <c r="U3366" t="str">
        <f>VLOOKUP(E3366,Products!$A:$C,3,0)</f>
        <v>Furniture</v>
      </c>
      <c r="V3366" t="str">
        <f>VLOOKUP(E3366,Products!$A:$D,4,0)</f>
        <v>Storage</v>
      </c>
      <c r="W3366" t="str">
        <f>VLOOKUP(D3366,Customers!$A:$C,3,0)</f>
        <v>Small Business</v>
      </c>
      <c r="X3366" t="str">
        <f>VLOOKUP(C3366,Sales_Representatives!$A:$B,2,0)</f>
        <v>John Brown</v>
      </c>
    </row>
    <row r="3367" spans="1:24" x14ac:dyDescent="0.3">
      <c r="A3367" t="s">
        <v>4518</v>
      </c>
      <c r="B3367" t="s">
        <v>4519</v>
      </c>
      <c r="C3367" t="s">
        <v>107</v>
      </c>
      <c r="D3367" t="s">
        <v>2329</v>
      </c>
      <c r="E3367" t="s">
        <v>264</v>
      </c>
      <c r="F3367">
        <v>3</v>
      </c>
      <c r="G3367">
        <v>607.29999999999995</v>
      </c>
      <c r="H3367">
        <v>0.02</v>
      </c>
      <c r="I3367" s="4">
        <v>1785.46</v>
      </c>
      <c r="J3367" t="s">
        <v>109</v>
      </c>
      <c r="K3367" t="s">
        <v>17</v>
      </c>
      <c r="L3367" s="4">
        <f>VLOOKUP(tblTransactions[[#This Row],[Product_ID]],tblProducts[],5,FALSE)</f>
        <v>436.37</v>
      </c>
      <c r="M3367" s="4">
        <f>tblTransactions[[#This Row],[Total_Amount]]-(tblTransactions[[#This Row],[Cost_Prices]]*tblTransactions[[#This Row],[Quantity]]*(1-tblTransactions[[#This Row],[Discount]]))</f>
        <v>502.53219999999988</v>
      </c>
      <c r="N3367" s="3">
        <f>tblTransactions[[#This Row],[Profit]]/tblTransactions[[#This Row],[Total_Amount]]</f>
        <v>0.28145811163509676</v>
      </c>
      <c r="O3367" t="str">
        <f>TEXT(tblTransactions[[#This Row],[Date]], "MMM-YYYY")</f>
        <v>Dec-2024</v>
      </c>
      <c r="P3367" t="str">
        <f>"Q"&amp;ROUNDUP(MONTH(tblTransactions[[#This Row],[Date]])/3,0)&amp;"-"&amp;YEAR(tblTransactions[[#This Row],[Date]])</f>
        <v>Q4-2024</v>
      </c>
      <c r="Q3367">
        <f>YEAR(tblTransactions[[#This Row],[Date]])</f>
        <v>2024</v>
      </c>
      <c r="R3367" t="str">
        <f>TEXT(tblTransactions[[#This Row],[Date]],"DDDD")</f>
        <v>Wednesday</v>
      </c>
      <c r="S3367">
        <f>MONTH(tblTransactions[[#This Row],[Date]])</f>
        <v>12</v>
      </c>
      <c r="T3367" t="str">
        <f>VLOOKUP(E3367, Products!$A:$B,2,0)</f>
        <v>Tablets Ele-4</v>
      </c>
      <c r="U3367" t="str">
        <f>VLOOKUP(E3367,Products!$A:$C,3,0)</f>
        <v>Electronics</v>
      </c>
      <c r="V3367" t="str">
        <f>VLOOKUP(E3367,Products!$A:$D,4,0)</f>
        <v>Tablets</v>
      </c>
      <c r="W3367" t="str">
        <f>VLOOKUP(D3367,Customers!$A:$C,3,0)</f>
        <v>B2C</v>
      </c>
      <c r="X3367" t="str">
        <f>VLOOKUP(C3367,Sales_Representatives!$A:$B,2,0)</f>
        <v>Jennifer Brown</v>
      </c>
    </row>
    <row r="3368" spans="1:24" x14ac:dyDescent="0.3">
      <c r="A3368" t="s">
        <v>4520</v>
      </c>
      <c r="B3368" t="s">
        <v>4519</v>
      </c>
      <c r="C3368" t="s">
        <v>31</v>
      </c>
      <c r="D3368" t="s">
        <v>3614</v>
      </c>
      <c r="E3368" t="s">
        <v>255</v>
      </c>
      <c r="F3368">
        <v>6</v>
      </c>
      <c r="G3368">
        <v>1444.13</v>
      </c>
      <c r="H3368">
        <v>0.08</v>
      </c>
      <c r="I3368" s="4">
        <v>7971.6</v>
      </c>
      <c r="J3368" t="s">
        <v>34</v>
      </c>
      <c r="K3368" t="s">
        <v>39</v>
      </c>
      <c r="L3368" s="4">
        <f>VLOOKUP(tblTransactions[[#This Row],[Product_ID]],tblProducts[],5,FALSE)</f>
        <v>874.43</v>
      </c>
      <c r="M3368" s="4">
        <f>tblTransactions[[#This Row],[Total_Amount]]-(tblTransactions[[#This Row],[Cost_Prices]]*tblTransactions[[#This Row],[Quantity]]*(1-tblTransactions[[#This Row],[Discount]]))</f>
        <v>3144.7464</v>
      </c>
      <c r="N3368" s="3">
        <f>tblTransactions[[#This Row],[Profit]]/tblTransactions[[#This Row],[Total_Amount]]</f>
        <v>0.39449375282251992</v>
      </c>
      <c r="O3368" t="str">
        <f>TEXT(tblTransactions[[#This Row],[Date]], "MMM-YYYY")</f>
        <v>Dec-2024</v>
      </c>
      <c r="P3368" t="str">
        <f>"Q"&amp;ROUNDUP(MONTH(tblTransactions[[#This Row],[Date]])/3,0)&amp;"-"&amp;YEAR(tblTransactions[[#This Row],[Date]])</f>
        <v>Q4-2024</v>
      </c>
      <c r="Q3368">
        <f>YEAR(tblTransactions[[#This Row],[Date]])</f>
        <v>2024</v>
      </c>
      <c r="R3368" t="str">
        <f>TEXT(tblTransactions[[#This Row],[Date]],"DDDD")</f>
        <v>Wednesday</v>
      </c>
      <c r="S3368">
        <f>MONTH(tblTransactions[[#This Row],[Date]])</f>
        <v>12</v>
      </c>
      <c r="T3368" t="str">
        <f>VLOOKUP(E3368, Products!$A:$B,2,0)</f>
        <v>Printers Tec-1</v>
      </c>
      <c r="U3368" t="str">
        <f>VLOOKUP(E3368,Products!$A:$C,3,0)</f>
        <v>Technology</v>
      </c>
      <c r="V3368" t="str">
        <f>VLOOKUP(E3368,Products!$A:$D,4,0)</f>
        <v>Printers</v>
      </c>
      <c r="W3368" t="str">
        <f>VLOOKUP(D3368,Customers!$A:$C,3,0)</f>
        <v>B2B</v>
      </c>
      <c r="X3368" t="str">
        <f>VLOOKUP(C3368,Sales_Representatives!$A:$B,2,0)</f>
        <v>Thomas Martinez</v>
      </c>
    </row>
    <row r="3369" spans="1:24" x14ac:dyDescent="0.3">
      <c r="A3369" t="s">
        <v>4521</v>
      </c>
      <c r="B3369" t="s">
        <v>4519</v>
      </c>
      <c r="C3369" t="s">
        <v>59</v>
      </c>
      <c r="D3369" t="s">
        <v>1843</v>
      </c>
      <c r="E3369" t="s">
        <v>108</v>
      </c>
      <c r="F3369">
        <v>1</v>
      </c>
      <c r="G3369">
        <v>155.75</v>
      </c>
      <c r="H3369">
        <v>0.04</v>
      </c>
      <c r="I3369" s="4">
        <v>149.52000000000001</v>
      </c>
      <c r="J3369" t="s">
        <v>21</v>
      </c>
      <c r="K3369" t="s">
        <v>22</v>
      </c>
      <c r="L3369" s="4">
        <f>VLOOKUP(tblTransactions[[#This Row],[Product_ID]],tblProducts[],5,FALSE)</f>
        <v>80.8</v>
      </c>
      <c r="M3369" s="4">
        <f>tblTransactions[[#This Row],[Total_Amount]]-(tblTransactions[[#This Row],[Cost_Prices]]*tblTransactions[[#This Row],[Quantity]]*(1-tblTransactions[[#This Row],[Discount]]))</f>
        <v>71.952000000000012</v>
      </c>
      <c r="N3369" s="3">
        <f>tblTransactions[[#This Row],[Profit]]/tblTransactions[[#This Row],[Total_Amount]]</f>
        <v>0.48121990369181383</v>
      </c>
      <c r="O3369" t="str">
        <f>TEXT(tblTransactions[[#This Row],[Date]], "MMM-YYYY")</f>
        <v>Dec-2024</v>
      </c>
      <c r="P3369" t="str">
        <f>"Q"&amp;ROUNDUP(MONTH(tblTransactions[[#This Row],[Date]])/3,0)&amp;"-"&amp;YEAR(tblTransactions[[#This Row],[Date]])</f>
        <v>Q4-2024</v>
      </c>
      <c r="Q3369">
        <f>YEAR(tblTransactions[[#This Row],[Date]])</f>
        <v>2024</v>
      </c>
      <c r="R3369" t="str">
        <f>TEXT(tblTransactions[[#This Row],[Date]],"DDDD")</f>
        <v>Wednesday</v>
      </c>
      <c r="S3369">
        <f>MONTH(tblTransactions[[#This Row],[Date]])</f>
        <v>12</v>
      </c>
      <c r="T3369" t="str">
        <f>VLOOKUP(E3369, Products!$A:$B,2,0)</f>
        <v>Cases Acc-1</v>
      </c>
      <c r="U3369" t="str">
        <f>VLOOKUP(E3369,Products!$A:$C,3,0)</f>
        <v>Accessories</v>
      </c>
      <c r="V3369" t="str">
        <f>VLOOKUP(E3369,Products!$A:$D,4,0)</f>
        <v>Cases</v>
      </c>
      <c r="W3369" t="str">
        <f>VLOOKUP(D3369,Customers!$A:$C,3,0)</f>
        <v>B2C</v>
      </c>
      <c r="X3369" t="str">
        <f>VLOOKUP(C3369,Sales_Representatives!$A:$B,2,0)</f>
        <v>Sarah Brown</v>
      </c>
    </row>
    <row r="3370" spans="1:24" x14ac:dyDescent="0.3">
      <c r="A3370" t="s">
        <v>4522</v>
      </c>
      <c r="B3370" t="s">
        <v>4519</v>
      </c>
      <c r="C3370" t="s">
        <v>59</v>
      </c>
      <c r="D3370" t="s">
        <v>1523</v>
      </c>
      <c r="E3370" t="s">
        <v>159</v>
      </c>
      <c r="F3370">
        <v>2</v>
      </c>
      <c r="G3370">
        <v>78.09</v>
      </c>
      <c r="H3370">
        <v>0.09</v>
      </c>
      <c r="I3370" s="4">
        <v>142.12</v>
      </c>
      <c r="J3370" t="s">
        <v>21</v>
      </c>
      <c r="K3370" t="s">
        <v>39</v>
      </c>
      <c r="L3370" s="4">
        <f>VLOOKUP(tblTransactions[[#This Row],[Product_ID]],tblProducts[],5,FALSE)</f>
        <v>47.01</v>
      </c>
      <c r="M3370" s="4">
        <f>tblTransactions[[#This Row],[Total_Amount]]-(tblTransactions[[#This Row],[Cost_Prices]]*tblTransactions[[#This Row],[Quantity]]*(1-tblTransactions[[#This Row],[Discount]]))</f>
        <v>56.561800000000005</v>
      </c>
      <c r="N3370" s="3">
        <f>tblTransactions[[#This Row],[Profit]]/tblTransactions[[#This Row],[Total_Amount]]</f>
        <v>0.39798620883760205</v>
      </c>
      <c r="O3370" t="str">
        <f>TEXT(tblTransactions[[#This Row],[Date]], "MMM-YYYY")</f>
        <v>Dec-2024</v>
      </c>
      <c r="P3370" t="str">
        <f>"Q"&amp;ROUNDUP(MONTH(tblTransactions[[#This Row],[Date]])/3,0)&amp;"-"&amp;YEAR(tblTransactions[[#This Row],[Date]])</f>
        <v>Q4-2024</v>
      </c>
      <c r="Q3370">
        <f>YEAR(tblTransactions[[#This Row],[Date]])</f>
        <v>2024</v>
      </c>
      <c r="R3370" t="str">
        <f>TEXT(tblTransactions[[#This Row],[Date]],"DDDD")</f>
        <v>Wednesday</v>
      </c>
      <c r="S3370">
        <f>MONTH(tblTransactions[[#This Row],[Date]])</f>
        <v>12</v>
      </c>
      <c r="T3370" t="str">
        <f>VLOOKUP(E3370, Products!$A:$B,2,0)</f>
        <v>Cables Acc-4</v>
      </c>
      <c r="U3370" t="str">
        <f>VLOOKUP(E3370,Products!$A:$C,3,0)</f>
        <v>Accessories</v>
      </c>
      <c r="V3370" t="str">
        <f>VLOOKUP(E3370,Products!$A:$D,4,0)</f>
        <v>Cables</v>
      </c>
      <c r="W3370" t="str">
        <f>VLOOKUP(D3370,Customers!$A:$C,3,0)</f>
        <v>Small Business</v>
      </c>
      <c r="X3370" t="str">
        <f>VLOOKUP(C3370,Sales_Representatives!$A:$B,2,0)</f>
        <v>Sarah Brown</v>
      </c>
    </row>
    <row r="3371" spans="1:24" x14ac:dyDescent="0.3">
      <c r="A3371" t="s">
        <v>4523</v>
      </c>
      <c r="B3371" t="s">
        <v>4519</v>
      </c>
      <c r="C3371" t="s">
        <v>131</v>
      </c>
      <c r="D3371" t="s">
        <v>2287</v>
      </c>
      <c r="E3371" t="s">
        <v>324</v>
      </c>
      <c r="F3371">
        <v>6</v>
      </c>
      <c r="G3371">
        <v>245.76</v>
      </c>
      <c r="H3371">
        <v>0.1</v>
      </c>
      <c r="I3371" s="4">
        <v>1327.1</v>
      </c>
      <c r="J3371" t="s">
        <v>44</v>
      </c>
      <c r="K3371" t="s">
        <v>35</v>
      </c>
      <c r="L3371" s="4">
        <f>VLOOKUP(tblTransactions[[#This Row],[Product_ID]],tblProducts[],5,FALSE)</f>
        <v>161.94</v>
      </c>
      <c r="M3371" s="4">
        <f>tblTransactions[[#This Row],[Total_Amount]]-(tblTransactions[[#This Row],[Cost_Prices]]*tblTransactions[[#This Row],[Quantity]]*(1-tblTransactions[[#This Row],[Discount]]))</f>
        <v>452.62399999999991</v>
      </c>
      <c r="N3371" s="3">
        <f>tblTransactions[[#This Row],[Profit]]/tblTransactions[[#This Row],[Total_Amount]]</f>
        <v>0.341062467033381</v>
      </c>
      <c r="O3371" t="str">
        <f>TEXT(tblTransactions[[#This Row],[Date]], "MMM-YYYY")</f>
        <v>Dec-2024</v>
      </c>
      <c r="P3371" t="str">
        <f>"Q"&amp;ROUNDUP(MONTH(tblTransactions[[#This Row],[Date]])/3,0)&amp;"-"&amp;YEAR(tblTransactions[[#This Row],[Date]])</f>
        <v>Q4-2024</v>
      </c>
      <c r="Q3371">
        <f>YEAR(tblTransactions[[#This Row],[Date]])</f>
        <v>2024</v>
      </c>
      <c r="R3371" t="str">
        <f>TEXT(tblTransactions[[#This Row],[Date]],"DDDD")</f>
        <v>Wednesday</v>
      </c>
      <c r="S3371">
        <f>MONTH(tblTransactions[[#This Row],[Date]])</f>
        <v>12</v>
      </c>
      <c r="T3371" t="str">
        <f>VLOOKUP(E3371, Products!$A:$B,2,0)</f>
        <v>Storage Fur-1</v>
      </c>
      <c r="U3371" t="str">
        <f>VLOOKUP(E3371,Products!$A:$C,3,0)</f>
        <v>Furniture</v>
      </c>
      <c r="V3371" t="str">
        <f>VLOOKUP(E3371,Products!$A:$D,4,0)</f>
        <v>Storage</v>
      </c>
      <c r="W3371" t="str">
        <f>VLOOKUP(D3371,Customers!$A:$C,3,0)</f>
        <v>B2B</v>
      </c>
      <c r="X3371" t="str">
        <f>VLOOKUP(C3371,Sales_Representatives!$A:$B,2,0)</f>
        <v>Michael Davis</v>
      </c>
    </row>
    <row r="3372" spans="1:24" x14ac:dyDescent="0.3">
      <c r="A3372" t="s">
        <v>4524</v>
      </c>
      <c r="B3372" t="s">
        <v>4519</v>
      </c>
      <c r="C3372" t="s">
        <v>131</v>
      </c>
      <c r="D3372" t="s">
        <v>2007</v>
      </c>
      <c r="E3372" t="s">
        <v>283</v>
      </c>
      <c r="F3372">
        <v>23</v>
      </c>
      <c r="G3372">
        <v>456.88</v>
      </c>
      <c r="H3372">
        <v>0.17</v>
      </c>
      <c r="I3372" s="4">
        <v>8721.84</v>
      </c>
      <c r="J3372" t="s">
        <v>44</v>
      </c>
      <c r="K3372" t="s">
        <v>39</v>
      </c>
      <c r="L3372" s="4">
        <f>VLOOKUP(tblTransactions[[#This Row],[Product_ID]],tblProducts[],5,FALSE)</f>
        <v>313.23</v>
      </c>
      <c r="M3372" s="4">
        <f>tblTransactions[[#This Row],[Total_Amount]]-(tblTransactions[[#This Row],[Cost_Prices]]*tblTransactions[[#This Row],[Quantity]]*(1-tblTransactions[[#This Row],[Discount]]))</f>
        <v>2742.2793000000001</v>
      </c>
      <c r="N3372" s="3">
        <f>tblTransactions[[#This Row],[Profit]]/tblTransactions[[#This Row],[Total_Amount]]</f>
        <v>0.31441522660356075</v>
      </c>
      <c r="O3372" t="str">
        <f>TEXT(tblTransactions[[#This Row],[Date]], "MMM-YYYY")</f>
        <v>Dec-2024</v>
      </c>
      <c r="P3372" t="str">
        <f>"Q"&amp;ROUNDUP(MONTH(tblTransactions[[#This Row],[Date]])/3,0)&amp;"-"&amp;YEAR(tblTransactions[[#This Row],[Date]])</f>
        <v>Q4-2024</v>
      </c>
      <c r="Q3372">
        <f>YEAR(tblTransactions[[#This Row],[Date]])</f>
        <v>2024</v>
      </c>
      <c r="R3372" t="str">
        <f>TEXT(tblTransactions[[#This Row],[Date]],"DDDD")</f>
        <v>Wednesday</v>
      </c>
      <c r="S3372">
        <f>MONTH(tblTransactions[[#This Row],[Date]])</f>
        <v>12</v>
      </c>
      <c r="T3372" t="str">
        <f>VLOOKUP(E3372, Products!$A:$B,2,0)</f>
        <v>Chairs Fur-3</v>
      </c>
      <c r="U3372" t="str">
        <f>VLOOKUP(E3372,Products!$A:$C,3,0)</f>
        <v>Furniture</v>
      </c>
      <c r="V3372" t="str">
        <f>VLOOKUP(E3372,Products!$A:$D,4,0)</f>
        <v>Chairs</v>
      </c>
      <c r="W3372" t="str">
        <f>VLOOKUP(D3372,Customers!$A:$C,3,0)</f>
        <v>Enterprise</v>
      </c>
      <c r="X3372" t="str">
        <f>VLOOKUP(C3372,Sales_Representatives!$A:$B,2,0)</f>
        <v>Michael Davis</v>
      </c>
    </row>
    <row r="3373" spans="1:24" x14ac:dyDescent="0.3">
      <c r="A3373" t="s">
        <v>4525</v>
      </c>
      <c r="B3373" t="s">
        <v>4519</v>
      </c>
      <c r="C3373" t="s">
        <v>59</v>
      </c>
      <c r="D3373" t="s">
        <v>2591</v>
      </c>
      <c r="E3373" t="s">
        <v>324</v>
      </c>
      <c r="F3373">
        <v>3</v>
      </c>
      <c r="G3373">
        <v>245.76</v>
      </c>
      <c r="H3373">
        <v>0.03</v>
      </c>
      <c r="I3373" s="4">
        <v>715.16</v>
      </c>
      <c r="J3373" t="s">
        <v>21</v>
      </c>
      <c r="K3373" t="s">
        <v>48</v>
      </c>
      <c r="L3373" s="4">
        <f>VLOOKUP(tblTransactions[[#This Row],[Product_ID]],tblProducts[],5,FALSE)</f>
        <v>161.94</v>
      </c>
      <c r="M3373" s="4">
        <f>tblTransactions[[#This Row],[Total_Amount]]-(tblTransactions[[#This Row],[Cost_Prices]]*tblTransactions[[#This Row],[Quantity]]*(1-tblTransactions[[#This Row],[Discount]]))</f>
        <v>243.91460000000001</v>
      </c>
      <c r="N3373" s="3">
        <f>tblTransactions[[#This Row],[Profit]]/tblTransactions[[#This Row],[Total_Amount]]</f>
        <v>0.34106297891380954</v>
      </c>
      <c r="O3373" t="str">
        <f>TEXT(tblTransactions[[#This Row],[Date]], "MMM-YYYY")</f>
        <v>Dec-2024</v>
      </c>
      <c r="P3373" t="str">
        <f>"Q"&amp;ROUNDUP(MONTH(tblTransactions[[#This Row],[Date]])/3,0)&amp;"-"&amp;YEAR(tblTransactions[[#This Row],[Date]])</f>
        <v>Q4-2024</v>
      </c>
      <c r="Q3373">
        <f>YEAR(tblTransactions[[#This Row],[Date]])</f>
        <v>2024</v>
      </c>
      <c r="R3373" t="str">
        <f>TEXT(tblTransactions[[#This Row],[Date]],"DDDD")</f>
        <v>Wednesday</v>
      </c>
      <c r="S3373">
        <f>MONTH(tblTransactions[[#This Row],[Date]])</f>
        <v>12</v>
      </c>
      <c r="T3373" t="str">
        <f>VLOOKUP(E3373, Products!$A:$B,2,0)</f>
        <v>Storage Fur-1</v>
      </c>
      <c r="U3373" t="str">
        <f>VLOOKUP(E3373,Products!$A:$C,3,0)</f>
        <v>Furniture</v>
      </c>
      <c r="V3373" t="str">
        <f>VLOOKUP(E3373,Products!$A:$D,4,0)</f>
        <v>Storage</v>
      </c>
      <c r="W3373" t="str">
        <f>VLOOKUP(D3373,Customers!$A:$C,3,0)</f>
        <v>B2C</v>
      </c>
      <c r="X3373" t="str">
        <f>VLOOKUP(C3373,Sales_Representatives!$A:$B,2,0)</f>
        <v>Sarah Brown</v>
      </c>
    </row>
    <row r="3374" spans="1:24" x14ac:dyDescent="0.3">
      <c r="A3374" t="s">
        <v>4526</v>
      </c>
      <c r="B3374" t="s">
        <v>4519</v>
      </c>
      <c r="C3374" t="s">
        <v>31</v>
      </c>
      <c r="D3374" t="s">
        <v>1852</v>
      </c>
      <c r="E3374" t="s">
        <v>172</v>
      </c>
      <c r="F3374">
        <v>15</v>
      </c>
      <c r="G3374">
        <v>1371.15</v>
      </c>
      <c r="H3374">
        <v>0.13</v>
      </c>
      <c r="I3374" s="4">
        <v>17893.509999999998</v>
      </c>
      <c r="J3374" t="s">
        <v>34</v>
      </c>
      <c r="K3374" t="s">
        <v>48</v>
      </c>
      <c r="L3374" s="4">
        <f>VLOOKUP(tblTransactions[[#This Row],[Product_ID]],tblProducts[],5,FALSE)</f>
        <v>989.81</v>
      </c>
      <c r="M3374" s="4">
        <f>tblTransactions[[#This Row],[Total_Amount]]-(tblTransactions[[#This Row],[Cost_Prices]]*tblTransactions[[#This Row],[Quantity]]*(1-tblTransactions[[#This Row],[Discount]]))</f>
        <v>4976.4894999999997</v>
      </c>
      <c r="N3374" s="3">
        <f>tblTransactions[[#This Row],[Profit]]/tblTransactions[[#This Row],[Total_Amount]]</f>
        <v>0.27811701002206946</v>
      </c>
      <c r="O3374" t="str">
        <f>TEXT(tblTransactions[[#This Row],[Date]], "MMM-YYYY")</f>
        <v>Dec-2024</v>
      </c>
      <c r="P3374" t="str">
        <f>"Q"&amp;ROUNDUP(MONTH(tblTransactions[[#This Row],[Date]])/3,0)&amp;"-"&amp;YEAR(tblTransactions[[#This Row],[Date]])</f>
        <v>Q4-2024</v>
      </c>
      <c r="Q3374">
        <f>YEAR(tblTransactions[[#This Row],[Date]])</f>
        <v>2024</v>
      </c>
      <c r="R3374" t="str">
        <f>TEXT(tblTransactions[[#This Row],[Date]],"DDDD")</f>
        <v>Wednesday</v>
      </c>
      <c r="S3374">
        <f>MONTH(tblTransactions[[#This Row],[Date]])</f>
        <v>12</v>
      </c>
      <c r="T3374" t="str">
        <f>VLOOKUP(E3374, Products!$A:$B,2,0)</f>
        <v>Cameras Ele-4</v>
      </c>
      <c r="U3374" t="str">
        <f>VLOOKUP(E3374,Products!$A:$C,3,0)</f>
        <v>Electronics</v>
      </c>
      <c r="V3374" t="str">
        <f>VLOOKUP(E3374,Products!$A:$D,4,0)</f>
        <v>Cameras</v>
      </c>
      <c r="W3374" t="str">
        <f>VLOOKUP(D3374,Customers!$A:$C,3,0)</f>
        <v>B2B</v>
      </c>
      <c r="X3374" t="str">
        <f>VLOOKUP(C3374,Sales_Representatives!$A:$B,2,0)</f>
        <v>Thomas Martinez</v>
      </c>
    </row>
    <row r="3375" spans="1:24" x14ac:dyDescent="0.3">
      <c r="A3375" t="s">
        <v>4527</v>
      </c>
      <c r="B3375" t="s">
        <v>4519</v>
      </c>
      <c r="C3375" t="s">
        <v>141</v>
      </c>
      <c r="D3375" t="s">
        <v>2119</v>
      </c>
      <c r="E3375" t="s">
        <v>79</v>
      </c>
      <c r="F3375">
        <v>5</v>
      </c>
      <c r="G3375">
        <v>1452.36</v>
      </c>
      <c r="H3375">
        <v>0.01</v>
      </c>
      <c r="I3375" s="4">
        <v>7189.18</v>
      </c>
      <c r="J3375" t="s">
        <v>109</v>
      </c>
      <c r="K3375" t="s">
        <v>39</v>
      </c>
      <c r="L3375" s="4">
        <f>VLOOKUP(tblTransactions[[#This Row],[Product_ID]],tblProducts[],5,FALSE)</f>
        <v>778.71</v>
      </c>
      <c r="M3375" s="4">
        <f>tblTransactions[[#This Row],[Total_Amount]]-(tblTransactions[[#This Row],[Cost_Prices]]*tblTransactions[[#This Row],[Quantity]]*(1-tblTransactions[[#This Row],[Discount]]))</f>
        <v>3334.5655000000002</v>
      </c>
      <c r="N3375" s="3">
        <f>tblTransactions[[#This Row],[Profit]]/tblTransactions[[#This Row],[Total_Amount]]</f>
        <v>0.46383113234054513</v>
      </c>
      <c r="O3375" t="str">
        <f>TEXT(tblTransactions[[#This Row],[Date]], "MMM-YYYY")</f>
        <v>Dec-2024</v>
      </c>
      <c r="P3375" t="str">
        <f>"Q"&amp;ROUNDUP(MONTH(tblTransactions[[#This Row],[Date]])/3,0)&amp;"-"&amp;YEAR(tblTransactions[[#This Row],[Date]])</f>
        <v>Q4-2024</v>
      </c>
      <c r="Q3375">
        <f>YEAR(tblTransactions[[#This Row],[Date]])</f>
        <v>2024</v>
      </c>
      <c r="R3375" t="str">
        <f>TEXT(tblTransactions[[#This Row],[Date]],"DDDD")</f>
        <v>Wednesday</v>
      </c>
      <c r="S3375">
        <f>MONTH(tblTransactions[[#This Row],[Date]])</f>
        <v>12</v>
      </c>
      <c r="T3375" t="str">
        <f>VLOOKUP(E3375, Products!$A:$B,2,0)</f>
        <v>Tables Fur-2</v>
      </c>
      <c r="U3375" t="str">
        <f>VLOOKUP(E3375,Products!$A:$C,3,0)</f>
        <v>Furniture</v>
      </c>
      <c r="V3375" t="str">
        <f>VLOOKUP(E3375,Products!$A:$D,4,0)</f>
        <v>Tables</v>
      </c>
      <c r="W3375" t="str">
        <f>VLOOKUP(D3375,Customers!$A:$C,3,0)</f>
        <v>B2B</v>
      </c>
      <c r="X3375" t="str">
        <f>VLOOKUP(C3375,Sales_Representatives!$A:$B,2,0)</f>
        <v>Richard Garcia</v>
      </c>
    </row>
    <row r="3376" spans="1:24" x14ac:dyDescent="0.3">
      <c r="A3376" t="s">
        <v>4528</v>
      </c>
      <c r="B3376" t="s">
        <v>4519</v>
      </c>
      <c r="C3376" t="s">
        <v>63</v>
      </c>
      <c r="D3376" t="s">
        <v>2070</v>
      </c>
      <c r="E3376" t="s">
        <v>116</v>
      </c>
      <c r="F3376">
        <v>2</v>
      </c>
      <c r="G3376">
        <v>232.86</v>
      </c>
      <c r="H3376">
        <v>0.03</v>
      </c>
      <c r="I3376" s="4">
        <v>451.75</v>
      </c>
      <c r="J3376" t="s">
        <v>21</v>
      </c>
      <c r="K3376" t="s">
        <v>22</v>
      </c>
      <c r="L3376" s="4">
        <f>VLOOKUP(tblTransactions[[#This Row],[Product_ID]],tblProducts[],5,FALSE)</f>
        <v>116.79</v>
      </c>
      <c r="M3376" s="4">
        <f>tblTransactions[[#This Row],[Total_Amount]]-(tblTransactions[[#This Row],[Cost_Prices]]*tblTransactions[[#This Row],[Quantity]]*(1-tblTransactions[[#This Row],[Discount]]))</f>
        <v>225.17740000000001</v>
      </c>
      <c r="N3376" s="3">
        <f>tblTransactions[[#This Row],[Profit]]/tblTransactions[[#This Row],[Total_Amount]]</f>
        <v>0.49845578306585503</v>
      </c>
      <c r="O3376" t="str">
        <f>TEXT(tblTransactions[[#This Row],[Date]], "MMM-YYYY")</f>
        <v>Dec-2024</v>
      </c>
      <c r="P3376" t="str">
        <f>"Q"&amp;ROUNDUP(MONTH(tblTransactions[[#This Row],[Date]])/3,0)&amp;"-"&amp;YEAR(tblTransactions[[#This Row],[Date]])</f>
        <v>Q4-2024</v>
      </c>
      <c r="Q3376">
        <f>YEAR(tblTransactions[[#This Row],[Date]])</f>
        <v>2024</v>
      </c>
      <c r="R3376" t="str">
        <f>TEXT(tblTransactions[[#This Row],[Date]],"DDDD")</f>
        <v>Wednesday</v>
      </c>
      <c r="S3376">
        <f>MONTH(tblTransactions[[#This Row],[Date]])</f>
        <v>12</v>
      </c>
      <c r="T3376" t="str">
        <f>VLOOKUP(E3376, Products!$A:$B,2,0)</f>
        <v>Folders Off-4</v>
      </c>
      <c r="U3376" t="str">
        <f>VLOOKUP(E3376,Products!$A:$C,3,0)</f>
        <v>Office Supplies</v>
      </c>
      <c r="V3376" t="str">
        <f>VLOOKUP(E3376,Products!$A:$D,4,0)</f>
        <v>Folders</v>
      </c>
      <c r="W3376" t="str">
        <f>VLOOKUP(D3376,Customers!$A:$C,3,0)</f>
        <v>Small Business</v>
      </c>
      <c r="X3376" t="str">
        <f>VLOOKUP(C3376,Sales_Representatives!$A:$B,2,0)</f>
        <v>Richard Wilson</v>
      </c>
    </row>
    <row r="3377" spans="1:24" x14ac:dyDescent="0.3">
      <c r="A3377" t="s">
        <v>4529</v>
      </c>
      <c r="B3377" t="s">
        <v>4530</v>
      </c>
      <c r="C3377" t="s">
        <v>63</v>
      </c>
      <c r="D3377" t="s">
        <v>2003</v>
      </c>
      <c r="E3377" t="s">
        <v>15</v>
      </c>
      <c r="F3377">
        <v>3</v>
      </c>
      <c r="G3377">
        <v>477.48</v>
      </c>
      <c r="H3377">
        <v>7.0000000000000007E-2</v>
      </c>
      <c r="I3377" s="4">
        <v>1332.17</v>
      </c>
      <c r="J3377" t="s">
        <v>21</v>
      </c>
      <c r="K3377" t="s">
        <v>35</v>
      </c>
      <c r="L3377" s="4">
        <f>VLOOKUP(tblTransactions[[#This Row],[Product_ID]],tblProducts[],5,FALSE)</f>
        <v>275.51</v>
      </c>
      <c r="M3377" s="4">
        <f>tblTransactions[[#This Row],[Total_Amount]]-(tblTransactions[[#This Row],[Cost_Prices]]*tblTransactions[[#This Row],[Quantity]]*(1-tblTransactions[[#This Row],[Discount]]))</f>
        <v>563.49710000000016</v>
      </c>
      <c r="N3377" s="3">
        <f>tblTransactions[[#This Row],[Profit]]/tblTransactions[[#This Row],[Total_Amount]]</f>
        <v>0.42299188542002908</v>
      </c>
      <c r="O3377" t="str">
        <f>TEXT(tblTransactions[[#This Row],[Date]], "MMM-YYYY")</f>
        <v>Dec-2024</v>
      </c>
      <c r="P3377" t="str">
        <f>"Q"&amp;ROUNDUP(MONTH(tblTransactions[[#This Row],[Date]])/3,0)&amp;"-"&amp;YEAR(tblTransactions[[#This Row],[Date]])</f>
        <v>Q4-2024</v>
      </c>
      <c r="Q3377">
        <f>YEAR(tblTransactions[[#This Row],[Date]])</f>
        <v>2024</v>
      </c>
      <c r="R3377" t="str">
        <f>TEXT(tblTransactions[[#This Row],[Date]],"DDDD")</f>
        <v>Thursday</v>
      </c>
      <c r="S3377">
        <f>MONTH(tblTransactions[[#This Row],[Date]])</f>
        <v>12</v>
      </c>
      <c r="T3377" t="str">
        <f>VLOOKUP(E3377, Products!$A:$B,2,0)</f>
        <v>Laptops Ele-4</v>
      </c>
      <c r="U3377" t="str">
        <f>VLOOKUP(E3377,Products!$A:$C,3,0)</f>
        <v>Electronics</v>
      </c>
      <c r="V3377" t="str">
        <f>VLOOKUP(E3377,Products!$A:$D,4,0)</f>
        <v>Laptops</v>
      </c>
      <c r="W3377" t="str">
        <f>VLOOKUP(D3377,Customers!$A:$C,3,0)</f>
        <v>Small Business</v>
      </c>
      <c r="X3377" t="str">
        <f>VLOOKUP(C3377,Sales_Representatives!$A:$B,2,0)</f>
        <v>Richard Wilson</v>
      </c>
    </row>
    <row r="3378" spans="1:24" x14ac:dyDescent="0.3">
      <c r="A3378" t="s">
        <v>4531</v>
      </c>
      <c r="B3378" t="s">
        <v>4530</v>
      </c>
      <c r="C3378" t="s">
        <v>56</v>
      </c>
      <c r="D3378" t="s">
        <v>1787</v>
      </c>
      <c r="E3378" t="s">
        <v>191</v>
      </c>
      <c r="F3378">
        <v>2</v>
      </c>
      <c r="G3378">
        <v>1012.75</v>
      </c>
      <c r="H3378">
        <v>0.09</v>
      </c>
      <c r="I3378" s="4">
        <v>1843.2</v>
      </c>
      <c r="J3378" t="s">
        <v>34</v>
      </c>
      <c r="K3378" t="s">
        <v>17</v>
      </c>
      <c r="L3378" s="4">
        <f>VLOOKUP(tblTransactions[[#This Row],[Product_ID]],tblProducts[],5,FALSE)</f>
        <v>518.53</v>
      </c>
      <c r="M3378" s="4">
        <f>tblTransactions[[#This Row],[Total_Amount]]-(tblTransactions[[#This Row],[Cost_Prices]]*tblTransactions[[#This Row],[Quantity]]*(1-tblTransactions[[#This Row],[Discount]]))</f>
        <v>899.47540000000004</v>
      </c>
      <c r="N3378" s="3">
        <f>tblTransactions[[#This Row],[Profit]]/tblTransactions[[#This Row],[Total_Amount]]</f>
        <v>0.48799663628472223</v>
      </c>
      <c r="O3378" t="str">
        <f>TEXT(tblTransactions[[#This Row],[Date]], "MMM-YYYY")</f>
        <v>Dec-2024</v>
      </c>
      <c r="P3378" t="str">
        <f>"Q"&amp;ROUNDUP(MONTH(tblTransactions[[#This Row],[Date]])/3,0)&amp;"-"&amp;YEAR(tblTransactions[[#This Row],[Date]])</f>
        <v>Q4-2024</v>
      </c>
      <c r="Q3378">
        <f>YEAR(tblTransactions[[#This Row],[Date]])</f>
        <v>2024</v>
      </c>
      <c r="R3378" t="str">
        <f>TEXT(tblTransactions[[#This Row],[Date]],"DDDD")</f>
        <v>Thursday</v>
      </c>
      <c r="S3378">
        <f>MONTH(tblTransactions[[#This Row],[Date]])</f>
        <v>12</v>
      </c>
      <c r="T3378" t="str">
        <f>VLOOKUP(E3378, Products!$A:$B,2,0)</f>
        <v>Tables Fur-4</v>
      </c>
      <c r="U3378" t="str">
        <f>VLOOKUP(E3378,Products!$A:$C,3,0)</f>
        <v>Furniture</v>
      </c>
      <c r="V3378" t="str">
        <f>VLOOKUP(E3378,Products!$A:$D,4,0)</f>
        <v>Tables</v>
      </c>
      <c r="W3378" t="str">
        <f>VLOOKUP(D3378,Customers!$A:$C,3,0)</f>
        <v>B2C</v>
      </c>
      <c r="X3378" t="str">
        <f>VLOOKUP(C3378,Sales_Representatives!$A:$B,2,0)</f>
        <v>Thomas Hernandez</v>
      </c>
    </row>
    <row r="3379" spans="1:24" x14ac:dyDescent="0.3">
      <c r="A3379" t="s">
        <v>4532</v>
      </c>
      <c r="B3379" t="s">
        <v>4530</v>
      </c>
      <c r="C3379" t="s">
        <v>63</v>
      </c>
      <c r="D3379" t="s">
        <v>2309</v>
      </c>
      <c r="E3379" t="s">
        <v>221</v>
      </c>
      <c r="F3379">
        <v>8</v>
      </c>
      <c r="G3379">
        <v>210.02</v>
      </c>
      <c r="H3379">
        <v>0.08</v>
      </c>
      <c r="I3379" s="4">
        <v>1545.75</v>
      </c>
      <c r="J3379" t="s">
        <v>21</v>
      </c>
      <c r="K3379" t="s">
        <v>48</v>
      </c>
      <c r="L3379" s="4">
        <f>VLOOKUP(tblTransactions[[#This Row],[Product_ID]],tblProducts[],5,FALSE)</f>
        <v>131.66</v>
      </c>
      <c r="M3379" s="4">
        <f>tblTransactions[[#This Row],[Total_Amount]]-(tblTransactions[[#This Row],[Cost_Prices]]*tblTransactions[[#This Row],[Quantity]]*(1-tblTransactions[[#This Row],[Discount]]))</f>
        <v>576.73239999999998</v>
      </c>
      <c r="N3379" s="3">
        <f>tblTransactions[[#This Row],[Profit]]/tblTransactions[[#This Row],[Total_Amount]]</f>
        <v>0.37310845867701764</v>
      </c>
      <c r="O3379" t="str">
        <f>TEXT(tblTransactions[[#This Row],[Date]], "MMM-YYYY")</f>
        <v>Dec-2024</v>
      </c>
      <c r="P3379" t="str">
        <f>"Q"&amp;ROUNDUP(MONTH(tblTransactions[[#This Row],[Date]])/3,0)&amp;"-"&amp;YEAR(tblTransactions[[#This Row],[Date]])</f>
        <v>Q4-2024</v>
      </c>
      <c r="Q3379">
        <f>YEAR(tblTransactions[[#This Row],[Date]])</f>
        <v>2024</v>
      </c>
      <c r="R3379" t="str">
        <f>TEXT(tblTransactions[[#This Row],[Date]],"DDDD")</f>
        <v>Thursday</v>
      </c>
      <c r="S3379">
        <f>MONTH(tblTransactions[[#This Row],[Date]])</f>
        <v>12</v>
      </c>
      <c r="T3379" t="str">
        <f>VLOOKUP(E3379, Products!$A:$B,2,0)</f>
        <v>Storage Fur-2</v>
      </c>
      <c r="U3379" t="str">
        <f>VLOOKUP(E3379,Products!$A:$C,3,0)</f>
        <v>Furniture</v>
      </c>
      <c r="V3379" t="str">
        <f>VLOOKUP(E3379,Products!$A:$D,4,0)</f>
        <v>Storage</v>
      </c>
      <c r="W3379" t="str">
        <f>VLOOKUP(D3379,Customers!$A:$C,3,0)</f>
        <v>B2B</v>
      </c>
      <c r="X3379" t="str">
        <f>VLOOKUP(C3379,Sales_Representatives!$A:$B,2,0)</f>
        <v>Richard Wilson</v>
      </c>
    </row>
    <row r="3380" spans="1:24" x14ac:dyDescent="0.3">
      <c r="A3380" t="s">
        <v>4533</v>
      </c>
      <c r="B3380" t="s">
        <v>4530</v>
      </c>
      <c r="C3380" t="s">
        <v>63</v>
      </c>
      <c r="D3380" t="s">
        <v>2449</v>
      </c>
      <c r="E3380" t="s">
        <v>91</v>
      </c>
      <c r="F3380">
        <v>2</v>
      </c>
      <c r="G3380">
        <v>286.62</v>
      </c>
      <c r="H3380">
        <v>0.1</v>
      </c>
      <c r="I3380" s="4">
        <v>515.91999999999996</v>
      </c>
      <c r="J3380" t="s">
        <v>21</v>
      </c>
      <c r="K3380" t="s">
        <v>48</v>
      </c>
      <c r="L3380" s="4">
        <f>VLOOKUP(tblTransactions[[#This Row],[Product_ID]],tblProducts[],5,FALSE)</f>
        <v>145.54</v>
      </c>
      <c r="M3380" s="4">
        <f>tblTransactions[[#This Row],[Total_Amount]]-(tblTransactions[[#This Row],[Cost_Prices]]*tblTransactions[[#This Row],[Quantity]]*(1-tblTransactions[[#This Row],[Discount]]))</f>
        <v>253.94799999999998</v>
      </c>
      <c r="N3380" s="3">
        <f>tblTransactions[[#This Row],[Profit]]/tblTransactions[[#This Row],[Total_Amount]]</f>
        <v>0.49222360055822606</v>
      </c>
      <c r="O3380" t="str">
        <f>TEXT(tblTransactions[[#This Row],[Date]], "MMM-YYYY")</f>
        <v>Dec-2024</v>
      </c>
      <c r="P3380" t="str">
        <f>"Q"&amp;ROUNDUP(MONTH(tblTransactions[[#This Row],[Date]])/3,0)&amp;"-"&amp;YEAR(tblTransactions[[#This Row],[Date]])</f>
        <v>Q4-2024</v>
      </c>
      <c r="Q3380">
        <f>YEAR(tblTransactions[[#This Row],[Date]])</f>
        <v>2024</v>
      </c>
      <c r="R3380" t="str">
        <f>TEXT(tblTransactions[[#This Row],[Date]],"DDDD")</f>
        <v>Thursday</v>
      </c>
      <c r="S3380">
        <f>MONTH(tblTransactions[[#This Row],[Date]])</f>
        <v>12</v>
      </c>
      <c r="T3380" t="str">
        <f>VLOOKUP(E3380, Products!$A:$B,2,0)</f>
        <v>Chairs Fur-1</v>
      </c>
      <c r="U3380" t="str">
        <f>VLOOKUP(E3380,Products!$A:$C,3,0)</f>
        <v>Furniture</v>
      </c>
      <c r="V3380" t="str">
        <f>VLOOKUP(E3380,Products!$A:$D,4,0)</f>
        <v>Chairs</v>
      </c>
      <c r="W3380" t="str">
        <f>VLOOKUP(D3380,Customers!$A:$C,3,0)</f>
        <v>B2B</v>
      </c>
      <c r="X3380" t="str">
        <f>VLOOKUP(C3380,Sales_Representatives!$A:$B,2,0)</f>
        <v>Richard Wilson</v>
      </c>
    </row>
    <row r="3381" spans="1:24" x14ac:dyDescent="0.3">
      <c r="A3381" t="s">
        <v>4534</v>
      </c>
      <c r="B3381" t="s">
        <v>4535</v>
      </c>
      <c r="C3381" t="s">
        <v>31</v>
      </c>
      <c r="D3381" t="s">
        <v>1918</v>
      </c>
      <c r="E3381" t="s">
        <v>96</v>
      </c>
      <c r="F3381">
        <v>16</v>
      </c>
      <c r="G3381">
        <v>751.9</v>
      </c>
      <c r="H3381">
        <v>0.11</v>
      </c>
      <c r="I3381" s="4">
        <v>10707.06</v>
      </c>
      <c r="J3381" t="s">
        <v>34</v>
      </c>
      <c r="K3381" t="s">
        <v>17</v>
      </c>
      <c r="L3381" s="4">
        <f>VLOOKUP(tblTransactions[[#This Row],[Product_ID]],tblProducts[],5,FALSE)</f>
        <v>570.29</v>
      </c>
      <c r="M3381" s="4">
        <f>tblTransactions[[#This Row],[Total_Amount]]-(tblTransactions[[#This Row],[Cost_Prices]]*tblTransactions[[#This Row],[Quantity]]*(1-tblTransactions[[#This Row],[Discount]]))</f>
        <v>2586.1304</v>
      </c>
      <c r="N3381" s="3">
        <f>tblTransactions[[#This Row],[Profit]]/tblTransactions[[#This Row],[Total_Amount]]</f>
        <v>0.24153506191242041</v>
      </c>
      <c r="O3381" t="str">
        <f>TEXT(tblTransactions[[#This Row],[Date]], "MMM-YYYY")</f>
        <v>Dec-2024</v>
      </c>
      <c r="P3381" t="str">
        <f>"Q"&amp;ROUNDUP(MONTH(tblTransactions[[#This Row],[Date]])/3,0)&amp;"-"&amp;YEAR(tblTransactions[[#This Row],[Date]])</f>
        <v>Q4-2024</v>
      </c>
      <c r="Q3381">
        <f>YEAR(tblTransactions[[#This Row],[Date]])</f>
        <v>2024</v>
      </c>
      <c r="R3381" t="str">
        <f>TEXT(tblTransactions[[#This Row],[Date]],"DDDD")</f>
        <v>Saturday</v>
      </c>
      <c r="S3381">
        <f>MONTH(tblTransactions[[#This Row],[Date]])</f>
        <v>12</v>
      </c>
      <c r="T3381" t="str">
        <f>VLOOKUP(E3381, Products!$A:$B,2,0)</f>
        <v>Routers Tec-1</v>
      </c>
      <c r="U3381" t="str">
        <f>VLOOKUP(E3381,Products!$A:$C,3,0)</f>
        <v>Technology</v>
      </c>
      <c r="V3381" t="str">
        <f>VLOOKUP(E3381,Products!$A:$D,4,0)</f>
        <v>Routers</v>
      </c>
      <c r="W3381" t="str">
        <f>VLOOKUP(D3381,Customers!$A:$C,3,0)</f>
        <v>B2B</v>
      </c>
      <c r="X3381" t="str">
        <f>VLOOKUP(C3381,Sales_Representatives!$A:$B,2,0)</f>
        <v>Thomas Martinez</v>
      </c>
    </row>
    <row r="3382" spans="1:24" x14ac:dyDescent="0.3">
      <c r="A3382" t="s">
        <v>4536</v>
      </c>
      <c r="B3382" t="s">
        <v>4535</v>
      </c>
      <c r="C3382" t="s">
        <v>13</v>
      </c>
      <c r="D3382" t="s">
        <v>2029</v>
      </c>
      <c r="E3382" t="s">
        <v>394</v>
      </c>
      <c r="F3382">
        <v>16</v>
      </c>
      <c r="G3382">
        <v>314.69</v>
      </c>
      <c r="H3382">
        <v>0.17</v>
      </c>
      <c r="I3382" s="4">
        <v>4179.08</v>
      </c>
      <c r="J3382" t="s">
        <v>16</v>
      </c>
      <c r="K3382" t="s">
        <v>17</v>
      </c>
      <c r="L3382" s="4">
        <f>VLOOKUP(tblTransactions[[#This Row],[Product_ID]],tblProducts[],5,FALSE)</f>
        <v>185.43</v>
      </c>
      <c r="M3382" s="4">
        <f>tblTransactions[[#This Row],[Total_Amount]]-(tblTransactions[[#This Row],[Cost_Prices]]*tblTransactions[[#This Row],[Quantity]]*(1-tblTransactions[[#This Row],[Discount]]))</f>
        <v>1716.5695999999998</v>
      </c>
      <c r="N3382" s="3">
        <f>tblTransactions[[#This Row],[Profit]]/tblTransactions[[#This Row],[Total_Amount]]</f>
        <v>0.41075298869607663</v>
      </c>
      <c r="O3382" t="str">
        <f>TEXT(tblTransactions[[#This Row],[Date]], "MMM-YYYY")</f>
        <v>Dec-2024</v>
      </c>
      <c r="P3382" t="str">
        <f>"Q"&amp;ROUNDUP(MONTH(tblTransactions[[#This Row],[Date]])/3,0)&amp;"-"&amp;YEAR(tblTransactions[[#This Row],[Date]])</f>
        <v>Q4-2024</v>
      </c>
      <c r="Q3382">
        <f>YEAR(tblTransactions[[#This Row],[Date]])</f>
        <v>2024</v>
      </c>
      <c r="R3382" t="str">
        <f>TEXT(tblTransactions[[#This Row],[Date]],"DDDD")</f>
        <v>Saturday</v>
      </c>
      <c r="S3382">
        <f>MONTH(tblTransactions[[#This Row],[Date]])</f>
        <v>12</v>
      </c>
      <c r="T3382" t="str">
        <f>VLOOKUP(E3382, Products!$A:$B,2,0)</f>
        <v>Desks Fur-1</v>
      </c>
      <c r="U3382" t="str">
        <f>VLOOKUP(E3382,Products!$A:$C,3,0)</f>
        <v>Furniture</v>
      </c>
      <c r="V3382" t="str">
        <f>VLOOKUP(E3382,Products!$A:$D,4,0)</f>
        <v>Desks</v>
      </c>
      <c r="W3382" t="str">
        <f>VLOOKUP(D3382,Customers!$A:$C,3,0)</f>
        <v>B2B</v>
      </c>
      <c r="X3382" t="str">
        <f>VLOOKUP(C3382,Sales_Representatives!$A:$B,2,0)</f>
        <v>Jennifer Rodriguez</v>
      </c>
    </row>
    <row r="3383" spans="1:24" x14ac:dyDescent="0.3">
      <c r="A3383" t="s">
        <v>4537</v>
      </c>
      <c r="B3383" t="s">
        <v>4535</v>
      </c>
      <c r="C3383" t="s">
        <v>75</v>
      </c>
      <c r="D3383" t="s">
        <v>37</v>
      </c>
      <c r="E3383" t="s">
        <v>221</v>
      </c>
      <c r="F3383">
        <v>30</v>
      </c>
      <c r="G3383">
        <v>210.02</v>
      </c>
      <c r="H3383">
        <v>0.17</v>
      </c>
      <c r="I3383" s="4">
        <v>5229.5</v>
      </c>
      <c r="J3383" t="s">
        <v>44</v>
      </c>
      <c r="K3383" t="s">
        <v>35</v>
      </c>
      <c r="L3383" s="4">
        <f>VLOOKUP(tblTransactions[[#This Row],[Product_ID]],tblProducts[],5,FALSE)</f>
        <v>131.66</v>
      </c>
      <c r="M3383" s="4">
        <f>tblTransactions[[#This Row],[Total_Amount]]-(tblTransactions[[#This Row],[Cost_Prices]]*tblTransactions[[#This Row],[Quantity]]*(1-tblTransactions[[#This Row],[Discount]]))</f>
        <v>1951.1660000000002</v>
      </c>
      <c r="N3383" s="3">
        <f>tblTransactions[[#This Row],[Profit]]/tblTransactions[[#This Row],[Total_Amount]]</f>
        <v>0.37310756286451863</v>
      </c>
      <c r="O3383" t="str">
        <f>TEXT(tblTransactions[[#This Row],[Date]], "MMM-YYYY")</f>
        <v>Dec-2024</v>
      </c>
      <c r="P3383" t="str">
        <f>"Q"&amp;ROUNDUP(MONTH(tblTransactions[[#This Row],[Date]])/3,0)&amp;"-"&amp;YEAR(tblTransactions[[#This Row],[Date]])</f>
        <v>Q4-2024</v>
      </c>
      <c r="Q3383">
        <f>YEAR(tblTransactions[[#This Row],[Date]])</f>
        <v>2024</v>
      </c>
      <c r="R3383" t="str">
        <f>TEXT(tblTransactions[[#This Row],[Date]],"DDDD")</f>
        <v>Saturday</v>
      </c>
      <c r="S3383">
        <f>MONTH(tblTransactions[[#This Row],[Date]])</f>
        <v>12</v>
      </c>
      <c r="T3383" t="str">
        <f>VLOOKUP(E3383, Products!$A:$B,2,0)</f>
        <v>Storage Fur-2</v>
      </c>
      <c r="U3383" t="str">
        <f>VLOOKUP(E3383,Products!$A:$C,3,0)</f>
        <v>Furniture</v>
      </c>
      <c r="V3383" t="str">
        <f>VLOOKUP(E3383,Products!$A:$D,4,0)</f>
        <v>Storage</v>
      </c>
      <c r="W3383" t="str">
        <f>VLOOKUP(D3383,Customers!$A:$C,3,0)</f>
        <v>Enterprise</v>
      </c>
      <c r="X3383" t="str">
        <f>VLOOKUP(C3383,Sales_Representatives!$A:$B,2,0)</f>
        <v>Jessica Anderson</v>
      </c>
    </row>
    <row r="3384" spans="1:24" x14ac:dyDescent="0.3">
      <c r="A3384" t="s">
        <v>4538</v>
      </c>
      <c r="B3384" t="s">
        <v>4535</v>
      </c>
      <c r="C3384" t="s">
        <v>63</v>
      </c>
      <c r="D3384" t="s">
        <v>2278</v>
      </c>
      <c r="E3384" t="s">
        <v>243</v>
      </c>
      <c r="F3384">
        <v>5</v>
      </c>
      <c r="G3384">
        <v>384.18</v>
      </c>
      <c r="H3384">
        <v>0.01</v>
      </c>
      <c r="I3384" s="4">
        <v>1901.69</v>
      </c>
      <c r="J3384" t="s">
        <v>21</v>
      </c>
      <c r="K3384" t="s">
        <v>35</v>
      </c>
      <c r="L3384" s="4">
        <f>VLOOKUP(tblTransactions[[#This Row],[Product_ID]],tblProducts[],5,FALSE)</f>
        <v>266.92</v>
      </c>
      <c r="M3384" s="4">
        <f>tblTransactions[[#This Row],[Total_Amount]]-(tblTransactions[[#This Row],[Cost_Prices]]*tblTransactions[[#This Row],[Quantity]]*(1-tblTransactions[[#This Row],[Discount]]))</f>
        <v>580.43599999999992</v>
      </c>
      <c r="N3384" s="3">
        <f>tblTransactions[[#This Row],[Profit]]/tblTransactions[[#This Row],[Total_Amount]]</f>
        <v>0.30522114540224743</v>
      </c>
      <c r="O3384" t="str">
        <f>TEXT(tblTransactions[[#This Row],[Date]], "MMM-YYYY")</f>
        <v>Dec-2024</v>
      </c>
      <c r="P3384" t="str">
        <f>"Q"&amp;ROUNDUP(MONTH(tblTransactions[[#This Row],[Date]])/3,0)&amp;"-"&amp;YEAR(tblTransactions[[#This Row],[Date]])</f>
        <v>Q4-2024</v>
      </c>
      <c r="Q3384">
        <f>YEAR(tblTransactions[[#This Row],[Date]])</f>
        <v>2024</v>
      </c>
      <c r="R3384" t="str">
        <f>TEXT(tblTransactions[[#This Row],[Date]],"DDDD")</f>
        <v>Saturday</v>
      </c>
      <c r="S3384">
        <f>MONTH(tblTransactions[[#This Row],[Date]])</f>
        <v>12</v>
      </c>
      <c r="T3384" t="str">
        <f>VLOOKUP(E3384, Products!$A:$B,2,0)</f>
        <v>Routers Tec-3</v>
      </c>
      <c r="U3384" t="str">
        <f>VLOOKUP(E3384,Products!$A:$C,3,0)</f>
        <v>Technology</v>
      </c>
      <c r="V3384" t="str">
        <f>VLOOKUP(E3384,Products!$A:$D,4,0)</f>
        <v>Routers</v>
      </c>
      <c r="W3384" t="str">
        <f>VLOOKUP(D3384,Customers!$A:$C,3,0)</f>
        <v>B2B</v>
      </c>
      <c r="X3384" t="str">
        <f>VLOOKUP(C3384,Sales_Representatives!$A:$B,2,0)</f>
        <v>Richard Wilson</v>
      </c>
    </row>
    <row r="3385" spans="1:24" x14ac:dyDescent="0.3">
      <c r="A3385" t="s">
        <v>4539</v>
      </c>
      <c r="B3385" t="s">
        <v>4535</v>
      </c>
      <c r="C3385" t="s">
        <v>59</v>
      </c>
      <c r="D3385" t="s">
        <v>1656</v>
      </c>
      <c r="E3385" t="s">
        <v>99</v>
      </c>
      <c r="F3385">
        <v>2</v>
      </c>
      <c r="G3385">
        <v>325.14</v>
      </c>
      <c r="H3385">
        <v>0.02</v>
      </c>
      <c r="I3385" s="4">
        <v>637.27</v>
      </c>
      <c r="J3385" t="s">
        <v>21</v>
      </c>
      <c r="K3385" t="s">
        <v>17</v>
      </c>
      <c r="L3385" s="4">
        <f>VLOOKUP(tblTransactions[[#This Row],[Product_ID]],tblProducts[],5,FALSE)</f>
        <v>209.04</v>
      </c>
      <c r="M3385" s="4">
        <f>tblTransactions[[#This Row],[Total_Amount]]-(tblTransactions[[#This Row],[Cost_Prices]]*tblTransactions[[#This Row],[Quantity]]*(1-tblTransactions[[#This Row],[Discount]]))</f>
        <v>227.55160000000001</v>
      </c>
      <c r="N3385" s="3">
        <f>tblTransactions[[#This Row],[Profit]]/tblTransactions[[#This Row],[Total_Amount]]</f>
        <v>0.35707251243585925</v>
      </c>
      <c r="O3385" t="str">
        <f>TEXT(tblTransactions[[#This Row],[Date]], "MMM-YYYY")</f>
        <v>Dec-2024</v>
      </c>
      <c r="P3385" t="str">
        <f>"Q"&amp;ROUNDUP(MONTH(tblTransactions[[#This Row],[Date]])/3,0)&amp;"-"&amp;YEAR(tblTransactions[[#This Row],[Date]])</f>
        <v>Q4-2024</v>
      </c>
      <c r="Q3385">
        <f>YEAR(tblTransactions[[#This Row],[Date]])</f>
        <v>2024</v>
      </c>
      <c r="R3385" t="str">
        <f>TEXT(tblTransactions[[#This Row],[Date]],"DDDD")</f>
        <v>Saturday</v>
      </c>
      <c r="S3385">
        <f>MONTH(tblTransactions[[#This Row],[Date]])</f>
        <v>12</v>
      </c>
      <c r="T3385" t="str">
        <f>VLOOKUP(E3385, Products!$A:$B,2,0)</f>
        <v>Monitors Tec-1</v>
      </c>
      <c r="U3385" t="str">
        <f>VLOOKUP(E3385,Products!$A:$C,3,0)</f>
        <v>Technology</v>
      </c>
      <c r="V3385" t="str">
        <f>VLOOKUP(E3385,Products!$A:$D,4,0)</f>
        <v>Monitors</v>
      </c>
      <c r="W3385" t="str">
        <f>VLOOKUP(D3385,Customers!$A:$C,3,0)</f>
        <v>B2C</v>
      </c>
      <c r="X3385" t="str">
        <f>VLOOKUP(C3385,Sales_Representatives!$A:$B,2,0)</f>
        <v>Sarah Brown</v>
      </c>
    </row>
    <row r="3386" spans="1:24" x14ac:dyDescent="0.3">
      <c r="A3386" t="s">
        <v>4540</v>
      </c>
      <c r="B3386" t="s">
        <v>4541</v>
      </c>
      <c r="C3386" t="s">
        <v>107</v>
      </c>
      <c r="D3386" t="s">
        <v>2056</v>
      </c>
      <c r="E3386" t="s">
        <v>224</v>
      </c>
      <c r="F3386">
        <v>3</v>
      </c>
      <c r="G3386">
        <v>505.37</v>
      </c>
      <c r="H3386">
        <v>0.08</v>
      </c>
      <c r="I3386" s="4">
        <v>1394.82</v>
      </c>
      <c r="J3386" t="s">
        <v>109</v>
      </c>
      <c r="K3386" t="s">
        <v>48</v>
      </c>
      <c r="L3386" s="4">
        <f>VLOOKUP(tblTransactions[[#This Row],[Product_ID]],tblProducts[],5,FALSE)</f>
        <v>281.14999999999998</v>
      </c>
      <c r="M3386" s="4">
        <f>tblTransactions[[#This Row],[Total_Amount]]-(tblTransactions[[#This Row],[Cost_Prices]]*tblTransactions[[#This Row],[Quantity]]*(1-tblTransactions[[#This Row],[Discount]]))</f>
        <v>618.846</v>
      </c>
      <c r="N3386" s="3">
        <f>tblTransactions[[#This Row],[Profit]]/tblTransactions[[#This Row],[Total_Amount]]</f>
        <v>0.44367445261754207</v>
      </c>
      <c r="O3386" t="str">
        <f>TEXT(tblTransactions[[#This Row],[Date]], "MMM-YYYY")</f>
        <v>Dec-2024</v>
      </c>
      <c r="P3386" t="str">
        <f>"Q"&amp;ROUNDUP(MONTH(tblTransactions[[#This Row],[Date]])/3,0)&amp;"-"&amp;YEAR(tblTransactions[[#This Row],[Date]])</f>
        <v>Q4-2024</v>
      </c>
      <c r="Q3386">
        <f>YEAR(tblTransactions[[#This Row],[Date]])</f>
        <v>2024</v>
      </c>
      <c r="R3386" t="str">
        <f>TEXT(tblTransactions[[#This Row],[Date]],"DDDD")</f>
        <v>Sunday</v>
      </c>
      <c r="S3386">
        <f>MONTH(tblTransactions[[#This Row],[Date]])</f>
        <v>12</v>
      </c>
      <c r="T3386" t="str">
        <f>VLOOKUP(E3386, Products!$A:$B,2,0)</f>
        <v>Desks Fur-3</v>
      </c>
      <c r="U3386" t="str">
        <f>VLOOKUP(E3386,Products!$A:$C,3,0)</f>
        <v>Furniture</v>
      </c>
      <c r="V3386" t="str">
        <f>VLOOKUP(E3386,Products!$A:$D,4,0)</f>
        <v>Desks</v>
      </c>
      <c r="W3386" t="str">
        <f>VLOOKUP(D3386,Customers!$A:$C,3,0)</f>
        <v>Small Business</v>
      </c>
      <c r="X3386" t="str">
        <f>VLOOKUP(C3386,Sales_Representatives!$A:$B,2,0)</f>
        <v>Jennifer Brown</v>
      </c>
    </row>
    <row r="3387" spans="1:24" x14ac:dyDescent="0.3">
      <c r="A3387" t="s">
        <v>4542</v>
      </c>
      <c r="B3387" t="s">
        <v>4541</v>
      </c>
      <c r="C3387" t="s">
        <v>13</v>
      </c>
      <c r="D3387" t="s">
        <v>14</v>
      </c>
      <c r="E3387" t="s">
        <v>450</v>
      </c>
      <c r="F3387">
        <v>12</v>
      </c>
      <c r="G3387">
        <v>2083.92</v>
      </c>
      <c r="H3387">
        <v>0.16</v>
      </c>
      <c r="I3387" s="4">
        <v>21005.91</v>
      </c>
      <c r="J3387" t="s">
        <v>16</v>
      </c>
      <c r="K3387" t="s">
        <v>17</v>
      </c>
      <c r="L3387" s="4">
        <f>VLOOKUP(tblTransactions[[#This Row],[Product_ID]],tblProducts[],5,FALSE)</f>
        <v>1425.78</v>
      </c>
      <c r="M3387" s="4">
        <f>tblTransactions[[#This Row],[Total_Amount]]-(tblTransactions[[#This Row],[Cost_Prices]]*tblTransactions[[#This Row],[Quantity]]*(1-tblTransactions[[#This Row],[Discount]]))</f>
        <v>6634.0475999999999</v>
      </c>
      <c r="N3387" s="3">
        <f>tblTransactions[[#This Row],[Profit]]/tblTransactions[[#This Row],[Total_Amount]]</f>
        <v>0.31581814832111532</v>
      </c>
      <c r="O3387" t="str">
        <f>TEXT(tblTransactions[[#This Row],[Date]], "MMM-YYYY")</f>
        <v>Dec-2024</v>
      </c>
      <c r="P3387" t="str">
        <f>"Q"&amp;ROUNDUP(MONTH(tblTransactions[[#This Row],[Date]])/3,0)&amp;"-"&amp;YEAR(tblTransactions[[#This Row],[Date]])</f>
        <v>Q4-2024</v>
      </c>
      <c r="Q3387">
        <f>YEAR(tblTransactions[[#This Row],[Date]])</f>
        <v>2024</v>
      </c>
      <c r="R3387" t="str">
        <f>TEXT(tblTransactions[[#This Row],[Date]],"DDDD")</f>
        <v>Sunday</v>
      </c>
      <c r="S3387">
        <f>MONTH(tblTransactions[[#This Row],[Date]])</f>
        <v>12</v>
      </c>
      <c r="T3387" t="str">
        <f>VLOOKUP(E3387, Products!$A:$B,2,0)</f>
        <v>Monitors Tec-4</v>
      </c>
      <c r="U3387" t="str">
        <f>VLOOKUP(E3387,Products!$A:$C,3,0)</f>
        <v>Technology</v>
      </c>
      <c r="V3387" t="str">
        <f>VLOOKUP(E3387,Products!$A:$D,4,0)</f>
        <v>Monitors</v>
      </c>
      <c r="W3387" t="str">
        <f>VLOOKUP(D3387,Customers!$A:$C,3,0)</f>
        <v>B2B</v>
      </c>
      <c r="X3387" t="str">
        <f>VLOOKUP(C3387,Sales_Representatives!$A:$B,2,0)</f>
        <v>Jennifer Rodriguez</v>
      </c>
    </row>
    <row r="3388" spans="1:24" x14ac:dyDescent="0.3">
      <c r="A3388" t="s">
        <v>4543</v>
      </c>
      <c r="B3388" t="s">
        <v>4541</v>
      </c>
      <c r="C3388" t="s">
        <v>27</v>
      </c>
      <c r="D3388" t="s">
        <v>2206</v>
      </c>
      <c r="E3388" t="s">
        <v>345</v>
      </c>
      <c r="F3388">
        <v>4</v>
      </c>
      <c r="G3388">
        <v>13.97</v>
      </c>
      <c r="H3388">
        <v>0.04</v>
      </c>
      <c r="I3388" s="4">
        <v>53.64</v>
      </c>
      <c r="J3388" t="s">
        <v>16</v>
      </c>
      <c r="K3388" t="s">
        <v>35</v>
      </c>
      <c r="L3388" s="4">
        <f>VLOOKUP(tblTransactions[[#This Row],[Product_ID]],tblProducts[],5,FALSE)</f>
        <v>8.69</v>
      </c>
      <c r="M3388" s="4">
        <f>tblTransactions[[#This Row],[Total_Amount]]-(tblTransactions[[#This Row],[Cost_Prices]]*tblTransactions[[#This Row],[Quantity]]*(1-tblTransactions[[#This Row],[Discount]]))</f>
        <v>20.270400000000002</v>
      </c>
      <c r="N3388" s="3">
        <f>tblTransactions[[#This Row],[Profit]]/tblTransactions[[#This Row],[Total_Amount]]</f>
        <v>0.37789709172259511</v>
      </c>
      <c r="O3388" t="str">
        <f>TEXT(tblTransactions[[#This Row],[Date]], "MMM-YYYY")</f>
        <v>Dec-2024</v>
      </c>
      <c r="P3388" t="str">
        <f>"Q"&amp;ROUNDUP(MONTH(tblTransactions[[#This Row],[Date]])/3,0)&amp;"-"&amp;YEAR(tblTransactions[[#This Row],[Date]])</f>
        <v>Q4-2024</v>
      </c>
      <c r="Q3388">
        <f>YEAR(tblTransactions[[#This Row],[Date]])</f>
        <v>2024</v>
      </c>
      <c r="R3388" t="str">
        <f>TEXT(tblTransactions[[#This Row],[Date]],"DDDD")</f>
        <v>Sunday</v>
      </c>
      <c r="S3388">
        <f>MONTH(tblTransactions[[#This Row],[Date]])</f>
        <v>12</v>
      </c>
      <c r="T3388" t="str">
        <f>VLOOKUP(E3388, Products!$A:$B,2,0)</f>
        <v>Cases Acc-2</v>
      </c>
      <c r="U3388" t="str">
        <f>VLOOKUP(E3388,Products!$A:$C,3,0)</f>
        <v>Accessories</v>
      </c>
      <c r="V3388" t="str">
        <f>VLOOKUP(E3388,Products!$A:$D,4,0)</f>
        <v>Cases</v>
      </c>
      <c r="W3388" t="str">
        <f>VLOOKUP(D3388,Customers!$A:$C,3,0)</f>
        <v>B2C</v>
      </c>
      <c r="X3388" t="str">
        <f>VLOOKUP(C3388,Sales_Representatives!$A:$B,2,0)</f>
        <v>Thomas Lopez</v>
      </c>
    </row>
    <row r="3389" spans="1:24" x14ac:dyDescent="0.3">
      <c r="A3389" t="s">
        <v>4544</v>
      </c>
      <c r="B3389" t="s">
        <v>4541</v>
      </c>
      <c r="C3389" t="s">
        <v>141</v>
      </c>
      <c r="D3389" t="s">
        <v>2451</v>
      </c>
      <c r="E3389" t="s">
        <v>224</v>
      </c>
      <c r="F3389">
        <v>18</v>
      </c>
      <c r="G3389">
        <v>505.37</v>
      </c>
      <c r="H3389">
        <v>0.14000000000000001</v>
      </c>
      <c r="I3389" s="4">
        <v>7823.13</v>
      </c>
      <c r="J3389" t="s">
        <v>109</v>
      </c>
      <c r="K3389" t="s">
        <v>17</v>
      </c>
      <c r="L3389" s="4">
        <f>VLOOKUP(tblTransactions[[#This Row],[Product_ID]],tblProducts[],5,FALSE)</f>
        <v>281.14999999999998</v>
      </c>
      <c r="M3389" s="4">
        <f>tblTransactions[[#This Row],[Total_Amount]]-(tblTransactions[[#This Row],[Cost_Prices]]*tblTransactions[[#This Row],[Quantity]]*(1-tblTransactions[[#This Row],[Discount]]))</f>
        <v>3470.9279999999999</v>
      </c>
      <c r="N3389" s="3">
        <f>tblTransactions[[#This Row],[Profit]]/tblTransactions[[#This Row],[Total_Amount]]</f>
        <v>0.44367510190933807</v>
      </c>
      <c r="O3389" t="str">
        <f>TEXT(tblTransactions[[#This Row],[Date]], "MMM-YYYY")</f>
        <v>Dec-2024</v>
      </c>
      <c r="P3389" t="str">
        <f>"Q"&amp;ROUNDUP(MONTH(tblTransactions[[#This Row],[Date]])/3,0)&amp;"-"&amp;YEAR(tblTransactions[[#This Row],[Date]])</f>
        <v>Q4-2024</v>
      </c>
      <c r="Q3389">
        <f>YEAR(tblTransactions[[#This Row],[Date]])</f>
        <v>2024</v>
      </c>
      <c r="R3389" t="str">
        <f>TEXT(tblTransactions[[#This Row],[Date]],"DDDD")</f>
        <v>Sunday</v>
      </c>
      <c r="S3389">
        <f>MONTH(tblTransactions[[#This Row],[Date]])</f>
        <v>12</v>
      </c>
      <c r="T3389" t="str">
        <f>VLOOKUP(E3389, Products!$A:$B,2,0)</f>
        <v>Desks Fur-3</v>
      </c>
      <c r="U3389" t="str">
        <f>VLOOKUP(E3389,Products!$A:$C,3,0)</f>
        <v>Furniture</v>
      </c>
      <c r="V3389" t="str">
        <f>VLOOKUP(E3389,Products!$A:$D,4,0)</f>
        <v>Desks</v>
      </c>
      <c r="W3389" t="str">
        <f>VLOOKUP(D3389,Customers!$A:$C,3,0)</f>
        <v>B2B</v>
      </c>
      <c r="X3389" t="str">
        <f>VLOOKUP(C3389,Sales_Representatives!$A:$B,2,0)</f>
        <v>Richard Garcia</v>
      </c>
    </row>
    <row r="3390" spans="1:24" x14ac:dyDescent="0.3">
      <c r="A3390" t="s">
        <v>4545</v>
      </c>
      <c r="B3390" t="s">
        <v>4541</v>
      </c>
      <c r="C3390" t="s">
        <v>13</v>
      </c>
      <c r="D3390" t="s">
        <v>2582</v>
      </c>
      <c r="E3390" t="s">
        <v>255</v>
      </c>
      <c r="F3390">
        <v>3</v>
      </c>
      <c r="G3390">
        <v>1444.13</v>
      </c>
      <c r="H3390">
        <v>0.04</v>
      </c>
      <c r="I3390" s="4">
        <v>4159.09</v>
      </c>
      <c r="J3390" t="s">
        <v>16</v>
      </c>
      <c r="K3390" t="s">
        <v>39</v>
      </c>
      <c r="L3390" s="4">
        <f>VLOOKUP(tblTransactions[[#This Row],[Product_ID]],tblProducts[],5,FALSE)</f>
        <v>874.43</v>
      </c>
      <c r="M3390" s="4">
        <f>tblTransactions[[#This Row],[Total_Amount]]-(tblTransactions[[#This Row],[Cost_Prices]]*tblTransactions[[#This Row],[Quantity]]*(1-tblTransactions[[#This Row],[Discount]]))</f>
        <v>1640.7316000000001</v>
      </c>
      <c r="N3390" s="3">
        <f>tblTransactions[[#This Row],[Profit]]/tblTransactions[[#This Row],[Total_Amount]]</f>
        <v>0.3944929299438098</v>
      </c>
      <c r="O3390" t="str">
        <f>TEXT(tblTransactions[[#This Row],[Date]], "MMM-YYYY")</f>
        <v>Dec-2024</v>
      </c>
      <c r="P3390" t="str">
        <f>"Q"&amp;ROUNDUP(MONTH(tblTransactions[[#This Row],[Date]])/3,0)&amp;"-"&amp;YEAR(tblTransactions[[#This Row],[Date]])</f>
        <v>Q4-2024</v>
      </c>
      <c r="Q3390">
        <f>YEAR(tblTransactions[[#This Row],[Date]])</f>
        <v>2024</v>
      </c>
      <c r="R3390" t="str">
        <f>TEXT(tblTransactions[[#This Row],[Date]],"DDDD")</f>
        <v>Sunday</v>
      </c>
      <c r="S3390">
        <f>MONTH(tblTransactions[[#This Row],[Date]])</f>
        <v>12</v>
      </c>
      <c r="T3390" t="str">
        <f>VLOOKUP(E3390, Products!$A:$B,2,0)</f>
        <v>Printers Tec-1</v>
      </c>
      <c r="U3390" t="str">
        <f>VLOOKUP(E3390,Products!$A:$C,3,0)</f>
        <v>Technology</v>
      </c>
      <c r="V3390" t="str">
        <f>VLOOKUP(E3390,Products!$A:$D,4,0)</f>
        <v>Printers</v>
      </c>
      <c r="W3390" t="str">
        <f>VLOOKUP(D3390,Customers!$A:$C,3,0)</f>
        <v>B2B</v>
      </c>
      <c r="X3390" t="str">
        <f>VLOOKUP(C3390,Sales_Representatives!$A:$B,2,0)</f>
        <v>Jennifer Rodriguez</v>
      </c>
    </row>
    <row r="3391" spans="1:24" x14ac:dyDescent="0.3">
      <c r="A3391" t="s">
        <v>4546</v>
      </c>
      <c r="B3391" t="s">
        <v>4541</v>
      </c>
      <c r="C3391" t="s">
        <v>19</v>
      </c>
      <c r="D3391" t="s">
        <v>1808</v>
      </c>
      <c r="E3391" t="s">
        <v>243</v>
      </c>
      <c r="F3391">
        <v>5</v>
      </c>
      <c r="G3391">
        <v>384.18</v>
      </c>
      <c r="H3391">
        <v>0.05</v>
      </c>
      <c r="I3391" s="4">
        <v>1824.86</v>
      </c>
      <c r="J3391" t="s">
        <v>21</v>
      </c>
      <c r="K3391" t="s">
        <v>35</v>
      </c>
      <c r="L3391" s="4">
        <f>VLOOKUP(tblTransactions[[#This Row],[Product_ID]],tblProducts[],5,FALSE)</f>
        <v>266.92</v>
      </c>
      <c r="M3391" s="4">
        <f>tblTransactions[[#This Row],[Total_Amount]]-(tblTransactions[[#This Row],[Cost_Prices]]*tblTransactions[[#This Row],[Quantity]]*(1-tblTransactions[[#This Row],[Discount]]))</f>
        <v>556.98999999999978</v>
      </c>
      <c r="N3391" s="3">
        <f>tblTransactions[[#This Row],[Profit]]/tblTransactions[[#This Row],[Total_Amount]]</f>
        <v>0.30522341439891271</v>
      </c>
      <c r="O3391" t="str">
        <f>TEXT(tblTransactions[[#This Row],[Date]], "MMM-YYYY")</f>
        <v>Dec-2024</v>
      </c>
      <c r="P3391" t="str">
        <f>"Q"&amp;ROUNDUP(MONTH(tblTransactions[[#This Row],[Date]])/3,0)&amp;"-"&amp;YEAR(tblTransactions[[#This Row],[Date]])</f>
        <v>Q4-2024</v>
      </c>
      <c r="Q3391">
        <f>YEAR(tblTransactions[[#This Row],[Date]])</f>
        <v>2024</v>
      </c>
      <c r="R3391" t="str">
        <f>TEXT(tblTransactions[[#This Row],[Date]],"DDDD")</f>
        <v>Sunday</v>
      </c>
      <c r="S3391">
        <f>MONTH(tblTransactions[[#This Row],[Date]])</f>
        <v>12</v>
      </c>
      <c r="T3391" t="str">
        <f>VLOOKUP(E3391, Products!$A:$B,2,0)</f>
        <v>Routers Tec-3</v>
      </c>
      <c r="U3391" t="str">
        <f>VLOOKUP(E3391,Products!$A:$C,3,0)</f>
        <v>Technology</v>
      </c>
      <c r="V3391" t="str">
        <f>VLOOKUP(E3391,Products!$A:$D,4,0)</f>
        <v>Routers</v>
      </c>
      <c r="W3391" t="str">
        <f>VLOOKUP(D3391,Customers!$A:$C,3,0)</f>
        <v>B2B</v>
      </c>
      <c r="X3391" t="str">
        <f>VLOOKUP(C3391,Sales_Representatives!$A:$B,2,0)</f>
        <v>Robert Jones</v>
      </c>
    </row>
    <row r="3392" spans="1:24" x14ac:dyDescent="0.3">
      <c r="A3392" t="s">
        <v>4547</v>
      </c>
      <c r="B3392" t="s">
        <v>4541</v>
      </c>
      <c r="C3392" t="s">
        <v>131</v>
      </c>
      <c r="D3392" t="s">
        <v>1854</v>
      </c>
      <c r="E3392" t="s">
        <v>96</v>
      </c>
      <c r="F3392">
        <v>3</v>
      </c>
      <c r="G3392">
        <v>751.9</v>
      </c>
      <c r="H3392">
        <v>0.09</v>
      </c>
      <c r="I3392" s="4">
        <v>2052.69</v>
      </c>
      <c r="J3392" t="s">
        <v>44</v>
      </c>
      <c r="K3392" t="s">
        <v>22</v>
      </c>
      <c r="L3392" s="4">
        <f>VLOOKUP(tblTransactions[[#This Row],[Product_ID]],tblProducts[],5,FALSE)</f>
        <v>570.29</v>
      </c>
      <c r="M3392" s="4">
        <f>tblTransactions[[#This Row],[Total_Amount]]-(tblTransactions[[#This Row],[Cost_Prices]]*tblTransactions[[#This Row],[Quantity]]*(1-tblTransactions[[#This Row],[Discount]]))</f>
        <v>495.79830000000015</v>
      </c>
      <c r="N3392" s="3">
        <f>tblTransactions[[#This Row],[Profit]]/tblTransactions[[#This Row],[Total_Amount]]</f>
        <v>0.24153588705552234</v>
      </c>
      <c r="O3392" t="str">
        <f>TEXT(tblTransactions[[#This Row],[Date]], "MMM-YYYY")</f>
        <v>Dec-2024</v>
      </c>
      <c r="P3392" t="str">
        <f>"Q"&amp;ROUNDUP(MONTH(tblTransactions[[#This Row],[Date]])/3,0)&amp;"-"&amp;YEAR(tblTransactions[[#This Row],[Date]])</f>
        <v>Q4-2024</v>
      </c>
      <c r="Q3392">
        <f>YEAR(tblTransactions[[#This Row],[Date]])</f>
        <v>2024</v>
      </c>
      <c r="R3392" t="str">
        <f>TEXT(tblTransactions[[#This Row],[Date]],"DDDD")</f>
        <v>Sunday</v>
      </c>
      <c r="S3392">
        <f>MONTH(tblTransactions[[#This Row],[Date]])</f>
        <v>12</v>
      </c>
      <c r="T3392" t="str">
        <f>VLOOKUP(E3392, Products!$A:$B,2,0)</f>
        <v>Routers Tec-1</v>
      </c>
      <c r="U3392" t="str">
        <f>VLOOKUP(E3392,Products!$A:$C,3,0)</f>
        <v>Technology</v>
      </c>
      <c r="V3392" t="str">
        <f>VLOOKUP(E3392,Products!$A:$D,4,0)</f>
        <v>Routers</v>
      </c>
      <c r="W3392" t="str">
        <f>VLOOKUP(D3392,Customers!$A:$C,3,0)</f>
        <v>Small Business</v>
      </c>
      <c r="X3392" t="str">
        <f>VLOOKUP(C3392,Sales_Representatives!$A:$B,2,0)</f>
        <v>Michael Davis</v>
      </c>
    </row>
    <row r="3393" spans="1:24" x14ac:dyDescent="0.3">
      <c r="A3393" t="s">
        <v>4548</v>
      </c>
      <c r="B3393" t="s">
        <v>4549</v>
      </c>
      <c r="C3393" t="s">
        <v>107</v>
      </c>
      <c r="D3393" t="s">
        <v>2600</v>
      </c>
      <c r="E3393" t="s">
        <v>72</v>
      </c>
      <c r="F3393">
        <v>5</v>
      </c>
      <c r="G3393">
        <v>404.76</v>
      </c>
      <c r="H3393">
        <v>0.01</v>
      </c>
      <c r="I3393" s="4">
        <v>2003.56</v>
      </c>
      <c r="J3393" t="s">
        <v>109</v>
      </c>
      <c r="K3393" t="s">
        <v>22</v>
      </c>
      <c r="L3393" s="4">
        <f>VLOOKUP(tblTransactions[[#This Row],[Product_ID]],tblProducts[],5,FALSE)</f>
        <v>226.76</v>
      </c>
      <c r="M3393" s="4">
        <f>tblTransactions[[#This Row],[Total_Amount]]-(tblTransactions[[#This Row],[Cost_Prices]]*tblTransactions[[#This Row],[Quantity]]*(1-tblTransactions[[#This Row],[Discount]]))</f>
        <v>881.09799999999996</v>
      </c>
      <c r="N3393" s="3">
        <f>tblTransactions[[#This Row],[Profit]]/tblTransactions[[#This Row],[Total_Amount]]</f>
        <v>0.43976621613527922</v>
      </c>
      <c r="O3393" t="str">
        <f>TEXT(tblTransactions[[#This Row],[Date]], "MMM-YYYY")</f>
        <v>Dec-2024</v>
      </c>
      <c r="P3393" t="str">
        <f>"Q"&amp;ROUNDUP(MONTH(tblTransactions[[#This Row],[Date]])/3,0)&amp;"-"&amp;YEAR(tblTransactions[[#This Row],[Date]])</f>
        <v>Q4-2024</v>
      </c>
      <c r="Q3393">
        <f>YEAR(tblTransactions[[#This Row],[Date]])</f>
        <v>2024</v>
      </c>
      <c r="R3393" t="str">
        <f>TEXT(tblTransactions[[#This Row],[Date]],"DDDD")</f>
        <v>Monday</v>
      </c>
      <c r="S3393">
        <f>MONTH(tblTransactions[[#This Row],[Date]])</f>
        <v>12</v>
      </c>
      <c r="T3393" t="str">
        <f>VLOOKUP(E3393, Products!$A:$B,2,0)</f>
        <v>Tablets Ele-2</v>
      </c>
      <c r="U3393" t="str">
        <f>VLOOKUP(E3393,Products!$A:$C,3,0)</f>
        <v>Electronics</v>
      </c>
      <c r="V3393" t="str">
        <f>VLOOKUP(E3393,Products!$A:$D,4,0)</f>
        <v>Tablets</v>
      </c>
      <c r="W3393" t="str">
        <f>VLOOKUP(D3393,Customers!$A:$C,3,0)</f>
        <v>Enterprise</v>
      </c>
      <c r="X3393" t="str">
        <f>VLOOKUP(C3393,Sales_Representatives!$A:$B,2,0)</f>
        <v>Jennifer Brown</v>
      </c>
    </row>
    <row r="3394" spans="1:24" x14ac:dyDescent="0.3">
      <c r="A3394" t="s">
        <v>4550</v>
      </c>
      <c r="B3394" t="s">
        <v>4549</v>
      </c>
      <c r="C3394" t="s">
        <v>141</v>
      </c>
      <c r="D3394" t="s">
        <v>2036</v>
      </c>
      <c r="E3394" t="s">
        <v>704</v>
      </c>
      <c r="F3394">
        <v>6</v>
      </c>
      <c r="G3394">
        <v>291.81</v>
      </c>
      <c r="H3394">
        <v>0.1</v>
      </c>
      <c r="I3394" s="4">
        <v>1575.77</v>
      </c>
      <c r="J3394" t="s">
        <v>109</v>
      </c>
      <c r="K3394" t="s">
        <v>17</v>
      </c>
      <c r="L3394" s="4">
        <f>VLOOKUP(tblTransactions[[#This Row],[Product_ID]],tblProducts[],5,FALSE)</f>
        <v>123.61</v>
      </c>
      <c r="M3394" s="4">
        <f>tblTransactions[[#This Row],[Total_Amount]]-(tblTransactions[[#This Row],[Cost_Prices]]*tblTransactions[[#This Row],[Quantity]]*(1-tblTransactions[[#This Row],[Discount]]))</f>
        <v>908.27599999999995</v>
      </c>
      <c r="N3394" s="3">
        <f>tblTransactions[[#This Row],[Profit]]/tblTransactions[[#This Row],[Total_Amount]]</f>
        <v>0.57640137837374739</v>
      </c>
      <c r="O3394" t="str">
        <f>TEXT(tblTransactions[[#This Row],[Date]], "MMM-YYYY")</f>
        <v>Dec-2024</v>
      </c>
      <c r="P3394" t="str">
        <f>"Q"&amp;ROUNDUP(MONTH(tblTransactions[[#This Row],[Date]])/3,0)&amp;"-"&amp;YEAR(tblTransactions[[#This Row],[Date]])</f>
        <v>Q4-2024</v>
      </c>
      <c r="Q3394">
        <f>YEAR(tblTransactions[[#This Row],[Date]])</f>
        <v>2024</v>
      </c>
      <c r="R3394" t="str">
        <f>TEXT(tblTransactions[[#This Row],[Date]],"DDDD")</f>
        <v>Monday</v>
      </c>
      <c r="S3394">
        <f>MONTH(tblTransactions[[#This Row],[Date]])</f>
        <v>12</v>
      </c>
      <c r="T3394" t="str">
        <f>VLOOKUP(E3394, Products!$A:$B,2,0)</f>
        <v>Keyboards Acc-4</v>
      </c>
      <c r="U3394" t="str">
        <f>VLOOKUP(E3394,Products!$A:$C,3,0)</f>
        <v>Accessories</v>
      </c>
      <c r="V3394" t="str">
        <f>VLOOKUP(E3394,Products!$A:$D,4,0)</f>
        <v>Keyboards</v>
      </c>
      <c r="W3394" t="str">
        <f>VLOOKUP(D3394,Customers!$A:$C,3,0)</f>
        <v>B2C</v>
      </c>
      <c r="X3394" t="str">
        <f>VLOOKUP(C3394,Sales_Representatives!$A:$B,2,0)</f>
        <v>Richard Garcia</v>
      </c>
    </row>
    <row r="3395" spans="1:24" x14ac:dyDescent="0.3">
      <c r="A3395" t="s">
        <v>4551</v>
      </c>
      <c r="B3395" t="s">
        <v>4549</v>
      </c>
      <c r="C3395" t="s">
        <v>75</v>
      </c>
      <c r="D3395" t="s">
        <v>1730</v>
      </c>
      <c r="E3395" t="s">
        <v>255</v>
      </c>
      <c r="F3395">
        <v>17</v>
      </c>
      <c r="G3395">
        <v>1444.13</v>
      </c>
      <c r="H3395">
        <v>0.18</v>
      </c>
      <c r="I3395" s="4">
        <v>20131.169999999998</v>
      </c>
      <c r="J3395" t="s">
        <v>44</v>
      </c>
      <c r="K3395" t="s">
        <v>35</v>
      </c>
      <c r="L3395" s="4">
        <f>VLOOKUP(tblTransactions[[#This Row],[Product_ID]],tblProducts[],5,FALSE)</f>
        <v>874.43</v>
      </c>
      <c r="M3395" s="4">
        <f>tblTransactions[[#This Row],[Total_Amount]]-(tblTransactions[[#This Row],[Cost_Prices]]*tblTransactions[[#This Row],[Quantity]]*(1-tblTransactions[[#This Row],[Discount]]))</f>
        <v>7941.6157999999978</v>
      </c>
      <c r="N3395" s="3">
        <f>tblTransactions[[#This Row],[Profit]]/tblTransactions[[#This Row],[Total_Amount]]</f>
        <v>0.39449350435170921</v>
      </c>
      <c r="O3395" t="str">
        <f>TEXT(tblTransactions[[#This Row],[Date]], "MMM-YYYY")</f>
        <v>Dec-2024</v>
      </c>
      <c r="P3395" t="str">
        <f>"Q"&amp;ROUNDUP(MONTH(tblTransactions[[#This Row],[Date]])/3,0)&amp;"-"&amp;YEAR(tblTransactions[[#This Row],[Date]])</f>
        <v>Q4-2024</v>
      </c>
      <c r="Q3395">
        <f>YEAR(tblTransactions[[#This Row],[Date]])</f>
        <v>2024</v>
      </c>
      <c r="R3395" t="str">
        <f>TEXT(tblTransactions[[#This Row],[Date]],"DDDD")</f>
        <v>Monday</v>
      </c>
      <c r="S3395">
        <f>MONTH(tblTransactions[[#This Row],[Date]])</f>
        <v>12</v>
      </c>
      <c r="T3395" t="str">
        <f>VLOOKUP(E3395, Products!$A:$B,2,0)</f>
        <v>Printers Tec-1</v>
      </c>
      <c r="U3395" t="str">
        <f>VLOOKUP(E3395,Products!$A:$C,3,0)</f>
        <v>Technology</v>
      </c>
      <c r="V3395" t="str">
        <f>VLOOKUP(E3395,Products!$A:$D,4,0)</f>
        <v>Printers</v>
      </c>
      <c r="W3395" t="str">
        <f>VLOOKUP(D3395,Customers!$A:$C,3,0)</f>
        <v>B2B</v>
      </c>
      <c r="X3395" t="str">
        <f>VLOOKUP(C3395,Sales_Representatives!$A:$B,2,0)</f>
        <v>Jessica Anderson</v>
      </c>
    </row>
    <row r="3396" spans="1:24" x14ac:dyDescent="0.3">
      <c r="A3396" t="s">
        <v>4552</v>
      </c>
      <c r="B3396" t="s">
        <v>4549</v>
      </c>
      <c r="C3396" t="s">
        <v>127</v>
      </c>
      <c r="D3396" t="s">
        <v>128</v>
      </c>
      <c r="E3396" t="s">
        <v>113</v>
      </c>
      <c r="F3396">
        <v>4</v>
      </c>
      <c r="G3396">
        <v>930.41</v>
      </c>
      <c r="H3396">
        <v>0</v>
      </c>
      <c r="I3396" s="4">
        <v>3721.64</v>
      </c>
      <c r="J3396" t="s">
        <v>109</v>
      </c>
      <c r="K3396" t="s">
        <v>17</v>
      </c>
      <c r="L3396" s="4">
        <f>VLOOKUP(tblTransactions[[#This Row],[Product_ID]],tblProducts[],5,FALSE)</f>
        <v>595.51</v>
      </c>
      <c r="M3396" s="4">
        <f>tblTransactions[[#This Row],[Total_Amount]]-(tblTransactions[[#This Row],[Cost_Prices]]*tblTransactions[[#This Row],[Quantity]]*(1-tblTransactions[[#This Row],[Discount]]))</f>
        <v>1339.6</v>
      </c>
      <c r="N3396" s="3">
        <f>tblTransactions[[#This Row],[Profit]]/tblTransactions[[#This Row],[Total_Amount]]</f>
        <v>0.35994883975881597</v>
      </c>
      <c r="O3396" t="str">
        <f>TEXT(tblTransactions[[#This Row],[Date]], "MMM-YYYY")</f>
        <v>Dec-2024</v>
      </c>
      <c r="P3396" t="str">
        <f>"Q"&amp;ROUNDUP(MONTH(tblTransactions[[#This Row],[Date]])/3,0)&amp;"-"&amp;YEAR(tblTransactions[[#This Row],[Date]])</f>
        <v>Q4-2024</v>
      </c>
      <c r="Q3396">
        <f>YEAR(tblTransactions[[#This Row],[Date]])</f>
        <v>2024</v>
      </c>
      <c r="R3396" t="str">
        <f>TEXT(tblTransactions[[#This Row],[Date]],"DDDD")</f>
        <v>Monday</v>
      </c>
      <c r="S3396">
        <f>MONTH(tblTransactions[[#This Row],[Date]])</f>
        <v>12</v>
      </c>
      <c r="T3396" t="str">
        <f>VLOOKUP(E3396, Products!$A:$B,2,0)</f>
        <v>Phones Ele-1</v>
      </c>
      <c r="U3396" t="str">
        <f>VLOOKUP(E3396,Products!$A:$C,3,0)</f>
        <v>Electronics</v>
      </c>
      <c r="V3396" t="str">
        <f>VLOOKUP(E3396,Products!$A:$D,4,0)</f>
        <v>Phones</v>
      </c>
      <c r="W3396" t="str">
        <f>VLOOKUP(D3396,Customers!$A:$C,3,0)</f>
        <v>B2B</v>
      </c>
      <c r="X3396" t="str">
        <f>VLOOKUP(C3396,Sales_Representatives!$A:$B,2,0)</f>
        <v>Emily Hernandez</v>
      </c>
    </row>
    <row r="3397" spans="1:24" x14ac:dyDescent="0.3">
      <c r="A3397" t="s">
        <v>4553</v>
      </c>
      <c r="B3397" t="s">
        <v>4554</v>
      </c>
      <c r="C3397" t="s">
        <v>131</v>
      </c>
      <c r="D3397" t="s">
        <v>2224</v>
      </c>
      <c r="E3397" t="s">
        <v>102</v>
      </c>
      <c r="F3397">
        <v>4</v>
      </c>
      <c r="G3397">
        <v>1097.75</v>
      </c>
      <c r="H3397">
        <v>0.09</v>
      </c>
      <c r="I3397" s="4">
        <v>3995.81</v>
      </c>
      <c r="J3397" t="s">
        <v>44</v>
      </c>
      <c r="K3397" t="s">
        <v>17</v>
      </c>
      <c r="L3397" s="4">
        <f>VLOOKUP(tblTransactions[[#This Row],[Product_ID]],tblProducts[],5,FALSE)</f>
        <v>680.12</v>
      </c>
      <c r="M3397" s="4">
        <f>tblTransactions[[#This Row],[Total_Amount]]-(tblTransactions[[#This Row],[Cost_Prices]]*tblTransactions[[#This Row],[Quantity]]*(1-tblTransactions[[#This Row],[Discount]]))</f>
        <v>1520.1731999999997</v>
      </c>
      <c r="N3397" s="3">
        <f>tblTransactions[[#This Row],[Profit]]/tblTransactions[[#This Row],[Total_Amount]]</f>
        <v>0.38044181279890676</v>
      </c>
      <c r="O3397" t="str">
        <f>TEXT(tblTransactions[[#This Row],[Date]], "MMM-YYYY")</f>
        <v>Dec-2024</v>
      </c>
      <c r="P3397" t="str">
        <f>"Q"&amp;ROUNDUP(MONTH(tblTransactions[[#This Row],[Date]])/3,0)&amp;"-"&amp;YEAR(tblTransactions[[#This Row],[Date]])</f>
        <v>Q4-2024</v>
      </c>
      <c r="Q3397">
        <f>YEAR(tblTransactions[[#This Row],[Date]])</f>
        <v>2024</v>
      </c>
      <c r="R3397" t="str">
        <f>TEXT(tblTransactions[[#This Row],[Date]],"DDDD")</f>
        <v>Tuesday</v>
      </c>
      <c r="S3397">
        <f>MONTH(tblTransactions[[#This Row],[Date]])</f>
        <v>12</v>
      </c>
      <c r="T3397" t="str">
        <f>VLOOKUP(E3397, Products!$A:$B,2,0)</f>
        <v>Storage Fur-4</v>
      </c>
      <c r="U3397" t="str">
        <f>VLOOKUP(E3397,Products!$A:$C,3,0)</f>
        <v>Furniture</v>
      </c>
      <c r="V3397" t="str">
        <f>VLOOKUP(E3397,Products!$A:$D,4,0)</f>
        <v>Storage</v>
      </c>
      <c r="W3397" t="str">
        <f>VLOOKUP(D3397,Customers!$A:$C,3,0)</f>
        <v>B2B</v>
      </c>
      <c r="X3397" t="str">
        <f>VLOOKUP(C3397,Sales_Representatives!$A:$B,2,0)</f>
        <v>Michael Davis</v>
      </c>
    </row>
    <row r="3398" spans="1:24" x14ac:dyDescent="0.3">
      <c r="A3398" t="s">
        <v>4555</v>
      </c>
      <c r="B3398" t="s">
        <v>4554</v>
      </c>
      <c r="C3398" t="s">
        <v>41</v>
      </c>
      <c r="D3398" t="s">
        <v>2147</v>
      </c>
      <c r="E3398" t="s">
        <v>91</v>
      </c>
      <c r="F3398">
        <v>13</v>
      </c>
      <c r="G3398">
        <v>286.62</v>
      </c>
      <c r="H3398">
        <v>0.14000000000000001</v>
      </c>
      <c r="I3398" s="4">
        <v>3204.41</v>
      </c>
      <c r="J3398" t="s">
        <v>44</v>
      </c>
      <c r="K3398" t="s">
        <v>35</v>
      </c>
      <c r="L3398" s="4">
        <f>VLOOKUP(tblTransactions[[#This Row],[Product_ID]],tblProducts[],5,FALSE)</f>
        <v>145.54</v>
      </c>
      <c r="M3398" s="4">
        <f>tblTransactions[[#This Row],[Total_Amount]]-(tblTransactions[[#This Row],[Cost_Prices]]*tblTransactions[[#This Row],[Quantity]]*(1-tblTransactions[[#This Row],[Discount]]))</f>
        <v>1577.2728</v>
      </c>
      <c r="N3398" s="3">
        <f>tblTransactions[[#This Row],[Profit]]/tblTransactions[[#This Row],[Total_Amount]]</f>
        <v>0.49221941012542092</v>
      </c>
      <c r="O3398" t="str">
        <f>TEXT(tblTransactions[[#This Row],[Date]], "MMM-YYYY")</f>
        <v>Dec-2024</v>
      </c>
      <c r="P3398" t="str">
        <f>"Q"&amp;ROUNDUP(MONTH(tblTransactions[[#This Row],[Date]])/3,0)&amp;"-"&amp;YEAR(tblTransactions[[#This Row],[Date]])</f>
        <v>Q4-2024</v>
      </c>
      <c r="Q3398">
        <f>YEAR(tblTransactions[[#This Row],[Date]])</f>
        <v>2024</v>
      </c>
      <c r="R3398" t="str">
        <f>TEXT(tblTransactions[[#This Row],[Date]],"DDDD")</f>
        <v>Tuesday</v>
      </c>
      <c r="S3398">
        <f>MONTH(tblTransactions[[#This Row],[Date]])</f>
        <v>12</v>
      </c>
      <c r="T3398" t="str">
        <f>VLOOKUP(E3398, Products!$A:$B,2,0)</f>
        <v>Chairs Fur-1</v>
      </c>
      <c r="U3398" t="str">
        <f>VLOOKUP(E3398,Products!$A:$C,3,0)</f>
        <v>Furniture</v>
      </c>
      <c r="V3398" t="str">
        <f>VLOOKUP(E3398,Products!$A:$D,4,0)</f>
        <v>Chairs</v>
      </c>
      <c r="W3398" t="str">
        <f>VLOOKUP(D3398,Customers!$A:$C,3,0)</f>
        <v>B2B</v>
      </c>
      <c r="X3398" t="str">
        <f>VLOOKUP(C3398,Sales_Representatives!$A:$B,2,0)</f>
        <v>Robert Jones</v>
      </c>
    </row>
    <row r="3399" spans="1:24" x14ac:dyDescent="0.3">
      <c r="A3399" t="s">
        <v>4556</v>
      </c>
      <c r="B3399" t="s">
        <v>4554</v>
      </c>
      <c r="C3399" t="s">
        <v>59</v>
      </c>
      <c r="D3399" t="s">
        <v>2557</v>
      </c>
      <c r="E3399" t="s">
        <v>91</v>
      </c>
      <c r="F3399">
        <v>2</v>
      </c>
      <c r="G3399">
        <v>286.62</v>
      </c>
      <c r="H3399">
        <v>0.01</v>
      </c>
      <c r="I3399" s="4">
        <v>567.51</v>
      </c>
      <c r="J3399" t="s">
        <v>21</v>
      </c>
      <c r="K3399" t="s">
        <v>17</v>
      </c>
      <c r="L3399" s="4">
        <f>VLOOKUP(tblTransactions[[#This Row],[Product_ID]],tblProducts[],5,FALSE)</f>
        <v>145.54</v>
      </c>
      <c r="M3399" s="4">
        <f>tblTransactions[[#This Row],[Total_Amount]]-(tblTransactions[[#This Row],[Cost_Prices]]*tblTransactions[[#This Row],[Quantity]]*(1-tblTransactions[[#This Row],[Discount]]))</f>
        <v>279.3408</v>
      </c>
      <c r="N3399" s="3">
        <f>tblTransactions[[#This Row],[Profit]]/tblTransactions[[#This Row],[Total_Amount]]</f>
        <v>0.49222181106940849</v>
      </c>
      <c r="O3399" t="str">
        <f>TEXT(tblTransactions[[#This Row],[Date]], "MMM-YYYY")</f>
        <v>Dec-2024</v>
      </c>
      <c r="P3399" t="str">
        <f>"Q"&amp;ROUNDUP(MONTH(tblTransactions[[#This Row],[Date]])/3,0)&amp;"-"&amp;YEAR(tblTransactions[[#This Row],[Date]])</f>
        <v>Q4-2024</v>
      </c>
      <c r="Q3399">
        <f>YEAR(tblTransactions[[#This Row],[Date]])</f>
        <v>2024</v>
      </c>
      <c r="R3399" t="str">
        <f>TEXT(tblTransactions[[#This Row],[Date]],"DDDD")</f>
        <v>Tuesday</v>
      </c>
      <c r="S3399">
        <f>MONTH(tblTransactions[[#This Row],[Date]])</f>
        <v>12</v>
      </c>
      <c r="T3399" t="str">
        <f>VLOOKUP(E3399, Products!$A:$B,2,0)</f>
        <v>Chairs Fur-1</v>
      </c>
      <c r="U3399" t="str">
        <f>VLOOKUP(E3399,Products!$A:$C,3,0)</f>
        <v>Furniture</v>
      </c>
      <c r="V3399" t="str">
        <f>VLOOKUP(E3399,Products!$A:$D,4,0)</f>
        <v>Chairs</v>
      </c>
      <c r="W3399" t="str">
        <f>VLOOKUP(D3399,Customers!$A:$C,3,0)</f>
        <v>B2B</v>
      </c>
      <c r="X3399" t="str">
        <f>VLOOKUP(C3399,Sales_Representatives!$A:$B,2,0)</f>
        <v>Sarah Brown</v>
      </c>
    </row>
    <row r="3400" spans="1:24" x14ac:dyDescent="0.3">
      <c r="A3400" t="s">
        <v>4557</v>
      </c>
      <c r="B3400" t="s">
        <v>4554</v>
      </c>
      <c r="C3400" t="s">
        <v>27</v>
      </c>
      <c r="D3400" t="s">
        <v>112</v>
      </c>
      <c r="E3400" t="s">
        <v>224</v>
      </c>
      <c r="F3400">
        <v>36</v>
      </c>
      <c r="G3400">
        <v>505.37</v>
      </c>
      <c r="H3400">
        <v>0.16</v>
      </c>
      <c r="I3400" s="4">
        <v>15282.39</v>
      </c>
      <c r="J3400" t="s">
        <v>16</v>
      </c>
      <c r="K3400" t="s">
        <v>39</v>
      </c>
      <c r="L3400" s="4">
        <f>VLOOKUP(tblTransactions[[#This Row],[Product_ID]],tblProducts[],5,FALSE)</f>
        <v>281.14999999999998</v>
      </c>
      <c r="M3400" s="4">
        <f>tblTransactions[[#This Row],[Total_Amount]]-(tblTransactions[[#This Row],[Cost_Prices]]*tblTransactions[[#This Row],[Quantity]]*(1-tblTransactions[[#This Row],[Discount]]))</f>
        <v>6780.4140000000007</v>
      </c>
      <c r="N3400" s="3">
        <f>tblTransactions[[#This Row],[Profit]]/tblTransactions[[#This Row],[Total_Amount]]</f>
        <v>0.44367497492211633</v>
      </c>
      <c r="O3400" t="str">
        <f>TEXT(tblTransactions[[#This Row],[Date]], "MMM-YYYY")</f>
        <v>Dec-2024</v>
      </c>
      <c r="P3400" t="str">
        <f>"Q"&amp;ROUNDUP(MONTH(tblTransactions[[#This Row],[Date]])/3,0)&amp;"-"&amp;YEAR(tblTransactions[[#This Row],[Date]])</f>
        <v>Q4-2024</v>
      </c>
      <c r="Q3400">
        <f>YEAR(tblTransactions[[#This Row],[Date]])</f>
        <v>2024</v>
      </c>
      <c r="R3400" t="str">
        <f>TEXT(tblTransactions[[#This Row],[Date]],"DDDD")</f>
        <v>Tuesday</v>
      </c>
      <c r="S3400">
        <f>MONTH(tblTransactions[[#This Row],[Date]])</f>
        <v>12</v>
      </c>
      <c r="T3400" t="str">
        <f>VLOOKUP(E3400, Products!$A:$B,2,0)</f>
        <v>Desks Fur-3</v>
      </c>
      <c r="U3400" t="str">
        <f>VLOOKUP(E3400,Products!$A:$C,3,0)</f>
        <v>Furniture</v>
      </c>
      <c r="V3400" t="str">
        <f>VLOOKUP(E3400,Products!$A:$D,4,0)</f>
        <v>Desks</v>
      </c>
      <c r="W3400" t="str">
        <f>VLOOKUP(D3400,Customers!$A:$C,3,0)</f>
        <v>Enterprise</v>
      </c>
      <c r="X3400" t="str">
        <f>VLOOKUP(C3400,Sales_Representatives!$A:$B,2,0)</f>
        <v>Thomas Lopez</v>
      </c>
    </row>
    <row r="3401" spans="1:24" x14ac:dyDescent="0.3">
      <c r="A3401" t="s">
        <v>4558</v>
      </c>
      <c r="B3401" t="s">
        <v>4554</v>
      </c>
      <c r="C3401" t="s">
        <v>70</v>
      </c>
      <c r="D3401" t="s">
        <v>1552</v>
      </c>
      <c r="E3401" t="s">
        <v>255</v>
      </c>
      <c r="F3401">
        <v>5</v>
      </c>
      <c r="G3401">
        <v>1444.13</v>
      </c>
      <c r="H3401">
        <v>0.08</v>
      </c>
      <c r="I3401" s="4">
        <v>6643</v>
      </c>
      <c r="J3401" t="s">
        <v>16</v>
      </c>
      <c r="K3401" t="s">
        <v>39</v>
      </c>
      <c r="L3401" s="4">
        <f>VLOOKUP(tblTransactions[[#This Row],[Product_ID]],tblProducts[],5,FALSE)</f>
        <v>874.43</v>
      </c>
      <c r="M3401" s="4">
        <f>tblTransactions[[#This Row],[Total_Amount]]-(tblTransactions[[#This Row],[Cost_Prices]]*tblTransactions[[#This Row],[Quantity]]*(1-tblTransactions[[#This Row],[Discount]]))</f>
        <v>2620.6220000000003</v>
      </c>
      <c r="N3401" s="3">
        <f>tblTransactions[[#This Row],[Profit]]/tblTransactions[[#This Row],[Total_Amount]]</f>
        <v>0.39449375282251997</v>
      </c>
      <c r="O3401" t="str">
        <f>TEXT(tblTransactions[[#This Row],[Date]], "MMM-YYYY")</f>
        <v>Dec-2024</v>
      </c>
      <c r="P3401" t="str">
        <f>"Q"&amp;ROUNDUP(MONTH(tblTransactions[[#This Row],[Date]])/3,0)&amp;"-"&amp;YEAR(tblTransactions[[#This Row],[Date]])</f>
        <v>Q4-2024</v>
      </c>
      <c r="Q3401">
        <f>YEAR(tblTransactions[[#This Row],[Date]])</f>
        <v>2024</v>
      </c>
      <c r="R3401" t="str">
        <f>TEXT(tblTransactions[[#This Row],[Date]],"DDDD")</f>
        <v>Tuesday</v>
      </c>
      <c r="S3401">
        <f>MONTH(tblTransactions[[#This Row],[Date]])</f>
        <v>12</v>
      </c>
      <c r="T3401" t="str">
        <f>VLOOKUP(E3401, Products!$A:$B,2,0)</f>
        <v>Printers Tec-1</v>
      </c>
      <c r="U3401" t="str">
        <f>VLOOKUP(E3401,Products!$A:$C,3,0)</f>
        <v>Technology</v>
      </c>
      <c r="V3401" t="str">
        <f>VLOOKUP(E3401,Products!$A:$D,4,0)</f>
        <v>Printers</v>
      </c>
      <c r="W3401" t="str">
        <f>VLOOKUP(D3401,Customers!$A:$C,3,0)</f>
        <v>Enterprise</v>
      </c>
      <c r="X3401" t="str">
        <f>VLOOKUP(C3401,Sales_Representatives!$A:$B,2,0)</f>
        <v>Linda Smith</v>
      </c>
    </row>
    <row r="3402" spans="1:24" x14ac:dyDescent="0.3">
      <c r="A3402" t="s">
        <v>4559</v>
      </c>
      <c r="B3402" t="s">
        <v>4554</v>
      </c>
      <c r="C3402" t="s">
        <v>56</v>
      </c>
      <c r="D3402" t="s">
        <v>1478</v>
      </c>
      <c r="E3402" t="s">
        <v>248</v>
      </c>
      <c r="F3402">
        <v>3</v>
      </c>
      <c r="G3402">
        <v>82.29</v>
      </c>
      <c r="H3402">
        <v>7.0000000000000007E-2</v>
      </c>
      <c r="I3402" s="4">
        <v>229.59</v>
      </c>
      <c r="J3402" t="s">
        <v>34</v>
      </c>
      <c r="K3402" t="s">
        <v>48</v>
      </c>
      <c r="L3402" s="4">
        <f>VLOOKUP(tblTransactions[[#This Row],[Product_ID]],tblProducts[],5,FALSE)</f>
        <v>51.11</v>
      </c>
      <c r="M3402" s="4">
        <f>tblTransactions[[#This Row],[Total_Amount]]-(tblTransactions[[#This Row],[Cost_Prices]]*tblTransactions[[#This Row],[Quantity]]*(1-tblTransactions[[#This Row],[Discount]]))</f>
        <v>86.993100000000027</v>
      </c>
      <c r="N3402" s="3">
        <f>tblTransactions[[#This Row],[Profit]]/tblTransactions[[#This Row],[Total_Amount]]</f>
        <v>0.37890631125049012</v>
      </c>
      <c r="O3402" t="str">
        <f>TEXT(tblTransactions[[#This Row],[Date]], "MMM-YYYY")</f>
        <v>Dec-2024</v>
      </c>
      <c r="P3402" t="str">
        <f>"Q"&amp;ROUNDUP(MONTH(tblTransactions[[#This Row],[Date]])/3,0)&amp;"-"&amp;YEAR(tblTransactions[[#This Row],[Date]])</f>
        <v>Q4-2024</v>
      </c>
      <c r="Q3402">
        <f>YEAR(tblTransactions[[#This Row],[Date]])</f>
        <v>2024</v>
      </c>
      <c r="R3402" t="str">
        <f>TEXT(tblTransactions[[#This Row],[Date]],"DDDD")</f>
        <v>Tuesday</v>
      </c>
      <c r="S3402">
        <f>MONTH(tblTransactions[[#This Row],[Date]])</f>
        <v>12</v>
      </c>
      <c r="T3402" t="str">
        <f>VLOOKUP(E3402, Products!$A:$B,2,0)</f>
        <v>Keyboards Acc-2</v>
      </c>
      <c r="U3402" t="str">
        <f>VLOOKUP(E3402,Products!$A:$C,3,0)</f>
        <v>Accessories</v>
      </c>
      <c r="V3402" t="str">
        <f>VLOOKUP(E3402,Products!$A:$D,4,0)</f>
        <v>Keyboards</v>
      </c>
      <c r="W3402" t="str">
        <f>VLOOKUP(D3402,Customers!$A:$C,3,0)</f>
        <v>Small Business</v>
      </c>
      <c r="X3402" t="str">
        <f>VLOOKUP(C3402,Sales_Representatives!$A:$B,2,0)</f>
        <v>Thomas Hernandez</v>
      </c>
    </row>
    <row r="3403" spans="1:24" x14ac:dyDescent="0.3">
      <c r="A3403" t="s">
        <v>4560</v>
      </c>
      <c r="B3403" t="s">
        <v>4554</v>
      </c>
      <c r="C3403" t="s">
        <v>127</v>
      </c>
      <c r="D3403" t="s">
        <v>2114</v>
      </c>
      <c r="E3403" t="s">
        <v>324</v>
      </c>
      <c r="F3403">
        <v>14</v>
      </c>
      <c r="G3403">
        <v>245.76</v>
      </c>
      <c r="H3403">
        <v>0.13</v>
      </c>
      <c r="I3403" s="4">
        <v>2993.36</v>
      </c>
      <c r="J3403" t="s">
        <v>109</v>
      </c>
      <c r="K3403" t="s">
        <v>17</v>
      </c>
      <c r="L3403" s="4">
        <f>VLOOKUP(tblTransactions[[#This Row],[Product_ID]],tblProducts[],5,FALSE)</f>
        <v>161.94</v>
      </c>
      <c r="M3403" s="4">
        <f>tblTransactions[[#This Row],[Total_Amount]]-(tblTransactions[[#This Row],[Cost_Prices]]*tblTransactions[[#This Row],[Quantity]]*(1-tblTransactions[[#This Row],[Discount]]))</f>
        <v>1020.9308000000003</v>
      </c>
      <c r="N3403" s="3">
        <f>tblTransactions[[#This Row],[Profit]]/tblTransactions[[#This Row],[Total_Amount]]</f>
        <v>0.34106515754870792</v>
      </c>
      <c r="O3403" t="str">
        <f>TEXT(tblTransactions[[#This Row],[Date]], "MMM-YYYY")</f>
        <v>Dec-2024</v>
      </c>
      <c r="P3403" t="str">
        <f>"Q"&amp;ROUNDUP(MONTH(tblTransactions[[#This Row],[Date]])/3,0)&amp;"-"&amp;YEAR(tblTransactions[[#This Row],[Date]])</f>
        <v>Q4-2024</v>
      </c>
      <c r="Q3403">
        <f>YEAR(tblTransactions[[#This Row],[Date]])</f>
        <v>2024</v>
      </c>
      <c r="R3403" t="str">
        <f>TEXT(tblTransactions[[#This Row],[Date]],"DDDD")</f>
        <v>Tuesday</v>
      </c>
      <c r="S3403">
        <f>MONTH(tblTransactions[[#This Row],[Date]])</f>
        <v>12</v>
      </c>
      <c r="T3403" t="str">
        <f>VLOOKUP(E3403, Products!$A:$B,2,0)</f>
        <v>Storage Fur-1</v>
      </c>
      <c r="U3403" t="str">
        <f>VLOOKUP(E3403,Products!$A:$C,3,0)</f>
        <v>Furniture</v>
      </c>
      <c r="V3403" t="str">
        <f>VLOOKUP(E3403,Products!$A:$D,4,0)</f>
        <v>Storage</v>
      </c>
      <c r="W3403" t="str">
        <f>VLOOKUP(D3403,Customers!$A:$C,3,0)</f>
        <v>B2B</v>
      </c>
      <c r="X3403" t="str">
        <f>VLOOKUP(C3403,Sales_Representatives!$A:$B,2,0)</f>
        <v>Emily Hernandez</v>
      </c>
    </row>
    <row r="3404" spans="1:24" x14ac:dyDescent="0.3">
      <c r="A3404" t="s">
        <v>4561</v>
      </c>
      <c r="B3404" t="s">
        <v>4562</v>
      </c>
      <c r="C3404" t="s">
        <v>127</v>
      </c>
      <c r="D3404" t="s">
        <v>210</v>
      </c>
      <c r="E3404" t="s">
        <v>255</v>
      </c>
      <c r="F3404">
        <v>3</v>
      </c>
      <c r="G3404">
        <v>1444.13</v>
      </c>
      <c r="H3404">
        <v>0.03</v>
      </c>
      <c r="I3404" s="4">
        <v>4202.42</v>
      </c>
      <c r="J3404" t="s">
        <v>109</v>
      </c>
      <c r="K3404" t="s">
        <v>39</v>
      </c>
      <c r="L3404" s="4">
        <f>VLOOKUP(tblTransactions[[#This Row],[Product_ID]],tblProducts[],5,FALSE)</f>
        <v>874.43</v>
      </c>
      <c r="M3404" s="4">
        <f>tblTransactions[[#This Row],[Total_Amount]]-(tblTransactions[[#This Row],[Cost_Prices]]*tblTransactions[[#This Row],[Quantity]]*(1-tblTransactions[[#This Row],[Discount]]))</f>
        <v>1657.8287</v>
      </c>
      <c r="N3404" s="3">
        <f>tblTransactions[[#This Row],[Profit]]/tblTransactions[[#This Row],[Total_Amount]]</f>
        <v>0.3944938154682302</v>
      </c>
      <c r="O3404" t="str">
        <f>TEXT(tblTransactions[[#This Row],[Date]], "MMM-YYYY")</f>
        <v>Dec-2024</v>
      </c>
      <c r="P3404" t="str">
        <f>"Q"&amp;ROUNDUP(MONTH(tblTransactions[[#This Row],[Date]])/3,0)&amp;"-"&amp;YEAR(tblTransactions[[#This Row],[Date]])</f>
        <v>Q4-2024</v>
      </c>
      <c r="Q3404">
        <f>YEAR(tblTransactions[[#This Row],[Date]])</f>
        <v>2024</v>
      </c>
      <c r="R3404" t="str">
        <f>TEXT(tblTransactions[[#This Row],[Date]],"DDDD")</f>
        <v>Wednesday</v>
      </c>
      <c r="S3404">
        <f>MONTH(tblTransactions[[#This Row],[Date]])</f>
        <v>12</v>
      </c>
      <c r="T3404" t="str">
        <f>VLOOKUP(E3404, Products!$A:$B,2,0)</f>
        <v>Printers Tec-1</v>
      </c>
      <c r="U3404" t="str">
        <f>VLOOKUP(E3404,Products!$A:$C,3,0)</f>
        <v>Technology</v>
      </c>
      <c r="V3404" t="str">
        <f>VLOOKUP(E3404,Products!$A:$D,4,0)</f>
        <v>Printers</v>
      </c>
      <c r="W3404" t="str">
        <f>VLOOKUP(D3404,Customers!$A:$C,3,0)</f>
        <v>B2B</v>
      </c>
      <c r="X3404" t="str">
        <f>VLOOKUP(C3404,Sales_Representatives!$A:$B,2,0)</f>
        <v>Emily Hernandez</v>
      </c>
    </row>
    <row r="3405" spans="1:24" x14ac:dyDescent="0.3">
      <c r="A3405" t="s">
        <v>4563</v>
      </c>
      <c r="B3405" t="s">
        <v>4562</v>
      </c>
      <c r="C3405" t="s">
        <v>131</v>
      </c>
      <c r="D3405" t="s">
        <v>1900</v>
      </c>
      <c r="E3405" t="s">
        <v>113</v>
      </c>
      <c r="F3405">
        <v>1</v>
      </c>
      <c r="G3405">
        <v>930.41</v>
      </c>
      <c r="H3405">
        <v>0.03</v>
      </c>
      <c r="I3405" s="4">
        <v>902.5</v>
      </c>
      <c r="J3405" t="s">
        <v>44</v>
      </c>
      <c r="K3405" t="s">
        <v>35</v>
      </c>
      <c r="L3405" s="4">
        <f>VLOOKUP(tblTransactions[[#This Row],[Product_ID]],tblProducts[],5,FALSE)</f>
        <v>595.51</v>
      </c>
      <c r="M3405" s="4">
        <f>tblTransactions[[#This Row],[Total_Amount]]-(tblTransactions[[#This Row],[Cost_Prices]]*tblTransactions[[#This Row],[Quantity]]*(1-tblTransactions[[#This Row],[Discount]]))</f>
        <v>324.85530000000006</v>
      </c>
      <c r="N3405" s="3">
        <f>tblTransactions[[#This Row],[Profit]]/tblTransactions[[#This Row],[Total_Amount]]</f>
        <v>0.35995047091412746</v>
      </c>
      <c r="O3405" t="str">
        <f>TEXT(tblTransactions[[#This Row],[Date]], "MMM-YYYY")</f>
        <v>Dec-2024</v>
      </c>
      <c r="P3405" t="str">
        <f>"Q"&amp;ROUNDUP(MONTH(tblTransactions[[#This Row],[Date]])/3,0)&amp;"-"&amp;YEAR(tblTransactions[[#This Row],[Date]])</f>
        <v>Q4-2024</v>
      </c>
      <c r="Q3405">
        <f>YEAR(tblTransactions[[#This Row],[Date]])</f>
        <v>2024</v>
      </c>
      <c r="R3405" t="str">
        <f>TEXT(tblTransactions[[#This Row],[Date]],"DDDD")</f>
        <v>Wednesday</v>
      </c>
      <c r="S3405">
        <f>MONTH(tblTransactions[[#This Row],[Date]])</f>
        <v>12</v>
      </c>
      <c r="T3405" t="str">
        <f>VLOOKUP(E3405, Products!$A:$B,2,0)</f>
        <v>Phones Ele-1</v>
      </c>
      <c r="U3405" t="str">
        <f>VLOOKUP(E3405,Products!$A:$C,3,0)</f>
        <v>Electronics</v>
      </c>
      <c r="V3405" t="str">
        <f>VLOOKUP(E3405,Products!$A:$D,4,0)</f>
        <v>Phones</v>
      </c>
      <c r="W3405" t="str">
        <f>VLOOKUP(D3405,Customers!$A:$C,3,0)</f>
        <v>B2C</v>
      </c>
      <c r="X3405" t="str">
        <f>VLOOKUP(C3405,Sales_Representatives!$A:$B,2,0)</f>
        <v>Michael Davis</v>
      </c>
    </row>
    <row r="3406" spans="1:24" x14ac:dyDescent="0.3">
      <c r="A3406" t="s">
        <v>4564</v>
      </c>
      <c r="B3406" t="s">
        <v>4562</v>
      </c>
      <c r="C3406" t="s">
        <v>131</v>
      </c>
      <c r="D3406" t="s">
        <v>1591</v>
      </c>
      <c r="E3406" t="s">
        <v>87</v>
      </c>
      <c r="F3406">
        <v>7</v>
      </c>
      <c r="G3406">
        <v>1047.8900000000001</v>
      </c>
      <c r="H3406">
        <v>0.11</v>
      </c>
      <c r="I3406" s="4">
        <v>6528.35</v>
      </c>
      <c r="J3406" t="s">
        <v>44</v>
      </c>
      <c r="K3406" t="s">
        <v>39</v>
      </c>
      <c r="L3406" s="4">
        <f>VLOOKUP(tblTransactions[[#This Row],[Product_ID]],tblProducts[],5,FALSE)</f>
        <v>742.63</v>
      </c>
      <c r="M3406" s="4">
        <f>tblTransactions[[#This Row],[Total_Amount]]-(tblTransactions[[#This Row],[Cost_Prices]]*tblTransactions[[#This Row],[Quantity]]*(1-tblTransactions[[#This Row],[Discount]]))</f>
        <v>1901.7651000000005</v>
      </c>
      <c r="N3406" s="3">
        <f>tblTransactions[[#This Row],[Profit]]/tblTransactions[[#This Row],[Total_Amount]]</f>
        <v>0.29130869208911908</v>
      </c>
      <c r="O3406" t="str">
        <f>TEXT(tblTransactions[[#This Row],[Date]], "MMM-YYYY")</f>
        <v>Dec-2024</v>
      </c>
      <c r="P3406" t="str">
        <f>"Q"&amp;ROUNDUP(MONTH(tblTransactions[[#This Row],[Date]])/3,0)&amp;"-"&amp;YEAR(tblTransactions[[#This Row],[Date]])</f>
        <v>Q4-2024</v>
      </c>
      <c r="Q3406">
        <f>YEAR(tblTransactions[[#This Row],[Date]])</f>
        <v>2024</v>
      </c>
      <c r="R3406" t="str">
        <f>TEXT(tblTransactions[[#This Row],[Date]],"DDDD")</f>
        <v>Wednesday</v>
      </c>
      <c r="S3406">
        <f>MONTH(tblTransactions[[#This Row],[Date]])</f>
        <v>12</v>
      </c>
      <c r="T3406" t="str">
        <f>VLOOKUP(E3406, Products!$A:$B,2,0)</f>
        <v>Monitors Tec-2</v>
      </c>
      <c r="U3406" t="str">
        <f>VLOOKUP(E3406,Products!$A:$C,3,0)</f>
        <v>Technology</v>
      </c>
      <c r="V3406" t="str">
        <f>VLOOKUP(E3406,Products!$A:$D,4,0)</f>
        <v>Monitors</v>
      </c>
      <c r="W3406" t="str">
        <f>VLOOKUP(D3406,Customers!$A:$C,3,0)</f>
        <v>Enterprise</v>
      </c>
      <c r="X3406" t="str">
        <f>VLOOKUP(C3406,Sales_Representatives!$A:$B,2,0)</f>
        <v>Michael Davis</v>
      </c>
    </row>
    <row r="3407" spans="1:24" x14ac:dyDescent="0.3">
      <c r="A3407" t="s">
        <v>4565</v>
      </c>
      <c r="B3407" t="s">
        <v>4562</v>
      </c>
      <c r="C3407" t="s">
        <v>19</v>
      </c>
      <c r="D3407" t="s">
        <v>1963</v>
      </c>
      <c r="E3407" t="s">
        <v>304</v>
      </c>
      <c r="F3407">
        <v>4</v>
      </c>
      <c r="G3407">
        <v>13.43</v>
      </c>
      <c r="H3407">
        <v>0.09</v>
      </c>
      <c r="I3407" s="4">
        <v>48.89</v>
      </c>
      <c r="J3407" t="s">
        <v>21</v>
      </c>
      <c r="K3407" t="s">
        <v>39</v>
      </c>
      <c r="L3407" s="4">
        <f>VLOOKUP(tblTransactions[[#This Row],[Product_ID]],tblProducts[],5,FALSE)</f>
        <v>5.8</v>
      </c>
      <c r="M3407" s="4">
        <f>tblTransactions[[#This Row],[Total_Amount]]-(tblTransactions[[#This Row],[Cost_Prices]]*tblTransactions[[#This Row],[Quantity]]*(1-tblTransactions[[#This Row],[Discount]]))</f>
        <v>27.778000000000002</v>
      </c>
      <c r="N3407" s="3">
        <f>tblTransactions[[#This Row],[Profit]]/tblTransactions[[#This Row],[Total_Amount]]</f>
        <v>0.56817345060339541</v>
      </c>
      <c r="O3407" t="str">
        <f>TEXT(tblTransactions[[#This Row],[Date]], "MMM-YYYY")</f>
        <v>Dec-2024</v>
      </c>
      <c r="P3407" t="str">
        <f>"Q"&amp;ROUNDUP(MONTH(tblTransactions[[#This Row],[Date]])/3,0)&amp;"-"&amp;YEAR(tblTransactions[[#This Row],[Date]])</f>
        <v>Q4-2024</v>
      </c>
      <c r="Q3407">
        <f>YEAR(tblTransactions[[#This Row],[Date]])</f>
        <v>2024</v>
      </c>
      <c r="R3407" t="str">
        <f>TEXT(tblTransactions[[#This Row],[Date]],"DDDD")</f>
        <v>Wednesday</v>
      </c>
      <c r="S3407">
        <f>MONTH(tblTransactions[[#This Row],[Date]])</f>
        <v>12</v>
      </c>
      <c r="T3407" t="str">
        <f>VLOOKUP(E3407, Products!$A:$B,2,0)</f>
        <v>Pens Off-1</v>
      </c>
      <c r="U3407" t="str">
        <f>VLOOKUP(E3407,Products!$A:$C,3,0)</f>
        <v>Office Supplies</v>
      </c>
      <c r="V3407" t="str">
        <f>VLOOKUP(E3407,Products!$A:$D,4,0)</f>
        <v>Pens</v>
      </c>
      <c r="W3407" t="str">
        <f>VLOOKUP(D3407,Customers!$A:$C,3,0)</f>
        <v>Small Business</v>
      </c>
      <c r="X3407" t="str">
        <f>VLOOKUP(C3407,Sales_Representatives!$A:$B,2,0)</f>
        <v>Robert Jones</v>
      </c>
    </row>
    <row r="3408" spans="1:24" x14ac:dyDescent="0.3">
      <c r="A3408" t="s">
        <v>4566</v>
      </c>
      <c r="B3408" t="s">
        <v>4562</v>
      </c>
      <c r="C3408" t="s">
        <v>19</v>
      </c>
      <c r="D3408" t="s">
        <v>1756</v>
      </c>
      <c r="E3408" t="s">
        <v>394</v>
      </c>
      <c r="F3408">
        <v>3</v>
      </c>
      <c r="G3408">
        <v>314.69</v>
      </c>
      <c r="H3408">
        <v>0.02</v>
      </c>
      <c r="I3408" s="4">
        <v>925.19</v>
      </c>
      <c r="J3408" t="s">
        <v>21</v>
      </c>
      <c r="K3408" t="s">
        <v>48</v>
      </c>
      <c r="L3408" s="4">
        <f>VLOOKUP(tblTransactions[[#This Row],[Product_ID]],tblProducts[],5,FALSE)</f>
        <v>185.43</v>
      </c>
      <c r="M3408" s="4">
        <f>tblTransactions[[#This Row],[Total_Amount]]-(tblTransactions[[#This Row],[Cost_Prices]]*tblTransactions[[#This Row],[Quantity]]*(1-tblTransactions[[#This Row],[Discount]]))</f>
        <v>380.02580000000012</v>
      </c>
      <c r="N3408" s="3">
        <f>tblTransactions[[#This Row],[Profit]]/tblTransactions[[#This Row],[Total_Amount]]</f>
        <v>0.41075433154271024</v>
      </c>
      <c r="O3408" t="str">
        <f>TEXT(tblTransactions[[#This Row],[Date]], "MMM-YYYY")</f>
        <v>Dec-2024</v>
      </c>
      <c r="P3408" t="str">
        <f>"Q"&amp;ROUNDUP(MONTH(tblTransactions[[#This Row],[Date]])/3,0)&amp;"-"&amp;YEAR(tblTransactions[[#This Row],[Date]])</f>
        <v>Q4-2024</v>
      </c>
      <c r="Q3408">
        <f>YEAR(tblTransactions[[#This Row],[Date]])</f>
        <v>2024</v>
      </c>
      <c r="R3408" t="str">
        <f>TEXT(tblTransactions[[#This Row],[Date]],"DDDD")</f>
        <v>Wednesday</v>
      </c>
      <c r="S3408">
        <f>MONTH(tblTransactions[[#This Row],[Date]])</f>
        <v>12</v>
      </c>
      <c r="T3408" t="str">
        <f>VLOOKUP(E3408, Products!$A:$B,2,0)</f>
        <v>Desks Fur-1</v>
      </c>
      <c r="U3408" t="str">
        <f>VLOOKUP(E3408,Products!$A:$C,3,0)</f>
        <v>Furniture</v>
      </c>
      <c r="V3408" t="str">
        <f>VLOOKUP(E3408,Products!$A:$D,4,0)</f>
        <v>Desks</v>
      </c>
      <c r="W3408" t="str">
        <f>VLOOKUP(D3408,Customers!$A:$C,3,0)</f>
        <v>B2C</v>
      </c>
      <c r="X3408" t="str">
        <f>VLOOKUP(C3408,Sales_Representatives!$A:$B,2,0)</f>
        <v>Robert Jones</v>
      </c>
    </row>
    <row r="3409" spans="1:24" x14ac:dyDescent="0.3">
      <c r="A3409" t="s">
        <v>4567</v>
      </c>
      <c r="B3409" t="s">
        <v>4568</v>
      </c>
      <c r="C3409" t="s">
        <v>127</v>
      </c>
      <c r="D3409" t="s">
        <v>1984</v>
      </c>
      <c r="E3409" t="s">
        <v>258</v>
      </c>
      <c r="F3409">
        <v>3</v>
      </c>
      <c r="G3409">
        <v>73.33</v>
      </c>
      <c r="H3409">
        <v>0.06</v>
      </c>
      <c r="I3409" s="4">
        <v>206.79</v>
      </c>
      <c r="J3409" t="s">
        <v>109</v>
      </c>
      <c r="K3409" t="s">
        <v>39</v>
      </c>
      <c r="L3409" s="4">
        <f>VLOOKUP(tblTransactions[[#This Row],[Product_ID]],tblProducts[],5,FALSE)</f>
        <v>38.049999999999997</v>
      </c>
      <c r="M3409" s="4">
        <f>tblTransactions[[#This Row],[Total_Amount]]-(tblTransactions[[#This Row],[Cost_Prices]]*tblTransactions[[#This Row],[Quantity]]*(1-tblTransactions[[#This Row],[Discount]]))</f>
        <v>99.489000000000004</v>
      </c>
      <c r="N3409" s="3">
        <f>tblTransactions[[#This Row],[Profit]]/tblTransactions[[#This Row],[Total_Amount]]</f>
        <v>0.48111127230523726</v>
      </c>
      <c r="O3409" t="str">
        <f>TEXT(tblTransactions[[#This Row],[Date]], "MMM-YYYY")</f>
        <v>Dec-2024</v>
      </c>
      <c r="P3409" t="str">
        <f>"Q"&amp;ROUNDUP(MONTH(tblTransactions[[#This Row],[Date]])/3,0)&amp;"-"&amp;YEAR(tblTransactions[[#This Row],[Date]])</f>
        <v>Q4-2024</v>
      </c>
      <c r="Q3409">
        <f>YEAR(tblTransactions[[#This Row],[Date]])</f>
        <v>2024</v>
      </c>
      <c r="R3409" t="str">
        <f>TEXT(tblTransactions[[#This Row],[Date]],"DDDD")</f>
        <v>Thursday</v>
      </c>
      <c r="S3409">
        <f>MONTH(tblTransactions[[#This Row],[Date]])</f>
        <v>12</v>
      </c>
      <c r="T3409" t="str">
        <f>VLOOKUP(E3409, Products!$A:$B,2,0)</f>
        <v>Keyboards Acc-3</v>
      </c>
      <c r="U3409" t="str">
        <f>VLOOKUP(E3409,Products!$A:$C,3,0)</f>
        <v>Accessories</v>
      </c>
      <c r="V3409" t="str">
        <f>VLOOKUP(E3409,Products!$A:$D,4,0)</f>
        <v>Keyboards</v>
      </c>
      <c r="W3409" t="str">
        <f>VLOOKUP(D3409,Customers!$A:$C,3,0)</f>
        <v>B2C</v>
      </c>
      <c r="X3409" t="str">
        <f>VLOOKUP(C3409,Sales_Representatives!$A:$B,2,0)</f>
        <v>Emily Hernandez</v>
      </c>
    </row>
    <row r="3410" spans="1:24" x14ac:dyDescent="0.3">
      <c r="A3410" t="s">
        <v>4569</v>
      </c>
      <c r="B3410" t="s">
        <v>4568</v>
      </c>
      <c r="C3410" t="s">
        <v>75</v>
      </c>
      <c r="D3410" t="s">
        <v>1716</v>
      </c>
      <c r="E3410" t="s">
        <v>283</v>
      </c>
      <c r="F3410">
        <v>26</v>
      </c>
      <c r="G3410">
        <v>456.88</v>
      </c>
      <c r="H3410">
        <v>0.19</v>
      </c>
      <c r="I3410" s="4">
        <v>9621.89</v>
      </c>
      <c r="J3410" t="s">
        <v>44</v>
      </c>
      <c r="K3410" t="s">
        <v>22</v>
      </c>
      <c r="L3410" s="4">
        <f>VLOOKUP(tblTransactions[[#This Row],[Product_ID]],tblProducts[],5,FALSE)</f>
        <v>313.23</v>
      </c>
      <c r="M3410" s="4">
        <f>tblTransactions[[#This Row],[Total_Amount]]-(tblTransactions[[#This Row],[Cost_Prices]]*tblTransactions[[#This Row],[Quantity]]*(1-tblTransactions[[#This Row],[Discount]]))</f>
        <v>3025.2661999999982</v>
      </c>
      <c r="N3410" s="3">
        <f>tblTransactions[[#This Row],[Profit]]/tblTransactions[[#This Row],[Total_Amount]]</f>
        <v>0.3144149642118127</v>
      </c>
      <c r="O3410" t="str">
        <f>TEXT(tblTransactions[[#This Row],[Date]], "MMM-YYYY")</f>
        <v>Dec-2024</v>
      </c>
      <c r="P3410" t="str">
        <f>"Q"&amp;ROUNDUP(MONTH(tblTransactions[[#This Row],[Date]])/3,0)&amp;"-"&amp;YEAR(tblTransactions[[#This Row],[Date]])</f>
        <v>Q4-2024</v>
      </c>
      <c r="Q3410">
        <f>YEAR(tblTransactions[[#This Row],[Date]])</f>
        <v>2024</v>
      </c>
      <c r="R3410" t="str">
        <f>TEXT(tblTransactions[[#This Row],[Date]],"DDDD")</f>
        <v>Thursday</v>
      </c>
      <c r="S3410">
        <f>MONTH(tblTransactions[[#This Row],[Date]])</f>
        <v>12</v>
      </c>
      <c r="T3410" t="str">
        <f>VLOOKUP(E3410, Products!$A:$B,2,0)</f>
        <v>Chairs Fur-3</v>
      </c>
      <c r="U3410" t="str">
        <f>VLOOKUP(E3410,Products!$A:$C,3,0)</f>
        <v>Furniture</v>
      </c>
      <c r="V3410" t="str">
        <f>VLOOKUP(E3410,Products!$A:$D,4,0)</f>
        <v>Chairs</v>
      </c>
      <c r="W3410" t="str">
        <f>VLOOKUP(D3410,Customers!$A:$C,3,0)</f>
        <v>Enterprise</v>
      </c>
      <c r="X3410" t="str">
        <f>VLOOKUP(C3410,Sales_Representatives!$A:$B,2,0)</f>
        <v>Jessica Anderson</v>
      </c>
    </row>
    <row r="3411" spans="1:24" x14ac:dyDescent="0.3">
      <c r="A3411" t="s">
        <v>4570</v>
      </c>
      <c r="B3411" t="s">
        <v>4571</v>
      </c>
      <c r="C3411" t="s">
        <v>19</v>
      </c>
      <c r="D3411" t="s">
        <v>1768</v>
      </c>
      <c r="E3411" t="s">
        <v>255</v>
      </c>
      <c r="F3411">
        <v>5</v>
      </c>
      <c r="G3411">
        <v>1444.13</v>
      </c>
      <c r="H3411">
        <v>0.06</v>
      </c>
      <c r="I3411" s="4">
        <v>6787.41</v>
      </c>
      <c r="J3411" t="s">
        <v>21</v>
      </c>
      <c r="K3411" t="s">
        <v>39</v>
      </c>
      <c r="L3411" s="4">
        <f>VLOOKUP(tblTransactions[[#This Row],[Product_ID]],tblProducts[],5,FALSE)</f>
        <v>874.43</v>
      </c>
      <c r="M3411" s="4">
        <f>tblTransactions[[#This Row],[Total_Amount]]-(tblTransactions[[#This Row],[Cost_Prices]]*tblTransactions[[#This Row],[Quantity]]*(1-tblTransactions[[#This Row],[Discount]]))</f>
        <v>2677.5890000000009</v>
      </c>
      <c r="N3411" s="3">
        <f>tblTransactions[[#This Row],[Profit]]/tblTransactions[[#This Row],[Total_Amount]]</f>
        <v>0.39449348131319617</v>
      </c>
      <c r="O3411" t="str">
        <f>TEXT(tblTransactions[[#This Row],[Date]], "MMM-YYYY")</f>
        <v>Dec-2024</v>
      </c>
      <c r="P3411" t="str">
        <f>"Q"&amp;ROUNDUP(MONTH(tblTransactions[[#This Row],[Date]])/3,0)&amp;"-"&amp;YEAR(tblTransactions[[#This Row],[Date]])</f>
        <v>Q4-2024</v>
      </c>
      <c r="Q3411">
        <f>YEAR(tblTransactions[[#This Row],[Date]])</f>
        <v>2024</v>
      </c>
      <c r="R3411" t="str">
        <f>TEXT(tblTransactions[[#This Row],[Date]],"DDDD")</f>
        <v>Friday</v>
      </c>
      <c r="S3411">
        <f>MONTH(tblTransactions[[#This Row],[Date]])</f>
        <v>12</v>
      </c>
      <c r="T3411" t="str">
        <f>VLOOKUP(E3411, Products!$A:$B,2,0)</f>
        <v>Printers Tec-1</v>
      </c>
      <c r="U3411" t="str">
        <f>VLOOKUP(E3411,Products!$A:$C,3,0)</f>
        <v>Technology</v>
      </c>
      <c r="V3411" t="str">
        <f>VLOOKUP(E3411,Products!$A:$D,4,0)</f>
        <v>Printers</v>
      </c>
      <c r="W3411" t="str">
        <f>VLOOKUP(D3411,Customers!$A:$C,3,0)</f>
        <v>B2C</v>
      </c>
      <c r="X3411" t="str">
        <f>VLOOKUP(C3411,Sales_Representatives!$A:$B,2,0)</f>
        <v>Robert Jones</v>
      </c>
    </row>
    <row r="3412" spans="1:24" x14ac:dyDescent="0.3">
      <c r="A3412" t="s">
        <v>4572</v>
      </c>
      <c r="B3412" t="s">
        <v>4571</v>
      </c>
      <c r="C3412" t="s">
        <v>75</v>
      </c>
      <c r="D3412" t="s">
        <v>1513</v>
      </c>
      <c r="E3412" t="s">
        <v>258</v>
      </c>
      <c r="F3412">
        <v>4</v>
      </c>
      <c r="G3412">
        <v>73.33</v>
      </c>
      <c r="H3412">
        <v>0.08</v>
      </c>
      <c r="I3412" s="4">
        <v>269.85000000000002</v>
      </c>
      <c r="J3412" t="s">
        <v>44</v>
      </c>
      <c r="K3412" t="s">
        <v>17</v>
      </c>
      <c r="L3412" s="4">
        <f>VLOOKUP(tblTransactions[[#This Row],[Product_ID]],tblProducts[],5,FALSE)</f>
        <v>38.049999999999997</v>
      </c>
      <c r="M3412" s="4">
        <f>tblTransactions[[#This Row],[Total_Amount]]-(tblTransactions[[#This Row],[Cost_Prices]]*tblTransactions[[#This Row],[Quantity]]*(1-tblTransactions[[#This Row],[Discount]]))</f>
        <v>129.82600000000002</v>
      </c>
      <c r="N3412" s="3">
        <f>tblTransactions[[#This Row],[Profit]]/tblTransactions[[#This Row],[Total_Amount]]</f>
        <v>0.48110431721326669</v>
      </c>
      <c r="O3412" t="str">
        <f>TEXT(tblTransactions[[#This Row],[Date]], "MMM-YYYY")</f>
        <v>Dec-2024</v>
      </c>
      <c r="P3412" t="str">
        <f>"Q"&amp;ROUNDUP(MONTH(tblTransactions[[#This Row],[Date]])/3,0)&amp;"-"&amp;YEAR(tblTransactions[[#This Row],[Date]])</f>
        <v>Q4-2024</v>
      </c>
      <c r="Q3412">
        <f>YEAR(tblTransactions[[#This Row],[Date]])</f>
        <v>2024</v>
      </c>
      <c r="R3412" t="str">
        <f>TEXT(tblTransactions[[#This Row],[Date]],"DDDD")</f>
        <v>Friday</v>
      </c>
      <c r="S3412">
        <f>MONTH(tblTransactions[[#This Row],[Date]])</f>
        <v>12</v>
      </c>
      <c r="T3412" t="str">
        <f>VLOOKUP(E3412, Products!$A:$B,2,0)</f>
        <v>Keyboards Acc-3</v>
      </c>
      <c r="U3412" t="str">
        <f>VLOOKUP(E3412,Products!$A:$C,3,0)</f>
        <v>Accessories</v>
      </c>
      <c r="V3412" t="str">
        <f>VLOOKUP(E3412,Products!$A:$D,4,0)</f>
        <v>Keyboards</v>
      </c>
      <c r="W3412" t="str">
        <f>VLOOKUP(D3412,Customers!$A:$C,3,0)</f>
        <v>B2C</v>
      </c>
      <c r="X3412" t="str">
        <f>VLOOKUP(C3412,Sales_Representatives!$A:$B,2,0)</f>
        <v>Jessica Anderson</v>
      </c>
    </row>
    <row r="3413" spans="1:24" x14ac:dyDescent="0.3">
      <c r="A3413" t="s">
        <v>4573</v>
      </c>
      <c r="B3413" t="s">
        <v>4571</v>
      </c>
      <c r="C3413" t="s">
        <v>75</v>
      </c>
      <c r="D3413" t="s">
        <v>1458</v>
      </c>
      <c r="E3413" t="s">
        <v>152</v>
      </c>
      <c r="F3413">
        <v>11</v>
      </c>
      <c r="G3413">
        <v>859.93</v>
      </c>
      <c r="H3413">
        <v>0.19</v>
      </c>
      <c r="I3413" s="4">
        <v>7661.98</v>
      </c>
      <c r="J3413" t="s">
        <v>44</v>
      </c>
      <c r="K3413" t="s">
        <v>48</v>
      </c>
      <c r="L3413" s="4">
        <f>VLOOKUP(tblTransactions[[#This Row],[Product_ID]],tblProducts[],5,FALSE)</f>
        <v>579.79</v>
      </c>
      <c r="M3413" s="4">
        <f>tblTransactions[[#This Row],[Total_Amount]]-(tblTransactions[[#This Row],[Cost_Prices]]*tblTransactions[[#This Row],[Quantity]]*(1-tblTransactions[[#This Row],[Discount]]))</f>
        <v>2496.0510999999997</v>
      </c>
      <c r="N3413" s="3">
        <f>tblTransactions[[#This Row],[Profit]]/tblTransactions[[#This Row],[Total_Amount]]</f>
        <v>0.3257710278544188</v>
      </c>
      <c r="O3413" t="str">
        <f>TEXT(tblTransactions[[#This Row],[Date]], "MMM-YYYY")</f>
        <v>Dec-2024</v>
      </c>
      <c r="P3413" t="str">
        <f>"Q"&amp;ROUNDUP(MONTH(tblTransactions[[#This Row],[Date]])/3,0)&amp;"-"&amp;YEAR(tblTransactions[[#This Row],[Date]])</f>
        <v>Q4-2024</v>
      </c>
      <c r="Q3413">
        <f>YEAR(tblTransactions[[#This Row],[Date]])</f>
        <v>2024</v>
      </c>
      <c r="R3413" t="str">
        <f>TEXT(tblTransactions[[#This Row],[Date]],"DDDD")</f>
        <v>Friday</v>
      </c>
      <c r="S3413">
        <f>MONTH(tblTransactions[[#This Row],[Date]])</f>
        <v>12</v>
      </c>
      <c r="T3413" t="str">
        <f>VLOOKUP(E3413, Products!$A:$B,2,0)</f>
        <v>Phones Ele-4</v>
      </c>
      <c r="U3413" t="str">
        <f>VLOOKUP(E3413,Products!$A:$C,3,0)</f>
        <v>Electronics</v>
      </c>
      <c r="V3413" t="str">
        <f>VLOOKUP(E3413,Products!$A:$D,4,0)</f>
        <v>Phones</v>
      </c>
      <c r="W3413" t="str">
        <f>VLOOKUP(D3413,Customers!$A:$C,3,0)</f>
        <v>Enterprise</v>
      </c>
      <c r="X3413" t="str">
        <f>VLOOKUP(C3413,Sales_Representatives!$A:$B,2,0)</f>
        <v>Jessica Anderson</v>
      </c>
    </row>
    <row r="3414" spans="1:24" x14ac:dyDescent="0.3">
      <c r="A3414" t="s">
        <v>4574</v>
      </c>
      <c r="B3414" t="s">
        <v>4571</v>
      </c>
      <c r="C3414" t="s">
        <v>13</v>
      </c>
      <c r="D3414" t="s">
        <v>1912</v>
      </c>
      <c r="E3414" t="s">
        <v>152</v>
      </c>
      <c r="F3414">
        <v>40</v>
      </c>
      <c r="G3414">
        <v>859.93</v>
      </c>
      <c r="H3414">
        <v>0.19</v>
      </c>
      <c r="I3414" s="4">
        <v>27861.73</v>
      </c>
      <c r="J3414" t="s">
        <v>16</v>
      </c>
      <c r="K3414" t="s">
        <v>17</v>
      </c>
      <c r="L3414" s="4">
        <f>VLOOKUP(tblTransactions[[#This Row],[Product_ID]],tblProducts[],5,FALSE)</f>
        <v>579.79</v>
      </c>
      <c r="M3414" s="4">
        <f>tblTransactions[[#This Row],[Total_Amount]]-(tblTransactions[[#This Row],[Cost_Prices]]*tblTransactions[[#This Row],[Quantity]]*(1-tblTransactions[[#This Row],[Discount]]))</f>
        <v>9076.5339999999997</v>
      </c>
      <c r="N3414" s="3">
        <f>tblTransactions[[#This Row],[Profit]]/tblTransactions[[#This Row],[Total_Amount]]</f>
        <v>0.32577065386822712</v>
      </c>
      <c r="O3414" t="str">
        <f>TEXT(tblTransactions[[#This Row],[Date]], "MMM-YYYY")</f>
        <v>Dec-2024</v>
      </c>
      <c r="P3414" t="str">
        <f>"Q"&amp;ROUNDUP(MONTH(tblTransactions[[#This Row],[Date]])/3,0)&amp;"-"&amp;YEAR(tblTransactions[[#This Row],[Date]])</f>
        <v>Q4-2024</v>
      </c>
      <c r="Q3414">
        <f>YEAR(tblTransactions[[#This Row],[Date]])</f>
        <v>2024</v>
      </c>
      <c r="R3414" t="str">
        <f>TEXT(tblTransactions[[#This Row],[Date]],"DDDD")</f>
        <v>Friday</v>
      </c>
      <c r="S3414">
        <f>MONTH(tblTransactions[[#This Row],[Date]])</f>
        <v>12</v>
      </c>
      <c r="T3414" t="str">
        <f>VLOOKUP(E3414, Products!$A:$B,2,0)</f>
        <v>Phones Ele-4</v>
      </c>
      <c r="U3414" t="str">
        <f>VLOOKUP(E3414,Products!$A:$C,3,0)</f>
        <v>Electronics</v>
      </c>
      <c r="V3414" t="str">
        <f>VLOOKUP(E3414,Products!$A:$D,4,0)</f>
        <v>Phones</v>
      </c>
      <c r="W3414" t="str">
        <f>VLOOKUP(D3414,Customers!$A:$C,3,0)</f>
        <v>Enterprise</v>
      </c>
      <c r="X3414" t="str">
        <f>VLOOKUP(C3414,Sales_Representatives!$A:$B,2,0)</f>
        <v>Jennifer Rodriguez</v>
      </c>
    </row>
    <row r="3415" spans="1:24" x14ac:dyDescent="0.3">
      <c r="A3415" t="s">
        <v>4575</v>
      </c>
      <c r="B3415" t="s">
        <v>4576</v>
      </c>
      <c r="C3415" t="s">
        <v>31</v>
      </c>
      <c r="D3415" t="s">
        <v>3047</v>
      </c>
      <c r="E3415" t="s">
        <v>248</v>
      </c>
      <c r="F3415">
        <v>4</v>
      </c>
      <c r="G3415">
        <v>82.29</v>
      </c>
      <c r="H3415">
        <v>0.04</v>
      </c>
      <c r="I3415" s="4">
        <v>315.99</v>
      </c>
      <c r="J3415" t="s">
        <v>34</v>
      </c>
      <c r="K3415" t="s">
        <v>22</v>
      </c>
      <c r="L3415" s="4">
        <f>VLOOKUP(tblTransactions[[#This Row],[Product_ID]],tblProducts[],5,FALSE)</f>
        <v>51.11</v>
      </c>
      <c r="M3415" s="4">
        <f>tblTransactions[[#This Row],[Total_Amount]]-(tblTransactions[[#This Row],[Cost_Prices]]*tblTransactions[[#This Row],[Quantity]]*(1-tblTransactions[[#This Row],[Discount]]))</f>
        <v>119.72760000000002</v>
      </c>
      <c r="N3415" s="3">
        <f>tblTransactions[[#This Row],[Profit]]/tblTransactions[[#This Row],[Total_Amount]]</f>
        <v>0.37889680053166247</v>
      </c>
      <c r="O3415" t="str">
        <f>TEXT(tblTransactions[[#This Row],[Date]], "MMM-YYYY")</f>
        <v>Dec-2024</v>
      </c>
      <c r="P3415" t="str">
        <f>"Q"&amp;ROUNDUP(MONTH(tblTransactions[[#This Row],[Date]])/3,0)&amp;"-"&amp;YEAR(tblTransactions[[#This Row],[Date]])</f>
        <v>Q4-2024</v>
      </c>
      <c r="Q3415">
        <f>YEAR(tblTransactions[[#This Row],[Date]])</f>
        <v>2024</v>
      </c>
      <c r="R3415" t="str">
        <f>TEXT(tblTransactions[[#This Row],[Date]],"DDDD")</f>
        <v>Saturday</v>
      </c>
      <c r="S3415">
        <f>MONTH(tblTransactions[[#This Row],[Date]])</f>
        <v>12</v>
      </c>
      <c r="T3415" t="str">
        <f>VLOOKUP(E3415, Products!$A:$B,2,0)</f>
        <v>Keyboards Acc-2</v>
      </c>
      <c r="U3415" t="str">
        <f>VLOOKUP(E3415,Products!$A:$C,3,0)</f>
        <v>Accessories</v>
      </c>
      <c r="V3415" t="str">
        <f>VLOOKUP(E3415,Products!$A:$D,4,0)</f>
        <v>Keyboards</v>
      </c>
      <c r="W3415" t="str">
        <f>VLOOKUP(D3415,Customers!$A:$C,3,0)</f>
        <v>Small Business</v>
      </c>
      <c r="X3415" t="str">
        <f>VLOOKUP(C3415,Sales_Representatives!$A:$B,2,0)</f>
        <v>Thomas Martinez</v>
      </c>
    </row>
    <row r="3416" spans="1:24" x14ac:dyDescent="0.3">
      <c r="A3416" t="s">
        <v>4577</v>
      </c>
      <c r="B3416" t="s">
        <v>4576</v>
      </c>
      <c r="C3416" t="s">
        <v>56</v>
      </c>
      <c r="D3416" t="s">
        <v>1472</v>
      </c>
      <c r="E3416" t="s">
        <v>221</v>
      </c>
      <c r="F3416">
        <v>6</v>
      </c>
      <c r="G3416">
        <v>210.02</v>
      </c>
      <c r="H3416">
        <v>0.1</v>
      </c>
      <c r="I3416" s="4">
        <v>1134.1099999999999</v>
      </c>
      <c r="J3416" t="s">
        <v>34</v>
      </c>
      <c r="K3416" t="s">
        <v>35</v>
      </c>
      <c r="L3416" s="4">
        <f>VLOOKUP(tblTransactions[[#This Row],[Product_ID]],tblProducts[],5,FALSE)</f>
        <v>131.66</v>
      </c>
      <c r="M3416" s="4">
        <f>tblTransactions[[#This Row],[Total_Amount]]-(tblTransactions[[#This Row],[Cost_Prices]]*tblTransactions[[#This Row],[Quantity]]*(1-tblTransactions[[#This Row],[Discount]]))</f>
        <v>423.14599999999984</v>
      </c>
      <c r="N3416" s="3">
        <f>tblTransactions[[#This Row],[Profit]]/tblTransactions[[#This Row],[Total_Amount]]</f>
        <v>0.37310842863567018</v>
      </c>
      <c r="O3416" t="str">
        <f>TEXT(tblTransactions[[#This Row],[Date]], "MMM-YYYY")</f>
        <v>Dec-2024</v>
      </c>
      <c r="P3416" t="str">
        <f>"Q"&amp;ROUNDUP(MONTH(tblTransactions[[#This Row],[Date]])/3,0)&amp;"-"&amp;YEAR(tblTransactions[[#This Row],[Date]])</f>
        <v>Q4-2024</v>
      </c>
      <c r="Q3416">
        <f>YEAR(tblTransactions[[#This Row],[Date]])</f>
        <v>2024</v>
      </c>
      <c r="R3416" t="str">
        <f>TEXT(tblTransactions[[#This Row],[Date]],"DDDD")</f>
        <v>Saturday</v>
      </c>
      <c r="S3416">
        <f>MONTH(tblTransactions[[#This Row],[Date]])</f>
        <v>12</v>
      </c>
      <c r="T3416" t="str">
        <f>VLOOKUP(E3416, Products!$A:$B,2,0)</f>
        <v>Storage Fur-2</v>
      </c>
      <c r="U3416" t="str">
        <f>VLOOKUP(E3416,Products!$A:$C,3,0)</f>
        <v>Furniture</v>
      </c>
      <c r="V3416" t="str">
        <f>VLOOKUP(E3416,Products!$A:$D,4,0)</f>
        <v>Storage</v>
      </c>
      <c r="W3416" t="str">
        <f>VLOOKUP(D3416,Customers!$A:$C,3,0)</f>
        <v>B2B</v>
      </c>
      <c r="X3416" t="str">
        <f>VLOOKUP(C3416,Sales_Representatives!$A:$B,2,0)</f>
        <v>Thomas Hernandez</v>
      </c>
    </row>
    <row r="3417" spans="1:24" x14ac:dyDescent="0.3">
      <c r="A3417" t="s">
        <v>4578</v>
      </c>
      <c r="B3417" t="s">
        <v>4576</v>
      </c>
      <c r="C3417" t="s">
        <v>107</v>
      </c>
      <c r="D3417" t="s">
        <v>1957</v>
      </c>
      <c r="E3417" t="s">
        <v>129</v>
      </c>
      <c r="F3417">
        <v>2</v>
      </c>
      <c r="G3417">
        <v>1283.71</v>
      </c>
      <c r="H3417">
        <v>0.08</v>
      </c>
      <c r="I3417" s="4">
        <v>2362.0300000000002</v>
      </c>
      <c r="J3417" t="s">
        <v>109</v>
      </c>
      <c r="K3417" t="s">
        <v>22</v>
      </c>
      <c r="L3417" s="4">
        <f>VLOOKUP(tblTransactions[[#This Row],[Product_ID]],tblProducts[],5,FALSE)</f>
        <v>970.14</v>
      </c>
      <c r="M3417" s="4">
        <f>tblTransactions[[#This Row],[Total_Amount]]-(tblTransactions[[#This Row],[Cost_Prices]]*tblTransactions[[#This Row],[Quantity]]*(1-tblTransactions[[#This Row],[Discount]]))</f>
        <v>576.97240000000011</v>
      </c>
      <c r="N3417" s="3">
        <f>tblTransactions[[#This Row],[Profit]]/tblTransactions[[#This Row],[Total_Amount]]</f>
        <v>0.24426971715007856</v>
      </c>
      <c r="O3417" t="str">
        <f>TEXT(tblTransactions[[#This Row],[Date]], "MMM-YYYY")</f>
        <v>Dec-2024</v>
      </c>
      <c r="P3417" t="str">
        <f>"Q"&amp;ROUNDUP(MONTH(tblTransactions[[#This Row],[Date]])/3,0)&amp;"-"&amp;YEAR(tblTransactions[[#This Row],[Date]])</f>
        <v>Q4-2024</v>
      </c>
      <c r="Q3417">
        <f>YEAR(tblTransactions[[#This Row],[Date]])</f>
        <v>2024</v>
      </c>
      <c r="R3417" t="str">
        <f>TEXT(tblTransactions[[#This Row],[Date]],"DDDD")</f>
        <v>Saturday</v>
      </c>
      <c r="S3417">
        <f>MONTH(tblTransactions[[#This Row],[Date]])</f>
        <v>12</v>
      </c>
      <c r="T3417" t="str">
        <f>VLOOKUP(E3417, Products!$A:$B,2,0)</f>
        <v>Cameras Ele-3</v>
      </c>
      <c r="U3417" t="str">
        <f>VLOOKUP(E3417,Products!$A:$C,3,0)</f>
        <v>Electronics</v>
      </c>
      <c r="V3417" t="str">
        <f>VLOOKUP(E3417,Products!$A:$D,4,0)</f>
        <v>Cameras</v>
      </c>
      <c r="W3417" t="str">
        <f>VLOOKUP(D3417,Customers!$A:$C,3,0)</f>
        <v>B2B</v>
      </c>
      <c r="X3417" t="str">
        <f>VLOOKUP(C3417,Sales_Representatives!$A:$B,2,0)</f>
        <v>Jennifer Brown</v>
      </c>
    </row>
    <row r="3418" spans="1:24" x14ac:dyDescent="0.3">
      <c r="A3418" t="s">
        <v>4579</v>
      </c>
      <c r="B3418" t="s">
        <v>4576</v>
      </c>
      <c r="C3418" t="s">
        <v>131</v>
      </c>
      <c r="D3418" t="s">
        <v>2868</v>
      </c>
      <c r="E3418" t="s">
        <v>129</v>
      </c>
      <c r="F3418">
        <v>6</v>
      </c>
      <c r="G3418">
        <v>1283.71</v>
      </c>
      <c r="H3418">
        <v>0.09</v>
      </c>
      <c r="I3418" s="4">
        <v>7009.06</v>
      </c>
      <c r="J3418" t="s">
        <v>44</v>
      </c>
      <c r="K3418" t="s">
        <v>17</v>
      </c>
      <c r="L3418" s="4">
        <f>VLOOKUP(tblTransactions[[#This Row],[Product_ID]],tblProducts[],5,FALSE)</f>
        <v>970.14</v>
      </c>
      <c r="M3418" s="4">
        <f>tblTransactions[[#This Row],[Total_Amount]]-(tblTransactions[[#This Row],[Cost_Prices]]*tblTransactions[[#This Row],[Quantity]]*(1-tblTransactions[[#This Row],[Discount]]))</f>
        <v>1712.0955999999996</v>
      </c>
      <c r="N3418" s="3">
        <f>tblTransactions[[#This Row],[Profit]]/tblTransactions[[#This Row],[Total_Amount]]</f>
        <v>0.24426893192525098</v>
      </c>
      <c r="O3418" t="str">
        <f>TEXT(tblTransactions[[#This Row],[Date]], "MMM-YYYY")</f>
        <v>Dec-2024</v>
      </c>
      <c r="P3418" t="str">
        <f>"Q"&amp;ROUNDUP(MONTH(tblTransactions[[#This Row],[Date]])/3,0)&amp;"-"&amp;YEAR(tblTransactions[[#This Row],[Date]])</f>
        <v>Q4-2024</v>
      </c>
      <c r="Q3418">
        <f>YEAR(tblTransactions[[#This Row],[Date]])</f>
        <v>2024</v>
      </c>
      <c r="R3418" t="str">
        <f>TEXT(tblTransactions[[#This Row],[Date]],"DDDD")</f>
        <v>Saturday</v>
      </c>
      <c r="S3418">
        <f>MONTH(tblTransactions[[#This Row],[Date]])</f>
        <v>12</v>
      </c>
      <c r="T3418" t="str">
        <f>VLOOKUP(E3418, Products!$A:$B,2,0)</f>
        <v>Cameras Ele-3</v>
      </c>
      <c r="U3418" t="str">
        <f>VLOOKUP(E3418,Products!$A:$C,3,0)</f>
        <v>Electronics</v>
      </c>
      <c r="V3418" t="str">
        <f>VLOOKUP(E3418,Products!$A:$D,4,0)</f>
        <v>Cameras</v>
      </c>
      <c r="W3418" t="str">
        <f>VLOOKUP(D3418,Customers!$A:$C,3,0)</f>
        <v>B2B</v>
      </c>
      <c r="X3418" t="str">
        <f>VLOOKUP(C3418,Sales_Representatives!$A:$B,2,0)</f>
        <v>Michael Davis</v>
      </c>
    </row>
    <row r="3419" spans="1:24" x14ac:dyDescent="0.3">
      <c r="A3419" t="s">
        <v>4580</v>
      </c>
      <c r="B3419" t="s">
        <v>4576</v>
      </c>
      <c r="C3419" t="s">
        <v>41</v>
      </c>
      <c r="D3419" t="s">
        <v>47</v>
      </c>
      <c r="E3419" t="s">
        <v>232</v>
      </c>
      <c r="F3419">
        <v>5</v>
      </c>
      <c r="G3419">
        <v>60.21</v>
      </c>
      <c r="H3419">
        <v>0.08</v>
      </c>
      <c r="I3419" s="4">
        <v>276.97000000000003</v>
      </c>
      <c r="J3419" t="s">
        <v>44</v>
      </c>
      <c r="K3419" t="s">
        <v>17</v>
      </c>
      <c r="L3419" s="4">
        <f>VLOOKUP(tblTransactions[[#This Row],[Product_ID]],tblProducts[],5,FALSE)</f>
        <v>38.18</v>
      </c>
      <c r="M3419" s="4">
        <f>tblTransactions[[#This Row],[Total_Amount]]-(tblTransactions[[#This Row],[Cost_Prices]]*tblTransactions[[#This Row],[Quantity]]*(1-tblTransactions[[#This Row],[Discount]]))</f>
        <v>101.34200000000001</v>
      </c>
      <c r="N3419" s="3">
        <f>tblTransactions[[#This Row],[Profit]]/tblTransactions[[#This Row],[Total_Amount]]</f>
        <v>0.36589522330938368</v>
      </c>
      <c r="O3419" t="str">
        <f>TEXT(tblTransactions[[#This Row],[Date]], "MMM-YYYY")</f>
        <v>Dec-2024</v>
      </c>
      <c r="P3419" t="str">
        <f>"Q"&amp;ROUNDUP(MONTH(tblTransactions[[#This Row],[Date]])/3,0)&amp;"-"&amp;YEAR(tblTransactions[[#This Row],[Date]])</f>
        <v>Q4-2024</v>
      </c>
      <c r="Q3419">
        <f>YEAR(tblTransactions[[#This Row],[Date]])</f>
        <v>2024</v>
      </c>
      <c r="R3419" t="str">
        <f>TEXT(tblTransactions[[#This Row],[Date]],"DDDD")</f>
        <v>Saturday</v>
      </c>
      <c r="S3419">
        <f>MONTH(tblTransactions[[#This Row],[Date]])</f>
        <v>12</v>
      </c>
      <c r="T3419" t="str">
        <f>VLOOKUP(E3419, Products!$A:$B,2,0)</f>
        <v>Cables Acc-3</v>
      </c>
      <c r="U3419" t="str">
        <f>VLOOKUP(E3419,Products!$A:$C,3,0)</f>
        <v>Accessories</v>
      </c>
      <c r="V3419" t="str">
        <f>VLOOKUP(E3419,Products!$A:$D,4,0)</f>
        <v>Cables</v>
      </c>
      <c r="W3419" t="str">
        <f>VLOOKUP(D3419,Customers!$A:$C,3,0)</f>
        <v>B2C</v>
      </c>
      <c r="X3419" t="str">
        <f>VLOOKUP(C3419,Sales_Representatives!$A:$B,2,0)</f>
        <v>Robert Jones</v>
      </c>
    </row>
    <row r="3420" spans="1:24" x14ac:dyDescent="0.3">
      <c r="A3420" t="s">
        <v>4581</v>
      </c>
      <c r="B3420" t="s">
        <v>4582</v>
      </c>
      <c r="C3420" t="s">
        <v>82</v>
      </c>
      <c r="D3420" t="s">
        <v>1485</v>
      </c>
      <c r="E3420" t="s">
        <v>25</v>
      </c>
      <c r="F3420">
        <v>3</v>
      </c>
      <c r="G3420">
        <v>1467.49</v>
      </c>
      <c r="H3420">
        <v>0.08</v>
      </c>
      <c r="I3420" s="4">
        <v>4050.27</v>
      </c>
      <c r="J3420" t="s">
        <v>34</v>
      </c>
      <c r="K3420" t="s">
        <v>39</v>
      </c>
      <c r="L3420" s="4">
        <f>VLOOKUP(tblTransactions[[#This Row],[Product_ID]],tblProducts[],5,FALSE)</f>
        <v>757.65</v>
      </c>
      <c r="M3420" s="4">
        <f>tblTransactions[[#This Row],[Total_Amount]]-(tblTransactions[[#This Row],[Cost_Prices]]*tblTransactions[[#This Row],[Quantity]]*(1-tblTransactions[[#This Row],[Discount]]))</f>
        <v>1959.1559999999999</v>
      </c>
      <c r="N3420" s="3">
        <f>tblTransactions[[#This Row],[Profit]]/tblTransactions[[#This Row],[Total_Amount]]</f>
        <v>0.48370997489056283</v>
      </c>
      <c r="O3420" t="str">
        <f>TEXT(tblTransactions[[#This Row],[Date]], "MMM-YYYY")</f>
        <v>Dec-2024</v>
      </c>
      <c r="P3420" t="str">
        <f>"Q"&amp;ROUNDUP(MONTH(tblTransactions[[#This Row],[Date]])/3,0)&amp;"-"&amp;YEAR(tblTransactions[[#This Row],[Date]])</f>
        <v>Q4-2024</v>
      </c>
      <c r="Q3420">
        <f>YEAR(tblTransactions[[#This Row],[Date]])</f>
        <v>2024</v>
      </c>
      <c r="R3420" t="str">
        <f>TEXT(tblTransactions[[#This Row],[Date]],"DDDD")</f>
        <v>Sunday</v>
      </c>
      <c r="S3420">
        <f>MONTH(tblTransactions[[#This Row],[Date]])</f>
        <v>12</v>
      </c>
      <c r="T3420" t="str">
        <f>VLOOKUP(E3420, Products!$A:$B,2,0)</f>
        <v>Tables Fur-3</v>
      </c>
      <c r="U3420" t="str">
        <f>VLOOKUP(E3420,Products!$A:$C,3,0)</f>
        <v>Furniture</v>
      </c>
      <c r="V3420" t="str">
        <f>VLOOKUP(E3420,Products!$A:$D,4,0)</f>
        <v>Tables</v>
      </c>
      <c r="W3420" t="str">
        <f>VLOOKUP(D3420,Customers!$A:$C,3,0)</f>
        <v>B2B</v>
      </c>
      <c r="X3420" t="str">
        <f>VLOOKUP(C3420,Sales_Representatives!$A:$B,2,0)</f>
        <v>John Brown</v>
      </c>
    </row>
    <row r="3421" spans="1:24" x14ac:dyDescent="0.3">
      <c r="A3421" t="s">
        <v>4583</v>
      </c>
      <c r="B3421" t="s">
        <v>4582</v>
      </c>
      <c r="C3421" t="s">
        <v>82</v>
      </c>
      <c r="D3421" t="s">
        <v>1891</v>
      </c>
      <c r="E3421" t="s">
        <v>15</v>
      </c>
      <c r="F3421">
        <v>8</v>
      </c>
      <c r="G3421">
        <v>477.48</v>
      </c>
      <c r="H3421">
        <v>0.12</v>
      </c>
      <c r="I3421" s="4">
        <v>3361.46</v>
      </c>
      <c r="J3421" t="s">
        <v>34</v>
      </c>
      <c r="K3421" t="s">
        <v>48</v>
      </c>
      <c r="L3421" s="4">
        <f>VLOOKUP(tblTransactions[[#This Row],[Product_ID]],tblProducts[],5,FALSE)</f>
        <v>275.51</v>
      </c>
      <c r="M3421" s="4">
        <f>tblTransactions[[#This Row],[Total_Amount]]-(tblTransactions[[#This Row],[Cost_Prices]]*tblTransactions[[#This Row],[Quantity]]*(1-tblTransactions[[#This Row],[Discount]]))</f>
        <v>1421.8696</v>
      </c>
      <c r="N3421" s="3">
        <f>tblTransactions[[#This Row],[Profit]]/tblTransactions[[#This Row],[Total_Amount]]</f>
        <v>0.42299167623592127</v>
      </c>
      <c r="O3421" t="str">
        <f>TEXT(tblTransactions[[#This Row],[Date]], "MMM-YYYY")</f>
        <v>Dec-2024</v>
      </c>
      <c r="P3421" t="str">
        <f>"Q"&amp;ROUNDUP(MONTH(tblTransactions[[#This Row],[Date]])/3,0)&amp;"-"&amp;YEAR(tblTransactions[[#This Row],[Date]])</f>
        <v>Q4-2024</v>
      </c>
      <c r="Q3421">
        <f>YEAR(tblTransactions[[#This Row],[Date]])</f>
        <v>2024</v>
      </c>
      <c r="R3421" t="str">
        <f>TEXT(tblTransactions[[#This Row],[Date]],"DDDD")</f>
        <v>Sunday</v>
      </c>
      <c r="S3421">
        <f>MONTH(tblTransactions[[#This Row],[Date]])</f>
        <v>12</v>
      </c>
      <c r="T3421" t="str">
        <f>VLOOKUP(E3421, Products!$A:$B,2,0)</f>
        <v>Laptops Ele-4</v>
      </c>
      <c r="U3421" t="str">
        <f>VLOOKUP(E3421,Products!$A:$C,3,0)</f>
        <v>Electronics</v>
      </c>
      <c r="V3421" t="str">
        <f>VLOOKUP(E3421,Products!$A:$D,4,0)</f>
        <v>Laptops</v>
      </c>
      <c r="W3421" t="str">
        <f>VLOOKUP(D3421,Customers!$A:$C,3,0)</f>
        <v>B2B</v>
      </c>
      <c r="X3421" t="str">
        <f>VLOOKUP(C3421,Sales_Representatives!$A:$B,2,0)</f>
        <v>John Brown</v>
      </c>
    </row>
    <row r="3422" spans="1:24" x14ac:dyDescent="0.3">
      <c r="A3422" t="s">
        <v>4584</v>
      </c>
      <c r="B3422" t="s">
        <v>4582</v>
      </c>
      <c r="C3422" t="s">
        <v>56</v>
      </c>
      <c r="D3422" t="s">
        <v>64</v>
      </c>
      <c r="E3422" t="s">
        <v>99</v>
      </c>
      <c r="F3422">
        <v>2</v>
      </c>
      <c r="G3422">
        <v>325.14</v>
      </c>
      <c r="H3422">
        <v>0.08</v>
      </c>
      <c r="I3422" s="4">
        <v>598.26</v>
      </c>
      <c r="J3422" t="s">
        <v>34</v>
      </c>
      <c r="K3422" t="s">
        <v>48</v>
      </c>
      <c r="L3422" s="4">
        <f>VLOOKUP(tblTransactions[[#This Row],[Product_ID]],tblProducts[],5,FALSE)</f>
        <v>209.04</v>
      </c>
      <c r="M3422" s="4">
        <f>tblTransactions[[#This Row],[Total_Amount]]-(tblTransactions[[#This Row],[Cost_Prices]]*tblTransactions[[#This Row],[Quantity]]*(1-tblTransactions[[#This Row],[Discount]]))</f>
        <v>213.62639999999999</v>
      </c>
      <c r="N3422" s="3">
        <f>tblTransactions[[#This Row],[Profit]]/tblTransactions[[#This Row],[Total_Amount]]</f>
        <v>0.35707953063885267</v>
      </c>
      <c r="O3422" t="str">
        <f>TEXT(tblTransactions[[#This Row],[Date]], "MMM-YYYY")</f>
        <v>Dec-2024</v>
      </c>
      <c r="P3422" t="str">
        <f>"Q"&amp;ROUNDUP(MONTH(tblTransactions[[#This Row],[Date]])/3,0)&amp;"-"&amp;YEAR(tblTransactions[[#This Row],[Date]])</f>
        <v>Q4-2024</v>
      </c>
      <c r="Q3422">
        <f>YEAR(tblTransactions[[#This Row],[Date]])</f>
        <v>2024</v>
      </c>
      <c r="R3422" t="str">
        <f>TEXT(tblTransactions[[#This Row],[Date]],"DDDD")</f>
        <v>Sunday</v>
      </c>
      <c r="S3422">
        <f>MONTH(tblTransactions[[#This Row],[Date]])</f>
        <v>12</v>
      </c>
      <c r="T3422" t="str">
        <f>VLOOKUP(E3422, Products!$A:$B,2,0)</f>
        <v>Monitors Tec-1</v>
      </c>
      <c r="U3422" t="str">
        <f>VLOOKUP(E3422,Products!$A:$C,3,0)</f>
        <v>Technology</v>
      </c>
      <c r="V3422" t="str">
        <f>VLOOKUP(E3422,Products!$A:$D,4,0)</f>
        <v>Monitors</v>
      </c>
      <c r="W3422" t="str">
        <f>VLOOKUP(D3422,Customers!$A:$C,3,0)</f>
        <v>Small Business</v>
      </c>
      <c r="X3422" t="str">
        <f>VLOOKUP(C3422,Sales_Representatives!$A:$B,2,0)</f>
        <v>Thomas Hernandez</v>
      </c>
    </row>
    <row r="3423" spans="1:24" x14ac:dyDescent="0.3">
      <c r="A3423" t="s">
        <v>4585</v>
      </c>
      <c r="B3423" t="s">
        <v>4582</v>
      </c>
      <c r="C3423" t="s">
        <v>41</v>
      </c>
      <c r="D3423" t="s">
        <v>24</v>
      </c>
      <c r="E3423" t="s">
        <v>324</v>
      </c>
      <c r="F3423">
        <v>10</v>
      </c>
      <c r="G3423">
        <v>245.76</v>
      </c>
      <c r="H3423">
        <v>0.12</v>
      </c>
      <c r="I3423" s="4">
        <v>2162.69</v>
      </c>
      <c r="J3423" t="s">
        <v>44</v>
      </c>
      <c r="K3423" t="s">
        <v>48</v>
      </c>
      <c r="L3423" s="4">
        <f>VLOOKUP(tblTransactions[[#This Row],[Product_ID]],tblProducts[],5,FALSE)</f>
        <v>161.94</v>
      </c>
      <c r="M3423" s="4">
        <f>tblTransactions[[#This Row],[Total_Amount]]-(tblTransactions[[#This Row],[Cost_Prices]]*tblTransactions[[#This Row],[Quantity]]*(1-tblTransactions[[#This Row],[Discount]]))</f>
        <v>737.61799999999994</v>
      </c>
      <c r="N3423" s="3">
        <f>tblTransactions[[#This Row],[Profit]]/tblTransactions[[#This Row],[Total_Amount]]</f>
        <v>0.34106506249161922</v>
      </c>
      <c r="O3423" t="str">
        <f>TEXT(tblTransactions[[#This Row],[Date]], "MMM-YYYY")</f>
        <v>Dec-2024</v>
      </c>
      <c r="P3423" t="str">
        <f>"Q"&amp;ROUNDUP(MONTH(tblTransactions[[#This Row],[Date]])/3,0)&amp;"-"&amp;YEAR(tblTransactions[[#This Row],[Date]])</f>
        <v>Q4-2024</v>
      </c>
      <c r="Q3423">
        <f>YEAR(tblTransactions[[#This Row],[Date]])</f>
        <v>2024</v>
      </c>
      <c r="R3423" t="str">
        <f>TEXT(tblTransactions[[#This Row],[Date]],"DDDD")</f>
        <v>Sunday</v>
      </c>
      <c r="S3423">
        <f>MONTH(tblTransactions[[#This Row],[Date]])</f>
        <v>12</v>
      </c>
      <c r="T3423" t="str">
        <f>VLOOKUP(E3423, Products!$A:$B,2,0)</f>
        <v>Storage Fur-1</v>
      </c>
      <c r="U3423" t="str">
        <f>VLOOKUP(E3423,Products!$A:$C,3,0)</f>
        <v>Furniture</v>
      </c>
      <c r="V3423" t="str">
        <f>VLOOKUP(E3423,Products!$A:$D,4,0)</f>
        <v>Storage</v>
      </c>
      <c r="W3423" t="str">
        <f>VLOOKUP(D3423,Customers!$A:$C,3,0)</f>
        <v>B2B</v>
      </c>
      <c r="X3423" t="str">
        <f>VLOOKUP(C3423,Sales_Representatives!$A:$B,2,0)</f>
        <v>Robert Jones</v>
      </c>
    </row>
    <row r="3424" spans="1:24" x14ac:dyDescent="0.3">
      <c r="A3424" t="s">
        <v>4586</v>
      </c>
      <c r="B3424" t="s">
        <v>4582</v>
      </c>
      <c r="C3424" t="s">
        <v>107</v>
      </c>
      <c r="D3424" t="s">
        <v>1768</v>
      </c>
      <c r="E3424" t="s">
        <v>206</v>
      </c>
      <c r="F3424">
        <v>3</v>
      </c>
      <c r="G3424">
        <v>292.51</v>
      </c>
      <c r="H3424">
        <v>0.05</v>
      </c>
      <c r="I3424" s="4">
        <v>833.65</v>
      </c>
      <c r="J3424" t="s">
        <v>109</v>
      </c>
      <c r="K3424" t="s">
        <v>17</v>
      </c>
      <c r="L3424" s="4">
        <f>VLOOKUP(tblTransactions[[#This Row],[Product_ID]],tblProducts[],5,FALSE)</f>
        <v>122.08</v>
      </c>
      <c r="M3424" s="4">
        <f>tblTransactions[[#This Row],[Total_Amount]]-(tblTransactions[[#This Row],[Cost_Prices]]*tblTransactions[[#This Row],[Quantity]]*(1-tblTransactions[[#This Row],[Discount]]))</f>
        <v>485.72199999999998</v>
      </c>
      <c r="N3424" s="3">
        <f>tblTransactions[[#This Row],[Profit]]/tblTransactions[[#This Row],[Total_Amount]]</f>
        <v>0.58264499490193722</v>
      </c>
      <c r="O3424" t="str">
        <f>TEXT(tblTransactions[[#This Row],[Date]], "MMM-YYYY")</f>
        <v>Dec-2024</v>
      </c>
      <c r="P3424" t="str">
        <f>"Q"&amp;ROUNDUP(MONTH(tblTransactions[[#This Row],[Date]])/3,0)&amp;"-"&amp;YEAR(tblTransactions[[#This Row],[Date]])</f>
        <v>Q4-2024</v>
      </c>
      <c r="Q3424">
        <f>YEAR(tblTransactions[[#This Row],[Date]])</f>
        <v>2024</v>
      </c>
      <c r="R3424" t="str">
        <f>TEXT(tblTransactions[[#This Row],[Date]],"DDDD")</f>
        <v>Sunday</v>
      </c>
      <c r="S3424">
        <f>MONTH(tblTransactions[[#This Row],[Date]])</f>
        <v>12</v>
      </c>
      <c r="T3424" t="str">
        <f>VLOOKUP(E3424, Products!$A:$B,2,0)</f>
        <v>Keyboards Acc-1</v>
      </c>
      <c r="U3424" t="str">
        <f>VLOOKUP(E3424,Products!$A:$C,3,0)</f>
        <v>Accessories</v>
      </c>
      <c r="V3424" t="str">
        <f>VLOOKUP(E3424,Products!$A:$D,4,0)</f>
        <v>Keyboards</v>
      </c>
      <c r="W3424" t="str">
        <f>VLOOKUP(D3424,Customers!$A:$C,3,0)</f>
        <v>B2C</v>
      </c>
      <c r="X3424" t="str">
        <f>VLOOKUP(C3424,Sales_Representatives!$A:$B,2,0)</f>
        <v>Jennifer Brown</v>
      </c>
    </row>
    <row r="3425" spans="1:24" x14ac:dyDescent="0.3">
      <c r="A3425" t="s">
        <v>4587</v>
      </c>
      <c r="B3425" t="s">
        <v>4588</v>
      </c>
      <c r="C3425" t="s">
        <v>59</v>
      </c>
      <c r="D3425" t="s">
        <v>362</v>
      </c>
      <c r="E3425" t="s">
        <v>232</v>
      </c>
      <c r="F3425">
        <v>7</v>
      </c>
      <c r="G3425">
        <v>60.21</v>
      </c>
      <c r="H3425">
        <v>0.12</v>
      </c>
      <c r="I3425" s="4">
        <v>370.89</v>
      </c>
      <c r="J3425" t="s">
        <v>21</v>
      </c>
      <c r="K3425" t="s">
        <v>48</v>
      </c>
      <c r="L3425" s="4">
        <f>VLOOKUP(tblTransactions[[#This Row],[Product_ID]],tblProducts[],5,FALSE)</f>
        <v>38.18</v>
      </c>
      <c r="M3425" s="4">
        <f>tblTransactions[[#This Row],[Total_Amount]]-(tblTransactions[[#This Row],[Cost_Prices]]*tblTransactions[[#This Row],[Quantity]]*(1-tblTransactions[[#This Row],[Discount]]))</f>
        <v>135.7012</v>
      </c>
      <c r="N3425" s="3">
        <f>tblTransactions[[#This Row],[Profit]]/tblTransactions[[#This Row],[Total_Amount]]</f>
        <v>0.36587991048558871</v>
      </c>
      <c r="O3425" t="str">
        <f>TEXT(tblTransactions[[#This Row],[Date]], "MMM-YYYY")</f>
        <v>Dec-2024</v>
      </c>
      <c r="P3425" t="str">
        <f>"Q"&amp;ROUNDUP(MONTH(tblTransactions[[#This Row],[Date]])/3,0)&amp;"-"&amp;YEAR(tblTransactions[[#This Row],[Date]])</f>
        <v>Q4-2024</v>
      </c>
      <c r="Q3425">
        <f>YEAR(tblTransactions[[#This Row],[Date]])</f>
        <v>2024</v>
      </c>
      <c r="R3425" t="str">
        <f>TEXT(tblTransactions[[#This Row],[Date]],"DDDD")</f>
        <v>Monday</v>
      </c>
      <c r="S3425">
        <f>MONTH(tblTransactions[[#This Row],[Date]])</f>
        <v>12</v>
      </c>
      <c r="T3425" t="str">
        <f>VLOOKUP(E3425, Products!$A:$B,2,0)</f>
        <v>Cables Acc-3</v>
      </c>
      <c r="U3425" t="str">
        <f>VLOOKUP(E3425,Products!$A:$C,3,0)</f>
        <v>Accessories</v>
      </c>
      <c r="V3425" t="str">
        <f>VLOOKUP(E3425,Products!$A:$D,4,0)</f>
        <v>Cables</v>
      </c>
      <c r="W3425" t="str">
        <f>VLOOKUP(D3425,Customers!$A:$C,3,0)</f>
        <v>Small Business</v>
      </c>
      <c r="X3425" t="str">
        <f>VLOOKUP(C3425,Sales_Representatives!$A:$B,2,0)</f>
        <v>Sarah Brown</v>
      </c>
    </row>
    <row r="3426" spans="1:24" x14ac:dyDescent="0.3">
      <c r="A3426" t="s">
        <v>4589</v>
      </c>
      <c r="B3426" t="s">
        <v>4588</v>
      </c>
      <c r="C3426" t="s">
        <v>13</v>
      </c>
      <c r="D3426" t="s">
        <v>2129</v>
      </c>
      <c r="E3426" t="s">
        <v>394</v>
      </c>
      <c r="F3426">
        <v>7</v>
      </c>
      <c r="G3426">
        <v>314.69</v>
      </c>
      <c r="H3426">
        <v>0.12</v>
      </c>
      <c r="I3426" s="4">
        <v>1938.49</v>
      </c>
      <c r="J3426" t="s">
        <v>16</v>
      </c>
      <c r="K3426" t="s">
        <v>39</v>
      </c>
      <c r="L3426" s="4">
        <f>VLOOKUP(tblTransactions[[#This Row],[Product_ID]],tblProducts[],5,FALSE)</f>
        <v>185.43</v>
      </c>
      <c r="M3426" s="4">
        <f>tblTransactions[[#This Row],[Total_Amount]]-(tblTransactions[[#This Row],[Cost_Prices]]*tblTransactions[[#This Row],[Quantity]]*(1-tblTransactions[[#This Row],[Discount]]))</f>
        <v>796.24119999999994</v>
      </c>
      <c r="N3426" s="3">
        <f>tblTransactions[[#This Row],[Profit]]/tblTransactions[[#This Row],[Total_Amount]]</f>
        <v>0.41075331830445344</v>
      </c>
      <c r="O3426" t="str">
        <f>TEXT(tblTransactions[[#This Row],[Date]], "MMM-YYYY")</f>
        <v>Dec-2024</v>
      </c>
      <c r="P3426" t="str">
        <f>"Q"&amp;ROUNDUP(MONTH(tblTransactions[[#This Row],[Date]])/3,0)&amp;"-"&amp;YEAR(tblTransactions[[#This Row],[Date]])</f>
        <v>Q4-2024</v>
      </c>
      <c r="Q3426">
        <f>YEAR(tblTransactions[[#This Row],[Date]])</f>
        <v>2024</v>
      </c>
      <c r="R3426" t="str">
        <f>TEXT(tblTransactions[[#This Row],[Date]],"DDDD")</f>
        <v>Monday</v>
      </c>
      <c r="S3426">
        <f>MONTH(tblTransactions[[#This Row],[Date]])</f>
        <v>12</v>
      </c>
      <c r="T3426" t="str">
        <f>VLOOKUP(E3426, Products!$A:$B,2,0)</f>
        <v>Desks Fur-1</v>
      </c>
      <c r="U3426" t="str">
        <f>VLOOKUP(E3426,Products!$A:$C,3,0)</f>
        <v>Furniture</v>
      </c>
      <c r="V3426" t="str">
        <f>VLOOKUP(E3426,Products!$A:$D,4,0)</f>
        <v>Desks</v>
      </c>
      <c r="W3426" t="str">
        <f>VLOOKUP(D3426,Customers!$A:$C,3,0)</f>
        <v>B2C</v>
      </c>
      <c r="X3426" t="str">
        <f>VLOOKUP(C3426,Sales_Representatives!$A:$B,2,0)</f>
        <v>Jennifer Rodriguez</v>
      </c>
    </row>
    <row r="3427" spans="1:24" x14ac:dyDescent="0.3">
      <c r="A3427" t="s">
        <v>4590</v>
      </c>
      <c r="B3427" t="s">
        <v>4588</v>
      </c>
      <c r="C3427" t="s">
        <v>82</v>
      </c>
      <c r="D3427" t="s">
        <v>1866</v>
      </c>
      <c r="E3427" t="s">
        <v>68</v>
      </c>
      <c r="F3427">
        <v>10</v>
      </c>
      <c r="G3427">
        <v>522.63</v>
      </c>
      <c r="H3427">
        <v>0.09</v>
      </c>
      <c r="I3427" s="4">
        <v>4755.93</v>
      </c>
      <c r="J3427" t="s">
        <v>34</v>
      </c>
      <c r="K3427" t="s">
        <v>22</v>
      </c>
      <c r="L3427" s="4">
        <f>VLOOKUP(tblTransactions[[#This Row],[Product_ID]],tblProducts[],5,FALSE)</f>
        <v>355.82</v>
      </c>
      <c r="M3427" s="4">
        <f>tblTransactions[[#This Row],[Total_Amount]]-(tblTransactions[[#This Row],[Cost_Prices]]*tblTransactions[[#This Row],[Quantity]]*(1-tblTransactions[[#This Row],[Discount]]))</f>
        <v>1517.9680000000003</v>
      </c>
      <c r="N3427" s="3">
        <f>tblTransactions[[#This Row],[Profit]]/tblTransactions[[#This Row],[Total_Amount]]</f>
        <v>0.31917374730073828</v>
      </c>
      <c r="O3427" t="str">
        <f>TEXT(tblTransactions[[#This Row],[Date]], "MMM-YYYY")</f>
        <v>Dec-2024</v>
      </c>
      <c r="P3427" t="str">
        <f>"Q"&amp;ROUNDUP(MONTH(tblTransactions[[#This Row],[Date]])/3,0)&amp;"-"&amp;YEAR(tblTransactions[[#This Row],[Date]])</f>
        <v>Q4-2024</v>
      </c>
      <c r="Q3427">
        <f>YEAR(tblTransactions[[#This Row],[Date]])</f>
        <v>2024</v>
      </c>
      <c r="R3427" t="str">
        <f>TEXT(tblTransactions[[#This Row],[Date]],"DDDD")</f>
        <v>Monday</v>
      </c>
      <c r="S3427">
        <f>MONTH(tblTransactions[[#This Row],[Date]])</f>
        <v>12</v>
      </c>
      <c r="T3427" t="str">
        <f>VLOOKUP(E3427, Products!$A:$B,2,0)</f>
        <v>Monitors Tec-3</v>
      </c>
      <c r="U3427" t="str">
        <f>VLOOKUP(E3427,Products!$A:$C,3,0)</f>
        <v>Technology</v>
      </c>
      <c r="V3427" t="str">
        <f>VLOOKUP(E3427,Products!$A:$D,4,0)</f>
        <v>Monitors</v>
      </c>
      <c r="W3427" t="str">
        <f>VLOOKUP(D3427,Customers!$A:$C,3,0)</f>
        <v>B2B</v>
      </c>
      <c r="X3427" t="str">
        <f>VLOOKUP(C3427,Sales_Representatives!$A:$B,2,0)</f>
        <v>John Brown</v>
      </c>
    </row>
    <row r="3428" spans="1:24" x14ac:dyDescent="0.3">
      <c r="A3428" t="s">
        <v>4591</v>
      </c>
      <c r="B3428" t="s">
        <v>4588</v>
      </c>
      <c r="C3428" t="s">
        <v>75</v>
      </c>
      <c r="D3428" t="s">
        <v>1453</v>
      </c>
      <c r="E3428" t="s">
        <v>176</v>
      </c>
      <c r="F3428">
        <v>16</v>
      </c>
      <c r="G3428">
        <v>1462.68</v>
      </c>
      <c r="H3428">
        <v>0.18</v>
      </c>
      <c r="I3428" s="4">
        <v>19190.36</v>
      </c>
      <c r="J3428" t="s">
        <v>44</v>
      </c>
      <c r="K3428" t="s">
        <v>35</v>
      </c>
      <c r="L3428" s="4">
        <f>VLOOKUP(tblTransactions[[#This Row],[Product_ID]],tblProducts[],5,FALSE)</f>
        <v>775.94</v>
      </c>
      <c r="M3428" s="4">
        <f>tblTransactions[[#This Row],[Total_Amount]]-(tblTransactions[[#This Row],[Cost_Prices]]*tblTransactions[[#This Row],[Quantity]]*(1-tblTransactions[[#This Row],[Discount]]))</f>
        <v>9010.0271999999986</v>
      </c>
      <c r="N3428" s="3">
        <f>tblTransactions[[#This Row],[Profit]]/tblTransactions[[#This Row],[Total_Amount]]</f>
        <v>0.46950798213269568</v>
      </c>
      <c r="O3428" t="str">
        <f>TEXT(tblTransactions[[#This Row],[Date]], "MMM-YYYY")</f>
        <v>Dec-2024</v>
      </c>
      <c r="P3428" t="str">
        <f>"Q"&amp;ROUNDUP(MONTH(tblTransactions[[#This Row],[Date]])/3,0)&amp;"-"&amp;YEAR(tblTransactions[[#This Row],[Date]])</f>
        <v>Q4-2024</v>
      </c>
      <c r="Q3428">
        <f>YEAR(tblTransactions[[#This Row],[Date]])</f>
        <v>2024</v>
      </c>
      <c r="R3428" t="str">
        <f>TEXT(tblTransactions[[#This Row],[Date]],"DDDD")</f>
        <v>Monday</v>
      </c>
      <c r="S3428">
        <f>MONTH(tblTransactions[[#This Row],[Date]])</f>
        <v>12</v>
      </c>
      <c r="T3428" t="str">
        <f>VLOOKUP(E3428, Products!$A:$B,2,0)</f>
        <v>Chairs Fur-2</v>
      </c>
      <c r="U3428" t="str">
        <f>VLOOKUP(E3428,Products!$A:$C,3,0)</f>
        <v>Furniture</v>
      </c>
      <c r="V3428" t="str">
        <f>VLOOKUP(E3428,Products!$A:$D,4,0)</f>
        <v>Chairs</v>
      </c>
      <c r="W3428" t="str">
        <f>VLOOKUP(D3428,Customers!$A:$C,3,0)</f>
        <v>B2B</v>
      </c>
      <c r="X3428" t="str">
        <f>VLOOKUP(C3428,Sales_Representatives!$A:$B,2,0)</f>
        <v>Jessica Anderson</v>
      </c>
    </row>
    <row r="3429" spans="1:24" x14ac:dyDescent="0.3">
      <c r="A3429" t="s">
        <v>4592</v>
      </c>
      <c r="B3429" t="s">
        <v>4588</v>
      </c>
      <c r="C3429" t="s">
        <v>70</v>
      </c>
      <c r="D3429" t="s">
        <v>1824</v>
      </c>
      <c r="E3429" t="s">
        <v>206</v>
      </c>
      <c r="F3429">
        <v>1</v>
      </c>
      <c r="G3429">
        <v>292.51</v>
      </c>
      <c r="H3429">
        <v>0.01</v>
      </c>
      <c r="I3429" s="4">
        <v>289.58</v>
      </c>
      <c r="J3429" t="s">
        <v>16</v>
      </c>
      <c r="K3429" t="s">
        <v>17</v>
      </c>
      <c r="L3429" s="4">
        <f>VLOOKUP(tblTransactions[[#This Row],[Product_ID]],tblProducts[],5,FALSE)</f>
        <v>122.08</v>
      </c>
      <c r="M3429" s="4">
        <f>tblTransactions[[#This Row],[Total_Amount]]-(tblTransactions[[#This Row],[Cost_Prices]]*tblTransactions[[#This Row],[Quantity]]*(1-tblTransactions[[#This Row],[Discount]]))</f>
        <v>168.7208</v>
      </c>
      <c r="N3429" s="3">
        <f>tblTransactions[[#This Row],[Profit]]/tblTransactions[[#This Row],[Total_Amount]]</f>
        <v>0.58263968506112307</v>
      </c>
      <c r="O3429" t="str">
        <f>TEXT(tblTransactions[[#This Row],[Date]], "MMM-YYYY")</f>
        <v>Dec-2024</v>
      </c>
      <c r="P3429" t="str">
        <f>"Q"&amp;ROUNDUP(MONTH(tblTransactions[[#This Row],[Date]])/3,0)&amp;"-"&amp;YEAR(tblTransactions[[#This Row],[Date]])</f>
        <v>Q4-2024</v>
      </c>
      <c r="Q3429">
        <f>YEAR(tblTransactions[[#This Row],[Date]])</f>
        <v>2024</v>
      </c>
      <c r="R3429" t="str">
        <f>TEXT(tblTransactions[[#This Row],[Date]],"DDDD")</f>
        <v>Monday</v>
      </c>
      <c r="S3429">
        <f>MONTH(tblTransactions[[#This Row],[Date]])</f>
        <v>12</v>
      </c>
      <c r="T3429" t="str">
        <f>VLOOKUP(E3429, Products!$A:$B,2,0)</f>
        <v>Keyboards Acc-1</v>
      </c>
      <c r="U3429" t="str">
        <f>VLOOKUP(E3429,Products!$A:$C,3,0)</f>
        <v>Accessories</v>
      </c>
      <c r="V3429" t="str">
        <f>VLOOKUP(E3429,Products!$A:$D,4,0)</f>
        <v>Keyboards</v>
      </c>
      <c r="W3429" t="str">
        <f>VLOOKUP(D3429,Customers!$A:$C,3,0)</f>
        <v>B2C</v>
      </c>
      <c r="X3429" t="str">
        <f>VLOOKUP(C3429,Sales_Representatives!$A:$B,2,0)</f>
        <v>Linda Smith</v>
      </c>
    </row>
    <row r="3430" spans="1:24" x14ac:dyDescent="0.3">
      <c r="A3430" t="s">
        <v>4593</v>
      </c>
      <c r="B3430" t="s">
        <v>4594</v>
      </c>
      <c r="C3430" t="s">
        <v>127</v>
      </c>
      <c r="D3430" t="s">
        <v>1576</v>
      </c>
      <c r="E3430" t="s">
        <v>125</v>
      </c>
      <c r="F3430">
        <v>1</v>
      </c>
      <c r="G3430">
        <v>1201.4000000000001</v>
      </c>
      <c r="H3430">
        <v>0.05</v>
      </c>
      <c r="I3430" s="4">
        <v>1141.33</v>
      </c>
      <c r="J3430" t="s">
        <v>109</v>
      </c>
      <c r="K3430" t="s">
        <v>17</v>
      </c>
      <c r="L3430" s="4">
        <f>VLOOKUP(tblTransactions[[#This Row],[Product_ID]],tblProducts[],5,FALSE)</f>
        <v>672.72</v>
      </c>
      <c r="M3430" s="4">
        <f>tblTransactions[[#This Row],[Total_Amount]]-(tblTransactions[[#This Row],[Cost_Prices]]*tblTransactions[[#This Row],[Quantity]]*(1-tblTransactions[[#This Row],[Discount]]))</f>
        <v>502.24599999999998</v>
      </c>
      <c r="N3430" s="3">
        <f>tblTransactions[[#This Row],[Profit]]/tblTransactions[[#This Row],[Total_Amount]]</f>
        <v>0.44005327118361914</v>
      </c>
      <c r="O3430" t="str">
        <f>TEXT(tblTransactions[[#This Row],[Date]], "MMM-YYYY")</f>
        <v>Dec-2024</v>
      </c>
      <c r="P3430" t="str">
        <f>"Q"&amp;ROUNDUP(MONTH(tblTransactions[[#This Row],[Date]])/3,0)&amp;"-"&amp;YEAR(tblTransactions[[#This Row],[Date]])</f>
        <v>Q4-2024</v>
      </c>
      <c r="Q3430">
        <f>YEAR(tblTransactions[[#This Row],[Date]])</f>
        <v>2024</v>
      </c>
      <c r="R3430" t="str">
        <f>TEXT(tblTransactions[[#This Row],[Date]],"DDDD")</f>
        <v>Tuesday</v>
      </c>
      <c r="S3430">
        <f>MONTH(tblTransactions[[#This Row],[Date]])</f>
        <v>12</v>
      </c>
      <c r="T3430" t="str">
        <f>VLOOKUP(E3430, Products!$A:$B,2,0)</f>
        <v>Printers Tec-2</v>
      </c>
      <c r="U3430" t="str">
        <f>VLOOKUP(E3430,Products!$A:$C,3,0)</f>
        <v>Technology</v>
      </c>
      <c r="V3430" t="str">
        <f>VLOOKUP(E3430,Products!$A:$D,4,0)</f>
        <v>Printers</v>
      </c>
      <c r="W3430" t="str">
        <f>VLOOKUP(D3430,Customers!$A:$C,3,0)</f>
        <v>B2C</v>
      </c>
      <c r="X3430" t="str">
        <f>VLOOKUP(C3430,Sales_Representatives!$A:$B,2,0)</f>
        <v>Emily Hernandez</v>
      </c>
    </row>
    <row r="3431" spans="1:24" x14ac:dyDescent="0.3">
      <c r="A3431" t="s">
        <v>4595</v>
      </c>
      <c r="B3431" t="s">
        <v>4596</v>
      </c>
      <c r="C3431" t="s">
        <v>59</v>
      </c>
      <c r="D3431" t="s">
        <v>2300</v>
      </c>
      <c r="E3431" t="s">
        <v>53</v>
      </c>
      <c r="F3431">
        <v>30</v>
      </c>
      <c r="G3431">
        <v>2069.2199999999998</v>
      </c>
      <c r="H3431">
        <v>0.18</v>
      </c>
      <c r="I3431" s="4">
        <v>50902.81</v>
      </c>
      <c r="J3431" t="s">
        <v>21</v>
      </c>
      <c r="K3431" t="s">
        <v>48</v>
      </c>
      <c r="L3431" s="4">
        <f>VLOOKUP(tblTransactions[[#This Row],[Product_ID]],tblProducts[],5,FALSE)</f>
        <v>1451.18</v>
      </c>
      <c r="M3431" s="4">
        <f>tblTransactions[[#This Row],[Total_Amount]]-(tblTransactions[[#This Row],[Cost_Prices]]*tblTransactions[[#This Row],[Quantity]]*(1-tblTransactions[[#This Row],[Discount]]))</f>
        <v>15203.781999999992</v>
      </c>
      <c r="N3431" s="3">
        <f>tblTransactions[[#This Row],[Profit]]/tblTransactions[[#This Row],[Total_Amount]]</f>
        <v>0.29868256781894736</v>
      </c>
      <c r="O3431" t="str">
        <f>TEXT(tblTransactions[[#This Row],[Date]], "MMM-YYYY")</f>
        <v>Dec-2024</v>
      </c>
      <c r="P3431" t="str">
        <f>"Q"&amp;ROUNDUP(MONTH(tblTransactions[[#This Row],[Date]])/3,0)&amp;"-"&amp;YEAR(tblTransactions[[#This Row],[Date]])</f>
        <v>Q4-2024</v>
      </c>
      <c r="Q3431">
        <f>YEAR(tblTransactions[[#This Row],[Date]])</f>
        <v>2024</v>
      </c>
      <c r="R3431" t="str">
        <f>TEXT(tblTransactions[[#This Row],[Date]],"DDDD")</f>
        <v>Wednesday</v>
      </c>
      <c r="S3431">
        <f>MONTH(tblTransactions[[#This Row],[Date]])</f>
        <v>12</v>
      </c>
      <c r="T3431" t="str">
        <f>VLOOKUP(E3431, Products!$A:$B,2,0)</f>
        <v>Printers Tec-3</v>
      </c>
      <c r="U3431" t="str">
        <f>VLOOKUP(E3431,Products!$A:$C,3,0)</f>
        <v>Technology</v>
      </c>
      <c r="V3431" t="str">
        <f>VLOOKUP(E3431,Products!$A:$D,4,0)</f>
        <v>Printers</v>
      </c>
      <c r="W3431" t="str">
        <f>VLOOKUP(D3431,Customers!$A:$C,3,0)</f>
        <v>Enterprise</v>
      </c>
      <c r="X3431" t="str">
        <f>VLOOKUP(C3431,Sales_Representatives!$A:$B,2,0)</f>
        <v>Sarah Brown</v>
      </c>
    </row>
    <row r="3432" spans="1:24" x14ac:dyDescent="0.3">
      <c r="A3432" t="s">
        <v>4597</v>
      </c>
      <c r="B3432" t="s">
        <v>4596</v>
      </c>
      <c r="C3432" t="s">
        <v>31</v>
      </c>
      <c r="D3432" t="s">
        <v>1604</v>
      </c>
      <c r="E3432" t="s">
        <v>264</v>
      </c>
      <c r="F3432">
        <v>2</v>
      </c>
      <c r="G3432">
        <v>607.29999999999995</v>
      </c>
      <c r="H3432">
        <v>0.08</v>
      </c>
      <c r="I3432" s="4">
        <v>1117.43</v>
      </c>
      <c r="J3432" t="s">
        <v>34</v>
      </c>
      <c r="K3432" t="s">
        <v>22</v>
      </c>
      <c r="L3432" s="4">
        <f>VLOOKUP(tblTransactions[[#This Row],[Product_ID]],tblProducts[],5,FALSE)</f>
        <v>436.37</v>
      </c>
      <c r="M3432" s="4">
        <f>tblTransactions[[#This Row],[Total_Amount]]-(tblTransactions[[#This Row],[Cost_Prices]]*tblTransactions[[#This Row],[Quantity]]*(1-tblTransactions[[#This Row],[Discount]]))</f>
        <v>314.50919999999996</v>
      </c>
      <c r="N3432" s="3">
        <f>tblTransactions[[#This Row],[Profit]]/tblTransactions[[#This Row],[Total_Amount]]</f>
        <v>0.28145763045559896</v>
      </c>
      <c r="O3432" t="str">
        <f>TEXT(tblTransactions[[#This Row],[Date]], "MMM-YYYY")</f>
        <v>Dec-2024</v>
      </c>
      <c r="P3432" t="str">
        <f>"Q"&amp;ROUNDUP(MONTH(tblTransactions[[#This Row],[Date]])/3,0)&amp;"-"&amp;YEAR(tblTransactions[[#This Row],[Date]])</f>
        <v>Q4-2024</v>
      </c>
      <c r="Q3432">
        <f>YEAR(tblTransactions[[#This Row],[Date]])</f>
        <v>2024</v>
      </c>
      <c r="R3432" t="str">
        <f>TEXT(tblTransactions[[#This Row],[Date]],"DDDD")</f>
        <v>Wednesday</v>
      </c>
      <c r="S3432">
        <f>MONTH(tblTransactions[[#This Row],[Date]])</f>
        <v>12</v>
      </c>
      <c r="T3432" t="str">
        <f>VLOOKUP(E3432, Products!$A:$B,2,0)</f>
        <v>Tablets Ele-4</v>
      </c>
      <c r="U3432" t="str">
        <f>VLOOKUP(E3432,Products!$A:$C,3,0)</f>
        <v>Electronics</v>
      </c>
      <c r="V3432" t="str">
        <f>VLOOKUP(E3432,Products!$A:$D,4,0)</f>
        <v>Tablets</v>
      </c>
      <c r="W3432" t="str">
        <f>VLOOKUP(D3432,Customers!$A:$C,3,0)</f>
        <v>B2C</v>
      </c>
      <c r="X3432" t="str">
        <f>VLOOKUP(C3432,Sales_Representatives!$A:$B,2,0)</f>
        <v>Thomas Martinez</v>
      </c>
    </row>
    <row r="3433" spans="1:24" x14ac:dyDescent="0.3">
      <c r="A3433" t="s">
        <v>4598</v>
      </c>
      <c r="B3433" t="s">
        <v>4596</v>
      </c>
      <c r="C3433" t="s">
        <v>70</v>
      </c>
      <c r="D3433" t="s">
        <v>2690</v>
      </c>
      <c r="E3433" t="s">
        <v>125</v>
      </c>
      <c r="F3433">
        <v>39</v>
      </c>
      <c r="G3433">
        <v>1201.4000000000001</v>
      </c>
      <c r="H3433">
        <v>0.16</v>
      </c>
      <c r="I3433" s="4">
        <v>39357.86</v>
      </c>
      <c r="J3433" t="s">
        <v>16</v>
      </c>
      <c r="K3433" t="s">
        <v>39</v>
      </c>
      <c r="L3433" s="4">
        <f>VLOOKUP(tblTransactions[[#This Row],[Product_ID]],tblProducts[],5,FALSE)</f>
        <v>672.72</v>
      </c>
      <c r="M3433" s="4">
        <f>tblTransactions[[#This Row],[Total_Amount]]-(tblTransactions[[#This Row],[Cost_Prices]]*tblTransactions[[#This Row],[Quantity]]*(1-tblTransactions[[#This Row],[Discount]]))</f>
        <v>17319.552800000001</v>
      </c>
      <c r="N3433" s="3">
        <f>tblTransactions[[#This Row],[Profit]]/tblTransactions[[#This Row],[Total_Amount]]</f>
        <v>0.4400532142753697</v>
      </c>
      <c r="O3433" t="str">
        <f>TEXT(tblTransactions[[#This Row],[Date]], "MMM-YYYY")</f>
        <v>Dec-2024</v>
      </c>
      <c r="P3433" t="str">
        <f>"Q"&amp;ROUNDUP(MONTH(tblTransactions[[#This Row],[Date]])/3,0)&amp;"-"&amp;YEAR(tblTransactions[[#This Row],[Date]])</f>
        <v>Q4-2024</v>
      </c>
      <c r="Q3433">
        <f>YEAR(tblTransactions[[#This Row],[Date]])</f>
        <v>2024</v>
      </c>
      <c r="R3433" t="str">
        <f>TEXT(tblTransactions[[#This Row],[Date]],"DDDD")</f>
        <v>Wednesday</v>
      </c>
      <c r="S3433">
        <f>MONTH(tblTransactions[[#This Row],[Date]])</f>
        <v>12</v>
      </c>
      <c r="T3433" t="str">
        <f>VLOOKUP(E3433, Products!$A:$B,2,0)</f>
        <v>Printers Tec-2</v>
      </c>
      <c r="U3433" t="str">
        <f>VLOOKUP(E3433,Products!$A:$C,3,0)</f>
        <v>Technology</v>
      </c>
      <c r="V3433" t="str">
        <f>VLOOKUP(E3433,Products!$A:$D,4,0)</f>
        <v>Printers</v>
      </c>
      <c r="W3433" t="str">
        <f>VLOOKUP(D3433,Customers!$A:$C,3,0)</f>
        <v>Enterprise</v>
      </c>
      <c r="X3433" t="str">
        <f>VLOOKUP(C3433,Sales_Representatives!$A:$B,2,0)</f>
        <v>Linda Smith</v>
      </c>
    </row>
    <row r="3434" spans="1:24" x14ac:dyDescent="0.3">
      <c r="A3434" t="s">
        <v>4599</v>
      </c>
      <c r="B3434" t="s">
        <v>4600</v>
      </c>
      <c r="C3434" t="s">
        <v>56</v>
      </c>
      <c r="D3434" t="s">
        <v>2577</v>
      </c>
      <c r="E3434" t="s">
        <v>68</v>
      </c>
      <c r="F3434">
        <v>4</v>
      </c>
      <c r="G3434">
        <v>522.63</v>
      </c>
      <c r="H3434">
        <v>0.01</v>
      </c>
      <c r="I3434" s="4">
        <v>2069.61</v>
      </c>
      <c r="J3434" t="s">
        <v>34</v>
      </c>
      <c r="K3434" t="s">
        <v>48</v>
      </c>
      <c r="L3434" s="4">
        <f>VLOOKUP(tblTransactions[[#This Row],[Product_ID]],tblProducts[],5,FALSE)</f>
        <v>355.82</v>
      </c>
      <c r="M3434" s="4">
        <f>tblTransactions[[#This Row],[Total_Amount]]-(tblTransactions[[#This Row],[Cost_Prices]]*tblTransactions[[#This Row],[Quantity]]*(1-tblTransactions[[#This Row],[Discount]]))</f>
        <v>660.56280000000015</v>
      </c>
      <c r="N3434" s="3">
        <f>tblTransactions[[#This Row],[Profit]]/tblTransactions[[#This Row],[Total_Amount]]</f>
        <v>0.31917259773580536</v>
      </c>
      <c r="O3434" t="str">
        <f>TEXT(tblTransactions[[#This Row],[Date]], "MMM-YYYY")</f>
        <v>Dec-2024</v>
      </c>
      <c r="P3434" t="str">
        <f>"Q"&amp;ROUNDUP(MONTH(tblTransactions[[#This Row],[Date]])/3,0)&amp;"-"&amp;YEAR(tblTransactions[[#This Row],[Date]])</f>
        <v>Q4-2024</v>
      </c>
      <c r="Q3434">
        <f>YEAR(tblTransactions[[#This Row],[Date]])</f>
        <v>2024</v>
      </c>
      <c r="R3434" t="str">
        <f>TEXT(tblTransactions[[#This Row],[Date]],"DDDD")</f>
        <v>Thursday</v>
      </c>
      <c r="S3434">
        <f>MONTH(tblTransactions[[#This Row],[Date]])</f>
        <v>12</v>
      </c>
      <c r="T3434" t="str">
        <f>VLOOKUP(E3434, Products!$A:$B,2,0)</f>
        <v>Monitors Tec-3</v>
      </c>
      <c r="U3434" t="str">
        <f>VLOOKUP(E3434,Products!$A:$C,3,0)</f>
        <v>Technology</v>
      </c>
      <c r="V3434" t="str">
        <f>VLOOKUP(E3434,Products!$A:$D,4,0)</f>
        <v>Monitors</v>
      </c>
      <c r="W3434" t="str">
        <f>VLOOKUP(D3434,Customers!$A:$C,3,0)</f>
        <v>B2C</v>
      </c>
      <c r="X3434" t="str">
        <f>VLOOKUP(C3434,Sales_Representatives!$A:$B,2,0)</f>
        <v>Thomas Hernandez</v>
      </c>
    </row>
    <row r="3435" spans="1:24" x14ac:dyDescent="0.3">
      <c r="A3435" t="s">
        <v>4601</v>
      </c>
      <c r="B3435" t="s">
        <v>4600</v>
      </c>
      <c r="C3435" t="s">
        <v>75</v>
      </c>
      <c r="D3435" t="s">
        <v>2000</v>
      </c>
      <c r="E3435" t="s">
        <v>255</v>
      </c>
      <c r="F3435">
        <v>5</v>
      </c>
      <c r="G3435">
        <v>1444.13</v>
      </c>
      <c r="H3435">
        <v>7.0000000000000007E-2</v>
      </c>
      <c r="I3435" s="4">
        <v>6715.2</v>
      </c>
      <c r="J3435" t="s">
        <v>44</v>
      </c>
      <c r="K3435" t="s">
        <v>39</v>
      </c>
      <c r="L3435" s="4">
        <f>VLOOKUP(tblTransactions[[#This Row],[Product_ID]],tblProducts[],5,FALSE)</f>
        <v>874.43</v>
      </c>
      <c r="M3435" s="4">
        <f>tblTransactions[[#This Row],[Total_Amount]]-(tblTransactions[[#This Row],[Cost_Prices]]*tblTransactions[[#This Row],[Quantity]]*(1-tblTransactions[[#This Row],[Discount]]))</f>
        <v>2649.1005000000005</v>
      </c>
      <c r="N3435" s="3">
        <f>tblTransactions[[#This Row],[Profit]]/tblTransactions[[#This Row],[Total_Amount]]</f>
        <v>0.3944931647605433</v>
      </c>
      <c r="O3435" t="str">
        <f>TEXT(tblTransactions[[#This Row],[Date]], "MMM-YYYY")</f>
        <v>Dec-2024</v>
      </c>
      <c r="P3435" t="str">
        <f>"Q"&amp;ROUNDUP(MONTH(tblTransactions[[#This Row],[Date]])/3,0)&amp;"-"&amp;YEAR(tblTransactions[[#This Row],[Date]])</f>
        <v>Q4-2024</v>
      </c>
      <c r="Q3435">
        <f>YEAR(tblTransactions[[#This Row],[Date]])</f>
        <v>2024</v>
      </c>
      <c r="R3435" t="str">
        <f>TEXT(tblTransactions[[#This Row],[Date]],"DDDD")</f>
        <v>Thursday</v>
      </c>
      <c r="S3435">
        <f>MONTH(tblTransactions[[#This Row],[Date]])</f>
        <v>12</v>
      </c>
      <c r="T3435" t="str">
        <f>VLOOKUP(E3435, Products!$A:$B,2,0)</f>
        <v>Printers Tec-1</v>
      </c>
      <c r="U3435" t="str">
        <f>VLOOKUP(E3435,Products!$A:$C,3,0)</f>
        <v>Technology</v>
      </c>
      <c r="V3435" t="str">
        <f>VLOOKUP(E3435,Products!$A:$D,4,0)</f>
        <v>Printers</v>
      </c>
      <c r="W3435" t="str">
        <f>VLOOKUP(D3435,Customers!$A:$C,3,0)</f>
        <v>B2B</v>
      </c>
      <c r="X3435" t="str">
        <f>VLOOKUP(C3435,Sales_Representatives!$A:$B,2,0)</f>
        <v>Jessica Anderson</v>
      </c>
    </row>
    <row r="3436" spans="1:24" x14ac:dyDescent="0.3">
      <c r="A3436" t="s">
        <v>4602</v>
      </c>
      <c r="B3436" t="s">
        <v>4600</v>
      </c>
      <c r="C3436" t="s">
        <v>59</v>
      </c>
      <c r="D3436" t="s">
        <v>1801</v>
      </c>
      <c r="E3436" t="s">
        <v>145</v>
      </c>
      <c r="F3436">
        <v>2</v>
      </c>
      <c r="G3436">
        <v>93.43</v>
      </c>
      <c r="H3436">
        <v>0.04</v>
      </c>
      <c r="I3436" s="4">
        <v>179.39</v>
      </c>
      <c r="J3436" t="s">
        <v>21</v>
      </c>
      <c r="K3436" t="s">
        <v>48</v>
      </c>
      <c r="L3436" s="4">
        <f>VLOOKUP(tblTransactions[[#This Row],[Product_ID]],tblProducts[],5,FALSE)</f>
        <v>45.74</v>
      </c>
      <c r="M3436" s="4">
        <f>tblTransactions[[#This Row],[Total_Amount]]-(tblTransactions[[#This Row],[Cost_Prices]]*tblTransactions[[#This Row],[Quantity]]*(1-tblTransactions[[#This Row],[Discount]]))</f>
        <v>91.569199999999981</v>
      </c>
      <c r="N3436" s="3">
        <f>tblTransactions[[#This Row],[Profit]]/tblTransactions[[#This Row],[Total_Amount]]</f>
        <v>0.51044762807291366</v>
      </c>
      <c r="O3436" t="str">
        <f>TEXT(tblTransactions[[#This Row],[Date]], "MMM-YYYY")</f>
        <v>Dec-2024</v>
      </c>
      <c r="P3436" t="str">
        <f>"Q"&amp;ROUNDUP(MONTH(tblTransactions[[#This Row],[Date]])/3,0)&amp;"-"&amp;YEAR(tblTransactions[[#This Row],[Date]])</f>
        <v>Q4-2024</v>
      </c>
      <c r="Q3436">
        <f>YEAR(tblTransactions[[#This Row],[Date]])</f>
        <v>2024</v>
      </c>
      <c r="R3436" t="str">
        <f>TEXT(tblTransactions[[#This Row],[Date]],"DDDD")</f>
        <v>Thursday</v>
      </c>
      <c r="S3436">
        <f>MONTH(tblTransactions[[#This Row],[Date]])</f>
        <v>12</v>
      </c>
      <c r="T3436" t="str">
        <f>VLOOKUP(E3436, Products!$A:$B,2,0)</f>
        <v>Paper Off-1</v>
      </c>
      <c r="U3436" t="str">
        <f>VLOOKUP(E3436,Products!$A:$C,3,0)</f>
        <v>Office Supplies</v>
      </c>
      <c r="V3436" t="str">
        <f>VLOOKUP(E3436,Products!$A:$D,4,0)</f>
        <v>Paper</v>
      </c>
      <c r="W3436" t="str">
        <f>VLOOKUP(D3436,Customers!$A:$C,3,0)</f>
        <v>Small Business</v>
      </c>
      <c r="X3436" t="str">
        <f>VLOOKUP(C3436,Sales_Representatives!$A:$B,2,0)</f>
        <v>Sarah Brown</v>
      </c>
    </row>
    <row r="3437" spans="1:24" x14ac:dyDescent="0.3">
      <c r="A3437" t="s">
        <v>4603</v>
      </c>
      <c r="B3437" t="s">
        <v>4604</v>
      </c>
      <c r="C3437" t="s">
        <v>19</v>
      </c>
      <c r="D3437" t="s">
        <v>1705</v>
      </c>
      <c r="E3437" t="s">
        <v>283</v>
      </c>
      <c r="F3437">
        <v>3</v>
      </c>
      <c r="G3437">
        <v>456.88</v>
      </c>
      <c r="H3437">
        <v>0.04</v>
      </c>
      <c r="I3437" s="4">
        <v>1315.81</v>
      </c>
      <c r="J3437" t="s">
        <v>21</v>
      </c>
      <c r="K3437" t="s">
        <v>35</v>
      </c>
      <c r="L3437" s="4">
        <f>VLOOKUP(tblTransactions[[#This Row],[Product_ID]],tblProducts[],5,FALSE)</f>
        <v>313.23</v>
      </c>
      <c r="M3437" s="4">
        <f>tblTransactions[[#This Row],[Total_Amount]]-(tblTransactions[[#This Row],[Cost_Prices]]*tblTransactions[[#This Row],[Quantity]]*(1-tblTransactions[[#This Row],[Discount]]))</f>
        <v>413.70759999999996</v>
      </c>
      <c r="N3437" s="3">
        <f>tblTransactions[[#This Row],[Profit]]/tblTransactions[[#This Row],[Total_Amount]]</f>
        <v>0.31441287115920991</v>
      </c>
      <c r="O3437" t="str">
        <f>TEXT(tblTransactions[[#This Row],[Date]], "MMM-YYYY")</f>
        <v>Dec-2024</v>
      </c>
      <c r="P3437" t="str">
        <f>"Q"&amp;ROUNDUP(MONTH(tblTransactions[[#This Row],[Date]])/3,0)&amp;"-"&amp;YEAR(tblTransactions[[#This Row],[Date]])</f>
        <v>Q4-2024</v>
      </c>
      <c r="Q3437">
        <f>YEAR(tblTransactions[[#This Row],[Date]])</f>
        <v>2024</v>
      </c>
      <c r="R3437" t="str">
        <f>TEXT(tblTransactions[[#This Row],[Date]],"DDDD")</f>
        <v>Friday</v>
      </c>
      <c r="S3437">
        <f>MONTH(tblTransactions[[#This Row],[Date]])</f>
        <v>12</v>
      </c>
      <c r="T3437" t="str">
        <f>VLOOKUP(E3437, Products!$A:$B,2,0)</f>
        <v>Chairs Fur-3</v>
      </c>
      <c r="U3437" t="str">
        <f>VLOOKUP(E3437,Products!$A:$C,3,0)</f>
        <v>Furniture</v>
      </c>
      <c r="V3437" t="str">
        <f>VLOOKUP(E3437,Products!$A:$D,4,0)</f>
        <v>Chairs</v>
      </c>
      <c r="W3437" t="str">
        <f>VLOOKUP(D3437,Customers!$A:$C,3,0)</f>
        <v>B2C</v>
      </c>
      <c r="X3437" t="str">
        <f>VLOOKUP(C3437,Sales_Representatives!$A:$B,2,0)</f>
        <v>Robert Jones</v>
      </c>
    </row>
    <row r="3438" spans="1:24" x14ac:dyDescent="0.3">
      <c r="A3438" t="s">
        <v>4605</v>
      </c>
      <c r="B3438" t="s">
        <v>4604</v>
      </c>
      <c r="C3438" t="s">
        <v>63</v>
      </c>
      <c r="D3438" t="s">
        <v>3597</v>
      </c>
      <c r="E3438" t="s">
        <v>316</v>
      </c>
      <c r="F3438">
        <v>6</v>
      </c>
      <c r="G3438">
        <v>91.42</v>
      </c>
      <c r="H3438">
        <v>0.12</v>
      </c>
      <c r="I3438" s="4">
        <v>482.7</v>
      </c>
      <c r="J3438" t="s">
        <v>21</v>
      </c>
      <c r="K3438" t="s">
        <v>48</v>
      </c>
      <c r="L3438" s="4">
        <f>VLOOKUP(tblTransactions[[#This Row],[Product_ID]],tblProducts[],5,FALSE)</f>
        <v>50.09</v>
      </c>
      <c r="M3438" s="4">
        <f>tblTransactions[[#This Row],[Total_Amount]]-(tblTransactions[[#This Row],[Cost_Prices]]*tblTransactions[[#This Row],[Quantity]]*(1-tblTransactions[[#This Row],[Discount]]))</f>
        <v>218.22479999999996</v>
      </c>
      <c r="N3438" s="3">
        <f>tblTransactions[[#This Row],[Profit]]/tblTransactions[[#This Row],[Total_Amount]]</f>
        <v>0.4520919825978868</v>
      </c>
      <c r="O3438" t="str">
        <f>TEXT(tblTransactions[[#This Row],[Date]], "MMM-YYYY")</f>
        <v>Dec-2024</v>
      </c>
      <c r="P3438" t="str">
        <f>"Q"&amp;ROUNDUP(MONTH(tblTransactions[[#This Row],[Date]])/3,0)&amp;"-"&amp;YEAR(tblTransactions[[#This Row],[Date]])</f>
        <v>Q4-2024</v>
      </c>
      <c r="Q3438">
        <f>YEAR(tblTransactions[[#This Row],[Date]])</f>
        <v>2024</v>
      </c>
      <c r="R3438" t="str">
        <f>TEXT(tblTransactions[[#This Row],[Date]],"DDDD")</f>
        <v>Friday</v>
      </c>
      <c r="S3438">
        <f>MONTH(tblTransactions[[#This Row],[Date]])</f>
        <v>12</v>
      </c>
      <c r="T3438" t="str">
        <f>VLOOKUP(E3438, Products!$A:$B,2,0)</f>
        <v>Binders Off-3</v>
      </c>
      <c r="U3438" t="str">
        <f>VLOOKUP(E3438,Products!$A:$C,3,0)</f>
        <v>Office Supplies</v>
      </c>
      <c r="V3438" t="str">
        <f>VLOOKUP(E3438,Products!$A:$D,4,0)</f>
        <v>Binders</v>
      </c>
      <c r="W3438" t="str">
        <f>VLOOKUP(D3438,Customers!$A:$C,3,0)</f>
        <v>B2C</v>
      </c>
      <c r="X3438" t="str">
        <f>VLOOKUP(C3438,Sales_Representatives!$A:$B,2,0)</f>
        <v>Richard Wilson</v>
      </c>
    </row>
    <row r="3439" spans="1:24" x14ac:dyDescent="0.3">
      <c r="A3439" t="s">
        <v>4606</v>
      </c>
      <c r="B3439" t="s">
        <v>4604</v>
      </c>
      <c r="C3439" t="s">
        <v>59</v>
      </c>
      <c r="D3439" t="s">
        <v>2446</v>
      </c>
      <c r="E3439" t="s">
        <v>91</v>
      </c>
      <c r="F3439">
        <v>8</v>
      </c>
      <c r="G3439">
        <v>286.62</v>
      </c>
      <c r="H3439">
        <v>0.09</v>
      </c>
      <c r="I3439" s="4">
        <v>2086.59</v>
      </c>
      <c r="J3439" t="s">
        <v>21</v>
      </c>
      <c r="K3439" t="s">
        <v>48</v>
      </c>
      <c r="L3439" s="4">
        <f>VLOOKUP(tblTransactions[[#This Row],[Product_ID]],tblProducts[],5,FALSE)</f>
        <v>145.54</v>
      </c>
      <c r="M3439" s="4">
        <f>tblTransactions[[#This Row],[Total_Amount]]-(tblTransactions[[#This Row],[Cost_Prices]]*tblTransactions[[#This Row],[Quantity]]*(1-tblTransactions[[#This Row],[Discount]]))</f>
        <v>1027.0588000000002</v>
      </c>
      <c r="N3439" s="3">
        <f>tblTransactions[[#This Row],[Profit]]/tblTransactions[[#This Row],[Total_Amount]]</f>
        <v>0.49221878759123744</v>
      </c>
      <c r="O3439" t="str">
        <f>TEXT(tblTransactions[[#This Row],[Date]], "MMM-YYYY")</f>
        <v>Dec-2024</v>
      </c>
      <c r="P3439" t="str">
        <f>"Q"&amp;ROUNDUP(MONTH(tblTransactions[[#This Row],[Date]])/3,0)&amp;"-"&amp;YEAR(tblTransactions[[#This Row],[Date]])</f>
        <v>Q4-2024</v>
      </c>
      <c r="Q3439">
        <f>YEAR(tblTransactions[[#This Row],[Date]])</f>
        <v>2024</v>
      </c>
      <c r="R3439" t="str">
        <f>TEXT(tblTransactions[[#This Row],[Date]],"DDDD")</f>
        <v>Friday</v>
      </c>
      <c r="S3439">
        <f>MONTH(tblTransactions[[#This Row],[Date]])</f>
        <v>12</v>
      </c>
      <c r="T3439" t="str">
        <f>VLOOKUP(E3439, Products!$A:$B,2,0)</f>
        <v>Chairs Fur-1</v>
      </c>
      <c r="U3439" t="str">
        <f>VLOOKUP(E3439,Products!$A:$C,3,0)</f>
        <v>Furniture</v>
      </c>
      <c r="V3439" t="str">
        <f>VLOOKUP(E3439,Products!$A:$D,4,0)</f>
        <v>Chairs</v>
      </c>
      <c r="W3439" t="str">
        <f>VLOOKUP(D3439,Customers!$A:$C,3,0)</f>
        <v>B2B</v>
      </c>
      <c r="X3439" t="str">
        <f>VLOOKUP(C3439,Sales_Representatives!$A:$B,2,0)</f>
        <v>Sarah Brown</v>
      </c>
    </row>
    <row r="3440" spans="1:24" x14ac:dyDescent="0.3">
      <c r="A3440" t="s">
        <v>4607</v>
      </c>
      <c r="B3440" t="s">
        <v>4608</v>
      </c>
      <c r="C3440" t="s">
        <v>13</v>
      </c>
      <c r="D3440" t="s">
        <v>1683</v>
      </c>
      <c r="E3440" t="s">
        <v>587</v>
      </c>
      <c r="F3440">
        <v>1</v>
      </c>
      <c r="G3440">
        <v>58.54</v>
      </c>
      <c r="H3440">
        <v>0.05</v>
      </c>
      <c r="I3440" s="4">
        <v>55.61</v>
      </c>
      <c r="J3440" t="s">
        <v>16</v>
      </c>
      <c r="K3440" t="s">
        <v>22</v>
      </c>
      <c r="L3440" s="4">
        <f>VLOOKUP(tblTransactions[[#This Row],[Product_ID]],tblProducts[],5,FALSE)</f>
        <v>25.43</v>
      </c>
      <c r="M3440" s="4">
        <f>tblTransactions[[#This Row],[Total_Amount]]-(tblTransactions[[#This Row],[Cost_Prices]]*tblTransactions[[#This Row],[Quantity]]*(1-tblTransactions[[#This Row],[Discount]]))</f>
        <v>31.451499999999999</v>
      </c>
      <c r="N3440" s="3">
        <f>tblTransactions[[#This Row],[Profit]]/tblTransactions[[#This Row],[Total_Amount]]</f>
        <v>0.56557273871605829</v>
      </c>
      <c r="O3440" t="str">
        <f>TEXT(tblTransactions[[#This Row],[Date]], "MMM-YYYY")</f>
        <v>Dec-2024</v>
      </c>
      <c r="P3440" t="str">
        <f>"Q"&amp;ROUNDUP(MONTH(tblTransactions[[#This Row],[Date]])/3,0)&amp;"-"&amp;YEAR(tblTransactions[[#This Row],[Date]])</f>
        <v>Q4-2024</v>
      </c>
      <c r="Q3440">
        <f>YEAR(tblTransactions[[#This Row],[Date]])</f>
        <v>2024</v>
      </c>
      <c r="R3440" t="str">
        <f>TEXT(tblTransactions[[#This Row],[Date]],"DDDD")</f>
        <v>Saturday</v>
      </c>
      <c r="S3440">
        <f>MONTH(tblTransactions[[#This Row],[Date]])</f>
        <v>12</v>
      </c>
      <c r="T3440" t="str">
        <f>VLOOKUP(E3440, Products!$A:$B,2,0)</f>
        <v>Paper Off-2</v>
      </c>
      <c r="U3440" t="str">
        <f>VLOOKUP(E3440,Products!$A:$C,3,0)</f>
        <v>Office Supplies</v>
      </c>
      <c r="V3440" t="str">
        <f>VLOOKUP(E3440,Products!$A:$D,4,0)</f>
        <v>Paper</v>
      </c>
      <c r="W3440" t="str">
        <f>VLOOKUP(D3440,Customers!$A:$C,3,0)</f>
        <v>B2C</v>
      </c>
      <c r="X3440" t="str">
        <f>VLOOKUP(C3440,Sales_Representatives!$A:$B,2,0)</f>
        <v>Jennifer Rodriguez</v>
      </c>
    </row>
    <row r="3441" spans="1:24" x14ac:dyDescent="0.3">
      <c r="A3441" t="s">
        <v>4609</v>
      </c>
      <c r="B3441" t="s">
        <v>4608</v>
      </c>
      <c r="C3441" t="s">
        <v>27</v>
      </c>
      <c r="D3441" t="s">
        <v>1854</v>
      </c>
      <c r="E3441" t="s">
        <v>172</v>
      </c>
      <c r="F3441">
        <v>1</v>
      </c>
      <c r="G3441">
        <v>1371.15</v>
      </c>
      <c r="H3441">
        <v>7.0000000000000007E-2</v>
      </c>
      <c r="I3441" s="4">
        <v>1275.17</v>
      </c>
      <c r="J3441" t="s">
        <v>16</v>
      </c>
      <c r="K3441" t="s">
        <v>39</v>
      </c>
      <c r="L3441" s="4">
        <f>VLOOKUP(tblTransactions[[#This Row],[Product_ID]],tblProducts[],5,FALSE)</f>
        <v>989.81</v>
      </c>
      <c r="M3441" s="4">
        <f>tblTransactions[[#This Row],[Total_Amount]]-(tblTransactions[[#This Row],[Cost_Prices]]*tblTransactions[[#This Row],[Quantity]]*(1-tblTransactions[[#This Row],[Discount]]))</f>
        <v>354.64670000000024</v>
      </c>
      <c r="N3441" s="3">
        <f>tblTransactions[[#This Row],[Profit]]/tblTransactions[[#This Row],[Total_Amount]]</f>
        <v>0.27811719221750841</v>
      </c>
      <c r="O3441" t="str">
        <f>TEXT(tblTransactions[[#This Row],[Date]], "MMM-YYYY")</f>
        <v>Dec-2024</v>
      </c>
      <c r="P3441" t="str">
        <f>"Q"&amp;ROUNDUP(MONTH(tblTransactions[[#This Row],[Date]])/3,0)&amp;"-"&amp;YEAR(tblTransactions[[#This Row],[Date]])</f>
        <v>Q4-2024</v>
      </c>
      <c r="Q3441">
        <f>YEAR(tblTransactions[[#This Row],[Date]])</f>
        <v>2024</v>
      </c>
      <c r="R3441" t="str">
        <f>TEXT(tblTransactions[[#This Row],[Date]],"DDDD")</f>
        <v>Saturday</v>
      </c>
      <c r="S3441">
        <f>MONTH(tblTransactions[[#This Row],[Date]])</f>
        <v>12</v>
      </c>
      <c r="T3441" t="str">
        <f>VLOOKUP(E3441, Products!$A:$B,2,0)</f>
        <v>Cameras Ele-4</v>
      </c>
      <c r="U3441" t="str">
        <f>VLOOKUP(E3441,Products!$A:$C,3,0)</f>
        <v>Electronics</v>
      </c>
      <c r="V3441" t="str">
        <f>VLOOKUP(E3441,Products!$A:$D,4,0)</f>
        <v>Cameras</v>
      </c>
      <c r="W3441" t="str">
        <f>VLOOKUP(D3441,Customers!$A:$C,3,0)</f>
        <v>Small Business</v>
      </c>
      <c r="X3441" t="str">
        <f>VLOOKUP(C3441,Sales_Representatives!$A:$B,2,0)</f>
        <v>Thomas Lopez</v>
      </c>
    </row>
    <row r="3442" spans="1:24" x14ac:dyDescent="0.3">
      <c r="A3442" t="s">
        <v>4610</v>
      </c>
      <c r="B3442" t="s">
        <v>4608</v>
      </c>
      <c r="C3442" t="s">
        <v>75</v>
      </c>
      <c r="D3442" t="s">
        <v>1978</v>
      </c>
      <c r="E3442" t="s">
        <v>314</v>
      </c>
      <c r="F3442">
        <v>6</v>
      </c>
      <c r="G3442">
        <v>204.97</v>
      </c>
      <c r="H3442">
        <v>0.1</v>
      </c>
      <c r="I3442" s="4">
        <v>1106.8399999999999</v>
      </c>
      <c r="J3442" t="s">
        <v>44</v>
      </c>
      <c r="K3442" t="s">
        <v>48</v>
      </c>
      <c r="L3442" s="4">
        <f>VLOOKUP(tblTransactions[[#This Row],[Product_ID]],tblProducts[],5,FALSE)</f>
        <v>121.53</v>
      </c>
      <c r="M3442" s="4">
        <f>tblTransactions[[#This Row],[Total_Amount]]-(tblTransactions[[#This Row],[Cost_Prices]]*tblTransactions[[#This Row],[Quantity]]*(1-tblTransactions[[#This Row],[Discount]]))</f>
        <v>450.57799999999986</v>
      </c>
      <c r="N3442" s="3">
        <f>tblTransactions[[#This Row],[Profit]]/tblTransactions[[#This Row],[Total_Amount]]</f>
        <v>0.40708503487405578</v>
      </c>
      <c r="O3442" t="str">
        <f>TEXT(tblTransactions[[#This Row],[Date]], "MMM-YYYY")</f>
        <v>Dec-2024</v>
      </c>
      <c r="P3442" t="str">
        <f>"Q"&amp;ROUNDUP(MONTH(tblTransactions[[#This Row],[Date]])/3,0)&amp;"-"&amp;YEAR(tblTransactions[[#This Row],[Date]])</f>
        <v>Q4-2024</v>
      </c>
      <c r="Q3442">
        <f>YEAR(tblTransactions[[#This Row],[Date]])</f>
        <v>2024</v>
      </c>
      <c r="R3442" t="str">
        <f>TEXT(tblTransactions[[#This Row],[Date]],"DDDD")</f>
        <v>Saturday</v>
      </c>
      <c r="S3442">
        <f>MONTH(tblTransactions[[#This Row],[Date]])</f>
        <v>12</v>
      </c>
      <c r="T3442" t="str">
        <f>VLOOKUP(E3442, Products!$A:$B,2,0)</f>
        <v>Adapters Acc-3</v>
      </c>
      <c r="U3442" t="str">
        <f>VLOOKUP(E3442,Products!$A:$C,3,0)</f>
        <v>Accessories</v>
      </c>
      <c r="V3442" t="str">
        <f>VLOOKUP(E3442,Products!$A:$D,4,0)</f>
        <v>Adapters</v>
      </c>
      <c r="W3442" t="str">
        <f>VLOOKUP(D3442,Customers!$A:$C,3,0)</f>
        <v>B2C</v>
      </c>
      <c r="X3442" t="str">
        <f>VLOOKUP(C3442,Sales_Representatives!$A:$B,2,0)</f>
        <v>Jessica Anderson</v>
      </c>
    </row>
    <row r="3443" spans="1:24" x14ac:dyDescent="0.3">
      <c r="A3443" t="s">
        <v>4611</v>
      </c>
      <c r="B3443" t="s">
        <v>4608</v>
      </c>
      <c r="C3443" t="s">
        <v>31</v>
      </c>
      <c r="D3443" t="s">
        <v>1780</v>
      </c>
      <c r="E3443" t="s">
        <v>68</v>
      </c>
      <c r="F3443">
        <v>5</v>
      </c>
      <c r="G3443">
        <v>522.63</v>
      </c>
      <c r="H3443">
        <v>0.03</v>
      </c>
      <c r="I3443" s="4">
        <v>2534.7600000000002</v>
      </c>
      <c r="J3443" t="s">
        <v>34</v>
      </c>
      <c r="K3443" t="s">
        <v>39</v>
      </c>
      <c r="L3443" s="4">
        <f>VLOOKUP(tblTransactions[[#This Row],[Product_ID]],tblProducts[],5,FALSE)</f>
        <v>355.82</v>
      </c>
      <c r="M3443" s="4">
        <f>tblTransactions[[#This Row],[Total_Amount]]-(tblTransactions[[#This Row],[Cost_Prices]]*tblTransactions[[#This Row],[Quantity]]*(1-tblTransactions[[#This Row],[Discount]]))</f>
        <v>809.03300000000036</v>
      </c>
      <c r="N3443" s="3">
        <f>tblTransactions[[#This Row],[Profit]]/tblTransactions[[#This Row],[Total_Amount]]</f>
        <v>0.31917538544083079</v>
      </c>
      <c r="O3443" t="str">
        <f>TEXT(tblTransactions[[#This Row],[Date]], "MMM-YYYY")</f>
        <v>Dec-2024</v>
      </c>
      <c r="P3443" t="str">
        <f>"Q"&amp;ROUNDUP(MONTH(tblTransactions[[#This Row],[Date]])/3,0)&amp;"-"&amp;YEAR(tblTransactions[[#This Row],[Date]])</f>
        <v>Q4-2024</v>
      </c>
      <c r="Q3443">
        <f>YEAR(tblTransactions[[#This Row],[Date]])</f>
        <v>2024</v>
      </c>
      <c r="R3443" t="str">
        <f>TEXT(tblTransactions[[#This Row],[Date]],"DDDD")</f>
        <v>Saturday</v>
      </c>
      <c r="S3443">
        <f>MONTH(tblTransactions[[#This Row],[Date]])</f>
        <v>12</v>
      </c>
      <c r="T3443" t="str">
        <f>VLOOKUP(E3443, Products!$A:$B,2,0)</f>
        <v>Monitors Tec-3</v>
      </c>
      <c r="U3443" t="str">
        <f>VLOOKUP(E3443,Products!$A:$C,3,0)</f>
        <v>Technology</v>
      </c>
      <c r="V3443" t="str">
        <f>VLOOKUP(E3443,Products!$A:$D,4,0)</f>
        <v>Monitors</v>
      </c>
      <c r="W3443" t="str">
        <f>VLOOKUP(D3443,Customers!$A:$C,3,0)</f>
        <v>B2C</v>
      </c>
      <c r="X3443" t="str">
        <f>VLOOKUP(C3443,Sales_Representatives!$A:$B,2,0)</f>
        <v>Thomas Martinez</v>
      </c>
    </row>
    <row r="3444" spans="1:24" x14ac:dyDescent="0.3">
      <c r="A3444" t="s">
        <v>4612</v>
      </c>
      <c r="B3444" t="s">
        <v>4613</v>
      </c>
      <c r="C3444" t="s">
        <v>19</v>
      </c>
      <c r="D3444" t="s">
        <v>2594</v>
      </c>
      <c r="E3444" t="s">
        <v>339</v>
      </c>
      <c r="F3444">
        <v>9</v>
      </c>
      <c r="G3444">
        <v>1100.8800000000001</v>
      </c>
      <c r="H3444">
        <v>0.14000000000000001</v>
      </c>
      <c r="I3444" s="4">
        <v>8520.81</v>
      </c>
      <c r="J3444" t="s">
        <v>21</v>
      </c>
      <c r="K3444" t="s">
        <v>35</v>
      </c>
      <c r="L3444" s="4">
        <f>VLOOKUP(tblTransactions[[#This Row],[Product_ID]],tblProducts[],5,FALSE)</f>
        <v>761.53</v>
      </c>
      <c r="M3444" s="4">
        <f>tblTransactions[[#This Row],[Total_Amount]]-(tblTransactions[[#This Row],[Cost_Prices]]*tblTransactions[[#This Row],[Quantity]]*(1-tblTransactions[[#This Row],[Discount]]))</f>
        <v>2626.5677999999998</v>
      </c>
      <c r="N3444" s="3">
        <f>tblTransactions[[#This Row],[Profit]]/tblTransactions[[#This Row],[Total_Amount]]</f>
        <v>0.30825329986233702</v>
      </c>
      <c r="O3444" t="str">
        <f>TEXT(tblTransactions[[#This Row],[Date]], "MMM-YYYY")</f>
        <v>Dec-2024</v>
      </c>
      <c r="P3444" t="str">
        <f>"Q"&amp;ROUNDUP(MONTH(tblTransactions[[#This Row],[Date]])/3,0)&amp;"-"&amp;YEAR(tblTransactions[[#This Row],[Date]])</f>
        <v>Q4-2024</v>
      </c>
      <c r="Q3444">
        <f>YEAR(tblTransactions[[#This Row],[Date]])</f>
        <v>2024</v>
      </c>
      <c r="R3444" t="str">
        <f>TEXT(tblTransactions[[#This Row],[Date]],"DDDD")</f>
        <v>Sunday</v>
      </c>
      <c r="S3444">
        <f>MONTH(tblTransactions[[#This Row],[Date]])</f>
        <v>12</v>
      </c>
      <c r="T3444" t="str">
        <f>VLOOKUP(E3444, Products!$A:$B,2,0)</f>
        <v>Phones Ele-2</v>
      </c>
      <c r="U3444" t="str">
        <f>VLOOKUP(E3444,Products!$A:$C,3,0)</f>
        <v>Electronics</v>
      </c>
      <c r="V3444" t="str">
        <f>VLOOKUP(E3444,Products!$A:$D,4,0)</f>
        <v>Phones</v>
      </c>
      <c r="W3444" t="str">
        <f>VLOOKUP(D3444,Customers!$A:$C,3,0)</f>
        <v>B2B</v>
      </c>
      <c r="X3444" t="str">
        <f>VLOOKUP(C3444,Sales_Representatives!$A:$B,2,0)</f>
        <v>Robert Jones</v>
      </c>
    </row>
    <row r="3445" spans="1:24" x14ac:dyDescent="0.3">
      <c r="A3445" t="s">
        <v>4614</v>
      </c>
      <c r="B3445" t="s">
        <v>4613</v>
      </c>
      <c r="C3445" t="s">
        <v>59</v>
      </c>
      <c r="D3445" t="s">
        <v>1945</v>
      </c>
      <c r="E3445" t="s">
        <v>290</v>
      </c>
      <c r="F3445">
        <v>16</v>
      </c>
      <c r="G3445">
        <v>729.32</v>
      </c>
      <c r="H3445">
        <v>0.18</v>
      </c>
      <c r="I3445" s="4">
        <v>9568.68</v>
      </c>
      <c r="J3445" t="s">
        <v>21</v>
      </c>
      <c r="K3445" t="s">
        <v>22</v>
      </c>
      <c r="L3445" s="4">
        <f>VLOOKUP(tblTransactions[[#This Row],[Product_ID]],tblProducts[],5,FALSE)</f>
        <v>482.7</v>
      </c>
      <c r="M3445" s="4">
        <f>tblTransactions[[#This Row],[Total_Amount]]-(tblTransactions[[#This Row],[Cost_Prices]]*tblTransactions[[#This Row],[Quantity]]*(1-tblTransactions[[#This Row],[Discount]]))</f>
        <v>3235.6559999999999</v>
      </c>
      <c r="N3445" s="3">
        <f>tblTransactions[[#This Row],[Profit]]/tblTransactions[[#This Row],[Total_Amount]]</f>
        <v>0.33815071671327707</v>
      </c>
      <c r="O3445" t="str">
        <f>TEXT(tblTransactions[[#This Row],[Date]], "MMM-YYYY")</f>
        <v>Dec-2024</v>
      </c>
      <c r="P3445" t="str">
        <f>"Q"&amp;ROUNDUP(MONTH(tblTransactions[[#This Row],[Date]])/3,0)&amp;"-"&amp;YEAR(tblTransactions[[#This Row],[Date]])</f>
        <v>Q4-2024</v>
      </c>
      <c r="Q3445">
        <f>YEAR(tblTransactions[[#This Row],[Date]])</f>
        <v>2024</v>
      </c>
      <c r="R3445" t="str">
        <f>TEXT(tblTransactions[[#This Row],[Date]],"DDDD")</f>
        <v>Sunday</v>
      </c>
      <c r="S3445">
        <f>MONTH(tblTransactions[[#This Row],[Date]])</f>
        <v>12</v>
      </c>
      <c r="T3445" t="str">
        <f>VLOOKUP(E3445, Products!$A:$B,2,0)</f>
        <v>Tables Fur-1</v>
      </c>
      <c r="U3445" t="str">
        <f>VLOOKUP(E3445,Products!$A:$C,3,0)</f>
        <v>Furniture</v>
      </c>
      <c r="V3445" t="str">
        <f>VLOOKUP(E3445,Products!$A:$D,4,0)</f>
        <v>Tables</v>
      </c>
      <c r="W3445" t="str">
        <f>VLOOKUP(D3445,Customers!$A:$C,3,0)</f>
        <v>B2B</v>
      </c>
      <c r="X3445" t="str">
        <f>VLOOKUP(C3445,Sales_Representatives!$A:$B,2,0)</f>
        <v>Sarah Brown</v>
      </c>
    </row>
    <row r="3446" spans="1:24" x14ac:dyDescent="0.3">
      <c r="A3446" t="s">
        <v>4615</v>
      </c>
      <c r="B3446" t="s">
        <v>4616</v>
      </c>
      <c r="C3446" t="s">
        <v>131</v>
      </c>
      <c r="D3446" t="s">
        <v>1494</v>
      </c>
      <c r="E3446" t="s">
        <v>96</v>
      </c>
      <c r="F3446">
        <v>1</v>
      </c>
      <c r="G3446">
        <v>751.9</v>
      </c>
      <c r="H3446">
        <v>0.04</v>
      </c>
      <c r="I3446" s="4">
        <v>721.82</v>
      </c>
      <c r="J3446" t="s">
        <v>44</v>
      </c>
      <c r="K3446" t="s">
        <v>39</v>
      </c>
      <c r="L3446" s="4">
        <f>VLOOKUP(tblTransactions[[#This Row],[Product_ID]],tblProducts[],5,FALSE)</f>
        <v>570.29</v>
      </c>
      <c r="M3446" s="4">
        <f>tblTransactions[[#This Row],[Total_Amount]]-(tblTransactions[[#This Row],[Cost_Prices]]*tblTransactions[[#This Row],[Quantity]]*(1-tblTransactions[[#This Row],[Discount]]))</f>
        <v>174.34160000000008</v>
      </c>
      <c r="N3446" s="3">
        <f>tblTransactions[[#This Row],[Profit]]/tblTransactions[[#This Row],[Total_Amount]]</f>
        <v>0.24153057548973439</v>
      </c>
      <c r="O3446" t="str">
        <f>TEXT(tblTransactions[[#This Row],[Date]], "MMM-YYYY")</f>
        <v>Dec-2024</v>
      </c>
      <c r="P3446" t="str">
        <f>"Q"&amp;ROUNDUP(MONTH(tblTransactions[[#This Row],[Date]])/3,0)&amp;"-"&amp;YEAR(tblTransactions[[#This Row],[Date]])</f>
        <v>Q4-2024</v>
      </c>
      <c r="Q3446">
        <f>YEAR(tblTransactions[[#This Row],[Date]])</f>
        <v>2024</v>
      </c>
      <c r="R3446" t="str">
        <f>TEXT(tblTransactions[[#This Row],[Date]],"DDDD")</f>
        <v>Monday</v>
      </c>
      <c r="S3446">
        <f>MONTH(tblTransactions[[#This Row],[Date]])</f>
        <v>12</v>
      </c>
      <c r="T3446" t="str">
        <f>VLOOKUP(E3446, Products!$A:$B,2,0)</f>
        <v>Routers Tec-1</v>
      </c>
      <c r="U3446" t="str">
        <f>VLOOKUP(E3446,Products!$A:$C,3,0)</f>
        <v>Technology</v>
      </c>
      <c r="V3446" t="str">
        <f>VLOOKUP(E3446,Products!$A:$D,4,0)</f>
        <v>Routers</v>
      </c>
      <c r="W3446" t="str">
        <f>VLOOKUP(D3446,Customers!$A:$C,3,0)</f>
        <v>Small Business</v>
      </c>
      <c r="X3446" t="str">
        <f>VLOOKUP(C3446,Sales_Representatives!$A:$B,2,0)</f>
        <v>Michael Davis</v>
      </c>
    </row>
    <row r="3447" spans="1:24" x14ac:dyDescent="0.3">
      <c r="A3447" t="s">
        <v>4617</v>
      </c>
      <c r="B3447" t="s">
        <v>4616</v>
      </c>
      <c r="C3447" t="s">
        <v>19</v>
      </c>
      <c r="D3447" t="s">
        <v>1623</v>
      </c>
      <c r="E3447" t="s">
        <v>304</v>
      </c>
      <c r="F3447">
        <v>4</v>
      </c>
      <c r="G3447">
        <v>13.43</v>
      </c>
      <c r="H3447">
        <v>0.01</v>
      </c>
      <c r="I3447" s="4">
        <v>53.18</v>
      </c>
      <c r="J3447" t="s">
        <v>21</v>
      </c>
      <c r="K3447" t="s">
        <v>22</v>
      </c>
      <c r="L3447" s="4">
        <f>VLOOKUP(tblTransactions[[#This Row],[Product_ID]],tblProducts[],5,FALSE)</f>
        <v>5.8</v>
      </c>
      <c r="M3447" s="4">
        <f>tblTransactions[[#This Row],[Total_Amount]]-(tblTransactions[[#This Row],[Cost_Prices]]*tblTransactions[[#This Row],[Quantity]]*(1-tblTransactions[[#This Row],[Discount]]))</f>
        <v>30.212</v>
      </c>
      <c r="N3447" s="3">
        <f>tblTransactions[[#This Row],[Profit]]/tblTransactions[[#This Row],[Total_Amount]]</f>
        <v>0.56810831139526141</v>
      </c>
      <c r="O3447" t="str">
        <f>TEXT(tblTransactions[[#This Row],[Date]], "MMM-YYYY")</f>
        <v>Dec-2024</v>
      </c>
      <c r="P3447" t="str">
        <f>"Q"&amp;ROUNDUP(MONTH(tblTransactions[[#This Row],[Date]])/3,0)&amp;"-"&amp;YEAR(tblTransactions[[#This Row],[Date]])</f>
        <v>Q4-2024</v>
      </c>
      <c r="Q3447">
        <f>YEAR(tblTransactions[[#This Row],[Date]])</f>
        <v>2024</v>
      </c>
      <c r="R3447" t="str">
        <f>TEXT(tblTransactions[[#This Row],[Date]],"DDDD")</f>
        <v>Monday</v>
      </c>
      <c r="S3447">
        <f>MONTH(tblTransactions[[#This Row],[Date]])</f>
        <v>12</v>
      </c>
      <c r="T3447" t="str">
        <f>VLOOKUP(E3447, Products!$A:$B,2,0)</f>
        <v>Pens Off-1</v>
      </c>
      <c r="U3447" t="str">
        <f>VLOOKUP(E3447,Products!$A:$C,3,0)</f>
        <v>Office Supplies</v>
      </c>
      <c r="V3447" t="str">
        <f>VLOOKUP(E3447,Products!$A:$D,4,0)</f>
        <v>Pens</v>
      </c>
      <c r="W3447" t="str">
        <f>VLOOKUP(D3447,Customers!$A:$C,3,0)</f>
        <v>B2C</v>
      </c>
      <c r="X3447" t="str">
        <f>VLOOKUP(C3447,Sales_Representatives!$A:$B,2,0)</f>
        <v>Robert Jones</v>
      </c>
    </row>
    <row r="3448" spans="1:24" x14ac:dyDescent="0.3">
      <c r="A3448" t="s">
        <v>4618</v>
      </c>
      <c r="B3448" t="s">
        <v>4616</v>
      </c>
      <c r="C3448" t="s">
        <v>59</v>
      </c>
      <c r="D3448" t="s">
        <v>1543</v>
      </c>
      <c r="E3448" t="s">
        <v>198</v>
      </c>
      <c r="F3448">
        <v>6</v>
      </c>
      <c r="G3448">
        <v>1802.96</v>
      </c>
      <c r="H3448">
        <v>0.11</v>
      </c>
      <c r="I3448" s="4">
        <v>9627.81</v>
      </c>
      <c r="J3448" t="s">
        <v>21</v>
      </c>
      <c r="K3448" t="s">
        <v>17</v>
      </c>
      <c r="L3448" s="4">
        <f>VLOOKUP(tblTransactions[[#This Row],[Product_ID]],tblProducts[],5,FALSE)</f>
        <v>1282.18</v>
      </c>
      <c r="M3448" s="4">
        <f>tblTransactions[[#This Row],[Total_Amount]]-(tblTransactions[[#This Row],[Cost_Prices]]*tblTransactions[[#This Row],[Quantity]]*(1-tblTransactions[[#This Row],[Discount]]))</f>
        <v>2780.9687999999996</v>
      </c>
      <c r="N3448" s="3">
        <f>tblTransactions[[#This Row],[Profit]]/tblTransactions[[#This Row],[Total_Amount]]</f>
        <v>0.28884749491317335</v>
      </c>
      <c r="O3448" t="str">
        <f>TEXT(tblTransactions[[#This Row],[Date]], "MMM-YYYY")</f>
        <v>Dec-2024</v>
      </c>
      <c r="P3448" t="str">
        <f>"Q"&amp;ROUNDUP(MONTH(tblTransactions[[#This Row],[Date]])/3,0)&amp;"-"&amp;YEAR(tblTransactions[[#This Row],[Date]])</f>
        <v>Q4-2024</v>
      </c>
      <c r="Q3448">
        <f>YEAR(tblTransactions[[#This Row],[Date]])</f>
        <v>2024</v>
      </c>
      <c r="R3448" t="str">
        <f>TEXT(tblTransactions[[#This Row],[Date]],"DDDD")</f>
        <v>Monday</v>
      </c>
      <c r="S3448">
        <f>MONTH(tblTransactions[[#This Row],[Date]])</f>
        <v>12</v>
      </c>
      <c r="T3448" t="str">
        <f>VLOOKUP(E3448, Products!$A:$B,2,0)</f>
        <v>Tablets Ele-3</v>
      </c>
      <c r="U3448" t="str">
        <f>VLOOKUP(E3448,Products!$A:$C,3,0)</f>
        <v>Electronics</v>
      </c>
      <c r="V3448" t="str">
        <f>VLOOKUP(E3448,Products!$A:$D,4,0)</f>
        <v>Tablets</v>
      </c>
      <c r="W3448" t="str">
        <f>VLOOKUP(D3448,Customers!$A:$C,3,0)</f>
        <v>B2C</v>
      </c>
      <c r="X3448" t="str">
        <f>VLOOKUP(C3448,Sales_Representatives!$A:$B,2,0)</f>
        <v>Sarah Brown</v>
      </c>
    </row>
    <row r="3449" spans="1:24" x14ac:dyDescent="0.3">
      <c r="A3449" t="s">
        <v>4619</v>
      </c>
      <c r="B3449" t="s">
        <v>4616</v>
      </c>
      <c r="C3449" t="s">
        <v>56</v>
      </c>
      <c r="D3449" t="s">
        <v>1582</v>
      </c>
      <c r="E3449" t="s">
        <v>172</v>
      </c>
      <c r="F3449">
        <v>2</v>
      </c>
      <c r="G3449">
        <v>1371.15</v>
      </c>
      <c r="H3449">
        <v>0.06</v>
      </c>
      <c r="I3449" s="4">
        <v>2577.7600000000002</v>
      </c>
      <c r="J3449" t="s">
        <v>34</v>
      </c>
      <c r="K3449" t="s">
        <v>39</v>
      </c>
      <c r="L3449" s="4">
        <f>VLOOKUP(tblTransactions[[#This Row],[Product_ID]],tblProducts[],5,FALSE)</f>
        <v>989.81</v>
      </c>
      <c r="M3449" s="4">
        <f>tblTransactions[[#This Row],[Total_Amount]]-(tblTransactions[[#This Row],[Cost_Prices]]*tblTransactions[[#This Row],[Quantity]]*(1-tblTransactions[[#This Row],[Discount]]))</f>
        <v>716.91720000000032</v>
      </c>
      <c r="N3449" s="3">
        <f>tblTransactions[[#This Row],[Profit]]/tblTransactions[[#This Row],[Total_Amount]]</f>
        <v>0.2781163490782696</v>
      </c>
      <c r="O3449" t="str">
        <f>TEXT(tblTransactions[[#This Row],[Date]], "MMM-YYYY")</f>
        <v>Dec-2024</v>
      </c>
      <c r="P3449" t="str">
        <f>"Q"&amp;ROUNDUP(MONTH(tblTransactions[[#This Row],[Date]])/3,0)&amp;"-"&amp;YEAR(tblTransactions[[#This Row],[Date]])</f>
        <v>Q4-2024</v>
      </c>
      <c r="Q3449">
        <f>YEAR(tblTransactions[[#This Row],[Date]])</f>
        <v>2024</v>
      </c>
      <c r="R3449" t="str">
        <f>TEXT(tblTransactions[[#This Row],[Date]],"DDDD")</f>
        <v>Monday</v>
      </c>
      <c r="S3449">
        <f>MONTH(tblTransactions[[#This Row],[Date]])</f>
        <v>12</v>
      </c>
      <c r="T3449" t="str">
        <f>VLOOKUP(E3449, Products!$A:$B,2,0)</f>
        <v>Cameras Ele-4</v>
      </c>
      <c r="U3449" t="str">
        <f>VLOOKUP(E3449,Products!$A:$C,3,0)</f>
        <v>Electronics</v>
      </c>
      <c r="V3449" t="str">
        <f>VLOOKUP(E3449,Products!$A:$D,4,0)</f>
        <v>Cameras</v>
      </c>
      <c r="W3449" t="str">
        <f>VLOOKUP(D3449,Customers!$A:$C,3,0)</f>
        <v>Small Business</v>
      </c>
      <c r="X3449" t="str">
        <f>VLOOKUP(C3449,Sales_Representatives!$A:$B,2,0)</f>
        <v>Thomas Hernandez</v>
      </c>
    </row>
    <row r="3450" spans="1:24" x14ac:dyDescent="0.3">
      <c r="A3450" t="s">
        <v>4620</v>
      </c>
      <c r="B3450" t="s">
        <v>4621</v>
      </c>
      <c r="C3450" t="s">
        <v>31</v>
      </c>
      <c r="D3450" t="s">
        <v>1507</v>
      </c>
      <c r="E3450" t="s">
        <v>129</v>
      </c>
      <c r="F3450">
        <v>35</v>
      </c>
      <c r="G3450">
        <v>1283.71</v>
      </c>
      <c r="H3450">
        <v>0.18</v>
      </c>
      <c r="I3450" s="4">
        <v>36842.480000000003</v>
      </c>
      <c r="J3450" t="s">
        <v>34</v>
      </c>
      <c r="K3450" t="s">
        <v>35</v>
      </c>
      <c r="L3450" s="4">
        <f>VLOOKUP(tblTransactions[[#This Row],[Product_ID]],tblProducts[],5,FALSE)</f>
        <v>970.14</v>
      </c>
      <c r="M3450" s="4">
        <f>tblTransactions[[#This Row],[Total_Amount]]-(tblTransactions[[#This Row],[Cost_Prices]]*tblTransactions[[#This Row],[Quantity]]*(1-tblTransactions[[#This Row],[Discount]]))</f>
        <v>8999.4619999999995</v>
      </c>
      <c r="N3450" s="3">
        <f>tblTransactions[[#This Row],[Profit]]/tblTransactions[[#This Row],[Total_Amount]]</f>
        <v>0.24426862686768097</v>
      </c>
      <c r="O3450" t="str">
        <f>TEXT(tblTransactions[[#This Row],[Date]], "MMM-YYYY")</f>
        <v>Dec-2024</v>
      </c>
      <c r="P3450" t="str">
        <f>"Q"&amp;ROUNDUP(MONTH(tblTransactions[[#This Row],[Date]])/3,0)&amp;"-"&amp;YEAR(tblTransactions[[#This Row],[Date]])</f>
        <v>Q4-2024</v>
      </c>
      <c r="Q3450">
        <f>YEAR(tblTransactions[[#This Row],[Date]])</f>
        <v>2024</v>
      </c>
      <c r="R3450" t="str">
        <f>TEXT(tblTransactions[[#This Row],[Date]],"DDDD")</f>
        <v>Tuesday</v>
      </c>
      <c r="S3450">
        <f>MONTH(tblTransactions[[#This Row],[Date]])</f>
        <v>12</v>
      </c>
      <c r="T3450" t="str">
        <f>VLOOKUP(E3450, Products!$A:$B,2,0)</f>
        <v>Cameras Ele-3</v>
      </c>
      <c r="U3450" t="str">
        <f>VLOOKUP(E3450,Products!$A:$C,3,0)</f>
        <v>Electronics</v>
      </c>
      <c r="V3450" t="str">
        <f>VLOOKUP(E3450,Products!$A:$D,4,0)</f>
        <v>Cameras</v>
      </c>
      <c r="W3450" t="str">
        <f>VLOOKUP(D3450,Customers!$A:$C,3,0)</f>
        <v>Enterprise</v>
      </c>
      <c r="X3450" t="str">
        <f>VLOOKUP(C3450,Sales_Representatives!$A:$B,2,0)</f>
        <v>Thomas Martinez</v>
      </c>
    </row>
    <row r="3451" spans="1:24" x14ac:dyDescent="0.3">
      <c r="A3451" t="s">
        <v>4622</v>
      </c>
      <c r="B3451" t="s">
        <v>4621</v>
      </c>
      <c r="C3451" t="s">
        <v>141</v>
      </c>
      <c r="D3451" t="s">
        <v>2121</v>
      </c>
      <c r="E3451" t="s">
        <v>89</v>
      </c>
      <c r="F3451">
        <v>6</v>
      </c>
      <c r="G3451">
        <v>555.08000000000004</v>
      </c>
      <c r="H3451">
        <v>0.09</v>
      </c>
      <c r="I3451" s="4">
        <v>3030.74</v>
      </c>
      <c r="J3451" t="s">
        <v>109</v>
      </c>
      <c r="K3451" t="s">
        <v>22</v>
      </c>
      <c r="L3451" s="4">
        <f>VLOOKUP(tblTransactions[[#This Row],[Product_ID]],tblProducts[],5,FALSE)</f>
        <v>402.82</v>
      </c>
      <c r="M3451" s="4">
        <f>tblTransactions[[#This Row],[Total_Amount]]-(tblTransactions[[#This Row],[Cost_Prices]]*tblTransactions[[#This Row],[Quantity]]*(1-tblTransactions[[#This Row],[Discount]]))</f>
        <v>831.34279999999944</v>
      </c>
      <c r="N3451" s="3">
        <f>tblTransactions[[#This Row],[Profit]]/tblTransactions[[#This Row],[Total_Amount]]</f>
        <v>0.27430356942528872</v>
      </c>
      <c r="O3451" t="str">
        <f>TEXT(tblTransactions[[#This Row],[Date]], "MMM-YYYY")</f>
        <v>Dec-2024</v>
      </c>
      <c r="P3451" t="str">
        <f>"Q"&amp;ROUNDUP(MONTH(tblTransactions[[#This Row],[Date]])/3,0)&amp;"-"&amp;YEAR(tblTransactions[[#This Row],[Date]])</f>
        <v>Q4-2024</v>
      </c>
      <c r="Q3451">
        <f>YEAR(tblTransactions[[#This Row],[Date]])</f>
        <v>2024</v>
      </c>
      <c r="R3451" t="str">
        <f>TEXT(tblTransactions[[#This Row],[Date]],"DDDD")</f>
        <v>Tuesday</v>
      </c>
      <c r="S3451">
        <f>MONTH(tblTransactions[[#This Row],[Date]])</f>
        <v>12</v>
      </c>
      <c r="T3451" t="str">
        <f>VLOOKUP(E3451, Products!$A:$B,2,0)</f>
        <v>Laptops Ele-3</v>
      </c>
      <c r="U3451" t="str">
        <f>VLOOKUP(E3451,Products!$A:$C,3,0)</f>
        <v>Electronics</v>
      </c>
      <c r="V3451" t="str">
        <f>VLOOKUP(E3451,Products!$A:$D,4,0)</f>
        <v>Laptops</v>
      </c>
      <c r="W3451" t="str">
        <f>VLOOKUP(D3451,Customers!$A:$C,3,0)</f>
        <v>B2C</v>
      </c>
      <c r="X3451" t="str">
        <f>VLOOKUP(C3451,Sales_Representatives!$A:$B,2,0)</f>
        <v>Richard Garcia</v>
      </c>
    </row>
    <row r="3452" spans="1:24" x14ac:dyDescent="0.3">
      <c r="A3452" t="s">
        <v>4623</v>
      </c>
      <c r="B3452" t="s">
        <v>4624</v>
      </c>
      <c r="C3452" t="s">
        <v>59</v>
      </c>
      <c r="D3452" t="s">
        <v>1569</v>
      </c>
      <c r="E3452" t="s">
        <v>38</v>
      </c>
      <c r="F3452">
        <v>1</v>
      </c>
      <c r="G3452">
        <v>581.47</v>
      </c>
      <c r="H3452">
        <v>0.01</v>
      </c>
      <c r="I3452" s="4">
        <v>575.66</v>
      </c>
      <c r="J3452" t="s">
        <v>21</v>
      </c>
      <c r="K3452" t="s">
        <v>17</v>
      </c>
      <c r="L3452" s="4">
        <f>VLOOKUP(tblTransactions[[#This Row],[Product_ID]],tblProducts[],5,FALSE)</f>
        <v>372.07</v>
      </c>
      <c r="M3452" s="4">
        <f>tblTransactions[[#This Row],[Total_Amount]]-(tblTransactions[[#This Row],[Cost_Prices]]*tblTransactions[[#This Row],[Quantity]]*(1-tblTransactions[[#This Row],[Discount]]))</f>
        <v>207.3107</v>
      </c>
      <c r="N3452" s="3">
        <f>tblTransactions[[#This Row],[Profit]]/tblTransactions[[#This Row],[Total_Amount]]</f>
        <v>0.36012698467845605</v>
      </c>
      <c r="O3452" t="str">
        <f>TEXT(tblTransactions[[#This Row],[Date]], "MMM-YYYY")</f>
        <v>Dec-2024</v>
      </c>
      <c r="P3452" t="str">
        <f>"Q"&amp;ROUNDUP(MONTH(tblTransactions[[#This Row],[Date]])/3,0)&amp;"-"&amp;YEAR(tblTransactions[[#This Row],[Date]])</f>
        <v>Q4-2024</v>
      </c>
      <c r="Q3452">
        <f>YEAR(tblTransactions[[#This Row],[Date]])</f>
        <v>2024</v>
      </c>
      <c r="R3452" t="str">
        <f>TEXT(tblTransactions[[#This Row],[Date]],"DDDD")</f>
        <v>Wednesday</v>
      </c>
      <c r="S3452">
        <f>MONTH(tblTransactions[[#This Row],[Date]])</f>
        <v>12</v>
      </c>
      <c r="T3452" t="str">
        <f>VLOOKUP(E3452, Products!$A:$B,2,0)</f>
        <v>Storage Fur-3</v>
      </c>
      <c r="U3452" t="str">
        <f>VLOOKUP(E3452,Products!$A:$C,3,0)</f>
        <v>Furniture</v>
      </c>
      <c r="V3452" t="str">
        <f>VLOOKUP(E3452,Products!$A:$D,4,0)</f>
        <v>Storage</v>
      </c>
      <c r="W3452" t="str">
        <f>VLOOKUP(D3452,Customers!$A:$C,3,0)</f>
        <v>Small Business</v>
      </c>
      <c r="X3452" t="str">
        <f>VLOOKUP(C3452,Sales_Representatives!$A:$B,2,0)</f>
        <v>Sarah Brown</v>
      </c>
    </row>
    <row r="3453" spans="1:24" x14ac:dyDescent="0.3">
      <c r="A3453" t="s">
        <v>4625</v>
      </c>
      <c r="B3453" t="s">
        <v>4624</v>
      </c>
      <c r="C3453" t="s">
        <v>13</v>
      </c>
      <c r="D3453" t="s">
        <v>2407</v>
      </c>
      <c r="E3453" t="s">
        <v>108</v>
      </c>
      <c r="F3453">
        <v>1</v>
      </c>
      <c r="G3453">
        <v>155.75</v>
      </c>
      <c r="H3453">
        <v>0.08</v>
      </c>
      <c r="I3453" s="4">
        <v>143.29</v>
      </c>
      <c r="J3453" t="s">
        <v>16</v>
      </c>
      <c r="K3453" t="s">
        <v>22</v>
      </c>
      <c r="L3453" s="4">
        <f>VLOOKUP(tblTransactions[[#This Row],[Product_ID]],tblProducts[],5,FALSE)</f>
        <v>80.8</v>
      </c>
      <c r="M3453" s="4">
        <f>tblTransactions[[#This Row],[Total_Amount]]-(tblTransactions[[#This Row],[Cost_Prices]]*tblTransactions[[#This Row],[Quantity]]*(1-tblTransactions[[#This Row],[Discount]]))</f>
        <v>68.953999999999994</v>
      </c>
      <c r="N3453" s="3">
        <f>tblTransactions[[#This Row],[Profit]]/tblTransactions[[#This Row],[Total_Amount]]</f>
        <v>0.48121990369181378</v>
      </c>
      <c r="O3453" t="str">
        <f>TEXT(tblTransactions[[#This Row],[Date]], "MMM-YYYY")</f>
        <v>Dec-2024</v>
      </c>
      <c r="P3453" t="str">
        <f>"Q"&amp;ROUNDUP(MONTH(tblTransactions[[#This Row],[Date]])/3,0)&amp;"-"&amp;YEAR(tblTransactions[[#This Row],[Date]])</f>
        <v>Q4-2024</v>
      </c>
      <c r="Q3453">
        <f>YEAR(tblTransactions[[#This Row],[Date]])</f>
        <v>2024</v>
      </c>
      <c r="R3453" t="str">
        <f>TEXT(tblTransactions[[#This Row],[Date]],"DDDD")</f>
        <v>Wednesday</v>
      </c>
      <c r="S3453">
        <f>MONTH(tblTransactions[[#This Row],[Date]])</f>
        <v>12</v>
      </c>
      <c r="T3453" t="str">
        <f>VLOOKUP(E3453, Products!$A:$B,2,0)</f>
        <v>Cases Acc-1</v>
      </c>
      <c r="U3453" t="str">
        <f>VLOOKUP(E3453,Products!$A:$C,3,0)</f>
        <v>Accessories</v>
      </c>
      <c r="V3453" t="str">
        <f>VLOOKUP(E3453,Products!$A:$D,4,0)</f>
        <v>Cases</v>
      </c>
      <c r="W3453" t="str">
        <f>VLOOKUP(D3453,Customers!$A:$C,3,0)</f>
        <v>B2C</v>
      </c>
      <c r="X3453" t="str">
        <f>VLOOKUP(C3453,Sales_Representatives!$A:$B,2,0)</f>
        <v>Jennifer Rodriguez</v>
      </c>
    </row>
    <row r="3454" spans="1:24" x14ac:dyDescent="0.3">
      <c r="A3454" t="s">
        <v>4626</v>
      </c>
      <c r="B3454" t="s">
        <v>4624</v>
      </c>
      <c r="C3454" t="s">
        <v>41</v>
      </c>
      <c r="D3454" t="s">
        <v>3852</v>
      </c>
      <c r="E3454" t="s">
        <v>176</v>
      </c>
      <c r="F3454">
        <v>6</v>
      </c>
      <c r="G3454">
        <v>1462.68</v>
      </c>
      <c r="H3454">
        <v>0.14000000000000001</v>
      </c>
      <c r="I3454" s="4">
        <v>7547.43</v>
      </c>
      <c r="J3454" t="s">
        <v>44</v>
      </c>
      <c r="K3454" t="s">
        <v>48</v>
      </c>
      <c r="L3454" s="4">
        <f>VLOOKUP(tblTransactions[[#This Row],[Product_ID]],tblProducts[],5,FALSE)</f>
        <v>775.94</v>
      </c>
      <c r="M3454" s="4">
        <f>tblTransactions[[#This Row],[Total_Amount]]-(tblTransactions[[#This Row],[Cost_Prices]]*tblTransactions[[#This Row],[Quantity]]*(1-tblTransactions[[#This Row],[Discount]]))</f>
        <v>3543.5796</v>
      </c>
      <c r="N3454" s="3">
        <f>tblTransactions[[#This Row],[Profit]]/tblTransactions[[#This Row],[Total_Amount]]</f>
        <v>0.46950811070788334</v>
      </c>
      <c r="O3454" t="str">
        <f>TEXT(tblTransactions[[#This Row],[Date]], "MMM-YYYY")</f>
        <v>Dec-2024</v>
      </c>
      <c r="P3454" t="str">
        <f>"Q"&amp;ROUNDUP(MONTH(tblTransactions[[#This Row],[Date]])/3,0)&amp;"-"&amp;YEAR(tblTransactions[[#This Row],[Date]])</f>
        <v>Q4-2024</v>
      </c>
      <c r="Q3454">
        <f>YEAR(tblTransactions[[#This Row],[Date]])</f>
        <v>2024</v>
      </c>
      <c r="R3454" t="str">
        <f>TEXT(tblTransactions[[#This Row],[Date]],"DDDD")</f>
        <v>Wednesday</v>
      </c>
      <c r="S3454">
        <f>MONTH(tblTransactions[[#This Row],[Date]])</f>
        <v>12</v>
      </c>
      <c r="T3454" t="str">
        <f>VLOOKUP(E3454, Products!$A:$B,2,0)</f>
        <v>Chairs Fur-2</v>
      </c>
      <c r="U3454" t="str">
        <f>VLOOKUP(E3454,Products!$A:$C,3,0)</f>
        <v>Furniture</v>
      </c>
      <c r="V3454" t="str">
        <f>VLOOKUP(E3454,Products!$A:$D,4,0)</f>
        <v>Chairs</v>
      </c>
      <c r="W3454" t="str">
        <f>VLOOKUP(D3454,Customers!$A:$C,3,0)</f>
        <v>B2C</v>
      </c>
      <c r="X3454" t="str">
        <f>VLOOKUP(C3454,Sales_Representatives!$A:$B,2,0)</f>
        <v>Robert Jones</v>
      </c>
    </row>
    <row r="3455" spans="1:24" x14ac:dyDescent="0.3">
      <c r="A3455" t="s">
        <v>4627</v>
      </c>
      <c r="B3455" t="s">
        <v>4624</v>
      </c>
      <c r="C3455" t="s">
        <v>19</v>
      </c>
      <c r="D3455" t="s">
        <v>1910</v>
      </c>
      <c r="E3455" t="s">
        <v>435</v>
      </c>
      <c r="F3455">
        <v>6</v>
      </c>
      <c r="G3455">
        <v>198.72</v>
      </c>
      <c r="H3455">
        <v>0.1</v>
      </c>
      <c r="I3455" s="4">
        <v>1073.0899999999999</v>
      </c>
      <c r="J3455" t="s">
        <v>21</v>
      </c>
      <c r="K3455" t="s">
        <v>39</v>
      </c>
      <c r="L3455" s="4">
        <f>VLOOKUP(tblTransactions[[#This Row],[Product_ID]],tblProducts[],5,FALSE)</f>
        <v>116.98</v>
      </c>
      <c r="M3455" s="4">
        <f>tblTransactions[[#This Row],[Total_Amount]]-(tblTransactions[[#This Row],[Cost_Prices]]*tblTransactions[[#This Row],[Quantity]]*(1-tblTransactions[[#This Row],[Discount]]))</f>
        <v>441.39799999999991</v>
      </c>
      <c r="N3455" s="3">
        <f>tblTransactions[[#This Row],[Profit]]/tblTransactions[[#This Row],[Total_Amount]]</f>
        <v>0.41133362532499601</v>
      </c>
      <c r="O3455" t="str">
        <f>TEXT(tblTransactions[[#This Row],[Date]], "MMM-YYYY")</f>
        <v>Dec-2024</v>
      </c>
      <c r="P3455" t="str">
        <f>"Q"&amp;ROUNDUP(MONTH(tblTransactions[[#This Row],[Date]])/3,0)&amp;"-"&amp;YEAR(tblTransactions[[#This Row],[Date]])</f>
        <v>Q4-2024</v>
      </c>
      <c r="Q3455">
        <f>YEAR(tblTransactions[[#This Row],[Date]])</f>
        <v>2024</v>
      </c>
      <c r="R3455" t="str">
        <f>TEXT(tblTransactions[[#This Row],[Date]],"DDDD")</f>
        <v>Wednesday</v>
      </c>
      <c r="S3455">
        <f>MONTH(tblTransactions[[#This Row],[Date]])</f>
        <v>12</v>
      </c>
      <c r="T3455" t="str">
        <f>VLOOKUP(E3455, Products!$A:$B,2,0)</f>
        <v>Paper Off-4</v>
      </c>
      <c r="U3455" t="str">
        <f>VLOOKUP(E3455,Products!$A:$C,3,0)</f>
        <v>Office Supplies</v>
      </c>
      <c r="V3455" t="str">
        <f>VLOOKUP(E3455,Products!$A:$D,4,0)</f>
        <v>Paper</v>
      </c>
      <c r="W3455" t="str">
        <f>VLOOKUP(D3455,Customers!$A:$C,3,0)</f>
        <v>B2C</v>
      </c>
      <c r="X3455" t="str">
        <f>VLOOKUP(C3455,Sales_Representatives!$A:$B,2,0)</f>
        <v>Robert Jones</v>
      </c>
    </row>
    <row r="3456" spans="1:24" x14ac:dyDescent="0.3">
      <c r="A3456" t="s">
        <v>4628</v>
      </c>
      <c r="B3456" t="s">
        <v>4624</v>
      </c>
      <c r="C3456" t="s">
        <v>70</v>
      </c>
      <c r="D3456" t="s">
        <v>3165</v>
      </c>
      <c r="E3456" t="s">
        <v>704</v>
      </c>
      <c r="F3456">
        <v>3</v>
      </c>
      <c r="G3456">
        <v>291.81</v>
      </c>
      <c r="H3456">
        <v>0.1</v>
      </c>
      <c r="I3456" s="4">
        <v>787.89</v>
      </c>
      <c r="J3456" t="s">
        <v>16</v>
      </c>
      <c r="K3456" t="s">
        <v>35</v>
      </c>
      <c r="L3456" s="4">
        <f>VLOOKUP(tblTransactions[[#This Row],[Product_ID]],tblProducts[],5,FALSE)</f>
        <v>123.61</v>
      </c>
      <c r="M3456" s="4">
        <f>tblTransactions[[#This Row],[Total_Amount]]-(tblTransactions[[#This Row],[Cost_Prices]]*tblTransactions[[#This Row],[Quantity]]*(1-tblTransactions[[#This Row],[Discount]]))</f>
        <v>454.14299999999997</v>
      </c>
      <c r="N3456" s="3">
        <f>tblTransactions[[#This Row],[Profit]]/tblTransactions[[#This Row],[Total_Amount]]</f>
        <v>0.57640406655751431</v>
      </c>
      <c r="O3456" t="str">
        <f>TEXT(tblTransactions[[#This Row],[Date]], "MMM-YYYY")</f>
        <v>Dec-2024</v>
      </c>
      <c r="P3456" t="str">
        <f>"Q"&amp;ROUNDUP(MONTH(tblTransactions[[#This Row],[Date]])/3,0)&amp;"-"&amp;YEAR(tblTransactions[[#This Row],[Date]])</f>
        <v>Q4-2024</v>
      </c>
      <c r="Q3456">
        <f>YEAR(tblTransactions[[#This Row],[Date]])</f>
        <v>2024</v>
      </c>
      <c r="R3456" t="str">
        <f>TEXT(tblTransactions[[#This Row],[Date]],"DDDD")</f>
        <v>Wednesday</v>
      </c>
      <c r="S3456">
        <f>MONTH(tblTransactions[[#This Row],[Date]])</f>
        <v>12</v>
      </c>
      <c r="T3456" t="str">
        <f>VLOOKUP(E3456, Products!$A:$B,2,0)</f>
        <v>Keyboards Acc-4</v>
      </c>
      <c r="U3456" t="str">
        <f>VLOOKUP(E3456,Products!$A:$C,3,0)</f>
        <v>Accessories</v>
      </c>
      <c r="V3456" t="str">
        <f>VLOOKUP(E3456,Products!$A:$D,4,0)</f>
        <v>Keyboards</v>
      </c>
      <c r="W3456" t="str">
        <f>VLOOKUP(D3456,Customers!$A:$C,3,0)</f>
        <v>B2C</v>
      </c>
      <c r="X3456" t="str">
        <f>VLOOKUP(C3456,Sales_Representatives!$A:$B,2,0)</f>
        <v>Linda Smith</v>
      </c>
    </row>
    <row r="3457" spans="1:24" x14ac:dyDescent="0.3">
      <c r="A3457" t="s">
        <v>4629</v>
      </c>
      <c r="B3457" t="s">
        <v>4624</v>
      </c>
      <c r="C3457" t="s">
        <v>82</v>
      </c>
      <c r="D3457" t="s">
        <v>1496</v>
      </c>
      <c r="E3457" t="s">
        <v>84</v>
      </c>
      <c r="F3457">
        <v>42</v>
      </c>
      <c r="G3457">
        <v>1841.77</v>
      </c>
      <c r="H3457">
        <v>0.25</v>
      </c>
      <c r="I3457" s="4">
        <v>58015.76</v>
      </c>
      <c r="J3457" t="s">
        <v>34</v>
      </c>
      <c r="K3457" t="s">
        <v>22</v>
      </c>
      <c r="L3457" s="4">
        <f>VLOOKUP(tblTransactions[[#This Row],[Product_ID]],tblProducts[],5,FALSE)</f>
        <v>1151.5899999999999</v>
      </c>
      <c r="M3457" s="4">
        <f>tblTransactions[[#This Row],[Total_Amount]]-(tblTransactions[[#This Row],[Cost_Prices]]*tblTransactions[[#This Row],[Quantity]]*(1-tblTransactions[[#This Row],[Discount]]))</f>
        <v>21740.675000000003</v>
      </c>
      <c r="N3457" s="3">
        <f>tblTransactions[[#This Row],[Profit]]/tblTransactions[[#This Row],[Total_Amount]]</f>
        <v>0.37473739894125324</v>
      </c>
      <c r="O3457" t="str">
        <f>TEXT(tblTransactions[[#This Row],[Date]], "MMM-YYYY")</f>
        <v>Dec-2024</v>
      </c>
      <c r="P3457" t="str">
        <f>"Q"&amp;ROUNDUP(MONTH(tblTransactions[[#This Row],[Date]])/3,0)&amp;"-"&amp;YEAR(tblTransactions[[#This Row],[Date]])</f>
        <v>Q4-2024</v>
      </c>
      <c r="Q3457">
        <f>YEAR(tblTransactions[[#This Row],[Date]])</f>
        <v>2024</v>
      </c>
      <c r="R3457" t="str">
        <f>TEXT(tblTransactions[[#This Row],[Date]],"DDDD")</f>
        <v>Wednesday</v>
      </c>
      <c r="S3457">
        <f>MONTH(tblTransactions[[#This Row],[Date]])</f>
        <v>12</v>
      </c>
      <c r="T3457" t="str">
        <f>VLOOKUP(E3457, Products!$A:$B,2,0)</f>
        <v>Laptops Ele-2</v>
      </c>
      <c r="U3457" t="str">
        <f>VLOOKUP(E3457,Products!$A:$C,3,0)</f>
        <v>Electronics</v>
      </c>
      <c r="V3457" t="str">
        <f>VLOOKUP(E3457,Products!$A:$D,4,0)</f>
        <v>Laptops</v>
      </c>
      <c r="W3457" t="str">
        <f>VLOOKUP(D3457,Customers!$A:$C,3,0)</f>
        <v>Enterprise</v>
      </c>
      <c r="X3457" t="str">
        <f>VLOOKUP(C3457,Sales_Representatives!$A:$B,2,0)</f>
        <v>John Brown</v>
      </c>
    </row>
    <row r="3458" spans="1:24" x14ac:dyDescent="0.3">
      <c r="A3458" t="s">
        <v>4630</v>
      </c>
      <c r="B3458" t="s">
        <v>4624</v>
      </c>
      <c r="C3458" t="s">
        <v>59</v>
      </c>
      <c r="D3458" t="s">
        <v>115</v>
      </c>
      <c r="E3458" t="s">
        <v>290</v>
      </c>
      <c r="F3458">
        <v>1</v>
      </c>
      <c r="G3458">
        <v>729.32</v>
      </c>
      <c r="H3458">
        <v>0.05</v>
      </c>
      <c r="I3458" s="4">
        <v>692.85</v>
      </c>
      <c r="J3458" t="s">
        <v>21</v>
      </c>
      <c r="K3458" t="s">
        <v>22</v>
      </c>
      <c r="L3458" s="4">
        <f>VLOOKUP(tblTransactions[[#This Row],[Product_ID]],tblProducts[],5,FALSE)</f>
        <v>482.7</v>
      </c>
      <c r="M3458" s="4">
        <f>tblTransactions[[#This Row],[Total_Amount]]-(tblTransactions[[#This Row],[Cost_Prices]]*tblTransactions[[#This Row],[Quantity]]*(1-tblTransactions[[#This Row],[Discount]]))</f>
        <v>234.28500000000008</v>
      </c>
      <c r="N3458" s="3">
        <f>tblTransactions[[#This Row],[Profit]]/tblTransactions[[#This Row],[Total_Amount]]</f>
        <v>0.33814678501840234</v>
      </c>
      <c r="O3458" t="str">
        <f>TEXT(tblTransactions[[#This Row],[Date]], "MMM-YYYY")</f>
        <v>Dec-2024</v>
      </c>
      <c r="P3458" t="str">
        <f>"Q"&amp;ROUNDUP(MONTH(tblTransactions[[#This Row],[Date]])/3,0)&amp;"-"&amp;YEAR(tblTransactions[[#This Row],[Date]])</f>
        <v>Q4-2024</v>
      </c>
      <c r="Q3458">
        <f>YEAR(tblTransactions[[#This Row],[Date]])</f>
        <v>2024</v>
      </c>
      <c r="R3458" t="str">
        <f>TEXT(tblTransactions[[#This Row],[Date]],"DDDD")</f>
        <v>Wednesday</v>
      </c>
      <c r="S3458">
        <f>MONTH(tblTransactions[[#This Row],[Date]])</f>
        <v>12</v>
      </c>
      <c r="T3458" t="str">
        <f>VLOOKUP(E3458, Products!$A:$B,2,0)</f>
        <v>Tables Fur-1</v>
      </c>
      <c r="U3458" t="str">
        <f>VLOOKUP(E3458,Products!$A:$C,3,0)</f>
        <v>Furniture</v>
      </c>
      <c r="V3458" t="str">
        <f>VLOOKUP(E3458,Products!$A:$D,4,0)</f>
        <v>Tables</v>
      </c>
      <c r="W3458" t="str">
        <f>VLOOKUP(D3458,Customers!$A:$C,3,0)</f>
        <v>B2C</v>
      </c>
      <c r="X3458" t="str">
        <f>VLOOKUP(C3458,Sales_Representatives!$A:$B,2,0)</f>
        <v>Sarah Brown</v>
      </c>
    </row>
    <row r="3459" spans="1:24" x14ac:dyDescent="0.3">
      <c r="A3459" t="s">
        <v>4631</v>
      </c>
      <c r="B3459" t="s">
        <v>4624</v>
      </c>
      <c r="C3459" t="s">
        <v>75</v>
      </c>
      <c r="D3459" t="s">
        <v>3006</v>
      </c>
      <c r="E3459" t="s">
        <v>72</v>
      </c>
      <c r="F3459">
        <v>2</v>
      </c>
      <c r="G3459">
        <v>404.76</v>
      </c>
      <c r="H3459">
        <v>7.0000000000000007E-2</v>
      </c>
      <c r="I3459" s="4">
        <v>752.85</v>
      </c>
      <c r="J3459" t="s">
        <v>44</v>
      </c>
      <c r="K3459" t="s">
        <v>39</v>
      </c>
      <c r="L3459" s="4">
        <f>VLOOKUP(tblTransactions[[#This Row],[Product_ID]],tblProducts[],5,FALSE)</f>
        <v>226.76</v>
      </c>
      <c r="M3459" s="4">
        <f>tblTransactions[[#This Row],[Total_Amount]]-(tblTransactions[[#This Row],[Cost_Prices]]*tblTransactions[[#This Row],[Quantity]]*(1-tblTransactions[[#This Row],[Discount]]))</f>
        <v>331.07640000000009</v>
      </c>
      <c r="N3459" s="3">
        <f>tblTransactions[[#This Row],[Profit]]/tblTransactions[[#This Row],[Total_Amount]]</f>
        <v>0.43976409643355263</v>
      </c>
      <c r="O3459" t="str">
        <f>TEXT(tblTransactions[[#This Row],[Date]], "MMM-YYYY")</f>
        <v>Dec-2024</v>
      </c>
      <c r="P3459" t="str">
        <f>"Q"&amp;ROUNDUP(MONTH(tblTransactions[[#This Row],[Date]])/3,0)&amp;"-"&amp;YEAR(tblTransactions[[#This Row],[Date]])</f>
        <v>Q4-2024</v>
      </c>
      <c r="Q3459">
        <f>YEAR(tblTransactions[[#This Row],[Date]])</f>
        <v>2024</v>
      </c>
      <c r="R3459" t="str">
        <f>TEXT(tblTransactions[[#This Row],[Date]],"DDDD")</f>
        <v>Wednesday</v>
      </c>
      <c r="S3459">
        <f>MONTH(tblTransactions[[#This Row],[Date]])</f>
        <v>12</v>
      </c>
      <c r="T3459" t="str">
        <f>VLOOKUP(E3459, Products!$A:$B,2,0)</f>
        <v>Tablets Ele-2</v>
      </c>
      <c r="U3459" t="str">
        <f>VLOOKUP(E3459,Products!$A:$C,3,0)</f>
        <v>Electronics</v>
      </c>
      <c r="V3459" t="str">
        <f>VLOOKUP(E3459,Products!$A:$D,4,0)</f>
        <v>Tablets</v>
      </c>
      <c r="W3459" t="str">
        <f>VLOOKUP(D3459,Customers!$A:$C,3,0)</f>
        <v>B2C</v>
      </c>
      <c r="X3459" t="str">
        <f>VLOOKUP(C3459,Sales_Representatives!$A:$B,2,0)</f>
        <v>Jessica Anderson</v>
      </c>
    </row>
    <row r="3460" spans="1:24" x14ac:dyDescent="0.3">
      <c r="A3460" t="s">
        <v>4632</v>
      </c>
      <c r="B3460" t="s">
        <v>4624</v>
      </c>
      <c r="C3460" t="s">
        <v>19</v>
      </c>
      <c r="D3460" t="s">
        <v>1997</v>
      </c>
      <c r="E3460" t="s">
        <v>339</v>
      </c>
      <c r="F3460">
        <v>12</v>
      </c>
      <c r="G3460">
        <v>1100.8800000000001</v>
      </c>
      <c r="H3460">
        <v>0.14000000000000001</v>
      </c>
      <c r="I3460" s="4">
        <v>11361.08</v>
      </c>
      <c r="J3460" t="s">
        <v>21</v>
      </c>
      <c r="K3460" t="s">
        <v>48</v>
      </c>
      <c r="L3460" s="4">
        <f>VLOOKUP(tblTransactions[[#This Row],[Product_ID]],tblProducts[],5,FALSE)</f>
        <v>761.53</v>
      </c>
      <c r="M3460" s="4">
        <f>tblTransactions[[#This Row],[Total_Amount]]-(tblTransactions[[#This Row],[Cost_Prices]]*tblTransactions[[#This Row],[Quantity]]*(1-tblTransactions[[#This Row],[Discount]]))</f>
        <v>3502.0903999999991</v>
      </c>
      <c r="N3460" s="3">
        <f>tblTransactions[[#This Row],[Profit]]/tblTransactions[[#This Row],[Total_Amount]]</f>
        <v>0.30825329986233696</v>
      </c>
      <c r="O3460" t="str">
        <f>TEXT(tblTransactions[[#This Row],[Date]], "MMM-YYYY")</f>
        <v>Dec-2024</v>
      </c>
      <c r="P3460" t="str">
        <f>"Q"&amp;ROUNDUP(MONTH(tblTransactions[[#This Row],[Date]])/3,0)&amp;"-"&amp;YEAR(tblTransactions[[#This Row],[Date]])</f>
        <v>Q4-2024</v>
      </c>
      <c r="Q3460">
        <f>YEAR(tblTransactions[[#This Row],[Date]])</f>
        <v>2024</v>
      </c>
      <c r="R3460" t="str">
        <f>TEXT(tblTransactions[[#This Row],[Date]],"DDDD")</f>
        <v>Wednesday</v>
      </c>
      <c r="S3460">
        <f>MONTH(tblTransactions[[#This Row],[Date]])</f>
        <v>12</v>
      </c>
      <c r="T3460" t="str">
        <f>VLOOKUP(E3460, Products!$A:$B,2,0)</f>
        <v>Phones Ele-2</v>
      </c>
      <c r="U3460" t="str">
        <f>VLOOKUP(E3460,Products!$A:$C,3,0)</f>
        <v>Electronics</v>
      </c>
      <c r="V3460" t="str">
        <f>VLOOKUP(E3460,Products!$A:$D,4,0)</f>
        <v>Phones</v>
      </c>
      <c r="W3460" t="str">
        <f>VLOOKUP(D3460,Customers!$A:$C,3,0)</f>
        <v>B2B</v>
      </c>
      <c r="X3460" t="str">
        <f>VLOOKUP(C3460,Sales_Representatives!$A:$B,2,0)</f>
        <v>Robert Jones</v>
      </c>
    </row>
    <row r="3461" spans="1:24" x14ac:dyDescent="0.3">
      <c r="A3461" t="s">
        <v>4633</v>
      </c>
      <c r="B3461" t="s">
        <v>4634</v>
      </c>
      <c r="C3461" t="s">
        <v>41</v>
      </c>
      <c r="D3461" t="s">
        <v>3047</v>
      </c>
      <c r="E3461" t="s">
        <v>264</v>
      </c>
      <c r="F3461">
        <v>2</v>
      </c>
      <c r="G3461">
        <v>607.29999999999995</v>
      </c>
      <c r="H3461">
        <v>0.06</v>
      </c>
      <c r="I3461" s="4">
        <v>1141.72</v>
      </c>
      <c r="J3461" t="s">
        <v>44</v>
      </c>
      <c r="K3461" t="s">
        <v>39</v>
      </c>
      <c r="L3461" s="4">
        <f>VLOOKUP(tblTransactions[[#This Row],[Product_ID]],tblProducts[],5,FALSE)</f>
        <v>436.37</v>
      </c>
      <c r="M3461" s="4">
        <f>tblTransactions[[#This Row],[Total_Amount]]-(tblTransactions[[#This Row],[Cost_Prices]]*tblTransactions[[#This Row],[Quantity]]*(1-tblTransactions[[#This Row],[Discount]]))</f>
        <v>321.34440000000006</v>
      </c>
      <c r="N3461" s="3">
        <f>tblTransactions[[#This Row],[Profit]]/tblTransactions[[#This Row],[Total_Amount]]</f>
        <v>0.28145639911712156</v>
      </c>
      <c r="O3461" t="str">
        <f>TEXT(tblTransactions[[#This Row],[Date]], "MMM-YYYY")</f>
        <v>Dec-2024</v>
      </c>
      <c r="P3461" t="str">
        <f>"Q"&amp;ROUNDUP(MONTH(tblTransactions[[#This Row],[Date]])/3,0)&amp;"-"&amp;YEAR(tblTransactions[[#This Row],[Date]])</f>
        <v>Q4-2024</v>
      </c>
      <c r="Q3461">
        <f>YEAR(tblTransactions[[#This Row],[Date]])</f>
        <v>2024</v>
      </c>
      <c r="R3461" t="str">
        <f>TEXT(tblTransactions[[#This Row],[Date]],"DDDD")</f>
        <v>Thursday</v>
      </c>
      <c r="S3461">
        <f>MONTH(tblTransactions[[#This Row],[Date]])</f>
        <v>12</v>
      </c>
      <c r="T3461" t="str">
        <f>VLOOKUP(E3461, Products!$A:$B,2,0)</f>
        <v>Tablets Ele-4</v>
      </c>
      <c r="U3461" t="str">
        <f>VLOOKUP(E3461,Products!$A:$C,3,0)</f>
        <v>Electronics</v>
      </c>
      <c r="V3461" t="str">
        <f>VLOOKUP(E3461,Products!$A:$D,4,0)</f>
        <v>Tablets</v>
      </c>
      <c r="W3461" t="str">
        <f>VLOOKUP(D3461,Customers!$A:$C,3,0)</f>
        <v>Small Business</v>
      </c>
      <c r="X3461" t="str">
        <f>VLOOKUP(C3461,Sales_Representatives!$A:$B,2,0)</f>
        <v>Robert Jones</v>
      </c>
    </row>
    <row r="3462" spans="1:24" x14ac:dyDescent="0.3">
      <c r="A3462" t="s">
        <v>4635</v>
      </c>
      <c r="B3462" t="s">
        <v>4634</v>
      </c>
      <c r="C3462" t="s">
        <v>31</v>
      </c>
      <c r="D3462" t="s">
        <v>2036</v>
      </c>
      <c r="E3462" t="s">
        <v>87</v>
      </c>
      <c r="F3462">
        <v>2</v>
      </c>
      <c r="G3462">
        <v>1047.8900000000001</v>
      </c>
      <c r="H3462">
        <v>0.09</v>
      </c>
      <c r="I3462" s="4">
        <v>1907.16</v>
      </c>
      <c r="J3462" t="s">
        <v>34</v>
      </c>
      <c r="K3462" t="s">
        <v>35</v>
      </c>
      <c r="L3462" s="4">
        <f>VLOOKUP(tblTransactions[[#This Row],[Product_ID]],tblProducts[],5,FALSE)</f>
        <v>742.63</v>
      </c>
      <c r="M3462" s="4">
        <f>tblTransactions[[#This Row],[Total_Amount]]-(tblTransactions[[#This Row],[Cost_Prices]]*tblTransactions[[#This Row],[Quantity]]*(1-tblTransactions[[#This Row],[Discount]]))</f>
        <v>555.57339999999999</v>
      </c>
      <c r="N3462" s="3">
        <f>tblTransactions[[#This Row],[Profit]]/tblTransactions[[#This Row],[Total_Amount]]</f>
        <v>0.29130927662073447</v>
      </c>
      <c r="O3462" t="str">
        <f>TEXT(tblTransactions[[#This Row],[Date]], "MMM-YYYY")</f>
        <v>Dec-2024</v>
      </c>
      <c r="P3462" t="str">
        <f>"Q"&amp;ROUNDUP(MONTH(tblTransactions[[#This Row],[Date]])/3,0)&amp;"-"&amp;YEAR(tblTransactions[[#This Row],[Date]])</f>
        <v>Q4-2024</v>
      </c>
      <c r="Q3462">
        <f>YEAR(tblTransactions[[#This Row],[Date]])</f>
        <v>2024</v>
      </c>
      <c r="R3462" t="str">
        <f>TEXT(tblTransactions[[#This Row],[Date]],"DDDD")</f>
        <v>Thursday</v>
      </c>
      <c r="S3462">
        <f>MONTH(tblTransactions[[#This Row],[Date]])</f>
        <v>12</v>
      </c>
      <c r="T3462" t="str">
        <f>VLOOKUP(E3462, Products!$A:$B,2,0)</f>
        <v>Monitors Tec-2</v>
      </c>
      <c r="U3462" t="str">
        <f>VLOOKUP(E3462,Products!$A:$C,3,0)</f>
        <v>Technology</v>
      </c>
      <c r="V3462" t="str">
        <f>VLOOKUP(E3462,Products!$A:$D,4,0)</f>
        <v>Monitors</v>
      </c>
      <c r="W3462" t="str">
        <f>VLOOKUP(D3462,Customers!$A:$C,3,0)</f>
        <v>B2C</v>
      </c>
      <c r="X3462" t="str">
        <f>VLOOKUP(C3462,Sales_Representatives!$A:$B,2,0)</f>
        <v>Thomas Martinez</v>
      </c>
    </row>
    <row r="3463" spans="1:24" x14ac:dyDescent="0.3">
      <c r="A3463" t="s">
        <v>4636</v>
      </c>
      <c r="B3463" t="s">
        <v>4634</v>
      </c>
      <c r="C3463" t="s">
        <v>56</v>
      </c>
      <c r="D3463" t="s">
        <v>1752</v>
      </c>
      <c r="E3463" t="s">
        <v>96</v>
      </c>
      <c r="F3463">
        <v>10</v>
      </c>
      <c r="G3463">
        <v>751.9</v>
      </c>
      <c r="H3463">
        <v>0.08</v>
      </c>
      <c r="I3463" s="4">
        <v>6917.48</v>
      </c>
      <c r="J3463" t="s">
        <v>34</v>
      </c>
      <c r="K3463" t="s">
        <v>22</v>
      </c>
      <c r="L3463" s="4">
        <f>VLOOKUP(tblTransactions[[#This Row],[Product_ID]],tblProducts[],5,FALSE)</f>
        <v>570.29</v>
      </c>
      <c r="M3463" s="4">
        <f>tblTransactions[[#This Row],[Total_Amount]]-(tblTransactions[[#This Row],[Cost_Prices]]*tblTransactions[[#This Row],[Quantity]]*(1-tblTransactions[[#This Row],[Discount]]))</f>
        <v>1670.8119999999999</v>
      </c>
      <c r="N3463" s="3">
        <f>tblTransactions[[#This Row],[Profit]]/tblTransactions[[#This Row],[Total_Amount]]</f>
        <v>0.24153477856097885</v>
      </c>
      <c r="O3463" t="str">
        <f>TEXT(tblTransactions[[#This Row],[Date]], "MMM-YYYY")</f>
        <v>Dec-2024</v>
      </c>
      <c r="P3463" t="str">
        <f>"Q"&amp;ROUNDUP(MONTH(tblTransactions[[#This Row],[Date]])/3,0)&amp;"-"&amp;YEAR(tblTransactions[[#This Row],[Date]])</f>
        <v>Q4-2024</v>
      </c>
      <c r="Q3463">
        <f>YEAR(tblTransactions[[#This Row],[Date]])</f>
        <v>2024</v>
      </c>
      <c r="R3463" t="str">
        <f>TEXT(tblTransactions[[#This Row],[Date]],"DDDD")</f>
        <v>Thursday</v>
      </c>
      <c r="S3463">
        <f>MONTH(tblTransactions[[#This Row],[Date]])</f>
        <v>12</v>
      </c>
      <c r="T3463" t="str">
        <f>VLOOKUP(E3463, Products!$A:$B,2,0)</f>
        <v>Routers Tec-1</v>
      </c>
      <c r="U3463" t="str">
        <f>VLOOKUP(E3463,Products!$A:$C,3,0)</f>
        <v>Technology</v>
      </c>
      <c r="V3463" t="str">
        <f>VLOOKUP(E3463,Products!$A:$D,4,0)</f>
        <v>Routers</v>
      </c>
      <c r="W3463" t="str">
        <f>VLOOKUP(D3463,Customers!$A:$C,3,0)</f>
        <v>B2B</v>
      </c>
      <c r="X3463" t="str">
        <f>VLOOKUP(C3463,Sales_Representatives!$A:$B,2,0)</f>
        <v>Thomas Hernandez</v>
      </c>
    </row>
    <row r="3464" spans="1:24" x14ac:dyDescent="0.3">
      <c r="A3464" t="s">
        <v>4637</v>
      </c>
      <c r="B3464" t="s">
        <v>4634</v>
      </c>
      <c r="C3464" t="s">
        <v>19</v>
      </c>
      <c r="D3464" t="s">
        <v>1467</v>
      </c>
      <c r="E3464" t="s">
        <v>99</v>
      </c>
      <c r="F3464">
        <v>5</v>
      </c>
      <c r="G3464">
        <v>325.14</v>
      </c>
      <c r="H3464">
        <v>0.03</v>
      </c>
      <c r="I3464" s="4">
        <v>1576.93</v>
      </c>
      <c r="J3464" t="s">
        <v>21</v>
      </c>
      <c r="K3464" t="s">
        <v>22</v>
      </c>
      <c r="L3464" s="4">
        <f>VLOOKUP(tblTransactions[[#This Row],[Product_ID]],tblProducts[],5,FALSE)</f>
        <v>209.04</v>
      </c>
      <c r="M3464" s="4">
        <f>tblTransactions[[#This Row],[Total_Amount]]-(tblTransactions[[#This Row],[Cost_Prices]]*tblTransactions[[#This Row],[Quantity]]*(1-tblTransactions[[#This Row],[Discount]]))</f>
        <v>563.08600000000001</v>
      </c>
      <c r="N3464" s="3">
        <f>tblTransactions[[#This Row],[Profit]]/tblTransactions[[#This Row],[Total_Amount]]</f>
        <v>0.3570773591725695</v>
      </c>
      <c r="O3464" t="str">
        <f>TEXT(tblTransactions[[#This Row],[Date]], "MMM-YYYY")</f>
        <v>Dec-2024</v>
      </c>
      <c r="P3464" t="str">
        <f>"Q"&amp;ROUNDUP(MONTH(tblTransactions[[#This Row],[Date]])/3,0)&amp;"-"&amp;YEAR(tblTransactions[[#This Row],[Date]])</f>
        <v>Q4-2024</v>
      </c>
      <c r="Q3464">
        <f>YEAR(tblTransactions[[#This Row],[Date]])</f>
        <v>2024</v>
      </c>
      <c r="R3464" t="str">
        <f>TEXT(tblTransactions[[#This Row],[Date]],"DDDD")</f>
        <v>Thursday</v>
      </c>
      <c r="S3464">
        <f>MONTH(tblTransactions[[#This Row],[Date]])</f>
        <v>12</v>
      </c>
      <c r="T3464" t="str">
        <f>VLOOKUP(E3464, Products!$A:$B,2,0)</f>
        <v>Monitors Tec-1</v>
      </c>
      <c r="U3464" t="str">
        <f>VLOOKUP(E3464,Products!$A:$C,3,0)</f>
        <v>Technology</v>
      </c>
      <c r="V3464" t="str">
        <f>VLOOKUP(E3464,Products!$A:$D,4,0)</f>
        <v>Monitors</v>
      </c>
      <c r="W3464" t="str">
        <f>VLOOKUP(D3464,Customers!$A:$C,3,0)</f>
        <v>B2C</v>
      </c>
      <c r="X3464" t="str">
        <f>VLOOKUP(C3464,Sales_Representatives!$A:$B,2,0)</f>
        <v>Robert Jones</v>
      </c>
    </row>
    <row r="3465" spans="1:24" x14ac:dyDescent="0.3">
      <c r="A3465" t="s">
        <v>4638</v>
      </c>
      <c r="B3465" t="s">
        <v>4634</v>
      </c>
      <c r="C3465" t="s">
        <v>31</v>
      </c>
      <c r="D3465" t="s">
        <v>115</v>
      </c>
      <c r="E3465" t="s">
        <v>232</v>
      </c>
      <c r="F3465">
        <v>1</v>
      </c>
      <c r="G3465">
        <v>60.21</v>
      </c>
      <c r="H3465">
        <v>0.04</v>
      </c>
      <c r="I3465" s="4">
        <v>57.8</v>
      </c>
      <c r="J3465" t="s">
        <v>34</v>
      </c>
      <c r="K3465" t="s">
        <v>17</v>
      </c>
      <c r="L3465" s="4">
        <f>VLOOKUP(tblTransactions[[#This Row],[Product_ID]],tblProducts[],5,FALSE)</f>
        <v>38.18</v>
      </c>
      <c r="M3465" s="4">
        <f>tblTransactions[[#This Row],[Total_Amount]]-(tblTransactions[[#This Row],[Cost_Prices]]*tblTransactions[[#This Row],[Quantity]]*(1-tblTransactions[[#This Row],[Discount]]))</f>
        <v>21.147199999999998</v>
      </c>
      <c r="N3465" s="3">
        <f>tblTransactions[[#This Row],[Profit]]/tblTransactions[[#This Row],[Total_Amount]]</f>
        <v>0.36586851211072663</v>
      </c>
      <c r="O3465" t="str">
        <f>TEXT(tblTransactions[[#This Row],[Date]], "MMM-YYYY")</f>
        <v>Dec-2024</v>
      </c>
      <c r="P3465" t="str">
        <f>"Q"&amp;ROUNDUP(MONTH(tblTransactions[[#This Row],[Date]])/3,0)&amp;"-"&amp;YEAR(tblTransactions[[#This Row],[Date]])</f>
        <v>Q4-2024</v>
      </c>
      <c r="Q3465">
        <f>YEAR(tblTransactions[[#This Row],[Date]])</f>
        <v>2024</v>
      </c>
      <c r="R3465" t="str">
        <f>TEXT(tblTransactions[[#This Row],[Date]],"DDDD")</f>
        <v>Thursday</v>
      </c>
      <c r="S3465">
        <f>MONTH(tblTransactions[[#This Row],[Date]])</f>
        <v>12</v>
      </c>
      <c r="T3465" t="str">
        <f>VLOOKUP(E3465, Products!$A:$B,2,0)</f>
        <v>Cables Acc-3</v>
      </c>
      <c r="U3465" t="str">
        <f>VLOOKUP(E3465,Products!$A:$C,3,0)</f>
        <v>Accessories</v>
      </c>
      <c r="V3465" t="str">
        <f>VLOOKUP(E3465,Products!$A:$D,4,0)</f>
        <v>Cables</v>
      </c>
      <c r="W3465" t="str">
        <f>VLOOKUP(D3465,Customers!$A:$C,3,0)</f>
        <v>B2C</v>
      </c>
      <c r="X3465" t="str">
        <f>VLOOKUP(C3465,Sales_Representatives!$A:$B,2,0)</f>
        <v>Thomas Martinez</v>
      </c>
    </row>
    <row r="3466" spans="1:24" x14ac:dyDescent="0.3">
      <c r="A3466" t="s">
        <v>4639</v>
      </c>
      <c r="B3466" t="s">
        <v>4634</v>
      </c>
      <c r="C3466" t="s">
        <v>27</v>
      </c>
      <c r="D3466" t="s">
        <v>3847</v>
      </c>
      <c r="E3466" t="s">
        <v>324</v>
      </c>
      <c r="F3466">
        <v>2</v>
      </c>
      <c r="G3466">
        <v>245.76</v>
      </c>
      <c r="H3466">
        <v>0.02</v>
      </c>
      <c r="I3466" s="4">
        <v>481.69</v>
      </c>
      <c r="J3466" t="s">
        <v>16</v>
      </c>
      <c r="K3466" t="s">
        <v>48</v>
      </c>
      <c r="L3466" s="4">
        <f>VLOOKUP(tblTransactions[[#This Row],[Product_ID]],tblProducts[],5,FALSE)</f>
        <v>161.94</v>
      </c>
      <c r="M3466" s="4">
        <f>tblTransactions[[#This Row],[Total_Amount]]-(tblTransactions[[#This Row],[Cost_Prices]]*tblTransactions[[#This Row],[Quantity]]*(1-tblTransactions[[#This Row],[Discount]]))</f>
        <v>164.2876</v>
      </c>
      <c r="N3466" s="3">
        <f>tblTransactions[[#This Row],[Profit]]/tblTransactions[[#This Row],[Total_Amount]]</f>
        <v>0.34106500031140358</v>
      </c>
      <c r="O3466" t="str">
        <f>TEXT(tblTransactions[[#This Row],[Date]], "MMM-YYYY")</f>
        <v>Dec-2024</v>
      </c>
      <c r="P3466" t="str">
        <f>"Q"&amp;ROUNDUP(MONTH(tblTransactions[[#This Row],[Date]])/3,0)&amp;"-"&amp;YEAR(tblTransactions[[#This Row],[Date]])</f>
        <v>Q4-2024</v>
      </c>
      <c r="Q3466">
        <f>YEAR(tblTransactions[[#This Row],[Date]])</f>
        <v>2024</v>
      </c>
      <c r="R3466" t="str">
        <f>TEXT(tblTransactions[[#This Row],[Date]],"DDDD")</f>
        <v>Thursday</v>
      </c>
      <c r="S3466">
        <f>MONTH(tblTransactions[[#This Row],[Date]])</f>
        <v>12</v>
      </c>
      <c r="T3466" t="str">
        <f>VLOOKUP(E3466, Products!$A:$B,2,0)</f>
        <v>Storage Fur-1</v>
      </c>
      <c r="U3466" t="str">
        <f>VLOOKUP(E3466,Products!$A:$C,3,0)</f>
        <v>Furniture</v>
      </c>
      <c r="V3466" t="str">
        <f>VLOOKUP(E3466,Products!$A:$D,4,0)</f>
        <v>Storage</v>
      </c>
      <c r="W3466" t="str">
        <f>VLOOKUP(D3466,Customers!$A:$C,3,0)</f>
        <v>B2C</v>
      </c>
      <c r="X3466" t="str">
        <f>VLOOKUP(C3466,Sales_Representatives!$A:$B,2,0)</f>
        <v>Thomas Lopez</v>
      </c>
    </row>
    <row r="3467" spans="1:24" x14ac:dyDescent="0.3">
      <c r="A3467" t="s">
        <v>4640</v>
      </c>
      <c r="B3467" t="s">
        <v>4634</v>
      </c>
      <c r="C3467" t="s">
        <v>41</v>
      </c>
      <c r="D3467" t="s">
        <v>1728</v>
      </c>
      <c r="E3467" t="s">
        <v>191</v>
      </c>
      <c r="F3467">
        <v>15</v>
      </c>
      <c r="G3467">
        <v>1012.75</v>
      </c>
      <c r="H3467">
        <v>0.1</v>
      </c>
      <c r="I3467" s="4">
        <v>13672.12</v>
      </c>
      <c r="J3467" t="s">
        <v>44</v>
      </c>
      <c r="K3467" t="s">
        <v>35</v>
      </c>
      <c r="L3467" s="4">
        <f>VLOOKUP(tblTransactions[[#This Row],[Product_ID]],tblProducts[],5,FALSE)</f>
        <v>518.53</v>
      </c>
      <c r="M3467" s="4">
        <f>tblTransactions[[#This Row],[Total_Amount]]-(tblTransactions[[#This Row],[Cost_Prices]]*tblTransactions[[#This Row],[Quantity]]*(1-tblTransactions[[#This Row],[Discount]]))</f>
        <v>6671.9650000000011</v>
      </c>
      <c r="N3467" s="3">
        <f>tblTransactions[[#This Row],[Profit]]/tblTransactions[[#This Row],[Total_Amount]]</f>
        <v>0.48799783793588708</v>
      </c>
      <c r="O3467" t="str">
        <f>TEXT(tblTransactions[[#This Row],[Date]], "MMM-YYYY")</f>
        <v>Dec-2024</v>
      </c>
      <c r="P3467" t="str">
        <f>"Q"&amp;ROUNDUP(MONTH(tblTransactions[[#This Row],[Date]])/3,0)&amp;"-"&amp;YEAR(tblTransactions[[#This Row],[Date]])</f>
        <v>Q4-2024</v>
      </c>
      <c r="Q3467">
        <f>YEAR(tblTransactions[[#This Row],[Date]])</f>
        <v>2024</v>
      </c>
      <c r="R3467" t="str">
        <f>TEXT(tblTransactions[[#This Row],[Date]],"DDDD")</f>
        <v>Thursday</v>
      </c>
      <c r="S3467">
        <f>MONTH(tblTransactions[[#This Row],[Date]])</f>
        <v>12</v>
      </c>
      <c r="T3467" t="str">
        <f>VLOOKUP(E3467, Products!$A:$B,2,0)</f>
        <v>Tables Fur-4</v>
      </c>
      <c r="U3467" t="str">
        <f>VLOOKUP(E3467,Products!$A:$C,3,0)</f>
        <v>Furniture</v>
      </c>
      <c r="V3467" t="str">
        <f>VLOOKUP(E3467,Products!$A:$D,4,0)</f>
        <v>Tables</v>
      </c>
      <c r="W3467" t="str">
        <f>VLOOKUP(D3467,Customers!$A:$C,3,0)</f>
        <v>B2B</v>
      </c>
      <c r="X3467" t="str">
        <f>VLOOKUP(C3467,Sales_Representatives!$A:$B,2,0)</f>
        <v>Robert Jones</v>
      </c>
    </row>
    <row r="3468" spans="1:24" x14ac:dyDescent="0.3">
      <c r="A3468" t="s">
        <v>4641</v>
      </c>
      <c r="B3468" t="s">
        <v>4634</v>
      </c>
      <c r="C3468" t="s">
        <v>27</v>
      </c>
      <c r="D3468" t="s">
        <v>1997</v>
      </c>
      <c r="E3468" t="s">
        <v>38</v>
      </c>
      <c r="F3468">
        <v>3</v>
      </c>
      <c r="G3468">
        <v>581.47</v>
      </c>
      <c r="H3468">
        <v>0.02</v>
      </c>
      <c r="I3468" s="4">
        <v>1709.52</v>
      </c>
      <c r="J3468" t="s">
        <v>16</v>
      </c>
      <c r="K3468" t="s">
        <v>35</v>
      </c>
      <c r="L3468" s="4">
        <f>VLOOKUP(tblTransactions[[#This Row],[Product_ID]],tblProducts[],5,FALSE)</f>
        <v>372.07</v>
      </c>
      <c r="M3468" s="4">
        <f>tblTransactions[[#This Row],[Total_Amount]]-(tblTransactions[[#This Row],[Cost_Prices]]*tblTransactions[[#This Row],[Quantity]]*(1-tblTransactions[[#This Row],[Discount]]))</f>
        <v>615.63419999999996</v>
      </c>
      <c r="N3468" s="3">
        <f>tblTransactions[[#This Row],[Profit]]/tblTransactions[[#This Row],[Total_Amount]]</f>
        <v>0.36012108662080583</v>
      </c>
      <c r="O3468" t="str">
        <f>TEXT(tblTransactions[[#This Row],[Date]], "MMM-YYYY")</f>
        <v>Dec-2024</v>
      </c>
      <c r="P3468" t="str">
        <f>"Q"&amp;ROUNDUP(MONTH(tblTransactions[[#This Row],[Date]])/3,0)&amp;"-"&amp;YEAR(tblTransactions[[#This Row],[Date]])</f>
        <v>Q4-2024</v>
      </c>
      <c r="Q3468">
        <f>YEAR(tblTransactions[[#This Row],[Date]])</f>
        <v>2024</v>
      </c>
      <c r="R3468" t="str">
        <f>TEXT(tblTransactions[[#This Row],[Date]],"DDDD")</f>
        <v>Thursday</v>
      </c>
      <c r="S3468">
        <f>MONTH(tblTransactions[[#This Row],[Date]])</f>
        <v>12</v>
      </c>
      <c r="T3468" t="str">
        <f>VLOOKUP(E3468, Products!$A:$B,2,0)</f>
        <v>Storage Fur-3</v>
      </c>
      <c r="U3468" t="str">
        <f>VLOOKUP(E3468,Products!$A:$C,3,0)</f>
        <v>Furniture</v>
      </c>
      <c r="V3468" t="str">
        <f>VLOOKUP(E3468,Products!$A:$D,4,0)</f>
        <v>Storage</v>
      </c>
      <c r="W3468" t="str">
        <f>VLOOKUP(D3468,Customers!$A:$C,3,0)</f>
        <v>B2B</v>
      </c>
      <c r="X3468" t="str">
        <f>VLOOKUP(C3468,Sales_Representatives!$A:$B,2,0)</f>
        <v>Thomas Lopez</v>
      </c>
    </row>
    <row r="3469" spans="1:24" x14ac:dyDescent="0.3">
      <c r="A3469" t="s">
        <v>4642</v>
      </c>
      <c r="B3469" t="s">
        <v>4634</v>
      </c>
      <c r="C3469" t="s">
        <v>107</v>
      </c>
      <c r="D3469" t="s">
        <v>154</v>
      </c>
      <c r="E3469" t="s">
        <v>68</v>
      </c>
      <c r="F3469">
        <v>9</v>
      </c>
      <c r="G3469">
        <v>522.63</v>
      </c>
      <c r="H3469">
        <v>0.08</v>
      </c>
      <c r="I3469" s="4">
        <v>4327.38</v>
      </c>
      <c r="J3469" t="s">
        <v>109</v>
      </c>
      <c r="K3469" t="s">
        <v>35</v>
      </c>
      <c r="L3469" s="4">
        <f>VLOOKUP(tblTransactions[[#This Row],[Product_ID]],tblProducts[],5,FALSE)</f>
        <v>355.82</v>
      </c>
      <c r="M3469" s="4">
        <f>tblTransactions[[#This Row],[Total_Amount]]-(tblTransactions[[#This Row],[Cost_Prices]]*tblTransactions[[#This Row],[Quantity]]*(1-tblTransactions[[#This Row],[Discount]]))</f>
        <v>1381.1904</v>
      </c>
      <c r="N3469" s="3">
        <f>tblTransactions[[#This Row],[Profit]]/tblTransactions[[#This Row],[Total_Amount]]</f>
        <v>0.31917474314712363</v>
      </c>
      <c r="O3469" t="str">
        <f>TEXT(tblTransactions[[#This Row],[Date]], "MMM-YYYY")</f>
        <v>Dec-2024</v>
      </c>
      <c r="P3469" t="str">
        <f>"Q"&amp;ROUNDUP(MONTH(tblTransactions[[#This Row],[Date]])/3,0)&amp;"-"&amp;YEAR(tblTransactions[[#This Row],[Date]])</f>
        <v>Q4-2024</v>
      </c>
      <c r="Q3469">
        <f>YEAR(tblTransactions[[#This Row],[Date]])</f>
        <v>2024</v>
      </c>
      <c r="R3469" t="str">
        <f>TEXT(tblTransactions[[#This Row],[Date]],"DDDD")</f>
        <v>Thursday</v>
      </c>
      <c r="S3469">
        <f>MONTH(tblTransactions[[#This Row],[Date]])</f>
        <v>12</v>
      </c>
      <c r="T3469" t="str">
        <f>VLOOKUP(E3469, Products!$A:$B,2,0)</f>
        <v>Monitors Tec-3</v>
      </c>
      <c r="U3469" t="str">
        <f>VLOOKUP(E3469,Products!$A:$C,3,0)</f>
        <v>Technology</v>
      </c>
      <c r="V3469" t="str">
        <f>VLOOKUP(E3469,Products!$A:$D,4,0)</f>
        <v>Monitors</v>
      </c>
      <c r="W3469" t="str">
        <f>VLOOKUP(D3469,Customers!$A:$C,3,0)</f>
        <v>B2B</v>
      </c>
      <c r="X3469" t="str">
        <f>VLOOKUP(C3469,Sales_Representatives!$A:$B,2,0)</f>
        <v>Jennifer Brown</v>
      </c>
    </row>
    <row r="3470" spans="1:24" x14ac:dyDescent="0.3">
      <c r="A3470" t="s">
        <v>4643</v>
      </c>
      <c r="B3470" t="s">
        <v>4634</v>
      </c>
      <c r="C3470" t="s">
        <v>127</v>
      </c>
      <c r="D3470" t="s">
        <v>1604</v>
      </c>
      <c r="E3470" t="s">
        <v>587</v>
      </c>
      <c r="F3470">
        <v>5</v>
      </c>
      <c r="G3470">
        <v>58.54</v>
      </c>
      <c r="H3470">
        <v>0.02</v>
      </c>
      <c r="I3470" s="4">
        <v>286.85000000000002</v>
      </c>
      <c r="J3470" t="s">
        <v>109</v>
      </c>
      <c r="K3470" t="s">
        <v>48</v>
      </c>
      <c r="L3470" s="4">
        <f>VLOOKUP(tblTransactions[[#This Row],[Product_ID]],tblProducts[],5,FALSE)</f>
        <v>25.43</v>
      </c>
      <c r="M3470" s="4">
        <f>tblTransactions[[#This Row],[Total_Amount]]-(tblTransactions[[#This Row],[Cost_Prices]]*tblTransactions[[#This Row],[Quantity]]*(1-tblTransactions[[#This Row],[Discount]]))</f>
        <v>162.24300000000002</v>
      </c>
      <c r="N3470" s="3">
        <f>tblTransactions[[#This Row],[Profit]]/tblTransactions[[#This Row],[Total_Amount]]</f>
        <v>0.5656022311312533</v>
      </c>
      <c r="O3470" t="str">
        <f>TEXT(tblTransactions[[#This Row],[Date]], "MMM-YYYY")</f>
        <v>Dec-2024</v>
      </c>
      <c r="P3470" t="str">
        <f>"Q"&amp;ROUNDUP(MONTH(tblTransactions[[#This Row],[Date]])/3,0)&amp;"-"&amp;YEAR(tblTransactions[[#This Row],[Date]])</f>
        <v>Q4-2024</v>
      </c>
      <c r="Q3470">
        <f>YEAR(tblTransactions[[#This Row],[Date]])</f>
        <v>2024</v>
      </c>
      <c r="R3470" t="str">
        <f>TEXT(tblTransactions[[#This Row],[Date]],"DDDD")</f>
        <v>Thursday</v>
      </c>
      <c r="S3470">
        <f>MONTH(tblTransactions[[#This Row],[Date]])</f>
        <v>12</v>
      </c>
      <c r="T3470" t="str">
        <f>VLOOKUP(E3470, Products!$A:$B,2,0)</f>
        <v>Paper Off-2</v>
      </c>
      <c r="U3470" t="str">
        <f>VLOOKUP(E3470,Products!$A:$C,3,0)</f>
        <v>Office Supplies</v>
      </c>
      <c r="V3470" t="str">
        <f>VLOOKUP(E3470,Products!$A:$D,4,0)</f>
        <v>Paper</v>
      </c>
      <c r="W3470" t="str">
        <f>VLOOKUP(D3470,Customers!$A:$C,3,0)</f>
        <v>B2C</v>
      </c>
      <c r="X3470" t="str">
        <f>VLOOKUP(C3470,Sales_Representatives!$A:$B,2,0)</f>
        <v>Emily Hernandez</v>
      </c>
    </row>
    <row r="3471" spans="1:24" x14ac:dyDescent="0.3">
      <c r="A3471" t="s">
        <v>4644</v>
      </c>
      <c r="B3471" t="s">
        <v>4634</v>
      </c>
      <c r="C3471" t="s">
        <v>41</v>
      </c>
      <c r="D3471" t="s">
        <v>1856</v>
      </c>
      <c r="E3471" t="s">
        <v>339</v>
      </c>
      <c r="F3471">
        <v>11</v>
      </c>
      <c r="G3471">
        <v>1100.8800000000001</v>
      </c>
      <c r="H3471">
        <v>0.13</v>
      </c>
      <c r="I3471" s="4">
        <v>10535.42</v>
      </c>
      <c r="J3471" t="s">
        <v>44</v>
      </c>
      <c r="K3471" t="s">
        <v>35</v>
      </c>
      <c r="L3471" s="4">
        <f>VLOOKUP(tblTransactions[[#This Row],[Product_ID]],tblProducts[],5,FALSE)</f>
        <v>761.53</v>
      </c>
      <c r="M3471" s="4">
        <f>tblTransactions[[#This Row],[Total_Amount]]-(tblTransactions[[#This Row],[Cost_Prices]]*tblTransactions[[#This Row],[Quantity]]*(1-tblTransactions[[#This Row],[Discount]]))</f>
        <v>3247.5779000000002</v>
      </c>
      <c r="N3471" s="3">
        <f>tblTransactions[[#This Row],[Profit]]/tblTransactions[[#This Row],[Total_Amount]]</f>
        <v>0.30825329222755243</v>
      </c>
      <c r="O3471" t="str">
        <f>TEXT(tblTransactions[[#This Row],[Date]], "MMM-YYYY")</f>
        <v>Dec-2024</v>
      </c>
      <c r="P3471" t="str">
        <f>"Q"&amp;ROUNDUP(MONTH(tblTransactions[[#This Row],[Date]])/3,0)&amp;"-"&amp;YEAR(tblTransactions[[#This Row],[Date]])</f>
        <v>Q4-2024</v>
      </c>
      <c r="Q3471">
        <f>YEAR(tblTransactions[[#This Row],[Date]])</f>
        <v>2024</v>
      </c>
      <c r="R3471" t="str">
        <f>TEXT(tblTransactions[[#This Row],[Date]],"DDDD")</f>
        <v>Thursday</v>
      </c>
      <c r="S3471">
        <f>MONTH(tblTransactions[[#This Row],[Date]])</f>
        <v>12</v>
      </c>
      <c r="T3471" t="str">
        <f>VLOOKUP(E3471, Products!$A:$B,2,0)</f>
        <v>Phones Ele-2</v>
      </c>
      <c r="U3471" t="str">
        <f>VLOOKUP(E3471,Products!$A:$C,3,0)</f>
        <v>Electronics</v>
      </c>
      <c r="V3471" t="str">
        <f>VLOOKUP(E3471,Products!$A:$D,4,0)</f>
        <v>Phones</v>
      </c>
      <c r="W3471" t="str">
        <f>VLOOKUP(D3471,Customers!$A:$C,3,0)</f>
        <v>Enterprise</v>
      </c>
      <c r="X3471" t="str">
        <f>VLOOKUP(C3471,Sales_Representatives!$A:$B,2,0)</f>
        <v>Robert Jones</v>
      </c>
    </row>
    <row r="3472" spans="1:24" x14ac:dyDescent="0.3">
      <c r="A3472" t="s">
        <v>4645</v>
      </c>
      <c r="B3472" t="s">
        <v>4634</v>
      </c>
      <c r="C3472" t="s">
        <v>13</v>
      </c>
      <c r="D3472" t="s">
        <v>4154</v>
      </c>
      <c r="E3472" t="s">
        <v>125</v>
      </c>
      <c r="F3472">
        <v>7</v>
      </c>
      <c r="G3472">
        <v>1201.4000000000001</v>
      </c>
      <c r="H3472">
        <v>0.14000000000000001</v>
      </c>
      <c r="I3472" s="4">
        <v>7232.43</v>
      </c>
      <c r="J3472" t="s">
        <v>16</v>
      </c>
      <c r="K3472" t="s">
        <v>17</v>
      </c>
      <c r="L3472" s="4">
        <f>VLOOKUP(tblTransactions[[#This Row],[Product_ID]],tblProducts[],5,FALSE)</f>
        <v>672.72</v>
      </c>
      <c r="M3472" s="4">
        <f>tblTransactions[[#This Row],[Total_Amount]]-(tblTransactions[[#This Row],[Cost_Prices]]*tblTransactions[[#This Row],[Quantity]]*(1-tblTransactions[[#This Row],[Discount]]))</f>
        <v>3182.6556000000005</v>
      </c>
      <c r="N3472" s="3">
        <f>tblTransactions[[#This Row],[Profit]]/tblTransactions[[#This Row],[Total_Amount]]</f>
        <v>0.44005342602693703</v>
      </c>
      <c r="O3472" t="str">
        <f>TEXT(tblTransactions[[#This Row],[Date]], "MMM-YYYY")</f>
        <v>Dec-2024</v>
      </c>
      <c r="P3472" t="str">
        <f>"Q"&amp;ROUNDUP(MONTH(tblTransactions[[#This Row],[Date]])/3,0)&amp;"-"&amp;YEAR(tblTransactions[[#This Row],[Date]])</f>
        <v>Q4-2024</v>
      </c>
      <c r="Q3472">
        <f>YEAR(tblTransactions[[#This Row],[Date]])</f>
        <v>2024</v>
      </c>
      <c r="R3472" t="str">
        <f>TEXT(tblTransactions[[#This Row],[Date]],"DDDD")</f>
        <v>Thursday</v>
      </c>
      <c r="S3472">
        <f>MONTH(tblTransactions[[#This Row],[Date]])</f>
        <v>12</v>
      </c>
      <c r="T3472" t="str">
        <f>VLOOKUP(E3472, Products!$A:$B,2,0)</f>
        <v>Printers Tec-2</v>
      </c>
      <c r="U3472" t="str">
        <f>VLOOKUP(E3472,Products!$A:$C,3,0)</f>
        <v>Technology</v>
      </c>
      <c r="V3472" t="str">
        <f>VLOOKUP(E3472,Products!$A:$D,4,0)</f>
        <v>Printers</v>
      </c>
      <c r="W3472" t="str">
        <f>VLOOKUP(D3472,Customers!$A:$C,3,0)</f>
        <v>B2B</v>
      </c>
      <c r="X3472" t="str">
        <f>VLOOKUP(C3472,Sales_Representatives!$A:$B,2,0)</f>
        <v>Jennifer Rodriguez</v>
      </c>
    </row>
    <row r="3473" spans="1:24" x14ac:dyDescent="0.3">
      <c r="A3473" t="s">
        <v>4646</v>
      </c>
      <c r="B3473" t="s">
        <v>4634</v>
      </c>
      <c r="C3473" t="s">
        <v>59</v>
      </c>
      <c r="D3473" t="s">
        <v>1801</v>
      </c>
      <c r="E3473" t="s">
        <v>168</v>
      </c>
      <c r="F3473">
        <v>6</v>
      </c>
      <c r="G3473">
        <v>101.59</v>
      </c>
      <c r="H3473">
        <v>0.15</v>
      </c>
      <c r="I3473" s="4">
        <v>518.11</v>
      </c>
      <c r="J3473" t="s">
        <v>21</v>
      </c>
      <c r="K3473" t="s">
        <v>35</v>
      </c>
      <c r="L3473" s="4">
        <f>VLOOKUP(tblTransactions[[#This Row],[Product_ID]],tblProducts[],5,FALSE)</f>
        <v>50.58</v>
      </c>
      <c r="M3473" s="4">
        <f>tblTransactions[[#This Row],[Total_Amount]]-(tblTransactions[[#This Row],[Cost_Prices]]*tblTransactions[[#This Row],[Quantity]]*(1-tblTransactions[[#This Row],[Discount]]))</f>
        <v>260.15199999999999</v>
      </c>
      <c r="N3473" s="3">
        <f>tblTransactions[[#This Row],[Profit]]/tblTransactions[[#This Row],[Total_Amount]]</f>
        <v>0.50211731099573442</v>
      </c>
      <c r="O3473" t="str">
        <f>TEXT(tblTransactions[[#This Row],[Date]], "MMM-YYYY")</f>
        <v>Dec-2024</v>
      </c>
      <c r="P3473" t="str">
        <f>"Q"&amp;ROUNDUP(MONTH(tblTransactions[[#This Row],[Date]])/3,0)&amp;"-"&amp;YEAR(tblTransactions[[#This Row],[Date]])</f>
        <v>Q4-2024</v>
      </c>
      <c r="Q3473">
        <f>YEAR(tblTransactions[[#This Row],[Date]])</f>
        <v>2024</v>
      </c>
      <c r="R3473" t="str">
        <f>TEXT(tblTransactions[[#This Row],[Date]],"DDDD")</f>
        <v>Thursday</v>
      </c>
      <c r="S3473">
        <f>MONTH(tblTransactions[[#This Row],[Date]])</f>
        <v>12</v>
      </c>
      <c r="T3473" t="str">
        <f>VLOOKUP(E3473, Products!$A:$B,2,0)</f>
        <v>Cases Acc-4</v>
      </c>
      <c r="U3473" t="str">
        <f>VLOOKUP(E3473,Products!$A:$C,3,0)</f>
        <v>Accessories</v>
      </c>
      <c r="V3473" t="str">
        <f>VLOOKUP(E3473,Products!$A:$D,4,0)</f>
        <v>Cases</v>
      </c>
      <c r="W3473" t="str">
        <f>VLOOKUP(D3473,Customers!$A:$C,3,0)</f>
        <v>Small Business</v>
      </c>
      <c r="X3473" t="str">
        <f>VLOOKUP(C3473,Sales_Representatives!$A:$B,2,0)</f>
        <v>Sarah Brown</v>
      </c>
    </row>
    <row r="3474" spans="1:24" x14ac:dyDescent="0.3">
      <c r="A3474" t="s">
        <v>4647</v>
      </c>
      <c r="B3474" t="s">
        <v>4648</v>
      </c>
      <c r="C3474" t="s">
        <v>31</v>
      </c>
      <c r="D3474" t="s">
        <v>1877</v>
      </c>
      <c r="E3474" t="s">
        <v>172</v>
      </c>
      <c r="F3474">
        <v>4</v>
      </c>
      <c r="G3474">
        <v>1371.15</v>
      </c>
      <c r="H3474">
        <v>0.04</v>
      </c>
      <c r="I3474" s="4">
        <v>5265.22</v>
      </c>
      <c r="J3474" t="s">
        <v>34</v>
      </c>
      <c r="K3474" t="s">
        <v>22</v>
      </c>
      <c r="L3474" s="4">
        <f>VLOOKUP(tblTransactions[[#This Row],[Product_ID]],tblProducts[],5,FALSE)</f>
        <v>989.81</v>
      </c>
      <c r="M3474" s="4">
        <f>tblTransactions[[#This Row],[Total_Amount]]-(tblTransactions[[#This Row],[Cost_Prices]]*tblTransactions[[#This Row],[Quantity]]*(1-tblTransactions[[#This Row],[Discount]]))</f>
        <v>1464.3496000000005</v>
      </c>
      <c r="N3474" s="3">
        <f>tblTransactions[[#This Row],[Profit]]/tblTransactions[[#This Row],[Total_Amount]]</f>
        <v>0.27811745758012019</v>
      </c>
      <c r="O3474" t="str">
        <f>TEXT(tblTransactions[[#This Row],[Date]], "MMM-YYYY")</f>
        <v>Dec-2024</v>
      </c>
      <c r="P3474" t="str">
        <f>"Q"&amp;ROUNDUP(MONTH(tblTransactions[[#This Row],[Date]])/3,0)&amp;"-"&amp;YEAR(tblTransactions[[#This Row],[Date]])</f>
        <v>Q4-2024</v>
      </c>
      <c r="Q3474">
        <f>YEAR(tblTransactions[[#This Row],[Date]])</f>
        <v>2024</v>
      </c>
      <c r="R3474" t="str">
        <f>TEXT(tblTransactions[[#This Row],[Date]],"DDDD")</f>
        <v>Friday</v>
      </c>
      <c r="S3474">
        <f>MONTH(tblTransactions[[#This Row],[Date]])</f>
        <v>12</v>
      </c>
      <c r="T3474" t="str">
        <f>VLOOKUP(E3474, Products!$A:$B,2,0)</f>
        <v>Cameras Ele-4</v>
      </c>
      <c r="U3474" t="str">
        <f>VLOOKUP(E3474,Products!$A:$C,3,0)</f>
        <v>Electronics</v>
      </c>
      <c r="V3474" t="str">
        <f>VLOOKUP(E3474,Products!$A:$D,4,0)</f>
        <v>Cameras</v>
      </c>
      <c r="W3474" t="str">
        <f>VLOOKUP(D3474,Customers!$A:$C,3,0)</f>
        <v>Small Business</v>
      </c>
      <c r="X3474" t="str">
        <f>VLOOKUP(C3474,Sales_Representatives!$A:$B,2,0)</f>
        <v>Thomas Martinez</v>
      </c>
    </row>
    <row r="3475" spans="1:24" x14ac:dyDescent="0.3">
      <c r="A3475" t="s">
        <v>4649</v>
      </c>
      <c r="B3475" t="s">
        <v>4648</v>
      </c>
      <c r="C3475" t="s">
        <v>41</v>
      </c>
      <c r="D3475" t="s">
        <v>1910</v>
      </c>
      <c r="E3475" t="s">
        <v>304</v>
      </c>
      <c r="F3475">
        <v>2</v>
      </c>
      <c r="G3475">
        <v>13.43</v>
      </c>
      <c r="H3475">
        <v>0.03</v>
      </c>
      <c r="I3475" s="4">
        <v>26.05</v>
      </c>
      <c r="J3475" t="s">
        <v>44</v>
      </c>
      <c r="K3475" t="s">
        <v>35</v>
      </c>
      <c r="L3475" s="4">
        <f>VLOOKUP(tblTransactions[[#This Row],[Product_ID]],tblProducts[],5,FALSE)</f>
        <v>5.8</v>
      </c>
      <c r="M3475" s="4">
        <f>tblTransactions[[#This Row],[Total_Amount]]-(tblTransactions[[#This Row],[Cost_Prices]]*tblTransactions[[#This Row],[Quantity]]*(1-tblTransactions[[#This Row],[Discount]]))</f>
        <v>14.798000000000002</v>
      </c>
      <c r="N3475" s="3">
        <f>tblTransactions[[#This Row],[Profit]]/tblTransactions[[#This Row],[Total_Amount]]</f>
        <v>0.56806142034548945</v>
      </c>
      <c r="O3475" t="str">
        <f>TEXT(tblTransactions[[#This Row],[Date]], "MMM-YYYY")</f>
        <v>Dec-2024</v>
      </c>
      <c r="P3475" t="str">
        <f>"Q"&amp;ROUNDUP(MONTH(tblTransactions[[#This Row],[Date]])/3,0)&amp;"-"&amp;YEAR(tblTransactions[[#This Row],[Date]])</f>
        <v>Q4-2024</v>
      </c>
      <c r="Q3475">
        <f>YEAR(tblTransactions[[#This Row],[Date]])</f>
        <v>2024</v>
      </c>
      <c r="R3475" t="str">
        <f>TEXT(tblTransactions[[#This Row],[Date]],"DDDD")</f>
        <v>Friday</v>
      </c>
      <c r="S3475">
        <f>MONTH(tblTransactions[[#This Row],[Date]])</f>
        <v>12</v>
      </c>
      <c r="T3475" t="str">
        <f>VLOOKUP(E3475, Products!$A:$B,2,0)</f>
        <v>Pens Off-1</v>
      </c>
      <c r="U3475" t="str">
        <f>VLOOKUP(E3475,Products!$A:$C,3,0)</f>
        <v>Office Supplies</v>
      </c>
      <c r="V3475" t="str">
        <f>VLOOKUP(E3475,Products!$A:$D,4,0)</f>
        <v>Pens</v>
      </c>
      <c r="W3475" t="str">
        <f>VLOOKUP(D3475,Customers!$A:$C,3,0)</f>
        <v>B2C</v>
      </c>
      <c r="X3475" t="str">
        <f>VLOOKUP(C3475,Sales_Representatives!$A:$B,2,0)</f>
        <v>Robert Jones</v>
      </c>
    </row>
    <row r="3476" spans="1:24" x14ac:dyDescent="0.3">
      <c r="A3476" t="s">
        <v>4650</v>
      </c>
      <c r="B3476" t="s">
        <v>4648</v>
      </c>
      <c r="C3476" t="s">
        <v>70</v>
      </c>
      <c r="D3476" t="s">
        <v>1963</v>
      </c>
      <c r="E3476" t="s">
        <v>299</v>
      </c>
      <c r="F3476">
        <v>1</v>
      </c>
      <c r="G3476">
        <v>963.44</v>
      </c>
      <c r="H3476">
        <v>0.09</v>
      </c>
      <c r="I3476" s="4">
        <v>876.73</v>
      </c>
      <c r="J3476" t="s">
        <v>16</v>
      </c>
      <c r="K3476" t="s">
        <v>48</v>
      </c>
      <c r="L3476" s="4">
        <f>VLOOKUP(tblTransactions[[#This Row],[Product_ID]],tblProducts[],5,FALSE)</f>
        <v>578.96</v>
      </c>
      <c r="M3476" s="4">
        <f>tblTransactions[[#This Row],[Total_Amount]]-(tblTransactions[[#This Row],[Cost_Prices]]*tblTransactions[[#This Row],[Quantity]]*(1-tblTransactions[[#This Row],[Discount]]))</f>
        <v>349.87639999999999</v>
      </c>
      <c r="N3476" s="3">
        <f>tblTransactions[[#This Row],[Profit]]/tblTransactions[[#This Row],[Total_Amount]]</f>
        <v>0.39906972500085541</v>
      </c>
      <c r="O3476" t="str">
        <f>TEXT(tblTransactions[[#This Row],[Date]], "MMM-YYYY")</f>
        <v>Dec-2024</v>
      </c>
      <c r="P3476" t="str">
        <f>"Q"&amp;ROUNDUP(MONTH(tblTransactions[[#This Row],[Date]])/3,0)&amp;"-"&amp;YEAR(tblTransactions[[#This Row],[Date]])</f>
        <v>Q4-2024</v>
      </c>
      <c r="Q3476">
        <f>YEAR(tblTransactions[[#This Row],[Date]])</f>
        <v>2024</v>
      </c>
      <c r="R3476" t="str">
        <f>TEXT(tblTransactions[[#This Row],[Date]],"DDDD")</f>
        <v>Friday</v>
      </c>
      <c r="S3476">
        <f>MONTH(tblTransactions[[#This Row],[Date]])</f>
        <v>12</v>
      </c>
      <c r="T3476" t="str">
        <f>VLOOKUP(E3476, Products!$A:$B,2,0)</f>
        <v>Chairs Fur-4</v>
      </c>
      <c r="U3476" t="str">
        <f>VLOOKUP(E3476,Products!$A:$C,3,0)</f>
        <v>Furniture</v>
      </c>
      <c r="V3476" t="str">
        <f>VLOOKUP(E3476,Products!$A:$D,4,0)</f>
        <v>Chairs</v>
      </c>
      <c r="W3476" t="str">
        <f>VLOOKUP(D3476,Customers!$A:$C,3,0)</f>
        <v>Small Business</v>
      </c>
      <c r="X3476" t="str">
        <f>VLOOKUP(C3476,Sales_Representatives!$A:$B,2,0)</f>
        <v>Linda Smith</v>
      </c>
    </row>
    <row r="3477" spans="1:24" x14ac:dyDescent="0.3">
      <c r="A3477" t="s">
        <v>4651</v>
      </c>
      <c r="B3477" t="s">
        <v>4648</v>
      </c>
      <c r="C3477" t="s">
        <v>19</v>
      </c>
      <c r="D3477" t="s">
        <v>1447</v>
      </c>
      <c r="E3477" t="s">
        <v>137</v>
      </c>
      <c r="F3477">
        <v>2</v>
      </c>
      <c r="G3477">
        <v>241.39</v>
      </c>
      <c r="H3477">
        <v>0.02</v>
      </c>
      <c r="I3477" s="4">
        <v>473.12</v>
      </c>
      <c r="J3477" t="s">
        <v>21</v>
      </c>
      <c r="K3477" t="s">
        <v>48</v>
      </c>
      <c r="L3477" s="4">
        <f>VLOOKUP(tblTransactions[[#This Row],[Product_ID]],tblProducts[],5,FALSE)</f>
        <v>124.07</v>
      </c>
      <c r="M3477" s="4">
        <f>tblTransactions[[#This Row],[Total_Amount]]-(tblTransactions[[#This Row],[Cost_Prices]]*tblTransactions[[#This Row],[Quantity]]*(1-tblTransactions[[#This Row],[Discount]]))</f>
        <v>229.94280000000003</v>
      </c>
      <c r="N3477" s="3">
        <f>tblTransactions[[#This Row],[Profit]]/tblTransactions[[#This Row],[Total_Amount]]</f>
        <v>0.48601369631383168</v>
      </c>
      <c r="O3477" t="str">
        <f>TEXT(tblTransactions[[#This Row],[Date]], "MMM-YYYY")</f>
        <v>Dec-2024</v>
      </c>
      <c r="P3477" t="str">
        <f>"Q"&amp;ROUNDUP(MONTH(tblTransactions[[#This Row],[Date]])/3,0)&amp;"-"&amp;YEAR(tblTransactions[[#This Row],[Date]])</f>
        <v>Q4-2024</v>
      </c>
      <c r="Q3477">
        <f>YEAR(tblTransactions[[#This Row],[Date]])</f>
        <v>2024</v>
      </c>
      <c r="R3477" t="str">
        <f>TEXT(tblTransactions[[#This Row],[Date]],"DDDD")</f>
        <v>Friday</v>
      </c>
      <c r="S3477">
        <f>MONTH(tblTransactions[[#This Row],[Date]])</f>
        <v>12</v>
      </c>
      <c r="T3477" t="str">
        <f>VLOOKUP(E3477, Products!$A:$B,2,0)</f>
        <v>Desks Fur-2</v>
      </c>
      <c r="U3477" t="str">
        <f>VLOOKUP(E3477,Products!$A:$C,3,0)</f>
        <v>Furniture</v>
      </c>
      <c r="V3477" t="str">
        <f>VLOOKUP(E3477,Products!$A:$D,4,0)</f>
        <v>Desks</v>
      </c>
      <c r="W3477" t="str">
        <f>VLOOKUP(D3477,Customers!$A:$C,3,0)</f>
        <v>B2B</v>
      </c>
      <c r="X3477" t="str">
        <f>VLOOKUP(C3477,Sales_Representatives!$A:$B,2,0)</f>
        <v>Robert Jones</v>
      </c>
    </row>
    <row r="3478" spans="1:24" x14ac:dyDescent="0.3">
      <c r="A3478" t="s">
        <v>4652</v>
      </c>
      <c r="B3478" t="s">
        <v>4648</v>
      </c>
      <c r="C3478" t="s">
        <v>19</v>
      </c>
      <c r="D3478" t="s">
        <v>2430</v>
      </c>
      <c r="E3478" t="s">
        <v>299</v>
      </c>
      <c r="F3478">
        <v>19</v>
      </c>
      <c r="G3478">
        <v>963.44</v>
      </c>
      <c r="H3478">
        <v>0.13</v>
      </c>
      <c r="I3478" s="4">
        <v>15925.66</v>
      </c>
      <c r="J3478" t="s">
        <v>21</v>
      </c>
      <c r="K3478" t="s">
        <v>48</v>
      </c>
      <c r="L3478" s="4">
        <f>VLOOKUP(tblTransactions[[#This Row],[Product_ID]],tblProducts[],5,FALSE)</f>
        <v>578.96</v>
      </c>
      <c r="M3478" s="4">
        <f>tblTransactions[[#This Row],[Total_Amount]]-(tblTransactions[[#This Row],[Cost_Prices]]*tblTransactions[[#This Row],[Quantity]]*(1-tblTransactions[[#This Row],[Discount]]))</f>
        <v>6355.4511999999977</v>
      </c>
      <c r="N3478" s="3">
        <f>tblTransactions[[#This Row],[Profit]]/tblTransactions[[#This Row],[Total_Amount]]</f>
        <v>0.39906987842262098</v>
      </c>
      <c r="O3478" t="str">
        <f>TEXT(tblTransactions[[#This Row],[Date]], "MMM-YYYY")</f>
        <v>Dec-2024</v>
      </c>
      <c r="P3478" t="str">
        <f>"Q"&amp;ROUNDUP(MONTH(tblTransactions[[#This Row],[Date]])/3,0)&amp;"-"&amp;YEAR(tblTransactions[[#This Row],[Date]])</f>
        <v>Q4-2024</v>
      </c>
      <c r="Q3478">
        <f>YEAR(tblTransactions[[#This Row],[Date]])</f>
        <v>2024</v>
      </c>
      <c r="R3478" t="str">
        <f>TEXT(tblTransactions[[#This Row],[Date]],"DDDD")</f>
        <v>Friday</v>
      </c>
      <c r="S3478">
        <f>MONTH(tblTransactions[[#This Row],[Date]])</f>
        <v>12</v>
      </c>
      <c r="T3478" t="str">
        <f>VLOOKUP(E3478, Products!$A:$B,2,0)</f>
        <v>Chairs Fur-4</v>
      </c>
      <c r="U3478" t="str">
        <f>VLOOKUP(E3478,Products!$A:$C,3,0)</f>
        <v>Furniture</v>
      </c>
      <c r="V3478" t="str">
        <f>VLOOKUP(E3478,Products!$A:$D,4,0)</f>
        <v>Chairs</v>
      </c>
      <c r="W3478" t="str">
        <f>VLOOKUP(D3478,Customers!$A:$C,3,0)</f>
        <v>B2B</v>
      </c>
      <c r="X3478" t="str">
        <f>VLOOKUP(C3478,Sales_Representatives!$A:$B,2,0)</f>
        <v>Robert Jones</v>
      </c>
    </row>
    <row r="3479" spans="1:24" x14ac:dyDescent="0.3">
      <c r="A3479" t="s">
        <v>4653</v>
      </c>
      <c r="B3479" t="s">
        <v>4648</v>
      </c>
      <c r="C3479" t="s">
        <v>13</v>
      </c>
      <c r="D3479" t="s">
        <v>3001</v>
      </c>
      <c r="E3479" t="s">
        <v>243</v>
      </c>
      <c r="F3479">
        <v>4</v>
      </c>
      <c r="G3479">
        <v>384.18</v>
      </c>
      <c r="H3479">
        <v>0.05</v>
      </c>
      <c r="I3479" s="4">
        <v>1459.88</v>
      </c>
      <c r="J3479" t="s">
        <v>16</v>
      </c>
      <c r="K3479" t="s">
        <v>17</v>
      </c>
      <c r="L3479" s="4">
        <f>VLOOKUP(tblTransactions[[#This Row],[Product_ID]],tblProducts[],5,FALSE)</f>
        <v>266.92</v>
      </c>
      <c r="M3479" s="4">
        <f>tblTransactions[[#This Row],[Total_Amount]]-(tblTransactions[[#This Row],[Cost_Prices]]*tblTransactions[[#This Row],[Quantity]]*(1-tblTransactions[[#This Row],[Discount]]))</f>
        <v>445.58400000000006</v>
      </c>
      <c r="N3479" s="3">
        <f>tblTransactions[[#This Row],[Profit]]/tblTransactions[[#This Row],[Total_Amount]]</f>
        <v>0.30521960709099377</v>
      </c>
      <c r="O3479" t="str">
        <f>TEXT(tblTransactions[[#This Row],[Date]], "MMM-YYYY")</f>
        <v>Dec-2024</v>
      </c>
      <c r="P3479" t="str">
        <f>"Q"&amp;ROUNDUP(MONTH(tblTransactions[[#This Row],[Date]])/3,0)&amp;"-"&amp;YEAR(tblTransactions[[#This Row],[Date]])</f>
        <v>Q4-2024</v>
      </c>
      <c r="Q3479">
        <f>YEAR(tblTransactions[[#This Row],[Date]])</f>
        <v>2024</v>
      </c>
      <c r="R3479" t="str">
        <f>TEXT(tblTransactions[[#This Row],[Date]],"DDDD")</f>
        <v>Friday</v>
      </c>
      <c r="S3479">
        <f>MONTH(tblTransactions[[#This Row],[Date]])</f>
        <v>12</v>
      </c>
      <c r="T3479" t="str">
        <f>VLOOKUP(E3479, Products!$A:$B,2,0)</f>
        <v>Routers Tec-3</v>
      </c>
      <c r="U3479" t="str">
        <f>VLOOKUP(E3479,Products!$A:$C,3,0)</f>
        <v>Technology</v>
      </c>
      <c r="V3479" t="str">
        <f>VLOOKUP(E3479,Products!$A:$D,4,0)</f>
        <v>Routers</v>
      </c>
      <c r="W3479" t="str">
        <f>VLOOKUP(D3479,Customers!$A:$C,3,0)</f>
        <v>B2B</v>
      </c>
      <c r="X3479" t="str">
        <f>VLOOKUP(C3479,Sales_Representatives!$A:$B,2,0)</f>
        <v>Jennifer Rodriguez</v>
      </c>
    </row>
    <row r="3480" spans="1:24" x14ac:dyDescent="0.3">
      <c r="A3480" t="s">
        <v>4654</v>
      </c>
      <c r="B3480" t="s">
        <v>4648</v>
      </c>
      <c r="C3480" t="s">
        <v>82</v>
      </c>
      <c r="D3480" t="s">
        <v>1472</v>
      </c>
      <c r="E3480" t="s">
        <v>25</v>
      </c>
      <c r="F3480">
        <v>19</v>
      </c>
      <c r="G3480">
        <v>1467.49</v>
      </c>
      <c r="H3480">
        <v>0.15</v>
      </c>
      <c r="I3480" s="4">
        <v>23699.96</v>
      </c>
      <c r="J3480" t="s">
        <v>34</v>
      </c>
      <c r="K3480" t="s">
        <v>35</v>
      </c>
      <c r="L3480" s="4">
        <f>VLOOKUP(tblTransactions[[#This Row],[Product_ID]],tblProducts[],5,FALSE)</f>
        <v>757.65</v>
      </c>
      <c r="M3480" s="4">
        <f>tblTransactions[[#This Row],[Total_Amount]]-(tblTransactions[[#This Row],[Cost_Prices]]*tblTransactions[[#This Row],[Quantity]]*(1-tblTransactions[[#This Row],[Discount]]))</f>
        <v>11463.912499999999</v>
      </c>
      <c r="N3480" s="3">
        <f>tblTransactions[[#This Row],[Profit]]/tblTransactions[[#This Row],[Total_Amount]]</f>
        <v>0.4837102045741849</v>
      </c>
      <c r="O3480" t="str">
        <f>TEXT(tblTransactions[[#This Row],[Date]], "MMM-YYYY")</f>
        <v>Dec-2024</v>
      </c>
      <c r="P3480" t="str">
        <f>"Q"&amp;ROUNDUP(MONTH(tblTransactions[[#This Row],[Date]])/3,0)&amp;"-"&amp;YEAR(tblTransactions[[#This Row],[Date]])</f>
        <v>Q4-2024</v>
      </c>
      <c r="Q3480">
        <f>YEAR(tblTransactions[[#This Row],[Date]])</f>
        <v>2024</v>
      </c>
      <c r="R3480" t="str">
        <f>TEXT(tblTransactions[[#This Row],[Date]],"DDDD")</f>
        <v>Friday</v>
      </c>
      <c r="S3480">
        <f>MONTH(tblTransactions[[#This Row],[Date]])</f>
        <v>12</v>
      </c>
      <c r="T3480" t="str">
        <f>VLOOKUP(E3480, Products!$A:$B,2,0)</f>
        <v>Tables Fur-3</v>
      </c>
      <c r="U3480" t="str">
        <f>VLOOKUP(E3480,Products!$A:$C,3,0)</f>
        <v>Furniture</v>
      </c>
      <c r="V3480" t="str">
        <f>VLOOKUP(E3480,Products!$A:$D,4,0)</f>
        <v>Tables</v>
      </c>
      <c r="W3480" t="str">
        <f>VLOOKUP(D3480,Customers!$A:$C,3,0)</f>
        <v>B2B</v>
      </c>
      <c r="X3480" t="str">
        <f>VLOOKUP(C3480,Sales_Representatives!$A:$B,2,0)</f>
        <v>John Brown</v>
      </c>
    </row>
    <row r="3481" spans="1:24" x14ac:dyDescent="0.3">
      <c r="A3481" t="s">
        <v>4655</v>
      </c>
      <c r="B3481" t="s">
        <v>4648</v>
      </c>
      <c r="C3481" t="s">
        <v>56</v>
      </c>
      <c r="D3481" t="s">
        <v>1559</v>
      </c>
      <c r="E3481" t="s">
        <v>157</v>
      </c>
      <c r="F3481">
        <v>10</v>
      </c>
      <c r="G3481">
        <v>1227.68</v>
      </c>
      <c r="H3481">
        <v>0.13</v>
      </c>
      <c r="I3481" s="4">
        <v>10680.82</v>
      </c>
      <c r="J3481" t="s">
        <v>34</v>
      </c>
      <c r="K3481" t="s">
        <v>48</v>
      </c>
      <c r="L3481" s="4">
        <f>VLOOKUP(tblTransactions[[#This Row],[Product_ID]],tblProducts[],5,FALSE)</f>
        <v>846.42</v>
      </c>
      <c r="M3481" s="4">
        <f>tblTransactions[[#This Row],[Total_Amount]]-(tblTransactions[[#This Row],[Cost_Prices]]*tblTransactions[[#This Row],[Quantity]]*(1-tblTransactions[[#This Row],[Discount]]))</f>
        <v>3316.9660000000003</v>
      </c>
      <c r="N3481" s="3">
        <f>tblTransactions[[#This Row],[Profit]]/tblTransactions[[#This Row],[Total_Amount]]</f>
        <v>0.31055349682889521</v>
      </c>
      <c r="O3481" t="str">
        <f>TEXT(tblTransactions[[#This Row],[Date]], "MMM-YYYY")</f>
        <v>Dec-2024</v>
      </c>
      <c r="P3481" t="str">
        <f>"Q"&amp;ROUNDUP(MONTH(tblTransactions[[#This Row],[Date]])/3,0)&amp;"-"&amp;YEAR(tblTransactions[[#This Row],[Date]])</f>
        <v>Q4-2024</v>
      </c>
      <c r="Q3481">
        <f>YEAR(tblTransactions[[#This Row],[Date]])</f>
        <v>2024</v>
      </c>
      <c r="R3481" t="str">
        <f>TEXT(tblTransactions[[#This Row],[Date]],"DDDD")</f>
        <v>Friday</v>
      </c>
      <c r="S3481">
        <f>MONTH(tblTransactions[[#This Row],[Date]])</f>
        <v>12</v>
      </c>
      <c r="T3481" t="str">
        <f>VLOOKUP(E3481, Products!$A:$B,2,0)</f>
        <v>Printers Tec-4</v>
      </c>
      <c r="U3481" t="str">
        <f>VLOOKUP(E3481,Products!$A:$C,3,0)</f>
        <v>Technology</v>
      </c>
      <c r="V3481" t="str">
        <f>VLOOKUP(E3481,Products!$A:$D,4,0)</f>
        <v>Printers</v>
      </c>
      <c r="W3481" t="str">
        <f>VLOOKUP(D3481,Customers!$A:$C,3,0)</f>
        <v>B2B</v>
      </c>
      <c r="X3481" t="str">
        <f>VLOOKUP(C3481,Sales_Representatives!$A:$B,2,0)</f>
        <v>Thomas Hernandez</v>
      </c>
    </row>
    <row r="3482" spans="1:24" x14ac:dyDescent="0.3">
      <c r="A3482" t="s">
        <v>4656</v>
      </c>
      <c r="B3482" t="s">
        <v>4648</v>
      </c>
      <c r="C3482" t="s">
        <v>63</v>
      </c>
      <c r="D3482" t="s">
        <v>1640</v>
      </c>
      <c r="E3482" t="s">
        <v>304</v>
      </c>
      <c r="F3482">
        <v>5</v>
      </c>
      <c r="G3482">
        <v>13.43</v>
      </c>
      <c r="H3482">
        <v>0.02</v>
      </c>
      <c r="I3482" s="4">
        <v>65.81</v>
      </c>
      <c r="J3482" t="s">
        <v>21</v>
      </c>
      <c r="K3482" t="s">
        <v>17</v>
      </c>
      <c r="L3482" s="4">
        <f>VLOOKUP(tblTransactions[[#This Row],[Product_ID]],tblProducts[],5,FALSE)</f>
        <v>5.8</v>
      </c>
      <c r="M3482" s="4">
        <f>tblTransactions[[#This Row],[Total_Amount]]-(tblTransactions[[#This Row],[Cost_Prices]]*tblTransactions[[#This Row],[Quantity]]*(1-tblTransactions[[#This Row],[Discount]]))</f>
        <v>37.39</v>
      </c>
      <c r="N3482" s="3">
        <f>tblTransactions[[#This Row],[Profit]]/tblTransactions[[#This Row],[Total_Amount]]</f>
        <v>0.56815073697006535</v>
      </c>
      <c r="O3482" t="str">
        <f>TEXT(tblTransactions[[#This Row],[Date]], "MMM-YYYY")</f>
        <v>Dec-2024</v>
      </c>
      <c r="P3482" t="str">
        <f>"Q"&amp;ROUNDUP(MONTH(tblTransactions[[#This Row],[Date]])/3,0)&amp;"-"&amp;YEAR(tblTransactions[[#This Row],[Date]])</f>
        <v>Q4-2024</v>
      </c>
      <c r="Q3482">
        <f>YEAR(tblTransactions[[#This Row],[Date]])</f>
        <v>2024</v>
      </c>
      <c r="R3482" t="str">
        <f>TEXT(tblTransactions[[#This Row],[Date]],"DDDD")</f>
        <v>Friday</v>
      </c>
      <c r="S3482">
        <f>MONTH(tblTransactions[[#This Row],[Date]])</f>
        <v>12</v>
      </c>
      <c r="T3482" t="str">
        <f>VLOOKUP(E3482, Products!$A:$B,2,0)</f>
        <v>Pens Off-1</v>
      </c>
      <c r="U3482" t="str">
        <f>VLOOKUP(E3482,Products!$A:$C,3,0)</f>
        <v>Office Supplies</v>
      </c>
      <c r="V3482" t="str">
        <f>VLOOKUP(E3482,Products!$A:$D,4,0)</f>
        <v>Pens</v>
      </c>
      <c r="W3482" t="str">
        <f>VLOOKUP(D3482,Customers!$A:$C,3,0)</f>
        <v>B2C</v>
      </c>
      <c r="X3482" t="str">
        <f>VLOOKUP(C3482,Sales_Representatives!$A:$B,2,0)</f>
        <v>Richard Wilson</v>
      </c>
    </row>
    <row r="3483" spans="1:24" x14ac:dyDescent="0.3">
      <c r="A3483" t="s">
        <v>4657</v>
      </c>
      <c r="B3483" t="s">
        <v>4648</v>
      </c>
      <c r="C3483" t="s">
        <v>70</v>
      </c>
      <c r="D3483" t="s">
        <v>2262</v>
      </c>
      <c r="E3483" t="s">
        <v>347</v>
      </c>
      <c r="F3483">
        <v>18</v>
      </c>
      <c r="G3483">
        <v>1539.6</v>
      </c>
      <c r="H3483">
        <v>0.19</v>
      </c>
      <c r="I3483" s="4">
        <v>22447.37</v>
      </c>
      <c r="J3483" t="s">
        <v>16</v>
      </c>
      <c r="K3483" t="s">
        <v>48</v>
      </c>
      <c r="L3483" s="4">
        <f>VLOOKUP(tblTransactions[[#This Row],[Product_ID]],tblProducts[],5,FALSE)</f>
        <v>992.43</v>
      </c>
      <c r="M3483" s="4">
        <f>tblTransactions[[#This Row],[Total_Amount]]-(tblTransactions[[#This Row],[Cost_Prices]]*tblTransactions[[#This Row],[Quantity]]*(1-tblTransactions[[#This Row],[Discount]]))</f>
        <v>7977.7405999999992</v>
      </c>
      <c r="N3483" s="3">
        <f>tblTransactions[[#This Row],[Profit]]/tblTransactions[[#This Row],[Total_Amount]]</f>
        <v>0.35539756327801431</v>
      </c>
      <c r="O3483" t="str">
        <f>TEXT(tblTransactions[[#This Row],[Date]], "MMM-YYYY")</f>
        <v>Dec-2024</v>
      </c>
      <c r="P3483" t="str">
        <f>"Q"&amp;ROUNDUP(MONTH(tblTransactions[[#This Row],[Date]])/3,0)&amp;"-"&amp;YEAR(tblTransactions[[#This Row],[Date]])</f>
        <v>Q4-2024</v>
      </c>
      <c r="Q3483">
        <f>YEAR(tblTransactions[[#This Row],[Date]])</f>
        <v>2024</v>
      </c>
      <c r="R3483" t="str">
        <f>TEXT(tblTransactions[[#This Row],[Date]],"DDDD")</f>
        <v>Friday</v>
      </c>
      <c r="S3483">
        <f>MONTH(tblTransactions[[#This Row],[Date]])</f>
        <v>12</v>
      </c>
      <c r="T3483" t="str">
        <f>VLOOKUP(E3483, Products!$A:$B,2,0)</f>
        <v>Routers Tec-2</v>
      </c>
      <c r="U3483" t="str">
        <f>VLOOKUP(E3483,Products!$A:$C,3,0)</f>
        <v>Technology</v>
      </c>
      <c r="V3483" t="str">
        <f>VLOOKUP(E3483,Products!$A:$D,4,0)</f>
        <v>Routers</v>
      </c>
      <c r="W3483" t="str">
        <f>VLOOKUP(D3483,Customers!$A:$C,3,0)</f>
        <v>B2B</v>
      </c>
      <c r="X3483" t="str">
        <f>VLOOKUP(C3483,Sales_Representatives!$A:$B,2,0)</f>
        <v>Linda Smith</v>
      </c>
    </row>
    <row r="3484" spans="1:24" x14ac:dyDescent="0.3">
      <c r="A3484" t="s">
        <v>4658</v>
      </c>
      <c r="B3484" t="s">
        <v>4648</v>
      </c>
      <c r="C3484" t="s">
        <v>127</v>
      </c>
      <c r="D3484" t="s">
        <v>2427</v>
      </c>
      <c r="E3484" t="s">
        <v>159</v>
      </c>
      <c r="F3484">
        <v>6</v>
      </c>
      <c r="G3484">
        <v>78.09</v>
      </c>
      <c r="H3484">
        <v>0.12</v>
      </c>
      <c r="I3484" s="4">
        <v>412.32</v>
      </c>
      <c r="J3484" t="s">
        <v>109</v>
      </c>
      <c r="K3484" t="s">
        <v>22</v>
      </c>
      <c r="L3484" s="4">
        <f>VLOOKUP(tblTransactions[[#This Row],[Product_ID]],tblProducts[],5,FALSE)</f>
        <v>47.01</v>
      </c>
      <c r="M3484" s="4">
        <f>tblTransactions[[#This Row],[Total_Amount]]-(tblTransactions[[#This Row],[Cost_Prices]]*tblTransactions[[#This Row],[Quantity]]*(1-tblTransactions[[#This Row],[Discount]]))</f>
        <v>164.10719999999998</v>
      </c>
      <c r="N3484" s="3">
        <f>tblTransactions[[#This Row],[Profit]]/tblTransactions[[#This Row],[Total_Amount]]</f>
        <v>0.39800931315483112</v>
      </c>
      <c r="O3484" t="str">
        <f>TEXT(tblTransactions[[#This Row],[Date]], "MMM-YYYY")</f>
        <v>Dec-2024</v>
      </c>
      <c r="P3484" t="str">
        <f>"Q"&amp;ROUNDUP(MONTH(tblTransactions[[#This Row],[Date]])/3,0)&amp;"-"&amp;YEAR(tblTransactions[[#This Row],[Date]])</f>
        <v>Q4-2024</v>
      </c>
      <c r="Q3484">
        <f>YEAR(tblTransactions[[#This Row],[Date]])</f>
        <v>2024</v>
      </c>
      <c r="R3484" t="str">
        <f>TEXT(tblTransactions[[#This Row],[Date]],"DDDD")</f>
        <v>Friday</v>
      </c>
      <c r="S3484">
        <f>MONTH(tblTransactions[[#This Row],[Date]])</f>
        <v>12</v>
      </c>
      <c r="T3484" t="str">
        <f>VLOOKUP(E3484, Products!$A:$B,2,0)</f>
        <v>Cables Acc-4</v>
      </c>
      <c r="U3484" t="str">
        <f>VLOOKUP(E3484,Products!$A:$C,3,0)</f>
        <v>Accessories</v>
      </c>
      <c r="V3484" t="str">
        <f>VLOOKUP(E3484,Products!$A:$D,4,0)</f>
        <v>Cables</v>
      </c>
      <c r="W3484" t="str">
        <f>VLOOKUP(D3484,Customers!$A:$C,3,0)</f>
        <v>Small Business</v>
      </c>
      <c r="X3484" t="str">
        <f>VLOOKUP(C3484,Sales_Representatives!$A:$B,2,0)</f>
        <v>Emily Hernandez</v>
      </c>
    </row>
    <row r="3485" spans="1:24" x14ac:dyDescent="0.3">
      <c r="A3485" t="s">
        <v>4659</v>
      </c>
      <c r="B3485" t="s">
        <v>4648</v>
      </c>
      <c r="C3485" t="s">
        <v>141</v>
      </c>
      <c r="D3485" t="s">
        <v>2054</v>
      </c>
      <c r="E3485" t="s">
        <v>243</v>
      </c>
      <c r="F3485">
        <v>4</v>
      </c>
      <c r="G3485">
        <v>384.18</v>
      </c>
      <c r="H3485">
        <v>0.09</v>
      </c>
      <c r="I3485" s="4">
        <v>1398.42</v>
      </c>
      <c r="J3485" t="s">
        <v>109</v>
      </c>
      <c r="K3485" t="s">
        <v>22</v>
      </c>
      <c r="L3485" s="4">
        <f>VLOOKUP(tblTransactions[[#This Row],[Product_ID]],tblProducts[],5,FALSE)</f>
        <v>266.92</v>
      </c>
      <c r="M3485" s="4">
        <f>tblTransactions[[#This Row],[Total_Amount]]-(tblTransactions[[#This Row],[Cost_Prices]]*tblTransactions[[#This Row],[Quantity]]*(1-tblTransactions[[#This Row],[Discount]]))</f>
        <v>426.83119999999997</v>
      </c>
      <c r="N3485" s="3">
        <f>tblTransactions[[#This Row],[Profit]]/tblTransactions[[#This Row],[Total_Amount]]</f>
        <v>0.30522389553925139</v>
      </c>
      <c r="O3485" t="str">
        <f>TEXT(tblTransactions[[#This Row],[Date]], "MMM-YYYY")</f>
        <v>Dec-2024</v>
      </c>
      <c r="P3485" t="str">
        <f>"Q"&amp;ROUNDUP(MONTH(tblTransactions[[#This Row],[Date]])/3,0)&amp;"-"&amp;YEAR(tblTransactions[[#This Row],[Date]])</f>
        <v>Q4-2024</v>
      </c>
      <c r="Q3485">
        <f>YEAR(tblTransactions[[#This Row],[Date]])</f>
        <v>2024</v>
      </c>
      <c r="R3485" t="str">
        <f>TEXT(tblTransactions[[#This Row],[Date]],"DDDD")</f>
        <v>Friday</v>
      </c>
      <c r="S3485">
        <f>MONTH(tblTransactions[[#This Row],[Date]])</f>
        <v>12</v>
      </c>
      <c r="T3485" t="str">
        <f>VLOOKUP(E3485, Products!$A:$B,2,0)</f>
        <v>Routers Tec-3</v>
      </c>
      <c r="U3485" t="str">
        <f>VLOOKUP(E3485,Products!$A:$C,3,0)</f>
        <v>Technology</v>
      </c>
      <c r="V3485" t="str">
        <f>VLOOKUP(E3485,Products!$A:$D,4,0)</f>
        <v>Routers</v>
      </c>
      <c r="W3485" t="str">
        <f>VLOOKUP(D3485,Customers!$A:$C,3,0)</f>
        <v>Small Business</v>
      </c>
      <c r="X3485" t="str">
        <f>VLOOKUP(C3485,Sales_Representatives!$A:$B,2,0)</f>
        <v>Richard Garcia</v>
      </c>
    </row>
    <row r="3486" spans="1:24" x14ac:dyDescent="0.3">
      <c r="A3486" t="s">
        <v>4660</v>
      </c>
      <c r="B3486" t="s">
        <v>4661</v>
      </c>
      <c r="C3486" t="s">
        <v>19</v>
      </c>
      <c r="D3486" t="s">
        <v>2718</v>
      </c>
      <c r="E3486" t="s">
        <v>99</v>
      </c>
      <c r="F3486">
        <v>7</v>
      </c>
      <c r="G3486">
        <v>325.14</v>
      </c>
      <c r="H3486">
        <v>7.0000000000000007E-2</v>
      </c>
      <c r="I3486" s="4">
        <v>2116.66</v>
      </c>
      <c r="J3486" t="s">
        <v>21</v>
      </c>
      <c r="K3486" t="s">
        <v>35</v>
      </c>
      <c r="L3486" s="4">
        <f>VLOOKUP(tblTransactions[[#This Row],[Product_ID]],tblProducts[],5,FALSE)</f>
        <v>209.04</v>
      </c>
      <c r="M3486" s="4">
        <f>tblTransactions[[#This Row],[Total_Amount]]-(tblTransactions[[#This Row],[Cost_Prices]]*tblTransactions[[#This Row],[Quantity]]*(1-tblTransactions[[#This Row],[Discount]]))</f>
        <v>755.80960000000005</v>
      </c>
      <c r="N3486" s="3">
        <f>tblTransactions[[#This Row],[Profit]]/tblTransactions[[#This Row],[Total_Amount]]</f>
        <v>0.35707652622527952</v>
      </c>
      <c r="O3486" t="str">
        <f>TEXT(tblTransactions[[#This Row],[Date]], "MMM-YYYY")</f>
        <v>Dec-2024</v>
      </c>
      <c r="P3486" t="str">
        <f>"Q"&amp;ROUNDUP(MONTH(tblTransactions[[#This Row],[Date]])/3,0)&amp;"-"&amp;YEAR(tblTransactions[[#This Row],[Date]])</f>
        <v>Q4-2024</v>
      </c>
      <c r="Q3486">
        <f>YEAR(tblTransactions[[#This Row],[Date]])</f>
        <v>2024</v>
      </c>
      <c r="R3486" t="str">
        <f>TEXT(tblTransactions[[#This Row],[Date]],"DDDD")</f>
        <v>Saturday</v>
      </c>
      <c r="S3486">
        <f>MONTH(tblTransactions[[#This Row],[Date]])</f>
        <v>12</v>
      </c>
      <c r="T3486" t="str">
        <f>VLOOKUP(E3486, Products!$A:$B,2,0)</f>
        <v>Monitors Tec-1</v>
      </c>
      <c r="U3486" t="str">
        <f>VLOOKUP(E3486,Products!$A:$C,3,0)</f>
        <v>Technology</v>
      </c>
      <c r="V3486" t="str">
        <f>VLOOKUP(E3486,Products!$A:$D,4,0)</f>
        <v>Monitors</v>
      </c>
      <c r="W3486" t="str">
        <f>VLOOKUP(D3486,Customers!$A:$C,3,0)</f>
        <v>B2C</v>
      </c>
      <c r="X3486" t="str">
        <f>VLOOKUP(C3486,Sales_Representatives!$A:$B,2,0)</f>
        <v>Robert Jones</v>
      </c>
    </row>
    <row r="3487" spans="1:24" x14ac:dyDescent="0.3">
      <c r="A3487" t="s">
        <v>4662</v>
      </c>
      <c r="B3487" t="s">
        <v>4661</v>
      </c>
      <c r="C3487" t="s">
        <v>56</v>
      </c>
      <c r="D3487" t="s">
        <v>1741</v>
      </c>
      <c r="E3487" t="s">
        <v>224</v>
      </c>
      <c r="F3487">
        <v>16</v>
      </c>
      <c r="G3487">
        <v>505.37</v>
      </c>
      <c r="H3487">
        <v>0.1</v>
      </c>
      <c r="I3487" s="4">
        <v>7277.33</v>
      </c>
      <c r="J3487" t="s">
        <v>34</v>
      </c>
      <c r="K3487" t="s">
        <v>22</v>
      </c>
      <c r="L3487" s="4">
        <f>VLOOKUP(tblTransactions[[#This Row],[Product_ID]],tblProducts[],5,FALSE)</f>
        <v>281.14999999999998</v>
      </c>
      <c r="M3487" s="4">
        <f>tblTransactions[[#This Row],[Total_Amount]]-(tblTransactions[[#This Row],[Cost_Prices]]*tblTransactions[[#This Row],[Quantity]]*(1-tblTransactions[[#This Row],[Discount]]))</f>
        <v>3228.77</v>
      </c>
      <c r="N3487" s="3">
        <f>tblTransactions[[#This Row],[Profit]]/tblTransactions[[#This Row],[Total_Amount]]</f>
        <v>0.44367508413113049</v>
      </c>
      <c r="O3487" t="str">
        <f>TEXT(tblTransactions[[#This Row],[Date]], "MMM-YYYY")</f>
        <v>Dec-2024</v>
      </c>
      <c r="P3487" t="str">
        <f>"Q"&amp;ROUNDUP(MONTH(tblTransactions[[#This Row],[Date]])/3,0)&amp;"-"&amp;YEAR(tblTransactions[[#This Row],[Date]])</f>
        <v>Q4-2024</v>
      </c>
      <c r="Q3487">
        <f>YEAR(tblTransactions[[#This Row],[Date]])</f>
        <v>2024</v>
      </c>
      <c r="R3487" t="str">
        <f>TEXT(tblTransactions[[#This Row],[Date]],"DDDD")</f>
        <v>Saturday</v>
      </c>
      <c r="S3487">
        <f>MONTH(tblTransactions[[#This Row],[Date]])</f>
        <v>12</v>
      </c>
      <c r="T3487" t="str">
        <f>VLOOKUP(E3487, Products!$A:$B,2,0)</f>
        <v>Desks Fur-3</v>
      </c>
      <c r="U3487" t="str">
        <f>VLOOKUP(E3487,Products!$A:$C,3,0)</f>
        <v>Furniture</v>
      </c>
      <c r="V3487" t="str">
        <f>VLOOKUP(E3487,Products!$A:$D,4,0)</f>
        <v>Desks</v>
      </c>
      <c r="W3487" t="str">
        <f>VLOOKUP(D3487,Customers!$A:$C,3,0)</f>
        <v>B2B</v>
      </c>
      <c r="X3487" t="str">
        <f>VLOOKUP(C3487,Sales_Representatives!$A:$B,2,0)</f>
        <v>Thomas Hernandez</v>
      </c>
    </row>
    <row r="3488" spans="1:24" x14ac:dyDescent="0.3">
      <c r="A3488" t="s">
        <v>4663</v>
      </c>
      <c r="B3488" t="s">
        <v>4661</v>
      </c>
      <c r="C3488" t="s">
        <v>13</v>
      </c>
      <c r="D3488" t="s">
        <v>1673</v>
      </c>
      <c r="E3488" t="s">
        <v>339</v>
      </c>
      <c r="F3488">
        <v>7</v>
      </c>
      <c r="G3488">
        <v>1100.8800000000001</v>
      </c>
      <c r="H3488">
        <v>0.09</v>
      </c>
      <c r="I3488" s="4">
        <v>7012.61</v>
      </c>
      <c r="J3488" t="s">
        <v>16</v>
      </c>
      <c r="K3488" t="s">
        <v>39</v>
      </c>
      <c r="L3488" s="4">
        <f>VLOOKUP(tblTransactions[[#This Row],[Product_ID]],tblProducts[],5,FALSE)</f>
        <v>761.53</v>
      </c>
      <c r="M3488" s="4">
        <f>tblTransactions[[#This Row],[Total_Amount]]-(tblTransactions[[#This Row],[Cost_Prices]]*tblTransactions[[#This Row],[Quantity]]*(1-tblTransactions[[#This Row],[Discount]]))</f>
        <v>2161.6638999999996</v>
      </c>
      <c r="N3488" s="3">
        <f>tblTransactions[[#This Row],[Profit]]/tblTransactions[[#This Row],[Total_Amount]]</f>
        <v>0.30825383131244993</v>
      </c>
      <c r="O3488" t="str">
        <f>TEXT(tblTransactions[[#This Row],[Date]], "MMM-YYYY")</f>
        <v>Dec-2024</v>
      </c>
      <c r="P3488" t="str">
        <f>"Q"&amp;ROUNDUP(MONTH(tblTransactions[[#This Row],[Date]])/3,0)&amp;"-"&amp;YEAR(tblTransactions[[#This Row],[Date]])</f>
        <v>Q4-2024</v>
      </c>
      <c r="Q3488">
        <f>YEAR(tblTransactions[[#This Row],[Date]])</f>
        <v>2024</v>
      </c>
      <c r="R3488" t="str">
        <f>TEXT(tblTransactions[[#This Row],[Date]],"DDDD")</f>
        <v>Saturday</v>
      </c>
      <c r="S3488">
        <f>MONTH(tblTransactions[[#This Row],[Date]])</f>
        <v>12</v>
      </c>
      <c r="T3488" t="str">
        <f>VLOOKUP(E3488, Products!$A:$B,2,0)</f>
        <v>Phones Ele-2</v>
      </c>
      <c r="U3488" t="str">
        <f>VLOOKUP(E3488,Products!$A:$C,3,0)</f>
        <v>Electronics</v>
      </c>
      <c r="V3488" t="str">
        <f>VLOOKUP(E3488,Products!$A:$D,4,0)</f>
        <v>Phones</v>
      </c>
      <c r="W3488" t="str">
        <f>VLOOKUP(D3488,Customers!$A:$C,3,0)</f>
        <v>B2C</v>
      </c>
      <c r="X3488" t="str">
        <f>VLOOKUP(C3488,Sales_Representatives!$A:$B,2,0)</f>
        <v>Jennifer Rodriguez</v>
      </c>
    </row>
    <row r="3489" spans="1:24" x14ac:dyDescent="0.3">
      <c r="A3489" t="s">
        <v>4664</v>
      </c>
      <c r="B3489" t="s">
        <v>4661</v>
      </c>
      <c r="C3489" t="s">
        <v>141</v>
      </c>
      <c r="D3489" t="s">
        <v>1545</v>
      </c>
      <c r="E3489" t="s">
        <v>113</v>
      </c>
      <c r="F3489">
        <v>4</v>
      </c>
      <c r="G3489">
        <v>930.41</v>
      </c>
      <c r="H3489">
        <v>0.04</v>
      </c>
      <c r="I3489" s="4">
        <v>3572.77</v>
      </c>
      <c r="J3489" t="s">
        <v>109</v>
      </c>
      <c r="K3489" t="s">
        <v>17</v>
      </c>
      <c r="L3489" s="4">
        <f>VLOOKUP(tblTransactions[[#This Row],[Product_ID]],tblProducts[],5,FALSE)</f>
        <v>595.51</v>
      </c>
      <c r="M3489" s="4">
        <f>tblTransactions[[#This Row],[Total_Amount]]-(tblTransactions[[#This Row],[Cost_Prices]]*tblTransactions[[#This Row],[Quantity]]*(1-tblTransactions[[#This Row],[Discount]]))</f>
        <v>1286.0116000000003</v>
      </c>
      <c r="N3489" s="3">
        <f>tblTransactions[[#This Row],[Profit]]/tblTransactions[[#This Row],[Total_Amount]]</f>
        <v>0.35994805151185222</v>
      </c>
      <c r="O3489" t="str">
        <f>TEXT(tblTransactions[[#This Row],[Date]], "MMM-YYYY")</f>
        <v>Dec-2024</v>
      </c>
      <c r="P3489" t="str">
        <f>"Q"&amp;ROUNDUP(MONTH(tblTransactions[[#This Row],[Date]])/3,0)&amp;"-"&amp;YEAR(tblTransactions[[#This Row],[Date]])</f>
        <v>Q4-2024</v>
      </c>
      <c r="Q3489">
        <f>YEAR(tblTransactions[[#This Row],[Date]])</f>
        <v>2024</v>
      </c>
      <c r="R3489" t="str">
        <f>TEXT(tblTransactions[[#This Row],[Date]],"DDDD")</f>
        <v>Saturday</v>
      </c>
      <c r="S3489">
        <f>MONTH(tblTransactions[[#This Row],[Date]])</f>
        <v>12</v>
      </c>
      <c r="T3489" t="str">
        <f>VLOOKUP(E3489, Products!$A:$B,2,0)</f>
        <v>Phones Ele-1</v>
      </c>
      <c r="U3489" t="str">
        <f>VLOOKUP(E3489,Products!$A:$C,3,0)</f>
        <v>Electronics</v>
      </c>
      <c r="V3489" t="str">
        <f>VLOOKUP(E3489,Products!$A:$D,4,0)</f>
        <v>Phones</v>
      </c>
      <c r="W3489" t="str">
        <f>VLOOKUP(D3489,Customers!$A:$C,3,0)</f>
        <v>Small Business</v>
      </c>
      <c r="X3489" t="str">
        <f>VLOOKUP(C3489,Sales_Representatives!$A:$B,2,0)</f>
        <v>Richard Garcia</v>
      </c>
    </row>
    <row r="3490" spans="1:24" x14ac:dyDescent="0.3">
      <c r="A3490" t="s">
        <v>4665</v>
      </c>
      <c r="B3490" t="s">
        <v>4661</v>
      </c>
      <c r="C3490" t="s">
        <v>27</v>
      </c>
      <c r="D3490" t="s">
        <v>1900</v>
      </c>
      <c r="E3490" t="s">
        <v>152</v>
      </c>
      <c r="F3490">
        <v>7</v>
      </c>
      <c r="G3490">
        <v>859.93</v>
      </c>
      <c r="H3490">
        <v>0.1</v>
      </c>
      <c r="I3490" s="4">
        <v>5417.56</v>
      </c>
      <c r="J3490" t="s">
        <v>16</v>
      </c>
      <c r="K3490" t="s">
        <v>35</v>
      </c>
      <c r="L3490" s="4">
        <f>VLOOKUP(tblTransactions[[#This Row],[Product_ID]],tblProducts[],5,FALSE)</f>
        <v>579.79</v>
      </c>
      <c r="M3490" s="4">
        <f>tblTransactions[[#This Row],[Total_Amount]]-(tblTransactions[[#This Row],[Cost_Prices]]*tblTransactions[[#This Row],[Quantity]]*(1-tblTransactions[[#This Row],[Discount]]))</f>
        <v>1764.8830000000007</v>
      </c>
      <c r="N3490" s="3">
        <f>tblTransactions[[#This Row],[Profit]]/tblTransactions[[#This Row],[Total_Amount]]</f>
        <v>0.32577082671903967</v>
      </c>
      <c r="O3490" t="str">
        <f>TEXT(tblTransactions[[#This Row],[Date]], "MMM-YYYY")</f>
        <v>Dec-2024</v>
      </c>
      <c r="P3490" t="str">
        <f>"Q"&amp;ROUNDUP(MONTH(tblTransactions[[#This Row],[Date]])/3,0)&amp;"-"&amp;YEAR(tblTransactions[[#This Row],[Date]])</f>
        <v>Q4-2024</v>
      </c>
      <c r="Q3490">
        <f>YEAR(tblTransactions[[#This Row],[Date]])</f>
        <v>2024</v>
      </c>
      <c r="R3490" t="str">
        <f>TEXT(tblTransactions[[#This Row],[Date]],"DDDD")</f>
        <v>Saturday</v>
      </c>
      <c r="S3490">
        <f>MONTH(tblTransactions[[#This Row],[Date]])</f>
        <v>12</v>
      </c>
      <c r="T3490" t="str">
        <f>VLOOKUP(E3490, Products!$A:$B,2,0)</f>
        <v>Phones Ele-4</v>
      </c>
      <c r="U3490" t="str">
        <f>VLOOKUP(E3490,Products!$A:$C,3,0)</f>
        <v>Electronics</v>
      </c>
      <c r="V3490" t="str">
        <f>VLOOKUP(E3490,Products!$A:$D,4,0)</f>
        <v>Phones</v>
      </c>
      <c r="W3490" t="str">
        <f>VLOOKUP(D3490,Customers!$A:$C,3,0)</f>
        <v>B2C</v>
      </c>
      <c r="X3490" t="str">
        <f>VLOOKUP(C3490,Sales_Representatives!$A:$B,2,0)</f>
        <v>Thomas Lopez</v>
      </c>
    </row>
    <row r="3491" spans="1:24" x14ac:dyDescent="0.3">
      <c r="A3491" t="s">
        <v>4666</v>
      </c>
      <c r="B3491" t="s">
        <v>4661</v>
      </c>
      <c r="C3491" t="s">
        <v>31</v>
      </c>
      <c r="D3491" t="s">
        <v>1561</v>
      </c>
      <c r="E3491" t="s">
        <v>204</v>
      </c>
      <c r="F3491">
        <v>14</v>
      </c>
      <c r="G3491">
        <v>715.62</v>
      </c>
      <c r="H3491">
        <v>0.14000000000000001</v>
      </c>
      <c r="I3491" s="4">
        <v>8616.06</v>
      </c>
      <c r="J3491" t="s">
        <v>34</v>
      </c>
      <c r="K3491" t="s">
        <v>48</v>
      </c>
      <c r="L3491" s="4">
        <f>VLOOKUP(tblTransactions[[#This Row],[Product_ID]],tblProducts[],5,FALSE)</f>
        <v>459.58</v>
      </c>
      <c r="M3491" s="4">
        <f>tblTransactions[[#This Row],[Total_Amount]]-(tblTransactions[[#This Row],[Cost_Prices]]*tblTransactions[[#This Row],[Quantity]]*(1-tblTransactions[[#This Row],[Discount]]))</f>
        <v>3082.7167999999992</v>
      </c>
      <c r="N3491" s="3">
        <f>tblTransactions[[#This Row],[Profit]]/tblTransactions[[#This Row],[Total_Amount]]</f>
        <v>0.35778729488884703</v>
      </c>
      <c r="O3491" t="str">
        <f>TEXT(tblTransactions[[#This Row],[Date]], "MMM-YYYY")</f>
        <v>Dec-2024</v>
      </c>
      <c r="P3491" t="str">
        <f>"Q"&amp;ROUNDUP(MONTH(tblTransactions[[#This Row],[Date]])/3,0)&amp;"-"&amp;YEAR(tblTransactions[[#This Row],[Date]])</f>
        <v>Q4-2024</v>
      </c>
      <c r="Q3491">
        <f>YEAR(tblTransactions[[#This Row],[Date]])</f>
        <v>2024</v>
      </c>
      <c r="R3491" t="str">
        <f>TEXT(tblTransactions[[#This Row],[Date]],"DDDD")</f>
        <v>Saturday</v>
      </c>
      <c r="S3491">
        <f>MONTH(tblTransactions[[#This Row],[Date]])</f>
        <v>12</v>
      </c>
      <c r="T3491" t="str">
        <f>VLOOKUP(E3491, Products!$A:$B,2,0)</f>
        <v>Cameras Ele-2</v>
      </c>
      <c r="U3491" t="str">
        <f>VLOOKUP(E3491,Products!$A:$C,3,0)</f>
        <v>Electronics</v>
      </c>
      <c r="V3491" t="str">
        <f>VLOOKUP(E3491,Products!$A:$D,4,0)</f>
        <v>Cameras</v>
      </c>
      <c r="W3491" t="str">
        <f>VLOOKUP(D3491,Customers!$A:$C,3,0)</f>
        <v>B2B</v>
      </c>
      <c r="X3491" t="str">
        <f>VLOOKUP(C3491,Sales_Representatives!$A:$B,2,0)</f>
        <v>Thomas Martinez</v>
      </c>
    </row>
    <row r="3492" spans="1:24" x14ac:dyDescent="0.3">
      <c r="A3492" t="s">
        <v>4667</v>
      </c>
      <c r="B3492" t="s">
        <v>4668</v>
      </c>
      <c r="C3492" t="s">
        <v>31</v>
      </c>
      <c r="D3492" t="s">
        <v>1765</v>
      </c>
      <c r="E3492" t="s">
        <v>105</v>
      </c>
      <c r="F3492">
        <v>3</v>
      </c>
      <c r="G3492">
        <v>1342.04</v>
      </c>
      <c r="H3492">
        <v>7.0000000000000007E-2</v>
      </c>
      <c r="I3492" s="4">
        <v>3744.29</v>
      </c>
      <c r="J3492" t="s">
        <v>34</v>
      </c>
      <c r="K3492" t="s">
        <v>35</v>
      </c>
      <c r="L3492" s="4">
        <f>VLOOKUP(tblTransactions[[#This Row],[Product_ID]],tblProducts[],5,FALSE)</f>
        <v>792.89</v>
      </c>
      <c r="M3492" s="4">
        <f>tblTransactions[[#This Row],[Total_Amount]]-(tblTransactions[[#This Row],[Cost_Prices]]*tblTransactions[[#This Row],[Quantity]]*(1-tblTransactions[[#This Row],[Discount]]))</f>
        <v>1532.1269000000002</v>
      </c>
      <c r="N3492" s="3">
        <f>tblTransactions[[#This Row],[Profit]]/tblTransactions[[#This Row],[Total_Amount]]</f>
        <v>0.40919023366245677</v>
      </c>
      <c r="O3492" t="str">
        <f>TEXT(tblTransactions[[#This Row],[Date]], "MMM-YYYY")</f>
        <v>Dec-2024</v>
      </c>
      <c r="P3492" t="str">
        <f>"Q"&amp;ROUNDUP(MONTH(tblTransactions[[#This Row],[Date]])/3,0)&amp;"-"&amp;YEAR(tblTransactions[[#This Row],[Date]])</f>
        <v>Q4-2024</v>
      </c>
      <c r="Q3492">
        <f>YEAR(tblTransactions[[#This Row],[Date]])</f>
        <v>2024</v>
      </c>
      <c r="R3492" t="str">
        <f>TEXT(tblTransactions[[#This Row],[Date]],"DDDD")</f>
        <v>Sunday</v>
      </c>
      <c r="S3492">
        <f>MONTH(tblTransactions[[#This Row],[Date]])</f>
        <v>12</v>
      </c>
      <c r="T3492" t="str">
        <f>VLOOKUP(E3492, Products!$A:$B,2,0)</f>
        <v>Cameras Ele-1</v>
      </c>
      <c r="U3492" t="str">
        <f>VLOOKUP(E3492,Products!$A:$C,3,0)</f>
        <v>Electronics</v>
      </c>
      <c r="V3492" t="str">
        <f>VLOOKUP(E3492,Products!$A:$D,4,0)</f>
        <v>Cameras</v>
      </c>
      <c r="W3492" t="str">
        <f>VLOOKUP(D3492,Customers!$A:$C,3,0)</f>
        <v>B2C</v>
      </c>
      <c r="X3492" t="str">
        <f>VLOOKUP(C3492,Sales_Representatives!$A:$B,2,0)</f>
        <v>Thomas Martinez</v>
      </c>
    </row>
    <row r="3493" spans="1:24" x14ac:dyDescent="0.3">
      <c r="A3493" t="s">
        <v>4669</v>
      </c>
      <c r="B3493" t="s">
        <v>4668</v>
      </c>
      <c r="C3493" t="s">
        <v>56</v>
      </c>
      <c r="D3493" t="s">
        <v>1591</v>
      </c>
      <c r="E3493" t="s">
        <v>255</v>
      </c>
      <c r="F3493">
        <v>45</v>
      </c>
      <c r="G3493">
        <v>1444.13</v>
      </c>
      <c r="H3493">
        <v>0.15</v>
      </c>
      <c r="I3493" s="4">
        <v>55237.97</v>
      </c>
      <c r="J3493" t="s">
        <v>34</v>
      </c>
      <c r="K3493" t="s">
        <v>48</v>
      </c>
      <c r="L3493" s="4">
        <f>VLOOKUP(tblTransactions[[#This Row],[Product_ID]],tblProducts[],5,FALSE)</f>
        <v>874.43</v>
      </c>
      <c r="M3493" s="4">
        <f>tblTransactions[[#This Row],[Total_Amount]]-(tblTransactions[[#This Row],[Cost_Prices]]*tblTransactions[[#This Row],[Quantity]]*(1-tblTransactions[[#This Row],[Discount]]))</f>
        <v>21791.022500000006</v>
      </c>
      <c r="N3493" s="3">
        <f>tblTransactions[[#This Row],[Profit]]/tblTransactions[[#This Row],[Total_Amount]]</f>
        <v>0.39449354311898149</v>
      </c>
      <c r="O3493" t="str">
        <f>TEXT(tblTransactions[[#This Row],[Date]], "MMM-YYYY")</f>
        <v>Dec-2024</v>
      </c>
      <c r="P3493" t="str">
        <f>"Q"&amp;ROUNDUP(MONTH(tblTransactions[[#This Row],[Date]])/3,0)&amp;"-"&amp;YEAR(tblTransactions[[#This Row],[Date]])</f>
        <v>Q4-2024</v>
      </c>
      <c r="Q3493">
        <f>YEAR(tblTransactions[[#This Row],[Date]])</f>
        <v>2024</v>
      </c>
      <c r="R3493" t="str">
        <f>TEXT(tblTransactions[[#This Row],[Date]],"DDDD")</f>
        <v>Sunday</v>
      </c>
      <c r="S3493">
        <f>MONTH(tblTransactions[[#This Row],[Date]])</f>
        <v>12</v>
      </c>
      <c r="T3493" t="str">
        <f>VLOOKUP(E3493, Products!$A:$B,2,0)</f>
        <v>Printers Tec-1</v>
      </c>
      <c r="U3493" t="str">
        <f>VLOOKUP(E3493,Products!$A:$C,3,0)</f>
        <v>Technology</v>
      </c>
      <c r="V3493" t="str">
        <f>VLOOKUP(E3493,Products!$A:$D,4,0)</f>
        <v>Printers</v>
      </c>
      <c r="W3493" t="str">
        <f>VLOOKUP(D3493,Customers!$A:$C,3,0)</f>
        <v>Enterprise</v>
      </c>
      <c r="X3493" t="str">
        <f>VLOOKUP(C3493,Sales_Representatives!$A:$B,2,0)</f>
        <v>Thomas Hernandez</v>
      </c>
    </row>
    <row r="3494" spans="1:24" x14ac:dyDescent="0.3">
      <c r="A3494" t="s">
        <v>4670</v>
      </c>
      <c r="B3494" t="s">
        <v>4668</v>
      </c>
      <c r="C3494" t="s">
        <v>31</v>
      </c>
      <c r="D3494" t="s">
        <v>2054</v>
      </c>
      <c r="E3494" t="s">
        <v>137</v>
      </c>
      <c r="F3494">
        <v>1</v>
      </c>
      <c r="G3494">
        <v>241.39</v>
      </c>
      <c r="H3494">
        <v>0.09</v>
      </c>
      <c r="I3494" s="4">
        <v>219.66</v>
      </c>
      <c r="J3494" t="s">
        <v>34</v>
      </c>
      <c r="K3494" t="s">
        <v>39</v>
      </c>
      <c r="L3494" s="4">
        <f>VLOOKUP(tblTransactions[[#This Row],[Product_ID]],tblProducts[],5,FALSE)</f>
        <v>124.07</v>
      </c>
      <c r="M3494" s="4">
        <f>tblTransactions[[#This Row],[Total_Amount]]-(tblTransactions[[#This Row],[Cost_Prices]]*tblTransactions[[#This Row],[Quantity]]*(1-tblTransactions[[#This Row],[Discount]]))</f>
        <v>106.7563</v>
      </c>
      <c r="N3494" s="3">
        <f>tblTransactions[[#This Row],[Profit]]/tblTransactions[[#This Row],[Total_Amount]]</f>
        <v>0.4860070108349267</v>
      </c>
      <c r="O3494" t="str">
        <f>TEXT(tblTransactions[[#This Row],[Date]], "MMM-YYYY")</f>
        <v>Dec-2024</v>
      </c>
      <c r="P3494" t="str">
        <f>"Q"&amp;ROUNDUP(MONTH(tblTransactions[[#This Row],[Date]])/3,0)&amp;"-"&amp;YEAR(tblTransactions[[#This Row],[Date]])</f>
        <v>Q4-2024</v>
      </c>
      <c r="Q3494">
        <f>YEAR(tblTransactions[[#This Row],[Date]])</f>
        <v>2024</v>
      </c>
      <c r="R3494" t="str">
        <f>TEXT(tblTransactions[[#This Row],[Date]],"DDDD")</f>
        <v>Sunday</v>
      </c>
      <c r="S3494">
        <f>MONTH(tblTransactions[[#This Row],[Date]])</f>
        <v>12</v>
      </c>
      <c r="T3494" t="str">
        <f>VLOOKUP(E3494, Products!$A:$B,2,0)</f>
        <v>Desks Fur-2</v>
      </c>
      <c r="U3494" t="str">
        <f>VLOOKUP(E3494,Products!$A:$C,3,0)</f>
        <v>Furniture</v>
      </c>
      <c r="V3494" t="str">
        <f>VLOOKUP(E3494,Products!$A:$D,4,0)</f>
        <v>Desks</v>
      </c>
      <c r="W3494" t="str">
        <f>VLOOKUP(D3494,Customers!$A:$C,3,0)</f>
        <v>Small Business</v>
      </c>
      <c r="X3494" t="str">
        <f>VLOOKUP(C3494,Sales_Representatives!$A:$B,2,0)</f>
        <v>Thomas Martinez</v>
      </c>
    </row>
    <row r="3495" spans="1:24" x14ac:dyDescent="0.3">
      <c r="A3495" t="s">
        <v>4671</v>
      </c>
      <c r="B3495" t="s">
        <v>4668</v>
      </c>
      <c r="C3495" t="s">
        <v>107</v>
      </c>
      <c r="D3495" t="s">
        <v>1666</v>
      </c>
      <c r="E3495" t="s">
        <v>102</v>
      </c>
      <c r="F3495">
        <v>31</v>
      </c>
      <c r="G3495">
        <v>1097.75</v>
      </c>
      <c r="H3495">
        <v>0.25</v>
      </c>
      <c r="I3495" s="4">
        <v>25522.69</v>
      </c>
      <c r="J3495" t="s">
        <v>109</v>
      </c>
      <c r="K3495" t="s">
        <v>22</v>
      </c>
      <c r="L3495" s="4">
        <f>VLOOKUP(tblTransactions[[#This Row],[Product_ID]],tblProducts[],5,FALSE)</f>
        <v>680.12</v>
      </c>
      <c r="M3495" s="4">
        <f>tblTransactions[[#This Row],[Total_Amount]]-(tblTransactions[[#This Row],[Cost_Prices]]*tblTransactions[[#This Row],[Quantity]]*(1-tblTransactions[[#This Row],[Discount]]))</f>
        <v>9709.8999999999978</v>
      </c>
      <c r="N3495" s="3">
        <f>tblTransactions[[#This Row],[Profit]]/tblTransactions[[#This Row],[Total_Amount]]</f>
        <v>0.38044187348590602</v>
      </c>
      <c r="O3495" t="str">
        <f>TEXT(tblTransactions[[#This Row],[Date]], "MMM-YYYY")</f>
        <v>Dec-2024</v>
      </c>
      <c r="P3495" t="str">
        <f>"Q"&amp;ROUNDUP(MONTH(tblTransactions[[#This Row],[Date]])/3,0)&amp;"-"&amp;YEAR(tblTransactions[[#This Row],[Date]])</f>
        <v>Q4-2024</v>
      </c>
      <c r="Q3495">
        <f>YEAR(tblTransactions[[#This Row],[Date]])</f>
        <v>2024</v>
      </c>
      <c r="R3495" t="str">
        <f>TEXT(tblTransactions[[#This Row],[Date]],"DDDD")</f>
        <v>Sunday</v>
      </c>
      <c r="S3495">
        <f>MONTH(tblTransactions[[#This Row],[Date]])</f>
        <v>12</v>
      </c>
      <c r="T3495" t="str">
        <f>VLOOKUP(E3495, Products!$A:$B,2,0)</f>
        <v>Storage Fur-4</v>
      </c>
      <c r="U3495" t="str">
        <f>VLOOKUP(E3495,Products!$A:$C,3,0)</f>
        <v>Furniture</v>
      </c>
      <c r="V3495" t="str">
        <f>VLOOKUP(E3495,Products!$A:$D,4,0)</f>
        <v>Storage</v>
      </c>
      <c r="W3495" t="str">
        <f>VLOOKUP(D3495,Customers!$A:$C,3,0)</f>
        <v>Enterprise</v>
      </c>
      <c r="X3495" t="str">
        <f>VLOOKUP(C3495,Sales_Representatives!$A:$B,2,0)</f>
        <v>Jennifer Brown</v>
      </c>
    </row>
    <row r="3496" spans="1:24" x14ac:dyDescent="0.3">
      <c r="A3496" t="s">
        <v>4672</v>
      </c>
      <c r="B3496" t="s">
        <v>4668</v>
      </c>
      <c r="C3496" t="s">
        <v>63</v>
      </c>
      <c r="D3496" t="s">
        <v>3847</v>
      </c>
      <c r="E3496" t="s">
        <v>53</v>
      </c>
      <c r="F3496">
        <v>7</v>
      </c>
      <c r="G3496">
        <v>2069.2199999999998</v>
      </c>
      <c r="H3496">
        <v>0.11</v>
      </c>
      <c r="I3496" s="4">
        <v>12891.24</v>
      </c>
      <c r="J3496" t="s">
        <v>21</v>
      </c>
      <c r="K3496" t="s">
        <v>22</v>
      </c>
      <c r="L3496" s="4">
        <f>VLOOKUP(tblTransactions[[#This Row],[Product_ID]],tblProducts[],5,FALSE)</f>
        <v>1451.18</v>
      </c>
      <c r="M3496" s="4">
        <f>tblTransactions[[#This Row],[Total_Amount]]-(tblTransactions[[#This Row],[Cost_Prices]]*tblTransactions[[#This Row],[Quantity]]*(1-tblTransactions[[#This Row],[Discount]]))</f>
        <v>3850.3886000000002</v>
      </c>
      <c r="N3496" s="3">
        <f>tblTransactions[[#This Row],[Profit]]/tblTransactions[[#This Row],[Total_Amount]]</f>
        <v>0.29868256273252225</v>
      </c>
      <c r="O3496" t="str">
        <f>TEXT(tblTransactions[[#This Row],[Date]], "MMM-YYYY")</f>
        <v>Dec-2024</v>
      </c>
      <c r="P3496" t="str">
        <f>"Q"&amp;ROUNDUP(MONTH(tblTransactions[[#This Row],[Date]])/3,0)&amp;"-"&amp;YEAR(tblTransactions[[#This Row],[Date]])</f>
        <v>Q4-2024</v>
      </c>
      <c r="Q3496">
        <f>YEAR(tblTransactions[[#This Row],[Date]])</f>
        <v>2024</v>
      </c>
      <c r="R3496" t="str">
        <f>TEXT(tblTransactions[[#This Row],[Date]],"DDDD")</f>
        <v>Sunday</v>
      </c>
      <c r="S3496">
        <f>MONTH(tblTransactions[[#This Row],[Date]])</f>
        <v>12</v>
      </c>
      <c r="T3496" t="str">
        <f>VLOOKUP(E3496, Products!$A:$B,2,0)</f>
        <v>Printers Tec-3</v>
      </c>
      <c r="U3496" t="str">
        <f>VLOOKUP(E3496,Products!$A:$C,3,0)</f>
        <v>Technology</v>
      </c>
      <c r="V3496" t="str">
        <f>VLOOKUP(E3496,Products!$A:$D,4,0)</f>
        <v>Printers</v>
      </c>
      <c r="W3496" t="str">
        <f>VLOOKUP(D3496,Customers!$A:$C,3,0)</f>
        <v>B2C</v>
      </c>
      <c r="X3496" t="str">
        <f>VLOOKUP(C3496,Sales_Representatives!$A:$B,2,0)</f>
        <v>Richard Wilson</v>
      </c>
    </row>
    <row r="3497" spans="1:24" x14ac:dyDescent="0.3">
      <c r="A3497" t="s">
        <v>4673</v>
      </c>
      <c r="B3497" t="s">
        <v>4668</v>
      </c>
      <c r="C3497" t="s">
        <v>63</v>
      </c>
      <c r="D3497" t="s">
        <v>2686</v>
      </c>
      <c r="E3497" t="s">
        <v>38</v>
      </c>
      <c r="F3497">
        <v>7</v>
      </c>
      <c r="G3497">
        <v>581.47</v>
      </c>
      <c r="H3497">
        <v>0.15</v>
      </c>
      <c r="I3497" s="4">
        <v>3459.75</v>
      </c>
      <c r="J3497" t="s">
        <v>21</v>
      </c>
      <c r="K3497" t="s">
        <v>39</v>
      </c>
      <c r="L3497" s="4">
        <f>VLOOKUP(tblTransactions[[#This Row],[Product_ID]],tblProducts[],5,FALSE)</f>
        <v>372.07</v>
      </c>
      <c r="M3497" s="4">
        <f>tblTransactions[[#This Row],[Total_Amount]]-(tblTransactions[[#This Row],[Cost_Prices]]*tblTransactions[[#This Row],[Quantity]]*(1-tblTransactions[[#This Row],[Discount]]))</f>
        <v>1245.9335000000001</v>
      </c>
      <c r="N3497" s="3">
        <f>tblTransactions[[#This Row],[Profit]]/tblTransactions[[#This Row],[Total_Amount]]</f>
        <v>0.3601224076884168</v>
      </c>
      <c r="O3497" t="str">
        <f>TEXT(tblTransactions[[#This Row],[Date]], "MMM-YYYY")</f>
        <v>Dec-2024</v>
      </c>
      <c r="P3497" t="str">
        <f>"Q"&amp;ROUNDUP(MONTH(tblTransactions[[#This Row],[Date]])/3,0)&amp;"-"&amp;YEAR(tblTransactions[[#This Row],[Date]])</f>
        <v>Q4-2024</v>
      </c>
      <c r="Q3497">
        <f>YEAR(tblTransactions[[#This Row],[Date]])</f>
        <v>2024</v>
      </c>
      <c r="R3497" t="str">
        <f>TEXT(tblTransactions[[#This Row],[Date]],"DDDD")</f>
        <v>Sunday</v>
      </c>
      <c r="S3497">
        <f>MONTH(tblTransactions[[#This Row],[Date]])</f>
        <v>12</v>
      </c>
      <c r="T3497" t="str">
        <f>VLOOKUP(E3497, Products!$A:$B,2,0)</f>
        <v>Storage Fur-3</v>
      </c>
      <c r="U3497" t="str">
        <f>VLOOKUP(E3497,Products!$A:$C,3,0)</f>
        <v>Furniture</v>
      </c>
      <c r="V3497" t="str">
        <f>VLOOKUP(E3497,Products!$A:$D,4,0)</f>
        <v>Storage</v>
      </c>
      <c r="W3497" t="str">
        <f>VLOOKUP(D3497,Customers!$A:$C,3,0)</f>
        <v>Small Business</v>
      </c>
      <c r="X3497" t="str">
        <f>VLOOKUP(C3497,Sales_Representatives!$A:$B,2,0)</f>
        <v>Richard Wilson</v>
      </c>
    </row>
    <row r="3498" spans="1:24" x14ac:dyDescent="0.3">
      <c r="A3498" t="s">
        <v>4674</v>
      </c>
      <c r="B3498" t="s">
        <v>4675</v>
      </c>
      <c r="C3498" t="s">
        <v>131</v>
      </c>
      <c r="D3498" t="s">
        <v>1481</v>
      </c>
      <c r="E3498" t="s">
        <v>38</v>
      </c>
      <c r="F3498">
        <v>7</v>
      </c>
      <c r="G3498">
        <v>581.47</v>
      </c>
      <c r="H3498">
        <v>7.0000000000000007E-2</v>
      </c>
      <c r="I3498" s="4">
        <v>3785.37</v>
      </c>
      <c r="J3498" t="s">
        <v>44</v>
      </c>
      <c r="K3498" t="s">
        <v>17</v>
      </c>
      <c r="L3498" s="4">
        <f>VLOOKUP(tblTransactions[[#This Row],[Product_ID]],tblProducts[],5,FALSE)</f>
        <v>372.07</v>
      </c>
      <c r="M3498" s="4">
        <f>tblTransactions[[#This Row],[Total_Amount]]-(tblTransactions[[#This Row],[Cost_Prices]]*tblTransactions[[#This Row],[Quantity]]*(1-tblTransactions[[#This Row],[Discount]]))</f>
        <v>1363.1943000000001</v>
      </c>
      <c r="N3498" s="3">
        <f>tblTransactions[[#This Row],[Profit]]/tblTransactions[[#This Row],[Total_Amount]]</f>
        <v>0.36012181107791319</v>
      </c>
      <c r="O3498" t="str">
        <f>TEXT(tblTransactions[[#This Row],[Date]], "MMM-YYYY")</f>
        <v>Dec-2024</v>
      </c>
      <c r="P3498" t="str">
        <f>"Q"&amp;ROUNDUP(MONTH(tblTransactions[[#This Row],[Date]])/3,0)&amp;"-"&amp;YEAR(tblTransactions[[#This Row],[Date]])</f>
        <v>Q4-2024</v>
      </c>
      <c r="Q3498">
        <f>YEAR(tblTransactions[[#This Row],[Date]])</f>
        <v>2024</v>
      </c>
      <c r="R3498" t="str">
        <f>TEXT(tblTransactions[[#This Row],[Date]],"DDDD")</f>
        <v>Monday</v>
      </c>
      <c r="S3498">
        <f>MONTH(tblTransactions[[#This Row],[Date]])</f>
        <v>12</v>
      </c>
      <c r="T3498" t="str">
        <f>VLOOKUP(E3498, Products!$A:$B,2,0)</f>
        <v>Storage Fur-3</v>
      </c>
      <c r="U3498" t="str">
        <f>VLOOKUP(E3498,Products!$A:$C,3,0)</f>
        <v>Furniture</v>
      </c>
      <c r="V3498" t="str">
        <f>VLOOKUP(E3498,Products!$A:$D,4,0)</f>
        <v>Storage</v>
      </c>
      <c r="W3498" t="str">
        <f>VLOOKUP(D3498,Customers!$A:$C,3,0)</f>
        <v>B2B</v>
      </c>
      <c r="X3498" t="str">
        <f>VLOOKUP(C3498,Sales_Representatives!$A:$B,2,0)</f>
        <v>Michael Davis</v>
      </c>
    </row>
    <row r="3499" spans="1:24" x14ac:dyDescent="0.3">
      <c r="A3499" t="s">
        <v>4676</v>
      </c>
      <c r="B3499" t="s">
        <v>4675</v>
      </c>
      <c r="C3499" t="s">
        <v>19</v>
      </c>
      <c r="D3499" t="s">
        <v>210</v>
      </c>
      <c r="E3499" t="s">
        <v>204</v>
      </c>
      <c r="F3499">
        <v>15</v>
      </c>
      <c r="G3499">
        <v>715.62</v>
      </c>
      <c r="H3499">
        <v>0.19</v>
      </c>
      <c r="I3499" s="4">
        <v>8694.7800000000007</v>
      </c>
      <c r="J3499" t="s">
        <v>21</v>
      </c>
      <c r="K3499" t="s">
        <v>48</v>
      </c>
      <c r="L3499" s="4">
        <f>VLOOKUP(tblTransactions[[#This Row],[Product_ID]],tblProducts[],5,FALSE)</f>
        <v>459.58</v>
      </c>
      <c r="M3499" s="4">
        <f>tblTransactions[[#This Row],[Total_Amount]]-(tblTransactions[[#This Row],[Cost_Prices]]*tblTransactions[[#This Row],[Quantity]]*(1-tblTransactions[[#This Row],[Discount]]))</f>
        <v>3110.8830000000007</v>
      </c>
      <c r="N3499" s="3">
        <f>tblTransactions[[#This Row],[Profit]]/tblTransactions[[#This Row],[Total_Amount]]</f>
        <v>0.3577874310793373</v>
      </c>
      <c r="O3499" t="str">
        <f>TEXT(tblTransactions[[#This Row],[Date]], "MMM-YYYY")</f>
        <v>Dec-2024</v>
      </c>
      <c r="P3499" t="str">
        <f>"Q"&amp;ROUNDUP(MONTH(tblTransactions[[#This Row],[Date]])/3,0)&amp;"-"&amp;YEAR(tblTransactions[[#This Row],[Date]])</f>
        <v>Q4-2024</v>
      </c>
      <c r="Q3499">
        <f>YEAR(tblTransactions[[#This Row],[Date]])</f>
        <v>2024</v>
      </c>
      <c r="R3499" t="str">
        <f>TEXT(tblTransactions[[#This Row],[Date]],"DDDD")</f>
        <v>Monday</v>
      </c>
      <c r="S3499">
        <f>MONTH(tblTransactions[[#This Row],[Date]])</f>
        <v>12</v>
      </c>
      <c r="T3499" t="str">
        <f>VLOOKUP(E3499, Products!$A:$B,2,0)</f>
        <v>Cameras Ele-2</v>
      </c>
      <c r="U3499" t="str">
        <f>VLOOKUP(E3499,Products!$A:$C,3,0)</f>
        <v>Electronics</v>
      </c>
      <c r="V3499" t="str">
        <f>VLOOKUP(E3499,Products!$A:$D,4,0)</f>
        <v>Cameras</v>
      </c>
      <c r="W3499" t="str">
        <f>VLOOKUP(D3499,Customers!$A:$C,3,0)</f>
        <v>B2B</v>
      </c>
      <c r="X3499" t="str">
        <f>VLOOKUP(C3499,Sales_Representatives!$A:$B,2,0)</f>
        <v>Robert Jones</v>
      </c>
    </row>
    <row r="3500" spans="1:24" x14ac:dyDescent="0.3">
      <c r="A3500" t="s">
        <v>4677</v>
      </c>
      <c r="B3500" t="s">
        <v>4675</v>
      </c>
      <c r="C3500" t="s">
        <v>59</v>
      </c>
      <c r="D3500" t="s">
        <v>164</v>
      </c>
      <c r="E3500" t="s">
        <v>157</v>
      </c>
      <c r="F3500">
        <v>2</v>
      </c>
      <c r="G3500">
        <v>1227.68</v>
      </c>
      <c r="H3500">
        <v>0.02</v>
      </c>
      <c r="I3500" s="4">
        <v>2406.25</v>
      </c>
      <c r="J3500" t="s">
        <v>21</v>
      </c>
      <c r="K3500" t="s">
        <v>35</v>
      </c>
      <c r="L3500" s="4">
        <f>VLOOKUP(tblTransactions[[#This Row],[Product_ID]],tblProducts[],5,FALSE)</f>
        <v>846.42</v>
      </c>
      <c r="M3500" s="4">
        <f>tblTransactions[[#This Row],[Total_Amount]]-(tblTransactions[[#This Row],[Cost_Prices]]*tblTransactions[[#This Row],[Quantity]]*(1-tblTransactions[[#This Row],[Discount]]))</f>
        <v>747.2668000000001</v>
      </c>
      <c r="N3500" s="3">
        <f>tblTransactions[[#This Row],[Profit]]/tblTransactions[[#This Row],[Total_Amount]]</f>
        <v>0.31055243636363639</v>
      </c>
      <c r="O3500" t="str">
        <f>TEXT(tblTransactions[[#This Row],[Date]], "MMM-YYYY")</f>
        <v>Dec-2024</v>
      </c>
      <c r="P3500" t="str">
        <f>"Q"&amp;ROUNDUP(MONTH(tblTransactions[[#This Row],[Date]])/3,0)&amp;"-"&amp;YEAR(tblTransactions[[#This Row],[Date]])</f>
        <v>Q4-2024</v>
      </c>
      <c r="Q3500">
        <f>YEAR(tblTransactions[[#This Row],[Date]])</f>
        <v>2024</v>
      </c>
      <c r="R3500" t="str">
        <f>TEXT(tblTransactions[[#This Row],[Date]],"DDDD")</f>
        <v>Monday</v>
      </c>
      <c r="S3500">
        <f>MONTH(tblTransactions[[#This Row],[Date]])</f>
        <v>12</v>
      </c>
      <c r="T3500" t="str">
        <f>VLOOKUP(E3500, Products!$A:$B,2,0)</f>
        <v>Printers Tec-4</v>
      </c>
      <c r="U3500" t="str">
        <f>VLOOKUP(E3500,Products!$A:$C,3,0)</f>
        <v>Technology</v>
      </c>
      <c r="V3500" t="str">
        <f>VLOOKUP(E3500,Products!$A:$D,4,0)</f>
        <v>Printers</v>
      </c>
      <c r="W3500" t="str">
        <f>VLOOKUP(D3500,Customers!$A:$C,3,0)</f>
        <v>Small Business</v>
      </c>
      <c r="X3500" t="str">
        <f>VLOOKUP(C3500,Sales_Representatives!$A:$B,2,0)</f>
        <v>Sarah Brown</v>
      </c>
    </row>
    <row r="3501" spans="1:24" x14ac:dyDescent="0.3">
      <c r="A3501" t="s">
        <v>4678</v>
      </c>
      <c r="B3501" t="s">
        <v>4675</v>
      </c>
      <c r="C3501" t="s">
        <v>27</v>
      </c>
      <c r="D3501" t="s">
        <v>1801</v>
      </c>
      <c r="E3501" t="s">
        <v>72</v>
      </c>
      <c r="F3501">
        <v>1</v>
      </c>
      <c r="G3501">
        <v>404.76</v>
      </c>
      <c r="H3501">
        <v>0.03</v>
      </c>
      <c r="I3501" s="4">
        <v>392.62</v>
      </c>
      <c r="J3501" t="s">
        <v>16</v>
      </c>
      <c r="K3501" t="s">
        <v>22</v>
      </c>
      <c r="L3501" s="4">
        <f>VLOOKUP(tblTransactions[[#This Row],[Product_ID]],tblProducts[],5,FALSE)</f>
        <v>226.76</v>
      </c>
      <c r="M3501" s="4">
        <f>tblTransactions[[#This Row],[Total_Amount]]-(tblTransactions[[#This Row],[Cost_Prices]]*tblTransactions[[#This Row],[Quantity]]*(1-tblTransactions[[#This Row],[Discount]]))</f>
        <v>172.66280000000003</v>
      </c>
      <c r="N3501" s="3">
        <f>tblTransactions[[#This Row],[Profit]]/tblTransactions[[#This Row],[Total_Amount]]</f>
        <v>0.43977077071977999</v>
      </c>
      <c r="O3501" t="str">
        <f>TEXT(tblTransactions[[#This Row],[Date]], "MMM-YYYY")</f>
        <v>Dec-2024</v>
      </c>
      <c r="P3501" t="str">
        <f>"Q"&amp;ROUNDUP(MONTH(tblTransactions[[#This Row],[Date]])/3,0)&amp;"-"&amp;YEAR(tblTransactions[[#This Row],[Date]])</f>
        <v>Q4-2024</v>
      </c>
      <c r="Q3501">
        <f>YEAR(tblTransactions[[#This Row],[Date]])</f>
        <v>2024</v>
      </c>
      <c r="R3501" t="str">
        <f>TEXT(tblTransactions[[#This Row],[Date]],"DDDD")</f>
        <v>Monday</v>
      </c>
      <c r="S3501">
        <f>MONTH(tblTransactions[[#This Row],[Date]])</f>
        <v>12</v>
      </c>
      <c r="T3501" t="str">
        <f>VLOOKUP(E3501, Products!$A:$B,2,0)</f>
        <v>Tablets Ele-2</v>
      </c>
      <c r="U3501" t="str">
        <f>VLOOKUP(E3501,Products!$A:$C,3,0)</f>
        <v>Electronics</v>
      </c>
      <c r="V3501" t="str">
        <f>VLOOKUP(E3501,Products!$A:$D,4,0)</f>
        <v>Tablets</v>
      </c>
      <c r="W3501" t="str">
        <f>VLOOKUP(D3501,Customers!$A:$C,3,0)</f>
        <v>Small Business</v>
      </c>
      <c r="X3501" t="str">
        <f>VLOOKUP(C3501,Sales_Representatives!$A:$B,2,0)</f>
        <v>Thomas Lopez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workbookViewId="0">
      <pane ySplit="1" topLeftCell="A2" activePane="bottomLeft" state="frozen"/>
      <selection pane="bottomLeft" activeCell="K8" sqref="K8"/>
    </sheetView>
  </sheetViews>
  <sheetFormatPr defaultRowHeight="14.4" x14ac:dyDescent="0.3"/>
  <cols>
    <col min="1" max="1" width="12.33203125" customWidth="1"/>
    <col min="2" max="2" width="15.5546875" customWidth="1"/>
    <col min="3" max="3" width="13.109375" bestFit="1" customWidth="1"/>
    <col min="4" max="4" width="13.44140625" customWidth="1"/>
    <col min="5" max="5" width="11.6640625" style="4" customWidth="1"/>
    <col min="6" max="6" width="12.6640625" style="4" customWidth="1"/>
    <col min="7" max="7" width="9.77734375" customWidth="1"/>
  </cols>
  <sheetData>
    <row r="1" spans="1:7" x14ac:dyDescent="0.3">
      <c r="A1" s="1" t="s">
        <v>4</v>
      </c>
      <c r="B1" s="1" t="s">
        <v>4679</v>
      </c>
      <c r="C1" s="1" t="s">
        <v>4680</v>
      </c>
      <c r="D1" s="1" t="s">
        <v>4681</v>
      </c>
      <c r="E1" s="6" t="s">
        <v>4682</v>
      </c>
      <c r="F1" s="6" t="s">
        <v>4683</v>
      </c>
      <c r="G1" s="1" t="s">
        <v>4684</v>
      </c>
    </row>
    <row r="2" spans="1:7" x14ac:dyDescent="0.3">
      <c r="A2" t="s">
        <v>20</v>
      </c>
      <c r="B2" t="s">
        <v>4685</v>
      </c>
      <c r="C2" t="s">
        <v>4686</v>
      </c>
      <c r="D2" t="s">
        <v>4687</v>
      </c>
      <c r="E2" s="4">
        <v>686.9</v>
      </c>
      <c r="F2" s="4">
        <v>1219.49</v>
      </c>
      <c r="G2" t="s">
        <v>4688</v>
      </c>
    </row>
    <row r="3" spans="1:7" x14ac:dyDescent="0.3">
      <c r="A3" t="s">
        <v>84</v>
      </c>
      <c r="B3" t="s">
        <v>4689</v>
      </c>
      <c r="C3" t="s">
        <v>4686</v>
      </c>
      <c r="D3" t="s">
        <v>4687</v>
      </c>
      <c r="E3" s="4">
        <v>1151.5899999999999</v>
      </c>
      <c r="F3" s="4">
        <v>1841.77</v>
      </c>
      <c r="G3" t="s">
        <v>4688</v>
      </c>
    </row>
    <row r="4" spans="1:7" x14ac:dyDescent="0.3">
      <c r="A4" t="s">
        <v>89</v>
      </c>
      <c r="B4" t="s">
        <v>4690</v>
      </c>
      <c r="C4" t="s">
        <v>4686</v>
      </c>
      <c r="D4" t="s">
        <v>4687</v>
      </c>
      <c r="E4" s="4">
        <v>402.82</v>
      </c>
      <c r="F4" s="4">
        <v>555.08000000000004</v>
      </c>
      <c r="G4" t="s">
        <v>4691</v>
      </c>
    </row>
    <row r="5" spans="1:7" x14ac:dyDescent="0.3">
      <c r="A5" t="s">
        <v>15</v>
      </c>
      <c r="B5" t="s">
        <v>4692</v>
      </c>
      <c r="C5" t="s">
        <v>4686</v>
      </c>
      <c r="D5" t="s">
        <v>4687</v>
      </c>
      <c r="E5" s="4">
        <v>275.51</v>
      </c>
      <c r="F5" s="4">
        <v>477.48</v>
      </c>
      <c r="G5" t="s">
        <v>4693</v>
      </c>
    </row>
    <row r="6" spans="1:7" x14ac:dyDescent="0.3">
      <c r="A6" t="s">
        <v>178</v>
      </c>
      <c r="B6" t="s">
        <v>4694</v>
      </c>
      <c r="C6" t="s">
        <v>4686</v>
      </c>
      <c r="D6" t="s">
        <v>4695</v>
      </c>
      <c r="E6" s="4">
        <v>981.45</v>
      </c>
      <c r="F6" s="4">
        <v>1623.35</v>
      </c>
      <c r="G6" t="s">
        <v>4693</v>
      </c>
    </row>
    <row r="7" spans="1:7" x14ac:dyDescent="0.3">
      <c r="A7" t="s">
        <v>72</v>
      </c>
      <c r="B7" t="s">
        <v>4696</v>
      </c>
      <c r="C7" t="s">
        <v>4686</v>
      </c>
      <c r="D7" t="s">
        <v>4695</v>
      </c>
      <c r="E7" s="4">
        <v>226.76</v>
      </c>
      <c r="F7" s="4">
        <v>404.76</v>
      </c>
      <c r="G7" t="s">
        <v>4693</v>
      </c>
    </row>
    <row r="8" spans="1:7" x14ac:dyDescent="0.3">
      <c r="A8" t="s">
        <v>198</v>
      </c>
      <c r="B8" t="s">
        <v>4697</v>
      </c>
      <c r="C8" t="s">
        <v>4686</v>
      </c>
      <c r="D8" t="s">
        <v>4695</v>
      </c>
      <c r="E8" s="4">
        <v>1282.18</v>
      </c>
      <c r="F8" s="4">
        <v>1802.96</v>
      </c>
      <c r="G8" t="s">
        <v>4688</v>
      </c>
    </row>
    <row r="9" spans="1:7" x14ac:dyDescent="0.3">
      <c r="A9" t="s">
        <v>264</v>
      </c>
      <c r="B9" t="s">
        <v>4698</v>
      </c>
      <c r="C9" t="s">
        <v>4686</v>
      </c>
      <c r="D9" t="s">
        <v>4695</v>
      </c>
      <c r="E9" s="4">
        <v>436.37</v>
      </c>
      <c r="F9" s="4">
        <v>607.29999999999995</v>
      </c>
      <c r="G9" t="s">
        <v>4699</v>
      </c>
    </row>
    <row r="10" spans="1:7" x14ac:dyDescent="0.3">
      <c r="A10" t="s">
        <v>113</v>
      </c>
      <c r="B10" t="s">
        <v>4700</v>
      </c>
      <c r="C10" t="s">
        <v>4686</v>
      </c>
      <c r="D10" t="s">
        <v>4701</v>
      </c>
      <c r="E10" s="4">
        <v>595.51</v>
      </c>
      <c r="F10" s="4">
        <v>930.41</v>
      </c>
      <c r="G10" t="s">
        <v>4688</v>
      </c>
    </row>
    <row r="11" spans="1:7" x14ac:dyDescent="0.3">
      <c r="A11" t="s">
        <v>339</v>
      </c>
      <c r="B11" t="s">
        <v>4702</v>
      </c>
      <c r="C11" t="s">
        <v>4686</v>
      </c>
      <c r="D11" t="s">
        <v>4701</v>
      </c>
      <c r="E11" s="4">
        <v>761.53</v>
      </c>
      <c r="F11" s="4">
        <v>1100.8800000000001</v>
      </c>
      <c r="G11" t="s">
        <v>4699</v>
      </c>
    </row>
    <row r="12" spans="1:7" x14ac:dyDescent="0.3">
      <c r="A12" t="s">
        <v>29</v>
      </c>
      <c r="B12" t="s">
        <v>4703</v>
      </c>
      <c r="C12" t="s">
        <v>4686</v>
      </c>
      <c r="D12" t="s">
        <v>4701</v>
      </c>
      <c r="E12" s="4">
        <v>995.41</v>
      </c>
      <c r="F12" s="4">
        <v>1363.46</v>
      </c>
      <c r="G12" t="s">
        <v>4704</v>
      </c>
    </row>
    <row r="13" spans="1:7" x14ac:dyDescent="0.3">
      <c r="A13" t="s">
        <v>152</v>
      </c>
      <c r="B13" t="s">
        <v>4705</v>
      </c>
      <c r="C13" t="s">
        <v>4686</v>
      </c>
      <c r="D13" t="s">
        <v>4701</v>
      </c>
      <c r="E13" s="4">
        <v>579.79</v>
      </c>
      <c r="F13" s="4">
        <v>859.93</v>
      </c>
      <c r="G13" t="s">
        <v>4688</v>
      </c>
    </row>
    <row r="14" spans="1:7" x14ac:dyDescent="0.3">
      <c r="A14" t="s">
        <v>105</v>
      </c>
      <c r="B14" t="s">
        <v>4706</v>
      </c>
      <c r="C14" t="s">
        <v>4686</v>
      </c>
      <c r="D14" t="s">
        <v>4707</v>
      </c>
      <c r="E14" s="4">
        <v>792.89</v>
      </c>
      <c r="F14" s="4">
        <v>1342.04</v>
      </c>
      <c r="G14" t="s">
        <v>4688</v>
      </c>
    </row>
    <row r="15" spans="1:7" x14ac:dyDescent="0.3">
      <c r="A15" t="s">
        <v>204</v>
      </c>
      <c r="B15" t="s">
        <v>4708</v>
      </c>
      <c r="C15" t="s">
        <v>4686</v>
      </c>
      <c r="D15" t="s">
        <v>4707</v>
      </c>
      <c r="E15" s="4">
        <v>459.58</v>
      </c>
      <c r="F15" s="4">
        <v>715.62</v>
      </c>
      <c r="G15" t="s">
        <v>4688</v>
      </c>
    </row>
    <row r="16" spans="1:7" x14ac:dyDescent="0.3">
      <c r="A16" t="s">
        <v>129</v>
      </c>
      <c r="B16" t="s">
        <v>4709</v>
      </c>
      <c r="C16" t="s">
        <v>4686</v>
      </c>
      <c r="D16" t="s">
        <v>4707</v>
      </c>
      <c r="E16" s="4">
        <v>970.14</v>
      </c>
      <c r="F16" s="4">
        <v>1283.71</v>
      </c>
      <c r="G16" t="s">
        <v>4693</v>
      </c>
    </row>
    <row r="17" spans="1:7" x14ac:dyDescent="0.3">
      <c r="A17" t="s">
        <v>172</v>
      </c>
      <c r="B17" t="s">
        <v>4710</v>
      </c>
      <c r="C17" t="s">
        <v>4686</v>
      </c>
      <c r="D17" t="s">
        <v>4707</v>
      </c>
      <c r="E17" s="4">
        <v>989.81</v>
      </c>
      <c r="F17" s="4">
        <v>1371.15</v>
      </c>
      <c r="G17" t="s">
        <v>4693</v>
      </c>
    </row>
    <row r="18" spans="1:7" x14ac:dyDescent="0.3">
      <c r="A18" t="s">
        <v>91</v>
      </c>
      <c r="B18" t="s">
        <v>4711</v>
      </c>
      <c r="C18" t="s">
        <v>4712</v>
      </c>
      <c r="D18" t="s">
        <v>4713</v>
      </c>
      <c r="E18" s="4">
        <v>145.54</v>
      </c>
      <c r="F18" s="4">
        <v>286.62</v>
      </c>
      <c r="G18" t="s">
        <v>4699</v>
      </c>
    </row>
    <row r="19" spans="1:7" x14ac:dyDescent="0.3">
      <c r="A19" t="s">
        <v>176</v>
      </c>
      <c r="B19" t="s">
        <v>4714</v>
      </c>
      <c r="C19" t="s">
        <v>4712</v>
      </c>
      <c r="D19" t="s">
        <v>4713</v>
      </c>
      <c r="E19" s="4">
        <v>775.94</v>
      </c>
      <c r="F19" s="4">
        <v>1462.68</v>
      </c>
      <c r="G19" t="s">
        <v>4699</v>
      </c>
    </row>
    <row r="20" spans="1:7" x14ac:dyDescent="0.3">
      <c r="A20" t="s">
        <v>283</v>
      </c>
      <c r="B20" t="s">
        <v>4715</v>
      </c>
      <c r="C20" t="s">
        <v>4712</v>
      </c>
      <c r="D20" t="s">
        <v>4713</v>
      </c>
      <c r="E20" s="4">
        <v>313.23</v>
      </c>
      <c r="F20" s="4">
        <v>456.88</v>
      </c>
      <c r="G20" t="s">
        <v>4688</v>
      </c>
    </row>
    <row r="21" spans="1:7" x14ac:dyDescent="0.3">
      <c r="A21" t="s">
        <v>299</v>
      </c>
      <c r="B21" t="s">
        <v>4716</v>
      </c>
      <c r="C21" t="s">
        <v>4712</v>
      </c>
      <c r="D21" t="s">
        <v>4713</v>
      </c>
      <c r="E21" s="4">
        <v>578.96</v>
      </c>
      <c r="F21" s="4">
        <v>963.44</v>
      </c>
      <c r="G21" t="s">
        <v>4699</v>
      </c>
    </row>
    <row r="22" spans="1:7" x14ac:dyDescent="0.3">
      <c r="A22" t="s">
        <v>394</v>
      </c>
      <c r="B22" t="s">
        <v>4717</v>
      </c>
      <c r="C22" t="s">
        <v>4712</v>
      </c>
      <c r="D22" t="s">
        <v>4718</v>
      </c>
      <c r="E22" s="4">
        <v>185.43</v>
      </c>
      <c r="F22" s="4">
        <v>314.69</v>
      </c>
      <c r="G22" t="s">
        <v>4693</v>
      </c>
    </row>
    <row r="23" spans="1:7" x14ac:dyDescent="0.3">
      <c r="A23" t="s">
        <v>137</v>
      </c>
      <c r="B23" t="s">
        <v>4719</v>
      </c>
      <c r="C23" t="s">
        <v>4712</v>
      </c>
      <c r="D23" t="s">
        <v>4718</v>
      </c>
      <c r="E23" s="4">
        <v>124.07</v>
      </c>
      <c r="F23" s="4">
        <v>241.39</v>
      </c>
      <c r="G23" t="s">
        <v>4699</v>
      </c>
    </row>
    <row r="24" spans="1:7" x14ac:dyDescent="0.3">
      <c r="A24" t="s">
        <v>224</v>
      </c>
      <c r="B24" t="s">
        <v>4720</v>
      </c>
      <c r="C24" t="s">
        <v>4712</v>
      </c>
      <c r="D24" t="s">
        <v>4718</v>
      </c>
      <c r="E24" s="4">
        <v>281.14999999999998</v>
      </c>
      <c r="F24" s="4">
        <v>505.37</v>
      </c>
      <c r="G24" t="s">
        <v>4704</v>
      </c>
    </row>
    <row r="25" spans="1:7" x14ac:dyDescent="0.3">
      <c r="A25" t="s">
        <v>200</v>
      </c>
      <c r="B25" t="s">
        <v>4721</v>
      </c>
      <c r="C25" t="s">
        <v>4712</v>
      </c>
      <c r="D25" t="s">
        <v>4718</v>
      </c>
      <c r="E25" s="4">
        <v>318.2</v>
      </c>
      <c r="F25" s="4">
        <v>544.77</v>
      </c>
      <c r="G25" t="s">
        <v>4693</v>
      </c>
    </row>
    <row r="26" spans="1:7" x14ac:dyDescent="0.3">
      <c r="A26" t="s">
        <v>290</v>
      </c>
      <c r="B26" t="s">
        <v>4722</v>
      </c>
      <c r="C26" t="s">
        <v>4712</v>
      </c>
      <c r="D26" t="s">
        <v>4723</v>
      </c>
      <c r="E26" s="4">
        <v>482.7</v>
      </c>
      <c r="F26" s="4">
        <v>729.32</v>
      </c>
      <c r="G26" t="s">
        <v>4704</v>
      </c>
    </row>
    <row r="27" spans="1:7" x14ac:dyDescent="0.3">
      <c r="A27" t="s">
        <v>79</v>
      </c>
      <c r="B27" t="s">
        <v>4724</v>
      </c>
      <c r="C27" t="s">
        <v>4712</v>
      </c>
      <c r="D27" t="s">
        <v>4723</v>
      </c>
      <c r="E27" s="4">
        <v>778.71</v>
      </c>
      <c r="F27" s="4">
        <v>1452.36</v>
      </c>
      <c r="G27" t="s">
        <v>4699</v>
      </c>
    </row>
    <row r="28" spans="1:7" x14ac:dyDescent="0.3">
      <c r="A28" t="s">
        <v>25</v>
      </c>
      <c r="B28" t="s">
        <v>4725</v>
      </c>
      <c r="C28" t="s">
        <v>4712</v>
      </c>
      <c r="D28" t="s">
        <v>4723</v>
      </c>
      <c r="E28" s="4">
        <v>757.65</v>
      </c>
      <c r="F28" s="4">
        <v>1467.49</v>
      </c>
      <c r="G28" t="s">
        <v>4691</v>
      </c>
    </row>
    <row r="29" spans="1:7" x14ac:dyDescent="0.3">
      <c r="A29" t="s">
        <v>191</v>
      </c>
      <c r="B29" t="s">
        <v>4726</v>
      </c>
      <c r="C29" t="s">
        <v>4712</v>
      </c>
      <c r="D29" t="s">
        <v>4723</v>
      </c>
      <c r="E29" s="4">
        <v>518.53</v>
      </c>
      <c r="F29" s="4">
        <v>1012.75</v>
      </c>
      <c r="G29" t="s">
        <v>4688</v>
      </c>
    </row>
    <row r="30" spans="1:7" x14ac:dyDescent="0.3">
      <c r="A30" t="s">
        <v>324</v>
      </c>
      <c r="B30" t="s">
        <v>4727</v>
      </c>
      <c r="C30" t="s">
        <v>4712</v>
      </c>
      <c r="D30" t="s">
        <v>4728</v>
      </c>
      <c r="E30" s="4">
        <v>161.94</v>
      </c>
      <c r="F30" s="4">
        <v>245.76</v>
      </c>
      <c r="G30" t="s">
        <v>4693</v>
      </c>
    </row>
    <row r="31" spans="1:7" x14ac:dyDescent="0.3">
      <c r="A31" t="s">
        <v>221</v>
      </c>
      <c r="B31" t="s">
        <v>4729</v>
      </c>
      <c r="C31" t="s">
        <v>4712</v>
      </c>
      <c r="D31" t="s">
        <v>4728</v>
      </c>
      <c r="E31" s="4">
        <v>131.66</v>
      </c>
      <c r="F31" s="4">
        <v>210.02</v>
      </c>
      <c r="G31" t="s">
        <v>4704</v>
      </c>
    </row>
    <row r="32" spans="1:7" x14ac:dyDescent="0.3">
      <c r="A32" t="s">
        <v>38</v>
      </c>
      <c r="B32" t="s">
        <v>4730</v>
      </c>
      <c r="C32" t="s">
        <v>4712</v>
      </c>
      <c r="D32" t="s">
        <v>4728</v>
      </c>
      <c r="E32" s="4">
        <v>372.07</v>
      </c>
      <c r="F32" s="4">
        <v>581.47</v>
      </c>
      <c r="G32" t="s">
        <v>4691</v>
      </c>
    </row>
    <row r="33" spans="1:7" x14ac:dyDescent="0.3">
      <c r="A33" t="s">
        <v>102</v>
      </c>
      <c r="B33" t="s">
        <v>4731</v>
      </c>
      <c r="C33" t="s">
        <v>4712</v>
      </c>
      <c r="D33" t="s">
        <v>4728</v>
      </c>
      <c r="E33" s="4">
        <v>680.12</v>
      </c>
      <c r="F33" s="4">
        <v>1097.75</v>
      </c>
      <c r="G33" t="s">
        <v>4691</v>
      </c>
    </row>
    <row r="34" spans="1:7" x14ac:dyDescent="0.3">
      <c r="A34" t="s">
        <v>145</v>
      </c>
      <c r="B34" t="s">
        <v>4732</v>
      </c>
      <c r="C34" t="s">
        <v>4733</v>
      </c>
      <c r="D34" t="s">
        <v>4734</v>
      </c>
      <c r="E34" s="4">
        <v>45.74</v>
      </c>
      <c r="F34" s="4">
        <v>93.43</v>
      </c>
      <c r="G34" t="s">
        <v>4693</v>
      </c>
    </row>
    <row r="35" spans="1:7" x14ac:dyDescent="0.3">
      <c r="A35" t="s">
        <v>587</v>
      </c>
      <c r="B35" t="s">
        <v>4735</v>
      </c>
      <c r="C35" t="s">
        <v>4733</v>
      </c>
      <c r="D35" t="s">
        <v>4734</v>
      </c>
      <c r="E35" s="4">
        <v>25.43</v>
      </c>
      <c r="F35" s="4">
        <v>58.54</v>
      </c>
      <c r="G35" t="s">
        <v>4693</v>
      </c>
    </row>
    <row r="36" spans="1:7" x14ac:dyDescent="0.3">
      <c r="A36" t="s">
        <v>43</v>
      </c>
      <c r="B36" t="s">
        <v>4736</v>
      </c>
      <c r="C36" t="s">
        <v>4733</v>
      </c>
      <c r="D36" t="s">
        <v>4734</v>
      </c>
      <c r="E36" s="4">
        <v>15.81</v>
      </c>
      <c r="F36" s="4">
        <v>39.32</v>
      </c>
      <c r="G36" t="s">
        <v>4691</v>
      </c>
    </row>
    <row r="37" spans="1:7" x14ac:dyDescent="0.3">
      <c r="A37" t="s">
        <v>435</v>
      </c>
      <c r="B37" t="s">
        <v>4737</v>
      </c>
      <c r="C37" t="s">
        <v>4733</v>
      </c>
      <c r="D37" t="s">
        <v>4734</v>
      </c>
      <c r="E37" s="4">
        <v>116.98</v>
      </c>
      <c r="F37" s="4">
        <v>198.72</v>
      </c>
      <c r="G37" t="s">
        <v>4688</v>
      </c>
    </row>
    <row r="38" spans="1:7" x14ac:dyDescent="0.3">
      <c r="A38" t="s">
        <v>304</v>
      </c>
      <c r="B38" t="s">
        <v>4738</v>
      </c>
      <c r="C38" t="s">
        <v>4733</v>
      </c>
      <c r="D38" t="s">
        <v>4739</v>
      </c>
      <c r="E38" s="4">
        <v>5.8</v>
      </c>
      <c r="F38" s="4">
        <v>13.43</v>
      </c>
      <c r="G38" t="s">
        <v>4688</v>
      </c>
    </row>
    <row r="39" spans="1:7" x14ac:dyDescent="0.3">
      <c r="A39" t="s">
        <v>479</v>
      </c>
      <c r="B39" t="s">
        <v>4740</v>
      </c>
      <c r="C39" t="s">
        <v>4733</v>
      </c>
      <c r="D39" t="s">
        <v>4739</v>
      </c>
      <c r="E39" s="4">
        <v>107.49</v>
      </c>
      <c r="F39" s="4">
        <v>239.6</v>
      </c>
      <c r="G39" t="s">
        <v>4704</v>
      </c>
    </row>
    <row r="40" spans="1:7" x14ac:dyDescent="0.3">
      <c r="A40" t="s">
        <v>121</v>
      </c>
      <c r="B40" t="s">
        <v>4741</v>
      </c>
      <c r="C40" t="s">
        <v>4733</v>
      </c>
      <c r="D40" t="s">
        <v>4739</v>
      </c>
      <c r="E40" s="4">
        <v>116.83</v>
      </c>
      <c r="F40" s="4">
        <v>183.9</v>
      </c>
      <c r="G40" t="s">
        <v>4688</v>
      </c>
    </row>
    <row r="41" spans="1:7" x14ac:dyDescent="0.3">
      <c r="A41" t="s">
        <v>61</v>
      </c>
      <c r="B41" t="s">
        <v>4742</v>
      </c>
      <c r="C41" t="s">
        <v>4733</v>
      </c>
      <c r="D41" t="s">
        <v>4739</v>
      </c>
      <c r="E41" s="4">
        <v>56.98</v>
      </c>
      <c r="F41" s="4">
        <v>92.07</v>
      </c>
      <c r="G41" t="s">
        <v>4691</v>
      </c>
    </row>
    <row r="42" spans="1:7" x14ac:dyDescent="0.3">
      <c r="A42" t="s">
        <v>184</v>
      </c>
      <c r="B42" t="s">
        <v>4743</v>
      </c>
      <c r="C42" t="s">
        <v>4733</v>
      </c>
      <c r="D42" t="s">
        <v>4744</v>
      </c>
      <c r="E42" s="4">
        <v>130.15</v>
      </c>
      <c r="F42" s="4">
        <v>276.35000000000002</v>
      </c>
      <c r="G42" t="s">
        <v>4691</v>
      </c>
    </row>
    <row r="43" spans="1:7" x14ac:dyDescent="0.3">
      <c r="A43" t="s">
        <v>194</v>
      </c>
      <c r="B43" t="s">
        <v>4745</v>
      </c>
      <c r="C43" t="s">
        <v>4733</v>
      </c>
      <c r="D43" t="s">
        <v>4744</v>
      </c>
      <c r="E43" s="4">
        <v>52.98</v>
      </c>
      <c r="F43" s="4">
        <v>82.84</v>
      </c>
      <c r="G43" t="s">
        <v>4699</v>
      </c>
    </row>
    <row r="44" spans="1:7" x14ac:dyDescent="0.3">
      <c r="A44" t="s">
        <v>316</v>
      </c>
      <c r="B44" t="s">
        <v>4746</v>
      </c>
      <c r="C44" t="s">
        <v>4733</v>
      </c>
      <c r="D44" t="s">
        <v>4744</v>
      </c>
      <c r="E44" s="4">
        <v>50.09</v>
      </c>
      <c r="F44" s="4">
        <v>91.42</v>
      </c>
      <c r="G44" t="s">
        <v>4691</v>
      </c>
    </row>
    <row r="45" spans="1:7" x14ac:dyDescent="0.3">
      <c r="A45" t="s">
        <v>77</v>
      </c>
      <c r="B45" t="s">
        <v>4747</v>
      </c>
      <c r="C45" t="s">
        <v>4733</v>
      </c>
      <c r="D45" t="s">
        <v>4744</v>
      </c>
      <c r="E45" s="4">
        <v>110.79</v>
      </c>
      <c r="F45" s="4">
        <v>236.82</v>
      </c>
      <c r="G45" t="s">
        <v>4688</v>
      </c>
    </row>
    <row r="46" spans="1:7" x14ac:dyDescent="0.3">
      <c r="A46" t="s">
        <v>481</v>
      </c>
      <c r="B46" t="s">
        <v>4748</v>
      </c>
      <c r="C46" t="s">
        <v>4733</v>
      </c>
      <c r="D46" t="s">
        <v>4749</v>
      </c>
      <c r="E46" s="4">
        <v>133.65</v>
      </c>
      <c r="F46" s="4">
        <v>263.58999999999997</v>
      </c>
      <c r="G46" t="s">
        <v>4704</v>
      </c>
    </row>
    <row r="47" spans="1:7" x14ac:dyDescent="0.3">
      <c r="A47" t="s">
        <v>65</v>
      </c>
      <c r="B47" t="s">
        <v>4750</v>
      </c>
      <c r="C47" t="s">
        <v>4733</v>
      </c>
      <c r="D47" t="s">
        <v>4749</v>
      </c>
      <c r="E47" s="4">
        <v>22.34</v>
      </c>
      <c r="F47" s="4">
        <v>49.44</v>
      </c>
      <c r="G47" t="s">
        <v>4699</v>
      </c>
    </row>
    <row r="48" spans="1:7" x14ac:dyDescent="0.3">
      <c r="A48" t="s">
        <v>508</v>
      </c>
      <c r="B48" t="s">
        <v>4751</v>
      </c>
      <c r="C48" t="s">
        <v>4733</v>
      </c>
      <c r="D48" t="s">
        <v>4749</v>
      </c>
      <c r="E48" s="4">
        <v>115.31</v>
      </c>
      <c r="F48" s="4">
        <v>237.69</v>
      </c>
      <c r="G48" t="s">
        <v>4688</v>
      </c>
    </row>
    <row r="49" spans="1:7" x14ac:dyDescent="0.3">
      <c r="A49" t="s">
        <v>116</v>
      </c>
      <c r="B49" t="s">
        <v>4752</v>
      </c>
      <c r="C49" t="s">
        <v>4733</v>
      </c>
      <c r="D49" t="s">
        <v>4749</v>
      </c>
      <c r="E49" s="4">
        <v>116.79</v>
      </c>
      <c r="F49" s="4">
        <v>232.86</v>
      </c>
      <c r="G49" t="s">
        <v>4704</v>
      </c>
    </row>
    <row r="50" spans="1:7" x14ac:dyDescent="0.3">
      <c r="A50" t="s">
        <v>108</v>
      </c>
      <c r="B50" t="s">
        <v>4753</v>
      </c>
      <c r="C50" t="s">
        <v>4754</v>
      </c>
      <c r="D50" t="s">
        <v>4755</v>
      </c>
      <c r="E50" s="4">
        <v>80.8</v>
      </c>
      <c r="F50" s="4">
        <v>155.75</v>
      </c>
      <c r="G50" t="s">
        <v>4688</v>
      </c>
    </row>
    <row r="51" spans="1:7" x14ac:dyDescent="0.3">
      <c r="A51" t="s">
        <v>345</v>
      </c>
      <c r="B51" t="s">
        <v>4756</v>
      </c>
      <c r="C51" t="s">
        <v>4754</v>
      </c>
      <c r="D51" t="s">
        <v>4755</v>
      </c>
      <c r="E51" s="4">
        <v>8.69</v>
      </c>
      <c r="F51" s="4">
        <v>13.97</v>
      </c>
      <c r="G51" t="s">
        <v>4699</v>
      </c>
    </row>
    <row r="52" spans="1:7" x14ac:dyDescent="0.3">
      <c r="A52" t="s">
        <v>148</v>
      </c>
      <c r="B52" t="s">
        <v>4757</v>
      </c>
      <c r="C52" t="s">
        <v>4754</v>
      </c>
      <c r="D52" t="s">
        <v>4755</v>
      </c>
      <c r="E52" s="4">
        <v>9.56</v>
      </c>
      <c r="F52" s="4">
        <v>20.420000000000002</v>
      </c>
      <c r="G52" t="s">
        <v>4691</v>
      </c>
    </row>
    <row r="53" spans="1:7" x14ac:dyDescent="0.3">
      <c r="A53" t="s">
        <v>168</v>
      </c>
      <c r="B53" t="s">
        <v>4758</v>
      </c>
      <c r="C53" t="s">
        <v>4754</v>
      </c>
      <c r="D53" t="s">
        <v>4755</v>
      </c>
      <c r="E53" s="4">
        <v>50.58</v>
      </c>
      <c r="F53" s="4">
        <v>101.59</v>
      </c>
      <c r="G53" t="s">
        <v>4699</v>
      </c>
    </row>
    <row r="54" spans="1:7" x14ac:dyDescent="0.3">
      <c r="A54" t="s">
        <v>370</v>
      </c>
      <c r="B54" t="s">
        <v>4759</v>
      </c>
      <c r="C54" t="s">
        <v>4754</v>
      </c>
      <c r="D54" t="s">
        <v>4760</v>
      </c>
      <c r="E54" s="4">
        <v>136.6</v>
      </c>
      <c r="F54" s="4">
        <v>238.95</v>
      </c>
      <c r="G54" t="s">
        <v>4691</v>
      </c>
    </row>
    <row r="55" spans="1:7" x14ac:dyDescent="0.3">
      <c r="A55" t="s">
        <v>217</v>
      </c>
      <c r="B55" t="s">
        <v>4761</v>
      </c>
      <c r="C55" t="s">
        <v>4754</v>
      </c>
      <c r="D55" t="s">
        <v>4760</v>
      </c>
      <c r="E55" s="4">
        <v>64.510000000000005</v>
      </c>
      <c r="F55" s="4">
        <v>145.51</v>
      </c>
      <c r="G55" t="s">
        <v>4699</v>
      </c>
    </row>
    <row r="56" spans="1:7" x14ac:dyDescent="0.3">
      <c r="A56" t="s">
        <v>232</v>
      </c>
      <c r="B56" t="s">
        <v>4762</v>
      </c>
      <c r="C56" t="s">
        <v>4754</v>
      </c>
      <c r="D56" t="s">
        <v>4760</v>
      </c>
      <c r="E56" s="4">
        <v>38.18</v>
      </c>
      <c r="F56" s="4">
        <v>60.21</v>
      </c>
      <c r="G56" t="s">
        <v>4693</v>
      </c>
    </row>
    <row r="57" spans="1:7" x14ac:dyDescent="0.3">
      <c r="A57" t="s">
        <v>159</v>
      </c>
      <c r="B57" t="s">
        <v>4763</v>
      </c>
      <c r="C57" t="s">
        <v>4754</v>
      </c>
      <c r="D57" t="s">
        <v>4760</v>
      </c>
      <c r="E57" s="4">
        <v>47.01</v>
      </c>
      <c r="F57" s="4">
        <v>78.09</v>
      </c>
      <c r="G57" t="s">
        <v>4688</v>
      </c>
    </row>
    <row r="58" spans="1:7" x14ac:dyDescent="0.3">
      <c r="A58" t="s">
        <v>33</v>
      </c>
      <c r="B58" t="s">
        <v>4764</v>
      </c>
      <c r="C58" t="s">
        <v>4754</v>
      </c>
      <c r="D58" t="s">
        <v>4765</v>
      </c>
      <c r="E58" s="4">
        <v>139.81</v>
      </c>
      <c r="F58" s="4">
        <v>322.7</v>
      </c>
      <c r="G58" t="s">
        <v>4688</v>
      </c>
    </row>
    <row r="59" spans="1:7" x14ac:dyDescent="0.3">
      <c r="A59" t="s">
        <v>376</v>
      </c>
      <c r="B59" t="s">
        <v>4766</v>
      </c>
      <c r="C59" t="s">
        <v>4754</v>
      </c>
      <c r="D59" t="s">
        <v>4765</v>
      </c>
      <c r="E59" s="4">
        <v>96.84</v>
      </c>
      <c r="F59" s="4">
        <v>229.65</v>
      </c>
      <c r="G59" t="s">
        <v>4693</v>
      </c>
    </row>
    <row r="60" spans="1:7" x14ac:dyDescent="0.3">
      <c r="A60" t="s">
        <v>314</v>
      </c>
      <c r="B60" t="s">
        <v>4767</v>
      </c>
      <c r="C60" t="s">
        <v>4754</v>
      </c>
      <c r="D60" t="s">
        <v>4765</v>
      </c>
      <c r="E60" s="4">
        <v>121.53</v>
      </c>
      <c r="F60" s="4">
        <v>204.97</v>
      </c>
      <c r="G60" t="s">
        <v>4691</v>
      </c>
    </row>
    <row r="61" spans="1:7" x14ac:dyDescent="0.3">
      <c r="A61" t="s">
        <v>310</v>
      </c>
      <c r="B61" t="s">
        <v>4768</v>
      </c>
      <c r="C61" t="s">
        <v>4754</v>
      </c>
      <c r="D61" t="s">
        <v>4765</v>
      </c>
      <c r="E61" s="4">
        <v>134.41999999999999</v>
      </c>
      <c r="F61" s="4">
        <v>274.13</v>
      </c>
      <c r="G61" t="s">
        <v>4688</v>
      </c>
    </row>
    <row r="62" spans="1:7" x14ac:dyDescent="0.3">
      <c r="A62" t="s">
        <v>206</v>
      </c>
      <c r="B62" t="s">
        <v>4769</v>
      </c>
      <c r="C62" t="s">
        <v>4754</v>
      </c>
      <c r="D62" t="s">
        <v>4770</v>
      </c>
      <c r="E62" s="4">
        <v>122.08</v>
      </c>
      <c r="F62" s="4">
        <v>292.51</v>
      </c>
      <c r="G62" t="s">
        <v>4693</v>
      </c>
    </row>
    <row r="63" spans="1:7" x14ac:dyDescent="0.3">
      <c r="A63" t="s">
        <v>248</v>
      </c>
      <c r="B63" t="s">
        <v>4771</v>
      </c>
      <c r="C63" t="s">
        <v>4754</v>
      </c>
      <c r="D63" t="s">
        <v>4770</v>
      </c>
      <c r="E63" s="4">
        <v>51.11</v>
      </c>
      <c r="F63" s="4">
        <v>82.29</v>
      </c>
      <c r="G63" t="s">
        <v>4688</v>
      </c>
    </row>
    <row r="64" spans="1:7" x14ac:dyDescent="0.3">
      <c r="A64" t="s">
        <v>258</v>
      </c>
      <c r="B64" t="s">
        <v>4772</v>
      </c>
      <c r="C64" t="s">
        <v>4754</v>
      </c>
      <c r="D64" t="s">
        <v>4770</v>
      </c>
      <c r="E64" s="4">
        <v>38.049999999999997</v>
      </c>
      <c r="F64" s="4">
        <v>73.33</v>
      </c>
      <c r="G64" t="s">
        <v>4704</v>
      </c>
    </row>
    <row r="65" spans="1:7" x14ac:dyDescent="0.3">
      <c r="A65" t="s">
        <v>704</v>
      </c>
      <c r="B65" t="s">
        <v>4773</v>
      </c>
      <c r="C65" t="s">
        <v>4754</v>
      </c>
      <c r="D65" t="s">
        <v>4770</v>
      </c>
      <c r="E65" s="4">
        <v>123.61</v>
      </c>
      <c r="F65" s="4">
        <v>291.81</v>
      </c>
      <c r="G65" t="s">
        <v>4691</v>
      </c>
    </row>
    <row r="66" spans="1:7" x14ac:dyDescent="0.3">
      <c r="A66" t="s">
        <v>99</v>
      </c>
      <c r="B66" t="s">
        <v>4774</v>
      </c>
      <c r="C66" t="s">
        <v>4775</v>
      </c>
      <c r="D66" t="s">
        <v>4776</v>
      </c>
      <c r="E66" s="4">
        <v>209.04</v>
      </c>
      <c r="F66" s="4">
        <v>325.14</v>
      </c>
      <c r="G66" t="s">
        <v>4704</v>
      </c>
    </row>
    <row r="67" spans="1:7" x14ac:dyDescent="0.3">
      <c r="A67" t="s">
        <v>87</v>
      </c>
      <c r="B67" t="s">
        <v>4777</v>
      </c>
      <c r="C67" t="s">
        <v>4775</v>
      </c>
      <c r="D67" t="s">
        <v>4776</v>
      </c>
      <c r="E67" s="4">
        <v>742.63</v>
      </c>
      <c r="F67" s="4">
        <v>1047.8900000000001</v>
      </c>
      <c r="G67" t="s">
        <v>4691</v>
      </c>
    </row>
    <row r="68" spans="1:7" x14ac:dyDescent="0.3">
      <c r="A68" t="s">
        <v>68</v>
      </c>
      <c r="B68" t="s">
        <v>4778</v>
      </c>
      <c r="C68" t="s">
        <v>4775</v>
      </c>
      <c r="D68" t="s">
        <v>4776</v>
      </c>
      <c r="E68" s="4">
        <v>355.82</v>
      </c>
      <c r="F68" s="4">
        <v>522.63</v>
      </c>
      <c r="G68" t="s">
        <v>4693</v>
      </c>
    </row>
    <row r="69" spans="1:7" x14ac:dyDescent="0.3">
      <c r="A69" t="s">
        <v>450</v>
      </c>
      <c r="B69" t="s">
        <v>4779</v>
      </c>
      <c r="C69" t="s">
        <v>4775</v>
      </c>
      <c r="D69" t="s">
        <v>4776</v>
      </c>
      <c r="E69" s="4">
        <v>1425.78</v>
      </c>
      <c r="F69" s="4">
        <v>2083.92</v>
      </c>
      <c r="G69" t="s">
        <v>4691</v>
      </c>
    </row>
    <row r="70" spans="1:7" x14ac:dyDescent="0.3">
      <c r="A70" t="s">
        <v>255</v>
      </c>
      <c r="B70" t="s">
        <v>4780</v>
      </c>
      <c r="C70" t="s">
        <v>4775</v>
      </c>
      <c r="D70" t="s">
        <v>4781</v>
      </c>
      <c r="E70" s="4">
        <v>874.43</v>
      </c>
      <c r="F70" s="4">
        <v>1444.13</v>
      </c>
      <c r="G70" t="s">
        <v>4691</v>
      </c>
    </row>
    <row r="71" spans="1:7" x14ac:dyDescent="0.3">
      <c r="A71" t="s">
        <v>125</v>
      </c>
      <c r="B71" t="s">
        <v>4782</v>
      </c>
      <c r="C71" t="s">
        <v>4775</v>
      </c>
      <c r="D71" t="s">
        <v>4781</v>
      </c>
      <c r="E71" s="4">
        <v>672.72</v>
      </c>
      <c r="F71" s="4">
        <v>1201.4000000000001</v>
      </c>
      <c r="G71" t="s">
        <v>4693</v>
      </c>
    </row>
    <row r="72" spans="1:7" x14ac:dyDescent="0.3">
      <c r="A72" t="s">
        <v>53</v>
      </c>
      <c r="B72" t="s">
        <v>4783</v>
      </c>
      <c r="C72" t="s">
        <v>4775</v>
      </c>
      <c r="D72" t="s">
        <v>4781</v>
      </c>
      <c r="E72" s="4">
        <v>1451.18</v>
      </c>
      <c r="F72" s="4">
        <v>2069.2199999999998</v>
      </c>
      <c r="G72" t="s">
        <v>4691</v>
      </c>
    </row>
    <row r="73" spans="1:7" x14ac:dyDescent="0.3">
      <c r="A73" t="s">
        <v>157</v>
      </c>
      <c r="B73" t="s">
        <v>4784</v>
      </c>
      <c r="C73" t="s">
        <v>4775</v>
      </c>
      <c r="D73" t="s">
        <v>4781</v>
      </c>
      <c r="E73" s="4">
        <v>846.42</v>
      </c>
      <c r="F73" s="4">
        <v>1227.68</v>
      </c>
      <c r="G73" t="s">
        <v>4688</v>
      </c>
    </row>
    <row r="74" spans="1:7" x14ac:dyDescent="0.3">
      <c r="A74" t="s">
        <v>96</v>
      </c>
      <c r="B74" t="s">
        <v>4785</v>
      </c>
      <c r="C74" t="s">
        <v>4775</v>
      </c>
      <c r="D74" t="s">
        <v>4786</v>
      </c>
      <c r="E74" s="4">
        <v>570.29</v>
      </c>
      <c r="F74" s="4">
        <v>751.9</v>
      </c>
      <c r="G74" t="s">
        <v>4699</v>
      </c>
    </row>
    <row r="75" spans="1:7" x14ac:dyDescent="0.3">
      <c r="A75" t="s">
        <v>347</v>
      </c>
      <c r="B75" t="s">
        <v>4787</v>
      </c>
      <c r="C75" t="s">
        <v>4775</v>
      </c>
      <c r="D75" t="s">
        <v>4786</v>
      </c>
      <c r="E75" s="4">
        <v>992.43</v>
      </c>
      <c r="F75" s="4">
        <v>1539.6</v>
      </c>
      <c r="G75" t="s">
        <v>4693</v>
      </c>
    </row>
    <row r="76" spans="1:7" x14ac:dyDescent="0.3">
      <c r="A76" t="s">
        <v>243</v>
      </c>
      <c r="B76" t="s">
        <v>4788</v>
      </c>
      <c r="C76" t="s">
        <v>4775</v>
      </c>
      <c r="D76" t="s">
        <v>4786</v>
      </c>
      <c r="E76" s="4">
        <v>266.92</v>
      </c>
      <c r="F76" s="4">
        <v>384.18</v>
      </c>
      <c r="G76" t="s">
        <v>4699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 activeCell="H7" sqref="H7"/>
    </sheetView>
  </sheetViews>
  <sheetFormatPr defaultRowHeight="14.4" x14ac:dyDescent="0.3"/>
  <cols>
    <col min="1" max="1" width="14.109375" customWidth="1"/>
    <col min="2" max="2" width="16.6640625" bestFit="1" customWidth="1"/>
    <col min="3" max="3" width="8.6640625" customWidth="1"/>
    <col min="4" max="4" width="11.109375" customWidth="1"/>
    <col min="5" max="5" width="7.5546875" customWidth="1"/>
    <col min="6" max="6" width="10.44140625" customWidth="1"/>
  </cols>
  <sheetData>
    <row r="1" spans="1:6" x14ac:dyDescent="0.3">
      <c r="A1" s="1" t="s">
        <v>2</v>
      </c>
      <c r="B1" s="1" t="s">
        <v>4789</v>
      </c>
      <c r="C1" s="1" t="s">
        <v>9</v>
      </c>
      <c r="D1" s="1" t="s">
        <v>4790</v>
      </c>
      <c r="E1" s="1" t="s">
        <v>4791</v>
      </c>
      <c r="F1" s="1" t="s">
        <v>4792</v>
      </c>
    </row>
    <row r="2" spans="1:6" x14ac:dyDescent="0.3">
      <c r="A2" t="s">
        <v>107</v>
      </c>
      <c r="B2" t="s">
        <v>4793</v>
      </c>
      <c r="C2" t="s">
        <v>109</v>
      </c>
      <c r="D2" t="s">
        <v>4794</v>
      </c>
      <c r="E2" t="s">
        <v>4795</v>
      </c>
      <c r="F2" t="s">
        <v>4796</v>
      </c>
    </row>
    <row r="3" spans="1:6" x14ac:dyDescent="0.3">
      <c r="A3" t="s">
        <v>131</v>
      </c>
      <c r="B3" t="s">
        <v>4797</v>
      </c>
      <c r="C3" t="s">
        <v>44</v>
      </c>
      <c r="D3" t="s">
        <v>4798</v>
      </c>
      <c r="E3" t="s">
        <v>4799</v>
      </c>
      <c r="F3" t="s">
        <v>4796</v>
      </c>
    </row>
    <row r="4" spans="1:6" x14ac:dyDescent="0.3">
      <c r="A4" t="s">
        <v>19</v>
      </c>
      <c r="B4" t="s">
        <v>4800</v>
      </c>
      <c r="C4" t="s">
        <v>21</v>
      </c>
      <c r="D4" t="s">
        <v>4801</v>
      </c>
      <c r="E4" t="s">
        <v>4802</v>
      </c>
      <c r="F4" t="s">
        <v>4796</v>
      </c>
    </row>
    <row r="5" spans="1:6" x14ac:dyDescent="0.3">
      <c r="A5" t="s">
        <v>56</v>
      </c>
      <c r="B5" t="s">
        <v>4803</v>
      </c>
      <c r="C5" t="s">
        <v>34</v>
      </c>
      <c r="D5" t="s">
        <v>4804</v>
      </c>
      <c r="E5" t="s">
        <v>4805</v>
      </c>
      <c r="F5" t="s">
        <v>4796</v>
      </c>
    </row>
    <row r="6" spans="1:6" x14ac:dyDescent="0.3">
      <c r="A6" t="s">
        <v>13</v>
      </c>
      <c r="B6" t="s">
        <v>4806</v>
      </c>
      <c r="C6" t="s">
        <v>16</v>
      </c>
      <c r="D6" t="s">
        <v>4807</v>
      </c>
      <c r="E6" t="s">
        <v>4795</v>
      </c>
      <c r="F6" t="s">
        <v>4796</v>
      </c>
    </row>
    <row r="7" spans="1:6" x14ac:dyDescent="0.3">
      <c r="A7" t="s">
        <v>127</v>
      </c>
      <c r="B7" t="s">
        <v>4808</v>
      </c>
      <c r="C7" t="s">
        <v>109</v>
      </c>
      <c r="D7" t="s">
        <v>4809</v>
      </c>
      <c r="E7" t="s">
        <v>4799</v>
      </c>
      <c r="F7" t="s">
        <v>4810</v>
      </c>
    </row>
    <row r="8" spans="1:6" x14ac:dyDescent="0.3">
      <c r="A8" t="s">
        <v>75</v>
      </c>
      <c r="B8" t="s">
        <v>4811</v>
      </c>
      <c r="C8" t="s">
        <v>44</v>
      </c>
      <c r="D8" t="s">
        <v>4812</v>
      </c>
      <c r="E8" t="s">
        <v>4802</v>
      </c>
      <c r="F8" t="s">
        <v>4810</v>
      </c>
    </row>
    <row r="9" spans="1:6" x14ac:dyDescent="0.3">
      <c r="A9" t="s">
        <v>63</v>
      </c>
      <c r="B9" t="s">
        <v>4813</v>
      </c>
      <c r="C9" t="s">
        <v>21</v>
      </c>
      <c r="D9" t="s">
        <v>4814</v>
      </c>
      <c r="E9" t="s">
        <v>4805</v>
      </c>
      <c r="F9" t="s">
        <v>4810</v>
      </c>
    </row>
    <row r="10" spans="1:6" x14ac:dyDescent="0.3">
      <c r="A10" t="s">
        <v>82</v>
      </c>
      <c r="B10" t="s">
        <v>4815</v>
      </c>
      <c r="C10" t="s">
        <v>34</v>
      </c>
      <c r="D10" t="s">
        <v>4816</v>
      </c>
      <c r="E10" t="s">
        <v>4795</v>
      </c>
      <c r="F10" t="s">
        <v>4810</v>
      </c>
    </row>
    <row r="11" spans="1:6" x14ac:dyDescent="0.3">
      <c r="A11" t="s">
        <v>70</v>
      </c>
      <c r="B11" t="s">
        <v>4817</v>
      </c>
      <c r="C11" t="s">
        <v>16</v>
      </c>
      <c r="D11" t="s">
        <v>4818</v>
      </c>
      <c r="E11" t="s">
        <v>4799</v>
      </c>
      <c r="F11" t="s">
        <v>4810</v>
      </c>
    </row>
    <row r="12" spans="1:6" x14ac:dyDescent="0.3">
      <c r="A12" t="s">
        <v>141</v>
      </c>
      <c r="B12" t="s">
        <v>4819</v>
      </c>
      <c r="C12" t="s">
        <v>109</v>
      </c>
      <c r="D12" t="s">
        <v>4820</v>
      </c>
      <c r="E12" t="s">
        <v>4802</v>
      </c>
      <c r="F12" t="s">
        <v>4821</v>
      </c>
    </row>
    <row r="13" spans="1:6" x14ac:dyDescent="0.3">
      <c r="A13" t="s">
        <v>41</v>
      </c>
      <c r="B13" t="s">
        <v>4800</v>
      </c>
      <c r="C13" t="s">
        <v>44</v>
      </c>
      <c r="D13" t="s">
        <v>4822</v>
      </c>
      <c r="E13" t="s">
        <v>4805</v>
      </c>
      <c r="F13" t="s">
        <v>4821</v>
      </c>
    </row>
    <row r="14" spans="1:6" x14ac:dyDescent="0.3">
      <c r="A14" t="s">
        <v>59</v>
      </c>
      <c r="B14" t="s">
        <v>4823</v>
      </c>
      <c r="C14" t="s">
        <v>21</v>
      </c>
      <c r="D14" t="s">
        <v>4824</v>
      </c>
      <c r="E14" t="s">
        <v>4795</v>
      </c>
      <c r="F14" t="s">
        <v>4821</v>
      </c>
    </row>
    <row r="15" spans="1:6" x14ac:dyDescent="0.3">
      <c r="A15" t="s">
        <v>31</v>
      </c>
      <c r="B15" t="s">
        <v>4825</v>
      </c>
      <c r="C15" t="s">
        <v>34</v>
      </c>
      <c r="D15" t="s">
        <v>4826</v>
      </c>
      <c r="E15" t="s">
        <v>4799</v>
      </c>
      <c r="F15" t="s">
        <v>4821</v>
      </c>
    </row>
    <row r="16" spans="1:6" x14ac:dyDescent="0.3">
      <c r="A16" t="s">
        <v>27</v>
      </c>
      <c r="B16" t="s">
        <v>4827</v>
      </c>
      <c r="C16" t="s">
        <v>16</v>
      </c>
      <c r="D16" t="s">
        <v>4828</v>
      </c>
      <c r="E16" t="s">
        <v>4802</v>
      </c>
      <c r="F16" t="s">
        <v>4821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1"/>
  <sheetViews>
    <sheetView workbookViewId="0">
      <pane ySplit="1" topLeftCell="A11" activePane="bottomLeft" state="frozen"/>
      <selection pane="bottomLeft" activeCell="J20" sqref="J20"/>
    </sheetView>
  </sheetViews>
  <sheetFormatPr defaultRowHeight="14.4" x14ac:dyDescent="0.3"/>
  <cols>
    <col min="1" max="1" width="13.77734375" customWidth="1"/>
    <col min="2" max="2" width="19.5546875" bestFit="1" customWidth="1"/>
    <col min="3" max="3" width="12.6640625" bestFit="1" customWidth="1"/>
    <col min="4" max="4" width="10.77734375" bestFit="1" customWidth="1"/>
    <col min="5" max="5" width="19.88671875" customWidth="1"/>
  </cols>
  <sheetData>
    <row r="1" spans="1:5" x14ac:dyDescent="0.3">
      <c r="A1" s="1" t="s">
        <v>3</v>
      </c>
      <c r="B1" s="1" t="s">
        <v>4789</v>
      </c>
      <c r="C1" s="1" t="s">
        <v>4829</v>
      </c>
      <c r="D1" s="1" t="s">
        <v>4830</v>
      </c>
      <c r="E1" s="1" t="s">
        <v>4831</v>
      </c>
    </row>
    <row r="2" spans="1:5" x14ac:dyDescent="0.3">
      <c r="A2" t="s">
        <v>327</v>
      </c>
      <c r="B2" t="s">
        <v>4832</v>
      </c>
      <c r="C2" t="s">
        <v>4833</v>
      </c>
      <c r="D2" t="s">
        <v>4834</v>
      </c>
      <c r="E2" t="s">
        <v>1804</v>
      </c>
    </row>
    <row r="3" spans="1:5" x14ac:dyDescent="0.3">
      <c r="A3" t="s">
        <v>247</v>
      </c>
      <c r="B3" t="s">
        <v>4835</v>
      </c>
      <c r="C3" t="s">
        <v>4833</v>
      </c>
      <c r="D3" t="s">
        <v>4836</v>
      </c>
      <c r="E3" t="s">
        <v>672</v>
      </c>
    </row>
    <row r="4" spans="1:5" x14ac:dyDescent="0.3">
      <c r="A4" t="s">
        <v>203</v>
      </c>
      <c r="B4" t="s">
        <v>4837</v>
      </c>
      <c r="C4" t="s">
        <v>4838</v>
      </c>
      <c r="D4" t="s">
        <v>4839</v>
      </c>
      <c r="E4" t="s">
        <v>1499</v>
      </c>
    </row>
    <row r="5" spans="1:5" x14ac:dyDescent="0.3">
      <c r="A5" t="s">
        <v>166</v>
      </c>
      <c r="B5" t="s">
        <v>4840</v>
      </c>
      <c r="C5" t="s">
        <v>4833</v>
      </c>
      <c r="D5" t="s">
        <v>4841</v>
      </c>
      <c r="E5" t="s">
        <v>1257</v>
      </c>
    </row>
    <row r="6" spans="1:5" x14ac:dyDescent="0.3">
      <c r="A6" t="s">
        <v>60</v>
      </c>
      <c r="B6" t="s">
        <v>4806</v>
      </c>
      <c r="C6" t="s">
        <v>4833</v>
      </c>
      <c r="D6" t="s">
        <v>4842</v>
      </c>
      <c r="E6" t="s">
        <v>2178</v>
      </c>
    </row>
    <row r="7" spans="1:5" x14ac:dyDescent="0.3">
      <c r="A7" t="s">
        <v>98</v>
      </c>
      <c r="B7" t="s">
        <v>4843</v>
      </c>
      <c r="C7" t="s">
        <v>4833</v>
      </c>
      <c r="D7" t="s">
        <v>4844</v>
      </c>
      <c r="E7" t="s">
        <v>1630</v>
      </c>
    </row>
    <row r="8" spans="1:5" x14ac:dyDescent="0.3">
      <c r="A8" t="s">
        <v>101</v>
      </c>
      <c r="B8" t="s">
        <v>4845</v>
      </c>
      <c r="C8" t="s">
        <v>4833</v>
      </c>
      <c r="D8" t="s">
        <v>4844</v>
      </c>
      <c r="E8" t="s">
        <v>2337</v>
      </c>
    </row>
    <row r="9" spans="1:5" x14ac:dyDescent="0.3">
      <c r="A9" t="s">
        <v>32</v>
      </c>
      <c r="B9" t="s">
        <v>4846</v>
      </c>
      <c r="C9" t="s">
        <v>4833</v>
      </c>
      <c r="D9" t="s">
        <v>4841</v>
      </c>
      <c r="E9" t="s">
        <v>958</v>
      </c>
    </row>
    <row r="10" spans="1:5" x14ac:dyDescent="0.3">
      <c r="A10" t="s">
        <v>237</v>
      </c>
      <c r="B10" t="s">
        <v>4847</v>
      </c>
      <c r="C10" t="s">
        <v>4848</v>
      </c>
      <c r="D10" t="s">
        <v>4842</v>
      </c>
      <c r="E10" t="s">
        <v>1248</v>
      </c>
    </row>
    <row r="11" spans="1:5" x14ac:dyDescent="0.3">
      <c r="A11" t="s">
        <v>139</v>
      </c>
      <c r="B11" t="s">
        <v>4849</v>
      </c>
      <c r="C11" t="s">
        <v>4833</v>
      </c>
      <c r="D11" t="s">
        <v>4850</v>
      </c>
      <c r="E11" t="s">
        <v>856</v>
      </c>
    </row>
    <row r="12" spans="1:5" x14ac:dyDescent="0.3">
      <c r="A12" t="s">
        <v>210</v>
      </c>
      <c r="B12" t="s">
        <v>4851</v>
      </c>
      <c r="C12" t="s">
        <v>4848</v>
      </c>
      <c r="D12" t="s">
        <v>4852</v>
      </c>
      <c r="E12" t="s">
        <v>2443</v>
      </c>
    </row>
    <row r="13" spans="1:5" x14ac:dyDescent="0.3">
      <c r="A13" t="s">
        <v>42</v>
      </c>
      <c r="B13" t="s">
        <v>4853</v>
      </c>
      <c r="C13" t="s">
        <v>4833</v>
      </c>
      <c r="D13" t="s">
        <v>4834</v>
      </c>
      <c r="E13" t="s">
        <v>981</v>
      </c>
    </row>
    <row r="14" spans="1:5" x14ac:dyDescent="0.3">
      <c r="A14" t="s">
        <v>132</v>
      </c>
      <c r="B14" t="s">
        <v>4854</v>
      </c>
      <c r="C14" t="s">
        <v>4848</v>
      </c>
      <c r="D14" t="s">
        <v>4850</v>
      </c>
      <c r="E14" t="s">
        <v>1944</v>
      </c>
    </row>
    <row r="15" spans="1:5" x14ac:dyDescent="0.3">
      <c r="A15" t="s">
        <v>14</v>
      </c>
      <c r="B15" t="s">
        <v>4855</v>
      </c>
      <c r="C15" t="s">
        <v>4848</v>
      </c>
      <c r="D15" t="s">
        <v>4844</v>
      </c>
      <c r="E15" t="s">
        <v>1585</v>
      </c>
    </row>
    <row r="16" spans="1:5" x14ac:dyDescent="0.3">
      <c r="A16" t="s">
        <v>115</v>
      </c>
      <c r="B16" t="s">
        <v>4856</v>
      </c>
      <c r="C16" t="s">
        <v>4833</v>
      </c>
      <c r="D16" t="s">
        <v>4857</v>
      </c>
      <c r="E16" t="s">
        <v>759</v>
      </c>
    </row>
    <row r="17" spans="1:5" x14ac:dyDescent="0.3">
      <c r="A17" t="s">
        <v>136</v>
      </c>
      <c r="B17" t="s">
        <v>4858</v>
      </c>
      <c r="C17" t="s">
        <v>4848</v>
      </c>
      <c r="D17" t="s">
        <v>4842</v>
      </c>
      <c r="E17" t="s">
        <v>472</v>
      </c>
    </row>
    <row r="18" spans="1:5" x14ac:dyDescent="0.3">
      <c r="A18" t="s">
        <v>396</v>
      </c>
      <c r="B18" t="s">
        <v>4859</v>
      </c>
      <c r="C18" t="s">
        <v>4860</v>
      </c>
      <c r="D18" t="s">
        <v>4852</v>
      </c>
      <c r="E18" t="s">
        <v>1996</v>
      </c>
    </row>
    <row r="19" spans="1:5" x14ac:dyDescent="0.3">
      <c r="A19" t="s">
        <v>164</v>
      </c>
      <c r="B19" t="s">
        <v>4861</v>
      </c>
      <c r="C19" t="s">
        <v>4860</v>
      </c>
      <c r="D19" t="s">
        <v>4862</v>
      </c>
      <c r="E19" t="s">
        <v>341</v>
      </c>
    </row>
    <row r="20" spans="1:5" x14ac:dyDescent="0.3">
      <c r="A20" t="s">
        <v>28</v>
      </c>
      <c r="B20" t="s">
        <v>4863</v>
      </c>
      <c r="C20" t="s">
        <v>4848</v>
      </c>
      <c r="D20" t="s">
        <v>4834</v>
      </c>
      <c r="E20" t="s">
        <v>120</v>
      </c>
    </row>
    <row r="21" spans="1:5" x14ac:dyDescent="0.3">
      <c r="A21" t="s">
        <v>112</v>
      </c>
      <c r="B21" t="s">
        <v>4864</v>
      </c>
      <c r="C21" t="s">
        <v>4838</v>
      </c>
      <c r="D21" t="s">
        <v>4850</v>
      </c>
      <c r="E21" t="s">
        <v>958</v>
      </c>
    </row>
    <row r="22" spans="1:5" x14ac:dyDescent="0.3">
      <c r="A22" t="s">
        <v>76</v>
      </c>
      <c r="B22" t="s">
        <v>4865</v>
      </c>
      <c r="C22" t="s">
        <v>4860</v>
      </c>
      <c r="D22" t="s">
        <v>4834</v>
      </c>
      <c r="E22" t="s">
        <v>880</v>
      </c>
    </row>
    <row r="23" spans="1:5" x14ac:dyDescent="0.3">
      <c r="A23" t="s">
        <v>197</v>
      </c>
      <c r="B23" t="s">
        <v>4866</v>
      </c>
      <c r="C23" t="s">
        <v>4838</v>
      </c>
      <c r="D23" t="s">
        <v>4867</v>
      </c>
      <c r="E23" t="s">
        <v>440</v>
      </c>
    </row>
    <row r="24" spans="1:5" x14ac:dyDescent="0.3">
      <c r="A24" t="s">
        <v>134</v>
      </c>
      <c r="B24" t="s">
        <v>4868</v>
      </c>
      <c r="C24" t="s">
        <v>4848</v>
      </c>
      <c r="D24" t="s">
        <v>4857</v>
      </c>
      <c r="E24" t="s">
        <v>785</v>
      </c>
    </row>
    <row r="25" spans="1:5" x14ac:dyDescent="0.3">
      <c r="A25" t="s">
        <v>212</v>
      </c>
      <c r="B25" t="s">
        <v>4797</v>
      </c>
      <c r="C25" t="s">
        <v>4833</v>
      </c>
      <c r="D25" t="s">
        <v>4869</v>
      </c>
      <c r="E25" t="s">
        <v>711</v>
      </c>
    </row>
    <row r="26" spans="1:5" x14ac:dyDescent="0.3">
      <c r="A26" t="s">
        <v>47</v>
      </c>
      <c r="B26" t="s">
        <v>4870</v>
      </c>
      <c r="C26" t="s">
        <v>4833</v>
      </c>
      <c r="D26" t="s">
        <v>4862</v>
      </c>
      <c r="E26" t="s">
        <v>1408</v>
      </c>
    </row>
    <row r="27" spans="1:5" x14ac:dyDescent="0.3">
      <c r="A27" t="s">
        <v>83</v>
      </c>
      <c r="B27" t="s">
        <v>4859</v>
      </c>
      <c r="C27" t="s">
        <v>4860</v>
      </c>
      <c r="D27" t="s">
        <v>4850</v>
      </c>
      <c r="E27" t="s">
        <v>677</v>
      </c>
    </row>
    <row r="28" spans="1:5" x14ac:dyDescent="0.3">
      <c r="A28" t="s">
        <v>288</v>
      </c>
      <c r="B28" t="s">
        <v>4871</v>
      </c>
      <c r="C28" t="s">
        <v>4833</v>
      </c>
      <c r="D28" t="s">
        <v>4836</v>
      </c>
      <c r="E28" t="s">
        <v>2273</v>
      </c>
    </row>
    <row r="29" spans="1:5" x14ac:dyDescent="0.3">
      <c r="A29" t="s">
        <v>67</v>
      </c>
      <c r="B29" t="s">
        <v>4872</v>
      </c>
      <c r="C29" t="s">
        <v>4833</v>
      </c>
      <c r="D29" t="s">
        <v>4834</v>
      </c>
      <c r="E29" t="s">
        <v>1066</v>
      </c>
    </row>
    <row r="30" spans="1:5" x14ac:dyDescent="0.3">
      <c r="A30" t="s">
        <v>154</v>
      </c>
      <c r="B30" t="s">
        <v>4873</v>
      </c>
      <c r="C30" t="s">
        <v>4848</v>
      </c>
      <c r="D30" t="s">
        <v>4852</v>
      </c>
      <c r="E30" t="s">
        <v>1101</v>
      </c>
    </row>
    <row r="31" spans="1:5" x14ac:dyDescent="0.3">
      <c r="A31" t="s">
        <v>71</v>
      </c>
      <c r="B31" t="s">
        <v>4874</v>
      </c>
      <c r="C31" t="s">
        <v>4848</v>
      </c>
      <c r="D31" t="s">
        <v>4844</v>
      </c>
      <c r="E31" t="s">
        <v>515</v>
      </c>
    </row>
    <row r="32" spans="1:5" x14ac:dyDescent="0.3">
      <c r="A32" t="s">
        <v>190</v>
      </c>
      <c r="B32" t="s">
        <v>4875</v>
      </c>
      <c r="C32" t="s">
        <v>4848</v>
      </c>
      <c r="D32" t="s">
        <v>4839</v>
      </c>
      <c r="E32" t="s">
        <v>1779</v>
      </c>
    </row>
    <row r="33" spans="1:5" x14ac:dyDescent="0.3">
      <c r="A33" t="s">
        <v>37</v>
      </c>
      <c r="B33" t="s">
        <v>4876</v>
      </c>
      <c r="C33" t="s">
        <v>4838</v>
      </c>
      <c r="D33" t="s">
        <v>4850</v>
      </c>
      <c r="E33" t="s">
        <v>4877</v>
      </c>
    </row>
    <row r="34" spans="1:5" x14ac:dyDescent="0.3">
      <c r="A34" t="s">
        <v>52</v>
      </c>
      <c r="B34" t="s">
        <v>4871</v>
      </c>
      <c r="C34" t="s">
        <v>4833</v>
      </c>
      <c r="D34" t="s">
        <v>4850</v>
      </c>
      <c r="E34" t="s">
        <v>856</v>
      </c>
    </row>
    <row r="35" spans="1:5" x14ac:dyDescent="0.3">
      <c r="A35" t="s">
        <v>128</v>
      </c>
      <c r="B35" t="s">
        <v>4878</v>
      </c>
      <c r="C35" t="s">
        <v>4848</v>
      </c>
      <c r="D35" t="s">
        <v>4836</v>
      </c>
      <c r="E35" t="s">
        <v>253</v>
      </c>
    </row>
    <row r="36" spans="1:5" x14ac:dyDescent="0.3">
      <c r="A36" t="s">
        <v>362</v>
      </c>
      <c r="B36" t="s">
        <v>4879</v>
      </c>
      <c r="C36" t="s">
        <v>4860</v>
      </c>
      <c r="D36" t="s">
        <v>4880</v>
      </c>
      <c r="E36" t="s">
        <v>344</v>
      </c>
    </row>
    <row r="37" spans="1:5" x14ac:dyDescent="0.3">
      <c r="A37" t="s">
        <v>183</v>
      </c>
      <c r="B37" t="s">
        <v>4881</v>
      </c>
      <c r="C37" t="s">
        <v>4860</v>
      </c>
      <c r="D37" t="s">
        <v>4867</v>
      </c>
      <c r="E37" t="s">
        <v>429</v>
      </c>
    </row>
    <row r="38" spans="1:5" x14ac:dyDescent="0.3">
      <c r="A38" t="s">
        <v>351</v>
      </c>
      <c r="B38" t="s">
        <v>4882</v>
      </c>
      <c r="C38" t="s">
        <v>4833</v>
      </c>
      <c r="D38" t="s">
        <v>4836</v>
      </c>
      <c r="E38" t="s">
        <v>1821</v>
      </c>
    </row>
    <row r="39" spans="1:5" x14ac:dyDescent="0.3">
      <c r="A39" t="s">
        <v>527</v>
      </c>
      <c r="B39" t="s">
        <v>4883</v>
      </c>
      <c r="C39" t="s">
        <v>4833</v>
      </c>
      <c r="D39" t="s">
        <v>4884</v>
      </c>
      <c r="E39" t="s">
        <v>1779</v>
      </c>
    </row>
    <row r="40" spans="1:5" x14ac:dyDescent="0.3">
      <c r="A40" t="s">
        <v>144</v>
      </c>
      <c r="B40" t="s">
        <v>4885</v>
      </c>
      <c r="C40" t="s">
        <v>4833</v>
      </c>
      <c r="D40" t="s">
        <v>4841</v>
      </c>
      <c r="E40" t="s">
        <v>1834</v>
      </c>
    </row>
    <row r="41" spans="1:5" x14ac:dyDescent="0.3">
      <c r="A41" t="s">
        <v>93</v>
      </c>
      <c r="B41" t="s">
        <v>4825</v>
      </c>
      <c r="C41" t="s">
        <v>4833</v>
      </c>
      <c r="D41" t="s">
        <v>4867</v>
      </c>
      <c r="E41" t="s">
        <v>2100</v>
      </c>
    </row>
    <row r="42" spans="1:5" x14ac:dyDescent="0.3">
      <c r="A42" t="s">
        <v>124</v>
      </c>
      <c r="B42" t="s">
        <v>4886</v>
      </c>
      <c r="C42" t="s">
        <v>4848</v>
      </c>
      <c r="D42" t="s">
        <v>4862</v>
      </c>
      <c r="E42" t="s">
        <v>74</v>
      </c>
    </row>
    <row r="43" spans="1:5" x14ac:dyDescent="0.3">
      <c r="A43" t="s">
        <v>156</v>
      </c>
      <c r="B43" t="s">
        <v>4887</v>
      </c>
      <c r="C43" t="s">
        <v>4848</v>
      </c>
      <c r="D43" t="s">
        <v>4852</v>
      </c>
      <c r="E43" t="s">
        <v>416</v>
      </c>
    </row>
    <row r="44" spans="1:5" x14ac:dyDescent="0.3">
      <c r="A44" t="s">
        <v>57</v>
      </c>
      <c r="B44" t="s">
        <v>4888</v>
      </c>
      <c r="C44" t="s">
        <v>4860</v>
      </c>
      <c r="D44" t="s">
        <v>4842</v>
      </c>
      <c r="E44" t="s">
        <v>1115</v>
      </c>
    </row>
    <row r="45" spans="1:5" x14ac:dyDescent="0.3">
      <c r="A45" t="s">
        <v>216</v>
      </c>
      <c r="B45" t="s">
        <v>4889</v>
      </c>
      <c r="C45" t="s">
        <v>4860</v>
      </c>
      <c r="D45" t="s">
        <v>4839</v>
      </c>
      <c r="E45" t="s">
        <v>402</v>
      </c>
    </row>
    <row r="46" spans="1:5" x14ac:dyDescent="0.3">
      <c r="A46" t="s">
        <v>95</v>
      </c>
      <c r="B46" t="s">
        <v>4890</v>
      </c>
      <c r="C46" t="s">
        <v>4838</v>
      </c>
      <c r="D46" t="s">
        <v>4842</v>
      </c>
      <c r="E46" t="s">
        <v>677</v>
      </c>
    </row>
    <row r="47" spans="1:5" x14ac:dyDescent="0.3">
      <c r="A47" t="s">
        <v>50</v>
      </c>
      <c r="B47" t="s">
        <v>4891</v>
      </c>
      <c r="C47" t="s">
        <v>4860</v>
      </c>
      <c r="D47" t="s">
        <v>4842</v>
      </c>
      <c r="E47" t="s">
        <v>341</v>
      </c>
    </row>
    <row r="48" spans="1:5" x14ac:dyDescent="0.3">
      <c r="A48" t="s">
        <v>228</v>
      </c>
      <c r="B48" t="s">
        <v>4892</v>
      </c>
      <c r="C48" t="s">
        <v>4860</v>
      </c>
      <c r="D48" t="s">
        <v>4857</v>
      </c>
      <c r="E48" t="s">
        <v>1968</v>
      </c>
    </row>
    <row r="49" spans="1:5" x14ac:dyDescent="0.3">
      <c r="A49" t="s">
        <v>64</v>
      </c>
      <c r="B49" t="s">
        <v>4893</v>
      </c>
      <c r="C49" t="s">
        <v>4860</v>
      </c>
      <c r="D49" t="s">
        <v>4842</v>
      </c>
      <c r="E49" t="s">
        <v>677</v>
      </c>
    </row>
    <row r="50" spans="1:5" x14ac:dyDescent="0.3">
      <c r="A50" t="s">
        <v>24</v>
      </c>
      <c r="B50" t="s">
        <v>4894</v>
      </c>
      <c r="C50" t="s">
        <v>4848</v>
      </c>
      <c r="D50" t="s">
        <v>4862</v>
      </c>
      <c r="E50" t="s">
        <v>785</v>
      </c>
    </row>
    <row r="51" spans="1:5" x14ac:dyDescent="0.3">
      <c r="A51" t="s">
        <v>118</v>
      </c>
      <c r="B51" t="s">
        <v>4895</v>
      </c>
      <c r="C51" t="s">
        <v>4833</v>
      </c>
      <c r="D51" t="s">
        <v>4834</v>
      </c>
      <c r="E51" t="s">
        <v>1047</v>
      </c>
    </row>
    <row r="52" spans="1:5" x14ac:dyDescent="0.3">
      <c r="A52" t="s">
        <v>1984</v>
      </c>
      <c r="B52" t="s">
        <v>4896</v>
      </c>
      <c r="C52" t="s">
        <v>4833</v>
      </c>
      <c r="D52" t="s">
        <v>4897</v>
      </c>
      <c r="E52" t="s">
        <v>856</v>
      </c>
    </row>
    <row r="53" spans="1:5" x14ac:dyDescent="0.3">
      <c r="A53" t="s">
        <v>1716</v>
      </c>
      <c r="B53" t="s">
        <v>4898</v>
      </c>
      <c r="C53" t="s">
        <v>4838</v>
      </c>
      <c r="D53" t="s">
        <v>4897</v>
      </c>
      <c r="E53" t="s">
        <v>1383</v>
      </c>
    </row>
    <row r="54" spans="1:5" x14ac:dyDescent="0.3">
      <c r="A54" t="s">
        <v>1638</v>
      </c>
      <c r="B54" t="s">
        <v>4823</v>
      </c>
      <c r="C54" t="s">
        <v>4833</v>
      </c>
      <c r="D54" t="s">
        <v>4841</v>
      </c>
      <c r="E54" t="s">
        <v>2149</v>
      </c>
    </row>
    <row r="55" spans="1:5" x14ac:dyDescent="0.3">
      <c r="A55" t="s">
        <v>1794</v>
      </c>
      <c r="B55" t="s">
        <v>4899</v>
      </c>
      <c r="C55" t="s">
        <v>4848</v>
      </c>
      <c r="D55" t="s">
        <v>4880</v>
      </c>
      <c r="E55" t="s">
        <v>1804</v>
      </c>
    </row>
    <row r="56" spans="1:5" x14ac:dyDescent="0.3">
      <c r="A56" t="s">
        <v>1600</v>
      </c>
      <c r="B56" t="s">
        <v>4879</v>
      </c>
      <c r="C56" t="s">
        <v>4833</v>
      </c>
      <c r="D56" t="s">
        <v>4842</v>
      </c>
      <c r="E56" t="s">
        <v>2295</v>
      </c>
    </row>
    <row r="57" spans="1:5" x14ac:dyDescent="0.3">
      <c r="A57" t="s">
        <v>1598</v>
      </c>
      <c r="B57" t="s">
        <v>4900</v>
      </c>
      <c r="C57" t="s">
        <v>4833</v>
      </c>
      <c r="D57" t="s">
        <v>4841</v>
      </c>
      <c r="E57" t="s">
        <v>848</v>
      </c>
    </row>
    <row r="58" spans="1:5" x14ac:dyDescent="0.3">
      <c r="A58" t="s">
        <v>1762</v>
      </c>
      <c r="B58" t="s">
        <v>4901</v>
      </c>
      <c r="C58" t="s">
        <v>4838</v>
      </c>
      <c r="D58" t="s">
        <v>4867</v>
      </c>
      <c r="E58" t="s">
        <v>1748</v>
      </c>
    </row>
    <row r="59" spans="1:5" x14ac:dyDescent="0.3">
      <c r="A59" t="s">
        <v>1947</v>
      </c>
      <c r="B59" t="s">
        <v>4902</v>
      </c>
      <c r="C59" t="s">
        <v>4838</v>
      </c>
      <c r="D59" t="s">
        <v>4841</v>
      </c>
      <c r="E59" t="s">
        <v>1949</v>
      </c>
    </row>
    <row r="60" spans="1:5" x14ac:dyDescent="0.3">
      <c r="A60" t="s">
        <v>2224</v>
      </c>
      <c r="B60" t="s">
        <v>4903</v>
      </c>
      <c r="C60" t="s">
        <v>4848</v>
      </c>
      <c r="D60" t="s">
        <v>4836</v>
      </c>
      <c r="E60" t="s">
        <v>350</v>
      </c>
    </row>
    <row r="61" spans="1:5" x14ac:dyDescent="0.3">
      <c r="A61" t="s">
        <v>1439</v>
      </c>
      <c r="B61" t="s">
        <v>4904</v>
      </c>
      <c r="C61" t="s">
        <v>4833</v>
      </c>
      <c r="D61" t="s">
        <v>4880</v>
      </c>
      <c r="E61" t="s">
        <v>1549</v>
      </c>
    </row>
    <row r="62" spans="1:5" x14ac:dyDescent="0.3">
      <c r="A62" t="s">
        <v>1463</v>
      </c>
      <c r="B62" t="s">
        <v>4905</v>
      </c>
      <c r="C62" t="s">
        <v>4860</v>
      </c>
      <c r="D62" t="s">
        <v>4841</v>
      </c>
      <c r="E62" t="s">
        <v>2013</v>
      </c>
    </row>
    <row r="63" spans="1:5" x14ac:dyDescent="0.3">
      <c r="A63" t="s">
        <v>1447</v>
      </c>
      <c r="B63" t="s">
        <v>4906</v>
      </c>
      <c r="C63" t="s">
        <v>4848</v>
      </c>
      <c r="D63" t="s">
        <v>4834</v>
      </c>
      <c r="E63" t="s">
        <v>171</v>
      </c>
    </row>
    <row r="64" spans="1:5" x14ac:dyDescent="0.3">
      <c r="A64" t="s">
        <v>1640</v>
      </c>
      <c r="B64" t="s">
        <v>4907</v>
      </c>
      <c r="C64" t="s">
        <v>4833</v>
      </c>
      <c r="D64" t="s">
        <v>4842</v>
      </c>
      <c r="E64" t="s">
        <v>2063</v>
      </c>
    </row>
    <row r="65" spans="1:5" x14ac:dyDescent="0.3">
      <c r="A65" t="s">
        <v>2192</v>
      </c>
      <c r="B65" t="s">
        <v>4908</v>
      </c>
      <c r="C65" t="s">
        <v>4833</v>
      </c>
      <c r="D65" t="s">
        <v>4836</v>
      </c>
      <c r="E65" t="s">
        <v>235</v>
      </c>
    </row>
    <row r="66" spans="1:5" x14ac:dyDescent="0.3">
      <c r="A66" t="s">
        <v>1460</v>
      </c>
      <c r="B66" t="s">
        <v>4825</v>
      </c>
      <c r="C66" t="s">
        <v>4860</v>
      </c>
      <c r="D66" t="s">
        <v>4844</v>
      </c>
      <c r="E66" t="s">
        <v>934</v>
      </c>
    </row>
    <row r="67" spans="1:5" x14ac:dyDescent="0.3">
      <c r="A67" t="s">
        <v>1656</v>
      </c>
      <c r="B67" t="s">
        <v>4907</v>
      </c>
      <c r="C67" t="s">
        <v>4833</v>
      </c>
      <c r="D67" t="s">
        <v>4850</v>
      </c>
      <c r="E67" t="s">
        <v>939</v>
      </c>
    </row>
    <row r="68" spans="1:5" x14ac:dyDescent="0.3">
      <c r="A68" t="s">
        <v>1643</v>
      </c>
      <c r="B68" t="s">
        <v>4909</v>
      </c>
      <c r="C68" t="s">
        <v>4833</v>
      </c>
      <c r="D68" t="s">
        <v>4857</v>
      </c>
      <c r="E68" t="s">
        <v>2143</v>
      </c>
    </row>
    <row r="69" spans="1:5" x14ac:dyDescent="0.3">
      <c r="A69" t="s">
        <v>2188</v>
      </c>
      <c r="B69" t="s">
        <v>4910</v>
      </c>
      <c r="C69" t="s">
        <v>4833</v>
      </c>
      <c r="D69" t="s">
        <v>4867</v>
      </c>
      <c r="E69" t="s">
        <v>2295</v>
      </c>
    </row>
    <row r="70" spans="1:5" x14ac:dyDescent="0.3">
      <c r="A70" t="s">
        <v>1986</v>
      </c>
      <c r="B70" t="s">
        <v>4911</v>
      </c>
      <c r="C70" t="s">
        <v>4833</v>
      </c>
      <c r="D70" t="s">
        <v>4880</v>
      </c>
      <c r="E70" t="s">
        <v>1185</v>
      </c>
    </row>
    <row r="71" spans="1:5" x14ac:dyDescent="0.3">
      <c r="A71" t="s">
        <v>1596</v>
      </c>
      <c r="B71" t="s">
        <v>4912</v>
      </c>
      <c r="C71" t="s">
        <v>4838</v>
      </c>
      <c r="D71" t="s">
        <v>4857</v>
      </c>
      <c r="E71" t="s">
        <v>839</v>
      </c>
    </row>
    <row r="72" spans="1:5" x14ac:dyDescent="0.3">
      <c r="A72" t="s">
        <v>1449</v>
      </c>
      <c r="B72" t="s">
        <v>4913</v>
      </c>
      <c r="C72" t="s">
        <v>4848</v>
      </c>
      <c r="D72" t="s">
        <v>4852</v>
      </c>
      <c r="E72" t="s">
        <v>459</v>
      </c>
    </row>
    <row r="73" spans="1:5" x14ac:dyDescent="0.3">
      <c r="A73" t="s">
        <v>2612</v>
      </c>
      <c r="B73" t="s">
        <v>4914</v>
      </c>
      <c r="C73" t="s">
        <v>4848</v>
      </c>
      <c r="D73" t="s">
        <v>4834</v>
      </c>
      <c r="E73" t="s">
        <v>1155</v>
      </c>
    </row>
    <row r="74" spans="1:5" x14ac:dyDescent="0.3">
      <c r="A74" t="s">
        <v>1563</v>
      </c>
      <c r="B74" t="s">
        <v>4915</v>
      </c>
      <c r="C74" t="s">
        <v>4833</v>
      </c>
      <c r="D74" t="s">
        <v>4867</v>
      </c>
      <c r="E74" t="s">
        <v>1735</v>
      </c>
    </row>
    <row r="75" spans="1:5" x14ac:dyDescent="0.3">
      <c r="A75" t="s">
        <v>2718</v>
      </c>
      <c r="B75" t="s">
        <v>4916</v>
      </c>
      <c r="C75" t="s">
        <v>4833</v>
      </c>
      <c r="D75" t="s">
        <v>4862</v>
      </c>
      <c r="E75" t="s">
        <v>689</v>
      </c>
    </row>
    <row r="76" spans="1:5" x14ac:dyDescent="0.3">
      <c r="A76" t="s">
        <v>2417</v>
      </c>
      <c r="B76" t="s">
        <v>4917</v>
      </c>
      <c r="C76" t="s">
        <v>4848</v>
      </c>
      <c r="D76" t="s">
        <v>4850</v>
      </c>
      <c r="E76" t="s">
        <v>433</v>
      </c>
    </row>
    <row r="77" spans="1:5" x14ac:dyDescent="0.3">
      <c r="A77" t="s">
        <v>1623</v>
      </c>
      <c r="B77" t="s">
        <v>4918</v>
      </c>
      <c r="C77" t="s">
        <v>4833</v>
      </c>
      <c r="D77" t="s">
        <v>4841</v>
      </c>
      <c r="E77" t="s">
        <v>732</v>
      </c>
    </row>
    <row r="78" spans="1:5" x14ac:dyDescent="0.3">
      <c r="A78" t="s">
        <v>1496</v>
      </c>
      <c r="B78" t="s">
        <v>4919</v>
      </c>
      <c r="C78" t="s">
        <v>4838</v>
      </c>
      <c r="D78" t="s">
        <v>4841</v>
      </c>
      <c r="E78" t="s">
        <v>1234</v>
      </c>
    </row>
    <row r="79" spans="1:5" x14ac:dyDescent="0.3">
      <c r="A79" t="s">
        <v>1543</v>
      </c>
      <c r="B79" t="s">
        <v>4920</v>
      </c>
      <c r="C79" t="s">
        <v>4833</v>
      </c>
      <c r="D79" t="s">
        <v>4839</v>
      </c>
      <c r="E79" t="s">
        <v>2358</v>
      </c>
    </row>
    <row r="80" spans="1:5" x14ac:dyDescent="0.3">
      <c r="A80" t="s">
        <v>1862</v>
      </c>
      <c r="B80" t="s">
        <v>4921</v>
      </c>
      <c r="C80" t="s">
        <v>4848</v>
      </c>
      <c r="D80" t="s">
        <v>4839</v>
      </c>
      <c r="E80" t="s">
        <v>2045</v>
      </c>
    </row>
    <row r="81" spans="1:5" x14ac:dyDescent="0.3">
      <c r="A81" t="s">
        <v>2769</v>
      </c>
      <c r="B81" t="s">
        <v>4922</v>
      </c>
      <c r="C81" t="s">
        <v>4860</v>
      </c>
      <c r="D81" t="s">
        <v>4841</v>
      </c>
      <c r="E81" t="s">
        <v>945</v>
      </c>
    </row>
    <row r="82" spans="1:5" x14ac:dyDescent="0.3">
      <c r="A82" t="s">
        <v>1616</v>
      </c>
      <c r="B82" t="s">
        <v>4923</v>
      </c>
      <c r="C82" t="s">
        <v>4838</v>
      </c>
      <c r="D82" t="s">
        <v>4897</v>
      </c>
      <c r="E82" t="s">
        <v>829</v>
      </c>
    </row>
    <row r="83" spans="1:5" x14ac:dyDescent="0.3">
      <c r="A83" t="s">
        <v>2150</v>
      </c>
      <c r="B83" t="s">
        <v>4924</v>
      </c>
      <c r="C83" t="s">
        <v>4838</v>
      </c>
      <c r="D83" t="s">
        <v>4867</v>
      </c>
      <c r="E83" t="s">
        <v>958</v>
      </c>
    </row>
    <row r="84" spans="1:5" x14ac:dyDescent="0.3">
      <c r="A84" t="s">
        <v>2232</v>
      </c>
      <c r="B84" t="s">
        <v>4861</v>
      </c>
      <c r="C84" t="s">
        <v>4833</v>
      </c>
      <c r="D84" t="s">
        <v>4842</v>
      </c>
      <c r="E84" t="s">
        <v>2125</v>
      </c>
    </row>
    <row r="85" spans="1:5" x14ac:dyDescent="0.3">
      <c r="A85" t="s">
        <v>1451</v>
      </c>
      <c r="B85" t="s">
        <v>4925</v>
      </c>
      <c r="C85" t="s">
        <v>4848</v>
      </c>
      <c r="D85" t="s">
        <v>4867</v>
      </c>
      <c r="E85" t="s">
        <v>459</v>
      </c>
    </row>
    <row r="86" spans="1:5" x14ac:dyDescent="0.3">
      <c r="A86" t="s">
        <v>3614</v>
      </c>
      <c r="B86" t="s">
        <v>4926</v>
      </c>
      <c r="C86" t="s">
        <v>4848</v>
      </c>
      <c r="D86" t="s">
        <v>4839</v>
      </c>
      <c r="E86" t="s">
        <v>1424</v>
      </c>
    </row>
    <row r="87" spans="1:5" x14ac:dyDescent="0.3">
      <c r="A87" t="s">
        <v>1458</v>
      </c>
      <c r="B87" t="s">
        <v>4927</v>
      </c>
      <c r="C87" t="s">
        <v>4838</v>
      </c>
      <c r="D87" t="s">
        <v>4897</v>
      </c>
      <c r="E87" t="s">
        <v>2106</v>
      </c>
    </row>
    <row r="88" spans="1:5" x14ac:dyDescent="0.3">
      <c r="A88" t="s">
        <v>2147</v>
      </c>
      <c r="B88" t="s">
        <v>4928</v>
      </c>
      <c r="C88" t="s">
        <v>4848</v>
      </c>
      <c r="D88" t="s">
        <v>4841</v>
      </c>
      <c r="E88" t="s">
        <v>864</v>
      </c>
    </row>
    <row r="89" spans="1:5" x14ac:dyDescent="0.3">
      <c r="A89" t="s">
        <v>2102</v>
      </c>
      <c r="B89" t="s">
        <v>4929</v>
      </c>
      <c r="C89" t="s">
        <v>4833</v>
      </c>
      <c r="D89" t="s">
        <v>4836</v>
      </c>
      <c r="E89" t="s">
        <v>12</v>
      </c>
    </row>
    <row r="90" spans="1:5" x14ac:dyDescent="0.3">
      <c r="A90" t="s">
        <v>1668</v>
      </c>
      <c r="B90" t="s">
        <v>4930</v>
      </c>
      <c r="C90" t="s">
        <v>4833</v>
      </c>
      <c r="D90" t="s">
        <v>4857</v>
      </c>
      <c r="E90" t="s">
        <v>664</v>
      </c>
    </row>
    <row r="91" spans="1:5" x14ac:dyDescent="0.3">
      <c r="A91" t="s">
        <v>1741</v>
      </c>
      <c r="B91" t="s">
        <v>4931</v>
      </c>
      <c r="C91" t="s">
        <v>4848</v>
      </c>
      <c r="D91" t="s">
        <v>4857</v>
      </c>
      <c r="E91" t="s">
        <v>414</v>
      </c>
    </row>
    <row r="92" spans="1:5" x14ac:dyDescent="0.3">
      <c r="A92" t="s">
        <v>1728</v>
      </c>
      <c r="B92" t="s">
        <v>4932</v>
      </c>
      <c r="C92" t="s">
        <v>4848</v>
      </c>
      <c r="D92" t="s">
        <v>4836</v>
      </c>
      <c r="E92" t="s">
        <v>1480</v>
      </c>
    </row>
    <row r="93" spans="1:5" x14ac:dyDescent="0.3">
      <c r="A93" t="s">
        <v>1515</v>
      </c>
      <c r="B93" t="s">
        <v>4813</v>
      </c>
      <c r="C93" t="s">
        <v>4833</v>
      </c>
      <c r="D93" t="s">
        <v>4897</v>
      </c>
      <c r="E93" t="s">
        <v>1743</v>
      </c>
    </row>
    <row r="94" spans="1:5" x14ac:dyDescent="0.3">
      <c r="A94" t="s">
        <v>1705</v>
      </c>
      <c r="B94" t="s">
        <v>4895</v>
      </c>
      <c r="C94" t="s">
        <v>4833</v>
      </c>
      <c r="D94" t="s">
        <v>4862</v>
      </c>
      <c r="E94" t="s">
        <v>1214</v>
      </c>
    </row>
    <row r="95" spans="1:5" x14ac:dyDescent="0.3">
      <c r="A95" t="s">
        <v>2268</v>
      </c>
      <c r="B95" t="s">
        <v>4933</v>
      </c>
      <c r="C95" t="s">
        <v>4838</v>
      </c>
      <c r="D95" t="s">
        <v>4834</v>
      </c>
      <c r="E95" t="s">
        <v>1789</v>
      </c>
    </row>
    <row r="96" spans="1:5" x14ac:dyDescent="0.3">
      <c r="A96" t="s">
        <v>2469</v>
      </c>
      <c r="B96" t="s">
        <v>4934</v>
      </c>
      <c r="C96" t="s">
        <v>4833</v>
      </c>
      <c r="D96" t="s">
        <v>4839</v>
      </c>
      <c r="E96" t="s">
        <v>561</v>
      </c>
    </row>
    <row r="97" spans="1:5" x14ac:dyDescent="0.3">
      <c r="A97" t="s">
        <v>2446</v>
      </c>
      <c r="B97" t="s">
        <v>4935</v>
      </c>
      <c r="C97" t="s">
        <v>4848</v>
      </c>
      <c r="D97" t="s">
        <v>4884</v>
      </c>
      <c r="E97" t="s">
        <v>617</v>
      </c>
    </row>
    <row r="98" spans="1:5" x14ac:dyDescent="0.3">
      <c r="A98" t="s">
        <v>1737</v>
      </c>
      <c r="B98" t="s">
        <v>4936</v>
      </c>
      <c r="C98" t="s">
        <v>4848</v>
      </c>
      <c r="D98" t="s">
        <v>4869</v>
      </c>
      <c r="E98" t="s">
        <v>1366</v>
      </c>
    </row>
    <row r="99" spans="1:5" x14ac:dyDescent="0.3">
      <c r="A99" t="s">
        <v>2094</v>
      </c>
      <c r="B99" t="s">
        <v>4937</v>
      </c>
      <c r="C99" t="s">
        <v>4860</v>
      </c>
      <c r="D99" t="s">
        <v>4842</v>
      </c>
      <c r="E99" t="s">
        <v>4938</v>
      </c>
    </row>
    <row r="100" spans="1:5" x14ac:dyDescent="0.3">
      <c r="A100" t="s">
        <v>1925</v>
      </c>
      <c r="B100" t="s">
        <v>4939</v>
      </c>
      <c r="C100" t="s">
        <v>4848</v>
      </c>
      <c r="D100" t="s">
        <v>4862</v>
      </c>
      <c r="E100" t="s">
        <v>1277</v>
      </c>
    </row>
    <row r="101" spans="1:5" x14ac:dyDescent="0.3">
      <c r="A101" t="s">
        <v>2126</v>
      </c>
      <c r="B101" t="s">
        <v>4940</v>
      </c>
      <c r="C101" t="s">
        <v>4833</v>
      </c>
      <c r="D101" t="s">
        <v>4869</v>
      </c>
      <c r="E101" t="s">
        <v>2289</v>
      </c>
    </row>
    <row r="102" spans="1:5" x14ac:dyDescent="0.3">
      <c r="A102" t="s">
        <v>2359</v>
      </c>
      <c r="B102" t="s">
        <v>4941</v>
      </c>
      <c r="C102" t="s">
        <v>4833</v>
      </c>
      <c r="D102" t="s">
        <v>4842</v>
      </c>
      <c r="E102" t="s">
        <v>1876</v>
      </c>
    </row>
    <row r="103" spans="1:5" x14ac:dyDescent="0.3">
      <c r="A103" t="s">
        <v>1654</v>
      </c>
      <c r="B103" t="s">
        <v>4942</v>
      </c>
      <c r="C103" t="s">
        <v>4833</v>
      </c>
      <c r="D103" t="s">
        <v>4842</v>
      </c>
      <c r="E103" t="s">
        <v>2419</v>
      </c>
    </row>
    <row r="104" spans="1:5" x14ac:dyDescent="0.3">
      <c r="A104" t="s">
        <v>1691</v>
      </c>
      <c r="B104" t="s">
        <v>4943</v>
      </c>
      <c r="C104" t="s">
        <v>4860</v>
      </c>
      <c r="D104" t="s">
        <v>4842</v>
      </c>
      <c r="E104" t="s">
        <v>123</v>
      </c>
    </row>
    <row r="105" spans="1:5" x14ac:dyDescent="0.3">
      <c r="A105" t="s">
        <v>1752</v>
      </c>
      <c r="B105" t="s">
        <v>4944</v>
      </c>
      <c r="C105" t="s">
        <v>4848</v>
      </c>
      <c r="D105" t="s">
        <v>4852</v>
      </c>
      <c r="E105" t="s">
        <v>683</v>
      </c>
    </row>
    <row r="106" spans="1:5" x14ac:dyDescent="0.3">
      <c r="A106" t="s">
        <v>2778</v>
      </c>
      <c r="B106" t="s">
        <v>4945</v>
      </c>
      <c r="C106" t="s">
        <v>4848</v>
      </c>
      <c r="D106" t="s">
        <v>4867</v>
      </c>
      <c r="E106" t="s">
        <v>1383</v>
      </c>
    </row>
    <row r="107" spans="1:5" x14ac:dyDescent="0.3">
      <c r="A107" t="s">
        <v>1557</v>
      </c>
      <c r="B107" t="s">
        <v>4946</v>
      </c>
      <c r="C107" t="s">
        <v>4833</v>
      </c>
      <c r="D107" t="s">
        <v>4834</v>
      </c>
      <c r="E107" t="s">
        <v>958</v>
      </c>
    </row>
    <row r="108" spans="1:5" x14ac:dyDescent="0.3">
      <c r="A108" t="s">
        <v>2235</v>
      </c>
      <c r="B108" t="s">
        <v>4947</v>
      </c>
      <c r="C108" t="s">
        <v>4833</v>
      </c>
      <c r="D108" t="s">
        <v>4857</v>
      </c>
      <c r="E108" t="s">
        <v>1618</v>
      </c>
    </row>
    <row r="109" spans="1:5" x14ac:dyDescent="0.3">
      <c r="A109" t="s">
        <v>2505</v>
      </c>
      <c r="B109" t="s">
        <v>4948</v>
      </c>
      <c r="C109" t="s">
        <v>4833</v>
      </c>
      <c r="D109" t="s">
        <v>4844</v>
      </c>
      <c r="E109" t="s">
        <v>74</v>
      </c>
    </row>
    <row r="110" spans="1:5" x14ac:dyDescent="0.3">
      <c r="A110" t="s">
        <v>1994</v>
      </c>
      <c r="B110" t="s">
        <v>4900</v>
      </c>
      <c r="C110" t="s">
        <v>4833</v>
      </c>
      <c r="D110" t="s">
        <v>4844</v>
      </c>
      <c r="E110" t="s">
        <v>2254</v>
      </c>
    </row>
    <row r="111" spans="1:5" x14ac:dyDescent="0.3">
      <c r="A111" t="s">
        <v>1670</v>
      </c>
      <c r="B111" t="s">
        <v>4879</v>
      </c>
      <c r="C111" t="s">
        <v>4860</v>
      </c>
      <c r="D111" t="s">
        <v>4867</v>
      </c>
      <c r="E111" t="s">
        <v>1040</v>
      </c>
    </row>
    <row r="112" spans="1:5" x14ac:dyDescent="0.3">
      <c r="A112" t="s">
        <v>1621</v>
      </c>
      <c r="B112" t="s">
        <v>4949</v>
      </c>
      <c r="C112" t="s">
        <v>4833</v>
      </c>
      <c r="D112" t="s">
        <v>4844</v>
      </c>
      <c r="E112" t="s">
        <v>986</v>
      </c>
    </row>
    <row r="113" spans="1:5" x14ac:dyDescent="0.3">
      <c r="A113" t="s">
        <v>2876</v>
      </c>
      <c r="B113" t="s">
        <v>4950</v>
      </c>
      <c r="C113" t="s">
        <v>4833</v>
      </c>
      <c r="D113" t="s">
        <v>4880</v>
      </c>
      <c r="E113" t="s">
        <v>1066</v>
      </c>
    </row>
    <row r="114" spans="1:5" x14ac:dyDescent="0.3">
      <c r="A114" t="s">
        <v>1708</v>
      </c>
      <c r="B114" t="s">
        <v>4951</v>
      </c>
      <c r="C114" t="s">
        <v>4838</v>
      </c>
      <c r="D114" t="s">
        <v>4841</v>
      </c>
      <c r="E114" t="s">
        <v>1151</v>
      </c>
    </row>
    <row r="115" spans="1:5" x14ac:dyDescent="0.3">
      <c r="A115" t="s">
        <v>2096</v>
      </c>
      <c r="B115" t="s">
        <v>4952</v>
      </c>
      <c r="C115" t="s">
        <v>4833</v>
      </c>
      <c r="D115" t="s">
        <v>4880</v>
      </c>
      <c r="E115" t="s">
        <v>1711</v>
      </c>
    </row>
    <row r="116" spans="1:5" x14ac:dyDescent="0.3">
      <c r="A116" t="s">
        <v>1502</v>
      </c>
      <c r="B116" t="s">
        <v>4953</v>
      </c>
      <c r="C116" t="s">
        <v>4860</v>
      </c>
      <c r="D116" t="s">
        <v>4857</v>
      </c>
      <c r="E116" t="s">
        <v>1096</v>
      </c>
    </row>
    <row r="117" spans="1:5" x14ac:dyDescent="0.3">
      <c r="A117" t="s">
        <v>1891</v>
      </c>
      <c r="B117" t="s">
        <v>4954</v>
      </c>
      <c r="C117" t="s">
        <v>4848</v>
      </c>
      <c r="D117" t="s">
        <v>4834</v>
      </c>
      <c r="E117" t="s">
        <v>391</v>
      </c>
    </row>
    <row r="118" spans="1:5" x14ac:dyDescent="0.3">
      <c r="A118" t="s">
        <v>1487</v>
      </c>
      <c r="B118" t="s">
        <v>4955</v>
      </c>
      <c r="C118" t="s">
        <v>4848</v>
      </c>
      <c r="D118" t="s">
        <v>4897</v>
      </c>
      <c r="E118" t="s">
        <v>151</v>
      </c>
    </row>
    <row r="119" spans="1:5" x14ac:dyDescent="0.3">
      <c r="A119" t="s">
        <v>2680</v>
      </c>
      <c r="B119" t="s">
        <v>4956</v>
      </c>
      <c r="C119" t="s">
        <v>4848</v>
      </c>
      <c r="D119" t="s">
        <v>4836</v>
      </c>
      <c r="E119" t="s">
        <v>1590</v>
      </c>
    </row>
    <row r="120" spans="1:5" x14ac:dyDescent="0.3">
      <c r="A120" t="s">
        <v>1567</v>
      </c>
      <c r="B120" t="s">
        <v>4957</v>
      </c>
      <c r="C120" t="s">
        <v>4833</v>
      </c>
      <c r="D120" t="s">
        <v>4867</v>
      </c>
      <c r="E120" t="s">
        <v>331</v>
      </c>
    </row>
    <row r="121" spans="1:5" x14ac:dyDescent="0.3">
      <c r="A121" t="s">
        <v>1547</v>
      </c>
      <c r="B121" t="s">
        <v>4958</v>
      </c>
      <c r="C121" t="s">
        <v>4833</v>
      </c>
      <c r="D121" t="s">
        <v>4844</v>
      </c>
      <c r="E121" t="s">
        <v>642</v>
      </c>
    </row>
    <row r="122" spans="1:5" x14ac:dyDescent="0.3">
      <c r="A122" t="s">
        <v>1910</v>
      </c>
      <c r="B122" t="s">
        <v>4946</v>
      </c>
      <c r="C122" t="s">
        <v>4833</v>
      </c>
      <c r="D122" t="s">
        <v>4867</v>
      </c>
      <c r="E122" t="s">
        <v>642</v>
      </c>
    </row>
    <row r="123" spans="1:5" x14ac:dyDescent="0.3">
      <c r="A123" t="s">
        <v>1559</v>
      </c>
      <c r="B123" t="s">
        <v>4959</v>
      </c>
      <c r="C123" t="s">
        <v>4848</v>
      </c>
      <c r="D123" t="s">
        <v>4841</v>
      </c>
      <c r="E123" t="s">
        <v>781</v>
      </c>
    </row>
    <row r="124" spans="1:5" x14ac:dyDescent="0.3">
      <c r="A124" t="s">
        <v>3165</v>
      </c>
      <c r="B124" t="s">
        <v>4960</v>
      </c>
      <c r="C124" t="s">
        <v>4833</v>
      </c>
      <c r="D124" t="s">
        <v>4839</v>
      </c>
      <c r="E124" t="s">
        <v>1234</v>
      </c>
    </row>
    <row r="125" spans="1:5" x14ac:dyDescent="0.3">
      <c r="A125" t="s">
        <v>2020</v>
      </c>
      <c r="B125" t="s">
        <v>4882</v>
      </c>
      <c r="C125" t="s">
        <v>4833</v>
      </c>
      <c r="D125" t="s">
        <v>4836</v>
      </c>
      <c r="E125" t="s">
        <v>774</v>
      </c>
    </row>
    <row r="126" spans="1:5" x14ac:dyDescent="0.3">
      <c r="A126" t="s">
        <v>1535</v>
      </c>
      <c r="B126" t="s">
        <v>4961</v>
      </c>
      <c r="C126" t="s">
        <v>4838</v>
      </c>
      <c r="D126" t="s">
        <v>4836</v>
      </c>
      <c r="E126" t="s">
        <v>1350</v>
      </c>
    </row>
    <row r="127" spans="1:5" x14ac:dyDescent="0.3">
      <c r="A127" t="s">
        <v>1681</v>
      </c>
      <c r="B127" t="s">
        <v>4962</v>
      </c>
      <c r="C127" t="s">
        <v>4833</v>
      </c>
      <c r="D127" t="s">
        <v>4884</v>
      </c>
      <c r="E127" t="s">
        <v>4963</v>
      </c>
    </row>
    <row r="128" spans="1:5" x14ac:dyDescent="0.3">
      <c r="A128" t="s">
        <v>2600</v>
      </c>
      <c r="B128" t="s">
        <v>4964</v>
      </c>
      <c r="C128" t="s">
        <v>4838</v>
      </c>
      <c r="D128" t="s">
        <v>4897</v>
      </c>
      <c r="E128" t="s">
        <v>2419</v>
      </c>
    </row>
    <row r="129" spans="1:5" x14ac:dyDescent="0.3">
      <c r="A129" t="s">
        <v>1505</v>
      </c>
      <c r="B129" t="s">
        <v>4965</v>
      </c>
      <c r="C129" t="s">
        <v>4833</v>
      </c>
      <c r="D129" t="s">
        <v>4862</v>
      </c>
      <c r="E129" t="s">
        <v>1214</v>
      </c>
    </row>
    <row r="130" spans="1:5" x14ac:dyDescent="0.3">
      <c r="A130" t="s">
        <v>2577</v>
      </c>
      <c r="B130" t="s">
        <v>4966</v>
      </c>
      <c r="C130" t="s">
        <v>4833</v>
      </c>
      <c r="D130" t="s">
        <v>4850</v>
      </c>
      <c r="E130" t="s">
        <v>677</v>
      </c>
    </row>
    <row r="131" spans="1:5" x14ac:dyDescent="0.3">
      <c r="A131" t="s">
        <v>2059</v>
      </c>
      <c r="B131" t="s">
        <v>4967</v>
      </c>
      <c r="C131" t="s">
        <v>4833</v>
      </c>
      <c r="D131" t="s">
        <v>4869</v>
      </c>
      <c r="E131" t="s">
        <v>664</v>
      </c>
    </row>
    <row r="132" spans="1:5" x14ac:dyDescent="0.3">
      <c r="A132" t="s">
        <v>1483</v>
      </c>
      <c r="B132" t="s">
        <v>4968</v>
      </c>
      <c r="C132" t="s">
        <v>4833</v>
      </c>
      <c r="D132" t="s">
        <v>4842</v>
      </c>
      <c r="E132" t="s">
        <v>1204</v>
      </c>
    </row>
    <row r="133" spans="1:5" x14ac:dyDescent="0.3">
      <c r="A133" t="s">
        <v>3852</v>
      </c>
      <c r="B133" t="s">
        <v>4969</v>
      </c>
      <c r="C133" t="s">
        <v>4833</v>
      </c>
      <c r="D133" t="s">
        <v>4834</v>
      </c>
      <c r="E133" t="s">
        <v>1711</v>
      </c>
    </row>
    <row r="134" spans="1:5" x14ac:dyDescent="0.3">
      <c r="A134" t="s">
        <v>1651</v>
      </c>
      <c r="B134" t="s">
        <v>4970</v>
      </c>
      <c r="C134" t="s">
        <v>4838</v>
      </c>
      <c r="D134" t="s">
        <v>4836</v>
      </c>
      <c r="E134" t="s">
        <v>171</v>
      </c>
    </row>
    <row r="135" spans="1:5" x14ac:dyDescent="0.3">
      <c r="A135" t="s">
        <v>1586</v>
      </c>
      <c r="B135" t="s">
        <v>4971</v>
      </c>
      <c r="C135" t="s">
        <v>4848</v>
      </c>
      <c r="D135" t="s">
        <v>4884</v>
      </c>
      <c r="E135" t="s">
        <v>2399</v>
      </c>
    </row>
    <row r="136" spans="1:5" x14ac:dyDescent="0.3">
      <c r="A136" t="s">
        <v>1888</v>
      </c>
      <c r="B136" t="s">
        <v>4948</v>
      </c>
      <c r="C136" t="s">
        <v>4833</v>
      </c>
      <c r="D136" t="s">
        <v>4867</v>
      </c>
      <c r="E136" t="s">
        <v>1748</v>
      </c>
    </row>
    <row r="137" spans="1:5" x14ac:dyDescent="0.3">
      <c r="A137" t="s">
        <v>1805</v>
      </c>
      <c r="B137" t="s">
        <v>4972</v>
      </c>
      <c r="C137" t="s">
        <v>4838</v>
      </c>
      <c r="D137" t="s">
        <v>4839</v>
      </c>
      <c r="E137" t="s">
        <v>600</v>
      </c>
    </row>
    <row r="138" spans="1:5" x14ac:dyDescent="0.3">
      <c r="A138" t="s">
        <v>1719</v>
      </c>
      <c r="B138" t="s">
        <v>4973</v>
      </c>
      <c r="C138" t="s">
        <v>4848</v>
      </c>
      <c r="D138" t="s">
        <v>4884</v>
      </c>
      <c r="E138" t="s">
        <v>2295</v>
      </c>
    </row>
    <row r="139" spans="1:5" x14ac:dyDescent="0.3">
      <c r="A139" t="s">
        <v>1978</v>
      </c>
      <c r="B139" t="s">
        <v>4974</v>
      </c>
      <c r="C139" t="s">
        <v>4833</v>
      </c>
      <c r="D139" t="s">
        <v>4862</v>
      </c>
      <c r="E139" t="s">
        <v>223</v>
      </c>
    </row>
    <row r="140" spans="1:5" x14ac:dyDescent="0.3">
      <c r="A140" t="s">
        <v>2217</v>
      </c>
      <c r="B140" t="s">
        <v>4975</v>
      </c>
      <c r="C140" t="s">
        <v>4838</v>
      </c>
      <c r="D140" t="s">
        <v>4841</v>
      </c>
      <c r="E140" t="s">
        <v>1444</v>
      </c>
    </row>
    <row r="141" spans="1:5" x14ac:dyDescent="0.3">
      <c r="A141" t="s">
        <v>1467</v>
      </c>
      <c r="B141" t="s">
        <v>4915</v>
      </c>
      <c r="C141" t="s">
        <v>4833</v>
      </c>
      <c r="D141" t="s">
        <v>4852</v>
      </c>
      <c r="E141" t="s">
        <v>1689</v>
      </c>
    </row>
    <row r="142" spans="1:5" x14ac:dyDescent="0.3">
      <c r="A142" t="s">
        <v>1673</v>
      </c>
      <c r="B142" t="s">
        <v>4859</v>
      </c>
      <c r="C142" t="s">
        <v>4833</v>
      </c>
      <c r="D142" t="s">
        <v>4897</v>
      </c>
      <c r="E142" t="s">
        <v>1286</v>
      </c>
    </row>
    <row r="143" spans="1:5" x14ac:dyDescent="0.3">
      <c r="A143" t="s">
        <v>1938</v>
      </c>
      <c r="B143" t="s">
        <v>4969</v>
      </c>
      <c r="C143" t="s">
        <v>4833</v>
      </c>
      <c r="D143" t="s">
        <v>4836</v>
      </c>
      <c r="E143" t="s">
        <v>4976</v>
      </c>
    </row>
    <row r="144" spans="1:5" x14ac:dyDescent="0.3">
      <c r="A144" t="s">
        <v>3847</v>
      </c>
      <c r="B144" t="s">
        <v>4817</v>
      </c>
      <c r="C144" t="s">
        <v>4833</v>
      </c>
      <c r="D144" t="s">
        <v>4867</v>
      </c>
      <c r="E144" t="s">
        <v>945</v>
      </c>
    </row>
    <row r="145" spans="1:5" x14ac:dyDescent="0.3">
      <c r="A145" t="s">
        <v>1687</v>
      </c>
      <c r="B145" t="s">
        <v>4911</v>
      </c>
      <c r="C145" t="s">
        <v>4833</v>
      </c>
      <c r="D145" t="s">
        <v>4852</v>
      </c>
      <c r="E145" t="s">
        <v>677</v>
      </c>
    </row>
    <row r="146" spans="1:5" x14ac:dyDescent="0.3">
      <c r="A146" t="s">
        <v>3074</v>
      </c>
      <c r="B146" t="s">
        <v>4977</v>
      </c>
      <c r="C146" t="s">
        <v>4838</v>
      </c>
      <c r="D146" t="s">
        <v>4869</v>
      </c>
      <c r="E146" t="s">
        <v>433</v>
      </c>
    </row>
    <row r="147" spans="1:5" x14ac:dyDescent="0.3">
      <c r="A147" t="s">
        <v>2029</v>
      </c>
      <c r="B147" t="s">
        <v>4978</v>
      </c>
      <c r="C147" t="s">
        <v>4848</v>
      </c>
      <c r="D147" t="s">
        <v>4880</v>
      </c>
      <c r="E147" t="s">
        <v>455</v>
      </c>
    </row>
    <row r="148" spans="1:5" x14ac:dyDescent="0.3">
      <c r="A148" t="s">
        <v>2407</v>
      </c>
      <c r="B148" t="s">
        <v>4889</v>
      </c>
      <c r="C148" t="s">
        <v>4833</v>
      </c>
      <c r="D148" t="s">
        <v>4834</v>
      </c>
      <c r="E148" t="s">
        <v>1158</v>
      </c>
    </row>
    <row r="149" spans="1:5" x14ac:dyDescent="0.3">
      <c r="A149" t="s">
        <v>2868</v>
      </c>
      <c r="B149" t="s">
        <v>4979</v>
      </c>
      <c r="C149" t="s">
        <v>4848</v>
      </c>
      <c r="D149" t="s">
        <v>4839</v>
      </c>
      <c r="E149" t="s">
        <v>1383</v>
      </c>
    </row>
    <row r="150" spans="1:5" x14ac:dyDescent="0.3">
      <c r="A150" t="s">
        <v>2255</v>
      </c>
      <c r="B150" t="s">
        <v>4934</v>
      </c>
      <c r="C150" t="s">
        <v>4860</v>
      </c>
      <c r="D150" t="s">
        <v>4842</v>
      </c>
      <c r="E150" t="s">
        <v>1066</v>
      </c>
    </row>
    <row r="151" spans="1:5" x14ac:dyDescent="0.3">
      <c r="A151" t="s">
        <v>1530</v>
      </c>
      <c r="B151" t="s">
        <v>4980</v>
      </c>
      <c r="C151" t="s">
        <v>4838</v>
      </c>
      <c r="D151" t="s">
        <v>4842</v>
      </c>
      <c r="E151" t="s">
        <v>1462</v>
      </c>
    </row>
    <row r="152" spans="1:5" x14ac:dyDescent="0.3">
      <c r="A152" t="s">
        <v>1828</v>
      </c>
      <c r="B152" t="s">
        <v>4981</v>
      </c>
      <c r="C152" t="s">
        <v>4848</v>
      </c>
      <c r="D152" t="s">
        <v>4867</v>
      </c>
      <c r="E152" t="s">
        <v>1493</v>
      </c>
    </row>
    <row r="153" spans="1:5" x14ac:dyDescent="0.3">
      <c r="A153" t="s">
        <v>2088</v>
      </c>
      <c r="B153" t="s">
        <v>4982</v>
      </c>
      <c r="C153" t="s">
        <v>4838</v>
      </c>
      <c r="D153" t="s">
        <v>4836</v>
      </c>
      <c r="E153" t="s">
        <v>547</v>
      </c>
    </row>
    <row r="154" spans="1:5" x14ac:dyDescent="0.3">
      <c r="A154" t="s">
        <v>1856</v>
      </c>
      <c r="B154" t="s">
        <v>4983</v>
      </c>
      <c r="C154" t="s">
        <v>4838</v>
      </c>
      <c r="D154" t="s">
        <v>4842</v>
      </c>
      <c r="E154" t="s">
        <v>1590</v>
      </c>
    </row>
    <row r="155" spans="1:5" x14ac:dyDescent="0.3">
      <c r="A155" t="s">
        <v>1912</v>
      </c>
      <c r="B155" t="s">
        <v>4984</v>
      </c>
      <c r="C155" t="s">
        <v>4838</v>
      </c>
      <c r="D155" t="s">
        <v>4852</v>
      </c>
      <c r="E155" t="s">
        <v>1128</v>
      </c>
    </row>
    <row r="156" spans="1:5" x14ac:dyDescent="0.3">
      <c r="A156" t="s">
        <v>2213</v>
      </c>
      <c r="B156" t="s">
        <v>4985</v>
      </c>
      <c r="C156" t="s">
        <v>4833</v>
      </c>
      <c r="D156" t="s">
        <v>4842</v>
      </c>
      <c r="E156" t="s">
        <v>1104</v>
      </c>
    </row>
    <row r="157" spans="1:5" x14ac:dyDescent="0.3">
      <c r="A157" t="s">
        <v>1532</v>
      </c>
      <c r="B157" t="s">
        <v>4986</v>
      </c>
      <c r="C157" t="s">
        <v>4838</v>
      </c>
      <c r="D157" t="s">
        <v>4857</v>
      </c>
      <c r="E157" t="s">
        <v>1821</v>
      </c>
    </row>
    <row r="158" spans="1:5" x14ac:dyDescent="0.3">
      <c r="A158" t="s">
        <v>2173</v>
      </c>
      <c r="B158" t="s">
        <v>4943</v>
      </c>
      <c r="C158" t="s">
        <v>4833</v>
      </c>
      <c r="D158" t="s">
        <v>4884</v>
      </c>
      <c r="E158" t="s">
        <v>81</v>
      </c>
    </row>
    <row r="159" spans="1:5" x14ac:dyDescent="0.3">
      <c r="A159" t="s">
        <v>1555</v>
      </c>
      <c r="B159" t="s">
        <v>4987</v>
      </c>
      <c r="C159" t="s">
        <v>4833</v>
      </c>
      <c r="D159" t="s">
        <v>4836</v>
      </c>
      <c r="E159" t="s">
        <v>2280</v>
      </c>
    </row>
    <row r="160" spans="1:5" x14ac:dyDescent="0.3">
      <c r="A160" t="s">
        <v>3006</v>
      </c>
      <c r="B160" t="s">
        <v>4988</v>
      </c>
      <c r="C160" t="s">
        <v>4833</v>
      </c>
      <c r="D160" t="s">
        <v>4869</v>
      </c>
      <c r="E160" t="s">
        <v>2502</v>
      </c>
    </row>
    <row r="161" spans="1:5" x14ac:dyDescent="0.3">
      <c r="A161" t="s">
        <v>1523</v>
      </c>
      <c r="B161" t="s">
        <v>4882</v>
      </c>
      <c r="C161" t="s">
        <v>4860</v>
      </c>
      <c r="D161" t="s">
        <v>4841</v>
      </c>
      <c r="E161" t="s">
        <v>949</v>
      </c>
    </row>
    <row r="162" spans="1:5" x14ac:dyDescent="0.3">
      <c r="A162" t="s">
        <v>1604</v>
      </c>
      <c r="B162" t="s">
        <v>4989</v>
      </c>
      <c r="C162" t="s">
        <v>4833</v>
      </c>
      <c r="D162" t="s">
        <v>4834</v>
      </c>
      <c r="E162" t="s">
        <v>1350</v>
      </c>
    </row>
    <row r="163" spans="1:5" x14ac:dyDescent="0.3">
      <c r="A163" t="s">
        <v>2137</v>
      </c>
      <c r="B163" t="s">
        <v>4990</v>
      </c>
      <c r="C163" t="s">
        <v>4833</v>
      </c>
      <c r="D163" t="s">
        <v>4850</v>
      </c>
      <c r="E163" t="s">
        <v>1899</v>
      </c>
    </row>
    <row r="164" spans="1:5" x14ac:dyDescent="0.3">
      <c r="A164" t="s">
        <v>1591</v>
      </c>
      <c r="B164" t="s">
        <v>4991</v>
      </c>
      <c r="C164" t="s">
        <v>4838</v>
      </c>
      <c r="D164" t="s">
        <v>4836</v>
      </c>
      <c r="E164" t="s">
        <v>1770</v>
      </c>
    </row>
    <row r="165" spans="1:5" x14ac:dyDescent="0.3">
      <c r="A165" t="s">
        <v>1507</v>
      </c>
      <c r="B165" t="s">
        <v>4992</v>
      </c>
      <c r="C165" t="s">
        <v>4838</v>
      </c>
      <c r="D165" t="s">
        <v>4844</v>
      </c>
      <c r="E165" t="s">
        <v>1161</v>
      </c>
    </row>
    <row r="166" spans="1:5" x14ac:dyDescent="0.3">
      <c r="A166" t="s">
        <v>2162</v>
      </c>
      <c r="B166" t="s">
        <v>4993</v>
      </c>
      <c r="C166" t="s">
        <v>4860</v>
      </c>
      <c r="D166" t="s">
        <v>4836</v>
      </c>
      <c r="E166" t="s">
        <v>1264</v>
      </c>
    </row>
    <row r="167" spans="1:5" x14ac:dyDescent="0.3">
      <c r="A167" t="s">
        <v>1756</v>
      </c>
      <c r="B167" t="s">
        <v>4994</v>
      </c>
      <c r="C167" t="s">
        <v>4833</v>
      </c>
      <c r="D167" t="s">
        <v>4852</v>
      </c>
      <c r="E167" t="s">
        <v>350</v>
      </c>
    </row>
    <row r="168" spans="1:5" x14ac:dyDescent="0.3">
      <c r="A168" t="s">
        <v>3014</v>
      </c>
      <c r="B168" t="s">
        <v>4995</v>
      </c>
      <c r="C168" t="s">
        <v>4848</v>
      </c>
      <c r="D168" t="s">
        <v>4850</v>
      </c>
      <c r="E168" t="s">
        <v>1121</v>
      </c>
    </row>
    <row r="169" spans="1:5" x14ac:dyDescent="0.3">
      <c r="A169" t="s">
        <v>3280</v>
      </c>
      <c r="B169" t="s">
        <v>4889</v>
      </c>
      <c r="C169" t="s">
        <v>4833</v>
      </c>
      <c r="D169" t="s">
        <v>4836</v>
      </c>
      <c r="E169" t="s">
        <v>1366</v>
      </c>
    </row>
    <row r="170" spans="1:5" x14ac:dyDescent="0.3">
      <c r="A170" t="s">
        <v>2262</v>
      </c>
      <c r="B170" t="s">
        <v>4996</v>
      </c>
      <c r="C170" t="s">
        <v>4848</v>
      </c>
      <c r="D170" t="s">
        <v>4869</v>
      </c>
      <c r="E170" t="s">
        <v>966</v>
      </c>
    </row>
    <row r="171" spans="1:5" x14ac:dyDescent="0.3">
      <c r="A171" t="s">
        <v>1658</v>
      </c>
      <c r="B171" t="s">
        <v>4997</v>
      </c>
      <c r="C171" t="s">
        <v>4838</v>
      </c>
      <c r="D171" t="s">
        <v>4862</v>
      </c>
      <c r="E171" t="s">
        <v>2100</v>
      </c>
    </row>
    <row r="172" spans="1:5" x14ac:dyDescent="0.3">
      <c r="A172" t="s">
        <v>2141</v>
      </c>
      <c r="B172" t="s">
        <v>4882</v>
      </c>
      <c r="C172" t="s">
        <v>4833</v>
      </c>
      <c r="D172" t="s">
        <v>4850</v>
      </c>
      <c r="E172" t="s">
        <v>12</v>
      </c>
    </row>
    <row r="173" spans="1:5" x14ac:dyDescent="0.3">
      <c r="A173" t="s">
        <v>1465</v>
      </c>
      <c r="B173" t="s">
        <v>4998</v>
      </c>
      <c r="C173" t="s">
        <v>4860</v>
      </c>
      <c r="D173" t="s">
        <v>4850</v>
      </c>
      <c r="E173" t="s">
        <v>2344</v>
      </c>
    </row>
    <row r="174" spans="1:5" x14ac:dyDescent="0.3">
      <c r="A174" t="s">
        <v>1768</v>
      </c>
      <c r="B174" t="s">
        <v>4968</v>
      </c>
      <c r="C174" t="s">
        <v>4833</v>
      </c>
      <c r="D174" t="s">
        <v>4862</v>
      </c>
      <c r="E174" t="s">
        <v>1209</v>
      </c>
    </row>
    <row r="175" spans="1:5" x14ac:dyDescent="0.3">
      <c r="A175" t="s">
        <v>2854</v>
      </c>
      <c r="B175" t="s">
        <v>4999</v>
      </c>
      <c r="C175" t="s">
        <v>4833</v>
      </c>
      <c r="D175" t="s">
        <v>4884</v>
      </c>
      <c r="E175" t="s">
        <v>2058</v>
      </c>
    </row>
    <row r="176" spans="1:5" x14ac:dyDescent="0.3">
      <c r="A176" t="s">
        <v>1754</v>
      </c>
      <c r="B176" t="s">
        <v>5000</v>
      </c>
      <c r="C176" t="s">
        <v>4860</v>
      </c>
      <c r="D176" t="s">
        <v>4862</v>
      </c>
      <c r="E176" t="s">
        <v>790</v>
      </c>
    </row>
    <row r="177" spans="1:5" x14ac:dyDescent="0.3">
      <c r="A177" t="s">
        <v>1832</v>
      </c>
      <c r="B177" t="s">
        <v>4856</v>
      </c>
      <c r="C177" t="s">
        <v>4860</v>
      </c>
      <c r="D177" t="s">
        <v>4852</v>
      </c>
      <c r="E177" t="s">
        <v>391</v>
      </c>
    </row>
    <row r="178" spans="1:5" x14ac:dyDescent="0.3">
      <c r="A178" t="s">
        <v>1699</v>
      </c>
      <c r="B178" t="s">
        <v>5001</v>
      </c>
      <c r="C178" t="s">
        <v>4848</v>
      </c>
      <c r="D178" t="s">
        <v>4852</v>
      </c>
      <c r="E178" t="s">
        <v>1121</v>
      </c>
    </row>
    <row r="179" spans="1:5" x14ac:dyDescent="0.3">
      <c r="A179" t="s">
        <v>1453</v>
      </c>
      <c r="B179" t="s">
        <v>5002</v>
      </c>
      <c r="C179" t="s">
        <v>4848</v>
      </c>
      <c r="D179" t="s">
        <v>4841</v>
      </c>
      <c r="E179" t="s">
        <v>973</v>
      </c>
    </row>
    <row r="180" spans="1:5" x14ac:dyDescent="0.3">
      <c r="A180" t="s">
        <v>2056</v>
      </c>
      <c r="B180" t="s">
        <v>5003</v>
      </c>
      <c r="C180" t="s">
        <v>4860</v>
      </c>
      <c r="D180" t="s">
        <v>4836</v>
      </c>
      <c r="E180" t="s">
        <v>1323</v>
      </c>
    </row>
    <row r="181" spans="1:5" x14ac:dyDescent="0.3">
      <c r="A181" t="s">
        <v>1808</v>
      </c>
      <c r="B181" t="s">
        <v>5004</v>
      </c>
      <c r="C181" t="s">
        <v>4848</v>
      </c>
      <c r="D181" t="s">
        <v>4880</v>
      </c>
      <c r="E181" t="s">
        <v>1424</v>
      </c>
    </row>
    <row r="182" spans="1:5" x14ac:dyDescent="0.3">
      <c r="A182" t="s">
        <v>2671</v>
      </c>
      <c r="B182" t="s">
        <v>5005</v>
      </c>
      <c r="C182" t="s">
        <v>4860</v>
      </c>
      <c r="D182" t="s">
        <v>4850</v>
      </c>
      <c r="E182" t="s">
        <v>958</v>
      </c>
    </row>
    <row r="183" spans="1:5" x14ac:dyDescent="0.3">
      <c r="A183" t="s">
        <v>1725</v>
      </c>
      <c r="B183" t="s">
        <v>4947</v>
      </c>
      <c r="C183" t="s">
        <v>4833</v>
      </c>
      <c r="D183" t="s">
        <v>4841</v>
      </c>
      <c r="E183" t="s">
        <v>406</v>
      </c>
    </row>
    <row r="184" spans="1:5" x14ac:dyDescent="0.3">
      <c r="A184" t="s">
        <v>2582</v>
      </c>
      <c r="B184" t="s">
        <v>5006</v>
      </c>
      <c r="C184" t="s">
        <v>4848</v>
      </c>
      <c r="D184" t="s">
        <v>4834</v>
      </c>
      <c r="E184" t="s">
        <v>181</v>
      </c>
    </row>
    <row r="185" spans="1:5" x14ac:dyDescent="0.3">
      <c r="A185" t="s">
        <v>1608</v>
      </c>
      <c r="B185" t="s">
        <v>5007</v>
      </c>
      <c r="C185" t="s">
        <v>4833</v>
      </c>
      <c r="D185" t="s">
        <v>4880</v>
      </c>
      <c r="E185" t="s">
        <v>12</v>
      </c>
    </row>
    <row r="186" spans="1:5" x14ac:dyDescent="0.3">
      <c r="A186" t="s">
        <v>1864</v>
      </c>
      <c r="B186" t="s">
        <v>5005</v>
      </c>
      <c r="C186" t="s">
        <v>4860</v>
      </c>
      <c r="D186" t="s">
        <v>4867</v>
      </c>
      <c r="E186" t="s">
        <v>1630</v>
      </c>
    </row>
    <row r="187" spans="1:5" x14ac:dyDescent="0.3">
      <c r="A187" t="s">
        <v>2686</v>
      </c>
      <c r="B187" t="s">
        <v>5008</v>
      </c>
      <c r="C187" t="s">
        <v>4860</v>
      </c>
      <c r="D187" t="s">
        <v>4880</v>
      </c>
      <c r="E187" t="s">
        <v>151</v>
      </c>
    </row>
    <row r="188" spans="1:5" x14ac:dyDescent="0.3">
      <c r="A188" t="s">
        <v>1494</v>
      </c>
      <c r="B188" t="s">
        <v>4967</v>
      </c>
      <c r="C188" t="s">
        <v>4860</v>
      </c>
      <c r="D188" t="s">
        <v>4857</v>
      </c>
      <c r="E188" t="s">
        <v>1743</v>
      </c>
    </row>
    <row r="189" spans="1:5" x14ac:dyDescent="0.3">
      <c r="A189" t="s">
        <v>2627</v>
      </c>
      <c r="B189" t="s">
        <v>4968</v>
      </c>
      <c r="C189" t="s">
        <v>4833</v>
      </c>
      <c r="D189" t="s">
        <v>4842</v>
      </c>
      <c r="E189" t="s">
        <v>1013</v>
      </c>
    </row>
    <row r="190" spans="1:5" x14ac:dyDescent="0.3">
      <c r="A190" t="s">
        <v>1481</v>
      </c>
      <c r="B190" t="s">
        <v>5009</v>
      </c>
      <c r="C190" t="s">
        <v>4848</v>
      </c>
      <c r="D190" t="s">
        <v>4869</v>
      </c>
      <c r="E190" t="s">
        <v>821</v>
      </c>
    </row>
    <row r="191" spans="1:5" x14ac:dyDescent="0.3">
      <c r="A191" t="s">
        <v>1883</v>
      </c>
      <c r="B191" t="s">
        <v>4948</v>
      </c>
      <c r="C191" t="s">
        <v>4833</v>
      </c>
      <c r="D191" t="s">
        <v>4884</v>
      </c>
      <c r="E191" t="s">
        <v>642</v>
      </c>
    </row>
    <row r="192" spans="1:5" x14ac:dyDescent="0.3">
      <c r="A192" t="s">
        <v>1511</v>
      </c>
      <c r="B192" t="s">
        <v>5010</v>
      </c>
      <c r="C192" t="s">
        <v>4833</v>
      </c>
      <c r="D192" t="s">
        <v>4884</v>
      </c>
      <c r="E192" t="s">
        <v>2093</v>
      </c>
    </row>
    <row r="193" spans="1:5" x14ac:dyDescent="0.3">
      <c r="A193" t="s">
        <v>1765</v>
      </c>
      <c r="B193" t="s">
        <v>5011</v>
      </c>
      <c r="C193" t="s">
        <v>4833</v>
      </c>
      <c r="D193" t="s">
        <v>4844</v>
      </c>
      <c r="E193" t="s">
        <v>1366</v>
      </c>
    </row>
    <row r="194" spans="1:5" x14ac:dyDescent="0.3">
      <c r="A194" t="s">
        <v>1819</v>
      </c>
      <c r="B194" t="s">
        <v>4846</v>
      </c>
      <c r="C194" t="s">
        <v>4860</v>
      </c>
      <c r="D194" t="s">
        <v>4862</v>
      </c>
      <c r="E194" t="s">
        <v>1418</v>
      </c>
    </row>
    <row r="195" spans="1:5" x14ac:dyDescent="0.3">
      <c r="A195" t="s">
        <v>2449</v>
      </c>
      <c r="B195" t="s">
        <v>5012</v>
      </c>
      <c r="C195" t="s">
        <v>4848</v>
      </c>
      <c r="D195" t="s">
        <v>4857</v>
      </c>
      <c r="E195" t="s">
        <v>949</v>
      </c>
    </row>
    <row r="196" spans="1:5" x14ac:dyDescent="0.3">
      <c r="A196" t="s">
        <v>2206</v>
      </c>
      <c r="B196" t="s">
        <v>4950</v>
      </c>
      <c r="C196" t="s">
        <v>4833</v>
      </c>
      <c r="D196" t="s">
        <v>4867</v>
      </c>
      <c r="E196" t="s">
        <v>1320</v>
      </c>
    </row>
    <row r="197" spans="1:5" x14ac:dyDescent="0.3">
      <c r="A197" t="s">
        <v>2411</v>
      </c>
      <c r="B197" t="s">
        <v>5013</v>
      </c>
      <c r="C197" t="s">
        <v>4848</v>
      </c>
      <c r="D197" t="s">
        <v>4836</v>
      </c>
      <c r="E197" t="s">
        <v>1499</v>
      </c>
    </row>
    <row r="198" spans="1:5" x14ac:dyDescent="0.3">
      <c r="A198" t="s">
        <v>1961</v>
      </c>
      <c r="B198" t="s">
        <v>5014</v>
      </c>
      <c r="C198" t="s">
        <v>4848</v>
      </c>
      <c r="D198" t="s">
        <v>4884</v>
      </c>
      <c r="E198" t="s">
        <v>402</v>
      </c>
    </row>
    <row r="199" spans="1:5" x14ac:dyDescent="0.3">
      <c r="A199" t="s">
        <v>2032</v>
      </c>
      <c r="B199" t="s">
        <v>5015</v>
      </c>
      <c r="C199" t="s">
        <v>4833</v>
      </c>
      <c r="D199" t="s">
        <v>4857</v>
      </c>
      <c r="E199" t="s">
        <v>586</v>
      </c>
    </row>
    <row r="200" spans="1:5" x14ac:dyDescent="0.3">
      <c r="A200" t="s">
        <v>1702</v>
      </c>
      <c r="B200" t="s">
        <v>5016</v>
      </c>
      <c r="C200" t="s">
        <v>4833</v>
      </c>
      <c r="D200" t="s">
        <v>4836</v>
      </c>
      <c r="E200" t="s">
        <v>1240</v>
      </c>
    </row>
    <row r="201" spans="1:5" x14ac:dyDescent="0.3">
      <c r="A201" t="s">
        <v>2427</v>
      </c>
      <c r="B201" t="s">
        <v>5017</v>
      </c>
      <c r="C201" t="s">
        <v>4860</v>
      </c>
      <c r="D201" t="s">
        <v>4834</v>
      </c>
      <c r="E201" t="s">
        <v>123</v>
      </c>
    </row>
    <row r="202" spans="1:5" x14ac:dyDescent="0.3">
      <c r="A202" t="s">
        <v>1787</v>
      </c>
      <c r="B202" t="s">
        <v>5018</v>
      </c>
      <c r="C202" t="s">
        <v>4833</v>
      </c>
      <c r="D202" t="s">
        <v>4862</v>
      </c>
      <c r="E202" t="s">
        <v>1509</v>
      </c>
    </row>
    <row r="203" spans="1:5" x14ac:dyDescent="0.3">
      <c r="A203" t="s">
        <v>1588</v>
      </c>
      <c r="B203" t="s">
        <v>5019</v>
      </c>
      <c r="C203" t="s">
        <v>4848</v>
      </c>
      <c r="D203" t="s">
        <v>4880</v>
      </c>
      <c r="E203" t="s">
        <v>81</v>
      </c>
    </row>
    <row r="204" spans="1:5" x14ac:dyDescent="0.3">
      <c r="A204" t="s">
        <v>1627</v>
      </c>
      <c r="B204" t="s">
        <v>5020</v>
      </c>
      <c r="C204" t="s">
        <v>4838</v>
      </c>
      <c r="D204" t="s">
        <v>4867</v>
      </c>
      <c r="E204" t="s">
        <v>1876</v>
      </c>
    </row>
    <row r="205" spans="1:5" x14ac:dyDescent="0.3">
      <c r="A205" t="s">
        <v>1877</v>
      </c>
      <c r="B205" t="s">
        <v>5021</v>
      </c>
      <c r="C205" t="s">
        <v>4860</v>
      </c>
      <c r="D205" t="s">
        <v>4880</v>
      </c>
      <c r="E205" t="s">
        <v>953</v>
      </c>
    </row>
    <row r="206" spans="1:5" x14ac:dyDescent="0.3">
      <c r="A206" t="s">
        <v>2871</v>
      </c>
      <c r="B206" t="s">
        <v>5022</v>
      </c>
      <c r="C206" t="s">
        <v>4833</v>
      </c>
      <c r="D206" t="s">
        <v>4834</v>
      </c>
      <c r="E206" t="s">
        <v>1141</v>
      </c>
    </row>
    <row r="207" spans="1:5" x14ac:dyDescent="0.3">
      <c r="A207" t="s">
        <v>1518</v>
      </c>
      <c r="B207" t="s">
        <v>4918</v>
      </c>
      <c r="C207" t="s">
        <v>4833</v>
      </c>
      <c r="D207" t="s">
        <v>4862</v>
      </c>
      <c r="E207" t="s">
        <v>1817</v>
      </c>
    </row>
    <row r="208" spans="1:5" x14ac:dyDescent="0.3">
      <c r="A208" t="s">
        <v>1969</v>
      </c>
      <c r="B208" t="s">
        <v>5023</v>
      </c>
      <c r="C208" t="s">
        <v>4838</v>
      </c>
      <c r="D208" t="s">
        <v>4842</v>
      </c>
      <c r="E208" t="s">
        <v>2295</v>
      </c>
    </row>
    <row r="209" spans="1:5" x14ac:dyDescent="0.3">
      <c r="A209" t="s">
        <v>2620</v>
      </c>
      <c r="B209" t="s">
        <v>5024</v>
      </c>
      <c r="C209" t="s">
        <v>4838</v>
      </c>
      <c r="D209" t="s">
        <v>4834</v>
      </c>
      <c r="E209" t="s">
        <v>1141</v>
      </c>
    </row>
    <row r="210" spans="1:5" x14ac:dyDescent="0.3">
      <c r="A210" t="s">
        <v>4154</v>
      </c>
      <c r="B210" t="s">
        <v>5025</v>
      </c>
      <c r="C210" t="s">
        <v>4848</v>
      </c>
      <c r="D210" t="s">
        <v>4880</v>
      </c>
      <c r="E210" t="s">
        <v>672</v>
      </c>
    </row>
    <row r="211" spans="1:5" x14ac:dyDescent="0.3">
      <c r="A211" t="s">
        <v>1545</v>
      </c>
      <c r="B211" t="s">
        <v>5026</v>
      </c>
      <c r="C211" t="s">
        <v>4860</v>
      </c>
      <c r="D211" t="s">
        <v>4884</v>
      </c>
      <c r="E211" t="s">
        <v>2045</v>
      </c>
    </row>
    <row r="212" spans="1:5" x14ac:dyDescent="0.3">
      <c r="A212" t="s">
        <v>1959</v>
      </c>
      <c r="B212" t="s">
        <v>5027</v>
      </c>
      <c r="C212" t="s">
        <v>4860</v>
      </c>
      <c r="D212" t="s">
        <v>4841</v>
      </c>
      <c r="E212" t="s">
        <v>1240</v>
      </c>
    </row>
    <row r="213" spans="1:5" x14ac:dyDescent="0.3">
      <c r="A213" t="s">
        <v>1569</v>
      </c>
      <c r="B213" t="s">
        <v>4949</v>
      </c>
      <c r="C213" t="s">
        <v>4860</v>
      </c>
      <c r="D213" t="s">
        <v>4857</v>
      </c>
      <c r="E213" t="s">
        <v>2424</v>
      </c>
    </row>
    <row r="214" spans="1:5" x14ac:dyDescent="0.3">
      <c r="A214" t="s">
        <v>2690</v>
      </c>
      <c r="B214" t="s">
        <v>5028</v>
      </c>
      <c r="C214" t="s">
        <v>4838</v>
      </c>
      <c r="D214" t="s">
        <v>4844</v>
      </c>
      <c r="E214" t="s">
        <v>266</v>
      </c>
    </row>
    <row r="215" spans="1:5" x14ac:dyDescent="0.3">
      <c r="A215" t="s">
        <v>2204</v>
      </c>
      <c r="B215" t="s">
        <v>5029</v>
      </c>
      <c r="C215" t="s">
        <v>4838</v>
      </c>
      <c r="D215" t="s">
        <v>4857</v>
      </c>
      <c r="E215" t="s">
        <v>1079</v>
      </c>
    </row>
    <row r="216" spans="1:5" x14ac:dyDescent="0.3">
      <c r="A216" t="s">
        <v>1906</v>
      </c>
      <c r="B216" t="s">
        <v>5030</v>
      </c>
      <c r="C216" t="s">
        <v>4848</v>
      </c>
      <c r="D216" t="s">
        <v>4852</v>
      </c>
      <c r="E216" t="s">
        <v>594</v>
      </c>
    </row>
    <row r="217" spans="1:5" x14ac:dyDescent="0.3">
      <c r="A217" t="s">
        <v>2114</v>
      </c>
      <c r="B217" t="s">
        <v>5031</v>
      </c>
      <c r="C217" t="s">
        <v>4848</v>
      </c>
      <c r="D217" t="s">
        <v>4884</v>
      </c>
      <c r="E217" t="s">
        <v>569</v>
      </c>
    </row>
    <row r="218" spans="1:5" x14ac:dyDescent="0.3">
      <c r="A218" t="s">
        <v>2054</v>
      </c>
      <c r="B218" t="s">
        <v>5032</v>
      </c>
      <c r="C218" t="s">
        <v>4860</v>
      </c>
      <c r="D218" t="s">
        <v>4857</v>
      </c>
      <c r="E218" t="s">
        <v>12</v>
      </c>
    </row>
    <row r="219" spans="1:5" x14ac:dyDescent="0.3">
      <c r="A219" t="s">
        <v>2507</v>
      </c>
      <c r="B219" t="s">
        <v>5033</v>
      </c>
      <c r="C219" t="s">
        <v>4848</v>
      </c>
      <c r="D219" t="s">
        <v>4897</v>
      </c>
      <c r="E219" t="s">
        <v>1282</v>
      </c>
    </row>
    <row r="220" spans="1:5" x14ac:dyDescent="0.3">
      <c r="A220" t="s">
        <v>1866</v>
      </c>
      <c r="B220" t="s">
        <v>5034</v>
      </c>
      <c r="C220" t="s">
        <v>4848</v>
      </c>
      <c r="D220" t="s">
        <v>4897</v>
      </c>
      <c r="E220" t="s">
        <v>1868</v>
      </c>
    </row>
    <row r="221" spans="1:5" x14ac:dyDescent="0.3">
      <c r="A221" t="s">
        <v>2451</v>
      </c>
      <c r="B221" t="s">
        <v>5035</v>
      </c>
      <c r="C221" t="s">
        <v>4848</v>
      </c>
      <c r="D221" t="s">
        <v>4842</v>
      </c>
      <c r="E221" t="s">
        <v>660</v>
      </c>
    </row>
    <row r="222" spans="1:5" x14ac:dyDescent="0.3">
      <c r="A222" t="s">
        <v>1843</v>
      </c>
      <c r="B222" t="s">
        <v>4909</v>
      </c>
      <c r="C222" t="s">
        <v>4833</v>
      </c>
      <c r="D222" t="s">
        <v>4836</v>
      </c>
      <c r="E222" t="s">
        <v>996</v>
      </c>
    </row>
    <row r="223" spans="1:5" x14ac:dyDescent="0.3">
      <c r="A223" t="s">
        <v>2300</v>
      </c>
      <c r="B223" t="s">
        <v>5036</v>
      </c>
      <c r="C223" t="s">
        <v>4838</v>
      </c>
      <c r="D223" t="s">
        <v>4834</v>
      </c>
      <c r="E223" t="s">
        <v>798</v>
      </c>
    </row>
    <row r="224" spans="1:5" x14ac:dyDescent="0.3">
      <c r="A224" t="s">
        <v>1582</v>
      </c>
      <c r="B224" t="s">
        <v>5037</v>
      </c>
      <c r="C224" t="s">
        <v>4860</v>
      </c>
      <c r="D224" t="s">
        <v>4842</v>
      </c>
      <c r="E224" t="s">
        <v>2013</v>
      </c>
    </row>
    <row r="225" spans="1:5" x14ac:dyDescent="0.3">
      <c r="A225" t="s">
        <v>3047</v>
      </c>
      <c r="B225" t="s">
        <v>4915</v>
      </c>
      <c r="C225" t="s">
        <v>4860</v>
      </c>
      <c r="D225" t="s">
        <v>4844</v>
      </c>
      <c r="E225" t="s">
        <v>440</v>
      </c>
    </row>
    <row r="226" spans="1:5" x14ac:dyDescent="0.3">
      <c r="A226" t="s">
        <v>1813</v>
      </c>
      <c r="B226" t="s">
        <v>5038</v>
      </c>
      <c r="C226" t="s">
        <v>4838</v>
      </c>
      <c r="D226" t="s">
        <v>4867</v>
      </c>
      <c r="E226" t="s">
        <v>1378</v>
      </c>
    </row>
    <row r="227" spans="1:5" x14ac:dyDescent="0.3">
      <c r="A227" t="s">
        <v>2678</v>
      </c>
      <c r="B227" t="s">
        <v>4883</v>
      </c>
      <c r="C227" t="s">
        <v>4833</v>
      </c>
      <c r="D227" t="s">
        <v>4841</v>
      </c>
      <c r="E227" t="s">
        <v>759</v>
      </c>
    </row>
    <row r="228" spans="1:5" x14ac:dyDescent="0.3">
      <c r="A228" t="s">
        <v>1988</v>
      </c>
      <c r="B228" t="s">
        <v>5039</v>
      </c>
      <c r="C228" t="s">
        <v>4838</v>
      </c>
      <c r="D228" t="s">
        <v>4841</v>
      </c>
      <c r="E228" t="s">
        <v>1292</v>
      </c>
    </row>
    <row r="229" spans="1:5" x14ac:dyDescent="0.3">
      <c r="A229" t="s">
        <v>2320</v>
      </c>
      <c r="B229" t="s">
        <v>5040</v>
      </c>
      <c r="C229" t="s">
        <v>4838</v>
      </c>
      <c r="D229" t="s">
        <v>4839</v>
      </c>
      <c r="E229" t="s">
        <v>504</v>
      </c>
    </row>
    <row r="230" spans="1:5" x14ac:dyDescent="0.3">
      <c r="A230" t="s">
        <v>1675</v>
      </c>
      <c r="B230" t="s">
        <v>5041</v>
      </c>
      <c r="C230" t="s">
        <v>4848</v>
      </c>
      <c r="D230" t="s">
        <v>4869</v>
      </c>
      <c r="E230" t="s">
        <v>708</v>
      </c>
    </row>
    <row r="231" spans="1:5" x14ac:dyDescent="0.3">
      <c r="A231" t="s">
        <v>1921</v>
      </c>
      <c r="B231" t="s">
        <v>5042</v>
      </c>
      <c r="C231" t="s">
        <v>4860</v>
      </c>
      <c r="D231" t="s">
        <v>4844</v>
      </c>
      <c r="E231" t="s">
        <v>1585</v>
      </c>
    </row>
    <row r="232" spans="1:5" x14ac:dyDescent="0.3">
      <c r="A232" t="s">
        <v>1602</v>
      </c>
      <c r="B232" t="s">
        <v>4883</v>
      </c>
      <c r="C232" t="s">
        <v>4833</v>
      </c>
      <c r="D232" t="s">
        <v>4867</v>
      </c>
      <c r="E232" t="s">
        <v>2013</v>
      </c>
    </row>
    <row r="233" spans="1:5" x14ac:dyDescent="0.3">
      <c r="A233" t="s">
        <v>1610</v>
      </c>
      <c r="B233" t="s">
        <v>4835</v>
      </c>
      <c r="C233" t="s">
        <v>4833</v>
      </c>
      <c r="D233" t="s">
        <v>4836</v>
      </c>
      <c r="E233" t="s">
        <v>1850</v>
      </c>
    </row>
    <row r="234" spans="1:5" x14ac:dyDescent="0.3">
      <c r="A234" t="s">
        <v>2341</v>
      </c>
      <c r="B234" t="s">
        <v>5043</v>
      </c>
      <c r="C234" t="s">
        <v>4833</v>
      </c>
      <c r="D234" t="s">
        <v>4841</v>
      </c>
      <c r="E234" t="s">
        <v>2025</v>
      </c>
    </row>
    <row r="235" spans="1:5" x14ac:dyDescent="0.3">
      <c r="A235" t="s">
        <v>1526</v>
      </c>
      <c r="B235" t="s">
        <v>5018</v>
      </c>
      <c r="C235" t="s">
        <v>4833</v>
      </c>
      <c r="D235" t="s">
        <v>4857</v>
      </c>
      <c r="E235" t="s">
        <v>2249</v>
      </c>
    </row>
    <row r="236" spans="1:5" x14ac:dyDescent="0.3">
      <c r="A236" t="s">
        <v>1571</v>
      </c>
      <c r="B236" t="s">
        <v>4835</v>
      </c>
      <c r="C236" t="s">
        <v>4833</v>
      </c>
      <c r="D236" t="s">
        <v>4841</v>
      </c>
      <c r="E236" t="s">
        <v>1549</v>
      </c>
    </row>
    <row r="237" spans="1:5" x14ac:dyDescent="0.3">
      <c r="A237" t="s">
        <v>2512</v>
      </c>
      <c r="B237" t="s">
        <v>5044</v>
      </c>
      <c r="C237" t="s">
        <v>4860</v>
      </c>
      <c r="D237" t="s">
        <v>4862</v>
      </c>
      <c r="E237" t="s">
        <v>582</v>
      </c>
    </row>
    <row r="238" spans="1:5" x14ac:dyDescent="0.3">
      <c r="A238" t="s">
        <v>2573</v>
      </c>
      <c r="B238" t="s">
        <v>5045</v>
      </c>
      <c r="C238" t="s">
        <v>4860</v>
      </c>
      <c r="D238" t="s">
        <v>4850</v>
      </c>
      <c r="E238" t="s">
        <v>911</v>
      </c>
    </row>
    <row r="239" spans="1:5" x14ac:dyDescent="0.3">
      <c r="A239" t="s">
        <v>1613</v>
      </c>
      <c r="B239" t="s">
        <v>5046</v>
      </c>
      <c r="C239" t="s">
        <v>4838</v>
      </c>
      <c r="D239" t="s">
        <v>4850</v>
      </c>
      <c r="E239" t="s">
        <v>2212</v>
      </c>
    </row>
    <row r="240" spans="1:5" x14ac:dyDescent="0.3">
      <c r="A240" t="s">
        <v>1520</v>
      </c>
      <c r="B240" t="s">
        <v>5047</v>
      </c>
      <c r="C240" t="s">
        <v>4833</v>
      </c>
      <c r="D240" t="s">
        <v>4839</v>
      </c>
      <c r="E240" t="s">
        <v>2284</v>
      </c>
    </row>
    <row r="241" spans="1:5" x14ac:dyDescent="0.3">
      <c r="A241" t="s">
        <v>3016</v>
      </c>
      <c r="B241" t="s">
        <v>5048</v>
      </c>
      <c r="C241" t="s">
        <v>4833</v>
      </c>
      <c r="D241" t="s">
        <v>4842</v>
      </c>
      <c r="E241" t="s">
        <v>329</v>
      </c>
    </row>
    <row r="242" spans="1:5" x14ac:dyDescent="0.3">
      <c r="A242" t="s">
        <v>2119</v>
      </c>
      <c r="B242" t="s">
        <v>5049</v>
      </c>
      <c r="C242" t="s">
        <v>4848</v>
      </c>
      <c r="D242" t="s">
        <v>4869</v>
      </c>
      <c r="E242" t="s">
        <v>1282</v>
      </c>
    </row>
    <row r="243" spans="1:5" x14ac:dyDescent="0.3">
      <c r="A243" t="s">
        <v>1712</v>
      </c>
      <c r="B243" t="s">
        <v>5050</v>
      </c>
      <c r="C243" t="s">
        <v>4848</v>
      </c>
      <c r="D243" t="s">
        <v>4841</v>
      </c>
      <c r="E243" t="s">
        <v>384</v>
      </c>
    </row>
    <row r="244" spans="1:5" x14ac:dyDescent="0.3">
      <c r="A244" t="s">
        <v>1965</v>
      </c>
      <c r="B244" t="s">
        <v>5051</v>
      </c>
      <c r="C244" t="s">
        <v>4848</v>
      </c>
      <c r="D244" t="s">
        <v>4897</v>
      </c>
      <c r="E244" t="s">
        <v>751</v>
      </c>
    </row>
    <row r="245" spans="1:5" x14ac:dyDescent="0.3">
      <c r="A245" t="s">
        <v>1908</v>
      </c>
      <c r="B245" t="s">
        <v>5000</v>
      </c>
      <c r="C245" t="s">
        <v>4833</v>
      </c>
      <c r="D245" t="s">
        <v>4897</v>
      </c>
      <c r="E245" t="s">
        <v>1168</v>
      </c>
    </row>
    <row r="246" spans="1:5" x14ac:dyDescent="0.3">
      <c r="A246" t="s">
        <v>1749</v>
      </c>
      <c r="B246" t="s">
        <v>5052</v>
      </c>
      <c r="C246" t="s">
        <v>4848</v>
      </c>
      <c r="D246" t="s">
        <v>4842</v>
      </c>
      <c r="E246" t="s">
        <v>104</v>
      </c>
    </row>
    <row r="247" spans="1:5" x14ac:dyDescent="0.3">
      <c r="A247" t="s">
        <v>1822</v>
      </c>
      <c r="B247" t="s">
        <v>5022</v>
      </c>
      <c r="C247" t="s">
        <v>4833</v>
      </c>
      <c r="D247" t="s">
        <v>4850</v>
      </c>
      <c r="E247" t="s">
        <v>1178</v>
      </c>
    </row>
    <row r="248" spans="1:5" x14ac:dyDescent="0.3">
      <c r="A248" t="s">
        <v>2074</v>
      </c>
      <c r="B248" t="s">
        <v>5053</v>
      </c>
      <c r="C248" t="s">
        <v>4833</v>
      </c>
      <c r="D248" t="s">
        <v>4844</v>
      </c>
      <c r="E248" t="s">
        <v>2369</v>
      </c>
    </row>
    <row r="249" spans="1:5" x14ac:dyDescent="0.3">
      <c r="A249" t="s">
        <v>1840</v>
      </c>
      <c r="B249" t="s">
        <v>5054</v>
      </c>
      <c r="C249" t="s">
        <v>4860</v>
      </c>
      <c r="D249" t="s">
        <v>4836</v>
      </c>
      <c r="E249" t="s">
        <v>655</v>
      </c>
    </row>
    <row r="250" spans="1:5" x14ac:dyDescent="0.3">
      <c r="A250" t="s">
        <v>1997</v>
      </c>
      <c r="B250" t="s">
        <v>5055</v>
      </c>
      <c r="C250" t="s">
        <v>4848</v>
      </c>
      <c r="D250" t="s">
        <v>4857</v>
      </c>
      <c r="E250" t="s">
        <v>477</v>
      </c>
    </row>
    <row r="251" spans="1:5" x14ac:dyDescent="0.3">
      <c r="A251" t="s">
        <v>2287</v>
      </c>
      <c r="B251" t="s">
        <v>5056</v>
      </c>
      <c r="C251" t="s">
        <v>4848</v>
      </c>
      <c r="D251" t="s">
        <v>4897</v>
      </c>
      <c r="E251" t="s">
        <v>1779</v>
      </c>
    </row>
    <row r="252" spans="1:5" x14ac:dyDescent="0.3">
      <c r="A252" t="s">
        <v>1879</v>
      </c>
      <c r="B252" t="s">
        <v>5057</v>
      </c>
      <c r="C252" t="s">
        <v>4833</v>
      </c>
      <c r="D252" t="s">
        <v>4862</v>
      </c>
      <c r="E252" t="s">
        <v>650</v>
      </c>
    </row>
    <row r="253" spans="1:5" x14ac:dyDescent="0.3">
      <c r="A253" t="s">
        <v>1561</v>
      </c>
      <c r="B253" t="s">
        <v>5058</v>
      </c>
      <c r="C253" t="s">
        <v>4848</v>
      </c>
      <c r="D253" t="s">
        <v>4897</v>
      </c>
      <c r="E253" t="s">
        <v>253</v>
      </c>
    </row>
    <row r="254" spans="1:5" x14ac:dyDescent="0.3">
      <c r="A254" t="s">
        <v>1538</v>
      </c>
      <c r="B254" t="s">
        <v>4865</v>
      </c>
      <c r="C254" t="s">
        <v>4833</v>
      </c>
      <c r="D254" t="s">
        <v>4841</v>
      </c>
      <c r="E254" t="s">
        <v>12</v>
      </c>
    </row>
    <row r="255" spans="1:5" x14ac:dyDescent="0.3">
      <c r="A255" t="s">
        <v>2309</v>
      </c>
      <c r="B255" t="s">
        <v>5059</v>
      </c>
      <c r="C255" t="s">
        <v>4848</v>
      </c>
      <c r="D255" t="s">
        <v>4850</v>
      </c>
      <c r="E255" t="s">
        <v>151</v>
      </c>
    </row>
    <row r="256" spans="1:5" x14ac:dyDescent="0.3">
      <c r="A256" t="s">
        <v>1472</v>
      </c>
      <c r="B256" t="s">
        <v>5060</v>
      </c>
      <c r="C256" t="s">
        <v>4848</v>
      </c>
      <c r="D256" t="s">
        <v>4897</v>
      </c>
      <c r="E256" t="s">
        <v>329</v>
      </c>
    </row>
    <row r="257" spans="1:5" x14ac:dyDescent="0.3">
      <c r="A257" t="s">
        <v>1683</v>
      </c>
      <c r="B257" t="s">
        <v>4989</v>
      </c>
      <c r="C257" t="s">
        <v>4833</v>
      </c>
      <c r="D257" t="s">
        <v>4884</v>
      </c>
      <c r="E257" t="s">
        <v>1354</v>
      </c>
    </row>
    <row r="258" spans="1:5" x14ac:dyDescent="0.3">
      <c r="A258" t="s">
        <v>2675</v>
      </c>
      <c r="B258" t="s">
        <v>5061</v>
      </c>
      <c r="C258" t="s">
        <v>4848</v>
      </c>
      <c r="D258" t="s">
        <v>4867</v>
      </c>
      <c r="E258" t="s">
        <v>536</v>
      </c>
    </row>
    <row r="259" spans="1:5" x14ac:dyDescent="0.3">
      <c r="A259" t="s">
        <v>1513</v>
      </c>
      <c r="B259" t="s">
        <v>5062</v>
      </c>
      <c r="C259" t="s">
        <v>4833</v>
      </c>
      <c r="D259" t="s">
        <v>4841</v>
      </c>
      <c r="E259" t="s">
        <v>406</v>
      </c>
    </row>
    <row r="260" spans="1:5" x14ac:dyDescent="0.3">
      <c r="A260" t="s">
        <v>1576</v>
      </c>
      <c r="B260" t="s">
        <v>5063</v>
      </c>
      <c r="C260" t="s">
        <v>4833</v>
      </c>
      <c r="D260" t="s">
        <v>4880</v>
      </c>
      <c r="E260" t="s">
        <v>1493</v>
      </c>
    </row>
    <row r="261" spans="1:5" x14ac:dyDescent="0.3">
      <c r="A261" t="s">
        <v>2003</v>
      </c>
      <c r="B261" t="s">
        <v>5064</v>
      </c>
      <c r="C261" t="s">
        <v>4860</v>
      </c>
      <c r="D261" t="s">
        <v>4867</v>
      </c>
      <c r="E261" t="s">
        <v>728</v>
      </c>
    </row>
    <row r="262" spans="1:5" x14ac:dyDescent="0.3">
      <c r="A262" t="s">
        <v>2334</v>
      </c>
      <c r="B262" t="s">
        <v>5065</v>
      </c>
      <c r="C262" t="s">
        <v>4848</v>
      </c>
      <c r="D262" t="s">
        <v>4839</v>
      </c>
      <c r="E262" t="s">
        <v>477</v>
      </c>
    </row>
    <row r="263" spans="1:5" x14ac:dyDescent="0.3">
      <c r="A263" t="s">
        <v>1475</v>
      </c>
      <c r="B263" t="s">
        <v>5066</v>
      </c>
      <c r="C263" t="s">
        <v>4838</v>
      </c>
      <c r="D263" t="s">
        <v>4857</v>
      </c>
      <c r="E263" t="s">
        <v>1899</v>
      </c>
    </row>
    <row r="264" spans="1:5" x14ac:dyDescent="0.3">
      <c r="A264" t="s">
        <v>2041</v>
      </c>
      <c r="B264" t="s">
        <v>4993</v>
      </c>
      <c r="C264" t="s">
        <v>4833</v>
      </c>
      <c r="D264" t="s">
        <v>4862</v>
      </c>
      <c r="E264" t="s">
        <v>764</v>
      </c>
    </row>
    <row r="265" spans="1:5" x14ac:dyDescent="0.3">
      <c r="A265" t="s">
        <v>2000</v>
      </c>
      <c r="B265" t="s">
        <v>5067</v>
      </c>
      <c r="C265" t="s">
        <v>4848</v>
      </c>
      <c r="D265" t="s">
        <v>4867</v>
      </c>
      <c r="E265" t="s">
        <v>1155</v>
      </c>
    </row>
    <row r="266" spans="1:5" x14ac:dyDescent="0.3">
      <c r="A266" t="s">
        <v>1455</v>
      </c>
      <c r="B266" t="s">
        <v>5068</v>
      </c>
      <c r="C266" t="s">
        <v>4860</v>
      </c>
      <c r="D266" t="s">
        <v>4880</v>
      </c>
      <c r="E266" t="s">
        <v>848</v>
      </c>
    </row>
    <row r="267" spans="1:5" x14ac:dyDescent="0.3">
      <c r="A267" t="s">
        <v>2297</v>
      </c>
      <c r="B267" t="s">
        <v>4920</v>
      </c>
      <c r="C267" t="s">
        <v>4833</v>
      </c>
      <c r="D267" t="s">
        <v>4857</v>
      </c>
      <c r="E267" t="s">
        <v>181</v>
      </c>
    </row>
    <row r="268" spans="1:5" x14ac:dyDescent="0.3">
      <c r="A268" t="s">
        <v>2763</v>
      </c>
      <c r="B268" t="s">
        <v>4815</v>
      </c>
      <c r="C268" t="s">
        <v>4833</v>
      </c>
      <c r="D268" t="s">
        <v>4852</v>
      </c>
      <c r="E268" t="s">
        <v>569</v>
      </c>
    </row>
    <row r="269" spans="1:5" x14ac:dyDescent="0.3">
      <c r="A269" t="s">
        <v>1945</v>
      </c>
      <c r="B269" t="s">
        <v>5069</v>
      </c>
      <c r="C269" t="s">
        <v>4848</v>
      </c>
      <c r="D269" t="s">
        <v>4857</v>
      </c>
      <c r="E269" t="s">
        <v>2502</v>
      </c>
    </row>
    <row r="270" spans="1:5" x14ac:dyDescent="0.3">
      <c r="A270" t="s">
        <v>3001</v>
      </c>
      <c r="B270" t="s">
        <v>5070</v>
      </c>
      <c r="C270" t="s">
        <v>4848</v>
      </c>
      <c r="D270" t="s">
        <v>4852</v>
      </c>
      <c r="E270" t="s">
        <v>1188</v>
      </c>
    </row>
    <row r="271" spans="1:5" x14ac:dyDescent="0.3">
      <c r="A271" t="s">
        <v>2466</v>
      </c>
      <c r="B271" t="s">
        <v>5071</v>
      </c>
      <c r="C271" t="s">
        <v>4833</v>
      </c>
      <c r="D271" t="s">
        <v>4844</v>
      </c>
      <c r="E271" t="s">
        <v>86</v>
      </c>
    </row>
    <row r="272" spans="1:5" x14ac:dyDescent="0.3">
      <c r="A272" t="s">
        <v>3861</v>
      </c>
      <c r="B272" t="s">
        <v>5072</v>
      </c>
      <c r="C272" t="s">
        <v>4838</v>
      </c>
      <c r="D272" t="s">
        <v>4897</v>
      </c>
      <c r="E272" t="s">
        <v>1489</v>
      </c>
    </row>
    <row r="273" spans="1:5" x14ac:dyDescent="0.3">
      <c r="A273" t="s">
        <v>2129</v>
      </c>
      <c r="B273" t="s">
        <v>5073</v>
      </c>
      <c r="C273" t="s">
        <v>4833</v>
      </c>
      <c r="D273" t="s">
        <v>4884</v>
      </c>
      <c r="E273" t="s">
        <v>1761</v>
      </c>
    </row>
    <row r="274" spans="1:5" x14ac:dyDescent="0.3">
      <c r="A274" t="s">
        <v>3404</v>
      </c>
      <c r="B274" t="s">
        <v>5074</v>
      </c>
      <c r="C274" t="s">
        <v>4833</v>
      </c>
      <c r="D274" t="s">
        <v>4852</v>
      </c>
      <c r="E274" t="s">
        <v>1408</v>
      </c>
    </row>
    <row r="275" spans="1:5" x14ac:dyDescent="0.3">
      <c r="A275" t="s">
        <v>2159</v>
      </c>
      <c r="B275" t="s">
        <v>5075</v>
      </c>
      <c r="C275" t="s">
        <v>4848</v>
      </c>
      <c r="D275" t="s">
        <v>4842</v>
      </c>
      <c r="E275" t="s">
        <v>1214</v>
      </c>
    </row>
    <row r="276" spans="1:5" x14ac:dyDescent="0.3">
      <c r="A276" t="s">
        <v>1957</v>
      </c>
      <c r="B276" t="s">
        <v>5076</v>
      </c>
      <c r="C276" t="s">
        <v>4848</v>
      </c>
      <c r="D276" t="s">
        <v>4850</v>
      </c>
      <c r="E276" t="s">
        <v>293</v>
      </c>
    </row>
    <row r="277" spans="1:5" x14ac:dyDescent="0.3">
      <c r="A277" t="s">
        <v>2557</v>
      </c>
      <c r="B277" t="s">
        <v>5077</v>
      </c>
      <c r="C277" t="s">
        <v>4848</v>
      </c>
      <c r="D277" t="s">
        <v>4897</v>
      </c>
      <c r="E277" t="s">
        <v>1748</v>
      </c>
    </row>
    <row r="278" spans="1:5" x14ac:dyDescent="0.3">
      <c r="A278" t="s">
        <v>1852</v>
      </c>
      <c r="B278" t="s">
        <v>5078</v>
      </c>
      <c r="C278" t="s">
        <v>4848</v>
      </c>
      <c r="D278" t="s">
        <v>4884</v>
      </c>
      <c r="E278" t="s">
        <v>843</v>
      </c>
    </row>
    <row r="279" spans="1:5" x14ac:dyDescent="0.3">
      <c r="A279" t="s">
        <v>1739</v>
      </c>
      <c r="B279" t="s">
        <v>5079</v>
      </c>
      <c r="C279" t="s">
        <v>4833</v>
      </c>
      <c r="D279" t="s">
        <v>4869</v>
      </c>
      <c r="E279" t="s">
        <v>949</v>
      </c>
    </row>
    <row r="280" spans="1:5" x14ac:dyDescent="0.3">
      <c r="A280" t="s">
        <v>1697</v>
      </c>
      <c r="B280" t="s">
        <v>4846</v>
      </c>
      <c r="C280" t="s">
        <v>4833</v>
      </c>
      <c r="D280" t="s">
        <v>4834</v>
      </c>
      <c r="E280" t="s">
        <v>274</v>
      </c>
    </row>
    <row r="281" spans="1:5" x14ac:dyDescent="0.3">
      <c r="A281" t="s">
        <v>1540</v>
      </c>
      <c r="B281" t="s">
        <v>5080</v>
      </c>
      <c r="C281" t="s">
        <v>4833</v>
      </c>
      <c r="D281" t="s">
        <v>4857</v>
      </c>
      <c r="E281" t="s">
        <v>512</v>
      </c>
    </row>
    <row r="282" spans="1:5" x14ac:dyDescent="0.3">
      <c r="A282" t="s">
        <v>2208</v>
      </c>
      <c r="B282" t="s">
        <v>5081</v>
      </c>
      <c r="C282" t="s">
        <v>4848</v>
      </c>
      <c r="D282" t="s">
        <v>4852</v>
      </c>
      <c r="E282" t="s">
        <v>953</v>
      </c>
    </row>
    <row r="283" spans="1:5" x14ac:dyDescent="0.3">
      <c r="A283" t="s">
        <v>1635</v>
      </c>
      <c r="B283" t="s">
        <v>5082</v>
      </c>
      <c r="C283" t="s">
        <v>4838</v>
      </c>
      <c r="D283" t="s">
        <v>4836</v>
      </c>
      <c r="E283" t="s">
        <v>751</v>
      </c>
    </row>
    <row r="284" spans="1:5" x14ac:dyDescent="0.3">
      <c r="A284" t="s">
        <v>1936</v>
      </c>
      <c r="B284" t="s">
        <v>5083</v>
      </c>
      <c r="C284" t="s">
        <v>4838</v>
      </c>
      <c r="D284" t="s">
        <v>4844</v>
      </c>
      <c r="E284" t="s">
        <v>751</v>
      </c>
    </row>
    <row r="285" spans="1:5" x14ac:dyDescent="0.3">
      <c r="A285" t="s">
        <v>1902</v>
      </c>
      <c r="B285" t="s">
        <v>5084</v>
      </c>
      <c r="C285" t="s">
        <v>4848</v>
      </c>
      <c r="D285" t="s">
        <v>4869</v>
      </c>
      <c r="E285" t="s">
        <v>1474</v>
      </c>
    </row>
    <row r="286" spans="1:5" x14ac:dyDescent="0.3">
      <c r="A286" t="s">
        <v>1934</v>
      </c>
      <c r="B286" t="s">
        <v>4998</v>
      </c>
      <c r="C286" t="s">
        <v>4833</v>
      </c>
      <c r="D286" t="s">
        <v>4844</v>
      </c>
      <c r="E286" t="s">
        <v>689</v>
      </c>
    </row>
    <row r="287" spans="1:5" x14ac:dyDescent="0.3">
      <c r="A287" t="s">
        <v>2329</v>
      </c>
      <c r="B287" t="s">
        <v>5085</v>
      </c>
      <c r="C287" t="s">
        <v>4833</v>
      </c>
      <c r="D287" t="s">
        <v>4869</v>
      </c>
      <c r="E287" t="s">
        <v>1817</v>
      </c>
    </row>
    <row r="288" spans="1:5" x14ac:dyDescent="0.3">
      <c r="A288" t="s">
        <v>2108</v>
      </c>
      <c r="B288" t="s">
        <v>5086</v>
      </c>
      <c r="C288" t="s">
        <v>4860</v>
      </c>
      <c r="D288" t="s">
        <v>4857</v>
      </c>
      <c r="E288" t="s">
        <v>2087</v>
      </c>
    </row>
    <row r="289" spans="1:5" x14ac:dyDescent="0.3">
      <c r="A289" t="s">
        <v>2070</v>
      </c>
      <c r="B289" t="s">
        <v>5087</v>
      </c>
      <c r="C289" t="s">
        <v>4860</v>
      </c>
      <c r="D289" t="s">
        <v>4897</v>
      </c>
      <c r="E289" t="s">
        <v>1424</v>
      </c>
    </row>
    <row r="290" spans="1:5" x14ac:dyDescent="0.3">
      <c r="A290" t="s">
        <v>1893</v>
      </c>
      <c r="B290" t="s">
        <v>5088</v>
      </c>
      <c r="C290" t="s">
        <v>4848</v>
      </c>
      <c r="D290" t="s">
        <v>4869</v>
      </c>
      <c r="E290" t="s">
        <v>5089</v>
      </c>
    </row>
    <row r="291" spans="1:5" x14ac:dyDescent="0.3">
      <c r="A291" t="s">
        <v>2594</v>
      </c>
      <c r="B291" t="s">
        <v>5090</v>
      </c>
      <c r="C291" t="s">
        <v>4848</v>
      </c>
      <c r="D291" t="s">
        <v>4857</v>
      </c>
      <c r="E291" t="s">
        <v>529</v>
      </c>
    </row>
    <row r="292" spans="1:5" x14ac:dyDescent="0.3">
      <c r="A292" t="s">
        <v>1478</v>
      </c>
      <c r="B292" t="s">
        <v>4832</v>
      </c>
      <c r="C292" t="s">
        <v>4860</v>
      </c>
      <c r="D292" t="s">
        <v>4897</v>
      </c>
      <c r="E292" t="s">
        <v>74</v>
      </c>
    </row>
    <row r="293" spans="1:5" x14ac:dyDescent="0.3">
      <c r="A293" t="s">
        <v>2007</v>
      </c>
      <c r="B293" t="s">
        <v>5091</v>
      </c>
      <c r="C293" t="s">
        <v>4838</v>
      </c>
      <c r="D293" t="s">
        <v>4880</v>
      </c>
      <c r="E293" t="s">
        <v>2106</v>
      </c>
    </row>
    <row r="294" spans="1:5" x14ac:dyDescent="0.3">
      <c r="A294" t="s">
        <v>1963</v>
      </c>
      <c r="B294" t="s">
        <v>4957</v>
      </c>
      <c r="C294" t="s">
        <v>4860</v>
      </c>
      <c r="D294" t="s">
        <v>4857</v>
      </c>
      <c r="E294" t="s">
        <v>986</v>
      </c>
    </row>
    <row r="295" spans="1:5" x14ac:dyDescent="0.3">
      <c r="A295" t="s">
        <v>1485</v>
      </c>
      <c r="B295" t="s">
        <v>5092</v>
      </c>
      <c r="C295" t="s">
        <v>4848</v>
      </c>
      <c r="D295" t="s">
        <v>4850</v>
      </c>
      <c r="E295" t="s">
        <v>1549</v>
      </c>
    </row>
    <row r="296" spans="1:5" x14ac:dyDescent="0.3">
      <c r="A296" t="s">
        <v>1722</v>
      </c>
      <c r="B296" t="s">
        <v>4929</v>
      </c>
      <c r="C296" t="s">
        <v>4833</v>
      </c>
      <c r="D296" t="s">
        <v>4884</v>
      </c>
      <c r="E296" t="s">
        <v>312</v>
      </c>
    </row>
    <row r="297" spans="1:5" x14ac:dyDescent="0.3">
      <c r="A297" t="s">
        <v>1470</v>
      </c>
      <c r="B297" t="s">
        <v>4918</v>
      </c>
      <c r="C297" t="s">
        <v>4860</v>
      </c>
      <c r="D297" t="s">
        <v>4897</v>
      </c>
      <c r="E297" t="s">
        <v>337</v>
      </c>
    </row>
    <row r="298" spans="1:5" x14ac:dyDescent="0.3">
      <c r="A298" t="s">
        <v>2376</v>
      </c>
      <c r="B298" t="s">
        <v>5015</v>
      </c>
      <c r="C298" t="s">
        <v>4833</v>
      </c>
      <c r="D298" t="s">
        <v>4842</v>
      </c>
      <c r="E298" t="s">
        <v>5093</v>
      </c>
    </row>
    <row r="299" spans="1:5" x14ac:dyDescent="0.3">
      <c r="A299" t="s">
        <v>1573</v>
      </c>
      <c r="B299" t="s">
        <v>5073</v>
      </c>
      <c r="C299" t="s">
        <v>4860</v>
      </c>
      <c r="D299" t="s">
        <v>4841</v>
      </c>
      <c r="E299" t="s">
        <v>1366</v>
      </c>
    </row>
    <row r="300" spans="1:5" x14ac:dyDescent="0.3">
      <c r="A300" t="s">
        <v>1649</v>
      </c>
      <c r="B300" t="s">
        <v>5094</v>
      </c>
      <c r="C300" t="s">
        <v>4838</v>
      </c>
      <c r="D300" t="s">
        <v>4850</v>
      </c>
      <c r="E300" t="s">
        <v>2249</v>
      </c>
    </row>
    <row r="301" spans="1:5" x14ac:dyDescent="0.3">
      <c r="A301" t="s">
        <v>2065</v>
      </c>
      <c r="B301" t="s">
        <v>5095</v>
      </c>
      <c r="C301" t="s">
        <v>4848</v>
      </c>
      <c r="D301" t="s">
        <v>4850</v>
      </c>
      <c r="E301" t="s">
        <v>4938</v>
      </c>
    </row>
    <row r="302" spans="1:5" x14ac:dyDescent="0.3">
      <c r="A302" t="s">
        <v>1759</v>
      </c>
      <c r="B302" t="s">
        <v>4815</v>
      </c>
      <c r="C302" t="s">
        <v>4860</v>
      </c>
      <c r="D302" t="s">
        <v>4841</v>
      </c>
      <c r="E302" t="s">
        <v>483</v>
      </c>
    </row>
    <row r="303" spans="1:5" x14ac:dyDescent="0.3">
      <c r="A303" t="s">
        <v>1900</v>
      </c>
      <c r="B303" t="s">
        <v>4817</v>
      </c>
      <c r="C303" t="s">
        <v>4833</v>
      </c>
      <c r="D303" t="s">
        <v>4844</v>
      </c>
      <c r="E303" t="s">
        <v>2249</v>
      </c>
    </row>
    <row r="304" spans="1:5" x14ac:dyDescent="0.3">
      <c r="A304" t="s">
        <v>2278</v>
      </c>
      <c r="B304" t="s">
        <v>5096</v>
      </c>
      <c r="C304" t="s">
        <v>4848</v>
      </c>
      <c r="D304" t="s">
        <v>4841</v>
      </c>
      <c r="E304" t="s">
        <v>281</v>
      </c>
    </row>
    <row r="305" spans="1:5" x14ac:dyDescent="0.3">
      <c r="A305" t="s">
        <v>1730</v>
      </c>
      <c r="B305" t="s">
        <v>5097</v>
      </c>
      <c r="C305" t="s">
        <v>4848</v>
      </c>
      <c r="D305" t="s">
        <v>4897</v>
      </c>
      <c r="E305" t="s">
        <v>1951</v>
      </c>
    </row>
    <row r="306" spans="1:5" x14ac:dyDescent="0.3">
      <c r="A306" t="s">
        <v>1838</v>
      </c>
      <c r="B306" t="s">
        <v>5098</v>
      </c>
      <c r="C306" t="s">
        <v>4838</v>
      </c>
      <c r="D306" t="s">
        <v>4844</v>
      </c>
      <c r="E306" t="s">
        <v>798</v>
      </c>
    </row>
    <row r="307" spans="1:5" x14ac:dyDescent="0.3">
      <c r="A307" t="s">
        <v>2179</v>
      </c>
      <c r="B307" t="s">
        <v>5042</v>
      </c>
      <c r="C307" t="s">
        <v>4833</v>
      </c>
      <c r="D307" t="s">
        <v>4862</v>
      </c>
      <c r="E307" t="s">
        <v>1320</v>
      </c>
    </row>
    <row r="308" spans="1:5" x14ac:dyDescent="0.3">
      <c r="A308" t="s">
        <v>2756</v>
      </c>
      <c r="B308" t="s">
        <v>4865</v>
      </c>
      <c r="C308" t="s">
        <v>4833</v>
      </c>
      <c r="D308" t="s">
        <v>4880</v>
      </c>
      <c r="E308" t="s">
        <v>764</v>
      </c>
    </row>
    <row r="309" spans="1:5" x14ac:dyDescent="0.3">
      <c r="A309" t="s">
        <v>2047</v>
      </c>
      <c r="B309" t="s">
        <v>5010</v>
      </c>
      <c r="C309" t="s">
        <v>4833</v>
      </c>
      <c r="D309" t="s">
        <v>4844</v>
      </c>
      <c r="E309" t="s">
        <v>12</v>
      </c>
    </row>
    <row r="310" spans="1:5" x14ac:dyDescent="0.3">
      <c r="A310" t="s">
        <v>1619</v>
      </c>
      <c r="B310" t="s">
        <v>5099</v>
      </c>
      <c r="C310" t="s">
        <v>4848</v>
      </c>
      <c r="D310" t="s">
        <v>4850</v>
      </c>
      <c r="E310" t="s">
        <v>2131</v>
      </c>
    </row>
    <row r="311" spans="1:5" x14ac:dyDescent="0.3">
      <c r="A311" t="s">
        <v>1991</v>
      </c>
      <c r="B311" t="s">
        <v>5100</v>
      </c>
      <c r="C311" t="s">
        <v>4860</v>
      </c>
      <c r="D311" t="s">
        <v>4884</v>
      </c>
      <c r="E311" t="s">
        <v>915</v>
      </c>
    </row>
    <row r="312" spans="1:5" x14ac:dyDescent="0.3">
      <c r="A312" t="s">
        <v>1845</v>
      </c>
      <c r="B312" t="s">
        <v>5101</v>
      </c>
      <c r="C312" t="s">
        <v>4833</v>
      </c>
      <c r="D312" t="s">
        <v>4869</v>
      </c>
      <c r="E312" t="s">
        <v>2237</v>
      </c>
    </row>
    <row r="313" spans="1:5" x14ac:dyDescent="0.3">
      <c r="A313" t="s">
        <v>2050</v>
      </c>
      <c r="B313" t="s">
        <v>5102</v>
      </c>
      <c r="C313" t="s">
        <v>4833</v>
      </c>
      <c r="D313" t="s">
        <v>4844</v>
      </c>
      <c r="E313" t="s">
        <v>1047</v>
      </c>
    </row>
    <row r="314" spans="1:5" x14ac:dyDescent="0.3">
      <c r="A314" t="s">
        <v>3533</v>
      </c>
      <c r="B314" t="s">
        <v>5021</v>
      </c>
      <c r="C314" t="s">
        <v>4833</v>
      </c>
      <c r="D314" t="s">
        <v>4857</v>
      </c>
      <c r="E314" t="s">
        <v>123</v>
      </c>
    </row>
    <row r="315" spans="1:5" x14ac:dyDescent="0.3">
      <c r="A315" t="s">
        <v>1441</v>
      </c>
      <c r="B315" t="s">
        <v>5026</v>
      </c>
      <c r="C315" t="s">
        <v>4860</v>
      </c>
      <c r="D315" t="s">
        <v>4841</v>
      </c>
      <c r="E315" t="s">
        <v>911</v>
      </c>
    </row>
    <row r="316" spans="1:5" x14ac:dyDescent="0.3">
      <c r="A316" t="s">
        <v>1780</v>
      </c>
      <c r="B316" t="s">
        <v>5101</v>
      </c>
      <c r="C316" t="s">
        <v>4833</v>
      </c>
      <c r="D316" t="s">
        <v>4862</v>
      </c>
      <c r="E316" t="s">
        <v>171</v>
      </c>
    </row>
    <row r="317" spans="1:5" x14ac:dyDescent="0.3">
      <c r="A317" t="s">
        <v>2567</v>
      </c>
      <c r="B317" t="s">
        <v>5103</v>
      </c>
      <c r="C317" t="s">
        <v>4848</v>
      </c>
      <c r="D317" t="s">
        <v>4867</v>
      </c>
      <c r="E317" t="s">
        <v>600</v>
      </c>
    </row>
    <row r="318" spans="1:5" x14ac:dyDescent="0.3">
      <c r="A318" t="s">
        <v>1971</v>
      </c>
      <c r="B318" t="s">
        <v>5104</v>
      </c>
      <c r="C318" t="s">
        <v>4848</v>
      </c>
      <c r="D318" t="s">
        <v>4852</v>
      </c>
      <c r="E318" t="s">
        <v>689</v>
      </c>
    </row>
    <row r="319" spans="1:5" x14ac:dyDescent="0.3">
      <c r="A319" t="s">
        <v>1678</v>
      </c>
      <c r="B319" t="s">
        <v>5043</v>
      </c>
      <c r="C319" t="s">
        <v>4833</v>
      </c>
      <c r="D319" t="s">
        <v>4850</v>
      </c>
      <c r="E319" t="s">
        <v>1689</v>
      </c>
    </row>
    <row r="320" spans="1:5" x14ac:dyDescent="0.3">
      <c r="A320" t="s">
        <v>2487</v>
      </c>
      <c r="B320" t="s">
        <v>4888</v>
      </c>
      <c r="C320" t="s">
        <v>4833</v>
      </c>
      <c r="D320" t="s">
        <v>4844</v>
      </c>
      <c r="E320" t="s">
        <v>344</v>
      </c>
    </row>
    <row r="321" spans="1:5" x14ac:dyDescent="0.3">
      <c r="A321" t="s">
        <v>1942</v>
      </c>
      <c r="B321" t="s">
        <v>5105</v>
      </c>
      <c r="C321" t="s">
        <v>4848</v>
      </c>
      <c r="D321" t="s">
        <v>4880</v>
      </c>
      <c r="E321" t="s">
        <v>4938</v>
      </c>
    </row>
    <row r="322" spans="1:5" x14ac:dyDescent="0.3">
      <c r="A322" t="s">
        <v>2166</v>
      </c>
      <c r="B322" t="s">
        <v>5106</v>
      </c>
      <c r="C322" t="s">
        <v>4838</v>
      </c>
      <c r="D322" t="s">
        <v>4857</v>
      </c>
      <c r="E322" t="s">
        <v>521</v>
      </c>
    </row>
    <row r="323" spans="1:5" x14ac:dyDescent="0.3">
      <c r="A323" t="s">
        <v>3597</v>
      </c>
      <c r="B323" t="s">
        <v>4896</v>
      </c>
      <c r="C323" t="s">
        <v>4833</v>
      </c>
      <c r="D323" t="s">
        <v>4867</v>
      </c>
      <c r="E323" t="s">
        <v>1474</v>
      </c>
    </row>
    <row r="324" spans="1:5" x14ac:dyDescent="0.3">
      <c r="A324" t="s">
        <v>1646</v>
      </c>
      <c r="B324" t="s">
        <v>5107</v>
      </c>
      <c r="C324" t="s">
        <v>4848</v>
      </c>
      <c r="D324" t="s">
        <v>4834</v>
      </c>
      <c r="E324" t="s">
        <v>904</v>
      </c>
    </row>
    <row r="325" spans="1:5" x14ac:dyDescent="0.3">
      <c r="A325" t="s">
        <v>3975</v>
      </c>
      <c r="B325" t="s">
        <v>4940</v>
      </c>
      <c r="C325" t="s">
        <v>4860</v>
      </c>
      <c r="D325" t="s">
        <v>4852</v>
      </c>
      <c r="E325" t="s">
        <v>331</v>
      </c>
    </row>
    <row r="326" spans="1:5" x14ac:dyDescent="0.3">
      <c r="A326" t="s">
        <v>2121</v>
      </c>
      <c r="B326" t="s">
        <v>5108</v>
      </c>
      <c r="C326" t="s">
        <v>4833</v>
      </c>
      <c r="D326" t="s">
        <v>4897</v>
      </c>
      <c r="E326" t="s">
        <v>2131</v>
      </c>
    </row>
    <row r="327" spans="1:5" x14ac:dyDescent="0.3">
      <c r="A327" t="s">
        <v>3747</v>
      </c>
      <c r="B327" t="s">
        <v>5109</v>
      </c>
      <c r="C327" t="s">
        <v>4838</v>
      </c>
      <c r="D327" t="s">
        <v>4857</v>
      </c>
      <c r="E327" t="s">
        <v>2131</v>
      </c>
    </row>
    <row r="328" spans="1:5" x14ac:dyDescent="0.3">
      <c r="A328" t="s">
        <v>1578</v>
      </c>
      <c r="B328" t="s">
        <v>5110</v>
      </c>
      <c r="C328" t="s">
        <v>4838</v>
      </c>
      <c r="D328" t="s">
        <v>4834</v>
      </c>
      <c r="E328" t="s">
        <v>1704</v>
      </c>
    </row>
    <row r="329" spans="1:5" x14ac:dyDescent="0.3">
      <c r="A329" t="s">
        <v>1774</v>
      </c>
      <c r="B329" t="s">
        <v>5111</v>
      </c>
      <c r="C329" t="s">
        <v>4838</v>
      </c>
      <c r="D329" t="s">
        <v>4862</v>
      </c>
      <c r="E329" t="s">
        <v>1727</v>
      </c>
    </row>
    <row r="330" spans="1:5" x14ac:dyDescent="0.3">
      <c r="A330" t="s">
        <v>2485</v>
      </c>
      <c r="B330" t="s">
        <v>5112</v>
      </c>
      <c r="C330" t="s">
        <v>4848</v>
      </c>
      <c r="D330" t="s">
        <v>4857</v>
      </c>
      <c r="E330" t="s">
        <v>1895</v>
      </c>
    </row>
    <row r="331" spans="1:5" x14ac:dyDescent="0.3">
      <c r="A331" t="s">
        <v>2052</v>
      </c>
      <c r="B331" t="s">
        <v>5113</v>
      </c>
      <c r="C331" t="s">
        <v>4848</v>
      </c>
      <c r="D331" t="s">
        <v>4862</v>
      </c>
      <c r="E331" t="s">
        <v>81</v>
      </c>
    </row>
    <row r="332" spans="1:5" x14ac:dyDescent="0.3">
      <c r="A332" t="s">
        <v>2562</v>
      </c>
      <c r="B332" t="s">
        <v>5114</v>
      </c>
      <c r="C332" t="s">
        <v>4833</v>
      </c>
      <c r="D332" t="s">
        <v>4884</v>
      </c>
      <c r="E332" t="s">
        <v>569</v>
      </c>
    </row>
    <row r="333" spans="1:5" x14ac:dyDescent="0.3">
      <c r="A333" t="s">
        <v>2036</v>
      </c>
      <c r="B333" t="s">
        <v>5115</v>
      </c>
      <c r="C333" t="s">
        <v>4833</v>
      </c>
      <c r="D333" t="s">
        <v>4836</v>
      </c>
      <c r="E333" t="s">
        <v>886</v>
      </c>
    </row>
    <row r="334" spans="1:5" x14ac:dyDescent="0.3">
      <c r="A334" t="s">
        <v>1776</v>
      </c>
      <c r="B334" t="s">
        <v>5116</v>
      </c>
      <c r="C334" t="s">
        <v>4833</v>
      </c>
      <c r="D334" t="s">
        <v>4897</v>
      </c>
      <c r="E334" t="s">
        <v>380</v>
      </c>
    </row>
    <row r="335" spans="1:5" x14ac:dyDescent="0.3">
      <c r="A335" t="s">
        <v>1824</v>
      </c>
      <c r="B335" t="s">
        <v>4835</v>
      </c>
      <c r="C335" t="s">
        <v>4833</v>
      </c>
      <c r="D335" t="s">
        <v>4852</v>
      </c>
      <c r="E335" t="s">
        <v>1931</v>
      </c>
    </row>
    <row r="336" spans="1:5" x14ac:dyDescent="0.3">
      <c r="A336" t="s">
        <v>2201</v>
      </c>
      <c r="B336" t="s">
        <v>5117</v>
      </c>
      <c r="C336" t="s">
        <v>4833</v>
      </c>
      <c r="D336" t="s">
        <v>4884</v>
      </c>
      <c r="E336" t="s">
        <v>711</v>
      </c>
    </row>
    <row r="337" spans="1:5" x14ac:dyDescent="0.3">
      <c r="A337" t="s">
        <v>1500</v>
      </c>
      <c r="B337" t="s">
        <v>4811</v>
      </c>
      <c r="C337" t="s">
        <v>4833</v>
      </c>
      <c r="D337" t="s">
        <v>4841</v>
      </c>
      <c r="E337" t="s">
        <v>1151</v>
      </c>
    </row>
    <row r="338" spans="1:5" x14ac:dyDescent="0.3">
      <c r="A338" t="s">
        <v>1552</v>
      </c>
      <c r="B338" t="s">
        <v>5118</v>
      </c>
      <c r="C338" t="s">
        <v>4838</v>
      </c>
      <c r="D338" t="s">
        <v>4884</v>
      </c>
      <c r="E338" t="s">
        <v>2380</v>
      </c>
    </row>
    <row r="339" spans="1:5" x14ac:dyDescent="0.3">
      <c r="A339" t="s">
        <v>2591</v>
      </c>
      <c r="B339" t="s">
        <v>5053</v>
      </c>
      <c r="C339" t="s">
        <v>4833</v>
      </c>
      <c r="D339" t="s">
        <v>4841</v>
      </c>
      <c r="E339" t="s">
        <v>939</v>
      </c>
    </row>
    <row r="340" spans="1:5" x14ac:dyDescent="0.3">
      <c r="A340" t="s">
        <v>1854</v>
      </c>
      <c r="B340" t="s">
        <v>5119</v>
      </c>
      <c r="C340" t="s">
        <v>4860</v>
      </c>
      <c r="D340" t="s">
        <v>4844</v>
      </c>
      <c r="E340" t="s">
        <v>949</v>
      </c>
    </row>
    <row r="341" spans="1:5" x14ac:dyDescent="0.3">
      <c r="A341" t="s">
        <v>2068</v>
      </c>
      <c r="B341" t="s">
        <v>5085</v>
      </c>
      <c r="C341" t="s">
        <v>4860</v>
      </c>
      <c r="D341" t="s">
        <v>4857</v>
      </c>
      <c r="E341" t="s">
        <v>2031</v>
      </c>
    </row>
    <row r="342" spans="1:5" x14ac:dyDescent="0.3">
      <c r="A342" t="s">
        <v>2430</v>
      </c>
      <c r="B342" t="s">
        <v>5120</v>
      </c>
      <c r="C342" t="s">
        <v>4848</v>
      </c>
      <c r="D342" t="s">
        <v>4869</v>
      </c>
      <c r="E342" t="s">
        <v>350</v>
      </c>
    </row>
    <row r="343" spans="1:5" x14ac:dyDescent="0.3">
      <c r="A343" t="s">
        <v>1445</v>
      </c>
      <c r="B343" t="s">
        <v>5121</v>
      </c>
      <c r="C343" t="s">
        <v>4833</v>
      </c>
      <c r="D343" t="s">
        <v>4880</v>
      </c>
      <c r="E343" t="s">
        <v>896</v>
      </c>
    </row>
    <row r="344" spans="1:5" x14ac:dyDescent="0.3">
      <c r="A344" t="s">
        <v>2243</v>
      </c>
      <c r="B344" t="s">
        <v>4797</v>
      </c>
      <c r="C344" t="s">
        <v>4833</v>
      </c>
      <c r="D344" t="s">
        <v>4841</v>
      </c>
      <c r="E344" t="s">
        <v>1151</v>
      </c>
    </row>
    <row r="345" spans="1:5" x14ac:dyDescent="0.3">
      <c r="A345" t="s">
        <v>1801</v>
      </c>
      <c r="B345" t="s">
        <v>5122</v>
      </c>
      <c r="C345" t="s">
        <v>4860</v>
      </c>
      <c r="D345" t="s">
        <v>4884</v>
      </c>
      <c r="E345" t="s">
        <v>188</v>
      </c>
    </row>
    <row r="346" spans="1:5" x14ac:dyDescent="0.3">
      <c r="A346" t="s">
        <v>2527</v>
      </c>
      <c r="B346" t="s">
        <v>5123</v>
      </c>
      <c r="C346" t="s">
        <v>4833</v>
      </c>
      <c r="D346" t="s">
        <v>4836</v>
      </c>
      <c r="E346" t="s">
        <v>1876</v>
      </c>
    </row>
    <row r="347" spans="1:5" x14ac:dyDescent="0.3">
      <c r="A347" t="s">
        <v>2405</v>
      </c>
      <c r="B347" t="s">
        <v>4937</v>
      </c>
      <c r="C347" t="s">
        <v>4833</v>
      </c>
      <c r="D347" t="s">
        <v>4836</v>
      </c>
      <c r="E347" t="s">
        <v>1433</v>
      </c>
    </row>
    <row r="348" spans="1:5" x14ac:dyDescent="0.3">
      <c r="A348" t="s">
        <v>1918</v>
      </c>
      <c r="B348" t="s">
        <v>5124</v>
      </c>
      <c r="C348" t="s">
        <v>4848</v>
      </c>
      <c r="D348" t="s">
        <v>4842</v>
      </c>
      <c r="E348" t="s">
        <v>1023</v>
      </c>
    </row>
    <row r="349" spans="1:5" x14ac:dyDescent="0.3">
      <c r="A349" t="s">
        <v>3604</v>
      </c>
      <c r="B349" t="s">
        <v>5125</v>
      </c>
      <c r="C349" t="s">
        <v>4838</v>
      </c>
      <c r="D349" t="s">
        <v>4842</v>
      </c>
      <c r="E349" t="s">
        <v>668</v>
      </c>
    </row>
    <row r="350" spans="1:5" x14ac:dyDescent="0.3">
      <c r="A350" t="s">
        <v>1973</v>
      </c>
      <c r="B350" t="s">
        <v>5126</v>
      </c>
      <c r="C350" t="s">
        <v>4848</v>
      </c>
      <c r="D350" t="s">
        <v>4867</v>
      </c>
      <c r="E350" t="s">
        <v>1876</v>
      </c>
    </row>
    <row r="351" spans="1:5" x14ac:dyDescent="0.3">
      <c r="A351" t="s">
        <v>1666</v>
      </c>
      <c r="B351" t="s">
        <v>5127</v>
      </c>
      <c r="C351" t="s">
        <v>4838</v>
      </c>
      <c r="D351" t="s">
        <v>4862</v>
      </c>
      <c r="E351" t="s">
        <v>617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81"/>
  <sheetViews>
    <sheetView workbookViewId="0">
      <pane ySplit="361" topLeftCell="A362" activePane="bottomLeft" state="frozen"/>
      <selection pane="bottomLeft" activeCell="C369" sqref="C369"/>
    </sheetView>
  </sheetViews>
  <sheetFormatPr defaultRowHeight="14.4" x14ac:dyDescent="0.3"/>
  <cols>
    <col min="1" max="1" width="8.6640625" customWidth="1"/>
    <col min="2" max="2" width="14.109375" customWidth="1"/>
    <col min="3" max="3" width="16.109375" style="4" customWidth="1"/>
    <col min="4" max="4" width="8.6640625" customWidth="1"/>
  </cols>
  <sheetData>
    <row r="1" spans="1:4" x14ac:dyDescent="0.3">
      <c r="A1" s="1" t="s">
        <v>5128</v>
      </c>
      <c r="B1" s="1" t="s">
        <v>2</v>
      </c>
      <c r="C1" s="6" t="s">
        <v>5129</v>
      </c>
      <c r="D1" s="1" t="s">
        <v>9</v>
      </c>
    </row>
    <row r="2" spans="1:4" x14ac:dyDescent="0.3">
      <c r="A2" t="s">
        <v>5130</v>
      </c>
      <c r="B2" t="s">
        <v>107</v>
      </c>
      <c r="C2" s="4">
        <v>111819.17</v>
      </c>
    </row>
    <row r="3" spans="1:4" x14ac:dyDescent="0.3">
      <c r="A3" t="s">
        <v>5130</v>
      </c>
      <c r="B3" t="s">
        <v>131</v>
      </c>
      <c r="C3" s="4">
        <v>77401.460000000006</v>
      </c>
    </row>
    <row r="4" spans="1:4" x14ac:dyDescent="0.3">
      <c r="A4" t="s">
        <v>5130</v>
      </c>
      <c r="B4" t="s">
        <v>19</v>
      </c>
      <c r="C4" s="4">
        <v>87030.34</v>
      </c>
    </row>
    <row r="5" spans="1:4" x14ac:dyDescent="0.3">
      <c r="A5" t="s">
        <v>5130</v>
      </c>
      <c r="B5" t="s">
        <v>56</v>
      </c>
      <c r="C5" s="4">
        <v>45837.71</v>
      </c>
    </row>
    <row r="6" spans="1:4" x14ac:dyDescent="0.3">
      <c r="A6" t="s">
        <v>5130</v>
      </c>
      <c r="B6" t="s">
        <v>13</v>
      </c>
      <c r="C6" s="4">
        <v>55425.49</v>
      </c>
    </row>
    <row r="7" spans="1:4" x14ac:dyDescent="0.3">
      <c r="A7" t="s">
        <v>5130</v>
      </c>
      <c r="B7" t="s">
        <v>127</v>
      </c>
      <c r="C7" s="4">
        <v>61846.13</v>
      </c>
    </row>
    <row r="8" spans="1:4" x14ac:dyDescent="0.3">
      <c r="A8" t="s">
        <v>5130</v>
      </c>
      <c r="B8" t="s">
        <v>75</v>
      </c>
      <c r="C8" s="4">
        <v>119059.99</v>
      </c>
    </row>
    <row r="9" spans="1:4" x14ac:dyDescent="0.3">
      <c r="A9" t="s">
        <v>5130</v>
      </c>
      <c r="B9" t="s">
        <v>63</v>
      </c>
      <c r="C9" s="4">
        <v>68291.64</v>
      </c>
    </row>
    <row r="10" spans="1:4" x14ac:dyDescent="0.3">
      <c r="A10" t="s">
        <v>5130</v>
      </c>
      <c r="B10" t="s">
        <v>82</v>
      </c>
      <c r="C10" s="4">
        <v>113876.67</v>
      </c>
    </row>
    <row r="11" spans="1:4" x14ac:dyDescent="0.3">
      <c r="A11" t="s">
        <v>5130</v>
      </c>
      <c r="B11" t="s">
        <v>70</v>
      </c>
      <c r="C11" s="4">
        <v>82670.13</v>
      </c>
    </row>
    <row r="12" spans="1:4" x14ac:dyDescent="0.3">
      <c r="A12" t="s">
        <v>5130</v>
      </c>
      <c r="B12" t="s">
        <v>141</v>
      </c>
      <c r="C12" s="4">
        <v>73949.429999999993</v>
      </c>
    </row>
    <row r="13" spans="1:4" x14ac:dyDescent="0.3">
      <c r="A13" t="s">
        <v>5130</v>
      </c>
      <c r="B13" t="s">
        <v>41</v>
      </c>
      <c r="C13" s="4">
        <v>43954.69</v>
      </c>
    </row>
    <row r="14" spans="1:4" x14ac:dyDescent="0.3">
      <c r="A14" t="s">
        <v>5130</v>
      </c>
      <c r="B14" t="s">
        <v>59</v>
      </c>
      <c r="C14" s="4">
        <v>50594.32</v>
      </c>
    </row>
    <row r="15" spans="1:4" x14ac:dyDescent="0.3">
      <c r="A15" t="s">
        <v>5130</v>
      </c>
      <c r="B15" t="s">
        <v>31</v>
      </c>
      <c r="C15" s="4">
        <v>103249.72</v>
      </c>
    </row>
    <row r="16" spans="1:4" x14ac:dyDescent="0.3">
      <c r="A16" t="s">
        <v>5130</v>
      </c>
      <c r="B16" t="s">
        <v>27</v>
      </c>
      <c r="C16" s="4">
        <v>72480.149999999994</v>
      </c>
    </row>
    <row r="17" spans="1:3" x14ac:dyDescent="0.3">
      <c r="A17" t="s">
        <v>5131</v>
      </c>
      <c r="B17" t="s">
        <v>107</v>
      </c>
      <c r="C17" s="4">
        <v>124633.57</v>
      </c>
    </row>
    <row r="18" spans="1:3" x14ac:dyDescent="0.3">
      <c r="A18" t="s">
        <v>5131</v>
      </c>
      <c r="B18" t="s">
        <v>131</v>
      </c>
      <c r="C18" s="4">
        <v>90994.64</v>
      </c>
    </row>
    <row r="19" spans="1:3" x14ac:dyDescent="0.3">
      <c r="A19" t="s">
        <v>5131</v>
      </c>
      <c r="B19" t="s">
        <v>19</v>
      </c>
      <c r="C19" s="4">
        <v>103059.67</v>
      </c>
    </row>
    <row r="20" spans="1:3" x14ac:dyDescent="0.3">
      <c r="A20" t="s">
        <v>5131</v>
      </c>
      <c r="B20" t="s">
        <v>56</v>
      </c>
      <c r="C20" s="4">
        <v>120552.68</v>
      </c>
    </row>
    <row r="21" spans="1:3" x14ac:dyDescent="0.3">
      <c r="A21" t="s">
        <v>5131</v>
      </c>
      <c r="B21" t="s">
        <v>13</v>
      </c>
      <c r="C21" s="4">
        <v>110341.8</v>
      </c>
    </row>
    <row r="22" spans="1:3" x14ac:dyDescent="0.3">
      <c r="A22" t="s">
        <v>5131</v>
      </c>
      <c r="B22" t="s">
        <v>127</v>
      </c>
      <c r="C22" s="4">
        <v>69486.87</v>
      </c>
    </row>
    <row r="23" spans="1:3" x14ac:dyDescent="0.3">
      <c r="A23" t="s">
        <v>5131</v>
      </c>
      <c r="B23" t="s">
        <v>75</v>
      </c>
      <c r="C23" s="4">
        <v>71683.990000000005</v>
      </c>
    </row>
    <row r="24" spans="1:3" x14ac:dyDescent="0.3">
      <c r="A24" t="s">
        <v>5131</v>
      </c>
      <c r="B24" t="s">
        <v>63</v>
      </c>
      <c r="C24" s="4">
        <v>54998.31</v>
      </c>
    </row>
    <row r="25" spans="1:3" x14ac:dyDescent="0.3">
      <c r="A25" t="s">
        <v>5131</v>
      </c>
      <c r="B25" t="s">
        <v>82</v>
      </c>
      <c r="C25" s="4">
        <v>72930.67</v>
      </c>
    </row>
    <row r="26" spans="1:3" x14ac:dyDescent="0.3">
      <c r="A26" t="s">
        <v>5131</v>
      </c>
      <c r="B26" t="s">
        <v>70</v>
      </c>
      <c r="C26" s="4">
        <v>94815.98</v>
      </c>
    </row>
    <row r="27" spans="1:3" x14ac:dyDescent="0.3">
      <c r="A27" t="s">
        <v>5131</v>
      </c>
      <c r="B27" t="s">
        <v>141</v>
      </c>
      <c r="C27" s="4">
        <v>103271.25</v>
      </c>
    </row>
    <row r="28" spans="1:3" x14ac:dyDescent="0.3">
      <c r="A28" t="s">
        <v>5131</v>
      </c>
      <c r="B28" t="s">
        <v>41</v>
      </c>
      <c r="C28" s="4">
        <v>99259.74</v>
      </c>
    </row>
    <row r="29" spans="1:3" x14ac:dyDescent="0.3">
      <c r="A29" t="s">
        <v>5131</v>
      </c>
      <c r="B29" t="s">
        <v>59</v>
      </c>
      <c r="C29" s="4">
        <v>82058.28</v>
      </c>
    </row>
    <row r="30" spans="1:3" x14ac:dyDescent="0.3">
      <c r="A30" t="s">
        <v>5131</v>
      </c>
      <c r="B30" t="s">
        <v>31</v>
      </c>
      <c r="C30" s="4">
        <v>68112.66</v>
      </c>
    </row>
    <row r="31" spans="1:3" x14ac:dyDescent="0.3">
      <c r="A31" t="s">
        <v>5131</v>
      </c>
      <c r="B31" t="s">
        <v>27</v>
      </c>
      <c r="C31" s="4">
        <v>74845.679999999993</v>
      </c>
    </row>
    <row r="32" spans="1:3" x14ac:dyDescent="0.3">
      <c r="A32" t="s">
        <v>5132</v>
      </c>
      <c r="B32" t="s">
        <v>107</v>
      </c>
      <c r="C32" s="4">
        <v>84881.53</v>
      </c>
    </row>
    <row r="33" spans="1:3" x14ac:dyDescent="0.3">
      <c r="A33" t="s">
        <v>5132</v>
      </c>
      <c r="B33" t="s">
        <v>131</v>
      </c>
      <c r="C33" s="4">
        <v>67306.929999999993</v>
      </c>
    </row>
    <row r="34" spans="1:3" x14ac:dyDescent="0.3">
      <c r="A34" t="s">
        <v>5132</v>
      </c>
      <c r="B34" t="s">
        <v>19</v>
      </c>
      <c r="C34" s="4">
        <v>105847.87</v>
      </c>
    </row>
    <row r="35" spans="1:3" x14ac:dyDescent="0.3">
      <c r="A35" t="s">
        <v>5132</v>
      </c>
      <c r="B35" t="s">
        <v>56</v>
      </c>
      <c r="C35" s="4">
        <v>106363.86</v>
      </c>
    </row>
    <row r="36" spans="1:3" x14ac:dyDescent="0.3">
      <c r="A36" t="s">
        <v>5132</v>
      </c>
      <c r="B36" t="s">
        <v>13</v>
      </c>
      <c r="C36" s="4">
        <v>82913.48</v>
      </c>
    </row>
    <row r="37" spans="1:3" x14ac:dyDescent="0.3">
      <c r="A37" t="s">
        <v>5132</v>
      </c>
      <c r="B37" t="s">
        <v>127</v>
      </c>
      <c r="C37" s="4">
        <v>86451.55</v>
      </c>
    </row>
    <row r="38" spans="1:3" x14ac:dyDescent="0.3">
      <c r="A38" t="s">
        <v>5132</v>
      </c>
      <c r="B38" t="s">
        <v>75</v>
      </c>
      <c r="C38" s="4">
        <v>111629.37</v>
      </c>
    </row>
    <row r="39" spans="1:3" x14ac:dyDescent="0.3">
      <c r="A39" t="s">
        <v>5132</v>
      </c>
      <c r="B39" t="s">
        <v>63</v>
      </c>
      <c r="C39" s="4">
        <v>70641.38</v>
      </c>
    </row>
    <row r="40" spans="1:3" x14ac:dyDescent="0.3">
      <c r="A40" t="s">
        <v>5132</v>
      </c>
      <c r="B40" t="s">
        <v>82</v>
      </c>
      <c r="C40" s="4">
        <v>112658.73</v>
      </c>
    </row>
    <row r="41" spans="1:3" x14ac:dyDescent="0.3">
      <c r="A41" t="s">
        <v>5132</v>
      </c>
      <c r="B41" t="s">
        <v>70</v>
      </c>
      <c r="C41" s="4">
        <v>141240.46</v>
      </c>
    </row>
    <row r="42" spans="1:3" x14ac:dyDescent="0.3">
      <c r="A42" t="s">
        <v>5132</v>
      </c>
      <c r="B42" t="s">
        <v>141</v>
      </c>
      <c r="C42" s="4">
        <v>64763.22</v>
      </c>
    </row>
    <row r="43" spans="1:3" x14ac:dyDescent="0.3">
      <c r="A43" t="s">
        <v>5132</v>
      </c>
      <c r="B43" t="s">
        <v>41</v>
      </c>
      <c r="C43" s="4">
        <v>68781.08</v>
      </c>
    </row>
    <row r="44" spans="1:3" x14ac:dyDescent="0.3">
      <c r="A44" t="s">
        <v>5132</v>
      </c>
      <c r="B44" t="s">
        <v>59</v>
      </c>
      <c r="C44" s="4">
        <v>131795.01999999999</v>
      </c>
    </row>
    <row r="45" spans="1:3" x14ac:dyDescent="0.3">
      <c r="A45" t="s">
        <v>5132</v>
      </c>
      <c r="B45" t="s">
        <v>31</v>
      </c>
      <c r="C45" s="4">
        <v>79288.92</v>
      </c>
    </row>
    <row r="46" spans="1:3" x14ac:dyDescent="0.3">
      <c r="A46" t="s">
        <v>5132</v>
      </c>
      <c r="B46" t="s">
        <v>27</v>
      </c>
      <c r="C46" s="4">
        <v>132628.47</v>
      </c>
    </row>
    <row r="47" spans="1:3" x14ac:dyDescent="0.3">
      <c r="A47" t="s">
        <v>5133</v>
      </c>
      <c r="B47" t="s">
        <v>107</v>
      </c>
      <c r="C47" s="4">
        <v>58192.26</v>
      </c>
    </row>
    <row r="48" spans="1:3" x14ac:dyDescent="0.3">
      <c r="A48" t="s">
        <v>5133</v>
      </c>
      <c r="B48" t="s">
        <v>131</v>
      </c>
      <c r="C48" s="4">
        <v>94867.96</v>
      </c>
    </row>
    <row r="49" spans="1:3" x14ac:dyDescent="0.3">
      <c r="A49" t="s">
        <v>5133</v>
      </c>
      <c r="B49" t="s">
        <v>19</v>
      </c>
      <c r="C49" s="4">
        <v>83881.179999999993</v>
      </c>
    </row>
    <row r="50" spans="1:3" x14ac:dyDescent="0.3">
      <c r="A50" t="s">
        <v>5133</v>
      </c>
      <c r="B50" t="s">
        <v>56</v>
      </c>
      <c r="C50" s="4">
        <v>105431.44</v>
      </c>
    </row>
    <row r="51" spans="1:3" x14ac:dyDescent="0.3">
      <c r="A51" t="s">
        <v>5133</v>
      </c>
      <c r="B51" t="s">
        <v>13</v>
      </c>
      <c r="C51" s="4">
        <v>96989.02</v>
      </c>
    </row>
    <row r="52" spans="1:3" x14ac:dyDescent="0.3">
      <c r="A52" t="s">
        <v>5133</v>
      </c>
      <c r="B52" t="s">
        <v>127</v>
      </c>
      <c r="C52" s="4">
        <v>74166.38</v>
      </c>
    </row>
    <row r="53" spans="1:3" x14ac:dyDescent="0.3">
      <c r="A53" t="s">
        <v>5133</v>
      </c>
      <c r="B53" t="s">
        <v>75</v>
      </c>
      <c r="C53" s="4">
        <v>118227.14</v>
      </c>
    </row>
    <row r="54" spans="1:3" x14ac:dyDescent="0.3">
      <c r="A54" t="s">
        <v>5133</v>
      </c>
      <c r="B54" t="s">
        <v>63</v>
      </c>
      <c r="C54" s="4">
        <v>137169.62</v>
      </c>
    </row>
    <row r="55" spans="1:3" x14ac:dyDescent="0.3">
      <c r="A55" t="s">
        <v>5133</v>
      </c>
      <c r="B55" t="s">
        <v>82</v>
      </c>
      <c r="C55" s="4">
        <v>81932.570000000007</v>
      </c>
    </row>
    <row r="56" spans="1:3" x14ac:dyDescent="0.3">
      <c r="A56" t="s">
        <v>5133</v>
      </c>
      <c r="B56" t="s">
        <v>70</v>
      </c>
      <c r="C56" s="4">
        <v>103315.22</v>
      </c>
    </row>
    <row r="57" spans="1:3" x14ac:dyDescent="0.3">
      <c r="A57" t="s">
        <v>5133</v>
      </c>
      <c r="B57" t="s">
        <v>141</v>
      </c>
      <c r="C57" s="4">
        <v>106511.79</v>
      </c>
    </row>
    <row r="58" spans="1:3" x14ac:dyDescent="0.3">
      <c r="A58" t="s">
        <v>5133</v>
      </c>
      <c r="B58" t="s">
        <v>41</v>
      </c>
      <c r="C58" s="4">
        <v>64772.43</v>
      </c>
    </row>
    <row r="59" spans="1:3" x14ac:dyDescent="0.3">
      <c r="A59" t="s">
        <v>5133</v>
      </c>
      <c r="B59" t="s">
        <v>59</v>
      </c>
      <c r="C59" s="4">
        <v>115360.41</v>
      </c>
    </row>
    <row r="60" spans="1:3" x14ac:dyDescent="0.3">
      <c r="A60" t="s">
        <v>5133</v>
      </c>
      <c r="B60" t="s">
        <v>31</v>
      </c>
      <c r="C60" s="4">
        <v>53165.74</v>
      </c>
    </row>
    <row r="61" spans="1:3" x14ac:dyDescent="0.3">
      <c r="A61" t="s">
        <v>5133</v>
      </c>
      <c r="B61" t="s">
        <v>27</v>
      </c>
      <c r="C61" s="4">
        <v>86440.48</v>
      </c>
    </row>
    <row r="62" spans="1:3" x14ac:dyDescent="0.3">
      <c r="A62" t="s">
        <v>5134</v>
      </c>
      <c r="B62" t="s">
        <v>107</v>
      </c>
      <c r="C62" s="4">
        <v>90242.42</v>
      </c>
    </row>
    <row r="63" spans="1:3" x14ac:dyDescent="0.3">
      <c r="A63" t="s">
        <v>5134</v>
      </c>
      <c r="B63" t="s">
        <v>131</v>
      </c>
      <c r="C63" s="4">
        <v>55445.13</v>
      </c>
    </row>
    <row r="64" spans="1:3" x14ac:dyDescent="0.3">
      <c r="A64" t="s">
        <v>5134</v>
      </c>
      <c r="B64" t="s">
        <v>19</v>
      </c>
      <c r="C64" s="4">
        <v>78572.33</v>
      </c>
    </row>
    <row r="65" spans="1:3" x14ac:dyDescent="0.3">
      <c r="A65" t="s">
        <v>5134</v>
      </c>
      <c r="B65" t="s">
        <v>56</v>
      </c>
      <c r="C65" s="4">
        <v>127078.52</v>
      </c>
    </row>
    <row r="66" spans="1:3" x14ac:dyDescent="0.3">
      <c r="A66" t="s">
        <v>5134</v>
      </c>
      <c r="B66" t="s">
        <v>13</v>
      </c>
      <c r="C66" s="4">
        <v>111614.56</v>
      </c>
    </row>
    <row r="67" spans="1:3" x14ac:dyDescent="0.3">
      <c r="A67" t="s">
        <v>5134</v>
      </c>
      <c r="B67" t="s">
        <v>127</v>
      </c>
      <c r="C67" s="4">
        <v>62808.22</v>
      </c>
    </row>
    <row r="68" spans="1:3" x14ac:dyDescent="0.3">
      <c r="A68" t="s">
        <v>5134</v>
      </c>
      <c r="B68" t="s">
        <v>75</v>
      </c>
      <c r="C68" s="4">
        <v>143088.74</v>
      </c>
    </row>
    <row r="69" spans="1:3" x14ac:dyDescent="0.3">
      <c r="A69" t="s">
        <v>5134</v>
      </c>
      <c r="B69" t="s">
        <v>63</v>
      </c>
      <c r="C69" s="4">
        <v>136253.98000000001</v>
      </c>
    </row>
    <row r="70" spans="1:3" x14ac:dyDescent="0.3">
      <c r="A70" t="s">
        <v>5134</v>
      </c>
      <c r="B70" t="s">
        <v>82</v>
      </c>
      <c r="C70" s="4">
        <v>53217.53</v>
      </c>
    </row>
    <row r="71" spans="1:3" x14ac:dyDescent="0.3">
      <c r="A71" t="s">
        <v>5134</v>
      </c>
      <c r="B71" t="s">
        <v>70</v>
      </c>
      <c r="C71" s="4">
        <v>78651.710000000006</v>
      </c>
    </row>
    <row r="72" spans="1:3" x14ac:dyDescent="0.3">
      <c r="A72" t="s">
        <v>5134</v>
      </c>
      <c r="B72" t="s">
        <v>141</v>
      </c>
      <c r="C72" s="4">
        <v>134054.85</v>
      </c>
    </row>
    <row r="73" spans="1:3" x14ac:dyDescent="0.3">
      <c r="A73" t="s">
        <v>5134</v>
      </c>
      <c r="B73" t="s">
        <v>41</v>
      </c>
      <c r="C73" s="4">
        <v>56546.89</v>
      </c>
    </row>
    <row r="74" spans="1:3" x14ac:dyDescent="0.3">
      <c r="A74" t="s">
        <v>5134</v>
      </c>
      <c r="B74" t="s">
        <v>59</v>
      </c>
      <c r="C74" s="4">
        <v>120293.25</v>
      </c>
    </row>
    <row r="75" spans="1:3" x14ac:dyDescent="0.3">
      <c r="A75" t="s">
        <v>5134</v>
      </c>
      <c r="B75" t="s">
        <v>31</v>
      </c>
      <c r="C75" s="4">
        <v>109356.25</v>
      </c>
    </row>
    <row r="76" spans="1:3" x14ac:dyDescent="0.3">
      <c r="A76" t="s">
        <v>5134</v>
      </c>
      <c r="B76" t="s">
        <v>27</v>
      </c>
      <c r="C76" s="4">
        <v>117138.4</v>
      </c>
    </row>
    <row r="77" spans="1:3" x14ac:dyDescent="0.3">
      <c r="A77" t="s">
        <v>5135</v>
      </c>
      <c r="B77" t="s">
        <v>107</v>
      </c>
      <c r="C77" s="4">
        <v>132131.47</v>
      </c>
    </row>
    <row r="78" spans="1:3" x14ac:dyDescent="0.3">
      <c r="A78" t="s">
        <v>5135</v>
      </c>
      <c r="B78" t="s">
        <v>131</v>
      </c>
      <c r="C78" s="4">
        <v>136562.78</v>
      </c>
    </row>
    <row r="79" spans="1:3" x14ac:dyDescent="0.3">
      <c r="A79" t="s">
        <v>5135</v>
      </c>
      <c r="B79" t="s">
        <v>19</v>
      </c>
      <c r="C79" s="4">
        <v>67771.289999999994</v>
      </c>
    </row>
    <row r="80" spans="1:3" x14ac:dyDescent="0.3">
      <c r="A80" t="s">
        <v>5135</v>
      </c>
      <c r="B80" t="s">
        <v>56</v>
      </c>
      <c r="C80" s="4">
        <v>67951.06</v>
      </c>
    </row>
    <row r="81" spans="1:3" x14ac:dyDescent="0.3">
      <c r="A81" t="s">
        <v>5135</v>
      </c>
      <c r="B81" t="s">
        <v>13</v>
      </c>
      <c r="C81" s="4">
        <v>78626.59</v>
      </c>
    </row>
    <row r="82" spans="1:3" x14ac:dyDescent="0.3">
      <c r="A82" t="s">
        <v>5135</v>
      </c>
      <c r="B82" t="s">
        <v>127</v>
      </c>
      <c r="C82" s="4">
        <v>55861.15</v>
      </c>
    </row>
    <row r="83" spans="1:3" x14ac:dyDescent="0.3">
      <c r="A83" t="s">
        <v>5135</v>
      </c>
      <c r="B83" t="s">
        <v>75</v>
      </c>
      <c r="C83" s="4">
        <v>77473.03</v>
      </c>
    </row>
    <row r="84" spans="1:3" x14ac:dyDescent="0.3">
      <c r="A84" t="s">
        <v>5135</v>
      </c>
      <c r="B84" t="s">
        <v>63</v>
      </c>
      <c r="C84" s="4">
        <v>141364.26</v>
      </c>
    </row>
    <row r="85" spans="1:3" x14ac:dyDescent="0.3">
      <c r="A85" t="s">
        <v>5135</v>
      </c>
      <c r="B85" t="s">
        <v>82</v>
      </c>
      <c r="C85" s="4">
        <v>93995.56</v>
      </c>
    </row>
    <row r="86" spans="1:3" x14ac:dyDescent="0.3">
      <c r="A86" t="s">
        <v>5135</v>
      </c>
      <c r="B86" t="s">
        <v>70</v>
      </c>
      <c r="C86" s="4">
        <v>50667.86</v>
      </c>
    </row>
    <row r="87" spans="1:3" x14ac:dyDescent="0.3">
      <c r="A87" t="s">
        <v>5135</v>
      </c>
      <c r="B87" t="s">
        <v>141</v>
      </c>
      <c r="C87" s="4">
        <v>83744.160000000003</v>
      </c>
    </row>
    <row r="88" spans="1:3" x14ac:dyDescent="0.3">
      <c r="A88" t="s">
        <v>5135</v>
      </c>
      <c r="B88" t="s">
        <v>41</v>
      </c>
      <c r="C88" s="4">
        <v>75255.88</v>
      </c>
    </row>
    <row r="89" spans="1:3" x14ac:dyDescent="0.3">
      <c r="A89" t="s">
        <v>5135</v>
      </c>
      <c r="B89" t="s">
        <v>59</v>
      </c>
      <c r="C89" s="4">
        <v>112401.25</v>
      </c>
    </row>
    <row r="90" spans="1:3" x14ac:dyDescent="0.3">
      <c r="A90" t="s">
        <v>5135</v>
      </c>
      <c r="B90" t="s">
        <v>31</v>
      </c>
      <c r="C90" s="4">
        <v>104226.51</v>
      </c>
    </row>
    <row r="91" spans="1:3" x14ac:dyDescent="0.3">
      <c r="A91" t="s">
        <v>5135</v>
      </c>
      <c r="B91" t="s">
        <v>27</v>
      </c>
      <c r="C91" s="4">
        <v>52017.26</v>
      </c>
    </row>
    <row r="92" spans="1:3" x14ac:dyDescent="0.3">
      <c r="A92" t="s">
        <v>5136</v>
      </c>
      <c r="B92" t="s">
        <v>107</v>
      </c>
      <c r="C92" s="4">
        <v>73257.94</v>
      </c>
    </row>
    <row r="93" spans="1:3" x14ac:dyDescent="0.3">
      <c r="A93" t="s">
        <v>5136</v>
      </c>
      <c r="B93" t="s">
        <v>131</v>
      </c>
      <c r="C93" s="4">
        <v>69479.289999999994</v>
      </c>
    </row>
    <row r="94" spans="1:3" x14ac:dyDescent="0.3">
      <c r="A94" t="s">
        <v>5136</v>
      </c>
      <c r="B94" t="s">
        <v>19</v>
      </c>
      <c r="C94" s="4">
        <v>107749.6</v>
      </c>
    </row>
    <row r="95" spans="1:3" x14ac:dyDescent="0.3">
      <c r="A95" t="s">
        <v>5136</v>
      </c>
      <c r="B95" t="s">
        <v>56</v>
      </c>
      <c r="C95" s="4">
        <v>78160</v>
      </c>
    </row>
    <row r="96" spans="1:3" x14ac:dyDescent="0.3">
      <c r="A96" t="s">
        <v>5136</v>
      </c>
      <c r="B96" t="s">
        <v>13</v>
      </c>
      <c r="C96" s="4">
        <v>122224.16</v>
      </c>
    </row>
    <row r="97" spans="1:3" x14ac:dyDescent="0.3">
      <c r="A97" t="s">
        <v>5136</v>
      </c>
      <c r="B97" t="s">
        <v>127</v>
      </c>
      <c r="C97" s="4">
        <v>70265.66</v>
      </c>
    </row>
    <row r="98" spans="1:3" x14ac:dyDescent="0.3">
      <c r="A98" t="s">
        <v>5136</v>
      </c>
      <c r="B98" t="s">
        <v>75</v>
      </c>
      <c r="C98" s="4">
        <v>105616.22</v>
      </c>
    </row>
    <row r="99" spans="1:3" x14ac:dyDescent="0.3">
      <c r="A99" t="s">
        <v>5136</v>
      </c>
      <c r="B99" t="s">
        <v>63</v>
      </c>
      <c r="C99" s="4">
        <v>140605.23000000001</v>
      </c>
    </row>
    <row r="100" spans="1:3" x14ac:dyDescent="0.3">
      <c r="A100" t="s">
        <v>5136</v>
      </c>
      <c r="B100" t="s">
        <v>82</v>
      </c>
      <c r="C100" s="4">
        <v>142481.32</v>
      </c>
    </row>
    <row r="101" spans="1:3" x14ac:dyDescent="0.3">
      <c r="A101" t="s">
        <v>5136</v>
      </c>
      <c r="B101" t="s">
        <v>70</v>
      </c>
      <c r="C101" s="4">
        <v>108722.25</v>
      </c>
    </row>
    <row r="102" spans="1:3" x14ac:dyDescent="0.3">
      <c r="A102" t="s">
        <v>5136</v>
      </c>
      <c r="B102" t="s">
        <v>141</v>
      </c>
      <c r="C102" s="4">
        <v>89209.71</v>
      </c>
    </row>
    <row r="103" spans="1:3" x14ac:dyDescent="0.3">
      <c r="A103" t="s">
        <v>5136</v>
      </c>
      <c r="B103" t="s">
        <v>41</v>
      </c>
      <c r="C103" s="4">
        <v>129710.76</v>
      </c>
    </row>
    <row r="104" spans="1:3" x14ac:dyDescent="0.3">
      <c r="A104" t="s">
        <v>5136</v>
      </c>
      <c r="B104" t="s">
        <v>59</v>
      </c>
      <c r="C104" s="4">
        <v>133435.84</v>
      </c>
    </row>
    <row r="105" spans="1:3" x14ac:dyDescent="0.3">
      <c r="A105" t="s">
        <v>5136</v>
      </c>
      <c r="B105" t="s">
        <v>31</v>
      </c>
      <c r="C105" s="4">
        <v>55771.23</v>
      </c>
    </row>
    <row r="106" spans="1:3" x14ac:dyDescent="0.3">
      <c r="A106" t="s">
        <v>5136</v>
      </c>
      <c r="B106" t="s">
        <v>27</v>
      </c>
      <c r="C106" s="4">
        <v>83091.95</v>
      </c>
    </row>
    <row r="107" spans="1:3" x14ac:dyDescent="0.3">
      <c r="A107" t="s">
        <v>5137</v>
      </c>
      <c r="B107" t="s">
        <v>107</v>
      </c>
      <c r="C107" s="4">
        <v>68959.83</v>
      </c>
    </row>
    <row r="108" spans="1:3" x14ac:dyDescent="0.3">
      <c r="A108" t="s">
        <v>5137</v>
      </c>
      <c r="B108" t="s">
        <v>131</v>
      </c>
      <c r="C108" s="4">
        <v>99129.22</v>
      </c>
    </row>
    <row r="109" spans="1:3" x14ac:dyDescent="0.3">
      <c r="A109" t="s">
        <v>5137</v>
      </c>
      <c r="B109" t="s">
        <v>19</v>
      </c>
      <c r="C109" s="4">
        <v>82874.52</v>
      </c>
    </row>
    <row r="110" spans="1:3" x14ac:dyDescent="0.3">
      <c r="A110" t="s">
        <v>5137</v>
      </c>
      <c r="B110" t="s">
        <v>56</v>
      </c>
      <c r="C110" s="4">
        <v>115976.62</v>
      </c>
    </row>
    <row r="111" spans="1:3" x14ac:dyDescent="0.3">
      <c r="A111" t="s">
        <v>5137</v>
      </c>
      <c r="B111" t="s">
        <v>13</v>
      </c>
      <c r="C111" s="4">
        <v>138441.82</v>
      </c>
    </row>
    <row r="112" spans="1:3" x14ac:dyDescent="0.3">
      <c r="A112" t="s">
        <v>5137</v>
      </c>
      <c r="B112" t="s">
        <v>127</v>
      </c>
      <c r="C112" s="4">
        <v>84634.92</v>
      </c>
    </row>
    <row r="113" spans="1:3" x14ac:dyDescent="0.3">
      <c r="A113" t="s">
        <v>5137</v>
      </c>
      <c r="B113" t="s">
        <v>75</v>
      </c>
      <c r="C113" s="4">
        <v>138162.66</v>
      </c>
    </row>
    <row r="114" spans="1:3" x14ac:dyDescent="0.3">
      <c r="A114" t="s">
        <v>5137</v>
      </c>
      <c r="B114" t="s">
        <v>63</v>
      </c>
      <c r="C114" s="4">
        <v>113463.12</v>
      </c>
    </row>
    <row r="115" spans="1:3" x14ac:dyDescent="0.3">
      <c r="A115" t="s">
        <v>5137</v>
      </c>
      <c r="B115" t="s">
        <v>82</v>
      </c>
      <c r="C115" s="4">
        <v>109762.21</v>
      </c>
    </row>
    <row r="116" spans="1:3" x14ac:dyDescent="0.3">
      <c r="A116" t="s">
        <v>5137</v>
      </c>
      <c r="B116" t="s">
        <v>70</v>
      </c>
      <c r="C116" s="4">
        <v>123963.88</v>
      </c>
    </row>
    <row r="117" spans="1:3" x14ac:dyDescent="0.3">
      <c r="A117" t="s">
        <v>5137</v>
      </c>
      <c r="B117" t="s">
        <v>141</v>
      </c>
      <c r="C117" s="4">
        <v>90616.13</v>
      </c>
    </row>
    <row r="118" spans="1:3" x14ac:dyDescent="0.3">
      <c r="A118" t="s">
        <v>5137</v>
      </c>
      <c r="B118" t="s">
        <v>41</v>
      </c>
      <c r="C118" s="4">
        <v>109950.35</v>
      </c>
    </row>
    <row r="119" spans="1:3" x14ac:dyDescent="0.3">
      <c r="A119" t="s">
        <v>5137</v>
      </c>
      <c r="B119" t="s">
        <v>59</v>
      </c>
      <c r="C119" s="4">
        <v>67721.69</v>
      </c>
    </row>
    <row r="120" spans="1:3" x14ac:dyDescent="0.3">
      <c r="A120" t="s">
        <v>5137</v>
      </c>
      <c r="B120" t="s">
        <v>31</v>
      </c>
      <c r="C120" s="4">
        <v>61941.99</v>
      </c>
    </row>
    <row r="121" spans="1:3" x14ac:dyDescent="0.3">
      <c r="A121" t="s">
        <v>5137</v>
      </c>
      <c r="B121" t="s">
        <v>27</v>
      </c>
      <c r="C121" s="4">
        <v>142882.82</v>
      </c>
    </row>
    <row r="122" spans="1:3" x14ac:dyDescent="0.3">
      <c r="A122" t="s">
        <v>5138</v>
      </c>
      <c r="B122" t="s">
        <v>107</v>
      </c>
      <c r="C122" s="4">
        <v>129872.22</v>
      </c>
    </row>
    <row r="123" spans="1:3" x14ac:dyDescent="0.3">
      <c r="A123" t="s">
        <v>5138</v>
      </c>
      <c r="B123" t="s">
        <v>131</v>
      </c>
      <c r="C123" s="4">
        <v>68150.91</v>
      </c>
    </row>
    <row r="124" spans="1:3" x14ac:dyDescent="0.3">
      <c r="A124" t="s">
        <v>5138</v>
      </c>
      <c r="B124" t="s">
        <v>19</v>
      </c>
      <c r="C124" s="4">
        <v>122972.99</v>
      </c>
    </row>
    <row r="125" spans="1:3" x14ac:dyDescent="0.3">
      <c r="A125" t="s">
        <v>5138</v>
      </c>
      <c r="B125" t="s">
        <v>56</v>
      </c>
      <c r="C125" s="4">
        <v>120445.83</v>
      </c>
    </row>
    <row r="126" spans="1:3" x14ac:dyDescent="0.3">
      <c r="A126" t="s">
        <v>5138</v>
      </c>
      <c r="B126" t="s">
        <v>13</v>
      </c>
      <c r="C126" s="4">
        <v>117438.68</v>
      </c>
    </row>
    <row r="127" spans="1:3" x14ac:dyDescent="0.3">
      <c r="A127" t="s">
        <v>5138</v>
      </c>
      <c r="B127" t="s">
        <v>127</v>
      </c>
      <c r="C127" s="4">
        <v>102191.77</v>
      </c>
    </row>
    <row r="128" spans="1:3" x14ac:dyDescent="0.3">
      <c r="A128" t="s">
        <v>5138</v>
      </c>
      <c r="B128" t="s">
        <v>75</v>
      </c>
      <c r="C128" s="4">
        <v>55996.46</v>
      </c>
    </row>
    <row r="129" spans="1:3" x14ac:dyDescent="0.3">
      <c r="A129" t="s">
        <v>5138</v>
      </c>
      <c r="B129" t="s">
        <v>63</v>
      </c>
      <c r="C129" s="4">
        <v>58256.71</v>
      </c>
    </row>
    <row r="130" spans="1:3" x14ac:dyDescent="0.3">
      <c r="A130" t="s">
        <v>5138</v>
      </c>
      <c r="B130" t="s">
        <v>82</v>
      </c>
      <c r="C130" s="4">
        <v>61493.93</v>
      </c>
    </row>
    <row r="131" spans="1:3" x14ac:dyDescent="0.3">
      <c r="A131" t="s">
        <v>5138</v>
      </c>
      <c r="B131" t="s">
        <v>70</v>
      </c>
      <c r="C131" s="4">
        <v>56381.16</v>
      </c>
    </row>
    <row r="132" spans="1:3" x14ac:dyDescent="0.3">
      <c r="A132" t="s">
        <v>5138</v>
      </c>
      <c r="B132" t="s">
        <v>141</v>
      </c>
      <c r="C132" s="4">
        <v>81243.399999999994</v>
      </c>
    </row>
    <row r="133" spans="1:3" x14ac:dyDescent="0.3">
      <c r="A133" t="s">
        <v>5138</v>
      </c>
      <c r="B133" t="s">
        <v>41</v>
      </c>
      <c r="C133" s="4">
        <v>105900.02</v>
      </c>
    </row>
    <row r="134" spans="1:3" x14ac:dyDescent="0.3">
      <c r="A134" t="s">
        <v>5138</v>
      </c>
      <c r="B134" t="s">
        <v>59</v>
      </c>
      <c r="C134" s="4">
        <v>84111.72</v>
      </c>
    </row>
    <row r="135" spans="1:3" x14ac:dyDescent="0.3">
      <c r="A135" t="s">
        <v>5138</v>
      </c>
      <c r="B135" t="s">
        <v>31</v>
      </c>
      <c r="C135" s="4">
        <v>138732.43</v>
      </c>
    </row>
    <row r="136" spans="1:3" x14ac:dyDescent="0.3">
      <c r="A136" t="s">
        <v>5138</v>
      </c>
      <c r="B136" t="s">
        <v>27</v>
      </c>
      <c r="C136" s="4">
        <v>73948.28</v>
      </c>
    </row>
    <row r="137" spans="1:3" x14ac:dyDescent="0.3">
      <c r="A137" t="s">
        <v>5139</v>
      </c>
      <c r="B137" t="s">
        <v>107</v>
      </c>
      <c r="C137" s="4">
        <v>54966.01</v>
      </c>
    </row>
    <row r="138" spans="1:3" x14ac:dyDescent="0.3">
      <c r="A138" t="s">
        <v>5139</v>
      </c>
      <c r="B138" t="s">
        <v>131</v>
      </c>
      <c r="C138" s="4">
        <v>70093.72</v>
      </c>
    </row>
    <row r="139" spans="1:3" x14ac:dyDescent="0.3">
      <c r="A139" t="s">
        <v>5139</v>
      </c>
      <c r="B139" t="s">
        <v>19</v>
      </c>
      <c r="C139" s="4">
        <v>109210.69</v>
      </c>
    </row>
    <row r="140" spans="1:3" x14ac:dyDescent="0.3">
      <c r="A140" t="s">
        <v>5139</v>
      </c>
      <c r="B140" t="s">
        <v>56</v>
      </c>
      <c r="C140" s="4">
        <v>146400.76999999999</v>
      </c>
    </row>
    <row r="141" spans="1:3" x14ac:dyDescent="0.3">
      <c r="A141" t="s">
        <v>5139</v>
      </c>
      <c r="B141" t="s">
        <v>13</v>
      </c>
      <c r="C141" s="4">
        <v>127007.67999999999</v>
      </c>
    </row>
    <row r="142" spans="1:3" x14ac:dyDescent="0.3">
      <c r="A142" t="s">
        <v>5139</v>
      </c>
      <c r="B142" t="s">
        <v>127</v>
      </c>
      <c r="C142" s="4">
        <v>110173.98</v>
      </c>
    </row>
    <row r="143" spans="1:3" x14ac:dyDescent="0.3">
      <c r="A143" t="s">
        <v>5139</v>
      </c>
      <c r="B143" t="s">
        <v>75</v>
      </c>
      <c r="C143" s="4">
        <v>57565.64</v>
      </c>
    </row>
    <row r="144" spans="1:3" x14ac:dyDescent="0.3">
      <c r="A144" t="s">
        <v>5139</v>
      </c>
      <c r="B144" t="s">
        <v>63</v>
      </c>
      <c r="C144" s="4">
        <v>56147.9</v>
      </c>
    </row>
    <row r="145" spans="1:3" x14ac:dyDescent="0.3">
      <c r="A145" t="s">
        <v>5139</v>
      </c>
      <c r="B145" t="s">
        <v>82</v>
      </c>
      <c r="C145" s="4">
        <v>117690.32</v>
      </c>
    </row>
    <row r="146" spans="1:3" x14ac:dyDescent="0.3">
      <c r="A146" t="s">
        <v>5139</v>
      </c>
      <c r="B146" t="s">
        <v>70</v>
      </c>
      <c r="C146" s="4">
        <v>104296.47</v>
      </c>
    </row>
    <row r="147" spans="1:3" x14ac:dyDescent="0.3">
      <c r="A147" t="s">
        <v>5139</v>
      </c>
      <c r="B147" t="s">
        <v>141</v>
      </c>
      <c r="C147" s="4">
        <v>149438.59</v>
      </c>
    </row>
    <row r="148" spans="1:3" x14ac:dyDescent="0.3">
      <c r="A148" t="s">
        <v>5139</v>
      </c>
      <c r="B148" t="s">
        <v>41</v>
      </c>
      <c r="C148" s="4">
        <v>97381.45</v>
      </c>
    </row>
    <row r="149" spans="1:3" x14ac:dyDescent="0.3">
      <c r="A149" t="s">
        <v>5139</v>
      </c>
      <c r="B149" t="s">
        <v>59</v>
      </c>
      <c r="C149" s="4">
        <v>148565.76000000001</v>
      </c>
    </row>
    <row r="150" spans="1:3" x14ac:dyDescent="0.3">
      <c r="A150" t="s">
        <v>5139</v>
      </c>
      <c r="B150" t="s">
        <v>31</v>
      </c>
      <c r="C150" s="4">
        <v>52377.84</v>
      </c>
    </row>
    <row r="151" spans="1:3" x14ac:dyDescent="0.3">
      <c r="A151" t="s">
        <v>5139</v>
      </c>
      <c r="B151" t="s">
        <v>27</v>
      </c>
      <c r="C151" s="4">
        <v>134043.6</v>
      </c>
    </row>
    <row r="152" spans="1:3" x14ac:dyDescent="0.3">
      <c r="A152" t="s">
        <v>5140</v>
      </c>
      <c r="B152" t="s">
        <v>107</v>
      </c>
      <c r="C152" s="4">
        <v>139076.6</v>
      </c>
    </row>
    <row r="153" spans="1:3" x14ac:dyDescent="0.3">
      <c r="A153" t="s">
        <v>5140</v>
      </c>
      <c r="B153" t="s">
        <v>131</v>
      </c>
      <c r="C153" s="4">
        <v>120857.05</v>
      </c>
    </row>
    <row r="154" spans="1:3" x14ac:dyDescent="0.3">
      <c r="A154" t="s">
        <v>5140</v>
      </c>
      <c r="B154" t="s">
        <v>19</v>
      </c>
      <c r="C154" s="4">
        <v>187588.53</v>
      </c>
    </row>
    <row r="155" spans="1:3" x14ac:dyDescent="0.3">
      <c r="A155" t="s">
        <v>5140</v>
      </c>
      <c r="B155" t="s">
        <v>56</v>
      </c>
      <c r="C155" s="4">
        <v>121764.45</v>
      </c>
    </row>
    <row r="156" spans="1:3" x14ac:dyDescent="0.3">
      <c r="A156" t="s">
        <v>5140</v>
      </c>
      <c r="B156" t="s">
        <v>13</v>
      </c>
      <c r="C156" s="4">
        <v>115196.97</v>
      </c>
    </row>
    <row r="157" spans="1:3" x14ac:dyDescent="0.3">
      <c r="A157" t="s">
        <v>5140</v>
      </c>
      <c r="B157" t="s">
        <v>127</v>
      </c>
      <c r="C157" s="4">
        <v>98519.13</v>
      </c>
    </row>
    <row r="158" spans="1:3" x14ac:dyDescent="0.3">
      <c r="A158" t="s">
        <v>5140</v>
      </c>
      <c r="B158" t="s">
        <v>75</v>
      </c>
      <c r="C158" s="4">
        <v>172266.84</v>
      </c>
    </row>
    <row r="159" spans="1:3" x14ac:dyDescent="0.3">
      <c r="A159" t="s">
        <v>5140</v>
      </c>
      <c r="B159" t="s">
        <v>63</v>
      </c>
      <c r="C159" s="4">
        <v>127608.7</v>
      </c>
    </row>
    <row r="160" spans="1:3" x14ac:dyDescent="0.3">
      <c r="A160" t="s">
        <v>5140</v>
      </c>
      <c r="B160" t="s">
        <v>82</v>
      </c>
      <c r="C160" s="4">
        <v>179863.26</v>
      </c>
    </row>
    <row r="161" spans="1:3" x14ac:dyDescent="0.3">
      <c r="A161" t="s">
        <v>5140</v>
      </c>
      <c r="B161" t="s">
        <v>70</v>
      </c>
      <c r="C161" s="4">
        <v>189308.32</v>
      </c>
    </row>
    <row r="162" spans="1:3" x14ac:dyDescent="0.3">
      <c r="A162" t="s">
        <v>5140</v>
      </c>
      <c r="B162" t="s">
        <v>141</v>
      </c>
      <c r="C162" s="4">
        <v>97573.15</v>
      </c>
    </row>
    <row r="163" spans="1:3" x14ac:dyDescent="0.3">
      <c r="A163" t="s">
        <v>5140</v>
      </c>
      <c r="B163" t="s">
        <v>41</v>
      </c>
      <c r="C163" s="4">
        <v>74284.63</v>
      </c>
    </row>
    <row r="164" spans="1:3" x14ac:dyDescent="0.3">
      <c r="A164" t="s">
        <v>5140</v>
      </c>
      <c r="B164" t="s">
        <v>59</v>
      </c>
      <c r="C164" s="4">
        <v>127818.67</v>
      </c>
    </row>
    <row r="165" spans="1:3" x14ac:dyDescent="0.3">
      <c r="A165" t="s">
        <v>5140</v>
      </c>
      <c r="B165" t="s">
        <v>31</v>
      </c>
      <c r="C165" s="4">
        <v>78271.320000000007</v>
      </c>
    </row>
    <row r="166" spans="1:3" x14ac:dyDescent="0.3">
      <c r="A166" t="s">
        <v>5140</v>
      </c>
      <c r="B166" t="s">
        <v>27</v>
      </c>
      <c r="C166" s="4">
        <v>183588.26</v>
      </c>
    </row>
    <row r="167" spans="1:3" x14ac:dyDescent="0.3">
      <c r="A167" t="s">
        <v>5141</v>
      </c>
      <c r="B167" t="s">
        <v>107</v>
      </c>
      <c r="C167" s="4">
        <v>165475.45000000001</v>
      </c>
    </row>
    <row r="168" spans="1:3" x14ac:dyDescent="0.3">
      <c r="A168" t="s">
        <v>5141</v>
      </c>
      <c r="B168" t="s">
        <v>131</v>
      </c>
      <c r="C168" s="4">
        <v>93319.8</v>
      </c>
    </row>
    <row r="169" spans="1:3" x14ac:dyDescent="0.3">
      <c r="A169" t="s">
        <v>5141</v>
      </c>
      <c r="B169" t="s">
        <v>19</v>
      </c>
      <c r="C169" s="4">
        <v>165997.6</v>
      </c>
    </row>
    <row r="170" spans="1:3" x14ac:dyDescent="0.3">
      <c r="A170" t="s">
        <v>5141</v>
      </c>
      <c r="B170" t="s">
        <v>56</v>
      </c>
      <c r="C170" s="4">
        <v>96626.34</v>
      </c>
    </row>
    <row r="171" spans="1:3" x14ac:dyDescent="0.3">
      <c r="A171" t="s">
        <v>5141</v>
      </c>
      <c r="B171" t="s">
        <v>13</v>
      </c>
      <c r="C171" s="4">
        <v>169455.94</v>
      </c>
    </row>
    <row r="172" spans="1:3" x14ac:dyDescent="0.3">
      <c r="A172" t="s">
        <v>5141</v>
      </c>
      <c r="B172" t="s">
        <v>127</v>
      </c>
      <c r="C172" s="4">
        <v>70353.179999999993</v>
      </c>
    </row>
    <row r="173" spans="1:3" x14ac:dyDescent="0.3">
      <c r="A173" t="s">
        <v>5141</v>
      </c>
      <c r="B173" t="s">
        <v>75</v>
      </c>
      <c r="C173" s="4">
        <v>109528.85</v>
      </c>
    </row>
    <row r="174" spans="1:3" x14ac:dyDescent="0.3">
      <c r="A174" t="s">
        <v>5141</v>
      </c>
      <c r="B174" t="s">
        <v>63</v>
      </c>
      <c r="C174" s="4">
        <v>68641.17</v>
      </c>
    </row>
    <row r="175" spans="1:3" x14ac:dyDescent="0.3">
      <c r="A175" t="s">
        <v>5141</v>
      </c>
      <c r="B175" t="s">
        <v>82</v>
      </c>
      <c r="C175" s="4">
        <v>72291.91</v>
      </c>
    </row>
    <row r="176" spans="1:3" x14ac:dyDescent="0.3">
      <c r="A176" t="s">
        <v>5141</v>
      </c>
      <c r="B176" t="s">
        <v>70</v>
      </c>
      <c r="C176" s="4">
        <v>111467.73</v>
      </c>
    </row>
    <row r="177" spans="1:3" x14ac:dyDescent="0.3">
      <c r="A177" t="s">
        <v>5141</v>
      </c>
      <c r="B177" t="s">
        <v>141</v>
      </c>
      <c r="C177" s="4">
        <v>69533.75</v>
      </c>
    </row>
    <row r="178" spans="1:3" x14ac:dyDescent="0.3">
      <c r="A178" t="s">
        <v>5141</v>
      </c>
      <c r="B178" t="s">
        <v>41</v>
      </c>
      <c r="C178" s="4">
        <v>149208.99</v>
      </c>
    </row>
    <row r="179" spans="1:3" x14ac:dyDescent="0.3">
      <c r="A179" t="s">
        <v>5141</v>
      </c>
      <c r="B179" t="s">
        <v>59</v>
      </c>
      <c r="C179" s="4">
        <v>104927.05</v>
      </c>
    </row>
    <row r="180" spans="1:3" x14ac:dyDescent="0.3">
      <c r="A180" t="s">
        <v>5141</v>
      </c>
      <c r="B180" t="s">
        <v>31</v>
      </c>
      <c r="C180" s="4">
        <v>164838.6</v>
      </c>
    </row>
    <row r="181" spans="1:3" x14ac:dyDescent="0.3">
      <c r="A181" t="s">
        <v>5141</v>
      </c>
      <c r="B181" t="s">
        <v>27</v>
      </c>
      <c r="C181" s="4">
        <v>108167.59</v>
      </c>
    </row>
    <row r="182" spans="1:3" x14ac:dyDescent="0.3">
      <c r="A182" t="s">
        <v>5142</v>
      </c>
      <c r="B182" t="s">
        <v>107</v>
      </c>
      <c r="C182" s="4">
        <v>122297.32</v>
      </c>
    </row>
    <row r="183" spans="1:3" x14ac:dyDescent="0.3">
      <c r="A183" t="s">
        <v>5142</v>
      </c>
      <c r="B183" t="s">
        <v>131</v>
      </c>
      <c r="C183" s="4">
        <v>126009.54</v>
      </c>
    </row>
    <row r="184" spans="1:3" x14ac:dyDescent="0.3">
      <c r="A184" t="s">
        <v>5142</v>
      </c>
      <c r="B184" t="s">
        <v>19</v>
      </c>
      <c r="C184" s="4">
        <v>69123.05</v>
      </c>
    </row>
    <row r="185" spans="1:3" x14ac:dyDescent="0.3">
      <c r="A185" t="s">
        <v>5142</v>
      </c>
      <c r="B185" t="s">
        <v>56</v>
      </c>
      <c r="C185" s="4">
        <v>123023.02</v>
      </c>
    </row>
    <row r="186" spans="1:3" x14ac:dyDescent="0.3">
      <c r="A186" t="s">
        <v>5142</v>
      </c>
      <c r="B186" t="s">
        <v>13</v>
      </c>
      <c r="C186" s="4">
        <v>87950.12</v>
      </c>
    </row>
    <row r="187" spans="1:3" x14ac:dyDescent="0.3">
      <c r="A187" t="s">
        <v>5142</v>
      </c>
      <c r="B187" t="s">
        <v>127</v>
      </c>
      <c r="C187" s="4">
        <v>104629.58</v>
      </c>
    </row>
    <row r="188" spans="1:3" x14ac:dyDescent="0.3">
      <c r="A188" t="s">
        <v>5142</v>
      </c>
      <c r="B188" t="s">
        <v>75</v>
      </c>
      <c r="C188" s="4">
        <v>75979.009999999995</v>
      </c>
    </row>
    <row r="189" spans="1:3" x14ac:dyDescent="0.3">
      <c r="A189" t="s">
        <v>5142</v>
      </c>
      <c r="B189" t="s">
        <v>63</v>
      </c>
      <c r="C189" s="4">
        <v>87402.68</v>
      </c>
    </row>
    <row r="190" spans="1:3" x14ac:dyDescent="0.3">
      <c r="A190" t="s">
        <v>5142</v>
      </c>
      <c r="B190" t="s">
        <v>82</v>
      </c>
      <c r="C190" s="4">
        <v>50628.22</v>
      </c>
    </row>
    <row r="191" spans="1:3" x14ac:dyDescent="0.3">
      <c r="A191" t="s">
        <v>5142</v>
      </c>
      <c r="B191" t="s">
        <v>70</v>
      </c>
      <c r="C191" s="4">
        <v>122715.36</v>
      </c>
    </row>
    <row r="192" spans="1:3" x14ac:dyDescent="0.3">
      <c r="A192" t="s">
        <v>5142</v>
      </c>
      <c r="B192" t="s">
        <v>141</v>
      </c>
      <c r="C192" s="4">
        <v>91171.93</v>
      </c>
    </row>
    <row r="193" spans="1:3" x14ac:dyDescent="0.3">
      <c r="A193" t="s">
        <v>5142</v>
      </c>
      <c r="B193" t="s">
        <v>41</v>
      </c>
      <c r="C193" s="4">
        <v>112661.03</v>
      </c>
    </row>
    <row r="194" spans="1:3" x14ac:dyDescent="0.3">
      <c r="A194" t="s">
        <v>5142</v>
      </c>
      <c r="B194" t="s">
        <v>59</v>
      </c>
      <c r="C194" s="4">
        <v>74792.479999999996</v>
      </c>
    </row>
    <row r="195" spans="1:3" x14ac:dyDescent="0.3">
      <c r="A195" t="s">
        <v>5142</v>
      </c>
      <c r="B195" t="s">
        <v>31</v>
      </c>
      <c r="C195" s="4">
        <v>109056.96000000001</v>
      </c>
    </row>
    <row r="196" spans="1:3" x14ac:dyDescent="0.3">
      <c r="A196" t="s">
        <v>5142</v>
      </c>
      <c r="B196" t="s">
        <v>27</v>
      </c>
      <c r="C196" s="4">
        <v>104823.64</v>
      </c>
    </row>
    <row r="197" spans="1:3" x14ac:dyDescent="0.3">
      <c r="A197" t="s">
        <v>5143</v>
      </c>
      <c r="B197" t="s">
        <v>107</v>
      </c>
      <c r="C197" s="4">
        <v>54485.46</v>
      </c>
    </row>
    <row r="198" spans="1:3" x14ac:dyDescent="0.3">
      <c r="A198" t="s">
        <v>5143</v>
      </c>
      <c r="B198" t="s">
        <v>131</v>
      </c>
      <c r="C198" s="4">
        <v>90860.27</v>
      </c>
    </row>
    <row r="199" spans="1:3" x14ac:dyDescent="0.3">
      <c r="A199" t="s">
        <v>5143</v>
      </c>
      <c r="B199" t="s">
        <v>19</v>
      </c>
      <c r="C199" s="4">
        <v>110211.16</v>
      </c>
    </row>
    <row r="200" spans="1:3" x14ac:dyDescent="0.3">
      <c r="A200" t="s">
        <v>5143</v>
      </c>
      <c r="B200" t="s">
        <v>56</v>
      </c>
      <c r="C200" s="4">
        <v>46788.31</v>
      </c>
    </row>
    <row r="201" spans="1:3" x14ac:dyDescent="0.3">
      <c r="A201" t="s">
        <v>5143</v>
      </c>
      <c r="B201" t="s">
        <v>13</v>
      </c>
      <c r="C201" s="4">
        <v>107303.27</v>
      </c>
    </row>
    <row r="202" spans="1:3" x14ac:dyDescent="0.3">
      <c r="A202" t="s">
        <v>5143</v>
      </c>
      <c r="B202" t="s">
        <v>127</v>
      </c>
      <c r="C202" s="4">
        <v>121803.4</v>
      </c>
    </row>
    <row r="203" spans="1:3" x14ac:dyDescent="0.3">
      <c r="A203" t="s">
        <v>5143</v>
      </c>
      <c r="B203" t="s">
        <v>75</v>
      </c>
      <c r="C203" s="4">
        <v>124282.42</v>
      </c>
    </row>
    <row r="204" spans="1:3" x14ac:dyDescent="0.3">
      <c r="A204" t="s">
        <v>5143</v>
      </c>
      <c r="B204" t="s">
        <v>63</v>
      </c>
      <c r="C204" s="4">
        <v>90079.42</v>
      </c>
    </row>
    <row r="205" spans="1:3" x14ac:dyDescent="0.3">
      <c r="A205" t="s">
        <v>5143</v>
      </c>
      <c r="B205" t="s">
        <v>82</v>
      </c>
      <c r="C205" s="4">
        <v>123507.25</v>
      </c>
    </row>
    <row r="206" spans="1:3" x14ac:dyDescent="0.3">
      <c r="A206" t="s">
        <v>5143</v>
      </c>
      <c r="B206" t="s">
        <v>70</v>
      </c>
      <c r="C206" s="4">
        <v>87199.31</v>
      </c>
    </row>
    <row r="207" spans="1:3" x14ac:dyDescent="0.3">
      <c r="A207" t="s">
        <v>5143</v>
      </c>
      <c r="B207" t="s">
        <v>141</v>
      </c>
      <c r="C207" s="4">
        <v>45775.44</v>
      </c>
    </row>
    <row r="208" spans="1:3" x14ac:dyDescent="0.3">
      <c r="A208" t="s">
        <v>5143</v>
      </c>
      <c r="B208" t="s">
        <v>41</v>
      </c>
      <c r="C208" s="4">
        <v>74880.69</v>
      </c>
    </row>
    <row r="209" spans="1:3" x14ac:dyDescent="0.3">
      <c r="A209" t="s">
        <v>5143</v>
      </c>
      <c r="B209" t="s">
        <v>59</v>
      </c>
      <c r="C209" s="4">
        <v>62058.32</v>
      </c>
    </row>
    <row r="210" spans="1:3" x14ac:dyDescent="0.3">
      <c r="A210" t="s">
        <v>5143</v>
      </c>
      <c r="B210" t="s">
        <v>31</v>
      </c>
      <c r="C210" s="4">
        <v>72029.66</v>
      </c>
    </row>
    <row r="211" spans="1:3" x14ac:dyDescent="0.3">
      <c r="A211" t="s">
        <v>5143</v>
      </c>
      <c r="B211" t="s">
        <v>27</v>
      </c>
      <c r="C211" s="4">
        <v>61000.31</v>
      </c>
    </row>
    <row r="212" spans="1:3" x14ac:dyDescent="0.3">
      <c r="A212" t="s">
        <v>5144</v>
      </c>
      <c r="B212" t="s">
        <v>107</v>
      </c>
      <c r="C212" s="4">
        <v>53611.81</v>
      </c>
    </row>
    <row r="213" spans="1:3" x14ac:dyDescent="0.3">
      <c r="A213" t="s">
        <v>5144</v>
      </c>
      <c r="B213" t="s">
        <v>131</v>
      </c>
      <c r="C213" s="4">
        <v>139832.10999999999</v>
      </c>
    </row>
    <row r="214" spans="1:3" x14ac:dyDescent="0.3">
      <c r="A214" t="s">
        <v>5144</v>
      </c>
      <c r="B214" t="s">
        <v>19</v>
      </c>
      <c r="C214" s="4">
        <v>147354.25</v>
      </c>
    </row>
    <row r="215" spans="1:3" x14ac:dyDescent="0.3">
      <c r="A215" t="s">
        <v>5144</v>
      </c>
      <c r="B215" t="s">
        <v>56</v>
      </c>
      <c r="C215" s="4">
        <v>71208.94</v>
      </c>
    </row>
    <row r="216" spans="1:3" x14ac:dyDescent="0.3">
      <c r="A216" t="s">
        <v>5144</v>
      </c>
      <c r="B216" t="s">
        <v>13</v>
      </c>
      <c r="C216" s="4">
        <v>76364.08</v>
      </c>
    </row>
    <row r="217" spans="1:3" x14ac:dyDescent="0.3">
      <c r="A217" t="s">
        <v>5144</v>
      </c>
      <c r="B217" t="s">
        <v>127</v>
      </c>
      <c r="C217" s="4">
        <v>115950.13</v>
      </c>
    </row>
    <row r="218" spans="1:3" x14ac:dyDescent="0.3">
      <c r="A218" t="s">
        <v>5144</v>
      </c>
      <c r="B218" t="s">
        <v>75</v>
      </c>
      <c r="C218" s="4">
        <v>143646.34</v>
      </c>
    </row>
    <row r="219" spans="1:3" x14ac:dyDescent="0.3">
      <c r="A219" t="s">
        <v>5144</v>
      </c>
      <c r="B219" t="s">
        <v>63</v>
      </c>
      <c r="C219" s="4">
        <v>109988.59</v>
      </c>
    </row>
    <row r="220" spans="1:3" x14ac:dyDescent="0.3">
      <c r="A220" t="s">
        <v>5144</v>
      </c>
      <c r="B220" t="s">
        <v>82</v>
      </c>
      <c r="C220" s="4">
        <v>51922.67</v>
      </c>
    </row>
    <row r="221" spans="1:3" x14ac:dyDescent="0.3">
      <c r="A221" t="s">
        <v>5144</v>
      </c>
      <c r="B221" t="s">
        <v>70</v>
      </c>
      <c r="C221" s="4">
        <v>136519.38</v>
      </c>
    </row>
    <row r="222" spans="1:3" x14ac:dyDescent="0.3">
      <c r="A222" t="s">
        <v>5144</v>
      </c>
      <c r="B222" t="s">
        <v>141</v>
      </c>
      <c r="C222" s="4">
        <v>70859.100000000006</v>
      </c>
    </row>
    <row r="223" spans="1:3" x14ac:dyDescent="0.3">
      <c r="A223" t="s">
        <v>5144</v>
      </c>
      <c r="B223" t="s">
        <v>41</v>
      </c>
      <c r="C223" s="4">
        <v>141994.14000000001</v>
      </c>
    </row>
    <row r="224" spans="1:3" x14ac:dyDescent="0.3">
      <c r="A224" t="s">
        <v>5144</v>
      </c>
      <c r="B224" t="s">
        <v>59</v>
      </c>
      <c r="C224" s="4">
        <v>138268.01</v>
      </c>
    </row>
    <row r="225" spans="1:3" x14ac:dyDescent="0.3">
      <c r="A225" t="s">
        <v>5144</v>
      </c>
      <c r="B225" t="s">
        <v>31</v>
      </c>
      <c r="C225" s="4">
        <v>113081.06</v>
      </c>
    </row>
    <row r="226" spans="1:3" x14ac:dyDescent="0.3">
      <c r="A226" t="s">
        <v>5144</v>
      </c>
      <c r="B226" t="s">
        <v>27</v>
      </c>
      <c r="C226" s="4">
        <v>147767.62</v>
      </c>
    </row>
    <row r="227" spans="1:3" x14ac:dyDescent="0.3">
      <c r="A227" t="s">
        <v>5145</v>
      </c>
      <c r="B227" t="s">
        <v>107</v>
      </c>
      <c r="C227" s="4">
        <v>126719.37</v>
      </c>
    </row>
    <row r="228" spans="1:3" x14ac:dyDescent="0.3">
      <c r="A228" t="s">
        <v>5145</v>
      </c>
      <c r="B228" t="s">
        <v>131</v>
      </c>
      <c r="C228" s="4">
        <v>147421.24</v>
      </c>
    </row>
    <row r="229" spans="1:3" x14ac:dyDescent="0.3">
      <c r="A229" t="s">
        <v>5145</v>
      </c>
      <c r="B229" t="s">
        <v>19</v>
      </c>
      <c r="C229" s="4">
        <v>133271.67000000001</v>
      </c>
    </row>
    <row r="230" spans="1:3" x14ac:dyDescent="0.3">
      <c r="A230" t="s">
        <v>5145</v>
      </c>
      <c r="B230" t="s">
        <v>56</v>
      </c>
      <c r="C230" s="4">
        <v>71654.17</v>
      </c>
    </row>
    <row r="231" spans="1:3" x14ac:dyDescent="0.3">
      <c r="A231" t="s">
        <v>5145</v>
      </c>
      <c r="B231" t="s">
        <v>13</v>
      </c>
      <c r="C231" s="4">
        <v>62975</v>
      </c>
    </row>
    <row r="232" spans="1:3" x14ac:dyDescent="0.3">
      <c r="A232" t="s">
        <v>5145</v>
      </c>
      <c r="B232" t="s">
        <v>127</v>
      </c>
      <c r="C232" s="4">
        <v>113246.9</v>
      </c>
    </row>
    <row r="233" spans="1:3" x14ac:dyDescent="0.3">
      <c r="A233" t="s">
        <v>5145</v>
      </c>
      <c r="B233" t="s">
        <v>75</v>
      </c>
      <c r="C233" s="4">
        <v>116112.36</v>
      </c>
    </row>
    <row r="234" spans="1:3" x14ac:dyDescent="0.3">
      <c r="A234" t="s">
        <v>5145</v>
      </c>
      <c r="B234" t="s">
        <v>63</v>
      </c>
      <c r="C234" s="4">
        <v>78634.38</v>
      </c>
    </row>
    <row r="235" spans="1:3" x14ac:dyDescent="0.3">
      <c r="A235" t="s">
        <v>5145</v>
      </c>
      <c r="B235" t="s">
        <v>82</v>
      </c>
      <c r="C235" s="4">
        <v>128829.97</v>
      </c>
    </row>
    <row r="236" spans="1:3" x14ac:dyDescent="0.3">
      <c r="A236" t="s">
        <v>5145</v>
      </c>
      <c r="B236" t="s">
        <v>70</v>
      </c>
      <c r="C236" s="4">
        <v>73884.899999999994</v>
      </c>
    </row>
    <row r="237" spans="1:3" x14ac:dyDescent="0.3">
      <c r="A237" t="s">
        <v>5145</v>
      </c>
      <c r="B237" t="s">
        <v>141</v>
      </c>
      <c r="C237" s="4">
        <v>106398.99</v>
      </c>
    </row>
    <row r="238" spans="1:3" x14ac:dyDescent="0.3">
      <c r="A238" t="s">
        <v>5145</v>
      </c>
      <c r="B238" t="s">
        <v>41</v>
      </c>
      <c r="C238" s="4">
        <v>58663.29</v>
      </c>
    </row>
    <row r="239" spans="1:3" x14ac:dyDescent="0.3">
      <c r="A239" t="s">
        <v>5145</v>
      </c>
      <c r="B239" t="s">
        <v>59</v>
      </c>
      <c r="C239" s="4">
        <v>137071.39000000001</v>
      </c>
    </row>
    <row r="240" spans="1:3" x14ac:dyDescent="0.3">
      <c r="A240" t="s">
        <v>5145</v>
      </c>
      <c r="B240" t="s">
        <v>31</v>
      </c>
      <c r="C240" s="4">
        <v>90643.58</v>
      </c>
    </row>
    <row r="241" spans="1:3" x14ac:dyDescent="0.3">
      <c r="A241" t="s">
        <v>5145</v>
      </c>
      <c r="B241" t="s">
        <v>27</v>
      </c>
      <c r="C241" s="4">
        <v>68831.45</v>
      </c>
    </row>
    <row r="242" spans="1:3" x14ac:dyDescent="0.3">
      <c r="A242" t="s">
        <v>5146</v>
      </c>
      <c r="B242" t="s">
        <v>107</v>
      </c>
      <c r="C242" s="4">
        <v>84612.44</v>
      </c>
    </row>
    <row r="243" spans="1:3" x14ac:dyDescent="0.3">
      <c r="A243" t="s">
        <v>5146</v>
      </c>
      <c r="B243" t="s">
        <v>131</v>
      </c>
      <c r="C243" s="4">
        <v>110498.18</v>
      </c>
    </row>
    <row r="244" spans="1:3" x14ac:dyDescent="0.3">
      <c r="A244" t="s">
        <v>5146</v>
      </c>
      <c r="B244" t="s">
        <v>19</v>
      </c>
      <c r="C244" s="4">
        <v>51542.96</v>
      </c>
    </row>
    <row r="245" spans="1:3" x14ac:dyDescent="0.3">
      <c r="A245" t="s">
        <v>5146</v>
      </c>
      <c r="B245" t="s">
        <v>56</v>
      </c>
      <c r="C245" s="4">
        <v>130550.47</v>
      </c>
    </row>
    <row r="246" spans="1:3" x14ac:dyDescent="0.3">
      <c r="A246" t="s">
        <v>5146</v>
      </c>
      <c r="B246" t="s">
        <v>13</v>
      </c>
      <c r="C246" s="4">
        <v>102176.29</v>
      </c>
    </row>
    <row r="247" spans="1:3" x14ac:dyDescent="0.3">
      <c r="A247" t="s">
        <v>5146</v>
      </c>
      <c r="B247" t="s">
        <v>127</v>
      </c>
      <c r="C247" s="4">
        <v>54304.92</v>
      </c>
    </row>
    <row r="248" spans="1:3" x14ac:dyDescent="0.3">
      <c r="A248" t="s">
        <v>5146</v>
      </c>
      <c r="B248" t="s">
        <v>75</v>
      </c>
      <c r="C248" s="4">
        <v>143811.37</v>
      </c>
    </row>
    <row r="249" spans="1:3" x14ac:dyDescent="0.3">
      <c r="A249" t="s">
        <v>5146</v>
      </c>
      <c r="B249" t="s">
        <v>63</v>
      </c>
      <c r="C249" s="4">
        <v>58982.58</v>
      </c>
    </row>
    <row r="250" spans="1:3" x14ac:dyDescent="0.3">
      <c r="A250" t="s">
        <v>5146</v>
      </c>
      <c r="B250" t="s">
        <v>82</v>
      </c>
      <c r="C250" s="4">
        <v>104232.05</v>
      </c>
    </row>
    <row r="251" spans="1:3" x14ac:dyDescent="0.3">
      <c r="A251" t="s">
        <v>5146</v>
      </c>
      <c r="B251" t="s">
        <v>70</v>
      </c>
      <c r="C251" s="4">
        <v>51218.46</v>
      </c>
    </row>
    <row r="252" spans="1:3" x14ac:dyDescent="0.3">
      <c r="A252" t="s">
        <v>5146</v>
      </c>
      <c r="B252" t="s">
        <v>141</v>
      </c>
      <c r="C252" s="4">
        <v>76399.210000000006</v>
      </c>
    </row>
    <row r="253" spans="1:3" x14ac:dyDescent="0.3">
      <c r="A253" t="s">
        <v>5146</v>
      </c>
      <c r="B253" t="s">
        <v>41</v>
      </c>
      <c r="C253" s="4">
        <v>71715.59</v>
      </c>
    </row>
    <row r="254" spans="1:3" x14ac:dyDescent="0.3">
      <c r="A254" t="s">
        <v>5146</v>
      </c>
      <c r="B254" t="s">
        <v>59</v>
      </c>
      <c r="C254" s="4">
        <v>84552.38</v>
      </c>
    </row>
    <row r="255" spans="1:3" x14ac:dyDescent="0.3">
      <c r="A255" t="s">
        <v>5146</v>
      </c>
      <c r="B255" t="s">
        <v>31</v>
      </c>
      <c r="C255" s="4">
        <v>85425.57</v>
      </c>
    </row>
    <row r="256" spans="1:3" x14ac:dyDescent="0.3">
      <c r="A256" t="s">
        <v>5146</v>
      </c>
      <c r="B256" t="s">
        <v>27</v>
      </c>
      <c r="C256" s="4">
        <v>92188.08</v>
      </c>
    </row>
    <row r="257" spans="1:3" x14ac:dyDescent="0.3">
      <c r="A257" t="s">
        <v>5147</v>
      </c>
      <c r="B257" t="s">
        <v>107</v>
      </c>
      <c r="C257" s="4">
        <v>105434.1</v>
      </c>
    </row>
    <row r="258" spans="1:3" x14ac:dyDescent="0.3">
      <c r="A258" t="s">
        <v>5147</v>
      </c>
      <c r="B258" t="s">
        <v>131</v>
      </c>
      <c r="C258" s="4">
        <v>120365.59</v>
      </c>
    </row>
    <row r="259" spans="1:3" x14ac:dyDescent="0.3">
      <c r="A259" t="s">
        <v>5147</v>
      </c>
      <c r="B259" t="s">
        <v>19</v>
      </c>
      <c r="C259" s="4">
        <v>144899.99</v>
      </c>
    </row>
    <row r="260" spans="1:3" x14ac:dyDescent="0.3">
      <c r="A260" t="s">
        <v>5147</v>
      </c>
      <c r="B260" t="s">
        <v>56</v>
      </c>
      <c r="C260" s="4">
        <v>80603.14</v>
      </c>
    </row>
    <row r="261" spans="1:3" x14ac:dyDescent="0.3">
      <c r="A261" t="s">
        <v>5147</v>
      </c>
      <c r="B261" t="s">
        <v>13</v>
      </c>
      <c r="C261" s="4">
        <v>133083.4</v>
      </c>
    </row>
    <row r="262" spans="1:3" x14ac:dyDescent="0.3">
      <c r="A262" t="s">
        <v>5147</v>
      </c>
      <c r="B262" t="s">
        <v>127</v>
      </c>
      <c r="C262" s="4">
        <v>73685.88</v>
      </c>
    </row>
    <row r="263" spans="1:3" x14ac:dyDescent="0.3">
      <c r="A263" t="s">
        <v>5147</v>
      </c>
      <c r="B263" t="s">
        <v>75</v>
      </c>
      <c r="C263" s="4">
        <v>120311.07</v>
      </c>
    </row>
    <row r="264" spans="1:3" x14ac:dyDescent="0.3">
      <c r="A264" t="s">
        <v>5147</v>
      </c>
      <c r="B264" t="s">
        <v>63</v>
      </c>
      <c r="C264" s="4">
        <v>55663.07</v>
      </c>
    </row>
    <row r="265" spans="1:3" x14ac:dyDescent="0.3">
      <c r="A265" t="s">
        <v>5147</v>
      </c>
      <c r="B265" t="s">
        <v>82</v>
      </c>
      <c r="C265" s="4">
        <v>107200.77</v>
      </c>
    </row>
    <row r="266" spans="1:3" x14ac:dyDescent="0.3">
      <c r="A266" t="s">
        <v>5147</v>
      </c>
      <c r="B266" t="s">
        <v>70</v>
      </c>
      <c r="C266" s="4">
        <v>105678.04</v>
      </c>
    </row>
    <row r="267" spans="1:3" x14ac:dyDescent="0.3">
      <c r="A267" t="s">
        <v>5147</v>
      </c>
      <c r="B267" t="s">
        <v>141</v>
      </c>
      <c r="C267" s="4">
        <v>59052.1</v>
      </c>
    </row>
    <row r="268" spans="1:3" x14ac:dyDescent="0.3">
      <c r="A268" t="s">
        <v>5147</v>
      </c>
      <c r="B268" t="s">
        <v>41</v>
      </c>
      <c r="C268" s="4">
        <v>136101.22</v>
      </c>
    </row>
    <row r="269" spans="1:3" x14ac:dyDescent="0.3">
      <c r="A269" t="s">
        <v>5147</v>
      </c>
      <c r="B269" t="s">
        <v>59</v>
      </c>
      <c r="C269" s="4">
        <v>54900.17</v>
      </c>
    </row>
    <row r="270" spans="1:3" x14ac:dyDescent="0.3">
      <c r="A270" t="s">
        <v>5147</v>
      </c>
      <c r="B270" t="s">
        <v>31</v>
      </c>
      <c r="C270" s="4">
        <v>121618.57</v>
      </c>
    </row>
    <row r="271" spans="1:3" x14ac:dyDescent="0.3">
      <c r="A271" t="s">
        <v>5147</v>
      </c>
      <c r="B271" t="s">
        <v>27</v>
      </c>
      <c r="C271" s="4">
        <v>145295.76</v>
      </c>
    </row>
    <row r="272" spans="1:3" x14ac:dyDescent="0.3">
      <c r="A272" t="s">
        <v>5148</v>
      </c>
      <c r="B272" t="s">
        <v>107</v>
      </c>
      <c r="C272" s="4">
        <v>82513.070000000007</v>
      </c>
    </row>
    <row r="273" spans="1:3" x14ac:dyDescent="0.3">
      <c r="A273" t="s">
        <v>5148</v>
      </c>
      <c r="B273" t="s">
        <v>131</v>
      </c>
      <c r="C273" s="4">
        <v>113525.75</v>
      </c>
    </row>
    <row r="274" spans="1:3" x14ac:dyDescent="0.3">
      <c r="A274" t="s">
        <v>5148</v>
      </c>
      <c r="B274" t="s">
        <v>19</v>
      </c>
      <c r="C274" s="4">
        <v>114997.47</v>
      </c>
    </row>
    <row r="275" spans="1:3" x14ac:dyDescent="0.3">
      <c r="A275" t="s">
        <v>5148</v>
      </c>
      <c r="B275" t="s">
        <v>56</v>
      </c>
      <c r="C275" s="4">
        <v>65850.12</v>
      </c>
    </row>
    <row r="276" spans="1:3" x14ac:dyDescent="0.3">
      <c r="A276" t="s">
        <v>5148</v>
      </c>
      <c r="B276" t="s">
        <v>13</v>
      </c>
      <c r="C276" s="4">
        <v>64670.48</v>
      </c>
    </row>
    <row r="277" spans="1:3" x14ac:dyDescent="0.3">
      <c r="A277" t="s">
        <v>5148</v>
      </c>
      <c r="B277" t="s">
        <v>127</v>
      </c>
      <c r="C277" s="4">
        <v>97758.58</v>
      </c>
    </row>
    <row r="278" spans="1:3" x14ac:dyDescent="0.3">
      <c r="A278" t="s">
        <v>5148</v>
      </c>
      <c r="B278" t="s">
        <v>75</v>
      </c>
      <c r="C278" s="4">
        <v>54306.82</v>
      </c>
    </row>
    <row r="279" spans="1:3" x14ac:dyDescent="0.3">
      <c r="A279" t="s">
        <v>5148</v>
      </c>
      <c r="B279" t="s">
        <v>63</v>
      </c>
      <c r="C279" s="4">
        <v>72698.539999999994</v>
      </c>
    </row>
    <row r="280" spans="1:3" x14ac:dyDescent="0.3">
      <c r="A280" t="s">
        <v>5148</v>
      </c>
      <c r="B280" t="s">
        <v>82</v>
      </c>
      <c r="C280" s="4">
        <v>82641.13</v>
      </c>
    </row>
    <row r="281" spans="1:3" x14ac:dyDescent="0.3">
      <c r="A281" t="s">
        <v>5148</v>
      </c>
      <c r="B281" t="s">
        <v>70</v>
      </c>
      <c r="C281" s="4">
        <v>139165.82999999999</v>
      </c>
    </row>
    <row r="282" spans="1:3" x14ac:dyDescent="0.3">
      <c r="A282" t="s">
        <v>5148</v>
      </c>
      <c r="B282" t="s">
        <v>141</v>
      </c>
      <c r="C282" s="4">
        <v>55285.03</v>
      </c>
    </row>
    <row r="283" spans="1:3" x14ac:dyDescent="0.3">
      <c r="A283" t="s">
        <v>5148</v>
      </c>
      <c r="B283" t="s">
        <v>41</v>
      </c>
      <c r="C283" s="4">
        <v>131996.4</v>
      </c>
    </row>
    <row r="284" spans="1:3" x14ac:dyDescent="0.3">
      <c r="A284" t="s">
        <v>5148</v>
      </c>
      <c r="B284" t="s">
        <v>59</v>
      </c>
      <c r="C284" s="4">
        <v>69514.86</v>
      </c>
    </row>
    <row r="285" spans="1:3" x14ac:dyDescent="0.3">
      <c r="A285" t="s">
        <v>5148</v>
      </c>
      <c r="B285" t="s">
        <v>31</v>
      </c>
      <c r="C285" s="4">
        <v>82791.539999999994</v>
      </c>
    </row>
    <row r="286" spans="1:3" x14ac:dyDescent="0.3">
      <c r="A286" t="s">
        <v>5148</v>
      </c>
      <c r="B286" t="s">
        <v>27</v>
      </c>
      <c r="C286" s="4">
        <v>72495.55</v>
      </c>
    </row>
    <row r="287" spans="1:3" x14ac:dyDescent="0.3">
      <c r="A287" t="s">
        <v>5149</v>
      </c>
      <c r="B287" t="s">
        <v>107</v>
      </c>
      <c r="C287" s="4">
        <v>143956.01</v>
      </c>
    </row>
    <row r="288" spans="1:3" x14ac:dyDescent="0.3">
      <c r="A288" t="s">
        <v>5149</v>
      </c>
      <c r="B288" t="s">
        <v>131</v>
      </c>
      <c r="C288" s="4">
        <v>51670.37</v>
      </c>
    </row>
    <row r="289" spans="1:3" x14ac:dyDescent="0.3">
      <c r="A289" t="s">
        <v>5149</v>
      </c>
      <c r="B289" t="s">
        <v>19</v>
      </c>
      <c r="C289" s="4">
        <v>145254.41</v>
      </c>
    </row>
    <row r="290" spans="1:3" x14ac:dyDescent="0.3">
      <c r="A290" t="s">
        <v>5149</v>
      </c>
      <c r="B290" t="s">
        <v>56</v>
      </c>
      <c r="C290" s="4">
        <v>75930.55</v>
      </c>
    </row>
    <row r="291" spans="1:3" x14ac:dyDescent="0.3">
      <c r="A291" t="s">
        <v>5149</v>
      </c>
      <c r="B291" t="s">
        <v>13</v>
      </c>
      <c r="C291" s="4">
        <v>82973.34</v>
      </c>
    </row>
    <row r="292" spans="1:3" x14ac:dyDescent="0.3">
      <c r="A292" t="s">
        <v>5149</v>
      </c>
      <c r="B292" t="s">
        <v>127</v>
      </c>
      <c r="C292" s="4">
        <v>109778.06</v>
      </c>
    </row>
    <row r="293" spans="1:3" x14ac:dyDescent="0.3">
      <c r="A293" t="s">
        <v>5149</v>
      </c>
      <c r="B293" t="s">
        <v>75</v>
      </c>
      <c r="C293" s="4">
        <v>138155.73000000001</v>
      </c>
    </row>
    <row r="294" spans="1:3" x14ac:dyDescent="0.3">
      <c r="A294" t="s">
        <v>5149</v>
      </c>
      <c r="B294" t="s">
        <v>63</v>
      </c>
      <c r="C294" s="4">
        <v>54413.760000000002</v>
      </c>
    </row>
    <row r="295" spans="1:3" x14ac:dyDescent="0.3">
      <c r="A295" t="s">
        <v>5149</v>
      </c>
      <c r="B295" t="s">
        <v>82</v>
      </c>
      <c r="C295" s="4">
        <v>92345.21</v>
      </c>
    </row>
    <row r="296" spans="1:3" x14ac:dyDescent="0.3">
      <c r="A296" t="s">
        <v>5149</v>
      </c>
      <c r="B296" t="s">
        <v>70</v>
      </c>
      <c r="C296" s="4">
        <v>72827.94</v>
      </c>
    </row>
    <row r="297" spans="1:3" x14ac:dyDescent="0.3">
      <c r="A297" t="s">
        <v>5149</v>
      </c>
      <c r="B297" t="s">
        <v>141</v>
      </c>
      <c r="C297" s="4">
        <v>147691.72</v>
      </c>
    </row>
    <row r="298" spans="1:3" x14ac:dyDescent="0.3">
      <c r="A298" t="s">
        <v>5149</v>
      </c>
      <c r="B298" t="s">
        <v>41</v>
      </c>
      <c r="C298" s="4">
        <v>103284.19</v>
      </c>
    </row>
    <row r="299" spans="1:3" x14ac:dyDescent="0.3">
      <c r="A299" t="s">
        <v>5149</v>
      </c>
      <c r="B299" t="s">
        <v>59</v>
      </c>
      <c r="C299" s="4">
        <v>99215.59</v>
      </c>
    </row>
    <row r="300" spans="1:3" x14ac:dyDescent="0.3">
      <c r="A300" t="s">
        <v>5149</v>
      </c>
      <c r="B300" t="s">
        <v>31</v>
      </c>
      <c r="C300" s="4">
        <v>80135.210000000006</v>
      </c>
    </row>
    <row r="301" spans="1:3" x14ac:dyDescent="0.3">
      <c r="A301" t="s">
        <v>5149</v>
      </c>
      <c r="B301" t="s">
        <v>27</v>
      </c>
      <c r="C301" s="4">
        <v>125570.85</v>
      </c>
    </row>
    <row r="302" spans="1:3" x14ac:dyDescent="0.3">
      <c r="A302" t="s">
        <v>5150</v>
      </c>
      <c r="B302" t="s">
        <v>107</v>
      </c>
      <c r="C302" s="4">
        <v>93043.61</v>
      </c>
    </row>
    <row r="303" spans="1:3" x14ac:dyDescent="0.3">
      <c r="A303" t="s">
        <v>5150</v>
      </c>
      <c r="B303" t="s">
        <v>131</v>
      </c>
      <c r="C303" s="4">
        <v>68709.84</v>
      </c>
    </row>
    <row r="304" spans="1:3" x14ac:dyDescent="0.3">
      <c r="A304" t="s">
        <v>5150</v>
      </c>
      <c r="B304" t="s">
        <v>19</v>
      </c>
      <c r="C304" s="4">
        <v>87265.67</v>
      </c>
    </row>
    <row r="305" spans="1:3" x14ac:dyDescent="0.3">
      <c r="A305" t="s">
        <v>5150</v>
      </c>
      <c r="B305" t="s">
        <v>56</v>
      </c>
      <c r="C305" s="4">
        <v>115242.59</v>
      </c>
    </row>
    <row r="306" spans="1:3" x14ac:dyDescent="0.3">
      <c r="A306" t="s">
        <v>5150</v>
      </c>
      <c r="B306" t="s">
        <v>13</v>
      </c>
      <c r="C306" s="4">
        <v>129854.92</v>
      </c>
    </row>
    <row r="307" spans="1:3" x14ac:dyDescent="0.3">
      <c r="A307" t="s">
        <v>5150</v>
      </c>
      <c r="B307" t="s">
        <v>127</v>
      </c>
      <c r="C307" s="4">
        <v>142819.20000000001</v>
      </c>
    </row>
    <row r="308" spans="1:3" x14ac:dyDescent="0.3">
      <c r="A308" t="s">
        <v>5150</v>
      </c>
      <c r="B308" t="s">
        <v>75</v>
      </c>
      <c r="C308" s="4">
        <v>101906.29</v>
      </c>
    </row>
    <row r="309" spans="1:3" x14ac:dyDescent="0.3">
      <c r="A309" t="s">
        <v>5150</v>
      </c>
      <c r="B309" t="s">
        <v>63</v>
      </c>
      <c r="C309" s="4">
        <v>105490.19</v>
      </c>
    </row>
    <row r="310" spans="1:3" x14ac:dyDescent="0.3">
      <c r="A310" t="s">
        <v>5150</v>
      </c>
      <c r="B310" t="s">
        <v>82</v>
      </c>
      <c r="C310" s="4">
        <v>86707.1</v>
      </c>
    </row>
    <row r="311" spans="1:3" x14ac:dyDescent="0.3">
      <c r="A311" t="s">
        <v>5150</v>
      </c>
      <c r="B311" t="s">
        <v>70</v>
      </c>
      <c r="C311" s="4">
        <v>54941.85</v>
      </c>
    </row>
    <row r="312" spans="1:3" x14ac:dyDescent="0.3">
      <c r="A312" t="s">
        <v>5150</v>
      </c>
      <c r="B312" t="s">
        <v>141</v>
      </c>
      <c r="C312" s="4">
        <v>76632.12</v>
      </c>
    </row>
    <row r="313" spans="1:3" x14ac:dyDescent="0.3">
      <c r="A313" t="s">
        <v>5150</v>
      </c>
      <c r="B313" t="s">
        <v>41</v>
      </c>
      <c r="C313" s="4">
        <v>143489.71</v>
      </c>
    </row>
    <row r="314" spans="1:3" x14ac:dyDescent="0.3">
      <c r="A314" t="s">
        <v>5150</v>
      </c>
      <c r="B314" t="s">
        <v>59</v>
      </c>
      <c r="C314" s="4">
        <v>147955.01999999999</v>
      </c>
    </row>
    <row r="315" spans="1:3" x14ac:dyDescent="0.3">
      <c r="A315" t="s">
        <v>5150</v>
      </c>
      <c r="B315" t="s">
        <v>31</v>
      </c>
      <c r="C315" s="4">
        <v>83874.350000000006</v>
      </c>
    </row>
    <row r="316" spans="1:3" x14ac:dyDescent="0.3">
      <c r="A316" t="s">
        <v>5150</v>
      </c>
      <c r="B316" t="s">
        <v>27</v>
      </c>
      <c r="C316" s="4">
        <v>64268.46</v>
      </c>
    </row>
    <row r="317" spans="1:3" x14ac:dyDescent="0.3">
      <c r="A317" t="s">
        <v>5151</v>
      </c>
      <c r="B317" t="s">
        <v>107</v>
      </c>
      <c r="C317" s="4">
        <v>149727.57999999999</v>
      </c>
    </row>
    <row r="318" spans="1:3" x14ac:dyDescent="0.3">
      <c r="A318" t="s">
        <v>5151</v>
      </c>
      <c r="B318" t="s">
        <v>131</v>
      </c>
      <c r="C318" s="4">
        <v>135526.01999999999</v>
      </c>
    </row>
    <row r="319" spans="1:3" x14ac:dyDescent="0.3">
      <c r="A319" t="s">
        <v>5151</v>
      </c>
      <c r="B319" t="s">
        <v>19</v>
      </c>
      <c r="C319" s="4">
        <v>112531.06</v>
      </c>
    </row>
    <row r="320" spans="1:3" x14ac:dyDescent="0.3">
      <c r="A320" t="s">
        <v>5151</v>
      </c>
      <c r="B320" t="s">
        <v>56</v>
      </c>
      <c r="C320" s="4">
        <v>138735.54</v>
      </c>
    </row>
    <row r="321" spans="1:3" x14ac:dyDescent="0.3">
      <c r="A321" t="s">
        <v>5151</v>
      </c>
      <c r="B321" t="s">
        <v>13</v>
      </c>
      <c r="C321" s="4">
        <v>86486.73</v>
      </c>
    </row>
    <row r="322" spans="1:3" x14ac:dyDescent="0.3">
      <c r="A322" t="s">
        <v>5151</v>
      </c>
      <c r="B322" t="s">
        <v>127</v>
      </c>
      <c r="C322" s="4">
        <v>95957.54</v>
      </c>
    </row>
    <row r="323" spans="1:3" x14ac:dyDescent="0.3">
      <c r="A323" t="s">
        <v>5151</v>
      </c>
      <c r="B323" t="s">
        <v>75</v>
      </c>
      <c r="C323" s="4">
        <v>70222.789999999994</v>
      </c>
    </row>
    <row r="324" spans="1:3" x14ac:dyDescent="0.3">
      <c r="A324" t="s">
        <v>5151</v>
      </c>
      <c r="B324" t="s">
        <v>63</v>
      </c>
      <c r="C324" s="4">
        <v>136128.16</v>
      </c>
    </row>
    <row r="325" spans="1:3" x14ac:dyDescent="0.3">
      <c r="A325" t="s">
        <v>5151</v>
      </c>
      <c r="B325" t="s">
        <v>82</v>
      </c>
      <c r="C325" s="4">
        <v>51508.5</v>
      </c>
    </row>
    <row r="326" spans="1:3" x14ac:dyDescent="0.3">
      <c r="A326" t="s">
        <v>5151</v>
      </c>
      <c r="B326" t="s">
        <v>70</v>
      </c>
      <c r="C326" s="4">
        <v>76110.880000000005</v>
      </c>
    </row>
    <row r="327" spans="1:3" x14ac:dyDescent="0.3">
      <c r="A327" t="s">
        <v>5151</v>
      </c>
      <c r="B327" t="s">
        <v>141</v>
      </c>
      <c r="C327" s="4">
        <v>85866.03</v>
      </c>
    </row>
    <row r="328" spans="1:3" x14ac:dyDescent="0.3">
      <c r="A328" t="s">
        <v>5151</v>
      </c>
      <c r="B328" t="s">
        <v>41</v>
      </c>
      <c r="C328" s="4">
        <v>132278.81</v>
      </c>
    </row>
    <row r="329" spans="1:3" x14ac:dyDescent="0.3">
      <c r="A329" t="s">
        <v>5151</v>
      </c>
      <c r="B329" t="s">
        <v>59</v>
      </c>
      <c r="C329" s="4">
        <v>99782.53</v>
      </c>
    </row>
    <row r="330" spans="1:3" x14ac:dyDescent="0.3">
      <c r="A330" t="s">
        <v>5151</v>
      </c>
      <c r="B330" t="s">
        <v>31</v>
      </c>
      <c r="C330" s="4">
        <v>145432.29999999999</v>
      </c>
    </row>
    <row r="331" spans="1:3" x14ac:dyDescent="0.3">
      <c r="A331" t="s">
        <v>5151</v>
      </c>
      <c r="B331" t="s">
        <v>27</v>
      </c>
      <c r="C331" s="4">
        <v>76646</v>
      </c>
    </row>
    <row r="332" spans="1:3" x14ac:dyDescent="0.3">
      <c r="A332" t="s">
        <v>5152</v>
      </c>
      <c r="B332" t="s">
        <v>107</v>
      </c>
      <c r="C332" s="4">
        <v>100219.21</v>
      </c>
    </row>
    <row r="333" spans="1:3" x14ac:dyDescent="0.3">
      <c r="A333" t="s">
        <v>5152</v>
      </c>
      <c r="B333" t="s">
        <v>131</v>
      </c>
      <c r="C333" s="4">
        <v>77221.62</v>
      </c>
    </row>
    <row r="334" spans="1:3" x14ac:dyDescent="0.3">
      <c r="A334" t="s">
        <v>5152</v>
      </c>
      <c r="B334" t="s">
        <v>19</v>
      </c>
      <c r="C334" s="4">
        <v>138709.32999999999</v>
      </c>
    </row>
    <row r="335" spans="1:3" x14ac:dyDescent="0.3">
      <c r="A335" t="s">
        <v>5152</v>
      </c>
      <c r="B335" t="s">
        <v>56</v>
      </c>
      <c r="C335" s="4">
        <v>179302.12</v>
      </c>
    </row>
    <row r="336" spans="1:3" x14ac:dyDescent="0.3">
      <c r="A336" t="s">
        <v>5152</v>
      </c>
      <c r="B336" t="s">
        <v>13</v>
      </c>
      <c r="C336" s="4">
        <v>99232.07</v>
      </c>
    </row>
    <row r="337" spans="1:3" x14ac:dyDescent="0.3">
      <c r="A337" t="s">
        <v>5152</v>
      </c>
      <c r="B337" t="s">
        <v>127</v>
      </c>
      <c r="C337" s="4">
        <v>94927.75</v>
      </c>
    </row>
    <row r="338" spans="1:3" x14ac:dyDescent="0.3">
      <c r="A338" t="s">
        <v>5152</v>
      </c>
      <c r="B338" t="s">
        <v>75</v>
      </c>
      <c r="C338" s="4">
        <v>103271.22</v>
      </c>
    </row>
    <row r="339" spans="1:3" x14ac:dyDescent="0.3">
      <c r="A339" t="s">
        <v>5152</v>
      </c>
      <c r="B339" t="s">
        <v>63</v>
      </c>
      <c r="C339" s="4">
        <v>123258.86</v>
      </c>
    </row>
    <row r="340" spans="1:3" x14ac:dyDescent="0.3">
      <c r="A340" t="s">
        <v>5152</v>
      </c>
      <c r="B340" t="s">
        <v>82</v>
      </c>
      <c r="C340" s="4">
        <v>139002.13</v>
      </c>
    </row>
    <row r="341" spans="1:3" x14ac:dyDescent="0.3">
      <c r="A341" t="s">
        <v>5152</v>
      </c>
      <c r="B341" t="s">
        <v>70</v>
      </c>
      <c r="C341" s="4">
        <v>167687.21</v>
      </c>
    </row>
    <row r="342" spans="1:3" x14ac:dyDescent="0.3">
      <c r="A342" t="s">
        <v>5152</v>
      </c>
      <c r="B342" t="s">
        <v>141</v>
      </c>
      <c r="C342" s="4">
        <v>171525.26</v>
      </c>
    </row>
    <row r="343" spans="1:3" x14ac:dyDescent="0.3">
      <c r="A343" t="s">
        <v>5152</v>
      </c>
      <c r="B343" t="s">
        <v>41</v>
      </c>
      <c r="C343" s="4">
        <v>65195.02</v>
      </c>
    </row>
    <row r="344" spans="1:3" x14ac:dyDescent="0.3">
      <c r="A344" t="s">
        <v>5152</v>
      </c>
      <c r="B344" t="s">
        <v>59</v>
      </c>
      <c r="C344" s="4">
        <v>157958.09</v>
      </c>
    </row>
    <row r="345" spans="1:3" x14ac:dyDescent="0.3">
      <c r="A345" t="s">
        <v>5152</v>
      </c>
      <c r="B345" t="s">
        <v>31</v>
      </c>
      <c r="C345" s="4">
        <v>87085.96</v>
      </c>
    </row>
    <row r="346" spans="1:3" x14ac:dyDescent="0.3">
      <c r="A346" t="s">
        <v>5152</v>
      </c>
      <c r="B346" t="s">
        <v>27</v>
      </c>
      <c r="C346" s="4">
        <v>183723.47</v>
      </c>
    </row>
    <row r="347" spans="1:3" x14ac:dyDescent="0.3">
      <c r="A347" t="s">
        <v>5153</v>
      </c>
      <c r="B347" t="s">
        <v>107</v>
      </c>
      <c r="C347" s="4">
        <v>161131.28</v>
      </c>
    </row>
    <row r="348" spans="1:3" x14ac:dyDescent="0.3">
      <c r="A348" t="s">
        <v>5153</v>
      </c>
      <c r="B348" t="s">
        <v>131</v>
      </c>
      <c r="C348" s="4">
        <v>151478.07</v>
      </c>
    </row>
    <row r="349" spans="1:3" x14ac:dyDescent="0.3">
      <c r="A349" t="s">
        <v>5153</v>
      </c>
      <c r="B349" t="s">
        <v>19</v>
      </c>
      <c r="C349" s="4">
        <v>176644.46</v>
      </c>
    </row>
    <row r="350" spans="1:3" x14ac:dyDescent="0.3">
      <c r="A350" t="s">
        <v>5153</v>
      </c>
      <c r="B350" t="s">
        <v>56</v>
      </c>
      <c r="C350" s="4">
        <v>112247.31</v>
      </c>
    </row>
    <row r="351" spans="1:3" x14ac:dyDescent="0.3">
      <c r="A351" t="s">
        <v>5153</v>
      </c>
      <c r="B351" t="s">
        <v>13</v>
      </c>
      <c r="C351" s="4">
        <v>134908.19</v>
      </c>
    </row>
    <row r="352" spans="1:3" x14ac:dyDescent="0.3">
      <c r="A352" t="s">
        <v>5153</v>
      </c>
      <c r="B352" t="s">
        <v>127</v>
      </c>
      <c r="C352" s="4">
        <v>123268.83</v>
      </c>
    </row>
    <row r="353" spans="1:4" x14ac:dyDescent="0.3">
      <c r="A353" t="s">
        <v>5153</v>
      </c>
      <c r="B353" t="s">
        <v>75</v>
      </c>
      <c r="C353" s="4">
        <v>131172.18</v>
      </c>
    </row>
    <row r="354" spans="1:4" x14ac:dyDescent="0.3">
      <c r="A354" t="s">
        <v>5153</v>
      </c>
      <c r="B354" t="s">
        <v>63</v>
      </c>
      <c r="C354" s="4">
        <v>71765.279999999999</v>
      </c>
    </row>
    <row r="355" spans="1:4" x14ac:dyDescent="0.3">
      <c r="A355" t="s">
        <v>5153</v>
      </c>
      <c r="B355" t="s">
        <v>82</v>
      </c>
      <c r="C355" s="4">
        <v>91807.38</v>
      </c>
    </row>
    <row r="356" spans="1:4" x14ac:dyDescent="0.3">
      <c r="A356" t="s">
        <v>5153</v>
      </c>
      <c r="B356" t="s">
        <v>70</v>
      </c>
      <c r="C356" s="4">
        <v>148466.96</v>
      </c>
    </row>
    <row r="357" spans="1:4" x14ac:dyDescent="0.3">
      <c r="A357" t="s">
        <v>5153</v>
      </c>
      <c r="B357" t="s">
        <v>141</v>
      </c>
      <c r="C357" s="4">
        <v>182736.39</v>
      </c>
    </row>
    <row r="358" spans="1:4" x14ac:dyDescent="0.3">
      <c r="A358" t="s">
        <v>5153</v>
      </c>
      <c r="B358" t="s">
        <v>41</v>
      </c>
      <c r="C358" s="4">
        <v>181248.83</v>
      </c>
    </row>
    <row r="359" spans="1:4" x14ac:dyDescent="0.3">
      <c r="A359" t="s">
        <v>5153</v>
      </c>
      <c r="B359" t="s">
        <v>59</v>
      </c>
      <c r="C359" s="4">
        <v>162820.46</v>
      </c>
    </row>
    <row r="360" spans="1:4" x14ac:dyDescent="0.3">
      <c r="A360" t="s">
        <v>5153</v>
      </c>
      <c r="B360" t="s">
        <v>31</v>
      </c>
      <c r="C360" s="4">
        <v>168158.06</v>
      </c>
    </row>
    <row r="361" spans="1:4" x14ac:dyDescent="0.3">
      <c r="A361" t="s">
        <v>5153</v>
      </c>
      <c r="B361" t="s">
        <v>27</v>
      </c>
      <c r="C361" s="4">
        <v>111374.81</v>
      </c>
    </row>
    <row r="362" spans="1:4" x14ac:dyDescent="0.3">
      <c r="A362" t="s">
        <v>5130</v>
      </c>
      <c r="C362" s="4">
        <v>280920.06</v>
      </c>
      <c r="D362" t="s">
        <v>109</v>
      </c>
    </row>
    <row r="363" spans="1:4" x14ac:dyDescent="0.3">
      <c r="A363" t="s">
        <v>5130</v>
      </c>
      <c r="C363" s="4">
        <v>612172.99</v>
      </c>
      <c r="D363" t="s">
        <v>44</v>
      </c>
    </row>
    <row r="364" spans="1:4" x14ac:dyDescent="0.3">
      <c r="A364" t="s">
        <v>5130</v>
      </c>
      <c r="C364" s="4">
        <v>624194.35</v>
      </c>
      <c r="D364" t="s">
        <v>21</v>
      </c>
    </row>
    <row r="365" spans="1:4" x14ac:dyDescent="0.3">
      <c r="A365" t="s">
        <v>5130</v>
      </c>
      <c r="C365" s="4">
        <v>504870.82</v>
      </c>
      <c r="D365" t="s">
        <v>34</v>
      </c>
    </row>
    <row r="366" spans="1:4" x14ac:dyDescent="0.3">
      <c r="A366" t="s">
        <v>5130</v>
      </c>
      <c r="C366" s="4">
        <v>324210.27</v>
      </c>
      <c r="D366" t="s">
        <v>16</v>
      </c>
    </row>
    <row r="367" spans="1:4" x14ac:dyDescent="0.3">
      <c r="A367" t="s">
        <v>5131</v>
      </c>
      <c r="C367" s="4">
        <v>618051.85</v>
      </c>
      <c r="D367" t="s">
        <v>109</v>
      </c>
    </row>
    <row r="368" spans="1:4" x14ac:dyDescent="0.3">
      <c r="A368" t="s">
        <v>5131</v>
      </c>
      <c r="C368" s="4">
        <v>408602.49</v>
      </c>
      <c r="D368" t="s">
        <v>44</v>
      </c>
    </row>
    <row r="369" spans="1:4" x14ac:dyDescent="0.3">
      <c r="A369" t="s">
        <v>5131</v>
      </c>
      <c r="C369" s="4">
        <v>396527.58</v>
      </c>
      <c r="D369" t="s">
        <v>21</v>
      </c>
    </row>
    <row r="370" spans="1:4" x14ac:dyDescent="0.3">
      <c r="A370" t="s">
        <v>5131</v>
      </c>
      <c r="C370" s="4">
        <v>598318.23</v>
      </c>
      <c r="D370" t="s">
        <v>34</v>
      </c>
    </row>
    <row r="371" spans="1:4" x14ac:dyDescent="0.3">
      <c r="A371" t="s">
        <v>5131</v>
      </c>
      <c r="C371" s="4">
        <v>589363.86</v>
      </c>
      <c r="D371" t="s">
        <v>16</v>
      </c>
    </row>
    <row r="372" spans="1:4" x14ac:dyDescent="0.3">
      <c r="A372" t="s">
        <v>5132</v>
      </c>
      <c r="C372" s="4">
        <v>704475.97</v>
      </c>
      <c r="D372" t="s">
        <v>109</v>
      </c>
    </row>
    <row r="373" spans="1:4" x14ac:dyDescent="0.3">
      <c r="A373" t="s">
        <v>5132</v>
      </c>
      <c r="C373" s="4">
        <v>641960.94999999995</v>
      </c>
      <c r="D373" t="s">
        <v>44</v>
      </c>
    </row>
    <row r="374" spans="1:4" x14ac:dyDescent="0.3">
      <c r="A374" t="s">
        <v>5132</v>
      </c>
      <c r="C374" s="4">
        <v>548310.75</v>
      </c>
      <c r="D374" t="s">
        <v>21</v>
      </c>
    </row>
    <row r="375" spans="1:4" x14ac:dyDescent="0.3">
      <c r="A375" t="s">
        <v>5132</v>
      </c>
      <c r="C375" s="4">
        <v>785190.63</v>
      </c>
      <c r="D375" t="s">
        <v>34</v>
      </c>
    </row>
    <row r="376" spans="1:4" x14ac:dyDescent="0.3">
      <c r="A376" t="s">
        <v>5132</v>
      </c>
      <c r="C376" s="4">
        <v>574637.34</v>
      </c>
      <c r="D376" t="s">
        <v>16</v>
      </c>
    </row>
    <row r="377" spans="1:4" x14ac:dyDescent="0.3">
      <c r="A377" t="s">
        <v>5133</v>
      </c>
      <c r="C377" s="4">
        <v>738806.05</v>
      </c>
      <c r="D377" t="s">
        <v>109</v>
      </c>
    </row>
    <row r="378" spans="1:4" x14ac:dyDescent="0.3">
      <c r="A378" t="s">
        <v>5133</v>
      </c>
      <c r="C378" s="4">
        <v>675473.77</v>
      </c>
      <c r="D378" t="s">
        <v>44</v>
      </c>
    </row>
    <row r="379" spans="1:4" x14ac:dyDescent="0.3">
      <c r="A379" t="s">
        <v>5133</v>
      </c>
      <c r="C379" s="4">
        <v>361290.19</v>
      </c>
      <c r="D379" t="s">
        <v>21</v>
      </c>
    </row>
    <row r="380" spans="1:4" x14ac:dyDescent="0.3">
      <c r="A380" t="s">
        <v>5133</v>
      </c>
      <c r="C380" s="4">
        <v>795546.4</v>
      </c>
      <c r="D380" t="s">
        <v>34</v>
      </c>
    </row>
    <row r="381" spans="1:4" x14ac:dyDescent="0.3">
      <c r="A381" t="s">
        <v>5133</v>
      </c>
      <c r="C381" s="4">
        <v>763214.72</v>
      </c>
      <c r="D381" t="s">
        <v>16</v>
      </c>
    </row>
    <row r="382" spans="1:4" x14ac:dyDescent="0.3">
      <c r="A382" t="s">
        <v>5134</v>
      </c>
      <c r="C382" s="4">
        <v>580956.16000000003</v>
      </c>
      <c r="D382" t="s">
        <v>109</v>
      </c>
    </row>
    <row r="383" spans="1:4" x14ac:dyDescent="0.3">
      <c r="A383" t="s">
        <v>5134</v>
      </c>
      <c r="C383" s="4">
        <v>756130.51</v>
      </c>
      <c r="D383" t="s">
        <v>44</v>
      </c>
    </row>
    <row r="384" spans="1:4" x14ac:dyDescent="0.3">
      <c r="A384" t="s">
        <v>5134</v>
      </c>
      <c r="C384" s="4">
        <v>456883.52</v>
      </c>
      <c r="D384" t="s">
        <v>21</v>
      </c>
    </row>
    <row r="385" spans="1:4" x14ac:dyDescent="0.3">
      <c r="A385" t="s">
        <v>5134</v>
      </c>
      <c r="C385" s="4">
        <v>644545.38</v>
      </c>
      <c r="D385" t="s">
        <v>34</v>
      </c>
    </row>
    <row r="386" spans="1:4" x14ac:dyDescent="0.3">
      <c r="A386" t="s">
        <v>5134</v>
      </c>
      <c r="C386" s="4">
        <v>519421.03</v>
      </c>
      <c r="D386" t="s">
        <v>16</v>
      </c>
    </row>
    <row r="387" spans="1:4" x14ac:dyDescent="0.3">
      <c r="A387" t="s">
        <v>5135</v>
      </c>
      <c r="C387" s="4">
        <v>674036.12</v>
      </c>
      <c r="D387" t="s">
        <v>109</v>
      </c>
    </row>
    <row r="388" spans="1:4" x14ac:dyDescent="0.3">
      <c r="A388" t="s">
        <v>5135</v>
      </c>
      <c r="C388" s="4">
        <v>500925.93</v>
      </c>
      <c r="D388" t="s">
        <v>44</v>
      </c>
    </row>
    <row r="389" spans="1:4" x14ac:dyDescent="0.3">
      <c r="A389" t="s">
        <v>5135</v>
      </c>
      <c r="C389" s="4">
        <v>331056.33</v>
      </c>
      <c r="D389" t="s">
        <v>21</v>
      </c>
    </row>
    <row r="390" spans="1:4" x14ac:dyDescent="0.3">
      <c r="A390" t="s">
        <v>5135</v>
      </c>
      <c r="C390" s="4">
        <v>314756.51</v>
      </c>
      <c r="D390" t="s">
        <v>34</v>
      </c>
    </row>
    <row r="391" spans="1:4" x14ac:dyDescent="0.3">
      <c r="A391" t="s">
        <v>5135</v>
      </c>
      <c r="C391" s="4">
        <v>747909.68</v>
      </c>
      <c r="D391" t="s">
        <v>16</v>
      </c>
    </row>
    <row r="392" spans="1:4" x14ac:dyDescent="0.3">
      <c r="A392" t="s">
        <v>5136</v>
      </c>
      <c r="C392" s="4">
        <v>343515.34</v>
      </c>
      <c r="D392" t="s">
        <v>109</v>
      </c>
    </row>
    <row r="393" spans="1:4" x14ac:dyDescent="0.3">
      <c r="A393" t="s">
        <v>5136</v>
      </c>
      <c r="C393" s="4">
        <v>421562.8</v>
      </c>
      <c r="D393" t="s">
        <v>44</v>
      </c>
    </row>
    <row r="394" spans="1:4" x14ac:dyDescent="0.3">
      <c r="A394" t="s">
        <v>5136</v>
      </c>
      <c r="C394" s="4">
        <v>384693.02</v>
      </c>
      <c r="D394" t="s">
        <v>21</v>
      </c>
    </row>
    <row r="395" spans="1:4" x14ac:dyDescent="0.3">
      <c r="A395" t="s">
        <v>5136</v>
      </c>
      <c r="C395" s="4">
        <v>519170.47</v>
      </c>
      <c r="D395" t="s">
        <v>34</v>
      </c>
    </row>
    <row r="396" spans="1:4" x14ac:dyDescent="0.3">
      <c r="A396" t="s">
        <v>5136</v>
      </c>
      <c r="C396" s="4">
        <v>744855.61</v>
      </c>
      <c r="D396" t="s">
        <v>16</v>
      </c>
    </row>
    <row r="397" spans="1:4" x14ac:dyDescent="0.3">
      <c r="A397" t="s">
        <v>5137</v>
      </c>
      <c r="C397" s="4">
        <v>436668.93</v>
      </c>
      <c r="D397" t="s">
        <v>109</v>
      </c>
    </row>
    <row r="398" spans="1:4" x14ac:dyDescent="0.3">
      <c r="A398" t="s">
        <v>5137</v>
      </c>
      <c r="C398" s="4">
        <v>522263.83</v>
      </c>
      <c r="D398" t="s">
        <v>44</v>
      </c>
    </row>
    <row r="399" spans="1:4" x14ac:dyDescent="0.3">
      <c r="A399" t="s">
        <v>5137</v>
      </c>
      <c r="C399" s="4">
        <v>785587.67</v>
      </c>
      <c r="D399" t="s">
        <v>21</v>
      </c>
    </row>
    <row r="400" spans="1:4" x14ac:dyDescent="0.3">
      <c r="A400" t="s">
        <v>5137</v>
      </c>
      <c r="C400" s="4">
        <v>515574.58</v>
      </c>
      <c r="D400" t="s">
        <v>34</v>
      </c>
    </row>
    <row r="401" spans="1:4" x14ac:dyDescent="0.3">
      <c r="A401" t="s">
        <v>5137</v>
      </c>
      <c r="C401" s="4">
        <v>661061.5</v>
      </c>
      <c r="D401" t="s">
        <v>16</v>
      </c>
    </row>
    <row r="402" spans="1:4" x14ac:dyDescent="0.3">
      <c r="A402" t="s">
        <v>5138</v>
      </c>
      <c r="C402" s="4">
        <v>422803.39</v>
      </c>
      <c r="D402" t="s">
        <v>109</v>
      </c>
    </row>
    <row r="403" spans="1:4" x14ac:dyDescent="0.3">
      <c r="A403" t="s">
        <v>5138</v>
      </c>
      <c r="C403" s="4">
        <v>650644.01</v>
      </c>
      <c r="D403" t="s">
        <v>44</v>
      </c>
    </row>
    <row r="404" spans="1:4" x14ac:dyDescent="0.3">
      <c r="A404" t="s">
        <v>5138</v>
      </c>
      <c r="C404" s="4">
        <v>420543.42</v>
      </c>
      <c r="D404" t="s">
        <v>21</v>
      </c>
    </row>
    <row r="405" spans="1:4" x14ac:dyDescent="0.3">
      <c r="A405" t="s">
        <v>5138</v>
      </c>
      <c r="C405" s="4">
        <v>790059.22</v>
      </c>
      <c r="D405" t="s">
        <v>34</v>
      </c>
    </row>
    <row r="406" spans="1:4" x14ac:dyDescent="0.3">
      <c r="A406" t="s">
        <v>5138</v>
      </c>
      <c r="C406" s="4">
        <v>451692.96</v>
      </c>
      <c r="D406" t="s">
        <v>16</v>
      </c>
    </row>
    <row r="407" spans="1:4" x14ac:dyDescent="0.3">
      <c r="A407" t="s">
        <v>5139</v>
      </c>
      <c r="C407" s="4">
        <v>558101.03</v>
      </c>
      <c r="D407" t="s">
        <v>109</v>
      </c>
    </row>
    <row r="408" spans="1:4" x14ac:dyDescent="0.3">
      <c r="A408" t="s">
        <v>5139</v>
      </c>
      <c r="C408" s="4">
        <v>490680.55</v>
      </c>
      <c r="D408" t="s">
        <v>44</v>
      </c>
    </row>
    <row r="409" spans="1:4" x14ac:dyDescent="0.3">
      <c r="A409" t="s">
        <v>5139</v>
      </c>
      <c r="C409" s="4">
        <v>332269.71000000002</v>
      </c>
      <c r="D409" t="s">
        <v>21</v>
      </c>
    </row>
    <row r="410" spans="1:4" x14ac:dyDescent="0.3">
      <c r="A410" t="s">
        <v>5139</v>
      </c>
      <c r="C410" s="4">
        <v>756496.41</v>
      </c>
      <c r="D410" t="s">
        <v>34</v>
      </c>
    </row>
    <row r="411" spans="1:4" x14ac:dyDescent="0.3">
      <c r="A411" t="s">
        <v>5139</v>
      </c>
      <c r="C411" s="4">
        <v>636240.51</v>
      </c>
      <c r="D411" t="s">
        <v>16</v>
      </c>
    </row>
    <row r="412" spans="1:4" x14ac:dyDescent="0.3">
      <c r="A412" t="s">
        <v>5140</v>
      </c>
      <c r="C412" s="4">
        <v>958961.83</v>
      </c>
      <c r="D412" t="s">
        <v>109</v>
      </c>
    </row>
    <row r="413" spans="1:4" x14ac:dyDescent="0.3">
      <c r="A413" t="s">
        <v>5140</v>
      </c>
      <c r="C413" s="4">
        <v>675778.12</v>
      </c>
      <c r="D413" t="s">
        <v>44</v>
      </c>
    </row>
    <row r="414" spans="1:4" x14ac:dyDescent="0.3">
      <c r="A414" t="s">
        <v>5140</v>
      </c>
      <c r="C414" s="4">
        <v>988820.92</v>
      </c>
      <c r="D414" t="s">
        <v>21</v>
      </c>
    </row>
    <row r="415" spans="1:4" x14ac:dyDescent="0.3">
      <c r="A415" t="s">
        <v>5140</v>
      </c>
      <c r="C415" s="4">
        <v>911207.57</v>
      </c>
      <c r="D415" t="s">
        <v>34</v>
      </c>
    </row>
    <row r="416" spans="1:4" x14ac:dyDescent="0.3">
      <c r="A416" t="s">
        <v>5140</v>
      </c>
      <c r="C416" s="4">
        <v>856686.46</v>
      </c>
      <c r="D416" t="s">
        <v>16</v>
      </c>
    </row>
    <row r="417" spans="1:4" x14ac:dyDescent="0.3">
      <c r="A417" t="s">
        <v>5141</v>
      </c>
      <c r="C417" s="4">
        <v>575575.9</v>
      </c>
      <c r="D417" t="s">
        <v>109</v>
      </c>
    </row>
    <row r="418" spans="1:4" x14ac:dyDescent="0.3">
      <c r="A418" t="s">
        <v>5141</v>
      </c>
      <c r="C418" s="4">
        <v>718699.53</v>
      </c>
      <c r="D418" t="s">
        <v>44</v>
      </c>
    </row>
    <row r="419" spans="1:4" x14ac:dyDescent="0.3">
      <c r="A419" t="s">
        <v>5141</v>
      </c>
      <c r="C419" s="4">
        <v>770894.41</v>
      </c>
      <c r="D419" t="s">
        <v>21</v>
      </c>
    </row>
    <row r="420" spans="1:4" x14ac:dyDescent="0.3">
      <c r="A420" t="s">
        <v>5141</v>
      </c>
      <c r="C420" s="4">
        <v>485063.57</v>
      </c>
      <c r="D420" t="s">
        <v>34</v>
      </c>
    </row>
    <row r="421" spans="1:4" x14ac:dyDescent="0.3">
      <c r="A421" t="s">
        <v>5141</v>
      </c>
      <c r="C421" s="4">
        <v>883024.3</v>
      </c>
      <c r="D421" t="s">
        <v>16</v>
      </c>
    </row>
    <row r="422" spans="1:4" x14ac:dyDescent="0.3">
      <c r="A422" t="s">
        <v>5142</v>
      </c>
      <c r="C422" s="4">
        <v>270690.43</v>
      </c>
      <c r="D422" t="s">
        <v>109</v>
      </c>
    </row>
    <row r="423" spans="1:4" x14ac:dyDescent="0.3">
      <c r="A423" t="s">
        <v>5142</v>
      </c>
      <c r="C423" s="4">
        <v>392500.96</v>
      </c>
      <c r="D423" t="s">
        <v>44</v>
      </c>
    </row>
    <row r="424" spans="1:4" x14ac:dyDescent="0.3">
      <c r="A424" t="s">
        <v>5142</v>
      </c>
      <c r="C424" s="4">
        <v>545903.93000000005</v>
      </c>
      <c r="D424" t="s">
        <v>21</v>
      </c>
    </row>
    <row r="425" spans="1:4" x14ac:dyDescent="0.3">
      <c r="A425" t="s">
        <v>5142</v>
      </c>
      <c r="C425" s="4">
        <v>599058.36</v>
      </c>
      <c r="D425" t="s">
        <v>34</v>
      </c>
    </row>
    <row r="426" spans="1:4" x14ac:dyDescent="0.3">
      <c r="A426" t="s">
        <v>5142</v>
      </c>
      <c r="C426" s="4">
        <v>303167.21999999997</v>
      </c>
      <c r="D426" t="s">
        <v>16</v>
      </c>
    </row>
    <row r="427" spans="1:4" x14ac:dyDescent="0.3">
      <c r="A427" t="s">
        <v>5143</v>
      </c>
      <c r="C427" s="4">
        <v>266320.27</v>
      </c>
      <c r="D427" t="s">
        <v>109</v>
      </c>
    </row>
    <row r="428" spans="1:4" x14ac:dyDescent="0.3">
      <c r="A428" t="s">
        <v>5143</v>
      </c>
      <c r="C428" s="4">
        <v>539903.67000000004</v>
      </c>
      <c r="D428" t="s">
        <v>44</v>
      </c>
    </row>
    <row r="429" spans="1:4" x14ac:dyDescent="0.3">
      <c r="A429" t="s">
        <v>5143</v>
      </c>
      <c r="C429" s="4">
        <v>465160.72</v>
      </c>
      <c r="D429" t="s">
        <v>21</v>
      </c>
    </row>
    <row r="430" spans="1:4" x14ac:dyDescent="0.3">
      <c r="A430" t="s">
        <v>5143</v>
      </c>
      <c r="C430" s="4">
        <v>535812.61</v>
      </c>
      <c r="D430" t="s">
        <v>34</v>
      </c>
    </row>
    <row r="431" spans="1:4" x14ac:dyDescent="0.3">
      <c r="A431" t="s">
        <v>5143</v>
      </c>
      <c r="C431" s="4">
        <v>528212.79</v>
      </c>
      <c r="D431" t="s">
        <v>16</v>
      </c>
    </row>
    <row r="432" spans="1:4" x14ac:dyDescent="0.3">
      <c r="A432" t="s">
        <v>5144</v>
      </c>
      <c r="C432" s="4">
        <v>799433.08</v>
      </c>
      <c r="D432" t="s">
        <v>109</v>
      </c>
    </row>
    <row r="433" spans="1:4" x14ac:dyDescent="0.3">
      <c r="A433" t="s">
        <v>5144</v>
      </c>
      <c r="C433" s="4">
        <v>625922.94999999995</v>
      </c>
      <c r="D433" t="s">
        <v>44</v>
      </c>
    </row>
    <row r="434" spans="1:4" x14ac:dyDescent="0.3">
      <c r="A434" t="s">
        <v>5144</v>
      </c>
      <c r="C434" s="4">
        <v>608270.86</v>
      </c>
      <c r="D434" t="s">
        <v>21</v>
      </c>
    </row>
    <row r="435" spans="1:4" x14ac:dyDescent="0.3">
      <c r="A435" t="s">
        <v>5144</v>
      </c>
      <c r="C435" s="4">
        <v>616956.71</v>
      </c>
      <c r="D435" t="s">
        <v>34</v>
      </c>
    </row>
    <row r="436" spans="1:4" x14ac:dyDescent="0.3">
      <c r="A436" t="s">
        <v>5144</v>
      </c>
      <c r="C436" s="4">
        <v>633983.46</v>
      </c>
      <c r="D436" t="s">
        <v>16</v>
      </c>
    </row>
    <row r="437" spans="1:4" x14ac:dyDescent="0.3">
      <c r="A437" t="s">
        <v>5145</v>
      </c>
      <c r="C437" s="4">
        <v>507859.35</v>
      </c>
      <c r="D437" t="s">
        <v>109</v>
      </c>
    </row>
    <row r="438" spans="1:4" x14ac:dyDescent="0.3">
      <c r="A438" t="s">
        <v>5145</v>
      </c>
      <c r="C438" s="4">
        <v>784480.85</v>
      </c>
      <c r="D438" t="s">
        <v>44</v>
      </c>
    </row>
    <row r="439" spans="1:4" x14ac:dyDescent="0.3">
      <c r="A439" t="s">
        <v>5145</v>
      </c>
      <c r="C439" s="4">
        <v>776807.69</v>
      </c>
      <c r="D439" t="s">
        <v>21</v>
      </c>
    </row>
    <row r="440" spans="1:4" x14ac:dyDescent="0.3">
      <c r="A440" t="s">
        <v>5145</v>
      </c>
      <c r="C440" s="4">
        <v>357462.11</v>
      </c>
      <c r="D440" t="s">
        <v>34</v>
      </c>
    </row>
    <row r="441" spans="1:4" x14ac:dyDescent="0.3">
      <c r="A441" t="s">
        <v>5145</v>
      </c>
      <c r="C441" s="4">
        <v>716643.49</v>
      </c>
      <c r="D441" t="s">
        <v>16</v>
      </c>
    </row>
    <row r="442" spans="1:4" x14ac:dyDescent="0.3">
      <c r="A442" t="s">
        <v>5146</v>
      </c>
      <c r="C442" s="4">
        <v>770247.29</v>
      </c>
      <c r="D442" t="s">
        <v>109</v>
      </c>
    </row>
    <row r="443" spans="1:4" x14ac:dyDescent="0.3">
      <c r="A443" t="s">
        <v>5146</v>
      </c>
      <c r="C443" s="4">
        <v>439526.66</v>
      </c>
      <c r="D443" t="s">
        <v>44</v>
      </c>
    </row>
    <row r="444" spans="1:4" x14ac:dyDescent="0.3">
      <c r="A444" t="s">
        <v>5146</v>
      </c>
      <c r="C444" s="4">
        <v>438229.26</v>
      </c>
      <c r="D444" t="s">
        <v>21</v>
      </c>
    </row>
    <row r="445" spans="1:4" x14ac:dyDescent="0.3">
      <c r="A445" t="s">
        <v>5146</v>
      </c>
      <c r="C445" s="4">
        <v>302583.03000000003</v>
      </c>
      <c r="D445" t="s">
        <v>34</v>
      </c>
    </row>
    <row r="446" spans="1:4" x14ac:dyDescent="0.3">
      <c r="A446" t="s">
        <v>5146</v>
      </c>
      <c r="C446" s="4">
        <v>335031.33</v>
      </c>
      <c r="D446" t="s">
        <v>16</v>
      </c>
    </row>
    <row r="447" spans="1:4" x14ac:dyDescent="0.3">
      <c r="A447" t="s">
        <v>5147</v>
      </c>
      <c r="C447" s="4">
        <v>403846.67</v>
      </c>
      <c r="D447" t="s">
        <v>109</v>
      </c>
    </row>
    <row r="448" spans="1:4" x14ac:dyDescent="0.3">
      <c r="A448" t="s">
        <v>5147</v>
      </c>
      <c r="C448" s="4">
        <v>678971.99</v>
      </c>
      <c r="D448" t="s">
        <v>44</v>
      </c>
    </row>
    <row r="449" spans="1:4" x14ac:dyDescent="0.3">
      <c r="A449" t="s">
        <v>5147</v>
      </c>
      <c r="C449" s="4">
        <v>607353.91</v>
      </c>
      <c r="D449" t="s">
        <v>21</v>
      </c>
    </row>
    <row r="450" spans="1:4" x14ac:dyDescent="0.3">
      <c r="A450" t="s">
        <v>5147</v>
      </c>
      <c r="C450" s="4">
        <v>648665.66</v>
      </c>
      <c r="D450" t="s">
        <v>34</v>
      </c>
    </row>
    <row r="451" spans="1:4" x14ac:dyDescent="0.3">
      <c r="A451" t="s">
        <v>5147</v>
      </c>
      <c r="C451" s="4">
        <v>489425.11</v>
      </c>
      <c r="D451" t="s">
        <v>16</v>
      </c>
    </row>
    <row r="452" spans="1:4" x14ac:dyDescent="0.3">
      <c r="A452" t="s">
        <v>5148</v>
      </c>
      <c r="C452" s="4">
        <v>687788.47</v>
      </c>
      <c r="D452" t="s">
        <v>109</v>
      </c>
    </row>
    <row r="453" spans="1:4" x14ac:dyDescent="0.3">
      <c r="A453" t="s">
        <v>5148</v>
      </c>
      <c r="C453" s="4">
        <v>380444.13</v>
      </c>
      <c r="D453" t="s">
        <v>44</v>
      </c>
    </row>
    <row r="454" spans="1:4" x14ac:dyDescent="0.3">
      <c r="A454" t="s">
        <v>5148</v>
      </c>
      <c r="C454" s="4">
        <v>333628.33</v>
      </c>
      <c r="D454" t="s">
        <v>21</v>
      </c>
    </row>
    <row r="455" spans="1:4" x14ac:dyDescent="0.3">
      <c r="A455" t="s">
        <v>5148</v>
      </c>
      <c r="C455" s="4">
        <v>746828.58</v>
      </c>
      <c r="D455" t="s">
        <v>34</v>
      </c>
    </row>
    <row r="456" spans="1:4" x14ac:dyDescent="0.3">
      <c r="A456" t="s">
        <v>5148</v>
      </c>
      <c r="C456" s="4">
        <v>533824.78</v>
      </c>
      <c r="D456" t="s">
        <v>16</v>
      </c>
    </row>
    <row r="457" spans="1:4" x14ac:dyDescent="0.3">
      <c r="A457" t="s">
        <v>5149</v>
      </c>
      <c r="C457" s="4">
        <v>480559.33</v>
      </c>
      <c r="D457" t="s">
        <v>109</v>
      </c>
    </row>
    <row r="458" spans="1:4" x14ac:dyDescent="0.3">
      <c r="A458" t="s">
        <v>5149</v>
      </c>
      <c r="C458" s="4">
        <v>593645.84</v>
      </c>
      <c r="D458" t="s">
        <v>44</v>
      </c>
    </row>
    <row r="459" spans="1:4" x14ac:dyDescent="0.3">
      <c r="A459" t="s">
        <v>5149</v>
      </c>
      <c r="C459" s="4">
        <v>593341.4</v>
      </c>
      <c r="D459" t="s">
        <v>21</v>
      </c>
    </row>
    <row r="460" spans="1:4" x14ac:dyDescent="0.3">
      <c r="A460" t="s">
        <v>5149</v>
      </c>
      <c r="C460" s="4">
        <v>502438.96</v>
      </c>
      <c r="D460" t="s">
        <v>34</v>
      </c>
    </row>
    <row r="461" spans="1:4" x14ac:dyDescent="0.3">
      <c r="A461" t="s">
        <v>5149</v>
      </c>
      <c r="C461" s="4">
        <v>422122.15</v>
      </c>
      <c r="D461" t="s">
        <v>16</v>
      </c>
    </row>
    <row r="462" spans="1:4" x14ac:dyDescent="0.3">
      <c r="A462" t="s">
        <v>5150</v>
      </c>
      <c r="C462" s="4">
        <v>425658.27</v>
      </c>
      <c r="D462" t="s">
        <v>109</v>
      </c>
    </row>
    <row r="463" spans="1:4" x14ac:dyDescent="0.3">
      <c r="A463" t="s">
        <v>5150</v>
      </c>
      <c r="C463" s="4">
        <v>503403.16</v>
      </c>
      <c r="D463" t="s">
        <v>44</v>
      </c>
    </row>
    <row r="464" spans="1:4" x14ac:dyDescent="0.3">
      <c r="A464" t="s">
        <v>5150</v>
      </c>
      <c r="C464" s="4">
        <v>733895.85</v>
      </c>
      <c r="D464" t="s">
        <v>21</v>
      </c>
    </row>
    <row r="465" spans="1:4" x14ac:dyDescent="0.3">
      <c r="A465" t="s">
        <v>5150</v>
      </c>
      <c r="C465" s="4">
        <v>777655.27</v>
      </c>
      <c r="D465" t="s">
        <v>34</v>
      </c>
    </row>
    <row r="466" spans="1:4" x14ac:dyDescent="0.3">
      <c r="A466" t="s">
        <v>5150</v>
      </c>
      <c r="C466" s="4">
        <v>682957.98</v>
      </c>
      <c r="D466" t="s">
        <v>16</v>
      </c>
    </row>
    <row r="467" spans="1:4" x14ac:dyDescent="0.3">
      <c r="A467" t="s">
        <v>5151</v>
      </c>
      <c r="C467" s="4">
        <v>653985.73</v>
      </c>
      <c r="D467" t="s">
        <v>109</v>
      </c>
    </row>
    <row r="468" spans="1:4" x14ac:dyDescent="0.3">
      <c r="A468" t="s">
        <v>5151</v>
      </c>
      <c r="C468" s="4">
        <v>755199.74</v>
      </c>
      <c r="D468" t="s">
        <v>44</v>
      </c>
    </row>
    <row r="469" spans="1:4" x14ac:dyDescent="0.3">
      <c r="A469" t="s">
        <v>5151</v>
      </c>
      <c r="C469" s="4">
        <v>347852.47</v>
      </c>
      <c r="D469" t="s">
        <v>21</v>
      </c>
    </row>
    <row r="470" spans="1:4" x14ac:dyDescent="0.3">
      <c r="A470" t="s">
        <v>5151</v>
      </c>
      <c r="C470" s="4">
        <v>602107.15</v>
      </c>
      <c r="D470" t="s">
        <v>34</v>
      </c>
    </row>
    <row r="471" spans="1:4" x14ac:dyDescent="0.3">
      <c r="A471" t="s">
        <v>5151</v>
      </c>
      <c r="C471" s="4">
        <v>385783.31</v>
      </c>
      <c r="D471" t="s">
        <v>16</v>
      </c>
    </row>
    <row r="472" spans="1:4" x14ac:dyDescent="0.3">
      <c r="A472" t="s">
        <v>5152</v>
      </c>
      <c r="C472" s="4">
        <v>711289.36</v>
      </c>
      <c r="D472" t="s">
        <v>109</v>
      </c>
    </row>
    <row r="473" spans="1:4" x14ac:dyDescent="0.3">
      <c r="A473" t="s">
        <v>5152</v>
      </c>
      <c r="C473" s="4">
        <v>577823.32999999996</v>
      </c>
      <c r="D473" t="s">
        <v>44</v>
      </c>
    </row>
    <row r="474" spans="1:4" x14ac:dyDescent="0.3">
      <c r="A474" t="s">
        <v>5152</v>
      </c>
      <c r="C474" s="4">
        <v>480310.17</v>
      </c>
      <c r="D474" t="s">
        <v>21</v>
      </c>
    </row>
    <row r="475" spans="1:4" x14ac:dyDescent="0.3">
      <c r="A475" t="s">
        <v>5152</v>
      </c>
      <c r="C475" s="4">
        <v>978879.54</v>
      </c>
      <c r="D475" t="s">
        <v>34</v>
      </c>
    </row>
    <row r="476" spans="1:4" x14ac:dyDescent="0.3">
      <c r="A476" t="s">
        <v>5152</v>
      </c>
      <c r="C476" s="4">
        <v>527786.41</v>
      </c>
      <c r="D476" t="s">
        <v>16</v>
      </c>
    </row>
    <row r="477" spans="1:4" x14ac:dyDescent="0.3">
      <c r="A477" t="s">
        <v>5153</v>
      </c>
      <c r="C477" s="4">
        <v>1027021.15</v>
      </c>
      <c r="D477" t="s">
        <v>109</v>
      </c>
    </row>
    <row r="478" spans="1:4" x14ac:dyDescent="0.3">
      <c r="A478" t="s">
        <v>5153</v>
      </c>
      <c r="C478" s="4">
        <v>400653.07</v>
      </c>
      <c r="D478" t="s">
        <v>44</v>
      </c>
    </row>
    <row r="479" spans="1:4" x14ac:dyDescent="0.3">
      <c r="A479" t="s">
        <v>5153</v>
      </c>
      <c r="C479" s="4">
        <v>944747.84</v>
      </c>
      <c r="D479" t="s">
        <v>21</v>
      </c>
    </row>
    <row r="480" spans="1:4" x14ac:dyDescent="0.3">
      <c r="A480" t="s">
        <v>5153</v>
      </c>
      <c r="C480" s="4">
        <v>1005819.74</v>
      </c>
      <c r="D480" t="s">
        <v>34</v>
      </c>
    </row>
    <row r="481" spans="1:4" x14ac:dyDescent="0.3">
      <c r="A481" t="s">
        <v>5153</v>
      </c>
      <c r="C481" s="4">
        <v>694964.3</v>
      </c>
      <c r="D481" t="s">
        <v>16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232C-8CCF-4C4D-BF1A-C5459ED09163}">
  <dimension ref="A1:C361"/>
  <sheetViews>
    <sheetView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2" max="2" width="14.109375" customWidth="1"/>
    <col min="3" max="3" width="17.21875" style="4" customWidth="1"/>
  </cols>
  <sheetData>
    <row r="1" spans="1:3" x14ac:dyDescent="0.3">
      <c r="A1" t="s">
        <v>5128</v>
      </c>
      <c r="B1" t="s">
        <v>2</v>
      </c>
      <c r="C1" s="4" t="s">
        <v>5129</v>
      </c>
    </row>
    <row r="2" spans="1:3" x14ac:dyDescent="0.3">
      <c r="A2" t="s">
        <v>5130</v>
      </c>
      <c r="B2" t="s">
        <v>107</v>
      </c>
      <c r="C2" s="4">
        <v>111819.17</v>
      </c>
    </row>
    <row r="3" spans="1:3" x14ac:dyDescent="0.3">
      <c r="A3" t="s">
        <v>5130</v>
      </c>
      <c r="B3" t="s">
        <v>131</v>
      </c>
      <c r="C3" s="4">
        <v>77401.460000000006</v>
      </c>
    </row>
    <row r="4" spans="1:3" x14ac:dyDescent="0.3">
      <c r="A4" t="s">
        <v>5130</v>
      </c>
      <c r="B4" t="s">
        <v>19</v>
      </c>
      <c r="C4" s="4">
        <v>87030.34</v>
      </c>
    </row>
    <row r="5" spans="1:3" x14ac:dyDescent="0.3">
      <c r="A5" t="s">
        <v>5130</v>
      </c>
      <c r="B5" t="s">
        <v>56</v>
      </c>
      <c r="C5" s="4">
        <v>45837.71</v>
      </c>
    </row>
    <row r="6" spans="1:3" x14ac:dyDescent="0.3">
      <c r="A6" t="s">
        <v>5130</v>
      </c>
      <c r="B6" t="s">
        <v>13</v>
      </c>
      <c r="C6" s="4">
        <v>55425.49</v>
      </c>
    </row>
    <row r="7" spans="1:3" x14ac:dyDescent="0.3">
      <c r="A7" t="s">
        <v>5130</v>
      </c>
      <c r="B7" t="s">
        <v>127</v>
      </c>
      <c r="C7" s="4">
        <v>61846.13</v>
      </c>
    </row>
    <row r="8" spans="1:3" x14ac:dyDescent="0.3">
      <c r="A8" t="s">
        <v>5130</v>
      </c>
      <c r="B8" t="s">
        <v>75</v>
      </c>
      <c r="C8" s="4">
        <v>119059.99</v>
      </c>
    </row>
    <row r="9" spans="1:3" x14ac:dyDescent="0.3">
      <c r="A9" t="s">
        <v>5130</v>
      </c>
      <c r="B9" t="s">
        <v>63</v>
      </c>
      <c r="C9" s="4">
        <v>68291.64</v>
      </c>
    </row>
    <row r="10" spans="1:3" x14ac:dyDescent="0.3">
      <c r="A10" t="s">
        <v>5130</v>
      </c>
      <c r="B10" t="s">
        <v>82</v>
      </c>
      <c r="C10" s="4">
        <v>113876.67</v>
      </c>
    </row>
    <row r="11" spans="1:3" x14ac:dyDescent="0.3">
      <c r="A11" t="s">
        <v>5130</v>
      </c>
      <c r="B11" t="s">
        <v>70</v>
      </c>
      <c r="C11" s="4">
        <v>82670.13</v>
      </c>
    </row>
    <row r="12" spans="1:3" x14ac:dyDescent="0.3">
      <c r="A12" t="s">
        <v>5130</v>
      </c>
      <c r="B12" t="s">
        <v>141</v>
      </c>
      <c r="C12" s="4">
        <v>73949.429999999993</v>
      </c>
    </row>
    <row r="13" spans="1:3" x14ac:dyDescent="0.3">
      <c r="A13" t="s">
        <v>5130</v>
      </c>
      <c r="B13" t="s">
        <v>41</v>
      </c>
      <c r="C13" s="4">
        <v>43954.69</v>
      </c>
    </row>
    <row r="14" spans="1:3" x14ac:dyDescent="0.3">
      <c r="A14" t="s">
        <v>5130</v>
      </c>
      <c r="B14" t="s">
        <v>59</v>
      </c>
      <c r="C14" s="4">
        <v>50594.32</v>
      </c>
    </row>
    <row r="15" spans="1:3" x14ac:dyDescent="0.3">
      <c r="A15" t="s">
        <v>5130</v>
      </c>
      <c r="B15" t="s">
        <v>31</v>
      </c>
      <c r="C15" s="4">
        <v>103249.72</v>
      </c>
    </row>
    <row r="16" spans="1:3" x14ac:dyDescent="0.3">
      <c r="A16" t="s">
        <v>5130</v>
      </c>
      <c r="B16" t="s">
        <v>27</v>
      </c>
      <c r="C16" s="4">
        <v>72480.149999999994</v>
      </c>
    </row>
    <row r="17" spans="1:3" x14ac:dyDescent="0.3">
      <c r="A17" t="s">
        <v>5131</v>
      </c>
      <c r="B17" t="s">
        <v>107</v>
      </c>
      <c r="C17" s="4">
        <v>124633.57</v>
      </c>
    </row>
    <row r="18" spans="1:3" x14ac:dyDescent="0.3">
      <c r="A18" t="s">
        <v>5131</v>
      </c>
      <c r="B18" t="s">
        <v>131</v>
      </c>
      <c r="C18" s="4">
        <v>90994.64</v>
      </c>
    </row>
    <row r="19" spans="1:3" x14ac:dyDescent="0.3">
      <c r="A19" t="s">
        <v>5131</v>
      </c>
      <c r="B19" t="s">
        <v>19</v>
      </c>
      <c r="C19" s="4">
        <v>103059.67</v>
      </c>
    </row>
    <row r="20" spans="1:3" x14ac:dyDescent="0.3">
      <c r="A20" t="s">
        <v>5131</v>
      </c>
      <c r="B20" t="s">
        <v>56</v>
      </c>
      <c r="C20" s="4">
        <v>120552.68</v>
      </c>
    </row>
    <row r="21" spans="1:3" x14ac:dyDescent="0.3">
      <c r="A21" t="s">
        <v>5131</v>
      </c>
      <c r="B21" t="s">
        <v>13</v>
      </c>
      <c r="C21" s="4">
        <v>110341.8</v>
      </c>
    </row>
    <row r="22" spans="1:3" x14ac:dyDescent="0.3">
      <c r="A22" t="s">
        <v>5131</v>
      </c>
      <c r="B22" t="s">
        <v>127</v>
      </c>
      <c r="C22" s="4">
        <v>69486.87</v>
      </c>
    </row>
    <row r="23" spans="1:3" x14ac:dyDescent="0.3">
      <c r="A23" t="s">
        <v>5131</v>
      </c>
      <c r="B23" t="s">
        <v>75</v>
      </c>
      <c r="C23" s="4">
        <v>71683.990000000005</v>
      </c>
    </row>
    <row r="24" spans="1:3" x14ac:dyDescent="0.3">
      <c r="A24" t="s">
        <v>5131</v>
      </c>
      <c r="B24" t="s">
        <v>63</v>
      </c>
      <c r="C24" s="4">
        <v>54998.31</v>
      </c>
    </row>
    <row r="25" spans="1:3" x14ac:dyDescent="0.3">
      <c r="A25" t="s">
        <v>5131</v>
      </c>
      <c r="B25" t="s">
        <v>82</v>
      </c>
      <c r="C25" s="4">
        <v>72930.67</v>
      </c>
    </row>
    <row r="26" spans="1:3" x14ac:dyDescent="0.3">
      <c r="A26" t="s">
        <v>5131</v>
      </c>
      <c r="B26" t="s">
        <v>70</v>
      </c>
      <c r="C26" s="4">
        <v>94815.98</v>
      </c>
    </row>
    <row r="27" spans="1:3" x14ac:dyDescent="0.3">
      <c r="A27" t="s">
        <v>5131</v>
      </c>
      <c r="B27" t="s">
        <v>141</v>
      </c>
      <c r="C27" s="4">
        <v>103271.25</v>
      </c>
    </row>
    <row r="28" spans="1:3" x14ac:dyDescent="0.3">
      <c r="A28" t="s">
        <v>5131</v>
      </c>
      <c r="B28" t="s">
        <v>41</v>
      </c>
      <c r="C28" s="4">
        <v>99259.74</v>
      </c>
    </row>
    <row r="29" spans="1:3" x14ac:dyDescent="0.3">
      <c r="A29" t="s">
        <v>5131</v>
      </c>
      <c r="B29" t="s">
        <v>59</v>
      </c>
      <c r="C29" s="4">
        <v>82058.28</v>
      </c>
    </row>
    <row r="30" spans="1:3" x14ac:dyDescent="0.3">
      <c r="A30" t="s">
        <v>5131</v>
      </c>
      <c r="B30" t="s">
        <v>31</v>
      </c>
      <c r="C30" s="4">
        <v>68112.66</v>
      </c>
    </row>
    <row r="31" spans="1:3" x14ac:dyDescent="0.3">
      <c r="A31" t="s">
        <v>5131</v>
      </c>
      <c r="B31" t="s">
        <v>27</v>
      </c>
      <c r="C31" s="4">
        <v>74845.679999999993</v>
      </c>
    </row>
    <row r="32" spans="1:3" x14ac:dyDescent="0.3">
      <c r="A32" t="s">
        <v>5132</v>
      </c>
      <c r="B32" t="s">
        <v>107</v>
      </c>
      <c r="C32" s="4">
        <v>84881.53</v>
      </c>
    </row>
    <row r="33" spans="1:3" x14ac:dyDescent="0.3">
      <c r="A33" t="s">
        <v>5132</v>
      </c>
      <c r="B33" t="s">
        <v>131</v>
      </c>
      <c r="C33" s="4">
        <v>67306.929999999993</v>
      </c>
    </row>
    <row r="34" spans="1:3" x14ac:dyDescent="0.3">
      <c r="A34" t="s">
        <v>5132</v>
      </c>
      <c r="B34" t="s">
        <v>19</v>
      </c>
      <c r="C34" s="4">
        <v>105847.87</v>
      </c>
    </row>
    <row r="35" spans="1:3" x14ac:dyDescent="0.3">
      <c r="A35" t="s">
        <v>5132</v>
      </c>
      <c r="B35" t="s">
        <v>56</v>
      </c>
      <c r="C35" s="4">
        <v>106363.86</v>
      </c>
    </row>
    <row r="36" spans="1:3" x14ac:dyDescent="0.3">
      <c r="A36" t="s">
        <v>5132</v>
      </c>
      <c r="B36" t="s">
        <v>13</v>
      </c>
      <c r="C36" s="4">
        <v>82913.48</v>
      </c>
    </row>
    <row r="37" spans="1:3" x14ac:dyDescent="0.3">
      <c r="A37" t="s">
        <v>5132</v>
      </c>
      <c r="B37" t="s">
        <v>127</v>
      </c>
      <c r="C37" s="4">
        <v>86451.55</v>
      </c>
    </row>
    <row r="38" spans="1:3" x14ac:dyDescent="0.3">
      <c r="A38" t="s">
        <v>5132</v>
      </c>
      <c r="B38" t="s">
        <v>75</v>
      </c>
      <c r="C38" s="4">
        <v>111629.37</v>
      </c>
    </row>
    <row r="39" spans="1:3" x14ac:dyDescent="0.3">
      <c r="A39" t="s">
        <v>5132</v>
      </c>
      <c r="B39" t="s">
        <v>63</v>
      </c>
      <c r="C39" s="4">
        <v>70641.38</v>
      </c>
    </row>
    <row r="40" spans="1:3" x14ac:dyDescent="0.3">
      <c r="A40" t="s">
        <v>5132</v>
      </c>
      <c r="B40" t="s">
        <v>82</v>
      </c>
      <c r="C40" s="4">
        <v>112658.73</v>
      </c>
    </row>
    <row r="41" spans="1:3" x14ac:dyDescent="0.3">
      <c r="A41" t="s">
        <v>5132</v>
      </c>
      <c r="B41" t="s">
        <v>70</v>
      </c>
      <c r="C41" s="4">
        <v>141240.46</v>
      </c>
    </row>
    <row r="42" spans="1:3" x14ac:dyDescent="0.3">
      <c r="A42" t="s">
        <v>5132</v>
      </c>
      <c r="B42" t="s">
        <v>141</v>
      </c>
      <c r="C42" s="4">
        <v>64763.22</v>
      </c>
    </row>
    <row r="43" spans="1:3" x14ac:dyDescent="0.3">
      <c r="A43" t="s">
        <v>5132</v>
      </c>
      <c r="B43" t="s">
        <v>41</v>
      </c>
      <c r="C43" s="4">
        <v>68781.08</v>
      </c>
    </row>
    <row r="44" spans="1:3" x14ac:dyDescent="0.3">
      <c r="A44" t="s">
        <v>5132</v>
      </c>
      <c r="B44" t="s">
        <v>59</v>
      </c>
      <c r="C44" s="4">
        <v>131795.01999999999</v>
      </c>
    </row>
    <row r="45" spans="1:3" x14ac:dyDescent="0.3">
      <c r="A45" t="s">
        <v>5132</v>
      </c>
      <c r="B45" t="s">
        <v>31</v>
      </c>
      <c r="C45" s="4">
        <v>79288.92</v>
      </c>
    </row>
    <row r="46" spans="1:3" x14ac:dyDescent="0.3">
      <c r="A46" t="s">
        <v>5132</v>
      </c>
      <c r="B46" t="s">
        <v>27</v>
      </c>
      <c r="C46" s="4">
        <v>132628.47</v>
      </c>
    </row>
    <row r="47" spans="1:3" x14ac:dyDescent="0.3">
      <c r="A47" t="s">
        <v>5133</v>
      </c>
      <c r="B47" t="s">
        <v>107</v>
      </c>
      <c r="C47" s="4">
        <v>58192.26</v>
      </c>
    </row>
    <row r="48" spans="1:3" x14ac:dyDescent="0.3">
      <c r="A48" t="s">
        <v>5133</v>
      </c>
      <c r="B48" t="s">
        <v>131</v>
      </c>
      <c r="C48" s="4">
        <v>94867.96</v>
      </c>
    </row>
    <row r="49" spans="1:3" x14ac:dyDescent="0.3">
      <c r="A49" t="s">
        <v>5133</v>
      </c>
      <c r="B49" t="s">
        <v>19</v>
      </c>
      <c r="C49" s="4">
        <v>83881.179999999993</v>
      </c>
    </row>
    <row r="50" spans="1:3" x14ac:dyDescent="0.3">
      <c r="A50" t="s">
        <v>5133</v>
      </c>
      <c r="B50" t="s">
        <v>56</v>
      </c>
      <c r="C50" s="4">
        <v>105431.44</v>
      </c>
    </row>
    <row r="51" spans="1:3" x14ac:dyDescent="0.3">
      <c r="A51" t="s">
        <v>5133</v>
      </c>
      <c r="B51" t="s">
        <v>13</v>
      </c>
      <c r="C51" s="4">
        <v>96989.02</v>
      </c>
    </row>
    <row r="52" spans="1:3" x14ac:dyDescent="0.3">
      <c r="A52" t="s">
        <v>5133</v>
      </c>
      <c r="B52" t="s">
        <v>127</v>
      </c>
      <c r="C52" s="4">
        <v>74166.38</v>
      </c>
    </row>
    <row r="53" spans="1:3" x14ac:dyDescent="0.3">
      <c r="A53" t="s">
        <v>5133</v>
      </c>
      <c r="B53" t="s">
        <v>75</v>
      </c>
      <c r="C53" s="4">
        <v>118227.14</v>
      </c>
    </row>
    <row r="54" spans="1:3" x14ac:dyDescent="0.3">
      <c r="A54" t="s">
        <v>5133</v>
      </c>
      <c r="B54" t="s">
        <v>63</v>
      </c>
      <c r="C54" s="4">
        <v>137169.62</v>
      </c>
    </row>
    <row r="55" spans="1:3" x14ac:dyDescent="0.3">
      <c r="A55" t="s">
        <v>5133</v>
      </c>
      <c r="B55" t="s">
        <v>82</v>
      </c>
      <c r="C55" s="4">
        <v>81932.570000000007</v>
      </c>
    </row>
    <row r="56" spans="1:3" x14ac:dyDescent="0.3">
      <c r="A56" t="s">
        <v>5133</v>
      </c>
      <c r="B56" t="s">
        <v>70</v>
      </c>
      <c r="C56" s="4">
        <v>103315.22</v>
      </c>
    </row>
    <row r="57" spans="1:3" x14ac:dyDescent="0.3">
      <c r="A57" t="s">
        <v>5133</v>
      </c>
      <c r="B57" t="s">
        <v>141</v>
      </c>
      <c r="C57" s="4">
        <v>106511.79</v>
      </c>
    </row>
    <row r="58" spans="1:3" x14ac:dyDescent="0.3">
      <c r="A58" t="s">
        <v>5133</v>
      </c>
      <c r="B58" t="s">
        <v>41</v>
      </c>
      <c r="C58" s="4">
        <v>64772.43</v>
      </c>
    </row>
    <row r="59" spans="1:3" x14ac:dyDescent="0.3">
      <c r="A59" t="s">
        <v>5133</v>
      </c>
      <c r="B59" t="s">
        <v>59</v>
      </c>
      <c r="C59" s="4">
        <v>115360.41</v>
      </c>
    </row>
    <row r="60" spans="1:3" x14ac:dyDescent="0.3">
      <c r="A60" t="s">
        <v>5133</v>
      </c>
      <c r="B60" t="s">
        <v>31</v>
      </c>
      <c r="C60" s="4">
        <v>53165.74</v>
      </c>
    </row>
    <row r="61" spans="1:3" x14ac:dyDescent="0.3">
      <c r="A61" t="s">
        <v>5133</v>
      </c>
      <c r="B61" t="s">
        <v>27</v>
      </c>
      <c r="C61" s="4">
        <v>86440.48</v>
      </c>
    </row>
    <row r="62" spans="1:3" x14ac:dyDescent="0.3">
      <c r="A62" t="s">
        <v>5134</v>
      </c>
      <c r="B62" t="s">
        <v>107</v>
      </c>
      <c r="C62" s="4">
        <v>90242.42</v>
      </c>
    </row>
    <row r="63" spans="1:3" x14ac:dyDescent="0.3">
      <c r="A63" t="s">
        <v>5134</v>
      </c>
      <c r="B63" t="s">
        <v>131</v>
      </c>
      <c r="C63" s="4">
        <v>55445.13</v>
      </c>
    </row>
    <row r="64" spans="1:3" x14ac:dyDescent="0.3">
      <c r="A64" t="s">
        <v>5134</v>
      </c>
      <c r="B64" t="s">
        <v>19</v>
      </c>
      <c r="C64" s="4">
        <v>78572.33</v>
      </c>
    </row>
    <row r="65" spans="1:3" x14ac:dyDescent="0.3">
      <c r="A65" t="s">
        <v>5134</v>
      </c>
      <c r="B65" t="s">
        <v>56</v>
      </c>
      <c r="C65" s="4">
        <v>127078.52</v>
      </c>
    </row>
    <row r="66" spans="1:3" x14ac:dyDescent="0.3">
      <c r="A66" t="s">
        <v>5134</v>
      </c>
      <c r="B66" t="s">
        <v>13</v>
      </c>
      <c r="C66" s="4">
        <v>111614.56</v>
      </c>
    </row>
    <row r="67" spans="1:3" x14ac:dyDescent="0.3">
      <c r="A67" t="s">
        <v>5134</v>
      </c>
      <c r="B67" t="s">
        <v>127</v>
      </c>
      <c r="C67" s="4">
        <v>62808.22</v>
      </c>
    </row>
    <row r="68" spans="1:3" x14ac:dyDescent="0.3">
      <c r="A68" t="s">
        <v>5134</v>
      </c>
      <c r="B68" t="s">
        <v>75</v>
      </c>
      <c r="C68" s="4">
        <v>143088.74</v>
      </c>
    </row>
    <row r="69" spans="1:3" x14ac:dyDescent="0.3">
      <c r="A69" t="s">
        <v>5134</v>
      </c>
      <c r="B69" t="s">
        <v>63</v>
      </c>
      <c r="C69" s="4">
        <v>136253.98000000001</v>
      </c>
    </row>
    <row r="70" spans="1:3" x14ac:dyDescent="0.3">
      <c r="A70" t="s">
        <v>5134</v>
      </c>
      <c r="B70" t="s">
        <v>82</v>
      </c>
      <c r="C70" s="4">
        <v>53217.53</v>
      </c>
    </row>
    <row r="71" spans="1:3" x14ac:dyDescent="0.3">
      <c r="A71" t="s">
        <v>5134</v>
      </c>
      <c r="B71" t="s">
        <v>70</v>
      </c>
      <c r="C71" s="4">
        <v>78651.710000000006</v>
      </c>
    </row>
    <row r="72" spans="1:3" x14ac:dyDescent="0.3">
      <c r="A72" t="s">
        <v>5134</v>
      </c>
      <c r="B72" t="s">
        <v>141</v>
      </c>
      <c r="C72" s="4">
        <v>134054.85</v>
      </c>
    </row>
    <row r="73" spans="1:3" x14ac:dyDescent="0.3">
      <c r="A73" t="s">
        <v>5134</v>
      </c>
      <c r="B73" t="s">
        <v>41</v>
      </c>
      <c r="C73" s="4">
        <v>56546.89</v>
      </c>
    </row>
    <row r="74" spans="1:3" x14ac:dyDescent="0.3">
      <c r="A74" t="s">
        <v>5134</v>
      </c>
      <c r="B74" t="s">
        <v>59</v>
      </c>
      <c r="C74" s="4">
        <v>120293.25</v>
      </c>
    </row>
    <row r="75" spans="1:3" x14ac:dyDescent="0.3">
      <c r="A75" t="s">
        <v>5134</v>
      </c>
      <c r="B75" t="s">
        <v>31</v>
      </c>
      <c r="C75" s="4">
        <v>109356.25</v>
      </c>
    </row>
    <row r="76" spans="1:3" x14ac:dyDescent="0.3">
      <c r="A76" t="s">
        <v>5134</v>
      </c>
      <c r="B76" t="s">
        <v>27</v>
      </c>
      <c r="C76" s="4">
        <v>117138.4</v>
      </c>
    </row>
    <row r="77" spans="1:3" x14ac:dyDescent="0.3">
      <c r="A77" t="s">
        <v>5135</v>
      </c>
      <c r="B77" t="s">
        <v>107</v>
      </c>
      <c r="C77" s="4">
        <v>132131.47</v>
      </c>
    </row>
    <row r="78" spans="1:3" x14ac:dyDescent="0.3">
      <c r="A78" t="s">
        <v>5135</v>
      </c>
      <c r="B78" t="s">
        <v>131</v>
      </c>
      <c r="C78" s="4">
        <v>136562.78</v>
      </c>
    </row>
    <row r="79" spans="1:3" x14ac:dyDescent="0.3">
      <c r="A79" t="s">
        <v>5135</v>
      </c>
      <c r="B79" t="s">
        <v>19</v>
      </c>
      <c r="C79" s="4">
        <v>67771.289999999994</v>
      </c>
    </row>
    <row r="80" spans="1:3" x14ac:dyDescent="0.3">
      <c r="A80" t="s">
        <v>5135</v>
      </c>
      <c r="B80" t="s">
        <v>56</v>
      </c>
      <c r="C80" s="4">
        <v>67951.06</v>
      </c>
    </row>
    <row r="81" spans="1:3" x14ac:dyDescent="0.3">
      <c r="A81" t="s">
        <v>5135</v>
      </c>
      <c r="B81" t="s">
        <v>13</v>
      </c>
      <c r="C81" s="4">
        <v>78626.59</v>
      </c>
    </row>
    <row r="82" spans="1:3" x14ac:dyDescent="0.3">
      <c r="A82" t="s">
        <v>5135</v>
      </c>
      <c r="B82" t="s">
        <v>127</v>
      </c>
      <c r="C82" s="4">
        <v>55861.15</v>
      </c>
    </row>
    <row r="83" spans="1:3" x14ac:dyDescent="0.3">
      <c r="A83" t="s">
        <v>5135</v>
      </c>
      <c r="B83" t="s">
        <v>75</v>
      </c>
      <c r="C83" s="4">
        <v>77473.03</v>
      </c>
    </row>
    <row r="84" spans="1:3" x14ac:dyDescent="0.3">
      <c r="A84" t="s">
        <v>5135</v>
      </c>
      <c r="B84" t="s">
        <v>63</v>
      </c>
      <c r="C84" s="4">
        <v>141364.26</v>
      </c>
    </row>
    <row r="85" spans="1:3" x14ac:dyDescent="0.3">
      <c r="A85" t="s">
        <v>5135</v>
      </c>
      <c r="B85" t="s">
        <v>82</v>
      </c>
      <c r="C85" s="4">
        <v>93995.56</v>
      </c>
    </row>
    <row r="86" spans="1:3" x14ac:dyDescent="0.3">
      <c r="A86" t="s">
        <v>5135</v>
      </c>
      <c r="B86" t="s">
        <v>70</v>
      </c>
      <c r="C86" s="4">
        <v>50667.86</v>
      </c>
    </row>
    <row r="87" spans="1:3" x14ac:dyDescent="0.3">
      <c r="A87" t="s">
        <v>5135</v>
      </c>
      <c r="B87" t="s">
        <v>141</v>
      </c>
      <c r="C87" s="4">
        <v>83744.160000000003</v>
      </c>
    </row>
    <row r="88" spans="1:3" x14ac:dyDescent="0.3">
      <c r="A88" t="s">
        <v>5135</v>
      </c>
      <c r="B88" t="s">
        <v>41</v>
      </c>
      <c r="C88" s="4">
        <v>75255.88</v>
      </c>
    </row>
    <row r="89" spans="1:3" x14ac:dyDescent="0.3">
      <c r="A89" t="s">
        <v>5135</v>
      </c>
      <c r="B89" t="s">
        <v>59</v>
      </c>
      <c r="C89" s="4">
        <v>112401.25</v>
      </c>
    </row>
    <row r="90" spans="1:3" x14ac:dyDescent="0.3">
      <c r="A90" t="s">
        <v>5135</v>
      </c>
      <c r="B90" t="s">
        <v>31</v>
      </c>
      <c r="C90" s="4">
        <v>104226.51</v>
      </c>
    </row>
    <row r="91" spans="1:3" x14ac:dyDescent="0.3">
      <c r="A91" t="s">
        <v>5135</v>
      </c>
      <c r="B91" t="s">
        <v>27</v>
      </c>
      <c r="C91" s="4">
        <v>52017.26</v>
      </c>
    </row>
    <row r="92" spans="1:3" x14ac:dyDescent="0.3">
      <c r="A92" t="s">
        <v>5136</v>
      </c>
      <c r="B92" t="s">
        <v>107</v>
      </c>
      <c r="C92" s="4">
        <v>73257.94</v>
      </c>
    </row>
    <row r="93" spans="1:3" x14ac:dyDescent="0.3">
      <c r="A93" t="s">
        <v>5136</v>
      </c>
      <c r="B93" t="s">
        <v>131</v>
      </c>
      <c r="C93" s="4">
        <v>69479.289999999994</v>
      </c>
    </row>
    <row r="94" spans="1:3" x14ac:dyDescent="0.3">
      <c r="A94" t="s">
        <v>5136</v>
      </c>
      <c r="B94" t="s">
        <v>19</v>
      </c>
      <c r="C94" s="4">
        <v>107749.6</v>
      </c>
    </row>
    <row r="95" spans="1:3" x14ac:dyDescent="0.3">
      <c r="A95" t="s">
        <v>5136</v>
      </c>
      <c r="B95" t="s">
        <v>56</v>
      </c>
      <c r="C95" s="4">
        <v>78160</v>
      </c>
    </row>
    <row r="96" spans="1:3" x14ac:dyDescent="0.3">
      <c r="A96" t="s">
        <v>5136</v>
      </c>
      <c r="B96" t="s">
        <v>13</v>
      </c>
      <c r="C96" s="4">
        <v>122224.16</v>
      </c>
    </row>
    <row r="97" spans="1:3" x14ac:dyDescent="0.3">
      <c r="A97" t="s">
        <v>5136</v>
      </c>
      <c r="B97" t="s">
        <v>127</v>
      </c>
      <c r="C97" s="4">
        <v>70265.66</v>
      </c>
    </row>
    <row r="98" spans="1:3" x14ac:dyDescent="0.3">
      <c r="A98" t="s">
        <v>5136</v>
      </c>
      <c r="B98" t="s">
        <v>75</v>
      </c>
      <c r="C98" s="4">
        <v>105616.22</v>
      </c>
    </row>
    <row r="99" spans="1:3" x14ac:dyDescent="0.3">
      <c r="A99" t="s">
        <v>5136</v>
      </c>
      <c r="B99" t="s">
        <v>63</v>
      </c>
      <c r="C99" s="4">
        <v>140605.23000000001</v>
      </c>
    </row>
    <row r="100" spans="1:3" x14ac:dyDescent="0.3">
      <c r="A100" t="s">
        <v>5136</v>
      </c>
      <c r="B100" t="s">
        <v>82</v>
      </c>
      <c r="C100" s="4">
        <v>142481.32</v>
      </c>
    </row>
    <row r="101" spans="1:3" x14ac:dyDescent="0.3">
      <c r="A101" t="s">
        <v>5136</v>
      </c>
      <c r="B101" t="s">
        <v>70</v>
      </c>
      <c r="C101" s="4">
        <v>108722.25</v>
      </c>
    </row>
    <row r="102" spans="1:3" x14ac:dyDescent="0.3">
      <c r="A102" t="s">
        <v>5136</v>
      </c>
      <c r="B102" t="s">
        <v>141</v>
      </c>
      <c r="C102" s="4">
        <v>89209.71</v>
      </c>
    </row>
    <row r="103" spans="1:3" x14ac:dyDescent="0.3">
      <c r="A103" t="s">
        <v>5136</v>
      </c>
      <c r="B103" t="s">
        <v>41</v>
      </c>
      <c r="C103" s="4">
        <v>129710.76</v>
      </c>
    </row>
    <row r="104" spans="1:3" x14ac:dyDescent="0.3">
      <c r="A104" t="s">
        <v>5136</v>
      </c>
      <c r="B104" t="s">
        <v>59</v>
      </c>
      <c r="C104" s="4">
        <v>133435.84</v>
      </c>
    </row>
    <row r="105" spans="1:3" x14ac:dyDescent="0.3">
      <c r="A105" t="s">
        <v>5136</v>
      </c>
      <c r="B105" t="s">
        <v>31</v>
      </c>
      <c r="C105" s="4">
        <v>55771.23</v>
      </c>
    </row>
    <row r="106" spans="1:3" x14ac:dyDescent="0.3">
      <c r="A106" t="s">
        <v>5136</v>
      </c>
      <c r="B106" t="s">
        <v>27</v>
      </c>
      <c r="C106" s="4">
        <v>83091.95</v>
      </c>
    </row>
    <row r="107" spans="1:3" x14ac:dyDescent="0.3">
      <c r="A107" t="s">
        <v>5137</v>
      </c>
      <c r="B107" t="s">
        <v>107</v>
      </c>
      <c r="C107" s="4">
        <v>68959.83</v>
      </c>
    </row>
    <row r="108" spans="1:3" x14ac:dyDescent="0.3">
      <c r="A108" t="s">
        <v>5137</v>
      </c>
      <c r="B108" t="s">
        <v>131</v>
      </c>
      <c r="C108" s="4">
        <v>99129.22</v>
      </c>
    </row>
    <row r="109" spans="1:3" x14ac:dyDescent="0.3">
      <c r="A109" t="s">
        <v>5137</v>
      </c>
      <c r="B109" t="s">
        <v>19</v>
      </c>
      <c r="C109" s="4">
        <v>82874.52</v>
      </c>
    </row>
    <row r="110" spans="1:3" x14ac:dyDescent="0.3">
      <c r="A110" t="s">
        <v>5137</v>
      </c>
      <c r="B110" t="s">
        <v>56</v>
      </c>
      <c r="C110" s="4">
        <v>115976.62</v>
      </c>
    </row>
    <row r="111" spans="1:3" x14ac:dyDescent="0.3">
      <c r="A111" t="s">
        <v>5137</v>
      </c>
      <c r="B111" t="s">
        <v>13</v>
      </c>
      <c r="C111" s="4">
        <v>138441.82</v>
      </c>
    </row>
    <row r="112" spans="1:3" x14ac:dyDescent="0.3">
      <c r="A112" t="s">
        <v>5137</v>
      </c>
      <c r="B112" t="s">
        <v>127</v>
      </c>
      <c r="C112" s="4">
        <v>84634.92</v>
      </c>
    </row>
    <row r="113" spans="1:3" x14ac:dyDescent="0.3">
      <c r="A113" t="s">
        <v>5137</v>
      </c>
      <c r="B113" t="s">
        <v>75</v>
      </c>
      <c r="C113" s="4">
        <v>138162.66</v>
      </c>
    </row>
    <row r="114" spans="1:3" x14ac:dyDescent="0.3">
      <c r="A114" t="s">
        <v>5137</v>
      </c>
      <c r="B114" t="s">
        <v>63</v>
      </c>
      <c r="C114" s="4">
        <v>113463.12</v>
      </c>
    </row>
    <row r="115" spans="1:3" x14ac:dyDescent="0.3">
      <c r="A115" t="s">
        <v>5137</v>
      </c>
      <c r="B115" t="s">
        <v>82</v>
      </c>
      <c r="C115" s="4">
        <v>109762.21</v>
      </c>
    </row>
    <row r="116" spans="1:3" x14ac:dyDescent="0.3">
      <c r="A116" t="s">
        <v>5137</v>
      </c>
      <c r="B116" t="s">
        <v>70</v>
      </c>
      <c r="C116" s="4">
        <v>123963.88</v>
      </c>
    </row>
    <row r="117" spans="1:3" x14ac:dyDescent="0.3">
      <c r="A117" t="s">
        <v>5137</v>
      </c>
      <c r="B117" t="s">
        <v>141</v>
      </c>
      <c r="C117" s="4">
        <v>90616.13</v>
      </c>
    </row>
    <row r="118" spans="1:3" x14ac:dyDescent="0.3">
      <c r="A118" t="s">
        <v>5137</v>
      </c>
      <c r="B118" t="s">
        <v>41</v>
      </c>
      <c r="C118" s="4">
        <v>109950.35</v>
      </c>
    </row>
    <row r="119" spans="1:3" x14ac:dyDescent="0.3">
      <c r="A119" t="s">
        <v>5137</v>
      </c>
      <c r="B119" t="s">
        <v>59</v>
      </c>
      <c r="C119" s="4">
        <v>67721.69</v>
      </c>
    </row>
    <row r="120" spans="1:3" x14ac:dyDescent="0.3">
      <c r="A120" t="s">
        <v>5137</v>
      </c>
      <c r="B120" t="s">
        <v>31</v>
      </c>
      <c r="C120" s="4">
        <v>61941.99</v>
      </c>
    </row>
    <row r="121" spans="1:3" x14ac:dyDescent="0.3">
      <c r="A121" t="s">
        <v>5137</v>
      </c>
      <c r="B121" t="s">
        <v>27</v>
      </c>
      <c r="C121" s="4">
        <v>142882.82</v>
      </c>
    </row>
    <row r="122" spans="1:3" x14ac:dyDescent="0.3">
      <c r="A122" t="s">
        <v>5138</v>
      </c>
      <c r="B122" t="s">
        <v>107</v>
      </c>
      <c r="C122" s="4">
        <v>129872.22</v>
      </c>
    </row>
    <row r="123" spans="1:3" x14ac:dyDescent="0.3">
      <c r="A123" t="s">
        <v>5138</v>
      </c>
      <c r="B123" t="s">
        <v>131</v>
      </c>
      <c r="C123" s="4">
        <v>68150.91</v>
      </c>
    </row>
    <row r="124" spans="1:3" x14ac:dyDescent="0.3">
      <c r="A124" t="s">
        <v>5138</v>
      </c>
      <c r="B124" t="s">
        <v>19</v>
      </c>
      <c r="C124" s="4">
        <v>122972.99</v>
      </c>
    </row>
    <row r="125" spans="1:3" x14ac:dyDescent="0.3">
      <c r="A125" t="s">
        <v>5138</v>
      </c>
      <c r="B125" t="s">
        <v>56</v>
      </c>
      <c r="C125" s="4">
        <v>120445.83</v>
      </c>
    </row>
    <row r="126" spans="1:3" x14ac:dyDescent="0.3">
      <c r="A126" t="s">
        <v>5138</v>
      </c>
      <c r="B126" t="s">
        <v>13</v>
      </c>
      <c r="C126" s="4">
        <v>117438.68</v>
      </c>
    </row>
    <row r="127" spans="1:3" x14ac:dyDescent="0.3">
      <c r="A127" t="s">
        <v>5138</v>
      </c>
      <c r="B127" t="s">
        <v>127</v>
      </c>
      <c r="C127" s="4">
        <v>102191.77</v>
      </c>
    </row>
    <row r="128" spans="1:3" x14ac:dyDescent="0.3">
      <c r="A128" t="s">
        <v>5138</v>
      </c>
      <c r="B128" t="s">
        <v>75</v>
      </c>
      <c r="C128" s="4">
        <v>55996.46</v>
      </c>
    </row>
    <row r="129" spans="1:3" x14ac:dyDescent="0.3">
      <c r="A129" t="s">
        <v>5138</v>
      </c>
      <c r="B129" t="s">
        <v>63</v>
      </c>
      <c r="C129" s="4">
        <v>58256.71</v>
      </c>
    </row>
    <row r="130" spans="1:3" x14ac:dyDescent="0.3">
      <c r="A130" t="s">
        <v>5138</v>
      </c>
      <c r="B130" t="s">
        <v>82</v>
      </c>
      <c r="C130" s="4">
        <v>61493.93</v>
      </c>
    </row>
    <row r="131" spans="1:3" x14ac:dyDescent="0.3">
      <c r="A131" t="s">
        <v>5138</v>
      </c>
      <c r="B131" t="s">
        <v>70</v>
      </c>
      <c r="C131" s="4">
        <v>56381.16</v>
      </c>
    </row>
    <row r="132" spans="1:3" x14ac:dyDescent="0.3">
      <c r="A132" t="s">
        <v>5138</v>
      </c>
      <c r="B132" t="s">
        <v>141</v>
      </c>
      <c r="C132" s="4">
        <v>81243.399999999994</v>
      </c>
    </row>
    <row r="133" spans="1:3" x14ac:dyDescent="0.3">
      <c r="A133" t="s">
        <v>5138</v>
      </c>
      <c r="B133" t="s">
        <v>41</v>
      </c>
      <c r="C133" s="4">
        <v>105900.02</v>
      </c>
    </row>
    <row r="134" spans="1:3" x14ac:dyDescent="0.3">
      <c r="A134" t="s">
        <v>5138</v>
      </c>
      <c r="B134" t="s">
        <v>59</v>
      </c>
      <c r="C134" s="4">
        <v>84111.72</v>
      </c>
    </row>
    <row r="135" spans="1:3" x14ac:dyDescent="0.3">
      <c r="A135" t="s">
        <v>5138</v>
      </c>
      <c r="B135" t="s">
        <v>31</v>
      </c>
      <c r="C135" s="4">
        <v>138732.43</v>
      </c>
    </row>
    <row r="136" spans="1:3" x14ac:dyDescent="0.3">
      <c r="A136" t="s">
        <v>5138</v>
      </c>
      <c r="B136" t="s">
        <v>27</v>
      </c>
      <c r="C136" s="4">
        <v>73948.28</v>
      </c>
    </row>
    <row r="137" spans="1:3" x14ac:dyDescent="0.3">
      <c r="A137" t="s">
        <v>5139</v>
      </c>
      <c r="B137" t="s">
        <v>107</v>
      </c>
      <c r="C137" s="4">
        <v>54966.01</v>
      </c>
    </row>
    <row r="138" spans="1:3" x14ac:dyDescent="0.3">
      <c r="A138" t="s">
        <v>5139</v>
      </c>
      <c r="B138" t="s">
        <v>131</v>
      </c>
      <c r="C138" s="4">
        <v>70093.72</v>
      </c>
    </row>
    <row r="139" spans="1:3" x14ac:dyDescent="0.3">
      <c r="A139" t="s">
        <v>5139</v>
      </c>
      <c r="B139" t="s">
        <v>19</v>
      </c>
      <c r="C139" s="4">
        <v>109210.69</v>
      </c>
    </row>
    <row r="140" spans="1:3" x14ac:dyDescent="0.3">
      <c r="A140" t="s">
        <v>5139</v>
      </c>
      <c r="B140" t="s">
        <v>56</v>
      </c>
      <c r="C140" s="4">
        <v>146400.76999999999</v>
      </c>
    </row>
    <row r="141" spans="1:3" x14ac:dyDescent="0.3">
      <c r="A141" t="s">
        <v>5139</v>
      </c>
      <c r="B141" t="s">
        <v>13</v>
      </c>
      <c r="C141" s="4">
        <v>127007.67999999999</v>
      </c>
    </row>
    <row r="142" spans="1:3" x14ac:dyDescent="0.3">
      <c r="A142" t="s">
        <v>5139</v>
      </c>
      <c r="B142" t="s">
        <v>127</v>
      </c>
      <c r="C142" s="4">
        <v>110173.98</v>
      </c>
    </row>
    <row r="143" spans="1:3" x14ac:dyDescent="0.3">
      <c r="A143" t="s">
        <v>5139</v>
      </c>
      <c r="B143" t="s">
        <v>75</v>
      </c>
      <c r="C143" s="4">
        <v>57565.64</v>
      </c>
    </row>
    <row r="144" spans="1:3" x14ac:dyDescent="0.3">
      <c r="A144" t="s">
        <v>5139</v>
      </c>
      <c r="B144" t="s">
        <v>63</v>
      </c>
      <c r="C144" s="4">
        <v>56147.9</v>
      </c>
    </row>
    <row r="145" spans="1:3" x14ac:dyDescent="0.3">
      <c r="A145" t="s">
        <v>5139</v>
      </c>
      <c r="B145" t="s">
        <v>82</v>
      </c>
      <c r="C145" s="4">
        <v>117690.32</v>
      </c>
    </row>
    <row r="146" spans="1:3" x14ac:dyDescent="0.3">
      <c r="A146" t="s">
        <v>5139</v>
      </c>
      <c r="B146" t="s">
        <v>70</v>
      </c>
      <c r="C146" s="4">
        <v>104296.47</v>
      </c>
    </row>
    <row r="147" spans="1:3" x14ac:dyDescent="0.3">
      <c r="A147" t="s">
        <v>5139</v>
      </c>
      <c r="B147" t="s">
        <v>141</v>
      </c>
      <c r="C147" s="4">
        <v>149438.59</v>
      </c>
    </row>
    <row r="148" spans="1:3" x14ac:dyDescent="0.3">
      <c r="A148" t="s">
        <v>5139</v>
      </c>
      <c r="B148" t="s">
        <v>41</v>
      </c>
      <c r="C148" s="4">
        <v>97381.45</v>
      </c>
    </row>
    <row r="149" spans="1:3" x14ac:dyDescent="0.3">
      <c r="A149" t="s">
        <v>5139</v>
      </c>
      <c r="B149" t="s">
        <v>59</v>
      </c>
      <c r="C149" s="4">
        <v>148565.76000000001</v>
      </c>
    </row>
    <row r="150" spans="1:3" x14ac:dyDescent="0.3">
      <c r="A150" t="s">
        <v>5139</v>
      </c>
      <c r="B150" t="s">
        <v>31</v>
      </c>
      <c r="C150" s="4">
        <v>52377.84</v>
      </c>
    </row>
    <row r="151" spans="1:3" x14ac:dyDescent="0.3">
      <c r="A151" t="s">
        <v>5139</v>
      </c>
      <c r="B151" t="s">
        <v>27</v>
      </c>
      <c r="C151" s="4">
        <v>134043.6</v>
      </c>
    </row>
    <row r="152" spans="1:3" x14ac:dyDescent="0.3">
      <c r="A152" t="s">
        <v>5140</v>
      </c>
      <c r="B152" t="s">
        <v>107</v>
      </c>
      <c r="C152" s="4">
        <v>139076.6</v>
      </c>
    </row>
    <row r="153" spans="1:3" x14ac:dyDescent="0.3">
      <c r="A153" t="s">
        <v>5140</v>
      </c>
      <c r="B153" t="s">
        <v>131</v>
      </c>
      <c r="C153" s="4">
        <v>120857.05</v>
      </c>
    </row>
    <row r="154" spans="1:3" x14ac:dyDescent="0.3">
      <c r="A154" t="s">
        <v>5140</v>
      </c>
      <c r="B154" t="s">
        <v>19</v>
      </c>
      <c r="C154" s="4">
        <v>187588.53</v>
      </c>
    </row>
    <row r="155" spans="1:3" x14ac:dyDescent="0.3">
      <c r="A155" t="s">
        <v>5140</v>
      </c>
      <c r="B155" t="s">
        <v>56</v>
      </c>
      <c r="C155" s="4">
        <v>121764.45</v>
      </c>
    </row>
    <row r="156" spans="1:3" x14ac:dyDescent="0.3">
      <c r="A156" t="s">
        <v>5140</v>
      </c>
      <c r="B156" t="s">
        <v>13</v>
      </c>
      <c r="C156" s="4">
        <v>115196.97</v>
      </c>
    </row>
    <row r="157" spans="1:3" x14ac:dyDescent="0.3">
      <c r="A157" t="s">
        <v>5140</v>
      </c>
      <c r="B157" t="s">
        <v>127</v>
      </c>
      <c r="C157" s="4">
        <v>98519.13</v>
      </c>
    </row>
    <row r="158" spans="1:3" x14ac:dyDescent="0.3">
      <c r="A158" t="s">
        <v>5140</v>
      </c>
      <c r="B158" t="s">
        <v>75</v>
      </c>
      <c r="C158" s="4">
        <v>172266.84</v>
      </c>
    </row>
    <row r="159" spans="1:3" x14ac:dyDescent="0.3">
      <c r="A159" t="s">
        <v>5140</v>
      </c>
      <c r="B159" t="s">
        <v>63</v>
      </c>
      <c r="C159" s="4">
        <v>127608.7</v>
      </c>
    </row>
    <row r="160" spans="1:3" x14ac:dyDescent="0.3">
      <c r="A160" t="s">
        <v>5140</v>
      </c>
      <c r="B160" t="s">
        <v>82</v>
      </c>
      <c r="C160" s="4">
        <v>179863.26</v>
      </c>
    </row>
    <row r="161" spans="1:3" x14ac:dyDescent="0.3">
      <c r="A161" t="s">
        <v>5140</v>
      </c>
      <c r="B161" t="s">
        <v>70</v>
      </c>
      <c r="C161" s="4">
        <v>189308.32</v>
      </c>
    </row>
    <row r="162" spans="1:3" x14ac:dyDescent="0.3">
      <c r="A162" t="s">
        <v>5140</v>
      </c>
      <c r="B162" t="s">
        <v>141</v>
      </c>
      <c r="C162" s="4">
        <v>97573.15</v>
      </c>
    </row>
    <row r="163" spans="1:3" x14ac:dyDescent="0.3">
      <c r="A163" t="s">
        <v>5140</v>
      </c>
      <c r="B163" t="s">
        <v>41</v>
      </c>
      <c r="C163" s="4">
        <v>74284.63</v>
      </c>
    </row>
    <row r="164" spans="1:3" x14ac:dyDescent="0.3">
      <c r="A164" t="s">
        <v>5140</v>
      </c>
      <c r="B164" t="s">
        <v>59</v>
      </c>
      <c r="C164" s="4">
        <v>127818.67</v>
      </c>
    </row>
    <row r="165" spans="1:3" x14ac:dyDescent="0.3">
      <c r="A165" t="s">
        <v>5140</v>
      </c>
      <c r="B165" t="s">
        <v>31</v>
      </c>
      <c r="C165" s="4">
        <v>78271.320000000007</v>
      </c>
    </row>
    <row r="166" spans="1:3" x14ac:dyDescent="0.3">
      <c r="A166" t="s">
        <v>5140</v>
      </c>
      <c r="B166" t="s">
        <v>27</v>
      </c>
      <c r="C166" s="4">
        <v>183588.26</v>
      </c>
    </row>
    <row r="167" spans="1:3" x14ac:dyDescent="0.3">
      <c r="A167" t="s">
        <v>5141</v>
      </c>
      <c r="B167" t="s">
        <v>107</v>
      </c>
      <c r="C167" s="4">
        <v>165475.45000000001</v>
      </c>
    </row>
    <row r="168" spans="1:3" x14ac:dyDescent="0.3">
      <c r="A168" t="s">
        <v>5141</v>
      </c>
      <c r="B168" t="s">
        <v>131</v>
      </c>
      <c r="C168" s="4">
        <v>93319.8</v>
      </c>
    </row>
    <row r="169" spans="1:3" x14ac:dyDescent="0.3">
      <c r="A169" t="s">
        <v>5141</v>
      </c>
      <c r="B169" t="s">
        <v>19</v>
      </c>
      <c r="C169" s="4">
        <v>165997.6</v>
      </c>
    </row>
    <row r="170" spans="1:3" x14ac:dyDescent="0.3">
      <c r="A170" t="s">
        <v>5141</v>
      </c>
      <c r="B170" t="s">
        <v>56</v>
      </c>
      <c r="C170" s="4">
        <v>96626.34</v>
      </c>
    </row>
    <row r="171" spans="1:3" x14ac:dyDescent="0.3">
      <c r="A171" t="s">
        <v>5141</v>
      </c>
      <c r="B171" t="s">
        <v>13</v>
      </c>
      <c r="C171" s="4">
        <v>169455.94</v>
      </c>
    </row>
    <row r="172" spans="1:3" x14ac:dyDescent="0.3">
      <c r="A172" t="s">
        <v>5141</v>
      </c>
      <c r="B172" t="s">
        <v>127</v>
      </c>
      <c r="C172" s="4">
        <v>70353.179999999993</v>
      </c>
    </row>
    <row r="173" spans="1:3" x14ac:dyDescent="0.3">
      <c r="A173" t="s">
        <v>5141</v>
      </c>
      <c r="B173" t="s">
        <v>75</v>
      </c>
      <c r="C173" s="4">
        <v>109528.85</v>
      </c>
    </row>
    <row r="174" spans="1:3" x14ac:dyDescent="0.3">
      <c r="A174" t="s">
        <v>5141</v>
      </c>
      <c r="B174" t="s">
        <v>63</v>
      </c>
      <c r="C174" s="4">
        <v>68641.17</v>
      </c>
    </row>
    <row r="175" spans="1:3" x14ac:dyDescent="0.3">
      <c r="A175" t="s">
        <v>5141</v>
      </c>
      <c r="B175" t="s">
        <v>82</v>
      </c>
      <c r="C175" s="4">
        <v>72291.91</v>
      </c>
    </row>
    <row r="176" spans="1:3" x14ac:dyDescent="0.3">
      <c r="A176" t="s">
        <v>5141</v>
      </c>
      <c r="B176" t="s">
        <v>70</v>
      </c>
      <c r="C176" s="4">
        <v>111467.73</v>
      </c>
    </row>
    <row r="177" spans="1:3" x14ac:dyDescent="0.3">
      <c r="A177" t="s">
        <v>5141</v>
      </c>
      <c r="B177" t="s">
        <v>141</v>
      </c>
      <c r="C177" s="4">
        <v>69533.75</v>
      </c>
    </row>
    <row r="178" spans="1:3" x14ac:dyDescent="0.3">
      <c r="A178" t="s">
        <v>5141</v>
      </c>
      <c r="B178" t="s">
        <v>41</v>
      </c>
      <c r="C178" s="4">
        <v>149208.99</v>
      </c>
    </row>
    <row r="179" spans="1:3" x14ac:dyDescent="0.3">
      <c r="A179" t="s">
        <v>5141</v>
      </c>
      <c r="B179" t="s">
        <v>59</v>
      </c>
      <c r="C179" s="4">
        <v>104927.05</v>
      </c>
    </row>
    <row r="180" spans="1:3" x14ac:dyDescent="0.3">
      <c r="A180" t="s">
        <v>5141</v>
      </c>
      <c r="B180" t="s">
        <v>31</v>
      </c>
      <c r="C180" s="4">
        <v>164838.6</v>
      </c>
    </row>
    <row r="181" spans="1:3" x14ac:dyDescent="0.3">
      <c r="A181" t="s">
        <v>5141</v>
      </c>
      <c r="B181" t="s">
        <v>27</v>
      </c>
      <c r="C181" s="4">
        <v>108167.59</v>
      </c>
    </row>
    <row r="182" spans="1:3" x14ac:dyDescent="0.3">
      <c r="A182" t="s">
        <v>5142</v>
      </c>
      <c r="B182" t="s">
        <v>107</v>
      </c>
      <c r="C182" s="4">
        <v>122297.32</v>
      </c>
    </row>
    <row r="183" spans="1:3" x14ac:dyDescent="0.3">
      <c r="A183" t="s">
        <v>5142</v>
      </c>
      <c r="B183" t="s">
        <v>131</v>
      </c>
      <c r="C183" s="4">
        <v>126009.54</v>
      </c>
    </row>
    <row r="184" spans="1:3" x14ac:dyDescent="0.3">
      <c r="A184" t="s">
        <v>5142</v>
      </c>
      <c r="B184" t="s">
        <v>19</v>
      </c>
      <c r="C184" s="4">
        <v>69123.05</v>
      </c>
    </row>
    <row r="185" spans="1:3" x14ac:dyDescent="0.3">
      <c r="A185" t="s">
        <v>5142</v>
      </c>
      <c r="B185" t="s">
        <v>56</v>
      </c>
      <c r="C185" s="4">
        <v>123023.02</v>
      </c>
    </row>
    <row r="186" spans="1:3" x14ac:dyDescent="0.3">
      <c r="A186" t="s">
        <v>5142</v>
      </c>
      <c r="B186" t="s">
        <v>13</v>
      </c>
      <c r="C186" s="4">
        <v>87950.12</v>
      </c>
    </row>
    <row r="187" spans="1:3" x14ac:dyDescent="0.3">
      <c r="A187" t="s">
        <v>5142</v>
      </c>
      <c r="B187" t="s">
        <v>127</v>
      </c>
      <c r="C187" s="4">
        <v>104629.58</v>
      </c>
    </row>
    <row r="188" spans="1:3" x14ac:dyDescent="0.3">
      <c r="A188" t="s">
        <v>5142</v>
      </c>
      <c r="B188" t="s">
        <v>75</v>
      </c>
      <c r="C188" s="4">
        <v>75979.009999999995</v>
      </c>
    </row>
    <row r="189" spans="1:3" x14ac:dyDescent="0.3">
      <c r="A189" t="s">
        <v>5142</v>
      </c>
      <c r="B189" t="s">
        <v>63</v>
      </c>
      <c r="C189" s="4">
        <v>87402.68</v>
      </c>
    </row>
    <row r="190" spans="1:3" x14ac:dyDescent="0.3">
      <c r="A190" t="s">
        <v>5142</v>
      </c>
      <c r="B190" t="s">
        <v>82</v>
      </c>
      <c r="C190" s="4">
        <v>50628.22</v>
      </c>
    </row>
    <row r="191" spans="1:3" x14ac:dyDescent="0.3">
      <c r="A191" t="s">
        <v>5142</v>
      </c>
      <c r="B191" t="s">
        <v>70</v>
      </c>
      <c r="C191" s="4">
        <v>122715.36</v>
      </c>
    </row>
    <row r="192" spans="1:3" x14ac:dyDescent="0.3">
      <c r="A192" t="s">
        <v>5142</v>
      </c>
      <c r="B192" t="s">
        <v>141</v>
      </c>
      <c r="C192" s="4">
        <v>91171.93</v>
      </c>
    </row>
    <row r="193" spans="1:3" x14ac:dyDescent="0.3">
      <c r="A193" t="s">
        <v>5142</v>
      </c>
      <c r="B193" t="s">
        <v>41</v>
      </c>
      <c r="C193" s="4">
        <v>112661.03</v>
      </c>
    </row>
    <row r="194" spans="1:3" x14ac:dyDescent="0.3">
      <c r="A194" t="s">
        <v>5142</v>
      </c>
      <c r="B194" t="s">
        <v>59</v>
      </c>
      <c r="C194" s="4">
        <v>74792.479999999996</v>
      </c>
    </row>
    <row r="195" spans="1:3" x14ac:dyDescent="0.3">
      <c r="A195" t="s">
        <v>5142</v>
      </c>
      <c r="B195" t="s">
        <v>31</v>
      </c>
      <c r="C195" s="4">
        <v>109056.96000000001</v>
      </c>
    </row>
    <row r="196" spans="1:3" x14ac:dyDescent="0.3">
      <c r="A196" t="s">
        <v>5142</v>
      </c>
      <c r="B196" t="s">
        <v>27</v>
      </c>
      <c r="C196" s="4">
        <v>104823.64</v>
      </c>
    </row>
    <row r="197" spans="1:3" x14ac:dyDescent="0.3">
      <c r="A197" t="s">
        <v>5143</v>
      </c>
      <c r="B197" t="s">
        <v>107</v>
      </c>
      <c r="C197" s="4">
        <v>54485.46</v>
      </c>
    </row>
    <row r="198" spans="1:3" x14ac:dyDescent="0.3">
      <c r="A198" t="s">
        <v>5143</v>
      </c>
      <c r="B198" t="s">
        <v>131</v>
      </c>
      <c r="C198" s="4">
        <v>90860.27</v>
      </c>
    </row>
    <row r="199" spans="1:3" x14ac:dyDescent="0.3">
      <c r="A199" t="s">
        <v>5143</v>
      </c>
      <c r="B199" t="s">
        <v>19</v>
      </c>
      <c r="C199" s="4">
        <v>110211.16</v>
      </c>
    </row>
    <row r="200" spans="1:3" x14ac:dyDescent="0.3">
      <c r="A200" t="s">
        <v>5143</v>
      </c>
      <c r="B200" t="s">
        <v>56</v>
      </c>
      <c r="C200" s="4">
        <v>46788.31</v>
      </c>
    </row>
    <row r="201" spans="1:3" x14ac:dyDescent="0.3">
      <c r="A201" t="s">
        <v>5143</v>
      </c>
      <c r="B201" t="s">
        <v>13</v>
      </c>
      <c r="C201" s="4">
        <v>107303.27</v>
      </c>
    </row>
    <row r="202" spans="1:3" x14ac:dyDescent="0.3">
      <c r="A202" t="s">
        <v>5143</v>
      </c>
      <c r="B202" t="s">
        <v>127</v>
      </c>
      <c r="C202" s="4">
        <v>121803.4</v>
      </c>
    </row>
    <row r="203" spans="1:3" x14ac:dyDescent="0.3">
      <c r="A203" t="s">
        <v>5143</v>
      </c>
      <c r="B203" t="s">
        <v>75</v>
      </c>
      <c r="C203" s="4">
        <v>124282.42</v>
      </c>
    </row>
    <row r="204" spans="1:3" x14ac:dyDescent="0.3">
      <c r="A204" t="s">
        <v>5143</v>
      </c>
      <c r="B204" t="s">
        <v>63</v>
      </c>
      <c r="C204" s="4">
        <v>90079.42</v>
      </c>
    </row>
    <row r="205" spans="1:3" x14ac:dyDescent="0.3">
      <c r="A205" t="s">
        <v>5143</v>
      </c>
      <c r="B205" t="s">
        <v>82</v>
      </c>
      <c r="C205" s="4">
        <v>123507.25</v>
      </c>
    </row>
    <row r="206" spans="1:3" x14ac:dyDescent="0.3">
      <c r="A206" t="s">
        <v>5143</v>
      </c>
      <c r="B206" t="s">
        <v>70</v>
      </c>
      <c r="C206" s="4">
        <v>87199.31</v>
      </c>
    </row>
    <row r="207" spans="1:3" x14ac:dyDescent="0.3">
      <c r="A207" t="s">
        <v>5143</v>
      </c>
      <c r="B207" t="s">
        <v>141</v>
      </c>
      <c r="C207" s="4">
        <v>45775.44</v>
      </c>
    </row>
    <row r="208" spans="1:3" x14ac:dyDescent="0.3">
      <c r="A208" t="s">
        <v>5143</v>
      </c>
      <c r="B208" t="s">
        <v>41</v>
      </c>
      <c r="C208" s="4">
        <v>74880.69</v>
      </c>
    </row>
    <row r="209" spans="1:3" x14ac:dyDescent="0.3">
      <c r="A209" t="s">
        <v>5143</v>
      </c>
      <c r="B209" t="s">
        <v>59</v>
      </c>
      <c r="C209" s="4">
        <v>62058.32</v>
      </c>
    </row>
    <row r="210" spans="1:3" x14ac:dyDescent="0.3">
      <c r="A210" t="s">
        <v>5143</v>
      </c>
      <c r="B210" t="s">
        <v>31</v>
      </c>
      <c r="C210" s="4">
        <v>72029.66</v>
      </c>
    </row>
    <row r="211" spans="1:3" x14ac:dyDescent="0.3">
      <c r="A211" t="s">
        <v>5143</v>
      </c>
      <c r="B211" t="s">
        <v>27</v>
      </c>
      <c r="C211" s="4">
        <v>61000.31</v>
      </c>
    </row>
    <row r="212" spans="1:3" x14ac:dyDescent="0.3">
      <c r="A212" t="s">
        <v>5144</v>
      </c>
      <c r="B212" t="s">
        <v>107</v>
      </c>
      <c r="C212" s="4">
        <v>53611.81</v>
      </c>
    </row>
    <row r="213" spans="1:3" x14ac:dyDescent="0.3">
      <c r="A213" t="s">
        <v>5144</v>
      </c>
      <c r="B213" t="s">
        <v>131</v>
      </c>
      <c r="C213" s="4">
        <v>139832.10999999999</v>
      </c>
    </row>
    <row r="214" spans="1:3" x14ac:dyDescent="0.3">
      <c r="A214" t="s">
        <v>5144</v>
      </c>
      <c r="B214" t="s">
        <v>19</v>
      </c>
      <c r="C214" s="4">
        <v>147354.25</v>
      </c>
    </row>
    <row r="215" spans="1:3" x14ac:dyDescent="0.3">
      <c r="A215" t="s">
        <v>5144</v>
      </c>
      <c r="B215" t="s">
        <v>56</v>
      </c>
      <c r="C215" s="4">
        <v>71208.94</v>
      </c>
    </row>
    <row r="216" spans="1:3" x14ac:dyDescent="0.3">
      <c r="A216" t="s">
        <v>5144</v>
      </c>
      <c r="B216" t="s">
        <v>13</v>
      </c>
      <c r="C216" s="4">
        <v>76364.08</v>
      </c>
    </row>
    <row r="217" spans="1:3" x14ac:dyDescent="0.3">
      <c r="A217" t="s">
        <v>5144</v>
      </c>
      <c r="B217" t="s">
        <v>127</v>
      </c>
      <c r="C217" s="4">
        <v>115950.13</v>
      </c>
    </row>
    <row r="218" spans="1:3" x14ac:dyDescent="0.3">
      <c r="A218" t="s">
        <v>5144</v>
      </c>
      <c r="B218" t="s">
        <v>75</v>
      </c>
      <c r="C218" s="4">
        <v>143646.34</v>
      </c>
    </row>
    <row r="219" spans="1:3" x14ac:dyDescent="0.3">
      <c r="A219" t="s">
        <v>5144</v>
      </c>
      <c r="B219" t="s">
        <v>63</v>
      </c>
      <c r="C219" s="4">
        <v>109988.59</v>
      </c>
    </row>
    <row r="220" spans="1:3" x14ac:dyDescent="0.3">
      <c r="A220" t="s">
        <v>5144</v>
      </c>
      <c r="B220" t="s">
        <v>82</v>
      </c>
      <c r="C220" s="4">
        <v>51922.67</v>
      </c>
    </row>
    <row r="221" spans="1:3" x14ac:dyDescent="0.3">
      <c r="A221" t="s">
        <v>5144</v>
      </c>
      <c r="B221" t="s">
        <v>70</v>
      </c>
      <c r="C221" s="4">
        <v>136519.38</v>
      </c>
    </row>
    <row r="222" spans="1:3" x14ac:dyDescent="0.3">
      <c r="A222" t="s">
        <v>5144</v>
      </c>
      <c r="B222" t="s">
        <v>141</v>
      </c>
      <c r="C222" s="4">
        <v>70859.100000000006</v>
      </c>
    </row>
    <row r="223" spans="1:3" x14ac:dyDescent="0.3">
      <c r="A223" t="s">
        <v>5144</v>
      </c>
      <c r="B223" t="s">
        <v>41</v>
      </c>
      <c r="C223" s="4">
        <v>141994.14000000001</v>
      </c>
    </row>
    <row r="224" spans="1:3" x14ac:dyDescent="0.3">
      <c r="A224" t="s">
        <v>5144</v>
      </c>
      <c r="B224" t="s">
        <v>59</v>
      </c>
      <c r="C224" s="4">
        <v>138268.01</v>
      </c>
    </row>
    <row r="225" spans="1:3" x14ac:dyDescent="0.3">
      <c r="A225" t="s">
        <v>5144</v>
      </c>
      <c r="B225" t="s">
        <v>31</v>
      </c>
      <c r="C225" s="4">
        <v>113081.06</v>
      </c>
    </row>
    <row r="226" spans="1:3" x14ac:dyDescent="0.3">
      <c r="A226" t="s">
        <v>5144</v>
      </c>
      <c r="B226" t="s">
        <v>27</v>
      </c>
      <c r="C226" s="4">
        <v>147767.62</v>
      </c>
    </row>
    <row r="227" spans="1:3" x14ac:dyDescent="0.3">
      <c r="A227" t="s">
        <v>5145</v>
      </c>
      <c r="B227" t="s">
        <v>107</v>
      </c>
      <c r="C227" s="4">
        <v>126719.37</v>
      </c>
    </row>
    <row r="228" spans="1:3" x14ac:dyDescent="0.3">
      <c r="A228" t="s">
        <v>5145</v>
      </c>
      <c r="B228" t="s">
        <v>131</v>
      </c>
      <c r="C228" s="4">
        <v>147421.24</v>
      </c>
    </row>
    <row r="229" spans="1:3" x14ac:dyDescent="0.3">
      <c r="A229" t="s">
        <v>5145</v>
      </c>
      <c r="B229" t="s">
        <v>19</v>
      </c>
      <c r="C229" s="4">
        <v>133271.67000000001</v>
      </c>
    </row>
    <row r="230" spans="1:3" x14ac:dyDescent="0.3">
      <c r="A230" t="s">
        <v>5145</v>
      </c>
      <c r="B230" t="s">
        <v>56</v>
      </c>
      <c r="C230" s="4">
        <v>71654.17</v>
      </c>
    </row>
    <row r="231" spans="1:3" x14ac:dyDescent="0.3">
      <c r="A231" t="s">
        <v>5145</v>
      </c>
      <c r="B231" t="s">
        <v>13</v>
      </c>
      <c r="C231" s="4">
        <v>62975</v>
      </c>
    </row>
    <row r="232" spans="1:3" x14ac:dyDescent="0.3">
      <c r="A232" t="s">
        <v>5145</v>
      </c>
      <c r="B232" t="s">
        <v>127</v>
      </c>
      <c r="C232" s="4">
        <v>113246.9</v>
      </c>
    </row>
    <row r="233" spans="1:3" x14ac:dyDescent="0.3">
      <c r="A233" t="s">
        <v>5145</v>
      </c>
      <c r="B233" t="s">
        <v>75</v>
      </c>
      <c r="C233" s="4">
        <v>116112.36</v>
      </c>
    </row>
    <row r="234" spans="1:3" x14ac:dyDescent="0.3">
      <c r="A234" t="s">
        <v>5145</v>
      </c>
      <c r="B234" t="s">
        <v>63</v>
      </c>
      <c r="C234" s="4">
        <v>78634.38</v>
      </c>
    </row>
    <row r="235" spans="1:3" x14ac:dyDescent="0.3">
      <c r="A235" t="s">
        <v>5145</v>
      </c>
      <c r="B235" t="s">
        <v>82</v>
      </c>
      <c r="C235" s="4">
        <v>128829.97</v>
      </c>
    </row>
    <row r="236" spans="1:3" x14ac:dyDescent="0.3">
      <c r="A236" t="s">
        <v>5145</v>
      </c>
      <c r="B236" t="s">
        <v>70</v>
      </c>
      <c r="C236" s="4">
        <v>73884.899999999994</v>
      </c>
    </row>
    <row r="237" spans="1:3" x14ac:dyDescent="0.3">
      <c r="A237" t="s">
        <v>5145</v>
      </c>
      <c r="B237" t="s">
        <v>141</v>
      </c>
      <c r="C237" s="4">
        <v>106398.99</v>
      </c>
    </row>
    <row r="238" spans="1:3" x14ac:dyDescent="0.3">
      <c r="A238" t="s">
        <v>5145</v>
      </c>
      <c r="B238" t="s">
        <v>41</v>
      </c>
      <c r="C238" s="4">
        <v>58663.29</v>
      </c>
    </row>
    <row r="239" spans="1:3" x14ac:dyDescent="0.3">
      <c r="A239" t="s">
        <v>5145</v>
      </c>
      <c r="B239" t="s">
        <v>59</v>
      </c>
      <c r="C239" s="4">
        <v>137071.39000000001</v>
      </c>
    </row>
    <row r="240" spans="1:3" x14ac:dyDescent="0.3">
      <c r="A240" t="s">
        <v>5145</v>
      </c>
      <c r="B240" t="s">
        <v>31</v>
      </c>
      <c r="C240" s="4">
        <v>90643.58</v>
      </c>
    </row>
    <row r="241" spans="1:3" x14ac:dyDescent="0.3">
      <c r="A241" t="s">
        <v>5145</v>
      </c>
      <c r="B241" t="s">
        <v>27</v>
      </c>
      <c r="C241" s="4">
        <v>68831.45</v>
      </c>
    </row>
    <row r="242" spans="1:3" x14ac:dyDescent="0.3">
      <c r="A242" t="s">
        <v>5146</v>
      </c>
      <c r="B242" t="s">
        <v>107</v>
      </c>
      <c r="C242" s="4">
        <v>84612.44</v>
      </c>
    </row>
    <row r="243" spans="1:3" x14ac:dyDescent="0.3">
      <c r="A243" t="s">
        <v>5146</v>
      </c>
      <c r="B243" t="s">
        <v>131</v>
      </c>
      <c r="C243" s="4">
        <v>110498.18</v>
      </c>
    </row>
    <row r="244" spans="1:3" x14ac:dyDescent="0.3">
      <c r="A244" t="s">
        <v>5146</v>
      </c>
      <c r="B244" t="s">
        <v>19</v>
      </c>
      <c r="C244" s="4">
        <v>51542.96</v>
      </c>
    </row>
    <row r="245" spans="1:3" x14ac:dyDescent="0.3">
      <c r="A245" t="s">
        <v>5146</v>
      </c>
      <c r="B245" t="s">
        <v>56</v>
      </c>
      <c r="C245" s="4">
        <v>130550.47</v>
      </c>
    </row>
    <row r="246" spans="1:3" x14ac:dyDescent="0.3">
      <c r="A246" t="s">
        <v>5146</v>
      </c>
      <c r="B246" t="s">
        <v>13</v>
      </c>
      <c r="C246" s="4">
        <v>102176.29</v>
      </c>
    </row>
    <row r="247" spans="1:3" x14ac:dyDescent="0.3">
      <c r="A247" t="s">
        <v>5146</v>
      </c>
      <c r="B247" t="s">
        <v>127</v>
      </c>
      <c r="C247" s="4">
        <v>54304.92</v>
      </c>
    </row>
    <row r="248" spans="1:3" x14ac:dyDescent="0.3">
      <c r="A248" t="s">
        <v>5146</v>
      </c>
      <c r="B248" t="s">
        <v>75</v>
      </c>
      <c r="C248" s="4">
        <v>143811.37</v>
      </c>
    </row>
    <row r="249" spans="1:3" x14ac:dyDescent="0.3">
      <c r="A249" t="s">
        <v>5146</v>
      </c>
      <c r="B249" t="s">
        <v>63</v>
      </c>
      <c r="C249" s="4">
        <v>58982.58</v>
      </c>
    </row>
    <row r="250" spans="1:3" x14ac:dyDescent="0.3">
      <c r="A250" t="s">
        <v>5146</v>
      </c>
      <c r="B250" t="s">
        <v>82</v>
      </c>
      <c r="C250" s="4">
        <v>104232.05</v>
      </c>
    </row>
    <row r="251" spans="1:3" x14ac:dyDescent="0.3">
      <c r="A251" t="s">
        <v>5146</v>
      </c>
      <c r="B251" t="s">
        <v>70</v>
      </c>
      <c r="C251" s="4">
        <v>51218.46</v>
      </c>
    </row>
    <row r="252" spans="1:3" x14ac:dyDescent="0.3">
      <c r="A252" t="s">
        <v>5146</v>
      </c>
      <c r="B252" t="s">
        <v>141</v>
      </c>
      <c r="C252" s="4">
        <v>76399.210000000006</v>
      </c>
    </row>
    <row r="253" spans="1:3" x14ac:dyDescent="0.3">
      <c r="A253" t="s">
        <v>5146</v>
      </c>
      <c r="B253" t="s">
        <v>41</v>
      </c>
      <c r="C253" s="4">
        <v>71715.59</v>
      </c>
    </row>
    <row r="254" spans="1:3" x14ac:dyDescent="0.3">
      <c r="A254" t="s">
        <v>5146</v>
      </c>
      <c r="B254" t="s">
        <v>59</v>
      </c>
      <c r="C254" s="4">
        <v>84552.38</v>
      </c>
    </row>
    <row r="255" spans="1:3" x14ac:dyDescent="0.3">
      <c r="A255" t="s">
        <v>5146</v>
      </c>
      <c r="B255" t="s">
        <v>31</v>
      </c>
      <c r="C255" s="4">
        <v>85425.57</v>
      </c>
    </row>
    <row r="256" spans="1:3" x14ac:dyDescent="0.3">
      <c r="A256" t="s">
        <v>5146</v>
      </c>
      <c r="B256" t="s">
        <v>27</v>
      </c>
      <c r="C256" s="4">
        <v>92188.08</v>
      </c>
    </row>
    <row r="257" spans="1:3" x14ac:dyDescent="0.3">
      <c r="A257" t="s">
        <v>5147</v>
      </c>
      <c r="B257" t="s">
        <v>107</v>
      </c>
      <c r="C257" s="4">
        <v>105434.1</v>
      </c>
    </row>
    <row r="258" spans="1:3" x14ac:dyDescent="0.3">
      <c r="A258" t="s">
        <v>5147</v>
      </c>
      <c r="B258" t="s">
        <v>131</v>
      </c>
      <c r="C258" s="4">
        <v>120365.59</v>
      </c>
    </row>
    <row r="259" spans="1:3" x14ac:dyDescent="0.3">
      <c r="A259" t="s">
        <v>5147</v>
      </c>
      <c r="B259" t="s">
        <v>19</v>
      </c>
      <c r="C259" s="4">
        <v>144899.99</v>
      </c>
    </row>
    <row r="260" spans="1:3" x14ac:dyDescent="0.3">
      <c r="A260" t="s">
        <v>5147</v>
      </c>
      <c r="B260" t="s">
        <v>56</v>
      </c>
      <c r="C260" s="4">
        <v>80603.14</v>
      </c>
    </row>
    <row r="261" spans="1:3" x14ac:dyDescent="0.3">
      <c r="A261" t="s">
        <v>5147</v>
      </c>
      <c r="B261" t="s">
        <v>13</v>
      </c>
      <c r="C261" s="4">
        <v>133083.4</v>
      </c>
    </row>
    <row r="262" spans="1:3" x14ac:dyDescent="0.3">
      <c r="A262" t="s">
        <v>5147</v>
      </c>
      <c r="B262" t="s">
        <v>127</v>
      </c>
      <c r="C262" s="4">
        <v>73685.88</v>
      </c>
    </row>
    <row r="263" spans="1:3" x14ac:dyDescent="0.3">
      <c r="A263" t="s">
        <v>5147</v>
      </c>
      <c r="B263" t="s">
        <v>75</v>
      </c>
      <c r="C263" s="4">
        <v>120311.07</v>
      </c>
    </row>
    <row r="264" spans="1:3" x14ac:dyDescent="0.3">
      <c r="A264" t="s">
        <v>5147</v>
      </c>
      <c r="B264" t="s">
        <v>63</v>
      </c>
      <c r="C264" s="4">
        <v>55663.07</v>
      </c>
    </row>
    <row r="265" spans="1:3" x14ac:dyDescent="0.3">
      <c r="A265" t="s">
        <v>5147</v>
      </c>
      <c r="B265" t="s">
        <v>82</v>
      </c>
      <c r="C265" s="4">
        <v>107200.77</v>
      </c>
    </row>
    <row r="266" spans="1:3" x14ac:dyDescent="0.3">
      <c r="A266" t="s">
        <v>5147</v>
      </c>
      <c r="B266" t="s">
        <v>70</v>
      </c>
      <c r="C266" s="4">
        <v>105678.04</v>
      </c>
    </row>
    <row r="267" spans="1:3" x14ac:dyDescent="0.3">
      <c r="A267" t="s">
        <v>5147</v>
      </c>
      <c r="B267" t="s">
        <v>141</v>
      </c>
      <c r="C267" s="4">
        <v>59052.1</v>
      </c>
    </row>
    <row r="268" spans="1:3" x14ac:dyDescent="0.3">
      <c r="A268" t="s">
        <v>5147</v>
      </c>
      <c r="B268" t="s">
        <v>41</v>
      </c>
      <c r="C268" s="4">
        <v>136101.22</v>
      </c>
    </row>
    <row r="269" spans="1:3" x14ac:dyDescent="0.3">
      <c r="A269" t="s">
        <v>5147</v>
      </c>
      <c r="B269" t="s">
        <v>59</v>
      </c>
      <c r="C269" s="4">
        <v>54900.17</v>
      </c>
    </row>
    <row r="270" spans="1:3" x14ac:dyDescent="0.3">
      <c r="A270" t="s">
        <v>5147</v>
      </c>
      <c r="B270" t="s">
        <v>31</v>
      </c>
      <c r="C270" s="4">
        <v>121618.57</v>
      </c>
    </row>
    <row r="271" spans="1:3" x14ac:dyDescent="0.3">
      <c r="A271" t="s">
        <v>5147</v>
      </c>
      <c r="B271" t="s">
        <v>27</v>
      </c>
      <c r="C271" s="4">
        <v>145295.76</v>
      </c>
    </row>
    <row r="272" spans="1:3" x14ac:dyDescent="0.3">
      <c r="A272" t="s">
        <v>5148</v>
      </c>
      <c r="B272" t="s">
        <v>107</v>
      </c>
      <c r="C272" s="4">
        <v>82513.070000000007</v>
      </c>
    </row>
    <row r="273" spans="1:3" x14ac:dyDescent="0.3">
      <c r="A273" t="s">
        <v>5148</v>
      </c>
      <c r="B273" t="s">
        <v>131</v>
      </c>
      <c r="C273" s="4">
        <v>113525.75</v>
      </c>
    </row>
    <row r="274" spans="1:3" x14ac:dyDescent="0.3">
      <c r="A274" t="s">
        <v>5148</v>
      </c>
      <c r="B274" t="s">
        <v>19</v>
      </c>
      <c r="C274" s="4">
        <v>114997.47</v>
      </c>
    </row>
    <row r="275" spans="1:3" x14ac:dyDescent="0.3">
      <c r="A275" t="s">
        <v>5148</v>
      </c>
      <c r="B275" t="s">
        <v>56</v>
      </c>
      <c r="C275" s="4">
        <v>65850.12</v>
      </c>
    </row>
    <row r="276" spans="1:3" x14ac:dyDescent="0.3">
      <c r="A276" t="s">
        <v>5148</v>
      </c>
      <c r="B276" t="s">
        <v>13</v>
      </c>
      <c r="C276" s="4">
        <v>64670.48</v>
      </c>
    </row>
    <row r="277" spans="1:3" x14ac:dyDescent="0.3">
      <c r="A277" t="s">
        <v>5148</v>
      </c>
      <c r="B277" t="s">
        <v>127</v>
      </c>
      <c r="C277" s="4">
        <v>97758.58</v>
      </c>
    </row>
    <row r="278" spans="1:3" x14ac:dyDescent="0.3">
      <c r="A278" t="s">
        <v>5148</v>
      </c>
      <c r="B278" t="s">
        <v>75</v>
      </c>
      <c r="C278" s="4">
        <v>54306.82</v>
      </c>
    </row>
    <row r="279" spans="1:3" x14ac:dyDescent="0.3">
      <c r="A279" t="s">
        <v>5148</v>
      </c>
      <c r="B279" t="s">
        <v>63</v>
      </c>
      <c r="C279" s="4">
        <v>72698.539999999994</v>
      </c>
    </row>
    <row r="280" spans="1:3" x14ac:dyDescent="0.3">
      <c r="A280" t="s">
        <v>5148</v>
      </c>
      <c r="B280" t="s">
        <v>82</v>
      </c>
      <c r="C280" s="4">
        <v>82641.13</v>
      </c>
    </row>
    <row r="281" spans="1:3" x14ac:dyDescent="0.3">
      <c r="A281" t="s">
        <v>5148</v>
      </c>
      <c r="B281" t="s">
        <v>70</v>
      </c>
      <c r="C281" s="4">
        <v>139165.82999999999</v>
      </c>
    </row>
    <row r="282" spans="1:3" x14ac:dyDescent="0.3">
      <c r="A282" t="s">
        <v>5148</v>
      </c>
      <c r="B282" t="s">
        <v>141</v>
      </c>
      <c r="C282" s="4">
        <v>55285.03</v>
      </c>
    </row>
    <row r="283" spans="1:3" x14ac:dyDescent="0.3">
      <c r="A283" t="s">
        <v>5148</v>
      </c>
      <c r="B283" t="s">
        <v>41</v>
      </c>
      <c r="C283" s="4">
        <v>131996.4</v>
      </c>
    </row>
    <row r="284" spans="1:3" x14ac:dyDescent="0.3">
      <c r="A284" t="s">
        <v>5148</v>
      </c>
      <c r="B284" t="s">
        <v>59</v>
      </c>
      <c r="C284" s="4">
        <v>69514.86</v>
      </c>
    </row>
    <row r="285" spans="1:3" x14ac:dyDescent="0.3">
      <c r="A285" t="s">
        <v>5148</v>
      </c>
      <c r="B285" t="s">
        <v>31</v>
      </c>
      <c r="C285" s="4">
        <v>82791.539999999994</v>
      </c>
    </row>
    <row r="286" spans="1:3" x14ac:dyDescent="0.3">
      <c r="A286" t="s">
        <v>5148</v>
      </c>
      <c r="B286" t="s">
        <v>27</v>
      </c>
      <c r="C286" s="4">
        <v>72495.55</v>
      </c>
    </row>
    <row r="287" spans="1:3" x14ac:dyDescent="0.3">
      <c r="A287" t="s">
        <v>5149</v>
      </c>
      <c r="B287" t="s">
        <v>107</v>
      </c>
      <c r="C287" s="4">
        <v>143956.01</v>
      </c>
    </row>
    <row r="288" spans="1:3" x14ac:dyDescent="0.3">
      <c r="A288" t="s">
        <v>5149</v>
      </c>
      <c r="B288" t="s">
        <v>131</v>
      </c>
      <c r="C288" s="4">
        <v>51670.37</v>
      </c>
    </row>
    <row r="289" spans="1:3" x14ac:dyDescent="0.3">
      <c r="A289" t="s">
        <v>5149</v>
      </c>
      <c r="B289" t="s">
        <v>19</v>
      </c>
      <c r="C289" s="4">
        <v>145254.41</v>
      </c>
    </row>
    <row r="290" spans="1:3" x14ac:dyDescent="0.3">
      <c r="A290" t="s">
        <v>5149</v>
      </c>
      <c r="B290" t="s">
        <v>56</v>
      </c>
      <c r="C290" s="4">
        <v>75930.55</v>
      </c>
    </row>
    <row r="291" spans="1:3" x14ac:dyDescent="0.3">
      <c r="A291" t="s">
        <v>5149</v>
      </c>
      <c r="B291" t="s">
        <v>13</v>
      </c>
      <c r="C291" s="4">
        <v>82973.34</v>
      </c>
    </row>
    <row r="292" spans="1:3" x14ac:dyDescent="0.3">
      <c r="A292" t="s">
        <v>5149</v>
      </c>
      <c r="B292" t="s">
        <v>127</v>
      </c>
      <c r="C292" s="4">
        <v>109778.06</v>
      </c>
    </row>
    <row r="293" spans="1:3" x14ac:dyDescent="0.3">
      <c r="A293" t="s">
        <v>5149</v>
      </c>
      <c r="B293" t="s">
        <v>75</v>
      </c>
      <c r="C293" s="4">
        <v>138155.73000000001</v>
      </c>
    </row>
    <row r="294" spans="1:3" x14ac:dyDescent="0.3">
      <c r="A294" t="s">
        <v>5149</v>
      </c>
      <c r="B294" t="s">
        <v>63</v>
      </c>
      <c r="C294" s="4">
        <v>54413.760000000002</v>
      </c>
    </row>
    <row r="295" spans="1:3" x14ac:dyDescent="0.3">
      <c r="A295" t="s">
        <v>5149</v>
      </c>
      <c r="B295" t="s">
        <v>82</v>
      </c>
      <c r="C295" s="4">
        <v>92345.21</v>
      </c>
    </row>
    <row r="296" spans="1:3" x14ac:dyDescent="0.3">
      <c r="A296" t="s">
        <v>5149</v>
      </c>
      <c r="B296" t="s">
        <v>70</v>
      </c>
      <c r="C296" s="4">
        <v>72827.94</v>
      </c>
    </row>
    <row r="297" spans="1:3" x14ac:dyDescent="0.3">
      <c r="A297" t="s">
        <v>5149</v>
      </c>
      <c r="B297" t="s">
        <v>141</v>
      </c>
      <c r="C297" s="4">
        <v>147691.72</v>
      </c>
    </row>
    <row r="298" spans="1:3" x14ac:dyDescent="0.3">
      <c r="A298" t="s">
        <v>5149</v>
      </c>
      <c r="B298" t="s">
        <v>41</v>
      </c>
      <c r="C298" s="4">
        <v>103284.19</v>
      </c>
    </row>
    <row r="299" spans="1:3" x14ac:dyDescent="0.3">
      <c r="A299" t="s">
        <v>5149</v>
      </c>
      <c r="B299" t="s">
        <v>59</v>
      </c>
      <c r="C299" s="4">
        <v>99215.59</v>
      </c>
    </row>
    <row r="300" spans="1:3" x14ac:dyDescent="0.3">
      <c r="A300" t="s">
        <v>5149</v>
      </c>
      <c r="B300" t="s">
        <v>31</v>
      </c>
      <c r="C300" s="4">
        <v>80135.210000000006</v>
      </c>
    </row>
    <row r="301" spans="1:3" x14ac:dyDescent="0.3">
      <c r="A301" t="s">
        <v>5149</v>
      </c>
      <c r="B301" t="s">
        <v>27</v>
      </c>
      <c r="C301" s="4">
        <v>125570.85</v>
      </c>
    </row>
    <row r="302" spans="1:3" x14ac:dyDescent="0.3">
      <c r="A302" t="s">
        <v>5150</v>
      </c>
      <c r="B302" t="s">
        <v>107</v>
      </c>
      <c r="C302" s="4">
        <v>93043.61</v>
      </c>
    </row>
    <row r="303" spans="1:3" x14ac:dyDescent="0.3">
      <c r="A303" t="s">
        <v>5150</v>
      </c>
      <c r="B303" t="s">
        <v>131</v>
      </c>
      <c r="C303" s="4">
        <v>68709.84</v>
      </c>
    </row>
    <row r="304" spans="1:3" x14ac:dyDescent="0.3">
      <c r="A304" t="s">
        <v>5150</v>
      </c>
      <c r="B304" t="s">
        <v>19</v>
      </c>
      <c r="C304" s="4">
        <v>87265.67</v>
      </c>
    </row>
    <row r="305" spans="1:3" x14ac:dyDescent="0.3">
      <c r="A305" t="s">
        <v>5150</v>
      </c>
      <c r="B305" t="s">
        <v>56</v>
      </c>
      <c r="C305" s="4">
        <v>115242.59</v>
      </c>
    </row>
    <row r="306" spans="1:3" x14ac:dyDescent="0.3">
      <c r="A306" t="s">
        <v>5150</v>
      </c>
      <c r="B306" t="s">
        <v>13</v>
      </c>
      <c r="C306" s="4">
        <v>129854.92</v>
      </c>
    </row>
    <row r="307" spans="1:3" x14ac:dyDescent="0.3">
      <c r="A307" t="s">
        <v>5150</v>
      </c>
      <c r="B307" t="s">
        <v>127</v>
      </c>
      <c r="C307" s="4">
        <v>142819.20000000001</v>
      </c>
    </row>
    <row r="308" spans="1:3" x14ac:dyDescent="0.3">
      <c r="A308" t="s">
        <v>5150</v>
      </c>
      <c r="B308" t="s">
        <v>75</v>
      </c>
      <c r="C308" s="4">
        <v>101906.29</v>
      </c>
    </row>
    <row r="309" spans="1:3" x14ac:dyDescent="0.3">
      <c r="A309" t="s">
        <v>5150</v>
      </c>
      <c r="B309" t="s">
        <v>63</v>
      </c>
      <c r="C309" s="4">
        <v>105490.19</v>
      </c>
    </row>
    <row r="310" spans="1:3" x14ac:dyDescent="0.3">
      <c r="A310" t="s">
        <v>5150</v>
      </c>
      <c r="B310" t="s">
        <v>82</v>
      </c>
      <c r="C310" s="4">
        <v>86707.1</v>
      </c>
    </row>
    <row r="311" spans="1:3" x14ac:dyDescent="0.3">
      <c r="A311" t="s">
        <v>5150</v>
      </c>
      <c r="B311" t="s">
        <v>70</v>
      </c>
      <c r="C311" s="4">
        <v>54941.85</v>
      </c>
    </row>
    <row r="312" spans="1:3" x14ac:dyDescent="0.3">
      <c r="A312" t="s">
        <v>5150</v>
      </c>
      <c r="B312" t="s">
        <v>141</v>
      </c>
      <c r="C312" s="4">
        <v>76632.12</v>
      </c>
    </row>
    <row r="313" spans="1:3" x14ac:dyDescent="0.3">
      <c r="A313" t="s">
        <v>5150</v>
      </c>
      <c r="B313" t="s">
        <v>41</v>
      </c>
      <c r="C313" s="4">
        <v>143489.71</v>
      </c>
    </row>
    <row r="314" spans="1:3" x14ac:dyDescent="0.3">
      <c r="A314" t="s">
        <v>5150</v>
      </c>
      <c r="B314" t="s">
        <v>59</v>
      </c>
      <c r="C314" s="4">
        <v>147955.01999999999</v>
      </c>
    </row>
    <row r="315" spans="1:3" x14ac:dyDescent="0.3">
      <c r="A315" t="s">
        <v>5150</v>
      </c>
      <c r="B315" t="s">
        <v>31</v>
      </c>
      <c r="C315" s="4">
        <v>83874.350000000006</v>
      </c>
    </row>
    <row r="316" spans="1:3" x14ac:dyDescent="0.3">
      <c r="A316" t="s">
        <v>5150</v>
      </c>
      <c r="B316" t="s">
        <v>27</v>
      </c>
      <c r="C316" s="4">
        <v>64268.46</v>
      </c>
    </row>
    <row r="317" spans="1:3" x14ac:dyDescent="0.3">
      <c r="A317" t="s">
        <v>5151</v>
      </c>
      <c r="B317" t="s">
        <v>107</v>
      </c>
      <c r="C317" s="4">
        <v>149727.57999999999</v>
      </c>
    </row>
    <row r="318" spans="1:3" x14ac:dyDescent="0.3">
      <c r="A318" t="s">
        <v>5151</v>
      </c>
      <c r="B318" t="s">
        <v>131</v>
      </c>
      <c r="C318" s="4">
        <v>135526.01999999999</v>
      </c>
    </row>
    <row r="319" spans="1:3" x14ac:dyDescent="0.3">
      <c r="A319" t="s">
        <v>5151</v>
      </c>
      <c r="B319" t="s">
        <v>19</v>
      </c>
      <c r="C319" s="4">
        <v>112531.06</v>
      </c>
    </row>
    <row r="320" spans="1:3" x14ac:dyDescent="0.3">
      <c r="A320" t="s">
        <v>5151</v>
      </c>
      <c r="B320" t="s">
        <v>56</v>
      </c>
      <c r="C320" s="4">
        <v>138735.54</v>
      </c>
    </row>
    <row r="321" spans="1:3" x14ac:dyDescent="0.3">
      <c r="A321" t="s">
        <v>5151</v>
      </c>
      <c r="B321" t="s">
        <v>13</v>
      </c>
      <c r="C321" s="4">
        <v>86486.73</v>
      </c>
    </row>
    <row r="322" spans="1:3" x14ac:dyDescent="0.3">
      <c r="A322" t="s">
        <v>5151</v>
      </c>
      <c r="B322" t="s">
        <v>127</v>
      </c>
      <c r="C322" s="4">
        <v>95957.54</v>
      </c>
    </row>
    <row r="323" spans="1:3" x14ac:dyDescent="0.3">
      <c r="A323" t="s">
        <v>5151</v>
      </c>
      <c r="B323" t="s">
        <v>75</v>
      </c>
      <c r="C323" s="4">
        <v>70222.789999999994</v>
      </c>
    </row>
    <row r="324" spans="1:3" x14ac:dyDescent="0.3">
      <c r="A324" t="s">
        <v>5151</v>
      </c>
      <c r="B324" t="s">
        <v>63</v>
      </c>
      <c r="C324" s="4">
        <v>136128.16</v>
      </c>
    </row>
    <row r="325" spans="1:3" x14ac:dyDescent="0.3">
      <c r="A325" t="s">
        <v>5151</v>
      </c>
      <c r="B325" t="s">
        <v>82</v>
      </c>
      <c r="C325" s="4">
        <v>51508.5</v>
      </c>
    </row>
    <row r="326" spans="1:3" x14ac:dyDescent="0.3">
      <c r="A326" t="s">
        <v>5151</v>
      </c>
      <c r="B326" t="s">
        <v>70</v>
      </c>
      <c r="C326" s="4">
        <v>76110.880000000005</v>
      </c>
    </row>
    <row r="327" spans="1:3" x14ac:dyDescent="0.3">
      <c r="A327" t="s">
        <v>5151</v>
      </c>
      <c r="B327" t="s">
        <v>141</v>
      </c>
      <c r="C327" s="4">
        <v>85866.03</v>
      </c>
    </row>
    <row r="328" spans="1:3" x14ac:dyDescent="0.3">
      <c r="A328" t="s">
        <v>5151</v>
      </c>
      <c r="B328" t="s">
        <v>41</v>
      </c>
      <c r="C328" s="4">
        <v>132278.81</v>
      </c>
    </row>
    <row r="329" spans="1:3" x14ac:dyDescent="0.3">
      <c r="A329" t="s">
        <v>5151</v>
      </c>
      <c r="B329" t="s">
        <v>59</v>
      </c>
      <c r="C329" s="4">
        <v>99782.53</v>
      </c>
    </row>
    <row r="330" spans="1:3" x14ac:dyDescent="0.3">
      <c r="A330" t="s">
        <v>5151</v>
      </c>
      <c r="B330" t="s">
        <v>31</v>
      </c>
      <c r="C330" s="4">
        <v>145432.29999999999</v>
      </c>
    </row>
    <row r="331" spans="1:3" x14ac:dyDescent="0.3">
      <c r="A331" t="s">
        <v>5151</v>
      </c>
      <c r="B331" t="s">
        <v>27</v>
      </c>
      <c r="C331" s="4">
        <v>76646</v>
      </c>
    </row>
    <row r="332" spans="1:3" x14ac:dyDescent="0.3">
      <c r="A332" t="s">
        <v>5152</v>
      </c>
      <c r="B332" t="s">
        <v>107</v>
      </c>
      <c r="C332" s="4">
        <v>100219.21</v>
      </c>
    </row>
    <row r="333" spans="1:3" x14ac:dyDescent="0.3">
      <c r="A333" t="s">
        <v>5152</v>
      </c>
      <c r="B333" t="s">
        <v>131</v>
      </c>
      <c r="C333" s="4">
        <v>77221.62</v>
      </c>
    </row>
    <row r="334" spans="1:3" x14ac:dyDescent="0.3">
      <c r="A334" t="s">
        <v>5152</v>
      </c>
      <c r="B334" t="s">
        <v>19</v>
      </c>
      <c r="C334" s="4">
        <v>138709.32999999999</v>
      </c>
    </row>
    <row r="335" spans="1:3" x14ac:dyDescent="0.3">
      <c r="A335" t="s">
        <v>5152</v>
      </c>
      <c r="B335" t="s">
        <v>56</v>
      </c>
      <c r="C335" s="4">
        <v>179302.12</v>
      </c>
    </row>
    <row r="336" spans="1:3" x14ac:dyDescent="0.3">
      <c r="A336" t="s">
        <v>5152</v>
      </c>
      <c r="B336" t="s">
        <v>13</v>
      </c>
      <c r="C336" s="4">
        <v>99232.07</v>
      </c>
    </row>
    <row r="337" spans="1:3" x14ac:dyDescent="0.3">
      <c r="A337" t="s">
        <v>5152</v>
      </c>
      <c r="B337" t="s">
        <v>127</v>
      </c>
      <c r="C337" s="4">
        <v>94927.75</v>
      </c>
    </row>
    <row r="338" spans="1:3" x14ac:dyDescent="0.3">
      <c r="A338" t="s">
        <v>5152</v>
      </c>
      <c r="B338" t="s">
        <v>75</v>
      </c>
      <c r="C338" s="4">
        <v>103271.22</v>
      </c>
    </row>
    <row r="339" spans="1:3" x14ac:dyDescent="0.3">
      <c r="A339" t="s">
        <v>5152</v>
      </c>
      <c r="B339" t="s">
        <v>63</v>
      </c>
      <c r="C339" s="4">
        <v>123258.86</v>
      </c>
    </row>
    <row r="340" spans="1:3" x14ac:dyDescent="0.3">
      <c r="A340" t="s">
        <v>5152</v>
      </c>
      <c r="B340" t="s">
        <v>82</v>
      </c>
      <c r="C340" s="4">
        <v>139002.13</v>
      </c>
    </row>
    <row r="341" spans="1:3" x14ac:dyDescent="0.3">
      <c r="A341" t="s">
        <v>5152</v>
      </c>
      <c r="B341" t="s">
        <v>70</v>
      </c>
      <c r="C341" s="4">
        <v>167687.21</v>
      </c>
    </row>
    <row r="342" spans="1:3" x14ac:dyDescent="0.3">
      <c r="A342" t="s">
        <v>5152</v>
      </c>
      <c r="B342" t="s">
        <v>141</v>
      </c>
      <c r="C342" s="4">
        <v>171525.26</v>
      </c>
    </row>
    <row r="343" spans="1:3" x14ac:dyDescent="0.3">
      <c r="A343" t="s">
        <v>5152</v>
      </c>
      <c r="B343" t="s">
        <v>41</v>
      </c>
      <c r="C343" s="4">
        <v>65195.02</v>
      </c>
    </row>
    <row r="344" spans="1:3" x14ac:dyDescent="0.3">
      <c r="A344" t="s">
        <v>5152</v>
      </c>
      <c r="B344" t="s">
        <v>59</v>
      </c>
      <c r="C344" s="4">
        <v>157958.09</v>
      </c>
    </row>
    <row r="345" spans="1:3" x14ac:dyDescent="0.3">
      <c r="A345" t="s">
        <v>5152</v>
      </c>
      <c r="B345" t="s">
        <v>31</v>
      </c>
      <c r="C345" s="4">
        <v>87085.96</v>
      </c>
    </row>
    <row r="346" spans="1:3" x14ac:dyDescent="0.3">
      <c r="A346" t="s">
        <v>5152</v>
      </c>
      <c r="B346" t="s">
        <v>27</v>
      </c>
      <c r="C346" s="4">
        <v>183723.47</v>
      </c>
    </row>
    <row r="347" spans="1:3" x14ac:dyDescent="0.3">
      <c r="A347" t="s">
        <v>5153</v>
      </c>
      <c r="B347" t="s">
        <v>107</v>
      </c>
      <c r="C347" s="4">
        <v>161131.28</v>
      </c>
    </row>
    <row r="348" spans="1:3" x14ac:dyDescent="0.3">
      <c r="A348" t="s">
        <v>5153</v>
      </c>
      <c r="B348" t="s">
        <v>131</v>
      </c>
      <c r="C348" s="4">
        <v>151478.07</v>
      </c>
    </row>
    <row r="349" spans="1:3" x14ac:dyDescent="0.3">
      <c r="A349" t="s">
        <v>5153</v>
      </c>
      <c r="B349" t="s">
        <v>19</v>
      </c>
      <c r="C349" s="4">
        <v>176644.46</v>
      </c>
    </row>
    <row r="350" spans="1:3" x14ac:dyDescent="0.3">
      <c r="A350" t="s">
        <v>5153</v>
      </c>
      <c r="B350" t="s">
        <v>56</v>
      </c>
      <c r="C350" s="4">
        <v>112247.31</v>
      </c>
    </row>
    <row r="351" spans="1:3" x14ac:dyDescent="0.3">
      <c r="A351" t="s">
        <v>5153</v>
      </c>
      <c r="B351" t="s">
        <v>13</v>
      </c>
      <c r="C351" s="4">
        <v>134908.19</v>
      </c>
    </row>
    <row r="352" spans="1:3" x14ac:dyDescent="0.3">
      <c r="A352" t="s">
        <v>5153</v>
      </c>
      <c r="B352" t="s">
        <v>127</v>
      </c>
      <c r="C352" s="4">
        <v>123268.83</v>
      </c>
    </row>
    <row r="353" spans="1:3" x14ac:dyDescent="0.3">
      <c r="A353" t="s">
        <v>5153</v>
      </c>
      <c r="B353" t="s">
        <v>75</v>
      </c>
      <c r="C353" s="4">
        <v>131172.18</v>
      </c>
    </row>
    <row r="354" spans="1:3" x14ac:dyDescent="0.3">
      <c r="A354" t="s">
        <v>5153</v>
      </c>
      <c r="B354" t="s">
        <v>63</v>
      </c>
      <c r="C354" s="4">
        <v>71765.279999999999</v>
      </c>
    </row>
    <row r="355" spans="1:3" x14ac:dyDescent="0.3">
      <c r="A355" t="s">
        <v>5153</v>
      </c>
      <c r="B355" t="s">
        <v>82</v>
      </c>
      <c r="C355" s="4">
        <v>91807.38</v>
      </c>
    </row>
    <row r="356" spans="1:3" x14ac:dyDescent="0.3">
      <c r="A356" t="s">
        <v>5153</v>
      </c>
      <c r="B356" t="s">
        <v>70</v>
      </c>
      <c r="C356" s="4">
        <v>148466.96</v>
      </c>
    </row>
    <row r="357" spans="1:3" x14ac:dyDescent="0.3">
      <c r="A357" t="s">
        <v>5153</v>
      </c>
      <c r="B357" t="s">
        <v>141</v>
      </c>
      <c r="C357" s="4">
        <v>182736.39</v>
      </c>
    </row>
    <row r="358" spans="1:3" x14ac:dyDescent="0.3">
      <c r="A358" t="s">
        <v>5153</v>
      </c>
      <c r="B358" t="s">
        <v>41</v>
      </c>
      <c r="C358" s="4">
        <v>181248.83</v>
      </c>
    </row>
    <row r="359" spans="1:3" x14ac:dyDescent="0.3">
      <c r="A359" t="s">
        <v>5153</v>
      </c>
      <c r="B359" t="s">
        <v>59</v>
      </c>
      <c r="C359" s="4">
        <v>162820.46</v>
      </c>
    </row>
    <row r="360" spans="1:3" x14ac:dyDescent="0.3">
      <c r="A360" t="s">
        <v>5153</v>
      </c>
      <c r="B360" t="s">
        <v>31</v>
      </c>
      <c r="C360" s="4">
        <v>168158.06</v>
      </c>
    </row>
    <row r="361" spans="1:3" x14ac:dyDescent="0.3">
      <c r="A361" t="s">
        <v>5153</v>
      </c>
      <c r="B361" t="s">
        <v>27</v>
      </c>
      <c r="C361" s="4">
        <v>111374.81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2B71-2E25-49E4-9700-B332EB62E70F}">
  <dimension ref="A1:C121"/>
  <sheetViews>
    <sheetView tabSelected="1" workbookViewId="0">
      <pane ySplit="1" topLeftCell="A12" activePane="bottomLeft" state="frozen"/>
      <selection pane="bottomLeft" activeCell="H22" sqref="H22"/>
    </sheetView>
  </sheetViews>
  <sheetFormatPr defaultRowHeight="14.4" x14ac:dyDescent="0.3"/>
  <cols>
    <col min="2" max="2" width="17.21875" style="4" customWidth="1"/>
  </cols>
  <sheetData>
    <row r="1" spans="1:3" x14ac:dyDescent="0.3">
      <c r="A1" t="s">
        <v>5128</v>
      </c>
      <c r="B1" s="4" t="s">
        <v>5129</v>
      </c>
      <c r="C1" t="s">
        <v>9</v>
      </c>
    </row>
    <row r="2" spans="1:3" x14ac:dyDescent="0.3">
      <c r="A2" t="s">
        <v>5130</v>
      </c>
      <c r="B2" s="4">
        <v>280920.06</v>
      </c>
      <c r="C2" t="s">
        <v>109</v>
      </c>
    </row>
    <row r="3" spans="1:3" x14ac:dyDescent="0.3">
      <c r="A3" t="s">
        <v>5130</v>
      </c>
      <c r="B3" s="4">
        <v>612172.99</v>
      </c>
      <c r="C3" t="s">
        <v>44</v>
      </c>
    </row>
    <row r="4" spans="1:3" x14ac:dyDescent="0.3">
      <c r="A4" t="s">
        <v>5130</v>
      </c>
      <c r="B4" s="4">
        <v>624194.35</v>
      </c>
      <c r="C4" t="s">
        <v>21</v>
      </c>
    </row>
    <row r="5" spans="1:3" x14ac:dyDescent="0.3">
      <c r="A5" t="s">
        <v>5130</v>
      </c>
      <c r="B5" s="4">
        <v>504870.82</v>
      </c>
      <c r="C5" t="s">
        <v>34</v>
      </c>
    </row>
    <row r="6" spans="1:3" x14ac:dyDescent="0.3">
      <c r="A6" t="s">
        <v>5130</v>
      </c>
      <c r="B6" s="4">
        <v>324210.27</v>
      </c>
      <c r="C6" t="s">
        <v>16</v>
      </c>
    </row>
    <row r="7" spans="1:3" x14ac:dyDescent="0.3">
      <c r="A7" t="s">
        <v>5131</v>
      </c>
      <c r="B7" s="4">
        <v>618051.85</v>
      </c>
      <c r="C7" t="s">
        <v>109</v>
      </c>
    </row>
    <row r="8" spans="1:3" x14ac:dyDescent="0.3">
      <c r="A8" t="s">
        <v>5131</v>
      </c>
      <c r="B8" s="4">
        <v>408602.49</v>
      </c>
      <c r="C8" t="s">
        <v>44</v>
      </c>
    </row>
    <row r="9" spans="1:3" x14ac:dyDescent="0.3">
      <c r="A9" t="s">
        <v>5131</v>
      </c>
      <c r="B9" s="4">
        <v>396527.58</v>
      </c>
      <c r="C9" t="s">
        <v>21</v>
      </c>
    </row>
    <row r="10" spans="1:3" x14ac:dyDescent="0.3">
      <c r="A10" t="s">
        <v>5131</v>
      </c>
      <c r="B10" s="4">
        <v>598318.23</v>
      </c>
      <c r="C10" t="s">
        <v>34</v>
      </c>
    </row>
    <row r="11" spans="1:3" x14ac:dyDescent="0.3">
      <c r="A11" t="s">
        <v>5131</v>
      </c>
      <c r="B11" s="4">
        <v>589363.86</v>
      </c>
      <c r="C11" t="s">
        <v>16</v>
      </c>
    </row>
    <row r="12" spans="1:3" x14ac:dyDescent="0.3">
      <c r="A12" t="s">
        <v>5132</v>
      </c>
      <c r="B12" s="4">
        <v>704475.97</v>
      </c>
      <c r="C12" t="s">
        <v>109</v>
      </c>
    </row>
    <row r="13" spans="1:3" x14ac:dyDescent="0.3">
      <c r="A13" t="s">
        <v>5132</v>
      </c>
      <c r="B13" s="4">
        <v>641960.94999999995</v>
      </c>
      <c r="C13" t="s">
        <v>44</v>
      </c>
    </row>
    <row r="14" spans="1:3" x14ac:dyDescent="0.3">
      <c r="A14" t="s">
        <v>5132</v>
      </c>
      <c r="B14" s="4">
        <v>548310.75</v>
      </c>
      <c r="C14" t="s">
        <v>21</v>
      </c>
    </row>
    <row r="15" spans="1:3" x14ac:dyDescent="0.3">
      <c r="A15" t="s">
        <v>5132</v>
      </c>
      <c r="B15" s="4">
        <v>785190.63</v>
      </c>
      <c r="C15" t="s">
        <v>34</v>
      </c>
    </row>
    <row r="16" spans="1:3" x14ac:dyDescent="0.3">
      <c r="A16" t="s">
        <v>5132</v>
      </c>
      <c r="B16" s="4">
        <v>574637.34</v>
      </c>
      <c r="C16" t="s">
        <v>16</v>
      </c>
    </row>
    <row r="17" spans="1:3" x14ac:dyDescent="0.3">
      <c r="A17" t="s">
        <v>5133</v>
      </c>
      <c r="B17" s="4">
        <v>738806.05</v>
      </c>
      <c r="C17" t="s">
        <v>109</v>
      </c>
    </row>
    <row r="18" spans="1:3" x14ac:dyDescent="0.3">
      <c r="A18" t="s">
        <v>5133</v>
      </c>
      <c r="B18" s="4">
        <v>675473.77</v>
      </c>
      <c r="C18" t="s">
        <v>44</v>
      </c>
    </row>
    <row r="19" spans="1:3" x14ac:dyDescent="0.3">
      <c r="A19" t="s">
        <v>5133</v>
      </c>
      <c r="B19" s="4">
        <v>361290.19</v>
      </c>
      <c r="C19" t="s">
        <v>21</v>
      </c>
    </row>
    <row r="20" spans="1:3" x14ac:dyDescent="0.3">
      <c r="A20" t="s">
        <v>5133</v>
      </c>
      <c r="B20" s="4">
        <v>795546.4</v>
      </c>
      <c r="C20" t="s">
        <v>34</v>
      </c>
    </row>
    <row r="21" spans="1:3" x14ac:dyDescent="0.3">
      <c r="A21" t="s">
        <v>5133</v>
      </c>
      <c r="B21" s="4">
        <v>763214.72</v>
      </c>
      <c r="C21" t="s">
        <v>16</v>
      </c>
    </row>
    <row r="22" spans="1:3" x14ac:dyDescent="0.3">
      <c r="A22" t="s">
        <v>5134</v>
      </c>
      <c r="B22" s="4">
        <v>580956.16000000003</v>
      </c>
      <c r="C22" t="s">
        <v>109</v>
      </c>
    </row>
    <row r="23" spans="1:3" x14ac:dyDescent="0.3">
      <c r="A23" t="s">
        <v>5134</v>
      </c>
      <c r="B23" s="4">
        <v>756130.51</v>
      </c>
      <c r="C23" t="s">
        <v>44</v>
      </c>
    </row>
    <row r="24" spans="1:3" x14ac:dyDescent="0.3">
      <c r="A24" t="s">
        <v>5134</v>
      </c>
      <c r="B24" s="4">
        <v>456883.52</v>
      </c>
      <c r="C24" t="s">
        <v>21</v>
      </c>
    </row>
    <row r="25" spans="1:3" x14ac:dyDescent="0.3">
      <c r="A25" t="s">
        <v>5134</v>
      </c>
      <c r="B25" s="4">
        <v>644545.38</v>
      </c>
      <c r="C25" t="s">
        <v>34</v>
      </c>
    </row>
    <row r="26" spans="1:3" x14ac:dyDescent="0.3">
      <c r="A26" t="s">
        <v>5134</v>
      </c>
      <c r="B26" s="4">
        <v>519421.03</v>
      </c>
      <c r="C26" t="s">
        <v>16</v>
      </c>
    </row>
    <row r="27" spans="1:3" x14ac:dyDescent="0.3">
      <c r="A27" t="s">
        <v>5135</v>
      </c>
      <c r="B27" s="4">
        <v>674036.12</v>
      </c>
      <c r="C27" t="s">
        <v>109</v>
      </c>
    </row>
    <row r="28" spans="1:3" x14ac:dyDescent="0.3">
      <c r="A28" t="s">
        <v>5135</v>
      </c>
      <c r="B28" s="4">
        <v>500925.93</v>
      </c>
      <c r="C28" t="s">
        <v>44</v>
      </c>
    </row>
    <row r="29" spans="1:3" x14ac:dyDescent="0.3">
      <c r="A29" t="s">
        <v>5135</v>
      </c>
      <c r="B29" s="4">
        <v>331056.33</v>
      </c>
      <c r="C29" t="s">
        <v>21</v>
      </c>
    </row>
    <row r="30" spans="1:3" x14ac:dyDescent="0.3">
      <c r="A30" t="s">
        <v>5135</v>
      </c>
      <c r="B30" s="4">
        <v>314756.51</v>
      </c>
      <c r="C30" t="s">
        <v>34</v>
      </c>
    </row>
    <row r="31" spans="1:3" x14ac:dyDescent="0.3">
      <c r="A31" t="s">
        <v>5135</v>
      </c>
      <c r="B31" s="4">
        <v>747909.68</v>
      </c>
      <c r="C31" t="s">
        <v>16</v>
      </c>
    </row>
    <row r="32" spans="1:3" x14ac:dyDescent="0.3">
      <c r="A32" t="s">
        <v>5136</v>
      </c>
      <c r="B32" s="4">
        <v>343515.34</v>
      </c>
      <c r="C32" t="s">
        <v>109</v>
      </c>
    </row>
    <row r="33" spans="1:3" x14ac:dyDescent="0.3">
      <c r="A33" t="s">
        <v>5136</v>
      </c>
      <c r="B33" s="4">
        <v>421562.8</v>
      </c>
      <c r="C33" t="s">
        <v>44</v>
      </c>
    </row>
    <row r="34" spans="1:3" x14ac:dyDescent="0.3">
      <c r="A34" t="s">
        <v>5136</v>
      </c>
      <c r="B34" s="4">
        <v>384693.02</v>
      </c>
      <c r="C34" t="s">
        <v>21</v>
      </c>
    </row>
    <row r="35" spans="1:3" x14ac:dyDescent="0.3">
      <c r="A35" t="s">
        <v>5136</v>
      </c>
      <c r="B35" s="4">
        <v>519170.47</v>
      </c>
      <c r="C35" t="s">
        <v>34</v>
      </c>
    </row>
    <row r="36" spans="1:3" x14ac:dyDescent="0.3">
      <c r="A36" t="s">
        <v>5136</v>
      </c>
      <c r="B36" s="4">
        <v>744855.61</v>
      </c>
      <c r="C36" t="s">
        <v>16</v>
      </c>
    </row>
    <row r="37" spans="1:3" x14ac:dyDescent="0.3">
      <c r="A37" t="s">
        <v>5137</v>
      </c>
      <c r="B37" s="4">
        <v>436668.93</v>
      </c>
      <c r="C37" t="s">
        <v>109</v>
      </c>
    </row>
    <row r="38" spans="1:3" x14ac:dyDescent="0.3">
      <c r="A38" t="s">
        <v>5137</v>
      </c>
      <c r="B38" s="4">
        <v>522263.83</v>
      </c>
      <c r="C38" t="s">
        <v>44</v>
      </c>
    </row>
    <row r="39" spans="1:3" x14ac:dyDescent="0.3">
      <c r="A39" t="s">
        <v>5137</v>
      </c>
      <c r="B39" s="4">
        <v>785587.67</v>
      </c>
      <c r="C39" t="s">
        <v>21</v>
      </c>
    </row>
    <row r="40" spans="1:3" x14ac:dyDescent="0.3">
      <c r="A40" t="s">
        <v>5137</v>
      </c>
      <c r="B40" s="4">
        <v>515574.58</v>
      </c>
      <c r="C40" t="s">
        <v>34</v>
      </c>
    </row>
    <row r="41" spans="1:3" x14ac:dyDescent="0.3">
      <c r="A41" t="s">
        <v>5137</v>
      </c>
      <c r="B41" s="4">
        <v>661061.5</v>
      </c>
      <c r="C41" t="s">
        <v>16</v>
      </c>
    </row>
    <row r="42" spans="1:3" x14ac:dyDescent="0.3">
      <c r="A42" t="s">
        <v>5138</v>
      </c>
      <c r="B42" s="4">
        <v>422803.39</v>
      </c>
      <c r="C42" t="s">
        <v>109</v>
      </c>
    </row>
    <row r="43" spans="1:3" x14ac:dyDescent="0.3">
      <c r="A43" t="s">
        <v>5138</v>
      </c>
      <c r="B43" s="4">
        <v>650644.01</v>
      </c>
      <c r="C43" t="s">
        <v>44</v>
      </c>
    </row>
    <row r="44" spans="1:3" x14ac:dyDescent="0.3">
      <c r="A44" t="s">
        <v>5138</v>
      </c>
      <c r="B44" s="4">
        <v>420543.42</v>
      </c>
      <c r="C44" t="s">
        <v>21</v>
      </c>
    </row>
    <row r="45" spans="1:3" x14ac:dyDescent="0.3">
      <c r="A45" t="s">
        <v>5138</v>
      </c>
      <c r="B45" s="4">
        <v>790059.22</v>
      </c>
      <c r="C45" t="s">
        <v>34</v>
      </c>
    </row>
    <row r="46" spans="1:3" x14ac:dyDescent="0.3">
      <c r="A46" t="s">
        <v>5138</v>
      </c>
      <c r="B46" s="4">
        <v>451692.96</v>
      </c>
      <c r="C46" t="s">
        <v>16</v>
      </c>
    </row>
    <row r="47" spans="1:3" x14ac:dyDescent="0.3">
      <c r="A47" t="s">
        <v>5139</v>
      </c>
      <c r="B47" s="4">
        <v>558101.03</v>
      </c>
      <c r="C47" t="s">
        <v>109</v>
      </c>
    </row>
    <row r="48" spans="1:3" x14ac:dyDescent="0.3">
      <c r="A48" t="s">
        <v>5139</v>
      </c>
      <c r="B48" s="4">
        <v>490680.55</v>
      </c>
      <c r="C48" t="s">
        <v>44</v>
      </c>
    </row>
    <row r="49" spans="1:3" x14ac:dyDescent="0.3">
      <c r="A49" t="s">
        <v>5139</v>
      </c>
      <c r="B49" s="4">
        <v>332269.71000000002</v>
      </c>
      <c r="C49" t="s">
        <v>21</v>
      </c>
    </row>
    <row r="50" spans="1:3" x14ac:dyDescent="0.3">
      <c r="A50" t="s">
        <v>5139</v>
      </c>
      <c r="B50" s="4">
        <v>756496.41</v>
      </c>
      <c r="C50" t="s">
        <v>34</v>
      </c>
    </row>
    <row r="51" spans="1:3" x14ac:dyDescent="0.3">
      <c r="A51" t="s">
        <v>5139</v>
      </c>
      <c r="B51" s="4">
        <v>636240.51</v>
      </c>
      <c r="C51" t="s">
        <v>16</v>
      </c>
    </row>
    <row r="52" spans="1:3" x14ac:dyDescent="0.3">
      <c r="A52" t="s">
        <v>5140</v>
      </c>
      <c r="B52" s="4">
        <v>958961.83</v>
      </c>
      <c r="C52" t="s">
        <v>109</v>
      </c>
    </row>
    <row r="53" spans="1:3" x14ac:dyDescent="0.3">
      <c r="A53" t="s">
        <v>5140</v>
      </c>
      <c r="B53" s="4">
        <v>675778.12</v>
      </c>
      <c r="C53" t="s">
        <v>44</v>
      </c>
    </row>
    <row r="54" spans="1:3" x14ac:dyDescent="0.3">
      <c r="A54" t="s">
        <v>5140</v>
      </c>
      <c r="B54" s="4">
        <v>988820.92</v>
      </c>
      <c r="C54" t="s">
        <v>21</v>
      </c>
    </row>
    <row r="55" spans="1:3" x14ac:dyDescent="0.3">
      <c r="A55" t="s">
        <v>5140</v>
      </c>
      <c r="B55" s="4">
        <v>911207.57</v>
      </c>
      <c r="C55" t="s">
        <v>34</v>
      </c>
    </row>
    <row r="56" spans="1:3" x14ac:dyDescent="0.3">
      <c r="A56" t="s">
        <v>5140</v>
      </c>
      <c r="B56" s="4">
        <v>856686.46</v>
      </c>
      <c r="C56" t="s">
        <v>16</v>
      </c>
    </row>
    <row r="57" spans="1:3" x14ac:dyDescent="0.3">
      <c r="A57" t="s">
        <v>5141</v>
      </c>
      <c r="B57" s="4">
        <v>575575.9</v>
      </c>
      <c r="C57" t="s">
        <v>109</v>
      </c>
    </row>
    <row r="58" spans="1:3" x14ac:dyDescent="0.3">
      <c r="A58" t="s">
        <v>5141</v>
      </c>
      <c r="B58" s="4">
        <v>718699.53</v>
      </c>
      <c r="C58" t="s">
        <v>44</v>
      </c>
    </row>
    <row r="59" spans="1:3" x14ac:dyDescent="0.3">
      <c r="A59" t="s">
        <v>5141</v>
      </c>
      <c r="B59" s="4">
        <v>770894.41</v>
      </c>
      <c r="C59" t="s">
        <v>21</v>
      </c>
    </row>
    <row r="60" spans="1:3" x14ac:dyDescent="0.3">
      <c r="A60" t="s">
        <v>5141</v>
      </c>
      <c r="B60" s="4">
        <v>485063.57</v>
      </c>
      <c r="C60" t="s">
        <v>34</v>
      </c>
    </row>
    <row r="61" spans="1:3" x14ac:dyDescent="0.3">
      <c r="A61" t="s">
        <v>5141</v>
      </c>
      <c r="B61" s="4">
        <v>883024.3</v>
      </c>
      <c r="C61" t="s">
        <v>16</v>
      </c>
    </row>
    <row r="62" spans="1:3" x14ac:dyDescent="0.3">
      <c r="A62" t="s">
        <v>5142</v>
      </c>
      <c r="B62" s="4">
        <v>270690.43</v>
      </c>
      <c r="C62" t="s">
        <v>109</v>
      </c>
    </row>
    <row r="63" spans="1:3" x14ac:dyDescent="0.3">
      <c r="A63" t="s">
        <v>5142</v>
      </c>
      <c r="B63" s="4">
        <v>392500.96</v>
      </c>
      <c r="C63" t="s">
        <v>44</v>
      </c>
    </row>
    <row r="64" spans="1:3" x14ac:dyDescent="0.3">
      <c r="A64" t="s">
        <v>5142</v>
      </c>
      <c r="B64" s="4">
        <v>545903.93000000005</v>
      </c>
      <c r="C64" t="s">
        <v>21</v>
      </c>
    </row>
    <row r="65" spans="1:3" x14ac:dyDescent="0.3">
      <c r="A65" t="s">
        <v>5142</v>
      </c>
      <c r="B65" s="4">
        <v>599058.36</v>
      </c>
      <c r="C65" t="s">
        <v>34</v>
      </c>
    </row>
    <row r="66" spans="1:3" x14ac:dyDescent="0.3">
      <c r="A66" t="s">
        <v>5142</v>
      </c>
      <c r="B66" s="4">
        <v>303167.21999999997</v>
      </c>
      <c r="C66" t="s">
        <v>16</v>
      </c>
    </row>
    <row r="67" spans="1:3" x14ac:dyDescent="0.3">
      <c r="A67" t="s">
        <v>5143</v>
      </c>
      <c r="B67" s="4">
        <v>266320.27</v>
      </c>
      <c r="C67" t="s">
        <v>109</v>
      </c>
    </row>
    <row r="68" spans="1:3" x14ac:dyDescent="0.3">
      <c r="A68" t="s">
        <v>5143</v>
      </c>
      <c r="B68" s="4">
        <v>539903.67000000004</v>
      </c>
      <c r="C68" t="s">
        <v>44</v>
      </c>
    </row>
    <row r="69" spans="1:3" x14ac:dyDescent="0.3">
      <c r="A69" t="s">
        <v>5143</v>
      </c>
      <c r="B69" s="4">
        <v>465160.72</v>
      </c>
      <c r="C69" t="s">
        <v>21</v>
      </c>
    </row>
    <row r="70" spans="1:3" x14ac:dyDescent="0.3">
      <c r="A70" t="s">
        <v>5143</v>
      </c>
      <c r="B70" s="4">
        <v>535812.61</v>
      </c>
      <c r="C70" t="s">
        <v>34</v>
      </c>
    </row>
    <row r="71" spans="1:3" x14ac:dyDescent="0.3">
      <c r="A71" t="s">
        <v>5143</v>
      </c>
      <c r="B71" s="4">
        <v>528212.79</v>
      </c>
      <c r="C71" t="s">
        <v>16</v>
      </c>
    </row>
    <row r="72" spans="1:3" x14ac:dyDescent="0.3">
      <c r="A72" t="s">
        <v>5144</v>
      </c>
      <c r="B72" s="4">
        <v>799433.08</v>
      </c>
      <c r="C72" t="s">
        <v>109</v>
      </c>
    </row>
    <row r="73" spans="1:3" x14ac:dyDescent="0.3">
      <c r="A73" t="s">
        <v>5144</v>
      </c>
      <c r="B73" s="4">
        <v>625922.94999999995</v>
      </c>
      <c r="C73" t="s">
        <v>44</v>
      </c>
    </row>
    <row r="74" spans="1:3" x14ac:dyDescent="0.3">
      <c r="A74" t="s">
        <v>5144</v>
      </c>
      <c r="B74" s="4">
        <v>608270.86</v>
      </c>
      <c r="C74" t="s">
        <v>21</v>
      </c>
    </row>
    <row r="75" spans="1:3" x14ac:dyDescent="0.3">
      <c r="A75" t="s">
        <v>5144</v>
      </c>
      <c r="B75" s="4">
        <v>616956.71</v>
      </c>
      <c r="C75" t="s">
        <v>34</v>
      </c>
    </row>
    <row r="76" spans="1:3" x14ac:dyDescent="0.3">
      <c r="A76" t="s">
        <v>5144</v>
      </c>
      <c r="B76" s="4">
        <v>633983.46</v>
      </c>
      <c r="C76" t="s">
        <v>16</v>
      </c>
    </row>
    <row r="77" spans="1:3" x14ac:dyDescent="0.3">
      <c r="A77" t="s">
        <v>5145</v>
      </c>
      <c r="B77" s="4">
        <v>507859.35</v>
      </c>
      <c r="C77" t="s">
        <v>109</v>
      </c>
    </row>
    <row r="78" spans="1:3" x14ac:dyDescent="0.3">
      <c r="A78" t="s">
        <v>5145</v>
      </c>
      <c r="B78" s="4">
        <v>784480.85</v>
      </c>
      <c r="C78" t="s">
        <v>44</v>
      </c>
    </row>
    <row r="79" spans="1:3" x14ac:dyDescent="0.3">
      <c r="A79" t="s">
        <v>5145</v>
      </c>
      <c r="B79" s="4">
        <v>776807.69</v>
      </c>
      <c r="C79" t="s">
        <v>21</v>
      </c>
    </row>
    <row r="80" spans="1:3" x14ac:dyDescent="0.3">
      <c r="A80" t="s">
        <v>5145</v>
      </c>
      <c r="B80" s="4">
        <v>357462.11</v>
      </c>
      <c r="C80" t="s">
        <v>34</v>
      </c>
    </row>
    <row r="81" spans="1:3" x14ac:dyDescent="0.3">
      <c r="A81" t="s">
        <v>5145</v>
      </c>
      <c r="B81" s="4">
        <v>716643.49</v>
      </c>
      <c r="C81" t="s">
        <v>16</v>
      </c>
    </row>
    <row r="82" spans="1:3" x14ac:dyDescent="0.3">
      <c r="A82" t="s">
        <v>5146</v>
      </c>
      <c r="B82" s="4">
        <v>770247.29</v>
      </c>
      <c r="C82" t="s">
        <v>109</v>
      </c>
    </row>
    <row r="83" spans="1:3" x14ac:dyDescent="0.3">
      <c r="A83" t="s">
        <v>5146</v>
      </c>
      <c r="B83" s="4">
        <v>439526.66</v>
      </c>
      <c r="C83" t="s">
        <v>44</v>
      </c>
    </row>
    <row r="84" spans="1:3" x14ac:dyDescent="0.3">
      <c r="A84" t="s">
        <v>5146</v>
      </c>
      <c r="B84" s="4">
        <v>438229.26</v>
      </c>
      <c r="C84" t="s">
        <v>21</v>
      </c>
    </row>
    <row r="85" spans="1:3" x14ac:dyDescent="0.3">
      <c r="A85" t="s">
        <v>5146</v>
      </c>
      <c r="B85" s="4">
        <v>302583.03000000003</v>
      </c>
      <c r="C85" t="s">
        <v>34</v>
      </c>
    </row>
    <row r="86" spans="1:3" x14ac:dyDescent="0.3">
      <c r="A86" t="s">
        <v>5146</v>
      </c>
      <c r="B86" s="4">
        <v>335031.33</v>
      </c>
      <c r="C86" t="s">
        <v>16</v>
      </c>
    </row>
    <row r="87" spans="1:3" x14ac:dyDescent="0.3">
      <c r="A87" t="s">
        <v>5147</v>
      </c>
      <c r="B87" s="4">
        <v>403846.67</v>
      </c>
      <c r="C87" t="s">
        <v>109</v>
      </c>
    </row>
    <row r="88" spans="1:3" x14ac:dyDescent="0.3">
      <c r="A88" t="s">
        <v>5147</v>
      </c>
      <c r="B88" s="4">
        <v>678971.99</v>
      </c>
      <c r="C88" t="s">
        <v>44</v>
      </c>
    </row>
    <row r="89" spans="1:3" x14ac:dyDescent="0.3">
      <c r="A89" t="s">
        <v>5147</v>
      </c>
      <c r="B89" s="4">
        <v>607353.91</v>
      </c>
      <c r="C89" t="s">
        <v>21</v>
      </c>
    </row>
    <row r="90" spans="1:3" x14ac:dyDescent="0.3">
      <c r="A90" t="s">
        <v>5147</v>
      </c>
      <c r="B90" s="4">
        <v>648665.66</v>
      </c>
      <c r="C90" t="s">
        <v>34</v>
      </c>
    </row>
    <row r="91" spans="1:3" x14ac:dyDescent="0.3">
      <c r="A91" t="s">
        <v>5147</v>
      </c>
      <c r="B91" s="4">
        <v>489425.11</v>
      </c>
      <c r="C91" t="s">
        <v>16</v>
      </c>
    </row>
    <row r="92" spans="1:3" x14ac:dyDescent="0.3">
      <c r="A92" t="s">
        <v>5148</v>
      </c>
      <c r="B92" s="4">
        <v>687788.47</v>
      </c>
      <c r="C92" t="s">
        <v>109</v>
      </c>
    </row>
    <row r="93" spans="1:3" x14ac:dyDescent="0.3">
      <c r="A93" t="s">
        <v>5148</v>
      </c>
      <c r="B93" s="4">
        <v>380444.13</v>
      </c>
      <c r="C93" t="s">
        <v>44</v>
      </c>
    </row>
    <row r="94" spans="1:3" x14ac:dyDescent="0.3">
      <c r="A94" t="s">
        <v>5148</v>
      </c>
      <c r="B94" s="4">
        <v>333628.33</v>
      </c>
      <c r="C94" t="s">
        <v>21</v>
      </c>
    </row>
    <row r="95" spans="1:3" x14ac:dyDescent="0.3">
      <c r="A95" t="s">
        <v>5148</v>
      </c>
      <c r="B95" s="4">
        <v>746828.58</v>
      </c>
      <c r="C95" t="s">
        <v>34</v>
      </c>
    </row>
    <row r="96" spans="1:3" x14ac:dyDescent="0.3">
      <c r="A96" t="s">
        <v>5148</v>
      </c>
      <c r="B96" s="4">
        <v>533824.78</v>
      </c>
      <c r="C96" t="s">
        <v>16</v>
      </c>
    </row>
    <row r="97" spans="1:3" x14ac:dyDescent="0.3">
      <c r="A97" t="s">
        <v>5149</v>
      </c>
      <c r="B97" s="4">
        <v>480559.33</v>
      </c>
      <c r="C97" t="s">
        <v>109</v>
      </c>
    </row>
    <row r="98" spans="1:3" x14ac:dyDescent="0.3">
      <c r="A98" t="s">
        <v>5149</v>
      </c>
      <c r="B98" s="4">
        <v>593645.84</v>
      </c>
      <c r="C98" t="s">
        <v>44</v>
      </c>
    </row>
    <row r="99" spans="1:3" x14ac:dyDescent="0.3">
      <c r="A99" t="s">
        <v>5149</v>
      </c>
      <c r="B99" s="4">
        <v>593341.4</v>
      </c>
      <c r="C99" t="s">
        <v>21</v>
      </c>
    </row>
    <row r="100" spans="1:3" x14ac:dyDescent="0.3">
      <c r="A100" t="s">
        <v>5149</v>
      </c>
      <c r="B100" s="4">
        <v>502438.96</v>
      </c>
      <c r="C100" t="s">
        <v>34</v>
      </c>
    </row>
    <row r="101" spans="1:3" x14ac:dyDescent="0.3">
      <c r="A101" t="s">
        <v>5149</v>
      </c>
      <c r="B101" s="4">
        <v>422122.15</v>
      </c>
      <c r="C101" t="s">
        <v>16</v>
      </c>
    </row>
    <row r="102" spans="1:3" x14ac:dyDescent="0.3">
      <c r="A102" t="s">
        <v>5150</v>
      </c>
      <c r="B102" s="4">
        <v>425658.27</v>
      </c>
      <c r="C102" t="s">
        <v>109</v>
      </c>
    </row>
    <row r="103" spans="1:3" x14ac:dyDescent="0.3">
      <c r="A103" t="s">
        <v>5150</v>
      </c>
      <c r="B103" s="4">
        <v>503403.16</v>
      </c>
      <c r="C103" t="s">
        <v>44</v>
      </c>
    </row>
    <row r="104" spans="1:3" x14ac:dyDescent="0.3">
      <c r="A104" t="s">
        <v>5150</v>
      </c>
      <c r="B104" s="4">
        <v>733895.85</v>
      </c>
      <c r="C104" t="s">
        <v>21</v>
      </c>
    </row>
    <row r="105" spans="1:3" x14ac:dyDescent="0.3">
      <c r="A105" t="s">
        <v>5150</v>
      </c>
      <c r="B105" s="4">
        <v>777655.27</v>
      </c>
      <c r="C105" t="s">
        <v>34</v>
      </c>
    </row>
    <row r="106" spans="1:3" x14ac:dyDescent="0.3">
      <c r="A106" t="s">
        <v>5150</v>
      </c>
      <c r="B106" s="4">
        <v>682957.98</v>
      </c>
      <c r="C106" t="s">
        <v>16</v>
      </c>
    </row>
    <row r="107" spans="1:3" x14ac:dyDescent="0.3">
      <c r="A107" t="s">
        <v>5151</v>
      </c>
      <c r="B107" s="4">
        <v>653985.73</v>
      </c>
      <c r="C107" t="s">
        <v>109</v>
      </c>
    </row>
    <row r="108" spans="1:3" x14ac:dyDescent="0.3">
      <c r="A108" t="s">
        <v>5151</v>
      </c>
      <c r="B108" s="4">
        <v>755199.74</v>
      </c>
      <c r="C108" t="s">
        <v>44</v>
      </c>
    </row>
    <row r="109" spans="1:3" x14ac:dyDescent="0.3">
      <c r="A109" t="s">
        <v>5151</v>
      </c>
      <c r="B109" s="4">
        <v>347852.47</v>
      </c>
      <c r="C109" t="s">
        <v>21</v>
      </c>
    </row>
    <row r="110" spans="1:3" x14ac:dyDescent="0.3">
      <c r="A110" t="s">
        <v>5151</v>
      </c>
      <c r="B110" s="4">
        <v>602107.15</v>
      </c>
      <c r="C110" t="s">
        <v>34</v>
      </c>
    </row>
    <row r="111" spans="1:3" x14ac:dyDescent="0.3">
      <c r="A111" t="s">
        <v>5151</v>
      </c>
      <c r="B111" s="4">
        <v>385783.31</v>
      </c>
      <c r="C111" t="s">
        <v>16</v>
      </c>
    </row>
    <row r="112" spans="1:3" x14ac:dyDescent="0.3">
      <c r="A112" t="s">
        <v>5152</v>
      </c>
      <c r="B112" s="4">
        <v>711289.36</v>
      </c>
      <c r="C112" t="s">
        <v>109</v>
      </c>
    </row>
    <row r="113" spans="1:3" x14ac:dyDescent="0.3">
      <c r="A113" t="s">
        <v>5152</v>
      </c>
      <c r="B113" s="4">
        <v>577823.32999999996</v>
      </c>
      <c r="C113" t="s">
        <v>44</v>
      </c>
    </row>
    <row r="114" spans="1:3" x14ac:dyDescent="0.3">
      <c r="A114" t="s">
        <v>5152</v>
      </c>
      <c r="B114" s="4">
        <v>480310.17</v>
      </c>
      <c r="C114" t="s">
        <v>21</v>
      </c>
    </row>
    <row r="115" spans="1:3" x14ac:dyDescent="0.3">
      <c r="A115" t="s">
        <v>5152</v>
      </c>
      <c r="B115" s="4">
        <v>978879.54</v>
      </c>
      <c r="C115" t="s">
        <v>34</v>
      </c>
    </row>
    <row r="116" spans="1:3" x14ac:dyDescent="0.3">
      <c r="A116" t="s">
        <v>5152</v>
      </c>
      <c r="B116" s="4">
        <v>527786.41</v>
      </c>
      <c r="C116" t="s">
        <v>16</v>
      </c>
    </row>
    <row r="117" spans="1:3" x14ac:dyDescent="0.3">
      <c r="A117" t="s">
        <v>5153</v>
      </c>
      <c r="B117" s="4">
        <v>1027021.15</v>
      </c>
      <c r="C117" t="s">
        <v>109</v>
      </c>
    </row>
    <row r="118" spans="1:3" x14ac:dyDescent="0.3">
      <c r="A118" t="s">
        <v>5153</v>
      </c>
      <c r="B118" s="4">
        <v>400653.07</v>
      </c>
      <c r="C118" t="s">
        <v>44</v>
      </c>
    </row>
    <row r="119" spans="1:3" x14ac:dyDescent="0.3">
      <c r="A119" t="s">
        <v>5153</v>
      </c>
      <c r="B119" s="4">
        <v>944747.84</v>
      </c>
      <c r="C119" t="s">
        <v>21</v>
      </c>
    </row>
    <row r="120" spans="1:3" x14ac:dyDescent="0.3">
      <c r="A120" t="s">
        <v>5153</v>
      </c>
      <c r="B120" s="4">
        <v>1005819.74</v>
      </c>
      <c r="C120" t="s">
        <v>34</v>
      </c>
    </row>
    <row r="121" spans="1:3" x14ac:dyDescent="0.3">
      <c r="A121" t="s">
        <v>5153</v>
      </c>
      <c r="B121" s="4">
        <v>694964.3</v>
      </c>
      <c r="C12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Sales_Transactions</vt:lpstr>
      <vt:lpstr>Products</vt:lpstr>
      <vt:lpstr>Sales_Representatives</vt:lpstr>
      <vt:lpstr>Customers</vt:lpstr>
      <vt:lpstr>Targets</vt:lpstr>
      <vt:lpstr>Rep_Targets</vt:lpstr>
      <vt:lpstr>Regional_Targets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SHAYANA G G</cp:lastModifiedBy>
  <cp:lastPrinted>2026-01-03T06:54:38Z</cp:lastPrinted>
  <dcterms:created xsi:type="dcterms:W3CDTF">2025-12-19T14:42:46Z</dcterms:created>
  <dcterms:modified xsi:type="dcterms:W3CDTF">2026-01-21T15:33:38Z</dcterms:modified>
</cp:coreProperties>
</file>